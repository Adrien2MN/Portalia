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\Portalia\"/>
    </mc:Choice>
  </mc:AlternateContent>
  <xr:revisionPtr revIDLastSave="0" documentId="13_ncr:1_{D53CFA86-4C94-4ABF-943E-7A7A4500D320}" xr6:coauthVersionLast="47" xr6:coauthVersionMax="47" xr10:uidLastSave="{00000000-0000-0000-0000-000000000000}"/>
  <bookViews>
    <workbookView xWindow="-108" yWindow="-108" windowWidth="23256" windowHeight="12456" tabRatio="798" firstSheet="2" activeTab="7" xr2:uid="{00000000-000D-0000-FFFF-FFFF00000000}"/>
  </bookViews>
  <sheets>
    <sheet name="HOW TO USE" sheetId="7" r:id="rId1"/>
    <sheet name="CALCULS" sheetId="13" r:id="rId2"/>
    <sheet name="1. Calcul Avec prov (2)" sheetId="14" r:id="rId3"/>
    <sheet name="1. Calcul Avec prov" sheetId="1" r:id="rId4"/>
    <sheet name="2. Calcul Sans prov" sheetId="3" r:id="rId5"/>
    <sheet name="3. Template" sheetId="6" r:id="rId6"/>
    <sheet name="Glossaire" sheetId="12" r:id="rId7"/>
    <sheet name="BS . Avec prov" sheetId="2" r:id="rId8"/>
    <sheet name="BS . Sans prov" sheetId="4" r:id="rId9"/>
  </sheets>
  <definedNames>
    <definedName name="PLA">'3. Template'!#REF!</definedName>
    <definedName name="t_corresp_com">#REF!</definedName>
    <definedName name="tx_taxe_transport" localSheetId="2">'1. Calcul Avec prov (2)'!$M$27</definedName>
    <definedName name="tx_taxe_transport">'1. Calcul Avec prov'!$M$27</definedName>
    <definedName name="_xlnm.Print_Area" localSheetId="5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7" i="14" l="1"/>
  <c r="M26" i="14"/>
  <c r="M25" i="14"/>
  <c r="K19" i="14"/>
  <c r="M17" i="14"/>
  <c r="M13" i="14"/>
  <c r="J13" i="14"/>
  <c r="M12" i="14"/>
  <c r="M10" i="14"/>
  <c r="M9" i="14"/>
  <c r="B9" i="14"/>
  <c r="M8" i="14"/>
  <c r="M7" i="14"/>
  <c r="M6" i="14"/>
  <c r="J6" i="14"/>
  <c r="B6" i="14"/>
  <c r="B5" i="14"/>
  <c r="K4" i="14"/>
  <c r="D3" i="13"/>
  <c r="B5" i="13"/>
  <c r="B3" i="13"/>
  <c r="E14" i="6"/>
  <c r="E13" i="6"/>
  <c r="V9" i="4"/>
  <c r="X9" i="2"/>
  <c r="G29" i="4"/>
  <c r="F35" i="4"/>
  <c r="F35" i="2"/>
  <c r="G29" i="2"/>
  <c r="J14" i="14" l="1"/>
  <c r="J15" i="14" s="1"/>
  <c r="B8" i="13"/>
  <c r="D4" i="13" s="1"/>
  <c r="B10" i="13"/>
  <c r="M26" i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B7" i="14" s="1"/>
  <c r="B10" i="14" s="1"/>
  <c r="E42" i="2"/>
  <c r="E27" i="6" s="1"/>
  <c r="B12" i="14" l="1"/>
  <c r="B11" i="14"/>
  <c r="E25" i="6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F66CE3E1-A4A7-416D-A8EE-797037606417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D893EF5C-F2C2-408A-8363-50E15B1968C2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2EEBE7DE-26E9-4E3A-B841-FF34F45EEB4B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C3EAA43F-C1D3-4E59-B425-CBF92B2292F7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<sst xmlns="http://schemas.openxmlformats.org/spreadsheetml/2006/main" count="505" uniqueCount="210">
  <si>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</si>
  <si>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</si>
  <si>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</si>
  <si>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</si>
  <si>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</si>
  <si>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</si>
  <si>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</si>
  <si>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</si>
  <si>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</si>
  <si>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</si>
  <si>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</si>
  <si>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</si>
  <si>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</si>
  <si>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</si>
  <si>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</si>
  <si>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</si>
  <si>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</si>
  <si>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</si>
  <si>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</si>
  <si>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</si>
  <si>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</si>
  <si>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</si>
  <si>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</si>
  <si>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</si>
  <si>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</si>
  <si>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</si>
  <si>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</si>
  <si>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</si>
  <si>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</si>
  <si>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</si>
  <si>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</si>
  <si>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</si>
  <si>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</si>
  <si>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</si>
  <si>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</si>
  <si>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</si>
  <si>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</si>
  <si>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</si>
  <si>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</si>
  <si>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</si>
  <si>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</si>
  <si>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</si>
  <si>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</si>
  <si>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</si>
  <si>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</si>
  <si>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</si>
  <si>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</si>
  <si>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</si>
  <si>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</si>
  <si>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</si>
  <si>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</si>
  <si>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</si>
  <si>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</si>
  <si>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</si>
  <si>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</si>
  <si>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</si>
  <si>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</si>
  <si>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</si>
  <si>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</si>
  <si>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</si>
  <si>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</si>
  <si>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</si>
  <si>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</si>
  <si>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</si>
  <si>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</si>
  <si>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</si>
  <si>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</si>
  <si>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</si>
  <si>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</si>
  <si>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</si>
  <si>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</si>
  <si>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</si>
  <si>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</si>
  <si>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</si>
  <si>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</si>
  <si>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</si>
  <si>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</si>
  <si>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</si>
  <si>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</si>
  <si>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</si>
  <si>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</si>
  <si>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</si>
  <si>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</si>
  <si>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</si>
  <si>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</si>
  <si>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</si>
  <si>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</si>
  <si>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</si>
  <si>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</si>
  <si>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</si>
  <si>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</si>
  <si>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</si>
  <si>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</si>
  <si>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</si>
  <si>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</si>
  <si>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</si>
  <si>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</si>
  <si>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</si>
  <si>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</si>
  <si>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</si>
  <si>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</si>
  <si>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</si>
  <si>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</si>
  <si>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</si>
  <si>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</si>
  <si>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</si>
  <si>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</si>
  <si>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</si>
  <si>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</si>
  <si>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</si>
  <si>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</si>
  <si>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</si>
  <si>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</si>
  <si>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</si>
  <si>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</si>
  <si>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</si>
  <si>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</si>
  <si>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</si>
  <si>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</si>
  <si>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</si>
  <si>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</si>
  <si>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</si>
  <si>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</si>
  <si>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</si>
  <si>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</si>
  <si>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</si>
  <si>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</si>
  <si>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</si>
  <si>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</si>
  <si>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</si>
  <si>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</si>
  <si>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</si>
  <si>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</si>
  <si>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</si>
  <si>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</si>
  <si>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</si>
  <si>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</si>
  <si>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</si>
  <si>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</si>
  <si>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</si>
  <si>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</si>
  <si>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</si>
  <si>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</si>
  <si>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</si>
  <si>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</si>
  <si>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</si>
  <si>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</si>
  <si>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</si>
  <si>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</si>
  <si>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</si>
  <si>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</si>
  <si>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</si>
  <si>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</si>
  <si>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</si>
  <si>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</si>
  <si>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</si>
  <si>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</si>
  <si>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</si>
  <si>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</si>
  <si>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</si>
  <si>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</si>
  <si>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</si>
  <si>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</si>
  <si>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</si>
  <si>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</si>
  <si>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</si>
  <si>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</si>
  <si>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</si>
  <si>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</si>
  <si>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</si>
  <si>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</si>
  <si>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</si>
  <si>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</si>
  <si>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</si>
  <si>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</si>
  <si>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</si>
  <si>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</si>
  <si>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</si>
  <si>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</si>
  <si>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</si>
  <si>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</si>
  <si>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</si>
  <si>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</si>
  <si>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</si>
  <si>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</si>
  <si>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</si>
  <si>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</si>
  <si>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</si>
  <si>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</si>
  <si>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</si>
  <si>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</si>
  <si>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</si>
  <si>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</si>
  <si>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</si>
  <si>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</si>
  <si>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</si>
  <si>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</si>
  <si>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</si>
  <si>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Paramètres</t>
  </si>
  <si>
    <t>Résultats</t>
  </si>
  <si>
    <t>Nb jours taf</t>
  </si>
  <si>
    <t>Frais fixes</t>
  </si>
  <si>
    <t>Provisions</t>
  </si>
  <si>
    <t>TJM</t>
  </si>
  <si>
    <t>%Frais</t>
  </si>
  <si>
    <t>%Provisions</t>
  </si>
  <si>
    <t>Charges salariales</t>
  </si>
  <si>
    <t>%Salariales</t>
  </si>
  <si>
    <t>Charges patronales</t>
  </si>
  <si>
    <t>%Patronales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</si>
</sst>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3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0" fontId="46" fillId="0" borderId="0" xfId="44" applyAlignment="1">
      <alignment horizontal="right"/>
    </xf>
    <xf numFmtId="9" fontId="9" fillId="0" borderId="0" xfId="1" applyFon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0" fillId="0" borderId="0" xfId="0" applyNumberFormat="1"/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1"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0" dataDxfId="18" headerRowBorderDxfId="19" tableBorderDxfId="17" totalsRowBorderDxfId="16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5"/>
    <tableColumn id="2" xr3:uid="{00000000-0010-0000-0100-000002000000}" name="part sal" dataDxfId="14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3" tableBorderDxfId="12">
  <tableColumns count="6">
    <tableColumn id="1" xr3:uid="{7300FEE3-3E1A-4455-9D63-430AD33ECC81}" name="Colonne1" dataDxfId="11"/>
    <tableColumn id="4" xr3:uid="{182C38EE-9216-4340-9796-C5EC9A1A4635}" name="Colonne4" headerRowDxfId="10" dataDxfId="9"/>
    <tableColumn id="5" xr3:uid="{B36999D8-BCF5-41CD-BB1E-CFBFAAEF662C}" name="Colonne5" headerRowDxfId="8" dataDxfId="7"/>
    <tableColumn id="6" xr3:uid="{5B69CCFF-4B35-40EE-8623-9BE764110772}" name="Colonne6" headerRowDxfId="6" dataDxfId="5"/>
    <tableColumn id="7" xr3:uid="{19F9980C-506F-4BF6-AD68-AE827126CE8F}" name="Colonne7" headerRowDxfId="4" dataDxfId="3"/>
    <tableColumn id="8" xr3:uid="{33568481-BA54-42FF-8AF0-FE0B81391315}" name="Colonne8" headerRowDxfId="2" dataDxfId="1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26796-B0E2-4001-AC20-C22D423ECC12}">
  <sheetPr codeName="Feuil5">
    <tabColor theme="7" tint="0.39997558519241921"/>
  </sheetPr>
  <dimension ref="A1:D11"/>
  <sheetViews>
    <sheetView workbookViewId="0">
      <selection activeCell="D28" sqref="D28"/>
    </sheetView>
  </sheetViews>
  <sheetFormatPr baseColWidth="10" defaultRowHeight="14.4" x14ac:dyDescent="0.3"/>
  <cols>
    <col min="1" max="1" width="16.77734375" customWidth="1"/>
  </cols>
  <sheetData>
    <row r="1" spans="1:4" x14ac:dyDescent="0.3">
      <c r="B1" t="s">
        <v>198</v>
      </c>
      <c r="D1" t="s">
        <v>199</v>
      </c>
    </row>
    <row r="2" spans="1:4" x14ac:dyDescent="0.3">
      <c r="A2" t="s">
        <v>200</v>
      </c>
      <c r="B2">
        <v>18</v>
      </c>
      <c r="C2" t="s">
        <v>203</v>
      </c>
      <c r="D2">
        <v>600</v>
      </c>
    </row>
    <row r="3" spans="1:4" x14ac:dyDescent="0.3">
      <c r="A3" t="s">
        <v>201</v>
      </c>
      <c r="B3">
        <f>D2*B4</f>
        <v>48</v>
      </c>
      <c r="C3" t="s">
        <v>11</v>
      </c>
      <c r="D3">
        <f>D2*B2-B3-B5</f>
        <v>10692</v>
      </c>
    </row>
    <row r="4" spans="1:4" x14ac:dyDescent="0.3">
      <c r="A4" t="s">
        <v>204</v>
      </c>
      <c r="B4" s="175">
        <v>0.08</v>
      </c>
      <c r="C4" t="s">
        <v>22</v>
      </c>
      <c r="D4">
        <f>D3-B8-B10</f>
        <v>7056.72</v>
      </c>
    </row>
    <row r="5" spans="1:4" x14ac:dyDescent="0.3">
      <c r="A5" t="s">
        <v>202</v>
      </c>
      <c r="B5" s="182">
        <f>D2*B6</f>
        <v>60</v>
      </c>
    </row>
    <row r="6" spans="1:4" x14ac:dyDescent="0.3">
      <c r="A6" t="s">
        <v>205</v>
      </c>
      <c r="B6" s="175">
        <v>0.1</v>
      </c>
    </row>
    <row r="8" spans="1:4" x14ac:dyDescent="0.3">
      <c r="A8" t="s">
        <v>206</v>
      </c>
      <c r="B8">
        <f>D3*B9</f>
        <v>2352.2400000000002</v>
      </c>
    </row>
    <row r="9" spans="1:4" x14ac:dyDescent="0.3">
      <c r="A9" t="s">
        <v>207</v>
      </c>
      <c r="B9" s="175">
        <v>0.22</v>
      </c>
    </row>
    <row r="10" spans="1:4" x14ac:dyDescent="0.3">
      <c r="A10" t="s">
        <v>208</v>
      </c>
      <c r="B10">
        <f>D3*B11</f>
        <v>1283.04</v>
      </c>
    </row>
    <row r="11" spans="1:4" x14ac:dyDescent="0.3">
      <c r="A11" t="s">
        <v>209</v>
      </c>
      <c r="B11" s="175">
        <v>0.12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F0BF-F241-417F-A017-6B74CD9C0011}">
  <sheetPr codeName="Sheet5">
    <tabColor theme="7" tint="0.39997558519241921"/>
  </sheetPr>
  <dimension ref="A2:U31"/>
  <sheetViews>
    <sheetView showGridLines="0" zoomScale="87" zoomScaleNormal="115" workbookViewId="0">
      <selection activeCell="H12" sqref="H12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58979.701271121987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4914.9751059268319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1060.9862218144335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Avec prov'!G42</f>
        <v>#REF!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3754.9888841123975</v>
      </c>
      <c r="H9" s="30" t="s">
        <v>23</v>
      </c>
      <c r="J9" s="179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35">
      <c r="A10" s="30" t="s">
        <v>24</v>
      </c>
      <c r="B10" s="36" t="e">
        <f>B5+B7+M7+J11+M8+M9+M10+M12+M13+M23</f>
        <v>#REF!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 t="e">
        <f>B10*12</f>
        <v>#REF!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 t="e">
        <f>B10/J5</f>
        <v>#REF!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 (2)'!J19</f>
        <v>399.6227926119077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33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78">
        <v>77077</v>
      </c>
      <c r="M25" s="92" t="e">
        <f>VLOOKUP(J25,#REF!,2,FALSE)</f>
        <v>#REF!</v>
      </c>
    </row>
    <row r="26" spans="2:21" x14ac:dyDescent="0.3">
      <c r="J26" s="173"/>
      <c r="M26" s="92" t="e">
        <f>VLOOKUP(J25,#REF!,3,FALSE)</f>
        <v>#REF!</v>
      </c>
    </row>
    <row r="27" spans="2:21" x14ac:dyDescent="0.3">
      <c r="J27" s="173"/>
      <c r="M27" t="e">
        <f>VLOOKUP(J25,#REF!,8,FALSE)</f>
        <v>#REF!</v>
      </c>
      <c r="N27" s="177" t="s">
        <v>39</v>
      </c>
      <c r="O27" s="91"/>
    </row>
    <row r="28" spans="2:21" x14ac:dyDescent="0.3">
      <c r="J28" s="174" t="s">
        <v>40</v>
      </c>
      <c r="K28" s="174"/>
      <c r="L28" s="174"/>
      <c r="M28" s="174"/>
      <c r="N28" s="174"/>
      <c r="O28" s="174"/>
    </row>
    <row r="29" spans="2:21" x14ac:dyDescent="0.3">
      <c r="J29" s="176" t="s">
        <v>41</v>
      </c>
    </row>
    <row r="31" spans="2:21" x14ac:dyDescent="0.3">
      <c r="U31" t="s">
        <v>10</v>
      </c>
    </row>
  </sheetData>
  <dataValidations count="3">
    <dataValidation operator="lessThan" allowBlank="1" showInputMessage="1" error="le TJM d'un CDD ne peut être inférieur à 250 €" prompt="le TJM d'un CDD ne peut être inférieur à 250 €" sqref="J10" xr:uid="{2061B996-4579-4C7E-ADD1-B4FA2EAD2806}"/>
    <dataValidation type="list" allowBlank="1" showInputMessage="1" showErrorMessage="1" sqref="J23" xr:uid="{E12E1D86-E202-4EE3-8AE0-4C716134CC0A}">
      <formula1>"Oui,Non"</formula1>
    </dataValidation>
    <dataValidation type="decimal" errorStyle="warning" allowBlank="1" showInputMessage="1" showErrorMessage="1" errorTitle="TJM trop faible" error="Le TJM ne doit pas être inférieur à 290 € pour un cadre en forfait jour" sqref="J4" xr:uid="{6531C235-BF6C-4421-96DA-FDA862465539}">
      <formula1>290</formula1>
      <formula2>3000</formula2>
    </dataValidation>
  </dataValidations>
  <hyperlinks>
    <hyperlink ref="J29" r:id="rId1" xr:uid="{EA670C9E-1B58-4C92-ABAE-153C1751808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B2DECF-3C68-4815-8EC3-9C3EB931EA5F}">
          <x14:formula1>
            <xm:f>'BS . Avec prov'!$K$31:$K$32</xm:f>
          </x14:formula1>
          <xm:sqref>J17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zoomScale="87" zoomScaleNormal="115" workbookViewId="0">
      <selection activeCell="S8" sqref="S8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58979.701271121987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4914.9751059268319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1060.9862218144335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Avec prov'!G42</f>
        <v>#REF!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3754.9888841123975</v>
      </c>
      <c r="H9" s="30" t="s">
        <v>23</v>
      </c>
      <c r="J9" s="179">
        <v>0.1</v>
      </c>
      <c r="M9" s="32">
        <f>($J$6-$M$7-$M$8-$J$11-$M$12-$M$13)*$J$9/(1+$J$9)</f>
        <v>709.36363636363637</v>
      </c>
      <c r="N9" s="34" t="s">
        <v>20</v>
      </c>
      <c r="O9" s="103"/>
    </row>
    <row r="10" spans="1:21" ht="15" thickBot="1" x14ac:dyDescent="0.35">
      <c r="A10" s="30" t="s">
        <v>24</v>
      </c>
      <c r="B10" s="36" t="e">
        <f>B5+B7+M7+J11+M8+M9+M10+M12+M13+M23</f>
        <v>#REF!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 t="e">
        <f>B10*12</f>
        <v>#REF!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 t="e">
        <f>B10/J5</f>
        <v>#REF!</v>
      </c>
      <c r="C12" s="34" t="s">
        <v>27</v>
      </c>
      <c r="H12" s="30" t="s">
        <v>28</v>
      </c>
      <c r="J12" s="42">
        <v>0</v>
      </c>
      <c r="M12" s="32">
        <f>J12</f>
        <v>0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7093.636363636364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33</v>
      </c>
      <c r="M17" s="32">
        <f>VLOOKUP(J17,TabMutuelle[],2,FALSE)</f>
        <v>30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399.6227926119077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33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78">
        <v>77077</v>
      </c>
      <c r="M25" s="92" t="e">
        <f>VLOOKUP(J25,#REF!,2,FALSE)</f>
        <v>#REF!</v>
      </c>
    </row>
    <row r="26" spans="2:21" x14ac:dyDescent="0.3">
      <c r="J26" s="173"/>
      <c r="M26" s="92" t="e">
        <f>VLOOKUP(J25,#REF!,3,FALSE)</f>
        <v>#REF!</v>
      </c>
    </row>
    <row r="27" spans="2:21" x14ac:dyDescent="0.3">
      <c r="J27" s="173"/>
      <c r="M27" t="e">
        <f>VLOOKUP(J25,#REF!,8,FALSE)</f>
        <v>#REF!</v>
      </c>
      <c r="N27" s="177" t="s">
        <v>39</v>
      </c>
      <c r="O27" s="91"/>
    </row>
    <row r="28" spans="2:21" x14ac:dyDescent="0.3">
      <c r="J28" s="174" t="s">
        <v>40</v>
      </c>
      <c r="K28" s="174"/>
      <c r="L28" s="174"/>
      <c r="M28" s="174"/>
      <c r="N28" s="174"/>
      <c r="O28" s="174"/>
    </row>
    <row r="29" spans="2:21" x14ac:dyDescent="0.3">
      <c r="J29" s="176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21875" bestFit="1" customWidth="1"/>
    <col min="2" max="2" width="13.777343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1186.5401848683246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 t="e">
        <f>'BS . Sans prov'!G42</f>
        <v>#REF!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4250.7071606106074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 t="e">
        <f>B5+B7+M7+J10+M8+M11+M9+M12+M22</f>
        <v>#REF!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 t="e">
        <f>B10*12</f>
        <v>#REF!</v>
      </c>
      <c r="C11" s="34" t="s">
        <v>12</v>
      </c>
      <c r="H11" s="30" t="s">
        <v>28</v>
      </c>
      <c r="J11" s="96">
        <f>'1. Calcul Avec prov'!J12</f>
        <v>0</v>
      </c>
      <c r="M11" s="32">
        <f>J11</f>
        <v>0</v>
      </c>
      <c r="N11" s="34" t="s">
        <v>20</v>
      </c>
    </row>
    <row r="12" spans="1:21" ht="15" thickBot="1" x14ac:dyDescent="0.35">
      <c r="B12" s="32" t="e">
        <f>B10/J5</f>
        <v>#REF!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7983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Oui</v>
      </c>
      <c r="M16" s="32">
        <f>VLOOKUP(J16,TabMutuelle[],2,FALSE)</f>
        <v>30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425.07071606106075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Oui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21" zoomScale="91" zoomScaleNormal="130" workbookViewId="0">
      <selection activeCell="E43" sqref="E43"/>
    </sheetView>
  </sheetViews>
  <sheetFormatPr baseColWidth="10" defaultColWidth="10.777343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85" customWidth="1"/>
    <col min="7" max="7" width="13.5546875" style="185" customWidth="1"/>
    <col min="8" max="63" width="10.77734375" style="185"/>
    <col min="64" max="16384" width="10.77734375" style="44"/>
  </cols>
  <sheetData>
    <row r="1" spans="1:6" ht="49.35" customHeight="1" x14ac:dyDescent="0.3">
      <c r="F1" s="185" t="s">
        <v>10</v>
      </c>
    </row>
    <row r="2" spans="1:6" ht="15" customHeight="1" x14ac:dyDescent="0.3">
      <c r="B2" s="190" t="s">
        <v>42</v>
      </c>
      <c r="C2" s="190"/>
      <c r="D2" s="190"/>
      <c r="E2" s="190"/>
    </row>
    <row r="3" spans="1:6" ht="23.55" customHeight="1" x14ac:dyDescent="0.3">
      <c r="B3" s="191"/>
      <c r="C3" s="191"/>
      <c r="D3" s="191"/>
      <c r="E3" s="191"/>
    </row>
    <row r="4" spans="1:6" ht="25.35" customHeight="1" x14ac:dyDescent="0.3">
      <c r="B4" s="186" t="s">
        <v>43</v>
      </c>
      <c r="C4" s="187"/>
      <c r="D4" s="86"/>
      <c r="E4" s="135" t="s">
        <v>44</v>
      </c>
    </row>
    <row r="5" spans="1:6" x14ac:dyDescent="0.3">
      <c r="B5" s="45" t="s">
        <v>13</v>
      </c>
      <c r="C5" s="192">
        <f>'1. Calcul Avec prov'!J4</f>
        <v>500</v>
      </c>
      <c r="D5" s="192"/>
      <c r="E5" s="87"/>
    </row>
    <row r="6" spans="1:6" x14ac:dyDescent="0.3">
      <c r="B6" s="46" t="s">
        <v>45</v>
      </c>
      <c r="C6" s="193">
        <f>'1. Calcul Avec prov'!J5</f>
        <v>18</v>
      </c>
      <c r="D6" s="193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88">
        <f>'1. Calcul Avec prov'!J7</f>
        <v>0.08</v>
      </c>
      <c r="E9" s="189"/>
    </row>
    <row r="10" spans="1:6" x14ac:dyDescent="0.3">
      <c r="B10" s="94" t="s">
        <v>36</v>
      </c>
      <c r="D10" s="108"/>
      <c r="E10" s="109" t="str">
        <f>'1. Calcul Avec prov'!J23</f>
        <v>Oui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80"/>
      <c r="B13" s="51" t="s">
        <v>32</v>
      </c>
      <c r="C13" s="51"/>
      <c r="D13" s="50"/>
      <c r="E13" s="181" t="str">
        <f>'1. Calcul Avec prov'!J17</f>
        <v>Oui</v>
      </c>
    </row>
    <row r="14" spans="1:6" x14ac:dyDescent="0.3">
      <c r="A14" s="180"/>
      <c r="B14" s="94" t="s">
        <v>49</v>
      </c>
      <c r="C14" s="51"/>
      <c r="D14" s="50"/>
      <c r="E14" s="129">
        <f>'1. Calcul Avec prov'!M17</f>
        <v>30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0</v>
      </c>
    </row>
    <row r="17" spans="1:63" ht="11.55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889.36363636363637</v>
      </c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5"/>
      <c r="AO20" s="185"/>
      <c r="AP20" s="185"/>
      <c r="AQ20" s="185"/>
      <c r="AR20" s="185"/>
      <c r="AS20" s="185"/>
      <c r="AT20" s="185"/>
      <c r="AU20" s="185"/>
      <c r="AV20" s="185"/>
      <c r="AW20" s="185"/>
      <c r="AX20" s="185"/>
      <c r="AY20" s="185"/>
      <c r="AZ20" s="185"/>
      <c r="BA20" s="185"/>
      <c r="BB20" s="185"/>
      <c r="BC20" s="185"/>
      <c r="BD20" s="185"/>
      <c r="BE20" s="185"/>
      <c r="BF20" s="185"/>
      <c r="BG20" s="185"/>
      <c r="BH20" s="185"/>
      <c r="BI20" s="185"/>
      <c r="BJ20" s="185"/>
      <c r="BK20" s="185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7093.636363636364</v>
      </c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4914.9751059268319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 t="e">
        <f>'BS . Avec prov'!G42</f>
        <v>#REF!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3754.9888841123975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1159.9862218144335</v>
      </c>
    </row>
    <row r="28" spans="1:63" x14ac:dyDescent="0.3">
      <c r="A28" s="180"/>
      <c r="B28" s="51" t="s">
        <v>58</v>
      </c>
      <c r="C28" s="95"/>
      <c r="D28" s="133"/>
      <c r="E28" s="137">
        <f>'BS . Avec prov'!E47+'BS . Avec prov'!E48</f>
        <v>198</v>
      </c>
    </row>
    <row r="29" spans="1:63" x14ac:dyDescent="0.3">
      <c r="B29" s="143" t="s">
        <v>59</v>
      </c>
      <c r="C29" s="144"/>
      <c r="D29" s="145"/>
      <c r="E29" s="146">
        <f>E26+E28</f>
        <v>3952.9888841123975</v>
      </c>
    </row>
    <row r="30" spans="1:63" ht="23.1" customHeight="1" x14ac:dyDescent="0.3">
      <c r="A30" s="180"/>
      <c r="B30" s="139" t="s">
        <v>60</v>
      </c>
      <c r="C30" s="140"/>
      <c r="D30" s="134"/>
      <c r="E30" s="141">
        <f>'BS . Avec prov'!E51</f>
        <v>495.71827649820989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0.55044632029331941</v>
      </c>
    </row>
    <row r="33" spans="2:5" ht="9.6" customHeight="1" thickBot="1" x14ac:dyDescent="0.35">
      <c r="B33" s="51"/>
    </row>
    <row r="34" spans="2:5" ht="24" customHeight="1" thickBot="1" x14ac:dyDescent="0.35">
      <c r="B34" s="183" t="s">
        <v>62</v>
      </c>
      <c r="C34" s="184"/>
      <c r="D34" s="184"/>
      <c r="E34" s="184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abSelected="1" zoomScaleNormal="100" workbookViewId="0">
      <selection activeCell="F36" sqref="F36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199" t="s">
        <v>63</v>
      </c>
      <c r="B1" s="200"/>
      <c r="C1" s="200"/>
      <c r="D1" s="200"/>
      <c r="E1" s="200"/>
      <c r="F1" s="200"/>
      <c r="G1" s="200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199" t="s">
        <v>65</v>
      </c>
      <c r="D3" s="200"/>
      <c r="E3" s="200"/>
      <c r="F3" s="200"/>
      <c r="G3" s="201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273.05417255149064</v>
      </c>
      <c r="E5" s="20">
        <f>'1. Calcul Avec prov'!B5</f>
        <v>4914.9751059268319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79.657292252372855</v>
      </c>
      <c r="E7" s="4">
        <f>+C7*D7</f>
        <v>1433.8312605427113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11.820526950280978</v>
      </c>
      <c r="E8" s="4">
        <f>+C8*D8</f>
        <v>212.76948510505761</v>
      </c>
      <c r="F8" s="4"/>
      <c r="G8" s="5"/>
      <c r="H8" s="19"/>
      <c r="W8" s="3" t="s">
        <v>79</v>
      </c>
      <c r="X8" s="4">
        <f>IF($E$10&lt;$X$6,0,$E$10-$X$7)</f>
        <v>1050.975105926831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24.823106595590058</v>
      </c>
      <c r="E9" s="4">
        <f>+C9*D9</f>
        <v>446.81591872062103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273.05417255149058</v>
      </c>
      <c r="E10" s="64">
        <f>SUM(E6:E9)</f>
        <v>4914.975105926831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4914.975105926831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638.94676377048802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4914.975105926831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14.744925317780494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4914.975105926831</v>
      </c>
      <c r="D14" s="69">
        <v>4.0000000000000001E-3</v>
      </c>
      <c r="E14" s="68">
        <f t="shared" si="0"/>
        <v>19.659900423707324</v>
      </c>
      <c r="F14" s="69">
        <v>2.0199999999999999E-2</v>
      </c>
      <c r="G14" s="68">
        <f t="shared" ref="G14:G36" si="1">+C14*F14</f>
        <v>99.282497139721983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4914.975105926831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169.56664115447569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4914.975105926831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22.608885487263422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4914.975105926831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24.574875529634156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4914.975105926831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199.05649179003666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4914.975105926831</v>
      </c>
      <c r="D20" s="69">
        <v>0</v>
      </c>
      <c r="E20" s="68">
        <f>+C20*D20</f>
        <v>0</v>
      </c>
      <c r="F20" s="69">
        <v>2E-3</v>
      </c>
      <c r="G20" s="68">
        <f>+F20*C20</f>
        <v>9.8299502118536619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4" t="s">
        <v>110</v>
      </c>
      <c r="K21" s="195"/>
      <c r="L21" s="194" t="s">
        <v>111</v>
      </c>
      <c r="M21" s="195"/>
    </row>
    <row r="22" spans="1:23" ht="15" x14ac:dyDescent="0.35">
      <c r="A22" s="67" t="s">
        <v>112</v>
      </c>
      <c r="B22" s="67" t="s">
        <v>113</v>
      </c>
      <c r="C22" s="68">
        <f>+C20-C21</f>
        <v>1050.975105926831</v>
      </c>
      <c r="D22" s="69">
        <v>8.6400000000000005E-2</v>
      </c>
      <c r="E22" s="68">
        <f>+C22*D22</f>
        <v>90.804249152078199</v>
      </c>
      <c r="F22" s="69">
        <v>0.1295</v>
      </c>
      <c r="G22" s="68">
        <f>+C22*F22</f>
        <v>136.10127621752463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4914.975105926831</v>
      </c>
      <c r="D23" s="69">
        <v>1.4E-3</v>
      </c>
      <c r="E23" s="68">
        <f>+C23*D23</f>
        <v>6.8809651482975633</v>
      </c>
      <c r="F23" s="69">
        <v>2.0999999999999999E-3</v>
      </c>
      <c r="G23" s="68">
        <f>+C23*F23</f>
        <v>10.321447722446344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1050.975105926831</v>
      </c>
      <c r="D25" s="69">
        <v>1.0800000000000001E-2</v>
      </c>
      <c r="E25" s="68">
        <f>+C25*D25</f>
        <v>11.350531144009775</v>
      </c>
      <c r="F25" s="69">
        <v>1.6199999999999999E-2</v>
      </c>
      <c r="G25" s="68">
        <f>+C25*F25</f>
        <v>17.025796716014661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4914.975105926831</v>
      </c>
      <c r="D26" s="69">
        <v>2.4000000000000001E-4</v>
      </c>
      <c r="E26" s="68">
        <f t="shared" si="0"/>
        <v>1.1795940254224395</v>
      </c>
      <c r="F26" s="69">
        <v>3.6000000000000002E-4</v>
      </c>
      <c r="G26" s="68">
        <f t="shared" si="1"/>
        <v>1.7693910381336593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1050.975105926831</v>
      </c>
      <c r="D28" s="69">
        <v>3.5999999999999999E-3</v>
      </c>
      <c r="E28" s="68">
        <f t="shared" si="0"/>
        <v>3.7835103813365918</v>
      </c>
      <c r="F28" s="69">
        <v>3.5999999999999999E-3</v>
      </c>
      <c r="G28" s="68">
        <f t="shared" si="1"/>
        <v>3.7835103813365918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prov'!J17="Oui",K24,0)</f>
        <v>45</v>
      </c>
    </row>
    <row r="30" spans="1:23" ht="15" x14ac:dyDescent="0.35">
      <c r="A30" s="67" t="s">
        <v>138</v>
      </c>
      <c r="B30" s="67" t="s">
        <v>139</v>
      </c>
      <c r="C30" s="68">
        <f>+E10</f>
        <v>4914.975105926831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0.78639601694829298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4914.975105926831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33.421830720302452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4914.975105926831</v>
      </c>
      <c r="D32" s="69">
        <v>0</v>
      </c>
      <c r="E32" s="68">
        <f>+C32*D32</f>
        <v>0</v>
      </c>
      <c r="F32" s="69">
        <v>1E-4</v>
      </c>
      <c r="G32" s="68">
        <f>+C32*F32</f>
        <v>0.49149751059268315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4914.975105926831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1.9659900423707326</v>
      </c>
    </row>
    <row r="34" spans="1:23" x14ac:dyDescent="0.3">
      <c r="A34" s="67" t="s">
        <v>147</v>
      </c>
      <c r="B34" s="67" t="s">
        <v>148</v>
      </c>
      <c r="C34" s="68">
        <f>+E10</f>
        <v>4914.975105926831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78.639601694829295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4914.975105926831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22.117387976670742</v>
      </c>
      <c r="H35" t="s">
        <v>150</v>
      </c>
    </row>
    <row r="36" spans="1:23" x14ac:dyDescent="0.3">
      <c r="A36" s="67"/>
      <c r="B36" s="67" t="s">
        <v>151</v>
      </c>
      <c r="C36" s="68">
        <f>E10</f>
        <v>4914.975105926831</v>
      </c>
      <c r="D36" s="69">
        <v>0</v>
      </c>
      <c r="E36" s="68">
        <f t="shared" si="2"/>
        <v>0</v>
      </c>
      <c r="F36" s="69" t="e">
        <f>tx_taxe_transport/100</f>
        <v>#REF!</v>
      </c>
      <c r="G36" s="68" t="e">
        <f t="shared" si="1"/>
        <v>#REF!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4904.7945519544483</v>
      </c>
      <c r="D38" s="69">
        <v>2.9000000000000001E-2</v>
      </c>
      <c r="E38" s="68">
        <f>+C38*D38</f>
        <v>142.239042006679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4904.7945519544483</v>
      </c>
      <c r="D39" s="69">
        <v>6.8000000000000005E-2</v>
      </c>
      <c r="E39" s="68">
        <f>+C39*D39</f>
        <v>333.5260295329025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918.74717980775449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142.239042006679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58.943678989690753</v>
      </c>
      <c r="E42" s="76">
        <f>E40+E41</f>
        <v>1060.9862218144335</v>
      </c>
      <c r="F42" s="76" t="e">
        <f>G42/C42</f>
        <v>#REF!</v>
      </c>
      <c r="G42" s="77" t="e">
        <f>SUM(G12:G39)</f>
        <v>#REF!</v>
      </c>
      <c r="H42" s="107" t="e">
        <f>G42/E10</f>
        <v>#REF!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3996.2279261190765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214.11049356179987</v>
      </c>
      <c r="E44" s="23">
        <f>E10-E42</f>
        <v>3853.9888841123975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208.61049356179987</v>
      </c>
      <c r="E46" s="72">
        <f>E10-E42+E45</f>
        <v>3754.9888841123975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0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 t="e">
        <f>E49/C49</f>
        <v>#REF!</v>
      </c>
      <c r="E49" s="23" t="e">
        <f>+E10+G42</f>
        <v>#REF!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3355.3660915004898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27.539904249900548</v>
      </c>
      <c r="E51" s="26">
        <f>E52-E46</f>
        <v>495.71827649820989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236.1503978117004</v>
      </c>
      <c r="E52" s="41">
        <f>'2. Calcul Sans prov'!B9</f>
        <v>4250.7071606106074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247.1503978117004</v>
      </c>
      <c r="E53" s="41">
        <f>E52+E47+E48</f>
        <v>4448.7071606106074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0.2158680764293231</v>
      </c>
      <c r="G55" s="1"/>
      <c r="K55" t="s">
        <v>174</v>
      </c>
    </row>
    <row r="56" spans="1:23" x14ac:dyDescent="0.3">
      <c r="B56" t="s">
        <v>175</v>
      </c>
      <c r="C56" s="11" t="e">
        <f>+G42/E10</f>
        <v>#REF!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49.430079562340083</v>
      </c>
    </row>
    <row r="61" spans="1:23" ht="15" thickBot="1" x14ac:dyDescent="0.35"/>
    <row r="62" spans="1:23" ht="31.5" customHeight="1" thickBot="1" x14ac:dyDescent="0.35">
      <c r="B62" s="196" t="s">
        <v>176</v>
      </c>
      <c r="C62" s="197"/>
      <c r="D62" s="197"/>
      <c r="E62" s="198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26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55" customHeight="1" x14ac:dyDescent="0.3">
      <c r="A1" s="199" t="s">
        <v>63</v>
      </c>
      <c r="B1" s="200"/>
      <c r="C1" s="200"/>
      <c r="D1" s="200"/>
      <c r="E1" s="200"/>
      <c r="F1" s="200"/>
      <c r="G1" s="200"/>
    </row>
    <row r="2" spans="1:24" x14ac:dyDescent="0.3">
      <c r="A2" t="s">
        <v>64</v>
      </c>
      <c r="B2" s="105">
        <v>11.65</v>
      </c>
      <c r="G2" s="1"/>
    </row>
    <row r="3" spans="1:24" ht="14.55" customHeight="1" x14ac:dyDescent="0.3">
      <c r="C3" s="199" t="s">
        <v>65</v>
      </c>
      <c r="D3" s="200"/>
      <c r="E3" s="200"/>
      <c r="F3" s="200"/>
      <c r="G3" s="201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55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55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55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55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55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2" t="s">
        <v>181</v>
      </c>
      <c r="M25" s="203"/>
      <c r="N25" s="204"/>
      <c r="O25" s="202" t="s">
        <v>182</v>
      </c>
      <c r="P25" s="203"/>
      <c r="Q25" s="204"/>
      <c r="R25" s="202" t="s">
        <v>183</v>
      </c>
      <c r="S25" s="203"/>
      <c r="T25" s="204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5" t="s">
        <v>185</v>
      </c>
      <c r="K26" s="206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07" t="s">
        <v>189</v>
      </c>
      <c r="K27" s="208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09"/>
      <c r="K28" s="210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30</v>
      </c>
      <c r="F29" s="69"/>
      <c r="G29" s="68">
        <f>IF('1. Calcul Avec prov'!J17="Oui",45,0)</f>
        <v>45</v>
      </c>
      <c r="I29" s="13" t="s">
        <v>129</v>
      </c>
      <c r="J29" s="211"/>
      <c r="K29" s="212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 t="e">
        <f>tx_taxe_transport/100</f>
        <v>#REF!</v>
      </c>
      <c r="G36" s="68" t="e">
        <f t="shared" ref="G36" si="3">+C36*F36</f>
        <v>#REF!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5517.431107376774</v>
      </c>
      <c r="D38" s="69">
        <v>2.9000000000000001E-2</v>
      </c>
      <c r="E38" s="68">
        <f>+C38*D38</f>
        <v>160.00550211392644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5517.431107376774</v>
      </c>
      <c r="D39" s="69">
        <v>6.8000000000000005E-2</v>
      </c>
      <c r="E39" s="68">
        <f>+C39*D39</f>
        <v>375.18531530162068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1026.5346827543981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160.00550211392644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1186.5401848683246</v>
      </c>
      <c r="F42" s="21"/>
      <c r="G42" s="20" t="e">
        <f>SUM(G12:G39)</f>
        <v>#REF!</v>
      </c>
      <c r="H42" s="107" t="e">
        <f>G42/E10</f>
        <v>#REF!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4509.7126627245334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4250.7071606106074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4250.7071606106074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 t="e">
        <f>+E10+G42</f>
        <v>#REF!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3825.6364445495465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0.21432210499722154</v>
      </c>
      <c r="G49" s="1"/>
    </row>
    <row r="50" spans="2:11" x14ac:dyDescent="0.3">
      <c r="B50" t="s">
        <v>175</v>
      </c>
      <c r="C50" s="11" t="e">
        <f>+G42/E10</f>
        <v>#REF!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  <ds:schemaRef ds:uri="192e136c-2db4-4e41-b56f-7cfc7944e161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HOW TO USE</vt:lpstr>
      <vt:lpstr>CALCULS</vt:lpstr>
      <vt:lpstr>1. Calcul Avec prov (2)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'1. Calcul Avec prov (2)'!tx_taxe_transport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2025-03-04T10:41:31Z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