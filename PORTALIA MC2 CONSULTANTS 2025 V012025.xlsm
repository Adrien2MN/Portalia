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2.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user\Documents\ESILV_année_4\PI2_3\Portalia\"/>
    </mc:Choice>
  </mc:AlternateContent>
  <xr:revisionPtr revIDLastSave="0" documentId="13_ncr:1_{1B699227-C8B0-4190-95DF-3DF97BCB9DF8}" xr6:coauthVersionLast="47" xr6:coauthVersionMax="47" xr10:uidLastSave="{00000000-0000-0000-0000-000000000000}"/>
  <bookViews>
    <workbookView xWindow="1032" yWindow="2124" windowWidth="17112" windowHeight="9876" tabRatio="798" firstSheet="1" activeTab="3" xr2:uid="{00000000-000D-0000-FFFF-FFFF00000000}"/>
  </bookViews>
  <sheets>
    <sheet name="HOW TO USE" sheetId="7" r:id="rId1"/>
    <sheet name="1. Calcul Avec prov" sheetId="1" r:id="rId2"/>
    <sheet name="2. Calcul Sans prov" sheetId="3" r:id="rId3"/>
    <sheet name="3. Template" sheetId="6" r:id="rId4"/>
    <sheet name="Glossaire" sheetId="12" r:id="rId5"/>
    <sheet name="BS . Avec prov" sheetId="2" r:id="rId6"/>
    <sheet name="BS . Sans prov" sheetId="4" r:id="rId7"/>
    <sheet name="tauxTransport 2025" sheetId="11" r:id="rId8"/>
  </sheets>
  <definedNames>
    <definedName name="_xlnm._FilterDatabase" localSheetId="7" hidden="1">'tauxTransport 2025'!$A$5:$ES$12849</definedName>
    <definedName name="PLA">'3. Template'!#REF!</definedName>
    <definedName name="t_corresp_com">#REF!</definedName>
    <definedName name="tx_taxe_transport">'1. Calcul Avec prov'!$M$27</definedName>
    <definedName name="_xlnm.Print_Area" localSheetId="3">'3. Template'!$A$1:$E$44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 l="1"/>
  <c r="E15" i="6"/>
  <c r="C3" i="6"/>
  <c r="C2" i="6"/>
  <c r="J21" i="1"/>
  <c r="G29" i="4"/>
  <c r="V9" i="4"/>
  <c r="X9" i="2"/>
  <c r="D6" i="4"/>
  <c r="D6" i="2"/>
  <c r="F12849" i="11"/>
  <c r="F12848" i="11"/>
  <c r="F12847" i="11"/>
  <c r="F12846" i="11"/>
  <c r="F12845" i="11"/>
  <c r="F12844" i="11"/>
  <c r="F12843" i="11"/>
  <c r="F12842" i="11"/>
  <c r="F12841" i="11"/>
  <c r="F12840" i="11"/>
  <c r="F12839" i="11"/>
  <c r="F12838" i="11"/>
  <c r="F12837" i="11"/>
  <c r="F12836" i="11"/>
  <c r="F12835" i="11"/>
  <c r="F12834" i="11"/>
  <c r="F12833" i="11"/>
  <c r="F12832" i="11"/>
  <c r="F12831" i="11"/>
  <c r="F12830" i="11"/>
  <c r="F12829" i="11"/>
  <c r="F12828" i="11"/>
  <c r="F12827" i="11"/>
  <c r="F12826" i="11"/>
  <c r="F12825" i="11"/>
  <c r="F12824" i="11"/>
  <c r="F12823" i="11"/>
  <c r="F12822" i="11"/>
  <c r="F12821" i="11"/>
  <c r="F12820" i="11"/>
  <c r="F12819" i="11"/>
  <c r="F12818" i="11"/>
  <c r="F12817" i="11"/>
  <c r="F12816" i="11"/>
  <c r="F12815" i="11"/>
  <c r="F12814" i="11"/>
  <c r="F12813" i="11"/>
  <c r="F12812" i="11"/>
  <c r="F12811" i="11"/>
  <c r="F12810" i="11"/>
  <c r="F12809" i="11"/>
  <c r="F12808" i="11"/>
  <c r="F12807" i="11"/>
  <c r="F12806" i="11"/>
  <c r="F12805" i="11"/>
  <c r="F12804" i="11"/>
  <c r="F12803" i="11"/>
  <c r="F12802" i="11"/>
  <c r="F12801" i="11"/>
  <c r="F12800" i="11"/>
  <c r="F12799" i="11"/>
  <c r="F12798" i="11"/>
  <c r="F12797" i="11"/>
  <c r="F12796" i="11"/>
  <c r="F12795" i="11"/>
  <c r="F12794" i="11"/>
  <c r="F12793" i="11"/>
  <c r="F12792" i="11"/>
  <c r="F12791" i="11"/>
  <c r="F12790" i="11"/>
  <c r="F12789" i="11"/>
  <c r="F12788" i="11"/>
  <c r="F12787" i="11"/>
  <c r="F12786" i="11"/>
  <c r="F12785" i="11"/>
  <c r="F12784" i="11"/>
  <c r="F12783" i="11"/>
  <c r="F12782" i="11"/>
  <c r="F12781" i="11"/>
  <c r="F12780" i="11"/>
  <c r="F12779" i="11"/>
  <c r="F12778" i="11"/>
  <c r="F12777" i="11"/>
  <c r="F12776" i="11"/>
  <c r="F12775" i="11"/>
  <c r="F12774" i="11"/>
  <c r="F12773" i="11"/>
  <c r="F12772" i="11"/>
  <c r="F12771" i="11"/>
  <c r="F12770" i="11"/>
  <c r="F12769" i="11"/>
  <c r="F12768" i="11"/>
  <c r="F12767" i="11"/>
  <c r="F12766" i="11"/>
  <c r="F12765" i="11"/>
  <c r="F12764" i="11"/>
  <c r="F12763" i="11"/>
  <c r="F12762" i="11"/>
  <c r="F12761" i="11"/>
  <c r="F12760" i="11"/>
  <c r="F12759" i="11"/>
  <c r="F12758" i="11"/>
  <c r="F12757" i="11"/>
  <c r="F12756" i="11"/>
  <c r="F12755" i="11"/>
  <c r="F12754" i="11"/>
  <c r="F12753" i="11"/>
  <c r="F12752" i="11"/>
  <c r="F12751" i="11"/>
  <c r="F12750" i="11"/>
  <c r="F12749" i="11"/>
  <c r="F12748" i="11"/>
  <c r="F12747" i="11"/>
  <c r="F12746" i="11"/>
  <c r="F12745" i="11"/>
  <c r="F12744" i="11"/>
  <c r="F12743" i="11"/>
  <c r="F12742" i="11"/>
  <c r="F12741" i="11"/>
  <c r="F12740" i="11"/>
  <c r="F12739" i="11"/>
  <c r="F12738" i="11"/>
  <c r="F12737" i="11"/>
  <c r="F12736" i="11"/>
  <c r="F12735" i="11"/>
  <c r="F12734" i="11"/>
  <c r="F12733" i="11"/>
  <c r="F12732" i="11"/>
  <c r="F12731" i="11"/>
  <c r="F12730" i="11"/>
  <c r="F12729" i="11"/>
  <c r="F12728" i="11"/>
  <c r="F12727" i="11"/>
  <c r="F12726" i="11"/>
  <c r="F12725" i="11"/>
  <c r="F12724" i="11"/>
  <c r="F12723" i="11"/>
  <c r="F12722" i="11"/>
  <c r="F12721" i="11"/>
  <c r="F12720" i="11"/>
  <c r="F12719" i="11"/>
  <c r="F12718" i="11"/>
  <c r="F12717" i="11"/>
  <c r="F12716" i="11"/>
  <c r="F12715" i="11"/>
  <c r="F12714" i="11"/>
  <c r="F12713" i="11"/>
  <c r="F12712" i="11"/>
  <c r="F12711" i="11"/>
  <c r="F12710" i="11"/>
  <c r="F12709" i="11"/>
  <c r="F12708" i="11"/>
  <c r="F12707" i="11"/>
  <c r="F12706" i="11"/>
  <c r="F12705" i="11"/>
  <c r="F12704" i="11"/>
  <c r="F12703" i="11"/>
  <c r="F12702" i="11"/>
  <c r="F12701" i="11"/>
  <c r="F12700" i="11"/>
  <c r="F12699" i="11"/>
  <c r="F12698" i="11"/>
  <c r="F12697" i="11"/>
  <c r="F12696" i="11"/>
  <c r="F12695" i="11"/>
  <c r="F12694" i="11"/>
  <c r="F12693" i="11"/>
  <c r="F12692" i="11"/>
  <c r="F12691" i="11"/>
  <c r="F12690" i="11"/>
  <c r="F12689" i="11"/>
  <c r="F12688" i="11"/>
  <c r="F12687" i="11"/>
  <c r="F12686" i="11"/>
  <c r="F12685" i="11"/>
  <c r="F12684" i="11"/>
  <c r="F12683" i="11"/>
  <c r="F12682" i="11"/>
  <c r="F12681" i="11"/>
  <c r="F12680" i="11"/>
  <c r="F12679" i="11"/>
  <c r="F12678" i="11"/>
  <c r="F12677" i="11"/>
  <c r="F12676" i="11"/>
  <c r="F12675" i="11"/>
  <c r="F12674" i="11"/>
  <c r="F12673" i="11"/>
  <c r="F12672" i="11"/>
  <c r="F12671" i="11"/>
  <c r="F12670" i="11"/>
  <c r="F12669" i="11"/>
  <c r="F12668" i="11"/>
  <c r="F12667" i="11"/>
  <c r="F12666" i="11"/>
  <c r="F12665" i="11"/>
  <c r="F12664" i="11"/>
  <c r="F12663" i="11"/>
  <c r="F12662" i="11"/>
  <c r="F12661" i="11"/>
  <c r="F12660" i="11"/>
  <c r="F12659" i="11"/>
  <c r="F12658" i="11"/>
  <c r="F12657" i="11"/>
  <c r="F12656" i="11"/>
  <c r="F12655" i="11"/>
  <c r="F12654" i="11"/>
  <c r="F12653" i="11"/>
  <c r="F12652" i="11"/>
  <c r="F12651" i="11"/>
  <c r="F12650" i="11"/>
  <c r="F12649" i="11"/>
  <c r="F12648" i="11"/>
  <c r="F12647" i="11"/>
  <c r="F12646" i="11"/>
  <c r="F12645" i="11"/>
  <c r="F12644" i="11"/>
  <c r="F12643" i="11"/>
  <c r="F12642" i="11"/>
  <c r="F12641" i="11"/>
  <c r="F12640" i="11"/>
  <c r="F12639" i="11"/>
  <c r="F12638" i="11"/>
  <c r="F12637" i="11"/>
  <c r="F12636" i="11"/>
  <c r="F12635" i="11"/>
  <c r="F12634" i="11"/>
  <c r="F12633" i="11"/>
  <c r="F12632" i="11"/>
  <c r="F12631" i="11"/>
  <c r="F12630" i="11"/>
  <c r="F12629" i="11"/>
  <c r="F12628" i="11"/>
  <c r="F12627" i="11"/>
  <c r="F12626" i="11"/>
  <c r="F12625" i="11"/>
  <c r="F12624" i="11"/>
  <c r="F12623" i="11"/>
  <c r="F12622" i="11"/>
  <c r="F12621" i="11"/>
  <c r="F12620" i="11"/>
  <c r="F12619" i="11"/>
  <c r="F12618" i="11"/>
  <c r="F12617" i="11"/>
  <c r="F12616" i="11"/>
  <c r="F12615" i="11"/>
  <c r="F12614" i="11"/>
  <c r="F12613" i="11"/>
  <c r="F12612" i="11"/>
  <c r="F12611" i="11"/>
  <c r="F12610" i="11"/>
  <c r="F12609" i="11"/>
  <c r="F12608" i="11"/>
  <c r="F12607" i="11"/>
  <c r="F12606" i="11"/>
  <c r="F12605" i="11"/>
  <c r="F12604" i="11"/>
  <c r="F12603" i="11"/>
  <c r="F12602" i="11"/>
  <c r="F12601" i="11"/>
  <c r="F12600" i="11"/>
  <c r="F12599" i="11"/>
  <c r="F12598" i="11"/>
  <c r="F12597" i="11"/>
  <c r="F12596" i="11"/>
  <c r="F12595" i="11"/>
  <c r="F12594" i="11"/>
  <c r="F12593" i="11"/>
  <c r="F12592" i="11"/>
  <c r="F12591" i="11"/>
  <c r="F12590" i="11"/>
  <c r="F12589" i="11"/>
  <c r="F12588" i="11"/>
  <c r="F12587" i="11"/>
  <c r="F12586" i="11"/>
  <c r="F12585" i="11"/>
  <c r="F12584" i="11"/>
  <c r="F12583" i="11"/>
  <c r="F12582" i="11"/>
  <c r="F12581" i="11"/>
  <c r="F12580" i="11"/>
  <c r="F12579" i="11"/>
  <c r="F12578" i="11"/>
  <c r="F12577" i="11"/>
  <c r="F12576" i="11"/>
  <c r="F12575" i="11"/>
  <c r="F12574" i="11"/>
  <c r="F12573" i="11"/>
  <c r="F12572" i="11"/>
  <c r="F12571" i="11"/>
  <c r="F12570" i="11"/>
  <c r="F12569" i="11"/>
  <c r="F12568" i="11"/>
  <c r="F12567" i="11"/>
  <c r="F12566" i="11"/>
  <c r="F12565" i="11"/>
  <c r="F12564" i="11"/>
  <c r="F12563" i="11"/>
  <c r="F12562" i="11"/>
  <c r="F12561" i="11"/>
  <c r="F12560" i="11"/>
  <c r="F12559" i="11"/>
  <c r="F12558" i="11"/>
  <c r="F12557" i="11"/>
  <c r="F12556" i="11"/>
  <c r="F12555" i="11"/>
  <c r="F12554" i="11"/>
  <c r="F12553" i="11"/>
  <c r="F12552" i="11"/>
  <c r="F12551" i="11"/>
  <c r="F12550" i="11"/>
  <c r="F12549" i="11"/>
  <c r="F12548" i="11"/>
  <c r="F12547" i="11"/>
  <c r="F12546" i="11"/>
  <c r="F12545" i="11"/>
  <c r="F12544" i="11"/>
  <c r="F12543" i="11"/>
  <c r="F12542" i="11"/>
  <c r="F12541" i="11"/>
  <c r="F12540" i="11"/>
  <c r="H12540" i="11" s="1"/>
  <c r="F12539" i="11"/>
  <c r="H12539" i="11" s="1"/>
  <c r="F12538" i="11"/>
  <c r="H12538" i="11" s="1"/>
  <c r="F12537" i="11"/>
  <c r="H12537" i="11" s="1"/>
  <c r="F12536" i="11"/>
  <c r="H12536" i="11" s="1"/>
  <c r="F12535" i="11"/>
  <c r="H12535" i="11" s="1"/>
  <c r="F12534" i="11"/>
  <c r="H12534" i="11" s="1"/>
  <c r="F12533" i="11"/>
  <c r="H12533" i="11" s="1"/>
  <c r="F12532" i="11"/>
  <c r="H12532" i="11" s="1"/>
  <c r="F12531" i="11"/>
  <c r="H12531" i="11" s="1"/>
  <c r="F12530" i="11"/>
  <c r="H12530" i="11" s="1"/>
  <c r="H12529" i="11"/>
  <c r="F12529" i="11"/>
  <c r="F12528" i="11"/>
  <c r="H12528" i="11" s="1"/>
  <c r="F12527" i="11"/>
  <c r="H12527" i="11" s="1"/>
  <c r="F12526" i="11"/>
  <c r="H12526" i="11" s="1"/>
  <c r="F12525" i="11"/>
  <c r="H12525" i="11" s="1"/>
  <c r="F12524" i="11"/>
  <c r="H12524" i="11" s="1"/>
  <c r="F12523" i="11"/>
  <c r="H12523" i="11" s="1"/>
  <c r="H12522" i="11"/>
  <c r="F12522" i="11"/>
  <c r="H12521" i="11"/>
  <c r="F12521" i="11"/>
  <c r="F12520" i="11"/>
  <c r="H12520" i="11" s="1"/>
  <c r="F12519" i="11"/>
  <c r="H12519" i="11" s="1"/>
  <c r="F12518" i="11"/>
  <c r="H12518" i="11" s="1"/>
  <c r="F12517" i="11"/>
  <c r="H12517" i="11" s="1"/>
  <c r="F12516" i="11"/>
  <c r="H12516" i="11" s="1"/>
  <c r="H12515" i="11"/>
  <c r="F12515" i="11"/>
  <c r="F12514" i="11"/>
  <c r="H12514" i="11" s="1"/>
  <c r="H12513" i="11"/>
  <c r="F12513" i="11"/>
  <c r="F12512" i="11"/>
  <c r="H12512" i="11" s="1"/>
  <c r="F12511" i="11"/>
  <c r="H12511" i="11" s="1"/>
  <c r="H12510" i="11"/>
  <c r="F12510" i="11"/>
  <c r="F12509" i="11"/>
  <c r="H12509" i="11" s="1"/>
  <c r="F12508" i="11"/>
  <c r="H12508" i="11" s="1"/>
  <c r="F12507" i="11"/>
  <c r="H12507" i="11" s="1"/>
  <c r="F12506" i="11"/>
  <c r="H12506" i="11" s="1"/>
  <c r="F12505" i="11"/>
  <c r="H12505" i="11" s="1"/>
  <c r="F12504" i="11"/>
  <c r="H12504" i="11" s="1"/>
  <c r="F12503" i="11"/>
  <c r="H12503" i="11" s="1"/>
  <c r="F12502" i="11"/>
  <c r="H12502" i="11" s="1"/>
  <c r="F12501" i="11"/>
  <c r="H12501" i="11" s="1"/>
  <c r="F12500" i="11"/>
  <c r="H12500" i="11" s="1"/>
  <c r="F12499" i="11"/>
  <c r="H12499" i="11" s="1"/>
  <c r="F12498" i="11"/>
  <c r="H12498" i="11" s="1"/>
  <c r="F12497" i="11"/>
  <c r="H12497" i="11" s="1"/>
  <c r="F12496" i="11"/>
  <c r="H12496" i="11" s="1"/>
  <c r="F12495" i="11"/>
  <c r="H12495" i="11" s="1"/>
  <c r="F12494" i="11"/>
  <c r="H12494" i="11" s="1"/>
  <c r="F12493" i="11"/>
  <c r="H12493" i="11" s="1"/>
  <c r="F12492" i="11"/>
  <c r="H12492" i="11" s="1"/>
  <c r="F12491" i="11"/>
  <c r="H12491" i="11" s="1"/>
  <c r="F12490" i="11"/>
  <c r="H12490" i="11" s="1"/>
  <c r="F12489" i="11"/>
  <c r="H12489" i="11" s="1"/>
  <c r="F12488" i="11"/>
  <c r="H12488" i="11" s="1"/>
  <c r="F12487" i="11"/>
  <c r="H12487" i="11" s="1"/>
  <c r="F12486" i="11"/>
  <c r="H12486" i="11" s="1"/>
  <c r="F12485" i="11"/>
  <c r="H12485" i="11" s="1"/>
  <c r="H12484" i="11"/>
  <c r="F12484" i="11"/>
  <c r="F12483" i="11"/>
  <c r="H12483" i="11" s="1"/>
  <c r="F12482" i="11"/>
  <c r="H12482" i="11" s="1"/>
  <c r="F12481" i="11"/>
  <c r="H12481" i="11" s="1"/>
  <c r="H12480" i="11"/>
  <c r="F12480" i="11"/>
  <c r="F12479" i="11"/>
  <c r="H12479" i="11" s="1"/>
  <c r="F12478" i="11"/>
  <c r="H12478" i="11" s="1"/>
  <c r="F12477" i="11"/>
  <c r="H12477" i="11" s="1"/>
  <c r="F12476" i="11"/>
  <c r="H12476" i="11" s="1"/>
  <c r="F12475" i="11"/>
  <c r="H12475" i="11" s="1"/>
  <c r="F12474" i="11"/>
  <c r="H12474" i="11" s="1"/>
  <c r="F12473" i="11"/>
  <c r="H12473" i="11" s="1"/>
  <c r="F12472" i="11"/>
  <c r="H12472" i="11" s="1"/>
  <c r="F12471" i="11"/>
  <c r="H12471" i="11" s="1"/>
  <c r="H12470" i="11"/>
  <c r="F12470" i="11"/>
  <c r="F12469" i="11"/>
  <c r="H12469" i="11" s="1"/>
  <c r="F12468" i="11"/>
  <c r="H12468" i="11" s="1"/>
  <c r="F12467" i="11"/>
  <c r="H12467" i="11" s="1"/>
  <c r="H12466" i="11"/>
  <c r="F12466" i="11"/>
  <c r="F12465" i="11"/>
  <c r="H12465" i="11" s="1"/>
  <c r="F12464" i="11"/>
  <c r="H12464" i="11" s="1"/>
  <c r="F12463" i="11"/>
  <c r="H12463" i="11" s="1"/>
  <c r="F12462" i="11"/>
  <c r="H12462" i="11" s="1"/>
  <c r="F12461" i="11"/>
  <c r="H12461" i="11" s="1"/>
  <c r="F12460" i="11"/>
  <c r="H12460" i="11" s="1"/>
  <c r="F12459" i="11"/>
  <c r="H12459" i="11" s="1"/>
  <c r="F12458" i="11"/>
  <c r="H12458" i="11" s="1"/>
  <c r="F12457" i="11"/>
  <c r="H12457" i="11" s="1"/>
  <c r="F12456" i="11"/>
  <c r="H12456" i="11" s="1"/>
  <c r="F12455" i="11"/>
  <c r="H12455" i="11" s="1"/>
  <c r="F12454" i="11"/>
  <c r="H12454" i="11" s="1"/>
  <c r="F12453" i="11"/>
  <c r="H12453" i="11" s="1"/>
  <c r="F12452" i="11"/>
  <c r="H12452" i="11" s="1"/>
  <c r="F12451" i="11"/>
  <c r="H12451" i="11" s="1"/>
  <c r="F12450" i="11"/>
  <c r="H12450" i="11" s="1"/>
  <c r="H12449" i="11"/>
  <c r="F12449" i="11"/>
  <c r="F12448" i="11"/>
  <c r="H12448" i="11" s="1"/>
  <c r="F12447" i="11"/>
  <c r="H12447" i="11" s="1"/>
  <c r="F12446" i="11"/>
  <c r="H12446" i="11" s="1"/>
  <c r="F12445" i="11"/>
  <c r="H12445" i="11" s="1"/>
  <c r="F12444" i="11"/>
  <c r="H12444" i="11" s="1"/>
  <c r="F12443" i="11"/>
  <c r="H12443" i="11" s="1"/>
  <c r="F12442" i="11"/>
  <c r="H12442" i="11" s="1"/>
  <c r="F12441" i="11"/>
  <c r="H12441" i="11" s="1"/>
  <c r="F12440" i="11"/>
  <c r="H12440" i="11" s="1"/>
  <c r="F12439" i="11"/>
  <c r="H12439" i="11" s="1"/>
  <c r="F12438" i="11"/>
  <c r="H12438" i="11" s="1"/>
  <c r="F12437" i="11"/>
  <c r="H12437" i="11" s="1"/>
  <c r="F12436" i="11"/>
  <c r="H12436" i="11" s="1"/>
  <c r="F12435" i="11"/>
  <c r="H12435" i="11" s="1"/>
  <c r="F12434" i="11"/>
  <c r="H12434" i="11" s="1"/>
  <c r="F12433" i="11"/>
  <c r="H12433" i="11" s="1"/>
  <c r="F12432" i="11"/>
  <c r="H12432" i="11" s="1"/>
  <c r="F12431" i="11"/>
  <c r="H12431" i="11" s="1"/>
  <c r="F12430" i="11"/>
  <c r="H12430" i="11" s="1"/>
  <c r="F12429" i="11"/>
  <c r="H12429" i="11" s="1"/>
  <c r="F12428" i="11"/>
  <c r="H12428" i="11" s="1"/>
  <c r="F12427" i="11"/>
  <c r="H12427" i="11" s="1"/>
  <c r="F12426" i="11"/>
  <c r="H12426" i="11" s="1"/>
  <c r="F12425" i="11"/>
  <c r="H12425" i="11" s="1"/>
  <c r="F12424" i="11"/>
  <c r="H12424" i="11" s="1"/>
  <c r="F12423" i="11"/>
  <c r="H12423" i="11" s="1"/>
  <c r="F12422" i="11"/>
  <c r="H12422" i="11" s="1"/>
  <c r="F12421" i="11"/>
  <c r="H12421" i="11" s="1"/>
  <c r="F12420" i="11"/>
  <c r="H12420" i="11" s="1"/>
  <c r="F12419" i="11"/>
  <c r="H12419" i="11" s="1"/>
  <c r="F12418" i="11"/>
  <c r="H12418" i="11" s="1"/>
  <c r="F12417" i="11"/>
  <c r="H12417" i="11" s="1"/>
  <c r="F12416" i="11"/>
  <c r="H12416" i="11" s="1"/>
  <c r="F12415" i="11"/>
  <c r="H12415" i="11" s="1"/>
  <c r="F12414" i="11"/>
  <c r="H12414" i="11" s="1"/>
  <c r="F12413" i="11"/>
  <c r="H12413" i="11" s="1"/>
  <c r="F12412" i="11"/>
  <c r="H12412" i="11" s="1"/>
  <c r="F12411" i="11"/>
  <c r="H12411" i="11" s="1"/>
  <c r="F12410" i="11"/>
  <c r="H12410" i="11" s="1"/>
  <c r="F12409" i="11"/>
  <c r="H12409" i="11" s="1"/>
  <c r="F12408" i="11"/>
  <c r="H12408" i="11" s="1"/>
  <c r="F12407" i="11"/>
  <c r="H12407" i="11" s="1"/>
  <c r="F12406" i="11"/>
  <c r="H12406" i="11" s="1"/>
  <c r="F12405" i="11"/>
  <c r="H12405" i="11" s="1"/>
  <c r="F12404" i="11"/>
  <c r="H12404" i="11" s="1"/>
  <c r="F12403" i="11"/>
  <c r="H12403" i="11" s="1"/>
  <c r="F12402" i="11"/>
  <c r="H12402" i="11" s="1"/>
  <c r="F12401" i="11"/>
  <c r="H12401" i="11" s="1"/>
  <c r="F12400" i="11"/>
  <c r="H12400" i="11" s="1"/>
  <c r="F12399" i="11"/>
  <c r="H12399" i="11" s="1"/>
  <c r="F12398" i="11"/>
  <c r="H12398" i="11" s="1"/>
  <c r="F12397" i="11"/>
  <c r="H12397" i="11" s="1"/>
  <c r="F12396" i="11"/>
  <c r="H12396" i="11" s="1"/>
  <c r="F12395" i="11"/>
  <c r="H12395" i="11" s="1"/>
  <c r="F12394" i="11"/>
  <c r="H12394" i="11" s="1"/>
  <c r="F12393" i="11"/>
  <c r="H12393" i="11" s="1"/>
  <c r="F12392" i="11"/>
  <c r="H12392" i="11" s="1"/>
  <c r="F12391" i="11"/>
  <c r="H12391" i="11" s="1"/>
  <c r="F12390" i="11"/>
  <c r="H12390" i="11" s="1"/>
  <c r="F12389" i="11"/>
  <c r="H12389" i="11" s="1"/>
  <c r="F12388" i="11"/>
  <c r="H12388" i="11" s="1"/>
  <c r="F12387" i="11"/>
  <c r="H12387" i="11" s="1"/>
  <c r="F12386" i="11"/>
  <c r="H12386" i="11" s="1"/>
  <c r="F12385" i="11"/>
  <c r="H12385" i="11" s="1"/>
  <c r="F12384" i="11"/>
  <c r="H12384" i="11" s="1"/>
  <c r="F12383" i="11"/>
  <c r="H12383" i="11" s="1"/>
  <c r="F12382" i="11"/>
  <c r="H12382" i="11" s="1"/>
  <c r="F12381" i="11"/>
  <c r="H12381" i="11" s="1"/>
  <c r="F12380" i="11"/>
  <c r="H12380" i="11" s="1"/>
  <c r="F12379" i="11"/>
  <c r="H12379" i="11" s="1"/>
  <c r="F12378" i="11"/>
  <c r="H12378" i="11" s="1"/>
  <c r="F12377" i="11"/>
  <c r="H12377" i="11" s="1"/>
  <c r="F12376" i="11"/>
  <c r="H12376" i="11" s="1"/>
  <c r="F12375" i="11"/>
  <c r="H12375" i="11" s="1"/>
  <c r="F12374" i="11"/>
  <c r="H12374" i="11" s="1"/>
  <c r="F12373" i="11"/>
  <c r="H12373" i="11" s="1"/>
  <c r="F12372" i="11"/>
  <c r="H12372" i="11" s="1"/>
  <c r="F12371" i="11"/>
  <c r="H12371" i="11" s="1"/>
  <c r="F12370" i="11"/>
  <c r="H12370" i="11" s="1"/>
  <c r="F12369" i="11"/>
  <c r="H12369" i="11" s="1"/>
  <c r="F12368" i="11"/>
  <c r="H12368" i="11" s="1"/>
  <c r="F12367" i="11"/>
  <c r="H12367" i="11" s="1"/>
  <c r="F12366" i="11"/>
  <c r="H12366" i="11" s="1"/>
  <c r="F12365" i="11"/>
  <c r="H12365" i="11" s="1"/>
  <c r="F12364" i="11"/>
  <c r="H12364" i="11" s="1"/>
  <c r="F12363" i="11"/>
  <c r="H12363" i="11" s="1"/>
  <c r="F12362" i="11"/>
  <c r="H12362" i="11" s="1"/>
  <c r="F12361" i="11"/>
  <c r="H12361" i="11" s="1"/>
  <c r="F12360" i="11"/>
  <c r="H12360" i="11" s="1"/>
  <c r="F12359" i="11"/>
  <c r="H12359" i="11" s="1"/>
  <c r="F12358" i="11"/>
  <c r="H12358" i="11" s="1"/>
  <c r="F12357" i="11"/>
  <c r="H12357" i="11" s="1"/>
  <c r="F12356" i="11"/>
  <c r="H12356" i="11" s="1"/>
  <c r="F12355" i="11"/>
  <c r="H12355" i="11" s="1"/>
  <c r="F12354" i="11"/>
  <c r="H12354" i="11" s="1"/>
  <c r="F12353" i="11"/>
  <c r="H12353" i="11" s="1"/>
  <c r="F12352" i="11"/>
  <c r="H12352" i="11" s="1"/>
  <c r="F12351" i="11"/>
  <c r="H12351" i="11" s="1"/>
  <c r="F12350" i="11"/>
  <c r="H12350" i="11" s="1"/>
  <c r="F12349" i="11"/>
  <c r="H12349" i="11" s="1"/>
  <c r="F12348" i="11"/>
  <c r="H12348" i="11" s="1"/>
  <c r="F12347" i="11"/>
  <c r="H12347" i="11" s="1"/>
  <c r="H12346" i="11"/>
  <c r="F12346" i="11"/>
  <c r="F12345" i="11"/>
  <c r="H12345" i="11" s="1"/>
  <c r="F12344" i="11"/>
  <c r="H12344" i="11" s="1"/>
  <c r="F12343" i="11"/>
  <c r="H12343" i="11" s="1"/>
  <c r="F12342" i="11"/>
  <c r="H12342" i="11" s="1"/>
  <c r="F12341" i="11"/>
  <c r="H12341" i="11" s="1"/>
  <c r="F12340" i="11"/>
  <c r="H12340" i="11" s="1"/>
  <c r="F12339" i="11"/>
  <c r="H12339" i="11" s="1"/>
  <c r="F12338" i="11"/>
  <c r="H12338" i="11" s="1"/>
  <c r="F12337" i="11"/>
  <c r="H12337" i="11" s="1"/>
  <c r="F12336" i="11"/>
  <c r="H12336" i="11" s="1"/>
  <c r="H12335" i="11"/>
  <c r="F12335" i="11"/>
  <c r="F12334" i="11"/>
  <c r="H12334" i="11" s="1"/>
  <c r="F12333" i="11"/>
  <c r="H12333" i="11" s="1"/>
  <c r="F12332" i="11"/>
  <c r="H12332" i="11" s="1"/>
  <c r="F12331" i="11"/>
  <c r="H12331" i="11" s="1"/>
  <c r="F12330" i="11"/>
  <c r="H12330" i="11" s="1"/>
  <c r="F12329" i="11"/>
  <c r="H12329" i="11" s="1"/>
  <c r="F12328" i="11"/>
  <c r="H12328" i="11" s="1"/>
  <c r="F12327" i="11"/>
  <c r="H12327" i="11" s="1"/>
  <c r="F12326" i="11"/>
  <c r="H12326" i="11" s="1"/>
  <c r="F12325" i="11"/>
  <c r="H12325" i="11" s="1"/>
  <c r="F12324" i="11"/>
  <c r="H12324" i="11" s="1"/>
  <c r="F12323" i="11"/>
  <c r="H12323" i="11" s="1"/>
  <c r="F12322" i="11"/>
  <c r="H12322" i="11" s="1"/>
  <c r="F12321" i="11"/>
  <c r="H12321" i="11" s="1"/>
  <c r="F12320" i="11"/>
  <c r="H12320" i="11" s="1"/>
  <c r="F12319" i="11"/>
  <c r="H12319" i="11" s="1"/>
  <c r="F12318" i="11"/>
  <c r="H12318" i="11" s="1"/>
  <c r="F12317" i="11"/>
  <c r="H12317" i="11" s="1"/>
  <c r="F12316" i="11"/>
  <c r="H12316" i="11" s="1"/>
  <c r="F12315" i="11"/>
  <c r="H12315" i="11" s="1"/>
  <c r="F12314" i="11"/>
  <c r="H12314" i="11" s="1"/>
  <c r="F12313" i="11"/>
  <c r="H12313" i="11" s="1"/>
  <c r="F12312" i="11"/>
  <c r="H12312" i="11" s="1"/>
  <c r="F12311" i="11"/>
  <c r="H12311" i="11" s="1"/>
  <c r="F12310" i="11"/>
  <c r="H12310" i="11" s="1"/>
  <c r="F12309" i="11"/>
  <c r="H12309" i="11" s="1"/>
  <c r="F12308" i="11"/>
  <c r="H12308" i="11" s="1"/>
  <c r="F12307" i="11"/>
  <c r="H12307" i="11" s="1"/>
  <c r="F12306" i="11"/>
  <c r="H12306" i="11" s="1"/>
  <c r="F12305" i="11"/>
  <c r="H12305" i="11" s="1"/>
  <c r="F12304" i="11"/>
  <c r="H12304" i="11" s="1"/>
  <c r="F12303" i="11"/>
  <c r="H12303" i="11" s="1"/>
  <c r="F12302" i="11"/>
  <c r="H12302" i="11" s="1"/>
  <c r="F12301" i="11"/>
  <c r="H12301" i="11" s="1"/>
  <c r="F12300" i="11"/>
  <c r="H12300" i="11" s="1"/>
  <c r="F12299" i="11"/>
  <c r="H12299" i="11" s="1"/>
  <c r="F12298" i="11"/>
  <c r="H12298" i="11" s="1"/>
  <c r="F12297" i="11"/>
  <c r="H12297" i="11" s="1"/>
  <c r="F12296" i="11"/>
  <c r="H12296" i="11" s="1"/>
  <c r="H12295" i="11"/>
  <c r="F12295" i="11"/>
  <c r="F12294" i="11"/>
  <c r="H12294" i="11" s="1"/>
  <c r="F12293" i="11"/>
  <c r="H12293" i="11" s="1"/>
  <c r="F12292" i="11"/>
  <c r="H12292" i="11" s="1"/>
  <c r="F12291" i="11"/>
  <c r="H12291" i="11" s="1"/>
  <c r="F12290" i="11"/>
  <c r="H12290" i="11" s="1"/>
  <c r="H12289" i="11"/>
  <c r="F12289" i="11"/>
  <c r="F12288" i="11"/>
  <c r="H12288" i="11" s="1"/>
  <c r="F12287" i="11"/>
  <c r="H12287" i="11" s="1"/>
  <c r="F12286" i="11"/>
  <c r="H12286" i="11" s="1"/>
  <c r="F12285" i="11"/>
  <c r="H12285" i="11" s="1"/>
  <c r="F12284" i="11"/>
  <c r="H12284" i="11" s="1"/>
  <c r="F12283" i="11"/>
  <c r="H12283" i="11" s="1"/>
  <c r="F12282" i="11"/>
  <c r="H12282" i="11" s="1"/>
  <c r="F12281" i="11"/>
  <c r="H12281" i="11" s="1"/>
  <c r="F12280" i="11"/>
  <c r="H12280" i="11" s="1"/>
  <c r="F12279" i="11"/>
  <c r="H12279" i="11" s="1"/>
  <c r="F12278" i="11"/>
  <c r="H12278" i="11" s="1"/>
  <c r="F12277" i="11"/>
  <c r="H12277" i="11" s="1"/>
  <c r="F12276" i="11"/>
  <c r="H12276" i="11" s="1"/>
  <c r="F12275" i="11"/>
  <c r="H12275" i="11" s="1"/>
  <c r="F12274" i="11"/>
  <c r="H12274" i="11" s="1"/>
  <c r="F12273" i="11"/>
  <c r="H12273" i="11" s="1"/>
  <c r="F12272" i="11"/>
  <c r="H12272" i="11" s="1"/>
  <c r="F12271" i="11"/>
  <c r="H12271" i="11" s="1"/>
  <c r="F12270" i="11"/>
  <c r="H12270" i="11" s="1"/>
  <c r="F12269" i="11"/>
  <c r="H12269" i="11" s="1"/>
  <c r="H12268" i="11"/>
  <c r="F12268" i="11"/>
  <c r="F12267" i="11"/>
  <c r="H12267" i="11" s="1"/>
  <c r="F12266" i="11"/>
  <c r="H12266" i="11" s="1"/>
  <c r="F12265" i="11"/>
  <c r="H12265" i="11" s="1"/>
  <c r="F12264" i="11"/>
  <c r="H12264" i="11" s="1"/>
  <c r="F12263" i="11"/>
  <c r="H12263" i="11" s="1"/>
  <c r="F12262" i="11"/>
  <c r="H12262" i="11" s="1"/>
  <c r="F12261" i="11"/>
  <c r="H12261" i="11" s="1"/>
  <c r="F12260" i="11"/>
  <c r="H12260" i="11" s="1"/>
  <c r="F12259" i="11"/>
  <c r="H12259" i="11" s="1"/>
  <c r="F12258" i="11"/>
  <c r="H12258" i="11" s="1"/>
  <c r="F12257" i="11"/>
  <c r="H12257" i="11" s="1"/>
  <c r="F12256" i="11"/>
  <c r="H12256" i="11" s="1"/>
  <c r="F12255" i="11"/>
  <c r="H12255" i="11" s="1"/>
  <c r="F12254" i="11"/>
  <c r="H12254" i="11" s="1"/>
  <c r="F12253" i="11"/>
  <c r="H12253" i="11" s="1"/>
  <c r="F12252" i="11"/>
  <c r="H12252" i="11" s="1"/>
  <c r="F12251" i="11"/>
  <c r="H12251" i="11" s="1"/>
  <c r="F12250" i="11"/>
  <c r="H12250" i="11" s="1"/>
  <c r="F12249" i="11"/>
  <c r="H12249" i="11" s="1"/>
  <c r="F12248" i="11"/>
  <c r="H12248" i="11" s="1"/>
  <c r="F12247" i="11"/>
  <c r="H12247" i="11" s="1"/>
  <c r="F12246" i="11"/>
  <c r="H12246" i="11" s="1"/>
  <c r="F12245" i="11"/>
  <c r="H12245" i="11" s="1"/>
  <c r="F12244" i="11"/>
  <c r="H12244" i="11" s="1"/>
  <c r="F12243" i="11"/>
  <c r="H12243" i="11" s="1"/>
  <c r="F12242" i="11"/>
  <c r="H12242" i="11" s="1"/>
  <c r="F12241" i="11"/>
  <c r="H12241" i="11" s="1"/>
  <c r="F12240" i="11"/>
  <c r="H12240" i="11" s="1"/>
  <c r="F12239" i="11"/>
  <c r="H12239" i="11" s="1"/>
  <c r="F12238" i="11"/>
  <c r="H12238" i="11" s="1"/>
  <c r="F12237" i="11"/>
  <c r="H12237" i="11" s="1"/>
  <c r="F12236" i="11"/>
  <c r="H12236" i="11" s="1"/>
  <c r="H12235" i="11"/>
  <c r="F12235" i="11"/>
  <c r="F12234" i="11"/>
  <c r="H12234" i="11" s="1"/>
  <c r="F12233" i="11"/>
  <c r="H12233" i="11" s="1"/>
  <c r="F12232" i="11"/>
  <c r="H12232" i="11" s="1"/>
  <c r="F12231" i="11"/>
  <c r="H12231" i="11" s="1"/>
  <c r="F12230" i="11"/>
  <c r="H12230" i="11" s="1"/>
  <c r="F12229" i="11"/>
  <c r="H12229" i="11" s="1"/>
  <c r="F12228" i="11"/>
  <c r="H12228" i="11" s="1"/>
  <c r="F12227" i="11"/>
  <c r="H12227" i="11" s="1"/>
  <c r="F12226" i="11"/>
  <c r="H12226" i="11" s="1"/>
  <c r="F12225" i="11"/>
  <c r="H12225" i="11" s="1"/>
  <c r="F12224" i="11"/>
  <c r="H12224" i="11" s="1"/>
  <c r="F12223" i="11"/>
  <c r="H12223" i="11" s="1"/>
  <c r="F12222" i="11"/>
  <c r="H12222" i="11" s="1"/>
  <c r="F12221" i="11"/>
  <c r="H12221" i="11" s="1"/>
  <c r="F12220" i="11"/>
  <c r="H12220" i="11" s="1"/>
  <c r="F12219" i="11"/>
  <c r="H12219" i="11" s="1"/>
  <c r="F12218" i="11"/>
  <c r="H12218" i="11" s="1"/>
  <c r="F12217" i="11"/>
  <c r="H12217" i="11" s="1"/>
  <c r="F12216" i="11"/>
  <c r="H12216" i="11" s="1"/>
  <c r="F12215" i="11"/>
  <c r="H12215" i="11" s="1"/>
  <c r="F12214" i="11"/>
  <c r="H12214" i="11" s="1"/>
  <c r="F12213" i="11"/>
  <c r="H12213" i="11" s="1"/>
  <c r="H12212" i="11"/>
  <c r="F12212" i="11"/>
  <c r="F12211" i="11"/>
  <c r="H12211" i="11" s="1"/>
  <c r="F12210" i="11"/>
  <c r="H12210" i="11" s="1"/>
  <c r="F12209" i="11"/>
  <c r="H12209" i="11" s="1"/>
  <c r="F12208" i="11"/>
  <c r="H12208" i="11" s="1"/>
  <c r="F12207" i="11"/>
  <c r="H12207" i="11" s="1"/>
  <c r="F12206" i="11"/>
  <c r="H12206" i="11" s="1"/>
  <c r="F12205" i="11"/>
  <c r="H12205" i="11" s="1"/>
  <c r="F12204" i="11"/>
  <c r="H12204" i="11" s="1"/>
  <c r="F12203" i="11"/>
  <c r="H12203" i="11" s="1"/>
  <c r="F12202" i="11"/>
  <c r="H12202" i="11" s="1"/>
  <c r="F12201" i="11"/>
  <c r="H12201" i="11" s="1"/>
  <c r="F12200" i="11"/>
  <c r="H12200" i="11" s="1"/>
  <c r="F12199" i="11"/>
  <c r="H12199" i="11" s="1"/>
  <c r="F12198" i="11"/>
  <c r="H12198" i="11" s="1"/>
  <c r="F12197" i="11"/>
  <c r="H12197" i="11" s="1"/>
  <c r="F12196" i="11"/>
  <c r="H12196" i="11" s="1"/>
  <c r="H12195" i="11"/>
  <c r="F12195" i="11"/>
  <c r="F12194" i="11"/>
  <c r="H12194" i="11" s="1"/>
  <c r="F12193" i="11"/>
  <c r="H12193" i="11" s="1"/>
  <c r="F12192" i="11"/>
  <c r="H12192" i="11" s="1"/>
  <c r="F12191" i="11"/>
  <c r="H12191" i="11" s="1"/>
  <c r="F12190" i="11"/>
  <c r="H12190" i="11" s="1"/>
  <c r="F12189" i="11"/>
  <c r="H12189" i="11" s="1"/>
  <c r="F12188" i="11"/>
  <c r="H12188" i="11" s="1"/>
  <c r="F12187" i="11"/>
  <c r="H12187" i="11" s="1"/>
  <c r="F12186" i="11"/>
  <c r="H12186" i="11" s="1"/>
  <c r="F12185" i="11"/>
  <c r="H12185" i="11" s="1"/>
  <c r="F12184" i="11"/>
  <c r="H12184" i="11" s="1"/>
  <c r="F12183" i="11"/>
  <c r="H12183" i="11" s="1"/>
  <c r="F12182" i="11"/>
  <c r="H12182" i="11" s="1"/>
  <c r="F12181" i="11"/>
  <c r="H12181" i="11" s="1"/>
  <c r="F12180" i="11"/>
  <c r="H12180" i="11" s="1"/>
  <c r="F12179" i="11"/>
  <c r="H12179" i="11" s="1"/>
  <c r="F12178" i="11"/>
  <c r="H12178" i="11" s="1"/>
  <c r="F12177" i="11"/>
  <c r="H12177" i="11" s="1"/>
  <c r="F12176" i="11"/>
  <c r="H12176" i="11" s="1"/>
  <c r="F12175" i="11"/>
  <c r="H12175" i="11" s="1"/>
  <c r="F12174" i="11"/>
  <c r="H12174" i="11" s="1"/>
  <c r="F12173" i="11"/>
  <c r="H12173" i="11" s="1"/>
  <c r="F12172" i="11"/>
  <c r="H12172" i="11" s="1"/>
  <c r="F12171" i="11"/>
  <c r="H12171" i="11" s="1"/>
  <c r="F12170" i="11"/>
  <c r="H12170" i="11" s="1"/>
  <c r="F12169" i="11"/>
  <c r="H12169" i="11" s="1"/>
  <c r="F12168" i="11"/>
  <c r="H12168" i="11" s="1"/>
  <c r="F12167" i="11"/>
  <c r="H12167" i="11" s="1"/>
  <c r="F12166" i="11"/>
  <c r="H12166" i="11" s="1"/>
  <c r="F12165" i="11"/>
  <c r="H12165" i="11" s="1"/>
  <c r="F12164" i="11"/>
  <c r="H12164" i="11" s="1"/>
  <c r="F12163" i="11"/>
  <c r="H12163" i="11" s="1"/>
  <c r="F12162" i="11"/>
  <c r="H12162" i="11" s="1"/>
  <c r="F12161" i="11"/>
  <c r="H12161" i="11" s="1"/>
  <c r="F12160" i="11"/>
  <c r="H12160" i="11" s="1"/>
  <c r="F12159" i="11"/>
  <c r="H12159" i="11" s="1"/>
  <c r="F12158" i="11"/>
  <c r="H12158" i="11" s="1"/>
  <c r="F12157" i="11"/>
  <c r="H12157" i="11" s="1"/>
  <c r="F12156" i="11"/>
  <c r="H12156" i="11" s="1"/>
  <c r="F12155" i="11"/>
  <c r="H12155" i="11" s="1"/>
  <c r="F12154" i="11"/>
  <c r="H12154" i="11" s="1"/>
  <c r="F12153" i="11"/>
  <c r="H12153" i="11" s="1"/>
  <c r="F12152" i="11"/>
  <c r="H12152" i="11" s="1"/>
  <c r="F12151" i="11"/>
  <c r="H12151" i="11" s="1"/>
  <c r="F12150" i="11"/>
  <c r="H12150" i="11" s="1"/>
  <c r="F12149" i="11"/>
  <c r="H12149" i="11" s="1"/>
  <c r="F12148" i="11"/>
  <c r="H12148" i="11" s="1"/>
  <c r="F12147" i="11"/>
  <c r="H12147" i="11" s="1"/>
  <c r="F12146" i="11"/>
  <c r="H12146" i="11" s="1"/>
  <c r="F12145" i="11"/>
  <c r="H12145" i="11" s="1"/>
  <c r="F12144" i="11"/>
  <c r="H12144" i="11" s="1"/>
  <c r="F12143" i="11"/>
  <c r="H12143" i="11" s="1"/>
  <c r="F12142" i="11"/>
  <c r="H12142" i="11" s="1"/>
  <c r="F12141" i="11"/>
  <c r="H12141" i="11" s="1"/>
  <c r="F12140" i="11"/>
  <c r="H12140" i="11" s="1"/>
  <c r="F12139" i="11"/>
  <c r="H12139" i="11" s="1"/>
  <c r="F12138" i="11"/>
  <c r="H12138" i="11" s="1"/>
  <c r="F12137" i="11"/>
  <c r="H12137" i="11" s="1"/>
  <c r="F12136" i="11"/>
  <c r="H12136" i="11" s="1"/>
  <c r="F12135" i="11"/>
  <c r="H12135" i="11" s="1"/>
  <c r="F12134" i="11"/>
  <c r="H12134" i="11" s="1"/>
  <c r="F12133" i="11"/>
  <c r="H12133" i="11" s="1"/>
  <c r="F12132" i="11"/>
  <c r="H12132" i="11" s="1"/>
  <c r="F12131" i="11"/>
  <c r="H12131" i="11" s="1"/>
  <c r="F12130" i="11"/>
  <c r="H12130" i="11" s="1"/>
  <c r="F12129" i="11"/>
  <c r="H12129" i="11" s="1"/>
  <c r="F12128" i="11"/>
  <c r="H12128" i="11" s="1"/>
  <c r="F12127" i="11"/>
  <c r="H12127" i="11" s="1"/>
  <c r="F12126" i="11"/>
  <c r="H12126" i="11" s="1"/>
  <c r="F12125" i="11"/>
  <c r="H12125" i="11" s="1"/>
  <c r="F12124" i="11"/>
  <c r="H12124" i="11" s="1"/>
  <c r="F12123" i="11"/>
  <c r="H12123" i="11" s="1"/>
  <c r="F12122" i="11"/>
  <c r="H12122" i="11" s="1"/>
  <c r="F12121" i="11"/>
  <c r="H12121" i="11" s="1"/>
  <c r="F12120" i="11"/>
  <c r="H12120" i="11" s="1"/>
  <c r="H12119" i="11"/>
  <c r="F12119" i="11"/>
  <c r="F12118" i="11"/>
  <c r="H12118" i="11" s="1"/>
  <c r="F12117" i="11"/>
  <c r="H12117" i="11" s="1"/>
  <c r="F12116" i="11"/>
  <c r="H12116" i="11" s="1"/>
  <c r="F12115" i="11"/>
  <c r="H12115" i="11" s="1"/>
  <c r="F12114" i="11"/>
  <c r="H12114" i="11" s="1"/>
  <c r="F12113" i="11"/>
  <c r="H12113" i="11" s="1"/>
  <c r="F12112" i="11"/>
  <c r="H12112" i="11" s="1"/>
  <c r="F12111" i="11"/>
  <c r="H12111" i="11" s="1"/>
  <c r="F12110" i="11"/>
  <c r="H12110" i="11" s="1"/>
  <c r="F12109" i="11"/>
  <c r="H12109" i="11" s="1"/>
  <c r="F12108" i="11"/>
  <c r="H12108" i="11" s="1"/>
  <c r="F12107" i="11"/>
  <c r="H12107" i="11" s="1"/>
  <c r="H12106" i="11"/>
  <c r="F12106" i="11"/>
  <c r="F12105" i="11"/>
  <c r="H12105" i="11" s="1"/>
  <c r="F12104" i="11"/>
  <c r="H12104" i="11" s="1"/>
  <c r="F12103" i="11"/>
  <c r="H12103" i="11" s="1"/>
  <c r="F12102" i="11"/>
  <c r="H12102" i="11" s="1"/>
  <c r="F12101" i="11"/>
  <c r="H12101" i="11" s="1"/>
  <c r="F12100" i="11"/>
  <c r="H12100" i="11" s="1"/>
  <c r="F12099" i="11"/>
  <c r="H12099" i="11" s="1"/>
  <c r="F12098" i="11"/>
  <c r="H12098" i="11" s="1"/>
  <c r="F12097" i="11"/>
  <c r="H12097" i="11" s="1"/>
  <c r="F12096" i="11"/>
  <c r="H12096" i="11" s="1"/>
  <c r="F12095" i="11"/>
  <c r="H12095" i="11" s="1"/>
  <c r="F12094" i="11"/>
  <c r="H12094" i="11" s="1"/>
  <c r="F12093" i="11"/>
  <c r="H12093" i="11" s="1"/>
  <c r="F12092" i="11"/>
  <c r="H12092" i="11" s="1"/>
  <c r="F12091" i="11"/>
  <c r="H12091" i="11" s="1"/>
  <c r="F12090" i="11"/>
  <c r="H12090" i="11" s="1"/>
  <c r="F12089" i="11"/>
  <c r="H12089" i="11" s="1"/>
  <c r="F12088" i="11"/>
  <c r="H12088" i="11" s="1"/>
  <c r="F12087" i="11"/>
  <c r="H12087" i="11" s="1"/>
  <c r="F12086" i="11"/>
  <c r="H12086" i="11" s="1"/>
  <c r="F12085" i="11"/>
  <c r="H12085" i="11" s="1"/>
  <c r="F12084" i="11"/>
  <c r="H12084" i="11" s="1"/>
  <c r="F12083" i="11"/>
  <c r="H12083" i="11" s="1"/>
  <c r="F12082" i="11"/>
  <c r="H12082" i="11" s="1"/>
  <c r="F12081" i="11"/>
  <c r="H12081" i="11" s="1"/>
  <c r="F12080" i="11"/>
  <c r="H12080" i="11" s="1"/>
  <c r="F12079" i="11"/>
  <c r="H12079" i="11" s="1"/>
  <c r="F12078" i="11"/>
  <c r="H12078" i="11" s="1"/>
  <c r="F12077" i="11"/>
  <c r="H12077" i="11" s="1"/>
  <c r="F12076" i="11"/>
  <c r="H12076" i="11" s="1"/>
  <c r="F12075" i="11"/>
  <c r="H12075" i="11" s="1"/>
  <c r="F12074" i="11"/>
  <c r="H12074" i="11" s="1"/>
  <c r="F12073" i="11"/>
  <c r="H12073" i="11" s="1"/>
  <c r="F12072" i="11"/>
  <c r="H12072" i="11" s="1"/>
  <c r="H12071" i="11"/>
  <c r="F12071" i="11"/>
  <c r="F12070" i="11"/>
  <c r="H12070" i="11" s="1"/>
  <c r="F12069" i="11"/>
  <c r="H12069" i="11" s="1"/>
  <c r="F12068" i="11"/>
  <c r="H12068" i="11" s="1"/>
  <c r="F12067" i="11"/>
  <c r="H12067" i="11" s="1"/>
  <c r="F12066" i="11"/>
  <c r="H12066" i="11" s="1"/>
  <c r="F12065" i="11"/>
  <c r="H12065" i="11" s="1"/>
  <c r="F12064" i="11"/>
  <c r="H12064" i="11" s="1"/>
  <c r="F12063" i="11"/>
  <c r="H12063" i="11" s="1"/>
  <c r="F12062" i="11"/>
  <c r="H12062" i="11" s="1"/>
  <c r="F12061" i="11"/>
  <c r="H12061" i="11" s="1"/>
  <c r="F12060" i="11"/>
  <c r="H12060" i="11" s="1"/>
  <c r="F12059" i="11"/>
  <c r="H12059" i="11" s="1"/>
  <c r="F12058" i="11"/>
  <c r="H12058" i="11" s="1"/>
  <c r="F12057" i="11"/>
  <c r="H12057" i="11" s="1"/>
  <c r="F12056" i="11"/>
  <c r="H12056" i="11" s="1"/>
  <c r="F12055" i="11"/>
  <c r="H12055" i="11" s="1"/>
  <c r="F12054" i="11"/>
  <c r="H12054" i="11" s="1"/>
  <c r="F12053" i="11"/>
  <c r="H12053" i="11" s="1"/>
  <c r="F12052" i="11"/>
  <c r="H12052" i="11" s="1"/>
  <c r="F12051" i="11"/>
  <c r="H12051" i="11" s="1"/>
  <c r="F12050" i="11"/>
  <c r="H12050" i="11" s="1"/>
  <c r="F12049" i="11"/>
  <c r="H12049" i="11" s="1"/>
  <c r="F12048" i="11"/>
  <c r="H12048" i="11" s="1"/>
  <c r="F12047" i="11"/>
  <c r="H12047" i="11" s="1"/>
  <c r="F12046" i="11"/>
  <c r="H12046" i="11" s="1"/>
  <c r="F12045" i="11"/>
  <c r="H12045" i="11" s="1"/>
  <c r="F12044" i="11"/>
  <c r="H12044" i="11" s="1"/>
  <c r="F12043" i="11"/>
  <c r="H12043" i="11" s="1"/>
  <c r="F12042" i="11"/>
  <c r="H12042" i="11" s="1"/>
  <c r="F12041" i="11"/>
  <c r="H12041" i="11" s="1"/>
  <c r="F12040" i="11"/>
  <c r="H12040" i="11" s="1"/>
  <c r="F12039" i="11"/>
  <c r="H12039" i="11" s="1"/>
  <c r="F12038" i="11"/>
  <c r="H12038" i="11" s="1"/>
  <c r="F12037" i="11"/>
  <c r="H12037" i="11" s="1"/>
  <c r="F12036" i="11"/>
  <c r="F12035" i="11"/>
  <c r="F12034" i="11"/>
  <c r="F12033" i="11"/>
  <c r="F12032" i="11"/>
  <c r="F12031" i="11"/>
  <c r="F12030" i="11"/>
  <c r="F12029" i="11"/>
  <c r="F12028" i="11"/>
  <c r="F12027" i="11"/>
  <c r="F12026" i="11"/>
  <c r="F12025" i="11"/>
  <c r="F12024" i="11"/>
  <c r="F12023" i="11"/>
  <c r="F12022" i="11"/>
  <c r="F12021" i="11"/>
  <c r="F12020" i="11"/>
  <c r="F12019" i="11"/>
  <c r="F12018" i="11"/>
  <c r="F12017" i="11"/>
  <c r="F12016" i="11"/>
  <c r="F12015" i="11"/>
  <c r="F12014" i="11"/>
  <c r="F12013" i="11"/>
  <c r="F12012" i="11"/>
  <c r="F12011" i="11"/>
  <c r="F12010" i="11"/>
  <c r="F12009" i="11"/>
  <c r="F12008" i="11"/>
  <c r="F12007" i="11"/>
  <c r="F12006" i="11"/>
  <c r="F12005" i="11"/>
  <c r="F12004" i="11"/>
  <c r="F12003" i="11"/>
  <c r="F12002" i="11"/>
  <c r="F12001" i="11"/>
  <c r="F12000" i="11"/>
  <c r="F11999" i="11"/>
  <c r="F11998" i="11"/>
  <c r="F11997" i="11"/>
  <c r="F11996" i="11"/>
  <c r="F11995" i="11"/>
  <c r="F11994" i="11"/>
  <c r="F11993" i="11"/>
  <c r="F11992" i="11"/>
  <c r="F11991" i="11"/>
  <c r="F11990" i="11"/>
  <c r="F11989" i="11"/>
  <c r="F11988" i="11"/>
  <c r="F11987" i="11"/>
  <c r="F11986" i="11"/>
  <c r="F11985" i="11"/>
  <c r="F11984" i="11"/>
  <c r="F11983" i="11"/>
  <c r="F11982" i="11"/>
  <c r="F11981" i="11"/>
  <c r="F11980" i="11"/>
  <c r="F11979" i="11"/>
  <c r="F11978" i="11"/>
  <c r="F11977" i="11"/>
  <c r="F11976" i="11"/>
  <c r="F11975" i="11"/>
  <c r="F11974" i="11"/>
  <c r="F11973" i="11"/>
  <c r="F11972" i="11"/>
  <c r="F11971" i="11"/>
  <c r="F11970" i="11"/>
  <c r="F11969" i="11"/>
  <c r="F11968" i="11"/>
  <c r="F11967" i="11"/>
  <c r="F11966" i="11"/>
  <c r="F11965" i="11"/>
  <c r="F11964" i="11"/>
  <c r="F11963" i="11"/>
  <c r="F11962" i="11"/>
  <c r="F11961" i="11"/>
  <c r="F11960" i="11"/>
  <c r="F11959" i="11"/>
  <c r="F11958" i="11"/>
  <c r="F11957" i="11"/>
  <c r="F11956" i="11"/>
  <c r="F11955" i="11"/>
  <c r="F11954" i="11"/>
  <c r="F11953" i="11"/>
  <c r="F11952" i="11"/>
  <c r="F11951" i="11"/>
  <c r="F11950" i="11"/>
  <c r="F11949" i="11"/>
  <c r="F11948" i="11"/>
  <c r="F11947" i="11"/>
  <c r="F11946" i="11"/>
  <c r="F11945" i="11"/>
  <c r="F11944" i="11"/>
  <c r="F11943" i="11"/>
  <c r="F11942" i="11"/>
  <c r="F11941" i="11"/>
  <c r="F11940" i="11"/>
  <c r="F11939" i="11"/>
  <c r="F11938" i="11"/>
  <c r="F11937" i="11"/>
  <c r="F11936" i="11"/>
  <c r="F11935" i="11"/>
  <c r="F11934" i="11"/>
  <c r="F11933" i="11"/>
  <c r="F11932" i="11"/>
  <c r="F11931" i="11"/>
  <c r="F11930" i="11"/>
  <c r="F11929" i="11"/>
  <c r="F11928" i="11"/>
  <c r="F11927" i="11"/>
  <c r="F11926" i="11"/>
  <c r="F11925" i="11"/>
  <c r="F11924" i="11"/>
  <c r="F11923" i="11"/>
  <c r="F11922" i="11"/>
  <c r="F11921" i="11"/>
  <c r="F11920" i="11"/>
  <c r="F11919" i="11"/>
  <c r="F11918" i="11"/>
  <c r="F11917" i="11"/>
  <c r="F11916" i="11"/>
  <c r="F11915" i="11"/>
  <c r="F11914" i="11"/>
  <c r="F11913" i="11"/>
  <c r="F11912" i="11"/>
  <c r="F11911" i="11"/>
  <c r="F11910" i="11"/>
  <c r="F11909" i="11"/>
  <c r="F11908" i="11"/>
  <c r="F11907" i="11"/>
  <c r="F11906" i="11"/>
  <c r="F11905" i="11"/>
  <c r="F11904" i="11"/>
  <c r="F11903" i="11"/>
  <c r="F11902" i="11"/>
  <c r="F11901" i="11"/>
  <c r="F11900" i="11"/>
  <c r="F11899" i="11"/>
  <c r="F11898" i="11"/>
  <c r="F11897" i="11"/>
  <c r="F11896" i="11"/>
  <c r="F11895" i="11"/>
  <c r="F11894" i="11"/>
  <c r="F11893" i="11"/>
  <c r="F11892" i="11"/>
  <c r="F11891" i="11"/>
  <c r="F11890" i="11"/>
  <c r="F11889" i="11"/>
  <c r="F11888" i="11"/>
  <c r="F11887" i="11"/>
  <c r="F11886" i="11"/>
  <c r="F11885" i="11"/>
  <c r="F11884" i="11"/>
  <c r="F11883" i="11"/>
  <c r="F11882" i="11"/>
  <c r="F11881" i="11"/>
  <c r="F11880" i="11"/>
  <c r="F11879" i="11"/>
  <c r="F11878" i="11"/>
  <c r="F11877" i="11"/>
  <c r="F11876" i="11"/>
  <c r="F11875" i="11"/>
  <c r="F11874" i="11"/>
  <c r="F11873" i="11"/>
  <c r="F11872" i="11"/>
  <c r="F11871" i="11"/>
  <c r="F11870" i="11"/>
  <c r="F11869" i="11"/>
  <c r="F11868" i="11"/>
  <c r="F11867" i="11"/>
  <c r="F11866" i="11"/>
  <c r="F11865" i="11"/>
  <c r="F11864" i="11"/>
  <c r="F11863" i="11"/>
  <c r="F11862" i="11"/>
  <c r="F11861" i="11"/>
  <c r="F11860" i="11"/>
  <c r="F11859" i="11"/>
  <c r="F11858" i="11"/>
  <c r="F11857" i="11"/>
  <c r="F11856" i="11"/>
  <c r="F11855" i="11"/>
  <c r="F11854" i="11"/>
  <c r="F11853" i="11"/>
  <c r="F11852" i="11"/>
  <c r="F11851" i="11"/>
  <c r="F11850" i="11"/>
  <c r="F11849" i="11"/>
  <c r="F11848" i="11"/>
  <c r="F11847" i="11"/>
  <c r="F11846" i="11"/>
  <c r="F11845" i="11"/>
  <c r="F11844" i="11"/>
  <c r="F11843" i="11"/>
  <c r="F11842" i="11"/>
  <c r="F11841" i="11"/>
  <c r="F11840" i="11"/>
  <c r="F11839" i="11"/>
  <c r="F11838" i="11"/>
  <c r="F11837" i="11"/>
  <c r="F11836" i="11"/>
  <c r="F11835" i="11"/>
  <c r="F11834" i="11"/>
  <c r="F11833" i="11"/>
  <c r="F11832" i="11"/>
  <c r="F11831" i="11"/>
  <c r="F11830" i="11"/>
  <c r="F11829" i="11"/>
  <c r="F11828" i="11"/>
  <c r="F11827" i="11"/>
  <c r="F11826" i="11"/>
  <c r="F11825" i="11"/>
  <c r="F11824" i="11"/>
  <c r="F11823" i="11"/>
  <c r="F11822" i="11"/>
  <c r="F11821" i="11"/>
  <c r="F11820" i="11"/>
  <c r="F11819" i="11"/>
  <c r="F11818" i="11"/>
  <c r="F11817" i="11"/>
  <c r="F11816" i="11"/>
  <c r="F11815" i="11"/>
  <c r="F11814" i="11"/>
  <c r="F11813" i="11"/>
  <c r="F11812" i="11"/>
  <c r="F11811" i="11"/>
  <c r="F11810" i="11"/>
  <c r="F11809" i="11"/>
  <c r="F11808" i="11"/>
  <c r="F11807" i="11"/>
  <c r="F11806" i="11"/>
  <c r="F11805" i="11"/>
  <c r="F11804" i="11"/>
  <c r="F11803" i="11"/>
  <c r="F11802" i="11"/>
  <c r="F11801" i="11"/>
  <c r="F11800" i="11"/>
  <c r="F11799" i="11"/>
  <c r="F11798" i="11"/>
  <c r="F11797" i="11"/>
  <c r="F11796" i="11"/>
  <c r="F11795" i="11"/>
  <c r="F11794" i="11"/>
  <c r="F11793" i="11"/>
  <c r="F11792" i="11"/>
  <c r="F11791" i="11"/>
  <c r="F11790" i="11"/>
  <c r="F11789" i="11"/>
  <c r="F11788" i="11"/>
  <c r="F11787" i="11"/>
  <c r="F11786" i="11"/>
  <c r="F11785" i="11"/>
  <c r="F11784" i="11"/>
  <c r="F11783" i="11"/>
  <c r="F11782" i="11"/>
  <c r="F11781" i="11"/>
  <c r="F11780" i="11"/>
  <c r="F11779" i="11"/>
  <c r="F11778" i="11"/>
  <c r="F11777" i="11"/>
  <c r="F11776" i="11"/>
  <c r="F11775" i="11"/>
  <c r="F11774" i="11"/>
  <c r="F11773" i="11"/>
  <c r="F11772" i="11"/>
  <c r="F11771" i="11"/>
  <c r="F11770" i="11"/>
  <c r="F11769" i="11"/>
  <c r="F11768" i="11"/>
  <c r="F11767" i="11"/>
  <c r="F11766" i="11"/>
  <c r="F11765" i="11"/>
  <c r="F11764" i="11"/>
  <c r="F11763" i="11"/>
  <c r="F11762" i="11"/>
  <c r="F11761" i="11"/>
  <c r="F11760" i="11"/>
  <c r="F11759" i="11"/>
  <c r="F11758" i="11"/>
  <c r="F11757" i="11"/>
  <c r="F11756" i="11"/>
  <c r="F11755" i="11"/>
  <c r="F11754" i="11"/>
  <c r="F11753" i="11"/>
  <c r="F11752" i="11"/>
  <c r="F11751" i="11"/>
  <c r="F11750" i="11"/>
  <c r="F11749" i="11"/>
  <c r="F11748" i="11"/>
  <c r="F11747" i="11"/>
  <c r="F11746" i="11"/>
  <c r="F11745" i="11"/>
  <c r="F11744" i="11"/>
  <c r="F11743" i="11"/>
  <c r="F11742" i="11"/>
  <c r="F11741" i="11"/>
  <c r="F11740" i="11"/>
  <c r="F11739" i="11"/>
  <c r="F11738" i="11"/>
  <c r="F11737" i="11"/>
  <c r="F11736" i="11"/>
  <c r="F11735" i="11"/>
  <c r="F11734" i="11"/>
  <c r="F11733" i="11"/>
  <c r="F11732" i="11"/>
  <c r="F11731" i="11"/>
  <c r="F11730" i="11"/>
  <c r="F11729" i="11"/>
  <c r="F11728" i="11"/>
  <c r="F11727" i="11"/>
  <c r="F11726" i="11"/>
  <c r="F11725" i="11"/>
  <c r="F11724" i="11"/>
  <c r="F11723" i="11"/>
  <c r="F11722" i="11"/>
  <c r="F11721" i="11"/>
  <c r="F11720" i="11"/>
  <c r="F11719" i="11"/>
  <c r="F11718" i="11"/>
  <c r="F11717" i="11"/>
  <c r="F11716" i="11"/>
  <c r="F11715" i="11"/>
  <c r="F11714" i="11"/>
  <c r="F11713" i="11"/>
  <c r="F11712" i="11"/>
  <c r="F11711" i="11"/>
  <c r="F11710" i="11"/>
  <c r="F11709" i="11"/>
  <c r="F11708" i="11"/>
  <c r="F11707" i="11"/>
  <c r="F11706" i="11"/>
  <c r="F11705" i="11"/>
  <c r="F11704" i="11"/>
  <c r="F11703" i="11"/>
  <c r="F11702" i="11"/>
  <c r="F11701" i="11"/>
  <c r="F11700" i="11"/>
  <c r="F11699" i="11"/>
  <c r="F11698" i="11"/>
  <c r="F11697" i="11"/>
  <c r="F11696" i="11"/>
  <c r="F11695" i="11"/>
  <c r="F11694" i="11"/>
  <c r="F11693" i="11"/>
  <c r="F11692" i="11"/>
  <c r="F11691" i="11"/>
  <c r="F11690" i="11"/>
  <c r="F11689" i="11"/>
  <c r="F11688" i="11"/>
  <c r="F11687" i="11"/>
  <c r="F11686" i="11"/>
  <c r="F11685" i="11"/>
  <c r="F11684" i="11"/>
  <c r="F11683" i="11"/>
  <c r="F11682" i="11"/>
  <c r="F11681" i="11"/>
  <c r="F11680" i="11"/>
  <c r="F11679" i="11"/>
  <c r="F11678" i="11"/>
  <c r="F11677" i="11"/>
  <c r="F11676" i="11"/>
  <c r="F11675" i="11"/>
  <c r="F11674" i="11"/>
  <c r="F11673" i="11"/>
  <c r="F11672" i="11"/>
  <c r="F11671" i="11"/>
  <c r="F11670" i="11"/>
  <c r="F11669" i="11"/>
  <c r="F11668" i="11"/>
  <c r="F11667" i="11"/>
  <c r="F11666" i="11"/>
  <c r="F11665" i="11"/>
  <c r="F11664" i="11"/>
  <c r="F11663" i="11"/>
  <c r="F11662" i="11"/>
  <c r="F11661" i="11"/>
  <c r="F11660" i="11"/>
  <c r="F11659" i="11"/>
  <c r="F11658" i="11"/>
  <c r="F11657" i="11"/>
  <c r="F11656" i="11"/>
  <c r="F11655" i="11"/>
  <c r="F11654" i="11"/>
  <c r="F11653" i="11"/>
  <c r="F11652" i="11"/>
  <c r="F11651" i="11"/>
  <c r="F11650" i="11"/>
  <c r="F11649" i="11"/>
  <c r="F11648" i="11"/>
  <c r="F11647" i="11"/>
  <c r="F11646" i="11"/>
  <c r="F11645" i="11"/>
  <c r="F11644" i="11"/>
  <c r="F11643" i="11"/>
  <c r="F11642" i="11"/>
  <c r="F11641" i="11"/>
  <c r="F11640" i="11"/>
  <c r="F11639" i="11"/>
  <c r="F11638" i="11"/>
  <c r="F11637" i="11"/>
  <c r="F11636" i="11"/>
  <c r="F11635" i="11"/>
  <c r="F11634" i="11"/>
  <c r="F11633" i="11"/>
  <c r="F11632" i="11"/>
  <c r="F11631" i="11"/>
  <c r="F11630" i="11"/>
  <c r="F11629" i="11"/>
  <c r="F11628" i="11"/>
  <c r="F11627" i="11"/>
  <c r="F11626" i="11"/>
  <c r="F11625" i="11"/>
  <c r="F11624" i="11"/>
  <c r="F11623" i="11"/>
  <c r="F11622" i="11"/>
  <c r="F11621" i="11"/>
  <c r="F11620" i="11"/>
  <c r="F11619" i="11"/>
  <c r="F11618" i="11"/>
  <c r="F11617" i="11"/>
  <c r="F11616" i="11"/>
  <c r="F11615" i="11"/>
  <c r="F11614" i="11"/>
  <c r="F11613" i="11"/>
  <c r="F11612" i="11"/>
  <c r="F11611" i="11"/>
  <c r="F11610" i="11"/>
  <c r="F11609" i="11"/>
  <c r="F11608" i="11"/>
  <c r="F11607" i="11"/>
  <c r="F11606" i="11"/>
  <c r="F11605" i="11"/>
  <c r="F11604" i="11"/>
  <c r="F11603" i="11"/>
  <c r="F11602" i="11"/>
  <c r="F11601" i="11"/>
  <c r="F11600" i="11"/>
  <c r="F11599" i="11"/>
  <c r="F11598" i="11"/>
  <c r="F11597" i="11"/>
  <c r="F11596" i="11"/>
  <c r="F11595" i="11"/>
  <c r="F11594" i="11"/>
  <c r="F11593" i="11"/>
  <c r="F11592" i="11"/>
  <c r="F11591" i="11"/>
  <c r="F11590" i="11"/>
  <c r="F11589" i="11"/>
  <c r="F11588" i="11"/>
  <c r="F11587" i="11"/>
  <c r="F11586" i="11"/>
  <c r="F11585" i="11"/>
  <c r="F11584" i="11"/>
  <c r="F11583" i="11"/>
  <c r="F11582" i="11"/>
  <c r="F11581" i="11"/>
  <c r="F11580" i="11"/>
  <c r="F11579" i="11"/>
  <c r="F11578" i="11"/>
  <c r="F11577" i="11"/>
  <c r="F11576" i="11"/>
  <c r="F11575" i="11"/>
  <c r="F11574" i="11"/>
  <c r="F11573" i="11"/>
  <c r="F11572" i="11"/>
  <c r="F11571" i="11"/>
  <c r="F11570" i="11"/>
  <c r="F11569" i="11"/>
  <c r="F11568" i="11"/>
  <c r="F11567" i="11"/>
  <c r="F11566" i="11"/>
  <c r="F11565" i="11"/>
  <c r="F11564" i="11"/>
  <c r="F11563" i="11"/>
  <c r="F11562" i="11"/>
  <c r="F11561" i="11"/>
  <c r="F11560" i="11"/>
  <c r="F11559" i="11"/>
  <c r="F11558" i="11"/>
  <c r="F11557" i="11"/>
  <c r="F11556" i="11"/>
  <c r="F11555" i="11"/>
  <c r="F11554" i="11"/>
  <c r="F11553" i="11"/>
  <c r="F11552" i="11"/>
  <c r="F11551" i="11"/>
  <c r="F11550" i="11"/>
  <c r="F11549" i="11"/>
  <c r="F11548" i="11"/>
  <c r="F11547" i="11"/>
  <c r="F11546" i="11"/>
  <c r="F11545" i="11"/>
  <c r="F11544" i="11"/>
  <c r="F11543" i="11"/>
  <c r="F11542" i="11"/>
  <c r="F11541" i="11"/>
  <c r="F11540" i="11"/>
  <c r="F11539" i="11"/>
  <c r="F11538" i="11"/>
  <c r="F11537" i="11"/>
  <c r="F11536" i="11"/>
  <c r="F11535" i="11"/>
  <c r="F11534" i="11"/>
  <c r="F11533" i="11"/>
  <c r="F11532" i="11"/>
  <c r="F11531" i="11"/>
  <c r="F11530" i="11"/>
  <c r="F11529" i="11"/>
  <c r="F11528" i="11"/>
  <c r="F11527" i="11"/>
  <c r="F11526" i="11"/>
  <c r="F11525" i="11"/>
  <c r="F11524" i="11"/>
  <c r="F11523" i="11"/>
  <c r="F11522" i="11"/>
  <c r="F11521" i="11"/>
  <c r="F11520" i="11"/>
  <c r="F11519" i="11"/>
  <c r="F11518" i="11"/>
  <c r="F11517" i="11"/>
  <c r="F11516" i="11"/>
  <c r="F11515" i="11"/>
  <c r="F11514" i="11"/>
  <c r="F11513" i="11"/>
  <c r="F11512" i="11"/>
  <c r="F11511" i="11"/>
  <c r="F11510" i="11"/>
  <c r="F11509" i="11"/>
  <c r="F11508" i="11"/>
  <c r="F11507" i="11"/>
  <c r="F11506" i="11"/>
  <c r="F11505" i="11"/>
  <c r="F11504" i="11"/>
  <c r="F11503" i="11"/>
  <c r="F11502" i="11"/>
  <c r="F11501" i="11"/>
  <c r="F11500" i="11"/>
  <c r="F11499" i="11"/>
  <c r="F11498" i="11"/>
  <c r="F11497" i="11"/>
  <c r="F11496" i="11"/>
  <c r="F11495" i="11"/>
  <c r="F11494" i="11"/>
  <c r="F11493" i="11"/>
  <c r="F11492" i="11"/>
  <c r="F11491" i="11"/>
  <c r="F11490" i="11"/>
  <c r="F11489" i="11"/>
  <c r="F11488" i="11"/>
  <c r="F11487" i="11"/>
  <c r="F11486" i="11"/>
  <c r="F11485" i="11"/>
  <c r="F11484" i="11"/>
  <c r="F11483" i="11"/>
  <c r="F11482" i="11"/>
  <c r="F11481" i="11"/>
  <c r="F11480" i="11"/>
  <c r="F11479" i="11"/>
  <c r="F11478" i="11"/>
  <c r="F11477" i="11"/>
  <c r="F11476" i="11"/>
  <c r="F11475" i="11"/>
  <c r="F11474" i="11"/>
  <c r="F11473" i="11"/>
  <c r="F11472" i="11"/>
  <c r="F11471" i="11"/>
  <c r="F11470" i="11"/>
  <c r="F11469" i="11"/>
  <c r="F11468" i="11"/>
  <c r="F11467" i="11"/>
  <c r="F11466" i="11"/>
  <c r="F11465" i="11"/>
  <c r="F11464" i="11"/>
  <c r="F11463" i="11"/>
  <c r="F11462" i="11"/>
  <c r="F11461" i="11"/>
  <c r="F11460" i="11"/>
  <c r="F11459" i="11"/>
  <c r="F11458" i="11"/>
  <c r="F11457" i="11"/>
  <c r="F11456" i="11"/>
  <c r="F11455" i="11"/>
  <c r="F11454" i="11"/>
  <c r="F11453" i="11"/>
  <c r="F11452" i="11"/>
  <c r="F11451" i="11"/>
  <c r="F11450" i="11"/>
  <c r="F11449" i="11"/>
  <c r="F11448" i="11"/>
  <c r="F11447" i="11"/>
  <c r="F11446" i="11"/>
  <c r="F11445" i="11"/>
  <c r="F11444" i="11"/>
  <c r="F11443" i="11"/>
  <c r="F11442" i="11"/>
  <c r="F11441" i="11"/>
  <c r="F11440" i="11"/>
  <c r="F11439" i="11"/>
  <c r="F11438" i="11"/>
  <c r="F11437" i="11"/>
  <c r="F11436" i="11"/>
  <c r="F11435" i="11"/>
  <c r="F11434" i="11"/>
  <c r="F11433" i="11"/>
  <c r="F11432" i="11"/>
  <c r="F11431" i="11"/>
  <c r="F11430" i="11"/>
  <c r="F11429" i="11"/>
  <c r="F11428" i="11"/>
  <c r="F11427" i="11"/>
  <c r="F11426" i="11"/>
  <c r="F11425" i="11"/>
  <c r="F11424" i="11"/>
  <c r="F11423" i="11"/>
  <c r="F11422" i="11"/>
  <c r="F11421" i="11"/>
  <c r="F11420" i="11"/>
  <c r="F11419" i="11"/>
  <c r="F11418" i="11"/>
  <c r="F11417" i="11"/>
  <c r="F11416" i="11"/>
  <c r="F11415" i="11"/>
  <c r="F11414" i="11"/>
  <c r="F11413" i="11"/>
  <c r="F11412" i="11"/>
  <c r="F11411" i="11"/>
  <c r="F11410" i="11"/>
  <c r="F11409" i="11"/>
  <c r="F11408" i="11"/>
  <c r="F11407" i="11"/>
  <c r="F11406" i="11"/>
  <c r="F11405" i="11"/>
  <c r="F11404" i="11"/>
  <c r="F11403" i="11"/>
  <c r="F11402" i="11"/>
  <c r="F11401" i="11"/>
  <c r="F11400" i="11"/>
  <c r="F11399" i="11"/>
  <c r="F11398" i="11"/>
  <c r="F11397" i="11"/>
  <c r="F11396" i="11"/>
  <c r="F11395" i="11"/>
  <c r="F11394" i="11"/>
  <c r="F11393" i="11"/>
  <c r="F11392" i="11"/>
  <c r="F11391" i="11"/>
  <c r="F11390" i="11"/>
  <c r="F11389" i="11"/>
  <c r="F11388" i="11"/>
  <c r="F11387" i="11"/>
  <c r="F11386" i="11"/>
  <c r="F11385" i="11"/>
  <c r="F11384" i="11"/>
  <c r="F11383" i="11"/>
  <c r="F11382" i="11"/>
  <c r="F11381" i="11"/>
  <c r="F11380" i="11"/>
  <c r="F11379" i="11"/>
  <c r="F11378" i="11"/>
  <c r="F11377" i="11"/>
  <c r="F11376" i="11"/>
  <c r="F11375" i="11"/>
  <c r="F11374" i="11"/>
  <c r="F11373" i="11"/>
  <c r="F11372" i="11"/>
  <c r="F11371" i="11"/>
  <c r="F11370" i="11"/>
  <c r="F11369" i="11"/>
  <c r="F11368" i="11"/>
  <c r="F11367" i="11"/>
  <c r="F11366" i="11"/>
  <c r="F11365" i="11"/>
  <c r="F11364" i="11"/>
  <c r="F11363" i="11"/>
  <c r="F11362" i="11"/>
  <c r="F11361" i="11"/>
  <c r="F11360" i="11"/>
  <c r="F11359" i="11"/>
  <c r="F11358" i="11"/>
  <c r="F11357" i="11"/>
  <c r="F11356" i="11"/>
  <c r="F11355" i="11"/>
  <c r="F11354" i="11"/>
  <c r="F11353" i="11"/>
  <c r="F11352" i="11"/>
  <c r="F11351" i="11"/>
  <c r="F11350" i="11"/>
  <c r="F11349" i="11"/>
  <c r="F11348" i="11"/>
  <c r="F11347" i="11"/>
  <c r="F11346" i="11"/>
  <c r="F11345" i="11"/>
  <c r="F11344" i="11"/>
  <c r="F11343" i="11"/>
  <c r="F11342" i="11"/>
  <c r="F11341" i="11"/>
  <c r="F11340" i="11"/>
  <c r="F11339" i="11"/>
  <c r="F11338" i="11"/>
  <c r="F11337" i="11"/>
  <c r="F11336" i="11"/>
  <c r="F11335" i="11"/>
  <c r="F11334" i="11"/>
  <c r="F11333" i="11"/>
  <c r="F11332" i="11"/>
  <c r="F11331" i="11"/>
  <c r="F11330" i="11"/>
  <c r="F11329" i="11"/>
  <c r="F11328" i="11"/>
  <c r="F11327" i="11"/>
  <c r="F11326" i="11"/>
  <c r="F11325" i="11"/>
  <c r="F11324" i="11"/>
  <c r="F11323" i="11"/>
  <c r="F11322" i="11"/>
  <c r="F11321" i="11"/>
  <c r="F11320" i="11"/>
  <c r="F11319" i="11"/>
  <c r="F11318" i="11"/>
  <c r="F11317" i="11"/>
  <c r="F11316" i="11"/>
  <c r="F11315" i="11"/>
  <c r="F11314" i="11"/>
  <c r="F11313" i="11"/>
  <c r="F11312" i="11"/>
  <c r="F11311" i="11"/>
  <c r="F11310" i="11"/>
  <c r="F11309" i="11"/>
  <c r="F11308" i="11"/>
  <c r="F11307" i="11"/>
  <c r="F11306" i="11"/>
  <c r="F11305" i="11"/>
  <c r="F11304" i="11"/>
  <c r="F11303" i="11"/>
  <c r="F11302" i="11"/>
  <c r="F11301" i="11"/>
  <c r="F11300" i="11"/>
  <c r="F11299" i="11"/>
  <c r="F11298" i="11"/>
  <c r="F11297" i="11"/>
  <c r="F11296" i="11"/>
  <c r="F11295" i="11"/>
  <c r="F11294" i="11"/>
  <c r="F11293" i="11"/>
  <c r="F11292" i="11"/>
  <c r="F11291" i="11"/>
  <c r="F11290" i="11"/>
  <c r="F11289" i="11"/>
  <c r="F11288" i="11"/>
  <c r="F11287" i="11"/>
  <c r="F11286" i="11"/>
  <c r="F11285" i="11"/>
  <c r="F11284" i="11"/>
  <c r="F11283" i="11"/>
  <c r="F11282" i="11"/>
  <c r="F11281" i="11"/>
  <c r="F11280" i="11"/>
  <c r="F11279" i="11"/>
  <c r="F11278" i="11"/>
  <c r="F11277" i="11"/>
  <c r="F11276" i="11"/>
  <c r="F11275" i="11"/>
  <c r="F11274" i="11"/>
  <c r="F11273" i="11"/>
  <c r="F11272" i="11"/>
  <c r="F11271" i="11"/>
  <c r="F11270" i="11"/>
  <c r="F11269" i="11"/>
  <c r="F11268" i="11"/>
  <c r="F11267" i="11"/>
  <c r="F11266" i="11"/>
  <c r="F11265" i="11"/>
  <c r="F11264" i="11"/>
  <c r="F11263" i="11"/>
  <c r="F11262" i="11"/>
  <c r="F11261" i="11"/>
  <c r="F11260" i="11"/>
  <c r="F11259" i="11"/>
  <c r="F11258" i="11"/>
  <c r="F11257" i="11"/>
  <c r="H11257" i="11" s="1"/>
  <c r="F11256" i="11"/>
  <c r="H11256" i="11" s="1"/>
  <c r="F11255" i="11"/>
  <c r="H11255" i="11" s="1"/>
  <c r="F11254" i="11"/>
  <c r="H11254" i="11" s="1"/>
  <c r="F11253" i="11"/>
  <c r="H11253" i="11" s="1"/>
  <c r="F11252" i="11"/>
  <c r="H11252" i="11" s="1"/>
  <c r="F11251" i="11"/>
  <c r="H11251" i="11" s="1"/>
  <c r="F11250" i="11"/>
  <c r="H11250" i="11" s="1"/>
  <c r="F11249" i="11"/>
  <c r="H11249" i="11" s="1"/>
  <c r="F11248" i="11"/>
  <c r="H11248" i="11" s="1"/>
  <c r="F11247" i="11"/>
  <c r="H11247" i="11" s="1"/>
  <c r="F11246" i="11"/>
  <c r="H11246" i="11" s="1"/>
  <c r="F11245" i="11"/>
  <c r="H11245" i="11" s="1"/>
  <c r="F11244" i="11"/>
  <c r="H11244" i="11" s="1"/>
  <c r="F11243" i="11"/>
  <c r="H11243" i="11" s="1"/>
  <c r="F11242" i="11"/>
  <c r="H11242" i="11" s="1"/>
  <c r="F11241" i="11"/>
  <c r="H11241" i="11" s="1"/>
  <c r="F11240" i="11"/>
  <c r="H11240" i="11" s="1"/>
  <c r="F11239" i="11"/>
  <c r="H11239" i="11" s="1"/>
  <c r="F11238" i="11"/>
  <c r="H11238" i="11" s="1"/>
  <c r="F11237" i="11"/>
  <c r="H11237" i="11" s="1"/>
  <c r="F11236" i="11"/>
  <c r="H11236" i="11" s="1"/>
  <c r="F11235" i="11"/>
  <c r="H11235" i="11" s="1"/>
  <c r="F11234" i="11"/>
  <c r="H11234" i="11" s="1"/>
  <c r="F11233" i="11"/>
  <c r="H11233" i="11" s="1"/>
  <c r="F11232" i="11"/>
  <c r="H11232" i="11" s="1"/>
  <c r="F11231" i="11"/>
  <c r="H11231" i="11" s="1"/>
  <c r="F11230" i="11"/>
  <c r="H11230" i="11" s="1"/>
  <c r="F11229" i="11"/>
  <c r="H11229" i="11" s="1"/>
  <c r="F11228" i="11"/>
  <c r="H11228" i="11" s="1"/>
  <c r="F11227" i="11"/>
  <c r="H11227" i="11" s="1"/>
  <c r="F11226" i="11"/>
  <c r="H11226" i="11" s="1"/>
  <c r="F11225" i="11"/>
  <c r="H11225" i="11" s="1"/>
  <c r="F11224" i="11"/>
  <c r="H11224" i="11" s="1"/>
  <c r="F11223" i="11"/>
  <c r="H11223" i="11" s="1"/>
  <c r="F11222" i="11"/>
  <c r="H11222" i="11" s="1"/>
  <c r="F11221" i="11"/>
  <c r="H11221" i="11" s="1"/>
  <c r="F11220" i="11"/>
  <c r="H11220" i="11" s="1"/>
  <c r="F11219" i="11"/>
  <c r="H11219" i="11" s="1"/>
  <c r="F11218" i="11"/>
  <c r="H11218" i="11" s="1"/>
  <c r="F11217" i="11"/>
  <c r="H11217" i="11" s="1"/>
  <c r="F11216" i="11"/>
  <c r="H11216" i="11" s="1"/>
  <c r="F11215" i="11"/>
  <c r="H11215" i="11" s="1"/>
  <c r="F11214" i="11"/>
  <c r="H11214" i="11" s="1"/>
  <c r="H11213" i="11"/>
  <c r="F11213" i="11"/>
  <c r="F11212" i="11"/>
  <c r="H11212" i="11" s="1"/>
  <c r="F11211" i="11"/>
  <c r="H11211" i="11" s="1"/>
  <c r="F11210" i="11"/>
  <c r="H11210" i="11" s="1"/>
  <c r="F11209" i="11"/>
  <c r="H11209" i="11" s="1"/>
  <c r="F11208" i="11"/>
  <c r="H11208" i="11" s="1"/>
  <c r="F11207" i="11"/>
  <c r="H11207" i="11" s="1"/>
  <c r="F11206" i="11"/>
  <c r="H11206" i="11" s="1"/>
  <c r="F11205" i="11"/>
  <c r="H11205" i="11" s="1"/>
  <c r="F11204" i="11"/>
  <c r="H11204" i="11" s="1"/>
  <c r="F11203" i="11"/>
  <c r="H11203" i="11" s="1"/>
  <c r="F11202" i="11"/>
  <c r="H11202" i="11" s="1"/>
  <c r="F11201" i="11"/>
  <c r="H11201" i="11" s="1"/>
  <c r="F11200" i="11"/>
  <c r="H11200" i="11" s="1"/>
  <c r="F11199" i="11"/>
  <c r="H11199" i="11" s="1"/>
  <c r="F11198" i="11"/>
  <c r="H11198" i="11" s="1"/>
  <c r="F11197" i="11"/>
  <c r="H11197" i="11" s="1"/>
  <c r="F11196" i="11"/>
  <c r="H11196" i="11" s="1"/>
  <c r="F11195" i="11"/>
  <c r="H11195" i="11" s="1"/>
  <c r="F11194" i="11"/>
  <c r="H11194" i="11" s="1"/>
  <c r="F11193" i="11"/>
  <c r="H11193" i="11" s="1"/>
  <c r="F11192" i="11"/>
  <c r="H11192" i="11" s="1"/>
  <c r="F11191" i="11"/>
  <c r="H11191" i="11" s="1"/>
  <c r="F11190" i="11"/>
  <c r="H11190" i="11" s="1"/>
  <c r="F11189" i="11"/>
  <c r="H11189" i="11" s="1"/>
  <c r="F11188" i="11"/>
  <c r="H11188" i="11" s="1"/>
  <c r="F11187" i="11"/>
  <c r="H11187" i="11" s="1"/>
  <c r="F11186" i="11"/>
  <c r="H11186" i="11" s="1"/>
  <c r="F11185" i="11"/>
  <c r="H11185" i="11" s="1"/>
  <c r="F11184" i="11"/>
  <c r="H11184" i="11" s="1"/>
  <c r="F11183" i="11"/>
  <c r="H11183" i="11" s="1"/>
  <c r="F11182" i="11"/>
  <c r="H11182" i="11" s="1"/>
  <c r="F11181" i="11"/>
  <c r="H11181" i="11" s="1"/>
  <c r="F11180" i="11"/>
  <c r="H11180" i="11" s="1"/>
  <c r="F11179" i="11"/>
  <c r="H11179" i="11" s="1"/>
  <c r="F11178" i="11"/>
  <c r="H11178" i="11" s="1"/>
  <c r="F11177" i="11"/>
  <c r="H11177" i="11" s="1"/>
  <c r="F11176" i="11"/>
  <c r="H11176" i="11" s="1"/>
  <c r="H11175" i="11"/>
  <c r="F11175" i="11"/>
  <c r="F11174" i="11"/>
  <c r="H11174" i="11" s="1"/>
  <c r="F11173" i="11"/>
  <c r="H11173" i="11" s="1"/>
  <c r="F11172" i="11"/>
  <c r="H11172" i="11" s="1"/>
  <c r="F11171" i="11"/>
  <c r="H11171" i="11" s="1"/>
  <c r="F11170" i="11"/>
  <c r="H11170" i="11" s="1"/>
  <c r="F11169" i="11"/>
  <c r="H11169" i="11" s="1"/>
  <c r="F11168" i="11"/>
  <c r="H11168" i="11" s="1"/>
  <c r="F11167" i="11"/>
  <c r="H11167" i="11" s="1"/>
  <c r="F11166" i="11"/>
  <c r="H11166" i="11" s="1"/>
  <c r="F11165" i="11"/>
  <c r="H11165" i="11" s="1"/>
  <c r="H11164" i="11"/>
  <c r="F11164" i="11"/>
  <c r="F11163" i="11"/>
  <c r="H11163" i="11" s="1"/>
  <c r="F11162" i="11"/>
  <c r="H11162" i="11" s="1"/>
  <c r="F11161" i="11"/>
  <c r="H11161" i="11" s="1"/>
  <c r="F11160" i="11"/>
  <c r="H11160" i="11" s="1"/>
  <c r="H11159" i="11"/>
  <c r="F11159" i="11"/>
  <c r="F11158" i="11"/>
  <c r="H11158" i="11" s="1"/>
  <c r="F11157" i="11"/>
  <c r="H11157" i="11" s="1"/>
  <c r="F11156" i="11"/>
  <c r="H11156" i="11" s="1"/>
  <c r="F11155" i="11"/>
  <c r="H11155" i="11" s="1"/>
  <c r="F11154" i="11"/>
  <c r="H11154" i="11" s="1"/>
  <c r="F11153" i="11"/>
  <c r="H11153" i="11" s="1"/>
  <c r="H11152" i="11"/>
  <c r="F11152" i="11"/>
  <c r="F11151" i="11"/>
  <c r="H11151" i="11" s="1"/>
  <c r="F11150" i="11"/>
  <c r="H11150" i="11" s="1"/>
  <c r="F11149" i="11"/>
  <c r="H11149" i="11" s="1"/>
  <c r="H11148" i="11"/>
  <c r="F11148" i="11"/>
  <c r="F11147" i="11"/>
  <c r="H11147" i="11" s="1"/>
  <c r="F11146" i="11"/>
  <c r="H11146" i="11" s="1"/>
  <c r="F11145" i="11"/>
  <c r="H11145" i="11" s="1"/>
  <c r="F11144" i="11"/>
  <c r="H11144" i="11" s="1"/>
  <c r="F11143" i="11"/>
  <c r="H11143" i="11" s="1"/>
  <c r="F11142" i="11"/>
  <c r="H11142" i="11" s="1"/>
  <c r="F11141" i="11"/>
  <c r="H11141" i="11" s="1"/>
  <c r="F11140" i="11"/>
  <c r="H11140" i="11" s="1"/>
  <c r="F11139" i="11"/>
  <c r="H11139" i="11" s="1"/>
  <c r="F11138" i="11"/>
  <c r="H11138" i="11" s="1"/>
  <c r="F11137" i="11"/>
  <c r="H11137" i="11" s="1"/>
  <c r="F11136" i="11"/>
  <c r="H11136" i="11" s="1"/>
  <c r="F11135" i="11"/>
  <c r="H11135" i="11" s="1"/>
  <c r="F11134" i="11"/>
  <c r="H11134" i="11" s="1"/>
  <c r="F11133" i="11"/>
  <c r="H11133" i="11" s="1"/>
  <c r="F11132" i="11"/>
  <c r="H11132" i="11" s="1"/>
  <c r="F11131" i="11"/>
  <c r="H11131" i="11" s="1"/>
  <c r="F11130" i="11"/>
  <c r="H11130" i="11" s="1"/>
  <c r="F11129" i="11"/>
  <c r="H11129" i="11" s="1"/>
  <c r="F11128" i="11"/>
  <c r="H11128" i="11" s="1"/>
  <c r="F11127" i="11"/>
  <c r="H11127" i="11" s="1"/>
  <c r="F11126" i="11"/>
  <c r="H11126" i="11" s="1"/>
  <c r="F11125" i="11"/>
  <c r="H11125" i="11" s="1"/>
  <c r="F11124" i="11"/>
  <c r="H11124" i="11" s="1"/>
  <c r="F11123" i="11"/>
  <c r="H11123" i="11" s="1"/>
  <c r="F11122" i="11"/>
  <c r="H11122" i="11" s="1"/>
  <c r="F11121" i="11"/>
  <c r="H11121" i="11" s="1"/>
  <c r="F11120" i="11"/>
  <c r="H11120" i="11" s="1"/>
  <c r="F11119" i="11"/>
  <c r="H11119" i="11" s="1"/>
  <c r="F11118" i="11"/>
  <c r="H11118" i="11" s="1"/>
  <c r="F11117" i="11"/>
  <c r="H11117" i="11" s="1"/>
  <c r="F11116" i="11"/>
  <c r="H11116" i="11" s="1"/>
  <c r="F11115" i="11"/>
  <c r="H11115" i="11" s="1"/>
  <c r="F11114" i="11"/>
  <c r="H11114" i="11" s="1"/>
  <c r="F11113" i="11"/>
  <c r="H11113" i="11" s="1"/>
  <c r="F11112" i="11"/>
  <c r="H11112" i="11" s="1"/>
  <c r="F11111" i="11"/>
  <c r="H11111" i="11" s="1"/>
  <c r="F11110" i="11"/>
  <c r="H11110" i="11" s="1"/>
  <c r="F11109" i="11"/>
  <c r="H11109" i="11" s="1"/>
  <c r="F11108" i="11"/>
  <c r="H11108" i="11" s="1"/>
  <c r="F11107" i="11"/>
  <c r="H11107" i="11" s="1"/>
  <c r="F11106" i="11"/>
  <c r="H11106" i="11" s="1"/>
  <c r="F11105" i="11"/>
  <c r="H11105" i="11" s="1"/>
  <c r="H11104" i="11"/>
  <c r="F11104" i="11"/>
  <c r="F11103" i="11"/>
  <c r="H11103" i="11" s="1"/>
  <c r="F11102" i="11"/>
  <c r="H11102" i="11" s="1"/>
  <c r="F11101" i="11"/>
  <c r="H11101" i="11" s="1"/>
  <c r="F11100" i="11"/>
  <c r="H11100" i="11" s="1"/>
  <c r="F11099" i="11"/>
  <c r="H11099" i="11" s="1"/>
  <c r="F11098" i="11"/>
  <c r="H11098" i="11" s="1"/>
  <c r="F11097" i="11"/>
  <c r="H11097" i="11" s="1"/>
  <c r="F11096" i="11"/>
  <c r="H11096" i="11" s="1"/>
  <c r="F11095" i="11"/>
  <c r="H11095" i="11" s="1"/>
  <c r="F11094" i="11"/>
  <c r="H11094" i="11" s="1"/>
  <c r="F11093" i="11"/>
  <c r="H11093" i="11" s="1"/>
  <c r="F11092" i="11"/>
  <c r="H11092" i="11" s="1"/>
  <c r="F11091" i="11"/>
  <c r="H11091" i="11" s="1"/>
  <c r="F11090" i="11"/>
  <c r="H11090" i="11" s="1"/>
  <c r="F11089" i="11"/>
  <c r="H11089" i="11" s="1"/>
  <c r="F11088" i="11"/>
  <c r="H11088" i="11" s="1"/>
  <c r="F11087" i="11"/>
  <c r="H11087" i="11" s="1"/>
  <c r="F11086" i="11"/>
  <c r="H11086" i="11" s="1"/>
  <c r="F11085" i="11"/>
  <c r="H11085" i="11" s="1"/>
  <c r="F11084" i="11"/>
  <c r="H11084" i="11" s="1"/>
  <c r="F11083" i="11"/>
  <c r="H11083" i="11" s="1"/>
  <c r="F11082" i="11"/>
  <c r="H11082" i="11" s="1"/>
  <c r="F11081" i="11"/>
  <c r="H11081" i="11" s="1"/>
  <c r="F11080" i="11"/>
  <c r="H11080" i="11" s="1"/>
  <c r="F11079" i="11"/>
  <c r="H11079" i="11" s="1"/>
  <c r="F11078" i="11"/>
  <c r="H11078" i="11" s="1"/>
  <c r="F11077" i="11"/>
  <c r="H11077" i="11" s="1"/>
  <c r="F11076" i="11"/>
  <c r="H11076" i="11" s="1"/>
  <c r="F11075" i="11"/>
  <c r="H11075" i="11" s="1"/>
  <c r="F11074" i="11"/>
  <c r="H11074" i="11" s="1"/>
  <c r="F11073" i="11"/>
  <c r="H11073" i="11" s="1"/>
  <c r="H11072" i="11"/>
  <c r="F11072" i="11"/>
  <c r="F11071" i="11"/>
  <c r="H11071" i="11" s="1"/>
  <c r="F11070" i="11"/>
  <c r="H11070" i="11" s="1"/>
  <c r="F11069" i="11"/>
  <c r="H11069" i="11" s="1"/>
  <c r="F11068" i="11"/>
  <c r="H11068" i="11" s="1"/>
  <c r="H11067" i="11"/>
  <c r="F11067" i="11"/>
  <c r="F11066" i="11"/>
  <c r="H11066" i="11" s="1"/>
  <c r="F11065" i="11"/>
  <c r="H11065" i="11" s="1"/>
  <c r="F11064" i="11"/>
  <c r="H11064" i="11" s="1"/>
  <c r="F11063" i="11"/>
  <c r="H11063" i="11" s="1"/>
  <c r="F11062" i="11"/>
  <c r="H11062" i="11" s="1"/>
  <c r="F11061" i="11"/>
  <c r="H11061" i="11" s="1"/>
  <c r="F11060" i="11"/>
  <c r="H11060" i="11" s="1"/>
  <c r="F11059" i="11"/>
  <c r="H11059" i="11" s="1"/>
  <c r="F11058" i="11"/>
  <c r="H11058" i="11" s="1"/>
  <c r="F11057" i="11"/>
  <c r="H11057" i="11" s="1"/>
  <c r="F11056" i="11"/>
  <c r="H11056" i="11" s="1"/>
  <c r="F11055" i="11"/>
  <c r="H11055" i="11" s="1"/>
  <c r="F11054" i="11"/>
  <c r="H11054" i="11" s="1"/>
  <c r="F11053" i="11"/>
  <c r="H11053" i="11" s="1"/>
  <c r="F11052" i="11"/>
  <c r="H11052" i="11" s="1"/>
  <c r="F11051" i="11"/>
  <c r="H11051" i="11" s="1"/>
  <c r="F11050" i="11"/>
  <c r="H11050" i="11" s="1"/>
  <c r="F11049" i="11"/>
  <c r="H11049" i="11" s="1"/>
  <c r="F11048" i="11"/>
  <c r="H11048" i="11" s="1"/>
  <c r="F11047" i="11"/>
  <c r="H11047" i="11" s="1"/>
  <c r="F11046" i="11"/>
  <c r="H11046" i="11" s="1"/>
  <c r="F11045" i="11"/>
  <c r="H11045" i="11" s="1"/>
  <c r="F11044" i="11"/>
  <c r="H11044" i="11" s="1"/>
  <c r="F11043" i="11"/>
  <c r="H11043" i="11" s="1"/>
  <c r="F11042" i="11"/>
  <c r="H11042" i="11" s="1"/>
  <c r="F11041" i="11"/>
  <c r="H11041" i="11" s="1"/>
  <c r="F11040" i="11"/>
  <c r="H11040" i="11" s="1"/>
  <c r="F11039" i="11"/>
  <c r="H11039" i="11" s="1"/>
  <c r="F11038" i="11"/>
  <c r="H11038" i="11" s="1"/>
  <c r="F11037" i="11"/>
  <c r="H11037" i="11" s="1"/>
  <c r="F11036" i="11"/>
  <c r="H11036" i="11" s="1"/>
  <c r="F11035" i="11"/>
  <c r="H11035" i="11" s="1"/>
  <c r="F11034" i="11"/>
  <c r="H11034" i="11" s="1"/>
  <c r="F11033" i="11"/>
  <c r="H11033" i="11" s="1"/>
  <c r="F11032" i="11"/>
  <c r="H11032" i="11" s="1"/>
  <c r="F11031" i="11"/>
  <c r="H11031" i="11" s="1"/>
  <c r="F11030" i="11"/>
  <c r="H11030" i="11" s="1"/>
  <c r="F11029" i="11"/>
  <c r="H11029" i="11" s="1"/>
  <c r="F11028" i="11"/>
  <c r="H11028" i="11" s="1"/>
  <c r="F11027" i="11"/>
  <c r="H11027" i="11" s="1"/>
  <c r="F11026" i="11"/>
  <c r="H11026" i="11" s="1"/>
  <c r="F11025" i="11"/>
  <c r="H11025" i="11" s="1"/>
  <c r="F11024" i="11"/>
  <c r="H11024" i="11" s="1"/>
  <c r="F11023" i="11"/>
  <c r="H11023" i="11" s="1"/>
  <c r="F11022" i="11"/>
  <c r="H11022" i="11" s="1"/>
  <c r="F11021" i="11"/>
  <c r="H11021" i="11" s="1"/>
  <c r="F11020" i="11"/>
  <c r="H11020" i="11" s="1"/>
  <c r="F11019" i="11"/>
  <c r="H11019" i="11" s="1"/>
  <c r="F11018" i="11"/>
  <c r="H11018" i="11" s="1"/>
  <c r="F11017" i="11"/>
  <c r="H11017" i="11" s="1"/>
  <c r="F11016" i="11"/>
  <c r="H11016" i="11" s="1"/>
  <c r="F11015" i="11"/>
  <c r="H11015" i="11" s="1"/>
  <c r="F11014" i="11"/>
  <c r="H11014" i="11" s="1"/>
  <c r="F11013" i="11"/>
  <c r="H11013" i="11" s="1"/>
  <c r="F11012" i="11"/>
  <c r="H11012" i="11" s="1"/>
  <c r="F11011" i="11"/>
  <c r="H11011" i="11" s="1"/>
  <c r="F11010" i="11"/>
  <c r="H11010" i="11" s="1"/>
  <c r="F11009" i="11"/>
  <c r="H11009" i="11" s="1"/>
  <c r="F11008" i="11"/>
  <c r="H11008" i="11" s="1"/>
  <c r="F11007" i="11"/>
  <c r="H11007" i="11" s="1"/>
  <c r="F11006" i="11"/>
  <c r="H11006" i="11" s="1"/>
  <c r="F11005" i="11"/>
  <c r="H11005" i="11" s="1"/>
  <c r="F11004" i="11"/>
  <c r="H11004" i="11" s="1"/>
  <c r="F11003" i="11"/>
  <c r="H11003" i="11" s="1"/>
  <c r="F11002" i="11"/>
  <c r="H11002" i="11" s="1"/>
  <c r="F11001" i="11"/>
  <c r="H11001" i="11" s="1"/>
  <c r="F11000" i="11"/>
  <c r="H11000" i="11" s="1"/>
  <c r="H10999" i="11"/>
  <c r="F10999" i="11"/>
  <c r="F10998" i="11"/>
  <c r="H10998" i="11" s="1"/>
  <c r="F10997" i="11"/>
  <c r="H10997" i="11" s="1"/>
  <c r="F10996" i="11"/>
  <c r="H10996" i="11" s="1"/>
  <c r="F10995" i="11"/>
  <c r="H10995" i="11" s="1"/>
  <c r="F10994" i="11"/>
  <c r="H10994" i="11" s="1"/>
  <c r="F10993" i="11"/>
  <c r="H10993" i="11" s="1"/>
  <c r="F10992" i="11"/>
  <c r="H10992" i="11" s="1"/>
  <c r="F10991" i="11"/>
  <c r="H10991" i="11" s="1"/>
  <c r="F10990" i="11"/>
  <c r="H10990" i="11" s="1"/>
  <c r="F10989" i="11"/>
  <c r="H10989" i="11" s="1"/>
  <c r="F10988" i="11"/>
  <c r="H10988" i="11" s="1"/>
  <c r="F10987" i="11"/>
  <c r="H10987" i="11" s="1"/>
  <c r="F10986" i="11"/>
  <c r="H10986" i="11" s="1"/>
  <c r="F10985" i="11"/>
  <c r="H10985" i="11" s="1"/>
  <c r="F10984" i="11"/>
  <c r="H10984" i="11" s="1"/>
  <c r="F10983" i="11"/>
  <c r="H10983" i="11" s="1"/>
  <c r="F10982" i="11"/>
  <c r="H10982" i="11" s="1"/>
  <c r="F10981" i="11"/>
  <c r="H10981" i="11" s="1"/>
  <c r="F10980" i="11"/>
  <c r="H10980" i="11" s="1"/>
  <c r="F10979" i="11"/>
  <c r="H10979" i="11" s="1"/>
  <c r="F10978" i="11"/>
  <c r="H10978" i="11" s="1"/>
  <c r="F10977" i="11"/>
  <c r="H10977" i="11" s="1"/>
  <c r="F10976" i="11"/>
  <c r="H10976" i="11" s="1"/>
  <c r="F10975" i="11"/>
  <c r="H10975" i="11" s="1"/>
  <c r="F10974" i="11"/>
  <c r="H10974" i="11" s="1"/>
  <c r="F10973" i="11"/>
  <c r="H10973" i="11" s="1"/>
  <c r="F10972" i="11"/>
  <c r="H10972" i="11" s="1"/>
  <c r="F10971" i="11"/>
  <c r="H10971" i="11" s="1"/>
  <c r="F10970" i="11"/>
  <c r="H10970" i="11" s="1"/>
  <c r="F10969" i="11"/>
  <c r="H10969" i="11" s="1"/>
  <c r="F10968" i="11"/>
  <c r="H10968" i="11" s="1"/>
  <c r="F10967" i="11"/>
  <c r="H10967" i="11" s="1"/>
  <c r="F10966" i="11"/>
  <c r="H10966" i="11" s="1"/>
  <c r="F10965" i="11"/>
  <c r="H10965" i="11" s="1"/>
  <c r="F10964" i="11"/>
  <c r="H10964" i="11" s="1"/>
  <c r="H10963" i="11"/>
  <c r="F10963" i="11"/>
  <c r="F10962" i="11"/>
  <c r="H10962" i="11" s="1"/>
  <c r="F10961" i="11"/>
  <c r="H10961" i="11" s="1"/>
  <c r="F10960" i="11"/>
  <c r="H10960" i="11" s="1"/>
  <c r="F10959" i="11"/>
  <c r="H10959" i="11" s="1"/>
  <c r="F10958" i="11"/>
  <c r="H10958" i="11" s="1"/>
  <c r="F10957" i="11"/>
  <c r="H10957" i="11" s="1"/>
  <c r="F10956" i="11"/>
  <c r="H10956" i="11" s="1"/>
  <c r="F10955" i="11"/>
  <c r="H10955" i="11" s="1"/>
  <c r="F10954" i="11"/>
  <c r="H10954" i="11" s="1"/>
  <c r="F10953" i="11"/>
  <c r="H10953" i="11" s="1"/>
  <c r="F10952" i="11"/>
  <c r="H10952" i="11" s="1"/>
  <c r="F10951" i="11"/>
  <c r="H10951" i="11" s="1"/>
  <c r="F10950" i="11"/>
  <c r="H10950" i="11" s="1"/>
  <c r="F10949" i="11"/>
  <c r="H10949" i="11" s="1"/>
  <c r="F10948" i="11"/>
  <c r="H10948" i="11" s="1"/>
  <c r="F10947" i="11"/>
  <c r="H10947" i="11" s="1"/>
  <c r="F10946" i="11"/>
  <c r="H10946" i="11" s="1"/>
  <c r="F10945" i="11"/>
  <c r="H10945" i="11" s="1"/>
  <c r="F10944" i="11"/>
  <c r="H10944" i="11" s="1"/>
  <c r="F10943" i="11"/>
  <c r="H10943" i="11" s="1"/>
  <c r="F10942" i="11"/>
  <c r="H10942" i="11" s="1"/>
  <c r="F10941" i="11"/>
  <c r="H10941" i="11" s="1"/>
  <c r="F10940" i="11"/>
  <c r="H10940" i="11" s="1"/>
  <c r="F10939" i="11"/>
  <c r="H10939" i="11" s="1"/>
  <c r="F10938" i="11"/>
  <c r="H10938" i="11" s="1"/>
  <c r="F10937" i="11"/>
  <c r="H10937" i="11" s="1"/>
  <c r="F10936" i="11"/>
  <c r="H10936" i="11" s="1"/>
  <c r="F10935" i="11"/>
  <c r="H10935" i="11" s="1"/>
  <c r="F10934" i="11"/>
  <c r="H10934" i="11" s="1"/>
  <c r="F10933" i="11"/>
  <c r="H10933" i="11" s="1"/>
  <c r="F10932" i="11"/>
  <c r="H10932" i="11" s="1"/>
  <c r="F10931" i="11"/>
  <c r="H10931" i="11" s="1"/>
  <c r="F10930" i="11"/>
  <c r="H10930" i="11" s="1"/>
  <c r="F10929" i="11"/>
  <c r="H10929" i="11" s="1"/>
  <c r="F10928" i="11"/>
  <c r="H10928" i="11" s="1"/>
  <c r="F10927" i="11"/>
  <c r="H10927" i="11" s="1"/>
  <c r="F10926" i="11"/>
  <c r="H10926" i="11" s="1"/>
  <c r="F10925" i="11"/>
  <c r="H10925" i="11" s="1"/>
  <c r="F10924" i="11"/>
  <c r="H10924" i="11" s="1"/>
  <c r="F10923" i="11"/>
  <c r="H10923" i="11" s="1"/>
  <c r="F10922" i="11"/>
  <c r="H10922" i="11" s="1"/>
  <c r="F10921" i="11"/>
  <c r="H10921" i="11" s="1"/>
  <c r="F10920" i="11"/>
  <c r="H10920" i="11" s="1"/>
  <c r="F10919" i="11"/>
  <c r="H10919" i="11" s="1"/>
  <c r="F10918" i="11"/>
  <c r="H10918" i="11" s="1"/>
  <c r="F10917" i="11"/>
  <c r="H10917" i="11" s="1"/>
  <c r="F10916" i="11"/>
  <c r="H10916" i="11" s="1"/>
  <c r="F10915" i="11"/>
  <c r="H10915" i="11" s="1"/>
  <c r="F10914" i="11"/>
  <c r="H10914" i="11" s="1"/>
  <c r="F10913" i="11"/>
  <c r="H10913" i="11" s="1"/>
  <c r="F10912" i="11"/>
  <c r="H10912" i="11" s="1"/>
  <c r="F10911" i="11"/>
  <c r="H10911" i="11" s="1"/>
  <c r="F10910" i="11"/>
  <c r="H10910" i="11" s="1"/>
  <c r="F10909" i="11"/>
  <c r="H10909" i="11" s="1"/>
  <c r="F10908" i="11"/>
  <c r="H10908" i="11" s="1"/>
  <c r="F10907" i="11"/>
  <c r="H10907" i="11" s="1"/>
  <c r="F10906" i="11"/>
  <c r="H10906" i="11" s="1"/>
  <c r="F10905" i="11"/>
  <c r="H10905" i="11" s="1"/>
  <c r="F10904" i="11"/>
  <c r="H10904" i="11" s="1"/>
  <c r="F10903" i="11"/>
  <c r="H10903" i="11" s="1"/>
  <c r="F10902" i="11"/>
  <c r="H10902" i="11" s="1"/>
  <c r="F10901" i="11"/>
  <c r="H10901" i="11" s="1"/>
  <c r="F10900" i="11"/>
  <c r="H10900" i="11" s="1"/>
  <c r="F10899" i="11"/>
  <c r="H10899" i="11" s="1"/>
  <c r="H10898" i="11"/>
  <c r="F10898" i="11"/>
  <c r="F10897" i="11"/>
  <c r="H10897" i="11" s="1"/>
  <c r="F10896" i="11"/>
  <c r="H10896" i="11" s="1"/>
  <c r="F10895" i="11"/>
  <c r="H10895" i="11" s="1"/>
  <c r="F10894" i="11"/>
  <c r="H10894" i="11" s="1"/>
  <c r="F10893" i="11"/>
  <c r="H10893" i="11" s="1"/>
  <c r="F10892" i="11"/>
  <c r="H10892" i="11" s="1"/>
  <c r="F10891" i="11"/>
  <c r="H10891" i="11" s="1"/>
  <c r="F10890" i="11"/>
  <c r="H10890" i="11" s="1"/>
  <c r="F10889" i="11"/>
  <c r="H10889" i="11" s="1"/>
  <c r="F10888" i="11"/>
  <c r="H10888" i="11" s="1"/>
  <c r="F10887" i="11"/>
  <c r="H10887" i="11" s="1"/>
  <c r="F10886" i="11"/>
  <c r="H10886" i="11" s="1"/>
  <c r="F10885" i="11"/>
  <c r="H10885" i="11" s="1"/>
  <c r="F10884" i="11"/>
  <c r="H10884" i="11" s="1"/>
  <c r="F10883" i="11"/>
  <c r="H10883" i="11" s="1"/>
  <c r="F10882" i="11"/>
  <c r="H10882" i="11" s="1"/>
  <c r="F10881" i="11"/>
  <c r="H10881" i="11" s="1"/>
  <c r="F10880" i="11"/>
  <c r="H10880" i="11" s="1"/>
  <c r="F10879" i="11"/>
  <c r="H10879" i="11" s="1"/>
  <c r="F10878" i="11"/>
  <c r="H10878" i="11" s="1"/>
  <c r="F10877" i="11"/>
  <c r="H10877" i="11" s="1"/>
  <c r="F10876" i="11"/>
  <c r="H10876" i="11" s="1"/>
  <c r="F10875" i="11"/>
  <c r="H10875" i="11" s="1"/>
  <c r="F10874" i="11"/>
  <c r="H10874" i="11" s="1"/>
  <c r="F10873" i="11"/>
  <c r="H10873" i="11" s="1"/>
  <c r="F10872" i="11"/>
  <c r="H10872" i="11" s="1"/>
  <c r="F10871" i="11"/>
  <c r="H10871" i="11" s="1"/>
  <c r="F10870" i="11"/>
  <c r="H10870" i="11" s="1"/>
  <c r="F10869" i="11"/>
  <c r="H10869" i="11" s="1"/>
  <c r="F10868" i="11"/>
  <c r="H10868" i="11" s="1"/>
  <c r="F10867" i="11"/>
  <c r="H10867" i="11" s="1"/>
  <c r="F10866" i="11"/>
  <c r="H10866" i="11" s="1"/>
  <c r="F10865" i="11"/>
  <c r="H10865" i="11" s="1"/>
  <c r="F10864" i="11"/>
  <c r="H10864" i="11" s="1"/>
  <c r="F10863" i="11"/>
  <c r="H10863" i="11" s="1"/>
  <c r="F10862" i="11"/>
  <c r="H10862" i="11" s="1"/>
  <c r="F10861" i="11"/>
  <c r="H10861" i="11" s="1"/>
  <c r="F10860" i="11"/>
  <c r="H10860" i="11" s="1"/>
  <c r="F10859" i="11"/>
  <c r="H10859" i="11" s="1"/>
  <c r="F10858" i="11"/>
  <c r="H10858" i="11" s="1"/>
  <c r="F10857" i="11"/>
  <c r="H10857" i="11" s="1"/>
  <c r="F10856" i="11"/>
  <c r="H10856" i="11" s="1"/>
  <c r="F10855" i="11"/>
  <c r="H10855" i="11" s="1"/>
  <c r="F10854" i="11"/>
  <c r="H10854" i="11" s="1"/>
  <c r="F10853" i="11"/>
  <c r="H10853" i="11" s="1"/>
  <c r="F10852" i="11"/>
  <c r="H10852" i="11" s="1"/>
  <c r="F10851" i="11"/>
  <c r="H10851" i="11" s="1"/>
  <c r="F10850" i="11"/>
  <c r="H10850" i="11" s="1"/>
  <c r="F10849" i="11"/>
  <c r="H10849" i="11" s="1"/>
  <c r="F10848" i="11"/>
  <c r="H10848" i="11" s="1"/>
  <c r="F10847" i="11"/>
  <c r="H10847" i="11" s="1"/>
  <c r="F10846" i="11"/>
  <c r="H10846" i="11" s="1"/>
  <c r="F10845" i="11"/>
  <c r="H10845" i="11" s="1"/>
  <c r="F10844" i="11"/>
  <c r="H10844" i="11" s="1"/>
  <c r="F10843" i="11"/>
  <c r="H10843" i="11" s="1"/>
  <c r="F10842" i="11"/>
  <c r="H10842" i="11" s="1"/>
  <c r="F10841" i="11"/>
  <c r="H10841" i="11" s="1"/>
  <c r="F10840" i="11"/>
  <c r="H10840" i="11" s="1"/>
  <c r="F10839" i="11"/>
  <c r="H10839" i="11" s="1"/>
  <c r="F10838" i="11"/>
  <c r="H10838" i="11" s="1"/>
  <c r="F10837" i="11"/>
  <c r="H10837" i="11" s="1"/>
  <c r="F10836" i="11"/>
  <c r="H10836" i="11" s="1"/>
  <c r="F10835" i="11"/>
  <c r="H10835" i="11" s="1"/>
  <c r="F10834" i="11"/>
  <c r="H10834" i="11" s="1"/>
  <c r="F10833" i="11"/>
  <c r="H10833" i="11" s="1"/>
  <c r="F10832" i="11"/>
  <c r="H10832" i="11" s="1"/>
  <c r="F10831" i="11"/>
  <c r="H10831" i="11" s="1"/>
  <c r="F10830" i="11"/>
  <c r="H10830" i="11" s="1"/>
  <c r="F10829" i="11"/>
  <c r="H10829" i="11" s="1"/>
  <c r="F10828" i="11"/>
  <c r="H10828" i="11" s="1"/>
  <c r="F10827" i="11"/>
  <c r="H10827" i="11" s="1"/>
  <c r="F10826" i="11"/>
  <c r="H10826" i="11" s="1"/>
  <c r="H10825" i="11"/>
  <c r="F10825" i="11"/>
  <c r="F10824" i="11"/>
  <c r="H10824" i="11" s="1"/>
  <c r="F10823" i="11"/>
  <c r="H10823" i="11" s="1"/>
  <c r="F10822" i="11"/>
  <c r="H10822" i="11" s="1"/>
  <c r="F10821" i="11"/>
  <c r="H10821" i="11" s="1"/>
  <c r="F10820" i="11"/>
  <c r="H10820" i="11" s="1"/>
  <c r="F10819" i="11"/>
  <c r="H10819" i="11" s="1"/>
  <c r="F10818" i="11"/>
  <c r="H10818" i="11" s="1"/>
  <c r="F10817" i="11"/>
  <c r="H10817" i="11" s="1"/>
  <c r="F10816" i="11"/>
  <c r="H10816" i="11" s="1"/>
  <c r="F10815" i="11"/>
  <c r="H10815" i="11" s="1"/>
  <c r="F10814" i="11"/>
  <c r="H10814" i="11" s="1"/>
  <c r="F10813" i="11"/>
  <c r="H10813" i="11" s="1"/>
  <c r="F10812" i="11"/>
  <c r="H10812" i="11" s="1"/>
  <c r="F10811" i="11"/>
  <c r="H10811" i="11" s="1"/>
  <c r="F10810" i="11"/>
  <c r="H10810" i="11" s="1"/>
  <c r="H10809" i="11"/>
  <c r="F10809" i="11"/>
  <c r="F10808" i="11"/>
  <c r="H10808" i="11" s="1"/>
  <c r="F10807" i="11"/>
  <c r="H10807" i="11" s="1"/>
  <c r="F10806" i="11"/>
  <c r="H10806" i="11" s="1"/>
  <c r="F10805" i="11"/>
  <c r="H10805" i="11" s="1"/>
  <c r="F10804" i="11"/>
  <c r="H10804" i="11" s="1"/>
  <c r="F10803" i="11"/>
  <c r="H10803" i="11" s="1"/>
  <c r="F10802" i="11"/>
  <c r="H10802" i="11" s="1"/>
  <c r="F10801" i="11"/>
  <c r="H10801" i="11" s="1"/>
  <c r="F10800" i="11"/>
  <c r="H10800" i="11" s="1"/>
  <c r="F10799" i="11"/>
  <c r="H10799" i="11" s="1"/>
  <c r="F10798" i="11"/>
  <c r="H10798" i="11" s="1"/>
  <c r="F10797" i="11"/>
  <c r="H10797" i="11" s="1"/>
  <c r="F10796" i="11"/>
  <c r="H10796" i="11" s="1"/>
  <c r="F10795" i="11"/>
  <c r="H10795" i="11" s="1"/>
  <c r="H10794" i="11"/>
  <c r="F10794" i="11"/>
  <c r="F10793" i="11"/>
  <c r="H10793" i="11" s="1"/>
  <c r="F10792" i="11"/>
  <c r="H10792" i="11" s="1"/>
  <c r="F10791" i="11"/>
  <c r="H10791" i="11" s="1"/>
  <c r="F10790" i="11"/>
  <c r="H10790" i="11" s="1"/>
  <c r="F10789" i="11"/>
  <c r="H10789" i="11" s="1"/>
  <c r="F10788" i="11"/>
  <c r="H10788" i="11" s="1"/>
  <c r="F10787" i="11"/>
  <c r="H10787" i="11" s="1"/>
  <c r="F10786" i="11"/>
  <c r="H10786" i="11" s="1"/>
  <c r="F10785" i="11"/>
  <c r="H10785" i="11" s="1"/>
  <c r="F10784" i="11"/>
  <c r="H10784" i="11" s="1"/>
  <c r="F10783" i="11"/>
  <c r="H10783" i="11" s="1"/>
  <c r="F10782" i="11"/>
  <c r="H10782" i="11" s="1"/>
  <c r="F10781" i="11"/>
  <c r="H10781" i="11" s="1"/>
  <c r="F10780" i="11"/>
  <c r="H10780" i="11" s="1"/>
  <c r="F10779" i="11"/>
  <c r="H10779" i="11" s="1"/>
  <c r="F10778" i="11"/>
  <c r="H10778" i="11" s="1"/>
  <c r="F10777" i="11"/>
  <c r="H10777" i="11" s="1"/>
  <c r="F10776" i="11"/>
  <c r="H10776" i="11" s="1"/>
  <c r="F10775" i="11"/>
  <c r="H10775" i="11" s="1"/>
  <c r="F10774" i="11"/>
  <c r="H10774" i="11" s="1"/>
  <c r="H10773" i="11"/>
  <c r="F10773" i="11"/>
  <c r="F10772" i="11"/>
  <c r="H10772" i="11" s="1"/>
  <c r="F10771" i="11"/>
  <c r="H10771" i="11" s="1"/>
  <c r="F10770" i="11"/>
  <c r="H10770" i="11" s="1"/>
  <c r="F10769" i="11"/>
  <c r="H10769" i="11" s="1"/>
  <c r="F10768" i="11"/>
  <c r="H10768" i="11" s="1"/>
  <c r="F10767" i="11"/>
  <c r="H10767" i="11" s="1"/>
  <c r="F10766" i="11"/>
  <c r="H10766" i="11" s="1"/>
  <c r="F10765" i="11"/>
  <c r="H10765" i="11" s="1"/>
  <c r="F10764" i="11"/>
  <c r="H10764" i="11" s="1"/>
  <c r="F10763" i="11"/>
  <c r="H10763" i="11" s="1"/>
  <c r="F10762" i="11"/>
  <c r="H10762" i="11" s="1"/>
  <c r="F10761" i="11"/>
  <c r="H10761" i="11" s="1"/>
  <c r="F10760" i="11"/>
  <c r="H10760" i="11" s="1"/>
  <c r="F10759" i="11"/>
  <c r="H10759" i="11" s="1"/>
  <c r="F10758" i="11"/>
  <c r="H10758" i="11" s="1"/>
  <c r="F10757" i="11"/>
  <c r="H10757" i="11" s="1"/>
  <c r="F10756" i="11"/>
  <c r="H10756" i="11" s="1"/>
  <c r="F10755" i="11"/>
  <c r="H10755" i="11" s="1"/>
  <c r="F10754" i="11"/>
  <c r="H10754" i="11" s="1"/>
  <c r="F10753" i="11"/>
  <c r="H10753" i="11" s="1"/>
  <c r="F10752" i="11"/>
  <c r="H10752" i="11" s="1"/>
  <c r="F10751" i="11"/>
  <c r="H10751" i="11" s="1"/>
  <c r="H10750" i="11"/>
  <c r="F10750" i="11"/>
  <c r="F10749" i="11"/>
  <c r="H10749" i="11" s="1"/>
  <c r="F10748" i="11"/>
  <c r="H10748" i="11" s="1"/>
  <c r="F10747" i="11"/>
  <c r="H10747" i="11" s="1"/>
  <c r="F10746" i="11"/>
  <c r="H10746" i="11" s="1"/>
  <c r="H10745" i="11"/>
  <c r="F10745" i="11"/>
  <c r="F10744" i="11"/>
  <c r="H10744" i="11" s="1"/>
  <c r="F10743" i="11"/>
  <c r="H10743" i="11" s="1"/>
  <c r="F10742" i="11"/>
  <c r="H10742" i="11" s="1"/>
  <c r="F10741" i="11"/>
  <c r="H10741" i="11" s="1"/>
  <c r="F10740" i="11"/>
  <c r="H10740" i="11" s="1"/>
  <c r="F10739" i="11"/>
  <c r="H10739" i="11" s="1"/>
  <c r="F10738" i="11"/>
  <c r="H10738" i="11" s="1"/>
  <c r="F10737" i="11"/>
  <c r="H10737" i="11" s="1"/>
  <c r="F10736" i="11"/>
  <c r="H10736" i="11" s="1"/>
  <c r="F10735" i="11"/>
  <c r="H10735" i="11" s="1"/>
  <c r="F10734" i="11"/>
  <c r="H10734" i="11" s="1"/>
  <c r="F10733" i="11"/>
  <c r="H10733" i="11" s="1"/>
  <c r="F10732" i="11"/>
  <c r="H10732" i="11" s="1"/>
  <c r="F10731" i="11"/>
  <c r="H10731" i="11" s="1"/>
  <c r="F10730" i="11"/>
  <c r="H10730" i="11" s="1"/>
  <c r="H10729" i="11"/>
  <c r="F10729" i="11"/>
  <c r="F10728" i="11"/>
  <c r="H10728" i="11" s="1"/>
  <c r="F10727" i="11"/>
  <c r="H10727" i="11" s="1"/>
  <c r="F10726" i="11"/>
  <c r="H10726" i="11" s="1"/>
  <c r="F10725" i="11"/>
  <c r="H10725" i="11" s="1"/>
  <c r="F10724" i="11"/>
  <c r="H10724" i="11" s="1"/>
  <c r="F10723" i="11"/>
  <c r="H10723" i="11" s="1"/>
  <c r="F10722" i="11"/>
  <c r="H10722" i="11" s="1"/>
  <c r="F10721" i="11"/>
  <c r="H10721" i="11" s="1"/>
  <c r="F10720" i="11"/>
  <c r="H10720" i="11" s="1"/>
  <c r="F10719" i="11"/>
  <c r="H10719" i="11" s="1"/>
  <c r="F10718" i="11"/>
  <c r="H10718" i="11" s="1"/>
  <c r="F10717" i="11"/>
  <c r="H10717" i="11" s="1"/>
  <c r="F10716" i="11"/>
  <c r="H10716" i="11" s="1"/>
  <c r="F10715" i="11"/>
  <c r="H10715" i="11" s="1"/>
  <c r="H10714" i="11"/>
  <c r="F10714" i="11"/>
  <c r="F10713" i="11"/>
  <c r="H10713" i="11" s="1"/>
  <c r="F10712" i="11"/>
  <c r="H10712" i="11" s="1"/>
  <c r="F10711" i="11"/>
  <c r="H10711" i="11" s="1"/>
  <c r="F10710" i="11"/>
  <c r="H10710" i="11" s="1"/>
  <c r="F10709" i="11"/>
  <c r="H10709" i="11" s="1"/>
  <c r="F10708" i="11"/>
  <c r="H10708" i="11" s="1"/>
  <c r="F10707" i="11"/>
  <c r="H10707" i="11" s="1"/>
  <c r="F10706" i="11"/>
  <c r="H10706" i="11" s="1"/>
  <c r="F10705" i="11"/>
  <c r="H10705" i="11" s="1"/>
  <c r="F10704" i="11"/>
  <c r="H10704" i="11" s="1"/>
  <c r="F10703" i="11"/>
  <c r="H10703" i="11" s="1"/>
  <c r="F10702" i="11"/>
  <c r="H10702" i="11" s="1"/>
  <c r="F10701" i="11"/>
  <c r="H10701" i="11" s="1"/>
  <c r="F10700" i="11"/>
  <c r="H10700" i="11" s="1"/>
  <c r="F10699" i="11"/>
  <c r="H10699" i="11" s="1"/>
  <c r="F10698" i="11"/>
  <c r="H10698" i="11" s="1"/>
  <c r="F10697" i="11"/>
  <c r="H10697" i="11" s="1"/>
  <c r="F10696" i="11"/>
  <c r="H10696" i="11" s="1"/>
  <c r="F10695" i="11"/>
  <c r="H10695" i="11" s="1"/>
  <c r="F10694" i="11"/>
  <c r="H10694" i="11" s="1"/>
  <c r="F10693" i="11"/>
  <c r="H10693" i="11" s="1"/>
  <c r="F10692" i="11"/>
  <c r="H10692" i="11" s="1"/>
  <c r="F10691" i="11"/>
  <c r="H10691" i="11" s="1"/>
  <c r="F10690" i="11"/>
  <c r="H10690" i="11" s="1"/>
  <c r="F10689" i="11"/>
  <c r="H10689" i="11" s="1"/>
  <c r="F10688" i="11"/>
  <c r="H10688" i="11" s="1"/>
  <c r="F10687" i="11"/>
  <c r="H10687" i="11" s="1"/>
  <c r="F10686" i="11"/>
  <c r="H10686" i="11" s="1"/>
  <c r="F10685" i="11"/>
  <c r="H10685" i="11" s="1"/>
  <c r="F10684" i="11"/>
  <c r="H10684" i="11" s="1"/>
  <c r="F10683" i="11"/>
  <c r="H10683" i="11" s="1"/>
  <c r="F10682" i="11"/>
  <c r="H10682" i="11" s="1"/>
  <c r="F10681" i="11"/>
  <c r="H10681" i="11" s="1"/>
  <c r="F10680" i="11"/>
  <c r="H10680" i="11" s="1"/>
  <c r="F10679" i="11"/>
  <c r="H10679" i="11" s="1"/>
  <c r="F10678" i="11"/>
  <c r="H10678" i="11" s="1"/>
  <c r="F10677" i="11"/>
  <c r="H10677" i="11" s="1"/>
  <c r="F10676" i="11"/>
  <c r="H10676" i="11" s="1"/>
  <c r="F10675" i="11"/>
  <c r="H10675" i="11" s="1"/>
  <c r="F10674" i="11"/>
  <c r="H10674" i="11" s="1"/>
  <c r="F10673" i="11"/>
  <c r="H10673" i="11" s="1"/>
  <c r="F10672" i="11"/>
  <c r="H10672" i="11" s="1"/>
  <c r="F10671" i="11"/>
  <c r="H10671" i="11" s="1"/>
  <c r="F10670" i="11"/>
  <c r="H10670" i="11" s="1"/>
  <c r="F10669" i="11"/>
  <c r="H10669" i="11" s="1"/>
  <c r="F10668" i="11"/>
  <c r="H10668" i="11" s="1"/>
  <c r="F10667" i="11"/>
  <c r="H10667" i="11" s="1"/>
  <c r="F10666" i="11"/>
  <c r="H10666" i="11" s="1"/>
  <c r="H10665" i="11"/>
  <c r="F10665" i="11"/>
  <c r="F10664" i="11"/>
  <c r="H10664" i="11" s="1"/>
  <c r="F10663" i="11"/>
  <c r="H10663" i="11" s="1"/>
  <c r="F10662" i="11"/>
  <c r="H10662" i="11" s="1"/>
  <c r="F10661" i="11"/>
  <c r="H10661" i="11" s="1"/>
  <c r="F10660" i="11"/>
  <c r="H10660" i="11" s="1"/>
  <c r="F10659" i="11"/>
  <c r="H10659" i="11" s="1"/>
  <c r="F10658" i="11"/>
  <c r="H10658" i="11" s="1"/>
  <c r="F10657" i="11"/>
  <c r="H10657" i="11" s="1"/>
  <c r="F10656" i="11"/>
  <c r="H10656" i="11" s="1"/>
  <c r="F10655" i="11"/>
  <c r="H10655" i="11" s="1"/>
  <c r="F10654" i="11"/>
  <c r="H10654" i="11" s="1"/>
  <c r="F10653" i="11"/>
  <c r="H10653" i="11" s="1"/>
  <c r="F10652" i="11"/>
  <c r="H10652" i="11" s="1"/>
  <c r="F10651" i="11"/>
  <c r="H10651" i="11" s="1"/>
  <c r="F10650" i="11"/>
  <c r="H10650" i="11" s="1"/>
  <c r="F10649" i="11"/>
  <c r="H10649" i="11" s="1"/>
  <c r="F10648" i="11"/>
  <c r="H10648" i="11" s="1"/>
  <c r="F10647" i="11"/>
  <c r="H10647" i="11" s="1"/>
  <c r="F10646" i="11"/>
  <c r="H10646" i="11" s="1"/>
  <c r="F10645" i="11"/>
  <c r="H10645" i="11" s="1"/>
  <c r="F10644" i="11"/>
  <c r="H10644" i="11" s="1"/>
  <c r="F10643" i="11"/>
  <c r="H10643" i="11" s="1"/>
  <c r="F10642" i="11"/>
  <c r="H10642" i="11" s="1"/>
  <c r="F10641" i="11"/>
  <c r="H10641" i="11" s="1"/>
  <c r="F10640" i="11"/>
  <c r="H10640" i="11" s="1"/>
  <c r="F10639" i="11"/>
  <c r="H10639" i="11" s="1"/>
  <c r="F10638" i="11"/>
  <c r="H10638" i="11" s="1"/>
  <c r="F10637" i="11"/>
  <c r="H10637" i="11" s="1"/>
  <c r="F10636" i="11"/>
  <c r="H10636" i="11" s="1"/>
  <c r="F10635" i="11"/>
  <c r="H10635" i="11" s="1"/>
  <c r="F10634" i="11"/>
  <c r="H10634" i="11" s="1"/>
  <c r="F10633" i="11"/>
  <c r="H10633" i="11" s="1"/>
  <c r="F10632" i="11"/>
  <c r="H10632" i="11" s="1"/>
  <c r="F10631" i="11"/>
  <c r="H10631" i="11" s="1"/>
  <c r="F10630" i="11"/>
  <c r="H10630" i="11" s="1"/>
  <c r="F10629" i="11"/>
  <c r="H10629" i="11" s="1"/>
  <c r="F10628" i="11"/>
  <c r="H10628" i="11" s="1"/>
  <c r="F10627" i="11"/>
  <c r="H10627" i="11" s="1"/>
  <c r="F10626" i="11"/>
  <c r="H10626" i="11" s="1"/>
  <c r="F10625" i="11"/>
  <c r="H10625" i="11" s="1"/>
  <c r="F10624" i="11"/>
  <c r="H10624" i="11" s="1"/>
  <c r="F10623" i="11"/>
  <c r="H10623" i="11" s="1"/>
  <c r="F10622" i="11"/>
  <c r="H10622" i="11" s="1"/>
  <c r="F10621" i="11"/>
  <c r="H10621" i="11" s="1"/>
  <c r="F10620" i="11"/>
  <c r="H10620" i="11" s="1"/>
  <c r="F10619" i="11"/>
  <c r="H10619" i="11" s="1"/>
  <c r="F10618" i="11"/>
  <c r="H10618" i="11" s="1"/>
  <c r="F10617" i="11"/>
  <c r="H10617" i="11" s="1"/>
  <c r="F10616" i="11"/>
  <c r="H10616" i="11" s="1"/>
  <c r="F10615" i="11"/>
  <c r="H10615" i="11" s="1"/>
  <c r="F10614" i="11"/>
  <c r="H10614" i="11" s="1"/>
  <c r="F10613" i="11"/>
  <c r="H10613" i="11" s="1"/>
  <c r="F10612" i="11"/>
  <c r="H10612" i="11" s="1"/>
  <c r="F10611" i="11"/>
  <c r="H10611" i="11" s="1"/>
  <c r="F10610" i="11"/>
  <c r="H10610" i="11" s="1"/>
  <c r="F10609" i="11"/>
  <c r="H10609" i="11" s="1"/>
  <c r="F10608" i="11"/>
  <c r="H10608" i="11" s="1"/>
  <c r="F10607" i="11"/>
  <c r="H10607" i="11" s="1"/>
  <c r="F10606" i="11"/>
  <c r="H10606" i="11" s="1"/>
  <c r="F10605" i="11"/>
  <c r="H10605" i="11" s="1"/>
  <c r="F10604" i="11"/>
  <c r="H10604" i="11" s="1"/>
  <c r="F10603" i="11"/>
  <c r="H10603" i="11" s="1"/>
  <c r="F10602" i="11"/>
  <c r="H10602" i="11" s="1"/>
  <c r="F10601" i="11"/>
  <c r="H10601" i="11" s="1"/>
  <c r="F10600" i="11"/>
  <c r="H10600" i="11" s="1"/>
  <c r="F10599" i="11"/>
  <c r="H10599" i="11" s="1"/>
  <c r="H10598" i="11"/>
  <c r="F10598" i="11"/>
  <c r="F10597" i="11"/>
  <c r="H10597" i="11" s="1"/>
  <c r="F10596" i="11"/>
  <c r="H10596" i="11" s="1"/>
  <c r="F10595" i="11"/>
  <c r="H10595" i="11" s="1"/>
  <c r="F10594" i="11"/>
  <c r="H10594" i="11" s="1"/>
  <c r="F10593" i="11"/>
  <c r="H10593" i="11" s="1"/>
  <c r="F10592" i="11"/>
  <c r="H10592" i="11" s="1"/>
  <c r="F10591" i="11"/>
  <c r="H10591" i="11" s="1"/>
  <c r="H10590" i="11"/>
  <c r="F10590" i="11"/>
  <c r="F10589" i="11"/>
  <c r="H10589" i="11" s="1"/>
  <c r="F10588" i="11"/>
  <c r="H10588" i="11" s="1"/>
  <c r="F10587" i="11"/>
  <c r="H10587" i="11" s="1"/>
  <c r="F10586" i="11"/>
  <c r="H10586" i="11" s="1"/>
  <c r="F10585" i="11"/>
  <c r="H10585" i="11" s="1"/>
  <c r="F10584" i="11"/>
  <c r="H10584" i="11" s="1"/>
  <c r="F10583" i="11"/>
  <c r="H10583" i="11" s="1"/>
  <c r="F10582" i="11"/>
  <c r="H10582" i="11" s="1"/>
  <c r="F10581" i="11"/>
  <c r="H10581" i="11" s="1"/>
  <c r="F10580" i="11"/>
  <c r="H10580" i="11" s="1"/>
  <c r="F10579" i="11"/>
  <c r="H10579" i="11" s="1"/>
  <c r="F10578" i="11"/>
  <c r="H10578" i="11" s="1"/>
  <c r="F10577" i="11"/>
  <c r="H10577" i="11" s="1"/>
  <c r="F10576" i="11"/>
  <c r="H10576" i="11" s="1"/>
  <c r="F10575" i="11"/>
  <c r="H10575" i="11" s="1"/>
  <c r="F10574" i="11"/>
  <c r="H10574" i="11" s="1"/>
  <c r="F10573" i="11"/>
  <c r="H10573" i="11" s="1"/>
  <c r="F10572" i="11"/>
  <c r="H10572" i="11" s="1"/>
  <c r="F10571" i="11"/>
  <c r="H10571" i="11" s="1"/>
  <c r="F10570" i="11"/>
  <c r="H10570" i="11" s="1"/>
  <c r="H10569" i="11"/>
  <c r="F10569" i="11"/>
  <c r="F10568" i="11"/>
  <c r="H10568" i="11" s="1"/>
  <c r="F10567" i="11"/>
  <c r="H10567" i="11" s="1"/>
  <c r="F10566" i="11"/>
  <c r="H10566" i="11" s="1"/>
  <c r="F10565" i="11"/>
  <c r="H10565" i="11" s="1"/>
  <c r="F10564" i="11"/>
  <c r="H10564" i="11" s="1"/>
  <c r="F10563" i="11"/>
  <c r="H10563" i="11" s="1"/>
  <c r="F10562" i="11"/>
  <c r="H10562" i="11" s="1"/>
  <c r="F10561" i="11"/>
  <c r="H10561" i="11" s="1"/>
  <c r="F10560" i="11"/>
  <c r="H10560" i="11" s="1"/>
  <c r="F10559" i="11"/>
  <c r="H10559" i="11" s="1"/>
  <c r="F10558" i="11"/>
  <c r="H10558" i="11" s="1"/>
  <c r="F10557" i="11"/>
  <c r="H10557" i="11" s="1"/>
  <c r="F10556" i="11"/>
  <c r="H10556" i="11" s="1"/>
  <c r="F10555" i="11"/>
  <c r="H10555" i="11" s="1"/>
  <c r="F10554" i="11"/>
  <c r="H10554" i="11" s="1"/>
  <c r="F10553" i="11"/>
  <c r="H10553" i="11" s="1"/>
  <c r="F10552" i="11"/>
  <c r="H10552" i="11" s="1"/>
  <c r="F10551" i="11"/>
  <c r="H10551" i="11" s="1"/>
  <c r="F10550" i="11"/>
  <c r="H10550" i="11" s="1"/>
  <c r="F10549" i="11"/>
  <c r="H10549" i="11" s="1"/>
  <c r="F10548" i="11"/>
  <c r="H10548" i="11" s="1"/>
  <c r="F10547" i="11"/>
  <c r="H10547" i="11" s="1"/>
  <c r="F10546" i="11"/>
  <c r="H10546" i="11" s="1"/>
  <c r="F10545" i="11"/>
  <c r="H10545" i="11" s="1"/>
  <c r="F10544" i="11"/>
  <c r="H10544" i="11" s="1"/>
  <c r="F10543" i="11"/>
  <c r="H10543" i="11" s="1"/>
  <c r="F10542" i="11"/>
  <c r="H10542" i="11" s="1"/>
  <c r="F10541" i="11"/>
  <c r="H10541" i="11" s="1"/>
  <c r="F10540" i="11"/>
  <c r="H10540" i="11" s="1"/>
  <c r="F10539" i="11"/>
  <c r="H10539" i="11" s="1"/>
  <c r="F10538" i="11"/>
  <c r="H10538" i="11" s="1"/>
  <c r="F10537" i="11"/>
  <c r="H10537" i="11" s="1"/>
  <c r="F10536" i="11"/>
  <c r="H10536" i="11" s="1"/>
  <c r="F10535" i="11"/>
  <c r="H10535" i="11" s="1"/>
  <c r="F10534" i="11"/>
  <c r="H10534" i="11" s="1"/>
  <c r="F10533" i="11"/>
  <c r="H10533" i="11" s="1"/>
  <c r="F10532" i="11"/>
  <c r="H10532" i="11" s="1"/>
  <c r="F10531" i="11"/>
  <c r="H10531" i="11" s="1"/>
  <c r="H10530" i="11"/>
  <c r="F10530" i="11"/>
  <c r="F10529" i="11"/>
  <c r="H10529" i="11" s="1"/>
  <c r="F10528" i="11"/>
  <c r="H10528" i="11" s="1"/>
  <c r="F10527" i="11"/>
  <c r="H10527" i="11" s="1"/>
  <c r="F10526" i="11"/>
  <c r="H10526" i="11" s="1"/>
  <c r="F10525" i="11"/>
  <c r="H10525" i="11" s="1"/>
  <c r="F10524" i="11"/>
  <c r="H10524" i="11" s="1"/>
  <c r="F10523" i="11"/>
  <c r="H10523" i="11" s="1"/>
  <c r="F10522" i="11"/>
  <c r="H10522" i="11" s="1"/>
  <c r="F10521" i="11"/>
  <c r="H10521" i="11" s="1"/>
  <c r="F10520" i="11"/>
  <c r="H10520" i="11" s="1"/>
  <c r="F10519" i="11"/>
  <c r="H10519" i="11" s="1"/>
  <c r="F10518" i="11"/>
  <c r="H10518" i="11" s="1"/>
  <c r="F10517" i="11"/>
  <c r="H10517" i="11" s="1"/>
  <c r="F10516" i="11"/>
  <c r="H10516" i="11" s="1"/>
  <c r="F10515" i="11"/>
  <c r="H10515" i="11" s="1"/>
  <c r="F10514" i="11"/>
  <c r="H10514" i="11" s="1"/>
  <c r="F10513" i="11"/>
  <c r="H10513" i="11" s="1"/>
  <c r="F10512" i="11"/>
  <c r="H10512" i="11" s="1"/>
  <c r="F10511" i="11"/>
  <c r="H10511" i="11" s="1"/>
  <c r="F10510" i="11"/>
  <c r="H10510" i="11" s="1"/>
  <c r="F10509" i="11"/>
  <c r="H10509" i="11" s="1"/>
  <c r="F10508" i="11"/>
  <c r="H10508" i="11" s="1"/>
  <c r="F10507" i="11"/>
  <c r="H10507" i="11" s="1"/>
  <c r="F10506" i="11"/>
  <c r="H10506" i="11" s="1"/>
  <c r="F10505" i="11"/>
  <c r="H10505" i="11" s="1"/>
  <c r="F10504" i="11"/>
  <c r="H10504" i="11" s="1"/>
  <c r="F10503" i="11"/>
  <c r="H10503" i="11" s="1"/>
  <c r="H10502" i="11"/>
  <c r="F10502" i="11"/>
  <c r="F10501" i="11"/>
  <c r="H10501" i="11" s="1"/>
  <c r="F10500" i="11"/>
  <c r="H10500" i="11" s="1"/>
  <c r="F10499" i="11"/>
  <c r="H10499" i="11" s="1"/>
  <c r="F10498" i="11"/>
  <c r="H10498" i="11" s="1"/>
  <c r="F10497" i="11"/>
  <c r="H10497" i="11" s="1"/>
  <c r="F10496" i="11"/>
  <c r="H10496" i="11" s="1"/>
  <c r="F10495" i="11"/>
  <c r="H10495" i="11" s="1"/>
  <c r="F10494" i="11"/>
  <c r="H10494" i="11" s="1"/>
  <c r="F10493" i="11"/>
  <c r="H10493" i="11" s="1"/>
  <c r="F10492" i="11"/>
  <c r="H10492" i="11" s="1"/>
  <c r="F10491" i="11"/>
  <c r="H10491" i="11" s="1"/>
  <c r="F10490" i="11"/>
  <c r="H10490" i="11" s="1"/>
  <c r="F10489" i="11"/>
  <c r="H10489" i="11" s="1"/>
  <c r="F10488" i="11"/>
  <c r="H10488" i="11" s="1"/>
  <c r="F10487" i="11"/>
  <c r="H10487" i="11" s="1"/>
  <c r="F10486" i="11"/>
  <c r="H10486" i="11" s="1"/>
  <c r="H10485" i="11"/>
  <c r="F10485" i="11"/>
  <c r="F10484" i="11"/>
  <c r="H10484" i="11" s="1"/>
  <c r="F10483" i="11"/>
  <c r="H10483" i="11" s="1"/>
  <c r="F10482" i="11"/>
  <c r="F10481" i="11"/>
  <c r="F10480" i="11"/>
  <c r="F10479" i="11"/>
  <c r="F10478" i="11"/>
  <c r="F10477" i="11"/>
  <c r="F10476" i="11"/>
  <c r="F10475" i="11"/>
  <c r="F10474" i="11"/>
  <c r="F10473" i="11"/>
  <c r="F10472" i="11"/>
  <c r="F10471" i="11"/>
  <c r="F10470" i="11"/>
  <c r="F10469" i="11"/>
  <c r="F10468" i="11"/>
  <c r="F10467" i="11"/>
  <c r="F10466" i="11"/>
  <c r="F10465" i="11"/>
  <c r="F10464" i="11"/>
  <c r="F10463" i="11"/>
  <c r="F10462" i="11"/>
  <c r="F10461" i="11"/>
  <c r="F10460" i="11"/>
  <c r="F10459" i="11"/>
  <c r="F10458" i="11"/>
  <c r="F10457" i="11"/>
  <c r="F10456" i="11"/>
  <c r="F10455" i="11"/>
  <c r="F10454" i="11"/>
  <c r="F10453" i="11"/>
  <c r="F10452" i="11"/>
  <c r="F10451" i="11"/>
  <c r="F10450" i="11"/>
  <c r="F10449" i="11"/>
  <c r="F10448" i="11"/>
  <c r="F10447" i="11"/>
  <c r="F10446" i="11"/>
  <c r="F10445" i="11"/>
  <c r="F10444" i="11"/>
  <c r="F10443" i="11"/>
  <c r="F10442" i="11"/>
  <c r="F10441" i="11"/>
  <c r="F10440" i="11"/>
  <c r="F10439" i="11"/>
  <c r="F10438" i="11"/>
  <c r="F10437" i="11"/>
  <c r="F10436" i="11"/>
  <c r="F10435" i="11"/>
  <c r="F10434" i="11"/>
  <c r="F10433" i="11"/>
  <c r="F10432" i="11"/>
  <c r="F10431" i="11"/>
  <c r="F10430" i="11"/>
  <c r="F10429" i="11"/>
  <c r="F10428" i="11"/>
  <c r="F10427" i="11"/>
  <c r="F10426" i="11"/>
  <c r="F10425" i="11"/>
  <c r="F10424" i="11"/>
  <c r="F10423" i="11"/>
  <c r="F10422" i="11"/>
  <c r="F10421" i="11"/>
  <c r="F10420" i="11"/>
  <c r="F10419" i="11"/>
  <c r="F10418" i="11"/>
  <c r="F10417" i="11"/>
  <c r="F10416" i="11"/>
  <c r="F10415" i="11"/>
  <c r="F10414" i="11"/>
  <c r="F10413" i="11"/>
  <c r="F10412" i="11"/>
  <c r="F10411" i="11"/>
  <c r="F10410" i="11"/>
  <c r="F10409" i="11"/>
  <c r="F10408" i="11"/>
  <c r="F10407" i="11"/>
  <c r="F10406" i="11"/>
  <c r="F10405" i="11"/>
  <c r="F10404" i="11"/>
  <c r="F10403" i="11"/>
  <c r="F10402" i="11"/>
  <c r="F10401" i="11"/>
  <c r="F10400" i="11"/>
  <c r="F10399" i="11"/>
  <c r="F10398" i="11"/>
  <c r="F10397" i="11"/>
  <c r="F10396" i="11"/>
  <c r="F10395" i="11"/>
  <c r="F10394" i="11"/>
  <c r="F10393" i="11"/>
  <c r="F10392" i="11"/>
  <c r="F10391" i="11"/>
  <c r="F10390" i="11"/>
  <c r="F10389" i="11"/>
  <c r="F10388" i="11"/>
  <c r="F10387" i="11"/>
  <c r="F10386" i="11"/>
  <c r="F10385" i="11"/>
  <c r="F10384" i="11"/>
  <c r="F10383" i="11"/>
  <c r="F10382" i="11"/>
  <c r="F10381" i="11"/>
  <c r="F10380" i="11"/>
  <c r="F10379" i="11"/>
  <c r="F10378" i="11"/>
  <c r="F10377" i="11"/>
  <c r="F10376" i="11"/>
  <c r="F10375" i="11"/>
  <c r="F10374" i="11"/>
  <c r="F10373" i="11"/>
  <c r="F10372" i="11"/>
  <c r="F10371" i="11"/>
  <c r="F10370" i="11"/>
  <c r="F10369" i="11"/>
  <c r="F10368" i="11"/>
  <c r="F10367" i="11"/>
  <c r="F10366" i="11"/>
  <c r="F10365" i="11"/>
  <c r="F10364" i="11"/>
  <c r="F10363" i="11"/>
  <c r="F10362" i="11"/>
  <c r="F10361" i="11"/>
  <c r="F10360" i="11"/>
  <c r="F10359" i="11"/>
  <c r="F10358" i="11"/>
  <c r="F10357" i="11"/>
  <c r="F10356" i="11"/>
  <c r="F10355" i="11"/>
  <c r="F10354" i="11"/>
  <c r="F10353" i="11"/>
  <c r="F10352" i="11"/>
  <c r="F10351" i="11"/>
  <c r="F10350" i="11"/>
  <c r="F10349" i="11"/>
  <c r="F10348" i="11"/>
  <c r="F10347" i="11"/>
  <c r="F10346" i="11"/>
  <c r="F10345" i="11"/>
  <c r="F10344" i="11"/>
  <c r="F10343" i="11"/>
  <c r="F10342" i="11"/>
  <c r="F10341" i="11"/>
  <c r="F10340" i="11"/>
  <c r="F10339" i="11"/>
  <c r="F10338" i="11"/>
  <c r="F10337" i="11"/>
  <c r="F10336" i="11"/>
  <c r="F10335" i="11"/>
  <c r="F10334" i="11"/>
  <c r="F10333" i="11"/>
  <c r="F10332" i="11"/>
  <c r="F10331" i="11"/>
  <c r="F10330" i="11"/>
  <c r="F10329" i="11"/>
  <c r="F10328" i="11"/>
  <c r="F10327" i="11"/>
  <c r="F10326" i="11"/>
  <c r="F10325" i="11"/>
  <c r="F10324" i="11"/>
  <c r="F10323" i="11"/>
  <c r="F10322" i="11"/>
  <c r="F10321" i="11"/>
  <c r="F10320" i="11"/>
  <c r="F10319" i="11"/>
  <c r="F10318" i="11"/>
  <c r="F10317" i="11"/>
  <c r="F10316" i="11"/>
  <c r="F10315" i="11"/>
  <c r="F10314" i="11"/>
  <c r="F10313" i="11"/>
  <c r="F10312" i="11"/>
  <c r="F10311" i="11"/>
  <c r="F10310" i="11"/>
  <c r="F10309" i="11"/>
  <c r="F10308" i="11"/>
  <c r="F10307" i="11"/>
  <c r="F10306" i="11"/>
  <c r="F10305" i="11"/>
  <c r="F10304" i="11"/>
  <c r="F10303" i="11"/>
  <c r="F10302" i="11"/>
  <c r="F10301" i="11"/>
  <c r="F10300" i="11"/>
  <c r="F10299" i="11"/>
  <c r="F10298" i="11"/>
  <c r="F10297" i="11"/>
  <c r="F10296" i="11"/>
  <c r="F10295" i="11"/>
  <c r="F10294" i="11"/>
  <c r="F10293" i="11"/>
  <c r="F10292" i="11"/>
  <c r="F10291" i="11"/>
  <c r="F10290" i="11"/>
  <c r="F10289" i="11"/>
  <c r="F10288" i="11"/>
  <c r="F10287" i="11"/>
  <c r="F10286" i="11"/>
  <c r="F10285" i="11"/>
  <c r="F10284" i="11"/>
  <c r="F10283" i="11"/>
  <c r="F10282" i="11"/>
  <c r="F10281" i="11"/>
  <c r="F10280" i="11"/>
  <c r="F10279" i="11"/>
  <c r="F10278" i="11"/>
  <c r="F10277" i="11"/>
  <c r="F10276" i="11"/>
  <c r="F10275" i="11"/>
  <c r="F10274" i="11"/>
  <c r="F10273" i="11"/>
  <c r="F10272" i="11"/>
  <c r="F10271" i="11"/>
  <c r="F10270" i="11"/>
  <c r="F10269" i="11"/>
  <c r="F10268" i="11"/>
  <c r="F10267" i="11"/>
  <c r="F10266" i="11"/>
  <c r="F10265" i="11"/>
  <c r="F10264" i="11"/>
  <c r="F10263" i="11"/>
  <c r="F10262" i="11"/>
  <c r="F10261" i="11"/>
  <c r="F10260" i="11"/>
  <c r="F10259" i="11"/>
  <c r="F10258" i="11"/>
  <c r="F10257" i="11"/>
  <c r="F10256" i="11"/>
  <c r="F10255" i="11"/>
  <c r="F10254" i="11"/>
  <c r="F10253" i="11"/>
  <c r="F10252" i="11"/>
  <c r="F10251" i="11"/>
  <c r="F10250" i="11"/>
  <c r="F10249" i="11"/>
  <c r="F10248" i="11"/>
  <c r="F10247" i="11"/>
  <c r="F10246" i="11"/>
  <c r="F10245" i="11"/>
  <c r="F10244" i="11"/>
  <c r="F10243" i="11"/>
  <c r="F10242" i="11"/>
  <c r="F10241" i="11"/>
  <c r="F10240" i="11"/>
  <c r="F10239" i="11"/>
  <c r="F10238" i="11"/>
  <c r="F10237" i="11"/>
  <c r="F10236" i="11"/>
  <c r="F10235" i="11"/>
  <c r="F10234" i="11"/>
  <c r="F10233" i="11"/>
  <c r="F10232" i="11"/>
  <c r="F10231" i="11"/>
  <c r="F10230" i="11"/>
  <c r="H10230" i="11" s="1"/>
  <c r="F10229" i="11"/>
  <c r="H10229" i="11" s="1"/>
  <c r="F10228" i="11"/>
  <c r="H10228" i="11" s="1"/>
  <c r="F10227" i="11"/>
  <c r="H10227" i="11" s="1"/>
  <c r="F10226" i="11"/>
  <c r="H10226" i="11" s="1"/>
  <c r="F10225" i="11"/>
  <c r="H10225" i="11" s="1"/>
  <c r="F10224" i="11"/>
  <c r="H10224" i="11" s="1"/>
  <c r="F10223" i="11"/>
  <c r="H10223" i="11" s="1"/>
  <c r="F10222" i="11"/>
  <c r="H10222" i="11" s="1"/>
  <c r="F10221" i="11"/>
  <c r="H10221" i="11" s="1"/>
  <c r="F10220" i="11"/>
  <c r="H10220" i="11" s="1"/>
  <c r="F10219" i="11"/>
  <c r="H10219" i="11" s="1"/>
  <c r="F10218" i="11"/>
  <c r="H10218" i="11" s="1"/>
  <c r="F10217" i="11"/>
  <c r="H10217" i="11" s="1"/>
  <c r="F10216" i="11"/>
  <c r="H10216" i="11" s="1"/>
  <c r="F10215" i="11"/>
  <c r="H10215" i="11" s="1"/>
  <c r="F10214" i="11"/>
  <c r="H10214" i="11" s="1"/>
  <c r="F10213" i="11"/>
  <c r="H10213" i="11" s="1"/>
  <c r="F10212" i="11"/>
  <c r="H10212" i="11" s="1"/>
  <c r="F10211" i="11"/>
  <c r="H10211" i="11" s="1"/>
  <c r="F10210" i="11"/>
  <c r="F10209" i="11"/>
  <c r="F10208" i="11"/>
  <c r="F10207" i="11"/>
  <c r="F10206" i="11"/>
  <c r="F10205" i="11"/>
  <c r="F10204" i="11"/>
  <c r="F10203" i="11"/>
  <c r="F10202" i="11"/>
  <c r="F10201" i="11"/>
  <c r="F10200" i="11"/>
  <c r="F10199" i="11"/>
  <c r="F10198" i="11"/>
  <c r="F10197" i="11"/>
  <c r="F10196" i="11"/>
  <c r="F10195" i="11"/>
  <c r="F10194" i="11"/>
  <c r="F10193" i="11"/>
  <c r="F10192" i="11"/>
  <c r="F10191" i="11"/>
  <c r="F10190" i="11"/>
  <c r="F10189" i="11"/>
  <c r="F10188" i="11"/>
  <c r="F10187" i="11"/>
  <c r="F10186" i="11"/>
  <c r="F10185" i="11"/>
  <c r="F10184" i="11"/>
  <c r="F10183" i="11"/>
  <c r="F10182" i="11"/>
  <c r="F10181" i="11"/>
  <c r="F10180" i="11"/>
  <c r="F10179" i="11"/>
  <c r="F10178" i="11"/>
  <c r="F10177" i="11"/>
  <c r="F10176" i="11"/>
  <c r="F10175" i="11"/>
  <c r="F10174" i="11"/>
  <c r="F10173" i="11"/>
  <c r="F10172" i="11"/>
  <c r="F10171" i="11"/>
  <c r="F10170" i="11"/>
  <c r="F10169" i="11"/>
  <c r="F10168" i="11"/>
  <c r="F10167" i="11"/>
  <c r="F10166" i="11"/>
  <c r="F10165" i="11"/>
  <c r="F10164" i="11"/>
  <c r="F10163" i="11"/>
  <c r="F10162" i="11"/>
  <c r="F10161" i="11"/>
  <c r="F10160" i="11"/>
  <c r="F10159" i="11"/>
  <c r="F10158" i="11"/>
  <c r="F10157" i="11"/>
  <c r="F10156" i="11"/>
  <c r="F10155" i="11"/>
  <c r="F10154" i="11"/>
  <c r="F10153" i="11"/>
  <c r="F10152" i="11"/>
  <c r="F10151" i="11"/>
  <c r="F10150" i="11"/>
  <c r="F10149" i="11"/>
  <c r="F10148" i="11"/>
  <c r="F10147" i="11"/>
  <c r="F10146" i="11"/>
  <c r="F10145" i="11"/>
  <c r="F10144" i="11"/>
  <c r="F10143" i="11"/>
  <c r="F10142" i="11"/>
  <c r="F10141" i="11"/>
  <c r="F10140" i="11"/>
  <c r="F10139" i="11"/>
  <c r="F10138" i="11"/>
  <c r="F10137" i="11"/>
  <c r="F10136" i="11"/>
  <c r="F10135" i="11"/>
  <c r="F10134" i="11"/>
  <c r="F10133" i="11"/>
  <c r="F10132" i="11"/>
  <c r="F10131" i="11"/>
  <c r="F10130" i="11"/>
  <c r="F10129" i="11"/>
  <c r="F10128" i="11"/>
  <c r="F10127" i="11"/>
  <c r="F10126" i="11"/>
  <c r="F10125" i="11"/>
  <c r="F10124" i="11"/>
  <c r="F10123" i="11"/>
  <c r="F10122" i="11"/>
  <c r="F10121" i="11"/>
  <c r="F10120" i="11"/>
  <c r="F10119" i="11"/>
  <c r="F10118" i="11"/>
  <c r="F10117" i="11"/>
  <c r="F10116" i="11"/>
  <c r="F10115" i="11"/>
  <c r="F10114" i="11"/>
  <c r="F10113" i="11"/>
  <c r="F10112" i="11"/>
  <c r="F10111" i="11"/>
  <c r="F10110" i="11"/>
  <c r="F10109" i="11"/>
  <c r="F10108" i="11"/>
  <c r="F10107" i="11"/>
  <c r="F10106" i="11"/>
  <c r="F10105" i="11"/>
  <c r="F10104" i="11"/>
  <c r="F10103" i="11"/>
  <c r="F10102" i="11"/>
  <c r="F10101" i="11"/>
  <c r="F10100" i="11"/>
  <c r="F10099" i="11"/>
  <c r="F10098" i="11"/>
  <c r="F10097" i="11"/>
  <c r="F10096" i="11"/>
  <c r="F10095" i="11"/>
  <c r="F10094" i="11"/>
  <c r="F10093" i="11"/>
  <c r="F10092" i="11"/>
  <c r="F10091" i="11"/>
  <c r="F10090" i="11"/>
  <c r="F10089" i="11"/>
  <c r="F10088" i="11"/>
  <c r="F10087" i="11"/>
  <c r="F10086" i="11"/>
  <c r="F10085" i="11"/>
  <c r="F10084" i="11"/>
  <c r="F10083" i="11"/>
  <c r="F10082" i="11"/>
  <c r="F10081" i="11"/>
  <c r="F10080" i="11"/>
  <c r="F10079" i="11"/>
  <c r="F10078" i="11"/>
  <c r="F10077" i="11"/>
  <c r="F10076" i="11"/>
  <c r="F10075" i="11"/>
  <c r="F10074" i="11"/>
  <c r="F10073" i="11"/>
  <c r="F10072" i="11"/>
  <c r="F10071" i="11"/>
  <c r="F10070" i="11"/>
  <c r="F10069" i="11"/>
  <c r="F10068" i="11"/>
  <c r="F10067" i="11"/>
  <c r="F10066" i="11"/>
  <c r="F10065" i="11"/>
  <c r="F10064" i="11"/>
  <c r="F10063" i="11"/>
  <c r="F10062" i="11"/>
  <c r="F10061" i="11"/>
  <c r="F10060" i="11"/>
  <c r="F10059" i="11"/>
  <c r="F10058" i="11"/>
  <c r="F10057" i="11"/>
  <c r="F10056" i="11"/>
  <c r="F10055" i="11"/>
  <c r="F10054" i="11"/>
  <c r="F10053" i="11"/>
  <c r="F10052" i="11"/>
  <c r="F10051" i="11"/>
  <c r="F10050" i="11"/>
  <c r="F10049" i="11"/>
  <c r="F10048" i="11"/>
  <c r="F10047" i="11"/>
  <c r="F10046" i="11"/>
  <c r="F10045" i="11"/>
  <c r="F10044" i="11"/>
  <c r="F10043" i="11"/>
  <c r="F10042" i="11"/>
  <c r="F10041" i="11"/>
  <c r="F10040" i="11"/>
  <c r="F10039" i="11"/>
  <c r="F10038" i="11"/>
  <c r="F10037" i="11"/>
  <c r="F10036" i="11"/>
  <c r="F10035" i="11"/>
  <c r="F10034" i="11"/>
  <c r="F10033" i="11"/>
  <c r="F10032" i="11"/>
  <c r="F10031" i="11"/>
  <c r="F10030" i="11"/>
  <c r="F10029" i="11"/>
  <c r="F10028" i="11"/>
  <c r="F10027" i="11"/>
  <c r="F10026" i="11"/>
  <c r="F10025" i="11"/>
  <c r="F10024" i="11"/>
  <c r="F10023" i="11"/>
  <c r="F10022" i="11"/>
  <c r="F10021" i="11"/>
  <c r="F10020" i="11"/>
  <c r="F10019" i="11"/>
  <c r="F10018" i="11"/>
  <c r="F10017" i="11"/>
  <c r="F10016" i="11"/>
  <c r="F10015" i="11"/>
  <c r="F10014" i="11"/>
  <c r="F10013" i="11"/>
  <c r="F10012" i="11"/>
  <c r="F10011" i="11"/>
  <c r="F10010" i="11"/>
  <c r="F10009" i="11"/>
  <c r="F10008" i="11"/>
  <c r="F10007" i="11"/>
  <c r="F10006" i="11"/>
  <c r="F10005" i="11"/>
  <c r="F10004" i="11"/>
  <c r="F10003" i="11"/>
  <c r="F10002" i="11"/>
  <c r="F10001" i="11"/>
  <c r="F10000" i="11"/>
  <c r="F9999" i="11"/>
  <c r="F9998" i="11"/>
  <c r="F9997" i="11"/>
  <c r="F9996" i="11"/>
  <c r="F9995" i="11"/>
  <c r="F9994" i="11"/>
  <c r="F9993" i="11"/>
  <c r="F9992" i="11"/>
  <c r="F9991" i="11"/>
  <c r="F9990" i="11"/>
  <c r="F9989" i="11"/>
  <c r="F9988" i="11"/>
  <c r="F9987" i="11"/>
  <c r="F9986" i="11"/>
  <c r="F9985" i="11"/>
  <c r="F9984" i="11"/>
  <c r="F9983" i="11"/>
  <c r="F9982" i="11"/>
  <c r="F9981" i="11"/>
  <c r="F9980" i="11"/>
  <c r="F9979" i="11"/>
  <c r="F9978" i="11"/>
  <c r="F9977" i="11"/>
  <c r="F9976" i="11"/>
  <c r="F9975" i="11"/>
  <c r="F9974" i="11"/>
  <c r="F9973" i="11"/>
  <c r="F9972" i="11"/>
  <c r="F9971" i="11"/>
  <c r="F9970" i="11"/>
  <c r="F9969" i="11"/>
  <c r="F9968" i="11"/>
  <c r="F9967" i="11"/>
  <c r="F9966" i="11"/>
  <c r="F9965" i="11"/>
  <c r="F9964" i="11"/>
  <c r="F9963" i="11"/>
  <c r="F9962" i="11"/>
  <c r="F9961" i="11"/>
  <c r="F9960" i="11"/>
  <c r="F9959" i="11"/>
  <c r="F9958" i="11"/>
  <c r="F9957" i="11"/>
  <c r="F9956" i="11"/>
  <c r="F9955" i="11"/>
  <c r="F9954" i="11"/>
  <c r="F9953" i="11"/>
  <c r="F9952" i="11"/>
  <c r="F9951" i="11"/>
  <c r="F9950" i="11"/>
  <c r="F9949" i="11"/>
  <c r="F9948" i="11"/>
  <c r="F9947" i="11"/>
  <c r="F9946" i="11"/>
  <c r="F9945" i="11"/>
  <c r="F9944" i="11"/>
  <c r="F9943" i="11"/>
  <c r="F9942" i="11"/>
  <c r="F9941" i="11"/>
  <c r="F9940" i="11"/>
  <c r="F9939" i="11"/>
  <c r="F9938" i="11"/>
  <c r="F9937" i="11"/>
  <c r="F9936" i="11"/>
  <c r="F9935" i="11"/>
  <c r="F9934" i="11"/>
  <c r="F9933" i="11"/>
  <c r="F9932" i="11"/>
  <c r="F9931" i="11"/>
  <c r="F9930" i="11"/>
  <c r="F9929" i="11"/>
  <c r="F9928" i="11"/>
  <c r="F9927" i="11"/>
  <c r="F9926" i="11"/>
  <c r="F9925" i="11"/>
  <c r="F9924" i="11"/>
  <c r="F9923" i="11"/>
  <c r="F9922" i="11"/>
  <c r="F9921" i="11"/>
  <c r="F9920" i="11"/>
  <c r="F9919" i="11"/>
  <c r="F9918" i="11"/>
  <c r="F9917" i="11"/>
  <c r="F9916" i="11"/>
  <c r="F9915" i="11"/>
  <c r="F9914" i="11"/>
  <c r="F9913" i="11"/>
  <c r="F9912" i="11"/>
  <c r="F9911" i="11"/>
  <c r="F9910" i="11"/>
  <c r="F9909" i="11"/>
  <c r="F9908" i="11"/>
  <c r="F9907" i="11"/>
  <c r="F9906" i="11"/>
  <c r="F9905" i="11"/>
  <c r="F9904" i="11"/>
  <c r="F9903" i="11"/>
  <c r="F9902" i="11"/>
  <c r="F9901" i="11"/>
  <c r="F9900" i="11"/>
  <c r="F9899" i="11"/>
  <c r="F9898" i="11"/>
  <c r="F9897" i="11"/>
  <c r="F9896" i="11"/>
  <c r="F9895" i="11"/>
  <c r="F9894" i="11"/>
  <c r="F9893" i="11"/>
  <c r="F9892" i="11"/>
  <c r="F9891" i="11"/>
  <c r="F9890" i="11"/>
  <c r="F9889" i="11"/>
  <c r="F9888" i="11"/>
  <c r="F9887" i="11"/>
  <c r="F9886" i="11"/>
  <c r="F9885" i="11"/>
  <c r="F9884" i="11"/>
  <c r="F9883" i="11"/>
  <c r="F9882" i="11"/>
  <c r="F9881" i="11"/>
  <c r="F9880" i="11"/>
  <c r="F9879" i="11"/>
  <c r="F9878" i="11"/>
  <c r="F9877" i="11"/>
  <c r="F9876" i="11"/>
  <c r="F9875" i="11"/>
  <c r="F9874" i="11"/>
  <c r="F9873" i="11"/>
  <c r="F9872" i="11"/>
  <c r="F9871" i="11"/>
  <c r="F9870" i="11"/>
  <c r="F9869" i="11"/>
  <c r="F9868" i="11"/>
  <c r="F9867" i="11"/>
  <c r="F9866" i="11"/>
  <c r="F9865" i="11"/>
  <c r="F9864" i="11"/>
  <c r="F9863" i="11"/>
  <c r="F9862" i="11"/>
  <c r="F9861" i="11"/>
  <c r="F9860" i="11"/>
  <c r="F9859" i="11"/>
  <c r="F9858" i="11"/>
  <c r="F9857" i="11"/>
  <c r="F9856" i="11"/>
  <c r="F9855" i="11"/>
  <c r="F9854" i="11"/>
  <c r="F9853" i="11"/>
  <c r="F9852" i="11"/>
  <c r="F9851" i="11"/>
  <c r="F9850" i="11"/>
  <c r="F9849" i="11"/>
  <c r="F9848" i="11"/>
  <c r="F9847" i="11"/>
  <c r="F9846" i="11"/>
  <c r="F9845" i="11"/>
  <c r="F9844" i="11"/>
  <c r="F9843" i="11"/>
  <c r="F9842" i="11"/>
  <c r="F9841" i="11"/>
  <c r="F9840" i="11"/>
  <c r="F9839" i="11"/>
  <c r="F9838" i="11"/>
  <c r="F9837" i="11"/>
  <c r="F9836" i="11"/>
  <c r="F9835" i="11"/>
  <c r="F9834" i="11"/>
  <c r="F9833" i="11"/>
  <c r="F9832" i="11"/>
  <c r="F9831" i="11"/>
  <c r="F9830" i="11"/>
  <c r="F9829" i="11"/>
  <c r="F9828" i="11"/>
  <c r="F9827" i="11"/>
  <c r="F9826" i="11"/>
  <c r="F9825" i="11"/>
  <c r="F9824" i="11"/>
  <c r="F9823" i="11"/>
  <c r="F9822" i="11"/>
  <c r="F9821" i="11"/>
  <c r="F9820" i="11"/>
  <c r="F9819" i="11"/>
  <c r="F9818" i="11"/>
  <c r="F9817" i="11"/>
  <c r="F9816" i="11"/>
  <c r="F9815" i="11"/>
  <c r="F9814" i="11"/>
  <c r="F9813" i="11"/>
  <c r="F9812" i="11"/>
  <c r="F9811" i="11"/>
  <c r="F9810" i="11"/>
  <c r="F9809" i="11"/>
  <c r="F9808" i="11"/>
  <c r="F9807" i="11"/>
  <c r="F9806" i="11"/>
  <c r="F9805" i="11"/>
  <c r="F9804" i="11"/>
  <c r="F9803" i="11"/>
  <c r="F9802" i="11"/>
  <c r="F9801" i="11"/>
  <c r="F9800" i="11"/>
  <c r="F9799" i="11"/>
  <c r="F9798" i="11"/>
  <c r="F9797" i="11"/>
  <c r="F9796" i="11"/>
  <c r="F9795" i="11"/>
  <c r="F9794" i="11"/>
  <c r="F9793" i="11"/>
  <c r="F9792" i="11"/>
  <c r="F9791" i="11"/>
  <c r="F9790" i="11"/>
  <c r="F9789" i="11"/>
  <c r="F9788" i="11"/>
  <c r="F9787" i="11"/>
  <c r="F9786" i="11"/>
  <c r="F9785" i="11"/>
  <c r="F9784" i="11"/>
  <c r="F9783" i="11"/>
  <c r="F9782" i="11"/>
  <c r="F9781" i="11"/>
  <c r="F9780" i="11"/>
  <c r="F9779" i="11"/>
  <c r="F9778" i="11"/>
  <c r="F9777" i="11"/>
  <c r="F9776" i="11"/>
  <c r="F9775" i="11"/>
  <c r="F9774" i="11"/>
  <c r="F9773" i="11"/>
  <c r="F9772" i="11"/>
  <c r="F9771" i="11"/>
  <c r="F9770" i="11"/>
  <c r="F9769" i="11"/>
  <c r="F9768" i="11"/>
  <c r="F9767" i="11"/>
  <c r="F9766" i="11"/>
  <c r="F9765" i="11"/>
  <c r="F9764" i="11"/>
  <c r="F9763" i="11"/>
  <c r="F9762" i="11"/>
  <c r="F9761" i="11"/>
  <c r="F9760" i="11"/>
  <c r="F9759" i="11"/>
  <c r="F9758" i="11"/>
  <c r="F9757" i="11"/>
  <c r="F9756" i="11"/>
  <c r="F9755" i="11"/>
  <c r="F9754" i="11"/>
  <c r="F9753" i="11"/>
  <c r="F9752" i="11"/>
  <c r="F9751" i="11"/>
  <c r="F9750" i="11"/>
  <c r="F9749" i="11"/>
  <c r="F9748" i="11"/>
  <c r="F9747" i="11"/>
  <c r="F9746" i="11"/>
  <c r="F9745" i="11"/>
  <c r="F9744" i="11"/>
  <c r="F9743" i="11"/>
  <c r="F9742" i="11"/>
  <c r="F9741" i="11"/>
  <c r="F9740" i="11"/>
  <c r="F9739" i="11"/>
  <c r="F9738" i="11"/>
  <c r="F9737" i="11"/>
  <c r="F9736" i="11"/>
  <c r="F9735" i="11"/>
  <c r="F9734" i="11"/>
  <c r="F9733" i="11"/>
  <c r="F9732" i="11"/>
  <c r="F9731" i="11"/>
  <c r="F9730" i="11"/>
  <c r="F9729" i="11"/>
  <c r="F9728" i="11"/>
  <c r="F9727" i="11"/>
  <c r="F9726" i="11"/>
  <c r="F9725" i="11"/>
  <c r="F9724" i="11"/>
  <c r="F9723" i="11"/>
  <c r="F9722" i="11"/>
  <c r="F9721" i="11"/>
  <c r="F9720" i="11"/>
  <c r="F9719" i="11"/>
  <c r="F9718" i="11"/>
  <c r="F9717" i="11"/>
  <c r="F9716" i="11"/>
  <c r="F9715" i="11"/>
  <c r="F9714" i="11"/>
  <c r="F9713" i="11"/>
  <c r="F9712" i="11"/>
  <c r="F9711" i="11"/>
  <c r="F9710" i="11"/>
  <c r="F9709" i="11"/>
  <c r="F9708" i="11"/>
  <c r="F9707" i="11"/>
  <c r="F9706" i="11"/>
  <c r="F9705" i="11"/>
  <c r="F9704" i="11"/>
  <c r="F9703" i="11"/>
  <c r="F9702" i="11"/>
  <c r="F9701" i="11"/>
  <c r="F9700" i="11"/>
  <c r="F9699" i="11"/>
  <c r="F9698" i="11"/>
  <c r="F9697" i="11"/>
  <c r="F9696" i="11"/>
  <c r="F9695" i="11"/>
  <c r="H9695" i="11" s="1"/>
  <c r="F9694" i="11"/>
  <c r="H9694" i="11" s="1"/>
  <c r="F9693" i="11"/>
  <c r="H9693" i="11" s="1"/>
  <c r="F9692" i="11"/>
  <c r="H9692" i="11" s="1"/>
  <c r="F9691" i="11"/>
  <c r="H9691" i="11" s="1"/>
  <c r="F9690" i="11"/>
  <c r="H9690" i="11" s="1"/>
  <c r="F9689" i="11"/>
  <c r="H9689" i="11" s="1"/>
  <c r="F9688" i="11"/>
  <c r="H9688" i="11" s="1"/>
  <c r="F9687" i="11"/>
  <c r="H9687" i="11" s="1"/>
  <c r="F9686" i="11"/>
  <c r="H9686" i="11" s="1"/>
  <c r="F9685" i="11"/>
  <c r="H9685" i="11" s="1"/>
  <c r="F9684" i="11"/>
  <c r="H9684" i="11" s="1"/>
  <c r="F9683" i="11"/>
  <c r="H9683" i="11" s="1"/>
  <c r="F9682" i="11"/>
  <c r="H9682" i="11" s="1"/>
  <c r="F9681" i="11"/>
  <c r="H9681" i="11" s="1"/>
  <c r="F9680" i="11"/>
  <c r="H9680" i="11" s="1"/>
  <c r="F9679" i="11"/>
  <c r="H9679" i="11" s="1"/>
  <c r="F9678" i="11"/>
  <c r="H9678" i="11" s="1"/>
  <c r="F9677" i="11"/>
  <c r="H9677" i="11" s="1"/>
  <c r="F9676" i="11"/>
  <c r="H9676" i="11" s="1"/>
  <c r="F9675" i="11"/>
  <c r="H9675" i="11" s="1"/>
  <c r="F9674" i="11"/>
  <c r="H9674" i="11" s="1"/>
  <c r="F9673" i="11"/>
  <c r="H9673" i="11" s="1"/>
  <c r="F9672" i="11"/>
  <c r="H9672" i="11" s="1"/>
  <c r="F9671" i="11"/>
  <c r="H9671" i="11" s="1"/>
  <c r="F9670" i="11"/>
  <c r="H9670" i="11" s="1"/>
  <c r="F9669" i="11"/>
  <c r="H9669" i="11" s="1"/>
  <c r="F9668" i="11"/>
  <c r="H9668" i="11" s="1"/>
  <c r="F9667" i="11"/>
  <c r="H9667" i="11" s="1"/>
  <c r="F9666" i="11"/>
  <c r="H9666" i="11" s="1"/>
  <c r="F9665" i="11"/>
  <c r="H9665" i="11" s="1"/>
  <c r="F9664" i="11"/>
  <c r="H9664" i="11" s="1"/>
  <c r="F9663" i="11"/>
  <c r="H9663" i="11" s="1"/>
  <c r="F9662" i="11"/>
  <c r="H9662" i="11" s="1"/>
  <c r="F9661" i="11"/>
  <c r="H9661" i="11" s="1"/>
  <c r="F9660" i="11"/>
  <c r="H9660" i="11" s="1"/>
  <c r="F9659" i="11"/>
  <c r="H9659" i="11" s="1"/>
  <c r="F9658" i="11"/>
  <c r="H9658" i="11" s="1"/>
  <c r="F9657" i="11"/>
  <c r="H9657" i="11" s="1"/>
  <c r="F9656" i="11"/>
  <c r="H9656" i="11" s="1"/>
  <c r="F9655" i="11"/>
  <c r="H9655" i="11" s="1"/>
  <c r="F9654" i="11"/>
  <c r="H9654" i="11" s="1"/>
  <c r="F9653" i="11"/>
  <c r="H9653" i="11" s="1"/>
  <c r="F9652" i="11"/>
  <c r="H9652" i="11" s="1"/>
  <c r="F9651" i="11"/>
  <c r="H9651" i="11" s="1"/>
  <c r="F9650" i="11"/>
  <c r="H9650" i="11" s="1"/>
  <c r="F9649" i="11"/>
  <c r="H9649" i="11" s="1"/>
  <c r="F9648" i="11"/>
  <c r="H9648" i="11" s="1"/>
  <c r="F9647" i="11"/>
  <c r="H9647" i="11" s="1"/>
  <c r="F9646" i="11"/>
  <c r="H9646" i="11" s="1"/>
  <c r="F9645" i="11"/>
  <c r="H9645" i="11" s="1"/>
  <c r="F9644" i="11"/>
  <c r="H9644" i="11" s="1"/>
  <c r="F9643" i="11"/>
  <c r="H9643" i="11" s="1"/>
  <c r="F9642" i="11"/>
  <c r="F9641" i="11"/>
  <c r="F9640" i="11"/>
  <c r="H9640" i="11" s="1"/>
  <c r="F9639" i="11"/>
  <c r="H9639" i="11" s="1"/>
  <c r="F9638" i="11"/>
  <c r="H9638" i="11" s="1"/>
  <c r="F9637" i="11"/>
  <c r="H9637" i="11" s="1"/>
  <c r="F9636" i="11"/>
  <c r="H9636" i="11" s="1"/>
  <c r="F9635" i="11"/>
  <c r="H9635" i="11" s="1"/>
  <c r="F9634" i="11"/>
  <c r="H9634" i="11" s="1"/>
  <c r="F9633" i="11"/>
  <c r="H9633" i="11" s="1"/>
  <c r="F9632" i="11"/>
  <c r="H9632" i="11" s="1"/>
  <c r="F9631" i="11"/>
  <c r="H9631" i="11" s="1"/>
  <c r="F9630" i="11"/>
  <c r="H9630" i="11" s="1"/>
  <c r="F9629" i="11"/>
  <c r="H9629" i="11" s="1"/>
  <c r="F9628" i="11"/>
  <c r="F9627" i="11"/>
  <c r="F9626" i="11"/>
  <c r="H9626" i="11" s="1"/>
  <c r="F9625" i="11"/>
  <c r="H9625" i="11" s="1"/>
  <c r="F9624" i="11"/>
  <c r="H9624" i="11" s="1"/>
  <c r="F9623" i="11"/>
  <c r="H9623" i="11" s="1"/>
  <c r="F9622" i="11"/>
  <c r="H9622" i="11" s="1"/>
  <c r="F9621" i="11"/>
  <c r="H9621" i="11" s="1"/>
  <c r="F9620" i="11"/>
  <c r="H9620" i="11" s="1"/>
  <c r="F9619" i="11"/>
  <c r="H9619" i="11" s="1"/>
  <c r="F9618" i="11"/>
  <c r="H9618" i="11" s="1"/>
  <c r="F9617" i="11"/>
  <c r="H9617" i="11" s="1"/>
  <c r="F9616" i="11"/>
  <c r="H9616" i="11" s="1"/>
  <c r="F9615" i="11"/>
  <c r="H9615" i="11" s="1"/>
  <c r="F9614" i="11"/>
  <c r="H9614" i="11" s="1"/>
  <c r="F9613" i="11"/>
  <c r="H9613" i="11" s="1"/>
  <c r="F9612" i="11"/>
  <c r="H9612" i="11" s="1"/>
  <c r="F9611" i="11"/>
  <c r="H9611" i="11" s="1"/>
  <c r="F9610" i="11"/>
  <c r="H9610" i="11" s="1"/>
  <c r="F9609" i="11"/>
  <c r="H9609" i="11" s="1"/>
  <c r="F9608" i="11"/>
  <c r="H9608" i="11" s="1"/>
  <c r="F9607" i="11"/>
  <c r="H9607" i="11" s="1"/>
  <c r="F9606" i="11"/>
  <c r="H9606" i="11" s="1"/>
  <c r="F9605" i="11"/>
  <c r="H9605" i="11" s="1"/>
  <c r="F9604" i="11"/>
  <c r="H9604" i="11" s="1"/>
  <c r="F9603" i="11"/>
  <c r="H9603" i="11" s="1"/>
  <c r="F9602" i="11"/>
  <c r="H9602" i="11" s="1"/>
  <c r="F9601" i="11"/>
  <c r="H9601" i="11" s="1"/>
  <c r="F9600" i="11"/>
  <c r="H9600" i="11" s="1"/>
  <c r="F9599" i="11"/>
  <c r="H9599" i="11" s="1"/>
  <c r="F9598" i="11"/>
  <c r="H9598" i="11" s="1"/>
  <c r="F9597" i="11"/>
  <c r="H9597" i="11" s="1"/>
  <c r="F9596" i="11"/>
  <c r="F9595" i="11"/>
  <c r="H9595" i="11" s="1"/>
  <c r="F9594" i="11"/>
  <c r="H9594" i="11" s="1"/>
  <c r="F9593" i="11"/>
  <c r="H9593" i="11" s="1"/>
  <c r="F9592" i="11"/>
  <c r="F9591" i="11"/>
  <c r="H9591" i="11" s="1"/>
  <c r="F9590" i="11"/>
  <c r="H9590" i="11" s="1"/>
  <c r="F9589" i="11"/>
  <c r="H9589" i="11" s="1"/>
  <c r="F9588" i="11"/>
  <c r="H9588" i="11" s="1"/>
  <c r="F9587" i="11"/>
  <c r="H9587" i="11" s="1"/>
  <c r="F9586" i="11"/>
  <c r="H9586" i="11" s="1"/>
  <c r="F9585" i="11"/>
  <c r="H9585" i="11" s="1"/>
  <c r="F9584" i="11"/>
  <c r="H9584" i="11" s="1"/>
  <c r="F9583" i="11"/>
  <c r="H9583" i="11" s="1"/>
  <c r="F9582" i="11"/>
  <c r="H9582" i="11" s="1"/>
  <c r="F9581" i="11"/>
  <c r="H9581" i="11" s="1"/>
  <c r="F9580" i="11"/>
  <c r="H9580" i="11" s="1"/>
  <c r="F9579" i="11"/>
  <c r="H9579" i="11" s="1"/>
  <c r="F9578" i="11"/>
  <c r="H9578" i="11" s="1"/>
  <c r="F9577" i="11"/>
  <c r="H9577" i="11" s="1"/>
  <c r="F9576" i="11"/>
  <c r="H9576" i="11" s="1"/>
  <c r="F9575" i="11"/>
  <c r="H9575" i="11" s="1"/>
  <c r="F9574" i="11"/>
  <c r="H9574" i="11" s="1"/>
  <c r="F9573" i="11"/>
  <c r="H9573" i="11" s="1"/>
  <c r="F9572" i="11"/>
  <c r="H9572" i="11" s="1"/>
  <c r="F9571" i="11"/>
  <c r="H9571" i="11" s="1"/>
  <c r="F9570" i="11"/>
  <c r="H9570" i="11" s="1"/>
  <c r="F9569" i="11"/>
  <c r="H9569" i="11" s="1"/>
  <c r="F9568" i="11"/>
  <c r="H9568" i="11" s="1"/>
  <c r="F9567" i="11"/>
  <c r="H9567" i="11" s="1"/>
  <c r="F9566" i="11"/>
  <c r="H9566" i="11" s="1"/>
  <c r="F9565" i="11"/>
  <c r="H9565" i="11" s="1"/>
  <c r="F9564" i="11"/>
  <c r="H9564" i="11" s="1"/>
  <c r="F9563" i="11"/>
  <c r="H9563" i="11" s="1"/>
  <c r="F9562" i="11"/>
  <c r="H9562" i="11" s="1"/>
  <c r="F9561" i="11"/>
  <c r="H9561" i="11" s="1"/>
  <c r="F9560" i="11"/>
  <c r="H9560" i="11" s="1"/>
  <c r="F9559" i="11"/>
  <c r="H9559" i="11" s="1"/>
  <c r="F9558" i="11"/>
  <c r="H9558" i="11" s="1"/>
  <c r="F9557" i="11"/>
  <c r="H9557" i="11" s="1"/>
  <c r="F9556" i="11"/>
  <c r="H9556" i="11" s="1"/>
  <c r="F9555" i="11"/>
  <c r="H9555" i="11" s="1"/>
  <c r="F9554" i="11"/>
  <c r="H9554" i="11" s="1"/>
  <c r="F9553" i="11"/>
  <c r="H9553" i="11" s="1"/>
  <c r="F9552" i="11"/>
  <c r="H9552" i="11" s="1"/>
  <c r="F9551" i="11"/>
  <c r="H9551" i="11" s="1"/>
  <c r="F9550" i="11"/>
  <c r="H9550" i="11" s="1"/>
  <c r="F9549" i="11"/>
  <c r="H9549" i="11" s="1"/>
  <c r="F9548" i="11"/>
  <c r="H9548" i="11" s="1"/>
  <c r="F9547" i="11"/>
  <c r="H9547" i="11" s="1"/>
  <c r="F9546" i="11"/>
  <c r="H9546" i="11" s="1"/>
  <c r="F9545" i="11"/>
  <c r="H9545" i="11" s="1"/>
  <c r="F9544" i="11"/>
  <c r="H9544" i="11" s="1"/>
  <c r="F9543" i="11"/>
  <c r="H9543" i="11" s="1"/>
  <c r="F9542" i="11"/>
  <c r="H9542" i="11" s="1"/>
  <c r="F9541" i="11"/>
  <c r="H9541" i="11" s="1"/>
  <c r="F9540" i="11"/>
  <c r="H9540" i="11" s="1"/>
  <c r="F9539" i="11"/>
  <c r="H9539" i="11" s="1"/>
  <c r="F9538" i="11"/>
  <c r="H9538" i="11" s="1"/>
  <c r="F9537" i="11"/>
  <c r="H9537" i="11" s="1"/>
  <c r="F9536" i="11"/>
  <c r="H9536" i="11" s="1"/>
  <c r="F9535" i="11"/>
  <c r="H9535" i="11" s="1"/>
  <c r="F9534" i="11"/>
  <c r="H9534" i="11" s="1"/>
  <c r="F9533" i="11"/>
  <c r="H9533" i="11" s="1"/>
  <c r="F9532" i="11"/>
  <c r="H9532" i="11" s="1"/>
  <c r="F9531" i="11"/>
  <c r="F9530" i="11"/>
  <c r="F9529" i="11"/>
  <c r="H9529" i="11" s="1"/>
  <c r="F9528" i="11"/>
  <c r="H9528" i="11" s="1"/>
  <c r="F9527" i="11"/>
  <c r="H9527" i="11" s="1"/>
  <c r="F9526" i="11"/>
  <c r="H9526" i="11" s="1"/>
  <c r="F9525" i="11"/>
  <c r="H9525" i="11" s="1"/>
  <c r="F9524" i="11"/>
  <c r="H9524" i="11" s="1"/>
  <c r="F9523" i="11"/>
  <c r="H9523" i="11" s="1"/>
  <c r="F9522" i="11"/>
  <c r="H9522" i="11" s="1"/>
  <c r="F9521" i="11"/>
  <c r="H9521" i="11" s="1"/>
  <c r="F9520" i="11"/>
  <c r="H9520" i="11" s="1"/>
  <c r="F9519" i="11"/>
  <c r="H9519" i="11" s="1"/>
  <c r="F9518" i="11"/>
  <c r="H9518" i="11" s="1"/>
  <c r="F9517" i="11"/>
  <c r="H9517" i="11" s="1"/>
  <c r="F9516" i="11"/>
  <c r="H9516" i="11" s="1"/>
  <c r="F9515" i="11"/>
  <c r="H9515" i="11" s="1"/>
  <c r="F9514" i="11"/>
  <c r="H9514" i="11" s="1"/>
  <c r="F9513" i="11"/>
  <c r="H9513" i="11" s="1"/>
  <c r="F9512" i="11"/>
  <c r="H9512" i="11" s="1"/>
  <c r="F9511" i="11"/>
  <c r="H9511" i="11" s="1"/>
  <c r="F9510" i="11"/>
  <c r="F9509" i="11"/>
  <c r="H9509" i="11" s="1"/>
  <c r="F9508" i="11"/>
  <c r="H9508" i="11" s="1"/>
  <c r="F9507" i="11"/>
  <c r="H9507" i="11" s="1"/>
  <c r="F9506" i="11"/>
  <c r="H9506" i="11" s="1"/>
  <c r="F9505" i="11"/>
  <c r="H9505" i="11" s="1"/>
  <c r="F9504" i="11"/>
  <c r="H9504" i="11" s="1"/>
  <c r="F9503" i="11"/>
  <c r="H9503" i="11" s="1"/>
  <c r="F9502" i="11"/>
  <c r="H9502" i="11" s="1"/>
  <c r="F9501" i="11"/>
  <c r="H9501" i="11" s="1"/>
  <c r="F9500" i="11"/>
  <c r="H9500" i="11" s="1"/>
  <c r="F9499" i="11"/>
  <c r="H9499" i="11" s="1"/>
  <c r="F9498" i="11"/>
  <c r="H9498" i="11" s="1"/>
  <c r="F9497" i="11"/>
  <c r="H9497" i="11" s="1"/>
  <c r="F9496" i="11"/>
  <c r="H9496" i="11" s="1"/>
  <c r="F9495" i="11"/>
  <c r="H9495" i="11" s="1"/>
  <c r="H9494" i="11"/>
  <c r="F9494" i="11"/>
  <c r="F9493" i="11"/>
  <c r="F9492" i="11"/>
  <c r="H9492" i="11" s="1"/>
  <c r="F9491" i="11"/>
  <c r="H9491" i="11" s="1"/>
  <c r="F9490" i="11"/>
  <c r="H9490" i="11" s="1"/>
  <c r="F9489" i="11"/>
  <c r="H9489" i="11" s="1"/>
  <c r="F9488" i="11"/>
  <c r="H9488" i="11" s="1"/>
  <c r="F9487" i="11"/>
  <c r="H9487" i="11" s="1"/>
  <c r="F9486" i="11"/>
  <c r="H9486" i="11" s="1"/>
  <c r="F9485" i="11"/>
  <c r="H9485" i="11" s="1"/>
  <c r="F9484" i="11"/>
  <c r="H9484" i="11" s="1"/>
  <c r="F9483" i="11"/>
  <c r="H9483" i="11" s="1"/>
  <c r="F9482" i="11"/>
  <c r="H9482" i="11" s="1"/>
  <c r="F9481" i="11"/>
  <c r="H9481" i="11" s="1"/>
  <c r="F9480" i="11"/>
  <c r="H9480" i="11" s="1"/>
  <c r="F9479" i="11"/>
  <c r="F9478" i="11"/>
  <c r="H9478" i="11" s="1"/>
  <c r="F9477" i="11"/>
  <c r="H9477" i="11" s="1"/>
  <c r="F9476" i="11"/>
  <c r="H9476" i="11" s="1"/>
  <c r="F9475" i="11"/>
  <c r="H9475" i="11" s="1"/>
  <c r="F9474" i="11"/>
  <c r="H9474" i="11" s="1"/>
  <c r="F9473" i="11"/>
  <c r="H9473" i="11" s="1"/>
  <c r="F9472" i="11"/>
  <c r="H9472" i="11" s="1"/>
  <c r="F9471" i="11"/>
  <c r="H9471" i="11" s="1"/>
  <c r="F9470" i="11"/>
  <c r="H9470" i="11" s="1"/>
  <c r="F9469" i="11"/>
  <c r="H9469" i="11" s="1"/>
  <c r="F9468" i="11"/>
  <c r="H9468" i="11" s="1"/>
  <c r="F9467" i="11"/>
  <c r="H9467" i="11" s="1"/>
  <c r="F9466" i="11"/>
  <c r="H9466" i="11" s="1"/>
  <c r="F9465" i="11"/>
  <c r="H9465" i="11" s="1"/>
  <c r="F9464" i="11"/>
  <c r="H9464" i="11" s="1"/>
  <c r="F9463" i="11"/>
  <c r="H9463" i="11" s="1"/>
  <c r="F9462" i="11"/>
  <c r="H9462" i="11" s="1"/>
  <c r="F9461" i="11"/>
  <c r="H9461" i="11" s="1"/>
  <c r="F9460" i="11"/>
  <c r="H9460" i="11" s="1"/>
  <c r="F9459" i="11"/>
  <c r="H9459" i="11" s="1"/>
  <c r="F9458" i="11"/>
  <c r="H9458" i="11" s="1"/>
  <c r="F9457" i="11"/>
  <c r="H9457" i="11" s="1"/>
  <c r="F9456" i="11"/>
  <c r="H9456" i="11" s="1"/>
  <c r="F9455" i="11"/>
  <c r="H9455" i="11" s="1"/>
  <c r="F9454" i="11"/>
  <c r="H9454" i="11" s="1"/>
  <c r="F9453" i="11"/>
  <c r="H9453" i="11" s="1"/>
  <c r="F9452" i="11"/>
  <c r="H9452" i="11" s="1"/>
  <c r="F9451" i="11"/>
  <c r="H9451" i="11" s="1"/>
  <c r="F9450" i="11"/>
  <c r="H9450" i="11" s="1"/>
  <c r="F9449" i="11"/>
  <c r="H9449" i="11" s="1"/>
  <c r="F9448" i="11"/>
  <c r="H9448" i="11" s="1"/>
  <c r="F9447" i="11"/>
  <c r="H9447" i="11" s="1"/>
  <c r="F9446" i="11"/>
  <c r="H9446" i="11" s="1"/>
  <c r="F9445" i="11"/>
  <c r="H9445" i="11" s="1"/>
  <c r="F9444" i="11"/>
  <c r="H9444" i="11" s="1"/>
  <c r="F9443" i="11"/>
  <c r="H9443" i="11" s="1"/>
  <c r="F9442" i="11"/>
  <c r="H9442" i="11" s="1"/>
  <c r="F9441" i="11"/>
  <c r="H9441" i="11" s="1"/>
  <c r="F9440" i="11"/>
  <c r="H9440" i="11" s="1"/>
  <c r="F9439" i="11"/>
  <c r="H9439" i="11" s="1"/>
  <c r="F9438" i="11"/>
  <c r="H9438" i="11" s="1"/>
  <c r="F9437" i="11"/>
  <c r="H9437" i="11" s="1"/>
  <c r="F9436" i="11"/>
  <c r="H9436" i="11" s="1"/>
  <c r="F9435" i="11"/>
  <c r="H9435" i="11" s="1"/>
  <c r="F9434" i="11"/>
  <c r="H9434" i="11" s="1"/>
  <c r="F9433" i="11"/>
  <c r="H9433" i="11" s="1"/>
  <c r="F9432" i="11"/>
  <c r="H9432" i="11" s="1"/>
  <c r="F9431" i="11"/>
  <c r="H9431" i="11" s="1"/>
  <c r="F9430" i="11"/>
  <c r="H9430" i="11" s="1"/>
  <c r="F9429" i="11"/>
  <c r="H9429" i="11" s="1"/>
  <c r="F9428" i="11"/>
  <c r="H9428" i="11" s="1"/>
  <c r="F9427" i="11"/>
  <c r="F9426" i="11"/>
  <c r="H9426" i="11" s="1"/>
  <c r="F9425" i="11"/>
  <c r="H9425" i="11" s="1"/>
  <c r="F9424" i="11"/>
  <c r="H9424" i="11" s="1"/>
  <c r="F9423" i="11"/>
  <c r="H9423" i="11" s="1"/>
  <c r="F9422" i="11"/>
  <c r="H9422" i="11" s="1"/>
  <c r="F9421" i="11"/>
  <c r="H9421" i="11" s="1"/>
  <c r="F9420" i="11"/>
  <c r="F9419" i="11"/>
  <c r="F9418" i="11"/>
  <c r="F9417" i="11"/>
  <c r="F9416" i="11"/>
  <c r="F9415" i="11"/>
  <c r="F9414" i="11"/>
  <c r="F9413" i="11"/>
  <c r="F9412" i="11"/>
  <c r="F9411" i="11"/>
  <c r="F9410" i="11"/>
  <c r="F9409" i="11"/>
  <c r="F9408" i="11"/>
  <c r="F9407" i="11"/>
  <c r="F9406" i="11"/>
  <c r="F9405" i="11"/>
  <c r="F9404" i="11"/>
  <c r="F9403" i="11"/>
  <c r="F9402" i="11"/>
  <c r="F9401" i="11"/>
  <c r="F9400" i="11"/>
  <c r="F9399" i="11"/>
  <c r="F9398" i="11"/>
  <c r="F9397" i="11"/>
  <c r="F9396" i="11"/>
  <c r="F9395" i="11"/>
  <c r="F9394" i="11"/>
  <c r="F9393" i="11"/>
  <c r="F9392" i="11"/>
  <c r="F9391" i="11"/>
  <c r="F9390" i="11"/>
  <c r="F9389" i="11"/>
  <c r="F9388" i="11"/>
  <c r="F9387" i="11"/>
  <c r="F9386" i="11"/>
  <c r="F9385" i="11"/>
  <c r="F9384" i="11"/>
  <c r="F9383" i="11"/>
  <c r="F9382" i="11"/>
  <c r="F9381" i="11"/>
  <c r="F9380" i="11"/>
  <c r="F9379" i="11"/>
  <c r="F9378" i="11"/>
  <c r="F9377" i="11"/>
  <c r="F9376" i="11"/>
  <c r="F9375" i="11"/>
  <c r="F9374" i="11"/>
  <c r="F9373" i="11"/>
  <c r="F9372" i="11"/>
  <c r="F9371" i="11"/>
  <c r="F9370" i="11"/>
  <c r="F9369" i="11"/>
  <c r="F9368" i="11"/>
  <c r="F9367" i="11"/>
  <c r="F9366" i="11"/>
  <c r="F9365" i="11"/>
  <c r="F9364" i="11"/>
  <c r="F9363" i="11"/>
  <c r="F9362" i="11"/>
  <c r="F9361" i="11"/>
  <c r="F9360" i="11"/>
  <c r="F9359" i="11"/>
  <c r="F9358" i="11"/>
  <c r="F9357" i="11"/>
  <c r="F9356" i="11"/>
  <c r="F9355" i="11"/>
  <c r="F9354" i="11"/>
  <c r="F9353" i="11"/>
  <c r="F9352" i="11"/>
  <c r="F9351" i="11"/>
  <c r="F9350" i="11"/>
  <c r="F9349" i="11"/>
  <c r="F9348" i="11"/>
  <c r="F9347" i="11"/>
  <c r="F9346" i="11"/>
  <c r="F9345" i="11"/>
  <c r="F9344" i="11"/>
  <c r="F9343" i="11"/>
  <c r="F9342" i="11"/>
  <c r="F9341" i="11"/>
  <c r="F9340" i="11"/>
  <c r="F9339" i="11"/>
  <c r="F9338" i="11"/>
  <c r="F9337" i="11"/>
  <c r="F9336" i="11"/>
  <c r="F9335" i="11"/>
  <c r="F9334" i="11"/>
  <c r="F9333" i="11"/>
  <c r="F9332" i="11"/>
  <c r="F9331" i="11"/>
  <c r="F9330" i="11"/>
  <c r="F9329" i="11"/>
  <c r="F9328" i="11"/>
  <c r="F9327" i="11"/>
  <c r="F9326" i="11"/>
  <c r="F9325" i="11"/>
  <c r="F9324" i="11"/>
  <c r="F9323" i="11"/>
  <c r="F9322" i="11"/>
  <c r="F9321" i="11"/>
  <c r="F9320" i="11"/>
  <c r="F9319" i="11"/>
  <c r="F9318" i="11"/>
  <c r="F9317" i="11"/>
  <c r="F9316" i="11"/>
  <c r="F9315" i="11"/>
  <c r="F9314" i="11"/>
  <c r="F9313" i="11"/>
  <c r="F9312" i="11"/>
  <c r="F9311" i="11"/>
  <c r="F9310" i="11"/>
  <c r="F9309" i="11"/>
  <c r="F9308" i="11"/>
  <c r="F9307" i="11"/>
  <c r="F9306" i="11"/>
  <c r="F9305" i="11"/>
  <c r="F9304" i="11"/>
  <c r="F9303" i="11"/>
  <c r="F9302" i="11"/>
  <c r="F9301" i="11"/>
  <c r="F9300" i="11"/>
  <c r="F9299" i="11"/>
  <c r="F9298" i="11"/>
  <c r="F9297" i="11"/>
  <c r="F9296" i="11"/>
  <c r="F9295" i="11"/>
  <c r="F9294" i="11"/>
  <c r="F9293" i="11"/>
  <c r="F9292" i="11"/>
  <c r="F9291" i="11"/>
  <c r="F9290" i="11"/>
  <c r="F9289" i="11"/>
  <c r="F9288" i="11"/>
  <c r="F9287" i="11"/>
  <c r="F9286" i="11"/>
  <c r="F9285" i="11"/>
  <c r="F9284" i="11"/>
  <c r="F9283" i="11"/>
  <c r="F9282" i="11"/>
  <c r="F9281" i="11"/>
  <c r="F9280" i="11"/>
  <c r="F9279" i="11"/>
  <c r="F9278" i="11"/>
  <c r="F9277" i="11"/>
  <c r="F9276" i="11"/>
  <c r="F9275" i="11"/>
  <c r="F9274" i="11"/>
  <c r="F9273" i="11"/>
  <c r="F9272" i="11"/>
  <c r="F9271" i="11"/>
  <c r="F9270" i="11"/>
  <c r="F9269" i="11"/>
  <c r="F9268" i="11"/>
  <c r="F9267" i="11"/>
  <c r="F9266" i="11"/>
  <c r="F9265" i="11"/>
  <c r="F9264" i="11"/>
  <c r="F9263" i="11"/>
  <c r="F9262" i="11"/>
  <c r="F9261" i="11"/>
  <c r="F9260" i="11"/>
  <c r="F9259" i="11"/>
  <c r="F9258" i="11"/>
  <c r="F9257" i="11"/>
  <c r="F9256" i="11"/>
  <c r="F9255" i="11"/>
  <c r="F9254" i="11"/>
  <c r="F9253" i="11"/>
  <c r="F9252" i="11"/>
  <c r="F9251" i="11"/>
  <c r="F9250" i="11"/>
  <c r="F9249" i="11"/>
  <c r="F9248" i="11"/>
  <c r="F9247" i="11"/>
  <c r="F9246" i="11"/>
  <c r="F9245" i="11"/>
  <c r="F9244" i="11"/>
  <c r="F9243" i="11"/>
  <c r="F9242" i="11"/>
  <c r="F9241" i="11"/>
  <c r="F9240" i="11"/>
  <c r="F9239" i="11"/>
  <c r="F9238" i="11"/>
  <c r="F9237" i="11"/>
  <c r="F9236" i="11"/>
  <c r="F9235" i="11"/>
  <c r="F9234" i="11"/>
  <c r="F9233" i="11"/>
  <c r="F9232" i="11"/>
  <c r="F9231" i="11"/>
  <c r="F9230" i="11"/>
  <c r="F9229" i="11"/>
  <c r="F9228" i="11"/>
  <c r="F9227" i="11"/>
  <c r="F9226" i="11"/>
  <c r="F9225" i="11"/>
  <c r="F9224" i="11"/>
  <c r="F9223" i="11"/>
  <c r="F9222" i="11"/>
  <c r="F9221" i="11"/>
  <c r="F9220" i="11"/>
  <c r="F9219" i="11"/>
  <c r="F9218" i="11"/>
  <c r="F9217" i="11"/>
  <c r="F9216" i="11"/>
  <c r="F9215" i="11"/>
  <c r="F9214" i="11"/>
  <c r="F9213" i="11"/>
  <c r="F9212" i="11"/>
  <c r="F9211" i="11"/>
  <c r="F9210" i="11"/>
  <c r="F9209" i="11"/>
  <c r="F9208" i="11"/>
  <c r="F9207" i="11"/>
  <c r="F9206" i="11"/>
  <c r="F9205" i="11"/>
  <c r="F9204" i="11"/>
  <c r="F9203" i="11"/>
  <c r="F9202" i="11"/>
  <c r="F9201" i="11"/>
  <c r="F9200" i="11"/>
  <c r="F9199" i="11"/>
  <c r="F9198" i="11"/>
  <c r="F9197" i="11"/>
  <c r="F9196" i="11"/>
  <c r="F9195" i="11"/>
  <c r="F9194" i="11"/>
  <c r="F9193" i="11"/>
  <c r="F9192" i="11"/>
  <c r="F9191" i="11"/>
  <c r="F9190" i="11"/>
  <c r="F9189" i="11"/>
  <c r="F9188" i="11"/>
  <c r="F9187" i="11"/>
  <c r="F9186" i="11"/>
  <c r="F9185" i="11"/>
  <c r="F9184" i="11"/>
  <c r="F9183" i="11"/>
  <c r="F9182" i="11"/>
  <c r="F9181" i="11"/>
  <c r="F9180" i="11"/>
  <c r="F9179" i="11"/>
  <c r="F9178" i="11"/>
  <c r="F9177" i="11"/>
  <c r="F9176" i="11"/>
  <c r="F9175" i="11"/>
  <c r="F9174" i="11"/>
  <c r="F9173" i="11"/>
  <c r="F9172" i="11"/>
  <c r="F9171" i="11"/>
  <c r="F9170" i="11"/>
  <c r="F9169" i="11"/>
  <c r="F9168" i="11"/>
  <c r="F9167" i="11"/>
  <c r="F9166" i="11"/>
  <c r="F9165" i="11"/>
  <c r="F9164" i="11"/>
  <c r="F9163" i="11"/>
  <c r="F9162" i="11"/>
  <c r="F9161" i="11"/>
  <c r="F9160" i="11"/>
  <c r="F9159" i="11"/>
  <c r="F9158" i="11"/>
  <c r="F9157" i="11"/>
  <c r="F9156" i="11"/>
  <c r="F9155" i="11"/>
  <c r="F9154" i="11"/>
  <c r="F9153" i="11"/>
  <c r="F9152" i="11"/>
  <c r="F9151" i="11"/>
  <c r="F9150" i="11"/>
  <c r="F9149" i="11"/>
  <c r="F9148" i="11"/>
  <c r="F9147" i="11"/>
  <c r="F9146" i="11"/>
  <c r="F9145" i="11"/>
  <c r="F9144" i="11"/>
  <c r="F9143" i="11"/>
  <c r="F9142" i="11"/>
  <c r="F9141" i="11"/>
  <c r="F9140" i="11"/>
  <c r="F9139" i="11"/>
  <c r="F9138" i="11"/>
  <c r="F9137" i="11"/>
  <c r="F9136" i="11"/>
  <c r="F9135" i="11"/>
  <c r="F9134" i="11"/>
  <c r="F9133" i="11"/>
  <c r="F9132" i="11"/>
  <c r="F9131" i="11"/>
  <c r="F9130" i="11"/>
  <c r="F9129" i="11"/>
  <c r="F9128" i="11"/>
  <c r="F9127" i="11"/>
  <c r="F9126" i="11"/>
  <c r="F9125" i="11"/>
  <c r="F9124" i="11"/>
  <c r="F9123" i="11"/>
  <c r="F9122" i="11"/>
  <c r="F9121" i="11"/>
  <c r="F9120" i="11"/>
  <c r="F9119" i="11"/>
  <c r="F9118" i="11"/>
  <c r="F9117" i="11"/>
  <c r="F9116" i="11"/>
  <c r="F9115" i="11"/>
  <c r="F9114" i="11"/>
  <c r="F9113" i="11"/>
  <c r="F9112" i="11"/>
  <c r="F9111" i="11"/>
  <c r="F9110" i="11"/>
  <c r="F9109" i="11"/>
  <c r="F9108" i="11"/>
  <c r="F9107" i="11"/>
  <c r="F9106" i="11"/>
  <c r="F9105" i="11"/>
  <c r="F9104" i="11"/>
  <c r="F9103" i="11"/>
  <c r="F9102" i="11"/>
  <c r="F9101" i="11"/>
  <c r="F9100" i="11"/>
  <c r="F9099" i="11"/>
  <c r="F9098" i="11"/>
  <c r="F9097" i="11"/>
  <c r="F9096" i="11"/>
  <c r="F9095" i="11"/>
  <c r="F9094" i="11"/>
  <c r="F9093" i="11"/>
  <c r="F9092" i="11"/>
  <c r="F9091" i="11"/>
  <c r="F9090" i="11"/>
  <c r="F9089" i="11"/>
  <c r="F9088" i="11"/>
  <c r="F9087" i="11"/>
  <c r="F9086" i="11"/>
  <c r="F9085" i="11"/>
  <c r="F9084" i="11"/>
  <c r="F9083" i="11"/>
  <c r="F9082" i="11"/>
  <c r="F9081" i="11"/>
  <c r="F9080" i="11"/>
  <c r="F9079" i="11"/>
  <c r="F9078" i="11"/>
  <c r="F9077" i="11"/>
  <c r="F9076" i="11"/>
  <c r="F9075" i="11"/>
  <c r="F9074" i="11"/>
  <c r="F9073" i="11"/>
  <c r="F9072" i="11"/>
  <c r="F9071" i="11"/>
  <c r="F9070" i="11"/>
  <c r="F9069" i="11"/>
  <c r="F9068" i="11"/>
  <c r="F9067" i="11"/>
  <c r="F9066" i="11"/>
  <c r="F9065" i="11"/>
  <c r="F9064" i="11"/>
  <c r="F9063" i="11"/>
  <c r="F9062" i="11"/>
  <c r="F9061" i="11"/>
  <c r="F9060" i="11"/>
  <c r="F9059" i="11"/>
  <c r="F9058" i="11"/>
  <c r="F9057" i="11"/>
  <c r="F9056" i="11"/>
  <c r="F9055" i="11"/>
  <c r="F9054" i="11"/>
  <c r="F9053" i="11"/>
  <c r="F9052" i="11"/>
  <c r="F9051" i="11"/>
  <c r="F9050" i="11"/>
  <c r="F9049" i="11"/>
  <c r="F9048" i="11"/>
  <c r="F9047" i="11"/>
  <c r="F9046" i="11"/>
  <c r="F9045" i="11"/>
  <c r="F9044" i="11"/>
  <c r="F9043" i="11"/>
  <c r="F9042" i="11"/>
  <c r="F9041" i="11"/>
  <c r="F9040" i="11"/>
  <c r="F9039" i="11"/>
  <c r="F9038" i="11"/>
  <c r="F9037" i="11"/>
  <c r="F9036" i="11"/>
  <c r="F9035" i="11"/>
  <c r="F9034" i="11"/>
  <c r="F9033" i="11"/>
  <c r="F9032" i="11"/>
  <c r="F9031" i="11"/>
  <c r="F9030" i="11"/>
  <c r="F9029" i="11"/>
  <c r="F9028" i="11"/>
  <c r="F9027" i="11"/>
  <c r="F9026" i="11"/>
  <c r="F9025" i="11"/>
  <c r="F9024" i="11"/>
  <c r="F9023" i="11"/>
  <c r="F9022" i="11"/>
  <c r="F9021" i="11"/>
  <c r="F9020" i="11"/>
  <c r="F9019" i="11"/>
  <c r="F9018" i="11"/>
  <c r="F9017" i="11"/>
  <c r="F9016" i="11"/>
  <c r="F9015" i="11"/>
  <c r="F9014" i="11"/>
  <c r="F9013" i="11"/>
  <c r="F9012" i="11"/>
  <c r="F9011" i="11"/>
  <c r="F9010" i="11"/>
  <c r="F9009" i="11"/>
  <c r="F9008" i="11"/>
  <c r="F9007" i="11"/>
  <c r="F9006" i="11"/>
  <c r="F9005" i="11"/>
  <c r="F9004" i="11"/>
  <c r="F9003" i="11"/>
  <c r="F9002" i="11"/>
  <c r="F9001" i="11"/>
  <c r="F9000" i="11"/>
  <c r="F8999" i="11"/>
  <c r="F8998" i="11"/>
  <c r="F8997" i="11"/>
  <c r="F8996" i="11"/>
  <c r="F8995" i="11"/>
  <c r="F8994" i="11"/>
  <c r="F8993" i="11"/>
  <c r="F8992" i="11"/>
  <c r="F8991" i="11"/>
  <c r="F8990" i="11"/>
  <c r="F8989" i="11"/>
  <c r="F8988" i="11"/>
  <c r="F8987" i="11"/>
  <c r="F8986" i="11"/>
  <c r="F8985" i="11"/>
  <c r="F8984" i="11"/>
  <c r="F8983" i="11"/>
  <c r="F8982" i="11"/>
  <c r="F8981" i="11"/>
  <c r="F8980" i="11"/>
  <c r="F8979" i="11"/>
  <c r="F8978" i="11"/>
  <c r="F8977" i="11"/>
  <c r="F8976" i="11"/>
  <c r="F8975" i="11"/>
  <c r="F8974" i="11"/>
  <c r="F8973" i="11"/>
  <c r="F8972" i="11"/>
  <c r="F8971" i="11"/>
  <c r="F8970" i="11"/>
  <c r="F8969" i="11"/>
  <c r="F8968" i="11"/>
  <c r="F8967" i="11"/>
  <c r="F8966" i="11"/>
  <c r="F8965" i="11"/>
  <c r="F8964" i="11"/>
  <c r="F8963" i="11"/>
  <c r="F8962" i="11"/>
  <c r="F8961" i="11"/>
  <c r="F8960" i="11"/>
  <c r="F8959" i="11"/>
  <c r="F8958" i="11"/>
  <c r="F8957" i="11"/>
  <c r="F8956" i="11"/>
  <c r="F8955" i="11"/>
  <c r="F8954" i="11"/>
  <c r="F8953" i="11"/>
  <c r="F8952" i="11"/>
  <c r="F8951" i="11"/>
  <c r="F8950" i="11"/>
  <c r="F8949" i="11"/>
  <c r="F8948" i="11"/>
  <c r="F8947" i="11"/>
  <c r="F8946" i="11"/>
  <c r="F8945" i="11"/>
  <c r="F8944" i="11"/>
  <c r="F8943" i="11"/>
  <c r="F8942" i="11"/>
  <c r="F8941" i="11"/>
  <c r="F8940" i="11"/>
  <c r="F8939" i="11"/>
  <c r="F8938" i="11"/>
  <c r="F8937" i="11"/>
  <c r="F8936" i="11"/>
  <c r="F8935" i="11"/>
  <c r="F8934" i="11"/>
  <c r="F8933" i="11"/>
  <c r="F8932" i="11"/>
  <c r="F8931" i="11"/>
  <c r="F8930" i="11"/>
  <c r="F8929" i="11"/>
  <c r="F8928" i="11"/>
  <c r="F8927" i="11"/>
  <c r="F8926" i="11"/>
  <c r="F8925" i="11"/>
  <c r="F8924" i="11"/>
  <c r="F8923" i="11"/>
  <c r="F8922" i="11"/>
  <c r="F8921" i="11"/>
  <c r="F8920" i="11"/>
  <c r="F8919" i="11"/>
  <c r="F8918" i="11"/>
  <c r="F8917" i="11"/>
  <c r="F8916" i="11"/>
  <c r="F8915" i="11"/>
  <c r="F8914" i="11"/>
  <c r="F8913" i="11"/>
  <c r="F8912" i="11"/>
  <c r="F8911" i="11"/>
  <c r="F8910" i="11"/>
  <c r="F8909" i="11"/>
  <c r="F8908" i="11"/>
  <c r="F8907" i="11"/>
  <c r="F8906" i="11"/>
  <c r="F8905" i="11"/>
  <c r="F8904" i="11"/>
  <c r="F8903" i="11"/>
  <c r="F8902" i="11"/>
  <c r="F8901" i="11"/>
  <c r="F8900" i="11"/>
  <c r="F8899" i="11"/>
  <c r="F8898" i="11"/>
  <c r="F8897" i="11"/>
  <c r="F8896" i="11"/>
  <c r="F8895" i="11"/>
  <c r="F8894" i="11"/>
  <c r="F8893" i="11"/>
  <c r="F8892" i="11"/>
  <c r="F8891" i="11"/>
  <c r="F8890" i="11"/>
  <c r="F8889" i="11"/>
  <c r="F8888" i="11"/>
  <c r="F8887" i="11"/>
  <c r="F8886" i="11"/>
  <c r="F8885" i="11"/>
  <c r="F8884" i="11"/>
  <c r="F8883" i="11"/>
  <c r="F8882" i="11"/>
  <c r="F8881" i="11"/>
  <c r="F8880" i="11"/>
  <c r="F8879" i="11"/>
  <c r="F8878" i="11"/>
  <c r="F8877" i="11"/>
  <c r="F8876" i="11"/>
  <c r="F8875" i="11"/>
  <c r="F8874" i="11"/>
  <c r="F8873" i="11"/>
  <c r="F8872" i="11"/>
  <c r="F8871" i="11"/>
  <c r="F8870" i="11"/>
  <c r="F8869" i="11"/>
  <c r="F8868" i="11"/>
  <c r="F8867" i="11"/>
  <c r="F8866" i="11"/>
  <c r="F8865" i="11"/>
  <c r="F8864" i="11"/>
  <c r="F8863" i="11"/>
  <c r="F8862" i="11"/>
  <c r="F8861" i="11"/>
  <c r="F8860" i="11"/>
  <c r="F8859" i="11"/>
  <c r="F8858" i="11"/>
  <c r="F8857" i="11"/>
  <c r="F8856" i="11"/>
  <c r="F8855" i="11"/>
  <c r="F8854" i="11"/>
  <c r="F8853" i="11"/>
  <c r="F8852" i="11"/>
  <c r="F8851" i="11"/>
  <c r="F8850" i="11"/>
  <c r="F8849" i="11"/>
  <c r="F8848" i="11"/>
  <c r="F8847" i="11"/>
  <c r="F8846" i="11"/>
  <c r="F8845" i="11"/>
  <c r="F8844" i="11"/>
  <c r="F8843" i="11"/>
  <c r="F8842" i="11"/>
  <c r="F8841" i="11"/>
  <c r="F8840" i="11"/>
  <c r="F8839" i="11"/>
  <c r="F8838" i="11"/>
  <c r="F8837" i="11"/>
  <c r="F8836" i="11"/>
  <c r="F8835" i="11"/>
  <c r="F8834" i="11"/>
  <c r="F8833" i="11"/>
  <c r="F8832" i="11"/>
  <c r="F8831" i="11"/>
  <c r="F8830" i="11"/>
  <c r="F8829" i="11"/>
  <c r="F8828" i="11"/>
  <c r="F8827" i="11"/>
  <c r="F8826" i="11"/>
  <c r="F8825" i="11"/>
  <c r="F8824" i="11"/>
  <c r="F8823" i="11"/>
  <c r="F8822" i="11"/>
  <c r="F8821" i="11"/>
  <c r="F8820" i="11"/>
  <c r="F8819" i="11"/>
  <c r="F8818" i="11"/>
  <c r="F8817" i="11"/>
  <c r="F8816" i="11"/>
  <c r="F8815" i="11"/>
  <c r="F8814" i="11"/>
  <c r="F8813" i="11"/>
  <c r="F8812" i="11"/>
  <c r="F8811" i="11"/>
  <c r="F8810" i="11"/>
  <c r="F8809" i="11"/>
  <c r="F8808" i="11"/>
  <c r="F8807" i="11"/>
  <c r="F8806" i="11"/>
  <c r="F8805" i="11"/>
  <c r="F8804" i="11"/>
  <c r="F8803" i="11"/>
  <c r="F8802" i="11"/>
  <c r="F8801" i="11"/>
  <c r="F8800" i="11"/>
  <c r="F8799" i="11"/>
  <c r="F8798" i="11"/>
  <c r="F8797" i="11"/>
  <c r="F8796" i="11"/>
  <c r="F8795" i="11"/>
  <c r="F8794" i="11"/>
  <c r="F8793" i="11"/>
  <c r="F8792" i="11"/>
  <c r="F8791" i="11"/>
  <c r="F8790" i="11"/>
  <c r="F8789" i="11"/>
  <c r="F8788" i="11"/>
  <c r="F8787" i="11"/>
  <c r="F8786" i="11"/>
  <c r="F8785" i="11"/>
  <c r="F8784" i="11"/>
  <c r="F8783" i="11"/>
  <c r="F8782" i="11"/>
  <c r="F8781" i="11"/>
  <c r="F8780" i="11"/>
  <c r="F8779" i="11"/>
  <c r="F8778" i="11"/>
  <c r="F8777" i="11"/>
  <c r="F8776" i="11"/>
  <c r="F8775" i="11"/>
  <c r="F8774" i="11"/>
  <c r="F8773" i="11"/>
  <c r="F8772" i="11"/>
  <c r="F8771" i="11"/>
  <c r="F8770" i="11"/>
  <c r="F8769" i="11"/>
  <c r="F8768" i="11"/>
  <c r="F8767" i="11"/>
  <c r="F8766" i="11"/>
  <c r="F8765" i="11"/>
  <c r="F8764" i="11"/>
  <c r="F8763" i="11"/>
  <c r="F8762" i="11"/>
  <c r="F8761" i="11"/>
  <c r="F8760" i="11"/>
  <c r="F8759" i="11"/>
  <c r="F8758" i="11"/>
  <c r="F8757" i="11"/>
  <c r="F8756" i="11"/>
  <c r="F8755" i="11"/>
  <c r="F8754" i="11"/>
  <c r="F8753" i="11"/>
  <c r="F8752" i="11"/>
  <c r="F8751" i="11"/>
  <c r="F8750" i="11"/>
  <c r="F8749" i="11"/>
  <c r="F8748" i="11"/>
  <c r="F8747" i="11"/>
  <c r="F8746" i="11"/>
  <c r="F8745" i="11"/>
  <c r="F8744" i="11"/>
  <c r="F8743" i="11"/>
  <c r="F8742" i="11"/>
  <c r="F8741" i="11"/>
  <c r="F8740" i="11"/>
  <c r="F8739" i="11"/>
  <c r="F8738" i="11"/>
  <c r="F8737" i="11"/>
  <c r="F8736" i="11"/>
  <c r="F8735" i="11"/>
  <c r="F8734" i="11"/>
  <c r="F8733" i="11"/>
  <c r="F8732" i="11"/>
  <c r="F8731" i="11"/>
  <c r="F8730" i="11"/>
  <c r="F8729" i="11"/>
  <c r="F8728" i="11"/>
  <c r="F8727" i="11"/>
  <c r="F8726" i="11"/>
  <c r="F8725" i="11"/>
  <c r="F8724" i="11"/>
  <c r="F8723" i="11"/>
  <c r="F8722" i="11"/>
  <c r="F8721" i="11"/>
  <c r="F8720" i="11"/>
  <c r="F8719" i="11"/>
  <c r="F8718" i="11"/>
  <c r="F8717" i="11"/>
  <c r="F8716" i="11"/>
  <c r="F8715" i="11"/>
  <c r="F8714" i="11"/>
  <c r="F8713" i="11"/>
  <c r="F8712" i="11"/>
  <c r="F8711" i="11"/>
  <c r="F8710" i="11"/>
  <c r="F8709" i="11"/>
  <c r="F8708" i="11"/>
  <c r="F8707" i="11"/>
  <c r="F8706" i="11"/>
  <c r="F8705" i="11"/>
  <c r="F8704" i="11"/>
  <c r="F8703" i="11"/>
  <c r="F8702" i="11"/>
  <c r="F8701" i="11"/>
  <c r="F8700" i="11"/>
  <c r="F8699" i="11"/>
  <c r="F8698" i="11"/>
  <c r="F8697" i="11"/>
  <c r="F8696" i="11"/>
  <c r="F8695" i="11"/>
  <c r="F8694" i="11"/>
  <c r="F8693" i="11"/>
  <c r="F8692" i="11"/>
  <c r="F8691" i="11"/>
  <c r="F8690" i="11"/>
  <c r="F8689" i="11"/>
  <c r="F8688" i="11"/>
  <c r="F8687" i="11"/>
  <c r="F8686" i="11"/>
  <c r="F8685" i="11"/>
  <c r="F8684" i="11"/>
  <c r="F8683" i="11"/>
  <c r="F8682" i="11"/>
  <c r="F8681" i="11"/>
  <c r="F8680" i="11"/>
  <c r="F8679" i="11"/>
  <c r="F8678" i="11"/>
  <c r="F8677" i="11"/>
  <c r="F8676" i="11"/>
  <c r="F8675" i="11"/>
  <c r="F8674" i="11"/>
  <c r="F8673" i="11"/>
  <c r="F8672" i="11"/>
  <c r="F8671" i="11"/>
  <c r="F8670" i="11"/>
  <c r="F8669" i="11"/>
  <c r="F8668" i="11"/>
  <c r="F8667" i="11"/>
  <c r="F8666" i="11"/>
  <c r="F8665" i="11"/>
  <c r="F8664" i="11"/>
  <c r="F8663" i="11"/>
  <c r="F8662" i="11"/>
  <c r="F8661" i="11"/>
  <c r="F8660" i="11"/>
  <c r="F8659" i="11"/>
  <c r="F8658" i="11"/>
  <c r="F8657" i="11"/>
  <c r="F8656" i="11"/>
  <c r="F8655" i="11"/>
  <c r="F8654" i="11"/>
  <c r="F8653" i="11"/>
  <c r="F8652" i="11"/>
  <c r="F8651" i="11"/>
  <c r="F8650" i="11"/>
  <c r="F8649" i="11"/>
  <c r="F8648" i="11"/>
  <c r="F8647" i="11"/>
  <c r="F8646" i="11"/>
  <c r="F8645" i="11"/>
  <c r="F8644" i="11"/>
  <c r="F8643" i="11"/>
  <c r="F8642" i="11"/>
  <c r="F8641" i="11"/>
  <c r="F8640" i="11"/>
  <c r="F8639" i="11"/>
  <c r="F8638" i="11"/>
  <c r="F8637" i="11"/>
  <c r="F8636" i="11"/>
  <c r="F8635" i="11"/>
  <c r="F8634" i="11"/>
  <c r="F8633" i="11"/>
  <c r="F8632" i="11"/>
  <c r="F8631" i="11"/>
  <c r="F8630" i="11"/>
  <c r="F8629" i="11"/>
  <c r="F8628" i="11"/>
  <c r="F8627" i="11"/>
  <c r="F8626" i="11"/>
  <c r="F8625" i="11"/>
  <c r="F8624" i="11"/>
  <c r="F8623" i="11"/>
  <c r="F8622" i="11"/>
  <c r="F8621" i="11"/>
  <c r="F8620" i="11"/>
  <c r="F8619" i="11"/>
  <c r="F8618" i="11"/>
  <c r="F8617" i="11"/>
  <c r="F8616" i="11"/>
  <c r="F8615" i="11"/>
  <c r="F8614" i="11"/>
  <c r="F8613" i="11"/>
  <c r="F8612" i="11"/>
  <c r="F8611" i="11"/>
  <c r="F8610" i="11"/>
  <c r="F8609" i="11"/>
  <c r="F8608" i="11"/>
  <c r="F8607" i="11"/>
  <c r="F8606" i="11"/>
  <c r="F8605" i="11"/>
  <c r="F8604" i="11"/>
  <c r="F8603" i="11"/>
  <c r="F8602" i="11"/>
  <c r="F8601" i="11"/>
  <c r="F8600" i="11"/>
  <c r="F8599" i="11"/>
  <c r="F8598" i="11"/>
  <c r="F8597" i="11"/>
  <c r="F8596" i="11"/>
  <c r="F8595" i="11"/>
  <c r="F8594" i="11"/>
  <c r="F8593" i="11"/>
  <c r="F8592" i="11"/>
  <c r="F8591" i="11"/>
  <c r="F8590" i="11"/>
  <c r="F8589" i="11"/>
  <c r="F8588" i="11"/>
  <c r="F8587" i="11"/>
  <c r="F8586" i="11"/>
  <c r="F8585" i="11"/>
  <c r="F8584" i="11"/>
  <c r="F8583" i="11"/>
  <c r="F8582" i="11"/>
  <c r="F8581" i="11"/>
  <c r="F8580" i="11"/>
  <c r="F8579" i="11"/>
  <c r="F8578" i="11"/>
  <c r="F8577" i="11"/>
  <c r="F8576" i="11"/>
  <c r="F8575" i="11"/>
  <c r="F8574" i="11"/>
  <c r="F8573" i="11"/>
  <c r="F8572" i="11"/>
  <c r="F8571" i="11"/>
  <c r="F8570" i="11"/>
  <c r="F8569" i="11"/>
  <c r="F8568" i="11"/>
  <c r="F8567" i="11"/>
  <c r="F8566" i="11"/>
  <c r="F8565" i="11"/>
  <c r="F8564" i="11"/>
  <c r="F8563" i="11"/>
  <c r="F8562" i="11"/>
  <c r="F8561" i="11"/>
  <c r="F8560" i="11"/>
  <c r="F8559" i="11"/>
  <c r="F8558" i="11"/>
  <c r="F8557" i="11"/>
  <c r="F8556" i="11"/>
  <c r="F8555" i="11"/>
  <c r="F8554" i="11"/>
  <c r="F8553" i="11"/>
  <c r="F8552" i="11"/>
  <c r="F8551" i="11"/>
  <c r="F8550" i="11"/>
  <c r="F8549" i="11"/>
  <c r="F8548" i="11"/>
  <c r="F8547" i="11"/>
  <c r="F8546" i="11"/>
  <c r="F8545" i="11"/>
  <c r="F8544" i="11"/>
  <c r="F8543" i="11"/>
  <c r="F8542" i="11"/>
  <c r="F8541" i="11"/>
  <c r="F8540" i="11"/>
  <c r="F8539" i="11"/>
  <c r="F8538" i="11"/>
  <c r="F8537" i="11"/>
  <c r="F8536" i="11"/>
  <c r="F8535" i="11"/>
  <c r="F8534" i="11"/>
  <c r="F8533" i="11"/>
  <c r="F8532" i="11"/>
  <c r="F8531" i="11"/>
  <c r="F8530" i="11"/>
  <c r="F8529" i="11"/>
  <c r="F8528" i="11"/>
  <c r="F8527" i="11"/>
  <c r="F8526" i="11"/>
  <c r="F8525" i="11"/>
  <c r="F8524" i="11"/>
  <c r="F8523" i="11"/>
  <c r="F8522" i="11"/>
  <c r="F8521" i="11"/>
  <c r="F8520" i="11"/>
  <c r="F8519" i="11"/>
  <c r="F8518" i="11"/>
  <c r="F8517" i="11"/>
  <c r="F8516" i="11"/>
  <c r="F8515" i="11"/>
  <c r="F8514" i="11"/>
  <c r="F8513" i="11"/>
  <c r="F8512" i="11"/>
  <c r="F8511" i="11"/>
  <c r="F8510" i="11"/>
  <c r="F8509" i="11"/>
  <c r="F8508" i="11"/>
  <c r="F8507" i="11"/>
  <c r="F8506" i="11"/>
  <c r="F8505" i="11"/>
  <c r="F8504" i="11"/>
  <c r="F8503" i="11"/>
  <c r="F8502" i="11"/>
  <c r="F8501" i="11"/>
  <c r="F8500" i="11"/>
  <c r="F8499" i="11"/>
  <c r="F8498" i="11"/>
  <c r="F8497" i="11"/>
  <c r="F8496" i="11"/>
  <c r="F8495" i="11"/>
  <c r="F8494" i="11"/>
  <c r="F8493" i="11"/>
  <c r="F8492" i="11"/>
  <c r="F8491" i="11"/>
  <c r="F8490" i="11"/>
  <c r="F8489" i="11"/>
  <c r="F8488" i="11"/>
  <c r="F8487" i="11"/>
  <c r="F8486" i="11"/>
  <c r="F8485" i="11"/>
  <c r="F8484" i="11"/>
  <c r="F8483" i="11"/>
  <c r="F8482" i="11"/>
  <c r="F8481" i="11"/>
  <c r="F8480" i="11"/>
  <c r="F8479" i="11"/>
  <c r="F8478" i="11"/>
  <c r="F8477" i="11"/>
  <c r="F8476" i="11"/>
  <c r="F8475" i="11"/>
  <c r="F8474" i="11"/>
  <c r="F8473" i="11"/>
  <c r="F8472" i="11"/>
  <c r="F8471" i="11"/>
  <c r="F8470" i="11"/>
  <c r="F8469" i="11"/>
  <c r="F8468" i="11"/>
  <c r="F8467" i="11"/>
  <c r="F8466" i="11"/>
  <c r="F8465" i="11"/>
  <c r="F8464" i="11"/>
  <c r="F8463" i="11"/>
  <c r="F8462" i="11"/>
  <c r="F8461" i="11"/>
  <c r="F8460" i="11"/>
  <c r="F8459" i="11"/>
  <c r="F8458" i="11"/>
  <c r="F8457" i="11"/>
  <c r="F8456" i="11"/>
  <c r="F8455" i="11"/>
  <c r="F8454" i="11"/>
  <c r="F8453" i="11"/>
  <c r="F8452" i="11"/>
  <c r="F8451" i="11"/>
  <c r="F8450" i="11"/>
  <c r="F8449" i="11"/>
  <c r="F8448" i="11"/>
  <c r="F8447" i="11"/>
  <c r="F8446" i="11"/>
  <c r="F8445" i="11"/>
  <c r="F8444" i="11"/>
  <c r="F8443" i="11"/>
  <c r="F8442" i="11"/>
  <c r="F8441" i="11"/>
  <c r="F8440" i="11"/>
  <c r="F8439" i="11"/>
  <c r="F8438" i="11"/>
  <c r="F8437" i="11"/>
  <c r="F8436" i="11"/>
  <c r="F8435" i="11"/>
  <c r="F8434" i="11"/>
  <c r="F8433" i="11"/>
  <c r="F8432" i="11"/>
  <c r="F8431" i="11"/>
  <c r="F8430" i="11"/>
  <c r="F8429" i="11"/>
  <c r="F8428" i="11"/>
  <c r="F8427" i="11"/>
  <c r="F8426" i="11"/>
  <c r="F8425" i="11"/>
  <c r="F8424" i="11"/>
  <c r="F8423" i="11"/>
  <c r="F8422" i="11"/>
  <c r="F8421" i="11"/>
  <c r="F8420" i="11"/>
  <c r="F8419" i="11"/>
  <c r="F8418" i="11"/>
  <c r="F8417" i="11"/>
  <c r="F8416" i="11"/>
  <c r="F8415" i="11"/>
  <c r="F8414" i="11"/>
  <c r="F8413" i="11"/>
  <c r="F8412" i="11"/>
  <c r="F8411" i="11"/>
  <c r="F8410" i="11"/>
  <c r="F8409" i="11"/>
  <c r="F8408" i="11"/>
  <c r="F8407" i="11"/>
  <c r="F8406" i="11"/>
  <c r="F8405" i="11"/>
  <c r="F8404" i="11"/>
  <c r="F8403" i="11"/>
  <c r="F8402" i="11"/>
  <c r="F8401" i="11"/>
  <c r="F8400" i="11"/>
  <c r="F8399" i="11"/>
  <c r="F8398" i="11"/>
  <c r="F8397" i="11"/>
  <c r="F8396" i="11"/>
  <c r="F8395" i="11"/>
  <c r="F8394" i="11"/>
  <c r="F8393" i="11"/>
  <c r="F8392" i="11"/>
  <c r="F8391" i="11"/>
  <c r="F8390" i="11"/>
  <c r="F8389" i="11"/>
  <c r="F8388" i="11"/>
  <c r="F8387" i="11"/>
  <c r="F8386" i="11"/>
  <c r="F8385" i="11"/>
  <c r="F8384" i="11"/>
  <c r="F8383" i="11"/>
  <c r="F8382" i="11"/>
  <c r="F8381" i="11"/>
  <c r="F8380" i="11"/>
  <c r="F8379" i="11"/>
  <c r="F8378" i="11"/>
  <c r="F8377" i="11"/>
  <c r="F8376" i="11"/>
  <c r="F8375" i="11"/>
  <c r="F8374" i="11"/>
  <c r="F8373" i="11"/>
  <c r="F8372" i="11"/>
  <c r="F8371" i="11"/>
  <c r="F8370" i="11"/>
  <c r="F8369" i="11"/>
  <c r="F8368" i="11"/>
  <c r="F8367" i="11"/>
  <c r="F8366" i="11"/>
  <c r="F8365" i="11"/>
  <c r="F8364" i="11"/>
  <c r="F8363" i="11"/>
  <c r="F8362" i="11"/>
  <c r="F8361" i="11"/>
  <c r="F8360" i="11"/>
  <c r="F8359" i="11"/>
  <c r="F8358" i="11"/>
  <c r="F8357" i="11"/>
  <c r="F8356" i="11"/>
  <c r="F8355" i="11"/>
  <c r="F8354" i="11"/>
  <c r="F8353" i="11"/>
  <c r="F8352" i="11"/>
  <c r="F8351" i="11"/>
  <c r="F8350" i="11"/>
  <c r="F8349" i="11"/>
  <c r="F8348" i="11"/>
  <c r="F8347" i="11"/>
  <c r="F8346" i="11"/>
  <c r="F8345" i="11"/>
  <c r="F8344" i="11"/>
  <c r="F8343" i="11"/>
  <c r="F8342" i="11"/>
  <c r="F8341" i="11"/>
  <c r="F8340" i="11"/>
  <c r="F8339" i="11"/>
  <c r="F8338" i="11"/>
  <c r="F8337" i="11"/>
  <c r="F8336" i="11"/>
  <c r="F8335" i="11"/>
  <c r="F8334" i="11"/>
  <c r="F8333" i="11"/>
  <c r="F8332" i="11"/>
  <c r="F8331" i="11"/>
  <c r="F8330" i="11"/>
  <c r="F8329" i="11"/>
  <c r="F8328" i="11"/>
  <c r="F8327" i="11"/>
  <c r="F8326" i="11"/>
  <c r="F8325" i="11"/>
  <c r="F8324" i="11"/>
  <c r="F8323" i="11"/>
  <c r="F8322" i="11"/>
  <c r="F8321" i="11"/>
  <c r="F8320" i="11"/>
  <c r="F8319" i="11"/>
  <c r="F8318" i="11"/>
  <c r="F8317" i="11"/>
  <c r="F8316" i="11"/>
  <c r="F8315" i="11"/>
  <c r="F8314" i="11"/>
  <c r="F8313" i="11"/>
  <c r="F8312" i="11"/>
  <c r="F8311" i="11"/>
  <c r="F8310" i="11"/>
  <c r="F8309" i="11"/>
  <c r="F8308" i="11"/>
  <c r="F8307" i="11"/>
  <c r="F8306" i="11"/>
  <c r="F8305" i="11"/>
  <c r="F8304" i="11"/>
  <c r="F8303" i="11"/>
  <c r="F8302" i="11"/>
  <c r="F8301" i="11"/>
  <c r="F8300" i="11"/>
  <c r="F8299" i="11"/>
  <c r="F8298" i="11"/>
  <c r="F8297" i="11"/>
  <c r="F8296" i="11"/>
  <c r="F8295" i="11"/>
  <c r="F8294" i="11"/>
  <c r="F8293" i="11"/>
  <c r="F8292" i="11"/>
  <c r="F8291" i="11"/>
  <c r="F8290" i="11"/>
  <c r="F8289" i="11"/>
  <c r="F8288" i="11"/>
  <c r="F8287" i="11"/>
  <c r="F8286" i="11"/>
  <c r="F8285" i="11"/>
  <c r="F8284" i="11"/>
  <c r="F8283" i="11"/>
  <c r="F8282" i="11"/>
  <c r="F8281" i="11"/>
  <c r="F8280" i="11"/>
  <c r="F8279" i="11"/>
  <c r="F8278" i="11"/>
  <c r="F8277" i="11"/>
  <c r="F8276" i="11"/>
  <c r="F8275" i="11"/>
  <c r="F8274" i="11"/>
  <c r="F8273" i="11"/>
  <c r="F8272" i="11"/>
  <c r="F8271" i="11"/>
  <c r="F8270" i="11"/>
  <c r="F8269" i="11"/>
  <c r="F8268" i="11"/>
  <c r="F8267" i="11"/>
  <c r="F8266" i="11"/>
  <c r="F8265" i="11"/>
  <c r="F8264" i="11"/>
  <c r="F8263" i="11"/>
  <c r="F8262" i="11"/>
  <c r="F8261" i="11"/>
  <c r="F8260" i="11"/>
  <c r="F8259" i="11"/>
  <c r="F8258" i="11"/>
  <c r="F8257" i="11"/>
  <c r="F8256" i="11"/>
  <c r="F8255" i="11"/>
  <c r="F8254" i="11"/>
  <c r="F8253" i="11"/>
  <c r="F8252" i="11"/>
  <c r="F8251" i="11"/>
  <c r="F8250" i="11"/>
  <c r="F8249" i="11"/>
  <c r="F8248" i="11"/>
  <c r="F8247" i="11"/>
  <c r="F8246" i="11"/>
  <c r="F8245" i="11"/>
  <c r="F8244" i="11"/>
  <c r="F8243" i="11"/>
  <c r="F8242" i="11"/>
  <c r="F8241" i="11"/>
  <c r="F8240" i="11"/>
  <c r="F8239" i="11"/>
  <c r="F8238" i="11"/>
  <c r="F8237" i="11"/>
  <c r="F8236" i="11"/>
  <c r="F8235" i="11"/>
  <c r="F8234" i="11"/>
  <c r="F8233" i="11"/>
  <c r="F8232" i="11"/>
  <c r="F8231" i="11"/>
  <c r="F8230" i="11"/>
  <c r="F8229" i="11"/>
  <c r="F8228" i="11"/>
  <c r="F8227" i="11"/>
  <c r="F8226" i="11"/>
  <c r="F8225" i="11"/>
  <c r="F8224" i="11"/>
  <c r="F8223" i="11"/>
  <c r="F8222" i="11"/>
  <c r="F8221" i="11"/>
  <c r="F8220" i="11"/>
  <c r="F8219" i="11"/>
  <c r="F8218" i="11"/>
  <c r="F8217" i="11"/>
  <c r="F8216" i="11"/>
  <c r="F8215" i="11"/>
  <c r="F8214" i="11"/>
  <c r="F8213" i="11"/>
  <c r="F8212" i="11"/>
  <c r="F8211" i="11"/>
  <c r="F8210" i="11"/>
  <c r="F8209" i="11"/>
  <c r="F8208" i="11"/>
  <c r="F8207" i="11"/>
  <c r="F8206" i="11"/>
  <c r="F8205" i="11"/>
  <c r="F8204" i="11"/>
  <c r="F8203" i="11"/>
  <c r="F8202" i="11"/>
  <c r="F8201" i="11"/>
  <c r="F8200" i="11"/>
  <c r="F8199" i="11"/>
  <c r="F8198" i="11"/>
  <c r="F8197" i="11"/>
  <c r="F8196" i="11"/>
  <c r="F8195" i="11"/>
  <c r="F8194" i="11"/>
  <c r="F8193" i="11"/>
  <c r="F8192" i="11"/>
  <c r="F8191" i="11"/>
  <c r="F8190" i="11"/>
  <c r="F8189" i="11"/>
  <c r="F8188" i="11"/>
  <c r="F8187" i="11"/>
  <c r="F8186" i="11"/>
  <c r="F8185" i="11"/>
  <c r="F8184" i="11"/>
  <c r="F8183" i="11"/>
  <c r="F8182" i="11"/>
  <c r="F8181" i="11"/>
  <c r="F8180" i="11"/>
  <c r="F8179" i="11"/>
  <c r="F8178" i="11"/>
  <c r="F8177" i="11"/>
  <c r="F8176" i="11"/>
  <c r="F8175" i="11"/>
  <c r="F8174" i="11"/>
  <c r="F8173" i="11"/>
  <c r="F8172" i="11"/>
  <c r="F8171" i="11"/>
  <c r="F8170" i="11"/>
  <c r="F8169" i="11"/>
  <c r="F8168" i="11"/>
  <c r="F8167" i="11"/>
  <c r="F8166" i="11"/>
  <c r="F8165" i="11"/>
  <c r="F8164" i="11"/>
  <c r="F8163" i="11"/>
  <c r="F8162" i="11"/>
  <c r="F8161" i="11"/>
  <c r="F8160" i="11"/>
  <c r="F8159" i="11"/>
  <c r="F8158" i="11"/>
  <c r="F8157" i="11"/>
  <c r="F8156" i="11"/>
  <c r="F8155" i="11"/>
  <c r="F8154" i="11"/>
  <c r="F8153" i="11"/>
  <c r="F8152" i="11"/>
  <c r="F8151" i="11"/>
  <c r="F8150" i="11"/>
  <c r="F8149" i="11"/>
  <c r="F8148" i="11"/>
  <c r="F8147" i="11"/>
  <c r="F8146" i="11"/>
  <c r="F8145" i="11"/>
  <c r="F8144" i="11"/>
  <c r="F8143" i="11"/>
  <c r="F8142" i="11"/>
  <c r="F8141" i="11"/>
  <c r="F8140" i="11"/>
  <c r="F8139" i="11"/>
  <c r="F8138" i="11"/>
  <c r="F8137" i="11"/>
  <c r="F8136" i="11"/>
  <c r="F8135" i="11"/>
  <c r="F8134" i="11"/>
  <c r="F8133" i="11"/>
  <c r="F8132" i="11"/>
  <c r="F8131" i="11"/>
  <c r="F8130" i="11"/>
  <c r="F8129" i="11"/>
  <c r="F8128" i="11"/>
  <c r="F8127" i="11"/>
  <c r="F8126" i="11"/>
  <c r="F8125" i="11"/>
  <c r="F8124" i="11"/>
  <c r="F8123" i="11"/>
  <c r="F8122" i="11"/>
  <c r="F8121" i="11"/>
  <c r="F8120" i="11"/>
  <c r="F8119" i="11"/>
  <c r="F8118" i="11"/>
  <c r="F8117" i="11"/>
  <c r="F8116" i="11"/>
  <c r="F8115" i="11"/>
  <c r="F8114" i="11"/>
  <c r="F8113" i="11"/>
  <c r="F8112" i="11"/>
  <c r="F8111" i="11"/>
  <c r="F8110" i="11"/>
  <c r="F8109" i="11"/>
  <c r="F8108" i="11"/>
  <c r="F8107" i="11"/>
  <c r="F8106" i="11"/>
  <c r="F8105" i="11"/>
  <c r="F8104" i="11"/>
  <c r="F8103" i="11"/>
  <c r="F8102" i="11"/>
  <c r="F8101" i="11"/>
  <c r="F8100" i="11"/>
  <c r="F8099" i="11"/>
  <c r="F8098" i="11"/>
  <c r="F8097" i="11"/>
  <c r="F8096" i="11"/>
  <c r="F8095" i="11"/>
  <c r="F8094" i="11"/>
  <c r="F8093" i="11"/>
  <c r="F8092" i="11"/>
  <c r="F8091" i="11"/>
  <c r="F8090" i="11"/>
  <c r="F8089" i="11"/>
  <c r="F8088" i="11"/>
  <c r="F8087" i="11"/>
  <c r="F8086" i="11"/>
  <c r="F8085" i="11"/>
  <c r="F8084" i="11"/>
  <c r="F8083" i="11"/>
  <c r="F8082" i="11"/>
  <c r="F8081" i="11"/>
  <c r="F8080" i="11"/>
  <c r="F8079" i="11"/>
  <c r="F8078" i="11"/>
  <c r="F8077" i="11"/>
  <c r="F8076" i="11"/>
  <c r="F8075" i="11"/>
  <c r="F8074" i="11"/>
  <c r="F8073" i="11"/>
  <c r="F8072" i="11"/>
  <c r="F8071" i="11"/>
  <c r="F8070" i="11"/>
  <c r="F8069" i="11"/>
  <c r="F8068" i="11"/>
  <c r="F8067" i="11"/>
  <c r="F8066" i="11"/>
  <c r="F8065" i="11"/>
  <c r="F8064" i="11"/>
  <c r="F8063" i="11"/>
  <c r="F8062" i="11"/>
  <c r="F8061" i="11"/>
  <c r="F8060" i="11"/>
  <c r="F8059" i="11"/>
  <c r="F8058" i="11"/>
  <c r="F8057" i="11"/>
  <c r="F8056" i="11"/>
  <c r="F8055" i="11"/>
  <c r="F8054" i="11"/>
  <c r="F8053" i="11"/>
  <c r="F8052" i="11"/>
  <c r="F8051" i="11"/>
  <c r="F8050" i="11"/>
  <c r="F8049" i="11"/>
  <c r="F8048" i="11"/>
  <c r="F8047" i="11"/>
  <c r="F8046" i="11"/>
  <c r="F8045" i="11"/>
  <c r="F8044" i="11"/>
  <c r="F8043" i="11"/>
  <c r="F8042" i="11"/>
  <c r="F8041" i="11"/>
  <c r="F8040" i="11"/>
  <c r="F8039" i="11"/>
  <c r="F8038" i="11"/>
  <c r="F8037" i="11"/>
  <c r="F8036" i="11"/>
  <c r="F8035" i="11"/>
  <c r="F8034" i="11"/>
  <c r="F8033" i="11"/>
  <c r="F8032" i="11"/>
  <c r="F8031" i="11"/>
  <c r="F8030" i="11"/>
  <c r="F8029" i="11"/>
  <c r="F8028" i="11"/>
  <c r="F8027" i="11"/>
  <c r="F8026" i="11"/>
  <c r="F8025" i="11"/>
  <c r="F8024" i="11"/>
  <c r="F8023" i="11"/>
  <c r="F8022" i="11"/>
  <c r="F8021" i="11"/>
  <c r="F8020" i="11"/>
  <c r="F8019" i="11"/>
  <c r="F8018" i="11"/>
  <c r="F8017" i="11"/>
  <c r="F8016" i="11"/>
  <c r="F8015" i="11"/>
  <c r="F8014" i="11"/>
  <c r="F8013" i="11"/>
  <c r="F8012" i="11"/>
  <c r="F8011" i="11"/>
  <c r="F8010" i="11"/>
  <c r="F8009" i="11"/>
  <c r="F8008" i="11"/>
  <c r="F8007" i="11"/>
  <c r="F8006" i="11"/>
  <c r="F8005" i="11"/>
  <c r="F8004" i="11"/>
  <c r="F8003" i="11"/>
  <c r="F8002" i="11"/>
  <c r="F8001" i="11"/>
  <c r="F8000" i="11"/>
  <c r="F7999" i="11"/>
  <c r="F7998" i="11"/>
  <c r="F7997" i="11"/>
  <c r="F7996" i="11"/>
  <c r="F7995" i="11"/>
  <c r="F7994" i="11"/>
  <c r="F7993" i="11"/>
  <c r="F7992" i="11"/>
  <c r="F7991" i="11"/>
  <c r="F7990" i="11"/>
  <c r="F7989" i="11"/>
  <c r="F7988" i="11"/>
  <c r="F7987" i="11"/>
  <c r="F7986" i="11"/>
  <c r="F7985" i="11"/>
  <c r="F7984" i="11"/>
  <c r="F7983" i="11"/>
  <c r="F7982" i="11"/>
  <c r="F7981" i="11"/>
  <c r="F7980" i="11"/>
  <c r="F7979" i="11"/>
  <c r="F7978" i="11"/>
  <c r="F7977" i="11"/>
  <c r="F7976" i="11"/>
  <c r="F7975" i="11"/>
  <c r="F7974" i="11"/>
  <c r="F7973" i="11"/>
  <c r="F7972" i="11"/>
  <c r="F7971" i="11"/>
  <c r="F7970" i="11"/>
  <c r="F7969" i="11"/>
  <c r="F7968" i="11"/>
  <c r="F7967" i="11"/>
  <c r="F7966" i="11"/>
  <c r="F7965" i="11"/>
  <c r="F7964" i="11"/>
  <c r="F7963" i="11"/>
  <c r="F7962" i="11"/>
  <c r="F7961" i="11"/>
  <c r="F7960" i="11"/>
  <c r="F7959" i="11"/>
  <c r="F7958" i="11"/>
  <c r="F7957" i="11"/>
  <c r="F7956" i="11"/>
  <c r="F7955" i="11"/>
  <c r="F7954" i="11"/>
  <c r="F7953" i="11"/>
  <c r="F7952" i="11"/>
  <c r="F7951" i="11"/>
  <c r="F7950" i="11"/>
  <c r="F7949" i="11"/>
  <c r="F7948" i="11"/>
  <c r="F7947" i="11"/>
  <c r="F7946" i="11"/>
  <c r="F7945" i="11"/>
  <c r="F7944" i="11"/>
  <c r="F7943" i="11"/>
  <c r="F7942" i="11"/>
  <c r="F7941" i="11"/>
  <c r="F7940" i="11"/>
  <c r="F7939" i="11"/>
  <c r="F7938" i="11"/>
  <c r="F7937" i="11"/>
  <c r="F7936" i="11"/>
  <c r="F7935" i="11"/>
  <c r="F7934" i="11"/>
  <c r="F7933" i="11"/>
  <c r="F7932" i="11"/>
  <c r="F7931" i="11"/>
  <c r="F7930" i="11"/>
  <c r="F7929" i="11"/>
  <c r="F7928" i="11"/>
  <c r="F7927" i="11"/>
  <c r="F7926" i="11"/>
  <c r="F7925" i="11"/>
  <c r="F7924" i="11"/>
  <c r="F7923" i="11"/>
  <c r="F7922" i="11"/>
  <c r="F7921" i="11"/>
  <c r="F7920" i="11"/>
  <c r="F7919" i="11"/>
  <c r="F7918" i="11"/>
  <c r="F7917" i="11"/>
  <c r="F7916" i="11"/>
  <c r="F7915" i="11"/>
  <c r="F7914" i="11"/>
  <c r="F7913" i="11"/>
  <c r="F7912" i="11"/>
  <c r="F7911" i="11"/>
  <c r="F7910" i="11"/>
  <c r="F7909" i="11"/>
  <c r="F7908" i="11"/>
  <c r="F7907" i="11"/>
  <c r="F7906" i="11"/>
  <c r="F7905" i="11"/>
  <c r="F7904" i="11"/>
  <c r="F7903" i="11"/>
  <c r="F7902" i="11"/>
  <c r="F7901" i="11"/>
  <c r="F7900" i="11"/>
  <c r="F7899" i="11"/>
  <c r="F7898" i="11"/>
  <c r="F7897" i="11"/>
  <c r="F7896" i="11"/>
  <c r="F7895" i="11"/>
  <c r="F7894" i="11"/>
  <c r="F7893" i="11"/>
  <c r="F7892" i="11"/>
  <c r="F7891" i="11"/>
  <c r="F7890" i="11"/>
  <c r="F7889" i="11"/>
  <c r="F7888" i="11"/>
  <c r="F7887" i="11"/>
  <c r="F7886" i="11"/>
  <c r="F7885" i="11"/>
  <c r="F7884" i="11"/>
  <c r="F7883" i="11"/>
  <c r="F7882" i="11"/>
  <c r="F7881" i="11"/>
  <c r="F7880" i="11"/>
  <c r="F7879" i="11"/>
  <c r="F7878" i="11"/>
  <c r="F7877" i="11"/>
  <c r="F7876" i="11"/>
  <c r="F7875" i="11"/>
  <c r="F7874" i="11"/>
  <c r="F7873" i="11"/>
  <c r="F7872" i="11"/>
  <c r="F7871" i="11"/>
  <c r="F7870" i="11"/>
  <c r="F7869" i="11"/>
  <c r="F7868" i="11"/>
  <c r="F7867" i="11"/>
  <c r="F7866" i="11"/>
  <c r="F7865" i="11"/>
  <c r="F7864" i="11"/>
  <c r="F7863" i="11"/>
  <c r="F7862" i="11"/>
  <c r="F7861" i="11"/>
  <c r="F7860" i="11"/>
  <c r="F7859" i="11"/>
  <c r="F7858" i="11"/>
  <c r="F7857" i="11"/>
  <c r="F7856" i="11"/>
  <c r="F7855" i="11"/>
  <c r="F7854" i="11"/>
  <c r="F7853" i="11"/>
  <c r="F7852" i="11"/>
  <c r="F7851" i="11"/>
  <c r="F7850" i="11"/>
  <c r="F7849" i="11"/>
  <c r="F7848" i="11"/>
  <c r="F7847" i="11"/>
  <c r="F7846" i="11"/>
  <c r="F7845" i="11"/>
  <c r="F7844" i="11"/>
  <c r="F7843" i="11"/>
  <c r="F7842" i="11"/>
  <c r="F7841" i="11"/>
  <c r="F7840" i="11"/>
  <c r="F7839" i="11"/>
  <c r="F7838" i="11"/>
  <c r="F7837" i="11"/>
  <c r="F7836" i="11"/>
  <c r="F7835" i="11"/>
  <c r="F7834" i="11"/>
  <c r="F7833" i="11"/>
  <c r="F7832" i="11"/>
  <c r="F7831" i="11"/>
  <c r="F7830" i="11"/>
  <c r="F7829" i="11"/>
  <c r="F7828" i="11"/>
  <c r="F7827" i="11"/>
  <c r="F7826" i="11"/>
  <c r="F7825" i="11"/>
  <c r="F7824" i="11"/>
  <c r="F7823" i="11"/>
  <c r="F7822" i="11"/>
  <c r="F7821" i="11"/>
  <c r="F7820" i="11"/>
  <c r="F7819" i="11"/>
  <c r="F7818" i="11"/>
  <c r="F7817" i="11"/>
  <c r="F7816" i="11"/>
  <c r="F7815" i="11"/>
  <c r="F7814" i="11"/>
  <c r="F7813" i="11"/>
  <c r="F7812" i="11"/>
  <c r="F7811" i="11"/>
  <c r="F7810" i="11"/>
  <c r="F7809" i="11"/>
  <c r="F7808" i="11"/>
  <c r="F7807" i="11"/>
  <c r="F7806" i="11"/>
  <c r="F7805" i="11"/>
  <c r="F7804" i="11"/>
  <c r="F7803" i="11"/>
  <c r="F7802" i="11"/>
  <c r="F7801" i="11"/>
  <c r="F7800" i="11"/>
  <c r="F7799" i="11"/>
  <c r="F7798" i="11"/>
  <c r="F7797" i="11"/>
  <c r="F7796" i="11"/>
  <c r="F7795" i="11"/>
  <c r="F7794" i="11"/>
  <c r="F7793" i="11"/>
  <c r="F7792" i="11"/>
  <c r="F7791" i="11"/>
  <c r="F7790" i="11"/>
  <c r="F7789" i="11"/>
  <c r="F7788" i="11"/>
  <c r="F7787" i="11"/>
  <c r="F7786" i="11"/>
  <c r="F7785" i="11"/>
  <c r="F7784" i="11"/>
  <c r="F7783" i="11"/>
  <c r="F7782" i="11"/>
  <c r="F7781" i="11"/>
  <c r="F7780" i="11"/>
  <c r="F7779" i="11"/>
  <c r="F7778" i="11"/>
  <c r="F7777" i="11"/>
  <c r="F7776" i="11"/>
  <c r="F7775" i="11"/>
  <c r="F7774" i="11"/>
  <c r="F7773" i="11"/>
  <c r="F7772" i="11"/>
  <c r="F7771" i="11"/>
  <c r="F7770" i="11"/>
  <c r="F7769" i="11"/>
  <c r="F7768" i="11"/>
  <c r="F7767" i="11"/>
  <c r="F7766" i="11"/>
  <c r="F7765" i="11"/>
  <c r="F7764" i="11"/>
  <c r="F7763" i="11"/>
  <c r="F7762" i="11"/>
  <c r="F7761" i="11"/>
  <c r="F7760" i="11"/>
  <c r="F7759" i="11"/>
  <c r="F7758" i="11"/>
  <c r="F7757" i="11"/>
  <c r="F7756" i="11"/>
  <c r="F7755" i="11"/>
  <c r="F7754" i="11"/>
  <c r="F7753" i="11"/>
  <c r="F7752" i="11"/>
  <c r="F7751" i="11"/>
  <c r="F7750" i="11"/>
  <c r="F7749" i="11"/>
  <c r="F7748" i="11"/>
  <c r="F7747" i="11"/>
  <c r="F7746" i="11"/>
  <c r="F7745" i="11"/>
  <c r="F7744" i="11"/>
  <c r="F7743" i="11"/>
  <c r="F7742" i="11"/>
  <c r="F7741" i="11"/>
  <c r="F7740" i="11"/>
  <c r="F7739" i="11"/>
  <c r="F7738" i="11"/>
  <c r="F7737" i="11"/>
  <c r="F7736" i="11"/>
  <c r="F7735" i="11"/>
  <c r="F7734" i="11"/>
  <c r="F7733" i="11"/>
  <c r="F7732" i="11"/>
  <c r="F7731" i="11"/>
  <c r="F7730" i="11"/>
  <c r="F7729" i="11"/>
  <c r="F7728" i="11"/>
  <c r="F7727" i="11"/>
  <c r="F7726" i="11"/>
  <c r="F7725" i="11"/>
  <c r="F7724" i="11"/>
  <c r="F7723" i="11"/>
  <c r="F7722" i="11"/>
  <c r="F7721" i="11"/>
  <c r="F7720" i="11"/>
  <c r="F7719" i="11"/>
  <c r="F7718" i="11"/>
  <c r="F7717" i="11"/>
  <c r="F7716" i="11"/>
  <c r="F7715" i="11"/>
  <c r="F7714" i="11"/>
  <c r="F7713" i="11"/>
  <c r="F7712" i="11"/>
  <c r="F7711" i="11"/>
  <c r="F7710" i="11"/>
  <c r="F7709" i="11"/>
  <c r="F7708" i="11"/>
  <c r="F7707" i="11"/>
  <c r="F7706" i="11"/>
  <c r="F7705" i="11"/>
  <c r="F7704" i="11"/>
  <c r="F7703" i="11"/>
  <c r="F7702" i="11"/>
  <c r="F7701" i="11"/>
  <c r="F7700" i="11"/>
  <c r="F7699" i="11"/>
  <c r="F7698" i="11"/>
  <c r="F7697" i="11"/>
  <c r="F7696" i="11"/>
  <c r="F7695" i="11"/>
  <c r="F7694" i="11"/>
  <c r="F7693" i="11"/>
  <c r="F7692" i="11"/>
  <c r="F7691" i="11"/>
  <c r="F7690" i="11"/>
  <c r="F7689" i="11"/>
  <c r="F7688" i="11"/>
  <c r="F7687" i="11"/>
  <c r="F7686" i="11"/>
  <c r="F7685" i="11"/>
  <c r="F7684" i="11"/>
  <c r="F7683" i="11"/>
  <c r="F7682" i="11"/>
  <c r="F7681" i="11"/>
  <c r="F7680" i="11"/>
  <c r="F7679" i="11"/>
  <c r="F7678" i="11"/>
  <c r="F7677" i="11"/>
  <c r="F7676" i="11"/>
  <c r="F7675" i="11"/>
  <c r="F7674" i="11"/>
  <c r="F7673" i="11"/>
  <c r="F7672" i="11"/>
  <c r="F7671" i="11"/>
  <c r="F7670" i="11"/>
  <c r="F7669" i="11"/>
  <c r="F7668" i="11"/>
  <c r="F7667" i="11"/>
  <c r="F7666" i="11"/>
  <c r="F7665" i="11"/>
  <c r="F7664" i="11"/>
  <c r="F7663" i="11"/>
  <c r="F7662" i="11"/>
  <c r="F7661" i="11"/>
  <c r="F7660" i="11"/>
  <c r="F7659" i="11"/>
  <c r="F7658" i="11"/>
  <c r="F7657" i="11"/>
  <c r="F7656" i="11"/>
  <c r="F7655" i="11"/>
  <c r="F7654" i="11"/>
  <c r="F7653" i="11"/>
  <c r="F7652" i="11"/>
  <c r="F7651" i="11"/>
  <c r="F7650" i="11"/>
  <c r="F7649" i="11"/>
  <c r="F7648" i="11"/>
  <c r="F7647" i="11"/>
  <c r="F7646" i="11"/>
  <c r="F7645" i="11"/>
  <c r="F7644" i="11"/>
  <c r="F7643" i="11"/>
  <c r="F7642" i="11"/>
  <c r="F7641" i="11"/>
  <c r="F7640" i="11"/>
  <c r="F7639" i="11"/>
  <c r="F7638" i="11"/>
  <c r="F7637" i="11"/>
  <c r="F7636" i="11"/>
  <c r="F7635" i="11"/>
  <c r="F7634" i="11"/>
  <c r="F7633" i="11"/>
  <c r="F7632" i="11"/>
  <c r="F7631" i="11"/>
  <c r="F7630" i="11"/>
  <c r="F7629" i="11"/>
  <c r="F7628" i="11"/>
  <c r="F7627" i="11"/>
  <c r="F7626" i="11"/>
  <c r="F7625" i="11"/>
  <c r="F7624" i="11"/>
  <c r="F7623" i="11"/>
  <c r="F7622" i="11"/>
  <c r="F7621" i="11"/>
  <c r="F7620" i="11"/>
  <c r="F7619" i="11"/>
  <c r="F7618" i="11"/>
  <c r="F7617" i="11"/>
  <c r="F7616" i="11"/>
  <c r="F7615" i="11"/>
  <c r="F7614" i="11"/>
  <c r="F7613" i="11"/>
  <c r="F7612" i="11"/>
  <c r="F7611" i="11"/>
  <c r="F7610" i="11"/>
  <c r="F7609" i="11"/>
  <c r="F7608" i="11"/>
  <c r="F7607" i="11"/>
  <c r="F7606" i="11"/>
  <c r="F7605" i="11"/>
  <c r="F7604" i="11"/>
  <c r="F7603" i="11"/>
  <c r="F7602" i="11"/>
  <c r="F7601" i="11"/>
  <c r="F7600" i="11"/>
  <c r="F7599" i="11"/>
  <c r="F7598" i="11"/>
  <c r="F7597" i="11"/>
  <c r="F7596" i="11"/>
  <c r="F7595" i="11"/>
  <c r="F7594" i="11"/>
  <c r="F7593" i="11"/>
  <c r="F7592" i="11"/>
  <c r="F7591" i="11"/>
  <c r="F7590" i="11"/>
  <c r="F7589" i="11"/>
  <c r="F7588" i="11"/>
  <c r="F7587" i="11"/>
  <c r="F7586" i="11"/>
  <c r="F7585" i="11"/>
  <c r="F7584" i="11"/>
  <c r="F7583" i="11"/>
  <c r="F7582" i="11"/>
  <c r="F7581" i="11"/>
  <c r="F7580" i="11"/>
  <c r="F7579" i="11"/>
  <c r="F7578" i="11"/>
  <c r="F7577" i="11"/>
  <c r="F7576" i="11"/>
  <c r="F7575" i="11"/>
  <c r="F7574" i="11"/>
  <c r="F7573" i="11"/>
  <c r="F7572" i="11"/>
  <c r="F7571" i="11"/>
  <c r="F7570" i="11"/>
  <c r="F7569" i="11"/>
  <c r="F7568" i="11"/>
  <c r="F7567" i="11"/>
  <c r="F7566" i="11"/>
  <c r="F7565" i="11"/>
  <c r="F7564" i="11"/>
  <c r="F7563" i="11"/>
  <c r="F7562" i="11"/>
  <c r="F7561" i="11"/>
  <c r="F7560" i="11"/>
  <c r="F7559" i="11"/>
  <c r="F7558" i="11"/>
  <c r="F7557" i="11"/>
  <c r="F7556" i="11"/>
  <c r="F7555" i="11"/>
  <c r="F7554" i="11"/>
  <c r="F7553" i="11"/>
  <c r="F7552" i="11"/>
  <c r="F7551" i="11"/>
  <c r="F7550" i="11"/>
  <c r="F7549" i="11"/>
  <c r="F7548" i="11"/>
  <c r="F7547" i="11"/>
  <c r="F7546" i="11"/>
  <c r="F7545" i="11"/>
  <c r="F7544" i="11"/>
  <c r="F7543" i="11"/>
  <c r="F7542" i="11"/>
  <c r="F7541" i="11"/>
  <c r="F7540" i="11"/>
  <c r="F7539" i="11"/>
  <c r="F7538" i="11"/>
  <c r="F7537" i="11"/>
  <c r="F7536" i="11"/>
  <c r="F7535" i="11"/>
  <c r="F7534" i="11"/>
  <c r="F7533" i="11"/>
  <c r="F7532" i="11"/>
  <c r="F7531" i="11"/>
  <c r="F7530" i="11"/>
  <c r="F7529" i="11"/>
  <c r="F7528" i="11"/>
  <c r="F7527" i="11"/>
  <c r="F7526" i="11"/>
  <c r="F7525" i="11"/>
  <c r="F7524" i="11"/>
  <c r="F7523" i="11"/>
  <c r="F7522" i="11"/>
  <c r="F7521" i="11"/>
  <c r="F7520" i="11"/>
  <c r="F7519" i="11"/>
  <c r="F7518" i="11"/>
  <c r="F7517" i="11"/>
  <c r="F7516" i="11"/>
  <c r="F7515" i="11"/>
  <c r="F7514" i="11"/>
  <c r="F7513" i="11"/>
  <c r="F7512" i="11"/>
  <c r="F7511" i="11"/>
  <c r="F7510" i="11"/>
  <c r="F7509" i="11"/>
  <c r="F7508" i="11"/>
  <c r="F7507" i="11"/>
  <c r="F7506" i="11"/>
  <c r="F7505" i="11"/>
  <c r="F7504" i="11"/>
  <c r="F7503" i="11"/>
  <c r="F7502" i="11"/>
  <c r="F7501" i="11"/>
  <c r="F7500" i="11"/>
  <c r="F7499" i="11"/>
  <c r="F7498" i="11"/>
  <c r="F7497" i="11"/>
  <c r="F7496" i="11"/>
  <c r="F7495" i="11"/>
  <c r="F7494" i="11"/>
  <c r="F7493" i="11"/>
  <c r="F7492" i="11"/>
  <c r="F7491" i="11"/>
  <c r="F7490" i="11"/>
  <c r="F7489" i="11"/>
  <c r="F7488" i="11"/>
  <c r="F7487" i="11"/>
  <c r="F7486" i="11"/>
  <c r="F7485" i="11"/>
  <c r="F7484" i="11"/>
  <c r="F7483" i="11"/>
  <c r="F7482" i="11"/>
  <c r="F7481" i="11"/>
  <c r="F7480" i="11"/>
  <c r="F7479" i="11"/>
  <c r="F7478" i="11"/>
  <c r="F7477" i="11"/>
  <c r="F7476" i="11"/>
  <c r="F7475" i="11"/>
  <c r="F7474" i="11"/>
  <c r="F7473" i="11"/>
  <c r="F7472" i="11"/>
  <c r="F7471" i="11"/>
  <c r="F7470" i="11"/>
  <c r="F7469" i="11"/>
  <c r="F7468" i="11"/>
  <c r="F7467" i="11"/>
  <c r="F7466" i="11"/>
  <c r="F7465" i="11"/>
  <c r="F7464" i="11"/>
  <c r="F7463" i="11"/>
  <c r="F7462" i="11"/>
  <c r="F7461" i="11"/>
  <c r="F7460" i="11"/>
  <c r="F7459" i="11"/>
  <c r="F7458" i="11"/>
  <c r="F7457" i="11"/>
  <c r="F7456" i="11"/>
  <c r="F7455" i="11"/>
  <c r="F7454" i="11"/>
  <c r="F7453" i="11"/>
  <c r="F7452" i="11"/>
  <c r="F7451" i="11"/>
  <c r="F7450" i="11"/>
  <c r="F7449" i="11"/>
  <c r="F7448" i="11"/>
  <c r="F7447" i="11"/>
  <c r="F7446" i="11"/>
  <c r="F7445" i="11"/>
  <c r="F7444" i="11"/>
  <c r="F7443" i="11"/>
  <c r="F7442" i="11"/>
  <c r="F7441" i="11"/>
  <c r="F7440" i="11"/>
  <c r="F7439" i="11"/>
  <c r="F7438" i="11"/>
  <c r="F7437" i="11"/>
  <c r="F7436" i="11"/>
  <c r="F7435" i="11"/>
  <c r="F7434" i="11"/>
  <c r="F7433" i="11"/>
  <c r="F7432" i="11"/>
  <c r="F7431" i="11"/>
  <c r="F7430" i="11"/>
  <c r="F7429" i="11"/>
  <c r="F7428" i="11"/>
  <c r="F7427" i="11"/>
  <c r="F7426" i="11"/>
  <c r="F7425" i="11"/>
  <c r="F7424" i="11"/>
  <c r="F7423" i="11"/>
  <c r="F7422" i="11"/>
  <c r="F7421" i="11"/>
  <c r="F7420" i="11"/>
  <c r="F7419" i="11"/>
  <c r="F7418" i="11"/>
  <c r="F7417" i="11"/>
  <c r="F7416" i="11"/>
  <c r="F7415" i="11"/>
  <c r="F7414" i="11"/>
  <c r="F7413" i="11"/>
  <c r="F7412" i="11"/>
  <c r="F7411" i="11"/>
  <c r="F7410" i="11"/>
  <c r="F7409" i="11"/>
  <c r="F7408" i="11"/>
  <c r="F7407" i="11"/>
  <c r="F7406" i="11"/>
  <c r="F7405" i="11"/>
  <c r="F7404" i="11"/>
  <c r="F7403" i="11"/>
  <c r="F7402" i="11"/>
  <c r="F7401" i="11"/>
  <c r="F7400" i="11"/>
  <c r="F7399" i="11"/>
  <c r="F7398" i="11"/>
  <c r="F7397" i="11"/>
  <c r="F7396" i="11"/>
  <c r="F7395" i="11"/>
  <c r="F7394" i="11"/>
  <c r="F7393" i="11"/>
  <c r="F7392" i="11"/>
  <c r="F7391" i="11"/>
  <c r="F7390" i="11"/>
  <c r="F7389" i="11"/>
  <c r="F7388" i="11"/>
  <c r="F7387" i="11"/>
  <c r="F7386" i="11"/>
  <c r="F7385" i="11"/>
  <c r="F7384" i="11"/>
  <c r="F7383" i="11"/>
  <c r="F7382" i="11"/>
  <c r="F7381" i="11"/>
  <c r="F7380" i="11"/>
  <c r="F7379" i="11"/>
  <c r="F7378" i="11"/>
  <c r="F7377" i="11"/>
  <c r="F7376" i="11"/>
  <c r="F7375" i="11"/>
  <c r="F7374" i="11"/>
  <c r="F7373" i="11"/>
  <c r="F7372" i="11"/>
  <c r="F7371" i="11"/>
  <c r="F7370" i="11"/>
  <c r="F7369" i="11"/>
  <c r="F7368" i="11"/>
  <c r="F7367" i="11"/>
  <c r="F7366" i="11"/>
  <c r="F7365" i="11"/>
  <c r="F7364" i="11"/>
  <c r="F7363" i="11"/>
  <c r="F7362" i="11"/>
  <c r="F7361" i="11"/>
  <c r="F7360" i="11"/>
  <c r="F7359" i="11"/>
  <c r="F7358" i="11"/>
  <c r="F7357" i="11"/>
  <c r="F7356" i="11"/>
  <c r="F7355" i="11"/>
  <c r="F7354" i="11"/>
  <c r="F7353" i="11"/>
  <c r="F7352" i="11"/>
  <c r="F7351" i="11"/>
  <c r="F7350" i="11"/>
  <c r="F7349" i="11"/>
  <c r="F7348" i="11"/>
  <c r="F7347" i="11"/>
  <c r="F7346" i="11"/>
  <c r="F7345" i="11"/>
  <c r="F7344" i="11"/>
  <c r="F7343" i="11"/>
  <c r="F7342" i="11"/>
  <c r="F7341" i="11"/>
  <c r="F7340" i="11"/>
  <c r="F7339" i="11"/>
  <c r="F7338" i="11"/>
  <c r="F7337" i="11"/>
  <c r="F7336" i="11"/>
  <c r="F7335" i="11"/>
  <c r="F7334" i="11"/>
  <c r="F7333" i="11"/>
  <c r="F7332" i="11"/>
  <c r="F7331" i="11"/>
  <c r="F7330" i="11"/>
  <c r="F7329" i="11"/>
  <c r="F7328" i="11"/>
  <c r="F7327" i="11"/>
  <c r="F7326" i="11"/>
  <c r="F7325" i="11"/>
  <c r="F7324" i="11"/>
  <c r="F7323" i="11"/>
  <c r="F7322" i="11"/>
  <c r="F7321" i="11"/>
  <c r="F7320" i="11"/>
  <c r="F7319" i="11"/>
  <c r="F7318" i="11"/>
  <c r="F7317" i="11"/>
  <c r="F7316" i="11"/>
  <c r="F7315" i="11"/>
  <c r="F7314" i="11"/>
  <c r="F7313" i="11"/>
  <c r="F7312" i="11"/>
  <c r="F7311" i="11"/>
  <c r="F7310" i="11"/>
  <c r="F7309" i="11"/>
  <c r="F7308" i="11"/>
  <c r="F7307" i="11"/>
  <c r="F7306" i="11"/>
  <c r="F7305" i="11"/>
  <c r="F7304" i="11"/>
  <c r="F7303" i="11"/>
  <c r="F7302" i="11"/>
  <c r="F7301" i="11"/>
  <c r="F7300" i="11"/>
  <c r="F7299" i="11"/>
  <c r="F7298" i="11"/>
  <c r="F7297" i="11"/>
  <c r="F7296" i="11"/>
  <c r="F7295" i="11"/>
  <c r="F7294" i="11"/>
  <c r="F7293" i="11"/>
  <c r="F7292" i="11"/>
  <c r="F7291" i="11"/>
  <c r="F7290" i="11"/>
  <c r="F7289" i="11"/>
  <c r="F7288" i="11"/>
  <c r="F7287" i="11"/>
  <c r="F7286" i="11"/>
  <c r="F7285" i="11"/>
  <c r="F7284" i="11"/>
  <c r="F7283" i="11"/>
  <c r="F7282" i="11"/>
  <c r="F7281" i="11"/>
  <c r="F7280" i="11"/>
  <c r="F7279" i="11"/>
  <c r="F7278" i="11"/>
  <c r="F7277" i="11"/>
  <c r="F7276" i="11"/>
  <c r="F7275" i="11"/>
  <c r="F7274" i="11"/>
  <c r="F7273" i="11"/>
  <c r="F7272" i="11"/>
  <c r="F7271" i="11"/>
  <c r="F7270" i="11"/>
  <c r="F7269" i="11"/>
  <c r="F7268" i="11"/>
  <c r="F7267" i="11"/>
  <c r="F7266" i="11"/>
  <c r="F7265" i="11"/>
  <c r="F7264" i="11"/>
  <c r="F7263" i="11"/>
  <c r="F7262" i="11"/>
  <c r="F7261" i="11"/>
  <c r="F7260" i="11"/>
  <c r="F7259" i="11"/>
  <c r="F7258" i="11"/>
  <c r="F7257" i="11"/>
  <c r="F7256" i="11"/>
  <c r="F7255" i="11"/>
  <c r="F7254" i="11"/>
  <c r="F7253" i="11"/>
  <c r="F7252" i="11"/>
  <c r="F7251" i="11"/>
  <c r="F7250" i="11"/>
  <c r="F7249" i="11"/>
  <c r="F7248" i="11"/>
  <c r="F7247" i="11"/>
  <c r="F7246" i="11"/>
  <c r="F7245" i="11"/>
  <c r="F7244" i="11"/>
  <c r="F7243" i="11"/>
  <c r="F7242" i="11"/>
  <c r="F7241" i="11"/>
  <c r="F7240" i="11"/>
  <c r="F7239" i="11"/>
  <c r="F7238" i="11"/>
  <c r="F7237" i="11"/>
  <c r="F7236" i="11"/>
  <c r="F7235" i="11"/>
  <c r="F7234" i="11"/>
  <c r="F7233" i="11"/>
  <c r="F7232" i="11"/>
  <c r="F7231" i="11"/>
  <c r="F7230" i="11"/>
  <c r="F7229" i="11"/>
  <c r="F7228" i="11"/>
  <c r="F7227" i="11"/>
  <c r="F7226" i="11"/>
  <c r="F7225" i="11"/>
  <c r="F7224" i="11"/>
  <c r="F7223" i="11"/>
  <c r="F7222" i="11"/>
  <c r="F7221" i="11"/>
  <c r="F7220" i="11"/>
  <c r="F7219" i="11"/>
  <c r="F7218" i="11"/>
  <c r="F7217" i="11"/>
  <c r="F7216" i="11"/>
  <c r="F7215" i="11"/>
  <c r="F7214" i="11"/>
  <c r="F7213" i="11"/>
  <c r="F7212" i="11"/>
  <c r="F7211" i="11"/>
  <c r="F7210" i="11"/>
  <c r="F7209" i="11"/>
  <c r="F7208" i="11"/>
  <c r="F7207" i="11"/>
  <c r="F7206" i="11"/>
  <c r="F7205" i="11"/>
  <c r="F7204" i="11"/>
  <c r="F7203" i="11"/>
  <c r="F7202" i="11"/>
  <c r="F7201" i="11"/>
  <c r="F7200" i="11"/>
  <c r="F7199" i="11"/>
  <c r="F7198" i="11"/>
  <c r="F7197" i="11"/>
  <c r="F7196" i="11"/>
  <c r="F7195" i="11"/>
  <c r="F7194" i="11"/>
  <c r="F7193" i="11"/>
  <c r="F7192" i="11"/>
  <c r="F7191" i="11"/>
  <c r="F7190" i="11"/>
  <c r="F7189" i="11"/>
  <c r="F7188" i="11"/>
  <c r="F7187" i="11"/>
  <c r="F7186" i="11"/>
  <c r="F7185" i="11"/>
  <c r="F7184" i="11"/>
  <c r="F7183" i="11"/>
  <c r="F7182" i="11"/>
  <c r="F7181" i="11"/>
  <c r="F7180" i="11"/>
  <c r="F7179" i="11"/>
  <c r="F7178" i="11"/>
  <c r="F7177" i="11"/>
  <c r="F7176" i="11"/>
  <c r="F7175" i="11"/>
  <c r="F7174" i="11"/>
  <c r="F7173" i="11"/>
  <c r="F7172" i="11"/>
  <c r="F7171" i="11"/>
  <c r="F7170" i="11"/>
  <c r="F7169" i="11"/>
  <c r="F7168" i="11"/>
  <c r="F7167" i="11"/>
  <c r="F7166" i="11"/>
  <c r="F7165" i="11"/>
  <c r="F7164" i="11"/>
  <c r="F7163" i="11"/>
  <c r="F7162" i="11"/>
  <c r="F7161" i="11"/>
  <c r="F7160" i="11"/>
  <c r="F7159" i="11"/>
  <c r="F7158" i="11"/>
  <c r="F7157" i="11"/>
  <c r="F7156" i="11"/>
  <c r="F7155" i="11"/>
  <c r="F7154" i="11"/>
  <c r="F7153" i="11"/>
  <c r="F7152" i="11"/>
  <c r="F7151" i="11"/>
  <c r="F7150" i="11"/>
  <c r="F7149" i="11"/>
  <c r="F7148" i="11"/>
  <c r="F7147" i="11"/>
  <c r="F7146" i="11"/>
  <c r="F7145" i="11"/>
  <c r="F7144" i="11"/>
  <c r="F7143" i="11"/>
  <c r="F7142" i="11"/>
  <c r="F7141" i="11"/>
  <c r="F7140" i="11"/>
  <c r="F7139" i="11"/>
  <c r="F7138" i="11"/>
  <c r="F7137" i="11"/>
  <c r="F7136" i="11"/>
  <c r="F7135" i="11"/>
  <c r="F7134" i="11"/>
  <c r="F7133" i="11"/>
  <c r="F7132" i="11"/>
  <c r="F7131" i="11"/>
  <c r="F7130" i="11"/>
  <c r="F7129" i="11"/>
  <c r="F7128" i="11"/>
  <c r="F7127" i="11"/>
  <c r="F7126" i="11"/>
  <c r="F7125" i="11"/>
  <c r="F7124" i="11"/>
  <c r="F7123" i="11"/>
  <c r="F7122" i="11"/>
  <c r="F7121" i="11"/>
  <c r="F7120" i="11"/>
  <c r="F7119" i="11"/>
  <c r="F7118" i="11"/>
  <c r="F7117" i="11"/>
  <c r="F7116" i="11"/>
  <c r="F7115" i="11"/>
  <c r="F7114" i="11"/>
  <c r="F7113" i="11"/>
  <c r="F7112" i="11"/>
  <c r="F7111" i="11"/>
  <c r="F7110" i="11"/>
  <c r="F7109" i="11"/>
  <c r="F7108" i="11"/>
  <c r="F7107" i="11"/>
  <c r="F7106" i="11"/>
  <c r="F7105" i="11"/>
  <c r="F7104" i="11"/>
  <c r="F7103" i="11"/>
  <c r="F7102" i="11"/>
  <c r="F7101" i="11"/>
  <c r="F7100" i="11"/>
  <c r="F7099" i="11"/>
  <c r="F7098" i="11"/>
  <c r="F7097" i="11"/>
  <c r="F7096" i="11"/>
  <c r="F7095" i="11"/>
  <c r="F7094" i="11"/>
  <c r="F7093" i="11"/>
  <c r="F7092" i="11"/>
  <c r="F7091" i="11"/>
  <c r="F7090" i="11"/>
  <c r="F7089" i="11"/>
  <c r="F7088" i="11"/>
  <c r="F7087" i="11"/>
  <c r="F7086" i="11"/>
  <c r="F7085" i="11"/>
  <c r="F7084" i="11"/>
  <c r="F7083" i="11"/>
  <c r="F7082" i="11"/>
  <c r="F7081" i="11"/>
  <c r="F7080" i="11"/>
  <c r="F7079" i="11"/>
  <c r="F7078" i="11"/>
  <c r="F7077" i="11"/>
  <c r="F7076" i="11"/>
  <c r="F7075" i="11"/>
  <c r="F7074" i="11"/>
  <c r="F7073" i="11"/>
  <c r="F7072" i="11"/>
  <c r="F7071" i="11"/>
  <c r="F7070" i="11"/>
  <c r="F7069" i="11"/>
  <c r="F7068" i="11"/>
  <c r="F7067" i="11"/>
  <c r="F7066" i="11"/>
  <c r="F7065" i="11"/>
  <c r="F7064" i="11"/>
  <c r="F7063" i="11"/>
  <c r="F7062" i="11"/>
  <c r="F7061" i="11"/>
  <c r="F7060" i="11"/>
  <c r="F7059" i="11"/>
  <c r="F7058" i="11"/>
  <c r="F7057" i="11"/>
  <c r="F7056" i="11"/>
  <c r="F7055" i="11"/>
  <c r="F7054" i="11"/>
  <c r="F7053" i="11"/>
  <c r="F7052" i="11"/>
  <c r="F7051" i="11"/>
  <c r="F7050" i="11"/>
  <c r="F7049" i="11"/>
  <c r="F7048" i="11"/>
  <c r="F7047" i="11"/>
  <c r="F7046" i="11"/>
  <c r="F7045" i="11"/>
  <c r="F7044" i="11"/>
  <c r="F7043" i="11"/>
  <c r="F7042" i="11"/>
  <c r="F7041" i="11"/>
  <c r="F7040" i="11"/>
  <c r="F7039" i="11"/>
  <c r="F7038" i="11"/>
  <c r="F7037" i="11"/>
  <c r="F7036" i="11"/>
  <c r="F7035" i="11"/>
  <c r="F7034" i="11"/>
  <c r="F7033" i="11"/>
  <c r="F7032" i="11"/>
  <c r="F7031" i="11"/>
  <c r="F7030" i="11"/>
  <c r="F7029" i="11"/>
  <c r="F7028" i="11"/>
  <c r="F7027" i="11"/>
  <c r="F7026" i="11"/>
  <c r="F7025" i="11"/>
  <c r="F7024" i="11"/>
  <c r="F7023" i="11"/>
  <c r="F7022" i="11"/>
  <c r="F7021" i="11"/>
  <c r="F7020" i="11"/>
  <c r="F7019" i="11"/>
  <c r="F7018" i="11"/>
  <c r="F7017" i="11"/>
  <c r="F7016" i="11"/>
  <c r="F7015" i="11"/>
  <c r="F7014" i="11"/>
  <c r="F7013" i="11"/>
  <c r="F7012" i="11"/>
  <c r="F7011" i="11"/>
  <c r="F7010" i="11"/>
  <c r="F7009" i="11"/>
  <c r="F7008" i="11"/>
  <c r="F7007" i="11"/>
  <c r="F7006" i="11"/>
  <c r="F7005" i="11"/>
  <c r="F7004" i="11"/>
  <c r="F7003" i="11"/>
  <c r="F7002" i="11"/>
  <c r="F7001" i="11"/>
  <c r="F7000" i="11"/>
  <c r="F6999" i="11"/>
  <c r="F6998" i="11"/>
  <c r="F6997" i="11"/>
  <c r="F6996" i="11"/>
  <c r="F6995" i="11"/>
  <c r="F6994" i="11"/>
  <c r="F6993" i="11"/>
  <c r="F6992" i="11"/>
  <c r="F6991" i="11"/>
  <c r="F6990" i="11"/>
  <c r="F6989" i="11"/>
  <c r="F6988" i="11"/>
  <c r="F6987" i="11"/>
  <c r="F6986" i="11"/>
  <c r="F6985" i="11"/>
  <c r="F6984" i="11"/>
  <c r="F6983" i="11"/>
  <c r="F6982" i="11"/>
  <c r="F6981" i="11"/>
  <c r="F6980" i="11"/>
  <c r="F6979" i="11"/>
  <c r="F6978" i="11"/>
  <c r="F6977" i="11"/>
  <c r="F6976" i="11"/>
  <c r="F6975" i="11"/>
  <c r="F6974" i="11"/>
  <c r="F6973" i="11"/>
  <c r="F6972" i="11"/>
  <c r="F6971" i="11"/>
  <c r="F6970" i="11"/>
  <c r="F6969" i="11"/>
  <c r="F6968" i="11"/>
  <c r="F6967" i="11"/>
  <c r="F6966" i="11"/>
  <c r="F6965" i="11"/>
  <c r="F6964" i="11"/>
  <c r="F6963" i="11"/>
  <c r="F6962" i="11"/>
  <c r="F6961" i="11"/>
  <c r="F6960" i="11"/>
  <c r="F6959" i="11"/>
  <c r="F6958" i="11"/>
  <c r="F6957" i="11"/>
  <c r="F6956" i="11"/>
  <c r="F6955" i="11"/>
  <c r="F6954" i="11"/>
  <c r="F6953" i="11"/>
  <c r="F6952" i="11"/>
  <c r="F6951" i="11"/>
  <c r="F6950" i="11"/>
  <c r="F6949" i="11"/>
  <c r="F6948" i="11"/>
  <c r="F6947" i="11"/>
  <c r="F6946" i="11"/>
  <c r="F6945" i="11"/>
  <c r="F6944" i="11"/>
  <c r="F6943" i="11"/>
  <c r="F6942" i="11"/>
  <c r="F6941" i="11"/>
  <c r="F6940" i="11"/>
  <c r="F6939" i="11"/>
  <c r="F6938" i="11"/>
  <c r="F6937" i="11"/>
  <c r="F6936" i="11"/>
  <c r="F6935" i="11"/>
  <c r="F6934" i="11"/>
  <c r="F6933" i="11"/>
  <c r="F6932" i="11"/>
  <c r="F6931" i="11"/>
  <c r="F6930" i="11"/>
  <c r="F6929" i="11"/>
  <c r="F6928" i="11"/>
  <c r="F6927" i="11"/>
  <c r="F6926" i="11"/>
  <c r="F6925" i="11"/>
  <c r="F6924" i="11"/>
  <c r="F6923" i="11"/>
  <c r="F6922" i="11"/>
  <c r="F6921" i="11"/>
  <c r="F6920" i="11"/>
  <c r="F6919" i="11"/>
  <c r="F6918" i="11"/>
  <c r="F6917" i="11"/>
  <c r="F6916" i="11"/>
  <c r="F6915" i="11"/>
  <c r="F6914" i="11"/>
  <c r="F6913" i="11"/>
  <c r="F6912" i="11"/>
  <c r="F6911" i="11"/>
  <c r="F6910" i="11"/>
  <c r="F6909" i="11"/>
  <c r="F6908" i="11"/>
  <c r="F6907" i="11"/>
  <c r="F6906" i="11"/>
  <c r="F6905" i="11"/>
  <c r="F6904" i="11"/>
  <c r="F6903" i="11"/>
  <c r="F6902" i="11"/>
  <c r="F6901" i="11"/>
  <c r="F6900" i="11"/>
  <c r="F6899" i="11"/>
  <c r="F6898" i="11"/>
  <c r="F6897" i="11"/>
  <c r="F6896" i="11"/>
  <c r="F6895" i="11"/>
  <c r="F6894" i="11"/>
  <c r="F6893" i="11"/>
  <c r="F6892" i="11"/>
  <c r="F6891" i="11"/>
  <c r="F6890" i="11"/>
  <c r="F6889" i="11"/>
  <c r="F6888" i="11"/>
  <c r="F6887" i="11"/>
  <c r="F6886" i="11"/>
  <c r="F6885" i="11"/>
  <c r="F6884" i="11"/>
  <c r="F6883" i="11"/>
  <c r="F6882" i="11"/>
  <c r="F6881" i="11"/>
  <c r="F6880" i="11"/>
  <c r="F6879" i="11"/>
  <c r="F6878" i="11"/>
  <c r="F6877" i="11"/>
  <c r="F6876" i="11"/>
  <c r="F6875" i="11"/>
  <c r="F6874" i="11"/>
  <c r="F6873" i="11"/>
  <c r="F6872" i="11"/>
  <c r="F6871" i="11"/>
  <c r="F6870" i="11"/>
  <c r="F6869" i="11"/>
  <c r="F6868" i="11"/>
  <c r="F6867" i="11"/>
  <c r="F6866" i="11"/>
  <c r="F6865" i="11"/>
  <c r="F6864" i="11"/>
  <c r="F6863" i="11"/>
  <c r="F6862" i="11"/>
  <c r="F6861" i="11"/>
  <c r="F6860" i="11"/>
  <c r="F6859" i="11"/>
  <c r="F6858" i="11"/>
  <c r="F6857" i="11"/>
  <c r="F6856" i="11"/>
  <c r="F6855" i="11"/>
  <c r="F6854" i="11"/>
  <c r="F6853" i="11"/>
  <c r="F6852" i="11"/>
  <c r="F6851" i="11"/>
  <c r="F6850" i="11"/>
  <c r="F6849" i="11"/>
  <c r="F6848" i="11"/>
  <c r="F6847" i="11"/>
  <c r="F6846" i="11"/>
  <c r="F6845" i="11"/>
  <c r="F6844" i="11"/>
  <c r="F6843" i="11"/>
  <c r="F6842" i="11"/>
  <c r="F6841" i="11"/>
  <c r="F6840" i="11"/>
  <c r="F6839" i="11"/>
  <c r="F6838" i="11"/>
  <c r="F6837" i="11"/>
  <c r="F6836" i="11"/>
  <c r="F6835" i="11"/>
  <c r="F6834" i="11"/>
  <c r="F6833" i="11"/>
  <c r="F6832" i="11"/>
  <c r="F6831" i="11"/>
  <c r="F6830" i="11"/>
  <c r="F6829" i="11"/>
  <c r="F6828" i="11"/>
  <c r="F6827" i="11"/>
  <c r="F6826" i="11"/>
  <c r="F6825" i="11"/>
  <c r="F6824" i="11"/>
  <c r="F6823" i="11"/>
  <c r="F6822" i="11"/>
  <c r="F6821" i="11"/>
  <c r="F6820" i="11"/>
  <c r="F6819" i="11"/>
  <c r="F6818" i="11"/>
  <c r="F6817" i="11"/>
  <c r="F6816" i="11"/>
  <c r="F6815" i="11"/>
  <c r="F6814" i="11"/>
  <c r="F6813" i="11"/>
  <c r="F6812" i="11"/>
  <c r="F6811" i="11"/>
  <c r="F6810" i="11"/>
  <c r="F6809" i="11"/>
  <c r="F6808" i="11"/>
  <c r="F6807" i="11"/>
  <c r="F6806" i="11"/>
  <c r="F6805" i="11"/>
  <c r="F6804" i="11"/>
  <c r="F6803" i="11"/>
  <c r="F6802" i="11"/>
  <c r="F6801" i="11"/>
  <c r="F6800" i="11"/>
  <c r="F6799" i="11"/>
  <c r="F6798" i="11"/>
  <c r="F6797" i="11"/>
  <c r="F6796" i="11"/>
  <c r="F6795" i="11"/>
  <c r="F6794" i="11"/>
  <c r="F6793" i="11"/>
  <c r="F6792" i="11"/>
  <c r="F6791" i="11"/>
  <c r="F6790" i="11"/>
  <c r="F6789" i="11"/>
  <c r="F6788" i="11"/>
  <c r="F6787" i="11"/>
  <c r="F6786" i="11"/>
  <c r="F6785" i="11"/>
  <c r="F6784" i="11"/>
  <c r="F6783" i="11"/>
  <c r="F6782" i="11"/>
  <c r="F6781" i="11"/>
  <c r="F6780" i="11"/>
  <c r="F6779" i="11"/>
  <c r="F6778" i="11"/>
  <c r="F6777" i="11"/>
  <c r="F6776" i="11"/>
  <c r="F6775" i="11"/>
  <c r="F6774" i="11"/>
  <c r="F6773" i="11"/>
  <c r="F6772" i="11"/>
  <c r="F6771" i="11"/>
  <c r="F6770" i="11"/>
  <c r="F6769" i="11"/>
  <c r="F6768" i="11"/>
  <c r="F6767" i="11"/>
  <c r="F6766" i="11"/>
  <c r="F6765" i="11"/>
  <c r="F6764" i="11"/>
  <c r="F6763" i="11"/>
  <c r="F6762" i="11"/>
  <c r="F6761" i="11"/>
  <c r="F6760" i="11"/>
  <c r="F6759" i="11"/>
  <c r="F6758" i="11"/>
  <c r="F6757" i="11"/>
  <c r="F6756" i="11"/>
  <c r="F6755" i="11"/>
  <c r="F6754" i="11"/>
  <c r="F6753" i="11"/>
  <c r="F6752" i="11"/>
  <c r="F6751" i="11"/>
  <c r="F6750" i="11"/>
  <c r="F6749" i="11"/>
  <c r="F6748" i="11"/>
  <c r="F6747" i="11"/>
  <c r="F6746" i="11"/>
  <c r="F6745" i="11"/>
  <c r="F6744" i="11"/>
  <c r="F6743" i="11"/>
  <c r="F6742" i="11"/>
  <c r="F6741" i="11"/>
  <c r="F6740" i="11"/>
  <c r="F6739" i="11"/>
  <c r="F6738" i="11"/>
  <c r="F6737" i="11"/>
  <c r="F6736" i="11"/>
  <c r="F6735" i="11"/>
  <c r="F6734" i="11"/>
  <c r="F6733" i="11"/>
  <c r="F6732" i="11"/>
  <c r="F6731" i="11"/>
  <c r="F6730" i="11"/>
  <c r="F6729" i="11"/>
  <c r="F6728" i="11"/>
  <c r="F6727" i="11"/>
  <c r="F6726" i="11"/>
  <c r="F6725" i="11"/>
  <c r="F6724" i="11"/>
  <c r="F6723" i="11"/>
  <c r="F6722" i="11"/>
  <c r="F6721" i="11"/>
  <c r="F6720" i="11"/>
  <c r="F6719" i="11"/>
  <c r="F6718" i="11"/>
  <c r="F6717" i="11"/>
  <c r="F6716" i="11"/>
  <c r="F6715" i="11"/>
  <c r="F6714" i="11"/>
  <c r="F6713" i="11"/>
  <c r="F6712" i="11"/>
  <c r="F6711" i="11"/>
  <c r="F6710" i="11"/>
  <c r="F6709" i="11"/>
  <c r="F6708" i="11"/>
  <c r="F6707" i="11"/>
  <c r="F6706" i="11"/>
  <c r="F6705" i="11"/>
  <c r="F6704" i="11"/>
  <c r="F6703" i="11"/>
  <c r="F6702" i="11"/>
  <c r="F6701" i="11"/>
  <c r="F6700" i="11"/>
  <c r="F6699" i="11"/>
  <c r="F6698" i="11"/>
  <c r="F6697" i="11"/>
  <c r="F6696" i="11"/>
  <c r="F6695" i="11"/>
  <c r="F6694" i="11"/>
  <c r="F6693" i="11"/>
  <c r="F6692" i="11"/>
  <c r="F6691" i="11"/>
  <c r="F6690" i="11"/>
  <c r="F6689" i="11"/>
  <c r="F6688" i="11"/>
  <c r="F6687" i="11"/>
  <c r="F6686" i="11"/>
  <c r="F6685" i="11"/>
  <c r="F6684" i="11"/>
  <c r="F6683" i="11"/>
  <c r="F6682" i="11"/>
  <c r="F6681" i="11"/>
  <c r="F6680" i="11"/>
  <c r="F6679" i="11"/>
  <c r="F6678" i="11"/>
  <c r="F6677" i="11"/>
  <c r="F6676" i="11"/>
  <c r="F6675" i="11"/>
  <c r="F6674" i="11"/>
  <c r="F6673" i="11"/>
  <c r="F6672" i="11"/>
  <c r="F6671" i="11"/>
  <c r="F6670" i="11"/>
  <c r="F6669" i="11"/>
  <c r="F6668" i="11"/>
  <c r="F6667" i="11"/>
  <c r="F6666" i="11"/>
  <c r="F6665" i="11"/>
  <c r="F6664" i="11"/>
  <c r="F6663" i="11"/>
  <c r="F6662" i="11"/>
  <c r="F6661" i="11"/>
  <c r="F6660" i="11"/>
  <c r="F6659" i="11"/>
  <c r="F6658" i="11"/>
  <c r="F6657" i="11"/>
  <c r="F6656" i="11"/>
  <c r="F6655" i="11"/>
  <c r="F6654" i="11"/>
  <c r="F6653" i="11"/>
  <c r="F6652" i="11"/>
  <c r="F6651" i="11"/>
  <c r="F6650" i="11"/>
  <c r="F6649" i="11"/>
  <c r="F6648" i="11"/>
  <c r="F6647" i="11"/>
  <c r="F6646" i="11"/>
  <c r="F6645" i="11"/>
  <c r="F6644" i="11"/>
  <c r="F6643" i="11"/>
  <c r="F6642" i="11"/>
  <c r="F6641" i="11"/>
  <c r="F6640" i="11"/>
  <c r="F6639" i="11"/>
  <c r="F6638" i="11"/>
  <c r="F6637" i="11"/>
  <c r="F6636" i="11"/>
  <c r="F6635" i="11"/>
  <c r="F6634" i="11"/>
  <c r="F6633" i="11"/>
  <c r="F6632" i="11"/>
  <c r="F6631" i="11"/>
  <c r="F6630" i="11"/>
  <c r="F6629" i="11"/>
  <c r="F6628" i="11"/>
  <c r="F6627" i="11"/>
  <c r="F6626" i="11"/>
  <c r="F6625" i="11"/>
  <c r="F6624" i="11"/>
  <c r="F6623" i="11"/>
  <c r="F6622" i="11"/>
  <c r="F6621" i="11"/>
  <c r="F6620" i="11"/>
  <c r="F6619" i="11"/>
  <c r="F6618" i="11"/>
  <c r="F6617" i="11"/>
  <c r="F6616" i="11"/>
  <c r="F6615" i="11"/>
  <c r="F6614" i="11"/>
  <c r="F6613" i="11"/>
  <c r="F6612" i="11"/>
  <c r="F6611" i="11"/>
  <c r="F6610" i="11"/>
  <c r="F6609" i="11"/>
  <c r="F6608" i="11"/>
  <c r="F6607" i="11"/>
  <c r="F6606" i="11"/>
  <c r="F6605" i="11"/>
  <c r="F6604" i="11"/>
  <c r="F6603" i="11"/>
  <c r="F6602" i="11"/>
  <c r="F6601" i="11"/>
  <c r="F6600" i="11"/>
  <c r="F6599" i="11"/>
  <c r="F6598" i="11"/>
  <c r="F6597" i="11"/>
  <c r="F6596" i="11"/>
  <c r="F6595" i="11"/>
  <c r="F6594" i="11"/>
  <c r="F6593" i="11"/>
  <c r="F6592" i="11"/>
  <c r="F6591" i="11"/>
  <c r="F6590" i="11"/>
  <c r="F6589" i="11"/>
  <c r="F6588" i="11"/>
  <c r="F6587" i="11"/>
  <c r="F6586" i="11"/>
  <c r="F6585" i="11"/>
  <c r="F6584" i="11"/>
  <c r="F6583" i="11"/>
  <c r="F6582" i="11"/>
  <c r="F6581" i="11"/>
  <c r="F6580" i="11"/>
  <c r="F6579" i="11"/>
  <c r="F6578" i="11"/>
  <c r="F6577" i="11"/>
  <c r="F6576" i="11"/>
  <c r="F6575" i="11"/>
  <c r="F6574" i="11"/>
  <c r="F6573" i="11"/>
  <c r="F6572" i="11"/>
  <c r="F6571" i="11"/>
  <c r="F6570" i="11"/>
  <c r="F6569" i="11"/>
  <c r="F6568" i="11"/>
  <c r="F6567" i="11"/>
  <c r="F6566" i="11"/>
  <c r="F6565" i="11"/>
  <c r="F6564" i="11"/>
  <c r="F6563" i="11"/>
  <c r="F6562" i="11"/>
  <c r="F6561" i="11"/>
  <c r="F6560" i="11"/>
  <c r="F6559" i="11"/>
  <c r="F6558" i="11"/>
  <c r="F6557" i="11"/>
  <c r="F6556" i="11"/>
  <c r="F6555" i="11"/>
  <c r="F6554" i="11"/>
  <c r="F6553" i="11"/>
  <c r="F6552" i="11"/>
  <c r="F6551" i="11"/>
  <c r="F6550" i="11"/>
  <c r="F6549" i="11"/>
  <c r="F6548" i="11"/>
  <c r="F6547" i="11"/>
  <c r="F6546" i="11"/>
  <c r="F6545" i="11"/>
  <c r="F6544" i="11"/>
  <c r="F6543" i="11"/>
  <c r="F6542" i="11"/>
  <c r="F6541" i="11"/>
  <c r="F6540" i="11"/>
  <c r="F6539" i="11"/>
  <c r="F6538" i="11"/>
  <c r="F6537" i="11"/>
  <c r="F6536" i="11"/>
  <c r="F6535" i="11"/>
  <c r="F6534" i="11"/>
  <c r="F6533" i="11"/>
  <c r="F6532" i="11"/>
  <c r="F6531" i="11"/>
  <c r="F6530" i="11"/>
  <c r="F6529" i="11"/>
  <c r="F6528" i="11"/>
  <c r="F6527" i="11"/>
  <c r="F6526" i="11"/>
  <c r="F6525" i="11"/>
  <c r="F6524" i="11"/>
  <c r="F6523" i="11"/>
  <c r="F6522" i="11"/>
  <c r="F6521" i="11"/>
  <c r="F6520" i="11"/>
  <c r="F6519" i="11"/>
  <c r="F6518" i="11"/>
  <c r="F6517" i="11"/>
  <c r="F6516" i="11"/>
  <c r="F6515" i="11"/>
  <c r="F6514" i="11"/>
  <c r="F6513" i="11"/>
  <c r="F6512" i="11"/>
  <c r="F6511" i="11"/>
  <c r="F6510" i="11"/>
  <c r="F6509" i="11"/>
  <c r="F6508" i="11"/>
  <c r="F6507" i="11"/>
  <c r="F6506" i="11"/>
  <c r="F6505" i="11"/>
  <c r="F6504" i="11"/>
  <c r="F6503" i="11"/>
  <c r="F6502" i="11"/>
  <c r="F6501" i="11"/>
  <c r="F6500" i="11"/>
  <c r="F6499" i="11"/>
  <c r="F6498" i="11"/>
  <c r="F6497" i="11"/>
  <c r="F6496" i="11"/>
  <c r="F6495" i="11"/>
  <c r="F6494" i="11"/>
  <c r="F6493" i="11"/>
  <c r="F6492" i="11"/>
  <c r="F6491" i="11"/>
  <c r="F6490" i="11"/>
  <c r="F6489" i="11"/>
  <c r="F6488" i="11"/>
  <c r="F6487" i="11"/>
  <c r="F6486" i="11"/>
  <c r="F6485" i="11"/>
  <c r="F6484" i="11"/>
  <c r="F6483" i="11"/>
  <c r="F6482" i="11"/>
  <c r="F6481" i="11"/>
  <c r="F6480" i="11"/>
  <c r="F6479" i="11"/>
  <c r="F6478" i="11"/>
  <c r="F6477" i="11"/>
  <c r="F6476" i="11"/>
  <c r="F6475" i="11"/>
  <c r="F6474" i="11"/>
  <c r="F6473" i="11"/>
  <c r="F6472" i="11"/>
  <c r="F6471" i="11"/>
  <c r="F6470" i="11"/>
  <c r="F6469" i="11"/>
  <c r="F6468" i="11"/>
  <c r="F6467" i="11"/>
  <c r="F6466" i="11"/>
  <c r="F6465" i="11"/>
  <c r="F6464" i="11"/>
  <c r="F6463" i="11"/>
  <c r="F6462" i="11"/>
  <c r="F6461" i="11"/>
  <c r="F6460" i="11"/>
  <c r="F6459" i="11"/>
  <c r="F6458" i="11"/>
  <c r="F6457" i="11"/>
  <c r="F6456" i="11"/>
  <c r="F6455" i="11"/>
  <c r="F6454" i="11"/>
  <c r="F6453" i="11"/>
  <c r="F6452" i="11"/>
  <c r="F6451" i="11"/>
  <c r="F6450" i="11"/>
  <c r="F6449" i="11"/>
  <c r="F6448" i="11"/>
  <c r="F6447" i="11"/>
  <c r="F6446" i="11"/>
  <c r="F6445" i="11"/>
  <c r="F6444" i="11"/>
  <c r="F6443" i="11"/>
  <c r="F6442" i="11"/>
  <c r="F6441" i="11"/>
  <c r="F6440" i="11"/>
  <c r="F6439" i="11"/>
  <c r="F6438" i="11"/>
  <c r="F6437" i="11"/>
  <c r="F6436" i="11"/>
  <c r="F6435" i="11"/>
  <c r="F6434" i="11"/>
  <c r="F6433" i="11"/>
  <c r="F6432" i="11"/>
  <c r="F6431" i="11"/>
  <c r="F6430" i="11"/>
  <c r="F6429" i="11"/>
  <c r="F6428" i="11"/>
  <c r="F6427" i="11"/>
  <c r="F6426" i="11"/>
  <c r="F6425" i="11"/>
  <c r="F6424" i="11"/>
  <c r="F6423" i="11"/>
  <c r="F6422" i="11"/>
  <c r="F6421" i="11"/>
  <c r="F6420" i="11"/>
  <c r="F6419" i="11"/>
  <c r="F6418" i="11"/>
  <c r="F6417" i="11"/>
  <c r="F6416" i="11"/>
  <c r="F6415" i="11"/>
  <c r="F6414" i="11"/>
  <c r="F6413" i="11"/>
  <c r="F6412" i="11"/>
  <c r="F6411" i="11"/>
  <c r="F6410" i="11"/>
  <c r="F6409" i="11"/>
  <c r="F6408" i="11"/>
  <c r="F6407" i="11"/>
  <c r="F6406" i="11"/>
  <c r="F6405" i="11"/>
  <c r="F6404" i="11"/>
  <c r="F6403" i="11"/>
  <c r="F6402" i="11"/>
  <c r="F6401" i="11"/>
  <c r="F6400" i="11"/>
  <c r="F6399" i="11"/>
  <c r="F6398" i="11"/>
  <c r="F6397" i="11"/>
  <c r="F6396" i="11"/>
  <c r="F6395" i="11"/>
  <c r="F6394" i="11"/>
  <c r="F6393" i="11"/>
  <c r="F6392" i="11"/>
  <c r="F6391" i="11"/>
  <c r="F6390" i="11"/>
  <c r="F6389" i="11"/>
  <c r="F6388" i="11"/>
  <c r="F6387" i="11"/>
  <c r="F6386" i="11"/>
  <c r="F6385" i="11"/>
  <c r="F6384" i="11"/>
  <c r="F6383" i="11"/>
  <c r="F6382" i="11"/>
  <c r="F6381" i="11"/>
  <c r="F6380" i="11"/>
  <c r="F6379" i="11"/>
  <c r="F6378" i="11"/>
  <c r="F6377" i="11"/>
  <c r="F6376" i="11"/>
  <c r="F6375" i="11"/>
  <c r="F6374" i="11"/>
  <c r="F6373" i="11"/>
  <c r="F6372" i="11"/>
  <c r="F6371" i="11"/>
  <c r="F6370" i="11"/>
  <c r="F6369" i="11"/>
  <c r="F6368" i="11"/>
  <c r="F6367" i="11"/>
  <c r="F6366" i="11"/>
  <c r="F6365" i="11"/>
  <c r="F6364" i="11"/>
  <c r="F6363" i="11"/>
  <c r="F6362" i="11"/>
  <c r="F6361" i="11"/>
  <c r="F6360" i="11"/>
  <c r="F6359" i="11"/>
  <c r="F6358" i="11"/>
  <c r="F6357" i="11"/>
  <c r="F6356" i="11"/>
  <c r="F6355" i="11"/>
  <c r="F6354" i="11"/>
  <c r="F6353" i="11"/>
  <c r="F6352" i="11"/>
  <c r="F6351" i="11"/>
  <c r="F6350" i="11"/>
  <c r="F6349" i="11"/>
  <c r="F6348" i="11"/>
  <c r="F6347" i="11"/>
  <c r="F6346" i="11"/>
  <c r="F6345" i="11"/>
  <c r="F6344" i="11"/>
  <c r="F6343" i="11"/>
  <c r="F6342" i="11"/>
  <c r="F6341" i="11"/>
  <c r="F6340" i="11"/>
  <c r="F6339" i="11"/>
  <c r="F6338" i="11"/>
  <c r="F6337" i="11"/>
  <c r="F6336" i="11"/>
  <c r="F6335" i="11"/>
  <c r="F6334" i="11"/>
  <c r="F6333" i="11"/>
  <c r="F6332" i="11"/>
  <c r="F6331" i="11"/>
  <c r="F6330" i="11"/>
  <c r="F6329" i="11"/>
  <c r="F6328" i="11"/>
  <c r="F6327" i="11"/>
  <c r="F6326" i="11"/>
  <c r="F6325" i="11"/>
  <c r="F6324" i="11"/>
  <c r="F6323" i="11"/>
  <c r="F6322" i="11"/>
  <c r="F6321" i="11"/>
  <c r="F6320" i="11"/>
  <c r="F6319" i="11"/>
  <c r="F6318" i="11"/>
  <c r="F6317" i="11"/>
  <c r="F6316" i="11"/>
  <c r="F6315" i="11"/>
  <c r="F6314" i="11"/>
  <c r="F6313" i="11"/>
  <c r="F6312" i="11"/>
  <c r="F6311" i="11"/>
  <c r="F6310" i="11"/>
  <c r="F6309" i="11"/>
  <c r="F6308" i="11"/>
  <c r="F6307" i="11"/>
  <c r="F6306" i="11"/>
  <c r="F6305" i="11"/>
  <c r="F6304" i="11"/>
  <c r="F6303" i="11"/>
  <c r="F6302" i="11"/>
  <c r="F6301" i="11"/>
  <c r="F6300" i="11"/>
  <c r="F6299" i="11"/>
  <c r="F6298" i="11"/>
  <c r="F6297" i="11"/>
  <c r="F6296" i="11"/>
  <c r="F6295" i="11"/>
  <c r="F6294" i="11"/>
  <c r="F6293" i="11"/>
  <c r="F6292" i="11"/>
  <c r="F6291" i="11"/>
  <c r="F6290" i="11"/>
  <c r="F6289" i="11"/>
  <c r="F6288" i="11"/>
  <c r="F6287" i="11"/>
  <c r="F6286" i="11"/>
  <c r="F6285" i="11"/>
  <c r="F6284" i="11"/>
  <c r="F6283" i="11"/>
  <c r="F6282" i="11"/>
  <c r="F6281" i="11"/>
  <c r="F6280" i="11"/>
  <c r="F6279" i="11"/>
  <c r="F6278" i="11"/>
  <c r="F6277" i="11"/>
  <c r="F6276" i="11"/>
  <c r="F6275" i="11"/>
  <c r="F6274" i="11"/>
  <c r="F6273" i="11"/>
  <c r="F6272" i="11"/>
  <c r="F6271" i="11"/>
  <c r="F6270" i="11"/>
  <c r="F6269" i="11"/>
  <c r="F6268" i="11"/>
  <c r="F6267" i="11"/>
  <c r="F6266" i="11"/>
  <c r="F6265" i="11"/>
  <c r="F6264" i="11"/>
  <c r="F6263" i="11"/>
  <c r="F6262" i="11"/>
  <c r="F6261" i="11"/>
  <c r="F6260" i="11"/>
  <c r="F6259" i="11"/>
  <c r="F6258" i="11"/>
  <c r="F6257" i="11"/>
  <c r="F6256" i="11"/>
  <c r="F6255" i="11"/>
  <c r="F6254" i="11"/>
  <c r="F6253" i="11"/>
  <c r="F6252" i="11"/>
  <c r="F6251" i="11"/>
  <c r="F6250" i="11"/>
  <c r="F6249" i="11"/>
  <c r="F6248" i="11"/>
  <c r="F6247" i="11"/>
  <c r="F6246" i="11"/>
  <c r="F6245" i="11"/>
  <c r="F6244" i="11"/>
  <c r="F6243" i="11"/>
  <c r="F6242" i="11"/>
  <c r="F6241" i="11"/>
  <c r="F6240" i="11"/>
  <c r="F6239" i="11"/>
  <c r="F6238" i="11"/>
  <c r="F6237" i="11"/>
  <c r="F6236" i="11"/>
  <c r="F6235" i="11"/>
  <c r="F6234" i="11"/>
  <c r="F6233" i="11"/>
  <c r="F6232" i="11"/>
  <c r="F6231" i="11"/>
  <c r="F6230" i="11"/>
  <c r="F6229" i="11"/>
  <c r="F6228" i="11"/>
  <c r="F6227" i="11"/>
  <c r="F6226" i="11"/>
  <c r="F6225" i="11"/>
  <c r="F6224" i="11"/>
  <c r="F6223" i="11"/>
  <c r="F6222" i="11"/>
  <c r="F6221" i="11"/>
  <c r="F6220" i="11"/>
  <c r="F6219" i="11"/>
  <c r="F6218" i="11"/>
  <c r="F6217" i="11"/>
  <c r="F6216" i="11"/>
  <c r="F6215" i="11"/>
  <c r="F6214" i="11"/>
  <c r="F6213" i="11"/>
  <c r="F6212" i="11"/>
  <c r="F6211" i="11"/>
  <c r="F6210" i="11"/>
  <c r="F6209" i="11"/>
  <c r="F6208" i="11"/>
  <c r="F6207" i="11"/>
  <c r="F6206" i="11"/>
  <c r="F6205" i="11"/>
  <c r="F6204" i="11"/>
  <c r="F6203" i="11"/>
  <c r="F6202" i="11"/>
  <c r="F6201" i="11"/>
  <c r="F6200" i="11"/>
  <c r="F6199" i="11"/>
  <c r="F6198" i="11"/>
  <c r="F6197" i="11"/>
  <c r="F6196" i="11"/>
  <c r="F6195" i="11"/>
  <c r="F6194" i="11"/>
  <c r="F6193" i="11"/>
  <c r="F6192" i="11"/>
  <c r="F6191" i="11"/>
  <c r="F6190" i="11"/>
  <c r="F6189" i="11"/>
  <c r="F6188" i="11"/>
  <c r="F6187" i="11"/>
  <c r="F6186" i="11"/>
  <c r="F6185" i="11"/>
  <c r="F6184" i="11"/>
  <c r="F6183" i="11"/>
  <c r="F6182" i="11"/>
  <c r="F6181" i="11"/>
  <c r="F6180" i="11"/>
  <c r="F6179" i="11"/>
  <c r="F6178" i="11"/>
  <c r="F6177" i="11"/>
  <c r="F6176" i="11"/>
  <c r="F6175" i="11"/>
  <c r="F6174" i="11"/>
  <c r="F6173" i="11"/>
  <c r="F6172" i="11"/>
  <c r="F6171" i="11"/>
  <c r="F6170" i="11"/>
  <c r="F6169" i="11"/>
  <c r="F6168" i="11"/>
  <c r="F6167" i="11"/>
  <c r="F6166" i="11"/>
  <c r="F6165" i="11"/>
  <c r="F6164" i="11"/>
  <c r="F6163" i="11"/>
  <c r="F6162" i="11"/>
  <c r="F6161" i="11"/>
  <c r="F6160" i="11"/>
  <c r="F6159" i="11"/>
  <c r="F6158" i="11"/>
  <c r="F6157" i="11"/>
  <c r="F6156" i="11"/>
  <c r="F6155" i="11"/>
  <c r="F6154" i="11"/>
  <c r="F6153" i="11"/>
  <c r="F6152" i="11"/>
  <c r="F6151" i="11"/>
  <c r="F6150" i="11"/>
  <c r="F6149" i="11"/>
  <c r="F6148" i="11"/>
  <c r="F6147" i="11"/>
  <c r="F6146" i="11"/>
  <c r="F6145" i="11"/>
  <c r="F6144" i="11"/>
  <c r="F6143" i="11"/>
  <c r="F6142" i="11"/>
  <c r="F6141" i="11"/>
  <c r="F6140" i="11"/>
  <c r="F6139" i="11"/>
  <c r="F6138" i="11"/>
  <c r="F6137" i="11"/>
  <c r="F6136" i="11"/>
  <c r="F6135" i="11"/>
  <c r="F6134" i="11"/>
  <c r="F6133" i="11"/>
  <c r="F6132" i="11"/>
  <c r="F6131" i="11"/>
  <c r="F6130" i="11"/>
  <c r="F6129" i="11"/>
  <c r="F6128" i="11"/>
  <c r="F6127" i="11"/>
  <c r="F6126" i="11"/>
  <c r="F6125" i="11"/>
  <c r="F6124" i="11"/>
  <c r="F6123" i="11"/>
  <c r="F6122" i="11"/>
  <c r="F6121" i="11"/>
  <c r="F6120" i="11"/>
  <c r="F6119" i="11"/>
  <c r="F6118" i="11"/>
  <c r="F6117" i="11"/>
  <c r="F6116" i="11"/>
  <c r="F6115" i="11"/>
  <c r="F6114" i="11"/>
  <c r="F6113" i="11"/>
  <c r="F6112" i="11"/>
  <c r="F6111" i="11"/>
  <c r="F6110" i="11"/>
  <c r="F6109" i="11"/>
  <c r="F6108" i="11"/>
  <c r="F6107" i="11"/>
  <c r="F6106" i="11"/>
  <c r="F6105" i="11"/>
  <c r="F6104" i="11"/>
  <c r="F6103" i="11"/>
  <c r="F6102" i="11"/>
  <c r="F6101" i="11"/>
  <c r="F6100" i="11"/>
  <c r="F6099" i="11"/>
  <c r="F6098" i="11"/>
  <c r="F6097" i="11"/>
  <c r="F6096" i="11"/>
  <c r="F6095" i="11"/>
  <c r="F6094" i="11"/>
  <c r="F6093" i="11"/>
  <c r="F6092" i="11"/>
  <c r="F6091" i="11"/>
  <c r="F6090" i="11"/>
  <c r="F6089" i="11"/>
  <c r="F6088" i="11"/>
  <c r="F6087" i="11"/>
  <c r="F6086" i="11"/>
  <c r="F6085" i="11"/>
  <c r="F6084" i="11"/>
  <c r="F6083" i="11"/>
  <c r="F6082" i="11"/>
  <c r="F6081" i="11"/>
  <c r="F6080" i="11"/>
  <c r="F6079" i="11"/>
  <c r="F6078" i="11"/>
  <c r="F6077" i="11"/>
  <c r="F6076" i="11"/>
  <c r="F6075" i="11"/>
  <c r="F6074" i="11"/>
  <c r="F6073" i="11"/>
  <c r="F6072" i="11"/>
  <c r="F6071" i="11"/>
  <c r="F6070" i="11"/>
  <c r="F6069" i="11"/>
  <c r="F6068" i="11"/>
  <c r="F6067" i="11"/>
  <c r="F6066" i="11"/>
  <c r="F6065" i="11"/>
  <c r="F6064" i="11"/>
  <c r="F6063" i="11"/>
  <c r="F6062" i="11"/>
  <c r="F6061" i="11"/>
  <c r="F6060" i="11"/>
  <c r="F6059" i="11"/>
  <c r="F6058" i="11"/>
  <c r="F6057" i="11"/>
  <c r="F6056" i="11"/>
  <c r="F6055" i="11"/>
  <c r="F6054" i="11"/>
  <c r="F6053" i="11"/>
  <c r="F6052" i="11"/>
  <c r="F6051" i="11"/>
  <c r="F6050" i="11"/>
  <c r="F6049" i="11"/>
  <c r="F6048" i="11"/>
  <c r="F6047" i="11"/>
  <c r="F6046" i="11"/>
  <c r="F6045" i="11"/>
  <c r="F6044" i="11"/>
  <c r="F6043" i="11"/>
  <c r="F6042" i="11"/>
  <c r="F6041" i="11"/>
  <c r="F6040" i="11"/>
  <c r="F6039" i="11"/>
  <c r="F6038" i="11"/>
  <c r="F6037" i="11"/>
  <c r="F6036" i="11"/>
  <c r="F6035" i="11"/>
  <c r="F6034" i="11"/>
  <c r="F6033" i="11"/>
  <c r="F6032" i="11"/>
  <c r="F6031" i="11"/>
  <c r="F6030" i="11"/>
  <c r="F6029" i="11"/>
  <c r="F6028" i="11"/>
  <c r="F6027" i="11"/>
  <c r="F6026" i="11"/>
  <c r="F6025" i="11"/>
  <c r="F6024" i="11"/>
  <c r="F6023" i="11"/>
  <c r="F6022" i="11"/>
  <c r="F6021" i="11"/>
  <c r="F6020" i="11"/>
  <c r="F6019" i="11"/>
  <c r="F6018" i="11"/>
  <c r="F6017" i="11"/>
  <c r="F6016" i="11"/>
  <c r="F6015" i="11"/>
  <c r="F6014" i="11"/>
  <c r="F6013" i="11"/>
  <c r="F6012" i="11"/>
  <c r="F6011" i="11"/>
  <c r="F6010" i="11"/>
  <c r="F6009" i="11"/>
  <c r="F6008" i="11"/>
  <c r="F6007" i="11"/>
  <c r="F6006" i="11"/>
  <c r="F6005" i="11"/>
  <c r="F6004" i="11"/>
  <c r="F6003" i="11"/>
  <c r="F6002" i="11"/>
  <c r="F6001" i="11"/>
  <c r="F6000" i="11"/>
  <c r="F5999" i="11"/>
  <c r="F5998" i="11"/>
  <c r="F5997" i="11"/>
  <c r="F5996" i="11"/>
  <c r="F5995" i="11"/>
  <c r="F5994" i="11"/>
  <c r="F5993" i="11"/>
  <c r="F5992" i="11"/>
  <c r="F5991" i="11"/>
  <c r="F5990" i="11"/>
  <c r="F5989" i="11"/>
  <c r="F5988" i="11"/>
  <c r="F5987" i="11"/>
  <c r="F5986" i="11"/>
  <c r="F5985" i="11"/>
  <c r="F5984" i="11"/>
  <c r="F5983" i="11"/>
  <c r="F5982" i="11"/>
  <c r="F5981" i="11"/>
  <c r="F5980" i="11"/>
  <c r="F5979" i="11"/>
  <c r="F5978" i="11"/>
  <c r="F5977" i="11"/>
  <c r="F5976" i="11"/>
  <c r="F5975" i="11"/>
  <c r="F5974" i="11"/>
  <c r="F5973" i="11"/>
  <c r="F5972" i="11"/>
  <c r="F5971" i="11"/>
  <c r="F5970" i="11"/>
  <c r="F5969" i="11"/>
  <c r="F5968" i="11"/>
  <c r="F5967" i="11"/>
  <c r="F5966" i="11"/>
  <c r="F5965" i="11"/>
  <c r="F5964" i="11"/>
  <c r="F5963" i="11"/>
  <c r="F5962" i="11"/>
  <c r="F5961" i="11"/>
  <c r="F5960" i="11"/>
  <c r="F5959" i="11"/>
  <c r="F5958" i="11"/>
  <c r="F5957" i="11"/>
  <c r="F5956" i="11"/>
  <c r="F5955" i="11"/>
  <c r="F5954" i="11"/>
  <c r="F5953" i="11"/>
  <c r="F5952" i="11"/>
  <c r="F5951" i="11"/>
  <c r="F5950" i="11"/>
  <c r="F5949" i="11"/>
  <c r="F5948" i="11"/>
  <c r="F5947" i="11"/>
  <c r="F5946" i="11"/>
  <c r="F5945" i="11"/>
  <c r="F5944" i="11"/>
  <c r="F5943" i="11"/>
  <c r="F5942" i="11"/>
  <c r="F5941" i="11"/>
  <c r="F5940" i="11"/>
  <c r="F5939" i="11"/>
  <c r="F5938" i="11"/>
  <c r="F5937" i="11"/>
  <c r="F5936" i="11"/>
  <c r="F5935" i="11"/>
  <c r="F5934" i="11"/>
  <c r="F5933" i="11"/>
  <c r="F5932" i="11"/>
  <c r="F5931" i="11"/>
  <c r="F5930" i="11"/>
  <c r="F5929" i="11"/>
  <c r="F5928" i="11"/>
  <c r="F5927" i="11"/>
  <c r="F5926" i="11"/>
  <c r="F5925" i="11"/>
  <c r="F5924" i="11"/>
  <c r="F5923" i="11"/>
  <c r="F5922" i="11"/>
  <c r="F5921" i="11"/>
  <c r="F5920" i="11"/>
  <c r="F5919" i="11"/>
  <c r="F5918" i="11"/>
  <c r="F5917" i="11"/>
  <c r="F5916" i="11"/>
  <c r="F5915" i="11"/>
  <c r="F5914" i="11"/>
  <c r="F5913" i="11"/>
  <c r="F5912" i="11"/>
  <c r="F5911" i="11"/>
  <c r="F5910" i="11"/>
  <c r="F5909" i="11"/>
  <c r="F5908" i="11"/>
  <c r="F5907" i="11"/>
  <c r="F5906" i="11"/>
  <c r="F5905" i="11"/>
  <c r="F5904" i="11"/>
  <c r="F5903" i="11"/>
  <c r="F5902" i="11"/>
  <c r="F5901" i="11"/>
  <c r="F5900" i="11"/>
  <c r="F5899" i="11"/>
  <c r="F5898" i="11"/>
  <c r="F5897" i="11"/>
  <c r="F5896" i="11"/>
  <c r="F5895" i="11"/>
  <c r="F5894" i="11"/>
  <c r="F5893" i="11"/>
  <c r="F5892" i="11"/>
  <c r="F5891" i="11"/>
  <c r="F5890" i="11"/>
  <c r="F5889" i="11"/>
  <c r="F5888" i="11"/>
  <c r="F5887" i="11"/>
  <c r="F5886" i="11"/>
  <c r="F5885" i="11"/>
  <c r="F5884" i="11"/>
  <c r="F5883" i="11"/>
  <c r="F5882" i="11"/>
  <c r="F5881" i="11"/>
  <c r="F5880" i="11"/>
  <c r="F5879" i="11"/>
  <c r="F5878" i="11"/>
  <c r="F5877" i="11"/>
  <c r="F5876" i="11"/>
  <c r="F5875" i="11"/>
  <c r="F5874" i="11"/>
  <c r="F5873" i="11"/>
  <c r="F5872" i="11"/>
  <c r="F5871" i="11"/>
  <c r="F5870" i="11"/>
  <c r="F5869" i="11"/>
  <c r="F5868" i="11"/>
  <c r="F5867" i="11"/>
  <c r="F5866" i="11"/>
  <c r="F5865" i="11"/>
  <c r="F5864" i="11"/>
  <c r="F5863" i="11"/>
  <c r="F5862" i="11"/>
  <c r="F5861" i="11"/>
  <c r="F5860" i="11"/>
  <c r="F5859" i="11"/>
  <c r="F5858" i="11"/>
  <c r="F5857" i="11"/>
  <c r="F5856" i="11"/>
  <c r="F5855" i="11"/>
  <c r="F5854" i="11"/>
  <c r="F5853" i="11"/>
  <c r="F5852" i="11"/>
  <c r="F5851" i="11"/>
  <c r="F5850" i="11"/>
  <c r="F5849" i="11"/>
  <c r="F5848" i="11"/>
  <c r="F5847" i="11"/>
  <c r="F5846" i="11"/>
  <c r="F5845" i="11"/>
  <c r="F5844" i="11"/>
  <c r="F5843" i="11"/>
  <c r="F5842" i="11"/>
  <c r="F5841" i="11"/>
  <c r="F5840" i="11"/>
  <c r="F5839" i="11"/>
  <c r="F5838" i="11"/>
  <c r="F5837" i="11"/>
  <c r="F5836" i="11"/>
  <c r="F5835" i="11"/>
  <c r="F5834" i="11"/>
  <c r="F5833" i="11"/>
  <c r="F5832" i="11"/>
  <c r="F5831" i="11"/>
  <c r="F5830" i="11"/>
  <c r="F5829" i="11"/>
  <c r="F5828" i="11"/>
  <c r="F5827" i="11"/>
  <c r="F5826" i="11"/>
  <c r="F5825" i="11"/>
  <c r="F5824" i="11"/>
  <c r="F5823" i="11"/>
  <c r="F5822" i="11"/>
  <c r="F5821" i="11"/>
  <c r="F5820" i="11"/>
  <c r="F5819" i="11"/>
  <c r="F5818" i="11"/>
  <c r="F5817" i="11"/>
  <c r="F5816" i="11"/>
  <c r="F5815" i="11"/>
  <c r="F5814" i="11"/>
  <c r="F5813" i="11"/>
  <c r="F5812" i="11"/>
  <c r="F5811" i="11"/>
  <c r="F5810" i="11"/>
  <c r="F5809" i="11"/>
  <c r="F5808" i="11"/>
  <c r="F5807" i="11"/>
  <c r="F5806" i="11"/>
  <c r="F5805" i="11"/>
  <c r="F5804" i="11"/>
  <c r="F5803" i="11"/>
  <c r="F5802" i="11"/>
  <c r="F5801" i="11"/>
  <c r="F5800" i="11"/>
  <c r="F5799" i="11"/>
  <c r="F5798" i="11"/>
  <c r="F5797" i="11"/>
  <c r="F5796" i="11"/>
  <c r="F5795" i="11"/>
  <c r="F5794" i="11"/>
  <c r="F5793" i="11"/>
  <c r="F5792" i="11"/>
  <c r="F5791" i="11"/>
  <c r="F5790" i="11"/>
  <c r="F5789" i="11"/>
  <c r="F5788" i="11"/>
  <c r="F5787" i="11"/>
  <c r="F5786" i="11"/>
  <c r="F5785" i="11"/>
  <c r="F5784" i="11"/>
  <c r="F5783" i="11"/>
  <c r="F5782" i="11"/>
  <c r="F5781" i="11"/>
  <c r="F5780" i="11"/>
  <c r="F5779" i="11"/>
  <c r="F5778" i="11"/>
  <c r="F5777" i="11"/>
  <c r="F5776" i="11"/>
  <c r="F5775" i="11"/>
  <c r="F5774" i="11"/>
  <c r="F5773" i="11"/>
  <c r="F5772" i="11"/>
  <c r="F5771" i="11"/>
  <c r="F5770" i="11"/>
  <c r="F5769" i="11"/>
  <c r="F5768" i="11"/>
  <c r="F5767" i="11"/>
  <c r="F5766" i="11"/>
  <c r="F5765" i="11"/>
  <c r="F5764" i="11"/>
  <c r="F5763" i="11"/>
  <c r="F5762" i="11"/>
  <c r="F5761" i="11"/>
  <c r="F5760" i="11"/>
  <c r="F5759" i="11"/>
  <c r="F5758" i="11"/>
  <c r="F5757" i="11"/>
  <c r="F5756" i="11"/>
  <c r="F5755" i="11"/>
  <c r="F5754" i="11"/>
  <c r="F5753" i="11"/>
  <c r="F5752" i="11"/>
  <c r="F5751" i="11"/>
  <c r="F5750" i="11"/>
  <c r="F5749" i="11"/>
  <c r="F5748" i="11"/>
  <c r="F5747" i="11"/>
  <c r="F5746" i="11"/>
  <c r="F5745" i="11"/>
  <c r="F5744" i="11"/>
  <c r="F5743" i="11"/>
  <c r="F5742" i="11"/>
  <c r="F5741" i="11"/>
  <c r="F5740" i="11"/>
  <c r="F5739" i="11"/>
  <c r="F5738" i="11"/>
  <c r="F5737" i="11"/>
  <c r="F5736" i="11"/>
  <c r="F5735" i="11"/>
  <c r="F5734" i="11"/>
  <c r="F5733" i="11"/>
  <c r="F5732" i="11"/>
  <c r="F5731" i="11"/>
  <c r="F5730" i="11"/>
  <c r="F5729" i="11"/>
  <c r="F5728" i="11"/>
  <c r="F5727" i="11"/>
  <c r="F5726" i="11"/>
  <c r="F5725" i="11"/>
  <c r="F5724" i="11"/>
  <c r="F5723" i="11"/>
  <c r="F5722" i="11"/>
  <c r="F5721" i="11"/>
  <c r="F5720" i="11"/>
  <c r="F5719" i="11"/>
  <c r="F5718" i="11"/>
  <c r="F5717" i="11"/>
  <c r="F5716" i="11"/>
  <c r="F5715" i="11"/>
  <c r="F5714" i="11"/>
  <c r="F5713" i="11"/>
  <c r="F5712" i="11"/>
  <c r="F5711" i="11"/>
  <c r="F5710" i="11"/>
  <c r="F5709" i="11"/>
  <c r="F5708" i="11"/>
  <c r="F5707" i="11"/>
  <c r="F5706" i="11"/>
  <c r="F5705" i="11"/>
  <c r="F5704" i="11"/>
  <c r="F5703" i="11"/>
  <c r="F5702" i="11"/>
  <c r="F5701" i="11"/>
  <c r="F5700" i="11"/>
  <c r="F5699" i="11"/>
  <c r="F5698" i="11"/>
  <c r="F5697" i="11"/>
  <c r="F5696" i="11"/>
  <c r="F5695" i="11"/>
  <c r="F5694" i="11"/>
  <c r="F5693" i="11"/>
  <c r="F5692" i="11"/>
  <c r="F5691" i="11"/>
  <c r="F5690" i="11"/>
  <c r="F5689" i="11"/>
  <c r="F5688" i="11"/>
  <c r="F5687" i="11"/>
  <c r="F5686" i="11"/>
  <c r="F5685" i="11"/>
  <c r="F5684" i="11"/>
  <c r="F5683" i="11"/>
  <c r="F5682" i="11"/>
  <c r="F5681" i="11"/>
  <c r="F5680" i="11"/>
  <c r="F5679" i="11"/>
  <c r="F5678" i="11"/>
  <c r="F5677" i="11"/>
  <c r="F5676" i="11"/>
  <c r="F5675" i="11"/>
  <c r="F5674" i="11"/>
  <c r="F5673" i="11"/>
  <c r="F5672" i="11"/>
  <c r="F5671" i="11"/>
  <c r="F5670" i="11"/>
  <c r="F5669" i="11"/>
  <c r="F5668" i="11"/>
  <c r="F5667" i="11"/>
  <c r="F5666" i="11"/>
  <c r="F5665" i="11"/>
  <c r="F5664" i="11"/>
  <c r="F5663" i="11"/>
  <c r="F5662" i="11"/>
  <c r="F5661" i="11"/>
  <c r="F5660" i="11"/>
  <c r="F5659" i="11"/>
  <c r="F5658" i="11"/>
  <c r="F5657" i="11"/>
  <c r="F5656" i="11"/>
  <c r="F5655" i="11"/>
  <c r="F5654" i="11"/>
  <c r="F5653" i="11"/>
  <c r="F5652" i="11"/>
  <c r="F5651" i="11"/>
  <c r="F5650" i="11"/>
  <c r="F5649" i="11"/>
  <c r="F5648" i="11"/>
  <c r="F5647" i="11"/>
  <c r="F5646" i="11"/>
  <c r="F5645" i="11"/>
  <c r="F5644" i="11"/>
  <c r="F5643" i="11"/>
  <c r="F5642" i="11"/>
  <c r="F5641" i="11"/>
  <c r="F5640" i="11"/>
  <c r="F5639" i="11"/>
  <c r="F5638" i="11"/>
  <c r="F5637" i="11"/>
  <c r="F5636" i="11"/>
  <c r="F5635" i="11"/>
  <c r="F5634" i="11"/>
  <c r="F5633" i="11"/>
  <c r="F5632" i="11"/>
  <c r="F5631" i="11"/>
  <c r="F5630" i="11"/>
  <c r="F5629" i="11"/>
  <c r="F5628" i="11"/>
  <c r="F5627" i="11"/>
  <c r="F5626" i="11"/>
  <c r="F5625" i="11"/>
  <c r="F5624" i="11"/>
  <c r="F5623" i="11"/>
  <c r="F5622" i="11"/>
  <c r="F5621" i="11"/>
  <c r="F5620" i="11"/>
  <c r="F5619" i="11"/>
  <c r="F5618" i="11"/>
  <c r="F5617" i="11"/>
  <c r="F5616" i="11"/>
  <c r="F5615" i="11"/>
  <c r="F5614" i="11"/>
  <c r="F5613" i="11"/>
  <c r="F5612" i="11"/>
  <c r="F5611" i="11"/>
  <c r="F5610" i="11"/>
  <c r="F5609" i="11"/>
  <c r="F5608" i="11"/>
  <c r="F5607" i="11"/>
  <c r="F5606" i="11"/>
  <c r="F5605" i="11"/>
  <c r="F5604" i="11"/>
  <c r="F5603" i="11"/>
  <c r="F5602" i="11"/>
  <c r="F5601" i="11"/>
  <c r="F5600" i="11"/>
  <c r="F5599" i="11"/>
  <c r="F5598" i="11"/>
  <c r="F5597" i="11"/>
  <c r="F5596" i="11"/>
  <c r="F5595" i="11"/>
  <c r="F5594" i="11"/>
  <c r="F5593" i="11"/>
  <c r="F5592" i="11"/>
  <c r="F5591" i="11"/>
  <c r="F5590" i="11"/>
  <c r="F5589" i="11"/>
  <c r="F5588" i="11"/>
  <c r="F5587" i="11"/>
  <c r="F5586" i="11"/>
  <c r="F5585" i="11"/>
  <c r="F5584" i="11"/>
  <c r="F5583" i="11"/>
  <c r="F5582" i="11"/>
  <c r="F5581" i="11"/>
  <c r="F5580" i="11"/>
  <c r="F5579" i="11"/>
  <c r="F5578" i="11"/>
  <c r="F5577" i="11"/>
  <c r="F5576" i="11"/>
  <c r="F5575" i="11"/>
  <c r="F5574" i="11"/>
  <c r="F5573" i="11"/>
  <c r="F5572" i="11"/>
  <c r="F5571" i="11"/>
  <c r="F5570" i="11"/>
  <c r="F5569" i="11"/>
  <c r="F5568" i="11"/>
  <c r="F5567" i="11"/>
  <c r="F5566" i="11"/>
  <c r="F5565" i="11"/>
  <c r="F5564" i="11"/>
  <c r="F5563" i="11"/>
  <c r="F5562" i="11"/>
  <c r="F5561" i="11"/>
  <c r="F5560" i="11"/>
  <c r="F5559" i="11"/>
  <c r="F5558" i="11"/>
  <c r="F5557" i="11"/>
  <c r="F5556" i="11"/>
  <c r="F5555" i="11"/>
  <c r="F5554" i="11"/>
  <c r="F5553" i="11"/>
  <c r="F5552" i="11"/>
  <c r="F5551" i="11"/>
  <c r="F5550" i="11"/>
  <c r="F5549" i="11"/>
  <c r="F5548" i="11"/>
  <c r="F5547" i="11"/>
  <c r="F5546" i="11"/>
  <c r="F5545" i="11"/>
  <c r="F5544" i="11"/>
  <c r="F5543" i="11"/>
  <c r="F5542" i="11"/>
  <c r="F5541" i="11"/>
  <c r="F5540" i="11"/>
  <c r="F5539" i="11"/>
  <c r="F5538" i="11"/>
  <c r="F5537" i="11"/>
  <c r="F5536" i="11"/>
  <c r="F5535" i="11"/>
  <c r="F5534" i="11"/>
  <c r="F5533" i="11"/>
  <c r="F5532" i="11"/>
  <c r="F5531" i="11"/>
  <c r="F5530" i="11"/>
  <c r="F5529" i="11"/>
  <c r="F5528" i="11"/>
  <c r="F5527" i="11"/>
  <c r="F5526" i="11"/>
  <c r="F5525" i="11"/>
  <c r="F5524" i="11"/>
  <c r="F5523" i="11"/>
  <c r="F5522" i="11"/>
  <c r="F5521" i="11"/>
  <c r="F5520" i="11"/>
  <c r="F5519" i="11"/>
  <c r="F5518" i="11"/>
  <c r="F5517" i="11"/>
  <c r="F5516" i="11"/>
  <c r="F5515" i="11"/>
  <c r="F5514" i="11"/>
  <c r="F5513" i="11"/>
  <c r="F5512" i="11"/>
  <c r="F5511" i="11"/>
  <c r="F5510" i="11"/>
  <c r="F5509" i="11"/>
  <c r="F5508" i="11"/>
  <c r="F5507" i="11"/>
  <c r="F5506" i="11"/>
  <c r="F5505" i="11"/>
  <c r="F5504" i="11"/>
  <c r="F5503" i="11"/>
  <c r="F5502" i="11"/>
  <c r="F5501" i="11"/>
  <c r="F5500" i="11"/>
  <c r="F5499" i="11"/>
  <c r="F5498" i="11"/>
  <c r="F5497" i="11"/>
  <c r="F5496" i="11"/>
  <c r="F5495" i="11"/>
  <c r="F5494" i="11"/>
  <c r="F5493" i="11"/>
  <c r="F5492" i="11"/>
  <c r="F5491" i="11"/>
  <c r="F5490" i="11"/>
  <c r="F5489" i="11"/>
  <c r="F5488" i="11"/>
  <c r="F5487" i="11"/>
  <c r="F5486" i="11"/>
  <c r="F5485" i="11"/>
  <c r="F5484" i="11"/>
  <c r="F5483" i="11"/>
  <c r="F5482" i="11"/>
  <c r="F5481" i="11"/>
  <c r="F5480" i="11"/>
  <c r="F5479" i="11"/>
  <c r="F5478" i="11"/>
  <c r="F5477" i="11"/>
  <c r="F5476" i="11"/>
  <c r="F5475" i="11"/>
  <c r="F5474" i="11"/>
  <c r="F5473" i="11"/>
  <c r="F5472" i="11"/>
  <c r="F5471" i="11"/>
  <c r="F5470" i="11"/>
  <c r="F5469" i="11"/>
  <c r="F5468" i="11"/>
  <c r="F5467" i="11"/>
  <c r="F5466" i="11"/>
  <c r="F5465" i="11"/>
  <c r="F5464" i="11"/>
  <c r="F5463" i="11"/>
  <c r="F5462" i="11"/>
  <c r="F5461" i="11"/>
  <c r="F5460" i="11"/>
  <c r="F5459" i="11"/>
  <c r="F5458" i="11"/>
  <c r="F5457" i="11"/>
  <c r="F5456" i="11"/>
  <c r="F5455" i="11"/>
  <c r="F5454" i="11"/>
  <c r="F5453" i="11"/>
  <c r="F5452" i="11"/>
  <c r="F5451" i="11"/>
  <c r="F5450" i="11"/>
  <c r="F5449" i="11"/>
  <c r="F5448" i="11"/>
  <c r="F5447" i="11"/>
  <c r="F5446" i="11"/>
  <c r="F5445" i="11"/>
  <c r="F5444" i="11"/>
  <c r="F5443" i="11"/>
  <c r="F5442" i="11"/>
  <c r="F5441" i="11"/>
  <c r="F5440" i="11"/>
  <c r="F5439" i="11"/>
  <c r="F5438" i="11"/>
  <c r="F5437" i="11"/>
  <c r="F5436" i="11"/>
  <c r="F5435" i="11"/>
  <c r="F5434" i="11"/>
  <c r="F5433" i="11"/>
  <c r="F5432" i="11"/>
  <c r="F5431" i="11"/>
  <c r="F5430" i="11"/>
  <c r="F5429" i="11"/>
  <c r="F5428" i="11"/>
  <c r="F5427" i="11"/>
  <c r="F5426" i="11"/>
  <c r="F5425" i="11"/>
  <c r="F5424" i="11"/>
  <c r="F5423" i="11"/>
  <c r="F5422" i="11"/>
  <c r="F5421" i="11"/>
  <c r="F5420" i="11"/>
  <c r="F5419" i="11"/>
  <c r="F5418" i="11"/>
  <c r="F5417" i="11"/>
  <c r="F5416" i="11"/>
  <c r="F5415" i="11"/>
  <c r="F5414" i="11"/>
  <c r="F5413" i="11"/>
  <c r="F5412" i="11"/>
  <c r="F5411" i="11"/>
  <c r="F5410" i="11"/>
  <c r="F5409" i="11"/>
  <c r="F5408" i="11"/>
  <c r="F5407" i="11"/>
  <c r="F5406" i="11"/>
  <c r="F5405" i="11"/>
  <c r="F5404" i="11"/>
  <c r="F5403" i="11"/>
  <c r="F5402" i="11"/>
  <c r="F5401" i="11"/>
  <c r="F5400" i="11"/>
  <c r="F5399" i="11"/>
  <c r="F5398" i="11"/>
  <c r="F5397" i="11"/>
  <c r="F5396" i="11"/>
  <c r="F5395" i="11"/>
  <c r="F5394" i="11"/>
  <c r="F5393" i="11"/>
  <c r="F5392" i="11"/>
  <c r="F5391" i="11"/>
  <c r="F5390" i="11"/>
  <c r="F5389" i="11"/>
  <c r="F5388" i="11"/>
  <c r="F5387" i="11"/>
  <c r="F5386" i="11"/>
  <c r="F5385" i="11"/>
  <c r="F5384" i="11"/>
  <c r="F5383" i="11"/>
  <c r="F5382" i="11"/>
  <c r="F5381" i="11"/>
  <c r="F5380" i="11"/>
  <c r="F5379" i="11"/>
  <c r="F5378" i="11"/>
  <c r="F5377" i="11"/>
  <c r="F5376" i="11"/>
  <c r="F5375" i="11"/>
  <c r="F5374" i="11"/>
  <c r="F5373" i="11"/>
  <c r="F5372" i="11"/>
  <c r="F5371" i="11"/>
  <c r="F5370" i="11"/>
  <c r="F5369" i="11"/>
  <c r="F5368" i="11"/>
  <c r="F5367" i="11"/>
  <c r="F5366" i="11"/>
  <c r="F5365" i="11"/>
  <c r="F5364" i="11"/>
  <c r="F5363" i="11"/>
  <c r="F5362" i="11"/>
  <c r="F5361" i="11"/>
  <c r="F5360" i="11"/>
  <c r="F5359" i="11"/>
  <c r="F5358" i="11"/>
  <c r="F5357" i="11"/>
  <c r="F5356" i="11"/>
  <c r="F5355" i="11"/>
  <c r="F5354" i="11"/>
  <c r="F5353" i="11"/>
  <c r="F5352" i="11"/>
  <c r="F5351" i="11"/>
  <c r="F5350" i="11"/>
  <c r="F5349" i="11"/>
  <c r="F5348" i="11"/>
  <c r="F5347" i="11"/>
  <c r="F5346" i="11"/>
  <c r="F5345" i="11"/>
  <c r="F5344" i="11"/>
  <c r="F5343" i="11"/>
  <c r="F5342" i="11"/>
  <c r="F5341" i="11"/>
  <c r="F5340" i="11"/>
  <c r="F5339" i="11"/>
  <c r="F5338" i="11"/>
  <c r="F5337" i="11"/>
  <c r="F5336" i="11"/>
  <c r="F5335" i="11"/>
  <c r="F5334" i="11"/>
  <c r="F5333" i="11"/>
  <c r="F5332" i="11"/>
  <c r="F5331" i="11"/>
  <c r="F5330" i="11"/>
  <c r="F5329" i="11"/>
  <c r="F5328" i="11"/>
  <c r="F5327" i="11"/>
  <c r="F5326" i="11"/>
  <c r="F5325" i="11"/>
  <c r="F5324" i="11"/>
  <c r="F5323" i="11"/>
  <c r="F5322" i="11"/>
  <c r="F5321" i="11"/>
  <c r="F5320" i="11"/>
  <c r="F5319" i="11"/>
  <c r="F5318" i="11"/>
  <c r="F5317" i="11"/>
  <c r="F5316" i="11"/>
  <c r="F5315" i="11"/>
  <c r="F5314" i="11"/>
  <c r="F5313" i="11"/>
  <c r="F5312" i="11"/>
  <c r="F5311" i="11"/>
  <c r="F5310" i="11"/>
  <c r="F5309" i="11"/>
  <c r="F5308" i="11"/>
  <c r="F5307" i="11"/>
  <c r="F5306" i="11"/>
  <c r="F5305" i="11"/>
  <c r="F5304" i="11"/>
  <c r="F5303" i="11"/>
  <c r="F5302" i="11"/>
  <c r="F5301" i="11"/>
  <c r="F5300" i="11"/>
  <c r="F5299" i="11"/>
  <c r="F5298" i="11"/>
  <c r="F5297" i="11"/>
  <c r="F5296" i="11"/>
  <c r="F5295" i="11"/>
  <c r="F5294" i="11"/>
  <c r="F5293" i="11"/>
  <c r="F5292" i="11"/>
  <c r="F5291" i="11"/>
  <c r="F5290" i="11"/>
  <c r="F5289" i="11"/>
  <c r="F5288" i="11"/>
  <c r="F5287" i="11"/>
  <c r="F5286" i="11"/>
  <c r="F5285" i="11"/>
  <c r="F5284" i="11"/>
  <c r="F5283" i="11"/>
  <c r="F5282" i="11"/>
  <c r="F5281" i="11"/>
  <c r="F5280" i="11"/>
  <c r="F5279" i="11"/>
  <c r="F5278" i="11"/>
  <c r="F5277" i="11"/>
  <c r="F5276" i="11"/>
  <c r="F5275" i="11"/>
  <c r="F5274" i="11"/>
  <c r="F5273" i="11"/>
  <c r="F5272" i="11"/>
  <c r="F5271" i="11"/>
  <c r="F5270" i="11"/>
  <c r="F5269" i="11"/>
  <c r="F5268" i="11"/>
  <c r="F5267" i="11"/>
  <c r="F5266" i="11"/>
  <c r="F5265" i="11"/>
  <c r="F5264" i="11"/>
  <c r="F5263" i="11"/>
  <c r="F5262" i="11"/>
  <c r="F5261" i="11"/>
  <c r="F5260" i="11"/>
  <c r="F5259" i="11"/>
  <c r="F5258" i="11"/>
  <c r="F5257" i="11"/>
  <c r="F5256" i="11"/>
  <c r="F5255" i="11"/>
  <c r="F5254" i="11"/>
  <c r="F5253" i="11"/>
  <c r="F5252" i="11"/>
  <c r="F5251" i="11"/>
  <c r="F5250" i="11"/>
  <c r="F5249" i="11"/>
  <c r="F5248" i="11"/>
  <c r="F5247" i="11"/>
  <c r="F5246" i="11"/>
  <c r="F5245" i="11"/>
  <c r="F5244" i="11"/>
  <c r="F5243" i="11"/>
  <c r="F5242" i="11"/>
  <c r="F5241" i="11"/>
  <c r="F5240" i="11"/>
  <c r="F5239" i="11"/>
  <c r="F5238" i="11"/>
  <c r="F5237" i="11"/>
  <c r="F5236" i="11"/>
  <c r="F5235" i="11"/>
  <c r="F5234" i="11"/>
  <c r="F5233" i="11"/>
  <c r="F5232" i="11"/>
  <c r="F5231" i="11"/>
  <c r="F5230" i="11"/>
  <c r="F5229" i="11"/>
  <c r="F5228" i="11"/>
  <c r="F5227" i="11"/>
  <c r="F5226" i="11"/>
  <c r="F5225" i="11"/>
  <c r="F5224" i="11"/>
  <c r="F5223" i="11"/>
  <c r="F5222" i="11"/>
  <c r="F5221" i="11"/>
  <c r="F5220" i="11"/>
  <c r="F5219" i="11"/>
  <c r="F5218" i="11"/>
  <c r="F5217" i="11"/>
  <c r="F5216" i="11"/>
  <c r="F5215" i="11"/>
  <c r="F5214" i="11"/>
  <c r="F5213" i="11"/>
  <c r="F5212" i="11"/>
  <c r="F5211" i="11"/>
  <c r="F5210" i="11"/>
  <c r="F5209" i="11"/>
  <c r="F5208" i="11"/>
  <c r="F5207" i="11"/>
  <c r="F5206" i="11"/>
  <c r="F5205" i="11"/>
  <c r="F5204" i="11"/>
  <c r="F5203" i="11"/>
  <c r="F5202" i="11"/>
  <c r="F5201" i="11"/>
  <c r="F5200" i="11"/>
  <c r="F5199" i="11"/>
  <c r="F5198" i="11"/>
  <c r="F5197" i="11"/>
  <c r="F5196" i="11"/>
  <c r="F5195" i="11"/>
  <c r="F5194" i="11"/>
  <c r="F5193" i="11"/>
  <c r="F5192" i="11"/>
  <c r="F5191" i="11"/>
  <c r="F5190" i="11"/>
  <c r="F5189" i="11"/>
  <c r="F5188" i="11"/>
  <c r="F5187" i="11"/>
  <c r="F5186" i="11"/>
  <c r="F5185" i="11"/>
  <c r="F5184" i="11"/>
  <c r="F5183" i="11"/>
  <c r="F5182" i="11"/>
  <c r="F5181" i="11"/>
  <c r="F5180" i="11"/>
  <c r="F5179" i="11"/>
  <c r="F5178" i="11"/>
  <c r="F5177" i="11"/>
  <c r="F5176" i="11"/>
  <c r="F5175" i="11"/>
  <c r="F5174" i="11"/>
  <c r="F5173" i="11"/>
  <c r="F5172" i="11"/>
  <c r="F5171" i="11"/>
  <c r="F5170" i="11"/>
  <c r="F5169" i="11"/>
  <c r="F5168" i="11"/>
  <c r="F5167" i="11"/>
  <c r="F5166" i="11"/>
  <c r="F5165" i="11"/>
  <c r="F5164" i="11"/>
  <c r="F5163" i="11"/>
  <c r="F5162" i="11"/>
  <c r="F5161" i="11"/>
  <c r="F5160" i="11"/>
  <c r="F5159" i="11"/>
  <c r="F5158" i="11"/>
  <c r="F5157" i="11"/>
  <c r="F5156" i="11"/>
  <c r="F5155" i="11"/>
  <c r="F5154" i="11"/>
  <c r="F5153" i="11"/>
  <c r="F5152" i="11"/>
  <c r="F5151" i="11"/>
  <c r="F5150" i="11"/>
  <c r="F5149" i="11"/>
  <c r="F5148" i="11"/>
  <c r="F5147" i="11"/>
  <c r="F5146" i="11"/>
  <c r="F5145" i="11"/>
  <c r="F5144" i="11"/>
  <c r="F5143" i="11"/>
  <c r="F5142" i="11"/>
  <c r="F5141" i="11"/>
  <c r="F5140" i="11"/>
  <c r="F5139" i="11"/>
  <c r="F5138" i="11"/>
  <c r="F5137" i="11"/>
  <c r="F5136" i="11"/>
  <c r="F5135" i="11"/>
  <c r="F5134" i="11"/>
  <c r="F5133" i="11"/>
  <c r="F5132" i="11"/>
  <c r="F5131" i="11"/>
  <c r="F5130" i="11"/>
  <c r="F5129" i="11"/>
  <c r="F5128" i="11"/>
  <c r="F5127" i="11"/>
  <c r="F5126" i="11"/>
  <c r="F5125" i="11"/>
  <c r="F5124" i="11"/>
  <c r="F5123" i="11"/>
  <c r="F5122" i="11"/>
  <c r="F5121" i="11"/>
  <c r="F5120" i="11"/>
  <c r="F5119" i="11"/>
  <c r="F5118" i="11"/>
  <c r="F5117" i="11"/>
  <c r="F5116" i="11"/>
  <c r="F5115" i="11"/>
  <c r="F5114" i="11"/>
  <c r="F5113" i="11"/>
  <c r="F5112" i="11"/>
  <c r="F5111" i="11"/>
  <c r="F5110" i="11"/>
  <c r="F5109" i="11"/>
  <c r="F5108" i="11"/>
  <c r="F5107" i="11"/>
  <c r="F5106" i="11"/>
  <c r="F5105" i="11"/>
  <c r="F5104" i="11"/>
  <c r="F5103" i="11"/>
  <c r="F5102" i="11"/>
  <c r="F5101" i="11"/>
  <c r="F5100" i="11"/>
  <c r="F5099" i="11"/>
  <c r="F5098" i="11"/>
  <c r="F5097" i="11"/>
  <c r="F5096" i="11"/>
  <c r="F5095" i="11"/>
  <c r="F5094" i="11"/>
  <c r="F5093" i="11"/>
  <c r="F5092" i="11"/>
  <c r="F5091" i="11"/>
  <c r="F5090" i="11"/>
  <c r="F5089" i="11"/>
  <c r="F5088" i="11"/>
  <c r="F5087" i="11"/>
  <c r="F5086" i="11"/>
  <c r="F5085" i="11"/>
  <c r="F5084" i="11"/>
  <c r="F5083" i="11"/>
  <c r="F5082" i="11"/>
  <c r="F5081" i="11"/>
  <c r="F5080" i="11"/>
  <c r="F5079" i="11"/>
  <c r="F5078" i="11"/>
  <c r="F5077" i="11"/>
  <c r="F5076" i="11"/>
  <c r="F5075" i="11"/>
  <c r="F5074" i="11"/>
  <c r="F5073" i="11"/>
  <c r="F5072" i="11"/>
  <c r="F5071" i="11"/>
  <c r="F5070" i="11"/>
  <c r="F5069" i="11"/>
  <c r="F5068" i="11"/>
  <c r="F5067" i="11"/>
  <c r="F5066" i="11"/>
  <c r="F5065" i="11"/>
  <c r="F5064" i="11"/>
  <c r="F5063" i="11"/>
  <c r="F5062" i="11"/>
  <c r="F5061" i="11"/>
  <c r="F5060" i="11"/>
  <c r="F5059" i="11"/>
  <c r="F5058" i="11"/>
  <c r="F5057" i="11"/>
  <c r="F5056" i="11"/>
  <c r="F5055" i="11"/>
  <c r="F5054" i="11"/>
  <c r="F5053" i="11"/>
  <c r="F5052" i="11"/>
  <c r="F5051" i="11"/>
  <c r="F5050" i="11"/>
  <c r="F5049" i="11"/>
  <c r="F5048" i="11"/>
  <c r="F5047" i="11"/>
  <c r="F5046" i="11"/>
  <c r="F5045" i="11"/>
  <c r="F5044" i="11"/>
  <c r="F5043" i="11"/>
  <c r="F5042" i="11"/>
  <c r="F5041" i="11"/>
  <c r="F5040" i="11"/>
  <c r="F5039" i="11"/>
  <c r="F5038" i="11"/>
  <c r="F5037" i="11"/>
  <c r="F5036" i="11"/>
  <c r="F5035" i="11"/>
  <c r="F5034" i="11"/>
  <c r="F5033" i="11"/>
  <c r="F5032" i="11"/>
  <c r="F5031" i="11"/>
  <c r="F5030" i="11"/>
  <c r="F5029" i="11"/>
  <c r="F5028" i="11"/>
  <c r="F5027" i="11"/>
  <c r="F5026" i="11"/>
  <c r="F5025" i="11"/>
  <c r="F5024" i="11"/>
  <c r="F5023" i="11"/>
  <c r="F5022" i="11"/>
  <c r="F5021" i="11"/>
  <c r="F5020" i="11"/>
  <c r="F5019" i="11"/>
  <c r="F5018" i="11"/>
  <c r="F5017" i="11"/>
  <c r="F5016" i="11"/>
  <c r="F5015" i="11"/>
  <c r="F5014" i="11"/>
  <c r="F5013" i="11"/>
  <c r="F5012" i="11"/>
  <c r="F5011" i="11"/>
  <c r="F5010" i="11"/>
  <c r="F5009" i="11"/>
  <c r="F5008" i="11"/>
  <c r="F5007" i="11"/>
  <c r="F5006" i="11"/>
  <c r="F5005" i="11"/>
  <c r="F5004" i="11"/>
  <c r="F5003" i="11"/>
  <c r="F5002" i="11"/>
  <c r="F5001" i="11"/>
  <c r="F5000" i="11"/>
  <c r="F4999" i="11"/>
  <c r="F4998" i="11"/>
  <c r="F4997" i="11"/>
  <c r="F4996" i="11"/>
  <c r="F4995" i="11"/>
  <c r="F4994" i="11"/>
  <c r="F4993" i="11"/>
  <c r="F4992" i="11"/>
  <c r="F4991" i="11"/>
  <c r="F4990" i="11"/>
  <c r="F4989" i="11"/>
  <c r="F4988" i="11"/>
  <c r="F4987" i="11"/>
  <c r="F4986" i="11"/>
  <c r="F4985" i="11"/>
  <c r="F4984" i="11"/>
  <c r="F4983" i="11"/>
  <c r="F4982" i="11"/>
  <c r="F4981" i="11"/>
  <c r="F4980" i="11"/>
  <c r="F4979" i="11"/>
  <c r="F4978" i="11"/>
  <c r="F4977" i="11"/>
  <c r="F4976" i="11"/>
  <c r="F4975" i="11"/>
  <c r="F4974" i="11"/>
  <c r="F4973" i="11"/>
  <c r="F4972" i="11"/>
  <c r="F4971" i="11"/>
  <c r="F4970" i="11"/>
  <c r="F4969" i="11"/>
  <c r="F4968" i="11"/>
  <c r="F4967" i="11"/>
  <c r="F4966" i="11"/>
  <c r="F4965" i="11"/>
  <c r="F4964" i="11"/>
  <c r="F4963" i="11"/>
  <c r="F4962" i="11"/>
  <c r="F4961" i="11"/>
  <c r="F4960" i="11"/>
  <c r="F4959" i="11"/>
  <c r="F4958" i="11"/>
  <c r="F4957" i="11"/>
  <c r="F4956" i="11"/>
  <c r="F4955" i="11"/>
  <c r="F4954" i="11"/>
  <c r="F4953" i="11"/>
  <c r="F4952" i="11"/>
  <c r="F4951" i="11"/>
  <c r="F4950" i="11"/>
  <c r="F4949" i="11"/>
  <c r="F4948" i="11"/>
  <c r="F4947" i="11"/>
  <c r="F4946" i="11"/>
  <c r="F4945" i="11"/>
  <c r="F4944" i="11"/>
  <c r="F4943" i="11"/>
  <c r="F4942" i="11"/>
  <c r="F4941" i="11"/>
  <c r="F4940" i="11"/>
  <c r="F4939" i="11"/>
  <c r="F4938" i="11"/>
  <c r="F4937" i="11"/>
  <c r="F4936" i="11"/>
  <c r="F4935" i="11"/>
  <c r="F4934" i="11"/>
  <c r="F4933" i="11"/>
  <c r="F4932" i="11"/>
  <c r="F4931" i="11"/>
  <c r="F4930" i="11"/>
  <c r="F4929" i="11"/>
  <c r="F4928" i="11"/>
  <c r="F4927" i="11"/>
  <c r="F4926" i="11"/>
  <c r="F4925" i="11"/>
  <c r="F4924" i="11"/>
  <c r="F4923" i="11"/>
  <c r="F4922" i="11"/>
  <c r="F4921" i="11"/>
  <c r="F4920" i="11"/>
  <c r="F4919" i="11"/>
  <c r="F4918" i="11"/>
  <c r="F4917" i="11"/>
  <c r="F4916" i="11"/>
  <c r="F4915" i="11"/>
  <c r="F4914" i="11"/>
  <c r="F4913" i="11"/>
  <c r="F4912" i="11"/>
  <c r="F4911" i="11"/>
  <c r="F4910" i="11"/>
  <c r="F4909" i="11"/>
  <c r="F4908" i="11"/>
  <c r="F4907" i="11"/>
  <c r="F4906" i="11"/>
  <c r="F4905" i="11"/>
  <c r="F4904" i="11"/>
  <c r="F4903" i="11"/>
  <c r="F4902" i="11"/>
  <c r="F4901" i="11"/>
  <c r="F4900" i="11"/>
  <c r="F4899" i="11"/>
  <c r="F4898" i="11"/>
  <c r="F4897" i="11"/>
  <c r="F4896" i="11"/>
  <c r="F4895" i="11"/>
  <c r="F4894" i="11"/>
  <c r="F4893" i="11"/>
  <c r="F4892" i="11"/>
  <c r="F4891" i="11"/>
  <c r="F4890" i="11"/>
  <c r="F4889" i="11"/>
  <c r="F4888" i="11"/>
  <c r="F4887" i="11"/>
  <c r="F4886" i="11"/>
  <c r="F4885" i="11"/>
  <c r="F4884" i="11"/>
  <c r="F4883" i="11"/>
  <c r="F4882" i="11"/>
  <c r="F4881" i="11"/>
  <c r="F4880" i="11"/>
  <c r="F4879" i="11"/>
  <c r="F4878" i="11"/>
  <c r="F4877" i="11"/>
  <c r="F4876" i="11"/>
  <c r="F4875" i="11"/>
  <c r="F4874" i="11"/>
  <c r="F4873" i="11"/>
  <c r="F4872" i="11"/>
  <c r="F4871" i="11"/>
  <c r="F4870" i="11"/>
  <c r="F4869" i="11"/>
  <c r="F4868" i="11"/>
  <c r="F4867" i="11"/>
  <c r="F4866" i="11"/>
  <c r="F4865" i="11"/>
  <c r="F4864" i="11"/>
  <c r="F4863" i="11"/>
  <c r="F4862" i="11"/>
  <c r="F4861" i="11"/>
  <c r="F4860" i="11"/>
  <c r="F4859" i="11"/>
  <c r="F4858" i="11"/>
  <c r="F4857" i="11"/>
  <c r="F4856" i="11"/>
  <c r="F4855" i="11"/>
  <c r="F4854" i="11"/>
  <c r="F4853" i="11"/>
  <c r="F4852" i="11"/>
  <c r="F4851" i="11"/>
  <c r="F4850" i="11"/>
  <c r="F4849" i="11"/>
  <c r="F4848" i="11"/>
  <c r="F4847" i="11"/>
  <c r="F4846" i="11"/>
  <c r="F4845" i="11"/>
  <c r="F4844" i="11"/>
  <c r="F4843" i="11"/>
  <c r="F4842" i="11"/>
  <c r="F4841" i="11"/>
  <c r="F4840" i="11"/>
  <c r="F4839" i="11"/>
  <c r="F4838" i="11"/>
  <c r="F4837" i="11"/>
  <c r="F4836" i="11"/>
  <c r="F4835" i="11"/>
  <c r="F4834" i="11"/>
  <c r="F4833" i="11"/>
  <c r="F4832" i="11"/>
  <c r="F4831" i="11"/>
  <c r="F4830" i="11"/>
  <c r="F4829" i="11"/>
  <c r="F4828" i="11"/>
  <c r="F4827" i="11"/>
  <c r="F4826" i="11"/>
  <c r="F4825" i="11"/>
  <c r="F4824" i="11"/>
  <c r="F4823" i="11"/>
  <c r="F4822" i="11"/>
  <c r="F4821" i="11"/>
  <c r="F4820" i="11"/>
  <c r="F4819" i="11"/>
  <c r="F4818" i="11"/>
  <c r="F4817" i="11"/>
  <c r="F4816" i="11"/>
  <c r="F4815" i="11"/>
  <c r="F4814" i="11"/>
  <c r="F4813" i="11"/>
  <c r="F4812" i="11"/>
  <c r="F4811" i="11"/>
  <c r="F4810" i="11"/>
  <c r="F4809" i="11"/>
  <c r="F4808" i="11"/>
  <c r="F4807" i="11"/>
  <c r="F4806" i="11"/>
  <c r="F4805" i="11"/>
  <c r="F4804" i="11"/>
  <c r="F4803" i="11"/>
  <c r="F4802" i="11"/>
  <c r="F4801" i="11"/>
  <c r="F4800" i="11"/>
  <c r="F4799" i="11"/>
  <c r="F4798" i="11"/>
  <c r="F4797" i="11"/>
  <c r="F4796" i="11"/>
  <c r="F4795" i="11"/>
  <c r="F4794" i="11"/>
  <c r="F4793" i="11"/>
  <c r="F4792" i="11"/>
  <c r="F4791" i="11"/>
  <c r="F4790" i="11"/>
  <c r="F4789" i="11"/>
  <c r="F4788" i="11"/>
  <c r="F4787" i="11"/>
  <c r="F4786" i="11"/>
  <c r="F4785" i="11"/>
  <c r="F4784" i="11"/>
  <c r="F4783" i="11"/>
  <c r="F4782" i="11"/>
  <c r="F4781" i="11"/>
  <c r="F4780" i="11"/>
  <c r="F4779" i="11"/>
  <c r="F4778" i="11"/>
  <c r="F4777" i="11"/>
  <c r="F4776" i="11"/>
  <c r="F4775" i="11"/>
  <c r="F4774" i="11"/>
  <c r="F4773" i="11"/>
  <c r="F4772" i="11"/>
  <c r="H4772" i="11" s="1"/>
  <c r="F4771" i="11"/>
  <c r="H4771" i="11" s="1"/>
  <c r="F4770" i="11"/>
  <c r="F4769" i="11"/>
  <c r="F4768" i="11"/>
  <c r="F4767" i="11"/>
  <c r="F4766" i="11"/>
  <c r="F4765" i="11"/>
  <c r="F4764" i="11"/>
  <c r="F4763" i="11"/>
  <c r="F4762" i="11"/>
  <c r="F4761" i="11"/>
  <c r="F4760" i="11"/>
  <c r="F4759" i="11"/>
  <c r="F4758" i="11"/>
  <c r="F4757" i="11"/>
  <c r="F4756" i="11"/>
  <c r="F4755" i="11"/>
  <c r="F4754" i="11"/>
  <c r="F4753" i="11"/>
  <c r="F4752" i="11"/>
  <c r="F4751" i="11"/>
  <c r="F4750" i="11"/>
  <c r="F4749" i="11"/>
  <c r="F4748" i="11"/>
  <c r="F4747" i="11"/>
  <c r="F4746" i="11"/>
  <c r="F4745" i="11"/>
  <c r="F4744" i="11"/>
  <c r="F4743" i="11"/>
  <c r="F4742" i="11"/>
  <c r="F4741" i="11"/>
  <c r="F4740" i="11"/>
  <c r="F4739" i="11"/>
  <c r="F4738" i="11"/>
  <c r="F4737" i="11"/>
  <c r="F4736" i="11"/>
  <c r="F4735" i="11"/>
  <c r="F4734" i="11"/>
  <c r="H4734" i="11" s="1"/>
  <c r="F4733" i="11"/>
  <c r="F4732" i="11"/>
  <c r="F4731" i="11"/>
  <c r="F4730" i="11"/>
  <c r="F4729" i="11"/>
  <c r="F4728" i="11"/>
  <c r="F4727" i="11"/>
  <c r="F4726" i="11"/>
  <c r="F4725" i="11"/>
  <c r="F4724" i="11"/>
  <c r="F4723" i="11"/>
  <c r="F4722" i="11"/>
  <c r="F4721" i="11"/>
  <c r="F4720" i="11"/>
  <c r="F4719" i="11"/>
  <c r="F4718" i="11"/>
  <c r="F4717" i="11"/>
  <c r="F4716" i="11"/>
  <c r="F4715" i="11"/>
  <c r="F4714" i="11"/>
  <c r="F4713" i="11"/>
  <c r="F4712" i="11"/>
  <c r="F4711" i="11"/>
  <c r="F4710" i="11"/>
  <c r="F4709" i="11"/>
  <c r="F4708" i="11"/>
  <c r="H4708" i="11" s="1"/>
  <c r="F4707" i="11"/>
  <c r="F4706" i="11"/>
  <c r="F4705" i="11"/>
  <c r="F4704" i="11"/>
  <c r="F4703" i="11"/>
  <c r="F4702" i="11"/>
  <c r="F4701" i="11"/>
  <c r="H4701" i="11" s="1"/>
  <c r="F4700" i="11"/>
  <c r="F4699" i="11"/>
  <c r="F4698" i="11"/>
  <c r="F4697" i="11"/>
  <c r="F4696" i="11"/>
  <c r="F4695" i="11"/>
  <c r="F4694" i="11"/>
  <c r="F4693" i="11"/>
  <c r="F4692" i="11"/>
  <c r="F4691" i="11"/>
  <c r="F4690" i="11"/>
  <c r="F4689" i="11"/>
  <c r="F4688" i="11"/>
  <c r="F4687" i="11"/>
  <c r="F4686" i="11"/>
  <c r="H4686" i="11" s="1"/>
  <c r="F4685" i="11"/>
  <c r="H4685" i="11" s="1"/>
  <c r="F4684" i="11"/>
  <c r="F4683" i="11"/>
  <c r="F4682" i="11"/>
  <c r="F4681" i="11"/>
  <c r="F4680" i="11"/>
  <c r="F4679" i="11"/>
  <c r="F4678" i="11"/>
  <c r="F4677" i="11"/>
  <c r="F4676" i="11"/>
  <c r="F4675" i="11"/>
  <c r="F4674" i="11"/>
  <c r="F4673" i="11"/>
  <c r="F4672" i="11"/>
  <c r="F4671" i="11"/>
  <c r="F4670" i="11"/>
  <c r="F4669" i="11"/>
  <c r="F4668" i="11"/>
  <c r="F4667" i="11"/>
  <c r="F4666" i="11"/>
  <c r="F4665" i="11"/>
  <c r="F4664" i="11"/>
  <c r="F4663" i="11"/>
  <c r="F4662" i="11"/>
  <c r="F4661" i="11"/>
  <c r="F4660" i="11"/>
  <c r="F4659" i="11"/>
  <c r="F4658" i="11"/>
  <c r="F4657" i="11"/>
  <c r="F4656" i="11"/>
  <c r="F4655" i="11"/>
  <c r="F4654" i="11"/>
  <c r="F4653" i="11"/>
  <c r="F4652" i="11"/>
  <c r="F4651" i="11"/>
  <c r="F4650" i="11"/>
  <c r="F4649" i="11"/>
  <c r="F4648" i="11"/>
  <c r="F4647" i="11"/>
  <c r="F4646" i="11"/>
  <c r="F4645" i="11"/>
  <c r="F4644" i="11"/>
  <c r="F4643" i="11"/>
  <c r="F4642" i="11"/>
  <c r="F4641" i="11"/>
  <c r="F4640" i="11"/>
  <c r="F4639" i="11"/>
  <c r="F4638" i="11"/>
  <c r="F4637" i="11"/>
  <c r="F4636" i="11"/>
  <c r="F4635" i="11"/>
  <c r="F4634" i="11"/>
  <c r="F4633" i="11"/>
  <c r="F4632" i="11"/>
  <c r="F4631" i="11"/>
  <c r="F4630" i="11"/>
  <c r="F4629" i="11"/>
  <c r="F4628" i="11"/>
  <c r="F4627" i="11"/>
  <c r="F4626" i="11"/>
  <c r="F4625" i="11"/>
  <c r="F4624" i="11"/>
  <c r="F4623" i="11"/>
  <c r="F4622" i="11"/>
  <c r="F4621" i="11"/>
  <c r="F4620" i="11"/>
  <c r="F4619" i="11"/>
  <c r="F4618" i="11"/>
  <c r="F4617" i="11"/>
  <c r="F4616" i="11"/>
  <c r="F4615" i="11"/>
  <c r="F4614" i="11"/>
  <c r="F4613" i="11"/>
  <c r="F4612" i="11"/>
  <c r="F4611" i="11"/>
  <c r="F4610" i="11"/>
  <c r="F4609" i="11"/>
  <c r="F4608" i="11"/>
  <c r="F4607" i="11"/>
  <c r="F4606" i="11"/>
  <c r="F4605" i="11"/>
  <c r="F4604" i="11"/>
  <c r="F4603" i="11"/>
  <c r="F4602" i="11"/>
  <c r="F4601" i="11"/>
  <c r="F4600" i="11"/>
  <c r="F4599" i="11"/>
  <c r="F4598" i="11"/>
  <c r="F4597" i="11"/>
  <c r="F4596" i="11"/>
  <c r="F4595" i="11"/>
  <c r="F4594" i="11"/>
  <c r="F4593" i="11"/>
  <c r="F4592" i="11"/>
  <c r="F4591" i="11"/>
  <c r="F4590" i="11"/>
  <c r="F4589" i="11"/>
  <c r="F4588" i="11"/>
  <c r="F4587" i="11"/>
  <c r="F4586" i="11"/>
  <c r="F4585" i="11"/>
  <c r="F4584" i="11"/>
  <c r="F4583" i="11"/>
  <c r="F4582" i="11"/>
  <c r="F4581" i="11"/>
  <c r="F4580" i="11"/>
  <c r="F4579" i="11"/>
  <c r="F4578" i="11"/>
  <c r="F4577" i="11"/>
  <c r="F4576" i="11"/>
  <c r="F4575" i="11"/>
  <c r="F4574" i="11"/>
  <c r="F4573" i="11"/>
  <c r="F4572" i="11"/>
  <c r="F4571" i="11"/>
  <c r="F4570" i="11"/>
  <c r="F4569" i="11"/>
  <c r="F4568" i="11"/>
  <c r="F4567" i="11"/>
  <c r="F4566" i="11"/>
  <c r="F4565" i="11"/>
  <c r="F4564" i="11"/>
  <c r="F4563" i="11"/>
  <c r="F4562" i="11"/>
  <c r="F4561" i="11"/>
  <c r="F4560" i="11"/>
  <c r="F4559" i="11"/>
  <c r="F4558" i="11"/>
  <c r="F4557" i="11"/>
  <c r="F4556" i="11"/>
  <c r="F4555" i="11"/>
  <c r="F4554" i="11"/>
  <c r="F4553" i="11"/>
  <c r="F4552" i="11"/>
  <c r="F4551" i="11"/>
  <c r="F4550" i="11"/>
  <c r="F4549" i="11"/>
  <c r="F4548" i="11"/>
  <c r="F4547" i="11"/>
  <c r="F4546" i="11"/>
  <c r="F4545" i="11"/>
  <c r="F4544" i="11"/>
  <c r="F4543" i="11"/>
  <c r="F4542" i="11"/>
  <c r="F4541" i="11"/>
  <c r="F4540" i="11"/>
  <c r="F4539" i="11"/>
  <c r="F4538" i="11"/>
  <c r="F4537" i="11"/>
  <c r="F4536" i="11"/>
  <c r="F4535" i="11"/>
  <c r="F4534" i="11"/>
  <c r="F4533" i="11"/>
  <c r="F4532" i="11"/>
  <c r="F4531" i="11"/>
  <c r="F4530" i="11"/>
  <c r="F4529" i="11"/>
  <c r="F4528" i="11"/>
  <c r="F4527" i="11"/>
  <c r="F4526" i="11"/>
  <c r="F4525" i="11"/>
  <c r="F4524" i="11"/>
  <c r="F4523" i="11"/>
  <c r="F4522" i="11"/>
  <c r="F4521" i="11"/>
  <c r="F4520" i="11"/>
  <c r="F4519" i="11"/>
  <c r="F4518" i="11"/>
  <c r="F4517" i="11"/>
  <c r="F4516" i="11"/>
  <c r="F4515" i="11"/>
  <c r="F4514" i="11"/>
  <c r="F4513" i="11"/>
  <c r="F4512" i="11"/>
  <c r="F4511" i="11"/>
  <c r="F4510" i="11"/>
  <c r="F4509" i="11"/>
  <c r="F4508" i="11"/>
  <c r="F4507" i="11"/>
  <c r="F4506" i="11"/>
  <c r="F4505" i="11"/>
  <c r="F4504" i="11"/>
  <c r="F4503" i="11"/>
  <c r="F4502" i="11"/>
  <c r="F4501" i="11"/>
  <c r="F4500" i="11"/>
  <c r="F4499" i="11"/>
  <c r="F4498" i="11"/>
  <c r="F4497" i="11"/>
  <c r="F4496" i="11"/>
  <c r="F4495" i="11"/>
  <c r="F4494" i="11"/>
  <c r="F4493" i="11"/>
  <c r="F4492" i="11"/>
  <c r="F4491" i="11"/>
  <c r="F4490" i="11"/>
  <c r="F4489" i="11"/>
  <c r="F4488" i="11"/>
  <c r="F4487" i="11"/>
  <c r="F4486" i="11"/>
  <c r="F4485" i="11"/>
  <c r="F4484" i="11"/>
  <c r="F4483" i="11"/>
  <c r="F4482" i="11"/>
  <c r="F4481" i="11"/>
  <c r="F4480" i="11"/>
  <c r="F4479" i="11"/>
  <c r="F4478" i="11"/>
  <c r="F4477" i="11"/>
  <c r="F4476" i="11"/>
  <c r="F4475" i="11"/>
  <c r="F4474" i="11"/>
  <c r="F4473" i="11"/>
  <c r="F4472" i="11"/>
  <c r="F4471" i="11"/>
  <c r="F4470" i="11"/>
  <c r="F4469" i="11"/>
  <c r="F4468" i="11"/>
  <c r="F4467" i="11"/>
  <c r="F4466" i="11"/>
  <c r="F4465" i="11"/>
  <c r="F4464" i="11"/>
  <c r="F4463" i="11"/>
  <c r="F4462" i="11"/>
  <c r="F4461" i="11"/>
  <c r="F4460" i="11"/>
  <c r="F4459" i="11"/>
  <c r="F4458" i="11"/>
  <c r="F4457" i="11"/>
  <c r="F4456" i="11"/>
  <c r="F4455" i="11"/>
  <c r="F4454" i="11"/>
  <c r="F4453" i="11"/>
  <c r="F4452" i="11"/>
  <c r="F4451" i="11"/>
  <c r="F4450" i="11"/>
  <c r="F4449" i="11"/>
  <c r="F4448" i="11"/>
  <c r="F4447" i="11"/>
  <c r="F4446" i="11"/>
  <c r="F4445" i="11"/>
  <c r="F4444" i="11"/>
  <c r="F4443" i="11"/>
  <c r="F4442" i="11"/>
  <c r="F4441" i="11"/>
  <c r="F4440" i="11"/>
  <c r="F4439" i="11"/>
  <c r="F4438" i="11"/>
  <c r="F4437" i="11"/>
  <c r="F4436" i="11"/>
  <c r="F4435" i="11"/>
  <c r="F4434" i="11"/>
  <c r="F4433" i="11"/>
  <c r="F4432" i="11"/>
  <c r="F4431" i="11"/>
  <c r="F4430" i="11"/>
  <c r="F4429" i="11"/>
  <c r="F4428" i="11"/>
  <c r="F4427" i="11"/>
  <c r="F4426" i="11"/>
  <c r="F4425" i="11"/>
  <c r="F4424" i="11"/>
  <c r="F4423" i="11"/>
  <c r="F4422" i="11"/>
  <c r="F4421" i="11"/>
  <c r="F4420" i="11"/>
  <c r="F4419" i="11"/>
  <c r="F4418" i="11"/>
  <c r="F4417" i="11"/>
  <c r="F4416" i="11"/>
  <c r="F4415" i="11"/>
  <c r="F4414" i="11"/>
  <c r="F4413" i="11"/>
  <c r="F4412" i="11"/>
  <c r="F4411" i="11"/>
  <c r="F4410" i="11"/>
  <c r="F4409" i="11"/>
  <c r="F4408" i="11"/>
  <c r="F4407" i="11"/>
  <c r="F4406" i="11"/>
  <c r="F4405" i="11"/>
  <c r="F4404" i="11"/>
  <c r="F4403" i="11"/>
  <c r="F4402" i="11"/>
  <c r="F4401" i="11"/>
  <c r="F4400" i="11"/>
  <c r="F4399" i="11"/>
  <c r="F4398" i="11"/>
  <c r="F4397" i="11"/>
  <c r="F4396" i="11"/>
  <c r="F4395" i="11"/>
  <c r="F4394" i="11"/>
  <c r="F4393" i="11"/>
  <c r="F4392" i="11"/>
  <c r="F4391" i="11"/>
  <c r="F4390" i="11"/>
  <c r="F4389" i="11"/>
  <c r="F4388" i="11"/>
  <c r="F4387" i="11"/>
  <c r="F4386" i="11"/>
  <c r="F4385" i="11"/>
  <c r="F4384" i="11"/>
  <c r="F4383" i="11"/>
  <c r="F4382" i="11"/>
  <c r="F4381" i="11"/>
  <c r="F4380" i="11"/>
  <c r="F4379" i="11"/>
  <c r="F4378" i="11"/>
  <c r="F4377" i="11"/>
  <c r="F4376" i="11"/>
  <c r="F4375" i="11"/>
  <c r="F4374" i="11"/>
  <c r="F4373" i="11"/>
  <c r="F4372" i="11"/>
  <c r="F4371" i="11"/>
  <c r="F4370" i="11"/>
  <c r="F4369" i="11"/>
  <c r="F4368" i="11"/>
  <c r="F4367" i="11"/>
  <c r="F4366" i="11"/>
  <c r="F4365" i="11"/>
  <c r="F4364" i="11"/>
  <c r="F4363" i="11"/>
  <c r="F4362" i="11"/>
  <c r="F4361" i="11"/>
  <c r="F4360" i="11"/>
  <c r="F4359" i="11"/>
  <c r="F4358" i="11"/>
  <c r="F4357" i="11"/>
  <c r="F4356" i="11"/>
  <c r="F4355" i="11"/>
  <c r="F4354" i="11"/>
  <c r="F4353" i="11"/>
  <c r="F4352" i="11"/>
  <c r="F4351" i="11"/>
  <c r="F4350" i="11"/>
  <c r="F4349" i="11"/>
  <c r="F4348" i="11"/>
  <c r="F4347" i="11"/>
  <c r="F4346" i="11"/>
  <c r="F4345" i="11"/>
  <c r="F4344" i="11"/>
  <c r="F4343" i="11"/>
  <c r="F4342" i="11"/>
  <c r="F4341" i="11"/>
  <c r="F4340" i="11"/>
  <c r="F4339" i="11"/>
  <c r="F4338" i="11"/>
  <c r="F4337" i="11"/>
  <c r="F4336" i="11"/>
  <c r="F4335" i="11"/>
  <c r="F4334" i="11"/>
  <c r="F4333" i="11"/>
  <c r="F4332" i="11"/>
  <c r="F4331" i="11"/>
  <c r="F4330" i="11"/>
  <c r="F4329" i="11"/>
  <c r="F4328" i="11"/>
  <c r="F4327" i="11"/>
  <c r="F4326" i="11"/>
  <c r="F4325" i="11"/>
  <c r="F4324" i="11"/>
  <c r="F4323" i="11"/>
  <c r="F4322" i="11"/>
  <c r="F4321" i="11"/>
  <c r="F4320" i="11"/>
  <c r="F4319" i="11"/>
  <c r="F4318" i="11"/>
  <c r="F4317" i="11"/>
  <c r="F4316" i="11"/>
  <c r="F4315" i="11"/>
  <c r="F4314" i="11"/>
  <c r="F4313" i="11"/>
  <c r="F4312" i="11"/>
  <c r="F4311" i="11"/>
  <c r="F4310" i="11"/>
  <c r="F4309" i="11"/>
  <c r="F4308" i="11"/>
  <c r="F4307" i="11"/>
  <c r="F4306" i="11"/>
  <c r="F4305" i="11"/>
  <c r="F4304" i="11"/>
  <c r="F4303" i="11"/>
  <c r="F4302" i="11"/>
  <c r="F4301" i="11"/>
  <c r="F4300" i="11"/>
  <c r="F4299" i="11"/>
  <c r="F4298" i="11"/>
  <c r="F4297" i="11"/>
  <c r="F4296" i="11"/>
  <c r="F4295" i="11"/>
  <c r="F4294" i="11"/>
  <c r="F4293" i="11"/>
  <c r="F4292" i="11"/>
  <c r="F4291" i="11"/>
  <c r="F4290" i="11"/>
  <c r="F4289" i="11"/>
  <c r="F4288" i="11"/>
  <c r="F4287" i="11"/>
  <c r="F4286" i="11"/>
  <c r="F4285" i="11"/>
  <c r="F4284" i="11"/>
  <c r="F4283" i="11"/>
  <c r="F4282" i="11"/>
  <c r="F4281" i="11"/>
  <c r="F4280" i="11"/>
  <c r="F4279" i="11"/>
  <c r="F4278" i="11"/>
  <c r="F4277" i="11"/>
  <c r="F4276" i="11"/>
  <c r="F4275" i="11"/>
  <c r="F4274" i="11"/>
  <c r="F4273" i="11"/>
  <c r="F4272" i="11"/>
  <c r="F4271" i="11"/>
  <c r="F4270" i="11"/>
  <c r="F4269" i="11"/>
  <c r="F4268" i="11"/>
  <c r="F4267" i="11"/>
  <c r="F4266" i="11"/>
  <c r="F4265" i="11"/>
  <c r="F4264" i="11"/>
  <c r="F4263" i="11"/>
  <c r="F4262" i="11"/>
  <c r="F4261" i="11"/>
  <c r="F4260" i="11"/>
  <c r="F4259" i="11"/>
  <c r="F4258" i="11"/>
  <c r="F4257" i="11"/>
  <c r="F4256" i="11"/>
  <c r="F4255" i="11"/>
  <c r="F4254" i="11"/>
  <c r="F4253" i="11"/>
  <c r="F4252" i="11"/>
  <c r="F4251" i="11"/>
  <c r="F4250" i="11"/>
  <c r="F4249" i="11"/>
  <c r="F4248" i="11"/>
  <c r="F4247" i="11"/>
  <c r="F4246" i="11"/>
  <c r="F4245" i="11"/>
  <c r="F4244" i="11"/>
  <c r="F4243" i="11"/>
  <c r="F4242" i="11"/>
  <c r="F4241" i="11"/>
  <c r="F4240" i="11"/>
  <c r="F4239" i="11"/>
  <c r="F4238" i="11"/>
  <c r="F4237" i="11"/>
  <c r="F4236" i="11"/>
  <c r="F4235" i="11"/>
  <c r="F4234" i="11"/>
  <c r="F4233" i="11"/>
  <c r="F4232" i="11"/>
  <c r="F4231" i="11"/>
  <c r="F4230" i="11"/>
  <c r="F4229" i="11"/>
  <c r="F4228" i="11"/>
  <c r="F4227" i="11"/>
  <c r="F4226" i="11"/>
  <c r="F4225" i="11"/>
  <c r="F4224" i="11"/>
  <c r="F4223" i="11"/>
  <c r="F4222" i="11"/>
  <c r="F4221" i="11"/>
  <c r="F4220" i="11"/>
  <c r="F4219" i="11"/>
  <c r="F4218" i="11"/>
  <c r="F4217" i="11"/>
  <c r="F4216" i="11"/>
  <c r="F4215" i="11"/>
  <c r="F4214" i="11"/>
  <c r="F4213" i="11"/>
  <c r="F4212" i="11"/>
  <c r="F4211" i="11"/>
  <c r="F4210" i="11"/>
  <c r="F4209" i="11"/>
  <c r="F4208" i="11"/>
  <c r="F4207" i="11"/>
  <c r="F4206" i="11"/>
  <c r="F4205" i="11"/>
  <c r="F4204" i="11"/>
  <c r="F4203" i="11"/>
  <c r="F4202" i="11"/>
  <c r="F4201" i="11"/>
  <c r="F4200" i="11"/>
  <c r="F4199" i="11"/>
  <c r="F4198" i="11"/>
  <c r="F4197" i="11"/>
  <c r="F4196" i="11"/>
  <c r="F4195" i="11"/>
  <c r="F4194" i="11"/>
  <c r="F4193" i="11"/>
  <c r="F4192" i="11"/>
  <c r="F4191" i="11"/>
  <c r="F4190" i="11"/>
  <c r="F4189" i="11"/>
  <c r="F4188" i="11"/>
  <c r="F4187" i="11"/>
  <c r="F4186" i="11"/>
  <c r="F4185" i="11"/>
  <c r="F4184" i="11"/>
  <c r="F4183" i="11"/>
  <c r="F4182" i="11"/>
  <c r="F4181" i="11"/>
  <c r="F4180" i="11"/>
  <c r="F4179" i="11"/>
  <c r="F4178" i="11"/>
  <c r="F4177" i="11"/>
  <c r="F4176" i="11"/>
  <c r="F4175" i="11"/>
  <c r="F4174" i="11"/>
  <c r="F4173" i="11"/>
  <c r="F4172" i="11"/>
  <c r="F4171" i="11"/>
  <c r="F4170" i="11"/>
  <c r="F4169" i="11"/>
  <c r="F4168" i="11"/>
  <c r="F4167" i="11"/>
  <c r="F4166" i="11"/>
  <c r="F4165" i="11"/>
  <c r="F4164" i="11"/>
  <c r="F4163" i="11"/>
  <c r="F4162" i="11"/>
  <c r="F4161" i="11"/>
  <c r="F4160" i="11"/>
  <c r="F4159" i="11"/>
  <c r="F4158" i="11"/>
  <c r="F4157" i="11"/>
  <c r="F4156" i="11"/>
  <c r="F4155" i="11"/>
  <c r="F4154" i="11"/>
  <c r="F4153" i="11"/>
  <c r="F4152" i="11"/>
  <c r="F4151" i="11"/>
  <c r="F4150" i="11"/>
  <c r="F4149" i="11"/>
  <c r="F4148" i="11"/>
  <c r="F4147" i="11"/>
  <c r="F4146" i="11"/>
  <c r="F4145" i="11"/>
  <c r="F4144" i="11"/>
  <c r="F4143" i="11"/>
  <c r="F4142" i="11"/>
  <c r="F4141" i="11"/>
  <c r="F4140" i="11"/>
  <c r="F4139" i="11"/>
  <c r="F4138" i="11"/>
  <c r="F4137" i="11"/>
  <c r="F4136" i="11"/>
  <c r="F4135" i="11"/>
  <c r="F4134" i="11"/>
  <c r="F4133" i="11"/>
  <c r="F4132" i="11"/>
  <c r="F4131" i="11"/>
  <c r="F4130" i="11"/>
  <c r="F4129" i="11"/>
  <c r="F4128" i="11"/>
  <c r="F4127" i="11"/>
  <c r="F4126" i="11"/>
  <c r="F4125" i="11"/>
  <c r="F4124" i="11"/>
  <c r="F4123" i="11"/>
  <c r="F4122" i="11"/>
  <c r="F4121" i="11"/>
  <c r="F4120" i="11"/>
  <c r="F4119" i="11"/>
  <c r="F4118" i="11"/>
  <c r="F4117" i="11"/>
  <c r="F4116" i="11"/>
  <c r="F4115" i="11"/>
  <c r="F4114" i="11"/>
  <c r="F4113" i="11"/>
  <c r="F4112" i="11"/>
  <c r="F4111" i="11"/>
  <c r="F4110" i="11"/>
  <c r="F4109" i="11"/>
  <c r="F4108" i="11"/>
  <c r="F4107" i="11"/>
  <c r="F4106" i="11"/>
  <c r="F4105" i="11"/>
  <c r="F4104" i="11"/>
  <c r="F4103" i="11"/>
  <c r="F4102" i="11"/>
  <c r="F4101" i="11"/>
  <c r="F4100" i="11"/>
  <c r="F4099" i="11"/>
  <c r="F4098" i="11"/>
  <c r="F4097" i="11"/>
  <c r="F4096" i="11"/>
  <c r="F4095" i="11"/>
  <c r="F4094" i="11"/>
  <c r="F4093" i="11"/>
  <c r="F4092" i="11"/>
  <c r="F4091" i="11"/>
  <c r="F4090" i="11"/>
  <c r="F4089" i="11"/>
  <c r="F4088" i="11"/>
  <c r="F4087" i="11"/>
  <c r="F4086" i="11"/>
  <c r="F4085" i="11"/>
  <c r="F4084" i="11"/>
  <c r="F4083" i="11"/>
  <c r="F4082" i="11"/>
  <c r="F4081" i="11"/>
  <c r="F4080" i="11"/>
  <c r="F4079" i="11"/>
  <c r="F4078" i="11"/>
  <c r="F4077" i="11"/>
  <c r="F4076" i="11"/>
  <c r="F4075" i="11"/>
  <c r="F4074" i="11"/>
  <c r="F4073" i="11"/>
  <c r="F4072" i="11"/>
  <c r="F4071" i="11"/>
  <c r="F4070" i="11"/>
  <c r="F4069" i="11"/>
  <c r="F4068" i="11"/>
  <c r="F4067" i="11"/>
  <c r="F4066" i="11"/>
  <c r="F4065" i="11"/>
  <c r="F4064" i="11"/>
  <c r="F4063" i="11"/>
  <c r="F4062" i="11"/>
  <c r="F4061" i="11"/>
  <c r="F4060" i="11"/>
  <c r="F4059" i="11"/>
  <c r="F4058" i="11"/>
  <c r="F4057" i="11"/>
  <c r="F4056" i="11"/>
  <c r="F4055" i="11"/>
  <c r="F4054" i="11"/>
  <c r="F4053" i="11"/>
  <c r="F4052" i="11"/>
  <c r="F4051" i="11"/>
  <c r="F4050" i="11"/>
  <c r="F4049" i="11"/>
  <c r="F4048" i="11"/>
  <c r="F4047" i="11"/>
  <c r="F4046" i="11"/>
  <c r="F4045" i="11"/>
  <c r="F4044" i="11"/>
  <c r="F4043" i="11"/>
  <c r="F4042" i="11"/>
  <c r="F4041" i="11"/>
  <c r="F4040" i="11"/>
  <c r="F4039" i="11"/>
  <c r="F4038" i="11"/>
  <c r="F4037" i="11"/>
  <c r="F4036" i="11"/>
  <c r="F4035" i="11"/>
  <c r="F4034" i="11"/>
  <c r="F4033" i="11"/>
  <c r="F4032" i="11"/>
  <c r="F4031" i="11"/>
  <c r="F4030" i="11"/>
  <c r="F4029" i="11"/>
  <c r="F4028" i="11"/>
  <c r="F4027" i="11"/>
  <c r="F4026" i="11"/>
  <c r="F4025" i="11"/>
  <c r="F4024" i="11"/>
  <c r="F4023" i="11"/>
  <c r="F4022" i="11"/>
  <c r="F4021" i="11"/>
  <c r="F4020" i="11"/>
  <c r="F4019" i="11"/>
  <c r="F4018" i="11"/>
  <c r="F4017" i="11"/>
  <c r="F4016" i="11"/>
  <c r="F4015" i="11"/>
  <c r="F4014" i="11"/>
  <c r="F4013" i="11"/>
  <c r="F4012" i="11"/>
  <c r="F4011" i="11"/>
  <c r="F4010" i="11"/>
  <c r="F4009" i="11"/>
  <c r="F4008" i="11"/>
  <c r="F4007" i="11"/>
  <c r="F4006" i="11"/>
  <c r="F4005" i="11"/>
  <c r="F4004" i="11"/>
  <c r="F4003" i="11"/>
  <c r="F4002" i="11"/>
  <c r="F4001" i="11"/>
  <c r="F4000" i="11"/>
  <c r="F3999" i="11"/>
  <c r="F3998" i="11"/>
  <c r="F3997" i="11"/>
  <c r="F3996" i="11"/>
  <c r="F3995" i="11"/>
  <c r="F3994" i="11"/>
  <c r="F3993" i="11"/>
  <c r="F3992" i="11"/>
  <c r="F3991" i="11"/>
  <c r="F3990" i="11"/>
  <c r="F3989" i="11"/>
  <c r="F3988" i="11"/>
  <c r="F3987" i="11"/>
  <c r="F3986" i="11"/>
  <c r="F3985" i="11"/>
  <c r="F3984" i="11"/>
  <c r="F3983" i="11"/>
  <c r="F3982" i="11"/>
  <c r="F3981" i="11"/>
  <c r="F3980" i="11"/>
  <c r="F3979" i="11"/>
  <c r="F3978" i="11"/>
  <c r="F3977" i="11"/>
  <c r="F3976" i="11"/>
  <c r="F3975" i="11"/>
  <c r="F3974" i="11"/>
  <c r="F3973" i="11"/>
  <c r="F3972" i="11"/>
  <c r="F3971" i="11"/>
  <c r="F3970" i="11"/>
  <c r="F3969" i="11"/>
  <c r="F3968" i="11"/>
  <c r="F3967" i="11"/>
  <c r="F3966" i="11"/>
  <c r="F3965" i="11"/>
  <c r="F3964" i="11"/>
  <c r="F3963" i="11"/>
  <c r="F3962" i="11"/>
  <c r="F3961" i="11"/>
  <c r="F3960" i="11"/>
  <c r="F3959" i="11"/>
  <c r="F3958" i="11"/>
  <c r="F3957" i="11"/>
  <c r="F3956" i="11"/>
  <c r="F3955" i="11"/>
  <c r="F3954" i="11"/>
  <c r="F3953" i="11"/>
  <c r="F3952" i="11"/>
  <c r="F3951" i="11"/>
  <c r="F3950" i="11"/>
  <c r="F3949" i="11"/>
  <c r="F3948" i="11"/>
  <c r="F3947" i="11"/>
  <c r="F3946" i="11"/>
  <c r="F3945" i="11"/>
  <c r="F3944" i="11"/>
  <c r="F3943" i="11"/>
  <c r="F3942" i="11"/>
  <c r="F3941" i="11"/>
  <c r="F3940" i="11"/>
  <c r="F3939" i="11"/>
  <c r="F3938" i="11"/>
  <c r="F3937" i="11"/>
  <c r="F3936" i="11"/>
  <c r="F3935" i="11"/>
  <c r="F3934" i="11"/>
  <c r="F3933" i="11"/>
  <c r="F3932" i="11"/>
  <c r="F3931" i="11"/>
  <c r="F3930" i="11"/>
  <c r="F3929" i="11"/>
  <c r="F3928" i="11"/>
  <c r="F3927" i="11"/>
  <c r="F3926" i="11"/>
  <c r="F3925" i="11"/>
  <c r="F3924" i="11"/>
  <c r="F3923" i="11"/>
  <c r="F3922" i="11"/>
  <c r="F3921" i="11"/>
  <c r="F3920" i="11"/>
  <c r="F3919" i="11"/>
  <c r="F3918" i="11"/>
  <c r="F3917" i="11"/>
  <c r="F3916" i="11"/>
  <c r="F3915" i="11"/>
  <c r="F3914" i="11"/>
  <c r="F3913" i="11"/>
  <c r="F3912" i="11"/>
  <c r="F3911" i="11"/>
  <c r="F3910" i="11"/>
  <c r="F3909" i="11"/>
  <c r="F3908" i="11"/>
  <c r="F3907" i="11"/>
  <c r="F3906" i="11"/>
  <c r="F3905" i="11"/>
  <c r="F3904" i="11"/>
  <c r="F3903" i="11"/>
  <c r="F3902" i="11"/>
  <c r="F3901" i="11"/>
  <c r="F3900" i="11"/>
  <c r="F3899" i="11"/>
  <c r="F3898" i="11"/>
  <c r="F3897" i="11"/>
  <c r="F3896" i="11"/>
  <c r="F3895" i="11"/>
  <c r="F3894" i="11"/>
  <c r="F3893" i="11"/>
  <c r="F3892" i="11"/>
  <c r="F3891" i="11"/>
  <c r="F3890" i="11"/>
  <c r="F3889" i="11"/>
  <c r="F3888" i="11"/>
  <c r="F3887" i="11"/>
  <c r="F3886" i="11"/>
  <c r="F3885" i="11"/>
  <c r="F3884" i="11"/>
  <c r="F3883" i="11"/>
  <c r="F3882" i="11"/>
  <c r="F3881" i="11"/>
  <c r="F3880" i="11"/>
  <c r="F3879" i="11"/>
  <c r="F3878" i="11"/>
  <c r="F3877" i="11"/>
  <c r="F3876" i="11"/>
  <c r="F3875" i="11"/>
  <c r="F3874" i="11"/>
  <c r="F3873" i="11"/>
  <c r="F3872" i="11"/>
  <c r="F3871" i="11"/>
  <c r="F3870" i="11"/>
  <c r="F3869" i="11"/>
  <c r="F3868" i="11"/>
  <c r="F3867" i="11"/>
  <c r="F3866" i="11"/>
  <c r="F3865" i="11"/>
  <c r="F3864" i="11"/>
  <c r="F3863" i="11"/>
  <c r="F3862" i="11"/>
  <c r="F3861" i="11"/>
  <c r="F3860" i="11"/>
  <c r="F3859" i="11"/>
  <c r="F3858" i="11"/>
  <c r="F3857" i="11"/>
  <c r="F3856" i="11"/>
  <c r="F3855" i="11"/>
  <c r="F3854" i="11"/>
  <c r="F3853" i="11"/>
  <c r="F3852" i="11"/>
  <c r="F3851" i="11"/>
  <c r="F3850" i="11"/>
  <c r="F3849" i="11"/>
  <c r="F3848" i="11"/>
  <c r="F3847" i="11"/>
  <c r="F3846" i="11"/>
  <c r="F3845" i="11"/>
  <c r="F3844" i="11"/>
  <c r="F3843" i="11"/>
  <c r="F3842" i="11"/>
  <c r="F3841" i="11"/>
  <c r="F3840" i="11"/>
  <c r="F3839" i="11"/>
  <c r="F3838" i="11"/>
  <c r="F3837" i="11"/>
  <c r="F3836" i="11"/>
  <c r="F3835" i="11"/>
  <c r="F3834" i="11"/>
  <c r="F3833" i="11"/>
  <c r="F3832" i="11"/>
  <c r="F3831" i="11"/>
  <c r="F3830" i="11"/>
  <c r="F3829" i="11"/>
  <c r="F3828" i="11"/>
  <c r="F3827" i="11"/>
  <c r="F3826" i="11"/>
  <c r="F3825" i="11"/>
  <c r="F3824" i="11"/>
  <c r="F3823" i="11"/>
  <c r="F3822" i="11"/>
  <c r="F3821" i="11"/>
  <c r="F3820" i="11"/>
  <c r="F3819" i="11"/>
  <c r="F3818" i="11"/>
  <c r="F3817" i="11"/>
  <c r="F3816" i="11"/>
  <c r="F3815" i="11"/>
  <c r="F3814" i="11"/>
  <c r="F3813" i="11"/>
  <c r="F3812" i="11"/>
  <c r="F3811" i="11"/>
  <c r="F3810" i="11"/>
  <c r="F3809" i="11"/>
  <c r="F3808" i="11"/>
  <c r="F3807" i="11"/>
  <c r="F3806" i="11"/>
  <c r="F3805" i="11"/>
  <c r="F3804" i="11"/>
  <c r="F3803" i="11"/>
  <c r="F3802" i="11"/>
  <c r="F3801" i="11"/>
  <c r="F3800" i="11"/>
  <c r="F3799" i="11"/>
  <c r="F3798" i="11"/>
  <c r="F3797" i="11"/>
  <c r="F3796" i="11"/>
  <c r="F3795" i="11"/>
  <c r="F3794" i="11"/>
  <c r="F3793" i="11"/>
  <c r="F3792" i="11"/>
  <c r="F3791" i="11"/>
  <c r="F3790" i="11"/>
  <c r="F3789" i="11"/>
  <c r="F3788" i="11"/>
  <c r="F3787" i="11"/>
  <c r="F3786" i="11"/>
  <c r="F3785" i="11"/>
  <c r="F3784" i="11"/>
  <c r="F3783" i="11"/>
  <c r="F3782" i="11"/>
  <c r="F3781" i="11"/>
  <c r="F3780" i="11"/>
  <c r="F3779" i="11"/>
  <c r="F3778" i="11"/>
  <c r="F3777" i="11"/>
  <c r="F3776" i="11"/>
  <c r="F3775" i="11"/>
  <c r="F3774" i="11"/>
  <c r="F3773" i="11"/>
  <c r="F3772" i="11"/>
  <c r="F3771" i="11"/>
  <c r="F3770" i="11"/>
  <c r="F3769" i="11"/>
  <c r="F3768" i="11"/>
  <c r="F3767" i="11"/>
  <c r="F3766" i="11"/>
  <c r="F3765" i="11"/>
  <c r="F3764" i="11"/>
  <c r="F3763" i="11"/>
  <c r="F3762" i="11"/>
  <c r="F3761" i="11"/>
  <c r="F3760" i="11"/>
  <c r="F3759" i="11"/>
  <c r="F3758" i="11"/>
  <c r="F3757" i="11"/>
  <c r="F3756" i="11"/>
  <c r="F3755" i="11"/>
  <c r="F3754" i="11"/>
  <c r="F3753" i="11"/>
  <c r="F3752" i="11"/>
  <c r="F3751" i="11"/>
  <c r="F3750" i="11"/>
  <c r="F3749" i="11"/>
  <c r="F3748" i="11"/>
  <c r="F3747" i="11"/>
  <c r="F3746" i="11"/>
  <c r="F3745" i="11"/>
  <c r="F3744" i="11"/>
  <c r="F3743" i="11"/>
  <c r="F3742" i="11"/>
  <c r="F3741" i="11"/>
  <c r="F3740" i="11"/>
  <c r="F3739" i="11"/>
  <c r="F3738" i="11"/>
  <c r="F3737" i="11"/>
  <c r="F3736" i="11"/>
  <c r="F3735" i="11"/>
  <c r="F3734" i="11"/>
  <c r="F3733" i="11"/>
  <c r="F3732" i="11"/>
  <c r="F3731" i="11"/>
  <c r="F3730" i="11"/>
  <c r="F3729" i="11"/>
  <c r="F3728" i="11"/>
  <c r="F3727" i="11"/>
  <c r="F3726" i="11"/>
  <c r="F3725" i="11"/>
  <c r="F3724" i="11"/>
  <c r="F3723" i="11"/>
  <c r="F3722" i="11"/>
  <c r="F3721" i="11"/>
  <c r="F3720" i="11"/>
  <c r="F3719" i="11"/>
  <c r="F3718" i="11"/>
  <c r="F3717" i="11"/>
  <c r="F3716" i="11"/>
  <c r="F3715" i="11"/>
  <c r="F3714" i="11"/>
  <c r="F3713" i="11"/>
  <c r="F3712" i="11"/>
  <c r="F3711" i="11"/>
  <c r="F3710" i="11"/>
  <c r="F3709" i="11"/>
  <c r="F3708" i="11"/>
  <c r="F3707" i="11"/>
  <c r="F3706" i="11"/>
  <c r="F3705" i="11"/>
  <c r="F3704" i="11"/>
  <c r="F3703" i="11"/>
  <c r="F3702" i="11"/>
  <c r="F3701" i="11"/>
  <c r="F3700" i="11"/>
  <c r="F3699" i="11"/>
  <c r="F3698" i="11"/>
  <c r="F3697" i="11"/>
  <c r="F3696" i="11"/>
  <c r="F3695" i="11"/>
  <c r="F3694" i="11"/>
  <c r="F3693" i="11"/>
  <c r="F3692" i="11"/>
  <c r="F3691" i="11"/>
  <c r="F3690" i="11"/>
  <c r="F3689" i="11"/>
  <c r="F3688" i="11"/>
  <c r="F3687" i="11"/>
  <c r="F3686" i="11"/>
  <c r="F3685" i="11"/>
  <c r="F3684" i="11"/>
  <c r="F3683" i="11"/>
  <c r="F3682" i="11"/>
  <c r="F3681" i="11"/>
  <c r="F3680" i="11"/>
  <c r="F3679" i="11"/>
  <c r="F3678" i="11"/>
  <c r="F3677" i="11"/>
  <c r="F3676" i="11"/>
  <c r="F3675" i="11"/>
  <c r="F3674" i="11"/>
  <c r="F3673" i="11"/>
  <c r="F3672" i="11"/>
  <c r="F3671" i="11"/>
  <c r="F3670" i="11"/>
  <c r="F3669" i="11"/>
  <c r="F3668" i="11"/>
  <c r="F3667" i="11"/>
  <c r="F3666" i="11"/>
  <c r="F3665" i="11"/>
  <c r="F3664" i="11"/>
  <c r="F3663" i="11"/>
  <c r="F3662" i="11"/>
  <c r="F3661" i="11"/>
  <c r="F3660" i="11"/>
  <c r="F3659" i="11"/>
  <c r="F3658" i="11"/>
  <c r="F3657" i="11"/>
  <c r="F3656" i="11"/>
  <c r="F3655" i="11"/>
  <c r="F3654" i="11"/>
  <c r="F3653" i="11"/>
  <c r="F3652" i="11"/>
  <c r="F3651" i="11"/>
  <c r="F3650" i="11"/>
  <c r="F3649" i="11"/>
  <c r="F3648" i="11"/>
  <c r="F3647" i="11"/>
  <c r="F3646" i="11"/>
  <c r="F3645" i="11"/>
  <c r="F3644" i="11"/>
  <c r="F3643" i="11"/>
  <c r="F3642" i="11"/>
  <c r="F3641" i="11"/>
  <c r="F3640" i="11"/>
  <c r="F3639" i="11"/>
  <c r="F3638" i="11"/>
  <c r="F3637" i="11"/>
  <c r="F3636" i="11"/>
  <c r="F3635" i="11"/>
  <c r="F3634" i="11"/>
  <c r="F3633" i="11"/>
  <c r="F3632" i="11"/>
  <c r="F3631" i="11"/>
  <c r="F3630" i="11"/>
  <c r="F3629" i="11"/>
  <c r="F3628" i="11"/>
  <c r="F3627" i="11"/>
  <c r="F3626" i="11"/>
  <c r="F3625" i="11"/>
  <c r="F3624" i="11"/>
  <c r="F3623" i="11"/>
  <c r="F3622" i="11"/>
  <c r="F3621" i="11"/>
  <c r="F3620" i="11"/>
  <c r="F3619" i="11"/>
  <c r="F3618" i="11"/>
  <c r="F3617" i="11"/>
  <c r="F3616" i="11"/>
  <c r="F3615" i="11"/>
  <c r="F3614" i="11"/>
  <c r="F3613" i="11"/>
  <c r="F3612" i="11"/>
  <c r="F3611" i="11"/>
  <c r="F3610" i="11"/>
  <c r="F3609" i="11"/>
  <c r="F3608" i="11"/>
  <c r="F3607" i="11"/>
  <c r="F3606" i="11"/>
  <c r="F3605" i="11"/>
  <c r="F3604" i="11"/>
  <c r="F3603" i="11"/>
  <c r="F3602" i="11"/>
  <c r="F3601" i="11"/>
  <c r="F3600" i="11"/>
  <c r="F3599" i="11"/>
  <c r="F3598" i="11"/>
  <c r="F3597" i="11"/>
  <c r="F3596" i="11"/>
  <c r="F3595" i="11"/>
  <c r="F3594" i="11"/>
  <c r="F3593" i="11"/>
  <c r="F3592" i="11"/>
  <c r="F3591" i="11"/>
  <c r="F3590" i="11"/>
  <c r="F3589" i="11"/>
  <c r="F3588" i="11"/>
  <c r="F3587" i="11"/>
  <c r="F3586" i="11"/>
  <c r="F3585" i="11"/>
  <c r="F3584" i="11"/>
  <c r="F3583" i="11"/>
  <c r="F3582" i="11"/>
  <c r="F3581" i="11"/>
  <c r="F3580" i="11"/>
  <c r="F3579" i="11"/>
  <c r="F3578" i="11"/>
  <c r="F3577" i="11"/>
  <c r="F3576" i="11"/>
  <c r="F3575" i="11"/>
  <c r="F3574" i="11"/>
  <c r="F3573" i="11"/>
  <c r="F3572" i="11"/>
  <c r="F3571" i="11"/>
  <c r="F3570" i="11"/>
  <c r="F3569" i="11"/>
  <c r="F3568" i="11"/>
  <c r="F3567" i="11"/>
  <c r="F3566" i="11"/>
  <c r="F3565" i="11"/>
  <c r="F3564" i="11"/>
  <c r="F3563" i="11"/>
  <c r="F3562" i="11"/>
  <c r="F3561" i="11"/>
  <c r="F3560" i="11"/>
  <c r="F3559" i="11"/>
  <c r="F3558" i="11"/>
  <c r="F3557" i="11"/>
  <c r="F3556" i="11"/>
  <c r="F3555" i="11"/>
  <c r="F3554" i="11"/>
  <c r="F3553" i="11"/>
  <c r="F3552" i="11"/>
  <c r="F3551" i="11"/>
  <c r="F3550" i="11"/>
  <c r="F3549" i="11"/>
  <c r="F3548" i="11"/>
  <c r="F3547" i="11"/>
  <c r="F3546" i="11"/>
  <c r="F3545" i="11"/>
  <c r="F3544" i="11"/>
  <c r="F3543" i="11"/>
  <c r="F3542" i="11"/>
  <c r="F3541" i="11"/>
  <c r="F3540" i="11"/>
  <c r="F3539" i="11"/>
  <c r="F3538" i="11"/>
  <c r="F3537" i="11"/>
  <c r="F3536" i="11"/>
  <c r="F3535" i="11"/>
  <c r="F3534" i="11"/>
  <c r="F3533" i="11"/>
  <c r="F3532" i="11"/>
  <c r="F3531" i="11"/>
  <c r="F3530" i="11"/>
  <c r="F3529" i="11"/>
  <c r="F3528" i="11"/>
  <c r="F3527" i="11"/>
  <c r="F3526" i="11"/>
  <c r="F3525" i="11"/>
  <c r="F3524" i="11"/>
  <c r="F3523" i="11"/>
  <c r="F3522" i="11"/>
  <c r="F3521" i="11"/>
  <c r="F3520" i="11"/>
  <c r="F3519" i="11"/>
  <c r="F3518" i="11"/>
  <c r="F3517" i="11"/>
  <c r="F3516" i="11"/>
  <c r="F3515" i="11"/>
  <c r="F3514" i="11"/>
  <c r="F3513" i="11"/>
  <c r="F3512" i="11"/>
  <c r="F3511" i="11"/>
  <c r="F3510" i="11"/>
  <c r="F3509" i="11"/>
  <c r="F3508" i="11"/>
  <c r="F3507" i="11"/>
  <c r="F3506" i="11"/>
  <c r="F3505" i="11"/>
  <c r="F3504" i="11"/>
  <c r="F3503" i="11"/>
  <c r="F3502" i="11"/>
  <c r="F3501" i="11"/>
  <c r="F3500" i="11"/>
  <c r="F3499" i="11"/>
  <c r="F3498" i="11"/>
  <c r="F3497" i="11"/>
  <c r="F3496" i="11"/>
  <c r="F3495" i="11"/>
  <c r="F3494" i="11"/>
  <c r="F3493" i="11"/>
  <c r="F3492" i="11"/>
  <c r="F3491" i="11"/>
  <c r="F3490" i="11"/>
  <c r="F3489" i="11"/>
  <c r="F3488" i="11"/>
  <c r="F3487" i="11"/>
  <c r="F3486" i="11"/>
  <c r="F3485" i="11"/>
  <c r="F3484" i="11"/>
  <c r="F3483" i="11"/>
  <c r="F3482" i="11"/>
  <c r="F3481" i="11"/>
  <c r="F3480" i="11"/>
  <c r="F3479" i="11"/>
  <c r="F3478" i="11"/>
  <c r="F3477" i="11"/>
  <c r="F3476" i="11"/>
  <c r="F3475" i="11"/>
  <c r="F3474" i="11"/>
  <c r="F3473" i="11"/>
  <c r="F3472" i="11"/>
  <c r="F3471" i="11"/>
  <c r="F3470" i="11"/>
  <c r="F3469" i="11"/>
  <c r="F3468" i="11"/>
  <c r="F3467" i="11"/>
  <c r="F3466" i="11"/>
  <c r="F3465" i="11"/>
  <c r="F3464" i="11"/>
  <c r="F3463" i="11"/>
  <c r="F3462" i="11"/>
  <c r="F3461" i="11"/>
  <c r="F3460" i="11"/>
  <c r="F3459" i="11"/>
  <c r="F3458" i="11"/>
  <c r="F3457" i="11"/>
  <c r="F3456" i="11"/>
  <c r="F3455" i="11"/>
  <c r="F3454" i="11"/>
  <c r="F3453" i="11"/>
  <c r="F3452" i="11"/>
  <c r="F3451" i="11"/>
  <c r="F3450" i="11"/>
  <c r="F3449" i="11"/>
  <c r="F3448" i="11"/>
  <c r="F3447" i="11"/>
  <c r="F3446" i="11"/>
  <c r="F3445" i="11"/>
  <c r="F3444" i="11"/>
  <c r="F3443" i="11"/>
  <c r="F3442" i="11"/>
  <c r="F3441" i="11"/>
  <c r="F3440" i="11"/>
  <c r="F3439" i="11"/>
  <c r="F3438" i="11"/>
  <c r="F3437" i="11"/>
  <c r="F3436" i="11"/>
  <c r="F3435" i="11"/>
  <c r="F3434" i="11"/>
  <c r="F3433" i="11"/>
  <c r="F3432" i="11"/>
  <c r="F3431" i="11"/>
  <c r="F3430" i="11"/>
  <c r="F3429" i="11"/>
  <c r="F3428" i="11"/>
  <c r="F3427" i="11"/>
  <c r="F3426" i="11"/>
  <c r="F3425" i="11"/>
  <c r="F3424" i="11"/>
  <c r="F3423" i="11"/>
  <c r="F3422" i="11"/>
  <c r="F3421" i="11"/>
  <c r="F3420" i="11"/>
  <c r="F3419" i="11"/>
  <c r="F3418" i="11"/>
  <c r="F3417" i="11"/>
  <c r="F3416" i="11"/>
  <c r="F3415" i="11"/>
  <c r="F3414" i="11"/>
  <c r="F3413" i="11"/>
  <c r="F3412" i="11"/>
  <c r="F3411" i="11"/>
  <c r="F3410" i="11"/>
  <c r="F3409" i="11"/>
  <c r="F3408" i="11"/>
  <c r="F3407" i="11"/>
  <c r="F3406" i="11"/>
  <c r="F3405" i="11"/>
  <c r="F3404" i="11"/>
  <c r="F3403" i="11"/>
  <c r="F3402" i="11"/>
  <c r="F3401" i="11"/>
  <c r="F3400" i="11"/>
  <c r="F3399" i="11"/>
  <c r="F3398" i="11"/>
  <c r="F3397" i="11"/>
  <c r="F3396" i="11"/>
  <c r="F3395" i="11"/>
  <c r="F3394" i="11"/>
  <c r="F3393" i="11"/>
  <c r="F3392" i="11"/>
  <c r="F3391" i="11"/>
  <c r="F3390" i="11"/>
  <c r="F3389" i="11"/>
  <c r="F3388" i="11"/>
  <c r="F3387" i="11"/>
  <c r="F3386" i="11"/>
  <c r="F3385" i="11"/>
  <c r="F3384" i="11"/>
  <c r="F3383" i="11"/>
  <c r="F3382" i="11"/>
  <c r="F3381" i="11"/>
  <c r="F3380" i="11"/>
  <c r="F3379" i="11"/>
  <c r="F3378" i="11"/>
  <c r="F3377" i="11"/>
  <c r="F3376" i="11"/>
  <c r="F3375" i="11"/>
  <c r="F3374" i="11"/>
  <c r="F3373" i="11"/>
  <c r="F3372" i="11"/>
  <c r="F3371" i="11"/>
  <c r="F3370" i="11"/>
  <c r="F3369" i="11"/>
  <c r="F3368" i="11"/>
  <c r="F3367" i="11"/>
  <c r="F3366" i="11"/>
  <c r="F3365" i="11"/>
  <c r="F3364" i="11"/>
  <c r="F3363" i="11"/>
  <c r="F3362" i="11"/>
  <c r="F3361" i="11"/>
  <c r="F3360" i="11"/>
  <c r="F3359" i="11"/>
  <c r="F3358" i="11"/>
  <c r="F3357" i="11"/>
  <c r="F3356" i="11"/>
  <c r="F3355" i="11"/>
  <c r="F3354" i="11"/>
  <c r="F3353" i="11"/>
  <c r="F3352" i="11"/>
  <c r="F3351" i="11"/>
  <c r="F3350" i="11"/>
  <c r="F3349" i="11"/>
  <c r="F3348" i="11"/>
  <c r="F3347" i="11"/>
  <c r="F3346" i="11"/>
  <c r="F3345" i="11"/>
  <c r="F3344" i="11"/>
  <c r="F3343" i="11"/>
  <c r="F3342" i="11"/>
  <c r="F3341" i="11"/>
  <c r="F3340" i="11"/>
  <c r="F3339" i="11"/>
  <c r="F3338" i="11"/>
  <c r="F3337" i="11"/>
  <c r="F3336" i="11"/>
  <c r="F3335" i="11"/>
  <c r="F3334" i="11"/>
  <c r="F3333" i="11"/>
  <c r="F3332" i="11"/>
  <c r="F3331" i="11"/>
  <c r="F3330" i="11"/>
  <c r="F3329" i="11"/>
  <c r="F3328" i="11"/>
  <c r="F3327" i="11"/>
  <c r="F3326" i="11"/>
  <c r="F3325" i="11"/>
  <c r="F3324" i="11"/>
  <c r="F3323" i="11"/>
  <c r="F3322" i="11"/>
  <c r="F3321" i="11"/>
  <c r="F3320" i="11"/>
  <c r="F3319" i="11"/>
  <c r="F3318" i="11"/>
  <c r="F3317" i="11"/>
  <c r="F3316" i="11"/>
  <c r="F3315" i="11"/>
  <c r="F3314" i="11"/>
  <c r="F3313" i="11"/>
  <c r="F3312" i="11"/>
  <c r="F3311" i="11"/>
  <c r="F3310" i="11"/>
  <c r="F3309" i="11"/>
  <c r="F3308" i="11"/>
  <c r="F3307" i="11"/>
  <c r="F3306" i="11"/>
  <c r="F3305" i="11"/>
  <c r="F3304" i="11"/>
  <c r="F3303" i="11"/>
  <c r="F3302" i="11"/>
  <c r="F3301" i="11"/>
  <c r="F3300" i="11"/>
  <c r="F3299" i="11"/>
  <c r="F3298" i="11"/>
  <c r="F3297" i="11"/>
  <c r="F3296" i="11"/>
  <c r="F3295" i="11"/>
  <c r="F3294" i="11"/>
  <c r="F3293" i="11"/>
  <c r="F3292" i="11"/>
  <c r="F3291" i="11"/>
  <c r="F3290" i="11"/>
  <c r="F3289" i="11"/>
  <c r="F3288" i="11"/>
  <c r="F3287" i="11"/>
  <c r="F3286" i="11"/>
  <c r="F3285" i="11"/>
  <c r="F3284" i="11"/>
  <c r="F3283" i="11"/>
  <c r="F3282" i="11"/>
  <c r="F3281" i="11"/>
  <c r="F3280" i="11"/>
  <c r="F3279" i="11"/>
  <c r="F3278" i="11"/>
  <c r="F3277" i="11"/>
  <c r="F3276" i="11"/>
  <c r="F3275" i="11"/>
  <c r="F3274" i="11"/>
  <c r="F3273" i="11"/>
  <c r="F3272" i="11"/>
  <c r="F3271" i="11"/>
  <c r="F3270" i="11"/>
  <c r="F3269" i="11"/>
  <c r="F3268" i="11"/>
  <c r="F3267" i="11"/>
  <c r="F3266" i="11"/>
  <c r="F3265" i="11"/>
  <c r="F3264" i="11"/>
  <c r="F3263" i="11"/>
  <c r="F3262" i="11"/>
  <c r="F3261" i="11"/>
  <c r="F3260" i="11"/>
  <c r="F3259" i="11"/>
  <c r="F3258" i="11"/>
  <c r="F3257" i="11"/>
  <c r="F3256" i="11"/>
  <c r="F3255" i="11"/>
  <c r="F3254" i="11"/>
  <c r="F3253" i="11"/>
  <c r="F3252" i="11"/>
  <c r="F3251" i="11"/>
  <c r="F3250" i="11"/>
  <c r="F3249" i="11"/>
  <c r="F3248" i="11"/>
  <c r="F3247" i="11"/>
  <c r="F3246" i="11"/>
  <c r="F3245" i="11"/>
  <c r="F3244" i="11"/>
  <c r="F3243" i="11"/>
  <c r="F3242" i="11"/>
  <c r="F3241" i="11"/>
  <c r="F3240" i="11"/>
  <c r="F3239" i="11"/>
  <c r="F3238" i="11"/>
  <c r="F3237" i="11"/>
  <c r="F3236" i="11"/>
  <c r="F3235" i="11"/>
  <c r="F3234" i="11"/>
  <c r="F3233" i="11"/>
  <c r="F3232" i="11"/>
  <c r="F3231" i="11"/>
  <c r="F3230" i="11"/>
  <c r="F3229" i="11"/>
  <c r="F3228" i="11"/>
  <c r="F3227" i="11"/>
  <c r="F3226" i="11"/>
  <c r="F3225" i="11"/>
  <c r="F3224" i="11"/>
  <c r="F3223" i="11"/>
  <c r="F3222" i="11"/>
  <c r="F3221" i="11"/>
  <c r="F3220" i="11"/>
  <c r="F3219" i="11"/>
  <c r="F3218" i="11"/>
  <c r="F3217" i="11"/>
  <c r="F3216" i="11"/>
  <c r="F3215" i="11"/>
  <c r="F3214" i="11"/>
  <c r="F3213" i="11"/>
  <c r="F3212" i="11"/>
  <c r="F3211" i="11"/>
  <c r="F3210" i="11"/>
  <c r="F3209" i="11"/>
  <c r="F3208" i="11"/>
  <c r="F3207" i="11"/>
  <c r="F3206" i="11"/>
  <c r="F3205" i="11"/>
  <c r="F3204" i="11"/>
  <c r="F3203" i="11"/>
  <c r="F3202" i="11"/>
  <c r="F3201" i="11"/>
  <c r="F3200" i="11"/>
  <c r="F3199" i="11"/>
  <c r="F3198" i="11"/>
  <c r="F3197" i="11"/>
  <c r="F3196" i="11"/>
  <c r="F3195" i="11"/>
  <c r="F3194" i="11"/>
  <c r="F3193" i="11"/>
  <c r="F3192" i="11"/>
  <c r="F3191" i="11"/>
  <c r="F3190" i="11"/>
  <c r="F3189" i="11"/>
  <c r="F3188" i="11"/>
  <c r="F3187" i="11"/>
  <c r="F3186" i="11"/>
  <c r="F3185" i="11"/>
  <c r="F3184" i="11"/>
  <c r="F3183" i="11"/>
  <c r="F3182" i="11"/>
  <c r="F3181" i="11"/>
  <c r="F3180" i="11"/>
  <c r="F3179" i="11"/>
  <c r="F3178" i="11"/>
  <c r="F3177" i="11"/>
  <c r="F3176" i="11"/>
  <c r="F3175" i="11"/>
  <c r="F3174" i="11"/>
  <c r="F3173" i="11"/>
  <c r="F3172" i="11"/>
  <c r="F3171" i="11"/>
  <c r="F3170" i="11"/>
  <c r="F3169" i="11"/>
  <c r="F3168" i="11"/>
  <c r="F3167" i="11"/>
  <c r="F3166" i="11"/>
  <c r="F3165" i="11"/>
  <c r="F3164" i="11"/>
  <c r="F3163" i="11"/>
  <c r="F3162" i="11"/>
  <c r="F3161" i="11"/>
  <c r="F3160" i="11"/>
  <c r="F3159" i="11"/>
  <c r="F3158" i="11"/>
  <c r="F3157" i="11"/>
  <c r="F3156" i="11"/>
  <c r="F3155" i="11"/>
  <c r="F3154" i="11"/>
  <c r="F3153" i="11"/>
  <c r="F3152" i="11"/>
  <c r="F3151" i="11"/>
  <c r="F3150" i="11"/>
  <c r="F3149" i="11"/>
  <c r="F3148" i="11"/>
  <c r="F3147" i="11"/>
  <c r="F3146" i="11"/>
  <c r="F3145" i="11"/>
  <c r="F3144" i="11"/>
  <c r="F3143" i="11"/>
  <c r="F3142" i="11"/>
  <c r="F3141" i="11"/>
  <c r="F3140" i="11"/>
  <c r="F3139" i="11"/>
  <c r="F3138" i="11"/>
  <c r="F3137" i="11"/>
  <c r="F3136" i="11"/>
  <c r="F3135" i="11"/>
  <c r="F3134" i="11"/>
  <c r="F3133" i="11"/>
  <c r="F3132" i="11"/>
  <c r="F3131" i="11"/>
  <c r="F3130" i="11"/>
  <c r="F3129" i="11"/>
  <c r="F3128" i="11"/>
  <c r="F3127" i="11"/>
  <c r="F3126" i="11"/>
  <c r="F3125" i="11"/>
  <c r="F3124" i="11"/>
  <c r="F3123" i="11"/>
  <c r="F3122" i="11"/>
  <c r="F3121" i="11"/>
  <c r="F3120" i="11"/>
  <c r="F3119" i="11"/>
  <c r="F3118" i="11"/>
  <c r="F3117" i="11"/>
  <c r="F3116" i="11"/>
  <c r="F3115" i="11"/>
  <c r="F3114" i="11"/>
  <c r="F3113" i="11"/>
  <c r="F3112" i="11"/>
  <c r="F3111" i="11"/>
  <c r="F3110" i="11"/>
  <c r="F3109" i="11"/>
  <c r="F3108" i="11"/>
  <c r="F3107" i="11"/>
  <c r="F3106" i="11"/>
  <c r="F3105" i="11"/>
  <c r="F3104" i="11"/>
  <c r="F3103" i="11"/>
  <c r="F3102" i="11"/>
  <c r="F3101" i="11"/>
  <c r="F3100" i="11"/>
  <c r="F3099" i="11"/>
  <c r="F3098" i="11"/>
  <c r="F3097" i="11"/>
  <c r="F3096" i="11"/>
  <c r="F3095" i="11"/>
  <c r="F3094" i="11"/>
  <c r="F3093" i="11"/>
  <c r="F3092" i="11"/>
  <c r="F3091" i="11"/>
  <c r="F3090" i="11"/>
  <c r="F3089" i="11"/>
  <c r="F3088" i="11"/>
  <c r="F3087" i="11"/>
  <c r="F3086" i="11"/>
  <c r="F3085" i="11"/>
  <c r="F3084" i="11"/>
  <c r="F3083" i="11"/>
  <c r="F3082" i="11"/>
  <c r="F3081" i="11"/>
  <c r="F3080" i="11"/>
  <c r="F3079" i="11"/>
  <c r="F3078" i="11"/>
  <c r="F3077" i="11"/>
  <c r="F3076" i="11"/>
  <c r="F3075" i="11"/>
  <c r="F3074" i="11"/>
  <c r="F3073" i="11"/>
  <c r="F3072" i="11"/>
  <c r="F3071" i="11"/>
  <c r="F3070" i="11"/>
  <c r="F3069" i="11"/>
  <c r="F3068" i="11"/>
  <c r="F3067" i="11"/>
  <c r="F3066" i="11"/>
  <c r="F3065" i="11"/>
  <c r="F3064" i="11"/>
  <c r="F3063" i="11"/>
  <c r="F3062" i="11"/>
  <c r="F3061" i="11"/>
  <c r="F3060" i="11"/>
  <c r="F3059" i="11"/>
  <c r="F3058" i="11"/>
  <c r="F3057" i="11"/>
  <c r="F3056" i="11"/>
  <c r="F3055" i="11"/>
  <c r="F3054" i="11"/>
  <c r="F3053" i="11"/>
  <c r="F3052" i="11"/>
  <c r="F3051" i="11"/>
  <c r="F3050" i="11"/>
  <c r="F3049" i="11"/>
  <c r="F3048" i="11"/>
  <c r="F3047" i="11"/>
  <c r="F3046" i="11"/>
  <c r="F3045" i="11"/>
  <c r="F3044" i="11"/>
  <c r="F3043" i="11"/>
  <c r="F3042" i="11"/>
  <c r="F3041" i="11"/>
  <c r="F3040" i="11"/>
  <c r="F3039" i="11"/>
  <c r="F3038" i="11"/>
  <c r="F3037" i="11"/>
  <c r="F3036" i="11"/>
  <c r="F3035" i="11"/>
  <c r="F3034" i="11"/>
  <c r="F3033" i="11"/>
  <c r="F3032" i="11"/>
  <c r="F3031" i="11"/>
  <c r="F3030" i="11"/>
  <c r="F3029" i="11"/>
  <c r="F3028" i="11"/>
  <c r="F3027" i="11"/>
  <c r="F3026" i="11"/>
  <c r="F3025" i="11"/>
  <c r="F3024" i="11"/>
  <c r="F3023" i="11"/>
  <c r="F3022" i="11"/>
  <c r="F3021" i="11"/>
  <c r="F3020" i="11"/>
  <c r="F3019" i="11"/>
  <c r="F3018" i="11"/>
  <c r="F3017" i="11"/>
  <c r="F3016" i="11"/>
  <c r="F3015" i="11"/>
  <c r="F3014" i="11"/>
  <c r="F3013" i="11"/>
  <c r="F3012" i="11"/>
  <c r="F3011" i="11"/>
  <c r="F3010" i="11"/>
  <c r="F3009" i="11"/>
  <c r="F3008" i="11"/>
  <c r="F3007" i="11"/>
  <c r="F3006" i="11"/>
  <c r="F3005" i="11"/>
  <c r="F3004" i="11"/>
  <c r="F3003" i="11"/>
  <c r="F3002" i="11"/>
  <c r="F3001" i="11"/>
  <c r="F3000" i="11"/>
  <c r="F2999" i="11"/>
  <c r="F2998" i="11"/>
  <c r="F2997" i="11"/>
  <c r="F2996" i="11"/>
  <c r="F2995" i="11"/>
  <c r="F2994" i="11"/>
  <c r="F2993" i="11"/>
  <c r="F2992" i="11"/>
  <c r="F2991" i="11"/>
  <c r="F2990" i="11"/>
  <c r="F2989" i="11"/>
  <c r="F2988" i="11"/>
  <c r="F2987" i="11"/>
  <c r="F2986" i="11"/>
  <c r="F2985" i="11"/>
  <c r="F2984" i="11"/>
  <c r="F2983" i="11"/>
  <c r="F2982" i="11"/>
  <c r="F2981" i="11"/>
  <c r="F2980" i="11"/>
  <c r="F2979" i="11"/>
  <c r="F2978" i="11"/>
  <c r="F2977" i="11"/>
  <c r="F2976" i="11"/>
  <c r="F2975" i="11"/>
  <c r="F2974" i="11"/>
  <c r="F2973" i="11"/>
  <c r="F2972" i="11"/>
  <c r="F2971" i="11"/>
  <c r="F2970" i="11"/>
  <c r="F2969" i="11"/>
  <c r="F2968" i="11"/>
  <c r="F2967" i="11"/>
  <c r="F2966" i="11"/>
  <c r="F2965" i="11"/>
  <c r="F2964" i="11"/>
  <c r="F2963" i="11"/>
  <c r="F2962" i="11"/>
  <c r="F2961" i="11"/>
  <c r="F2960" i="11"/>
  <c r="F2959" i="11"/>
  <c r="F2958" i="11"/>
  <c r="F2957" i="11"/>
  <c r="F2956" i="11"/>
  <c r="F2955" i="11"/>
  <c r="F2954" i="11"/>
  <c r="F2953" i="11"/>
  <c r="F2952" i="11"/>
  <c r="F2951" i="11"/>
  <c r="F2950" i="11"/>
  <c r="F2949" i="11"/>
  <c r="F2948" i="11"/>
  <c r="F2947" i="11"/>
  <c r="F2946" i="11"/>
  <c r="F2945" i="11"/>
  <c r="F2944" i="11"/>
  <c r="F2943" i="11"/>
  <c r="F2942" i="11"/>
  <c r="F2941" i="11"/>
  <c r="F2940" i="11"/>
  <c r="F2939" i="11"/>
  <c r="F2938" i="11"/>
  <c r="F2937" i="11"/>
  <c r="F2936" i="11"/>
  <c r="F2935" i="11"/>
  <c r="F2934" i="11"/>
  <c r="F2933" i="11"/>
  <c r="F2932" i="11"/>
  <c r="F2931" i="11"/>
  <c r="F2930" i="11"/>
  <c r="F2929" i="11"/>
  <c r="F2928" i="11"/>
  <c r="F2927" i="11"/>
  <c r="F2926" i="11"/>
  <c r="F2925" i="11"/>
  <c r="F2924" i="11"/>
  <c r="F2923" i="11"/>
  <c r="F2922" i="11"/>
  <c r="F2921" i="11"/>
  <c r="F2920" i="11"/>
  <c r="F2919" i="11"/>
  <c r="F2918" i="11"/>
  <c r="F2917" i="11"/>
  <c r="F2916" i="11"/>
  <c r="F2915" i="11"/>
  <c r="F2914" i="11"/>
  <c r="F2913" i="11"/>
  <c r="F2912" i="11"/>
  <c r="F2911" i="11"/>
  <c r="F2910" i="11"/>
  <c r="F2909" i="11"/>
  <c r="F2908" i="11"/>
  <c r="F2907" i="11"/>
  <c r="F2906" i="11"/>
  <c r="F2905" i="11"/>
  <c r="F2904" i="11"/>
  <c r="F2903" i="11"/>
  <c r="F2902" i="11"/>
  <c r="F2901" i="11"/>
  <c r="F2900" i="11"/>
  <c r="F2899" i="11"/>
  <c r="F2898" i="11"/>
  <c r="F2897" i="11"/>
  <c r="F2896" i="11"/>
  <c r="F2895" i="11"/>
  <c r="F2894" i="11"/>
  <c r="F2893" i="11"/>
  <c r="F2892" i="11"/>
  <c r="F2891" i="11"/>
  <c r="F2890" i="11"/>
  <c r="F2889" i="11"/>
  <c r="F2888" i="11"/>
  <c r="F2887" i="11"/>
  <c r="F2886" i="11"/>
  <c r="F2885" i="11"/>
  <c r="F2884" i="11"/>
  <c r="F2883" i="11"/>
  <c r="F2882" i="11"/>
  <c r="F2881" i="11"/>
  <c r="F2880" i="11"/>
  <c r="F2879" i="11"/>
  <c r="F2878" i="11"/>
  <c r="F2877" i="11"/>
  <c r="F2876" i="11"/>
  <c r="F2875" i="11"/>
  <c r="F2874" i="11"/>
  <c r="F2873" i="11"/>
  <c r="F2872" i="11"/>
  <c r="F2871" i="11"/>
  <c r="F2870" i="11"/>
  <c r="F2869" i="11"/>
  <c r="F2868" i="11"/>
  <c r="F2867" i="11"/>
  <c r="F2866" i="11"/>
  <c r="F2865" i="11"/>
  <c r="F2864" i="11"/>
  <c r="F2863" i="11"/>
  <c r="F2862" i="11"/>
  <c r="F2861" i="11"/>
  <c r="F2860" i="11"/>
  <c r="F2859" i="11"/>
  <c r="F2858" i="11"/>
  <c r="F2857" i="11"/>
  <c r="F2856" i="11"/>
  <c r="F2855" i="11"/>
  <c r="F2854" i="11"/>
  <c r="F2853" i="11"/>
  <c r="F2852" i="11"/>
  <c r="F2851" i="11"/>
  <c r="F2850" i="11"/>
  <c r="F2849" i="11"/>
  <c r="F2848" i="11"/>
  <c r="F2847" i="11"/>
  <c r="F2846" i="11"/>
  <c r="F2845" i="11"/>
  <c r="F2844" i="11"/>
  <c r="F2843" i="11"/>
  <c r="F2842" i="11"/>
  <c r="F2841" i="11"/>
  <c r="F2840" i="11"/>
  <c r="F2839" i="11"/>
  <c r="F2838" i="11"/>
  <c r="F2837" i="11"/>
  <c r="F2836" i="11"/>
  <c r="F2835" i="11"/>
  <c r="F2834" i="11"/>
  <c r="F2833" i="11"/>
  <c r="F2832" i="11"/>
  <c r="F2831" i="11"/>
  <c r="F2830" i="11"/>
  <c r="F2829" i="11"/>
  <c r="F2828" i="11"/>
  <c r="F2827" i="11"/>
  <c r="F2826" i="11"/>
  <c r="F2825" i="11"/>
  <c r="F2824" i="11"/>
  <c r="F2823" i="11"/>
  <c r="F2822" i="11"/>
  <c r="F2821" i="11"/>
  <c r="F2820" i="11"/>
  <c r="F2819" i="11"/>
  <c r="F2818" i="11"/>
  <c r="F2817" i="11"/>
  <c r="F2816" i="11"/>
  <c r="F2815" i="11"/>
  <c r="F2814" i="11"/>
  <c r="F2813" i="11"/>
  <c r="F2812" i="11"/>
  <c r="F2811" i="11"/>
  <c r="F2810" i="11"/>
  <c r="F2809" i="11"/>
  <c r="F2808" i="11"/>
  <c r="F2807" i="11"/>
  <c r="F2806" i="11"/>
  <c r="F2805" i="11"/>
  <c r="F2804" i="11"/>
  <c r="F2803" i="11"/>
  <c r="F2802" i="11"/>
  <c r="F2801" i="11"/>
  <c r="F2800" i="11"/>
  <c r="F2799" i="11"/>
  <c r="F2798" i="11"/>
  <c r="F2797" i="11"/>
  <c r="F2796" i="11"/>
  <c r="F2795" i="11"/>
  <c r="F2794" i="11"/>
  <c r="F2793" i="11"/>
  <c r="F2792" i="11"/>
  <c r="F2791" i="11"/>
  <c r="F2790" i="11"/>
  <c r="F2789" i="11"/>
  <c r="F2788" i="11"/>
  <c r="F2787" i="11"/>
  <c r="F2786" i="11"/>
  <c r="F2785" i="11"/>
  <c r="F2784" i="11"/>
  <c r="F2783" i="11"/>
  <c r="F2782" i="11"/>
  <c r="F2781" i="11"/>
  <c r="F2780" i="11"/>
  <c r="F2779" i="11"/>
  <c r="F2778" i="11"/>
  <c r="F2777" i="11"/>
  <c r="F2776" i="11"/>
  <c r="F2775" i="11"/>
  <c r="F2774" i="11"/>
  <c r="F2773" i="11"/>
  <c r="F2772" i="11"/>
  <c r="F2771" i="11"/>
  <c r="F2770" i="11"/>
  <c r="F2769" i="11"/>
  <c r="F2768" i="11"/>
  <c r="F2767" i="11"/>
  <c r="F2766" i="11"/>
  <c r="F2765" i="11"/>
  <c r="F2764" i="11"/>
  <c r="F2763" i="11"/>
  <c r="F2762" i="11"/>
  <c r="F2761" i="11"/>
  <c r="F2760" i="11"/>
  <c r="F2759" i="11"/>
  <c r="F2758" i="11"/>
  <c r="F2757" i="11"/>
  <c r="F2756" i="11"/>
  <c r="F2755" i="11"/>
  <c r="F2754" i="11"/>
  <c r="F2753" i="11"/>
  <c r="F2752" i="11"/>
  <c r="F2751" i="11"/>
  <c r="F2750" i="11"/>
  <c r="F2749" i="11"/>
  <c r="F2748" i="11"/>
  <c r="F2747" i="11"/>
  <c r="F2746" i="11"/>
  <c r="F2745" i="11"/>
  <c r="F2744" i="11"/>
  <c r="F2743" i="11"/>
  <c r="F2742" i="11"/>
  <c r="F2741" i="11"/>
  <c r="F2740" i="11"/>
  <c r="F2739" i="11"/>
  <c r="F2738" i="11"/>
  <c r="F2737" i="11"/>
  <c r="F2736" i="11"/>
  <c r="F2735" i="11"/>
  <c r="F2734" i="11"/>
  <c r="F2733" i="11"/>
  <c r="F2732" i="11"/>
  <c r="F2731" i="11"/>
  <c r="F2730" i="11"/>
  <c r="F2729" i="11"/>
  <c r="F2728" i="11"/>
  <c r="F2727" i="11"/>
  <c r="F2726" i="11"/>
  <c r="F2725" i="11"/>
  <c r="F2724" i="11"/>
  <c r="F2723" i="11"/>
  <c r="F2722" i="11"/>
  <c r="F2721" i="11"/>
  <c r="F2720" i="11"/>
  <c r="F2719" i="11"/>
  <c r="F2718" i="11"/>
  <c r="F2717" i="11"/>
  <c r="F2716" i="11"/>
  <c r="F2715" i="11"/>
  <c r="F2714" i="11"/>
  <c r="F2713" i="11"/>
  <c r="F2712" i="11"/>
  <c r="F2711" i="11"/>
  <c r="F2710" i="11"/>
  <c r="F2709" i="11"/>
  <c r="F2708" i="11"/>
  <c r="F2707" i="11"/>
  <c r="F2706" i="11"/>
  <c r="F2705" i="11"/>
  <c r="F2704" i="11"/>
  <c r="F2703" i="11"/>
  <c r="F2702" i="11"/>
  <c r="F2701" i="11"/>
  <c r="F2700" i="11"/>
  <c r="F2699" i="11"/>
  <c r="F2698" i="11"/>
  <c r="F2697" i="11"/>
  <c r="F2696" i="11"/>
  <c r="F2695" i="11"/>
  <c r="F2694" i="11"/>
  <c r="F2693" i="11"/>
  <c r="F2692" i="11"/>
  <c r="F2691" i="11"/>
  <c r="F2690" i="11"/>
  <c r="F2689" i="11"/>
  <c r="F2688" i="11"/>
  <c r="F2687" i="11"/>
  <c r="F2686" i="11"/>
  <c r="F2685" i="11"/>
  <c r="F2684" i="11"/>
  <c r="F2683" i="11"/>
  <c r="F2682" i="11"/>
  <c r="F2681" i="11"/>
  <c r="F2680" i="11"/>
  <c r="F2679" i="11"/>
  <c r="F2678" i="11"/>
  <c r="F2677" i="11"/>
  <c r="F2676" i="11"/>
  <c r="F2675" i="11"/>
  <c r="F2674" i="11"/>
  <c r="F2673" i="11"/>
  <c r="F2672" i="11"/>
  <c r="F2671" i="11"/>
  <c r="F2670" i="11"/>
  <c r="F2669" i="11"/>
  <c r="F2668" i="11"/>
  <c r="F2667" i="11"/>
  <c r="F2666" i="11"/>
  <c r="F2665" i="11"/>
  <c r="F2664" i="11"/>
  <c r="F2663" i="11"/>
  <c r="F2662" i="11"/>
  <c r="F2661" i="11"/>
  <c r="F2660" i="11"/>
  <c r="F2659" i="11"/>
  <c r="F2658" i="11"/>
  <c r="F2657" i="11"/>
  <c r="F2656" i="11"/>
  <c r="F2655" i="11"/>
  <c r="F2654" i="11"/>
  <c r="F2653" i="11"/>
  <c r="F2652" i="11"/>
  <c r="F2651" i="11"/>
  <c r="F2650" i="11"/>
  <c r="F2649" i="11"/>
  <c r="F2648" i="11"/>
  <c r="F2647" i="11"/>
  <c r="F2646" i="11"/>
  <c r="F2645" i="11"/>
  <c r="F2644" i="11"/>
  <c r="F2643" i="11"/>
  <c r="F2642" i="11"/>
  <c r="F2641" i="11"/>
  <c r="F2640" i="11"/>
  <c r="F2639" i="11"/>
  <c r="F2638" i="11"/>
  <c r="F2637" i="11"/>
  <c r="F2636" i="11"/>
  <c r="F2635" i="11"/>
  <c r="F2634" i="11"/>
  <c r="F2633" i="11"/>
  <c r="F2632" i="11"/>
  <c r="F2631" i="11"/>
  <c r="F2630" i="11"/>
  <c r="F2629" i="11"/>
  <c r="F2628" i="11"/>
  <c r="F2627" i="11"/>
  <c r="F2626" i="11"/>
  <c r="F2625" i="11"/>
  <c r="F2624" i="11"/>
  <c r="F2623" i="11"/>
  <c r="F2622" i="11"/>
  <c r="F2621" i="11"/>
  <c r="F2620" i="11"/>
  <c r="F2619" i="11"/>
  <c r="F2618" i="11"/>
  <c r="F2617" i="11"/>
  <c r="F2616" i="11"/>
  <c r="F2615" i="11"/>
  <c r="F2614" i="11"/>
  <c r="F2613" i="11"/>
  <c r="F2612" i="11"/>
  <c r="F2611" i="11"/>
  <c r="F2610" i="11"/>
  <c r="F2609" i="11"/>
  <c r="F2608" i="11"/>
  <c r="F2607" i="11"/>
  <c r="F2606" i="11"/>
  <c r="F2605" i="11"/>
  <c r="F2604" i="11"/>
  <c r="F2603" i="11"/>
  <c r="F2602" i="11"/>
  <c r="F2601" i="11"/>
  <c r="F2600" i="11"/>
  <c r="F2599" i="11"/>
  <c r="F2598" i="11"/>
  <c r="F2597" i="11"/>
  <c r="F2596" i="11"/>
  <c r="F2595" i="11"/>
  <c r="F2594" i="11"/>
  <c r="F2593" i="11"/>
  <c r="F2592" i="11"/>
  <c r="F2591" i="11"/>
  <c r="F2590" i="11"/>
  <c r="F2589" i="11"/>
  <c r="F2588" i="11"/>
  <c r="F2587" i="11"/>
  <c r="F2586" i="11"/>
  <c r="F2585" i="11"/>
  <c r="F2584" i="11"/>
  <c r="F2583" i="11"/>
  <c r="F2582" i="11"/>
  <c r="F2581" i="11"/>
  <c r="F2580" i="11"/>
  <c r="F2579" i="11"/>
  <c r="F2578" i="11"/>
  <c r="F2577" i="11"/>
  <c r="F2576" i="11"/>
  <c r="F2575" i="11"/>
  <c r="F2574" i="11"/>
  <c r="F2573" i="11"/>
  <c r="F2572" i="11"/>
  <c r="F2571" i="11"/>
  <c r="F2570" i="11"/>
  <c r="F2569" i="11"/>
  <c r="F2568" i="11"/>
  <c r="F2567" i="11"/>
  <c r="F2566" i="11"/>
  <c r="F2565" i="11"/>
  <c r="F2564" i="11"/>
  <c r="F2563" i="11"/>
  <c r="F2562" i="11"/>
  <c r="F2561" i="11"/>
  <c r="F2560" i="11"/>
  <c r="F2559" i="11"/>
  <c r="F2558" i="11"/>
  <c r="F2557" i="11"/>
  <c r="F2556" i="11"/>
  <c r="F2555" i="11"/>
  <c r="F2554" i="11"/>
  <c r="F2553" i="11"/>
  <c r="F2552" i="11"/>
  <c r="F2551" i="11"/>
  <c r="F2550" i="11"/>
  <c r="F2549" i="11"/>
  <c r="F2548" i="11"/>
  <c r="F2547" i="11"/>
  <c r="F2546" i="11"/>
  <c r="F2545" i="11"/>
  <c r="F2544" i="11"/>
  <c r="F2543" i="11"/>
  <c r="F2542" i="11"/>
  <c r="F2541" i="11"/>
  <c r="F2540" i="11"/>
  <c r="F2539" i="11"/>
  <c r="F2538" i="11"/>
  <c r="F2537" i="11"/>
  <c r="F2536" i="11"/>
  <c r="F2535" i="11"/>
  <c r="F2534" i="11"/>
  <c r="F2533" i="11"/>
  <c r="F2532" i="11"/>
  <c r="F2531" i="11"/>
  <c r="F2530" i="11"/>
  <c r="F2529" i="11"/>
  <c r="F2528" i="11"/>
  <c r="F2527" i="11"/>
  <c r="F2526" i="11"/>
  <c r="F2525" i="11"/>
  <c r="F2524" i="11"/>
  <c r="F2523" i="11"/>
  <c r="F2522" i="11"/>
  <c r="F2521" i="11"/>
  <c r="F2520" i="11"/>
  <c r="F2519" i="11"/>
  <c r="F2518" i="11"/>
  <c r="F2517" i="11"/>
  <c r="F2516" i="11"/>
  <c r="F2515" i="11"/>
  <c r="F2514" i="11"/>
  <c r="F2513" i="11"/>
  <c r="F2512" i="11"/>
  <c r="F2511" i="11"/>
  <c r="F2510" i="11"/>
  <c r="F2509" i="11"/>
  <c r="F2508" i="11"/>
  <c r="F2507" i="11"/>
  <c r="F2506" i="11"/>
  <c r="F2505" i="11"/>
  <c r="F2504" i="11"/>
  <c r="F2503" i="11"/>
  <c r="F2502" i="11"/>
  <c r="F2501" i="11"/>
  <c r="F2500" i="11"/>
  <c r="F2499" i="11"/>
  <c r="F2498" i="11"/>
  <c r="F2497" i="11"/>
  <c r="F2496" i="11"/>
  <c r="F2495" i="11"/>
  <c r="F2494" i="11"/>
  <c r="F2493" i="11"/>
  <c r="F2492" i="11"/>
  <c r="F2491" i="11"/>
  <c r="F2490" i="11"/>
  <c r="F2489" i="11"/>
  <c r="F2488" i="11"/>
  <c r="F2487" i="11"/>
  <c r="F2486" i="11"/>
  <c r="F2485" i="11"/>
  <c r="F2484" i="11"/>
  <c r="F2483" i="11"/>
  <c r="F2482" i="11"/>
  <c r="F2481" i="11"/>
  <c r="F2480" i="11"/>
  <c r="F2479" i="11"/>
  <c r="F2478" i="11"/>
  <c r="F2477" i="11"/>
  <c r="F2476" i="11"/>
  <c r="F2475" i="11"/>
  <c r="F2474" i="11"/>
  <c r="F2473" i="11"/>
  <c r="F2472" i="11"/>
  <c r="F2471" i="11"/>
  <c r="F2470" i="11"/>
  <c r="F2469" i="11"/>
  <c r="F2468" i="11"/>
  <c r="F2467" i="11"/>
  <c r="F2466" i="11"/>
  <c r="F2465" i="11"/>
  <c r="F2464" i="11"/>
  <c r="F2463" i="11"/>
  <c r="F2462" i="11"/>
  <c r="F2461" i="11"/>
  <c r="F2460" i="11"/>
  <c r="F2459" i="11"/>
  <c r="F2458" i="11"/>
  <c r="F2457" i="11"/>
  <c r="F2456" i="11"/>
  <c r="F2455" i="11"/>
  <c r="F2454" i="11"/>
  <c r="F2453" i="11"/>
  <c r="F2452" i="11"/>
  <c r="F2451" i="11"/>
  <c r="F2450" i="11"/>
  <c r="F2449" i="11"/>
  <c r="F2448" i="11"/>
  <c r="F2447" i="11"/>
  <c r="F2446" i="11"/>
  <c r="F2445" i="11"/>
  <c r="F2444" i="11"/>
  <c r="F2443" i="11"/>
  <c r="F2442" i="11"/>
  <c r="F2441" i="11"/>
  <c r="F2440" i="11"/>
  <c r="F2439" i="11"/>
  <c r="F2438" i="11"/>
  <c r="F2437" i="11"/>
  <c r="F2436" i="11"/>
  <c r="F2435" i="11"/>
  <c r="F2434" i="11"/>
  <c r="F2433" i="11"/>
  <c r="F2432" i="11"/>
  <c r="F2431" i="11"/>
  <c r="F2430" i="11"/>
  <c r="F2429" i="11"/>
  <c r="F2428" i="11"/>
  <c r="F2427" i="11"/>
  <c r="F2426" i="11"/>
  <c r="F2425" i="11"/>
  <c r="F2424" i="11"/>
  <c r="F2423" i="11"/>
  <c r="F2422" i="11"/>
  <c r="F2421" i="11"/>
  <c r="F2420" i="11"/>
  <c r="F2419" i="11"/>
  <c r="F2418" i="11"/>
  <c r="F2417" i="11"/>
  <c r="F2416" i="11"/>
  <c r="F2415" i="11"/>
  <c r="F2414" i="11"/>
  <c r="F2413" i="11"/>
  <c r="F2412" i="11"/>
  <c r="F2411" i="11"/>
  <c r="F2410" i="11"/>
  <c r="F2409" i="11"/>
  <c r="F2408" i="11"/>
  <c r="F2407" i="11"/>
  <c r="F2406" i="11"/>
  <c r="F2405" i="11"/>
  <c r="F2404" i="11"/>
  <c r="F2403" i="11"/>
  <c r="F2402" i="11"/>
  <c r="F2401" i="11"/>
  <c r="F2400" i="11"/>
  <c r="F2399" i="11"/>
  <c r="F2398" i="11"/>
  <c r="F2397" i="11"/>
  <c r="F2396" i="11"/>
  <c r="F2395" i="11"/>
  <c r="F2394" i="11"/>
  <c r="F2393" i="11"/>
  <c r="F2392" i="11"/>
  <c r="F2391" i="11"/>
  <c r="F2390" i="11"/>
  <c r="F2389" i="11"/>
  <c r="F2388" i="11"/>
  <c r="F2387" i="11"/>
  <c r="F2386" i="11"/>
  <c r="F2385" i="11"/>
  <c r="F2384" i="11"/>
  <c r="F2383" i="11"/>
  <c r="F2382" i="11"/>
  <c r="F2381" i="11"/>
  <c r="F2380" i="11"/>
  <c r="F2379" i="11"/>
  <c r="F2378" i="11"/>
  <c r="F2377" i="11"/>
  <c r="F2376" i="11"/>
  <c r="F2375" i="11"/>
  <c r="F2374" i="11"/>
  <c r="F2373" i="11"/>
  <c r="F2372" i="11"/>
  <c r="F2371" i="11"/>
  <c r="F2370" i="11"/>
  <c r="F2369" i="11"/>
  <c r="F2368" i="11"/>
  <c r="F2367" i="11"/>
  <c r="F2366" i="11"/>
  <c r="F2365" i="11"/>
  <c r="F2364" i="11"/>
  <c r="F2363" i="11"/>
  <c r="F2362" i="11"/>
  <c r="F2361" i="11"/>
  <c r="F2360" i="11"/>
  <c r="F2359" i="11"/>
  <c r="F2358" i="11"/>
  <c r="F2357" i="11"/>
  <c r="F2356" i="11"/>
  <c r="F2355" i="11"/>
  <c r="F2354" i="11"/>
  <c r="F2353" i="11"/>
  <c r="F2352" i="11"/>
  <c r="F2351" i="11"/>
  <c r="F2350" i="11"/>
  <c r="F2349" i="11"/>
  <c r="F2348" i="11"/>
  <c r="F2347" i="11"/>
  <c r="F2346" i="11"/>
  <c r="F2345" i="11"/>
  <c r="F2344" i="11"/>
  <c r="F2343" i="11"/>
  <c r="F2342" i="11"/>
  <c r="F2341" i="11"/>
  <c r="F2340" i="11"/>
  <c r="F2339" i="11"/>
  <c r="F2338" i="11"/>
  <c r="F2337" i="11"/>
  <c r="F2336" i="11"/>
  <c r="F2335" i="11"/>
  <c r="F2334" i="11"/>
  <c r="F2333" i="11"/>
  <c r="F2332" i="11"/>
  <c r="F2331" i="11"/>
  <c r="F2330" i="11"/>
  <c r="F2329" i="11"/>
  <c r="F2328" i="11"/>
  <c r="F2327" i="11"/>
  <c r="F2326" i="11"/>
  <c r="F2325" i="11"/>
  <c r="F2324" i="11"/>
  <c r="F2323" i="11"/>
  <c r="F2322" i="11"/>
  <c r="F2321" i="11"/>
  <c r="F2320" i="11"/>
  <c r="F2319" i="11"/>
  <c r="F2318" i="11"/>
  <c r="F2317" i="11"/>
  <c r="F2316" i="11"/>
  <c r="F2315" i="11"/>
  <c r="F2314" i="11"/>
  <c r="F2313" i="11"/>
  <c r="F2312" i="11"/>
  <c r="F2311" i="11"/>
  <c r="F2310" i="11"/>
  <c r="F2309" i="11"/>
  <c r="F2308" i="11"/>
  <c r="F2307" i="11"/>
  <c r="F2306" i="11"/>
  <c r="F2305" i="11"/>
  <c r="F2304" i="11"/>
  <c r="F2303" i="11"/>
  <c r="F2302" i="11"/>
  <c r="F2301" i="11"/>
  <c r="F2300" i="11"/>
  <c r="F2299" i="11"/>
  <c r="F2298" i="11"/>
  <c r="F2297" i="11"/>
  <c r="F2296" i="11"/>
  <c r="F2295" i="11"/>
  <c r="F2294" i="11"/>
  <c r="F2293" i="11"/>
  <c r="F2292" i="11"/>
  <c r="F2291" i="11"/>
  <c r="F2290" i="11"/>
  <c r="F2289" i="11"/>
  <c r="F2288" i="11"/>
  <c r="F2287" i="11"/>
  <c r="F2286" i="11"/>
  <c r="F2285" i="11"/>
  <c r="F2284" i="11"/>
  <c r="F2283" i="11"/>
  <c r="F2282" i="11"/>
  <c r="F2281" i="11"/>
  <c r="F2280" i="11"/>
  <c r="F2279" i="11"/>
  <c r="F2278" i="11"/>
  <c r="F2277" i="11"/>
  <c r="F2276" i="11"/>
  <c r="F2275" i="11"/>
  <c r="F2274" i="11"/>
  <c r="F2273" i="11"/>
  <c r="F2272" i="11"/>
  <c r="F2271" i="11"/>
  <c r="F2270" i="11"/>
  <c r="F2269" i="11"/>
  <c r="F2268" i="11"/>
  <c r="F2267" i="11"/>
  <c r="F2266" i="11"/>
  <c r="F2265" i="11"/>
  <c r="F2264" i="11"/>
  <c r="F2263" i="11"/>
  <c r="F2262" i="11"/>
  <c r="F2261" i="11"/>
  <c r="F2260" i="11"/>
  <c r="F2259" i="11"/>
  <c r="F2258" i="11"/>
  <c r="F2257" i="11"/>
  <c r="F2256" i="11"/>
  <c r="F2255" i="11"/>
  <c r="F2254" i="11"/>
  <c r="F2253" i="11"/>
  <c r="F2252" i="11"/>
  <c r="F2251" i="11"/>
  <c r="F2250" i="11"/>
  <c r="F2249" i="11"/>
  <c r="F2248" i="11"/>
  <c r="F2247" i="11"/>
  <c r="F2246" i="11"/>
  <c r="F2245" i="11"/>
  <c r="F2244" i="11"/>
  <c r="F2243" i="11"/>
  <c r="F2242" i="11"/>
  <c r="F2241" i="11"/>
  <c r="F2240" i="11"/>
  <c r="F2239" i="11"/>
  <c r="F2238" i="11"/>
  <c r="F2237" i="11"/>
  <c r="F2236" i="11"/>
  <c r="F2235" i="11"/>
  <c r="F2234" i="11"/>
  <c r="F2233" i="11"/>
  <c r="F2232" i="11"/>
  <c r="F2231" i="11"/>
  <c r="F2230" i="11"/>
  <c r="F2229" i="11"/>
  <c r="F2228" i="11"/>
  <c r="F2227" i="11"/>
  <c r="F2226" i="11"/>
  <c r="F2225" i="11"/>
  <c r="F2224" i="11"/>
  <c r="F2223" i="11"/>
  <c r="F2222" i="11"/>
  <c r="F2221" i="11"/>
  <c r="F2220" i="11"/>
  <c r="F2219" i="11"/>
  <c r="F2218" i="11"/>
  <c r="F2217" i="11"/>
  <c r="F2216" i="11"/>
  <c r="F2215" i="11"/>
  <c r="F2214" i="11"/>
  <c r="F2213" i="11"/>
  <c r="F2212" i="11"/>
  <c r="F2211" i="11"/>
  <c r="F2210" i="11"/>
  <c r="F2209" i="11"/>
  <c r="F2208" i="11"/>
  <c r="F2207" i="11"/>
  <c r="F2206" i="11"/>
  <c r="F2205" i="11"/>
  <c r="F2204" i="11"/>
  <c r="F2203" i="11"/>
  <c r="F2202" i="11"/>
  <c r="F2201" i="11"/>
  <c r="F2200" i="11"/>
  <c r="F2199" i="11"/>
  <c r="F2198" i="11"/>
  <c r="F2197" i="11"/>
  <c r="F2196" i="11"/>
  <c r="F2195" i="11"/>
  <c r="F2194" i="11"/>
  <c r="F2193" i="11"/>
  <c r="F2192" i="11"/>
  <c r="F2191" i="11"/>
  <c r="F2190" i="11"/>
  <c r="F2189" i="11"/>
  <c r="F2188" i="11"/>
  <c r="F2187" i="11"/>
  <c r="F2186" i="11"/>
  <c r="F2185" i="11"/>
  <c r="F2184" i="11"/>
  <c r="F2183" i="11"/>
  <c r="F2182" i="11"/>
  <c r="F2181" i="11"/>
  <c r="F2180" i="11"/>
  <c r="F2179" i="11"/>
  <c r="F2178" i="11"/>
  <c r="F2177" i="11"/>
  <c r="F2176" i="11"/>
  <c r="F2175" i="11"/>
  <c r="F2174" i="11"/>
  <c r="F2173" i="11"/>
  <c r="F2172" i="11"/>
  <c r="F2171" i="11"/>
  <c r="F2170" i="11"/>
  <c r="F2169" i="11"/>
  <c r="F2168" i="11"/>
  <c r="F2167" i="11"/>
  <c r="F2166" i="11"/>
  <c r="F2165" i="11"/>
  <c r="F2164" i="11"/>
  <c r="F2163" i="11"/>
  <c r="F2162" i="11"/>
  <c r="F2161" i="11"/>
  <c r="F2160" i="11"/>
  <c r="F2159" i="11"/>
  <c r="F2158" i="11"/>
  <c r="F2157" i="11"/>
  <c r="F2156" i="11"/>
  <c r="F2155" i="11"/>
  <c r="F2154" i="11"/>
  <c r="F2153" i="11"/>
  <c r="F2152" i="11"/>
  <c r="F2151" i="11"/>
  <c r="F2150" i="11"/>
  <c r="F2149" i="11"/>
  <c r="F2148" i="11"/>
  <c r="F2147" i="11"/>
  <c r="F2146" i="11"/>
  <c r="F2145" i="11"/>
  <c r="F2144" i="11"/>
  <c r="F2143" i="11"/>
  <c r="F2142" i="11"/>
  <c r="F2141" i="11"/>
  <c r="F2140" i="11"/>
  <c r="F2139" i="11"/>
  <c r="F2138" i="11"/>
  <c r="F2137" i="11"/>
  <c r="F2136" i="11"/>
  <c r="F2135" i="11"/>
  <c r="F2134" i="11"/>
  <c r="F2133" i="11"/>
  <c r="F2132" i="11"/>
  <c r="F2131" i="11"/>
  <c r="F2130" i="11"/>
  <c r="F2129" i="11"/>
  <c r="F2128" i="11"/>
  <c r="F2127" i="11"/>
  <c r="F2126" i="11"/>
  <c r="F2125"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96" i="11"/>
  <c r="F2095" i="11"/>
  <c r="F2094" i="11"/>
  <c r="F2093" i="11"/>
  <c r="F2092" i="11"/>
  <c r="F2091" i="11"/>
  <c r="F2090" i="11"/>
  <c r="F2089" i="11"/>
  <c r="F2088" i="11"/>
  <c r="F2087" i="11"/>
  <c r="F2086" i="11"/>
  <c r="F2085" i="11"/>
  <c r="F2084" i="11"/>
  <c r="F2083" i="11"/>
  <c r="F2082" i="11"/>
  <c r="F2081" i="11"/>
  <c r="F2080" i="11"/>
  <c r="F2079" i="11"/>
  <c r="F2078" i="11"/>
  <c r="F2077" i="11"/>
  <c r="F2076" i="11"/>
  <c r="F2075" i="11"/>
  <c r="F2074" i="11"/>
  <c r="F2073" i="11"/>
  <c r="F2072" i="11"/>
  <c r="F2071" i="11"/>
  <c r="F2070" i="11"/>
  <c r="F2069" i="11"/>
  <c r="F2068" i="11"/>
  <c r="F2067" i="11"/>
  <c r="F2066" i="11"/>
  <c r="F2065" i="11"/>
  <c r="F2064" i="11"/>
  <c r="F2063" i="11"/>
  <c r="F2062" i="11"/>
  <c r="F2061" i="11"/>
  <c r="F2060" i="11"/>
  <c r="F2059" i="11"/>
  <c r="F2058" i="11"/>
  <c r="F2057" i="11"/>
  <c r="F2056" i="11"/>
  <c r="F2055" i="11"/>
  <c r="F2054" i="11"/>
  <c r="F2053" i="11"/>
  <c r="F2052" i="11"/>
  <c r="F2051" i="11"/>
  <c r="F2050" i="11"/>
  <c r="F2049" i="11"/>
  <c r="F2048" i="11"/>
  <c r="F2047" i="11"/>
  <c r="F2046" i="11"/>
  <c r="F2045" i="11"/>
  <c r="F2044" i="11"/>
  <c r="F2043" i="11"/>
  <c r="F2042" i="11"/>
  <c r="F2041" i="11"/>
  <c r="F2040" i="11"/>
  <c r="F2039" i="11"/>
  <c r="F2038" i="11"/>
  <c r="F2037" i="11"/>
  <c r="F2036" i="11"/>
  <c r="F2035" i="11"/>
  <c r="F2034" i="11"/>
  <c r="F2033" i="11"/>
  <c r="F2032" i="11"/>
  <c r="F2031" i="11"/>
  <c r="F2030" i="11"/>
  <c r="F2029" i="11"/>
  <c r="F2028" i="11"/>
  <c r="F2027" i="11"/>
  <c r="F2026" i="11"/>
  <c r="F2025" i="11"/>
  <c r="F2024" i="11"/>
  <c r="F2023" i="11"/>
  <c r="F2022" i="11"/>
  <c r="F2021" i="11"/>
  <c r="F2020" i="11"/>
  <c r="F2019" i="11"/>
  <c r="F2018" i="11"/>
  <c r="F2017" i="11"/>
  <c r="F2016" i="11"/>
  <c r="F2015" i="11"/>
  <c r="F2014" i="11"/>
  <c r="F2013" i="11"/>
  <c r="F2012" i="11"/>
  <c r="F2011" i="11"/>
  <c r="F2010" i="11"/>
  <c r="F2009" i="11"/>
  <c r="F2008" i="11"/>
  <c r="F2007" i="11"/>
  <c r="F2006" i="11"/>
  <c r="F2005" i="11"/>
  <c r="F2004" i="11"/>
  <c r="F2003" i="11"/>
  <c r="F2002" i="11"/>
  <c r="F2001" i="11"/>
  <c r="F2000" i="11"/>
  <c r="F1999" i="11"/>
  <c r="F1998" i="11"/>
  <c r="F1997" i="11"/>
  <c r="F1996" i="11"/>
  <c r="F1995" i="11"/>
  <c r="F1994" i="11"/>
  <c r="F1993" i="11"/>
  <c r="F1992" i="11"/>
  <c r="F1991" i="11"/>
  <c r="F1990" i="11"/>
  <c r="F1989" i="11"/>
  <c r="F1988" i="11"/>
  <c r="F1987" i="11"/>
  <c r="F1986" i="11"/>
  <c r="F1985" i="11"/>
  <c r="F1984" i="11"/>
  <c r="F1983" i="11"/>
  <c r="F1982" i="11"/>
  <c r="F1981" i="11"/>
  <c r="F1980" i="11"/>
  <c r="F1979" i="11"/>
  <c r="F1978" i="11"/>
  <c r="F1977" i="11"/>
  <c r="F1976" i="11"/>
  <c r="F1975" i="11"/>
  <c r="F1974" i="11"/>
  <c r="F1973" i="11"/>
  <c r="F1972" i="11"/>
  <c r="F1971" i="11"/>
  <c r="F1970" i="11"/>
  <c r="F1969" i="11"/>
  <c r="F1968" i="11"/>
  <c r="F1967" i="11"/>
  <c r="F1966" i="11"/>
  <c r="F1965" i="11"/>
  <c r="F1964" i="11"/>
  <c r="F1963" i="11"/>
  <c r="F1962" i="11"/>
  <c r="F1961" i="11"/>
  <c r="F1960" i="11"/>
  <c r="F1959" i="11"/>
  <c r="F1958" i="11"/>
  <c r="F1957" i="11"/>
  <c r="F1956" i="11"/>
  <c r="F1955" i="11"/>
  <c r="F1954" i="11"/>
  <c r="F1953" i="11"/>
  <c r="F1952" i="11"/>
  <c r="F1951" i="11"/>
  <c r="F1950" i="11"/>
  <c r="F1949" i="11"/>
  <c r="F1948" i="11"/>
  <c r="F1947" i="11"/>
  <c r="F1946" i="11"/>
  <c r="F1945" i="11"/>
  <c r="F1944" i="11"/>
  <c r="F1943" i="11"/>
  <c r="F1942" i="11"/>
  <c r="F1941" i="11"/>
  <c r="F1940" i="11"/>
  <c r="F1939" i="11"/>
  <c r="F1938" i="11"/>
  <c r="F1937" i="11"/>
  <c r="F1936" i="11"/>
  <c r="F1935" i="11"/>
  <c r="F1934" i="11"/>
  <c r="F1933" i="11"/>
  <c r="F1932" i="11"/>
  <c r="F1931" i="11"/>
  <c r="F1930" i="11"/>
  <c r="F1929" i="11"/>
  <c r="F1928" i="11"/>
  <c r="F1927" i="11"/>
  <c r="F1926" i="11"/>
  <c r="F1925" i="11"/>
  <c r="F1924" i="11"/>
  <c r="F1923" i="11"/>
  <c r="F1922" i="11"/>
  <c r="F1921" i="11"/>
  <c r="F1920" i="11"/>
  <c r="F1919" i="11"/>
  <c r="F1918" i="11"/>
  <c r="F1917" i="11"/>
  <c r="F1916" i="11"/>
  <c r="F1915" i="11"/>
  <c r="F1914" i="11"/>
  <c r="F1913" i="11"/>
  <c r="F1912" i="11"/>
  <c r="F1911" i="11"/>
  <c r="F1910" i="11"/>
  <c r="F1909" i="11"/>
  <c r="F1908" i="11"/>
  <c r="F1907" i="11"/>
  <c r="F1906" i="11"/>
  <c r="F1905" i="11"/>
  <c r="F1904" i="11"/>
  <c r="F1903" i="11"/>
  <c r="F1902" i="11"/>
  <c r="F1901" i="11"/>
  <c r="F1900" i="11"/>
  <c r="F1899" i="11"/>
  <c r="F1898" i="11"/>
  <c r="F1897" i="11"/>
  <c r="F1896" i="11"/>
  <c r="F1895" i="11"/>
  <c r="F1894" i="11"/>
  <c r="F1893" i="11"/>
  <c r="F1892" i="11"/>
  <c r="F1891" i="11"/>
  <c r="F1890" i="11"/>
  <c r="F1889" i="11"/>
  <c r="F1888" i="11"/>
  <c r="F1887" i="11"/>
  <c r="F1886" i="11"/>
  <c r="F1885" i="11"/>
  <c r="F1884" i="11"/>
  <c r="F1883" i="11"/>
  <c r="F1882" i="11"/>
  <c r="F1881" i="11"/>
  <c r="F1880" i="11"/>
  <c r="F1879" i="11"/>
  <c r="F1878" i="11"/>
  <c r="F1877" i="11"/>
  <c r="F1876" i="11"/>
  <c r="F1875" i="11"/>
  <c r="F1874" i="11"/>
  <c r="F1873"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45" i="11"/>
  <c r="F1844" i="11"/>
  <c r="F1843" i="11"/>
  <c r="F1842" i="11"/>
  <c r="F1841" i="11"/>
  <c r="F1840" i="11"/>
  <c r="F1839" i="11"/>
  <c r="F1838" i="11"/>
  <c r="F1837" i="11"/>
  <c r="F1836" i="11"/>
  <c r="F1835" i="11"/>
  <c r="F1834" i="11"/>
  <c r="F1833" i="11"/>
  <c r="F1832" i="11"/>
  <c r="F1831" i="11"/>
  <c r="F1830" i="11"/>
  <c r="F1829" i="11"/>
  <c r="F1828" i="11"/>
  <c r="F1827" i="11"/>
  <c r="F1826" i="11"/>
  <c r="F1825" i="11"/>
  <c r="F1824" i="11"/>
  <c r="F1823" i="11"/>
  <c r="F1822" i="11"/>
  <c r="F1821" i="11"/>
  <c r="F1820" i="11"/>
  <c r="F1819" i="11"/>
  <c r="F1818" i="11"/>
  <c r="F1817" i="11"/>
  <c r="F1816" i="11"/>
  <c r="F1815" i="11"/>
  <c r="F1814" i="11"/>
  <c r="F1813" i="11"/>
  <c r="F1812" i="11"/>
  <c r="F1811" i="11"/>
  <c r="F1810" i="11"/>
  <c r="F1809" i="11"/>
  <c r="F1808" i="11"/>
  <c r="F1807" i="11"/>
  <c r="F1806" i="11"/>
  <c r="F1805" i="11"/>
  <c r="F1804" i="11"/>
  <c r="F1803" i="11"/>
  <c r="F1802" i="11"/>
  <c r="F1801" i="11"/>
  <c r="F1800" i="11"/>
  <c r="F1799" i="11"/>
  <c r="F1798" i="11"/>
  <c r="F1797" i="11"/>
  <c r="F1796" i="11"/>
  <c r="F1795" i="11"/>
  <c r="F1794" i="11"/>
  <c r="F1793" i="11"/>
  <c r="F1792" i="11"/>
  <c r="F1791" i="11"/>
  <c r="F1790" i="11"/>
  <c r="F1789" i="11"/>
  <c r="F1788" i="11"/>
  <c r="F1787" i="11"/>
  <c r="F1786" i="11"/>
  <c r="F1785" i="11"/>
  <c r="F1784" i="11"/>
  <c r="F1783" i="11"/>
  <c r="F1782" i="11"/>
  <c r="F1781" i="11"/>
  <c r="F1780" i="11"/>
  <c r="F1779" i="11"/>
  <c r="F1778" i="11"/>
  <c r="F1777" i="11"/>
  <c r="F1776" i="11"/>
  <c r="F1775" i="11"/>
  <c r="F1774" i="11"/>
  <c r="F1773" i="11"/>
  <c r="F1772" i="11"/>
  <c r="F1771" i="11"/>
  <c r="F1770" i="11"/>
  <c r="F1769" i="11"/>
  <c r="F1768" i="11"/>
  <c r="F1767" i="11"/>
  <c r="F1766" i="11"/>
  <c r="F1765" i="11"/>
  <c r="F1764" i="11"/>
  <c r="F1763" i="11"/>
  <c r="F1762" i="11"/>
  <c r="F1761" i="11"/>
  <c r="F1760" i="11"/>
  <c r="F1759" i="11"/>
  <c r="F1758" i="11"/>
  <c r="F1757" i="11"/>
  <c r="F1756" i="11"/>
  <c r="F1755" i="11"/>
  <c r="F1754" i="11"/>
  <c r="F1753" i="11"/>
  <c r="F1752" i="11"/>
  <c r="F1751" i="11"/>
  <c r="F1750" i="11"/>
  <c r="F1749" i="11"/>
  <c r="F1748" i="11"/>
  <c r="F1747" i="11"/>
  <c r="F1746" i="11"/>
  <c r="F1745" i="11"/>
  <c r="F1744" i="11"/>
  <c r="F1743" i="11"/>
  <c r="F1742" i="11"/>
  <c r="F1741" i="11"/>
  <c r="F1740" i="11"/>
  <c r="F1739" i="11"/>
  <c r="F1738" i="11"/>
  <c r="F1737" i="11"/>
  <c r="F1736" i="11"/>
  <c r="F1735" i="11"/>
  <c r="F1734" i="11"/>
  <c r="F1733" i="11"/>
  <c r="F1732" i="11"/>
  <c r="F1731" i="11"/>
  <c r="F1730" i="11"/>
  <c r="F1729" i="11"/>
  <c r="F1728" i="11"/>
  <c r="F1727" i="11"/>
  <c r="F1726" i="11"/>
  <c r="F1725" i="11"/>
  <c r="F1724" i="11"/>
  <c r="F1723" i="11"/>
  <c r="F1722" i="11"/>
  <c r="F1721" i="11"/>
  <c r="F1720" i="11"/>
  <c r="F1719" i="11"/>
  <c r="F1718" i="11"/>
  <c r="F1717" i="11"/>
  <c r="F1716" i="11"/>
  <c r="F1715" i="11"/>
  <c r="F1714" i="11"/>
  <c r="F1713" i="11"/>
  <c r="F1712" i="11"/>
  <c r="F1711" i="11"/>
  <c r="F1710" i="11"/>
  <c r="F1709" i="11"/>
  <c r="F1708" i="11"/>
  <c r="F1707" i="11"/>
  <c r="F1706" i="11"/>
  <c r="F1705" i="11"/>
  <c r="F1704" i="11"/>
  <c r="F1703" i="11"/>
  <c r="F1702" i="11"/>
  <c r="F1701" i="11"/>
  <c r="F1700" i="11"/>
  <c r="F1699" i="11"/>
  <c r="F1698" i="11"/>
  <c r="F1697" i="11"/>
  <c r="F1696" i="11"/>
  <c r="F1695" i="11"/>
  <c r="F1694" i="11"/>
  <c r="F1693" i="11"/>
  <c r="F1692" i="11"/>
  <c r="F1691" i="11"/>
  <c r="F1690" i="11"/>
  <c r="F1689" i="11"/>
  <c r="F1688" i="11"/>
  <c r="F1687" i="11"/>
  <c r="F1686" i="11"/>
  <c r="F1685" i="11"/>
  <c r="F1684" i="11"/>
  <c r="F1683" i="11"/>
  <c r="F1682" i="11"/>
  <c r="F1681" i="11"/>
  <c r="F1680" i="11"/>
  <c r="F1679" i="11"/>
  <c r="F1678" i="11"/>
  <c r="F1677" i="11"/>
  <c r="F1676" i="11"/>
  <c r="F1675" i="11"/>
  <c r="F1674" i="11"/>
  <c r="F1673" i="11"/>
  <c r="F1672" i="11"/>
  <c r="F1671" i="11"/>
  <c r="F1670" i="11"/>
  <c r="F1669" i="11"/>
  <c r="F1668" i="11"/>
  <c r="F1667" i="11"/>
  <c r="F1666" i="11"/>
  <c r="F1665" i="11"/>
  <c r="F1664" i="11"/>
  <c r="F1663" i="11"/>
  <c r="F1662" i="11"/>
  <c r="F1661" i="11"/>
  <c r="F1660" i="11"/>
  <c r="F1659" i="11"/>
  <c r="F1658" i="11"/>
  <c r="F1657" i="11"/>
  <c r="F1656" i="11"/>
  <c r="F1655" i="11"/>
  <c r="F1654" i="11"/>
  <c r="F1653" i="11"/>
  <c r="F1652" i="11"/>
  <c r="F1651" i="11"/>
  <c r="F1650" i="11"/>
  <c r="F1649" i="11"/>
  <c r="F1648" i="11"/>
  <c r="F1647" i="11"/>
  <c r="F1646" i="11"/>
  <c r="F1645" i="11"/>
  <c r="F1644" i="11"/>
  <c r="F1643" i="11"/>
  <c r="F1642" i="11"/>
  <c r="F1641" i="11"/>
  <c r="F1640" i="11"/>
  <c r="F1639" i="11"/>
  <c r="F1638" i="11"/>
  <c r="F1637" i="11"/>
  <c r="F1636" i="11"/>
  <c r="F1635" i="11"/>
  <c r="F1634" i="11"/>
  <c r="F1633" i="11"/>
  <c r="F1632" i="11"/>
  <c r="F1631" i="11"/>
  <c r="F1630" i="11"/>
  <c r="F1629" i="11"/>
  <c r="F1628" i="11"/>
  <c r="F1627" i="11"/>
  <c r="F1626" i="11"/>
  <c r="F1625" i="11"/>
  <c r="F1624" i="11"/>
  <c r="F1623" i="11"/>
  <c r="F1622" i="11"/>
  <c r="F1621" i="11"/>
  <c r="F1620" i="11"/>
  <c r="F1619" i="11"/>
  <c r="F1618" i="11"/>
  <c r="F1617" i="11"/>
  <c r="F1616" i="11"/>
  <c r="F1615" i="11"/>
  <c r="F1614" i="11"/>
  <c r="F1613" i="11"/>
  <c r="F1612" i="11"/>
  <c r="F1611" i="11"/>
  <c r="F1610" i="11"/>
  <c r="F1609" i="11"/>
  <c r="F1608" i="11"/>
  <c r="F1607" i="11"/>
  <c r="F1606" i="11"/>
  <c r="F1605" i="11"/>
  <c r="F1604" i="11"/>
  <c r="F1603" i="11"/>
  <c r="F1602" i="11"/>
  <c r="F1601" i="11"/>
  <c r="F1600" i="11"/>
  <c r="F1599" i="11"/>
  <c r="F1598" i="11"/>
  <c r="F1597" i="11"/>
  <c r="F1596" i="11"/>
  <c r="F1595" i="11"/>
  <c r="F1594" i="11"/>
  <c r="F1593" i="11"/>
  <c r="F1592" i="11"/>
  <c r="F1591" i="11"/>
  <c r="F1590" i="11"/>
  <c r="F1589" i="11"/>
  <c r="F1588" i="11"/>
  <c r="F1587" i="11"/>
  <c r="F1586" i="11"/>
  <c r="F1585" i="11"/>
  <c r="F1584" i="11"/>
  <c r="F1583" i="11"/>
  <c r="F1582" i="11"/>
  <c r="F1581" i="11"/>
  <c r="F1580" i="11"/>
  <c r="F1579" i="11"/>
  <c r="F1578" i="11"/>
  <c r="F1577" i="11"/>
  <c r="F1576" i="11"/>
  <c r="F1575" i="11"/>
  <c r="F1574" i="11"/>
  <c r="F1573" i="11"/>
  <c r="F1572" i="11"/>
  <c r="F1571" i="11"/>
  <c r="F1570" i="11"/>
  <c r="F1569" i="11"/>
  <c r="F1568" i="11"/>
  <c r="F1567" i="11"/>
  <c r="F1566" i="11"/>
  <c r="F1565" i="11"/>
  <c r="F1564" i="11"/>
  <c r="F1563" i="11"/>
  <c r="F1562" i="11"/>
  <c r="F1561" i="11"/>
  <c r="F1560" i="11"/>
  <c r="F1559" i="11"/>
  <c r="F1558" i="11"/>
  <c r="F1557" i="11"/>
  <c r="F1556" i="11"/>
  <c r="F1555" i="11"/>
  <c r="F1554" i="11"/>
  <c r="F1553" i="11"/>
  <c r="F1552" i="11"/>
  <c r="F1551" i="11"/>
  <c r="F1550" i="11"/>
  <c r="F1549" i="11"/>
  <c r="F1548" i="11"/>
  <c r="F1547" i="11"/>
  <c r="F1546" i="11"/>
  <c r="F1545" i="11"/>
  <c r="F1544" i="11"/>
  <c r="F1543" i="11"/>
  <c r="F1542" i="11"/>
  <c r="F1541" i="11"/>
  <c r="F1540" i="11"/>
  <c r="F1539" i="11"/>
  <c r="F1538" i="11"/>
  <c r="F1537" i="11"/>
  <c r="F1536" i="11"/>
  <c r="F1535" i="11"/>
  <c r="F1534" i="11"/>
  <c r="F1533" i="11"/>
  <c r="F1532" i="11"/>
  <c r="F1531" i="11"/>
  <c r="F1530" i="11"/>
  <c r="F1529" i="11"/>
  <c r="F1528" i="11"/>
  <c r="F1527" i="11"/>
  <c r="F1526" i="11"/>
  <c r="F1525" i="11"/>
  <c r="F1524" i="11"/>
  <c r="F1523" i="11"/>
  <c r="F1522" i="11"/>
  <c r="F1521" i="11"/>
  <c r="F1520" i="11"/>
  <c r="F1519" i="11"/>
  <c r="F1518" i="11"/>
  <c r="F1517" i="11"/>
  <c r="F1516" i="11"/>
  <c r="F1515" i="11"/>
  <c r="F1514" i="11"/>
  <c r="F1513" i="11"/>
  <c r="F1512" i="11"/>
  <c r="F1511" i="11"/>
  <c r="F1510" i="11"/>
  <c r="F1509" i="11"/>
  <c r="F1508" i="11"/>
  <c r="F1507" i="11"/>
  <c r="F1506" i="11"/>
  <c r="F1505" i="11"/>
  <c r="F1504" i="11"/>
  <c r="F1503" i="11"/>
  <c r="F1502" i="11"/>
  <c r="F1501" i="11"/>
  <c r="F1500" i="11"/>
  <c r="F1499" i="11"/>
  <c r="F1498" i="11"/>
  <c r="F1497" i="11"/>
  <c r="F1496" i="11"/>
  <c r="F1495" i="11"/>
  <c r="F1494" i="11"/>
  <c r="F1493" i="11"/>
  <c r="F1492" i="11"/>
  <c r="F1491" i="11"/>
  <c r="F1490" i="11"/>
  <c r="F1489" i="11"/>
  <c r="F1488" i="11"/>
  <c r="F1487" i="11"/>
  <c r="F1486" i="11"/>
  <c r="F1485" i="11"/>
  <c r="F1484" i="11"/>
  <c r="F1483" i="11"/>
  <c r="F1482" i="11"/>
  <c r="F1481" i="11"/>
  <c r="F1480" i="11"/>
  <c r="F1479" i="11"/>
  <c r="F1478" i="11"/>
  <c r="F1477" i="11"/>
  <c r="F1476" i="11"/>
  <c r="F1475" i="11"/>
  <c r="F1474" i="11"/>
  <c r="F1473" i="11"/>
  <c r="F1472" i="11"/>
  <c r="F1471" i="11"/>
  <c r="F1470" i="11"/>
  <c r="F1469" i="11"/>
  <c r="F1468" i="11"/>
  <c r="F1467" i="11"/>
  <c r="F1466" i="11"/>
  <c r="F1465" i="11"/>
  <c r="F1464" i="11"/>
  <c r="F1463" i="11"/>
  <c r="F1462" i="11"/>
  <c r="F1461" i="11"/>
  <c r="F1460" i="11"/>
  <c r="F1459" i="11"/>
  <c r="F1458" i="11"/>
  <c r="F1457" i="11"/>
  <c r="F1456" i="11"/>
  <c r="F1455" i="11"/>
  <c r="F1454" i="11"/>
  <c r="F1453" i="11"/>
  <c r="F1452" i="11"/>
  <c r="F1451" i="11"/>
  <c r="F1450" i="11"/>
  <c r="F1449" i="11"/>
  <c r="F1448" i="11"/>
  <c r="F1447" i="11"/>
  <c r="F1446" i="11"/>
  <c r="F1445" i="11"/>
  <c r="F1444" i="11"/>
  <c r="F1443" i="11"/>
  <c r="F1442" i="11"/>
  <c r="F1441" i="11"/>
  <c r="F1440" i="11"/>
  <c r="F1439" i="11"/>
  <c r="F1438" i="11"/>
  <c r="F1437" i="11"/>
  <c r="F1436" i="11"/>
  <c r="F1435" i="11"/>
  <c r="F1434" i="11"/>
  <c r="F1433" i="11"/>
  <c r="F1432" i="11"/>
  <c r="F1431" i="11"/>
  <c r="F1430" i="11"/>
  <c r="F1429" i="11"/>
  <c r="F1428" i="11"/>
  <c r="F1427" i="11"/>
  <c r="F1426" i="11"/>
  <c r="F1425" i="11"/>
  <c r="F1424" i="11"/>
  <c r="F1423" i="11"/>
  <c r="F1422" i="11"/>
  <c r="F1421" i="11"/>
  <c r="F1420" i="11"/>
  <c r="F1419" i="11"/>
  <c r="F1418" i="11"/>
  <c r="F1417" i="11"/>
  <c r="F1416" i="11"/>
  <c r="F1415" i="11"/>
  <c r="F1414" i="11"/>
  <c r="F1413" i="11"/>
  <c r="F1412" i="11"/>
  <c r="F1411" i="11"/>
  <c r="F1410" i="11"/>
  <c r="F1409" i="11"/>
  <c r="F1408" i="11"/>
  <c r="F1407" i="11"/>
  <c r="F1406" i="11"/>
  <c r="F1405" i="11"/>
  <c r="F1404" i="11"/>
  <c r="F1403" i="11"/>
  <c r="F1402" i="11"/>
  <c r="F1401" i="11"/>
  <c r="F1400" i="11"/>
  <c r="F1399" i="11"/>
  <c r="F1398" i="11"/>
  <c r="F1397" i="11"/>
  <c r="F1396" i="11"/>
  <c r="F1395" i="11"/>
  <c r="F1394" i="11"/>
  <c r="F1393" i="11"/>
  <c r="F1392" i="11"/>
  <c r="F1391" i="11"/>
  <c r="F1390" i="11"/>
  <c r="F1389" i="11"/>
  <c r="F1388" i="11"/>
  <c r="F1387" i="11"/>
  <c r="F1386" i="11"/>
  <c r="F1385" i="11"/>
  <c r="F1384" i="11"/>
  <c r="F1383" i="11"/>
  <c r="F1382" i="11"/>
  <c r="F1381" i="11"/>
  <c r="F1380" i="11"/>
  <c r="F1379" i="11"/>
  <c r="F1378" i="11"/>
  <c r="F1377" i="11"/>
  <c r="F1376" i="11"/>
  <c r="F1375" i="11"/>
  <c r="F1374" i="11"/>
  <c r="F1373" i="11"/>
  <c r="F1372" i="11"/>
  <c r="F1371" i="11"/>
  <c r="F1370" i="11"/>
  <c r="F1369" i="11"/>
  <c r="F1368" i="11"/>
  <c r="F1367" i="11"/>
  <c r="F1366" i="11"/>
  <c r="F1365" i="11"/>
  <c r="F1364" i="11"/>
  <c r="F1363" i="11"/>
  <c r="F1362" i="11"/>
  <c r="F1361" i="11"/>
  <c r="F1360" i="11"/>
  <c r="F1359" i="11"/>
  <c r="F1358" i="11"/>
  <c r="F1357" i="11"/>
  <c r="F1356" i="11"/>
  <c r="F1355" i="11"/>
  <c r="F1354" i="11"/>
  <c r="F1353" i="11"/>
  <c r="F1352" i="11"/>
  <c r="F1351" i="11"/>
  <c r="F1350" i="11"/>
  <c r="F1349" i="11"/>
  <c r="F1348" i="11"/>
  <c r="F1347" i="11"/>
  <c r="F1346" i="11"/>
  <c r="F1345" i="11"/>
  <c r="F1344" i="11"/>
  <c r="F1343" i="11"/>
  <c r="F1342" i="11"/>
  <c r="F1341" i="11"/>
  <c r="F1340" i="11"/>
  <c r="F1339" i="11"/>
  <c r="F1338" i="11"/>
  <c r="F1337" i="11"/>
  <c r="F1336" i="11"/>
  <c r="F1335" i="11"/>
  <c r="F1334" i="11"/>
  <c r="F1333" i="11"/>
  <c r="F1332" i="11"/>
  <c r="F1331" i="11"/>
  <c r="F1330" i="11"/>
  <c r="F1329" i="11"/>
  <c r="F1328" i="11"/>
  <c r="F1327" i="11"/>
  <c r="F1326" i="11"/>
  <c r="F1325" i="11"/>
  <c r="F1324" i="11"/>
  <c r="F1323" i="11"/>
  <c r="F1322" i="11"/>
  <c r="F1321" i="11"/>
  <c r="F1320" i="11"/>
  <c r="F1319" i="11"/>
  <c r="F1318" i="11"/>
  <c r="F1317" i="11"/>
  <c r="F1316" i="11"/>
  <c r="F1315" i="11"/>
  <c r="F1314" i="11"/>
  <c r="F1313" i="11"/>
  <c r="F1312" i="11"/>
  <c r="F1311" i="11"/>
  <c r="F1310" i="11"/>
  <c r="F1309" i="11"/>
  <c r="F1308" i="11"/>
  <c r="F1307" i="11"/>
  <c r="F1306" i="11"/>
  <c r="F1305" i="11"/>
  <c r="F1304" i="11"/>
  <c r="F1303" i="11"/>
  <c r="F1302" i="11"/>
  <c r="F1301" i="11"/>
  <c r="F1300" i="11"/>
  <c r="F1299" i="11"/>
  <c r="F1298" i="11"/>
  <c r="F1297" i="11"/>
  <c r="F1296" i="11"/>
  <c r="F1295" i="11"/>
  <c r="F1294" i="11"/>
  <c r="F1293" i="11"/>
  <c r="F1292" i="11"/>
  <c r="F1291" i="11"/>
  <c r="F1290" i="11"/>
  <c r="F1289" i="11"/>
  <c r="F1288" i="11"/>
  <c r="F1287" i="11"/>
  <c r="F1286" i="11"/>
  <c r="F1285" i="11"/>
  <c r="F1284" i="11"/>
  <c r="F1283" i="11"/>
  <c r="F1282" i="11"/>
  <c r="F1281" i="11"/>
  <c r="F1280" i="11"/>
  <c r="F1279" i="11"/>
  <c r="F1278" i="11"/>
  <c r="F1277" i="11"/>
  <c r="F1276" i="11"/>
  <c r="F1275" i="11"/>
  <c r="F1274" i="11"/>
  <c r="F1273" i="11"/>
  <c r="F1272" i="11"/>
  <c r="F1271" i="11"/>
  <c r="F1270" i="11"/>
  <c r="F1269" i="11"/>
  <c r="F1268" i="11"/>
  <c r="F1267" i="11"/>
  <c r="F1266" i="11"/>
  <c r="F1265" i="11"/>
  <c r="F1264" i="11"/>
  <c r="F1263" i="11"/>
  <c r="F1262" i="11"/>
  <c r="F1261" i="11"/>
  <c r="F1260" i="11"/>
  <c r="F1259" i="11"/>
  <c r="F1258" i="11"/>
  <c r="F1257" i="11"/>
  <c r="F1256" i="11"/>
  <c r="F1255" i="11"/>
  <c r="F1254" i="11"/>
  <c r="F1253" i="11"/>
  <c r="F1252" i="11"/>
  <c r="F1251" i="11"/>
  <c r="F1250" i="11"/>
  <c r="F1249" i="11"/>
  <c r="F1248" i="11"/>
  <c r="F1247" i="11"/>
  <c r="F1246" i="11"/>
  <c r="F1245" i="11"/>
  <c r="F1244" i="11"/>
  <c r="F1243" i="11"/>
  <c r="F1242" i="11"/>
  <c r="F1241" i="11"/>
  <c r="F1240" i="11"/>
  <c r="F1239" i="11"/>
  <c r="F1238" i="11"/>
  <c r="F1237" i="11"/>
  <c r="F1236" i="11"/>
  <c r="F1235" i="11"/>
  <c r="F1234" i="11"/>
  <c r="F1233" i="11"/>
  <c r="F1232" i="11"/>
  <c r="F1231" i="11"/>
  <c r="F1230" i="11"/>
  <c r="F1229" i="11"/>
  <c r="F1228" i="11"/>
  <c r="F1227" i="11"/>
  <c r="F1226" i="11"/>
  <c r="F1225" i="11"/>
  <c r="F1224" i="11"/>
  <c r="F1223" i="11"/>
  <c r="F1222" i="11"/>
  <c r="F1221" i="11"/>
  <c r="F1220" i="11"/>
  <c r="F1219" i="11"/>
  <c r="F1218" i="11"/>
  <c r="F1217" i="11"/>
  <c r="F1216" i="11"/>
  <c r="F1215" i="11"/>
  <c r="F1214" i="11"/>
  <c r="F1213" i="11"/>
  <c r="F1212" i="11"/>
  <c r="F1211" i="11"/>
  <c r="F1210" i="11"/>
  <c r="F1209" i="11"/>
  <c r="F1208" i="11"/>
  <c r="F1207" i="11"/>
  <c r="F1206" i="11"/>
  <c r="F1205" i="11"/>
  <c r="F1204" i="11"/>
  <c r="F1203" i="11"/>
  <c r="F1202" i="11"/>
  <c r="F1201" i="11"/>
  <c r="F1200" i="11"/>
  <c r="F1199" i="11"/>
  <c r="F1198" i="11"/>
  <c r="F1197" i="11"/>
  <c r="F1196" i="11"/>
  <c r="F1195" i="11"/>
  <c r="F1194" i="11"/>
  <c r="F1193" i="11"/>
  <c r="F1192" i="11"/>
  <c r="F1191" i="11"/>
  <c r="F1190" i="11"/>
  <c r="F1189" i="11"/>
  <c r="F1188" i="11"/>
  <c r="F1187" i="11"/>
  <c r="F1186" i="11"/>
  <c r="F1185" i="11"/>
  <c r="F1184" i="11"/>
  <c r="F1183" i="11"/>
  <c r="F1182" i="11"/>
  <c r="F1181" i="11"/>
  <c r="F1180" i="11"/>
  <c r="F1179" i="11"/>
  <c r="F1178" i="11"/>
  <c r="F1177" i="11"/>
  <c r="F1176" i="11"/>
  <c r="F1175" i="11"/>
  <c r="F1174" i="11"/>
  <c r="F1173" i="11"/>
  <c r="F1172" i="11"/>
  <c r="F1171" i="11"/>
  <c r="F1170" i="11"/>
  <c r="F1169" i="11"/>
  <c r="F1168" i="11"/>
  <c r="F1167" i="11"/>
  <c r="F1166" i="11"/>
  <c r="F1165" i="11"/>
  <c r="F1164" i="11"/>
  <c r="F1163" i="11"/>
  <c r="F1162" i="11"/>
  <c r="F1161" i="11"/>
  <c r="F1160" i="11"/>
  <c r="F1159" i="11"/>
  <c r="F1158" i="11"/>
  <c r="F1157" i="11"/>
  <c r="F1156" i="11"/>
  <c r="F1155" i="11"/>
  <c r="F1154" i="11"/>
  <c r="F1153" i="11"/>
  <c r="F1152" i="11"/>
  <c r="F1151" i="11"/>
  <c r="F1150" i="11"/>
  <c r="F1149" i="11"/>
  <c r="F1148" i="11"/>
  <c r="F1147" i="11"/>
  <c r="F1146" i="11"/>
  <c r="F1145" i="11"/>
  <c r="F1144" i="11"/>
  <c r="F1143" i="11"/>
  <c r="F1142" i="11"/>
  <c r="F1141" i="11"/>
  <c r="F1140" i="11"/>
  <c r="F1139" i="11"/>
  <c r="F1138" i="11"/>
  <c r="F1137" i="11"/>
  <c r="F1136" i="11"/>
  <c r="F1135" i="11"/>
  <c r="F1134" i="11"/>
  <c r="F1133" i="11"/>
  <c r="F1132" i="11"/>
  <c r="F1131" i="11"/>
  <c r="F1130" i="11"/>
  <c r="F1129" i="11"/>
  <c r="F1128" i="11"/>
  <c r="F1127" i="11"/>
  <c r="F1126" i="11"/>
  <c r="F1125" i="11"/>
  <c r="F1124" i="11"/>
  <c r="F1123" i="11"/>
  <c r="F1122" i="11"/>
  <c r="F1121" i="11"/>
  <c r="F1120" i="11"/>
  <c r="F1119" i="11"/>
  <c r="F1118" i="11"/>
  <c r="F1117" i="11"/>
  <c r="F1116" i="11"/>
  <c r="F1115" i="11"/>
  <c r="F1114" i="11"/>
  <c r="F1113" i="11"/>
  <c r="F1112" i="11"/>
  <c r="F1111" i="11"/>
  <c r="F1110" i="11"/>
  <c r="F1109" i="11"/>
  <c r="F1108" i="11"/>
  <c r="F1107" i="11"/>
  <c r="F1106" i="11"/>
  <c r="F1105" i="11"/>
  <c r="F1104" i="11"/>
  <c r="F1103" i="11"/>
  <c r="F1102" i="11"/>
  <c r="F1101" i="11"/>
  <c r="F1100" i="11"/>
  <c r="F1099" i="11"/>
  <c r="F1098" i="11"/>
  <c r="F1097" i="11"/>
  <c r="F1096" i="11"/>
  <c r="F1095" i="11"/>
  <c r="F1094" i="11"/>
  <c r="F1093" i="11"/>
  <c r="F1092" i="11"/>
  <c r="F1091" i="11"/>
  <c r="F1090" i="11"/>
  <c r="F1089" i="11"/>
  <c r="F1088" i="11"/>
  <c r="F1087" i="11"/>
  <c r="F1086" i="11"/>
  <c r="F1085" i="11"/>
  <c r="F1084" i="11"/>
  <c r="F1083" i="11"/>
  <c r="F1082" i="11"/>
  <c r="F1081" i="11"/>
  <c r="F1080" i="11"/>
  <c r="F1079" i="11"/>
  <c r="F1078" i="11"/>
  <c r="F1077" i="11"/>
  <c r="F1076" i="11"/>
  <c r="F1075" i="11"/>
  <c r="F1074" i="11"/>
  <c r="F1073" i="11"/>
  <c r="F1072" i="11"/>
  <c r="F1071" i="11"/>
  <c r="F1070" i="11"/>
  <c r="F1069" i="11"/>
  <c r="F1068" i="11"/>
  <c r="F1067" i="11"/>
  <c r="F1066" i="11"/>
  <c r="F1065" i="11"/>
  <c r="F1064" i="11"/>
  <c r="F1063" i="11"/>
  <c r="F1062" i="11"/>
  <c r="F1061" i="11"/>
  <c r="F1060" i="11"/>
  <c r="F1059" i="11"/>
  <c r="F1058" i="11"/>
  <c r="F1057" i="11"/>
  <c r="F1056" i="11"/>
  <c r="F1055" i="11"/>
  <c r="F1054" i="11"/>
  <c r="F1053" i="11"/>
  <c r="F1052" i="11"/>
  <c r="F1051" i="11"/>
  <c r="F1050" i="11"/>
  <c r="F1049" i="11"/>
  <c r="F1048" i="11"/>
  <c r="F1047" i="11"/>
  <c r="F1046" i="11"/>
  <c r="F1045" i="11"/>
  <c r="F1044" i="11"/>
  <c r="F1043" i="11"/>
  <c r="F1042" i="11"/>
  <c r="F1041" i="11"/>
  <c r="F1040" i="11"/>
  <c r="F1039" i="11"/>
  <c r="F1038" i="11"/>
  <c r="F1037" i="11"/>
  <c r="F1036" i="11"/>
  <c r="F1035" i="11"/>
  <c r="F1034" i="11"/>
  <c r="F1033" i="11"/>
  <c r="F1032" i="11"/>
  <c r="F1031" i="11"/>
  <c r="F1030" i="11"/>
  <c r="F1029" i="11"/>
  <c r="F1028" i="11"/>
  <c r="F1027" i="11"/>
  <c r="F1026" i="11"/>
  <c r="F1025" i="11"/>
  <c r="F1024" i="11"/>
  <c r="F1023" i="11"/>
  <c r="F1022" i="11"/>
  <c r="F1021" i="11"/>
  <c r="F1020" i="11"/>
  <c r="F1019" i="11"/>
  <c r="F1018" i="11"/>
  <c r="F1017" i="11"/>
  <c r="F1016" i="11"/>
  <c r="F1015" i="11"/>
  <c r="F1014" i="11"/>
  <c r="F1013" i="11"/>
  <c r="F1012" i="11"/>
  <c r="F1011" i="11"/>
  <c r="F1010" i="11"/>
  <c r="F1009" i="11"/>
  <c r="F1008" i="11"/>
  <c r="F1007" i="11"/>
  <c r="F1006" i="11"/>
  <c r="F1005" i="11"/>
  <c r="F1004" i="11"/>
  <c r="F1003" i="11"/>
  <c r="F1002" i="11"/>
  <c r="F1001" i="11"/>
  <c r="F1000" i="11"/>
  <c r="F999" i="11"/>
  <c r="F998" i="11"/>
  <c r="F997" i="11"/>
  <c r="F996" i="11"/>
  <c r="F995" i="11"/>
  <c r="F994" i="11"/>
  <c r="F993" i="11"/>
  <c r="F992" i="11"/>
  <c r="F991" i="11"/>
  <c r="F990" i="11"/>
  <c r="F989" i="11"/>
  <c r="F988" i="11"/>
  <c r="F987" i="11"/>
  <c r="F986" i="11"/>
  <c r="F985" i="11"/>
  <c r="F984" i="11"/>
  <c r="F983" i="11"/>
  <c r="F982" i="11"/>
  <c r="F981" i="11"/>
  <c r="F980" i="11"/>
  <c r="F979" i="11"/>
  <c r="F978" i="11"/>
  <c r="F977" i="11"/>
  <c r="F976" i="11"/>
  <c r="F975" i="11"/>
  <c r="F974" i="11"/>
  <c r="F973" i="11"/>
  <c r="F972" i="11"/>
  <c r="F971" i="11"/>
  <c r="F970" i="11"/>
  <c r="F969" i="11"/>
  <c r="F968" i="11"/>
  <c r="F967" i="11"/>
  <c r="F966" i="11"/>
  <c r="F965" i="11"/>
  <c r="F964" i="11"/>
  <c r="F963" i="11"/>
  <c r="F962" i="11"/>
  <c r="F961" i="11"/>
  <c r="F960" i="11"/>
  <c r="F959" i="11"/>
  <c r="F958" i="11"/>
  <c r="F957" i="11"/>
  <c r="F956" i="11"/>
  <c r="F955" i="11"/>
  <c r="F954" i="11"/>
  <c r="F953" i="11"/>
  <c r="F952" i="11"/>
  <c r="F951" i="11"/>
  <c r="F950" i="11"/>
  <c r="F949" i="11"/>
  <c r="F948" i="11"/>
  <c r="F947" i="11"/>
  <c r="F946" i="11"/>
  <c r="F945" i="11"/>
  <c r="F944" i="11"/>
  <c r="F943" i="11"/>
  <c r="F942" i="11"/>
  <c r="F941" i="11"/>
  <c r="F940" i="11"/>
  <c r="F939" i="11"/>
  <c r="F938" i="11"/>
  <c r="F937" i="11"/>
  <c r="F936" i="11"/>
  <c r="F935" i="11"/>
  <c r="F934" i="11"/>
  <c r="F933" i="11"/>
  <c r="F932" i="11"/>
  <c r="F931" i="11"/>
  <c r="F930" i="11"/>
  <c r="F929" i="11"/>
  <c r="F928" i="11"/>
  <c r="F927" i="11"/>
  <c r="F926" i="11"/>
  <c r="F925" i="11"/>
  <c r="F924" i="11"/>
  <c r="F923" i="11"/>
  <c r="F922" i="11"/>
  <c r="F921" i="11"/>
  <c r="F920" i="11"/>
  <c r="F919" i="11"/>
  <c r="F918" i="11"/>
  <c r="F917" i="11"/>
  <c r="F916" i="11"/>
  <c r="F915" i="11"/>
  <c r="F914" i="11"/>
  <c r="F913" i="11"/>
  <c r="F912" i="11"/>
  <c r="F911" i="11"/>
  <c r="F910" i="11"/>
  <c r="F909" i="11"/>
  <c r="F908" i="11"/>
  <c r="F907" i="11"/>
  <c r="F906" i="11"/>
  <c r="F905" i="11"/>
  <c r="F904" i="11"/>
  <c r="F903" i="11"/>
  <c r="F902" i="11"/>
  <c r="F901" i="11"/>
  <c r="F900" i="11"/>
  <c r="F899" i="11"/>
  <c r="F898" i="11"/>
  <c r="F897" i="11"/>
  <c r="F896" i="11"/>
  <c r="F895" i="11"/>
  <c r="F894" i="11"/>
  <c r="F893" i="11"/>
  <c r="F892" i="11"/>
  <c r="F891" i="11"/>
  <c r="F890" i="11"/>
  <c r="F889" i="11"/>
  <c r="F888" i="11"/>
  <c r="F887" i="11"/>
  <c r="F886" i="11"/>
  <c r="F885" i="11"/>
  <c r="F884" i="11"/>
  <c r="F883" i="11"/>
  <c r="F882" i="11"/>
  <c r="F881" i="11"/>
  <c r="F880" i="11"/>
  <c r="F879" i="11"/>
  <c r="F878" i="11"/>
  <c r="F877" i="11"/>
  <c r="F876" i="11"/>
  <c r="F875" i="11"/>
  <c r="F874" i="11"/>
  <c r="F873" i="11"/>
  <c r="F872" i="11"/>
  <c r="F871" i="11"/>
  <c r="F870" i="11"/>
  <c r="F869" i="11"/>
  <c r="F868" i="11"/>
  <c r="F867" i="11"/>
  <c r="F866" i="11"/>
  <c r="F865" i="11"/>
  <c r="F864" i="11"/>
  <c r="F863" i="11"/>
  <c r="F862" i="11"/>
  <c r="F861" i="11"/>
  <c r="F860" i="11"/>
  <c r="F859" i="11"/>
  <c r="F858" i="11"/>
  <c r="F857" i="11"/>
  <c r="F856" i="11"/>
  <c r="F855" i="11"/>
  <c r="F854" i="11"/>
  <c r="F853" i="11"/>
  <c r="F852" i="11"/>
  <c r="F851" i="11"/>
  <c r="F850" i="11"/>
  <c r="F849" i="11"/>
  <c r="F848" i="11"/>
  <c r="F847" i="11"/>
  <c r="F846" i="11"/>
  <c r="F845" i="11"/>
  <c r="F844" i="11"/>
  <c r="F843" i="11"/>
  <c r="F842" i="11"/>
  <c r="F841" i="11"/>
  <c r="F840" i="11"/>
  <c r="F839" i="11"/>
  <c r="F838" i="11"/>
  <c r="F837" i="11"/>
  <c r="F836" i="11"/>
  <c r="F835" i="11"/>
  <c r="F834" i="11"/>
  <c r="F833" i="11"/>
  <c r="F832" i="11"/>
  <c r="F831" i="11"/>
  <c r="F830" i="11"/>
  <c r="F829" i="11"/>
  <c r="F828" i="11"/>
  <c r="F827" i="11"/>
  <c r="F826" i="11"/>
  <c r="F825" i="11"/>
  <c r="F824" i="11"/>
  <c r="F823" i="11"/>
  <c r="F822" i="11"/>
  <c r="F821" i="11"/>
  <c r="F820" i="11"/>
  <c r="F819" i="11"/>
  <c r="F818" i="11"/>
  <c r="F817" i="11"/>
  <c r="F816" i="11"/>
  <c r="F815" i="11"/>
  <c r="F814" i="11"/>
  <c r="F813" i="11"/>
  <c r="F812" i="11"/>
  <c r="F811" i="11"/>
  <c r="F810" i="11"/>
  <c r="F809" i="11"/>
  <c r="F808" i="11"/>
  <c r="F807" i="11"/>
  <c r="F806" i="11"/>
  <c r="F805" i="11"/>
  <c r="F804" i="11"/>
  <c r="F803" i="11"/>
  <c r="F802" i="11"/>
  <c r="F801" i="11"/>
  <c r="F800" i="11"/>
  <c r="F799" i="11"/>
  <c r="F798" i="11"/>
  <c r="F797" i="11"/>
  <c r="F796" i="11"/>
  <c r="F795" i="11"/>
  <c r="F794" i="11"/>
  <c r="F793" i="11"/>
  <c r="F792" i="11"/>
  <c r="F791" i="11"/>
  <c r="F790" i="11"/>
  <c r="F789" i="11"/>
  <c r="F788" i="11"/>
  <c r="F787" i="11"/>
  <c r="F786" i="11"/>
  <c r="F785" i="11"/>
  <c r="F784" i="11"/>
  <c r="F783" i="11"/>
  <c r="F782" i="11"/>
  <c r="F781" i="11"/>
  <c r="F780" i="11"/>
  <c r="F779" i="11"/>
  <c r="F778" i="11"/>
  <c r="F777" i="11"/>
  <c r="F776" i="11"/>
  <c r="F775" i="11"/>
  <c r="F774" i="11"/>
  <c r="F773" i="11"/>
  <c r="F772" i="11"/>
  <c r="F771" i="11"/>
  <c r="F770" i="11"/>
  <c r="F769" i="11"/>
  <c r="F768" i="11"/>
  <c r="F767" i="11"/>
  <c r="F766" i="11"/>
  <c r="F765" i="11"/>
  <c r="F764" i="11"/>
  <c r="F763" i="11"/>
  <c r="F762" i="11"/>
  <c r="F761" i="11"/>
  <c r="F760" i="11"/>
  <c r="F759" i="11"/>
  <c r="F758" i="11"/>
  <c r="F757" i="11"/>
  <c r="F756" i="11"/>
  <c r="F755" i="11"/>
  <c r="F754" i="11"/>
  <c r="F753" i="11"/>
  <c r="F752" i="11"/>
  <c r="F751" i="11"/>
  <c r="F750" i="11"/>
  <c r="F749" i="11"/>
  <c r="F748" i="11"/>
  <c r="F747" i="11"/>
  <c r="F746" i="11"/>
  <c r="F745" i="11"/>
  <c r="F744" i="11"/>
  <c r="F743" i="11"/>
  <c r="F742" i="11"/>
  <c r="F741" i="1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6" i="11"/>
  <c r="F705" i="11"/>
  <c r="F704" i="11"/>
  <c r="F703" i="11"/>
  <c r="F702" i="11"/>
  <c r="F701" i="11"/>
  <c r="F700" i="11"/>
  <c r="F699" i="11"/>
  <c r="F698" i="11"/>
  <c r="F697" i="11"/>
  <c r="F696" i="11"/>
  <c r="F695" i="11"/>
  <c r="F694" i="11"/>
  <c r="F693" i="11"/>
  <c r="F692" i="11"/>
  <c r="F691" i="11"/>
  <c r="F690" i="11"/>
  <c r="F689" i="11"/>
  <c r="F688" i="11"/>
  <c r="F687" i="11"/>
  <c r="F686" i="11"/>
  <c r="F685" i="11"/>
  <c r="F684" i="11"/>
  <c r="F683" i="11"/>
  <c r="F682" i="11"/>
  <c r="F681" i="11"/>
  <c r="F680" i="11"/>
  <c r="F679" i="11"/>
  <c r="F678" i="11"/>
  <c r="F677" i="11"/>
  <c r="F676" i="11"/>
  <c r="F675" i="11"/>
  <c r="F674" i="11"/>
  <c r="F673" i="11"/>
  <c r="F672" i="11"/>
  <c r="F671" i="11"/>
  <c r="F670" i="11"/>
  <c r="F669" i="11"/>
  <c r="F668" i="11"/>
  <c r="F667" i="11"/>
  <c r="F666" i="11"/>
  <c r="F665" i="11"/>
  <c r="F664" i="11"/>
  <c r="F663" i="11"/>
  <c r="F662" i="11"/>
  <c r="F661" i="11"/>
  <c r="F660" i="11"/>
  <c r="F659" i="11"/>
  <c r="F658" i="11"/>
  <c r="F657" i="11"/>
  <c r="F656" i="11"/>
  <c r="F655" i="11"/>
  <c r="F654" i="11"/>
  <c r="F653" i="11"/>
  <c r="F652" i="11"/>
  <c r="F651" i="11"/>
  <c r="F650" i="11"/>
  <c r="F649" i="11"/>
  <c r="F648" i="11"/>
  <c r="F647" i="1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13" i="11"/>
  <c r="F612" i="11"/>
  <c r="F611" i="11"/>
  <c r="F610" i="11"/>
  <c r="F609" i="11"/>
  <c r="F608" i="11"/>
  <c r="F607" i="11"/>
  <c r="F606" i="11"/>
  <c r="F605" i="11"/>
  <c r="F604" i="11"/>
  <c r="F603" i="11"/>
  <c r="F602" i="11"/>
  <c r="F601" i="11"/>
  <c r="F600" i="11"/>
  <c r="F599" i="11"/>
  <c r="F598" i="11"/>
  <c r="F597" i="11"/>
  <c r="F596" i="11"/>
  <c r="F595" i="11"/>
  <c r="F594" i="11"/>
  <c r="F593" i="11"/>
  <c r="F592" i="11"/>
  <c r="F591" i="11"/>
  <c r="F590" i="11"/>
  <c r="F589" i="11"/>
  <c r="F588" i="11"/>
  <c r="F587" i="11"/>
  <c r="F586" i="11"/>
  <c r="F585" i="11"/>
  <c r="F584" i="11"/>
  <c r="F583" i="11"/>
  <c r="F582" i="11"/>
  <c r="F581" i="11"/>
  <c r="F580" i="11"/>
  <c r="F579" i="11"/>
  <c r="F578" i="11"/>
  <c r="F577" i="11"/>
  <c r="F576" i="11"/>
  <c r="F575" i="11"/>
  <c r="F574" i="11"/>
  <c r="F573" i="11"/>
  <c r="F572" i="11"/>
  <c r="F571" i="11"/>
  <c r="F570" i="11"/>
  <c r="F569" i="11"/>
  <c r="F568" i="11"/>
  <c r="F567" i="11"/>
  <c r="F566" i="11"/>
  <c r="F565" i="11"/>
  <c r="F564" i="11"/>
  <c r="F563" i="11"/>
  <c r="F562" i="11"/>
  <c r="F561"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F454" i="11"/>
  <c r="F453" i="11"/>
  <c r="F452" i="11"/>
  <c r="F451" i="11"/>
  <c r="F450" i="11"/>
  <c r="F449" i="11"/>
  <c r="F448" i="11"/>
  <c r="F447" i="11"/>
  <c r="F446" i="11"/>
  <c r="F445" i="11"/>
  <c r="F444" i="11"/>
  <c r="F443" i="11"/>
  <c r="F442" i="11"/>
  <c r="F441" i="11"/>
  <c r="F440" i="11"/>
  <c r="F439" i="11"/>
  <c r="F438" i="11"/>
  <c r="F437" i="11"/>
  <c r="F436" i="11"/>
  <c r="F435" i="11"/>
  <c r="F434" i="11"/>
  <c r="F433" i="11"/>
  <c r="F432" i="11"/>
  <c r="F431" i="11"/>
  <c r="F430" i="11"/>
  <c r="F429" i="11"/>
  <c r="F428" i="11"/>
  <c r="F427" i="11"/>
  <c r="F426" i="11"/>
  <c r="F425" i="11"/>
  <c r="F424" i="11"/>
  <c r="F423" i="11"/>
  <c r="F422" i="11"/>
  <c r="F421" i="11"/>
  <c r="F420" i="11"/>
  <c r="F419" i="11"/>
  <c r="F418" i="11"/>
  <c r="F417" i="11"/>
  <c r="F416" i="11"/>
  <c r="F415" i="11"/>
  <c r="F414" i="11"/>
  <c r="F413" i="11"/>
  <c r="F412" i="11"/>
  <c r="F411" i="11"/>
  <c r="F410" i="11"/>
  <c r="F409" i="11"/>
  <c r="F408" i="11"/>
  <c r="F407" i="11"/>
  <c r="F406" i="11"/>
  <c r="F405" i="11"/>
  <c r="F404" i="11"/>
  <c r="F403" i="11"/>
  <c r="F402" i="11"/>
  <c r="F401" i="11"/>
  <c r="F400" i="11"/>
  <c r="F399" i="11"/>
  <c r="F398" i="11"/>
  <c r="F397" i="11"/>
  <c r="F396" i="11"/>
  <c r="F395" i="11"/>
  <c r="F394" i="11"/>
  <c r="F393" i="11"/>
  <c r="F392" i="11"/>
  <c r="F391" i="11"/>
  <c r="F390" i="11"/>
  <c r="F389" i="11"/>
  <c r="F388" i="11"/>
  <c r="F387" i="11"/>
  <c r="F386" i="11"/>
  <c r="F385" i="11"/>
  <c r="F384" i="11"/>
  <c r="F383" i="11"/>
  <c r="F382" i="11"/>
  <c r="F381" i="11"/>
  <c r="F380" i="11"/>
  <c r="F379" i="11"/>
  <c r="F378" i="11"/>
  <c r="F377" i="11"/>
  <c r="F376" i="11"/>
  <c r="F375" i="11"/>
  <c r="F374" i="11"/>
  <c r="F373" i="11"/>
  <c r="F372" i="11"/>
  <c r="F371" i="11"/>
  <c r="F370" i="11"/>
  <c r="F369" i="11"/>
  <c r="F368" i="11"/>
  <c r="F367" i="11"/>
  <c r="F366" i="11"/>
  <c r="F365" i="11"/>
  <c r="F364" i="11"/>
  <c r="F363" i="11"/>
  <c r="F362" i="11"/>
  <c r="F361" i="11"/>
  <c r="F360" i="11"/>
  <c r="F359" i="11"/>
  <c r="F358" i="11"/>
  <c r="F357" i="11"/>
  <c r="F356" i="11"/>
  <c r="F355" i="11"/>
  <c r="F354" i="11"/>
  <c r="F353" i="11"/>
  <c r="F352" i="11"/>
  <c r="F351" i="11"/>
  <c r="F350" i="11"/>
  <c r="F349" i="11"/>
  <c r="F348" i="11"/>
  <c r="F347" i="11"/>
  <c r="F346" i="11"/>
  <c r="F345" i="11"/>
  <c r="F344" i="11"/>
  <c r="F343" i="11"/>
  <c r="F342" i="11"/>
  <c r="F341" i="11"/>
  <c r="F340" i="11"/>
  <c r="F339" i="11"/>
  <c r="F338" i="11"/>
  <c r="F337" i="11"/>
  <c r="F336" i="11"/>
  <c r="F335" i="11"/>
  <c r="F334" i="11"/>
  <c r="F333" i="11"/>
  <c r="F332" i="11"/>
  <c r="F331" i="11"/>
  <c r="F330" i="11"/>
  <c r="F329" i="11"/>
  <c r="F328" i="11"/>
  <c r="F327" i="11"/>
  <c r="F326" i="11"/>
  <c r="F325" i="11"/>
  <c r="F324" i="11"/>
  <c r="F323" i="11"/>
  <c r="F322" i="11"/>
  <c r="F321" i="11"/>
  <c r="F320" i="11"/>
  <c r="F319" i="11"/>
  <c r="F318" i="11"/>
  <c r="F317" i="11"/>
  <c r="F316" i="11"/>
  <c r="F315" i="11"/>
  <c r="F314" i="11"/>
  <c r="F313" i="11"/>
  <c r="F312" i="11"/>
  <c r="F311" i="11"/>
  <c r="F310" i="11"/>
  <c r="F309" i="11"/>
  <c r="F308" i="11"/>
  <c r="F307" i="11"/>
  <c r="F306" i="11"/>
  <c r="F305" i="11"/>
  <c r="F304" i="11"/>
  <c r="F303" i="11"/>
  <c r="F302" i="11"/>
  <c r="F301" i="11"/>
  <c r="F300" i="11"/>
  <c r="F299" i="11"/>
  <c r="F298" i="11"/>
  <c r="F297" i="11"/>
  <c r="F296" i="11"/>
  <c r="F295" i="11"/>
  <c r="F294" i="11"/>
  <c r="F293" i="11"/>
  <c r="F292" i="11"/>
  <c r="F291" i="11"/>
  <c r="F290" i="11"/>
  <c r="F289" i="11"/>
  <c r="F288" i="11"/>
  <c r="F287" i="11"/>
  <c r="F286" i="11"/>
  <c r="F285" i="11"/>
  <c r="F284" i="11"/>
  <c r="F283" i="11"/>
  <c r="F282" i="11"/>
  <c r="F281" i="11"/>
  <c r="F280" i="11"/>
  <c r="F279" i="11"/>
  <c r="F278" i="11"/>
  <c r="F277" i="11"/>
  <c r="F276" i="11"/>
  <c r="F275" i="11"/>
  <c r="F274" i="11"/>
  <c r="F273" i="11"/>
  <c r="F272" i="11"/>
  <c r="F271" i="11"/>
  <c r="F270" i="11"/>
  <c r="F269" i="11"/>
  <c r="F268" i="11"/>
  <c r="F267" i="11"/>
  <c r="F266" i="11"/>
  <c r="F265" i="11"/>
  <c r="F264" i="11"/>
  <c r="F263" i="11"/>
  <c r="F262" i="11"/>
  <c r="F261" i="11"/>
  <c r="F260" i="11"/>
  <c r="F259" i="11"/>
  <c r="F258" i="11"/>
  <c r="F257" i="11"/>
  <c r="F256" i="11"/>
  <c r="F255" i="11"/>
  <c r="F254" i="11"/>
  <c r="F253" i="11"/>
  <c r="F252" i="11"/>
  <c r="F251" i="11"/>
  <c r="F250" i="11"/>
  <c r="F249" i="11"/>
  <c r="F248" i="11"/>
  <c r="F247" i="11"/>
  <c r="F246" i="11"/>
  <c r="F245" i="11"/>
  <c r="F244" i="11"/>
  <c r="F243" i="11"/>
  <c r="F242" i="11"/>
  <c r="F241" i="11"/>
  <c r="F240" i="11"/>
  <c r="F239" i="11"/>
  <c r="F238" i="11"/>
  <c r="F237" i="11"/>
  <c r="F236" i="11"/>
  <c r="F235" i="11"/>
  <c r="F234" i="11"/>
  <c r="F233" i="11"/>
  <c r="F232" i="11"/>
  <c r="F231" i="11"/>
  <c r="F230" i="11"/>
  <c r="F229" i="11"/>
  <c r="F228" i="11"/>
  <c r="F227" i="11"/>
  <c r="F226" i="11"/>
  <c r="F225" i="11"/>
  <c r="F224" i="11"/>
  <c r="F223" i="11"/>
  <c r="F222" i="11"/>
  <c r="F221" i="11"/>
  <c r="F220" i="11"/>
  <c r="F219" i="11"/>
  <c r="F218" i="11"/>
  <c r="F217" i="11"/>
  <c r="F216" i="11"/>
  <c r="F215" i="11"/>
  <c r="F214" i="11"/>
  <c r="F213" i="11"/>
  <c r="F212" i="11"/>
  <c r="F211" i="11"/>
  <c r="F210" i="11"/>
  <c r="F209" i="11"/>
  <c r="F208" i="11"/>
  <c r="F207" i="11"/>
  <c r="F206" i="11"/>
  <c r="F205" i="11"/>
  <c r="F204" i="11"/>
  <c r="F203" i="11"/>
  <c r="F202" i="11"/>
  <c r="F201" i="11"/>
  <c r="F200" i="11"/>
  <c r="F199" i="11"/>
  <c r="F198" i="11"/>
  <c r="F197" i="11"/>
  <c r="F196" i="11"/>
  <c r="F195" i="11"/>
  <c r="F194" i="11"/>
  <c r="F193" i="11"/>
  <c r="F192" i="11"/>
  <c r="F191" i="11"/>
  <c r="F190" i="11"/>
  <c r="F189" i="11"/>
  <c r="F188" i="11"/>
  <c r="F187" i="11"/>
  <c r="F186" i="11"/>
  <c r="F185" i="11"/>
  <c r="F184" i="11"/>
  <c r="F183" i="11"/>
  <c r="F182" i="11"/>
  <c r="F181" i="11"/>
  <c r="F180" i="11"/>
  <c r="F179" i="11"/>
  <c r="F178" i="11"/>
  <c r="F177" i="11"/>
  <c r="F176" i="11"/>
  <c r="F175" i="11"/>
  <c r="F174" i="11"/>
  <c r="F173" i="11"/>
  <c r="F172" i="11"/>
  <c r="F171" i="11"/>
  <c r="F170" i="11"/>
  <c r="F169" i="11"/>
  <c r="F168" i="11"/>
  <c r="F167" i="11"/>
  <c r="F166" i="11"/>
  <c r="F165" i="11"/>
  <c r="F164" i="11"/>
  <c r="F163" i="11"/>
  <c r="F162" i="11"/>
  <c r="F161" i="11"/>
  <c r="F160" i="11"/>
  <c r="F159" i="11"/>
  <c r="F158" i="11"/>
  <c r="F157" i="11"/>
  <c r="F156" i="11"/>
  <c r="F155" i="11"/>
  <c r="F154" i="11"/>
  <c r="F153" i="11"/>
  <c r="F152" i="11"/>
  <c r="F151" i="11"/>
  <c r="F150" i="11"/>
  <c r="F149" i="11"/>
  <c r="F148" i="11"/>
  <c r="F147" i="11"/>
  <c r="F146" i="11"/>
  <c r="F145" i="11"/>
  <c r="F144" i="11"/>
  <c r="F143" i="11"/>
  <c r="F142" i="11"/>
  <c r="F141" i="11"/>
  <c r="F140" i="11"/>
  <c r="F139" i="11"/>
  <c r="F138" i="11"/>
  <c r="F137" i="11"/>
  <c r="F136" i="11"/>
  <c r="F135" i="11"/>
  <c r="F134" i="11"/>
  <c r="F133" i="11"/>
  <c r="F132" i="11"/>
  <c r="F131" i="11"/>
  <c r="F130" i="11"/>
  <c r="F129" i="11"/>
  <c r="F128" i="11"/>
  <c r="F127" i="11"/>
  <c r="F126" i="11"/>
  <c r="F125" i="11"/>
  <c r="F124" i="11"/>
  <c r="F123" i="11"/>
  <c r="F122" i="11"/>
  <c r="F121" i="11"/>
  <c r="F120" i="11"/>
  <c r="F119" i="11"/>
  <c r="F118" i="11"/>
  <c r="F117" i="11"/>
  <c r="F116" i="11"/>
  <c r="F115" i="11"/>
  <c r="F114" i="11"/>
  <c r="F113" i="11"/>
  <c r="F112" i="11"/>
  <c r="F111" i="11"/>
  <c r="F110" i="11"/>
  <c r="F109" i="11"/>
  <c r="F108" i="11"/>
  <c r="F107" i="11"/>
  <c r="F106" i="11"/>
  <c r="F105" i="11"/>
  <c r="F104" i="11"/>
  <c r="F103" i="11"/>
  <c r="F102" i="11"/>
  <c r="F101" i="11"/>
  <c r="F100" i="11"/>
  <c r="F99" i="11"/>
  <c r="F98" i="11"/>
  <c r="F97" i="11"/>
  <c r="F96" i="11"/>
  <c r="F95" i="11"/>
  <c r="F94" i="11"/>
  <c r="F93" i="11"/>
  <c r="F92" i="11"/>
  <c r="F91" i="11"/>
  <c r="F90" i="11"/>
  <c r="F89" i="11"/>
  <c r="F88" i="11"/>
  <c r="F87" i="11"/>
  <c r="F86" i="11"/>
  <c r="F85" i="11"/>
  <c r="F84" i="11"/>
  <c r="F83" i="11"/>
  <c r="F82" i="11"/>
  <c r="F81" i="11"/>
  <c r="F80" i="11"/>
  <c r="F79" i="11"/>
  <c r="F78" i="11"/>
  <c r="F77" i="11"/>
  <c r="F76" i="11"/>
  <c r="F75" i="11"/>
  <c r="F74" i="11"/>
  <c r="F73" i="11"/>
  <c r="F72" i="11"/>
  <c r="F71" i="11"/>
  <c r="F70" i="11"/>
  <c r="F69" i="11"/>
  <c r="F68" i="11"/>
  <c r="F67" i="11"/>
  <c r="F66" i="11"/>
  <c r="F65" i="11"/>
  <c r="F64" i="11"/>
  <c r="F63" i="11"/>
  <c r="F62" i="11"/>
  <c r="F61" i="11"/>
  <c r="F60" i="11"/>
  <c r="F59" i="11"/>
  <c r="F58" i="11"/>
  <c r="F57" i="11"/>
  <c r="F56" i="11"/>
  <c r="F55" i="11"/>
  <c r="F54" i="11"/>
  <c r="F53" i="11"/>
  <c r="F52" i="11"/>
  <c r="F51" i="11"/>
  <c r="F50" i="11"/>
  <c r="F49" i="11"/>
  <c r="F48" i="11"/>
  <c r="F47" i="11"/>
  <c r="F46" i="11"/>
  <c r="H46" i="11" s="1"/>
  <c r="F45" i="11"/>
  <c r="F44" i="11"/>
  <c r="F43" i="11"/>
  <c r="F42" i="11"/>
  <c r="F41" i="11"/>
  <c r="F40" i="11"/>
  <c r="F39" i="11"/>
  <c r="F38" i="11"/>
  <c r="F37" i="11"/>
  <c r="F36" i="11"/>
  <c r="F35" i="11"/>
  <c r="F34" i="11"/>
  <c r="F33" i="11"/>
  <c r="F32" i="11"/>
  <c r="F31" i="11"/>
  <c r="F30" i="11"/>
  <c r="F29" i="11"/>
  <c r="F28" i="11"/>
  <c r="F27" i="11"/>
  <c r="F26" i="11"/>
  <c r="F25" i="11"/>
  <c r="F24" i="11"/>
  <c r="F23" i="11"/>
  <c r="F22" i="11"/>
  <c r="F21" i="11"/>
  <c r="F20" i="11"/>
  <c r="F19" i="11"/>
  <c r="F18" i="11"/>
  <c r="F17" i="11"/>
  <c r="F16" i="11"/>
  <c r="F15" i="11"/>
  <c r="F14" i="11"/>
  <c r="F13" i="11"/>
  <c r="F12" i="11"/>
  <c r="F11" i="11"/>
  <c r="F10" i="11"/>
  <c r="F9" i="11"/>
  <c r="F8" i="11"/>
  <c r="F7" i="11"/>
  <c r="F6" i="11"/>
  <c r="F36" i="4"/>
  <c r="F36" i="2"/>
  <c r="G29" i="2"/>
  <c r="M26" i="1" l="1"/>
  <c r="M27" i="1"/>
  <c r="M25" i="1"/>
  <c r="F37" i="4" l="1"/>
  <c r="F37" i="2"/>
  <c r="C7" i="6" l="1"/>
  <c r="C8" i="6"/>
  <c r="D11" i="6"/>
  <c r="E12" i="6"/>
  <c r="E13" i="6"/>
  <c r="E24" i="6"/>
  <c r="M10" i="1"/>
  <c r="K4" i="1" l="1"/>
  <c r="J4" i="3" l="1"/>
  <c r="J7" i="3"/>
  <c r="C29" i="2" l="1"/>
  <c r="N23" i="2" l="1"/>
  <c r="N24" i="2" l="1"/>
  <c r="M17" i="1"/>
  <c r="J18" i="3"/>
  <c r="J5" i="3"/>
  <c r="J16" i="3"/>
  <c r="M16" i="3" s="1"/>
  <c r="J22" i="3"/>
  <c r="E29" i="2" l="1"/>
  <c r="E29" i="4"/>
  <c r="L34" i="4"/>
  <c r="J20" i="3" l="1"/>
  <c r="C29" i="4" l="1"/>
  <c r="C10" i="4"/>
  <c r="C9" i="4"/>
  <c r="C8" i="4"/>
  <c r="C7" i="4"/>
  <c r="C6" i="4"/>
  <c r="C5" i="4"/>
  <c r="E6" i="4" l="1"/>
  <c r="M12" i="1" l="1"/>
  <c r="E18" i="6" s="1"/>
  <c r="J11" i="3" l="1"/>
  <c r="M11" i="3" s="1"/>
  <c r="E49" i="2" l="1"/>
  <c r="J13" i="1"/>
  <c r="E21" i="6" s="1"/>
  <c r="C46" i="2"/>
  <c r="C45" i="2"/>
  <c r="E48" i="2"/>
  <c r="C5" i="2"/>
  <c r="E30" i="6" l="1"/>
  <c r="C50" i="2"/>
  <c r="C54" i="2"/>
  <c r="C53" i="2"/>
  <c r="C52" i="2"/>
  <c r="C47" i="2"/>
  <c r="C43" i="2"/>
  <c r="C7" i="2"/>
  <c r="C9" i="2"/>
  <c r="C8" i="2"/>
  <c r="C6" i="2"/>
  <c r="E6" i="2" s="1"/>
  <c r="C10" i="2"/>
  <c r="J12" i="3" l="1"/>
  <c r="M12" i="3" s="1"/>
  <c r="M13" i="1" l="1"/>
  <c r="E46" i="2" l="1"/>
  <c r="D46" i="2" s="1"/>
  <c r="J6" i="3"/>
  <c r="B5" i="3"/>
  <c r="E5" i="4" l="1"/>
  <c r="D5" i="4" s="1"/>
  <c r="D7" i="4" s="1"/>
  <c r="E7" i="4" s="1"/>
  <c r="M7" i="3"/>
  <c r="M6" i="3"/>
  <c r="M9" i="3"/>
  <c r="M8" i="3"/>
  <c r="B5" i="1"/>
  <c r="E26" i="6" s="1"/>
  <c r="D8" i="4" l="1"/>
  <c r="D9" i="4" s="1"/>
  <c r="E5" i="2"/>
  <c r="D5" i="2" s="1"/>
  <c r="D7" i="2" s="1"/>
  <c r="D8" i="2" s="1"/>
  <c r="D9" i="2" s="1"/>
  <c r="J6" i="1"/>
  <c r="E9" i="6" s="1"/>
  <c r="E8" i="4" l="1"/>
  <c r="E9" i="4"/>
  <c r="D10" i="4"/>
  <c r="E7" i="2"/>
  <c r="D10" i="2"/>
  <c r="M8" i="1"/>
  <c r="M6" i="1"/>
  <c r="M7" i="1"/>
  <c r="E10" i="6" s="1"/>
  <c r="M9" i="1" l="1"/>
  <c r="E23" i="6" s="1"/>
  <c r="J13" i="3"/>
  <c r="J14" i="3" s="1"/>
  <c r="E10" i="4"/>
  <c r="C38" i="4" l="1"/>
  <c r="G38" i="4" s="1"/>
  <c r="V7" i="4"/>
  <c r="V8" i="4" s="1"/>
  <c r="C18" i="4"/>
  <c r="E18" i="4" s="1"/>
  <c r="C36" i="4"/>
  <c r="C37" i="4"/>
  <c r="E37" i="4" s="1"/>
  <c r="C28" i="4"/>
  <c r="C32" i="4"/>
  <c r="E32" i="4" s="1"/>
  <c r="C34" i="4"/>
  <c r="G34" i="4" s="1"/>
  <c r="C16" i="4"/>
  <c r="G16" i="4" s="1"/>
  <c r="C31" i="4"/>
  <c r="G31" i="4" s="1"/>
  <c r="C15" i="4"/>
  <c r="C21" i="4" s="1"/>
  <c r="C17" i="4"/>
  <c r="G17" i="4" s="1"/>
  <c r="C13" i="4"/>
  <c r="E13" i="4" s="1"/>
  <c r="C14" i="4"/>
  <c r="G14" i="4" s="1"/>
  <c r="C23" i="4"/>
  <c r="G23" i="4" s="1"/>
  <c r="C33" i="4"/>
  <c r="E33" i="4" s="1"/>
  <c r="C25" i="4"/>
  <c r="G25" i="4" s="1"/>
  <c r="C12" i="4"/>
  <c r="F12" i="4" s="1"/>
  <c r="G12" i="4" s="1"/>
  <c r="C35" i="4"/>
  <c r="E35" i="4" s="1"/>
  <c r="C19" i="4" l="1"/>
  <c r="C20" i="4" s="1"/>
  <c r="C22" i="4" s="1"/>
  <c r="G37" i="4"/>
  <c r="G32" i="4"/>
  <c r="G28" i="4"/>
  <c r="E28" i="4"/>
  <c r="E16" i="4"/>
  <c r="E38" i="4"/>
  <c r="C24" i="4"/>
  <c r="E17" i="4"/>
  <c r="E31" i="4"/>
  <c r="E34" i="4"/>
  <c r="G15" i="4"/>
  <c r="E14" i="4"/>
  <c r="E15" i="4"/>
  <c r="G13" i="4"/>
  <c r="E12" i="4"/>
  <c r="G35" i="4"/>
  <c r="G33" i="4"/>
  <c r="E23" i="4"/>
  <c r="G18" i="4"/>
  <c r="E25" i="4"/>
  <c r="E21" i="4"/>
  <c r="G21" i="4"/>
  <c r="G24" i="4" l="1"/>
  <c r="C27" i="4"/>
  <c r="E19" i="4"/>
  <c r="G36" i="4"/>
  <c r="E24" i="4"/>
  <c r="G19" i="4"/>
  <c r="E20" i="4"/>
  <c r="E22" i="4"/>
  <c r="G20" i="4"/>
  <c r="C26" i="4"/>
  <c r="G26" i="4" s="1"/>
  <c r="E27" i="4" l="1"/>
  <c r="G27" i="4"/>
  <c r="E36" i="4"/>
  <c r="G22" i="4"/>
  <c r="E26" i="4"/>
  <c r="E9" i="2"/>
  <c r="E8" i="2"/>
  <c r="C40" i="4" l="1"/>
  <c r="C39" i="4" s="1"/>
  <c r="G39" i="4" s="1"/>
  <c r="E30" i="4"/>
  <c r="G30" i="4" s="1"/>
  <c r="G40" i="4"/>
  <c r="E39" i="4"/>
  <c r="E42" i="4" s="1"/>
  <c r="E10" i="2"/>
  <c r="E40" i="4" l="1"/>
  <c r="C38" i="2"/>
  <c r="G38" i="2" s="1"/>
  <c r="X7" i="2"/>
  <c r="X8" i="2" s="1"/>
  <c r="C18" i="2"/>
  <c r="E18" i="2" s="1"/>
  <c r="G43" i="4"/>
  <c r="C37" i="2"/>
  <c r="C36" i="2"/>
  <c r="C35" i="2"/>
  <c r="G35" i="2" s="1"/>
  <c r="E41" i="4"/>
  <c r="E43" i="4" s="1"/>
  <c r="E45" i="4" s="1"/>
  <c r="C34" i="2"/>
  <c r="G34" i="2" s="1"/>
  <c r="C17" i="2"/>
  <c r="E17" i="2" s="1"/>
  <c r="C13" i="2"/>
  <c r="C16" i="2"/>
  <c r="G16" i="2" s="1"/>
  <c r="C31" i="2"/>
  <c r="E31" i="2" s="1"/>
  <c r="C28" i="2"/>
  <c r="G28" i="2" s="1"/>
  <c r="C32" i="2"/>
  <c r="G32" i="2" s="1"/>
  <c r="C15" i="2"/>
  <c r="C21" i="2" s="1"/>
  <c r="C25" i="2"/>
  <c r="E25" i="2" s="1"/>
  <c r="C33" i="2"/>
  <c r="E33" i="2" s="1"/>
  <c r="C14" i="2"/>
  <c r="G14" i="2" s="1"/>
  <c r="C12" i="2"/>
  <c r="C23" i="2"/>
  <c r="G23" i="2" s="1"/>
  <c r="E37" i="2" l="1"/>
  <c r="G37" i="2"/>
  <c r="G36" i="2"/>
  <c r="E36" i="2"/>
  <c r="C19" i="2"/>
  <c r="B6" i="3"/>
  <c r="E44" i="4"/>
  <c r="C51" i="4"/>
  <c r="H43" i="4"/>
  <c r="E47" i="4"/>
  <c r="B7" i="3"/>
  <c r="C50" i="4"/>
  <c r="E34" i="2"/>
  <c r="G17" i="2"/>
  <c r="E12" i="2"/>
  <c r="F12" i="2"/>
  <c r="G12" i="2" s="1"/>
  <c r="G13" i="2"/>
  <c r="E13" i="2"/>
  <c r="G31" i="2"/>
  <c r="E16" i="2"/>
  <c r="E32" i="2"/>
  <c r="E28" i="2"/>
  <c r="E38" i="2"/>
  <c r="G33" i="2"/>
  <c r="G25" i="2"/>
  <c r="E35" i="2"/>
  <c r="G15" i="2"/>
  <c r="E15" i="2"/>
  <c r="C24" i="2"/>
  <c r="C27" i="2" s="1"/>
  <c r="E14" i="2"/>
  <c r="E23" i="2"/>
  <c r="G18" i="2"/>
  <c r="G21" i="2"/>
  <c r="E21" i="2"/>
  <c r="E19" i="2" l="1"/>
  <c r="G19" i="2"/>
  <c r="C20" i="2"/>
  <c r="C22" i="2" s="1"/>
  <c r="B10" i="3"/>
  <c r="B11" i="3" s="1"/>
  <c r="K18" i="3"/>
  <c r="E48" i="4" s="1"/>
  <c r="B9" i="3"/>
  <c r="E53" i="2" s="1"/>
  <c r="E46" i="4"/>
  <c r="E24" i="2"/>
  <c r="G24" i="2"/>
  <c r="G27" i="2"/>
  <c r="E27" i="2"/>
  <c r="C40" i="2" l="1"/>
  <c r="G40" i="2" s="1"/>
  <c r="E30" i="2"/>
  <c r="G30" i="2" s="1"/>
  <c r="E54" i="2"/>
  <c r="C26" i="2"/>
  <c r="E20" i="2"/>
  <c r="G20" i="2"/>
  <c r="B12" i="3"/>
  <c r="D53" i="2"/>
  <c r="G22" i="2" l="1"/>
  <c r="E22" i="2"/>
  <c r="E26" i="2"/>
  <c r="G26" i="2"/>
  <c r="C59" i="2"/>
  <c r="D54" i="2"/>
  <c r="C39" i="2"/>
  <c r="E39" i="2" s="1"/>
  <c r="E40" i="2"/>
  <c r="G39" i="2" l="1"/>
  <c r="E42" i="2"/>
  <c r="E41" i="2"/>
  <c r="G43" i="2" l="1"/>
  <c r="E43" i="2"/>
  <c r="E29" i="6" s="1"/>
  <c r="E27" i="6" l="1"/>
  <c r="E47" i="2"/>
  <c r="H43" i="2"/>
  <c r="C56" i="2"/>
  <c r="C57" i="2"/>
  <c r="J14" i="1" s="1"/>
  <c r="E50" i="2"/>
  <c r="D50" i="2" s="1"/>
  <c r="B7" i="1"/>
  <c r="F43" i="2"/>
  <c r="B6" i="1"/>
  <c r="D43" i="2"/>
  <c r="E45" i="2"/>
  <c r="E44" i="2"/>
  <c r="K19" i="1" s="1"/>
  <c r="J15" i="1" l="1"/>
  <c r="E25" i="6"/>
  <c r="E52" i="2"/>
  <c r="E32" i="6" s="1"/>
  <c r="E28" i="6"/>
  <c r="E31" i="6" s="1"/>
  <c r="B10" i="1"/>
  <c r="E51" i="2"/>
  <c r="B9" i="1"/>
  <c r="D45" i="2"/>
  <c r="D47" i="2"/>
  <c r="E34" i="6" l="1"/>
  <c r="B12" i="1"/>
  <c r="D52" i="2"/>
  <c r="B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ANARCY</author>
    <author>GUIBERT Corinne</author>
  </authors>
  <commentList>
    <comment ref="J5" authorId="0" shapeId="0" xr:uid="{00000000-0006-0000-0100-000001000000}">
      <text>
        <r>
          <rPr>
            <b/>
            <sz val="9"/>
            <color indexed="81"/>
            <rFont val="Tahoma"/>
            <family val="2"/>
          </rPr>
          <t>ANARCY:</t>
        </r>
        <r>
          <rPr>
            <sz val="9"/>
            <color indexed="81"/>
            <rFont val="Tahoma"/>
            <family val="2"/>
          </rPr>
          <t xml:space="preserve">
choisir de preference 18 jours</t>
        </r>
      </text>
    </comment>
    <comment ref="J8" authorId="0" shapeId="0" xr:uid="{00000000-0006-0000-0100-000002000000}">
      <text>
        <r>
          <rPr>
            <b/>
            <sz val="9"/>
            <color indexed="81"/>
            <rFont val="Tahoma"/>
            <family val="2"/>
          </rPr>
          <t>ANARCY:</t>
        </r>
        <r>
          <rPr>
            <sz val="9"/>
            <color indexed="81"/>
            <rFont val="Tahoma"/>
            <family val="2"/>
          </rPr>
          <t xml:space="preserve">
Si CDD, mettre a 0%</t>
        </r>
      </text>
    </comment>
    <comment ref="J9" authorId="1" shapeId="0" xr:uid="{00000000-0006-0000-0100-000003000000}">
      <text>
        <r>
          <rPr>
            <b/>
            <sz val="9"/>
            <color indexed="81"/>
            <rFont val="Tahoma"/>
            <family val="2"/>
          </rPr>
          <t>GUIBERT Corinne:</t>
        </r>
        <r>
          <rPr>
            <sz val="9"/>
            <color indexed="81"/>
            <rFont val="Tahoma"/>
            <family val="2"/>
          </rPr>
          <t xml:space="preserve">
si CDD mettre 0%
si CDI mettre le taux negocié
</t>
        </r>
      </text>
    </comment>
    <comment ref="J10" authorId="1" shapeId="0" xr:uid="{00000000-0006-0000-0100-000004000000}">
      <text>
        <r>
          <rPr>
            <b/>
            <sz val="9"/>
            <color indexed="81"/>
            <rFont val="Tahoma"/>
            <family val="2"/>
          </rPr>
          <t>GUIBERT Corinne:</t>
        </r>
        <r>
          <rPr>
            <sz val="9"/>
            <color indexed="81"/>
            <rFont val="Tahoma"/>
            <family val="2"/>
          </rPr>
          <t xml:space="preserve">
si CDD mettre 10%
si CDI mettre 0%
</t>
        </r>
      </text>
    </comment>
  </commentList>
</comments>
</file>

<file path=xl/sharedStrings.xml><?xml version="1.0" encoding="utf-8"?>
<sst xmlns="http://schemas.openxmlformats.org/spreadsheetml/2006/main" count="55579" uniqueCount="27662">
  <si>
    <t>HOW TO USE THE PORTALIA'S MC2 ?</t>
  </si>
  <si>
    <r>
      <t>You can complete only the field in</t>
    </r>
    <r>
      <rPr>
        <b/>
        <sz val="11"/>
        <color theme="9"/>
        <rFont val="Calibri"/>
        <family val="2"/>
        <scheme val="minor"/>
      </rPr>
      <t xml:space="preserve"> green</t>
    </r>
  </si>
  <si>
    <t>1. Complete the ''Calcul Avec prov'' tab</t>
  </si>
  <si>
    <t>2. The purpose is to have the cell J4, identic to B12</t>
  </si>
  <si>
    <t>3. For that, you must click on Button 1</t>
  </si>
  <si>
    <t>(carefull, it must exist a little differences between the 2 amount. Remember, it is a simulation)</t>
  </si>
  <si>
    <t>4. Just click on Button 1 on ''Calcul Sans prov'' and be sure that all the information match with ''Calcul Avec prov''</t>
  </si>
  <si>
    <t>5. Finally, use the ''Template'' tab or the ''Buletin de Salaire' one to give the simulation to the candidate</t>
  </si>
  <si>
    <t>6. Do not forget to tell to the candidate that it is just a simulation</t>
  </si>
  <si>
    <t xml:space="preserve">For any information, do not hesitate to contact PORTALIA_HR@PORTALIA.FR </t>
  </si>
  <si>
    <t xml:space="preserve"> </t>
  </si>
  <si>
    <t>BRUT</t>
  </si>
  <si>
    <t>annuel</t>
  </si>
  <si>
    <t>Taux journalier</t>
  </si>
  <si>
    <t>mensuel</t>
  </si>
  <si>
    <t>Nombre de jour</t>
  </si>
  <si>
    <t>Charges Salariales</t>
  </si>
  <si>
    <t>C.A consultant</t>
  </si>
  <si>
    <t>Charges Patronales</t>
  </si>
  <si>
    <t>Frais de gestion</t>
  </si>
  <si>
    <t>montant</t>
  </si>
  <si>
    <t>Prime de fin de contrat</t>
  </si>
  <si>
    <t>NET</t>
  </si>
  <si>
    <t>Provisions CDI</t>
  </si>
  <si>
    <t>Cout Total</t>
  </si>
  <si>
    <t>Provisions CDD</t>
  </si>
  <si>
    <t>Frais de gestion fixe</t>
  </si>
  <si>
    <t>journalier</t>
  </si>
  <si>
    <t>Frais de fonctionnement</t>
  </si>
  <si>
    <t>Ticket restaurant - 50% pat</t>
  </si>
  <si>
    <t>Masse salariale disponible</t>
  </si>
  <si>
    <t>Cout employeur</t>
  </si>
  <si>
    <t>Mutuelle</t>
  </si>
  <si>
    <t>Oui</t>
  </si>
  <si>
    <t>Taux d'impot</t>
  </si>
  <si>
    <t>Ticket - Restaurant</t>
  </si>
  <si>
    <t>Avance sur salaire</t>
  </si>
  <si>
    <t>Nom de la commune &amp; zone transport</t>
  </si>
  <si>
    <t>Code commune - INSEE</t>
  </si>
  <si>
    <t>% - taux de transport après abattement</t>
  </si>
  <si>
    <t xml:space="preserve">Pour connaitre le code commune rattaché au code postal du lieu de travail, le lien URSSAF : </t>
  </si>
  <si>
    <t>https://www.urssaf.fr/portail/home/taux-et-baremes/versement-mobilite.html</t>
  </si>
  <si>
    <t>Mensuel</t>
  </si>
  <si>
    <t>Nombre de jours travaillés</t>
  </si>
  <si>
    <t>Facturation client (HT)</t>
  </si>
  <si>
    <t>[en pourcentage de la facturation]</t>
  </si>
  <si>
    <t>Frais complémentaires (pack medical, CVAE, RC et GF)</t>
  </si>
  <si>
    <t>Tickets restaurant</t>
  </si>
  <si>
    <t>Total des provisions</t>
  </si>
  <si>
    <t xml:space="preserve"> [en pourcentage]</t>
  </si>
  <si>
    <t>[charges patronales entre 40 et 45% - hors provisions]</t>
  </si>
  <si>
    <t>Salaire net avant impot (sur Bulletin de Salaire)</t>
  </si>
  <si>
    <t>[charges salariales comprises entre 20 et 24%]</t>
  </si>
  <si>
    <t>Frais de fonctionnement + TR (Payés hors Bulletin de Salaire)</t>
  </si>
  <si>
    <t>Salaire net + Frais + Tickets Restaurant</t>
  </si>
  <si>
    <t>Provisions net reversées en fin de contrat / en intercontrat</t>
  </si>
  <si>
    <t>Taux de reversion</t>
  </si>
  <si>
    <t>Récapitulatif de paie détaillé</t>
  </si>
  <si>
    <t>SMIC Horaire</t>
  </si>
  <si>
    <t>SALARIE PORTE</t>
  </si>
  <si>
    <t>Code</t>
  </si>
  <si>
    <t>Libellé</t>
  </si>
  <si>
    <t>Jours payés</t>
  </si>
  <si>
    <t>Salaire journalier</t>
  </si>
  <si>
    <t>Salaire mensuel</t>
  </si>
  <si>
    <t>Salaire Brut calculé</t>
  </si>
  <si>
    <t/>
  </si>
  <si>
    <t>Salaire de base minimum</t>
  </si>
  <si>
    <t xml:space="preserve">Salaire complémentaire </t>
  </si>
  <si>
    <t xml:space="preserve">  Tranche A</t>
  </si>
  <si>
    <t>Ind. Apporteur d'affaires (5%)</t>
  </si>
  <si>
    <t xml:space="preserve">  Tranche B</t>
  </si>
  <si>
    <t>Ind. De congés payés</t>
  </si>
  <si>
    <t>Total salaire Brut</t>
  </si>
  <si>
    <t>BASE S</t>
  </si>
  <si>
    <t>Tx SALARIAL</t>
  </si>
  <si>
    <t>Charges SALARIALES</t>
  </si>
  <si>
    <t>Tx PATRONAL</t>
  </si>
  <si>
    <t>Charges PATRONALES</t>
  </si>
  <si>
    <t>SS001</t>
  </si>
  <si>
    <t>Maladie - maternité - invalidité - décès</t>
  </si>
  <si>
    <t>ok</t>
  </si>
  <si>
    <t>SS002</t>
  </si>
  <si>
    <t>Contribution Solidarité Autonomie</t>
  </si>
  <si>
    <t>SS003</t>
  </si>
  <si>
    <t>Vieillesse déplafonnée</t>
  </si>
  <si>
    <t>SS004</t>
  </si>
  <si>
    <t>Vieillesse plafonnée</t>
  </si>
  <si>
    <t>SS005</t>
  </si>
  <si>
    <t>Allocations familiales</t>
  </si>
  <si>
    <t>SS006</t>
  </si>
  <si>
    <t>Accident du travail</t>
  </si>
  <si>
    <t>SS007</t>
  </si>
  <si>
    <t xml:space="preserve">FNAL + 20 </t>
  </si>
  <si>
    <t xml:space="preserve"> ok </t>
  </si>
  <si>
    <t>CH001</t>
  </si>
  <si>
    <t>Assurance chômage TRA + TRB</t>
  </si>
  <si>
    <t>CH002</t>
  </si>
  <si>
    <t>AGS</t>
  </si>
  <si>
    <t>AR001</t>
  </si>
  <si>
    <t>RETRAITE T1</t>
  </si>
  <si>
    <t>part patronale</t>
  </si>
  <si>
    <t>part salariale</t>
  </si>
  <si>
    <t>AG001</t>
  </si>
  <si>
    <t>RETRAITE T2</t>
  </si>
  <si>
    <t>tx patronal</t>
  </si>
  <si>
    <t>Montant pat</t>
  </si>
  <si>
    <t>tx sal</t>
  </si>
  <si>
    <t>Montant sal</t>
  </si>
  <si>
    <t>coût total</t>
  </si>
  <si>
    <t>AG005</t>
  </si>
  <si>
    <t>Contribution Exceptionnelle et Temporaire</t>
  </si>
  <si>
    <t>Non</t>
  </si>
  <si>
    <t>AR004</t>
  </si>
  <si>
    <t>CEG T1</t>
  </si>
  <si>
    <t>Consultant &amp; Enfant</t>
  </si>
  <si>
    <t>CEG T2</t>
  </si>
  <si>
    <t>consultant &amp; Enfant + option</t>
  </si>
  <si>
    <t>AG004</t>
  </si>
  <si>
    <t>APEC</t>
  </si>
  <si>
    <t xml:space="preserve">Famille </t>
  </si>
  <si>
    <t>PR010</t>
  </si>
  <si>
    <t>Prévoyance cadre Tr1</t>
  </si>
  <si>
    <t>Famille + 1 option</t>
  </si>
  <si>
    <t>PR250</t>
  </si>
  <si>
    <t>Prévoyance cadre Tr2</t>
  </si>
  <si>
    <t>Famille + 2 options</t>
  </si>
  <si>
    <t>PS278</t>
  </si>
  <si>
    <t>Frais de sante du regime general</t>
  </si>
  <si>
    <t>SS050</t>
  </si>
  <si>
    <t>Contribution au dialogie social</t>
  </si>
  <si>
    <t>part sal</t>
  </si>
  <si>
    <t>TC004</t>
  </si>
  <si>
    <t xml:space="preserve">Taxe d'apprentissage </t>
  </si>
  <si>
    <t>TC120</t>
  </si>
  <si>
    <t>Developpement de paritarisme</t>
  </si>
  <si>
    <t>TC123</t>
  </si>
  <si>
    <t>Développement du paritarisme</t>
  </si>
  <si>
    <t>TC001</t>
  </si>
  <si>
    <t>Participation à la formation professionnelle</t>
  </si>
  <si>
    <t>Effort construction</t>
  </si>
  <si>
    <t>Versement mobilité (taxe transport)</t>
  </si>
  <si>
    <t>SS043</t>
  </si>
  <si>
    <t>Allocations familiales (complément)</t>
  </si>
  <si>
    <t>SS022</t>
  </si>
  <si>
    <t>CSG non déductible et CRDS</t>
  </si>
  <si>
    <t>SS021</t>
  </si>
  <si>
    <t>CSG déductible</t>
  </si>
  <si>
    <t>Total des retenues déductibles</t>
  </si>
  <si>
    <t>Total des retenues non déductibles</t>
  </si>
  <si>
    <t>Total des retenues</t>
  </si>
  <si>
    <t>Salaire net imposable</t>
  </si>
  <si>
    <t>Salaire net</t>
  </si>
  <si>
    <t>Tickets restaurant déduction</t>
  </si>
  <si>
    <t>Net à payer</t>
  </si>
  <si>
    <t>Remboursement Frais de fonctionnement</t>
  </si>
  <si>
    <t>Tickets restaurant remis</t>
  </si>
  <si>
    <t>Coût global hors frais de fonctionnement</t>
  </si>
  <si>
    <t>Net (apres impot)</t>
  </si>
  <si>
    <t>Montant net provisions (réserve)</t>
  </si>
  <si>
    <t>Net (du apres reversement provisions)</t>
  </si>
  <si>
    <t>Net (du apres reversement provisions) + Frais de fonctionnement + Tickets Restaurant</t>
  </si>
  <si>
    <t>Taux de charges Salariale</t>
  </si>
  <si>
    <t>Pierrick Rocher</t>
  </si>
  <si>
    <t>Taux de charges Patronale</t>
  </si>
  <si>
    <r>
      <rPr>
        <i/>
        <u/>
        <sz val="9"/>
        <color theme="1"/>
        <rFont val="Calibri"/>
        <family val="2"/>
        <scheme val="minor"/>
      </rPr>
      <t>WARNING</t>
    </r>
    <r>
      <rPr>
        <i/>
        <sz val="9"/>
        <color theme="1"/>
        <rFont val="Calibri"/>
        <family val="2"/>
        <scheme val="minor"/>
      </rPr>
      <t xml:space="preserve"> : Cet outil de simulation est confidentiel et n'est fourni qu'à titre indicatif. 
Les simulations produites ne constituent en aucune façon un engagement contractuel.</t>
    </r>
  </si>
  <si>
    <t>TRANCHE B GMP</t>
  </si>
  <si>
    <t>SI CADRE EN DESSOUS DE 3311</t>
  </si>
  <si>
    <t>COTISE AUTOMATIQUEMENT A 353,82</t>
  </si>
  <si>
    <t xml:space="preserve">FNAL +20 </t>
  </si>
  <si>
    <t>PR001</t>
  </si>
  <si>
    <t>Net imposable</t>
  </si>
  <si>
    <t>Net + Frais de fonctionnement</t>
  </si>
  <si>
    <t>Coût global</t>
  </si>
  <si>
    <t>Geoffroy Gardey de Soos</t>
  </si>
  <si>
    <t>Bastien Barou</t>
  </si>
  <si>
    <t>ILE-DE-FRANCE MOBILITES</t>
  </si>
  <si>
    <t>SYTRAL MOBILITES</t>
  </si>
  <si>
    <t>Code commune</t>
  </si>
  <si>
    <t>Libellé commune</t>
  </si>
  <si>
    <t>LibellÃ©</t>
  </si>
  <si>
    <t>Taux AOT</t>
  </si>
  <si>
    <t>Taux syndicat mixte</t>
  </si>
  <si>
    <t>total</t>
  </si>
  <si>
    <t>coef</t>
  </si>
  <si>
    <t>Date effet</t>
  </si>
  <si>
    <t>Codes postaux affÃ©rents</t>
  </si>
  <si>
    <t>COMMUNAUTE DE COMMUNES DOMBES SAONE-VALLEE</t>
  </si>
  <si>
    <t>'01330'</t>
  </si>
  <si>
    <t>'01480'</t>
  </si>
  <si>
    <t>CA BASSIN BOURG-EN-BRESSE</t>
  </si>
  <si>
    <t>'01340'</t>
  </si>
  <si>
    <t>'01270'</t>
  </si>
  <si>
    <t>'01370'</t>
  </si>
  <si>
    <t>COMMUNAUTE DE COMMUNES DE MIRIBEL ET DU PLATEAU</t>
  </si>
  <si>
    <t>'01700'</t>
  </si>
  <si>
    <t>'01702'</t>
  </si>
  <si>
    <t>'01703'</t>
  </si>
  <si>
    <t>'01704'</t>
  </si>
  <si>
    <t>'01708'</t>
  </si>
  <si>
    <t>'01000'</t>
  </si>
  <si>
    <t>'01001'</t>
  </si>
  <si>
    <t>'01002'</t>
  </si>
  <si>
    <t>'01003'</t>
  </si>
  <si>
    <t>'01004'</t>
  </si>
  <si>
    <t>'01005'</t>
  </si>
  <si>
    <t>'01006'</t>
  </si>
  <si>
    <t>'01007'</t>
  </si>
  <si>
    <t>'01008'</t>
  </si>
  <si>
    <t>'01009'</t>
  </si>
  <si>
    <t>'01010'</t>
  </si>
  <si>
    <t>'01011'</t>
  </si>
  <si>
    <t>'01012'</t>
  </si>
  <si>
    <t>'01013'</t>
  </si>
  <si>
    <t>'01016'</t>
  </si>
  <si>
    <t>'01017'</t>
  </si>
  <si>
    <t>'01018'</t>
  </si>
  <si>
    <t>'01019'</t>
  </si>
  <si>
    <t>'01020'</t>
  </si>
  <si>
    <t>'01059'</t>
  </si>
  <si>
    <t>'01061'</t>
  </si>
  <si>
    <t>'01069'</t>
  </si>
  <si>
    <t>'01310'</t>
  </si>
  <si>
    <t>'01240'</t>
  </si>
  <si>
    <t>'01250'</t>
  </si>
  <si>
    <t>'01390'</t>
  </si>
  <si>
    <t>'01560'</t>
  </si>
  <si>
    <t>'01160'</t>
  </si>
  <si>
    <t>'01851'</t>
  </si>
  <si>
    <t>'01600'</t>
  </si>
  <si>
    <t>'01701'</t>
  </si>
  <si>
    <t>'01705'</t>
  </si>
  <si>
    <t>'01706'</t>
  </si>
  <si>
    <t>'01601'</t>
  </si>
  <si>
    <t>'01441'</t>
  </si>
  <si>
    <t>'01707'</t>
  </si>
  <si>
    <t>'01603'</t>
  </si>
  <si>
    <t>'01960'</t>
  </si>
  <si>
    <t>'01443'</t>
  </si>
  <si>
    <t>'01602'</t>
  </si>
  <si>
    <t>'01604'</t>
  </si>
  <si>
    <t>CA MACONNAIS BEAUJOLAIS AGGLOMERATION</t>
  </si>
  <si>
    <t>'01750'</t>
  </si>
  <si>
    <t>'01120'</t>
  </si>
  <si>
    <t>'01128'</t>
  </si>
  <si>
    <t>'01606'</t>
  </si>
  <si>
    <t>'01660'</t>
  </si>
  <si>
    <t>'01440'</t>
  </si>
  <si>
    <t>'01442'</t>
  </si>
  <si>
    <t>CA CHAUNY-TERGNIER-LA FERE</t>
  </si>
  <si>
    <t>'02300'</t>
  </si>
  <si>
    <t>'02303'</t>
  </si>
  <si>
    <t>'02800'</t>
  </si>
  <si>
    <t>SITU SOISSONNAIS</t>
  </si>
  <si>
    <t>'02200'</t>
  </si>
  <si>
    <t>'02207'</t>
  </si>
  <si>
    <t>SMIRT</t>
  </si>
  <si>
    <t>'02240'</t>
  </si>
  <si>
    <t>'02320'</t>
  </si>
  <si>
    <t>COMMUNAUTE DE COMMUNES RETZ EN VALOIS</t>
  </si>
  <si>
    <t>'02290'</t>
  </si>
  <si>
    <t>'02700'</t>
  </si>
  <si>
    <t>'02600'</t>
  </si>
  <si>
    <t>COMMUNAUTE D'AGGLOMERATION DE SAINT QUENTINOIS</t>
  </si>
  <si>
    <t>'02480'</t>
  </si>
  <si>
    <t>CA DE LA REGION DE CHATEAU-THIERRY</t>
  </si>
  <si>
    <t>'02210'</t>
  </si>
  <si>
    <t>'02860'</t>
  </si>
  <si>
    <t>'02840'</t>
  </si>
  <si>
    <t>'02490'</t>
  </si>
  <si>
    <t>'02590'</t>
  </si>
  <si>
    <t>'02000'</t>
  </si>
  <si>
    <t>'02400'</t>
  </si>
  <si>
    <t>'02403'</t>
  </si>
  <si>
    <t>'02850'</t>
  </si>
  <si>
    <t>'02330'</t>
  </si>
  <si>
    <t>'02420'</t>
  </si>
  <si>
    <t>'02201'</t>
  </si>
  <si>
    <t>'02204'</t>
  </si>
  <si>
    <t>'02206'</t>
  </si>
  <si>
    <t>'02208'</t>
  </si>
  <si>
    <t>'02440'</t>
  </si>
  <si>
    <t>'02120'</t>
  </si>
  <si>
    <t>'02203'</t>
  </si>
  <si>
    <t>'02870'</t>
  </si>
  <si>
    <t>'02130'</t>
  </si>
  <si>
    <t>'02402'</t>
  </si>
  <si>
    <t>'02406'</t>
  </si>
  <si>
    <t>'02407'</t>
  </si>
  <si>
    <t>'02202'</t>
  </si>
  <si>
    <t>'02205'</t>
  </si>
  <si>
    <t>'02880'</t>
  </si>
  <si>
    <t>'02810'</t>
  </si>
  <si>
    <t>CA DU PAYS DE LAON</t>
  </si>
  <si>
    <t>'02007'</t>
  </si>
  <si>
    <t>'02680'</t>
  </si>
  <si>
    <t>'02370'</t>
  </si>
  <si>
    <t>'02002'</t>
  </si>
  <si>
    <t>'02003'</t>
  </si>
  <si>
    <t>'02004'</t>
  </si>
  <si>
    <t>'02012'</t>
  </si>
  <si>
    <t>'02930'</t>
  </si>
  <si>
    <t>'02401'</t>
  </si>
  <si>
    <t>'02404'</t>
  </si>
  <si>
    <t>'02405'</t>
  </si>
  <si>
    <t>'02301'</t>
  </si>
  <si>
    <t>'02302'</t>
  </si>
  <si>
    <t>'02220'</t>
  </si>
  <si>
    <t>'02602'</t>
  </si>
  <si>
    <t>'02604'</t>
  </si>
  <si>
    <t>'02650'</t>
  </si>
  <si>
    <t>'02110'</t>
  </si>
  <si>
    <t>'02470'</t>
  </si>
  <si>
    <t>'02603'</t>
  </si>
  <si>
    <t>'02690'</t>
  </si>
  <si>
    <t>'02100'</t>
  </si>
  <si>
    <t>'02105'</t>
  </si>
  <si>
    <t>'02460'</t>
  </si>
  <si>
    <t>'02520'</t>
  </si>
  <si>
    <t>'02760'</t>
  </si>
  <si>
    <t>'02106'</t>
  </si>
  <si>
    <t>'02315'</t>
  </si>
  <si>
    <t>'02321'</t>
  </si>
  <si>
    <t>'02430'</t>
  </si>
  <si>
    <t>'02102'</t>
  </si>
  <si>
    <t>'02109'</t>
  </si>
  <si>
    <t>'02101'</t>
  </si>
  <si>
    <t>'02720'</t>
  </si>
  <si>
    <t>'02001'</t>
  </si>
  <si>
    <t>'02005'</t>
  </si>
  <si>
    <t>'02006'</t>
  </si>
  <si>
    <t>'02010'</t>
  </si>
  <si>
    <t>'02011'</t>
  </si>
  <si>
    <t>'02016'</t>
  </si>
  <si>
    <t>'02017'</t>
  </si>
  <si>
    <t>'02380'</t>
  </si>
  <si>
    <t>'02540'</t>
  </si>
  <si>
    <t>'02270'</t>
  </si>
  <si>
    <t>'02390'</t>
  </si>
  <si>
    <t>'02610'</t>
  </si>
  <si>
    <t>'02103'</t>
  </si>
  <si>
    <t>'02107'</t>
  </si>
  <si>
    <t>'02410'</t>
  </si>
  <si>
    <t>'02104'</t>
  </si>
  <si>
    <t>'02108'</t>
  </si>
  <si>
    <t>'02314'</t>
  </si>
  <si>
    <t>'02322'</t>
  </si>
  <si>
    <t>'02640'</t>
  </si>
  <si>
    <t>'02790'</t>
  </si>
  <si>
    <t>'02209'</t>
  </si>
  <si>
    <t>'02331'</t>
  </si>
  <si>
    <t>'02601'</t>
  </si>
  <si>
    <t>CA VICHY VAL D'ALLIER</t>
  </si>
  <si>
    <t>'03200'</t>
  </si>
  <si>
    <t>'03203'</t>
  </si>
  <si>
    <t>'03204'</t>
  </si>
  <si>
    <t>'03208'</t>
  </si>
  <si>
    <t>'03120'</t>
  </si>
  <si>
    <t>'03250'</t>
  </si>
  <si>
    <t>COMMUNAUTE D'AGGLOMERATION DE MOULINS</t>
  </si>
  <si>
    <t>'03460'</t>
  </si>
  <si>
    <t>'03005'</t>
  </si>
  <si>
    <t>'03000'</t>
  </si>
  <si>
    <t>'03003'</t>
  </si>
  <si>
    <t>'03004'</t>
  </si>
  <si>
    <t>'03006'</t>
  </si>
  <si>
    <t>'03007'</t>
  </si>
  <si>
    <t>'03008'</t>
  </si>
  <si>
    <t>'03021'</t>
  </si>
  <si>
    <t>'03202'</t>
  </si>
  <si>
    <t>'03206'</t>
  </si>
  <si>
    <t>'03321'</t>
  </si>
  <si>
    <t>'03700'</t>
  </si>
  <si>
    <t>'03340'</t>
  </si>
  <si>
    <t>'03210'</t>
  </si>
  <si>
    <t>'03260'</t>
  </si>
  <si>
    <t>'03300'</t>
  </si>
  <si>
    <t>'03270'</t>
  </si>
  <si>
    <t>'03110'</t>
  </si>
  <si>
    <t>'03230'</t>
  </si>
  <si>
    <t>'03205'</t>
  </si>
  <si>
    <t>'03305'</t>
  </si>
  <si>
    <t>'03207'</t>
  </si>
  <si>
    <t>'03302'</t>
  </si>
  <si>
    <t>'03303'</t>
  </si>
  <si>
    <t>'03301'</t>
  </si>
  <si>
    <t>'03304'</t>
  </si>
  <si>
    <t>'03306'</t>
  </si>
  <si>
    <t>'03307'</t>
  </si>
  <si>
    <t>COMMUNAUTE D'AGGLOMERATION MONTLUCONNAISE</t>
  </si>
  <si>
    <t>'03103'</t>
  </si>
  <si>
    <t>'03106'</t>
  </si>
  <si>
    <t>'03108'</t>
  </si>
  <si>
    <t>'03109'</t>
  </si>
  <si>
    <t>'03630'</t>
  </si>
  <si>
    <t>'03101'</t>
  </si>
  <si>
    <t>'03410'</t>
  </si>
  <si>
    <t>'03400'</t>
  </si>
  <si>
    <t>'03380'</t>
  </si>
  <si>
    <t>'03100'</t>
  </si>
  <si>
    <t>'03105'</t>
  </si>
  <si>
    <t>'03102'</t>
  </si>
  <si>
    <t>'03104'</t>
  </si>
  <si>
    <t>'03107'</t>
  </si>
  <si>
    <t>'03010'</t>
  </si>
  <si>
    <t>'03011'</t>
  </si>
  <si>
    <t>'03012'</t>
  </si>
  <si>
    <t>'03013'</t>
  </si>
  <si>
    <t>'03016'</t>
  </si>
  <si>
    <t>'03017'</t>
  </si>
  <si>
    <t>'03018'</t>
  </si>
  <si>
    <t>'03402'</t>
  </si>
  <si>
    <t>'03401'</t>
  </si>
  <si>
    <t>'03403'</t>
  </si>
  <si>
    <t>'03201'</t>
  </si>
  <si>
    <t>'03209'</t>
  </si>
  <si>
    <t>'03015'</t>
  </si>
  <si>
    <t>'03405'</t>
  </si>
  <si>
    <t>'03406'</t>
  </si>
  <si>
    <t>CA PROVENCE-ALPES-AGGLOMERATION</t>
  </si>
  <si>
    <t>'04510'</t>
  </si>
  <si>
    <t>'04995'</t>
  </si>
  <si>
    <t>CA DURANCE-LUBERON-VERDON AGGL</t>
  </si>
  <si>
    <t>'04500'</t>
  </si>
  <si>
    <t>'04420'</t>
  </si>
  <si>
    <t>'04140'</t>
  </si>
  <si>
    <t>'04380'</t>
  </si>
  <si>
    <t>'04270'</t>
  </si>
  <si>
    <t>'04700'</t>
  </si>
  <si>
    <t>'04210'</t>
  </si>
  <si>
    <t>'04660'</t>
  </si>
  <si>
    <t>'04160'</t>
  </si>
  <si>
    <t>'04600'</t>
  </si>
  <si>
    <t>CA GAP TALLARD DURANCE</t>
  </si>
  <si>
    <t>'05110'</t>
  </si>
  <si>
    <t>'04220'</t>
  </si>
  <si>
    <t>'04000'</t>
  </si>
  <si>
    <t>'04001'</t>
  </si>
  <si>
    <t>'04002'</t>
  </si>
  <si>
    <t>'04003'</t>
  </si>
  <si>
    <t>'04004'</t>
  </si>
  <si>
    <t>'04005'</t>
  </si>
  <si>
    <t>'04007'</t>
  </si>
  <si>
    <t>'04010'</t>
  </si>
  <si>
    <t>'04011'</t>
  </si>
  <si>
    <t>'04012'</t>
  </si>
  <si>
    <t>'04014'</t>
  </si>
  <si>
    <t>'04015'</t>
  </si>
  <si>
    <t>'04017'</t>
  </si>
  <si>
    <t>'04019'</t>
  </si>
  <si>
    <t>'04990'</t>
  </si>
  <si>
    <t>'04800'</t>
  </si>
  <si>
    <t>'04310'</t>
  </si>
  <si>
    <t>'04350'</t>
  </si>
  <si>
    <t>'04230'</t>
  </si>
  <si>
    <t>'04100'</t>
  </si>
  <si>
    <t>'04101'</t>
  </si>
  <si>
    <t>'04102'</t>
  </si>
  <si>
    <t>'04103'</t>
  </si>
  <si>
    <t>'04104'</t>
  </si>
  <si>
    <t>'04105'</t>
  </si>
  <si>
    <t>'04106'</t>
  </si>
  <si>
    <t>'04107'</t>
  </si>
  <si>
    <t>'04190'</t>
  </si>
  <si>
    <t>'04110'</t>
  </si>
  <si>
    <t>'04360'</t>
  </si>
  <si>
    <t>'04860'</t>
  </si>
  <si>
    <t>'04410'</t>
  </si>
  <si>
    <t>'04300'</t>
  </si>
  <si>
    <t>'04180'</t>
  </si>
  <si>
    <t>'04290'</t>
  </si>
  <si>
    <t>'04130'</t>
  </si>
  <si>
    <t>COMMUNAUTE DE COMMUNES DU BRIANCONNAIS</t>
  </si>
  <si>
    <t>'05100'</t>
  </si>
  <si>
    <t>'05101'</t>
  </si>
  <si>
    <t>'05102'</t>
  </si>
  <si>
    <t>'05103'</t>
  </si>
  <si>
    <t>'05105'</t>
  </si>
  <si>
    <t>'05107'</t>
  </si>
  <si>
    <t>'05000'</t>
  </si>
  <si>
    <t>'05006'</t>
  </si>
  <si>
    <t>'05130'</t>
  </si>
  <si>
    <t>'05001'</t>
  </si>
  <si>
    <t>'05002'</t>
  </si>
  <si>
    <t>'05003'</t>
  </si>
  <si>
    <t>'05004'</t>
  </si>
  <si>
    <t>'05005'</t>
  </si>
  <si>
    <t>'05007'</t>
  </si>
  <si>
    <t>'05008'</t>
  </si>
  <si>
    <t>'05010'</t>
  </si>
  <si>
    <t>'05011'</t>
  </si>
  <si>
    <t>'05012'</t>
  </si>
  <si>
    <t>'05014'</t>
  </si>
  <si>
    <t>'05015'</t>
  </si>
  <si>
    <t>'05016'</t>
  </si>
  <si>
    <t>'05320'</t>
  </si>
  <si>
    <t>'05220'</t>
  </si>
  <si>
    <t>'05330'</t>
  </si>
  <si>
    <t>'05240'</t>
  </si>
  <si>
    <t>'05480'</t>
  </si>
  <si>
    <t>SYNDICAT MIXTE DES TRANSPORTS SILLAGES</t>
  </si>
  <si>
    <t>'06910'</t>
  </si>
  <si>
    <t>COMMUNAUTE D'AGGLOMERATION DU PAYS DE GRASSE</t>
  </si>
  <si>
    <t>'06750'</t>
  </si>
  <si>
    <t>COMMUNAUTE D'AGGLOMERATION DE SOPHIA-ANTIPOLIS</t>
  </si>
  <si>
    <t>'06160'</t>
  </si>
  <si>
    <t>'06161'</t>
  </si>
  <si>
    <t>'06162'</t>
  </si>
  <si>
    <t>'06164'</t>
  </si>
  <si>
    <t>'06167'</t>
  </si>
  <si>
    <t>'06600'</t>
  </si>
  <si>
    <t>'06601'</t>
  </si>
  <si>
    <t>'06602'</t>
  </si>
  <si>
    <t>'06603'</t>
  </si>
  <si>
    <t>'06605'</t>
  </si>
  <si>
    <t>'06606'</t>
  </si>
  <si>
    <t>'06631'</t>
  </si>
  <si>
    <t>'06632'</t>
  </si>
  <si>
    <t>'06633'</t>
  </si>
  <si>
    <t>'06634'</t>
  </si>
  <si>
    <t>'06901'</t>
  </si>
  <si>
    <t>'06904'</t>
  </si>
  <si>
    <t>'06906'</t>
  </si>
  <si>
    <t>METROPOLE NICE-COTE-D'AZUR</t>
  </si>
  <si>
    <t>'06790'</t>
  </si>
  <si>
    <t>'06810'</t>
  </si>
  <si>
    <t>'06420'</t>
  </si>
  <si>
    <t>'06620'</t>
  </si>
  <si>
    <t>'06310'</t>
  </si>
  <si>
    <t>'06311'</t>
  </si>
  <si>
    <t>COMMUNAUTE D'AGGLOMERATION DE LA RIVIERA FRANCAISE</t>
  </si>
  <si>
    <t>'06240'</t>
  </si>
  <si>
    <t>'98001'</t>
  </si>
  <si>
    <t>'06450'</t>
  </si>
  <si>
    <t>'06510'</t>
  </si>
  <si>
    <t>'06410'</t>
  </si>
  <si>
    <t>'06902'</t>
  </si>
  <si>
    <t>'06903'</t>
  </si>
  <si>
    <t>'06905'</t>
  </si>
  <si>
    <t>'06830'</t>
  </si>
  <si>
    <t>'06540'</t>
  </si>
  <si>
    <t>'06850'</t>
  </si>
  <si>
    <t>'06511'</t>
  </si>
  <si>
    <t>'06513'</t>
  </si>
  <si>
    <t>'06514'</t>
  </si>
  <si>
    <t>'06515'</t>
  </si>
  <si>
    <t>'06516'</t>
  </si>
  <si>
    <t>'06517'</t>
  </si>
  <si>
    <t>'06530'</t>
  </si>
  <si>
    <t>'06534'</t>
  </si>
  <si>
    <t>'06800'</t>
  </si>
  <si>
    <t>'06801'</t>
  </si>
  <si>
    <t>'06802'</t>
  </si>
  <si>
    <t>'06803'</t>
  </si>
  <si>
    <t>'06804'</t>
  </si>
  <si>
    <t>'06805'</t>
  </si>
  <si>
    <t>'06806'</t>
  </si>
  <si>
    <t>'06808'</t>
  </si>
  <si>
    <t>'06891'</t>
  </si>
  <si>
    <t>COMMUNAUTE D'AGGLOMERATION DES PAYS DE LERINS</t>
  </si>
  <si>
    <t>'06150'</t>
  </si>
  <si>
    <t>'06151'</t>
  </si>
  <si>
    <t>'06152'</t>
  </si>
  <si>
    <t>'06153'</t>
  </si>
  <si>
    <t>'06156'</t>
  </si>
  <si>
    <t>'06400'</t>
  </si>
  <si>
    <t>'06401'</t>
  </si>
  <si>
    <t>'06402'</t>
  </si>
  <si>
    <t>'06403'</t>
  </si>
  <si>
    <t>'06404'</t>
  </si>
  <si>
    <t>'06405'</t>
  </si>
  <si>
    <t>'06406'</t>
  </si>
  <si>
    <t>'06407'</t>
  </si>
  <si>
    <t>'06408'</t>
  </si>
  <si>
    <t>'06414'</t>
  </si>
  <si>
    <t>'06110'</t>
  </si>
  <si>
    <t>'06113'</t>
  </si>
  <si>
    <t>'06115'</t>
  </si>
  <si>
    <t>'06116'</t>
  </si>
  <si>
    <t>'06117'</t>
  </si>
  <si>
    <t>'06119'</t>
  </si>
  <si>
    <t>'06121'</t>
  </si>
  <si>
    <t>'06125'</t>
  </si>
  <si>
    <t>'06126'</t>
  </si>
  <si>
    <t>'06320'</t>
  </si>
  <si>
    <t>'06833'</t>
  </si>
  <si>
    <t>'06670'</t>
  </si>
  <si>
    <t>'06500'</t>
  </si>
  <si>
    <t>'06505'</t>
  </si>
  <si>
    <t>'06460'</t>
  </si>
  <si>
    <t>'06740'</t>
  </si>
  <si>
    <t>'06480'</t>
  </si>
  <si>
    <t>'06140'</t>
  </si>
  <si>
    <t>'06360'</t>
  </si>
  <si>
    <t>'06950'</t>
  </si>
  <si>
    <t>'06610'</t>
  </si>
  <si>
    <t>'06502'</t>
  </si>
  <si>
    <t>'06504'</t>
  </si>
  <si>
    <t>'06130'</t>
  </si>
  <si>
    <t>'06131'</t>
  </si>
  <si>
    <t>'06132'</t>
  </si>
  <si>
    <t>'06133'</t>
  </si>
  <si>
    <t>'06135'</t>
  </si>
  <si>
    <t>'06136'</t>
  </si>
  <si>
    <t>'06137'</t>
  </si>
  <si>
    <t>'06520'</t>
  </si>
  <si>
    <t>'06210'</t>
  </si>
  <si>
    <t>'06211'</t>
  </si>
  <si>
    <t>'06212'</t>
  </si>
  <si>
    <t>'06213'</t>
  </si>
  <si>
    <t>'06214'</t>
  </si>
  <si>
    <t>'06501'</t>
  </si>
  <si>
    <t>'06503'</t>
  </si>
  <si>
    <t>'06506'</t>
  </si>
  <si>
    <t>'06507'</t>
  </si>
  <si>
    <t>'06370'</t>
  </si>
  <si>
    <t>'06371'</t>
  </si>
  <si>
    <t>'06372'</t>
  </si>
  <si>
    <t>'06250'</t>
  </si>
  <si>
    <t>'06251'</t>
  </si>
  <si>
    <t>'06252'</t>
  </si>
  <si>
    <t>'06253'</t>
  </si>
  <si>
    <t>'06254'</t>
  </si>
  <si>
    <t>'06255'</t>
  </si>
  <si>
    <t>'06380'</t>
  </si>
  <si>
    <t>'06000'</t>
  </si>
  <si>
    <t>'06001'</t>
  </si>
  <si>
    <t>'06002'</t>
  </si>
  <si>
    <t>'06003'</t>
  </si>
  <si>
    <t>'06004'</t>
  </si>
  <si>
    <t>'06005'</t>
  </si>
  <si>
    <t>'06006'</t>
  </si>
  <si>
    <t>'06007'</t>
  </si>
  <si>
    <t>'06008'</t>
  </si>
  <si>
    <t>'06009'</t>
  </si>
  <si>
    <t>'06010'</t>
  </si>
  <si>
    <t>'06011'</t>
  </si>
  <si>
    <t>'06012'</t>
  </si>
  <si>
    <t>'06016'</t>
  </si>
  <si>
    <t>'06032'</t>
  </si>
  <si>
    <t>'06033'</t>
  </si>
  <si>
    <t>'06035'</t>
  </si>
  <si>
    <t>'06044'</t>
  </si>
  <si>
    <t>'06045'</t>
  </si>
  <si>
    <t>'06046'</t>
  </si>
  <si>
    <t>'06047'</t>
  </si>
  <si>
    <t>'06048'</t>
  </si>
  <si>
    <t>'06049'</t>
  </si>
  <si>
    <t>'06050'</t>
  </si>
  <si>
    <t>'06053'</t>
  </si>
  <si>
    <t>'06073'</t>
  </si>
  <si>
    <t>'06079'</t>
  </si>
  <si>
    <t>'06084'</t>
  </si>
  <si>
    <t>'06085'</t>
  </si>
  <si>
    <t>'06100'</t>
  </si>
  <si>
    <t>'06101'</t>
  </si>
  <si>
    <t>'06102'</t>
  </si>
  <si>
    <t>'06103'</t>
  </si>
  <si>
    <t>'06105'</t>
  </si>
  <si>
    <t>'06106'</t>
  </si>
  <si>
    <t>'06107'</t>
  </si>
  <si>
    <t>'06108'</t>
  </si>
  <si>
    <t>'06109'</t>
  </si>
  <si>
    <t>'06141'</t>
  </si>
  <si>
    <t>'06171'</t>
  </si>
  <si>
    <t>'06172'</t>
  </si>
  <si>
    <t>'06173'</t>
  </si>
  <si>
    <t>'06175'</t>
  </si>
  <si>
    <t>'06180'</t>
  </si>
  <si>
    <t>'06181'</t>
  </si>
  <si>
    <t>'06182'</t>
  </si>
  <si>
    <t>'06183'</t>
  </si>
  <si>
    <t>'06184'</t>
  </si>
  <si>
    <t>'06186'</t>
  </si>
  <si>
    <t>'06187'</t>
  </si>
  <si>
    <t>'06188'</t>
  </si>
  <si>
    <t>'06189'</t>
  </si>
  <si>
    <t>'06200'</t>
  </si>
  <si>
    <t>'06201'</t>
  </si>
  <si>
    <t>'06202'</t>
  </si>
  <si>
    <t>'06203'</t>
  </si>
  <si>
    <t>'06204'</t>
  </si>
  <si>
    <t>'06205'</t>
  </si>
  <si>
    <t>'06206'</t>
  </si>
  <si>
    <t>'06281'</t>
  </si>
  <si>
    <t>'06282'</t>
  </si>
  <si>
    <t>'06283'</t>
  </si>
  <si>
    <t>'06284'</t>
  </si>
  <si>
    <t>'06286'</t>
  </si>
  <si>
    <t>'06287'</t>
  </si>
  <si>
    <t>'06288'</t>
  </si>
  <si>
    <t>'06289'</t>
  </si>
  <si>
    <t>'06290'</t>
  </si>
  <si>
    <t>'06291'</t>
  </si>
  <si>
    <t>'06292'</t>
  </si>
  <si>
    <t>'06293'</t>
  </si>
  <si>
    <t>'06294'</t>
  </si>
  <si>
    <t>'06295'</t>
  </si>
  <si>
    <t>'06296'</t>
  </si>
  <si>
    <t>'06299'</t>
  </si>
  <si>
    <t>'06300'</t>
  </si>
  <si>
    <t>'06301'</t>
  </si>
  <si>
    <t>'06302'</t>
  </si>
  <si>
    <t>'06303'</t>
  </si>
  <si>
    <t>'06304'</t>
  </si>
  <si>
    <t>'06305'</t>
  </si>
  <si>
    <t>'06306'</t>
  </si>
  <si>
    <t>'06309'</t>
  </si>
  <si>
    <t>'06352'</t>
  </si>
  <si>
    <t>'06353'</t>
  </si>
  <si>
    <t>'06354'</t>
  </si>
  <si>
    <t>'06357'</t>
  </si>
  <si>
    <t>'06358'</t>
  </si>
  <si>
    <t>'06359'</t>
  </si>
  <si>
    <t>'06364'</t>
  </si>
  <si>
    <t>'06666'</t>
  </si>
  <si>
    <t>'06650'</t>
  </si>
  <si>
    <t>'06580'</t>
  </si>
  <si>
    <t>'06531'</t>
  </si>
  <si>
    <t>'06532'</t>
  </si>
  <si>
    <t>'06190'</t>
  </si>
  <si>
    <t>'06330'</t>
  </si>
  <si>
    <t>'06373'</t>
  </si>
  <si>
    <t>'06550'</t>
  </si>
  <si>
    <t>'06730'</t>
  </si>
  <si>
    <t>'06535'</t>
  </si>
  <si>
    <t>'06660'</t>
  </si>
  <si>
    <t>'06230'</t>
  </si>
  <si>
    <t>'06239'</t>
  </si>
  <si>
    <t>'06640'</t>
  </si>
  <si>
    <t>'06700'</t>
  </si>
  <si>
    <t>'06701'</t>
  </si>
  <si>
    <t>'06702'</t>
  </si>
  <si>
    <t>'06703'</t>
  </si>
  <si>
    <t>'06704'</t>
  </si>
  <si>
    <t>'06705'</t>
  </si>
  <si>
    <t>'06706'</t>
  </si>
  <si>
    <t>'06708'</t>
  </si>
  <si>
    <t>'06709'</t>
  </si>
  <si>
    <t>'06721'</t>
  </si>
  <si>
    <t>'06723'</t>
  </si>
  <si>
    <t>'06570'</t>
  </si>
  <si>
    <t>'06590'</t>
  </si>
  <si>
    <t>'06690'</t>
  </si>
  <si>
    <t>'06340'</t>
  </si>
  <si>
    <t>'06341'</t>
  </si>
  <si>
    <t>'06342'</t>
  </si>
  <si>
    <t>'06343'</t>
  </si>
  <si>
    <t>'06345'</t>
  </si>
  <si>
    <t>'06348'</t>
  </si>
  <si>
    <t>'06560'</t>
  </si>
  <si>
    <t>'06912'</t>
  </si>
  <si>
    <t>'06914'</t>
  </si>
  <si>
    <t>'06915'</t>
  </si>
  <si>
    <t>'06921'</t>
  </si>
  <si>
    <t>'06922'</t>
  </si>
  <si>
    <t>'06929'</t>
  </si>
  <si>
    <t>'06220'</t>
  </si>
  <si>
    <t>'06221'</t>
  </si>
  <si>
    <t>'06222'</t>
  </si>
  <si>
    <t>'06223'</t>
  </si>
  <si>
    <t>'06224'</t>
  </si>
  <si>
    <t>'06225'</t>
  </si>
  <si>
    <t>'06226'</t>
  </si>
  <si>
    <t>'06227'</t>
  </si>
  <si>
    <t>'06142'</t>
  </si>
  <si>
    <t>'06143'</t>
  </si>
  <si>
    <t>'06231'</t>
  </si>
  <si>
    <t>'06232'</t>
  </si>
  <si>
    <t>'06233'</t>
  </si>
  <si>
    <t>'06234'</t>
  </si>
  <si>
    <t>'06235'</t>
  </si>
  <si>
    <t>'06236'</t>
  </si>
  <si>
    <t>'06238'</t>
  </si>
  <si>
    <t>'06270'</t>
  </si>
  <si>
    <t>'06271'</t>
  </si>
  <si>
    <t>'06272'</t>
  </si>
  <si>
    <t>'06273'</t>
  </si>
  <si>
    <t>'06275'</t>
  </si>
  <si>
    <t>'06430'</t>
  </si>
  <si>
    <t>CA PRIVAS CENTRE ARDECHE</t>
  </si>
  <si>
    <t>'07000'</t>
  </si>
  <si>
    <t>'07440'</t>
  </si>
  <si>
    <t>'07002'</t>
  </si>
  <si>
    <t>'07210'</t>
  </si>
  <si>
    <t>COMMUNAUTE D'AGGLOMERATION ANNONAY RHONE AGGLO</t>
  </si>
  <si>
    <t>'07100'</t>
  </si>
  <si>
    <t>'07101'</t>
  </si>
  <si>
    <t>'07102'</t>
  </si>
  <si>
    <t>'07103'</t>
  </si>
  <si>
    <t>'07104'</t>
  </si>
  <si>
    <t>'07105'</t>
  </si>
  <si>
    <t>'07106'</t>
  </si>
  <si>
    <t>'07290'</t>
  </si>
  <si>
    <t>CA HERMITAGE-TOURNONAIS-HERBASSE-PAYS ST FELICIEN</t>
  </si>
  <si>
    <t>'07410'</t>
  </si>
  <si>
    <t>'07800'</t>
  </si>
  <si>
    <t>'07190'</t>
  </si>
  <si>
    <t>'07340'</t>
  </si>
  <si>
    <t>'07270'</t>
  </si>
  <si>
    <t>'07240'</t>
  </si>
  <si>
    <t>'07130'</t>
  </si>
  <si>
    <t>'07300'</t>
  </si>
  <si>
    <t>'07004'</t>
  </si>
  <si>
    <t>'07430'</t>
  </si>
  <si>
    <t>'07134'</t>
  </si>
  <si>
    <t>'07003'</t>
  </si>
  <si>
    <t>'07007'</t>
  </si>
  <si>
    <t>'07360'</t>
  </si>
  <si>
    <t>'07500'</t>
  </si>
  <si>
    <t>SITU TOUT'ENBUS</t>
  </si>
  <si>
    <t>'07170'</t>
  </si>
  <si>
    <t>'07610'</t>
  </si>
  <si>
    <t>'07302'</t>
  </si>
  <si>
    <t>'07690'</t>
  </si>
  <si>
    <t>'07304'</t>
  </si>
  <si>
    <t>'07250'</t>
  </si>
  <si>
    <t>'07001'</t>
  </si>
  <si>
    <t>'07006'</t>
  </si>
  <si>
    <t>'07009'</t>
  </si>
  <si>
    <t>'07107'</t>
  </si>
  <si>
    <t>'07131'</t>
  </si>
  <si>
    <t>'07502'</t>
  </si>
  <si>
    <t>'07503'</t>
  </si>
  <si>
    <t>'07301'</t>
  </si>
  <si>
    <t>'07303'</t>
  </si>
  <si>
    <t>'07305'</t>
  </si>
  <si>
    <t>COMMUNAUTE D'AGGLOMERATION ARDENNE METROPOLE</t>
  </si>
  <si>
    <t>'08090'</t>
  </si>
  <si>
    <t>'08000'</t>
  </si>
  <si>
    <t>'08160'</t>
  </si>
  <si>
    <t>'08200'</t>
  </si>
  <si>
    <t>'08201'</t>
  </si>
  <si>
    <t>'08207'</t>
  </si>
  <si>
    <t>'08209'</t>
  </si>
  <si>
    <t>'08140'</t>
  </si>
  <si>
    <t>'08203'</t>
  </si>
  <si>
    <t>'08206'</t>
  </si>
  <si>
    <t>'08350'</t>
  </si>
  <si>
    <t>'08001'</t>
  </si>
  <si>
    <t>'08002'</t>
  </si>
  <si>
    <t>'08003'</t>
  </si>
  <si>
    <t>'08004'</t>
  </si>
  <si>
    <t>'08005'</t>
  </si>
  <si>
    <t>'08006'</t>
  </si>
  <si>
    <t>'08008'</t>
  </si>
  <si>
    <t>'08010'</t>
  </si>
  <si>
    <t>'08011'</t>
  </si>
  <si>
    <t>'08013'</t>
  </si>
  <si>
    <t>'08098'</t>
  </si>
  <si>
    <t>'08099'</t>
  </si>
  <si>
    <t>'08101'</t>
  </si>
  <si>
    <t>'08102'</t>
  </si>
  <si>
    <t>'08103'</t>
  </si>
  <si>
    <t>'08104'</t>
  </si>
  <si>
    <t>'08105'</t>
  </si>
  <si>
    <t>'08106'</t>
  </si>
  <si>
    <t>'08107'</t>
  </si>
  <si>
    <t>'08109'</t>
  </si>
  <si>
    <t>'08440'</t>
  </si>
  <si>
    <t>'08700'</t>
  </si>
  <si>
    <t>'08202'</t>
  </si>
  <si>
    <t>'08204'</t>
  </si>
  <si>
    <t>'08205'</t>
  </si>
  <si>
    <t>'08150'</t>
  </si>
  <si>
    <t>'08208'</t>
  </si>
  <si>
    <t>'08330'</t>
  </si>
  <si>
    <t>COMMUNAUTE D'AGGLOMERATION PAYS DE FOIX - VARILHES</t>
  </si>
  <si>
    <t>'09000'</t>
  </si>
  <si>
    <t>'09120'</t>
  </si>
  <si>
    <t>'09003'</t>
  </si>
  <si>
    <t>'09001'</t>
  </si>
  <si>
    <t>'09002'</t>
  </si>
  <si>
    <t>'09004'</t>
  </si>
  <si>
    <t>'09007'</t>
  </si>
  <si>
    <t>'09008'</t>
  </si>
  <si>
    <t>'09014'</t>
  </si>
  <si>
    <t>'09015'</t>
  </si>
  <si>
    <t>'09016'</t>
  </si>
  <si>
    <t>'09330'</t>
  </si>
  <si>
    <t>'09017'</t>
  </si>
  <si>
    <t>'09101'</t>
  </si>
  <si>
    <t>'09340'</t>
  </si>
  <si>
    <t>CA TROYES CHAMPAGNE METROPOLE</t>
  </si>
  <si>
    <t>'10320'</t>
  </si>
  <si>
    <t>'10150'</t>
  </si>
  <si>
    <t>'10600'</t>
  </si>
  <si>
    <t>'10601'</t>
  </si>
  <si>
    <t>'10602'</t>
  </si>
  <si>
    <t>'10603'</t>
  </si>
  <si>
    <t>'10604'</t>
  </si>
  <si>
    <t>'10800'</t>
  </si>
  <si>
    <t>'10270'</t>
  </si>
  <si>
    <t>'10096'</t>
  </si>
  <si>
    <t>'10431'</t>
  </si>
  <si>
    <t>'10432'</t>
  </si>
  <si>
    <t>'10433'</t>
  </si>
  <si>
    <t>'10450'</t>
  </si>
  <si>
    <t>'10190'</t>
  </si>
  <si>
    <t>'10003'</t>
  </si>
  <si>
    <t>'10605'</t>
  </si>
  <si>
    <t>'10901'</t>
  </si>
  <si>
    <t>'10390'</t>
  </si>
  <si>
    <t>'10007'</t>
  </si>
  <si>
    <t>'10151'</t>
  </si>
  <si>
    <t>'10152'</t>
  </si>
  <si>
    <t>'10154'</t>
  </si>
  <si>
    <t>'10120'</t>
  </si>
  <si>
    <t>'10002'</t>
  </si>
  <si>
    <t>'10091'</t>
  </si>
  <si>
    <t>'10300'</t>
  </si>
  <si>
    <t>'10140'</t>
  </si>
  <si>
    <t>'10260'</t>
  </si>
  <si>
    <t>'10420'</t>
  </si>
  <si>
    <t>'10350'</t>
  </si>
  <si>
    <t>'10004'</t>
  </si>
  <si>
    <t>'10153'</t>
  </si>
  <si>
    <t>'10440'</t>
  </si>
  <si>
    <t>'10606'</t>
  </si>
  <si>
    <t>'10088'</t>
  </si>
  <si>
    <t>'10430'</t>
  </si>
  <si>
    <t>'10902'</t>
  </si>
  <si>
    <t>'10410'</t>
  </si>
  <si>
    <t>'10121'</t>
  </si>
  <si>
    <t>'10122'</t>
  </si>
  <si>
    <t>'10128'</t>
  </si>
  <si>
    <t>'10180'</t>
  </si>
  <si>
    <t>'10006'</t>
  </si>
  <si>
    <t>'10092'</t>
  </si>
  <si>
    <t>'10001'</t>
  </si>
  <si>
    <t>'10018'</t>
  </si>
  <si>
    <t>'10081'</t>
  </si>
  <si>
    <t>'10089'</t>
  </si>
  <si>
    <t>'10301'</t>
  </si>
  <si>
    <t>'10302'</t>
  </si>
  <si>
    <t>'10303'</t>
  </si>
  <si>
    <t>'10000'</t>
  </si>
  <si>
    <t>'10005'</t>
  </si>
  <si>
    <t>'10008'</t>
  </si>
  <si>
    <t>'10009'</t>
  </si>
  <si>
    <t>'10011'</t>
  </si>
  <si>
    <t>'10012'</t>
  </si>
  <si>
    <t>'10013'</t>
  </si>
  <si>
    <t>'10014'</t>
  </si>
  <si>
    <t>'10025'</t>
  </si>
  <si>
    <t>'10026'</t>
  </si>
  <si>
    <t>'10030'</t>
  </si>
  <si>
    <t>'10031'</t>
  </si>
  <si>
    <t>'10032'</t>
  </si>
  <si>
    <t>'10080'</t>
  </si>
  <si>
    <t>CARCASSONNE AGGLO</t>
  </si>
  <si>
    <t>'11800'</t>
  </si>
  <si>
    <t>'11290'</t>
  </si>
  <si>
    <t>'11860'</t>
  </si>
  <si>
    <t>'11170'</t>
  </si>
  <si>
    <t>'11600'</t>
  </si>
  <si>
    <t>COMMUNAUTE D'AGGLOMERATION LE GRAND NARBONNE</t>
  </si>
  <si>
    <t>'11120'</t>
  </si>
  <si>
    <t>'11110'</t>
  </si>
  <si>
    <t>'11220'</t>
  </si>
  <si>
    <t>'11700'</t>
  </si>
  <si>
    <t>'11890'</t>
  </si>
  <si>
    <t>'11100'</t>
  </si>
  <si>
    <t>'11000'</t>
  </si>
  <si>
    <t>'11200'</t>
  </si>
  <si>
    <t>'11160'</t>
  </si>
  <si>
    <t>'11001'</t>
  </si>
  <si>
    <t>'11002'</t>
  </si>
  <si>
    <t>'11003'</t>
  </si>
  <si>
    <t>'11004'</t>
  </si>
  <si>
    <t>'11005'</t>
  </si>
  <si>
    <t>'11007'</t>
  </si>
  <si>
    <t>'11009'</t>
  </si>
  <si>
    <t>'11010'</t>
  </si>
  <si>
    <t>'11011'</t>
  </si>
  <si>
    <t>'11012'</t>
  </si>
  <si>
    <t>'11016'</t>
  </si>
  <si>
    <t>'11017'</t>
  </si>
  <si>
    <t>'11020'</t>
  </si>
  <si>
    <t>'11021'</t>
  </si>
  <si>
    <t>'11022'</t>
  </si>
  <si>
    <t>'11802'</t>
  </si>
  <si>
    <t>'11803'</t>
  </si>
  <si>
    <t>'11805'</t>
  </si>
  <si>
    <t>'11806'</t>
  </si>
  <si>
    <t>'11807'</t>
  </si>
  <si>
    <t>'11816'</t>
  </si>
  <si>
    <t>'11833'</t>
  </si>
  <si>
    <t>'11835'</t>
  </si>
  <si>
    <t>'11836'</t>
  </si>
  <si>
    <t>'11838'</t>
  </si>
  <si>
    <t>'11850'</t>
  </si>
  <si>
    <t>'11855'</t>
  </si>
  <si>
    <t>'11870'</t>
  </si>
  <si>
    <t>'11875'</t>
  </si>
  <si>
    <t>'11876'</t>
  </si>
  <si>
    <t>'11877'</t>
  </si>
  <si>
    <t>'11880'</t>
  </si>
  <si>
    <t>'11885'</t>
  </si>
  <si>
    <t>'11570'</t>
  </si>
  <si>
    <t>'11510'</t>
  </si>
  <si>
    <t>'11250'</t>
  </si>
  <si>
    <t>'11590'</t>
  </si>
  <si>
    <t>'11560'</t>
  </si>
  <si>
    <t>'11430'</t>
  </si>
  <si>
    <t>'11480'</t>
  </si>
  <si>
    <t>'11370'</t>
  </si>
  <si>
    <t>'11303'</t>
  </si>
  <si>
    <t>'11102'</t>
  </si>
  <si>
    <t>'11785'</t>
  </si>
  <si>
    <t>'11101'</t>
  </si>
  <si>
    <t>'11103'</t>
  </si>
  <si>
    <t>'11104'</t>
  </si>
  <si>
    <t>'11105'</t>
  </si>
  <si>
    <t>'11106'</t>
  </si>
  <si>
    <t>'11108'</t>
  </si>
  <si>
    <t>'11781'</t>
  </si>
  <si>
    <t>'11782'</t>
  </si>
  <si>
    <t>'11784'</t>
  </si>
  <si>
    <t>'11789'</t>
  </si>
  <si>
    <t>'11790'</t>
  </si>
  <si>
    <t>'11210'</t>
  </si>
  <si>
    <t>'11610'</t>
  </si>
  <si>
    <t>'11440'</t>
  </si>
  <si>
    <t>'11490'</t>
  </si>
  <si>
    <t>'11540'</t>
  </si>
  <si>
    <t>'11130'</t>
  </si>
  <si>
    <t>'11878'</t>
  </si>
  <si>
    <t>'11620'</t>
  </si>
  <si>
    <t>COMMUNAUTE DE COMMUNES DECAZEVILLE COMMUNAUTE</t>
  </si>
  <si>
    <t>'12300'</t>
  </si>
  <si>
    <t>'12110'</t>
  </si>
  <si>
    <t>COMMUNAUTE D'AGGLOMERATION DU GRAND RODEZ</t>
  </si>
  <si>
    <t>'12160'</t>
  </si>
  <si>
    <t>COMMUNAUTE DE COMMUNES MILLAU GRANDS CAUSSES</t>
  </si>
  <si>
    <t>'12100'</t>
  </si>
  <si>
    <t>'12102'</t>
  </si>
  <si>
    <t>'12103'</t>
  </si>
  <si>
    <t>'12104'</t>
  </si>
  <si>
    <t>'12000'</t>
  </si>
  <si>
    <t>'12002'</t>
  </si>
  <si>
    <t>'12032'</t>
  </si>
  <si>
    <t>'12033'</t>
  </si>
  <si>
    <t>'12510'</t>
  </si>
  <si>
    <t>'12450'</t>
  </si>
  <si>
    <t>'12101'</t>
  </si>
  <si>
    <t>'12106'</t>
  </si>
  <si>
    <t>'12108'</t>
  </si>
  <si>
    <t>'12007'</t>
  </si>
  <si>
    <t>'12034'</t>
  </si>
  <si>
    <t>'12003'</t>
  </si>
  <si>
    <t>'12005'</t>
  </si>
  <si>
    <t>'12035'</t>
  </si>
  <si>
    <t>'12850'</t>
  </si>
  <si>
    <t>'12001'</t>
  </si>
  <si>
    <t>'12008'</t>
  </si>
  <si>
    <t>'12020'</t>
  </si>
  <si>
    <t>'12021'</t>
  </si>
  <si>
    <t>'12022'</t>
  </si>
  <si>
    <t>'12023'</t>
  </si>
  <si>
    <t>'12024'</t>
  </si>
  <si>
    <t>'12025'</t>
  </si>
  <si>
    <t>'12026'</t>
  </si>
  <si>
    <t>'12027'</t>
  </si>
  <si>
    <t>'12028'</t>
  </si>
  <si>
    <t>'12031'</t>
  </si>
  <si>
    <t>'12740'</t>
  </si>
  <si>
    <t>COMMUNE DE VILLEFRANCHE-DE-ROUERGUE</t>
  </si>
  <si>
    <t>'12200'</t>
  </si>
  <si>
    <t>'12201'</t>
  </si>
  <si>
    <t>'12202'</t>
  </si>
  <si>
    <t>'12203'</t>
  </si>
  <si>
    <t>'12204'</t>
  </si>
  <si>
    <t>METROPOLE D'AIX-MARSEILLE-PROVENCE</t>
  </si>
  <si>
    <t>'13080'</t>
  </si>
  <si>
    <t>'13085'</t>
  </si>
  <si>
    <t>'13088'</t>
  </si>
  <si>
    <t>'13089'</t>
  </si>
  <si>
    <t>'13090'</t>
  </si>
  <si>
    <t>'13091'</t>
  </si>
  <si>
    <t>'13092'</t>
  </si>
  <si>
    <t>'13093'</t>
  </si>
  <si>
    <t>'13094'</t>
  </si>
  <si>
    <t>'13095'</t>
  </si>
  <si>
    <t>'13096'</t>
  </si>
  <si>
    <t>'13097'</t>
  </si>
  <si>
    <t>'13098'</t>
  </si>
  <si>
    <t>'13099'</t>
  </si>
  <si>
    <t>'13100'</t>
  </si>
  <si>
    <t>'13101'</t>
  </si>
  <si>
    <t>'13181'</t>
  </si>
  <si>
    <t>'13182'</t>
  </si>
  <si>
    <t>'13290'</t>
  </si>
  <si>
    <t>'13540'</t>
  </si>
  <si>
    <t>'13545'</t>
  </si>
  <si>
    <t>'13546'</t>
  </si>
  <si>
    <t>'13547'</t>
  </si>
  <si>
    <t>'13591'</t>
  </si>
  <si>
    <t>'13592'</t>
  </si>
  <si>
    <t>'13593'</t>
  </si>
  <si>
    <t>'13594'</t>
  </si>
  <si>
    <t>'13595'</t>
  </si>
  <si>
    <t>'13601'</t>
  </si>
  <si>
    <t>'13602'</t>
  </si>
  <si>
    <t>'13603'</t>
  </si>
  <si>
    <t>'13604'</t>
  </si>
  <si>
    <t>'13605'</t>
  </si>
  <si>
    <t>'13606'</t>
  </si>
  <si>
    <t>'13607'</t>
  </si>
  <si>
    <t>'13608'</t>
  </si>
  <si>
    <t>'13609'</t>
  </si>
  <si>
    <t>'13611'</t>
  </si>
  <si>
    <t>'13614'</t>
  </si>
  <si>
    <t>'13615'</t>
  </si>
  <si>
    <t>'13616'</t>
  </si>
  <si>
    <t>'13617'</t>
  </si>
  <si>
    <t>'13621'</t>
  </si>
  <si>
    <t>'13625'</t>
  </si>
  <si>
    <t>'13626'</t>
  </si>
  <si>
    <t>'13627'</t>
  </si>
  <si>
    <t>'13628'</t>
  </si>
  <si>
    <t>'13761'</t>
  </si>
  <si>
    <t>'13766'</t>
  </si>
  <si>
    <t>'13791'</t>
  </si>
  <si>
    <t>'13792'</t>
  </si>
  <si>
    <t>'13793'</t>
  </si>
  <si>
    <t>'13794'</t>
  </si>
  <si>
    <t>'13795'</t>
  </si>
  <si>
    <t>'13796'</t>
  </si>
  <si>
    <t>'13797'</t>
  </si>
  <si>
    <t>'13798'</t>
  </si>
  <si>
    <t>'13799'</t>
  </si>
  <si>
    <t>'13851'</t>
  </si>
  <si>
    <t>'13852'</t>
  </si>
  <si>
    <t>'13854'</t>
  </si>
  <si>
    <t>'13855'</t>
  </si>
  <si>
    <t>'13856'</t>
  </si>
  <si>
    <t>'13857'</t>
  </si>
  <si>
    <t>'13858'</t>
  </si>
  <si>
    <t>'13190'</t>
  </si>
  <si>
    <t>'13718'</t>
  </si>
  <si>
    <t>'13980'</t>
  </si>
  <si>
    <t>CA ARLES-CRAU-CAMARGUE-MONTAGNETTE</t>
  </si>
  <si>
    <t>'13200'</t>
  </si>
  <si>
    <t>'13280'</t>
  </si>
  <si>
    <t>'13631'</t>
  </si>
  <si>
    <t>'13632'</t>
  </si>
  <si>
    <t>'13633'</t>
  </si>
  <si>
    <t>'13635'</t>
  </si>
  <si>
    <t>'13637'</t>
  </si>
  <si>
    <t>'13642'</t>
  </si>
  <si>
    <t>'13643'</t>
  </si>
  <si>
    <t>'13646'</t>
  </si>
  <si>
    <t>'13400'</t>
  </si>
  <si>
    <t>'13671'</t>
  </si>
  <si>
    <t>'13672'</t>
  </si>
  <si>
    <t>'13673'</t>
  </si>
  <si>
    <t>'13674'</t>
  </si>
  <si>
    <t>'13675'</t>
  </si>
  <si>
    <t>'13676'</t>
  </si>
  <si>
    <t>'13677'</t>
  </si>
  <si>
    <t>'13678'</t>
  </si>
  <si>
    <t>'13681'</t>
  </si>
  <si>
    <t>'13683'</t>
  </si>
  <si>
    <t>'13684'</t>
  </si>
  <si>
    <t>'13685'</t>
  </si>
  <si>
    <t>'13688'</t>
  </si>
  <si>
    <t>'13781'</t>
  </si>
  <si>
    <t>'13782'</t>
  </si>
  <si>
    <t>'13783'</t>
  </si>
  <si>
    <t>'13784'</t>
  </si>
  <si>
    <t>'13785'</t>
  </si>
  <si>
    <t>'13788'</t>
  </si>
  <si>
    <t>'13390'</t>
  </si>
  <si>
    <t>'13121'</t>
  </si>
  <si>
    <t>'13330'</t>
  </si>
  <si>
    <t>'13720'</t>
  </si>
  <si>
    <t>'13130'</t>
  </si>
  <si>
    <t>'13131'</t>
  </si>
  <si>
    <t>'13132'</t>
  </si>
  <si>
    <t>'13133'</t>
  </si>
  <si>
    <t>'13138'</t>
  </si>
  <si>
    <t>'13320'</t>
  </si>
  <si>
    <t>'13150'</t>
  </si>
  <si>
    <t>'13480'</t>
  </si>
  <si>
    <t>'13822'</t>
  </si>
  <si>
    <t>'13823'</t>
  </si>
  <si>
    <t>'13824'</t>
  </si>
  <si>
    <t>'13825'</t>
  </si>
  <si>
    <t>'13828'</t>
  </si>
  <si>
    <t>'13950'</t>
  </si>
  <si>
    <t>'13620'</t>
  </si>
  <si>
    <t>'13260'</t>
  </si>
  <si>
    <t>'13711'</t>
  </si>
  <si>
    <t>'13714'</t>
  </si>
  <si>
    <t>'13716'</t>
  </si>
  <si>
    <t>'13600'</t>
  </si>
  <si>
    <t>'13701'</t>
  </si>
  <si>
    <t>'13702'</t>
  </si>
  <si>
    <t>'13350'</t>
  </si>
  <si>
    <t>'13106'</t>
  </si>
  <si>
    <t>'13790'</t>
  </si>
  <si>
    <t>'13161'</t>
  </si>
  <si>
    <t>'13163'</t>
  </si>
  <si>
    <t>'13164'</t>
  </si>
  <si>
    <t>'13165'</t>
  </si>
  <si>
    <t>'13168'</t>
  </si>
  <si>
    <t>'13220'</t>
  </si>
  <si>
    <t>'13703'</t>
  </si>
  <si>
    <t>'13704'</t>
  </si>
  <si>
    <t>'13705'</t>
  </si>
  <si>
    <t>'13708'</t>
  </si>
  <si>
    <t>'13250'</t>
  </si>
  <si>
    <t>'13668'</t>
  </si>
  <si>
    <t>'13780'</t>
  </si>
  <si>
    <t>'13112'</t>
  </si>
  <si>
    <t>'13510'</t>
  </si>
  <si>
    <t>'13820'</t>
  </si>
  <si>
    <t>'13430'</t>
  </si>
  <si>
    <t>'13580'</t>
  </si>
  <si>
    <t>'13270'</t>
  </si>
  <si>
    <t>'13771'</t>
  </si>
  <si>
    <t>'13772'</t>
  </si>
  <si>
    <t>'13773'</t>
  </si>
  <si>
    <t>'13774'</t>
  </si>
  <si>
    <t>'13775'</t>
  </si>
  <si>
    <t>'13776'</t>
  </si>
  <si>
    <t>'13777'</t>
  </si>
  <si>
    <t>'13778'</t>
  </si>
  <si>
    <t>'13895'</t>
  </si>
  <si>
    <t>'13710'</t>
  </si>
  <si>
    <t>'13120'</t>
  </si>
  <si>
    <t>'13541'</t>
  </si>
  <si>
    <t>'13542'</t>
  </si>
  <si>
    <t>'13543'</t>
  </si>
  <si>
    <t>'13548'</t>
  </si>
  <si>
    <t>'13549'</t>
  </si>
  <si>
    <t>'13420'</t>
  </si>
  <si>
    <t>'13881'</t>
  </si>
  <si>
    <t>'13883'</t>
  </si>
  <si>
    <t>'13887'</t>
  </si>
  <si>
    <t>'13180'</t>
  </si>
  <si>
    <t>'13721'</t>
  </si>
  <si>
    <t>'13722'</t>
  </si>
  <si>
    <t>'13724'</t>
  </si>
  <si>
    <t>'13729'</t>
  </si>
  <si>
    <t>'13450'</t>
  </si>
  <si>
    <t>'13665'</t>
  </si>
  <si>
    <t>'13666'</t>
  </si>
  <si>
    <t>'13667'</t>
  </si>
  <si>
    <t>'13850'</t>
  </si>
  <si>
    <t>'13118'</t>
  </si>
  <si>
    <t>'13128'</t>
  </si>
  <si>
    <t>'13800'</t>
  </si>
  <si>
    <t>'13801'</t>
  </si>
  <si>
    <t>'13802'</t>
  </si>
  <si>
    <t>'13803'</t>
  </si>
  <si>
    <t>'13804'</t>
  </si>
  <si>
    <t>'13805'</t>
  </si>
  <si>
    <t>'13806'</t>
  </si>
  <si>
    <t>'13807'</t>
  </si>
  <si>
    <t>'13808'</t>
  </si>
  <si>
    <t>'13490'</t>
  </si>
  <si>
    <t>'13113'</t>
  </si>
  <si>
    <t>'13410'</t>
  </si>
  <si>
    <t>'13656'</t>
  </si>
  <si>
    <t>'13658'</t>
  </si>
  <si>
    <t>'13680'</t>
  </si>
  <si>
    <t>'13370'</t>
  </si>
  <si>
    <t>'13700'</t>
  </si>
  <si>
    <t>'13723'</t>
  </si>
  <si>
    <t>'13725'</t>
  </si>
  <si>
    <t>'13726'</t>
  </si>
  <si>
    <t>'13727'</t>
  </si>
  <si>
    <t>'13728'</t>
  </si>
  <si>
    <t>'13500'</t>
  </si>
  <si>
    <t>'13503'</t>
  </si>
  <si>
    <t>'13691'</t>
  </si>
  <si>
    <t>'13692'</t>
  </si>
  <si>
    <t>'13693'</t>
  </si>
  <si>
    <t>'13694'</t>
  </si>
  <si>
    <t>'13695'</t>
  </si>
  <si>
    <t>'13696'</t>
  </si>
  <si>
    <t>'13697'</t>
  </si>
  <si>
    <t>'13698'</t>
  </si>
  <si>
    <t>'13650'</t>
  </si>
  <si>
    <t>'13590'</t>
  </si>
  <si>
    <t>'13105'</t>
  </si>
  <si>
    <t>'13140'</t>
  </si>
  <si>
    <t>'13141'</t>
  </si>
  <si>
    <t>'13142'</t>
  </si>
  <si>
    <t>'13148'</t>
  </si>
  <si>
    <t>'13713'</t>
  </si>
  <si>
    <t>'13821'</t>
  </si>
  <si>
    <t>'13170'</t>
  </si>
  <si>
    <t>'13751'</t>
  </si>
  <si>
    <t>'13752'</t>
  </si>
  <si>
    <t>'13757'</t>
  </si>
  <si>
    <t>'13758'</t>
  </si>
  <si>
    <t>'13124'</t>
  </si>
  <si>
    <t>'13860'</t>
  </si>
  <si>
    <t>'13380'</t>
  </si>
  <si>
    <t>'13712'</t>
  </si>
  <si>
    <t>'13110'</t>
  </si>
  <si>
    <t>'13521'</t>
  </si>
  <si>
    <t>'13522'</t>
  </si>
  <si>
    <t>'13523'</t>
  </si>
  <si>
    <t>'13524'</t>
  </si>
  <si>
    <t>'13528'</t>
  </si>
  <si>
    <t>'13230'</t>
  </si>
  <si>
    <t>'13511'</t>
  </si>
  <si>
    <t>'13512'</t>
  </si>
  <si>
    <t>'13513'</t>
  </si>
  <si>
    <t>'13514'</t>
  </si>
  <si>
    <t>'13516'</t>
  </si>
  <si>
    <t>'13518'</t>
  </si>
  <si>
    <t>'13114'</t>
  </si>
  <si>
    <t>'13610'</t>
  </si>
  <si>
    <t>'13340'</t>
  </si>
  <si>
    <t>'13655'</t>
  </si>
  <si>
    <t>'13840'</t>
  </si>
  <si>
    <t>'13640'</t>
  </si>
  <si>
    <t>'13830'</t>
  </si>
  <si>
    <t>'13360'</t>
  </si>
  <si>
    <t>'13717'</t>
  </si>
  <si>
    <t>'13102'</t>
  </si>
  <si>
    <t>'13740'</t>
  </si>
  <si>
    <t>'13760'</t>
  </si>
  <si>
    <t>'13460'</t>
  </si>
  <si>
    <t>'13731'</t>
  </si>
  <si>
    <t>'13732'</t>
  </si>
  <si>
    <t>'13310'</t>
  </si>
  <si>
    <t>'13551'</t>
  </si>
  <si>
    <t>'13552'</t>
  </si>
  <si>
    <t>'13558'</t>
  </si>
  <si>
    <t>'13920'</t>
  </si>
  <si>
    <t>'13066'</t>
  </si>
  <si>
    <t>'13108'</t>
  </si>
  <si>
    <t>'13115'</t>
  </si>
  <si>
    <t>'13119'</t>
  </si>
  <si>
    <t>'13730'</t>
  </si>
  <si>
    <t>'13300'</t>
  </si>
  <si>
    <t>'13651'</t>
  </si>
  <si>
    <t>'13652'</t>
  </si>
  <si>
    <t>'13653'</t>
  </si>
  <si>
    <t>'13654'</t>
  </si>
  <si>
    <t>'13661'</t>
  </si>
  <si>
    <t>'13662'</t>
  </si>
  <si>
    <t>'13663'</t>
  </si>
  <si>
    <t>'13664'</t>
  </si>
  <si>
    <t>'13960'</t>
  </si>
  <si>
    <t>'13560'</t>
  </si>
  <si>
    <t>'13240'</t>
  </si>
  <si>
    <t>'13109'</t>
  </si>
  <si>
    <t>'13151'</t>
  </si>
  <si>
    <t>'13152'</t>
  </si>
  <si>
    <t>'13153'</t>
  </si>
  <si>
    <t>'13155'</t>
  </si>
  <si>
    <t>'13156'</t>
  </si>
  <si>
    <t>'13157'</t>
  </si>
  <si>
    <t>'13158'</t>
  </si>
  <si>
    <t>'13612'</t>
  </si>
  <si>
    <t>'13530'</t>
  </si>
  <si>
    <t>'13126'</t>
  </si>
  <si>
    <t>'13880'</t>
  </si>
  <si>
    <t>'13770'</t>
  </si>
  <si>
    <t>'13122'</t>
  </si>
  <si>
    <t>'13116'</t>
  </si>
  <si>
    <t>'13127'</t>
  </si>
  <si>
    <t>'13741'</t>
  </si>
  <si>
    <t>'13742'</t>
  </si>
  <si>
    <t>'13743'</t>
  </si>
  <si>
    <t>'13744'</t>
  </si>
  <si>
    <t>'13745'</t>
  </si>
  <si>
    <t>'13746'</t>
  </si>
  <si>
    <t>'13747'</t>
  </si>
  <si>
    <t>'13812'</t>
  </si>
  <si>
    <t>'13815'</t>
  </si>
  <si>
    <t>'13841'</t>
  </si>
  <si>
    <t>'13842'</t>
  </si>
  <si>
    <t>'13844'</t>
  </si>
  <si>
    <t>'13845'</t>
  </si>
  <si>
    <t>'13846'</t>
  </si>
  <si>
    <t>'13847'</t>
  </si>
  <si>
    <t>'13861'</t>
  </si>
  <si>
    <t>'13111'</t>
  </si>
  <si>
    <t>'13470'</t>
  </si>
  <si>
    <t>'13715'</t>
  </si>
  <si>
    <t>'13001'</t>
  </si>
  <si>
    <t>'13020'</t>
  </si>
  <si>
    <t>'13177'</t>
  </si>
  <si>
    <t>'13178'</t>
  </si>
  <si>
    <t>'13191'</t>
  </si>
  <si>
    <t>'13192'</t>
  </si>
  <si>
    <t>'13201'</t>
  </si>
  <si>
    <t>'13202'</t>
  </si>
  <si>
    <t>'13203'</t>
  </si>
  <si>
    <t>'13205'</t>
  </si>
  <si>
    <t>'13207'</t>
  </si>
  <si>
    <t>'13211'</t>
  </si>
  <si>
    <t>'13217'</t>
  </si>
  <si>
    <t>'13221'</t>
  </si>
  <si>
    <t>'13227'</t>
  </si>
  <si>
    <t>'13231'</t>
  </si>
  <si>
    <t>'13232'</t>
  </si>
  <si>
    <t>'13233'</t>
  </si>
  <si>
    <t>'13241'</t>
  </si>
  <si>
    <t>'13242'</t>
  </si>
  <si>
    <t>'13243'</t>
  </si>
  <si>
    <t>'13244'</t>
  </si>
  <si>
    <t>'13248'</t>
  </si>
  <si>
    <t>'13251'</t>
  </si>
  <si>
    <t>'13254'</t>
  </si>
  <si>
    <t>'13284'</t>
  </si>
  <si>
    <t>'13289'</t>
  </si>
  <si>
    <t>'13441'</t>
  </si>
  <si>
    <t>'13444'</t>
  </si>
  <si>
    <t>'13471'</t>
  </si>
  <si>
    <t>'13484'</t>
  </si>
  <si>
    <t>'13002'</t>
  </si>
  <si>
    <t>'13196'</t>
  </si>
  <si>
    <t>'13213'</t>
  </si>
  <si>
    <t>'13214'</t>
  </si>
  <si>
    <t>'13215'</t>
  </si>
  <si>
    <t>'13216'</t>
  </si>
  <si>
    <t>'13218'</t>
  </si>
  <si>
    <t>'13224'</t>
  </si>
  <si>
    <t>'13225'</t>
  </si>
  <si>
    <t>'13226'</t>
  </si>
  <si>
    <t>'13235'</t>
  </si>
  <si>
    <t>'13236'</t>
  </si>
  <si>
    <t>'13256'</t>
  </si>
  <si>
    <t>'13304'</t>
  </si>
  <si>
    <t>'13315'</t>
  </si>
  <si>
    <t>'13316'</t>
  </si>
  <si>
    <t>'13345'</t>
  </si>
  <si>
    <t>'13411'</t>
  </si>
  <si>
    <t>'13472'</t>
  </si>
  <si>
    <t>'13473'</t>
  </si>
  <si>
    <t>'13474'</t>
  </si>
  <si>
    <t>'13478'</t>
  </si>
  <si>
    <t>'13481'</t>
  </si>
  <si>
    <t>'13566'</t>
  </si>
  <si>
    <t>'13567'</t>
  </si>
  <si>
    <t>'13568'</t>
  </si>
  <si>
    <t>'13572'</t>
  </si>
  <si>
    <t>'13003'</t>
  </si>
  <si>
    <t>'13286'</t>
  </si>
  <si>
    <t>'13301'</t>
  </si>
  <si>
    <t>'13302'</t>
  </si>
  <si>
    <t>'13303'</t>
  </si>
  <si>
    <t>'13309'</t>
  </si>
  <si>
    <t>'13324'</t>
  </si>
  <si>
    <t>'13325'</t>
  </si>
  <si>
    <t>'13331'</t>
  </si>
  <si>
    <t>'13332'</t>
  </si>
  <si>
    <t>'13346'</t>
  </si>
  <si>
    <t>'13347'</t>
  </si>
  <si>
    <t>'13356'</t>
  </si>
  <si>
    <t>'13900'</t>
  </si>
  <si>
    <t>'13004'</t>
  </si>
  <si>
    <t>'13228'</t>
  </si>
  <si>
    <t>'13234'</t>
  </si>
  <si>
    <t>'13245'</t>
  </si>
  <si>
    <t>'13381'</t>
  </si>
  <si>
    <t>'13005'</t>
  </si>
  <si>
    <t>'13351'</t>
  </si>
  <si>
    <t>'13352'</t>
  </si>
  <si>
    <t>'13354'</t>
  </si>
  <si>
    <t>'13355'</t>
  </si>
  <si>
    <t>'13385'</t>
  </si>
  <si>
    <t>'13386'</t>
  </si>
  <si>
    <t>'13392'</t>
  </si>
  <si>
    <t>'13443'</t>
  </si>
  <si>
    <t>'13445'</t>
  </si>
  <si>
    <t>'13006'</t>
  </si>
  <si>
    <t>'13252'</t>
  </si>
  <si>
    <t>'13253'</t>
  </si>
  <si>
    <t>'13255'</t>
  </si>
  <si>
    <t>'13259'</t>
  </si>
  <si>
    <t>'13262'</t>
  </si>
  <si>
    <t>'13281'</t>
  </si>
  <si>
    <t>'13282'</t>
  </si>
  <si>
    <t>'13291'</t>
  </si>
  <si>
    <t>'13292'</t>
  </si>
  <si>
    <t>'13294'</t>
  </si>
  <si>
    <t>'13298'</t>
  </si>
  <si>
    <t>'13344'</t>
  </si>
  <si>
    <t>'13431'</t>
  </si>
  <si>
    <t>'13432'</t>
  </si>
  <si>
    <t>'13434'</t>
  </si>
  <si>
    <t>'13435'</t>
  </si>
  <si>
    <t>'13442'</t>
  </si>
  <si>
    <t>'13446'</t>
  </si>
  <si>
    <t>'13447'</t>
  </si>
  <si>
    <t>'13448'</t>
  </si>
  <si>
    <t>'13942'</t>
  </si>
  <si>
    <t>'13007'</t>
  </si>
  <si>
    <t>'13261'</t>
  </si>
  <si>
    <t>'13263'</t>
  </si>
  <si>
    <t>'13264'</t>
  </si>
  <si>
    <t>'13008'</t>
  </si>
  <si>
    <t>'13257'</t>
  </si>
  <si>
    <t>'13265'</t>
  </si>
  <si>
    <t>'13266'</t>
  </si>
  <si>
    <t>'13267'</t>
  </si>
  <si>
    <t>'13268'</t>
  </si>
  <si>
    <t>'13269'</t>
  </si>
  <si>
    <t>'13271'</t>
  </si>
  <si>
    <t>'13272'</t>
  </si>
  <si>
    <t>'13273'</t>
  </si>
  <si>
    <t>'13278'</t>
  </si>
  <si>
    <t>'13285'</t>
  </si>
  <si>
    <t>'13295'</t>
  </si>
  <si>
    <t>'13357'</t>
  </si>
  <si>
    <t>'13412'</t>
  </si>
  <si>
    <t>'13415'</t>
  </si>
  <si>
    <t>'13416'</t>
  </si>
  <si>
    <t>'13417'</t>
  </si>
  <si>
    <t>'13483'</t>
  </si>
  <si>
    <t>'13583'</t>
  </si>
  <si>
    <t>'13937'</t>
  </si>
  <si>
    <t>'13009'</t>
  </si>
  <si>
    <t>'13258'</t>
  </si>
  <si>
    <t>'13274'</t>
  </si>
  <si>
    <t>'13275'</t>
  </si>
  <si>
    <t>'13276'</t>
  </si>
  <si>
    <t>'13277'</t>
  </si>
  <si>
    <t>'13288'</t>
  </si>
  <si>
    <t>'13297'</t>
  </si>
  <si>
    <t>'13299'</t>
  </si>
  <si>
    <t>'13401'</t>
  </si>
  <si>
    <t>'13404'</t>
  </si>
  <si>
    <t>'13406'</t>
  </si>
  <si>
    <t>'13482'</t>
  </si>
  <si>
    <t>'13010'</t>
  </si>
  <si>
    <t>'13361'</t>
  </si>
  <si>
    <t>'13362'</t>
  </si>
  <si>
    <t>'13363'</t>
  </si>
  <si>
    <t>'13364'</t>
  </si>
  <si>
    <t>'13365'</t>
  </si>
  <si>
    <t>'13387'</t>
  </si>
  <si>
    <t>'13395'</t>
  </si>
  <si>
    <t>'13413'</t>
  </si>
  <si>
    <t>'13933'</t>
  </si>
  <si>
    <t>'13011'</t>
  </si>
  <si>
    <t>'13366'</t>
  </si>
  <si>
    <t>'13367'</t>
  </si>
  <si>
    <t>'13368'</t>
  </si>
  <si>
    <t>'13369'</t>
  </si>
  <si>
    <t>'13371'</t>
  </si>
  <si>
    <t>'13372'</t>
  </si>
  <si>
    <t>'13374'</t>
  </si>
  <si>
    <t>'13391'</t>
  </si>
  <si>
    <t>'13396'</t>
  </si>
  <si>
    <t>'13424'</t>
  </si>
  <si>
    <t>'13921'</t>
  </si>
  <si>
    <t>'13923'</t>
  </si>
  <si>
    <t>'13924'</t>
  </si>
  <si>
    <t>'13925'</t>
  </si>
  <si>
    <t>'13012'</t>
  </si>
  <si>
    <t>'13375'</t>
  </si>
  <si>
    <t>'13376'</t>
  </si>
  <si>
    <t>'13377'</t>
  </si>
  <si>
    <t>'13378'</t>
  </si>
  <si>
    <t>'13382'</t>
  </si>
  <si>
    <t>'13394'</t>
  </si>
  <si>
    <t>'13425'</t>
  </si>
  <si>
    <t>'13426'</t>
  </si>
  <si>
    <t>'13427'</t>
  </si>
  <si>
    <t>'13428'</t>
  </si>
  <si>
    <t>'13013'</t>
  </si>
  <si>
    <t>'13383'</t>
  </si>
  <si>
    <t>'13384'</t>
  </si>
  <si>
    <t>'13388'</t>
  </si>
  <si>
    <t>'13393'</t>
  </si>
  <si>
    <t>'13397'</t>
  </si>
  <si>
    <t>'13451'</t>
  </si>
  <si>
    <t>'13452'</t>
  </si>
  <si>
    <t>'13453'</t>
  </si>
  <si>
    <t>'13454'</t>
  </si>
  <si>
    <t>'13455'</t>
  </si>
  <si>
    <t>'13456'</t>
  </si>
  <si>
    <t>'13457'</t>
  </si>
  <si>
    <t>'13458'</t>
  </si>
  <si>
    <t>'13941'</t>
  </si>
  <si>
    <t>'13014'</t>
  </si>
  <si>
    <t>'13307'</t>
  </si>
  <si>
    <t>'13308'</t>
  </si>
  <si>
    <t>'13311'</t>
  </si>
  <si>
    <t>'13312'</t>
  </si>
  <si>
    <t>'13313'</t>
  </si>
  <si>
    <t>'13323'</t>
  </si>
  <si>
    <t>'13333'</t>
  </si>
  <si>
    <t>'13348'</t>
  </si>
  <si>
    <t>'13421'</t>
  </si>
  <si>
    <t>'13581'</t>
  </si>
  <si>
    <t>'13015'</t>
  </si>
  <si>
    <t>'13314'</t>
  </si>
  <si>
    <t>'13317'</t>
  </si>
  <si>
    <t>'13318'</t>
  </si>
  <si>
    <t>'13326'</t>
  </si>
  <si>
    <t>'13327'</t>
  </si>
  <si>
    <t>'13342'</t>
  </si>
  <si>
    <t>'13343'</t>
  </si>
  <si>
    <t>'13463'</t>
  </si>
  <si>
    <t>'13464'</t>
  </si>
  <si>
    <t>'13904'</t>
  </si>
  <si>
    <t>'13905'</t>
  </si>
  <si>
    <t>'13906'</t>
  </si>
  <si>
    <t>'13016'</t>
  </si>
  <si>
    <t>'13321'</t>
  </si>
  <si>
    <t>'13322'</t>
  </si>
  <si>
    <t>'13467'</t>
  </si>
  <si>
    <t>COMMUNAUTE URBAINE CAEN LA MER</t>
  </si>
  <si>
    <t>'14280'</t>
  </si>
  <si>
    <t>'14970'</t>
  </si>
  <si>
    <t>'14112'</t>
  </si>
  <si>
    <t>'14201'</t>
  </si>
  <si>
    <t>'14011'</t>
  </si>
  <si>
    <t>'14550'</t>
  </si>
  <si>
    <t>'14540'</t>
  </si>
  <si>
    <t>'14210'</t>
  </si>
  <si>
    <t>'14250'</t>
  </si>
  <si>
    <t>'14653'</t>
  </si>
  <si>
    <t>'14740'</t>
  </si>
  <si>
    <t>'14651'</t>
  </si>
  <si>
    <t>'14652'</t>
  </si>
  <si>
    <t>'14760'</t>
  </si>
  <si>
    <t>'14792'</t>
  </si>
  <si>
    <t>'14000'</t>
  </si>
  <si>
    <t>'14001'</t>
  </si>
  <si>
    <t>'14005'</t>
  </si>
  <si>
    <t>'14006'</t>
  </si>
  <si>
    <t>'14007'</t>
  </si>
  <si>
    <t>'14008'</t>
  </si>
  <si>
    <t>'14009'</t>
  </si>
  <si>
    <t>'14010'</t>
  </si>
  <si>
    <t>'14012'</t>
  </si>
  <si>
    <t>'14013'</t>
  </si>
  <si>
    <t>'14014'</t>
  </si>
  <si>
    <t>'14015'</t>
  </si>
  <si>
    <t>'14016'</t>
  </si>
  <si>
    <t>'14017'</t>
  </si>
  <si>
    <t>'14018'</t>
  </si>
  <si>
    <t>'14019'</t>
  </si>
  <si>
    <t>'14020'</t>
  </si>
  <si>
    <t>'14023'</t>
  </si>
  <si>
    <t>'14024'</t>
  </si>
  <si>
    <t>'14026'</t>
  </si>
  <si>
    <t>'14027'</t>
  </si>
  <si>
    <t>'14028'</t>
  </si>
  <si>
    <t>'14029'</t>
  </si>
  <si>
    <t>'14030'</t>
  </si>
  <si>
    <t>'14031'</t>
  </si>
  <si>
    <t>'14032'</t>
  </si>
  <si>
    <t>'14033'</t>
  </si>
  <si>
    <t>'14034'</t>
  </si>
  <si>
    <t>'14035'</t>
  </si>
  <si>
    <t>'14036'</t>
  </si>
  <si>
    <t>'14037'</t>
  </si>
  <si>
    <t>'14038'</t>
  </si>
  <si>
    <t>'14045'</t>
  </si>
  <si>
    <t>'14046'</t>
  </si>
  <si>
    <t>'14047'</t>
  </si>
  <si>
    <t>'14048'</t>
  </si>
  <si>
    <t>'14050'</t>
  </si>
  <si>
    <t>'14051'</t>
  </si>
  <si>
    <t>'14052'</t>
  </si>
  <si>
    <t>'14053'</t>
  </si>
  <si>
    <t>'14054'</t>
  </si>
  <si>
    <t>'14058'</t>
  </si>
  <si>
    <t>'14061'</t>
  </si>
  <si>
    <t>'14062'</t>
  </si>
  <si>
    <t>'14063'</t>
  </si>
  <si>
    <t>'14064'</t>
  </si>
  <si>
    <t>'14065'</t>
  </si>
  <si>
    <t>'14066'</t>
  </si>
  <si>
    <t>'14067'</t>
  </si>
  <si>
    <t>'14070'</t>
  </si>
  <si>
    <t>'14074'</t>
  </si>
  <si>
    <t>'14075'</t>
  </si>
  <si>
    <t>'14076'</t>
  </si>
  <si>
    <t>'14077'</t>
  </si>
  <si>
    <t>'14078'</t>
  </si>
  <si>
    <t>'14079'</t>
  </si>
  <si>
    <t>'14081'</t>
  </si>
  <si>
    <t>'14082'</t>
  </si>
  <si>
    <t>'14083'</t>
  </si>
  <si>
    <t>'14084'</t>
  </si>
  <si>
    <t>'14085'</t>
  </si>
  <si>
    <t>'14086'</t>
  </si>
  <si>
    <t>'14089'</t>
  </si>
  <si>
    <t>'14090'</t>
  </si>
  <si>
    <t>'14093'</t>
  </si>
  <si>
    <t>'14094'</t>
  </si>
  <si>
    <t>'14099'</t>
  </si>
  <si>
    <t>'14901'</t>
  </si>
  <si>
    <t>'14902'</t>
  </si>
  <si>
    <t>'14908'</t>
  </si>
  <si>
    <t>'14909'</t>
  </si>
  <si>
    <t>'14913'</t>
  </si>
  <si>
    <t>'14915'</t>
  </si>
  <si>
    <t>'14919'</t>
  </si>
  <si>
    <t>'14921'</t>
  </si>
  <si>
    <t>'14922'</t>
  </si>
  <si>
    <t>'14923'</t>
  </si>
  <si>
    <t>'14924'</t>
  </si>
  <si>
    <t>'14925'</t>
  </si>
  <si>
    <t>'14926'</t>
  </si>
  <si>
    <t>'14929'</t>
  </si>
  <si>
    <t>'14931'</t>
  </si>
  <si>
    <t>'14935'</t>
  </si>
  <si>
    <t>'14944'</t>
  </si>
  <si>
    <t>'14949'</t>
  </si>
  <si>
    <t>'14610'</t>
  </si>
  <si>
    <t>'14650'</t>
  </si>
  <si>
    <t>'14880'</t>
  </si>
  <si>
    <t>'14460'</t>
  </si>
  <si>
    <t>'14461'</t>
  </si>
  <si>
    <t>'14904'</t>
  </si>
  <si>
    <t>'14906'</t>
  </si>
  <si>
    <t>'14914'</t>
  </si>
  <si>
    <t>'14123'</t>
  </si>
  <si>
    <t>'14903'</t>
  </si>
  <si>
    <t>'14840'</t>
  </si>
  <si>
    <t>'14791'</t>
  </si>
  <si>
    <t>'14930'</t>
  </si>
  <si>
    <t>'14480'</t>
  </si>
  <si>
    <t>'14730'</t>
  </si>
  <si>
    <t>'14200'</t>
  </si>
  <si>
    <t>'14202'</t>
  </si>
  <si>
    <t>'14203'</t>
  </si>
  <si>
    <t>'14204'</t>
  </si>
  <si>
    <t>'14208'</t>
  </si>
  <si>
    <t>'14209'</t>
  </si>
  <si>
    <t>'14780'</t>
  </si>
  <si>
    <t>'14111'</t>
  </si>
  <si>
    <t>'14920'</t>
  </si>
  <si>
    <t>'14092'</t>
  </si>
  <si>
    <t>'14095'</t>
  </si>
  <si>
    <t>'14120'</t>
  </si>
  <si>
    <t>'14125'</t>
  </si>
  <si>
    <t>'14126'</t>
  </si>
  <si>
    <t>'14127'</t>
  </si>
  <si>
    <t>'14128'</t>
  </si>
  <si>
    <t>'14790'</t>
  </si>
  <si>
    <t>'14150'</t>
  </si>
  <si>
    <t>'14980'</t>
  </si>
  <si>
    <t>'14320'</t>
  </si>
  <si>
    <t>'14907'</t>
  </si>
  <si>
    <t>'14039'</t>
  </si>
  <si>
    <t>'14654'</t>
  </si>
  <si>
    <t>'14655'</t>
  </si>
  <si>
    <t>'14911'</t>
  </si>
  <si>
    <t>'14940'</t>
  </si>
  <si>
    <t>'14670'</t>
  </si>
  <si>
    <t>COMMUNAUTE D'AGGLOMERATION DU BASSIN D'AURILLAC</t>
  </si>
  <si>
    <t>'15130'</t>
  </si>
  <si>
    <t>'15000'</t>
  </si>
  <si>
    <t>'15001'</t>
  </si>
  <si>
    <t>'15002'</t>
  </si>
  <si>
    <t>'15003'</t>
  </si>
  <si>
    <t>'15004'</t>
  </si>
  <si>
    <t>'15005'</t>
  </si>
  <si>
    <t>'15006'</t>
  </si>
  <si>
    <t>'15007'</t>
  </si>
  <si>
    <t>'15008'</t>
  </si>
  <si>
    <t>'15010'</t>
  </si>
  <si>
    <t>'15011'</t>
  </si>
  <si>
    <t>'15012'</t>
  </si>
  <si>
    <t>'15013'</t>
  </si>
  <si>
    <t>'15014'</t>
  </si>
  <si>
    <t>'15015'</t>
  </si>
  <si>
    <t>'15017'</t>
  </si>
  <si>
    <t>'15018'</t>
  </si>
  <si>
    <t>'15250'</t>
  </si>
  <si>
    <t>'15150'</t>
  </si>
  <si>
    <t>'15590'</t>
  </si>
  <si>
    <t>GRAND COGNAC COMMUNAUTE D'AGGLOMERATION</t>
  </si>
  <si>
    <t>'16300'</t>
  </si>
  <si>
    <t>'16130'</t>
  </si>
  <si>
    <t>'16120'</t>
  </si>
  <si>
    <t>COMMUNAUTE D'AGGLOMERATION GRAND ANGOULEME</t>
  </si>
  <si>
    <t>'16000'</t>
  </si>
  <si>
    <t>'16001'</t>
  </si>
  <si>
    <t>'16002'</t>
  </si>
  <si>
    <t>'16003'</t>
  </si>
  <si>
    <t>'16004'</t>
  </si>
  <si>
    <t>'16005'</t>
  </si>
  <si>
    <t>'16006'</t>
  </si>
  <si>
    <t>'16007'</t>
  </si>
  <si>
    <t>'16008'</t>
  </si>
  <si>
    <t>'16012'</t>
  </si>
  <si>
    <t>'16013'</t>
  </si>
  <si>
    <t>'16014'</t>
  </si>
  <si>
    <t>'16016'</t>
  </si>
  <si>
    <t>'16017'</t>
  </si>
  <si>
    <t>'16021'</t>
  </si>
  <si>
    <t>'16022'</t>
  </si>
  <si>
    <t>'16023'</t>
  </si>
  <si>
    <t>'16024'</t>
  </si>
  <si>
    <t>'16025'</t>
  </si>
  <si>
    <t>'16909'</t>
  </si>
  <si>
    <t>'16910'</t>
  </si>
  <si>
    <t>'16911'</t>
  </si>
  <si>
    <t>'16915'</t>
  </si>
  <si>
    <t>'16916'</t>
  </si>
  <si>
    <t>'16917'</t>
  </si>
  <si>
    <t>'16918'</t>
  </si>
  <si>
    <t>'16920'</t>
  </si>
  <si>
    <t>'16290'</t>
  </si>
  <si>
    <t>'16430'</t>
  </si>
  <si>
    <t>'16410'</t>
  </si>
  <si>
    <t>'16123'</t>
  </si>
  <si>
    <t>'16200'</t>
  </si>
  <si>
    <t>'16100'</t>
  </si>
  <si>
    <t>'16102'</t>
  </si>
  <si>
    <t>'16370'</t>
  </si>
  <si>
    <t>'16590'</t>
  </si>
  <si>
    <t>'16101'</t>
  </si>
  <si>
    <t>'16103'</t>
  </si>
  <si>
    <t>'16104'</t>
  </si>
  <si>
    <t>'16106'</t>
  </si>
  <si>
    <t>'16108'</t>
  </si>
  <si>
    <t>'16109'</t>
  </si>
  <si>
    <t>'16111'</t>
  </si>
  <si>
    <t>'16112'</t>
  </si>
  <si>
    <t>'16121'</t>
  </si>
  <si>
    <t>'16105'</t>
  </si>
  <si>
    <t>'16440'</t>
  </si>
  <si>
    <t>'16107'</t>
  </si>
  <si>
    <t>'16122'</t>
  </si>
  <si>
    <t>'16400'</t>
  </si>
  <si>
    <t>'16730'</t>
  </si>
  <si>
    <t>'16160'</t>
  </si>
  <si>
    <t>'16904'</t>
  </si>
  <si>
    <t>'16954'</t>
  </si>
  <si>
    <t>'16340'</t>
  </si>
  <si>
    <t>'16901'</t>
  </si>
  <si>
    <t>'16903'</t>
  </si>
  <si>
    <t>'16560'</t>
  </si>
  <si>
    <t>'16600'</t>
  </si>
  <si>
    <t>'16570'</t>
  </si>
  <si>
    <t>'16250'</t>
  </si>
  <si>
    <t>'16720'</t>
  </si>
  <si>
    <t>'16470'</t>
  </si>
  <si>
    <t>'16959'</t>
  </si>
  <si>
    <t>'16710'</t>
  </si>
  <si>
    <t>'16800'</t>
  </si>
  <si>
    <t>COMMUNAUTE D'AGGLOMERATION DU PAYS ROCHEFORTAIS</t>
  </si>
  <si>
    <t>'17123'</t>
  </si>
  <si>
    <t>COMMUNAUTE D'AGGOMERATION DE LA ROCHELLE</t>
  </si>
  <si>
    <t>'17690'</t>
  </si>
  <si>
    <t>COMMUNAUTE D'AGGLOMERATION ROYAN ATLANTIQUE</t>
  </si>
  <si>
    <t>'17120'</t>
  </si>
  <si>
    <t>'17530'</t>
  </si>
  <si>
    <t>'17001'</t>
  </si>
  <si>
    <t>'17440'</t>
  </si>
  <si>
    <t>'17441'</t>
  </si>
  <si>
    <t>'17442'</t>
  </si>
  <si>
    <t>'17443'</t>
  </si>
  <si>
    <t>'17444'</t>
  </si>
  <si>
    <t>'17445'</t>
  </si>
  <si>
    <t>'17446'</t>
  </si>
  <si>
    <t>'17620'</t>
  </si>
  <si>
    <t>'17220'</t>
  </si>
  <si>
    <t>'17203'</t>
  </si>
  <si>
    <t>'17920'</t>
  </si>
  <si>
    <t>'17303'</t>
  </si>
  <si>
    <t>'17305'</t>
  </si>
  <si>
    <t>'17870'</t>
  </si>
  <si>
    <t>COMMUNAUTE D'AGGLOMERATION DE SAINTES</t>
  </si>
  <si>
    <t>'17770'</t>
  </si>
  <si>
    <t>'17100'</t>
  </si>
  <si>
    <t>'17430'</t>
  </si>
  <si>
    <t>'17890'</t>
  </si>
  <si>
    <t>'17103'</t>
  </si>
  <si>
    <t>'17610'</t>
  </si>
  <si>
    <t>'17340'</t>
  </si>
  <si>
    <t>'17600'</t>
  </si>
  <si>
    <t>'17460'</t>
  </si>
  <si>
    <t>'17139'</t>
  </si>
  <si>
    <t>'17133'</t>
  </si>
  <si>
    <t>'17810'</t>
  </si>
  <si>
    <t>'17137'</t>
  </si>
  <si>
    <t>'17750'</t>
  </si>
  <si>
    <t>'17240'</t>
  </si>
  <si>
    <t>'17101'</t>
  </si>
  <si>
    <t>'17115'</t>
  </si>
  <si>
    <t>'17450'</t>
  </si>
  <si>
    <t>'17105'</t>
  </si>
  <si>
    <t>'17112'</t>
  </si>
  <si>
    <t>'17004'</t>
  </si>
  <si>
    <t>'17009'</t>
  </si>
  <si>
    <t>'17025'</t>
  </si>
  <si>
    <t>'17026'</t>
  </si>
  <si>
    <t>'17055'</t>
  </si>
  <si>
    <t>'17071'</t>
  </si>
  <si>
    <t>'17140'</t>
  </si>
  <si>
    <t>'17183'</t>
  </si>
  <si>
    <t>'17570'</t>
  </si>
  <si>
    <t>'17202'</t>
  </si>
  <si>
    <t>'17204'</t>
  </si>
  <si>
    <t>'17208'</t>
  </si>
  <si>
    <t>'17132'</t>
  </si>
  <si>
    <t>'17780'</t>
  </si>
  <si>
    <t>'17800'</t>
  </si>
  <si>
    <t>'17113'</t>
  </si>
  <si>
    <t>'17002'</t>
  </si>
  <si>
    <t>'17053'</t>
  </si>
  <si>
    <t>'17078'</t>
  </si>
  <si>
    <t>'17180'</t>
  </si>
  <si>
    <t>'17181'</t>
  </si>
  <si>
    <t>'17182'</t>
  </si>
  <si>
    <t>'17184'</t>
  </si>
  <si>
    <t>'17185'</t>
  </si>
  <si>
    <t>'17187'</t>
  </si>
  <si>
    <t>'17189'</t>
  </si>
  <si>
    <t>'17285'</t>
  </si>
  <si>
    <t>'17138'</t>
  </si>
  <si>
    <t>'17186'</t>
  </si>
  <si>
    <t>'17281'</t>
  </si>
  <si>
    <t>'17289'</t>
  </si>
  <si>
    <t>'17300'</t>
  </si>
  <si>
    <t>'17301'</t>
  </si>
  <si>
    <t>'17302'</t>
  </si>
  <si>
    <t>'17304'</t>
  </si>
  <si>
    <t>'17306'</t>
  </si>
  <si>
    <t>'17307'</t>
  </si>
  <si>
    <t>'17308'</t>
  </si>
  <si>
    <t>'17311'</t>
  </si>
  <si>
    <t>'17312'</t>
  </si>
  <si>
    <t>'17313'</t>
  </si>
  <si>
    <t>'17314'</t>
  </si>
  <si>
    <t>'17000'</t>
  </si>
  <si>
    <t>'17003'</t>
  </si>
  <si>
    <t>'17005'</t>
  </si>
  <si>
    <t>'17006'</t>
  </si>
  <si>
    <t>'17010'</t>
  </si>
  <si>
    <t>'17011'</t>
  </si>
  <si>
    <t>'17012'</t>
  </si>
  <si>
    <t>'17013'</t>
  </si>
  <si>
    <t>'17014'</t>
  </si>
  <si>
    <t>'17016'</t>
  </si>
  <si>
    <t>'17017'</t>
  </si>
  <si>
    <t>'17018'</t>
  </si>
  <si>
    <t>'17019'</t>
  </si>
  <si>
    <t>'17020'</t>
  </si>
  <si>
    <t>'17021'</t>
  </si>
  <si>
    <t>'17022'</t>
  </si>
  <si>
    <t>'17023'</t>
  </si>
  <si>
    <t>'17024'</t>
  </si>
  <si>
    <t>'17028'</t>
  </si>
  <si>
    <t>'17030'</t>
  </si>
  <si>
    <t>'17031'</t>
  </si>
  <si>
    <t>'17032'</t>
  </si>
  <si>
    <t>'17033'</t>
  </si>
  <si>
    <t>'17034'</t>
  </si>
  <si>
    <t>'17041'</t>
  </si>
  <si>
    <t>'17042'</t>
  </si>
  <si>
    <t>'17043'</t>
  </si>
  <si>
    <t>'17044'</t>
  </si>
  <si>
    <t>'17045'</t>
  </si>
  <si>
    <t>'17073'</t>
  </si>
  <si>
    <t>'17074'</t>
  </si>
  <si>
    <t>'17076'</t>
  </si>
  <si>
    <t>'17086'</t>
  </si>
  <si>
    <t>'17087'</t>
  </si>
  <si>
    <t>'17088'</t>
  </si>
  <si>
    <t>'17200'</t>
  </si>
  <si>
    <t>'17201'</t>
  </si>
  <si>
    <t>'17205'</t>
  </si>
  <si>
    <t>'17206'</t>
  </si>
  <si>
    <t>'17211'</t>
  </si>
  <si>
    <t>'17110'</t>
  </si>
  <si>
    <t>'17104'</t>
  </si>
  <si>
    <t>'17107'</t>
  </si>
  <si>
    <t>'17119'</t>
  </si>
  <si>
    <t>'17207'</t>
  </si>
  <si>
    <t>'17420'</t>
  </si>
  <si>
    <t>'17102'</t>
  </si>
  <si>
    <t>'17106'</t>
  </si>
  <si>
    <t>'17108'</t>
  </si>
  <si>
    <t>'17114'</t>
  </si>
  <si>
    <t>'17116'</t>
  </si>
  <si>
    <t>'17117'</t>
  </si>
  <si>
    <t>'17118'</t>
  </si>
  <si>
    <t>'17290'</t>
  </si>
  <si>
    <t>'17390'</t>
  </si>
  <si>
    <t>'17640'</t>
  </si>
  <si>
    <t>'17540'</t>
  </si>
  <si>
    <t>'17730'</t>
  </si>
  <si>
    <t>SYNDICAT TRANSPORT AGGLOBUS</t>
  </si>
  <si>
    <t>'18340'</t>
  </si>
  <si>
    <t>'18500'</t>
  </si>
  <si>
    <t>'18000'</t>
  </si>
  <si>
    <t>'18001'</t>
  </si>
  <si>
    <t>'18002'</t>
  </si>
  <si>
    <t>'18003'</t>
  </si>
  <si>
    <t>'18004'</t>
  </si>
  <si>
    <t>'18005'</t>
  </si>
  <si>
    <t>'18006'</t>
  </si>
  <si>
    <t>'18007'</t>
  </si>
  <si>
    <t>'18012'</t>
  </si>
  <si>
    <t>'18013'</t>
  </si>
  <si>
    <t>'18014'</t>
  </si>
  <si>
    <t>'18015'</t>
  </si>
  <si>
    <t>'18016'</t>
  </si>
  <si>
    <t>'18019'</t>
  </si>
  <si>
    <t>'18020'</t>
  </si>
  <si>
    <t>'18021'</t>
  </si>
  <si>
    <t>'18022'</t>
  </si>
  <si>
    <t>'18023'</t>
  </si>
  <si>
    <t>'18024'</t>
  </si>
  <si>
    <t>'18025'</t>
  </si>
  <si>
    <t>'18026'</t>
  </si>
  <si>
    <t>'18027'</t>
  </si>
  <si>
    <t>'18028'</t>
  </si>
  <si>
    <t>'18029'</t>
  </si>
  <si>
    <t>'18030'</t>
  </si>
  <si>
    <t>'18031'</t>
  </si>
  <si>
    <t>'18032'</t>
  </si>
  <si>
    <t>'18033'</t>
  </si>
  <si>
    <t>'18035'</t>
  </si>
  <si>
    <t>'18037'</t>
  </si>
  <si>
    <t>'18910'</t>
  </si>
  <si>
    <t>'18920'</t>
  </si>
  <si>
    <t>'18924'</t>
  </si>
  <si>
    <t>'18931'</t>
  </si>
  <si>
    <t>'18934'</t>
  </si>
  <si>
    <t>'18935'</t>
  </si>
  <si>
    <t>'18570'</t>
  </si>
  <si>
    <t>'18110'</t>
  </si>
  <si>
    <t>'18230'</t>
  </si>
  <si>
    <t>'18400'</t>
  </si>
  <si>
    <t>'18390'</t>
  </si>
  <si>
    <t>VILLE VIERZON</t>
  </si>
  <si>
    <t>'18100'</t>
  </si>
  <si>
    <t>'18101'</t>
  </si>
  <si>
    <t>'18102'</t>
  </si>
  <si>
    <t>'18103'</t>
  </si>
  <si>
    <t>'18104'</t>
  </si>
  <si>
    <t>'18105'</t>
  </si>
  <si>
    <t>'18106'</t>
  </si>
  <si>
    <t>'18107'</t>
  </si>
  <si>
    <t>'18108'</t>
  </si>
  <si>
    <t>COMMUNAUTE D'AGGLOMERATION DU BASSIN DE BRIVE</t>
  </si>
  <si>
    <t>'19240'</t>
  </si>
  <si>
    <t>COMMUNAUTE D'AGGLOMERATION TULLE AGGLO</t>
  </si>
  <si>
    <t>'19000'</t>
  </si>
  <si>
    <t>'19310'</t>
  </si>
  <si>
    <t>'19800'</t>
  </si>
  <si>
    <t>'19390'</t>
  </si>
  <si>
    <t>'19100'</t>
  </si>
  <si>
    <t>'19101'</t>
  </si>
  <si>
    <t>'19102'</t>
  </si>
  <si>
    <t>'19103'</t>
  </si>
  <si>
    <t>'19104'</t>
  </si>
  <si>
    <t>'19105'</t>
  </si>
  <si>
    <t>'19106'</t>
  </si>
  <si>
    <t>'19107'</t>
  </si>
  <si>
    <t>'19108'</t>
  </si>
  <si>
    <t>'19109'</t>
  </si>
  <si>
    <t>'19111'</t>
  </si>
  <si>
    <t>'19113'</t>
  </si>
  <si>
    <t>'19114'</t>
  </si>
  <si>
    <t>'19116'</t>
  </si>
  <si>
    <t>'19118'</t>
  </si>
  <si>
    <t>'19119'</t>
  </si>
  <si>
    <t>'19311'</t>
  </si>
  <si>
    <t>'19312'</t>
  </si>
  <si>
    <t>'19313'</t>
  </si>
  <si>
    <t>'19315'</t>
  </si>
  <si>
    <t>'19316'</t>
  </si>
  <si>
    <t>'19317'</t>
  </si>
  <si>
    <t>'19318'</t>
  </si>
  <si>
    <t>'19319'</t>
  </si>
  <si>
    <t>'19350'</t>
  </si>
  <si>
    <t>'19450'</t>
  </si>
  <si>
    <t>'19330'</t>
  </si>
  <si>
    <t>'19150'</t>
  </si>
  <si>
    <t>'19360'</t>
  </si>
  <si>
    <t>'19361'</t>
  </si>
  <si>
    <t>'19600'</t>
  </si>
  <si>
    <t>'19190'</t>
  </si>
  <si>
    <t>'19520'</t>
  </si>
  <si>
    <t>'19270'</t>
  </si>
  <si>
    <t>'19410'</t>
  </si>
  <si>
    <t>'19007'</t>
  </si>
  <si>
    <t>'19015'</t>
  </si>
  <si>
    <t>'19500'</t>
  </si>
  <si>
    <t>'19700'</t>
  </si>
  <si>
    <t>'19130'</t>
  </si>
  <si>
    <t>'19001'</t>
  </si>
  <si>
    <t>'19003'</t>
  </si>
  <si>
    <t>'19460'</t>
  </si>
  <si>
    <t>'19490'</t>
  </si>
  <si>
    <t>'19560'</t>
  </si>
  <si>
    <t>'19002'</t>
  </si>
  <si>
    <t>'19004'</t>
  </si>
  <si>
    <t>'19005'</t>
  </si>
  <si>
    <t>'19006'</t>
  </si>
  <si>
    <t>'19011'</t>
  </si>
  <si>
    <t>'19012'</t>
  </si>
  <si>
    <t>'19017'</t>
  </si>
  <si>
    <t>'19018'</t>
  </si>
  <si>
    <t>'19019'</t>
  </si>
  <si>
    <t>'19033'</t>
  </si>
  <si>
    <t>COMMUNAUTE D'AGGLOMERATION DIJONNAISE</t>
  </si>
  <si>
    <t>'21121'</t>
  </si>
  <si>
    <t>COMMUNAUTE D'AGGLOMERATION DE BEAUNE COTE ET SUD</t>
  </si>
  <si>
    <t>'21420'</t>
  </si>
  <si>
    <t>'21340'</t>
  </si>
  <si>
    <t>'21190'</t>
  </si>
  <si>
    <t>'21200'</t>
  </si>
  <si>
    <t>'21201'</t>
  </si>
  <si>
    <t>'21202'</t>
  </si>
  <si>
    <t>'21203'</t>
  </si>
  <si>
    <t>'21204'</t>
  </si>
  <si>
    <t>'21205'</t>
  </si>
  <si>
    <t>'21206'</t>
  </si>
  <si>
    <t>'21207'</t>
  </si>
  <si>
    <t>'21208'</t>
  </si>
  <si>
    <t>'21209'</t>
  </si>
  <si>
    <t>'21560'</t>
  </si>
  <si>
    <t>'21110'</t>
  </si>
  <si>
    <t>'21300'</t>
  </si>
  <si>
    <t>'21301'</t>
  </si>
  <si>
    <t>'21302'</t>
  </si>
  <si>
    <t>'21303'</t>
  </si>
  <si>
    <t>'21304'</t>
  </si>
  <si>
    <t>'21800'</t>
  </si>
  <si>
    <t>'21801'</t>
  </si>
  <si>
    <t>'21802'</t>
  </si>
  <si>
    <t>'21803'</t>
  </si>
  <si>
    <t>'21806'</t>
  </si>
  <si>
    <t>'21250'</t>
  </si>
  <si>
    <t>'21070'</t>
  </si>
  <si>
    <t>'21000'</t>
  </si>
  <si>
    <t>'21001'</t>
  </si>
  <si>
    <t>'21002'</t>
  </si>
  <si>
    <t>'21003'</t>
  </si>
  <si>
    <t>'21004'</t>
  </si>
  <si>
    <t>'21005'</t>
  </si>
  <si>
    <t>'21006'</t>
  </si>
  <si>
    <t>'21007'</t>
  </si>
  <si>
    <t>'21008'</t>
  </si>
  <si>
    <t>'21009'</t>
  </si>
  <si>
    <t>'21010'</t>
  </si>
  <si>
    <t>'21011'</t>
  </si>
  <si>
    <t>'21012'</t>
  </si>
  <si>
    <t>'21013'</t>
  </si>
  <si>
    <t>'21014'</t>
  </si>
  <si>
    <t>'21015'</t>
  </si>
  <si>
    <t>'21016'</t>
  </si>
  <si>
    <t>'21017'</t>
  </si>
  <si>
    <t>'21018'</t>
  </si>
  <si>
    <t>'21019'</t>
  </si>
  <si>
    <t>'21021'</t>
  </si>
  <si>
    <t>'21022'</t>
  </si>
  <si>
    <t>'21023'</t>
  </si>
  <si>
    <t>'21024'</t>
  </si>
  <si>
    <t>'21025'</t>
  </si>
  <si>
    <t>'21026'</t>
  </si>
  <si>
    <t>'21027'</t>
  </si>
  <si>
    <t>'21028'</t>
  </si>
  <si>
    <t>'21029'</t>
  </si>
  <si>
    <t>'21030'</t>
  </si>
  <si>
    <t>'21031'</t>
  </si>
  <si>
    <t>'21032'</t>
  </si>
  <si>
    <t>'21033'</t>
  </si>
  <si>
    <t>'21034'</t>
  </si>
  <si>
    <t>'21035'</t>
  </si>
  <si>
    <t>'21036'</t>
  </si>
  <si>
    <t>'21037'</t>
  </si>
  <si>
    <t>'21041'</t>
  </si>
  <si>
    <t>'21042'</t>
  </si>
  <si>
    <t>'21043'</t>
  </si>
  <si>
    <t>'21044'</t>
  </si>
  <si>
    <t>'21045'</t>
  </si>
  <si>
    <t>'21046'</t>
  </si>
  <si>
    <t>'21047'</t>
  </si>
  <si>
    <t>'21049'</t>
  </si>
  <si>
    <t>'21051'</t>
  </si>
  <si>
    <t>'21052'</t>
  </si>
  <si>
    <t>'21053'</t>
  </si>
  <si>
    <t>'21054'</t>
  </si>
  <si>
    <t>'21059'</t>
  </si>
  <si>
    <t>'21060'</t>
  </si>
  <si>
    <t>'21062'</t>
  </si>
  <si>
    <t>'21065'</t>
  </si>
  <si>
    <t>'21066'</t>
  </si>
  <si>
    <t>'21067'</t>
  </si>
  <si>
    <t>'21069'</t>
  </si>
  <si>
    <t>'21071'</t>
  </si>
  <si>
    <t>'21072'</t>
  </si>
  <si>
    <t>'21073'</t>
  </si>
  <si>
    <t>'21074'</t>
  </si>
  <si>
    <t>'21075'</t>
  </si>
  <si>
    <t>'21076'</t>
  </si>
  <si>
    <t>'21077'</t>
  </si>
  <si>
    <t>'21078'</t>
  </si>
  <si>
    <t>'21079'</t>
  </si>
  <si>
    <t>'21080'</t>
  </si>
  <si>
    <t>'21081'</t>
  </si>
  <si>
    <t>'21083'</t>
  </si>
  <si>
    <t>'21084'</t>
  </si>
  <si>
    <t>'21085'</t>
  </si>
  <si>
    <t>'21088'</t>
  </si>
  <si>
    <t>'21094'</t>
  </si>
  <si>
    <t>'21098'</t>
  </si>
  <si>
    <t>'21900'</t>
  </si>
  <si>
    <t>'21600'</t>
  </si>
  <si>
    <t>'21601'</t>
  </si>
  <si>
    <t>'21602'</t>
  </si>
  <si>
    <t>'21603'</t>
  </si>
  <si>
    <t>'21604'</t>
  </si>
  <si>
    <t>'21160'</t>
  </si>
  <si>
    <t>'21092'</t>
  </si>
  <si>
    <t>'21093'</t>
  </si>
  <si>
    <t>'21370'</t>
  </si>
  <si>
    <t>'21630'</t>
  </si>
  <si>
    <t>'21850'</t>
  </si>
  <si>
    <t>'21590'</t>
  </si>
  <si>
    <t>'21219'</t>
  </si>
  <si>
    <t>'21550'</t>
  </si>
  <si>
    <t>'21240'</t>
  </si>
  <si>
    <t>COMMUNAUTE D'AGGLOMERATION LAMBALLE TERRE ET MER</t>
  </si>
  <si>
    <t>'22400'</t>
  </si>
  <si>
    <t>COMMUNAUTE D'AGGLOMERATION DINAN AGGLOMERATION</t>
  </si>
  <si>
    <t>'22100'</t>
  </si>
  <si>
    <t>'22103'</t>
  </si>
  <si>
    <t>'22106'</t>
  </si>
  <si>
    <t>CA GUINGAMP PAIMPOL AGGLOMERATION</t>
  </si>
  <si>
    <t>'22140'</t>
  </si>
  <si>
    <t>'22810'</t>
  </si>
  <si>
    <t>LANNION-TREGOR COMMUNAUTE</t>
  </si>
  <si>
    <t>CA SAINT-BRIEUC ARMOR AGGLO</t>
  </si>
  <si>
    <t>'22320'</t>
  </si>
  <si>
    <t>'22240'</t>
  </si>
  <si>
    <t>'22390'</t>
  </si>
  <si>
    <t>'22130'</t>
  </si>
  <si>
    <t>'22510'</t>
  </si>
  <si>
    <t>'22250'</t>
  </si>
  <si>
    <t>'22160'</t>
  </si>
  <si>
    <t>'22450'</t>
  </si>
  <si>
    <t>'22300'</t>
  </si>
  <si>
    <t>'22350'</t>
  </si>
  <si>
    <t>'22630'</t>
  </si>
  <si>
    <t>'22201'</t>
  </si>
  <si>
    <t>'22202'</t>
  </si>
  <si>
    <t>'22970'</t>
  </si>
  <si>
    <t>'22403'</t>
  </si>
  <si>
    <t>'22101'</t>
  </si>
  <si>
    <t>'22102'</t>
  </si>
  <si>
    <t>'22104'</t>
  </si>
  <si>
    <t>'22105'</t>
  </si>
  <si>
    <t>'22107'</t>
  </si>
  <si>
    <t>'22108'</t>
  </si>
  <si>
    <t>'22430'</t>
  </si>
  <si>
    <t>'22520'</t>
  </si>
  <si>
    <t>'22680'</t>
  </si>
  <si>
    <t>'22800'</t>
  </si>
  <si>
    <t>'22200'</t>
  </si>
  <si>
    <t>'22203'</t>
  </si>
  <si>
    <t>'22204'</t>
  </si>
  <si>
    <t>'22205'</t>
  </si>
  <si>
    <t>'22550'</t>
  </si>
  <si>
    <t>'22150'</t>
  </si>
  <si>
    <t>'22120'</t>
  </si>
  <si>
    <t>'22270'</t>
  </si>
  <si>
    <t>'22610'</t>
  </si>
  <si>
    <t>'22500'</t>
  </si>
  <si>
    <t>'22502'</t>
  </si>
  <si>
    <t>'22504'</t>
  </si>
  <si>
    <t>'22480'</t>
  </si>
  <si>
    <t>'22402'</t>
  </si>
  <si>
    <t>'22404'</t>
  </si>
  <si>
    <t>'22405'</t>
  </si>
  <si>
    <t>'22980'</t>
  </si>
  <si>
    <t>'22490'</t>
  </si>
  <si>
    <t>'22360'</t>
  </si>
  <si>
    <t>'22290'</t>
  </si>
  <si>
    <t>'22580'</t>
  </si>
  <si>
    <t>'22301'</t>
  </si>
  <si>
    <t>'22302'</t>
  </si>
  <si>
    <t>'22303'</t>
  </si>
  <si>
    <t>'22304'</t>
  </si>
  <si>
    <t>'22305'</t>
  </si>
  <si>
    <t>'22307'</t>
  </si>
  <si>
    <t>'22410'</t>
  </si>
  <si>
    <t>'22420'</t>
  </si>
  <si>
    <t>'22109'</t>
  </si>
  <si>
    <t>'22740'</t>
  </si>
  <si>
    <t>'22780'</t>
  </si>
  <si>
    <t>'22700'</t>
  </si>
  <si>
    <t>'22540'</t>
  </si>
  <si>
    <t>'22640'</t>
  </si>
  <si>
    <t>'22440'</t>
  </si>
  <si>
    <t>'22220'</t>
  </si>
  <si>
    <t>'22206'</t>
  </si>
  <si>
    <t>POHER COMMUNAUTE</t>
  </si>
  <si>
    <t>'22340'</t>
  </si>
  <si>
    <t>'22501'</t>
  </si>
  <si>
    <t>'22503'</t>
  </si>
  <si>
    <t>'22505'</t>
  </si>
  <si>
    <t>'22710'</t>
  </si>
  <si>
    <t>'22940'</t>
  </si>
  <si>
    <t>'22960'</t>
  </si>
  <si>
    <t>'22370'</t>
  </si>
  <si>
    <t>'22003'</t>
  </si>
  <si>
    <t>'22005'</t>
  </si>
  <si>
    <t>'22190'</t>
  </si>
  <si>
    <t>'22191'</t>
  </si>
  <si>
    <t>'22192'</t>
  </si>
  <si>
    <t>'22193'</t>
  </si>
  <si>
    <t>'22194'</t>
  </si>
  <si>
    <t>'22195'</t>
  </si>
  <si>
    <t>'22196'</t>
  </si>
  <si>
    <t>'22197'</t>
  </si>
  <si>
    <t>'22198'</t>
  </si>
  <si>
    <t>'22720'</t>
  </si>
  <si>
    <t>'22310'</t>
  </si>
  <si>
    <t>'22690'</t>
  </si>
  <si>
    <t>'22560'</t>
  </si>
  <si>
    <t>'22260'</t>
  </si>
  <si>
    <t>'22830'</t>
  </si>
  <si>
    <t>'22650'</t>
  </si>
  <si>
    <t>'22620'</t>
  </si>
  <si>
    <t>'22470'</t>
  </si>
  <si>
    <t>'22004'</t>
  </si>
  <si>
    <t>'22091'</t>
  </si>
  <si>
    <t>'22095'</t>
  </si>
  <si>
    <t>'22098'</t>
  </si>
  <si>
    <t>'22099'</t>
  </si>
  <si>
    <t>'22820'</t>
  </si>
  <si>
    <t>'22860'</t>
  </si>
  <si>
    <t>'22590'</t>
  </si>
  <si>
    <t>'22000'</t>
  </si>
  <si>
    <t>'22001'</t>
  </si>
  <si>
    <t>'22002'</t>
  </si>
  <si>
    <t>'22014'</t>
  </si>
  <si>
    <t>'22015'</t>
  </si>
  <si>
    <t>'22016'</t>
  </si>
  <si>
    <t>'22017'</t>
  </si>
  <si>
    <t>'22021'</t>
  </si>
  <si>
    <t>'22022'</t>
  </si>
  <si>
    <t>'22023'</t>
  </si>
  <si>
    <t>'22024'</t>
  </si>
  <si>
    <t>'22025'</t>
  </si>
  <si>
    <t>'22026'</t>
  </si>
  <si>
    <t>'22027'</t>
  </si>
  <si>
    <t>'22029'</t>
  </si>
  <si>
    <t>'22035'</t>
  </si>
  <si>
    <t>'22041'</t>
  </si>
  <si>
    <t>'22042'</t>
  </si>
  <si>
    <t>'22043'</t>
  </si>
  <si>
    <t>'22044'</t>
  </si>
  <si>
    <t>'22045'</t>
  </si>
  <si>
    <t>'22046'</t>
  </si>
  <si>
    <t>'22070'</t>
  </si>
  <si>
    <t>'22096'</t>
  </si>
  <si>
    <t>'22380'</t>
  </si>
  <si>
    <t>'22750'</t>
  </si>
  <si>
    <t>'22730'</t>
  </si>
  <si>
    <t>'22950'</t>
  </si>
  <si>
    <t>'22660'</t>
  </si>
  <si>
    <t>'22930'</t>
  </si>
  <si>
    <t>COMMUNAUTE D'AGGLOMERATION DU GRAND GUERET</t>
  </si>
  <si>
    <t>'23380'</t>
  </si>
  <si>
    <t>'23000'</t>
  </si>
  <si>
    <t>'23320'</t>
  </si>
  <si>
    <t>'23005'</t>
  </si>
  <si>
    <t>'23001'</t>
  </si>
  <si>
    <t>'23002'</t>
  </si>
  <si>
    <t>'23003'</t>
  </si>
  <si>
    <t>'23004'</t>
  </si>
  <si>
    <t>'23006'</t>
  </si>
  <si>
    <t>'23007'</t>
  </si>
  <si>
    <t>'23008'</t>
  </si>
  <si>
    <t>'23009'</t>
  </si>
  <si>
    <t>'23011'</t>
  </si>
  <si>
    <t>'23013'</t>
  </si>
  <si>
    <t>'23014'</t>
  </si>
  <si>
    <t>'23015'</t>
  </si>
  <si>
    <t>'23020'</t>
  </si>
  <si>
    <t>'23220'</t>
  </si>
  <si>
    <t>COMMUNAUTE D'AGGLOMERATION LE GRAND PERIGUEUX</t>
  </si>
  <si>
    <t>'24460'</t>
  </si>
  <si>
    <t>'24430'</t>
  </si>
  <si>
    <t>'24420'</t>
  </si>
  <si>
    <t>'24750'</t>
  </si>
  <si>
    <t>'24759'</t>
  </si>
  <si>
    <t>'24330'</t>
  </si>
  <si>
    <t>'24640'</t>
  </si>
  <si>
    <t>COMMUNAUTE D'AGGLOMERATION BERGERACOISE</t>
  </si>
  <si>
    <t>'24100'</t>
  </si>
  <si>
    <t>'24101'</t>
  </si>
  <si>
    <t>'24102'</t>
  </si>
  <si>
    <t>'24104'</t>
  </si>
  <si>
    <t>'24105'</t>
  </si>
  <si>
    <t>'24106'</t>
  </si>
  <si>
    <t>'24107'</t>
  </si>
  <si>
    <t>'24108'</t>
  </si>
  <si>
    <t>'24111'</t>
  </si>
  <si>
    <t>'24112'</t>
  </si>
  <si>
    <t>'24113'</t>
  </si>
  <si>
    <t>'24114'</t>
  </si>
  <si>
    <t>'24289'</t>
  </si>
  <si>
    <t>'24130'</t>
  </si>
  <si>
    <t>'24560'</t>
  </si>
  <si>
    <t>'24110'</t>
  </si>
  <si>
    <t>'24380'</t>
  </si>
  <si>
    <t>'24650'</t>
  </si>
  <si>
    <t>'24350'</t>
  </si>
  <si>
    <t>'24660'</t>
  </si>
  <si>
    <t>'24520'</t>
  </si>
  <si>
    <t>'24240'</t>
  </si>
  <si>
    <t>'24680'</t>
  </si>
  <si>
    <t>'24752'</t>
  </si>
  <si>
    <t>'24510'</t>
  </si>
  <si>
    <t>'24000'</t>
  </si>
  <si>
    <t>'24001'</t>
  </si>
  <si>
    <t>'24002'</t>
  </si>
  <si>
    <t>'24003'</t>
  </si>
  <si>
    <t>'24004'</t>
  </si>
  <si>
    <t>'24005'</t>
  </si>
  <si>
    <t>'24007'</t>
  </si>
  <si>
    <t>'24009'</t>
  </si>
  <si>
    <t>'24010'</t>
  </si>
  <si>
    <t>'24011'</t>
  </si>
  <si>
    <t>'24012'</t>
  </si>
  <si>
    <t>'24013'</t>
  </si>
  <si>
    <t>'24014'</t>
  </si>
  <si>
    <t>'24016'</t>
  </si>
  <si>
    <t>'24017'</t>
  </si>
  <si>
    <t>'24019'</t>
  </si>
  <si>
    <t>'24020'</t>
  </si>
  <si>
    <t>'24022'</t>
  </si>
  <si>
    <t>'24024'</t>
  </si>
  <si>
    <t>'24052'</t>
  </si>
  <si>
    <t>'24053'</t>
  </si>
  <si>
    <t>'24054'</t>
  </si>
  <si>
    <t>'24140'</t>
  </si>
  <si>
    <t>'24400'</t>
  </si>
  <si>
    <t>COMMUNAUTE DE COMMUNES SARLAT PERIGORD NOIR</t>
  </si>
  <si>
    <t>'24200'</t>
  </si>
  <si>
    <t>'24201'</t>
  </si>
  <si>
    <t>'24202'</t>
  </si>
  <si>
    <t>'24203'</t>
  </si>
  <si>
    <t>'24204'</t>
  </si>
  <si>
    <t>'24205'</t>
  </si>
  <si>
    <t>'24206'</t>
  </si>
  <si>
    <t>'24208'</t>
  </si>
  <si>
    <t>'24751'</t>
  </si>
  <si>
    <t>COMMUNAUTE D'AGGLOMERATION DU PAYS DE MONTBELIARD</t>
  </si>
  <si>
    <t>'25310'</t>
  </si>
  <si>
    <t>COMMUNAUTE DE COMMUNES DU PAYS D'HERICOURT</t>
  </si>
  <si>
    <t>'25750'</t>
  </si>
  <si>
    <t>'25461'</t>
  </si>
  <si>
    <t>'25490'</t>
  </si>
  <si>
    <t>'25550'</t>
  </si>
  <si>
    <t>COMMUNAUTE D'AGGLOMERATION DU GRAND BESANCON</t>
  </si>
  <si>
    <t>'25220'</t>
  </si>
  <si>
    <t>'25400'</t>
  </si>
  <si>
    <t>'25402'</t>
  </si>
  <si>
    <t>'25720'</t>
  </si>
  <si>
    <t>'25170'</t>
  </si>
  <si>
    <t>'25401'</t>
  </si>
  <si>
    <t>'25403'</t>
  </si>
  <si>
    <t>'25404'</t>
  </si>
  <si>
    <t>'25405'</t>
  </si>
  <si>
    <t>'25150'</t>
  </si>
  <si>
    <t>'25870'</t>
  </si>
  <si>
    <t>'25420'</t>
  </si>
  <si>
    <t>'25000'</t>
  </si>
  <si>
    <t>'25001'</t>
  </si>
  <si>
    <t>'25002'</t>
  </si>
  <si>
    <t>'25003'</t>
  </si>
  <si>
    <t>'25004'</t>
  </si>
  <si>
    <t>'25005'</t>
  </si>
  <si>
    <t>'25006'</t>
  </si>
  <si>
    <t>'25007'</t>
  </si>
  <si>
    <t>'25008'</t>
  </si>
  <si>
    <t>'25009'</t>
  </si>
  <si>
    <t>'25010'</t>
  </si>
  <si>
    <t>'25011'</t>
  </si>
  <si>
    <t>'25012'</t>
  </si>
  <si>
    <t>'25013'</t>
  </si>
  <si>
    <t>'25014'</t>
  </si>
  <si>
    <t>'25015'</t>
  </si>
  <si>
    <t>'25016'</t>
  </si>
  <si>
    <t>'25017'</t>
  </si>
  <si>
    <t>'25018'</t>
  </si>
  <si>
    <t>'25019'</t>
  </si>
  <si>
    <t>'25020'</t>
  </si>
  <si>
    <t>'25021'</t>
  </si>
  <si>
    <t>'25022'</t>
  </si>
  <si>
    <t>'25023'</t>
  </si>
  <si>
    <t>'25024'</t>
  </si>
  <si>
    <t>'25025'</t>
  </si>
  <si>
    <t>'25026'</t>
  </si>
  <si>
    <t>'25027'</t>
  </si>
  <si>
    <t>'25030'</t>
  </si>
  <si>
    <t>'25031'</t>
  </si>
  <si>
    <t>'25033'</t>
  </si>
  <si>
    <t>'25034'</t>
  </si>
  <si>
    <t>'25035'</t>
  </si>
  <si>
    <t>'25036'</t>
  </si>
  <si>
    <t>'25037'</t>
  </si>
  <si>
    <t>'25040'</t>
  </si>
  <si>
    <t>'25041'</t>
  </si>
  <si>
    <t>'25042'</t>
  </si>
  <si>
    <t>'25043'</t>
  </si>
  <si>
    <t>'25044'</t>
  </si>
  <si>
    <t>'25047'</t>
  </si>
  <si>
    <t>'25049'</t>
  </si>
  <si>
    <t>'25050'</t>
  </si>
  <si>
    <t>'25051'</t>
  </si>
  <si>
    <t>'25052'</t>
  </si>
  <si>
    <t>'25057'</t>
  </si>
  <si>
    <t>'25058'</t>
  </si>
  <si>
    <t>'25070'</t>
  </si>
  <si>
    <t>'25071'</t>
  </si>
  <si>
    <t>'25075'</t>
  </si>
  <si>
    <t>'25083'</t>
  </si>
  <si>
    <t>'25084'</t>
  </si>
  <si>
    <t>'25085'</t>
  </si>
  <si>
    <t>'25086'</t>
  </si>
  <si>
    <t>'25087'</t>
  </si>
  <si>
    <t>'25090'</t>
  </si>
  <si>
    <t>'25200'</t>
  </si>
  <si>
    <t>'25205'</t>
  </si>
  <si>
    <t>'25208'</t>
  </si>
  <si>
    <t>'25250'</t>
  </si>
  <si>
    <t>'25230'</t>
  </si>
  <si>
    <t>'25320'</t>
  </si>
  <si>
    <t>'25640'</t>
  </si>
  <si>
    <t>'25462'</t>
  </si>
  <si>
    <t>'25600'</t>
  </si>
  <si>
    <t>'25602'</t>
  </si>
  <si>
    <t>'25603'</t>
  </si>
  <si>
    <t>'25045'</t>
  </si>
  <si>
    <t>'25046'</t>
  </si>
  <si>
    <t>'25770'</t>
  </si>
  <si>
    <t>'25620'</t>
  </si>
  <si>
    <t>'25260'</t>
  </si>
  <si>
    <t>'25601'</t>
  </si>
  <si>
    <t>'25410'</t>
  </si>
  <si>
    <t>'25960'</t>
  </si>
  <si>
    <t>'25480'</t>
  </si>
  <si>
    <t>'25460'</t>
  </si>
  <si>
    <t>'25409'</t>
  </si>
  <si>
    <t>'25190'</t>
  </si>
  <si>
    <t>'25660'</t>
  </si>
  <si>
    <t>'25207'</t>
  </si>
  <si>
    <t>'25350'</t>
  </si>
  <si>
    <t>'25706'</t>
  </si>
  <si>
    <t>'25708'</t>
  </si>
  <si>
    <t>'25700'</t>
  </si>
  <si>
    <t>'25702'</t>
  </si>
  <si>
    <t>'25201'</t>
  </si>
  <si>
    <t>'25202'</t>
  </si>
  <si>
    <t>'25203'</t>
  </si>
  <si>
    <t>'25204'</t>
  </si>
  <si>
    <t>'25206'</t>
  </si>
  <si>
    <t>'25209'</t>
  </si>
  <si>
    <t>'25211'</t>
  </si>
  <si>
    <t>'25212'</t>
  </si>
  <si>
    <t>'25214'</t>
  </si>
  <si>
    <t>'25215'</t>
  </si>
  <si>
    <t>'25216'</t>
  </si>
  <si>
    <t>'25217'</t>
  </si>
  <si>
    <t>'25360'</t>
  </si>
  <si>
    <t>'25115'</t>
  </si>
  <si>
    <t>'25113'</t>
  </si>
  <si>
    <t>'25630'</t>
  </si>
  <si>
    <t>'25218'</t>
  </si>
  <si>
    <t>'25701'</t>
  </si>
  <si>
    <t>'25707'</t>
  </si>
  <si>
    <t>'26005'</t>
  </si>
  <si>
    <t>'26300'</t>
  </si>
  <si>
    <t>'26301'</t>
  </si>
  <si>
    <t>'26906'</t>
  </si>
  <si>
    <t>'26956'</t>
  </si>
  <si>
    <t>'26958'</t>
  </si>
  <si>
    <t>COMMUNAUTE AGGLOMERATION MONTELIMAR-AGGLOMERATION</t>
  </si>
  <si>
    <t>'26201'</t>
  </si>
  <si>
    <t>'26780'</t>
  </si>
  <si>
    <t>'26200'</t>
  </si>
  <si>
    <t>'26203'</t>
  </si>
  <si>
    <t>'26260'</t>
  </si>
  <si>
    <t>'26120'</t>
  </si>
  <si>
    <t>'26160'</t>
  </si>
  <si>
    <t>'26730'</t>
  </si>
  <si>
    <t>'26760'</t>
  </si>
  <si>
    <t>'26761'</t>
  </si>
  <si>
    <t>'26904'</t>
  </si>
  <si>
    <t>'26600'</t>
  </si>
  <si>
    <t>'26602'</t>
  </si>
  <si>
    <t>'26603'</t>
  </si>
  <si>
    <t>'26800'</t>
  </si>
  <si>
    <t>'26302'</t>
  </si>
  <si>
    <t>'26303'</t>
  </si>
  <si>
    <t>'26304'</t>
  </si>
  <si>
    <t>'26500'</t>
  </si>
  <si>
    <t>'26350'</t>
  </si>
  <si>
    <t>'26450'</t>
  </si>
  <si>
    <t>'26750'</t>
  </si>
  <si>
    <t>'26202'</t>
  </si>
  <si>
    <t>'26740'</t>
  </si>
  <si>
    <t>'26601'</t>
  </si>
  <si>
    <t>'26204'</t>
  </si>
  <si>
    <t>'26901'</t>
  </si>
  <si>
    <t>'26903'</t>
  </si>
  <si>
    <t>'26540'</t>
  </si>
  <si>
    <t>'26101'</t>
  </si>
  <si>
    <t>'26103'</t>
  </si>
  <si>
    <t>'26380'</t>
  </si>
  <si>
    <t>'26801'</t>
  </si>
  <si>
    <t>'26802'</t>
  </si>
  <si>
    <t>'26100'</t>
  </si>
  <si>
    <t>'26102'</t>
  </si>
  <si>
    <t>'26104'</t>
  </si>
  <si>
    <t>'26105'</t>
  </si>
  <si>
    <t>'26106'</t>
  </si>
  <si>
    <t>'26107'</t>
  </si>
  <si>
    <t>'26109'</t>
  </si>
  <si>
    <t>'26320'</t>
  </si>
  <si>
    <t>'26270'</t>
  </si>
  <si>
    <t>'26000'</t>
  </si>
  <si>
    <t>'26001'</t>
  </si>
  <si>
    <t>'26002'</t>
  </si>
  <si>
    <t>'26003'</t>
  </si>
  <si>
    <t>'26004'</t>
  </si>
  <si>
    <t>'26006'</t>
  </si>
  <si>
    <t>'26007'</t>
  </si>
  <si>
    <t>'26008'</t>
  </si>
  <si>
    <t>'26009'</t>
  </si>
  <si>
    <t>'26010'</t>
  </si>
  <si>
    <t>'26011'</t>
  </si>
  <si>
    <t>'26012'</t>
  </si>
  <si>
    <t>'26013'</t>
  </si>
  <si>
    <t>'26014'</t>
  </si>
  <si>
    <t>'26015'</t>
  </si>
  <si>
    <t>'26021'</t>
  </si>
  <si>
    <t>'26023'</t>
  </si>
  <si>
    <t>'26024'</t>
  </si>
  <si>
    <t>'26025'</t>
  </si>
  <si>
    <t>'26026'</t>
  </si>
  <si>
    <t>'26027'</t>
  </si>
  <si>
    <t>'26028'</t>
  </si>
  <si>
    <t>'26030'</t>
  </si>
  <si>
    <t>'26031'</t>
  </si>
  <si>
    <t>'26032'</t>
  </si>
  <si>
    <t>'26902'</t>
  </si>
  <si>
    <t>'26905'</t>
  </si>
  <si>
    <t>'26907'</t>
  </si>
  <si>
    <t>'26950'</t>
  </si>
  <si>
    <t>'26951'</t>
  </si>
  <si>
    <t>'26952'</t>
  </si>
  <si>
    <t>'26953'</t>
  </si>
  <si>
    <t>'26954'</t>
  </si>
  <si>
    <t>'26955'</t>
  </si>
  <si>
    <t>CA EVREUX PORTES DE NORMANDIE</t>
  </si>
  <si>
    <t>'27570'</t>
  </si>
  <si>
    <t>COMMUNAUTE D'AGGLOMERATION SEINE EURE</t>
  </si>
  <si>
    <t>'27400'</t>
  </si>
  <si>
    <t>'27407'</t>
  </si>
  <si>
    <t>SEINE NORMANDIE AGGLOMERATION</t>
  </si>
  <si>
    <t>'27120'</t>
  </si>
  <si>
    <t>'27600'</t>
  </si>
  <si>
    <t>'27108'</t>
  </si>
  <si>
    <t>'27460'</t>
  </si>
  <si>
    <t>'27380'</t>
  </si>
  <si>
    <t>'27401'</t>
  </si>
  <si>
    <t>'27103'</t>
  </si>
  <si>
    <t>'27104'</t>
  </si>
  <si>
    <t>'27430'</t>
  </si>
  <si>
    <t>'27700'</t>
  </si>
  <si>
    <t>'27701'</t>
  </si>
  <si>
    <t>'27702'</t>
  </si>
  <si>
    <t>'27703'</t>
  </si>
  <si>
    <t>'27705'</t>
  </si>
  <si>
    <t>'27006'</t>
  </si>
  <si>
    <t>'27009'</t>
  </si>
  <si>
    <t>'27032'</t>
  </si>
  <si>
    <t>'27035'</t>
  </si>
  <si>
    <t>'27091'</t>
  </si>
  <si>
    <t>'27930'</t>
  </si>
  <si>
    <t>'27004'</t>
  </si>
  <si>
    <t>'27180'</t>
  </si>
  <si>
    <t>'27940'</t>
  </si>
  <si>
    <t>'27490'</t>
  </si>
  <si>
    <t>'27220'</t>
  </si>
  <si>
    <t>'27932'</t>
  </si>
  <si>
    <t>'27370'</t>
  </si>
  <si>
    <t>'27150'</t>
  </si>
  <si>
    <t>'27620'</t>
  </si>
  <si>
    <t>'27931'</t>
  </si>
  <si>
    <t>'27122'</t>
  </si>
  <si>
    <t>'27640'</t>
  </si>
  <si>
    <t>'27730'</t>
  </si>
  <si>
    <t>'27007'</t>
  </si>
  <si>
    <t>'27607'</t>
  </si>
  <si>
    <t>'27950'</t>
  </si>
  <si>
    <t>'27320'</t>
  </si>
  <si>
    <t>'27750'</t>
  </si>
  <si>
    <t>'27102'</t>
  </si>
  <si>
    <t>'27107'</t>
  </si>
  <si>
    <t>'27340'</t>
  </si>
  <si>
    <t>'27530'</t>
  </si>
  <si>
    <t>'27420'</t>
  </si>
  <si>
    <t>'27510'</t>
  </si>
  <si>
    <t>'27630'</t>
  </si>
  <si>
    <t>'27440'</t>
  </si>
  <si>
    <t>'27000'</t>
  </si>
  <si>
    <t>'27001'</t>
  </si>
  <si>
    <t>'27002'</t>
  </si>
  <si>
    <t>'27003'</t>
  </si>
  <si>
    <t>'27005'</t>
  </si>
  <si>
    <t>'27008'</t>
  </si>
  <si>
    <t>'27010'</t>
  </si>
  <si>
    <t>'27013'</t>
  </si>
  <si>
    <t>'27015'</t>
  </si>
  <si>
    <t>'27016'</t>
  </si>
  <si>
    <t>'27017'</t>
  </si>
  <si>
    <t>'27018'</t>
  </si>
  <si>
    <t>'27019'</t>
  </si>
  <si>
    <t>'27021'</t>
  </si>
  <si>
    <t>'27022'</t>
  </si>
  <si>
    <t>'27023'</t>
  </si>
  <si>
    <t>'27025'</t>
  </si>
  <si>
    <t>'27026'</t>
  </si>
  <si>
    <t>'27030'</t>
  </si>
  <si>
    <t>'27031'</t>
  </si>
  <si>
    <t>'27033'</t>
  </si>
  <si>
    <t>'27034'</t>
  </si>
  <si>
    <t>'27036'</t>
  </si>
  <si>
    <t>'27037'</t>
  </si>
  <si>
    <t>'27040'</t>
  </si>
  <si>
    <t>'27090'</t>
  </si>
  <si>
    <t>'27092'</t>
  </si>
  <si>
    <t>'27093'</t>
  </si>
  <si>
    <t>COMMUNAUTE D'AGGLOMERATION DU PAYS DE DREUX</t>
  </si>
  <si>
    <t>'27780'</t>
  </si>
  <si>
    <t>'27933'</t>
  </si>
  <si>
    <t>'27936'</t>
  </si>
  <si>
    <t>'27404'</t>
  </si>
  <si>
    <t>'27402'</t>
  </si>
  <si>
    <t>'27403'</t>
  </si>
  <si>
    <t>'27405'</t>
  </si>
  <si>
    <t>'27406'</t>
  </si>
  <si>
    <t>'27770'</t>
  </si>
  <si>
    <t>'27101'</t>
  </si>
  <si>
    <t>'27540'</t>
  </si>
  <si>
    <t>'27690'</t>
  </si>
  <si>
    <t>'27810'</t>
  </si>
  <si>
    <t>'27650'</t>
  </si>
  <si>
    <t>'27094'</t>
  </si>
  <si>
    <t>'27121'</t>
  </si>
  <si>
    <t>'27127'</t>
  </si>
  <si>
    <t>'27590'</t>
  </si>
  <si>
    <t>'27100'</t>
  </si>
  <si>
    <t>'27105'</t>
  </si>
  <si>
    <t>'27740'</t>
  </si>
  <si>
    <t>'27109'</t>
  </si>
  <si>
    <t>'27920'</t>
  </si>
  <si>
    <t>'27200'</t>
  </si>
  <si>
    <t>'27201'</t>
  </si>
  <si>
    <t>'27202'</t>
  </si>
  <si>
    <t>'27203'</t>
  </si>
  <si>
    <t>'27204'</t>
  </si>
  <si>
    <t>'27205'</t>
  </si>
  <si>
    <t>'27207'</t>
  </si>
  <si>
    <t>'27208'</t>
  </si>
  <si>
    <t>'27106'</t>
  </si>
  <si>
    <t>'28410'</t>
  </si>
  <si>
    <t>SMCTCEL</t>
  </si>
  <si>
    <t>'28310'</t>
  </si>
  <si>
    <t>'28500'</t>
  </si>
  <si>
    <t>COMMUNAUTE D'AGGLOMERATION CHARTRES METROPOLE</t>
  </si>
  <si>
    <t>'28150'</t>
  </si>
  <si>
    <t>'28300'</t>
  </si>
  <si>
    <t>'28302'</t>
  </si>
  <si>
    <t>'28303'</t>
  </si>
  <si>
    <t>'28109'</t>
  </si>
  <si>
    <t>'28260'</t>
  </si>
  <si>
    <t>'28170'</t>
  </si>
  <si>
    <t>'28700'</t>
  </si>
  <si>
    <t>CC DES PORTES EURELIENNES D'ILE DE FRANCE</t>
  </si>
  <si>
    <t>'28702'</t>
  </si>
  <si>
    <t>'28701'</t>
  </si>
  <si>
    <t>'28704'</t>
  </si>
  <si>
    <t>'28140'</t>
  </si>
  <si>
    <t>'28120'</t>
  </si>
  <si>
    <t>'28320'</t>
  </si>
  <si>
    <t>'28002'</t>
  </si>
  <si>
    <t>'28630'</t>
  </si>
  <si>
    <t>'28633'</t>
  </si>
  <si>
    <t>'28637'</t>
  </si>
  <si>
    <t>'28270'</t>
  </si>
  <si>
    <t>'28190'</t>
  </si>
  <si>
    <t>'28220'</t>
  </si>
  <si>
    <t>'28360'</t>
  </si>
  <si>
    <t>'28130'</t>
  </si>
  <si>
    <t>'28131'</t>
  </si>
  <si>
    <t>'28210'</t>
  </si>
  <si>
    <t>'28800'</t>
  </si>
  <si>
    <t>'28106'</t>
  </si>
  <si>
    <t>'28001'</t>
  </si>
  <si>
    <t>'28305'</t>
  </si>
  <si>
    <t>'28240'</t>
  </si>
  <si>
    <t>'28000'</t>
  </si>
  <si>
    <t>'28003'</t>
  </si>
  <si>
    <t>'28004'</t>
  </si>
  <si>
    <t>'28005'</t>
  </si>
  <si>
    <t>'28006'</t>
  </si>
  <si>
    <t>'28007'</t>
  </si>
  <si>
    <t>'28008'</t>
  </si>
  <si>
    <t>'28011'</t>
  </si>
  <si>
    <t>'28018'</t>
  </si>
  <si>
    <t>'28019'</t>
  </si>
  <si>
    <t>'28029'</t>
  </si>
  <si>
    <t>'28033'</t>
  </si>
  <si>
    <t>'28034'</t>
  </si>
  <si>
    <t>'28035'</t>
  </si>
  <si>
    <t>'28036'</t>
  </si>
  <si>
    <t>'28037'</t>
  </si>
  <si>
    <t>'28038'</t>
  </si>
  <si>
    <t>'28039'</t>
  </si>
  <si>
    <t>'28080'</t>
  </si>
  <si>
    <t>'28631'</t>
  </si>
  <si>
    <t>'28931'</t>
  </si>
  <si>
    <t>'28932'</t>
  </si>
  <si>
    <t>'28102'</t>
  </si>
  <si>
    <t>COMMUNE DE CHATEAUDUN</t>
  </si>
  <si>
    <t>'28200'</t>
  </si>
  <si>
    <t>'28201'</t>
  </si>
  <si>
    <t>'28202'</t>
  </si>
  <si>
    <t>'28203'</t>
  </si>
  <si>
    <t>'28205'</t>
  </si>
  <si>
    <t>'28207'</t>
  </si>
  <si>
    <t>'28101'</t>
  </si>
  <si>
    <t>'28211'</t>
  </si>
  <si>
    <t>'28501'</t>
  </si>
  <si>
    <t>'28480'</t>
  </si>
  <si>
    <t>'28350'</t>
  </si>
  <si>
    <t>'28250'</t>
  </si>
  <si>
    <t>'28100'</t>
  </si>
  <si>
    <t>'28103'</t>
  </si>
  <si>
    <t>'28104'</t>
  </si>
  <si>
    <t>'28105'</t>
  </si>
  <si>
    <t>'28230'</t>
  </si>
  <si>
    <t>'28233'</t>
  </si>
  <si>
    <t>'28231'</t>
  </si>
  <si>
    <t>'28232'</t>
  </si>
  <si>
    <t>'28132'</t>
  </si>
  <si>
    <t>'28703'</t>
  </si>
  <si>
    <t>'28707'</t>
  </si>
  <si>
    <t>'28110'</t>
  </si>
  <si>
    <t>'28111'</t>
  </si>
  <si>
    <t>'28112'</t>
  </si>
  <si>
    <t>'28113'</t>
  </si>
  <si>
    <t>'28114'</t>
  </si>
  <si>
    <t>'28600'</t>
  </si>
  <si>
    <t>'28133'</t>
  </si>
  <si>
    <t>'28301'</t>
  </si>
  <si>
    <t>'28160'</t>
  </si>
  <si>
    <t>MAIRIE DE NOGENT-LE-ROTROU</t>
  </si>
  <si>
    <t>'28400'</t>
  </si>
  <si>
    <t>'28401'</t>
  </si>
  <si>
    <t>'28402'</t>
  </si>
  <si>
    <t>'28403'</t>
  </si>
  <si>
    <t>'28404'</t>
  </si>
  <si>
    <t>'28409'</t>
  </si>
  <si>
    <t>'28635'</t>
  </si>
  <si>
    <t>'28380'</t>
  </si>
  <si>
    <t>COMMUNAUTE DE COMMUNES DU PAYS DE QUIMPERLE</t>
  </si>
  <si>
    <t>'29300'</t>
  </si>
  <si>
    <t>'29380'</t>
  </si>
  <si>
    <t>COMMUNAUTE URBAINE DE BREST</t>
  </si>
  <si>
    <t>'29820'</t>
  </si>
  <si>
    <t>MORLAIX COMMUNAUTE</t>
  </si>
  <si>
    <t>'29650'</t>
  </si>
  <si>
    <t>'29200'</t>
  </si>
  <si>
    <t>'29210'</t>
  </si>
  <si>
    <t>'29211'</t>
  </si>
  <si>
    <t>'29212'</t>
  </si>
  <si>
    <t>'29213'</t>
  </si>
  <si>
    <t>'29218'</t>
  </si>
  <si>
    <t>'29219'</t>
  </si>
  <si>
    <t>'29220'</t>
  </si>
  <si>
    <t>'29221'</t>
  </si>
  <si>
    <t>'29222'</t>
  </si>
  <si>
    <t>'29223'</t>
  </si>
  <si>
    <t>'29225'</t>
  </si>
  <si>
    <t>'29227'</t>
  </si>
  <si>
    <t>'29228'</t>
  </si>
  <si>
    <t>'29229'</t>
  </si>
  <si>
    <t>'29231'</t>
  </si>
  <si>
    <t>'29238'</t>
  </si>
  <si>
    <t>'29240'</t>
  </si>
  <si>
    <t>'29282'</t>
  </si>
  <si>
    <t>'29391'</t>
  </si>
  <si>
    <t>'29455'</t>
  </si>
  <si>
    <t>'29602'</t>
  </si>
  <si>
    <t>'29606'</t>
  </si>
  <si>
    <t>'29609'</t>
  </si>
  <si>
    <t>'29801'</t>
  </si>
  <si>
    <t>'29802'</t>
  </si>
  <si>
    <t>'29803'</t>
  </si>
  <si>
    <t>'29804'</t>
  </si>
  <si>
    <t>'29806'</t>
  </si>
  <si>
    <t>CA QUIMPER BRETAGNE OCCIDENTALE</t>
  </si>
  <si>
    <t>'29510'</t>
  </si>
  <si>
    <t>'29660'</t>
  </si>
  <si>
    <t>'29270'</t>
  </si>
  <si>
    <t>'29833'</t>
  </si>
  <si>
    <t>'29834'</t>
  </si>
  <si>
    <t>'29835'</t>
  </si>
  <si>
    <t>'29836'</t>
  </si>
  <si>
    <t>'29837'</t>
  </si>
  <si>
    <t>'29839'</t>
  </si>
  <si>
    <t>'29360'</t>
  </si>
  <si>
    <t>'29410'</t>
  </si>
  <si>
    <t>CA CONCARNEAU CORNOUAILLE AGGLOMERATION</t>
  </si>
  <si>
    <t>'29181'</t>
  </si>
  <si>
    <t>'29182'</t>
  </si>
  <si>
    <t>'29183'</t>
  </si>
  <si>
    <t>'29184'</t>
  </si>
  <si>
    <t>'29185'</t>
  </si>
  <si>
    <t>'29186'</t>
  </si>
  <si>
    <t>'29187'</t>
  </si>
  <si>
    <t>'29900'</t>
  </si>
  <si>
    <t>'29460'</t>
  </si>
  <si>
    <t>'29208'</t>
  </si>
  <si>
    <t>DOUARNENEZ COMMUNAUTE</t>
  </si>
  <si>
    <t>'29100'</t>
  </si>
  <si>
    <t>'29171'</t>
  </si>
  <si>
    <t>'29172'</t>
  </si>
  <si>
    <t>'29173'</t>
  </si>
  <si>
    <t>'29174'</t>
  </si>
  <si>
    <t>'29176'</t>
  </si>
  <si>
    <t>'29177'</t>
  </si>
  <si>
    <t>'29370'</t>
  </si>
  <si>
    <t>'29500'</t>
  </si>
  <si>
    <t>'29551'</t>
  </si>
  <si>
    <t>'29552'</t>
  </si>
  <si>
    <t>'29553'</t>
  </si>
  <si>
    <t>'29554'</t>
  </si>
  <si>
    <t>'29556'</t>
  </si>
  <si>
    <t>'29413'</t>
  </si>
  <si>
    <t>'29419'</t>
  </si>
  <si>
    <t>'29800'</t>
  </si>
  <si>
    <t>'29610'</t>
  </si>
  <si>
    <t>'29671'</t>
  </si>
  <si>
    <t>'29674'</t>
  </si>
  <si>
    <t>'29807'</t>
  </si>
  <si>
    <t>'29850'</t>
  </si>
  <si>
    <t>'29180'</t>
  </si>
  <si>
    <t>'29620'</t>
  </si>
  <si>
    <t>'29490'</t>
  </si>
  <si>
    <t>'29828'</t>
  </si>
  <si>
    <t>'29670'</t>
  </si>
  <si>
    <t>COMMUNAUTE COMMUNES DU PAYS DE LANDERNEAU DAOULAS</t>
  </si>
  <si>
    <t>'29206'</t>
  </si>
  <si>
    <t>'29207'</t>
  </si>
  <si>
    <t>'29209'</t>
  </si>
  <si>
    <t>'29411'</t>
  </si>
  <si>
    <t>'29412'</t>
  </si>
  <si>
    <t>'29414'</t>
  </si>
  <si>
    <t>'29640'</t>
  </si>
  <si>
    <t>'29400'</t>
  </si>
  <si>
    <t>'29241'</t>
  </si>
  <si>
    <t>'29310'</t>
  </si>
  <si>
    <t>'29470'</t>
  </si>
  <si>
    <t>'29140'</t>
  </si>
  <si>
    <t>'29393'</t>
  </si>
  <si>
    <t>'29395'</t>
  </si>
  <si>
    <t>'29396'</t>
  </si>
  <si>
    <t>'29397'</t>
  </si>
  <si>
    <t>'29398'</t>
  </si>
  <si>
    <t>'29350'</t>
  </si>
  <si>
    <t>'29201'</t>
  </si>
  <si>
    <t>'29600'</t>
  </si>
  <si>
    <t>'29672'</t>
  </si>
  <si>
    <t>'29673'</t>
  </si>
  <si>
    <t>'29678'</t>
  </si>
  <si>
    <t>'29679'</t>
  </si>
  <si>
    <t>'29920'</t>
  </si>
  <si>
    <t>'29700'</t>
  </si>
  <si>
    <t>'29710'</t>
  </si>
  <si>
    <t>'29252'</t>
  </si>
  <si>
    <t>'29630'</t>
  </si>
  <si>
    <t>'29280'</t>
  </si>
  <si>
    <t>'29107'</t>
  </si>
  <si>
    <t>'29337'</t>
  </si>
  <si>
    <t>'29930'</t>
  </si>
  <si>
    <t>'29246'</t>
  </si>
  <si>
    <t>'29000'</t>
  </si>
  <si>
    <t>'29018'</t>
  </si>
  <si>
    <t>'29080'</t>
  </si>
  <si>
    <t>'29101'</t>
  </si>
  <si>
    <t>'29102'</t>
  </si>
  <si>
    <t>'29103'</t>
  </si>
  <si>
    <t>'29104'</t>
  </si>
  <si>
    <t>'29105'</t>
  </si>
  <si>
    <t>'29106'</t>
  </si>
  <si>
    <t>'29108'</t>
  </si>
  <si>
    <t>'29109'</t>
  </si>
  <si>
    <t>'29191'</t>
  </si>
  <si>
    <t>'29192'</t>
  </si>
  <si>
    <t>'29193'</t>
  </si>
  <si>
    <t>'29196'</t>
  </si>
  <si>
    <t>'29320'</t>
  </si>
  <si>
    <t>'29321'</t>
  </si>
  <si>
    <t>'29322'</t>
  </si>
  <si>
    <t>'29323'</t>
  </si>
  <si>
    <t>'29324'</t>
  </si>
  <si>
    <t>'29326'</t>
  </si>
  <si>
    <t>'29327'</t>
  </si>
  <si>
    <t>'29330'</t>
  </si>
  <si>
    <t>'29331'</t>
  </si>
  <si>
    <t>'29332'</t>
  </si>
  <si>
    <t>'29333'</t>
  </si>
  <si>
    <t>'29334'</t>
  </si>
  <si>
    <t>'29335'</t>
  </si>
  <si>
    <t>'29336'</t>
  </si>
  <si>
    <t>'29555'</t>
  </si>
  <si>
    <t>'29557'</t>
  </si>
  <si>
    <t>'29558'</t>
  </si>
  <si>
    <t>'29561'</t>
  </si>
  <si>
    <t>'29392'</t>
  </si>
  <si>
    <t>'29394'</t>
  </si>
  <si>
    <t>'29480'</t>
  </si>
  <si>
    <t>'29808'</t>
  </si>
  <si>
    <t>'29340'</t>
  </si>
  <si>
    <t>'29390'</t>
  </si>
  <si>
    <t>'29910'</t>
  </si>
  <si>
    <t>'29450'</t>
  </si>
  <si>
    <t>2A001</t>
  </si>
  <si>
    <t>COMMUNAUTE D'AGGLOMERATION DU PAYS AJACCIEN</t>
  </si>
  <si>
    <t>'20167'</t>
  </si>
  <si>
    <t>'20186'</t>
  </si>
  <si>
    <t>'20501'</t>
  </si>
  <si>
    <t>'20502'</t>
  </si>
  <si>
    <t>'20504'</t>
  </si>
  <si>
    <t>'20700'</t>
  </si>
  <si>
    <t>2A004</t>
  </si>
  <si>
    <t>'20000'</t>
  </si>
  <si>
    <t>'20090'</t>
  </si>
  <si>
    <t>'20174'</t>
  </si>
  <si>
    <t>'20175'</t>
  </si>
  <si>
    <t>'20176'</t>
  </si>
  <si>
    <t>'20177'</t>
  </si>
  <si>
    <t>'20178'</t>
  </si>
  <si>
    <t>'20179'</t>
  </si>
  <si>
    <t>'20180'</t>
  </si>
  <si>
    <t>'20181'</t>
  </si>
  <si>
    <t>'20182'</t>
  </si>
  <si>
    <t>'20183'</t>
  </si>
  <si>
    <t>'20184'</t>
  </si>
  <si>
    <t>'20185'</t>
  </si>
  <si>
    <t>'20187'</t>
  </si>
  <si>
    <t>'20188'</t>
  </si>
  <si>
    <t>'20189'</t>
  </si>
  <si>
    <t>'20191'</t>
  </si>
  <si>
    <t>'20192'</t>
  </si>
  <si>
    <t>'20193'</t>
  </si>
  <si>
    <t>'20194'</t>
  </si>
  <si>
    <t>'20195'</t>
  </si>
  <si>
    <t>'20302'</t>
  </si>
  <si>
    <t>'20303'</t>
  </si>
  <si>
    <t>'20304'</t>
  </si>
  <si>
    <t>'20306'</t>
  </si>
  <si>
    <t>'20309'</t>
  </si>
  <si>
    <t>'20311'</t>
  </si>
  <si>
    <t>'20503'</t>
  </si>
  <si>
    <t>'20701'</t>
  </si>
  <si>
    <t>'20702'</t>
  </si>
  <si>
    <t>'20703'</t>
  </si>
  <si>
    <t>'20704'</t>
  </si>
  <si>
    <t>'20900'</t>
  </si>
  <si>
    <t>2A006</t>
  </si>
  <si>
    <t>2A017</t>
  </si>
  <si>
    <t>2A041</t>
  </si>
  <si>
    <t>COMMUNAUTE DE COMMUNES DU SUD CORSE</t>
  </si>
  <si>
    <t>'20169'</t>
  </si>
  <si>
    <t>2A103</t>
  </si>
  <si>
    <t>2A114</t>
  </si>
  <si>
    <t>'20114'</t>
  </si>
  <si>
    <t>2A139</t>
  </si>
  <si>
    <t>'20137'</t>
  </si>
  <si>
    <t>'20537'</t>
  </si>
  <si>
    <t>'20538'</t>
  </si>
  <si>
    <t>2A163</t>
  </si>
  <si>
    <t>'20171'</t>
  </si>
  <si>
    <t>2A209</t>
  </si>
  <si>
    <t>2A215</t>
  </si>
  <si>
    <t>'20131'</t>
  </si>
  <si>
    <t>2A247</t>
  </si>
  <si>
    <t>2A271</t>
  </si>
  <si>
    <t>2A288</t>
  </si>
  <si>
    <t>'20146'</t>
  </si>
  <si>
    <t>2A323</t>
  </si>
  <si>
    <t>2A336</t>
  </si>
  <si>
    <t>2A351</t>
  </si>
  <si>
    <t>2B033</t>
  </si>
  <si>
    <t>COMMUNAUTE D'AGGLOMERATION DE BASTIA</t>
  </si>
  <si>
    <t>'20200'</t>
  </si>
  <si>
    <t>'20289'</t>
  </si>
  <si>
    <t>'20291'</t>
  </si>
  <si>
    <t>'20299'</t>
  </si>
  <si>
    <t>'20411'</t>
  </si>
  <si>
    <t>'20416'</t>
  </si>
  <si>
    <t>'20418'</t>
  </si>
  <si>
    <t>'20600'</t>
  </si>
  <si>
    <t>'20601'</t>
  </si>
  <si>
    <t>'20604'</t>
  </si>
  <si>
    <t>'20611'</t>
  </si>
  <si>
    <t>2B034</t>
  </si>
  <si>
    <t>COMMUNAUTE DE COMMUNES L'ILE-ROUSSE -BALAGNE</t>
  </si>
  <si>
    <t>'20226'</t>
  </si>
  <si>
    <t>2B093</t>
  </si>
  <si>
    <t>'20220'</t>
  </si>
  <si>
    <t>'20256'</t>
  </si>
  <si>
    <t>2B097</t>
  </si>
  <si>
    <t>2B112</t>
  </si>
  <si>
    <t>'20225'</t>
  </si>
  <si>
    <t>2B120</t>
  </si>
  <si>
    <t>2B134</t>
  </si>
  <si>
    <t>2B136</t>
  </si>
  <si>
    <t>'20218'</t>
  </si>
  <si>
    <t>2B156</t>
  </si>
  <si>
    <t>'20259'</t>
  </si>
  <si>
    <t>2B168</t>
  </si>
  <si>
    <t>2B173</t>
  </si>
  <si>
    <t>2B175</t>
  </si>
  <si>
    <t>2B180</t>
  </si>
  <si>
    <t>2B182</t>
  </si>
  <si>
    <t>2B190</t>
  </si>
  <si>
    <t>2B199</t>
  </si>
  <si>
    <t>2B223</t>
  </si>
  <si>
    <t>2B231</t>
  </si>
  <si>
    <t>2B235</t>
  </si>
  <si>
    <t>2B290</t>
  </si>
  <si>
    <t>2B305</t>
  </si>
  <si>
    <t>2B309</t>
  </si>
  <si>
    <t>2B316</t>
  </si>
  <si>
    <t>2B332</t>
  </si>
  <si>
    <t>2B339</t>
  </si>
  <si>
    <t>2B352</t>
  </si>
  <si>
    <t>'20279'</t>
  </si>
  <si>
    <t>2B353</t>
  </si>
  <si>
    <t>CA DU GARD RHODANIEN.</t>
  </si>
  <si>
    <t>'30760'</t>
  </si>
  <si>
    <t>SMTP BASSIN D'ALES</t>
  </si>
  <si>
    <t>'30100'</t>
  </si>
  <si>
    <t>'30101'</t>
  </si>
  <si>
    <t>'30102'</t>
  </si>
  <si>
    <t>'30103'</t>
  </si>
  <si>
    <t>'30104'</t>
  </si>
  <si>
    <t>'30105'</t>
  </si>
  <si>
    <t>'30106'</t>
  </si>
  <si>
    <t>'30107'</t>
  </si>
  <si>
    <t>'30115'</t>
  </si>
  <si>
    <t>'30313'</t>
  </si>
  <si>
    <t>'30318'</t>
  </si>
  <si>
    <t>'30319'</t>
  </si>
  <si>
    <t>'30500'</t>
  </si>
  <si>
    <t>'30140'</t>
  </si>
  <si>
    <t>COMMUNAUTE D'AGGLOMERATION DU GRAND AVIGNON</t>
  </si>
  <si>
    <t>'30133'</t>
  </si>
  <si>
    <t>'30401'</t>
  </si>
  <si>
    <t>'30402'</t>
  </si>
  <si>
    <t>'30403'</t>
  </si>
  <si>
    <t>'30406'</t>
  </si>
  <si>
    <t>'30450'</t>
  </si>
  <si>
    <t>'30200'</t>
  </si>
  <si>
    <t>'30201'</t>
  </si>
  <si>
    <t>'30202'</t>
  </si>
  <si>
    <t>'30203'</t>
  </si>
  <si>
    <t>'30204'</t>
  </si>
  <si>
    <t>'30205'</t>
  </si>
  <si>
    <t>'30209'</t>
  </si>
  <si>
    <t>COMMUNAUTE D'AGGLOMERATION NIMES METROPOLE</t>
  </si>
  <si>
    <t>'30620'</t>
  </si>
  <si>
    <t>'30931'</t>
  </si>
  <si>
    <t>'30160'</t>
  </si>
  <si>
    <t>'30320'</t>
  </si>
  <si>
    <t>'30190'</t>
  </si>
  <si>
    <t>'30230'</t>
  </si>
  <si>
    <t>'30580'</t>
  </si>
  <si>
    <t>'30110'</t>
  </si>
  <si>
    <t>'30210'</t>
  </si>
  <si>
    <t>'30132'</t>
  </si>
  <si>
    <t>'30942'</t>
  </si>
  <si>
    <t>'30969'</t>
  </si>
  <si>
    <t>'30972'</t>
  </si>
  <si>
    <t>'30350'</t>
  </si>
  <si>
    <t>'30130'</t>
  </si>
  <si>
    <t>'30134'</t>
  </si>
  <si>
    <t>'30820'</t>
  </si>
  <si>
    <t>'30330'</t>
  </si>
  <si>
    <t>'30480'</t>
  </si>
  <si>
    <t>'30530'</t>
  </si>
  <si>
    <t>'30206'</t>
  </si>
  <si>
    <t>'30207'</t>
  </si>
  <si>
    <t>'30870'</t>
  </si>
  <si>
    <t>'30630'</t>
  </si>
  <si>
    <t>'30360'</t>
  </si>
  <si>
    <t>'30730'</t>
  </si>
  <si>
    <t>'30128'</t>
  </si>
  <si>
    <t>'30910'</t>
  </si>
  <si>
    <t>'30510'</t>
  </si>
  <si>
    <t>'30932'</t>
  </si>
  <si>
    <t>'30980'</t>
  </si>
  <si>
    <t>'30460'</t>
  </si>
  <si>
    <t>'30290'</t>
  </si>
  <si>
    <t>'30126'</t>
  </si>
  <si>
    <t>'30960'</t>
  </si>
  <si>
    <t>'30129'</t>
  </si>
  <si>
    <t>'30340'</t>
  </si>
  <si>
    <t>'30410'</t>
  </si>
  <si>
    <t>'30540'</t>
  </si>
  <si>
    <t>'30150'</t>
  </si>
  <si>
    <t>'30000'</t>
  </si>
  <si>
    <t>'30001'</t>
  </si>
  <si>
    <t>'30002'</t>
  </si>
  <si>
    <t>'30006'</t>
  </si>
  <si>
    <t>'30007'</t>
  </si>
  <si>
    <t>'30008'</t>
  </si>
  <si>
    <t>'30009'</t>
  </si>
  <si>
    <t>'30010'</t>
  </si>
  <si>
    <t>'30011'</t>
  </si>
  <si>
    <t>'30012'</t>
  </si>
  <si>
    <t>'30013'</t>
  </si>
  <si>
    <t>'30014'</t>
  </si>
  <si>
    <t>'30015'</t>
  </si>
  <si>
    <t>'30016'</t>
  </si>
  <si>
    <t>'30017'</t>
  </si>
  <si>
    <t>'30018'</t>
  </si>
  <si>
    <t>'30019'</t>
  </si>
  <si>
    <t>'30020'</t>
  </si>
  <si>
    <t>'30021'</t>
  </si>
  <si>
    <t>'30022'</t>
  </si>
  <si>
    <t>'30023'</t>
  </si>
  <si>
    <t>'30024'</t>
  </si>
  <si>
    <t>'30025'</t>
  </si>
  <si>
    <t>'30028'</t>
  </si>
  <si>
    <t>'30029'</t>
  </si>
  <si>
    <t>'30031'</t>
  </si>
  <si>
    <t>'30032'</t>
  </si>
  <si>
    <t>'30033'</t>
  </si>
  <si>
    <t>'30034'</t>
  </si>
  <si>
    <t>'30035'</t>
  </si>
  <si>
    <t>'30036'</t>
  </si>
  <si>
    <t>'30039'</t>
  </si>
  <si>
    <t>'30040'</t>
  </si>
  <si>
    <t>'30044'</t>
  </si>
  <si>
    <t>'30045'</t>
  </si>
  <si>
    <t>'30048'</t>
  </si>
  <si>
    <t>'30050'</t>
  </si>
  <si>
    <t>'30051'</t>
  </si>
  <si>
    <t>'30055'</t>
  </si>
  <si>
    <t>'30900'</t>
  </si>
  <si>
    <t>'30901'</t>
  </si>
  <si>
    <t>'30903'</t>
  </si>
  <si>
    <t>'30904'</t>
  </si>
  <si>
    <t>'30905'</t>
  </si>
  <si>
    <t>'30906'</t>
  </si>
  <si>
    <t>'30907'</t>
  </si>
  <si>
    <t>'30908'</t>
  </si>
  <si>
    <t>'30911'</t>
  </si>
  <si>
    <t>'30912'</t>
  </si>
  <si>
    <t>'30913'</t>
  </si>
  <si>
    <t>'30914'</t>
  </si>
  <si>
    <t>'30915'</t>
  </si>
  <si>
    <t>'30918'</t>
  </si>
  <si>
    <t>'30921'</t>
  </si>
  <si>
    <t>'30922'</t>
  </si>
  <si>
    <t>'30923'</t>
  </si>
  <si>
    <t>'30924'</t>
  </si>
  <si>
    <t>'30934'</t>
  </si>
  <si>
    <t>'30935'</t>
  </si>
  <si>
    <t>'30936'</t>
  </si>
  <si>
    <t>'30937'</t>
  </si>
  <si>
    <t>'30941'</t>
  </si>
  <si>
    <t>'30943'</t>
  </si>
  <si>
    <t>'30947'</t>
  </si>
  <si>
    <t>'30971'</t>
  </si>
  <si>
    <t>'30131'</t>
  </si>
  <si>
    <t>'30720'</t>
  </si>
  <si>
    <t>'30650'</t>
  </si>
  <si>
    <t>'30380'</t>
  </si>
  <si>
    <t>'30800'</t>
  </si>
  <si>
    <t>'30560'</t>
  </si>
  <si>
    <t>'30270'</t>
  </si>
  <si>
    <t>'30520'</t>
  </si>
  <si>
    <t>'30400'</t>
  </si>
  <si>
    <t>'30404'</t>
  </si>
  <si>
    <t>TISSEO SMTC AGGLOMERATION TOULOUSAINE</t>
  </si>
  <si>
    <t>'31280'</t>
  </si>
  <si>
    <t>'31450'</t>
  </si>
  <si>
    <t>'31140'</t>
  </si>
  <si>
    <t>'31141'</t>
  </si>
  <si>
    <t>'31142'</t>
  </si>
  <si>
    <t>'31320'</t>
  </si>
  <si>
    <t>'31840'</t>
  </si>
  <si>
    <t>'31321'</t>
  </si>
  <si>
    <t>'31322'</t>
  </si>
  <si>
    <t>'31325'</t>
  </si>
  <si>
    <t>'31326'</t>
  </si>
  <si>
    <t>'31650'</t>
  </si>
  <si>
    <t>'31130'</t>
  </si>
  <si>
    <t>'31131'</t>
  </si>
  <si>
    <t>'31132'</t>
  </si>
  <si>
    <t>'31133'</t>
  </si>
  <si>
    <t>'31135'</t>
  </si>
  <si>
    <t>'31136'</t>
  </si>
  <si>
    <t>'31137'</t>
  </si>
  <si>
    <t>'31138'</t>
  </si>
  <si>
    <t>'31313'</t>
  </si>
  <si>
    <t>'31850'</t>
  </si>
  <si>
    <t>'31700'</t>
  </si>
  <si>
    <t>'31701'</t>
  </si>
  <si>
    <t>'31702'</t>
  </si>
  <si>
    <t>'31703'</t>
  </si>
  <si>
    <t>'31704'</t>
  </si>
  <si>
    <t>'31705'</t>
  </si>
  <si>
    <t>'31504'</t>
  </si>
  <si>
    <t>'31706'</t>
  </si>
  <si>
    <t>'31707'</t>
  </si>
  <si>
    <t>'31708'</t>
  </si>
  <si>
    <t>'31709'</t>
  </si>
  <si>
    <t>'31711'</t>
  </si>
  <si>
    <t>'31712'</t>
  </si>
  <si>
    <t>'31715'</t>
  </si>
  <si>
    <t>'31716'</t>
  </si>
  <si>
    <t>'31490'</t>
  </si>
  <si>
    <t>'31832'</t>
  </si>
  <si>
    <t>'31150'</t>
  </si>
  <si>
    <t>'31151'</t>
  </si>
  <si>
    <t>'31152'</t>
  </si>
  <si>
    <t>'31780'</t>
  </si>
  <si>
    <t>'31180'</t>
  </si>
  <si>
    <t>'31810'</t>
  </si>
  <si>
    <t>'31770'</t>
  </si>
  <si>
    <t>'31771'</t>
  </si>
  <si>
    <t>'31772'</t>
  </si>
  <si>
    <t>'31773'</t>
  </si>
  <si>
    <t>'31774'</t>
  </si>
  <si>
    <t>'31775'</t>
  </si>
  <si>
    <t>'31776'</t>
  </si>
  <si>
    <t>'31777'</t>
  </si>
  <si>
    <t>'31270'</t>
  </si>
  <si>
    <t>'31600'</t>
  </si>
  <si>
    <t>'31604'</t>
  </si>
  <si>
    <t>'31605'</t>
  </si>
  <si>
    <t>'31671'</t>
  </si>
  <si>
    <t>'31676'</t>
  </si>
  <si>
    <t>'31750'</t>
  </si>
  <si>
    <t>'31410'</t>
  </si>
  <si>
    <t>'31470'</t>
  </si>
  <si>
    <t>'31120'</t>
  </si>
  <si>
    <t>'31860'</t>
  </si>
  <si>
    <t>'31061'</t>
  </si>
  <si>
    <t>'31670'</t>
  </si>
  <si>
    <t>'31672'</t>
  </si>
  <si>
    <t>'31601'</t>
  </si>
  <si>
    <t>'31602'</t>
  </si>
  <si>
    <t>'31603'</t>
  </si>
  <si>
    <t>'31606'</t>
  </si>
  <si>
    <t>'31608'</t>
  </si>
  <si>
    <t>'31820'</t>
  </si>
  <si>
    <t>'31124'</t>
  </si>
  <si>
    <t>'31830'</t>
  </si>
  <si>
    <t>'31831'</t>
  </si>
  <si>
    <t>'31839'</t>
  </si>
  <si>
    <t>'31094'</t>
  </si>
  <si>
    <t>'31121'</t>
  </si>
  <si>
    <t>'31122'</t>
  </si>
  <si>
    <t>'31123'</t>
  </si>
  <si>
    <t>'31125'</t>
  </si>
  <si>
    <t>'31126'</t>
  </si>
  <si>
    <t>'31127'</t>
  </si>
  <si>
    <t>'31128'</t>
  </si>
  <si>
    <t>'31134'</t>
  </si>
  <si>
    <t>'31520'</t>
  </si>
  <si>
    <t>'31521'</t>
  </si>
  <si>
    <t>'31522'</t>
  </si>
  <si>
    <t>'31524'</t>
  </si>
  <si>
    <t>'31032'</t>
  </si>
  <si>
    <t>'31240'</t>
  </si>
  <si>
    <t>'31241'</t>
  </si>
  <si>
    <t>'31242'</t>
  </si>
  <si>
    <t>'31243'</t>
  </si>
  <si>
    <t>'31790'</t>
  </si>
  <si>
    <t>'31880'</t>
  </si>
  <si>
    <t>'31000'</t>
  </si>
  <si>
    <t>'31001'</t>
  </si>
  <si>
    <t>'31002'</t>
  </si>
  <si>
    <t>'31003'</t>
  </si>
  <si>
    <t>'31004'</t>
  </si>
  <si>
    <t>'31005'</t>
  </si>
  <si>
    <t>'31006'</t>
  </si>
  <si>
    <t>'31007'</t>
  </si>
  <si>
    <t>'31008'</t>
  </si>
  <si>
    <t>'31009'</t>
  </si>
  <si>
    <t>'31010'</t>
  </si>
  <si>
    <t>'31011'</t>
  </si>
  <si>
    <t>'31012'</t>
  </si>
  <si>
    <t>'31013'</t>
  </si>
  <si>
    <t>'31014'</t>
  </si>
  <si>
    <t>'31015'</t>
  </si>
  <si>
    <t>'31016'</t>
  </si>
  <si>
    <t>'31017'</t>
  </si>
  <si>
    <t>'31018'</t>
  </si>
  <si>
    <t>'31019'</t>
  </si>
  <si>
    <t>'31020'</t>
  </si>
  <si>
    <t>'31021'</t>
  </si>
  <si>
    <t>'31022'</t>
  </si>
  <si>
    <t>'31023'</t>
  </si>
  <si>
    <t>'31024'</t>
  </si>
  <si>
    <t>'31025'</t>
  </si>
  <si>
    <t>'31026'</t>
  </si>
  <si>
    <t>'31027'</t>
  </si>
  <si>
    <t>'31028'</t>
  </si>
  <si>
    <t>'31029'</t>
  </si>
  <si>
    <t>'31030'</t>
  </si>
  <si>
    <t>'31031'</t>
  </si>
  <si>
    <t>'31033'</t>
  </si>
  <si>
    <t>'31034'</t>
  </si>
  <si>
    <t>'31035'</t>
  </si>
  <si>
    <t>'31036'</t>
  </si>
  <si>
    <t>'31037'</t>
  </si>
  <si>
    <t>'31038'</t>
  </si>
  <si>
    <t>'31039'</t>
  </si>
  <si>
    <t>'31040'</t>
  </si>
  <si>
    <t>'31041'</t>
  </si>
  <si>
    <t>'31042'</t>
  </si>
  <si>
    <t>'31043'</t>
  </si>
  <si>
    <t>'31044'</t>
  </si>
  <si>
    <t>'31045'</t>
  </si>
  <si>
    <t>'31046'</t>
  </si>
  <si>
    <t>'31047'</t>
  </si>
  <si>
    <t>'31049'</t>
  </si>
  <si>
    <t>'31050'</t>
  </si>
  <si>
    <t>'31051'</t>
  </si>
  <si>
    <t>'31052'</t>
  </si>
  <si>
    <t>'31053'</t>
  </si>
  <si>
    <t>'31054'</t>
  </si>
  <si>
    <t>'31055'</t>
  </si>
  <si>
    <t>'31057'</t>
  </si>
  <si>
    <t>'31058'</t>
  </si>
  <si>
    <t>'31059'</t>
  </si>
  <si>
    <t>'31060'</t>
  </si>
  <si>
    <t>'31062'</t>
  </si>
  <si>
    <t>'31063'</t>
  </si>
  <si>
    <t>'31064'</t>
  </si>
  <si>
    <t>'31065'</t>
  </si>
  <si>
    <t>'31066'</t>
  </si>
  <si>
    <t>'31067'</t>
  </si>
  <si>
    <t>'31068'</t>
  </si>
  <si>
    <t>'31069'</t>
  </si>
  <si>
    <t>'31070'</t>
  </si>
  <si>
    <t>'31071'</t>
  </si>
  <si>
    <t>'31072'</t>
  </si>
  <si>
    <t>'31073'</t>
  </si>
  <si>
    <t>'31074'</t>
  </si>
  <si>
    <t>'31075'</t>
  </si>
  <si>
    <t>'31076'</t>
  </si>
  <si>
    <t>'31077'</t>
  </si>
  <si>
    <t>'31078'</t>
  </si>
  <si>
    <t>'31079'</t>
  </si>
  <si>
    <t>'31080'</t>
  </si>
  <si>
    <t>'31081'</t>
  </si>
  <si>
    <t>'31082'</t>
  </si>
  <si>
    <t>'31084'</t>
  </si>
  <si>
    <t>'31085'</t>
  </si>
  <si>
    <t>'31086'</t>
  </si>
  <si>
    <t>'31089'</t>
  </si>
  <si>
    <t>'31090'</t>
  </si>
  <si>
    <t>'31091'</t>
  </si>
  <si>
    <t>'31092'</t>
  </si>
  <si>
    <t>'31093'</t>
  </si>
  <si>
    <t>'31095'</t>
  </si>
  <si>
    <t>'31096'</t>
  </si>
  <si>
    <t>'31097'</t>
  </si>
  <si>
    <t>'31098'</t>
  </si>
  <si>
    <t>'31100'</t>
  </si>
  <si>
    <t>'31101'</t>
  </si>
  <si>
    <t>'31102'</t>
  </si>
  <si>
    <t>'31103'</t>
  </si>
  <si>
    <t>'31104'</t>
  </si>
  <si>
    <t>'31106'</t>
  </si>
  <si>
    <t>'31109'</t>
  </si>
  <si>
    <t>'31112'</t>
  </si>
  <si>
    <t>'31145'</t>
  </si>
  <si>
    <t>'31189'</t>
  </si>
  <si>
    <t>'31200'</t>
  </si>
  <si>
    <t>'31201'</t>
  </si>
  <si>
    <t>'31203'</t>
  </si>
  <si>
    <t>'31204'</t>
  </si>
  <si>
    <t>'31205'</t>
  </si>
  <si>
    <t>'31300'</t>
  </si>
  <si>
    <t>'31389'</t>
  </si>
  <si>
    <t>'31400'</t>
  </si>
  <si>
    <t>'31401'</t>
  </si>
  <si>
    <t>'31402'</t>
  </si>
  <si>
    <t>'31403'</t>
  </si>
  <si>
    <t>'31404'</t>
  </si>
  <si>
    <t>'31405'</t>
  </si>
  <si>
    <t>'31406'</t>
  </si>
  <si>
    <t>'31432'</t>
  </si>
  <si>
    <t>'31500'</t>
  </si>
  <si>
    <t>'31503'</t>
  </si>
  <si>
    <t>'31505'</t>
  </si>
  <si>
    <t>'31506'</t>
  </si>
  <si>
    <t>'31507'</t>
  </si>
  <si>
    <t>'31512'</t>
  </si>
  <si>
    <t>'31589'</t>
  </si>
  <si>
    <t>'31685'</t>
  </si>
  <si>
    <t>'31689'</t>
  </si>
  <si>
    <t>'31900'</t>
  </si>
  <si>
    <t>'31931'</t>
  </si>
  <si>
    <t>'31945'</t>
  </si>
  <si>
    <t>'31947'</t>
  </si>
  <si>
    <t>'31950'</t>
  </si>
  <si>
    <t>'31962'</t>
  </si>
  <si>
    <t>'31170'</t>
  </si>
  <si>
    <t>'31245'</t>
  </si>
  <si>
    <t>CA GRAND AUCH COEUR GASCOGNE</t>
  </si>
  <si>
    <t>'32360'</t>
  </si>
  <si>
    <t>'32000'</t>
  </si>
  <si>
    <t>'32001'</t>
  </si>
  <si>
    <t>'32002'</t>
  </si>
  <si>
    <t>'32003'</t>
  </si>
  <si>
    <t>'32004'</t>
  </si>
  <si>
    <t>'32005'</t>
  </si>
  <si>
    <t>'32007'</t>
  </si>
  <si>
    <t>'32008'</t>
  </si>
  <si>
    <t>'32010'</t>
  </si>
  <si>
    <t>'32012'</t>
  </si>
  <si>
    <t>'32013'</t>
  </si>
  <si>
    <t>'32014'</t>
  </si>
  <si>
    <t>'32016'</t>
  </si>
  <si>
    <t>'32018'</t>
  </si>
  <si>
    <t>'32020'</t>
  </si>
  <si>
    <t>'32021'</t>
  </si>
  <si>
    <t>'32022'</t>
  </si>
  <si>
    <t>'32120'</t>
  </si>
  <si>
    <t>'32550'</t>
  </si>
  <si>
    <t>'32410'</t>
  </si>
  <si>
    <t>'32350'</t>
  </si>
  <si>
    <t>'32450'</t>
  </si>
  <si>
    <t>'32810'</t>
  </si>
  <si>
    <t>'32270'</t>
  </si>
  <si>
    <t>'32390'</t>
  </si>
  <si>
    <t>'32190'</t>
  </si>
  <si>
    <t>COMMUNAUTE D'AGGLOMERATION DU LIBOURNAIS</t>
  </si>
  <si>
    <t>'33230'</t>
  </si>
  <si>
    <t>COMMUNAUTE DE COMMUNES DU REOLAIS EN SUD GIRONDE</t>
  </si>
  <si>
    <t>'33124'</t>
  </si>
  <si>
    <t>BORDEAUX METROPOLE</t>
  </si>
  <si>
    <t>'33440'</t>
  </si>
  <si>
    <t>'33562'</t>
  </si>
  <si>
    <t>'33565'</t>
  </si>
  <si>
    <t>'33810'</t>
  </si>
  <si>
    <t>CA DU BASSIN D'ARCACHON SUD</t>
  </si>
  <si>
    <t>'33120'</t>
  </si>
  <si>
    <t>'33311'</t>
  </si>
  <si>
    <t>'33312'</t>
  </si>
  <si>
    <t>'33313'</t>
  </si>
  <si>
    <t>'33314'</t>
  </si>
  <si>
    <t>'33370'</t>
  </si>
  <si>
    <t>'33500'</t>
  </si>
  <si>
    <t>'33501'</t>
  </si>
  <si>
    <t>'33503'</t>
  </si>
  <si>
    <t>'33505'</t>
  </si>
  <si>
    <t>'33190'</t>
  </si>
  <si>
    <t>COMMUNAUTE DE COMMUNES DU SUD GIRONDE</t>
  </si>
  <si>
    <t>'33730'</t>
  </si>
  <si>
    <t>'33530'</t>
  </si>
  <si>
    <t>'33563'</t>
  </si>
  <si>
    <t>'33130'</t>
  </si>
  <si>
    <t>'33321'</t>
  </si>
  <si>
    <t>'33322'</t>
  </si>
  <si>
    <t>'33323'</t>
  </si>
  <si>
    <t>'33324'</t>
  </si>
  <si>
    <t>'33210'</t>
  </si>
  <si>
    <t>'33502'</t>
  </si>
  <si>
    <t>'33290'</t>
  </si>
  <si>
    <t>'33291'</t>
  </si>
  <si>
    <t>'33292'</t>
  </si>
  <si>
    <t>'33293'</t>
  </si>
  <si>
    <t>'33294'</t>
  </si>
  <si>
    <t>'33295'</t>
  </si>
  <si>
    <t>'33296'</t>
  </si>
  <si>
    <t>'33910'</t>
  </si>
  <si>
    <t>'33000'</t>
  </si>
  <si>
    <t>'33001'</t>
  </si>
  <si>
    <t>'33002'</t>
  </si>
  <si>
    <t>'33005'</t>
  </si>
  <si>
    <t>'33006'</t>
  </si>
  <si>
    <t>'33007'</t>
  </si>
  <si>
    <t>'33008'</t>
  </si>
  <si>
    <t>'33009'</t>
  </si>
  <si>
    <t>'33010'</t>
  </si>
  <si>
    <t>'33011'</t>
  </si>
  <si>
    <t>'33012'</t>
  </si>
  <si>
    <t>'33015'</t>
  </si>
  <si>
    <t>'33019'</t>
  </si>
  <si>
    <t>'33020'</t>
  </si>
  <si>
    <t>'33021'</t>
  </si>
  <si>
    <t>'33023'</t>
  </si>
  <si>
    <t>'33024'</t>
  </si>
  <si>
    <t>'33025'</t>
  </si>
  <si>
    <t>'33026'</t>
  </si>
  <si>
    <t>'33027'</t>
  </si>
  <si>
    <t>'33028'</t>
  </si>
  <si>
    <t>'33029'</t>
  </si>
  <si>
    <t>'33030'</t>
  </si>
  <si>
    <t>'33031'</t>
  </si>
  <si>
    <t>'33032'</t>
  </si>
  <si>
    <t>'33033'</t>
  </si>
  <si>
    <t>'33034'</t>
  </si>
  <si>
    <t>'33035'</t>
  </si>
  <si>
    <t>'33036'</t>
  </si>
  <si>
    <t>'33037'</t>
  </si>
  <si>
    <t>'33038'</t>
  </si>
  <si>
    <t>'33041'</t>
  </si>
  <si>
    <t>'33042'</t>
  </si>
  <si>
    <t>'33049'</t>
  </si>
  <si>
    <t>'33050'</t>
  </si>
  <si>
    <t>'33051'</t>
  </si>
  <si>
    <t>'33052'</t>
  </si>
  <si>
    <t>'33053'</t>
  </si>
  <si>
    <t>'33054'</t>
  </si>
  <si>
    <t>'33055'</t>
  </si>
  <si>
    <t>'33056'</t>
  </si>
  <si>
    <t>'33057'</t>
  </si>
  <si>
    <t>'33058'</t>
  </si>
  <si>
    <t>'33059'</t>
  </si>
  <si>
    <t>'33060'</t>
  </si>
  <si>
    <t>'33061'</t>
  </si>
  <si>
    <t>'33062'</t>
  </si>
  <si>
    <t>'33063'</t>
  </si>
  <si>
    <t>'33064'</t>
  </si>
  <si>
    <t>'33065'</t>
  </si>
  <si>
    <t>'33067'</t>
  </si>
  <si>
    <t>'33068'</t>
  </si>
  <si>
    <t>'33069'</t>
  </si>
  <si>
    <t>'33070'</t>
  </si>
  <si>
    <t>'33072'</t>
  </si>
  <si>
    <t>'33073'</t>
  </si>
  <si>
    <t>'33074'</t>
  </si>
  <si>
    <t>'33075'</t>
  </si>
  <si>
    <t>'33076'</t>
  </si>
  <si>
    <t>'33077'</t>
  </si>
  <si>
    <t>'33078'</t>
  </si>
  <si>
    <t>'33079'</t>
  </si>
  <si>
    <t>'33080'</t>
  </si>
  <si>
    <t>'33081'</t>
  </si>
  <si>
    <t>'33082'</t>
  </si>
  <si>
    <t>'33083'</t>
  </si>
  <si>
    <t>'33085'</t>
  </si>
  <si>
    <t>'33086'</t>
  </si>
  <si>
    <t>'33087'</t>
  </si>
  <si>
    <t>'33088'</t>
  </si>
  <si>
    <t>'33089'</t>
  </si>
  <si>
    <t>'33090'</t>
  </si>
  <si>
    <t>'33091'</t>
  </si>
  <si>
    <t>'33093'</t>
  </si>
  <si>
    <t>'33094'</t>
  </si>
  <si>
    <t>'33098'</t>
  </si>
  <si>
    <t>'33100'</t>
  </si>
  <si>
    <t>'33200'</t>
  </si>
  <si>
    <t>'33300'</t>
  </si>
  <si>
    <t>'33800'</t>
  </si>
  <si>
    <t>'33801'</t>
  </si>
  <si>
    <t>'33900'</t>
  </si>
  <si>
    <t>'33913'</t>
  </si>
  <si>
    <t>'33915'</t>
  </si>
  <si>
    <t>'33919'</t>
  </si>
  <si>
    <t>'33270'</t>
  </si>
  <si>
    <t>'33271'</t>
  </si>
  <si>
    <t>'33272'</t>
  </si>
  <si>
    <t>'33273'</t>
  </si>
  <si>
    <t>'33191'</t>
  </si>
  <si>
    <t>'33113'</t>
  </si>
  <si>
    <t>'33110'</t>
  </si>
  <si>
    <t>'33491'</t>
  </si>
  <si>
    <t>'33492'</t>
  </si>
  <si>
    <t>'33495'</t>
  </si>
  <si>
    <t>'33212'</t>
  </si>
  <si>
    <t>'33520'</t>
  </si>
  <si>
    <t>'33521'</t>
  </si>
  <si>
    <t>'33522'</t>
  </si>
  <si>
    <t>'33523'</t>
  </si>
  <si>
    <t>'33524'</t>
  </si>
  <si>
    <t>'33525'</t>
  </si>
  <si>
    <t>'33526'</t>
  </si>
  <si>
    <t>'33529'</t>
  </si>
  <si>
    <t>'33750'</t>
  </si>
  <si>
    <t>'33660'</t>
  </si>
  <si>
    <t>'33560'</t>
  </si>
  <si>
    <t>'33564'</t>
  </si>
  <si>
    <t>'33490'</t>
  </si>
  <si>
    <t>'33150'</t>
  </si>
  <si>
    <t>'33151'</t>
  </si>
  <si>
    <t>'33152'</t>
  </si>
  <si>
    <t>'33153'</t>
  </si>
  <si>
    <t>'33211'</t>
  </si>
  <si>
    <t>'33420'</t>
  </si>
  <si>
    <t>'33320'</t>
  </si>
  <si>
    <t>'33326'</t>
  </si>
  <si>
    <t>'33327'</t>
  </si>
  <si>
    <t>'33274'</t>
  </si>
  <si>
    <t>'33278'</t>
  </si>
  <si>
    <t>'33193'</t>
  </si>
  <si>
    <t>'33170'</t>
  </si>
  <si>
    <t>'33171'</t>
  </si>
  <si>
    <t>'33172'</t>
  </si>
  <si>
    <t>'33173'</t>
  </si>
  <si>
    <t>'33174'</t>
  </si>
  <si>
    <t>'33175'</t>
  </si>
  <si>
    <t>'33652'</t>
  </si>
  <si>
    <t>'33470'</t>
  </si>
  <si>
    <t>'33185'</t>
  </si>
  <si>
    <t>'33186'</t>
  </si>
  <si>
    <t>'33187'</t>
  </si>
  <si>
    <t>'33125'</t>
  </si>
  <si>
    <t>'33450'</t>
  </si>
  <si>
    <t>'33452'</t>
  </si>
  <si>
    <t>'33213'</t>
  </si>
  <si>
    <t>'33620'</t>
  </si>
  <si>
    <t>'33504'</t>
  </si>
  <si>
    <t>'33506'</t>
  </si>
  <si>
    <t>'33515'</t>
  </si>
  <si>
    <t>'33310'</t>
  </si>
  <si>
    <t>'33840'</t>
  </si>
  <si>
    <t>'33127'</t>
  </si>
  <si>
    <t>'33166'</t>
  </si>
  <si>
    <t>'33700'</t>
  </si>
  <si>
    <t>'33701'</t>
  </si>
  <si>
    <t>'33702'</t>
  </si>
  <si>
    <t>'33703'</t>
  </si>
  <si>
    <t>'33704'</t>
  </si>
  <si>
    <t>'33705'</t>
  </si>
  <si>
    <t>'33706'</t>
  </si>
  <si>
    <t>'33707'</t>
  </si>
  <si>
    <t>'33708'</t>
  </si>
  <si>
    <t>'33580'</t>
  </si>
  <si>
    <t>'33600'</t>
  </si>
  <si>
    <t>'33601'</t>
  </si>
  <si>
    <t>'33602'</t>
  </si>
  <si>
    <t>'33603'</t>
  </si>
  <si>
    <t>'33604'</t>
  </si>
  <si>
    <t>'33605'</t>
  </si>
  <si>
    <t>'33606'</t>
  </si>
  <si>
    <t>'33607'</t>
  </si>
  <si>
    <t>'33608'</t>
  </si>
  <si>
    <t>'33609'</t>
  </si>
  <si>
    <t>'33615'</t>
  </si>
  <si>
    <t>'33192'</t>
  </si>
  <si>
    <t>'33160'</t>
  </si>
  <si>
    <t>'33167'</t>
  </si>
  <si>
    <t>'33561'</t>
  </si>
  <si>
    <t>'33165'</t>
  </si>
  <si>
    <t>'33720'</t>
  </si>
  <si>
    <t>'33400'</t>
  </si>
  <si>
    <t>'33401'</t>
  </si>
  <si>
    <t>'33402'</t>
  </si>
  <si>
    <t>'33403'</t>
  </si>
  <si>
    <t>'33404'</t>
  </si>
  <si>
    <t>'33405'</t>
  </si>
  <si>
    <t>'33115'</t>
  </si>
  <si>
    <t>'33164'</t>
  </si>
  <si>
    <t>'33260'</t>
  </si>
  <si>
    <t>'33870'</t>
  </si>
  <si>
    <t>'33140'</t>
  </si>
  <si>
    <t>'33881'</t>
  </si>
  <si>
    <t>'33882'</t>
  </si>
  <si>
    <t>'33883'</t>
  </si>
  <si>
    <t>'33884'</t>
  </si>
  <si>
    <t>'33885'</t>
  </si>
  <si>
    <t>'33886'</t>
  </si>
  <si>
    <t>'33887'</t>
  </si>
  <si>
    <t>SYNDICAT MIXTE DES TRANSPORTS EN COMMUN HERAULT</t>
  </si>
  <si>
    <t>'34290'</t>
  </si>
  <si>
    <t>COMMUNAUTE D'AGGLOMERATION HERAULT MEDITERRANNEE</t>
  </si>
  <si>
    <t>'34230'</t>
  </si>
  <si>
    <t>'34300'</t>
  </si>
  <si>
    <t>'34301'</t>
  </si>
  <si>
    <t>'34302'</t>
  </si>
  <si>
    <t>'34303'</t>
  </si>
  <si>
    <t>'34304'</t>
  </si>
  <si>
    <t>'34305'</t>
  </si>
  <si>
    <t>'34306'</t>
  </si>
  <si>
    <t>'34307'</t>
  </si>
  <si>
    <t>'34309'</t>
  </si>
  <si>
    <t>'34190'</t>
  </si>
  <si>
    <t>COMMUNAUTE D'AGGLOMERATION BEZIERS MEDITERRANEE</t>
  </si>
  <si>
    <t>'34150'</t>
  </si>
  <si>
    <t>'34380'</t>
  </si>
  <si>
    <t>'34820'</t>
  </si>
  <si>
    <t>'34530'</t>
  </si>
  <si>
    <t>'34480'</t>
  </si>
  <si>
    <t>MONTPELLIER MEDITERRANEE METROPOLE</t>
  </si>
  <si>
    <t>'34670'</t>
  </si>
  <si>
    <t>'34671'</t>
  </si>
  <si>
    <t>'34741'</t>
  </si>
  <si>
    <t>'34742'</t>
  </si>
  <si>
    <t>'34748'</t>
  </si>
  <si>
    <t>SETE AGGLOPOLE MEDITERRANEE</t>
  </si>
  <si>
    <t>'34113'</t>
  </si>
  <si>
    <t>'34434'</t>
  </si>
  <si>
    <t>'34540'</t>
  </si>
  <si>
    <t>'34160'</t>
  </si>
  <si>
    <t>'34550'</t>
  </si>
  <si>
    <t>'34500'</t>
  </si>
  <si>
    <t>'34501'</t>
  </si>
  <si>
    <t>'34502'</t>
  </si>
  <si>
    <t>'34503'</t>
  </si>
  <si>
    <t>'34504'</t>
  </si>
  <si>
    <t>'34505'</t>
  </si>
  <si>
    <t>'34506'</t>
  </si>
  <si>
    <t>'34507'</t>
  </si>
  <si>
    <t>'34508'</t>
  </si>
  <si>
    <t>'34513'</t>
  </si>
  <si>
    <t>'34514'</t>
  </si>
  <si>
    <t>'34515'</t>
  </si>
  <si>
    <t>'34516'</t>
  </si>
  <si>
    <t>'34517'</t>
  </si>
  <si>
    <t>'34518'</t>
  </si>
  <si>
    <t>'34521'</t>
  </si>
  <si>
    <t>'34522'</t>
  </si>
  <si>
    <t>'34523'</t>
  </si>
  <si>
    <t>'34524'</t>
  </si>
  <si>
    <t>'34525'</t>
  </si>
  <si>
    <t>'34526'</t>
  </si>
  <si>
    <t>'34529'</t>
  </si>
  <si>
    <t>'34534'</t>
  </si>
  <si>
    <t>'34535'</t>
  </si>
  <si>
    <t>'34536'</t>
  </si>
  <si>
    <t>'34537'</t>
  </si>
  <si>
    <t>'34543'</t>
  </si>
  <si>
    <t>'34544'</t>
  </si>
  <si>
    <t>'34545'</t>
  </si>
  <si>
    <t>'34564'</t>
  </si>
  <si>
    <t>'34760'</t>
  </si>
  <si>
    <t>'34761'</t>
  </si>
  <si>
    <t>'34140'</t>
  </si>
  <si>
    <t>'34800'</t>
  </si>
  <si>
    <t>COMMUNAUTE D'AGGLOMERATION DU PAYS DE L'OR</t>
  </si>
  <si>
    <t>'34130'</t>
  </si>
  <si>
    <t>'34131'</t>
  </si>
  <si>
    <t>'34310'</t>
  </si>
  <si>
    <t>'34120'</t>
  </si>
  <si>
    <t>'34170'</t>
  </si>
  <si>
    <t>'34171'</t>
  </si>
  <si>
    <t>'34172'</t>
  </si>
  <si>
    <t>'34173'</t>
  </si>
  <si>
    <t>'34174'</t>
  </si>
  <si>
    <t>'34175'</t>
  </si>
  <si>
    <t>'34178'</t>
  </si>
  <si>
    <t>'34490'</t>
  </si>
  <si>
    <t>'34720'</t>
  </si>
  <si>
    <t>'34460'</t>
  </si>
  <si>
    <t>'34270'</t>
  </si>
  <si>
    <t>'34370'</t>
  </si>
  <si>
    <t>'34360'</t>
  </si>
  <si>
    <t>'34420'</t>
  </si>
  <si>
    <t>'34092'</t>
  </si>
  <si>
    <t>'34830'</t>
  </si>
  <si>
    <t>'34440'</t>
  </si>
  <si>
    <t>'34980'</t>
  </si>
  <si>
    <t>'34983'</t>
  </si>
  <si>
    <t>'34433'</t>
  </si>
  <si>
    <t>'34660'</t>
  </si>
  <si>
    <t>'34071'</t>
  </si>
  <si>
    <t>'34435'</t>
  </si>
  <si>
    <t>'34920'</t>
  </si>
  <si>
    <t>'34690'</t>
  </si>
  <si>
    <t>'34510'</t>
  </si>
  <si>
    <t>'34110'</t>
  </si>
  <si>
    <t>'34111'</t>
  </si>
  <si>
    <t>'34112'</t>
  </si>
  <si>
    <t>'34115'</t>
  </si>
  <si>
    <t>'34117'</t>
  </si>
  <si>
    <t>'34118'</t>
  </si>
  <si>
    <t>'34203'</t>
  </si>
  <si>
    <t>'34770'</t>
  </si>
  <si>
    <t>'34099'</t>
  </si>
  <si>
    <t>'34184'</t>
  </si>
  <si>
    <t>'34790'</t>
  </si>
  <si>
    <t>'34985'</t>
  </si>
  <si>
    <t>'34987'</t>
  </si>
  <si>
    <t>'34988'</t>
  </si>
  <si>
    <t>'34725'</t>
  </si>
  <si>
    <t>'34990'</t>
  </si>
  <si>
    <t>'34132'</t>
  </si>
  <si>
    <t>'34133'</t>
  </si>
  <si>
    <t>'34134'</t>
  </si>
  <si>
    <t>'34072'</t>
  </si>
  <si>
    <t>'34073'</t>
  </si>
  <si>
    <t>'34078'</t>
  </si>
  <si>
    <t>'34473'</t>
  </si>
  <si>
    <t>'34477'</t>
  </si>
  <si>
    <t>'34871'</t>
  </si>
  <si>
    <t>'34872'</t>
  </si>
  <si>
    <t>'34873'</t>
  </si>
  <si>
    <t>'34874'</t>
  </si>
  <si>
    <t>'34875'</t>
  </si>
  <si>
    <t>'34970'</t>
  </si>
  <si>
    <t>'34973'</t>
  </si>
  <si>
    <t>'34974'</t>
  </si>
  <si>
    <t>'34975'</t>
  </si>
  <si>
    <t>'34977'</t>
  </si>
  <si>
    <t>'34880'</t>
  </si>
  <si>
    <t>'34710'</t>
  </si>
  <si>
    <t>'34400'</t>
  </si>
  <si>
    <t>'34401'</t>
  </si>
  <si>
    <t>'34402'</t>
  </si>
  <si>
    <t>'34403'</t>
  </si>
  <si>
    <t>'34404'</t>
  </si>
  <si>
    <t>'34320'</t>
  </si>
  <si>
    <t>'34340'</t>
  </si>
  <si>
    <t>'34590'</t>
  </si>
  <si>
    <t>'34135'</t>
  </si>
  <si>
    <t>'34137'</t>
  </si>
  <si>
    <t>'34138'</t>
  </si>
  <si>
    <t>'34280'</t>
  </si>
  <si>
    <t>'34114'</t>
  </si>
  <si>
    <t>'34570'</t>
  </si>
  <si>
    <t>'34560'</t>
  </si>
  <si>
    <t>'34397'</t>
  </si>
  <si>
    <t>'34984'</t>
  </si>
  <si>
    <t>'34000'</t>
  </si>
  <si>
    <t>'34001'</t>
  </si>
  <si>
    <t>'34002'</t>
  </si>
  <si>
    <t>'34003'</t>
  </si>
  <si>
    <t>'34004'</t>
  </si>
  <si>
    <t>'34006'</t>
  </si>
  <si>
    <t>'34007'</t>
  </si>
  <si>
    <t>'34008'</t>
  </si>
  <si>
    <t>'34009'</t>
  </si>
  <si>
    <t>'34010'</t>
  </si>
  <si>
    <t>'34011'</t>
  </si>
  <si>
    <t>'34012'</t>
  </si>
  <si>
    <t>'34014'</t>
  </si>
  <si>
    <t>'34015'</t>
  </si>
  <si>
    <t>'34023'</t>
  </si>
  <si>
    <t>'34024'</t>
  </si>
  <si>
    <t>'34025'</t>
  </si>
  <si>
    <t>'34026'</t>
  </si>
  <si>
    <t>'34027'</t>
  </si>
  <si>
    <t>'34028'</t>
  </si>
  <si>
    <t>'34030'</t>
  </si>
  <si>
    <t>'34032'</t>
  </si>
  <si>
    <t>'34033'</t>
  </si>
  <si>
    <t>'34034'</t>
  </si>
  <si>
    <t>'34035'</t>
  </si>
  <si>
    <t>'34037'</t>
  </si>
  <si>
    <t>'34038'</t>
  </si>
  <si>
    <t>'34039'</t>
  </si>
  <si>
    <t>'34040'</t>
  </si>
  <si>
    <t>'34041'</t>
  </si>
  <si>
    <t>'34042'</t>
  </si>
  <si>
    <t>'34043'</t>
  </si>
  <si>
    <t>'34045'</t>
  </si>
  <si>
    <t>'34046'</t>
  </si>
  <si>
    <t>'34048'</t>
  </si>
  <si>
    <t>'34049'</t>
  </si>
  <si>
    <t>'34054'</t>
  </si>
  <si>
    <t>'34055'</t>
  </si>
  <si>
    <t>'34056'</t>
  </si>
  <si>
    <t>'34058'</t>
  </si>
  <si>
    <t>'34060'</t>
  </si>
  <si>
    <t>'34061'</t>
  </si>
  <si>
    <t>'34062'</t>
  </si>
  <si>
    <t>'34063'</t>
  </si>
  <si>
    <t>'34064'</t>
  </si>
  <si>
    <t>'34065'</t>
  </si>
  <si>
    <t>'34067'</t>
  </si>
  <si>
    <t>'34068'</t>
  </si>
  <si>
    <t>'34070'</t>
  </si>
  <si>
    <t>'34074'</t>
  </si>
  <si>
    <t>'34075'</t>
  </si>
  <si>
    <t>'34076'</t>
  </si>
  <si>
    <t>'34077'</t>
  </si>
  <si>
    <t>'34080'</t>
  </si>
  <si>
    <t>'34082'</t>
  </si>
  <si>
    <t>'34083'</t>
  </si>
  <si>
    <t>'34084'</t>
  </si>
  <si>
    <t>'34085'</t>
  </si>
  <si>
    <t>'34086'</t>
  </si>
  <si>
    <t>'34087'</t>
  </si>
  <si>
    <t>'34088'</t>
  </si>
  <si>
    <t>'34090'</t>
  </si>
  <si>
    <t>'34091'</t>
  </si>
  <si>
    <t>'34093'</t>
  </si>
  <si>
    <t>'34094'</t>
  </si>
  <si>
    <t>'34095'</t>
  </si>
  <si>
    <t>'34096'</t>
  </si>
  <si>
    <t>'34097'</t>
  </si>
  <si>
    <t>'34098'</t>
  </si>
  <si>
    <t>'34181'</t>
  </si>
  <si>
    <t>'34183'</t>
  </si>
  <si>
    <t>'34185'</t>
  </si>
  <si>
    <t>'34186'</t>
  </si>
  <si>
    <t>'34187'</t>
  </si>
  <si>
    <t>'34193'</t>
  </si>
  <si>
    <t>'34194'</t>
  </si>
  <si>
    <t>'34195'</t>
  </si>
  <si>
    <t>'34196'</t>
  </si>
  <si>
    <t>'34197'</t>
  </si>
  <si>
    <t>'34198'</t>
  </si>
  <si>
    <t>'34199'</t>
  </si>
  <si>
    <t>'34261'</t>
  </si>
  <si>
    <t>'34262'</t>
  </si>
  <si>
    <t>'34263'</t>
  </si>
  <si>
    <t>'34264'</t>
  </si>
  <si>
    <t>'34265'</t>
  </si>
  <si>
    <t>'34266'</t>
  </si>
  <si>
    <t>'34267'</t>
  </si>
  <si>
    <t>'34273'</t>
  </si>
  <si>
    <t>'34293'</t>
  </si>
  <si>
    <t>'34294'</t>
  </si>
  <si>
    <t>'34295'</t>
  </si>
  <si>
    <t>'34296'</t>
  </si>
  <si>
    <t>'34298'</t>
  </si>
  <si>
    <t>'34391'</t>
  </si>
  <si>
    <t>'34394'</t>
  </si>
  <si>
    <t>'34396'</t>
  </si>
  <si>
    <t>'34398'</t>
  </si>
  <si>
    <t>'34431'</t>
  </si>
  <si>
    <t>'34900'</t>
  </si>
  <si>
    <t>'34926'</t>
  </si>
  <si>
    <t>'34933'</t>
  </si>
  <si>
    <t>'34934'</t>
  </si>
  <si>
    <t>'34935'</t>
  </si>
  <si>
    <t>'34937'</t>
  </si>
  <si>
    <t>'34938'</t>
  </si>
  <si>
    <t>'34943'</t>
  </si>
  <si>
    <t>'34954'</t>
  </si>
  <si>
    <t>'34955'</t>
  </si>
  <si>
    <t>'34956'</t>
  </si>
  <si>
    <t>'34957'</t>
  </si>
  <si>
    <t>'34959'</t>
  </si>
  <si>
    <t>'34960'</t>
  </si>
  <si>
    <t>'34961'</t>
  </si>
  <si>
    <t>'34964'</t>
  </si>
  <si>
    <t>'34965'</t>
  </si>
  <si>
    <t>'34967'</t>
  </si>
  <si>
    <t>'34981'</t>
  </si>
  <si>
    <t>'34250'</t>
  </si>
  <si>
    <t>'34470'</t>
  </si>
  <si>
    <t>'34479'</t>
  </si>
  <si>
    <t>'34850'</t>
  </si>
  <si>
    <t>'34810'</t>
  </si>
  <si>
    <t>'34450'</t>
  </si>
  <si>
    <t>'34730'</t>
  </si>
  <si>
    <t>'34620'</t>
  </si>
  <si>
    <t>'34136'</t>
  </si>
  <si>
    <t>'34986'</t>
  </si>
  <si>
    <t>'34982'</t>
  </si>
  <si>
    <t>'34680'</t>
  </si>
  <si>
    <t>'34932'</t>
  </si>
  <si>
    <t>'34430'</t>
  </si>
  <si>
    <t>'34438'</t>
  </si>
  <si>
    <t>'34925'</t>
  </si>
  <si>
    <t>'34630'</t>
  </si>
  <si>
    <t>'34410'</t>
  </si>
  <si>
    <t>'34200'</t>
  </si>
  <si>
    <t>'34201'</t>
  </si>
  <si>
    <t>'34202'</t>
  </si>
  <si>
    <t>'34204'</t>
  </si>
  <si>
    <t>'34207'</t>
  </si>
  <si>
    <t>'34350'</t>
  </si>
  <si>
    <t>'34740'</t>
  </si>
  <si>
    <t>'34747'</t>
  </si>
  <si>
    <t>'34116'</t>
  </si>
  <si>
    <t>'34750'</t>
  </si>
  <si>
    <t>'34751'</t>
  </si>
  <si>
    <t>'34753'</t>
  </si>
  <si>
    <t>RENNES-METROPOLE</t>
  </si>
  <si>
    <t>'35538'</t>
  </si>
  <si>
    <t>'35690'</t>
  </si>
  <si>
    <t>COMMUNAUTE D'AGGLOMERATION FOUGERES AGGLOMERATION</t>
  </si>
  <si>
    <t>'35420'</t>
  </si>
  <si>
    <t>'35133'</t>
  </si>
  <si>
    <t>'35302'</t>
  </si>
  <si>
    <t>'35303'</t>
  </si>
  <si>
    <t>'35190'</t>
  </si>
  <si>
    <t>'35522'</t>
  </si>
  <si>
    <t>'35762'</t>
  </si>
  <si>
    <t>'35763'</t>
  </si>
  <si>
    <t>'35766'</t>
  </si>
  <si>
    <t>'35768'</t>
  </si>
  <si>
    <t>'35830'</t>
  </si>
  <si>
    <t>'35831'</t>
  </si>
  <si>
    <t>COMMUNAUTE DE COMMUNES LIFFRE-CORMIER COMMUNAUTE</t>
  </si>
  <si>
    <t>'35340'</t>
  </si>
  <si>
    <t>'35230'</t>
  </si>
  <si>
    <t>'35530'</t>
  </si>
  <si>
    <t>'35532'</t>
  </si>
  <si>
    <t>'35533'</t>
  </si>
  <si>
    <t>'35027'</t>
  </si>
  <si>
    <t>'35091'</t>
  </si>
  <si>
    <t>'35092'</t>
  </si>
  <si>
    <t>'35170'</t>
  </si>
  <si>
    <t>'35171'</t>
  </si>
  <si>
    <t>'35172'</t>
  </si>
  <si>
    <t>'35174'</t>
  </si>
  <si>
    <t>'35175'</t>
  </si>
  <si>
    <t>COMMUNAUTE D'AGGLOMERATION DE SAINT MALO</t>
  </si>
  <si>
    <t>'35260'</t>
  </si>
  <si>
    <t>'35046'</t>
  </si>
  <si>
    <t>'35510'</t>
  </si>
  <si>
    <t>'35511'</t>
  </si>
  <si>
    <t>'35512'</t>
  </si>
  <si>
    <t>'35513'</t>
  </si>
  <si>
    <t>'35514'</t>
  </si>
  <si>
    <t>'35515'</t>
  </si>
  <si>
    <t>'35516'</t>
  </si>
  <si>
    <t>'35517'</t>
  </si>
  <si>
    <t>'35518'</t>
  </si>
  <si>
    <t>'35576'</t>
  </si>
  <si>
    <t>'35577'</t>
  </si>
  <si>
    <t>'35913'</t>
  </si>
  <si>
    <t>'35917'</t>
  </si>
  <si>
    <t>'35051'</t>
  </si>
  <si>
    <t>'35067'</t>
  </si>
  <si>
    <t>'35135'</t>
  </si>
  <si>
    <t>'35571'</t>
  </si>
  <si>
    <t>'35572'</t>
  </si>
  <si>
    <t>'35573'</t>
  </si>
  <si>
    <t>'35574'</t>
  </si>
  <si>
    <t>'35914'</t>
  </si>
  <si>
    <t>'35630'</t>
  </si>
  <si>
    <t>'35520'</t>
  </si>
  <si>
    <t>'35767'</t>
  </si>
  <si>
    <t>'35301'</t>
  </si>
  <si>
    <t>'35140'</t>
  </si>
  <si>
    <t>'35590'</t>
  </si>
  <si>
    <t>'35131'</t>
  </si>
  <si>
    <t>'35176'</t>
  </si>
  <si>
    <t>'35177'</t>
  </si>
  <si>
    <t>'35250'</t>
  </si>
  <si>
    <t>'35341'</t>
  </si>
  <si>
    <t>'35430'</t>
  </si>
  <si>
    <t>'35310'</t>
  </si>
  <si>
    <t>'35210'</t>
  </si>
  <si>
    <t>'35150'</t>
  </si>
  <si>
    <t>'35450'</t>
  </si>
  <si>
    <t>'35300'</t>
  </si>
  <si>
    <t>'35304'</t>
  </si>
  <si>
    <t>'35305'</t>
  </si>
  <si>
    <t>'35306'</t>
  </si>
  <si>
    <t>'35111'</t>
  </si>
  <si>
    <t>'35850'</t>
  </si>
  <si>
    <t>'35350'</t>
  </si>
  <si>
    <t>'35120'</t>
  </si>
  <si>
    <t>'35890'</t>
  </si>
  <si>
    <t>'35342'</t>
  </si>
  <si>
    <t>'35345'</t>
  </si>
  <si>
    <t>'35540'</t>
  </si>
  <si>
    <t>'35760'</t>
  </si>
  <si>
    <t>'35761'</t>
  </si>
  <si>
    <t>'35764'</t>
  </si>
  <si>
    <t>'35090'</t>
  </si>
  <si>
    <t>'35904'</t>
  </si>
  <si>
    <t>'35410'</t>
  </si>
  <si>
    <t>'35093'</t>
  </si>
  <si>
    <t>'35201'</t>
  </si>
  <si>
    <t>'35903'</t>
  </si>
  <si>
    <t>'35740'</t>
  </si>
  <si>
    <t>'35741'</t>
  </si>
  <si>
    <t>'35742'</t>
  </si>
  <si>
    <t>'35743'</t>
  </si>
  <si>
    <t>'35000'</t>
  </si>
  <si>
    <t>'35002'</t>
  </si>
  <si>
    <t>'35004'</t>
  </si>
  <si>
    <t>'35005'</t>
  </si>
  <si>
    <t>'35006'</t>
  </si>
  <si>
    <t>'35007'</t>
  </si>
  <si>
    <t>'35008'</t>
  </si>
  <si>
    <t>'35009'</t>
  </si>
  <si>
    <t>'35010'</t>
  </si>
  <si>
    <t>'35011'</t>
  </si>
  <si>
    <t>'35012'</t>
  </si>
  <si>
    <t>'35016'</t>
  </si>
  <si>
    <t>'35018'</t>
  </si>
  <si>
    <t>'35020'</t>
  </si>
  <si>
    <t>'35021'</t>
  </si>
  <si>
    <t>'35022'</t>
  </si>
  <si>
    <t>'35023'</t>
  </si>
  <si>
    <t>'35024'</t>
  </si>
  <si>
    <t>'35026'</t>
  </si>
  <si>
    <t>'35028'</t>
  </si>
  <si>
    <t>'35029'</t>
  </si>
  <si>
    <t>'35031'</t>
  </si>
  <si>
    <t>'35032'</t>
  </si>
  <si>
    <t>'35033'</t>
  </si>
  <si>
    <t>'35034'</t>
  </si>
  <si>
    <t>'35035'</t>
  </si>
  <si>
    <t>'35039'</t>
  </si>
  <si>
    <t>'35040'</t>
  </si>
  <si>
    <t>'35042'</t>
  </si>
  <si>
    <t>'35043'</t>
  </si>
  <si>
    <t>'35044'</t>
  </si>
  <si>
    <t>'35047'</t>
  </si>
  <si>
    <t>'35050'</t>
  </si>
  <si>
    <t>'35052'</t>
  </si>
  <si>
    <t>'35053'</t>
  </si>
  <si>
    <t>'35054'</t>
  </si>
  <si>
    <t>'35055'</t>
  </si>
  <si>
    <t>'35063'</t>
  </si>
  <si>
    <t>'35064'</t>
  </si>
  <si>
    <t>'35065'</t>
  </si>
  <si>
    <t>'35066'</t>
  </si>
  <si>
    <t>'35069'</t>
  </si>
  <si>
    <t>'35073'</t>
  </si>
  <si>
    <t>'35081'</t>
  </si>
  <si>
    <t>'35083'</t>
  </si>
  <si>
    <t>'35089'</t>
  </si>
  <si>
    <t>'35094'</t>
  </si>
  <si>
    <t>'35101'</t>
  </si>
  <si>
    <t>'35102'</t>
  </si>
  <si>
    <t>'35103'</t>
  </si>
  <si>
    <t>'35104'</t>
  </si>
  <si>
    <t>'35105'</t>
  </si>
  <si>
    <t>'35106'</t>
  </si>
  <si>
    <t>'35108'</t>
  </si>
  <si>
    <t>'35200'</t>
  </si>
  <si>
    <t>'35202'</t>
  </si>
  <si>
    <t>'35203'</t>
  </si>
  <si>
    <t>'35204'</t>
  </si>
  <si>
    <t>'35205'</t>
  </si>
  <si>
    <t>'35207'</t>
  </si>
  <si>
    <t>'35208'</t>
  </si>
  <si>
    <t>'35700'</t>
  </si>
  <si>
    <t>'35701'</t>
  </si>
  <si>
    <t>'35702'</t>
  </si>
  <si>
    <t>'35703'</t>
  </si>
  <si>
    <t>'35704'</t>
  </si>
  <si>
    <t>'35705'</t>
  </si>
  <si>
    <t>'35706'</t>
  </si>
  <si>
    <t>'35708'</t>
  </si>
  <si>
    <t>'35711'</t>
  </si>
  <si>
    <t>'35900'</t>
  </si>
  <si>
    <t>'35907'</t>
  </si>
  <si>
    <t>'35908'</t>
  </si>
  <si>
    <t>'35911'</t>
  </si>
  <si>
    <t>'35919'</t>
  </si>
  <si>
    <t>'35920'</t>
  </si>
  <si>
    <t>'35921'</t>
  </si>
  <si>
    <t>'35998'</t>
  </si>
  <si>
    <t>'35650'</t>
  </si>
  <si>
    <t>'35651'</t>
  </si>
  <si>
    <t>'35652'</t>
  </si>
  <si>
    <t>'35653'</t>
  </si>
  <si>
    <t>'35114'</t>
  </si>
  <si>
    <t>'35769'</t>
  </si>
  <si>
    <t>'35088'</t>
  </si>
  <si>
    <t>'35099'</t>
  </si>
  <si>
    <t>'35136'</t>
  </si>
  <si>
    <t>'35909'</t>
  </si>
  <si>
    <t>'35432'</t>
  </si>
  <si>
    <t>'35400'</t>
  </si>
  <si>
    <t>'35401'</t>
  </si>
  <si>
    <t>'35402'</t>
  </si>
  <si>
    <t>'35403'</t>
  </si>
  <si>
    <t>'35404'</t>
  </si>
  <si>
    <t>'35405'</t>
  </si>
  <si>
    <t>'35406'</t>
  </si>
  <si>
    <t>'35407'</t>
  </si>
  <si>
    <t>'35408'</t>
  </si>
  <si>
    <t>'35409'</t>
  </si>
  <si>
    <t>'35414'</t>
  </si>
  <si>
    <t>'35415'</t>
  </si>
  <si>
    <t>'35417'</t>
  </si>
  <si>
    <t>'35418'</t>
  </si>
  <si>
    <t>'35419'</t>
  </si>
  <si>
    <t>'35803'</t>
  </si>
  <si>
    <t>'35235'</t>
  </si>
  <si>
    <t>'35236'</t>
  </si>
  <si>
    <t>'35160'</t>
  </si>
  <si>
    <t>'35070'</t>
  </si>
  <si>
    <t>'35770'</t>
  </si>
  <si>
    <t>'35771'</t>
  </si>
  <si>
    <t>'35772'</t>
  </si>
  <si>
    <t>'35132'</t>
  </si>
  <si>
    <t>'35746'</t>
  </si>
  <si>
    <t>COMMUNAUTE D'AGGLOMERATION CASTELROUSSINE</t>
  </si>
  <si>
    <t>'36120'</t>
  </si>
  <si>
    <t>'36330'</t>
  </si>
  <si>
    <t>'36000'</t>
  </si>
  <si>
    <t>'36001'</t>
  </si>
  <si>
    <t>'36002'</t>
  </si>
  <si>
    <t>'36003'</t>
  </si>
  <si>
    <t>'36004'</t>
  </si>
  <si>
    <t>'36005'</t>
  </si>
  <si>
    <t>'36006'</t>
  </si>
  <si>
    <t>'36007'</t>
  </si>
  <si>
    <t>'36008'</t>
  </si>
  <si>
    <t>'36009'</t>
  </si>
  <si>
    <t>'36012'</t>
  </si>
  <si>
    <t>'36014'</t>
  </si>
  <si>
    <t>'36016'</t>
  </si>
  <si>
    <t>'36017'</t>
  </si>
  <si>
    <t>'36018'</t>
  </si>
  <si>
    <t>'36019'</t>
  </si>
  <si>
    <t>'36020'</t>
  </si>
  <si>
    <t>'36021'</t>
  </si>
  <si>
    <t>'36022'</t>
  </si>
  <si>
    <t>'36023'</t>
  </si>
  <si>
    <t>'36024'</t>
  </si>
  <si>
    <t>'36025'</t>
  </si>
  <si>
    <t>'36026'</t>
  </si>
  <si>
    <t>'36027'</t>
  </si>
  <si>
    <t>'36028'</t>
  </si>
  <si>
    <t>'36130'</t>
  </si>
  <si>
    <t>'36131'</t>
  </si>
  <si>
    <t>'36350'</t>
  </si>
  <si>
    <t>'36250'</t>
  </si>
  <si>
    <t>'36255'</t>
  </si>
  <si>
    <t>SYNDICAT DES MOBILITES DE TOURAINE</t>
  </si>
  <si>
    <t>'37304'</t>
  </si>
  <si>
    <t>'37305'</t>
  </si>
  <si>
    <t>'37510'</t>
  </si>
  <si>
    <t>'37170'</t>
  </si>
  <si>
    <t>'37171'</t>
  </si>
  <si>
    <t>'37172'</t>
  </si>
  <si>
    <t>'37173'</t>
  </si>
  <si>
    <t>'37174'</t>
  </si>
  <si>
    <t>'37175'</t>
  </si>
  <si>
    <t>'37176'</t>
  </si>
  <si>
    <t>'37911'</t>
  </si>
  <si>
    <t>'37390'</t>
  </si>
  <si>
    <t>'37190'</t>
  </si>
  <si>
    <t>'37230'</t>
  </si>
  <si>
    <t>'37300'</t>
  </si>
  <si>
    <t>'37301'</t>
  </si>
  <si>
    <t>'37302'</t>
  </si>
  <si>
    <t>'37303'</t>
  </si>
  <si>
    <t>'37306'</t>
  </si>
  <si>
    <t>'37203'</t>
  </si>
  <si>
    <t>'37074'</t>
  </si>
  <si>
    <t>'37071'</t>
  </si>
  <si>
    <t>'37072'</t>
  </si>
  <si>
    <t>'37075'</t>
  </si>
  <si>
    <t>'37097'</t>
  </si>
  <si>
    <t>'37541'</t>
  </si>
  <si>
    <t>'37073'</t>
  </si>
  <si>
    <t>'37079'</t>
  </si>
  <si>
    <t>'37082'</t>
  </si>
  <si>
    <t>'37096'</t>
  </si>
  <si>
    <t>'37210'</t>
  </si>
  <si>
    <t>'37204'</t>
  </si>
  <si>
    <t>'37205'</t>
  </si>
  <si>
    <t>'37206'</t>
  </si>
  <si>
    <t>'37520'</t>
  </si>
  <si>
    <t>'37521'</t>
  </si>
  <si>
    <t>'37550'</t>
  </si>
  <si>
    <t>'37551'</t>
  </si>
  <si>
    <t>'37552'</t>
  </si>
  <si>
    <t>'37553'</t>
  </si>
  <si>
    <t>'37554'</t>
  </si>
  <si>
    <t>'37555'</t>
  </si>
  <si>
    <t>'37556'</t>
  </si>
  <si>
    <t>'37558'</t>
  </si>
  <si>
    <t>'37540'</t>
  </si>
  <si>
    <t>'37542'</t>
  </si>
  <si>
    <t>'37002'</t>
  </si>
  <si>
    <t>'37700'</t>
  </si>
  <si>
    <t>'37701'</t>
  </si>
  <si>
    <t>'37702'</t>
  </si>
  <si>
    <t>'37703'</t>
  </si>
  <si>
    <t>'37705'</t>
  </si>
  <si>
    <t>'37000'</t>
  </si>
  <si>
    <t>'37008'</t>
  </si>
  <si>
    <t>'37009'</t>
  </si>
  <si>
    <t>'37010'</t>
  </si>
  <si>
    <t>'37011'</t>
  </si>
  <si>
    <t>'37012'</t>
  </si>
  <si>
    <t>'37013'</t>
  </si>
  <si>
    <t>'37014'</t>
  </si>
  <si>
    <t>'37015'</t>
  </si>
  <si>
    <t>'37016'</t>
  </si>
  <si>
    <t>'37017'</t>
  </si>
  <si>
    <t>'37018'</t>
  </si>
  <si>
    <t>'37019'</t>
  </si>
  <si>
    <t>'37020'</t>
  </si>
  <si>
    <t>'37025'</t>
  </si>
  <si>
    <t>'37026'</t>
  </si>
  <si>
    <t>'37027'</t>
  </si>
  <si>
    <t>'37028'</t>
  </si>
  <si>
    <t>'37029'</t>
  </si>
  <si>
    <t>'37032'</t>
  </si>
  <si>
    <t>'37033'</t>
  </si>
  <si>
    <t>'37034'</t>
  </si>
  <si>
    <t>'37035'</t>
  </si>
  <si>
    <t>'37038'</t>
  </si>
  <si>
    <t>'37041'</t>
  </si>
  <si>
    <t>'37042'</t>
  </si>
  <si>
    <t>'37043'</t>
  </si>
  <si>
    <t>'37044'</t>
  </si>
  <si>
    <t>'37045'</t>
  </si>
  <si>
    <t>'37047'</t>
  </si>
  <si>
    <t>'37048'</t>
  </si>
  <si>
    <t>'37058'</t>
  </si>
  <si>
    <t>'37059'</t>
  </si>
  <si>
    <t>'37060'</t>
  </si>
  <si>
    <t>'37076'</t>
  </si>
  <si>
    <t>'37077'</t>
  </si>
  <si>
    <t>'37078'</t>
  </si>
  <si>
    <t>'37080'</t>
  </si>
  <si>
    <t>'37081'</t>
  </si>
  <si>
    <t>'37095'</t>
  </si>
  <si>
    <t>'37098'</t>
  </si>
  <si>
    <t>'37099'</t>
  </si>
  <si>
    <t>'37100'</t>
  </si>
  <si>
    <t>'37200'</t>
  </si>
  <si>
    <t>'37207'</t>
  </si>
  <si>
    <t>'37912'</t>
  </si>
  <si>
    <t>'37917'</t>
  </si>
  <si>
    <t>'37921'</t>
  </si>
  <si>
    <t>'37922'</t>
  </si>
  <si>
    <t>'37924'</t>
  </si>
  <si>
    <t>'37925'</t>
  </si>
  <si>
    <t>'37926'</t>
  </si>
  <si>
    <t>'37927'</t>
  </si>
  <si>
    <t>'37928'</t>
  </si>
  <si>
    <t>'37931'</t>
  </si>
  <si>
    <t>'37941'</t>
  </si>
  <si>
    <t>'37942'</t>
  </si>
  <si>
    <t>SMM AIRE GRENOBLOISE</t>
  </si>
  <si>
    <t>'38190'</t>
  </si>
  <si>
    <t>'38191'</t>
  </si>
  <si>
    <t>'38580'</t>
  </si>
  <si>
    <t>'38530'</t>
  </si>
  <si>
    <t>'38926'</t>
  </si>
  <si>
    <t>COMMUNAUTE D'AGGLOMERATION DU PAYS VOIRONNAIS</t>
  </si>
  <si>
    <t>'38850'</t>
  </si>
  <si>
    <t>'38330'</t>
  </si>
  <si>
    <t>'38331'</t>
  </si>
  <si>
    <t>COMMUNAUTE D'AGGLOMERATION PORTE DE L'ISERE</t>
  </si>
  <si>
    <t>'38300'</t>
  </si>
  <si>
    <t>'38301'</t>
  </si>
  <si>
    <t>'38302'</t>
  </si>
  <si>
    <t>'38303'</t>
  </si>
  <si>
    <t>'38304'</t>
  </si>
  <si>
    <t>'38305'</t>
  </si>
  <si>
    <t>'38307'</t>
  </si>
  <si>
    <t>'38320'</t>
  </si>
  <si>
    <t>'38322'</t>
  </si>
  <si>
    <t>'38326'</t>
  </si>
  <si>
    <t>'38500'</t>
  </si>
  <si>
    <t>'38504'</t>
  </si>
  <si>
    <t>'38516'</t>
  </si>
  <si>
    <t>'38800'</t>
  </si>
  <si>
    <t>'38802'</t>
  </si>
  <si>
    <t>'38803'</t>
  </si>
  <si>
    <t>'38560'</t>
  </si>
  <si>
    <t>'38490'</t>
  </si>
  <si>
    <t>'38140'</t>
  </si>
  <si>
    <t>'38146'</t>
  </si>
  <si>
    <t>CA VIENNE CONDRIEU AGGLOMERATION</t>
  </si>
  <si>
    <t>'38670'</t>
  </si>
  <si>
    <t>'38570'</t>
  </si>
  <si>
    <t>'38121'</t>
  </si>
  <si>
    <t>'38208'</t>
  </si>
  <si>
    <t>'38200'</t>
  </si>
  <si>
    <t>'38640'</t>
  </si>
  <si>
    <t>'38700'</t>
  </si>
  <si>
    <t>'38138'</t>
  </si>
  <si>
    <t>'38501'</t>
  </si>
  <si>
    <t>'38503'</t>
  </si>
  <si>
    <t>'38507'</t>
  </si>
  <si>
    <t>'38509'</t>
  </si>
  <si>
    <t>'38920'</t>
  </si>
  <si>
    <t>'38921'</t>
  </si>
  <si>
    <t>'38927'</t>
  </si>
  <si>
    <t>'38420'</t>
  </si>
  <si>
    <t>'38130'</t>
  </si>
  <si>
    <t>'38431'</t>
  </si>
  <si>
    <t>'38432'</t>
  </si>
  <si>
    <t>'38433'</t>
  </si>
  <si>
    <t>'38434'</t>
  </si>
  <si>
    <t>'38435'</t>
  </si>
  <si>
    <t>'38436'</t>
  </si>
  <si>
    <t>'38780'</t>
  </si>
  <si>
    <t>'38781'</t>
  </si>
  <si>
    <t>'38783'</t>
  </si>
  <si>
    <t>'38321'</t>
  </si>
  <si>
    <t>'38327'</t>
  </si>
  <si>
    <t>'38600'</t>
  </si>
  <si>
    <t>'38601'</t>
  </si>
  <si>
    <t>'38602'</t>
  </si>
  <si>
    <t>'38603'</t>
  </si>
  <si>
    <t>'38120'</t>
  </si>
  <si>
    <t>'38521'</t>
  </si>
  <si>
    <t>'38522'</t>
  </si>
  <si>
    <t>'38523'</t>
  </si>
  <si>
    <t>'38524'</t>
  </si>
  <si>
    <t>'38080'</t>
  </si>
  <si>
    <t>'38196'</t>
  </si>
  <si>
    <t>'38011'</t>
  </si>
  <si>
    <t>'38401'</t>
  </si>
  <si>
    <t>'38403'</t>
  </si>
  <si>
    <t>'38610'</t>
  </si>
  <si>
    <t>'38000'</t>
  </si>
  <si>
    <t>'38001'</t>
  </si>
  <si>
    <t>'38002'</t>
  </si>
  <si>
    <t>'38003'</t>
  </si>
  <si>
    <t>'38004'</t>
  </si>
  <si>
    <t>'38005'</t>
  </si>
  <si>
    <t>'38006'</t>
  </si>
  <si>
    <t>'38007'</t>
  </si>
  <si>
    <t>'38008'</t>
  </si>
  <si>
    <t>'38009'</t>
  </si>
  <si>
    <t>'38010'</t>
  </si>
  <si>
    <t>'38013'</t>
  </si>
  <si>
    <t>'38014'</t>
  </si>
  <si>
    <t>'38015'</t>
  </si>
  <si>
    <t>'38016'</t>
  </si>
  <si>
    <t>'38017'</t>
  </si>
  <si>
    <t>'38018'</t>
  </si>
  <si>
    <t>'38019'</t>
  </si>
  <si>
    <t>'38021'</t>
  </si>
  <si>
    <t>'38022'</t>
  </si>
  <si>
    <t>'38023'</t>
  </si>
  <si>
    <t>'38024'</t>
  </si>
  <si>
    <t>'38025'</t>
  </si>
  <si>
    <t>'38026'</t>
  </si>
  <si>
    <t>'38027'</t>
  </si>
  <si>
    <t>'38028'</t>
  </si>
  <si>
    <t>'38029'</t>
  </si>
  <si>
    <t>'38030'</t>
  </si>
  <si>
    <t>'38031'</t>
  </si>
  <si>
    <t>'38032'</t>
  </si>
  <si>
    <t>'38033'</t>
  </si>
  <si>
    <t>'38034'</t>
  </si>
  <si>
    <t>'38035'</t>
  </si>
  <si>
    <t>'38036'</t>
  </si>
  <si>
    <t>'38037'</t>
  </si>
  <si>
    <t>'38040'</t>
  </si>
  <si>
    <t>'38041'</t>
  </si>
  <si>
    <t>'38042'</t>
  </si>
  <si>
    <t>'38043'</t>
  </si>
  <si>
    <t>'38044'</t>
  </si>
  <si>
    <t>'38045'</t>
  </si>
  <si>
    <t>'38046'</t>
  </si>
  <si>
    <t>'38047'</t>
  </si>
  <si>
    <t>'38048'</t>
  </si>
  <si>
    <t>'38051'</t>
  </si>
  <si>
    <t>'38052'</t>
  </si>
  <si>
    <t>'38054'</t>
  </si>
  <si>
    <t>'38061'</t>
  </si>
  <si>
    <t>'38065'</t>
  </si>
  <si>
    <t>'38067'</t>
  </si>
  <si>
    <t>'38069'</t>
  </si>
  <si>
    <t>'38100'</t>
  </si>
  <si>
    <t>'38816'</t>
  </si>
  <si>
    <t>'38900'</t>
  </si>
  <si>
    <t>'38450'</t>
  </si>
  <si>
    <t>'38081'</t>
  </si>
  <si>
    <t>'38201'</t>
  </si>
  <si>
    <t>'38203'</t>
  </si>
  <si>
    <t>'38660'</t>
  </si>
  <si>
    <t>'38620'</t>
  </si>
  <si>
    <t>'38240'</t>
  </si>
  <si>
    <t>'38241'</t>
  </si>
  <si>
    <t>'38242'</t>
  </si>
  <si>
    <t>'38243'</t>
  </si>
  <si>
    <t>'38244'</t>
  </si>
  <si>
    <t>'38246'</t>
  </si>
  <si>
    <t>'38249'</t>
  </si>
  <si>
    <t>'38440'</t>
  </si>
  <si>
    <t>'38430'</t>
  </si>
  <si>
    <t>'38220'</t>
  </si>
  <si>
    <t>'38147'</t>
  </si>
  <si>
    <t>'38306'</t>
  </si>
  <si>
    <t>'38360'</t>
  </si>
  <si>
    <t>'38361'</t>
  </si>
  <si>
    <t>'38730'</t>
  </si>
  <si>
    <t>'38340'</t>
  </si>
  <si>
    <t>'38801'</t>
  </si>
  <si>
    <t>'38950'</t>
  </si>
  <si>
    <t>'38204'</t>
  </si>
  <si>
    <t>'38148'</t>
  </si>
  <si>
    <t>'38960'</t>
  </si>
  <si>
    <t>'38511'</t>
  </si>
  <si>
    <t>'38526'</t>
  </si>
  <si>
    <t>'38332'</t>
  </si>
  <si>
    <t>'38334'</t>
  </si>
  <si>
    <t>'38134'</t>
  </si>
  <si>
    <t>'38400'</t>
  </si>
  <si>
    <t>'38402'</t>
  </si>
  <si>
    <t>'38404'</t>
  </si>
  <si>
    <t>'38405'</t>
  </si>
  <si>
    <t>'38407'</t>
  </si>
  <si>
    <t>'38410'</t>
  </si>
  <si>
    <t>'38760'</t>
  </si>
  <si>
    <t>'38830'</t>
  </si>
  <si>
    <t>'38070'</t>
  </si>
  <si>
    <t>'38074'</t>
  </si>
  <si>
    <t>'38077'</t>
  </si>
  <si>
    <t>'38094'</t>
  </si>
  <si>
    <t>'38291'</t>
  </si>
  <si>
    <t>'38295'</t>
  </si>
  <si>
    <t>'38296'</t>
  </si>
  <si>
    <t>'38297'</t>
  </si>
  <si>
    <t>'38290'</t>
  </si>
  <si>
    <t>'38170'</t>
  </si>
  <si>
    <t>'38171'</t>
  </si>
  <si>
    <t>'38172'</t>
  </si>
  <si>
    <t>'38173'</t>
  </si>
  <si>
    <t>'38174'</t>
  </si>
  <si>
    <t>'38176'</t>
  </si>
  <si>
    <t>'38180'</t>
  </si>
  <si>
    <t>'38216'</t>
  </si>
  <si>
    <t>'38217'</t>
  </si>
  <si>
    <t>'38701'</t>
  </si>
  <si>
    <t>'38702'</t>
  </si>
  <si>
    <t>'38706'</t>
  </si>
  <si>
    <t>'38708'</t>
  </si>
  <si>
    <t>'38210'</t>
  </si>
  <si>
    <t>'38347'</t>
  </si>
  <si>
    <t>'38761'</t>
  </si>
  <si>
    <t>'38763'</t>
  </si>
  <si>
    <t>'38090'</t>
  </si>
  <si>
    <t>'38091'</t>
  </si>
  <si>
    <t>'38096'</t>
  </si>
  <si>
    <t>'38292'</t>
  </si>
  <si>
    <t>'38113'</t>
  </si>
  <si>
    <t>'38202'</t>
  </si>
  <si>
    <t>'38205'</t>
  </si>
  <si>
    <t>'38206'</t>
  </si>
  <si>
    <t>'38209'</t>
  </si>
  <si>
    <t>'38211'</t>
  </si>
  <si>
    <t>'38092'</t>
  </si>
  <si>
    <t>'38093'</t>
  </si>
  <si>
    <t>'38097'</t>
  </si>
  <si>
    <t>'38098'</t>
  </si>
  <si>
    <t>'38341'</t>
  </si>
  <si>
    <t>'38342'</t>
  </si>
  <si>
    <t>'38343'</t>
  </si>
  <si>
    <t>'38346'</t>
  </si>
  <si>
    <t>COMMUNAUTE D'AGGLOMERATION DU GRAND DOLE</t>
  </si>
  <si>
    <t>'39500'</t>
  </si>
  <si>
    <t>'39700'</t>
  </si>
  <si>
    <t>'39290'</t>
  </si>
  <si>
    <t>'39410'</t>
  </si>
  <si>
    <t>'39100'</t>
  </si>
  <si>
    <t>'39103'</t>
  </si>
  <si>
    <t>COMMUNAUTE DE COMMUNES HAUT-JURA ST-CLAUDE</t>
  </si>
  <si>
    <t>'39200'</t>
  </si>
  <si>
    <t>'39310'</t>
  </si>
  <si>
    <t>CA ESPACE COMMUNAUTAIRE LONS AGGLO (ECLA)</t>
  </si>
  <si>
    <t>'39570'</t>
  </si>
  <si>
    <t>'39370'</t>
  </si>
  <si>
    <t>'39104'</t>
  </si>
  <si>
    <t>'39105'</t>
  </si>
  <si>
    <t>'39007'</t>
  </si>
  <si>
    <t>'39101'</t>
  </si>
  <si>
    <t>'39102'</t>
  </si>
  <si>
    <t>'39203'</t>
  </si>
  <si>
    <t>'39003'</t>
  </si>
  <si>
    <t>'39001'</t>
  </si>
  <si>
    <t>'39002'</t>
  </si>
  <si>
    <t>'39005'</t>
  </si>
  <si>
    <t>'39029'</t>
  </si>
  <si>
    <t>'39120'</t>
  </si>
  <si>
    <t>'39106'</t>
  </si>
  <si>
    <t>'39107'</t>
  </si>
  <si>
    <t>'39108'</t>
  </si>
  <si>
    <t>'39109'</t>
  </si>
  <si>
    <t>'39181'</t>
  </si>
  <si>
    <t>'39009'</t>
  </si>
  <si>
    <t>'01410'</t>
  </si>
  <si>
    <t>'39360'</t>
  </si>
  <si>
    <t>'39170'</t>
  </si>
  <si>
    <t>'39171'</t>
  </si>
  <si>
    <t>'39000'</t>
  </si>
  <si>
    <t>'39004'</t>
  </si>
  <si>
    <t>'39006'</t>
  </si>
  <si>
    <t>'39008'</t>
  </si>
  <si>
    <t>'39015'</t>
  </si>
  <si>
    <t>'39016'</t>
  </si>
  <si>
    <t>'39021'</t>
  </si>
  <si>
    <t>'39030'</t>
  </si>
  <si>
    <t>'39031'</t>
  </si>
  <si>
    <t>'39032'</t>
  </si>
  <si>
    <t>'39033'</t>
  </si>
  <si>
    <t>'39034'</t>
  </si>
  <si>
    <t>'39035'</t>
  </si>
  <si>
    <t>'39039'</t>
  </si>
  <si>
    <t>'39380'</t>
  </si>
  <si>
    <t>'39210'</t>
  </si>
  <si>
    <t>'39201'</t>
  </si>
  <si>
    <t>'39202'</t>
  </si>
  <si>
    <t>'39204'</t>
  </si>
  <si>
    <t>'39205'</t>
  </si>
  <si>
    <t>'39206'</t>
  </si>
  <si>
    <t>'39207'</t>
  </si>
  <si>
    <t>'39501'</t>
  </si>
  <si>
    <t>'39502'</t>
  </si>
  <si>
    <t>'39190'</t>
  </si>
  <si>
    <t>COMMUNAUTE D'AGGLOMERATION DU GRAND DAX</t>
  </si>
  <si>
    <t>'40990'</t>
  </si>
  <si>
    <t>CC MAREMNE ADOUR COTE-SUD</t>
  </si>
  <si>
    <t>'40150'</t>
  </si>
  <si>
    <t>'40140'</t>
  </si>
  <si>
    <t>'40180'</t>
  </si>
  <si>
    <t>'40230'</t>
  </si>
  <si>
    <t>'40231'</t>
  </si>
  <si>
    <t>LE MARSAN AGGLOMERATION</t>
  </si>
  <si>
    <t>'40280'</t>
  </si>
  <si>
    <t>'40090'</t>
  </si>
  <si>
    <t>'40282'</t>
  </si>
  <si>
    <t>'40130'</t>
  </si>
  <si>
    <t>'40100'</t>
  </si>
  <si>
    <t>'40101'</t>
  </si>
  <si>
    <t>'40102'</t>
  </si>
  <si>
    <t>'40103'</t>
  </si>
  <si>
    <t>'40104'</t>
  </si>
  <si>
    <t>'40105'</t>
  </si>
  <si>
    <t>'40106'</t>
  </si>
  <si>
    <t>'40107'</t>
  </si>
  <si>
    <t>'40108'</t>
  </si>
  <si>
    <t>'40991'</t>
  </si>
  <si>
    <t>'40530'</t>
  </si>
  <si>
    <t>'40992'</t>
  </si>
  <si>
    <t>'40660'</t>
  </si>
  <si>
    <t>'40000'</t>
  </si>
  <si>
    <t>'40001'</t>
  </si>
  <si>
    <t>'40002'</t>
  </si>
  <si>
    <t>'40003'</t>
  </si>
  <si>
    <t>'40004'</t>
  </si>
  <si>
    <t>'40005'</t>
  </si>
  <si>
    <t>'40006'</t>
  </si>
  <si>
    <t>'40009'</t>
  </si>
  <si>
    <t>'40011'</t>
  </si>
  <si>
    <t>'40012'</t>
  </si>
  <si>
    <t>'40013'</t>
  </si>
  <si>
    <t>'40015'</t>
  </si>
  <si>
    <t>'40016'</t>
  </si>
  <si>
    <t>'40017'</t>
  </si>
  <si>
    <t>'40018'</t>
  </si>
  <si>
    <t>'40019'</t>
  </si>
  <si>
    <t>'40021'</t>
  </si>
  <si>
    <t>'40022'</t>
  </si>
  <si>
    <t>'40023'</t>
  </si>
  <si>
    <t>'40024'</t>
  </si>
  <si>
    <t>'40025'</t>
  </si>
  <si>
    <t>'40118'</t>
  </si>
  <si>
    <t>SYNDICAT DES MOBILITES PAYS BASQUE-ADOUR</t>
  </si>
  <si>
    <t>'40440'</t>
  </si>
  <si>
    <t>'40120'</t>
  </si>
  <si>
    <t>'40390'</t>
  </si>
  <si>
    <t>'40993'</t>
  </si>
  <si>
    <t>'40994'</t>
  </si>
  <si>
    <t>'40281'</t>
  </si>
  <si>
    <t>'40286'</t>
  </si>
  <si>
    <t>'40510'</t>
  </si>
  <si>
    <t>'40141'</t>
  </si>
  <si>
    <t>'40220'</t>
  </si>
  <si>
    <t>'40480'</t>
  </si>
  <si>
    <t>COMMUNAUTE D'AGGLOMERATION TERRITOIRES VENDOMOIS</t>
  </si>
  <si>
    <t>'41310'</t>
  </si>
  <si>
    <t>'41100'</t>
  </si>
  <si>
    <t>'41106'</t>
  </si>
  <si>
    <t>'41800'</t>
  </si>
  <si>
    <t>COMMUNAUTE D'AGGLOMERATION DE BLOIS</t>
  </si>
  <si>
    <t>'41330'</t>
  </si>
  <si>
    <t>'41000'</t>
  </si>
  <si>
    <t>'41001'</t>
  </si>
  <si>
    <t>'41003'</t>
  </si>
  <si>
    <t>'41004'</t>
  </si>
  <si>
    <t>'41005'</t>
  </si>
  <si>
    <t>'41006'</t>
  </si>
  <si>
    <t>'41007'</t>
  </si>
  <si>
    <t>'41008'</t>
  </si>
  <si>
    <t>'41009'</t>
  </si>
  <si>
    <t>'41010'</t>
  </si>
  <si>
    <t>'41011'</t>
  </si>
  <si>
    <t>'41012'</t>
  </si>
  <si>
    <t>'41013'</t>
  </si>
  <si>
    <t>'41015'</t>
  </si>
  <si>
    <t>'41016'</t>
  </si>
  <si>
    <t>'41018'</t>
  </si>
  <si>
    <t>'41020'</t>
  </si>
  <si>
    <t>'41022'</t>
  </si>
  <si>
    <t>'41023'</t>
  </si>
  <si>
    <t>'41025'</t>
  </si>
  <si>
    <t>'41026'</t>
  </si>
  <si>
    <t>'41028'</t>
  </si>
  <si>
    <t>'41029'</t>
  </si>
  <si>
    <t>'41033'</t>
  </si>
  <si>
    <t>'41034'</t>
  </si>
  <si>
    <t>'41035'</t>
  </si>
  <si>
    <t>'41042'</t>
  </si>
  <si>
    <t>'41043'</t>
  </si>
  <si>
    <t>'41913'</t>
  </si>
  <si>
    <t>'41914'</t>
  </si>
  <si>
    <t>'41930'</t>
  </si>
  <si>
    <t>'41956'</t>
  </si>
  <si>
    <t>'41957'</t>
  </si>
  <si>
    <t>'41964'</t>
  </si>
  <si>
    <t>'41965'</t>
  </si>
  <si>
    <t>'41967'</t>
  </si>
  <si>
    <t>'41968'</t>
  </si>
  <si>
    <t>'41974'</t>
  </si>
  <si>
    <t>'41120'</t>
  </si>
  <si>
    <t>'41121'</t>
  </si>
  <si>
    <t>'41360'</t>
  </si>
  <si>
    <t>'41190'</t>
  </si>
  <si>
    <t>'41150'</t>
  </si>
  <si>
    <t>'41151'</t>
  </si>
  <si>
    <t>'41260'</t>
  </si>
  <si>
    <t>'41261'</t>
  </si>
  <si>
    <t>'41932'</t>
  </si>
  <si>
    <t>'41933'</t>
  </si>
  <si>
    <t>'41970'</t>
  </si>
  <si>
    <t>'41700'</t>
  </si>
  <si>
    <t>'41160'</t>
  </si>
  <si>
    <t>'41101'</t>
  </si>
  <si>
    <t>'41500'</t>
  </si>
  <si>
    <t>'41102'</t>
  </si>
  <si>
    <t>'41105'</t>
  </si>
  <si>
    <t>'41350'</t>
  </si>
  <si>
    <t>'41353'</t>
  </si>
  <si>
    <t>'41354'</t>
  </si>
  <si>
    <t>'41355'</t>
  </si>
  <si>
    <t>'41103'</t>
  </si>
  <si>
    <t>COMMUNAUTE D'AGGLOMERATION SAINT-ETIENNE METROPOLE</t>
  </si>
  <si>
    <t>'42380'</t>
  </si>
  <si>
    <t>COMMUNAUTE D'AGGLOMERATION DU ROANNAIS</t>
  </si>
  <si>
    <t>'42820'</t>
  </si>
  <si>
    <t>'42160'</t>
  </si>
  <si>
    <t>'42161'</t>
  </si>
  <si>
    <t>'42162'</t>
  </si>
  <si>
    <t>'42163'</t>
  </si>
  <si>
    <t>'42165'</t>
  </si>
  <si>
    <t>'42166'</t>
  </si>
  <si>
    <t>'42179'</t>
  </si>
  <si>
    <t>'42370'</t>
  </si>
  <si>
    <t>'42240'</t>
  </si>
  <si>
    <t>'42320'</t>
  </si>
  <si>
    <t>'42800'</t>
  </si>
  <si>
    <t>'42330'</t>
  </si>
  <si>
    <t>'42500'</t>
  </si>
  <si>
    <t>'42501'</t>
  </si>
  <si>
    <t>'42502'</t>
  </si>
  <si>
    <t>'42310'</t>
  </si>
  <si>
    <t>'42801'</t>
  </si>
  <si>
    <t>'42803'</t>
  </si>
  <si>
    <t>'42140'</t>
  </si>
  <si>
    <t>'42840'</t>
  </si>
  <si>
    <t>'42120'</t>
  </si>
  <si>
    <t>'42124'</t>
  </si>
  <si>
    <t>'42125'</t>
  </si>
  <si>
    <t>'42126'</t>
  </si>
  <si>
    <t>'42301'</t>
  </si>
  <si>
    <t>'42313'</t>
  </si>
  <si>
    <t>'42333'</t>
  </si>
  <si>
    <t>'42460'</t>
  </si>
  <si>
    <t>'42740'</t>
  </si>
  <si>
    <t>'42580'</t>
  </si>
  <si>
    <t>'42700'</t>
  </si>
  <si>
    <t>'42702'</t>
  </si>
  <si>
    <t>'42703'</t>
  </si>
  <si>
    <t>'42704'</t>
  </si>
  <si>
    <t>'42173'</t>
  </si>
  <si>
    <t>'42480'</t>
  </si>
  <si>
    <t>'42484'</t>
  </si>
  <si>
    <t>'42486'</t>
  </si>
  <si>
    <t>'42490'</t>
  </si>
  <si>
    <t>'42701'</t>
  </si>
  <si>
    <t>'42707'</t>
  </si>
  <si>
    <t>'42152'</t>
  </si>
  <si>
    <t>'42406'</t>
  </si>
  <si>
    <t>'42155'</t>
  </si>
  <si>
    <t>'42420'</t>
  </si>
  <si>
    <t>'42300'</t>
  </si>
  <si>
    <t>'42302'</t>
  </si>
  <si>
    <t>'42303'</t>
  </si>
  <si>
    <t>'42311'</t>
  </si>
  <si>
    <t>'42312'</t>
  </si>
  <si>
    <t>'42318'</t>
  </si>
  <si>
    <t>'42328'</t>
  </si>
  <si>
    <t>'42332'</t>
  </si>
  <si>
    <t>'42334'</t>
  </si>
  <si>
    <t>'42640'</t>
  </si>
  <si>
    <t>'42410'</t>
  </si>
  <si>
    <t>'42150'</t>
  </si>
  <si>
    <t>'42505'</t>
  </si>
  <si>
    <t>'42153'</t>
  </si>
  <si>
    <t>'42802'</t>
  </si>
  <si>
    <t>'42805'</t>
  </si>
  <si>
    <t>'42308'</t>
  </si>
  <si>
    <t>'42321'</t>
  </si>
  <si>
    <t>'42322'</t>
  </si>
  <si>
    <t>'42323'</t>
  </si>
  <si>
    <t>'42335'</t>
  </si>
  <si>
    <t>'42230'</t>
  </si>
  <si>
    <t>'42400'</t>
  </si>
  <si>
    <t>'42401'</t>
  </si>
  <si>
    <t>'42402'</t>
  </si>
  <si>
    <t>'42403'</t>
  </si>
  <si>
    <t>'42405'</t>
  </si>
  <si>
    <t>'42408'</t>
  </si>
  <si>
    <t>'42000'</t>
  </si>
  <si>
    <t>'42001'</t>
  </si>
  <si>
    <t>'42002'</t>
  </si>
  <si>
    <t>'42003'</t>
  </si>
  <si>
    <t>'42004'</t>
  </si>
  <si>
    <t>'42005'</t>
  </si>
  <si>
    <t>'42006'</t>
  </si>
  <si>
    <t>'42007'</t>
  </si>
  <si>
    <t>'42008'</t>
  </si>
  <si>
    <t>'42009'</t>
  </si>
  <si>
    <t>'42010'</t>
  </si>
  <si>
    <t>'42011'</t>
  </si>
  <si>
    <t>'42012'</t>
  </si>
  <si>
    <t>'42013'</t>
  </si>
  <si>
    <t>'42014'</t>
  </si>
  <si>
    <t>'42015'</t>
  </si>
  <si>
    <t>'42016'</t>
  </si>
  <si>
    <t>'42017'</t>
  </si>
  <si>
    <t>'42021'</t>
  </si>
  <si>
    <t>'42022'</t>
  </si>
  <si>
    <t>'42023'</t>
  </si>
  <si>
    <t>'42024'</t>
  </si>
  <si>
    <t>'42026'</t>
  </si>
  <si>
    <t>'42027'</t>
  </si>
  <si>
    <t>'42028'</t>
  </si>
  <si>
    <t>'42029'</t>
  </si>
  <si>
    <t>'42030'</t>
  </si>
  <si>
    <t>'42031'</t>
  </si>
  <si>
    <t>'42041'</t>
  </si>
  <si>
    <t>'42042'</t>
  </si>
  <si>
    <t>'42043'</t>
  </si>
  <si>
    <t>'42048'</t>
  </si>
  <si>
    <t>'42050'</t>
  </si>
  <si>
    <t>'42055'</t>
  </si>
  <si>
    <t>'42059'</t>
  </si>
  <si>
    <t>'42100'</t>
  </si>
  <si>
    <t>'42950'</t>
  </si>
  <si>
    <t>'42951'</t>
  </si>
  <si>
    <t>'42952'</t>
  </si>
  <si>
    <t>'42953'</t>
  </si>
  <si>
    <t>'42955'</t>
  </si>
  <si>
    <t>'42958'</t>
  </si>
  <si>
    <t>'42961'</t>
  </si>
  <si>
    <t>'42964'</t>
  </si>
  <si>
    <t>'42530'</t>
  </si>
  <si>
    <t>'42808'</t>
  </si>
  <si>
    <t>'42570'</t>
  </si>
  <si>
    <t>'42650'</t>
  </si>
  <si>
    <t>'42651'</t>
  </si>
  <si>
    <t>'42653'</t>
  </si>
  <si>
    <t>'42620'</t>
  </si>
  <si>
    <t>'42807'</t>
  </si>
  <si>
    <t>'42705'</t>
  </si>
  <si>
    <t>'42270'</t>
  </si>
  <si>
    <t>'42271'</t>
  </si>
  <si>
    <t>'42272'</t>
  </si>
  <si>
    <t>'42273'</t>
  </si>
  <si>
    <t>'42275'</t>
  </si>
  <si>
    <t>'42276'</t>
  </si>
  <si>
    <t>'42277'</t>
  </si>
  <si>
    <t>'42290'</t>
  </si>
  <si>
    <t>'42350'</t>
  </si>
  <si>
    <t>'42351'</t>
  </si>
  <si>
    <t>'42353'</t>
  </si>
  <si>
    <t>'42354'</t>
  </si>
  <si>
    <t>'42355'</t>
  </si>
  <si>
    <t>'42131'</t>
  </si>
  <si>
    <t>'42390'</t>
  </si>
  <si>
    <t>COMMUNAUTE D'AGGLOMERATION DU PUY-EN-VELAY</t>
  </si>
  <si>
    <t>'43000'</t>
  </si>
  <si>
    <t>'43005'</t>
  </si>
  <si>
    <t>'43270'</t>
  </si>
  <si>
    <t>'43700'</t>
  </si>
  <si>
    <t>'43370'</t>
  </si>
  <si>
    <t>'43800'</t>
  </si>
  <si>
    <t>'43500'</t>
  </si>
  <si>
    <t>'43350'</t>
  </si>
  <si>
    <t>'43017'</t>
  </si>
  <si>
    <t>'43160'</t>
  </si>
  <si>
    <t>'43002'</t>
  </si>
  <si>
    <t>'43008'</t>
  </si>
  <si>
    <t>'43009'</t>
  </si>
  <si>
    <t>'43003'</t>
  </si>
  <si>
    <t>'43770'</t>
  </si>
  <si>
    <t>'43320'</t>
  </si>
  <si>
    <t>'43440'</t>
  </si>
  <si>
    <t>'43580'</t>
  </si>
  <si>
    <t>'43200'</t>
  </si>
  <si>
    <t>'43001'</t>
  </si>
  <si>
    <t>'43004'</t>
  </si>
  <si>
    <t>'43006'</t>
  </si>
  <si>
    <t>'43010'</t>
  </si>
  <si>
    <t>'43011'</t>
  </si>
  <si>
    <t>'43012'</t>
  </si>
  <si>
    <t>'43013'</t>
  </si>
  <si>
    <t>'43014'</t>
  </si>
  <si>
    <t>'43810'</t>
  </si>
  <si>
    <t>'43260'</t>
  </si>
  <si>
    <t>'43750'</t>
  </si>
  <si>
    <t>CAP ATLANTIQUE</t>
  </si>
  <si>
    <t>'44410'</t>
  </si>
  <si>
    <t>NANTES METROPOLE COMMUNAUTE URBAINE</t>
  </si>
  <si>
    <t>'44115'</t>
  </si>
  <si>
    <t>'44121'</t>
  </si>
  <si>
    <t>'44122'</t>
  </si>
  <si>
    <t>'44123'</t>
  </si>
  <si>
    <t>'44124'</t>
  </si>
  <si>
    <t>'44126'</t>
  </si>
  <si>
    <t>'44740'</t>
  </si>
  <si>
    <t>CA REGION NAZAIRIENNE ET DE L'ESTUAIRE</t>
  </si>
  <si>
    <t>'44160'</t>
  </si>
  <si>
    <t>'44830'</t>
  </si>
  <si>
    <t>'44019'</t>
  </si>
  <si>
    <t>'44340'</t>
  </si>
  <si>
    <t>'44341'</t>
  </si>
  <si>
    <t>'44342'</t>
  </si>
  <si>
    <t>'44343'</t>
  </si>
  <si>
    <t>'44344'</t>
  </si>
  <si>
    <t>'44345'</t>
  </si>
  <si>
    <t>'44347'</t>
  </si>
  <si>
    <t>'44349'</t>
  </si>
  <si>
    <t>'44470'</t>
  </si>
  <si>
    <t>'44471'</t>
  </si>
  <si>
    <t>'44472'</t>
  </si>
  <si>
    <t>'44473'</t>
  </si>
  <si>
    <t>'44474'</t>
  </si>
  <si>
    <t>'44475'</t>
  </si>
  <si>
    <t>'44476'</t>
  </si>
  <si>
    <t>'44477'</t>
  </si>
  <si>
    <t>'44478'</t>
  </si>
  <si>
    <t>'44479'</t>
  </si>
  <si>
    <t>'44481'</t>
  </si>
  <si>
    <t>'44482'</t>
  </si>
  <si>
    <t>'44483'</t>
  </si>
  <si>
    <t>'44485'</t>
  </si>
  <si>
    <t>'44951'</t>
  </si>
  <si>
    <t>'44971'</t>
  </si>
  <si>
    <t>'44972'</t>
  </si>
  <si>
    <t>'44983'</t>
  </si>
  <si>
    <t>'44240'</t>
  </si>
  <si>
    <t>'44241'</t>
  </si>
  <si>
    <t>'44242'</t>
  </si>
  <si>
    <t>'44243'</t>
  </si>
  <si>
    <t>'44244'</t>
  </si>
  <si>
    <t>'44245'</t>
  </si>
  <si>
    <t>'44311'</t>
  </si>
  <si>
    <t>COMMUNAUTE DE COMMUNES SUD ESTUAIRE</t>
  </si>
  <si>
    <t>'44560'</t>
  </si>
  <si>
    <t>'44220'</t>
  </si>
  <si>
    <t>'44490'</t>
  </si>
  <si>
    <t>'44480'</t>
  </si>
  <si>
    <t>'44500'</t>
  </si>
  <si>
    <t>'44501'</t>
  </si>
  <si>
    <t>'44502'</t>
  </si>
  <si>
    <t>'44503'</t>
  </si>
  <si>
    <t>'44504'</t>
  </si>
  <si>
    <t>'44505'</t>
  </si>
  <si>
    <t>'44506'</t>
  </si>
  <si>
    <t>'44320'</t>
  </si>
  <si>
    <t>'44350'</t>
  </si>
  <si>
    <t>'44351'</t>
  </si>
  <si>
    <t>'44352'</t>
  </si>
  <si>
    <t>'44353'</t>
  </si>
  <si>
    <t>'44354'</t>
  </si>
  <si>
    <t>'44610'</t>
  </si>
  <si>
    <t>'44420'</t>
  </si>
  <si>
    <t>'44620'</t>
  </si>
  <si>
    <t>'44550'</t>
  </si>
  <si>
    <t>'44602'</t>
  </si>
  <si>
    <t>'44604'</t>
  </si>
  <si>
    <t>'44000'</t>
  </si>
  <si>
    <t>'44001'</t>
  </si>
  <si>
    <t>'44002'</t>
  </si>
  <si>
    <t>'44003'</t>
  </si>
  <si>
    <t>'44004'</t>
  </si>
  <si>
    <t>'44005'</t>
  </si>
  <si>
    <t>'44006'</t>
  </si>
  <si>
    <t>'44007'</t>
  </si>
  <si>
    <t>'44008'</t>
  </si>
  <si>
    <t>'44009'</t>
  </si>
  <si>
    <t>'44010'</t>
  </si>
  <si>
    <t>'44011'</t>
  </si>
  <si>
    <t>'44012'</t>
  </si>
  <si>
    <t>'44013'</t>
  </si>
  <si>
    <t>'44014'</t>
  </si>
  <si>
    <t>'44015'</t>
  </si>
  <si>
    <t>'44016'</t>
  </si>
  <si>
    <t>'44017'</t>
  </si>
  <si>
    <t>'44018'</t>
  </si>
  <si>
    <t>'44020'</t>
  </si>
  <si>
    <t>'44021'</t>
  </si>
  <si>
    <t>'44022'</t>
  </si>
  <si>
    <t>'44023'</t>
  </si>
  <si>
    <t>'44024'</t>
  </si>
  <si>
    <t>'44032'</t>
  </si>
  <si>
    <t>'44033'</t>
  </si>
  <si>
    <t>'44034'</t>
  </si>
  <si>
    <t>'44035'</t>
  </si>
  <si>
    <t>'44036'</t>
  </si>
  <si>
    <t>'44038'</t>
  </si>
  <si>
    <t>'44040'</t>
  </si>
  <si>
    <t>'44041'</t>
  </si>
  <si>
    <t>'44042'</t>
  </si>
  <si>
    <t>'44046'</t>
  </si>
  <si>
    <t>'44047'</t>
  </si>
  <si>
    <t>'44090'</t>
  </si>
  <si>
    <t>'44091'</t>
  </si>
  <si>
    <t>'44092'</t>
  </si>
  <si>
    <t>'44093'</t>
  </si>
  <si>
    <t>'44094'</t>
  </si>
  <si>
    <t>'44096'</t>
  </si>
  <si>
    <t>'44097'</t>
  </si>
  <si>
    <t>'44099'</t>
  </si>
  <si>
    <t>'44100'</t>
  </si>
  <si>
    <t>'44101'</t>
  </si>
  <si>
    <t>'44102'</t>
  </si>
  <si>
    <t>'44103'</t>
  </si>
  <si>
    <t>'44104'</t>
  </si>
  <si>
    <t>'44105'</t>
  </si>
  <si>
    <t>'44106'</t>
  </si>
  <si>
    <t>'44107'</t>
  </si>
  <si>
    <t>'44176'</t>
  </si>
  <si>
    <t>'44179'</t>
  </si>
  <si>
    <t>'44184'</t>
  </si>
  <si>
    <t>'44185'</t>
  </si>
  <si>
    <t>'44186'</t>
  </si>
  <si>
    <t>'44187'</t>
  </si>
  <si>
    <t>'44188'</t>
  </si>
  <si>
    <t>'44200'</t>
  </si>
  <si>
    <t>'44201'</t>
  </si>
  <si>
    <t>'44202'</t>
  </si>
  <si>
    <t>'44203'</t>
  </si>
  <si>
    <t>'44204'</t>
  </si>
  <si>
    <t>'44205'</t>
  </si>
  <si>
    <t>'44261'</t>
  </si>
  <si>
    <t>'44262'</t>
  </si>
  <si>
    <t>'44263'</t>
  </si>
  <si>
    <t>'44265'</t>
  </si>
  <si>
    <t>'44272'</t>
  </si>
  <si>
    <t>'44273'</t>
  </si>
  <si>
    <t>'44274'</t>
  </si>
  <si>
    <t>'44275'</t>
  </si>
  <si>
    <t>'44276'</t>
  </si>
  <si>
    <t>'44277'</t>
  </si>
  <si>
    <t>'44300'</t>
  </si>
  <si>
    <t>'44301'</t>
  </si>
  <si>
    <t>'44302'</t>
  </si>
  <si>
    <t>'44303'</t>
  </si>
  <si>
    <t>'44304'</t>
  </si>
  <si>
    <t>'44305'</t>
  </si>
  <si>
    <t>'44306'</t>
  </si>
  <si>
    <t>'44307'</t>
  </si>
  <si>
    <t>'44308'</t>
  </si>
  <si>
    <t>'44312'</t>
  </si>
  <si>
    <t>'44313'</t>
  </si>
  <si>
    <t>'44314'</t>
  </si>
  <si>
    <t>'44315'</t>
  </si>
  <si>
    <t>'44316'</t>
  </si>
  <si>
    <t>'44317'</t>
  </si>
  <si>
    <t>'44318'</t>
  </si>
  <si>
    <t>'44319'</t>
  </si>
  <si>
    <t>'44321'</t>
  </si>
  <si>
    <t>'44322'</t>
  </si>
  <si>
    <t>'44323'</t>
  </si>
  <si>
    <t>'44324'</t>
  </si>
  <si>
    <t>'44325'</t>
  </si>
  <si>
    <t>'44326'</t>
  </si>
  <si>
    <t>'44327'</t>
  </si>
  <si>
    <t>'44328'</t>
  </si>
  <si>
    <t>'44329'</t>
  </si>
  <si>
    <t>'44331'</t>
  </si>
  <si>
    <t>'44332'</t>
  </si>
  <si>
    <t>'44333'</t>
  </si>
  <si>
    <t>'44334'</t>
  </si>
  <si>
    <t>'44335'</t>
  </si>
  <si>
    <t>'44336'</t>
  </si>
  <si>
    <t>'44337'</t>
  </si>
  <si>
    <t>'44338'</t>
  </si>
  <si>
    <t>'44339'</t>
  </si>
  <si>
    <t>'44372'</t>
  </si>
  <si>
    <t>'44373'</t>
  </si>
  <si>
    <t>'44900'</t>
  </si>
  <si>
    <t>'44901'</t>
  </si>
  <si>
    <t>'44912'</t>
  </si>
  <si>
    <t>'44913'</t>
  </si>
  <si>
    <t>'44916'</t>
  </si>
  <si>
    <t>'44917'</t>
  </si>
  <si>
    <t>'44921'</t>
  </si>
  <si>
    <t>'44922'</t>
  </si>
  <si>
    <t>'44923'</t>
  </si>
  <si>
    <t>'44926'</t>
  </si>
  <si>
    <t>'44927'</t>
  </si>
  <si>
    <t>'44928'</t>
  </si>
  <si>
    <t>'44932'</t>
  </si>
  <si>
    <t>'44933'</t>
  </si>
  <si>
    <t>'44937'</t>
  </si>
  <si>
    <t>'44939'</t>
  </si>
  <si>
    <t>'44941'</t>
  </si>
  <si>
    <t>'44944'</t>
  </si>
  <si>
    <t>'44945'</t>
  </si>
  <si>
    <t>'44949'</t>
  </si>
  <si>
    <t>'44955'</t>
  </si>
  <si>
    <t>'44956'</t>
  </si>
  <si>
    <t>'44958'</t>
  </si>
  <si>
    <t>'44959'</t>
  </si>
  <si>
    <t>'44963'</t>
  </si>
  <si>
    <t>'44964'</t>
  </si>
  <si>
    <t>'44966'</t>
  </si>
  <si>
    <t>'44700'</t>
  </si>
  <si>
    <t>'44701'</t>
  </si>
  <si>
    <t>'44702'</t>
  </si>
  <si>
    <t>'44703'</t>
  </si>
  <si>
    <t>'44706'</t>
  </si>
  <si>
    <t>'44707'</t>
  </si>
  <si>
    <t>'44905'</t>
  </si>
  <si>
    <t>'44911'</t>
  </si>
  <si>
    <t>'44914'</t>
  </si>
  <si>
    <t>'44938'</t>
  </si>
  <si>
    <t>'44947'</t>
  </si>
  <si>
    <t>'44952'</t>
  </si>
  <si>
    <t>'44953'</t>
  </si>
  <si>
    <t>'44954'</t>
  </si>
  <si>
    <t>'44957'</t>
  </si>
  <si>
    <t>'44640'</t>
  </si>
  <si>
    <t>'44357'</t>
  </si>
  <si>
    <t>'44358'</t>
  </si>
  <si>
    <t>'44380'</t>
  </si>
  <si>
    <t>'44510'</t>
  </si>
  <si>
    <t>'44400'</t>
  </si>
  <si>
    <t>'44401'</t>
  </si>
  <si>
    <t>'44402'</t>
  </si>
  <si>
    <t>'44403'</t>
  </si>
  <si>
    <t>'44404'</t>
  </si>
  <si>
    <t>'44405'</t>
  </si>
  <si>
    <t>'44406'</t>
  </si>
  <si>
    <t>'44407'</t>
  </si>
  <si>
    <t>'44408'</t>
  </si>
  <si>
    <t>'44409'</t>
  </si>
  <si>
    <t>'44412'</t>
  </si>
  <si>
    <t>'44860'</t>
  </si>
  <si>
    <t>'44117'</t>
  </si>
  <si>
    <t>'44250'</t>
  </si>
  <si>
    <t>'44800'</t>
  </si>
  <si>
    <t>'44801'</t>
  </si>
  <si>
    <t>'44802'</t>
  </si>
  <si>
    <t>'44803'</t>
  </si>
  <si>
    <t>'44804'</t>
  </si>
  <si>
    <t>'44805'</t>
  </si>
  <si>
    <t>'44806'</t>
  </si>
  <si>
    <t>'44807'</t>
  </si>
  <si>
    <t>'44808'</t>
  </si>
  <si>
    <t>'44809'</t>
  </si>
  <si>
    <t>'44811'</t>
  </si>
  <si>
    <t>'44812'</t>
  </si>
  <si>
    <t>'44813'</t>
  </si>
  <si>
    <t>'44814'</t>
  </si>
  <si>
    <t>'44815'</t>
  </si>
  <si>
    <t>'44816'</t>
  </si>
  <si>
    <t>'44817'</t>
  </si>
  <si>
    <t>'44818'</t>
  </si>
  <si>
    <t>'44819'</t>
  </si>
  <si>
    <t>'44821'</t>
  </si>
  <si>
    <t>'44822'</t>
  </si>
  <si>
    <t>'44823'</t>
  </si>
  <si>
    <t>'44824'</t>
  </si>
  <si>
    <t>'44829'</t>
  </si>
  <si>
    <t>'44903'</t>
  </si>
  <si>
    <t>'44908'</t>
  </si>
  <si>
    <t>'44919'</t>
  </si>
  <si>
    <t>'44924'</t>
  </si>
  <si>
    <t>'44925'</t>
  </si>
  <si>
    <t>'44931'</t>
  </si>
  <si>
    <t>'44934'</t>
  </si>
  <si>
    <t>'44936'</t>
  </si>
  <si>
    <t>'44942'</t>
  </si>
  <si>
    <t>'44943'</t>
  </si>
  <si>
    <t>'44968'</t>
  </si>
  <si>
    <t>'44720'</t>
  </si>
  <si>
    <t>'44710'</t>
  </si>
  <si>
    <t>'44980'</t>
  </si>
  <si>
    <t>'44981'</t>
  </si>
  <si>
    <t>'44982'</t>
  </si>
  <si>
    <t>'44984'</t>
  </si>
  <si>
    <t>'44985'</t>
  </si>
  <si>
    <t>'44986'</t>
  </si>
  <si>
    <t>'44600'</t>
  </si>
  <si>
    <t>'44601'</t>
  </si>
  <si>
    <t>'44603'</t>
  </si>
  <si>
    <t>'44605'</t>
  </si>
  <si>
    <t>'44606'</t>
  </si>
  <si>
    <t>'44611'</t>
  </si>
  <si>
    <t>'44612'</t>
  </si>
  <si>
    <t>'44613'</t>
  </si>
  <si>
    <t>'44614'</t>
  </si>
  <si>
    <t>'44615'</t>
  </si>
  <si>
    <t>'44616'</t>
  </si>
  <si>
    <t>'44617'</t>
  </si>
  <si>
    <t>'44230'</t>
  </si>
  <si>
    <t>'44231'</t>
  </si>
  <si>
    <t>'44232'</t>
  </si>
  <si>
    <t>'44233'</t>
  </si>
  <si>
    <t>'44234'</t>
  </si>
  <si>
    <t>'44235'</t>
  </si>
  <si>
    <t>'44236'</t>
  </si>
  <si>
    <t>'44880'</t>
  </si>
  <si>
    <t>'44840'</t>
  </si>
  <si>
    <t>'44484'</t>
  </si>
  <si>
    <t>'44570'</t>
  </si>
  <si>
    <t>'44356'</t>
  </si>
  <si>
    <t>'44120'</t>
  </si>
  <si>
    <t>CA MONTARGOISE ET RIVES DU LOING</t>
  </si>
  <si>
    <t>'45121'</t>
  </si>
  <si>
    <t>'45125'</t>
  </si>
  <si>
    <t>'45200'</t>
  </si>
  <si>
    <t>'45201'</t>
  </si>
  <si>
    <t>'45202'</t>
  </si>
  <si>
    <t>'45203'</t>
  </si>
  <si>
    <t>'45204'</t>
  </si>
  <si>
    <t>'45205'</t>
  </si>
  <si>
    <t>'45206'</t>
  </si>
  <si>
    <t>'45207'</t>
  </si>
  <si>
    <t>'45208'</t>
  </si>
  <si>
    <t>'45209'</t>
  </si>
  <si>
    <t>'45213'</t>
  </si>
  <si>
    <t>'45701'</t>
  </si>
  <si>
    <t>ORLEANS METROPOLE</t>
  </si>
  <si>
    <t>'45432'</t>
  </si>
  <si>
    <t>'45433'</t>
  </si>
  <si>
    <t>'45760'</t>
  </si>
  <si>
    <t>'45801'</t>
  </si>
  <si>
    <t>'45811'</t>
  </si>
  <si>
    <t>'45937'</t>
  </si>
  <si>
    <t>'45430'</t>
  </si>
  <si>
    <t>'45120'</t>
  </si>
  <si>
    <t>'45400'</t>
  </si>
  <si>
    <t>'45404'</t>
  </si>
  <si>
    <t>'45001'</t>
  </si>
  <si>
    <t>'45016'</t>
  </si>
  <si>
    <t>'45141'</t>
  </si>
  <si>
    <t>'45142'</t>
  </si>
  <si>
    <t>'45145'</t>
  </si>
  <si>
    <t>'45146'</t>
  </si>
  <si>
    <t>'45147'</t>
  </si>
  <si>
    <t>'45380'</t>
  </si>
  <si>
    <t>'45431'</t>
  </si>
  <si>
    <t>'45800'</t>
  </si>
  <si>
    <t>'45700'</t>
  </si>
  <si>
    <t>'45702'</t>
  </si>
  <si>
    <t>'45052'</t>
  </si>
  <si>
    <t>'45401'</t>
  </si>
  <si>
    <t>'45402'</t>
  </si>
  <si>
    <t>'45403'</t>
  </si>
  <si>
    <t>'45409'</t>
  </si>
  <si>
    <t>'45912'</t>
  </si>
  <si>
    <t>'45913'</t>
  </si>
  <si>
    <t>'45925'</t>
  </si>
  <si>
    <t>'45140'</t>
  </si>
  <si>
    <t>'45143'</t>
  </si>
  <si>
    <t>'45144'</t>
  </si>
  <si>
    <t>'45148'</t>
  </si>
  <si>
    <t>'45916'</t>
  </si>
  <si>
    <t>'45926'</t>
  </si>
  <si>
    <t>'45944'</t>
  </si>
  <si>
    <t>'45211'</t>
  </si>
  <si>
    <t>'45214'</t>
  </si>
  <si>
    <t>'45060'</t>
  </si>
  <si>
    <t>'45061'</t>
  </si>
  <si>
    <t>'45064'</t>
  </si>
  <si>
    <t>'45077'</t>
  </si>
  <si>
    <t>'45160'</t>
  </si>
  <si>
    <t>'45161'</t>
  </si>
  <si>
    <t>'45162'</t>
  </si>
  <si>
    <t>'45163'</t>
  </si>
  <si>
    <t>'45165'</t>
  </si>
  <si>
    <t>'45166'</t>
  </si>
  <si>
    <t>'45655'</t>
  </si>
  <si>
    <t>'45000'</t>
  </si>
  <si>
    <t>'45002'</t>
  </si>
  <si>
    <t>'45003'</t>
  </si>
  <si>
    <t>'45004'</t>
  </si>
  <si>
    <t>'45005'</t>
  </si>
  <si>
    <t>'45006'</t>
  </si>
  <si>
    <t>'45007'</t>
  </si>
  <si>
    <t>'45008'</t>
  </si>
  <si>
    <t>'45009'</t>
  </si>
  <si>
    <t>'45010'</t>
  </si>
  <si>
    <t>'45011'</t>
  </si>
  <si>
    <t>'45012'</t>
  </si>
  <si>
    <t>'45015'</t>
  </si>
  <si>
    <t>'45017'</t>
  </si>
  <si>
    <t>'45019'</t>
  </si>
  <si>
    <t>'45021'</t>
  </si>
  <si>
    <t>'45023'</t>
  </si>
  <si>
    <t>'45025'</t>
  </si>
  <si>
    <t>'45028'</t>
  </si>
  <si>
    <t>'45029'</t>
  </si>
  <si>
    <t>'45030'</t>
  </si>
  <si>
    <t>'45031'</t>
  </si>
  <si>
    <t>'45032'</t>
  </si>
  <si>
    <t>'45033'</t>
  </si>
  <si>
    <t>'45034'</t>
  </si>
  <si>
    <t>'45035'</t>
  </si>
  <si>
    <t>'45038'</t>
  </si>
  <si>
    <t>'45040'</t>
  </si>
  <si>
    <t>'45041'</t>
  </si>
  <si>
    <t>'45042'</t>
  </si>
  <si>
    <t>'45043'</t>
  </si>
  <si>
    <t>'45044'</t>
  </si>
  <si>
    <t>'45045'</t>
  </si>
  <si>
    <t>'45046'</t>
  </si>
  <si>
    <t>'45053'</t>
  </si>
  <si>
    <t>'45056'</t>
  </si>
  <si>
    <t>'45057'</t>
  </si>
  <si>
    <t>'45058'</t>
  </si>
  <si>
    <t>'45062'</t>
  </si>
  <si>
    <t>'45063'</t>
  </si>
  <si>
    <t>'45065'</t>
  </si>
  <si>
    <t>'45067'</t>
  </si>
  <si>
    <t>'45068'</t>
  </si>
  <si>
    <t>'45071'</t>
  </si>
  <si>
    <t>'45072'</t>
  </si>
  <si>
    <t>'45073'</t>
  </si>
  <si>
    <t>'45074'</t>
  </si>
  <si>
    <t>'45075'</t>
  </si>
  <si>
    <t>'45081'</t>
  </si>
  <si>
    <t>'45082'</t>
  </si>
  <si>
    <t>'45100'</t>
  </si>
  <si>
    <t>'45900'</t>
  </si>
  <si>
    <t>'45910'</t>
  </si>
  <si>
    <t>'45918'</t>
  </si>
  <si>
    <t>'45920'</t>
  </si>
  <si>
    <t>'45921'</t>
  </si>
  <si>
    <t>'45924'</t>
  </si>
  <si>
    <t>'45932'</t>
  </si>
  <si>
    <t>'45943'</t>
  </si>
  <si>
    <t>'45946'</t>
  </si>
  <si>
    <t>'45955'</t>
  </si>
  <si>
    <t>'45956'</t>
  </si>
  <si>
    <t>'45964'</t>
  </si>
  <si>
    <t>'45774'</t>
  </si>
  <si>
    <t>'45911'</t>
  </si>
  <si>
    <t>'45914'</t>
  </si>
  <si>
    <t>'45915'</t>
  </si>
  <si>
    <t>'45087'</t>
  </si>
  <si>
    <t>'45590'</t>
  </si>
  <si>
    <t>'45560'</t>
  </si>
  <si>
    <t>'45168'</t>
  </si>
  <si>
    <t>'45802'</t>
  </si>
  <si>
    <t>'45803'</t>
  </si>
  <si>
    <t>'45804'</t>
  </si>
  <si>
    <t>'45805'</t>
  </si>
  <si>
    <t>'45806'</t>
  </si>
  <si>
    <t>'45808'</t>
  </si>
  <si>
    <t>'45650'</t>
  </si>
  <si>
    <t>'45656'</t>
  </si>
  <si>
    <t>'45750'</t>
  </si>
  <si>
    <t>'45770'</t>
  </si>
  <si>
    <t>'45771'</t>
  </si>
  <si>
    <t>'45777'</t>
  </si>
  <si>
    <t>'45779'</t>
  </si>
  <si>
    <t>COMMUNAUTE DE COMMUNES DU GRAND CAHORS</t>
  </si>
  <si>
    <t>'46090'</t>
  </si>
  <si>
    <t>'46150'</t>
  </si>
  <si>
    <t>'46330'</t>
  </si>
  <si>
    <t>'46000'</t>
  </si>
  <si>
    <t>'46001'</t>
  </si>
  <si>
    <t>'46002'</t>
  </si>
  <si>
    <t>'46003'</t>
  </si>
  <si>
    <t>'46004'</t>
  </si>
  <si>
    <t>'46005'</t>
  </si>
  <si>
    <t>'46009'</t>
  </si>
  <si>
    <t>'46010'</t>
  </si>
  <si>
    <t>'46014'</t>
  </si>
  <si>
    <t>'46015'</t>
  </si>
  <si>
    <t>'46018'</t>
  </si>
  <si>
    <t>'46019'</t>
  </si>
  <si>
    <t>'46020'</t>
  </si>
  <si>
    <t>'46021'</t>
  </si>
  <si>
    <t>'46022'</t>
  </si>
  <si>
    <t>'46023'</t>
  </si>
  <si>
    <t>'46140'</t>
  </si>
  <si>
    <t>'46230'</t>
  </si>
  <si>
    <t>VILLE DE FIGEAC</t>
  </si>
  <si>
    <t>'46100'</t>
  </si>
  <si>
    <t>'46101'</t>
  </si>
  <si>
    <t>'46102'</t>
  </si>
  <si>
    <t>'46103'</t>
  </si>
  <si>
    <t>'46106'</t>
  </si>
  <si>
    <t>'46091'</t>
  </si>
  <si>
    <t>AGGLOMERATION D'AGEN</t>
  </si>
  <si>
    <t>'47000'</t>
  </si>
  <si>
    <t>'47002'</t>
  </si>
  <si>
    <t>'47003'</t>
  </si>
  <si>
    <t>'47004'</t>
  </si>
  <si>
    <t>'47005'</t>
  </si>
  <si>
    <t>'47006'</t>
  </si>
  <si>
    <t>'47007'</t>
  </si>
  <si>
    <t>'47008'</t>
  </si>
  <si>
    <t>'47031'</t>
  </si>
  <si>
    <t>'47032'</t>
  </si>
  <si>
    <t>'47039'</t>
  </si>
  <si>
    <t>'47551'</t>
  </si>
  <si>
    <t>'47552'</t>
  </si>
  <si>
    <t>'47553'</t>
  </si>
  <si>
    <t>'47901'</t>
  </si>
  <si>
    <t>'47910'</t>
  </si>
  <si>
    <t>'47912'</t>
  </si>
  <si>
    <t>'47913'</t>
  </si>
  <si>
    <t>'47914'</t>
  </si>
  <si>
    <t>'47915'</t>
  </si>
  <si>
    <t>'47916'</t>
  </si>
  <si>
    <t>'47917'</t>
  </si>
  <si>
    <t>'47918'</t>
  </si>
  <si>
    <t>'47920'</t>
  </si>
  <si>
    <t>'47921'</t>
  </si>
  <si>
    <t>'47922'</t>
  </si>
  <si>
    <t>'47923'</t>
  </si>
  <si>
    <t>'47924'</t>
  </si>
  <si>
    <t>COMMUNAUTE D'AGGLOMERATION VAL DE GARONNE AGGLO</t>
  </si>
  <si>
    <t>'47350'</t>
  </si>
  <si>
    <t>COMMUNAUTE D'AGGLOMERATION DU GRAND VILLENEUVOIS</t>
  </si>
  <si>
    <t>'47110'</t>
  </si>
  <si>
    <t>'47220'</t>
  </si>
  <si>
    <t>'47310'</t>
  </si>
  <si>
    <t>'47480'</t>
  </si>
  <si>
    <t>'47200'</t>
  </si>
  <si>
    <t>'47203'</t>
  </si>
  <si>
    <t>'47204'</t>
  </si>
  <si>
    <t>'47470'</t>
  </si>
  <si>
    <t>'47300'</t>
  </si>
  <si>
    <t>'47301'</t>
  </si>
  <si>
    <t>'47302'</t>
  </si>
  <si>
    <t>'47304'</t>
  </si>
  <si>
    <t>'47305'</t>
  </si>
  <si>
    <t>'47306'</t>
  </si>
  <si>
    <t>'47550'</t>
  </si>
  <si>
    <t>'47555'</t>
  </si>
  <si>
    <t>'47240'</t>
  </si>
  <si>
    <t>'47430'</t>
  </si>
  <si>
    <t>'47440'</t>
  </si>
  <si>
    <t>'47340'</t>
  </si>
  <si>
    <t>'47180'</t>
  </si>
  <si>
    <t>'47120'</t>
  </si>
  <si>
    <t>'47320'</t>
  </si>
  <si>
    <t>'47250'</t>
  </si>
  <si>
    <t>'47450'</t>
  </si>
  <si>
    <t>'47400'</t>
  </si>
  <si>
    <t>'47260'</t>
  </si>
  <si>
    <t>'47510'</t>
  </si>
  <si>
    <t>'47213'</t>
  </si>
  <si>
    <t>'47390'</t>
  </si>
  <si>
    <t>'47201'</t>
  </si>
  <si>
    <t>'47202'</t>
  </si>
  <si>
    <t>'47205'</t>
  </si>
  <si>
    <t>'47207'</t>
  </si>
  <si>
    <t>'47208'</t>
  </si>
  <si>
    <t>'47520'</t>
  </si>
  <si>
    <t>'47303'</t>
  </si>
  <si>
    <t>'47270'</t>
  </si>
  <si>
    <t>'47380'</t>
  </si>
  <si>
    <t>'47307'</t>
  </si>
  <si>
    <t>'47308'</t>
  </si>
  <si>
    <t>'47309'</t>
  </si>
  <si>
    <t>VILLE DE MENDE</t>
  </si>
  <si>
    <t>'48000'</t>
  </si>
  <si>
    <t>'48001'</t>
  </si>
  <si>
    <t>'48002'</t>
  </si>
  <si>
    <t>'48003'</t>
  </si>
  <si>
    <t>'48004'</t>
  </si>
  <si>
    <t>'48005'</t>
  </si>
  <si>
    <t>'48006'</t>
  </si>
  <si>
    <t>'48007'</t>
  </si>
  <si>
    <t>'48008'</t>
  </si>
  <si>
    <t>'48009'</t>
  </si>
  <si>
    <t>COMMUNAUTE D'AGGLOMERATION SAUMUR VAL DE LOIRE</t>
  </si>
  <si>
    <t>'49406'</t>
  </si>
  <si>
    <t>'49650'</t>
  </si>
  <si>
    <t>'49700'</t>
  </si>
  <si>
    <t>COMMUNAUTE URBAINE ANGERS LOIRE METROPOLE</t>
  </si>
  <si>
    <t>'49000'</t>
  </si>
  <si>
    <t>'49001'</t>
  </si>
  <si>
    <t>'49002'</t>
  </si>
  <si>
    <t>'49003'</t>
  </si>
  <si>
    <t>'49004'</t>
  </si>
  <si>
    <t>'49006'</t>
  </si>
  <si>
    <t>'49007'</t>
  </si>
  <si>
    <t>'49008'</t>
  </si>
  <si>
    <t>'49009'</t>
  </si>
  <si>
    <t>'49010'</t>
  </si>
  <si>
    <t>'49011'</t>
  </si>
  <si>
    <t>'49012'</t>
  </si>
  <si>
    <t>'49014'</t>
  </si>
  <si>
    <t>'49015'</t>
  </si>
  <si>
    <t>'49016'</t>
  </si>
  <si>
    <t>'49017'</t>
  </si>
  <si>
    <t>'49018'</t>
  </si>
  <si>
    <t>'49020'</t>
  </si>
  <si>
    <t>'49021'</t>
  </si>
  <si>
    <t>'49022'</t>
  </si>
  <si>
    <t>'49023'</t>
  </si>
  <si>
    <t>'49024'</t>
  </si>
  <si>
    <t>'49026'</t>
  </si>
  <si>
    <t>'49028'</t>
  </si>
  <si>
    <t>'49032'</t>
  </si>
  <si>
    <t>'49035'</t>
  </si>
  <si>
    <t>'49036'</t>
  </si>
  <si>
    <t>'49041'</t>
  </si>
  <si>
    <t>'49043'</t>
  </si>
  <si>
    <t>'49044'</t>
  </si>
  <si>
    <t>'49045'</t>
  </si>
  <si>
    <t>'49046'</t>
  </si>
  <si>
    <t>'49047'</t>
  </si>
  <si>
    <t>'49049'</t>
  </si>
  <si>
    <t>'49050'</t>
  </si>
  <si>
    <t>'49051'</t>
  </si>
  <si>
    <t>'49052'</t>
  </si>
  <si>
    <t>'49053'</t>
  </si>
  <si>
    <t>'49055'</t>
  </si>
  <si>
    <t>'49066'</t>
  </si>
  <si>
    <t>'49072'</t>
  </si>
  <si>
    <t>'49100'</t>
  </si>
  <si>
    <t>'49101'</t>
  </si>
  <si>
    <t>'49102'</t>
  </si>
  <si>
    <t>'49103'</t>
  </si>
  <si>
    <t>'49104'</t>
  </si>
  <si>
    <t>'49105'</t>
  </si>
  <si>
    <t>'49106'</t>
  </si>
  <si>
    <t>'49107'</t>
  </si>
  <si>
    <t>'49109'</t>
  </si>
  <si>
    <t>'49905'</t>
  </si>
  <si>
    <t>'49906'</t>
  </si>
  <si>
    <t>'49911'</t>
  </si>
  <si>
    <t>'49912'</t>
  </si>
  <si>
    <t>'49919'</t>
  </si>
  <si>
    <t>'49925'</t>
  </si>
  <si>
    <t>'49927'</t>
  </si>
  <si>
    <t>'49933'</t>
  </si>
  <si>
    <t>'49934'</t>
  </si>
  <si>
    <t>'49937'</t>
  </si>
  <si>
    <t>'49939'</t>
  </si>
  <si>
    <t>'49941'</t>
  </si>
  <si>
    <t>'49260'</t>
  </si>
  <si>
    <t>'49240'</t>
  </si>
  <si>
    <t>'49241'</t>
  </si>
  <si>
    <t>'49242'</t>
  </si>
  <si>
    <t>'49243'</t>
  </si>
  <si>
    <t>'49070'</t>
  </si>
  <si>
    <t>'49071'</t>
  </si>
  <si>
    <t>'49073'</t>
  </si>
  <si>
    <t>'49938'</t>
  </si>
  <si>
    <t>'49122'</t>
  </si>
  <si>
    <t>'49170'</t>
  </si>
  <si>
    <t>'49160'</t>
  </si>
  <si>
    <t>'49080'</t>
  </si>
  <si>
    <t>'49913'</t>
  </si>
  <si>
    <t>'49390'</t>
  </si>
  <si>
    <t>'49125'</t>
  </si>
  <si>
    <t>'49244'</t>
  </si>
  <si>
    <t>'49460'</t>
  </si>
  <si>
    <t>'49310'</t>
  </si>
  <si>
    <t>'49360'</t>
  </si>
  <si>
    <t>'49400'</t>
  </si>
  <si>
    <t>'49401'</t>
  </si>
  <si>
    <t>'49412'</t>
  </si>
  <si>
    <t>'49428'</t>
  </si>
  <si>
    <t>'49340'</t>
  </si>
  <si>
    <t>'49300'</t>
  </si>
  <si>
    <t>'49301'</t>
  </si>
  <si>
    <t>'49302'</t>
  </si>
  <si>
    <t>'49303'</t>
  </si>
  <si>
    <t>'49304'</t>
  </si>
  <si>
    <t>'49305'</t>
  </si>
  <si>
    <t>'49306'</t>
  </si>
  <si>
    <t>'49307'</t>
  </si>
  <si>
    <t>'49308'</t>
  </si>
  <si>
    <t>'49309'</t>
  </si>
  <si>
    <t>'49311'</t>
  </si>
  <si>
    <t>'49312'</t>
  </si>
  <si>
    <t>'49314'</t>
  </si>
  <si>
    <t>'49319'</t>
  </si>
  <si>
    <t>'49321'</t>
  </si>
  <si>
    <t>'49325'</t>
  </si>
  <si>
    <t>'49327'</t>
  </si>
  <si>
    <t>'49329'</t>
  </si>
  <si>
    <t>'49560'</t>
  </si>
  <si>
    <t>'49690'</t>
  </si>
  <si>
    <t>'49402'</t>
  </si>
  <si>
    <t>'49427'</t>
  </si>
  <si>
    <t>'49245'</t>
  </si>
  <si>
    <t>'49590'</t>
  </si>
  <si>
    <t>'49320'</t>
  </si>
  <si>
    <t>'49350'</t>
  </si>
  <si>
    <t>'49150'</t>
  </si>
  <si>
    <t>'49280'</t>
  </si>
  <si>
    <t>'49770'</t>
  </si>
  <si>
    <t>'49220'</t>
  </si>
  <si>
    <t>'49730'</t>
  </si>
  <si>
    <t>'49610'</t>
  </si>
  <si>
    <t>'49680'</t>
  </si>
  <si>
    <t>'49112'</t>
  </si>
  <si>
    <t>'49124'</t>
  </si>
  <si>
    <t>'49130'</t>
  </si>
  <si>
    <t>'49135'</t>
  </si>
  <si>
    <t>'49136'</t>
  </si>
  <si>
    <t>'49137'</t>
  </si>
  <si>
    <t>'49802'</t>
  </si>
  <si>
    <t>'49804'</t>
  </si>
  <si>
    <t>'49740'</t>
  </si>
  <si>
    <t>'49180'</t>
  </si>
  <si>
    <t>'49181'</t>
  </si>
  <si>
    <t>'49182'</t>
  </si>
  <si>
    <t>'49183'</t>
  </si>
  <si>
    <t>'49184'</t>
  </si>
  <si>
    <t>'49370'</t>
  </si>
  <si>
    <t>'49140'</t>
  </si>
  <si>
    <t>'49250'</t>
  </si>
  <si>
    <t>'49630'</t>
  </si>
  <si>
    <t>'49800'</t>
  </si>
  <si>
    <t>'49801'</t>
  </si>
  <si>
    <t>'49805'</t>
  </si>
  <si>
    <t>'49480'</t>
  </si>
  <si>
    <t>'49481'</t>
  </si>
  <si>
    <t>'49484'</t>
  </si>
  <si>
    <t>'49486'</t>
  </si>
  <si>
    <t>'49403'</t>
  </si>
  <si>
    <t>'49404'</t>
  </si>
  <si>
    <t>'49405'</t>
  </si>
  <si>
    <t>'49408'</t>
  </si>
  <si>
    <t>'49409'</t>
  </si>
  <si>
    <t>'49411'</t>
  </si>
  <si>
    <t>'49413'</t>
  </si>
  <si>
    <t>'49414'</t>
  </si>
  <si>
    <t>'49415'</t>
  </si>
  <si>
    <t>'49417'</t>
  </si>
  <si>
    <t>'49418'</t>
  </si>
  <si>
    <t>'49421'</t>
  </si>
  <si>
    <t>'49426'</t>
  </si>
  <si>
    <t>'49803'</t>
  </si>
  <si>
    <t>'49540'</t>
  </si>
  <si>
    <t>COMMUNAUTE D'AGGLOMERATION SAINT-LO AGGLO</t>
  </si>
  <si>
    <t>'50001'</t>
  </si>
  <si>
    <t>'50003'</t>
  </si>
  <si>
    <t>'50006'</t>
  </si>
  <si>
    <t>'50008'</t>
  </si>
  <si>
    <t>'50009'</t>
  </si>
  <si>
    <t>'50010'</t>
  </si>
  <si>
    <t>'50015'</t>
  </si>
  <si>
    <t>'50180'</t>
  </si>
  <si>
    <t>COMMUNAUTE DE COMMUNES COUTANCES MER ET BOCAGE</t>
  </si>
  <si>
    <t>'50230'</t>
  </si>
  <si>
    <t>'50680'</t>
  </si>
  <si>
    <t>'50620'</t>
  </si>
  <si>
    <t>COMMUNAUTE DE COMMUNES GRANVILLE TERRE ET MER</t>
  </si>
  <si>
    <t>'50400'</t>
  </si>
  <si>
    <t>COMMUNAUTE D'AGGLOMERATION DU COTENTIN</t>
  </si>
  <si>
    <t>'50760'</t>
  </si>
  <si>
    <t>'50660'</t>
  </si>
  <si>
    <t>'50630'</t>
  </si>
  <si>
    <t>'50310'</t>
  </si>
  <si>
    <t>'50450'</t>
  </si>
  <si>
    <t>'50270'</t>
  </si>
  <si>
    <t>'50810'</t>
  </si>
  <si>
    <t>'50000'</t>
  </si>
  <si>
    <t>'50320'</t>
  </si>
  <si>
    <t>'50420'</t>
  </si>
  <si>
    <t>'50440'</t>
  </si>
  <si>
    <t>'50441'</t>
  </si>
  <si>
    <t>'50442'</t>
  </si>
  <si>
    <t>'50444'</t>
  </si>
  <si>
    <t>'50445'</t>
  </si>
  <si>
    <t>'50446'</t>
  </si>
  <si>
    <t>'50447'</t>
  </si>
  <si>
    <t>'50448'</t>
  </si>
  <si>
    <t>'50449'</t>
  </si>
  <si>
    <t>'50460'</t>
  </si>
  <si>
    <t>'50690'</t>
  </si>
  <si>
    <t>'50210'</t>
  </si>
  <si>
    <t>'50340'</t>
  </si>
  <si>
    <t>'50390'</t>
  </si>
  <si>
    <t>'50160'</t>
  </si>
  <si>
    <t>'50560'</t>
  </si>
  <si>
    <t>'50360'</t>
  </si>
  <si>
    <t>'50610'</t>
  </si>
  <si>
    <t>'50200'</t>
  </si>
  <si>
    <t>'50290'</t>
  </si>
  <si>
    <t>'50110'</t>
  </si>
  <si>
    <t>'50260'</t>
  </si>
  <si>
    <t>'50330'</t>
  </si>
  <si>
    <t>'50700'</t>
  </si>
  <si>
    <t>'50570'</t>
  </si>
  <si>
    <t>'50750'</t>
  </si>
  <si>
    <t>'50580'</t>
  </si>
  <si>
    <t>'50740'</t>
  </si>
  <si>
    <t>'50510'</t>
  </si>
  <si>
    <t>'50530'</t>
  </si>
  <si>
    <t>'50100'</t>
  </si>
  <si>
    <t>'50101'</t>
  </si>
  <si>
    <t>'50102'</t>
  </si>
  <si>
    <t>'50103'</t>
  </si>
  <si>
    <t>'50104'</t>
  </si>
  <si>
    <t>'50105'</t>
  </si>
  <si>
    <t>'50106'</t>
  </si>
  <si>
    <t>'50107'</t>
  </si>
  <si>
    <t>'50108'</t>
  </si>
  <si>
    <t>'50113'</t>
  </si>
  <si>
    <t>'50114'</t>
  </si>
  <si>
    <t>'50115'</t>
  </si>
  <si>
    <t>'50120'</t>
  </si>
  <si>
    <t>'50130'</t>
  </si>
  <si>
    <t>'50470'</t>
  </si>
  <si>
    <t>'50651'</t>
  </si>
  <si>
    <t>'50652'</t>
  </si>
  <si>
    <t>'50890'</t>
  </si>
  <si>
    <t>'50201'</t>
  </si>
  <si>
    <t>'50202'</t>
  </si>
  <si>
    <t>'50203'</t>
  </si>
  <si>
    <t>'50204'</t>
  </si>
  <si>
    <t>'50205'</t>
  </si>
  <si>
    <t>'50206'</t>
  </si>
  <si>
    <t>'50207'</t>
  </si>
  <si>
    <t>'50208'</t>
  </si>
  <si>
    <t>'50350'</t>
  </si>
  <si>
    <t>'50402'</t>
  </si>
  <si>
    <t>'50403'</t>
  </si>
  <si>
    <t>'50406'</t>
  </si>
  <si>
    <t>'50840'</t>
  </si>
  <si>
    <t>'50401'</t>
  </si>
  <si>
    <t>'50404'</t>
  </si>
  <si>
    <t>'50405'</t>
  </si>
  <si>
    <t>'50407'</t>
  </si>
  <si>
    <t>'50590'</t>
  </si>
  <si>
    <t>'50002'</t>
  </si>
  <si>
    <t>'50880'</t>
  </si>
  <si>
    <t>'50860'</t>
  </si>
  <si>
    <t>'50490'</t>
  </si>
  <si>
    <t>'50250'</t>
  </si>
  <si>
    <t>'50380'</t>
  </si>
  <si>
    <t>'50004'</t>
  </si>
  <si>
    <t>'50005'</t>
  </si>
  <si>
    <t>'50007'</t>
  </si>
  <si>
    <t>'50012'</t>
  </si>
  <si>
    <t>'50013'</t>
  </si>
  <si>
    <t>'50050'</t>
  </si>
  <si>
    <t>'50550'</t>
  </si>
  <si>
    <t>COMMUNAUTE D'AGGLOMERATION DE CHALONS-EN-CHAMPAGNE</t>
  </si>
  <si>
    <t>'51150'</t>
  </si>
  <si>
    <t>CC DE LA GRANDE VALLE DE LA MARNE</t>
  </si>
  <si>
    <t>'51290'</t>
  </si>
  <si>
    <t>COMMUNAUTE URBAINE DU GRAND REIMS</t>
  </si>
  <si>
    <t>'51700'</t>
  </si>
  <si>
    <t>'51170'</t>
  </si>
  <si>
    <t>CA EPERNAY COTEAUX ET PLAINE DE CHAMPAGNE</t>
  </si>
  <si>
    <t>'51600'</t>
  </si>
  <si>
    <t>'51110'</t>
  </si>
  <si>
    <t>'51160'</t>
  </si>
  <si>
    <t>'51190'</t>
  </si>
  <si>
    <t>'51400'</t>
  </si>
  <si>
    <t>'51360'</t>
  </si>
  <si>
    <t>'51490'</t>
  </si>
  <si>
    <t>'51130'</t>
  </si>
  <si>
    <t>'51220'</t>
  </si>
  <si>
    <t>'51420'</t>
  </si>
  <si>
    <t>'51060'</t>
  </si>
  <si>
    <t>'51084'</t>
  </si>
  <si>
    <t>'51097'</t>
  </si>
  <si>
    <t>'51450'</t>
  </si>
  <si>
    <t>'51715'</t>
  </si>
  <si>
    <t>'51721'</t>
  </si>
  <si>
    <t>'51722'</t>
  </si>
  <si>
    <t>'51725'</t>
  </si>
  <si>
    <t>'51055'</t>
  </si>
  <si>
    <t>'51073'</t>
  </si>
  <si>
    <t>'51430'</t>
  </si>
  <si>
    <t>'51431'</t>
  </si>
  <si>
    <t>'51434'</t>
  </si>
  <si>
    <t>'51435'</t>
  </si>
  <si>
    <t>'51571'</t>
  </si>
  <si>
    <t>'51573'</t>
  </si>
  <si>
    <t>'51726'</t>
  </si>
  <si>
    <t>'51390'</t>
  </si>
  <si>
    <t>'51140'</t>
  </si>
  <si>
    <t>'51010'</t>
  </si>
  <si>
    <t>'51530'</t>
  </si>
  <si>
    <t>'51320'</t>
  </si>
  <si>
    <t>'51000'</t>
  </si>
  <si>
    <t>'51001'</t>
  </si>
  <si>
    <t>'51005'</t>
  </si>
  <si>
    <t>'51006'</t>
  </si>
  <si>
    <t>'51007'</t>
  </si>
  <si>
    <t>'51008'</t>
  </si>
  <si>
    <t>'51009'</t>
  </si>
  <si>
    <t>'51011'</t>
  </si>
  <si>
    <t>'51012'</t>
  </si>
  <si>
    <t>'51013'</t>
  </si>
  <si>
    <t>'51016'</t>
  </si>
  <si>
    <t>'51017'</t>
  </si>
  <si>
    <t>'51021'</t>
  </si>
  <si>
    <t>'51022'</t>
  </si>
  <si>
    <t>'51035'</t>
  </si>
  <si>
    <t>'51036'</t>
  </si>
  <si>
    <t>'51037'</t>
  </si>
  <si>
    <t>'51038'</t>
  </si>
  <si>
    <t>'51039'</t>
  </si>
  <si>
    <t>'51041'</t>
  </si>
  <si>
    <t>'51042'</t>
  </si>
  <si>
    <t>'51043'</t>
  </si>
  <si>
    <t>'51305'</t>
  </si>
  <si>
    <t>'51555'</t>
  </si>
  <si>
    <t>'51900'</t>
  </si>
  <si>
    <t>'51904'</t>
  </si>
  <si>
    <t>'51500'</t>
  </si>
  <si>
    <t>'51052'</t>
  </si>
  <si>
    <t>'51370'</t>
  </si>
  <si>
    <t>'51873'</t>
  </si>
  <si>
    <t>'51886'</t>
  </si>
  <si>
    <t>'51206'</t>
  </si>
  <si>
    <t>'51510'</t>
  </si>
  <si>
    <t>'51723'</t>
  </si>
  <si>
    <t>'51058'</t>
  </si>
  <si>
    <t>'51081'</t>
  </si>
  <si>
    <t>'51350'</t>
  </si>
  <si>
    <t>'51662'</t>
  </si>
  <si>
    <t>'51675'</t>
  </si>
  <si>
    <t>'51677'</t>
  </si>
  <si>
    <t>'51678'</t>
  </si>
  <si>
    <t>'51679'</t>
  </si>
  <si>
    <t>'51685'</t>
  </si>
  <si>
    <t>'51688'</t>
  </si>
  <si>
    <t>'51480'</t>
  </si>
  <si>
    <t>'51204'</t>
  </si>
  <si>
    <t>'51208'</t>
  </si>
  <si>
    <t>'51209'</t>
  </si>
  <si>
    <t>'51318'</t>
  </si>
  <si>
    <t>'51319'</t>
  </si>
  <si>
    <t>'51230'</t>
  </si>
  <si>
    <t>'51200'</t>
  </si>
  <si>
    <t>'51201'</t>
  </si>
  <si>
    <t>'51202'</t>
  </si>
  <si>
    <t>'51203'</t>
  </si>
  <si>
    <t>'51205'</t>
  </si>
  <si>
    <t>'51207'</t>
  </si>
  <si>
    <t>'51331'</t>
  </si>
  <si>
    <t>'51332'</t>
  </si>
  <si>
    <t>'51333'</t>
  </si>
  <si>
    <t>'51334'</t>
  </si>
  <si>
    <t>'51460'</t>
  </si>
  <si>
    <t>'51470'</t>
  </si>
  <si>
    <t>'51401'</t>
  </si>
  <si>
    <t>'51433'</t>
  </si>
  <si>
    <t>'51520'</t>
  </si>
  <si>
    <t>'51051'</t>
  </si>
  <si>
    <t>'51053'</t>
  </si>
  <si>
    <t>'51054'</t>
  </si>
  <si>
    <t>'51056'</t>
  </si>
  <si>
    <t>'51057'</t>
  </si>
  <si>
    <t>'51059'</t>
  </si>
  <si>
    <t>'51061'</t>
  </si>
  <si>
    <t>'51062'</t>
  </si>
  <si>
    <t>'51063'</t>
  </si>
  <si>
    <t>'51064'</t>
  </si>
  <si>
    <t>'51065'</t>
  </si>
  <si>
    <t>'51066'</t>
  </si>
  <si>
    <t>'51067'</t>
  </si>
  <si>
    <t>'51068'</t>
  </si>
  <si>
    <t>'51069'</t>
  </si>
  <si>
    <t>'51070'</t>
  </si>
  <si>
    <t>'51071'</t>
  </si>
  <si>
    <t>'51072'</t>
  </si>
  <si>
    <t>'51074'</t>
  </si>
  <si>
    <t>'51076'</t>
  </si>
  <si>
    <t>'51080'</t>
  </si>
  <si>
    <t>'51082'</t>
  </si>
  <si>
    <t>'51083'</t>
  </si>
  <si>
    <t>'51086'</t>
  </si>
  <si>
    <t>'51087'</t>
  </si>
  <si>
    <t>'51088'</t>
  </si>
  <si>
    <t>'51089'</t>
  </si>
  <si>
    <t>'51090'</t>
  </si>
  <si>
    <t>'51092'</t>
  </si>
  <si>
    <t>'51095'</t>
  </si>
  <si>
    <t>'51096'</t>
  </si>
  <si>
    <t>'51100'</t>
  </si>
  <si>
    <t>'51664'</t>
  </si>
  <si>
    <t>'51673'</t>
  </si>
  <si>
    <t>'51682'</t>
  </si>
  <si>
    <t>'51683'</t>
  </si>
  <si>
    <t>'51684'</t>
  </si>
  <si>
    <t>'51686'</t>
  </si>
  <si>
    <t>'51687'</t>
  </si>
  <si>
    <t>'51689'</t>
  </si>
  <si>
    <t>'51713'</t>
  </si>
  <si>
    <t>'51724'</t>
  </si>
  <si>
    <t>'51745'</t>
  </si>
  <si>
    <t>'51871'</t>
  </si>
  <si>
    <t>'51884'</t>
  </si>
  <si>
    <t>'51902'</t>
  </si>
  <si>
    <t>'52100'</t>
  </si>
  <si>
    <t>'51909'</t>
  </si>
  <si>
    <t>'51340'</t>
  </si>
  <si>
    <t>'51432'</t>
  </si>
  <si>
    <t>'51380'</t>
  </si>
  <si>
    <t>CA CHAUMONT-NOGENTAIS-BOLOGNE</t>
  </si>
  <si>
    <t>'52340'</t>
  </si>
  <si>
    <t>'52130'</t>
  </si>
  <si>
    <t>'52310'</t>
  </si>
  <si>
    <t>'52102'</t>
  </si>
  <si>
    <t>'52103'</t>
  </si>
  <si>
    <t>'52104'</t>
  </si>
  <si>
    <t>'52106'</t>
  </si>
  <si>
    <t>'52108'</t>
  </si>
  <si>
    <t>'52112'</t>
  </si>
  <si>
    <t>'52115'</t>
  </si>
  <si>
    <t>'52330'</t>
  </si>
  <si>
    <t>'52905'</t>
  </si>
  <si>
    <t>'52000'</t>
  </si>
  <si>
    <t>'52700'</t>
  </si>
  <si>
    <t>'52240'</t>
  </si>
  <si>
    <t>'52320'</t>
  </si>
  <si>
    <t>'52001'</t>
  </si>
  <si>
    <t>'52002'</t>
  </si>
  <si>
    <t>'52003'</t>
  </si>
  <si>
    <t>'52004'</t>
  </si>
  <si>
    <t>'52005'</t>
  </si>
  <si>
    <t>'52006'</t>
  </si>
  <si>
    <t>'52007'</t>
  </si>
  <si>
    <t>'52008'</t>
  </si>
  <si>
    <t>'52011'</t>
  </si>
  <si>
    <t>'52012'</t>
  </si>
  <si>
    <t>'52013'</t>
  </si>
  <si>
    <t>'52014'</t>
  </si>
  <si>
    <t>'52901'</t>
  </si>
  <si>
    <t>'52902'</t>
  </si>
  <si>
    <t>'52903'</t>
  </si>
  <si>
    <t>'52904'</t>
  </si>
  <si>
    <t>'52906'</t>
  </si>
  <si>
    <t>'52915'</t>
  </si>
  <si>
    <t>'52917'</t>
  </si>
  <si>
    <t>'52920'</t>
  </si>
  <si>
    <t>'52110'</t>
  </si>
  <si>
    <t>'52301'</t>
  </si>
  <si>
    <t>'52290'</t>
  </si>
  <si>
    <t>'52800'</t>
  </si>
  <si>
    <t>'52370'</t>
  </si>
  <si>
    <t>'52101'</t>
  </si>
  <si>
    <t>'52105'</t>
  </si>
  <si>
    <t>'52107'</t>
  </si>
  <si>
    <t>'52111'</t>
  </si>
  <si>
    <t>COMMUNAUTE D'AGGLOMERATION DE LAVAL</t>
  </si>
  <si>
    <t>'53940'</t>
  </si>
  <si>
    <t>MAYENNE COMMUNAUTE</t>
  </si>
  <si>
    <t>'53240'</t>
  </si>
  <si>
    <t>'53210'</t>
  </si>
  <si>
    <t>'53101'</t>
  </si>
  <si>
    <t>'53104'</t>
  </si>
  <si>
    <t>'53440'</t>
  </si>
  <si>
    <t>'53320'</t>
  </si>
  <si>
    <t>'53010'</t>
  </si>
  <si>
    <t>'53020'</t>
  </si>
  <si>
    <t>'53031'</t>
  </si>
  <si>
    <t>'53061'</t>
  </si>
  <si>
    <t>'53062'</t>
  </si>
  <si>
    <t>'53080'</t>
  </si>
  <si>
    <t>'53960'</t>
  </si>
  <si>
    <t>'53410'</t>
  </si>
  <si>
    <t>'53470'</t>
  </si>
  <si>
    <t>'53640'</t>
  </si>
  <si>
    <t>'53001'</t>
  </si>
  <si>
    <t>'53003'</t>
  </si>
  <si>
    <t>'53005'</t>
  </si>
  <si>
    <t>'53006'</t>
  </si>
  <si>
    <t>'53007'</t>
  </si>
  <si>
    <t>'53008'</t>
  </si>
  <si>
    <t>'53009'</t>
  </si>
  <si>
    <t>'53012'</t>
  </si>
  <si>
    <t>'53014'</t>
  </si>
  <si>
    <t>'53015'</t>
  </si>
  <si>
    <t>'53021'</t>
  </si>
  <si>
    <t>'53022'</t>
  </si>
  <si>
    <t>'53063'</t>
  </si>
  <si>
    <t>'53081'</t>
  </si>
  <si>
    <t>'53810'</t>
  </si>
  <si>
    <t>'53811'</t>
  </si>
  <si>
    <t>'53950'</t>
  </si>
  <si>
    <t>'53250'</t>
  </si>
  <si>
    <t>'53100'</t>
  </si>
  <si>
    <t>'53260'</t>
  </si>
  <si>
    <t>'53941'</t>
  </si>
  <si>
    <t>'53300'</t>
  </si>
  <si>
    <t>'53110'</t>
  </si>
  <si>
    <t>'53970'</t>
  </si>
  <si>
    <t>'53971'</t>
  </si>
  <si>
    <t>'53160'</t>
  </si>
  <si>
    <t>'53000'</t>
  </si>
  <si>
    <t>'53002'</t>
  </si>
  <si>
    <t>'53004'</t>
  </si>
  <si>
    <t>'53013'</t>
  </si>
  <si>
    <t>'53016'</t>
  </si>
  <si>
    <t>'53030'</t>
  </si>
  <si>
    <t>'53032'</t>
  </si>
  <si>
    <t>'53073'</t>
  </si>
  <si>
    <t>'53082'</t>
  </si>
  <si>
    <t>'53083'</t>
  </si>
  <si>
    <t>'53084'</t>
  </si>
  <si>
    <t>'53085'</t>
  </si>
  <si>
    <t>'53086'</t>
  </si>
  <si>
    <t>'53087'</t>
  </si>
  <si>
    <t>'53088'</t>
  </si>
  <si>
    <t>'53089'</t>
  </si>
  <si>
    <t>'53091'</t>
  </si>
  <si>
    <t>'53093'</t>
  </si>
  <si>
    <t>'53094'</t>
  </si>
  <si>
    <t>'53098'</t>
  </si>
  <si>
    <t>'53951'</t>
  </si>
  <si>
    <t>'53102'</t>
  </si>
  <si>
    <t>'53046'</t>
  </si>
  <si>
    <t>'53103'</t>
  </si>
  <si>
    <t>'53105'</t>
  </si>
  <si>
    <t>'53042'</t>
  </si>
  <si>
    <t>'53942'</t>
  </si>
  <si>
    <t>SMT DU PAYS DU BASSIN DE BRIEY</t>
  </si>
  <si>
    <t>'54800'</t>
  </si>
  <si>
    <t>COMMUNAUTE DE COMMUNES TERRES TOULOISES</t>
  </si>
  <si>
    <t>'54460'</t>
  </si>
  <si>
    <t>PETR DU PAYS DU LUNEVILLOIS</t>
  </si>
  <si>
    <t>'54450'</t>
  </si>
  <si>
    <t>'54560'</t>
  </si>
  <si>
    <t>'54200'</t>
  </si>
  <si>
    <t>'54202'</t>
  </si>
  <si>
    <t>'54150'</t>
  </si>
  <si>
    <t>'54470'</t>
  </si>
  <si>
    <t>'54110'</t>
  </si>
  <si>
    <t>COMMUNAUTE DE COMMUNES MAD ET MOSELLE</t>
  </si>
  <si>
    <t>'54530'</t>
  </si>
  <si>
    <t>'54370'</t>
  </si>
  <si>
    <t>METROPOLE DU GRAND NANCY</t>
  </si>
  <si>
    <t>'54510'</t>
  </si>
  <si>
    <t>COMMUNAUTE DE COMMUNES DU BASSIN DE PONT A MOUSSON</t>
  </si>
  <si>
    <t>'54700'</t>
  </si>
  <si>
    <t>'54701'</t>
  </si>
  <si>
    <t>'54702'</t>
  </si>
  <si>
    <t>'54704'</t>
  </si>
  <si>
    <t>'54706'</t>
  </si>
  <si>
    <t>'54311'</t>
  </si>
  <si>
    <t>'54312'</t>
  </si>
  <si>
    <t>'54580'</t>
  </si>
  <si>
    <t>'54380'</t>
  </si>
  <si>
    <t>'54490'</t>
  </si>
  <si>
    <t>'54385'</t>
  </si>
  <si>
    <t>'54154'</t>
  </si>
  <si>
    <t>CC PAYS DU SEL ET DU VERMOIS</t>
  </si>
  <si>
    <t>'54210'</t>
  </si>
  <si>
    <t>'54122'</t>
  </si>
  <si>
    <t>'54120'</t>
  </si>
  <si>
    <t>COMMUNAUTE DE COMMUNES MOSELLE ET MADON</t>
  </si>
  <si>
    <t>'54550'</t>
  </si>
  <si>
    <t>'54716'</t>
  </si>
  <si>
    <t>'54360'</t>
  </si>
  <si>
    <t>'54980'</t>
  </si>
  <si>
    <t>'54290'</t>
  </si>
  <si>
    <t>'54890'</t>
  </si>
  <si>
    <t>'54940'</t>
  </si>
  <si>
    <t>'54640'</t>
  </si>
  <si>
    <t>'54204'</t>
  </si>
  <si>
    <t>'54300'</t>
  </si>
  <si>
    <t>COMMUNAUTE D'AGGLOMERATION DE SAINT DIE DES VOSGES</t>
  </si>
  <si>
    <t>'54540'</t>
  </si>
  <si>
    <t>'54703'</t>
  </si>
  <si>
    <t>'54705'</t>
  </si>
  <si>
    <t>'54111'</t>
  </si>
  <si>
    <t>COMMUNAUTE DES COMMUNES DU BASSIN DE POMPEY</t>
  </si>
  <si>
    <t>'54136'</t>
  </si>
  <si>
    <t>'54151'</t>
  </si>
  <si>
    <t>'54152'</t>
  </si>
  <si>
    <t>'54153'</t>
  </si>
  <si>
    <t>'54790'</t>
  </si>
  <si>
    <t>'54803'</t>
  </si>
  <si>
    <t>'54230'</t>
  </si>
  <si>
    <t>'54802'</t>
  </si>
  <si>
    <t>'54250'</t>
  </si>
  <si>
    <t>'54302'</t>
  </si>
  <si>
    <t>'54303'</t>
  </si>
  <si>
    <t>'54304'</t>
  </si>
  <si>
    <t>'54305'</t>
  </si>
  <si>
    <t>'54113'</t>
  </si>
  <si>
    <t>'54206'</t>
  </si>
  <si>
    <t>SMITRAL</t>
  </si>
  <si>
    <t>'54720'</t>
  </si>
  <si>
    <t>'54801'</t>
  </si>
  <si>
    <t>'54261'</t>
  </si>
  <si>
    <t>'54870'</t>
  </si>
  <si>
    <t>'54400'</t>
  </si>
  <si>
    <t>'54401'</t>
  </si>
  <si>
    <t>'54413'</t>
  </si>
  <si>
    <t>'54414'</t>
  </si>
  <si>
    <t>'54680'</t>
  </si>
  <si>
    <t>'54670'</t>
  </si>
  <si>
    <t>'54119'</t>
  </si>
  <si>
    <t>'54130'</t>
  </si>
  <si>
    <t>'54131'</t>
  </si>
  <si>
    <t>'54203'</t>
  </si>
  <si>
    <t>'54205'</t>
  </si>
  <si>
    <t>'54201'</t>
  </si>
  <si>
    <t>'54830'</t>
  </si>
  <si>
    <t>'54270'</t>
  </si>
  <si>
    <t>'54271'</t>
  </si>
  <si>
    <t>'54272'</t>
  </si>
  <si>
    <t>'54273'</t>
  </si>
  <si>
    <t>'54760'</t>
  </si>
  <si>
    <t>'54630'</t>
  </si>
  <si>
    <t>'54712'</t>
  </si>
  <si>
    <t>'54714'</t>
  </si>
  <si>
    <t>'54181'</t>
  </si>
  <si>
    <t>'54710'</t>
  </si>
  <si>
    <t>'54713'</t>
  </si>
  <si>
    <t>'54840'</t>
  </si>
  <si>
    <t>'54570'</t>
  </si>
  <si>
    <t>'54160'</t>
  </si>
  <si>
    <t>'54390'</t>
  </si>
  <si>
    <t>'54780'</t>
  </si>
  <si>
    <t>'54730'</t>
  </si>
  <si>
    <t>'54860'</t>
  </si>
  <si>
    <t>'54180'</t>
  </si>
  <si>
    <t>'54182'</t>
  </si>
  <si>
    <t>'54183'</t>
  </si>
  <si>
    <t>'54184'</t>
  </si>
  <si>
    <t>'54186'</t>
  </si>
  <si>
    <t>'54440'</t>
  </si>
  <si>
    <t>'54310'</t>
  </si>
  <si>
    <t>'54185'</t>
  </si>
  <si>
    <t>'54590'</t>
  </si>
  <si>
    <t>'54017'</t>
  </si>
  <si>
    <t>'54140'</t>
  </si>
  <si>
    <t>'54240'</t>
  </si>
  <si>
    <t>'54620'</t>
  </si>
  <si>
    <t>'54970'</t>
  </si>
  <si>
    <t>'54410'</t>
  </si>
  <si>
    <t>'54950'</t>
  </si>
  <si>
    <t>'54520'</t>
  </si>
  <si>
    <t>'54521'</t>
  </si>
  <si>
    <t>'54522'</t>
  </si>
  <si>
    <t>'54523'</t>
  </si>
  <si>
    <t>'54524'</t>
  </si>
  <si>
    <t>'54525'</t>
  </si>
  <si>
    <t>'54526'</t>
  </si>
  <si>
    <t>'54690'</t>
  </si>
  <si>
    <t>'54402'</t>
  </si>
  <si>
    <t>'54403'</t>
  </si>
  <si>
    <t>'54405'</t>
  </si>
  <si>
    <t>'54412'</t>
  </si>
  <si>
    <t>'54810'</t>
  </si>
  <si>
    <t>'54404'</t>
  </si>
  <si>
    <t>'54406'</t>
  </si>
  <si>
    <t>'54711'</t>
  </si>
  <si>
    <t>'54715'</t>
  </si>
  <si>
    <t>'54301'</t>
  </si>
  <si>
    <t>'54129'</t>
  </si>
  <si>
    <t>'54132'</t>
  </si>
  <si>
    <t>'54220'</t>
  </si>
  <si>
    <t>'54820'</t>
  </si>
  <si>
    <t>'54330'</t>
  </si>
  <si>
    <t>'54035'</t>
  </si>
  <si>
    <t>'54320'</t>
  </si>
  <si>
    <t>'54527'</t>
  </si>
  <si>
    <t>'54960'</t>
  </si>
  <si>
    <t>'54850'</t>
  </si>
  <si>
    <t>'54135'</t>
  </si>
  <si>
    <t>'54350'</t>
  </si>
  <si>
    <t>'54411'</t>
  </si>
  <si>
    <t>'54920'</t>
  </si>
  <si>
    <t>'54660'</t>
  </si>
  <si>
    <t>'54118'</t>
  </si>
  <si>
    <t>'54000'</t>
  </si>
  <si>
    <t>'54001'</t>
  </si>
  <si>
    <t>'54002'</t>
  </si>
  <si>
    <t>'54003'</t>
  </si>
  <si>
    <t>'54004'</t>
  </si>
  <si>
    <t>'54005'</t>
  </si>
  <si>
    <t>'54006'</t>
  </si>
  <si>
    <t>'54007'</t>
  </si>
  <si>
    <t>'54008'</t>
  </si>
  <si>
    <t>'54009'</t>
  </si>
  <si>
    <t>'54010'</t>
  </si>
  <si>
    <t>'54011'</t>
  </si>
  <si>
    <t>'54012'</t>
  </si>
  <si>
    <t>'54013'</t>
  </si>
  <si>
    <t>'54014'</t>
  </si>
  <si>
    <t>'54015'</t>
  </si>
  <si>
    <t>'54016'</t>
  </si>
  <si>
    <t>'54020'</t>
  </si>
  <si>
    <t>'54021'</t>
  </si>
  <si>
    <t>'54022'</t>
  </si>
  <si>
    <t>'54023'</t>
  </si>
  <si>
    <t>'54029'</t>
  </si>
  <si>
    <t>'54032'</t>
  </si>
  <si>
    <t>'54036'</t>
  </si>
  <si>
    <t>'54037'</t>
  </si>
  <si>
    <t>'54038'</t>
  </si>
  <si>
    <t>'54039'</t>
  </si>
  <si>
    <t>'54041'</t>
  </si>
  <si>
    <t>'54042'</t>
  </si>
  <si>
    <t>'54043'</t>
  </si>
  <si>
    <t>'54046'</t>
  </si>
  <si>
    <t>'54047'</t>
  </si>
  <si>
    <t>'54052'</t>
  </si>
  <si>
    <t>'54053'</t>
  </si>
  <si>
    <t>'54054'</t>
  </si>
  <si>
    <t>'54056'</t>
  </si>
  <si>
    <t>'54062'</t>
  </si>
  <si>
    <t>'54063'</t>
  </si>
  <si>
    <t>'54064'</t>
  </si>
  <si>
    <t>'54072'</t>
  </si>
  <si>
    <t>'54073'</t>
  </si>
  <si>
    <t>'54074'</t>
  </si>
  <si>
    <t>'54096'</t>
  </si>
  <si>
    <t>'54097'</t>
  </si>
  <si>
    <t>'54098'</t>
  </si>
  <si>
    <t>'54100'</t>
  </si>
  <si>
    <t>'54900'</t>
  </si>
  <si>
    <t>'54340'</t>
  </si>
  <si>
    <t>'54425'</t>
  </si>
  <si>
    <t>'54430'</t>
  </si>
  <si>
    <t>'54133'</t>
  </si>
  <si>
    <t>'54138'</t>
  </si>
  <si>
    <t>'54650'</t>
  </si>
  <si>
    <t>'54420'</t>
  </si>
  <si>
    <t>'54280'</t>
  </si>
  <si>
    <t>'54880'</t>
  </si>
  <si>
    <t>'54190'</t>
  </si>
  <si>
    <t>'54750'</t>
  </si>
  <si>
    <t>'54910'</t>
  </si>
  <si>
    <t>'54121'</t>
  </si>
  <si>
    <t>'54500'</t>
  </si>
  <si>
    <t>'54501'</t>
  </si>
  <si>
    <t>'54502'</t>
  </si>
  <si>
    <t>'54503'</t>
  </si>
  <si>
    <t>'54504'</t>
  </si>
  <si>
    <t>'54505'</t>
  </si>
  <si>
    <t>'54506'</t>
  </si>
  <si>
    <t>'54507'</t>
  </si>
  <si>
    <t>'54511'</t>
  </si>
  <si>
    <t>'54512'</t>
  </si>
  <si>
    <t>'54513'</t>
  </si>
  <si>
    <t>'54514'</t>
  </si>
  <si>
    <t>'54515'</t>
  </si>
  <si>
    <t>'54517'</t>
  </si>
  <si>
    <t>'54519'</t>
  </si>
  <si>
    <t>'54071'</t>
  </si>
  <si>
    <t>'54600'</t>
  </si>
  <si>
    <t>'54601'</t>
  </si>
  <si>
    <t>'54602'</t>
  </si>
  <si>
    <t>'54603'</t>
  </si>
  <si>
    <t>'54604'</t>
  </si>
  <si>
    <t>'54941'</t>
  </si>
  <si>
    <t>'54123'</t>
  </si>
  <si>
    <t>'54990'</t>
  </si>
  <si>
    <t>CA DE BAR-LE-DUC-SUD MEUSE</t>
  </si>
  <si>
    <t>'55000'</t>
  </si>
  <si>
    <t>'55001'</t>
  </si>
  <si>
    <t>'55002'</t>
  </si>
  <si>
    <t>'55003'</t>
  </si>
  <si>
    <t>'55005'</t>
  </si>
  <si>
    <t>'55006'</t>
  </si>
  <si>
    <t>'55007'</t>
  </si>
  <si>
    <t>'55008'</t>
  </si>
  <si>
    <t>'55012'</t>
  </si>
  <si>
    <t>'55013'</t>
  </si>
  <si>
    <t>'55014'</t>
  </si>
  <si>
    <t>'55015'</t>
  </si>
  <si>
    <t>'55021'</t>
  </si>
  <si>
    <t>COMMUNAUTE D'AGGLOMERATION DU GRAND VERDUN</t>
  </si>
  <si>
    <t>'55100'</t>
  </si>
  <si>
    <t>'55105'</t>
  </si>
  <si>
    <t>'55103'</t>
  </si>
  <si>
    <t>'55104'</t>
  </si>
  <si>
    <t>'55106'</t>
  </si>
  <si>
    <t>'55107'</t>
  </si>
  <si>
    <t>'55108'</t>
  </si>
  <si>
    <t>'55430'</t>
  </si>
  <si>
    <t>'55270'</t>
  </si>
  <si>
    <t>'55240'</t>
  </si>
  <si>
    <t>'55101'</t>
  </si>
  <si>
    <t>'55500'</t>
  </si>
  <si>
    <t>'55150'</t>
  </si>
  <si>
    <t>'55840'</t>
  </si>
  <si>
    <t>'55310'</t>
  </si>
  <si>
    <t>'55400'</t>
  </si>
  <si>
    <t>'55102'</t>
  </si>
  <si>
    <t>'55112'</t>
  </si>
  <si>
    <t>'55113'</t>
  </si>
  <si>
    <t>CA GOLFE DU MORBIHAN VANNES</t>
  </si>
  <si>
    <t>'56004'</t>
  </si>
  <si>
    <t>'56005'</t>
  </si>
  <si>
    <t>'56037'</t>
  </si>
  <si>
    <t>'56610'</t>
  </si>
  <si>
    <t>'56640'</t>
  </si>
  <si>
    <t>'56403'</t>
  </si>
  <si>
    <t>'56404'</t>
  </si>
  <si>
    <t>'56870'</t>
  </si>
  <si>
    <t>LORIENT AGGLOMERATION</t>
  </si>
  <si>
    <t>'56700'</t>
  </si>
  <si>
    <t>'56390'</t>
  </si>
  <si>
    <t>PLOERMEL COMMUNAUTE</t>
  </si>
  <si>
    <t>'56430'</t>
  </si>
  <si>
    <t>'56310'</t>
  </si>
  <si>
    <t>'56240'</t>
  </si>
  <si>
    <t>'56130'</t>
  </si>
  <si>
    <t>'56800'</t>
  </si>
  <si>
    <t>'56601'</t>
  </si>
  <si>
    <t>'56602'</t>
  </si>
  <si>
    <t>'56603'</t>
  </si>
  <si>
    <t>'56607'</t>
  </si>
  <si>
    <t>'56850'</t>
  </si>
  <si>
    <t>'56851'</t>
  </si>
  <si>
    <t>'56852'</t>
  </si>
  <si>
    <t>'56853'</t>
  </si>
  <si>
    <t>'56854'</t>
  </si>
  <si>
    <t>'56855'</t>
  </si>
  <si>
    <t>'56620'</t>
  </si>
  <si>
    <t>'56120'</t>
  </si>
  <si>
    <t>'56420'</t>
  </si>
  <si>
    <t>'56250'</t>
  </si>
  <si>
    <t>'56490'</t>
  </si>
  <si>
    <t>'56680'</t>
  </si>
  <si>
    <t>'56530'</t>
  </si>
  <si>
    <t>'56803'</t>
  </si>
  <si>
    <t>'56590'</t>
  </si>
  <si>
    <t>'56520'</t>
  </si>
  <si>
    <t>'56802'</t>
  </si>
  <si>
    <t>'56957'</t>
  </si>
  <si>
    <t>'56701'</t>
  </si>
  <si>
    <t>'56702'</t>
  </si>
  <si>
    <t>'56703'</t>
  </si>
  <si>
    <t>'56704'</t>
  </si>
  <si>
    <t>'56450'</t>
  </si>
  <si>
    <t>'56780'</t>
  </si>
  <si>
    <t>'56840'</t>
  </si>
  <si>
    <t>'56650'</t>
  </si>
  <si>
    <t>'56705'</t>
  </si>
  <si>
    <t>'56532'</t>
  </si>
  <si>
    <t>'56600'</t>
  </si>
  <si>
    <t>'56606'</t>
  </si>
  <si>
    <t>'56609'</t>
  </si>
  <si>
    <t>'56440'</t>
  </si>
  <si>
    <t>'56709'</t>
  </si>
  <si>
    <t>'56105'</t>
  </si>
  <si>
    <t>'56260'</t>
  </si>
  <si>
    <t>'56275'</t>
  </si>
  <si>
    <t>'56277'</t>
  </si>
  <si>
    <t>'56570'</t>
  </si>
  <si>
    <t>'56100'</t>
  </si>
  <si>
    <t>'56101'</t>
  </si>
  <si>
    <t>'56102'</t>
  </si>
  <si>
    <t>'56103'</t>
  </si>
  <si>
    <t>'56104'</t>
  </si>
  <si>
    <t>'56106'</t>
  </si>
  <si>
    <t>'56107'</t>
  </si>
  <si>
    <t>'56108'</t>
  </si>
  <si>
    <t>'56109'</t>
  </si>
  <si>
    <t>'56311'</t>
  </si>
  <si>
    <t>'56312'</t>
  </si>
  <si>
    <t>'56314'</t>
  </si>
  <si>
    <t>'56315'</t>
  </si>
  <si>
    <t>'56317'</t>
  </si>
  <si>
    <t>'56319'</t>
  </si>
  <si>
    <t>'56321'</t>
  </si>
  <si>
    <t>'56322'</t>
  </si>
  <si>
    <t>'56323'</t>
  </si>
  <si>
    <t>'56324'</t>
  </si>
  <si>
    <t>'56325'</t>
  </si>
  <si>
    <t>'56326'</t>
  </si>
  <si>
    <t>'56327'</t>
  </si>
  <si>
    <t>'56998'</t>
  </si>
  <si>
    <t>'56890'</t>
  </si>
  <si>
    <t>'56892'</t>
  </si>
  <si>
    <t>'56760'</t>
  </si>
  <si>
    <t>'56891'</t>
  </si>
  <si>
    <t>'56270'</t>
  </si>
  <si>
    <t>'56271'</t>
  </si>
  <si>
    <t>'56272'</t>
  </si>
  <si>
    <t>'56273'</t>
  </si>
  <si>
    <t>'56274'</t>
  </si>
  <si>
    <t>'56276'</t>
  </si>
  <si>
    <t>'56002'</t>
  </si>
  <si>
    <t>'56003'</t>
  </si>
  <si>
    <t>'56006'</t>
  </si>
  <si>
    <t>'56007'</t>
  </si>
  <si>
    <t>'56008'</t>
  </si>
  <si>
    <t>'56010'</t>
  </si>
  <si>
    <t>'56880'</t>
  </si>
  <si>
    <t>'56801'</t>
  </si>
  <si>
    <t>'56804'</t>
  </si>
  <si>
    <t>'56805'</t>
  </si>
  <si>
    <t>'56400'</t>
  </si>
  <si>
    <t>'56402'</t>
  </si>
  <si>
    <t>'56290'</t>
  </si>
  <si>
    <t>'56531'</t>
  </si>
  <si>
    <t>'56535'</t>
  </si>
  <si>
    <t>'56539'</t>
  </si>
  <si>
    <t>'56670'</t>
  </si>
  <si>
    <t>'56460'</t>
  </si>
  <si>
    <t>'56896'</t>
  </si>
  <si>
    <t>'56730'</t>
  </si>
  <si>
    <t>'56009'</t>
  </si>
  <si>
    <t>'56011'</t>
  </si>
  <si>
    <t>'56370'</t>
  </si>
  <si>
    <t>'56860'</t>
  </si>
  <si>
    <t>'56190'</t>
  </si>
  <si>
    <t>'56000'</t>
  </si>
  <si>
    <t>'56001'</t>
  </si>
  <si>
    <t>'56017'</t>
  </si>
  <si>
    <t>'56018'</t>
  </si>
  <si>
    <t>'56019'</t>
  </si>
  <si>
    <t>'56020'</t>
  </si>
  <si>
    <t>'56021'</t>
  </si>
  <si>
    <t>'56026'</t>
  </si>
  <si>
    <t>'56029'</t>
  </si>
  <si>
    <t>'56034'</t>
  </si>
  <si>
    <t>'56035'</t>
  </si>
  <si>
    <t>'56036'</t>
  </si>
  <si>
    <t>'56038'</t>
  </si>
  <si>
    <t>'56039'</t>
  </si>
  <si>
    <t>'56909'</t>
  </si>
  <si>
    <t>'56951'</t>
  </si>
  <si>
    <t>'56956'</t>
  </si>
  <si>
    <t>CC DE SARREBOURG-MOSELLE SUD</t>
  </si>
  <si>
    <t>'57560'</t>
  </si>
  <si>
    <t>SMT THIONVILLE FENSCH</t>
  </si>
  <si>
    <t>'57440'</t>
  </si>
  <si>
    <t>'57701'</t>
  </si>
  <si>
    <t>'57704'</t>
  </si>
  <si>
    <t>'57705'</t>
  </si>
  <si>
    <t>CA FORBACH-PORTE-DE-FRANCE</t>
  </si>
  <si>
    <t>'57515'</t>
  </si>
  <si>
    <t>'57601'</t>
  </si>
  <si>
    <t>COMMUNAUTE D'AGGLOMERATION SAINT AVOLD SYNERGIE</t>
  </si>
  <si>
    <t>'57660'</t>
  </si>
  <si>
    <t>'57730'</t>
  </si>
  <si>
    <t>METZ METROPOLE COMMUNAUTE D'AGGLOMERATION</t>
  </si>
  <si>
    <t>'57865'</t>
  </si>
  <si>
    <t>'57130'</t>
  </si>
  <si>
    <t>'57131'</t>
  </si>
  <si>
    <t>'57680'</t>
  </si>
  <si>
    <t>'57073'</t>
  </si>
  <si>
    <t>'57075'</t>
  </si>
  <si>
    <t>'57084'</t>
  </si>
  <si>
    <t>'57085'</t>
  </si>
  <si>
    <t>'57530'</t>
  </si>
  <si>
    <t>'57132'</t>
  </si>
  <si>
    <t>'57133'</t>
  </si>
  <si>
    <t>'57151'</t>
  </si>
  <si>
    <t>'57790'</t>
  </si>
  <si>
    <t>'57260'</t>
  </si>
  <si>
    <t>'57152'</t>
  </si>
  <si>
    <t>'57153'</t>
  </si>
  <si>
    <t>'57156'</t>
  </si>
  <si>
    <t>'57685'</t>
  </si>
  <si>
    <t>'57810'</t>
  </si>
  <si>
    <t>'57050'</t>
  </si>
  <si>
    <t>'57051'</t>
  </si>
  <si>
    <t>'57052'</t>
  </si>
  <si>
    <t>'57054'</t>
  </si>
  <si>
    <t>'57056'</t>
  </si>
  <si>
    <t>'57057'</t>
  </si>
  <si>
    <t>'57063'</t>
  </si>
  <si>
    <t>'57830'</t>
  </si>
  <si>
    <t>'57340'</t>
  </si>
  <si>
    <t>'57401'</t>
  </si>
  <si>
    <t>'57460'</t>
  </si>
  <si>
    <t>'57604'</t>
  </si>
  <si>
    <t>'57605'</t>
  </si>
  <si>
    <t>'57930'</t>
  </si>
  <si>
    <t>'57310'</t>
  </si>
  <si>
    <t>'57635'</t>
  </si>
  <si>
    <t>CA SARREGUEMINES CONFLUENCES</t>
  </si>
  <si>
    <t>'57200'</t>
  </si>
  <si>
    <t>'57201'</t>
  </si>
  <si>
    <t>'57655'</t>
  </si>
  <si>
    <t>'57380'</t>
  </si>
  <si>
    <t>'57565'</t>
  </si>
  <si>
    <t>'57400'</t>
  </si>
  <si>
    <t>'57403'</t>
  </si>
  <si>
    <t>'57404'</t>
  </si>
  <si>
    <t>'57490'</t>
  </si>
  <si>
    <t>'57570'</t>
  </si>
  <si>
    <t>'57160'</t>
  </si>
  <si>
    <t>'57161'</t>
  </si>
  <si>
    <t>'57162'</t>
  </si>
  <si>
    <t>'57163'</t>
  </si>
  <si>
    <t>'57245'</t>
  </si>
  <si>
    <t>'57070'</t>
  </si>
  <si>
    <t>'57800'</t>
  </si>
  <si>
    <t>'57801'</t>
  </si>
  <si>
    <t>'57804'</t>
  </si>
  <si>
    <t>'57420'</t>
  </si>
  <si>
    <t>'57980'</t>
  </si>
  <si>
    <t>'57330'</t>
  </si>
  <si>
    <t>'57510'</t>
  </si>
  <si>
    <t>'57192'</t>
  </si>
  <si>
    <t>'57290'</t>
  </si>
  <si>
    <t>'57291'</t>
  </si>
  <si>
    <t>'57292'</t>
  </si>
  <si>
    <t>'57293'</t>
  </si>
  <si>
    <t>'57294'</t>
  </si>
  <si>
    <t>'57450'</t>
  </si>
  <si>
    <t>'57190'</t>
  </si>
  <si>
    <t>'57191'</t>
  </si>
  <si>
    <t>'57193'</t>
  </si>
  <si>
    <t>'57195'</t>
  </si>
  <si>
    <t>'57600'</t>
  </si>
  <si>
    <t>'57602'</t>
  </si>
  <si>
    <t>'57603'</t>
  </si>
  <si>
    <t>'57144'</t>
  </si>
  <si>
    <t>'57731'</t>
  </si>
  <si>
    <t>'57650'</t>
  </si>
  <si>
    <t>'57606'</t>
  </si>
  <si>
    <t>'57608'</t>
  </si>
  <si>
    <t>'57609'</t>
  </si>
  <si>
    <t>'57610'</t>
  </si>
  <si>
    <t>'57175'</t>
  </si>
  <si>
    <t>'57815'</t>
  </si>
  <si>
    <t>'57402'</t>
  </si>
  <si>
    <t>'57520'</t>
  </si>
  <si>
    <t>'57430'</t>
  </si>
  <si>
    <t>'57970'</t>
  </si>
  <si>
    <t>'57973'</t>
  </si>
  <si>
    <t>'57974'</t>
  </si>
  <si>
    <t>'57910'</t>
  </si>
  <si>
    <t>'57911'</t>
  </si>
  <si>
    <t>'57912'</t>
  </si>
  <si>
    <t>'57913'</t>
  </si>
  <si>
    <t>'57870'</t>
  </si>
  <si>
    <t>'57850'</t>
  </si>
  <si>
    <t>'57700'</t>
  </si>
  <si>
    <t>'57702'</t>
  </si>
  <si>
    <t>'57703'</t>
  </si>
  <si>
    <t>'57405'</t>
  </si>
  <si>
    <t>'57990'</t>
  </si>
  <si>
    <t>'57971'</t>
  </si>
  <si>
    <t>'57972'</t>
  </si>
  <si>
    <t>'57412'</t>
  </si>
  <si>
    <t>'57240'</t>
  </si>
  <si>
    <t>'57011'</t>
  </si>
  <si>
    <t>'57012'</t>
  </si>
  <si>
    <t>'57053'</t>
  </si>
  <si>
    <t>'57100'</t>
  </si>
  <si>
    <t>'57101'</t>
  </si>
  <si>
    <t>'57102'</t>
  </si>
  <si>
    <t>'57104'</t>
  </si>
  <si>
    <t>'57106'</t>
  </si>
  <si>
    <t>'57108'</t>
  </si>
  <si>
    <t>'57125'</t>
  </si>
  <si>
    <t>'57155'</t>
  </si>
  <si>
    <t>'57140'</t>
  </si>
  <si>
    <t>'57146'</t>
  </si>
  <si>
    <t>'57147'</t>
  </si>
  <si>
    <t>'57148'</t>
  </si>
  <si>
    <t>'57000'</t>
  </si>
  <si>
    <t>'57003'</t>
  </si>
  <si>
    <t>'57004'</t>
  </si>
  <si>
    <t>'57005'</t>
  </si>
  <si>
    <t>'57006'</t>
  </si>
  <si>
    <t>'57007'</t>
  </si>
  <si>
    <t>'57008'</t>
  </si>
  <si>
    <t>'57009'</t>
  </si>
  <si>
    <t>'57010'</t>
  </si>
  <si>
    <t>'57013'</t>
  </si>
  <si>
    <t>'57014'</t>
  </si>
  <si>
    <t>'57015'</t>
  </si>
  <si>
    <t>'57016'</t>
  </si>
  <si>
    <t>'57017'</t>
  </si>
  <si>
    <t>'57018'</t>
  </si>
  <si>
    <t>'57019'</t>
  </si>
  <si>
    <t>'57020'</t>
  </si>
  <si>
    <t>'57021'</t>
  </si>
  <si>
    <t>'57028'</t>
  </si>
  <si>
    <t>'57030'</t>
  </si>
  <si>
    <t>'57031'</t>
  </si>
  <si>
    <t>'57032'</t>
  </si>
  <si>
    <t>'57034'</t>
  </si>
  <si>
    <t>'57035'</t>
  </si>
  <si>
    <t>'57036'</t>
  </si>
  <si>
    <t>'57037'</t>
  </si>
  <si>
    <t>'57040'</t>
  </si>
  <si>
    <t>'57041'</t>
  </si>
  <si>
    <t>'57044'</t>
  </si>
  <si>
    <t>'57045'</t>
  </si>
  <si>
    <t>'57046'</t>
  </si>
  <si>
    <t>'57061'</t>
  </si>
  <si>
    <t>'57071'</t>
  </si>
  <si>
    <t>'57072'</t>
  </si>
  <si>
    <t>'57074'</t>
  </si>
  <si>
    <t>'57076'</t>
  </si>
  <si>
    <t>'57077'</t>
  </si>
  <si>
    <t>'57078'</t>
  </si>
  <si>
    <t>'57081'</t>
  </si>
  <si>
    <t>'57082'</t>
  </si>
  <si>
    <t>'57083'</t>
  </si>
  <si>
    <t>'57751'</t>
  </si>
  <si>
    <t>'57757'</t>
  </si>
  <si>
    <t>'57774'</t>
  </si>
  <si>
    <t>'57778'</t>
  </si>
  <si>
    <t>'57950'</t>
  </si>
  <si>
    <t>'57951'</t>
  </si>
  <si>
    <t>'57952'</t>
  </si>
  <si>
    <t>'57953'</t>
  </si>
  <si>
    <t>'57954'</t>
  </si>
  <si>
    <t>'57955'</t>
  </si>
  <si>
    <t>'57957'</t>
  </si>
  <si>
    <t>'57958'</t>
  </si>
  <si>
    <t>'57607'</t>
  </si>
  <si>
    <t>'57164'</t>
  </si>
  <si>
    <t>'57770'</t>
  </si>
  <si>
    <t>'57670'</t>
  </si>
  <si>
    <t>'57645'</t>
  </si>
  <si>
    <t>'57840'</t>
  </si>
  <si>
    <t>'57772'</t>
  </si>
  <si>
    <t>'57540'</t>
  </si>
  <si>
    <t>'57890'</t>
  </si>
  <si>
    <t>'57445'</t>
  </si>
  <si>
    <t>'57204'</t>
  </si>
  <si>
    <t>'57205'</t>
  </si>
  <si>
    <t>'57206'</t>
  </si>
  <si>
    <t>'57208'</t>
  </si>
  <si>
    <t>'57860'</t>
  </si>
  <si>
    <t>'57500'</t>
  </si>
  <si>
    <t>'57501'</t>
  </si>
  <si>
    <t>'57502'</t>
  </si>
  <si>
    <t>'57503'</t>
  </si>
  <si>
    <t>'57504'</t>
  </si>
  <si>
    <t>'57505'</t>
  </si>
  <si>
    <t>'57506'</t>
  </si>
  <si>
    <t>'57507'</t>
  </si>
  <si>
    <t>'57508'</t>
  </si>
  <si>
    <t>'57855'</t>
  </si>
  <si>
    <t>'57202'</t>
  </si>
  <si>
    <t>'57203'</t>
  </si>
  <si>
    <t>'57207'</t>
  </si>
  <si>
    <t>'57209'</t>
  </si>
  <si>
    <t>'57211'</t>
  </si>
  <si>
    <t>'57212'</t>
  </si>
  <si>
    <t>'57214'</t>
  </si>
  <si>
    <t>'57215'</t>
  </si>
  <si>
    <t>'57216'</t>
  </si>
  <si>
    <t>'57217'</t>
  </si>
  <si>
    <t>'57218'</t>
  </si>
  <si>
    <t>'57219'</t>
  </si>
  <si>
    <t>'57905'</t>
  </si>
  <si>
    <t>'57141'</t>
  </si>
  <si>
    <t>'57370'</t>
  </si>
  <si>
    <t>'57350'</t>
  </si>
  <si>
    <t>'57351'</t>
  </si>
  <si>
    <t>'57352'</t>
  </si>
  <si>
    <t>'57354'</t>
  </si>
  <si>
    <t>'57103'</t>
  </si>
  <si>
    <t>'57105'</t>
  </si>
  <si>
    <t>'57109'</t>
  </si>
  <si>
    <t>'57126'</t>
  </si>
  <si>
    <t>'57129'</t>
  </si>
  <si>
    <t>'57180'</t>
  </si>
  <si>
    <t>'57181'</t>
  </si>
  <si>
    <t>'57127'</t>
  </si>
  <si>
    <t>'57128'</t>
  </si>
  <si>
    <t>'57710'</t>
  </si>
  <si>
    <t>'57270'</t>
  </si>
  <si>
    <t>'57062'</t>
  </si>
  <si>
    <t>'57145'</t>
  </si>
  <si>
    <t>'57777'</t>
  </si>
  <si>
    <t>'57915'</t>
  </si>
  <si>
    <t>'57916'</t>
  </si>
  <si>
    <t>COMMUNAUTE D'AGGLOMERATION DE NEVERS</t>
  </si>
  <si>
    <t>'58000'</t>
  </si>
  <si>
    <t>'58003'</t>
  </si>
  <si>
    <t>'58004'</t>
  </si>
  <si>
    <t>'58005'</t>
  </si>
  <si>
    <t>'58007'</t>
  </si>
  <si>
    <t>'58642'</t>
  </si>
  <si>
    <t>'58643'</t>
  </si>
  <si>
    <t>'58660'</t>
  </si>
  <si>
    <t>'58600'</t>
  </si>
  <si>
    <t>'58641'</t>
  </si>
  <si>
    <t>'58320'</t>
  </si>
  <si>
    <t>'58470'</t>
  </si>
  <si>
    <t>'58180'</t>
  </si>
  <si>
    <t>'58001'</t>
  </si>
  <si>
    <t>'58002'</t>
  </si>
  <si>
    <t>'58006'</t>
  </si>
  <si>
    <t>'58008'</t>
  </si>
  <si>
    <t>'58009'</t>
  </si>
  <si>
    <t>'58013'</t>
  </si>
  <si>
    <t>'58014'</t>
  </si>
  <si>
    <t>'58015'</t>
  </si>
  <si>
    <t>'58018'</t>
  </si>
  <si>
    <t>'58019'</t>
  </si>
  <si>
    <t>'58020'</t>
  </si>
  <si>
    <t>'58022'</t>
  </si>
  <si>
    <t>'58025'</t>
  </si>
  <si>
    <t>'58026'</t>
  </si>
  <si>
    <t>'58027'</t>
  </si>
  <si>
    <t>'58028'</t>
  </si>
  <si>
    <t>'58033'</t>
  </si>
  <si>
    <t>'58036'</t>
  </si>
  <si>
    <t>'58039'</t>
  </si>
  <si>
    <t>'58640'</t>
  </si>
  <si>
    <t>COMMUNAUTE D'AGGLOMERATION DE CAMBRAI</t>
  </si>
  <si>
    <t>'59268'</t>
  </si>
  <si>
    <t>SIMOU DU VALENCIENNOIS</t>
  </si>
  <si>
    <t>'59215'</t>
  </si>
  <si>
    <t>SYNDICAT MIXTE DE TRANSPORTS URBAINS DE LA SAMBRE</t>
  </si>
  <si>
    <t>'59149'</t>
  </si>
  <si>
    <t>'59310'</t>
  </si>
  <si>
    <t>METROPOLE EUROPEENNE DE LILLE</t>
  </si>
  <si>
    <t>'59251'</t>
  </si>
  <si>
    <t>SYNDICAT MIXTE DES TRANSPORTS DU DOUAISIS</t>
  </si>
  <si>
    <t>'59194'</t>
  </si>
  <si>
    <t>'59580'</t>
  </si>
  <si>
    <t>'59018'</t>
  </si>
  <si>
    <t>'59036'</t>
  </si>
  <si>
    <t>'59083'</t>
  </si>
  <si>
    <t>'59084'</t>
  </si>
  <si>
    <t>'59091'</t>
  </si>
  <si>
    <t>'59092'</t>
  </si>
  <si>
    <t>'59491'</t>
  </si>
  <si>
    <t>'59493'</t>
  </si>
  <si>
    <t>'59650'</t>
  </si>
  <si>
    <t>'59651'</t>
  </si>
  <si>
    <t>'59652'</t>
  </si>
  <si>
    <t>'59653'</t>
  </si>
  <si>
    <t>'59654'</t>
  </si>
  <si>
    <t>'59655'</t>
  </si>
  <si>
    <t>'59656'</t>
  </si>
  <si>
    <t>'59657'</t>
  </si>
  <si>
    <t>'59658'</t>
  </si>
  <si>
    <t>'59662'</t>
  </si>
  <si>
    <t>'59663'</t>
  </si>
  <si>
    <t>'59664'</t>
  </si>
  <si>
    <t>'59665'</t>
  </si>
  <si>
    <t>'59666'</t>
  </si>
  <si>
    <t>'59667'</t>
  </si>
  <si>
    <t>'59668'</t>
  </si>
  <si>
    <t>'59669'</t>
  </si>
  <si>
    <t>'59677'</t>
  </si>
  <si>
    <t>'59785'</t>
  </si>
  <si>
    <t>'59787'</t>
  </si>
  <si>
    <t>'59788'</t>
  </si>
  <si>
    <t>'59400'</t>
  </si>
  <si>
    <t>'59112'</t>
  </si>
  <si>
    <t>'59152'</t>
  </si>
  <si>
    <t>'59410'</t>
  </si>
  <si>
    <t>'59416'</t>
  </si>
  <si>
    <t>'59151'</t>
  </si>
  <si>
    <t>COMMUNAUTE URBAINE DE DUNKERQUE</t>
  </si>
  <si>
    <t>'59380'</t>
  </si>
  <si>
    <t>'59280'</t>
  </si>
  <si>
    <t>'59421'</t>
  </si>
  <si>
    <t>'59426'</t>
  </si>
  <si>
    <t>'59427'</t>
  </si>
  <si>
    <t>'59428'</t>
  </si>
  <si>
    <t>'59429'</t>
  </si>
  <si>
    <t>'59486'</t>
  </si>
  <si>
    <t>'59487'</t>
  </si>
  <si>
    <t>'59269'</t>
  </si>
  <si>
    <t>'59600'</t>
  </si>
  <si>
    <t>'59604'</t>
  </si>
  <si>
    <t>'59551'</t>
  </si>
  <si>
    <t>'59265'</t>
  </si>
  <si>
    <t>'59165'</t>
  </si>
  <si>
    <t>'59249'</t>
  </si>
  <si>
    <t>'59537'</t>
  </si>
  <si>
    <t>'59494'</t>
  </si>
  <si>
    <t>'59352'</t>
  </si>
  <si>
    <t>'59501'</t>
  </si>
  <si>
    <t>'59505'</t>
  </si>
  <si>
    <t>'59506'</t>
  </si>
  <si>
    <t>'59509'</t>
  </si>
  <si>
    <t>'59950'</t>
  </si>
  <si>
    <t>'59358'</t>
  </si>
  <si>
    <t>'59570'</t>
  </si>
  <si>
    <t>'59300'</t>
  </si>
  <si>
    <t>'59301'</t>
  </si>
  <si>
    <t>'59302'</t>
  </si>
  <si>
    <t>'59304'</t>
  </si>
  <si>
    <t>'59307'</t>
  </si>
  <si>
    <t>'59308'</t>
  </si>
  <si>
    <t>'59312'</t>
  </si>
  <si>
    <t>'59314'</t>
  </si>
  <si>
    <t>'59620'</t>
  </si>
  <si>
    <t>'59710'</t>
  </si>
  <si>
    <t>'59296'</t>
  </si>
  <si>
    <t>'59138'</t>
  </si>
  <si>
    <t>'59830'</t>
  </si>
  <si>
    <t>'59270'</t>
  </si>
  <si>
    <t>'59780'</t>
  </si>
  <si>
    <t>'59470'</t>
  </si>
  <si>
    <t>'59554'</t>
  </si>
  <si>
    <t>'59480'</t>
  </si>
  <si>
    <t>'59221'</t>
  </si>
  <si>
    <t>'59134'</t>
  </si>
  <si>
    <t>'59536'</t>
  </si>
  <si>
    <t>'59330'</t>
  </si>
  <si>
    <t>'59135'</t>
  </si>
  <si>
    <t>'59740'</t>
  </si>
  <si>
    <t>'59145'</t>
  </si>
  <si>
    <t>'59213'</t>
  </si>
  <si>
    <t>'59235'</t>
  </si>
  <si>
    <t>'59192'</t>
  </si>
  <si>
    <t>'59933'</t>
  </si>
  <si>
    <t>'59726'</t>
  </si>
  <si>
    <t>'59497'</t>
  </si>
  <si>
    <t>'59587'</t>
  </si>
  <si>
    <t>'59588'</t>
  </si>
  <si>
    <t>'59910'</t>
  </si>
  <si>
    <t>'59111'</t>
  </si>
  <si>
    <t>'59630'</t>
  </si>
  <si>
    <t>'59166'</t>
  </si>
  <si>
    <t>'59338'</t>
  </si>
  <si>
    <t>'59558'</t>
  </si>
  <si>
    <t>'59178'</t>
  </si>
  <si>
    <t>'59168'</t>
  </si>
  <si>
    <t>'59602'</t>
  </si>
  <si>
    <t>'59870'</t>
  </si>
  <si>
    <t>'59123'</t>
  </si>
  <si>
    <t>'59375'</t>
  </si>
  <si>
    <t>'59731'</t>
  </si>
  <si>
    <t>'59860'</t>
  </si>
  <si>
    <t>'59490'</t>
  </si>
  <si>
    <t>'59199'</t>
  </si>
  <si>
    <t>'59144'</t>
  </si>
  <si>
    <t>'59161'</t>
  </si>
  <si>
    <t>'59401'</t>
  </si>
  <si>
    <t>'59402'</t>
  </si>
  <si>
    <t>'59403'</t>
  </si>
  <si>
    <t>'59404'</t>
  </si>
  <si>
    <t>'59405'</t>
  </si>
  <si>
    <t>'59406'</t>
  </si>
  <si>
    <t>'59407'</t>
  </si>
  <si>
    <t>'59408'</t>
  </si>
  <si>
    <t>'59409'</t>
  </si>
  <si>
    <t>'59133'</t>
  </si>
  <si>
    <t>'59267'</t>
  </si>
  <si>
    <t>'59169'</t>
  </si>
  <si>
    <t>'59160'</t>
  </si>
  <si>
    <t>'59462'</t>
  </si>
  <si>
    <t>'59464'</t>
  </si>
  <si>
    <t>'59465'</t>
  </si>
  <si>
    <t>'59468'</t>
  </si>
  <si>
    <t>'59716'</t>
  </si>
  <si>
    <t>'59242'</t>
  </si>
  <si>
    <t>'59180'</t>
  </si>
  <si>
    <t>'59379'</t>
  </si>
  <si>
    <t>'59411'</t>
  </si>
  <si>
    <t>'59413'</t>
  </si>
  <si>
    <t>'59943'</t>
  </si>
  <si>
    <t>'59951'</t>
  </si>
  <si>
    <t>'59680'</t>
  </si>
  <si>
    <t>'59425'</t>
  </si>
  <si>
    <t>'59930'</t>
  </si>
  <si>
    <t>'59931'</t>
  </si>
  <si>
    <t>'59932'</t>
  </si>
  <si>
    <t>'59230'</t>
  </si>
  <si>
    <t>'59733'</t>
  </si>
  <si>
    <t>'59147'</t>
  </si>
  <si>
    <t>'59559'</t>
  </si>
  <si>
    <t>'59560'</t>
  </si>
  <si>
    <t>'59163'</t>
  </si>
  <si>
    <t>'59210'</t>
  </si>
  <si>
    <t>'59376'</t>
  </si>
  <si>
    <t>'59386'</t>
  </si>
  <si>
    <t>'59412'</t>
  </si>
  <si>
    <t>'59941'</t>
  </si>
  <si>
    <t>'59552'</t>
  </si>
  <si>
    <t>'59279'</t>
  </si>
  <si>
    <t>'59154'</t>
  </si>
  <si>
    <t>'59258'</t>
  </si>
  <si>
    <t>'59170'</t>
  </si>
  <si>
    <t>'59682'</t>
  </si>
  <si>
    <t>'59895'</t>
  </si>
  <si>
    <t>'59961'</t>
  </si>
  <si>
    <t>'59962'</t>
  </si>
  <si>
    <t>'59963'</t>
  </si>
  <si>
    <t>'59964'</t>
  </si>
  <si>
    <t>'59351'</t>
  </si>
  <si>
    <t>'59503'</t>
  </si>
  <si>
    <t>'59504'</t>
  </si>
  <si>
    <t>'59553'</t>
  </si>
  <si>
    <t>'59990'</t>
  </si>
  <si>
    <t>'59187'</t>
  </si>
  <si>
    <t>'59220'</t>
  </si>
  <si>
    <t>'59721'</t>
  </si>
  <si>
    <t>'59722'</t>
  </si>
  <si>
    <t>'59723'</t>
  </si>
  <si>
    <t>'59557'</t>
  </si>
  <si>
    <t>'59890'</t>
  </si>
  <si>
    <t>'59500'</t>
  </si>
  <si>
    <t>'59502'</t>
  </si>
  <si>
    <t>'59507'</t>
  </si>
  <si>
    <t>'59508'</t>
  </si>
  <si>
    <t>'59282'</t>
  </si>
  <si>
    <t>'59440'</t>
  </si>
  <si>
    <t>'59140'</t>
  </si>
  <si>
    <t>'59240'</t>
  </si>
  <si>
    <t>'59377'</t>
  </si>
  <si>
    <t>'59378'</t>
  </si>
  <si>
    <t>'59381'</t>
  </si>
  <si>
    <t>'59382'</t>
  </si>
  <si>
    <t>'59383'</t>
  </si>
  <si>
    <t>'59385'</t>
  </si>
  <si>
    <t>'59430'</t>
  </si>
  <si>
    <t>'59640'</t>
  </si>
  <si>
    <t>'59942'</t>
  </si>
  <si>
    <t>'59944'</t>
  </si>
  <si>
    <t>'59948'</t>
  </si>
  <si>
    <t>'59176'</t>
  </si>
  <si>
    <t>'59320'</t>
  </si>
  <si>
    <t>'59481'</t>
  </si>
  <si>
    <t>'59482'</t>
  </si>
  <si>
    <t>'59483'</t>
  </si>
  <si>
    <t>'59193'</t>
  </si>
  <si>
    <t>'59424'</t>
  </si>
  <si>
    <t>'59171'</t>
  </si>
  <si>
    <t>'59124'</t>
  </si>
  <si>
    <t>'59278'</t>
  </si>
  <si>
    <t>'59127'</t>
  </si>
  <si>
    <t>'59940'</t>
  </si>
  <si>
    <t>'59295'</t>
  </si>
  <si>
    <t>'59155'</t>
  </si>
  <si>
    <t>'59475'</t>
  </si>
  <si>
    <t>'59812'</t>
  </si>
  <si>
    <t>'59247'</t>
  </si>
  <si>
    <t>'59606'</t>
  </si>
  <si>
    <t>'59750'</t>
  </si>
  <si>
    <t>'59179'</t>
  </si>
  <si>
    <t>'59128'</t>
  </si>
  <si>
    <t>'59158'</t>
  </si>
  <si>
    <t>'59148'</t>
  </si>
  <si>
    <t>'59510'</t>
  </si>
  <si>
    <t>'59236'</t>
  </si>
  <si>
    <t>'59970'</t>
  </si>
  <si>
    <t>'59234'</t>
  </si>
  <si>
    <t>'59273'</t>
  </si>
  <si>
    <t>'59811'</t>
  </si>
  <si>
    <t>'59813'</t>
  </si>
  <si>
    <t>'59814'</t>
  </si>
  <si>
    <t>'59815'</t>
  </si>
  <si>
    <t>'59891'</t>
  </si>
  <si>
    <t>'59122'</t>
  </si>
  <si>
    <t>'59254'</t>
  </si>
  <si>
    <t>'59253'</t>
  </si>
  <si>
    <t>'59760'</t>
  </si>
  <si>
    <t>'59791'</t>
  </si>
  <si>
    <t>'59792'</t>
  </si>
  <si>
    <t>'59153'</t>
  </si>
  <si>
    <t>'59820'</t>
  </si>
  <si>
    <t>'59287'</t>
  </si>
  <si>
    <t>'59250'</t>
  </si>
  <si>
    <t>'59431'</t>
  </si>
  <si>
    <t>'59432'</t>
  </si>
  <si>
    <t>'59433'</t>
  </si>
  <si>
    <t>'59496'</t>
  </si>
  <si>
    <t>'59732'</t>
  </si>
  <si>
    <t>'59198'</t>
  </si>
  <si>
    <t>'59121'</t>
  </si>
  <si>
    <t>'59618'</t>
  </si>
  <si>
    <t>'59255'</t>
  </si>
  <si>
    <t>'59660'</t>
  </si>
  <si>
    <t>'59067'</t>
  </si>
  <si>
    <t>'59195'</t>
  </si>
  <si>
    <t>'59266'</t>
  </si>
  <si>
    <t>'59263'</t>
  </si>
  <si>
    <t>'59116'</t>
  </si>
  <si>
    <t>'59492'</t>
  </si>
  <si>
    <t>'59141'</t>
  </si>
  <si>
    <t>'59460'</t>
  </si>
  <si>
    <t>'59571'</t>
  </si>
  <si>
    <t>'59572'</t>
  </si>
  <si>
    <t>'59573'</t>
  </si>
  <si>
    <t>'59167'</t>
  </si>
  <si>
    <t>'59130'</t>
  </si>
  <si>
    <t>'59831'</t>
  </si>
  <si>
    <t>'59832'</t>
  </si>
  <si>
    <t>'59390'</t>
  </si>
  <si>
    <t>'59453'</t>
  </si>
  <si>
    <t>'59353'</t>
  </si>
  <si>
    <t>'59226'</t>
  </si>
  <si>
    <t>'59259'</t>
  </si>
  <si>
    <t>'59115'</t>
  </si>
  <si>
    <t>'59495'</t>
  </si>
  <si>
    <t>'59053'</t>
  </si>
  <si>
    <t>'59078'</t>
  </si>
  <si>
    <t>'59080'</t>
  </si>
  <si>
    <t>'59082'</t>
  </si>
  <si>
    <t>'59719'</t>
  </si>
  <si>
    <t>'59784'</t>
  </si>
  <si>
    <t>'59810'</t>
  </si>
  <si>
    <t>'59817'</t>
  </si>
  <si>
    <t>'59845'</t>
  </si>
  <si>
    <t>'59899'</t>
  </si>
  <si>
    <t>'59007'</t>
  </si>
  <si>
    <t>'59030'</t>
  </si>
  <si>
    <t>'59049'</t>
  </si>
  <si>
    <t>'59260'</t>
  </si>
  <si>
    <t>'59712'</t>
  </si>
  <si>
    <t>'59000'</t>
  </si>
  <si>
    <t>'59001'</t>
  </si>
  <si>
    <t>'59002'</t>
  </si>
  <si>
    <t>'59003'</t>
  </si>
  <si>
    <t>'59004'</t>
  </si>
  <si>
    <t>'59005'</t>
  </si>
  <si>
    <t>'59006'</t>
  </si>
  <si>
    <t>'59008'</t>
  </si>
  <si>
    <t>'59009'</t>
  </si>
  <si>
    <t>'59010'</t>
  </si>
  <si>
    <t>'59011'</t>
  </si>
  <si>
    <t>'59012'</t>
  </si>
  <si>
    <t>'59013'</t>
  </si>
  <si>
    <t>'59014'</t>
  </si>
  <si>
    <t>'59015'</t>
  </si>
  <si>
    <t>'59016'</t>
  </si>
  <si>
    <t>'59017'</t>
  </si>
  <si>
    <t>'59019'</t>
  </si>
  <si>
    <t>'59020'</t>
  </si>
  <si>
    <t>'59021'</t>
  </si>
  <si>
    <t>'59022'</t>
  </si>
  <si>
    <t>'59023'</t>
  </si>
  <si>
    <t>'59024'</t>
  </si>
  <si>
    <t>'59025'</t>
  </si>
  <si>
    <t>'59026'</t>
  </si>
  <si>
    <t>'59027'</t>
  </si>
  <si>
    <t>'59028'</t>
  </si>
  <si>
    <t>'59029'</t>
  </si>
  <si>
    <t>'59031'</t>
  </si>
  <si>
    <t>'59032'</t>
  </si>
  <si>
    <t>'59033'</t>
  </si>
  <si>
    <t>'59034'</t>
  </si>
  <si>
    <t>'59035'</t>
  </si>
  <si>
    <t>'59037'</t>
  </si>
  <si>
    <t>'59039'</t>
  </si>
  <si>
    <t>'59040'</t>
  </si>
  <si>
    <t>'59041'</t>
  </si>
  <si>
    <t>'59042'</t>
  </si>
  <si>
    <t>'59043'</t>
  </si>
  <si>
    <t>'59044'</t>
  </si>
  <si>
    <t>'59045'</t>
  </si>
  <si>
    <t>'59046'</t>
  </si>
  <si>
    <t>'59047'</t>
  </si>
  <si>
    <t>'59048'</t>
  </si>
  <si>
    <t>'59334'</t>
  </si>
  <si>
    <t>'59461'</t>
  </si>
  <si>
    <t>'59463'</t>
  </si>
  <si>
    <t>'59466'</t>
  </si>
  <si>
    <t>'59555'</t>
  </si>
  <si>
    <t>'59713'</t>
  </si>
  <si>
    <t>'59718'</t>
  </si>
  <si>
    <t>'59777'</t>
  </si>
  <si>
    <t>'59800'</t>
  </si>
  <si>
    <t>'59852'</t>
  </si>
  <si>
    <t>'59864'</t>
  </si>
  <si>
    <t>'59867'</t>
  </si>
  <si>
    <t>'59868'</t>
  </si>
  <si>
    <t>'59881'</t>
  </si>
  <si>
    <t>'59884'</t>
  </si>
  <si>
    <t>'59885'</t>
  </si>
  <si>
    <t>'59893'</t>
  </si>
  <si>
    <t>'59897'</t>
  </si>
  <si>
    <t>'59900'</t>
  </si>
  <si>
    <t>'59126'</t>
  </si>
  <si>
    <t>'59182'</t>
  </si>
  <si>
    <t>'59840'</t>
  </si>
  <si>
    <t>'59608'</t>
  </si>
  <si>
    <t>'59120'</t>
  </si>
  <si>
    <t>'59373'</t>
  </si>
  <si>
    <t>'59374'</t>
  </si>
  <si>
    <t>'59156'</t>
  </si>
  <si>
    <t>'59720'</t>
  </si>
  <si>
    <t>'59451'</t>
  </si>
  <si>
    <t>'59452'</t>
  </si>
  <si>
    <t>'59110'</t>
  </si>
  <si>
    <t>'59561'</t>
  </si>
  <si>
    <t>'59562'</t>
  </si>
  <si>
    <t>'59563'</t>
  </si>
  <si>
    <t>'59564'</t>
  </si>
  <si>
    <t>'59701'</t>
  </si>
  <si>
    <t>'59849'</t>
  </si>
  <si>
    <t>'59233'</t>
  </si>
  <si>
    <t>'59159'</t>
  </si>
  <si>
    <t>'59443'</t>
  </si>
  <si>
    <t>'59700'</t>
  </si>
  <si>
    <t>'59702'</t>
  </si>
  <si>
    <t>'59703'</t>
  </si>
  <si>
    <t>'59704'</t>
  </si>
  <si>
    <t>'59705'</t>
  </si>
  <si>
    <t>'59706'</t>
  </si>
  <si>
    <t>'59708'</t>
  </si>
  <si>
    <t>'59783'</t>
  </si>
  <si>
    <t>'59847'</t>
  </si>
  <si>
    <t>'59848'</t>
  </si>
  <si>
    <t>'59252'</t>
  </si>
  <si>
    <t>'59305'</t>
  </si>
  <si>
    <t>'59318'</t>
  </si>
  <si>
    <t>'59329'</t>
  </si>
  <si>
    <t>'59581'</t>
  </si>
  <si>
    <t>'59582'</t>
  </si>
  <si>
    <t>'59583'</t>
  </si>
  <si>
    <t>'59770'</t>
  </si>
  <si>
    <t>'59164'</t>
  </si>
  <si>
    <t>'59520'</t>
  </si>
  <si>
    <t>'59872'</t>
  </si>
  <si>
    <t>'59873'</t>
  </si>
  <si>
    <t>'59874'</t>
  </si>
  <si>
    <t>'59274'</t>
  </si>
  <si>
    <t>'59172'</t>
  </si>
  <si>
    <t>'59601'</t>
  </si>
  <si>
    <t>'59603'</t>
  </si>
  <si>
    <t>'59605'</t>
  </si>
  <si>
    <t>'59607'</t>
  </si>
  <si>
    <t>'59143'</t>
  </si>
  <si>
    <t>'59224'</t>
  </si>
  <si>
    <t>'59283'</t>
  </si>
  <si>
    <t>'59370'</t>
  </si>
  <si>
    <t>'59896'</t>
  </si>
  <si>
    <t>'59246'</t>
  </si>
  <si>
    <t>'59227'</t>
  </si>
  <si>
    <t>'59420'</t>
  </si>
  <si>
    <t>'59589'</t>
  </si>
  <si>
    <t>'59531'</t>
  </si>
  <si>
    <t>'59532'</t>
  </si>
  <si>
    <t>'59535'</t>
  </si>
  <si>
    <t>'59960'</t>
  </si>
  <si>
    <t>'59239'</t>
  </si>
  <si>
    <t>'59293'</t>
  </si>
  <si>
    <t>'59422'</t>
  </si>
  <si>
    <t>'59850'</t>
  </si>
  <si>
    <t>'59139'</t>
  </si>
  <si>
    <t>'59472'</t>
  </si>
  <si>
    <t>'59474'</t>
  </si>
  <si>
    <t>'59476'</t>
  </si>
  <si>
    <t>'59635'</t>
  </si>
  <si>
    <t>'59550'</t>
  </si>
  <si>
    <t>'59264'</t>
  </si>
  <si>
    <t>'59162'</t>
  </si>
  <si>
    <t>'59146'</t>
  </si>
  <si>
    <t>'59284'</t>
  </si>
  <si>
    <t>'59303'</t>
  </si>
  <si>
    <t>'59309'</t>
  </si>
  <si>
    <t>'59316'</t>
  </si>
  <si>
    <t>'59321'</t>
  </si>
  <si>
    <t>'59322'</t>
  </si>
  <si>
    <t>'59328'</t>
  </si>
  <si>
    <t>'59185'</t>
  </si>
  <si>
    <t>'59243'</t>
  </si>
  <si>
    <t>'59920'</t>
  </si>
  <si>
    <t>'59590'</t>
  </si>
  <si>
    <t>'59245'</t>
  </si>
  <si>
    <t>'59277'</t>
  </si>
  <si>
    <t>'59790'</t>
  </si>
  <si>
    <t>'59223'</t>
  </si>
  <si>
    <t>'59435'</t>
  </si>
  <si>
    <t>'59436'</t>
  </si>
  <si>
    <t>'59437'</t>
  </si>
  <si>
    <t>'59286'</t>
  </si>
  <si>
    <t>'59734'</t>
  </si>
  <si>
    <t>'59100'</t>
  </si>
  <si>
    <t>'59346'</t>
  </si>
  <si>
    <t>'59671'</t>
  </si>
  <si>
    <t>'59672'</t>
  </si>
  <si>
    <t>'59673'</t>
  </si>
  <si>
    <t>'59965'</t>
  </si>
  <si>
    <t>'59131'</t>
  </si>
  <si>
    <t>'59306'</t>
  </si>
  <si>
    <t>'59281'</t>
  </si>
  <si>
    <t>'59088'</t>
  </si>
  <si>
    <t>'59262'</t>
  </si>
  <si>
    <t>'59184'</t>
  </si>
  <si>
    <t>'59350'</t>
  </si>
  <si>
    <t>'59871'</t>
  </si>
  <si>
    <t>'59875'</t>
  </si>
  <si>
    <t>'59877'</t>
  </si>
  <si>
    <t>'59326'</t>
  </si>
  <si>
    <t>'59880'</t>
  </si>
  <si>
    <t>'59211'</t>
  </si>
  <si>
    <t>'59113'</t>
  </si>
  <si>
    <t>'59471'</t>
  </si>
  <si>
    <t>'59473'</t>
  </si>
  <si>
    <t>'59477'</t>
  </si>
  <si>
    <t>'59174'</t>
  </si>
  <si>
    <t>'59455'</t>
  </si>
  <si>
    <t>'59450'</t>
  </si>
  <si>
    <t>'59181'</t>
  </si>
  <si>
    <t>'59175'</t>
  </si>
  <si>
    <t>'59637'</t>
  </si>
  <si>
    <t>'59229'</t>
  </si>
  <si>
    <t>'59200'</t>
  </si>
  <si>
    <t>'59202'</t>
  </si>
  <si>
    <t>'59203'</t>
  </si>
  <si>
    <t>'59207'</t>
  </si>
  <si>
    <t>'59208'</t>
  </si>
  <si>
    <t>'59209'</t>
  </si>
  <si>
    <t>'59331'</t>
  </si>
  <si>
    <t>'59332'</t>
  </si>
  <si>
    <t>'59333'</t>
  </si>
  <si>
    <t>'59335'</t>
  </si>
  <si>
    <t>'59336'</t>
  </si>
  <si>
    <t>'59337'</t>
  </si>
  <si>
    <t>'59878'</t>
  </si>
  <si>
    <t>'59971'</t>
  </si>
  <si>
    <t>'59972'</t>
  </si>
  <si>
    <t>'59975'</t>
  </si>
  <si>
    <t>'59976'</t>
  </si>
  <si>
    <t>'59125'</t>
  </si>
  <si>
    <t>'59311'</t>
  </si>
  <si>
    <t>'59315'</t>
  </si>
  <si>
    <t>'59237'</t>
  </si>
  <si>
    <t>'59686'</t>
  </si>
  <si>
    <t>'59898'</t>
  </si>
  <si>
    <t>'59232'</t>
  </si>
  <si>
    <t>'59690'</t>
  </si>
  <si>
    <t>'59188'</t>
  </si>
  <si>
    <t>'59297'</t>
  </si>
  <si>
    <t>'59261'</t>
  </si>
  <si>
    <t>'59118'</t>
  </si>
  <si>
    <t>'59290'</t>
  </si>
  <si>
    <t>'59441'</t>
  </si>
  <si>
    <t>'59442'</t>
  </si>
  <si>
    <t>'59444'</t>
  </si>
  <si>
    <t>'59445'</t>
  </si>
  <si>
    <t>'59446'</t>
  </si>
  <si>
    <t>'59447'</t>
  </si>
  <si>
    <t>'59485'</t>
  </si>
  <si>
    <t>'59883'</t>
  </si>
  <si>
    <t>'59150'</t>
  </si>
  <si>
    <t>'59391'</t>
  </si>
  <si>
    <t>'59392'</t>
  </si>
  <si>
    <t>'59393'</t>
  </si>
  <si>
    <t>'59136'</t>
  </si>
  <si>
    <t>'59119'</t>
  </si>
  <si>
    <t>'59117'</t>
  </si>
  <si>
    <t>'59272'</t>
  </si>
  <si>
    <t>COMMUNAUTE DE COMMUNES THELLOISE</t>
  </si>
  <si>
    <t>'60430'</t>
  </si>
  <si>
    <t>'60434'</t>
  </si>
  <si>
    <t>SYNDICAT MIXTE DES TRANSPORTS COLLECTIFS DE L'OISE</t>
  </si>
  <si>
    <t>'60480'</t>
  </si>
  <si>
    <t>'60690'</t>
  </si>
  <si>
    <t>'60620'</t>
  </si>
  <si>
    <t>'60805'</t>
  </si>
  <si>
    <t>'60700'</t>
  </si>
  <si>
    <t>'60721'</t>
  </si>
  <si>
    <t>'60723'</t>
  </si>
  <si>
    <t>COMMUNAUTE DE COMMUNES DU CLERMONTOIS</t>
  </si>
  <si>
    <t>'60600'</t>
  </si>
  <si>
    <t>'60602'</t>
  </si>
  <si>
    <t>'60603'</t>
  </si>
  <si>
    <t>COMMUNAUTE D'AGGLOMERATION DU BEAUVAISIS</t>
  </si>
  <si>
    <t>'60000'</t>
  </si>
  <si>
    <t>'60002'</t>
  </si>
  <si>
    <t>'60004'</t>
  </si>
  <si>
    <t>'60005'</t>
  </si>
  <si>
    <t>'60006'</t>
  </si>
  <si>
    <t>'60007'</t>
  </si>
  <si>
    <t>'60009'</t>
  </si>
  <si>
    <t>COMMUNAUTE DE COMMUNES DES SABLONS</t>
  </si>
  <si>
    <t>'60110'</t>
  </si>
  <si>
    <t>'60111'</t>
  </si>
  <si>
    <t>'60114'</t>
  </si>
  <si>
    <t>'60543'</t>
  </si>
  <si>
    <t>'60570'</t>
  </si>
  <si>
    <t>'60940'</t>
  </si>
  <si>
    <t>'60130'</t>
  </si>
  <si>
    <t>'60250'</t>
  </si>
  <si>
    <t>'60251'</t>
  </si>
  <si>
    <t>'60252'</t>
  </si>
  <si>
    <t>'60120'</t>
  </si>
  <si>
    <t>'60540'</t>
  </si>
  <si>
    <t>'60162'</t>
  </si>
  <si>
    <t>COMMUNAUTE DE COMMUNES DU PAYS NOYONNAIS</t>
  </si>
  <si>
    <t>'60400'</t>
  </si>
  <si>
    <t>'60300'</t>
  </si>
  <si>
    <t>AGGLOMERATION DE LA REGION DE COMPIEGNE</t>
  </si>
  <si>
    <t>'60618'</t>
  </si>
  <si>
    <t>'60880'</t>
  </si>
  <si>
    <t>CA REGION COMPIEGNE ET BASSE AUTOMNE</t>
  </si>
  <si>
    <t>COMMUNAUTE DE COMMUNES DE LA PLAINE D'ESTREES</t>
  </si>
  <si>
    <t>'60190'</t>
  </si>
  <si>
    <t>'60350'</t>
  </si>
  <si>
    <t>'60360'</t>
  </si>
  <si>
    <t>'60800'</t>
  </si>
  <si>
    <t>'60390'</t>
  </si>
  <si>
    <t>'60890'</t>
  </si>
  <si>
    <t>'60310'</t>
  </si>
  <si>
    <t>'60401'</t>
  </si>
  <si>
    <t>'60240'</t>
  </si>
  <si>
    <t>'60435'</t>
  </si>
  <si>
    <t>'60930'</t>
  </si>
  <si>
    <t>CC LIANCOURTOIS VALLEE DOREE</t>
  </si>
  <si>
    <t>'60140'</t>
  </si>
  <si>
    <t>'60332'</t>
  </si>
  <si>
    <t>'60170'</t>
  </si>
  <si>
    <t>'60722'</t>
  </si>
  <si>
    <t>'60810'</t>
  </si>
  <si>
    <t>'60113'</t>
  </si>
  <si>
    <t>'60380'</t>
  </si>
  <si>
    <t>'60210'</t>
  </si>
  <si>
    <t>'60640'</t>
  </si>
  <si>
    <t>'60008'</t>
  </si>
  <si>
    <t>'60010'</t>
  </si>
  <si>
    <t>'60012'</t>
  </si>
  <si>
    <t>'60013'</t>
  </si>
  <si>
    <t>'60014'</t>
  </si>
  <si>
    <t>'60015'</t>
  </si>
  <si>
    <t>'60016'</t>
  </si>
  <si>
    <t>'60017'</t>
  </si>
  <si>
    <t>'60018'</t>
  </si>
  <si>
    <t>'60021'</t>
  </si>
  <si>
    <t>'60022'</t>
  </si>
  <si>
    <t>'60024'</t>
  </si>
  <si>
    <t>'60025'</t>
  </si>
  <si>
    <t>'60026'</t>
  </si>
  <si>
    <t>'60028'</t>
  </si>
  <si>
    <t>'60031'</t>
  </si>
  <si>
    <t>'60541'</t>
  </si>
  <si>
    <t>'60490'</t>
  </si>
  <si>
    <t>'60370'</t>
  </si>
  <si>
    <t>'60129'</t>
  </si>
  <si>
    <t>'60320'</t>
  </si>
  <si>
    <t>'60804'</t>
  </si>
  <si>
    <t>'60280'</t>
  </si>
  <si>
    <t>'60650'</t>
  </si>
  <si>
    <t>'60460'</t>
  </si>
  <si>
    <t>'60860'</t>
  </si>
  <si>
    <t>'60440'</t>
  </si>
  <si>
    <t>'60510'</t>
  </si>
  <si>
    <t>'60121'</t>
  </si>
  <si>
    <t>'60123'</t>
  </si>
  <si>
    <t>'60112'</t>
  </si>
  <si>
    <t>'60820'</t>
  </si>
  <si>
    <t>'60141'</t>
  </si>
  <si>
    <t>'60590'</t>
  </si>
  <si>
    <t>'60674'</t>
  </si>
  <si>
    <t>'60870'</t>
  </si>
  <si>
    <t>'60871'</t>
  </si>
  <si>
    <t>'60608'</t>
  </si>
  <si>
    <t>'60676'</t>
  </si>
  <si>
    <t>'60840'</t>
  </si>
  <si>
    <t>'60607'</t>
  </si>
  <si>
    <t>'60220'</t>
  </si>
  <si>
    <t>'60403'</t>
  </si>
  <si>
    <t>'60771'</t>
  </si>
  <si>
    <t>'60772'</t>
  </si>
  <si>
    <t>'60290'</t>
  </si>
  <si>
    <t>'60292'</t>
  </si>
  <si>
    <t>'60617'</t>
  </si>
  <si>
    <t>'60680'</t>
  </si>
  <si>
    <t>'60291'</t>
  </si>
  <si>
    <t>'60436'</t>
  </si>
  <si>
    <t>'60438'</t>
  </si>
  <si>
    <t>'60439'</t>
  </si>
  <si>
    <t>'60730'</t>
  </si>
  <si>
    <t>'60305'</t>
  </si>
  <si>
    <t>'60306'</t>
  </si>
  <si>
    <t>'60230'</t>
  </si>
  <si>
    <t>'60500'</t>
  </si>
  <si>
    <t>'60501'</t>
  </si>
  <si>
    <t>'60505'</t>
  </si>
  <si>
    <t>'60507'</t>
  </si>
  <si>
    <t>'60552'</t>
  </si>
  <si>
    <t>'60631'</t>
  </si>
  <si>
    <t>'60632'</t>
  </si>
  <si>
    <t>'60633'</t>
  </si>
  <si>
    <t>'60634'</t>
  </si>
  <si>
    <t>'60635'</t>
  </si>
  <si>
    <t>'60643'</t>
  </si>
  <si>
    <t>'60647'</t>
  </si>
  <si>
    <t>'60745'</t>
  </si>
  <si>
    <t>'60520'</t>
  </si>
  <si>
    <t>'60150'</t>
  </si>
  <si>
    <t>'60710'</t>
  </si>
  <si>
    <t>'60138'</t>
  </si>
  <si>
    <t>'60750'</t>
  </si>
  <si>
    <t>'60751'</t>
  </si>
  <si>
    <t>'60660'</t>
  </si>
  <si>
    <t>'60201'</t>
  </si>
  <si>
    <t>'60204'</t>
  </si>
  <si>
    <t>'60281'</t>
  </si>
  <si>
    <t>'60200'</t>
  </si>
  <si>
    <t>'60202'</t>
  </si>
  <si>
    <t>'60203'</t>
  </si>
  <si>
    <t>'60205'</t>
  </si>
  <si>
    <t>'60206'</t>
  </si>
  <si>
    <t>'60207'</t>
  </si>
  <si>
    <t>'60208'</t>
  </si>
  <si>
    <t>'60321'</t>
  </si>
  <si>
    <t>'60476'</t>
  </si>
  <si>
    <t>'60477'</t>
  </si>
  <si>
    <t>'60850'</t>
  </si>
  <si>
    <t>'60776'</t>
  </si>
  <si>
    <t>'60777'</t>
  </si>
  <si>
    <t>'60580'</t>
  </si>
  <si>
    <t>COMMUNAUTE DE COMMUNES PIERRE SUD OISE</t>
  </si>
  <si>
    <t>'60762'</t>
  </si>
  <si>
    <t>AGGLOMERATION CREIL SUD OISE</t>
  </si>
  <si>
    <t>'60100'</t>
  </si>
  <si>
    <t>'60102'</t>
  </si>
  <si>
    <t>'60103'</t>
  </si>
  <si>
    <t>'60104'</t>
  </si>
  <si>
    <t>'60105'</t>
  </si>
  <si>
    <t>'60106'</t>
  </si>
  <si>
    <t>'60107'</t>
  </si>
  <si>
    <t>'60109'</t>
  </si>
  <si>
    <t>'60181'</t>
  </si>
  <si>
    <t>'60311'</t>
  </si>
  <si>
    <t>'60312'</t>
  </si>
  <si>
    <t>'60313'</t>
  </si>
  <si>
    <t>'60314'</t>
  </si>
  <si>
    <t>'60315'</t>
  </si>
  <si>
    <t>'60316'</t>
  </si>
  <si>
    <t>'60318'</t>
  </si>
  <si>
    <t>'60319'</t>
  </si>
  <si>
    <t>'60831'</t>
  </si>
  <si>
    <t>'60832'</t>
  </si>
  <si>
    <t>'60833'</t>
  </si>
  <si>
    <t>'60909'</t>
  </si>
  <si>
    <t>'60801'</t>
  </si>
  <si>
    <t>'60802'</t>
  </si>
  <si>
    <t>'60803'</t>
  </si>
  <si>
    <t>COMMUNAUTÉ DE COMMUNES DU PAYS DE VALOIS (CCPV)</t>
  </si>
  <si>
    <t>'60420'</t>
  </si>
  <si>
    <t>'60530'</t>
  </si>
  <si>
    <t>'60790'</t>
  </si>
  <si>
    <t>'60157'</t>
  </si>
  <si>
    <t>'60950'</t>
  </si>
  <si>
    <t>'60330'</t>
  </si>
  <si>
    <t>'60960'</t>
  </si>
  <si>
    <t>'60127'</t>
  </si>
  <si>
    <t>'60117'</t>
  </si>
  <si>
    <t>'60270'</t>
  </si>
  <si>
    <t>'60271'</t>
  </si>
  <si>
    <t>'60119'</t>
  </si>
  <si>
    <t>'60544'</t>
  </si>
  <si>
    <t>'60437'</t>
  </si>
  <si>
    <t>'60173'</t>
  </si>
  <si>
    <t>'60612'</t>
  </si>
  <si>
    <t>'60610'</t>
  </si>
  <si>
    <t>'60671'</t>
  </si>
  <si>
    <t>'60293'</t>
  </si>
  <si>
    <t>'60260'</t>
  </si>
  <si>
    <t>'60126'</t>
  </si>
  <si>
    <t>'60325'</t>
  </si>
  <si>
    <t>'60115'</t>
  </si>
  <si>
    <t>'95526'</t>
  </si>
  <si>
    <t>'60160'</t>
  </si>
  <si>
    <t>'60761'</t>
  </si>
  <si>
    <t>'60134'</t>
  </si>
  <si>
    <t>'60128'</t>
  </si>
  <si>
    <t>'60101'</t>
  </si>
  <si>
    <t>'60180'</t>
  </si>
  <si>
    <t>'60183'</t>
  </si>
  <si>
    <t>'60184'</t>
  </si>
  <si>
    <t>'60872'</t>
  </si>
  <si>
    <t>'60402'</t>
  </si>
  <si>
    <t>'60406'</t>
  </si>
  <si>
    <t>'60560'</t>
  </si>
  <si>
    <t>'60122'</t>
  </si>
  <si>
    <t>'60132'</t>
  </si>
  <si>
    <t>'60672'</t>
  </si>
  <si>
    <t>'60746'</t>
  </si>
  <si>
    <t>'60155'</t>
  </si>
  <si>
    <t>'60131'</t>
  </si>
  <si>
    <t>'60153'</t>
  </si>
  <si>
    <t>'60410'</t>
  </si>
  <si>
    <t>'60711'</t>
  </si>
  <si>
    <t>'60149'</t>
  </si>
  <si>
    <t>'60734'</t>
  </si>
  <si>
    <t>'60611'</t>
  </si>
  <si>
    <t>'60340'</t>
  </si>
  <si>
    <t>'60741'</t>
  </si>
  <si>
    <t>'60472'</t>
  </si>
  <si>
    <t>'60740'</t>
  </si>
  <si>
    <t>'60742'</t>
  </si>
  <si>
    <t>'60743'</t>
  </si>
  <si>
    <t>'60744'</t>
  </si>
  <si>
    <t>VILLE DE SENLIS</t>
  </si>
  <si>
    <t>'60301'</t>
  </si>
  <si>
    <t>'60302'</t>
  </si>
  <si>
    <t>'60303'</t>
  </si>
  <si>
    <t>'60304'</t>
  </si>
  <si>
    <t>'60307'</t>
  </si>
  <si>
    <t>'60309'</t>
  </si>
  <si>
    <t>'60451'</t>
  </si>
  <si>
    <t>'60550'</t>
  </si>
  <si>
    <t>'60175'</t>
  </si>
  <si>
    <t>COMMUNAUTE URBAINE D'ALENCON</t>
  </si>
  <si>
    <t>'61000'</t>
  </si>
  <si>
    <t>'61001'</t>
  </si>
  <si>
    <t>'61002'</t>
  </si>
  <si>
    <t>'61003'</t>
  </si>
  <si>
    <t>'61004'</t>
  </si>
  <si>
    <t>'61005'</t>
  </si>
  <si>
    <t>'61006'</t>
  </si>
  <si>
    <t>'61007'</t>
  </si>
  <si>
    <t>'61008'</t>
  </si>
  <si>
    <t>'61009'</t>
  </si>
  <si>
    <t>'61011'</t>
  </si>
  <si>
    <t>'61012'</t>
  </si>
  <si>
    <t>'61013'</t>
  </si>
  <si>
    <t>'61014'</t>
  </si>
  <si>
    <t>'61015'</t>
  </si>
  <si>
    <t>'61016'</t>
  </si>
  <si>
    <t>'61017'</t>
  </si>
  <si>
    <t>'61018'</t>
  </si>
  <si>
    <t>'61021'</t>
  </si>
  <si>
    <t>'61024'</t>
  </si>
  <si>
    <t>'61041'</t>
  </si>
  <si>
    <t>'61042'</t>
  </si>
  <si>
    <t>COMMUNAUTE DE COMMUNES ARGENTAN INTERCOM</t>
  </si>
  <si>
    <t>'61200'</t>
  </si>
  <si>
    <t>'61201'</t>
  </si>
  <si>
    <t>'61202'</t>
  </si>
  <si>
    <t>'61203'</t>
  </si>
  <si>
    <t>'61204'</t>
  </si>
  <si>
    <t>'61205'</t>
  </si>
  <si>
    <t>'61206'</t>
  </si>
  <si>
    <t>'61891'</t>
  </si>
  <si>
    <t>'61961'</t>
  </si>
  <si>
    <t>'61992'</t>
  </si>
  <si>
    <t>'61994'</t>
  </si>
  <si>
    <t>COMMUNAUTE D'AGGLOMERATION FLERS AGGLO</t>
  </si>
  <si>
    <t>'61100'</t>
  </si>
  <si>
    <t>'61430'</t>
  </si>
  <si>
    <t>'61438'</t>
  </si>
  <si>
    <t>'61150'</t>
  </si>
  <si>
    <t>'61160'</t>
  </si>
  <si>
    <t>'61450'</t>
  </si>
  <si>
    <t>'61220'</t>
  </si>
  <si>
    <t>'61570'</t>
  </si>
  <si>
    <t>'61101'</t>
  </si>
  <si>
    <t>'61104'</t>
  </si>
  <si>
    <t>'61105'</t>
  </si>
  <si>
    <t>'61320'</t>
  </si>
  <si>
    <t>'61250'</t>
  </si>
  <si>
    <t>'61051'</t>
  </si>
  <si>
    <t>'61700'</t>
  </si>
  <si>
    <t>'61440'</t>
  </si>
  <si>
    <t>'61458'</t>
  </si>
  <si>
    <t>'61420'</t>
  </si>
  <si>
    <t>'61410'</t>
  </si>
  <si>
    <t>'61600'</t>
  </si>
  <si>
    <t>'61102'</t>
  </si>
  <si>
    <t>'61103'</t>
  </si>
  <si>
    <t>'61106'</t>
  </si>
  <si>
    <t>'61107'</t>
  </si>
  <si>
    <t>'61310'</t>
  </si>
  <si>
    <t>'61210'</t>
  </si>
  <si>
    <t>'61448'</t>
  </si>
  <si>
    <t>'61490'</t>
  </si>
  <si>
    <t>'61790'</t>
  </si>
  <si>
    <t>'61023'</t>
  </si>
  <si>
    <t>SYNDICAT MIXTE DES TRANSPORTS ARTOIS-GOHELLE</t>
  </si>
  <si>
    <t>'62153'</t>
  </si>
  <si>
    <t>'62116'</t>
  </si>
  <si>
    <t>'62320'</t>
  </si>
  <si>
    <t>COMMUNAUTE URBAINE D'ARRAS</t>
  </si>
  <si>
    <t>'62004'</t>
  </si>
  <si>
    <t>'62030'</t>
  </si>
  <si>
    <t>'62217'</t>
  </si>
  <si>
    <t>'62144'</t>
  </si>
  <si>
    <t>'62380'</t>
  </si>
  <si>
    <t>'62161'</t>
  </si>
  <si>
    <t>COMMUNAUTE D'AGGLOMERATION DU PAYS DE SAINT OMER</t>
  </si>
  <si>
    <t>'62120'</t>
  </si>
  <si>
    <t>'62921'</t>
  </si>
  <si>
    <t>'62922'</t>
  </si>
  <si>
    <t>'62923'</t>
  </si>
  <si>
    <t>CA DES 2 BAIES EN MONTREUILLOIS</t>
  </si>
  <si>
    <t>'62180'</t>
  </si>
  <si>
    <t>'62160'</t>
  </si>
  <si>
    <t>'62142'</t>
  </si>
  <si>
    <t>'62157'</t>
  </si>
  <si>
    <t>'62164'</t>
  </si>
  <si>
    <t>'62190'</t>
  </si>
  <si>
    <t>'62260'</t>
  </si>
  <si>
    <t>'62340'</t>
  </si>
  <si>
    <t>'62143'</t>
  </si>
  <si>
    <t>'62880'</t>
  </si>
  <si>
    <t>'62881'</t>
  </si>
  <si>
    <t>'62149'</t>
  </si>
  <si>
    <t>'62232'</t>
  </si>
  <si>
    <t>'62008'</t>
  </si>
  <si>
    <t>'62051'</t>
  </si>
  <si>
    <t>'62053'</t>
  </si>
  <si>
    <t>'62055'</t>
  </si>
  <si>
    <t>'62223'</t>
  </si>
  <si>
    <t>'62610'</t>
  </si>
  <si>
    <t>'62580'</t>
  </si>
  <si>
    <t>'62503'</t>
  </si>
  <si>
    <t>'62505'</t>
  </si>
  <si>
    <t>'62506'</t>
  </si>
  <si>
    <t>'62507'</t>
  </si>
  <si>
    <t>'62510'</t>
  </si>
  <si>
    <t>'62000'</t>
  </si>
  <si>
    <t>'62001'</t>
  </si>
  <si>
    <t>'62002'</t>
  </si>
  <si>
    <t>'62003'</t>
  </si>
  <si>
    <t>'62005'</t>
  </si>
  <si>
    <t>'62007'</t>
  </si>
  <si>
    <t>'62009'</t>
  </si>
  <si>
    <t>'62010'</t>
  </si>
  <si>
    <t>'62011'</t>
  </si>
  <si>
    <t>'62012'</t>
  </si>
  <si>
    <t>'62013'</t>
  </si>
  <si>
    <t>'62014'</t>
  </si>
  <si>
    <t>'62015'</t>
  </si>
  <si>
    <t>'62016'</t>
  </si>
  <si>
    <t>'62017'</t>
  </si>
  <si>
    <t>'62018'</t>
  </si>
  <si>
    <t>'62020'</t>
  </si>
  <si>
    <t>'62021'</t>
  </si>
  <si>
    <t>'62022'</t>
  </si>
  <si>
    <t>'62023'</t>
  </si>
  <si>
    <t>'62024'</t>
  </si>
  <si>
    <t>'62025'</t>
  </si>
  <si>
    <t>'62026'</t>
  </si>
  <si>
    <t>'62027'</t>
  </si>
  <si>
    <t>'62028'</t>
  </si>
  <si>
    <t>'62029'</t>
  </si>
  <si>
    <t>'62031'</t>
  </si>
  <si>
    <t>'62032'</t>
  </si>
  <si>
    <t>'62033'</t>
  </si>
  <si>
    <t>'62034'</t>
  </si>
  <si>
    <t>'62035'</t>
  </si>
  <si>
    <t>'62036'</t>
  </si>
  <si>
    <t>'62052'</t>
  </si>
  <si>
    <t>'62062'</t>
  </si>
  <si>
    <t>'62064'</t>
  </si>
  <si>
    <t>'62973'</t>
  </si>
  <si>
    <t>'62976'</t>
  </si>
  <si>
    <t>SITUA DU CALAISIS</t>
  </si>
  <si>
    <t>'62730'</t>
  </si>
  <si>
    <t>'62170'</t>
  </si>
  <si>
    <t>'62091'</t>
  </si>
  <si>
    <t>'62138'</t>
  </si>
  <si>
    <t>'62560'</t>
  </si>
  <si>
    <t>'62550'</t>
  </si>
  <si>
    <t>'62210'</t>
  </si>
  <si>
    <t>'62123'</t>
  </si>
  <si>
    <t>COMMUNAUTE D'AGGLOMERATION DU BOULONNAIS</t>
  </si>
  <si>
    <t>'62360'</t>
  </si>
  <si>
    <t>'62150'</t>
  </si>
  <si>
    <t>'62620'</t>
  </si>
  <si>
    <t>'62810'</t>
  </si>
  <si>
    <t>'62158'</t>
  </si>
  <si>
    <t>'62910'</t>
  </si>
  <si>
    <t>'62508'</t>
  </si>
  <si>
    <t>'62960'</t>
  </si>
  <si>
    <t>'62072'</t>
  </si>
  <si>
    <t>'62490'</t>
  </si>
  <si>
    <t>'62410'</t>
  </si>
  <si>
    <t>'62600'</t>
  </si>
  <si>
    <t>'62601'</t>
  </si>
  <si>
    <t>'62602'</t>
  </si>
  <si>
    <t>'62603'</t>
  </si>
  <si>
    <t>'62604'</t>
  </si>
  <si>
    <t>'62606'</t>
  </si>
  <si>
    <t>'62608'</t>
  </si>
  <si>
    <t>'62400'</t>
  </si>
  <si>
    <t>'62401'</t>
  </si>
  <si>
    <t>'62402'</t>
  </si>
  <si>
    <t>'62403'</t>
  </si>
  <si>
    <t>'62404'</t>
  </si>
  <si>
    <t>'62405'</t>
  </si>
  <si>
    <t>'62406'</t>
  </si>
  <si>
    <t>'62407'</t>
  </si>
  <si>
    <t>'62408'</t>
  </si>
  <si>
    <t>'62411'</t>
  </si>
  <si>
    <t>'62412'</t>
  </si>
  <si>
    <t>'62250'</t>
  </si>
  <si>
    <t>'62660'</t>
  </si>
  <si>
    <t>'62111'</t>
  </si>
  <si>
    <t>'62092'</t>
  </si>
  <si>
    <t>'62420'</t>
  </si>
  <si>
    <t>'62173'</t>
  </si>
  <si>
    <t>'62501'</t>
  </si>
  <si>
    <t>'62502'</t>
  </si>
  <si>
    <t>'62504'</t>
  </si>
  <si>
    <t>'62575'</t>
  </si>
  <si>
    <t>'62128'</t>
  </si>
  <si>
    <t>'62156'</t>
  </si>
  <si>
    <t>'62175'</t>
  </si>
  <si>
    <t>'62500'</t>
  </si>
  <si>
    <t>'62200'</t>
  </si>
  <si>
    <t>'62201'</t>
  </si>
  <si>
    <t>'62202'</t>
  </si>
  <si>
    <t>'62203'</t>
  </si>
  <si>
    <t>'62204'</t>
  </si>
  <si>
    <t>'62205'</t>
  </si>
  <si>
    <t>'62206'</t>
  </si>
  <si>
    <t>'62207'</t>
  </si>
  <si>
    <t>'62311'</t>
  </si>
  <si>
    <t>'62321'</t>
  </si>
  <si>
    <t>'62327'</t>
  </si>
  <si>
    <t>'62240'</t>
  </si>
  <si>
    <t>'62172'</t>
  </si>
  <si>
    <t>'62117'</t>
  </si>
  <si>
    <t>'62700'</t>
  </si>
  <si>
    <t>'62701'</t>
  </si>
  <si>
    <t>'62702'</t>
  </si>
  <si>
    <t>'62151'</t>
  </si>
  <si>
    <t>'62194'</t>
  </si>
  <si>
    <t>'62350'</t>
  </si>
  <si>
    <t>'62100'</t>
  </si>
  <si>
    <t>'62101'</t>
  </si>
  <si>
    <t>'62102'</t>
  </si>
  <si>
    <t>'62103'</t>
  </si>
  <si>
    <t>'62104'</t>
  </si>
  <si>
    <t>'62105'</t>
  </si>
  <si>
    <t>'62106'</t>
  </si>
  <si>
    <t>'62107'</t>
  </si>
  <si>
    <t>'62108'</t>
  </si>
  <si>
    <t>'62109'</t>
  </si>
  <si>
    <t>'62225'</t>
  </si>
  <si>
    <t>'62226'</t>
  </si>
  <si>
    <t>'62228'</t>
  </si>
  <si>
    <t>'62907'</t>
  </si>
  <si>
    <t>'62908'</t>
  </si>
  <si>
    <t>'62470'</t>
  </si>
  <si>
    <t>'62690'</t>
  </si>
  <si>
    <t>'62176'</t>
  </si>
  <si>
    <t>'62830'</t>
  </si>
  <si>
    <t>'62211'</t>
  </si>
  <si>
    <t>'62213'</t>
  </si>
  <si>
    <t>'62220'</t>
  </si>
  <si>
    <t>'62920'</t>
  </si>
  <si>
    <t>'62129'</t>
  </si>
  <si>
    <t>'62126'</t>
  </si>
  <si>
    <t>'62231'</t>
  </si>
  <si>
    <t>'62901'</t>
  </si>
  <si>
    <t>'62902'</t>
  </si>
  <si>
    <t>'62903'</t>
  </si>
  <si>
    <t>'62904'</t>
  </si>
  <si>
    <t>'62905'</t>
  </si>
  <si>
    <t>'62911'</t>
  </si>
  <si>
    <t>'62112'</t>
  </si>
  <si>
    <t>'62630'</t>
  </si>
  <si>
    <t>'62137'</t>
  </si>
  <si>
    <t>'62121'</t>
  </si>
  <si>
    <t>'62251'</t>
  </si>
  <si>
    <t>'62252'</t>
  </si>
  <si>
    <t>'62253'</t>
  </si>
  <si>
    <t>'62254'</t>
  </si>
  <si>
    <t>'62953'</t>
  </si>
  <si>
    <t>'62970'</t>
  </si>
  <si>
    <t>'62710'</t>
  </si>
  <si>
    <t>'62136'</t>
  </si>
  <si>
    <t>'62780'</t>
  </si>
  <si>
    <t>'62187'</t>
  </si>
  <si>
    <t>'62460'</t>
  </si>
  <si>
    <t>'62119'</t>
  </si>
  <si>
    <t>'62952'</t>
  </si>
  <si>
    <t>'62131'</t>
  </si>
  <si>
    <t>'62300'</t>
  </si>
  <si>
    <t>'62302'</t>
  </si>
  <si>
    <t>'62303'</t>
  </si>
  <si>
    <t>'62305'</t>
  </si>
  <si>
    <t>'62334'</t>
  </si>
  <si>
    <t>'62145'</t>
  </si>
  <si>
    <t>'62224'</t>
  </si>
  <si>
    <t>'62452'</t>
  </si>
  <si>
    <t>'62179'</t>
  </si>
  <si>
    <t>'62141'</t>
  </si>
  <si>
    <t>'62118'</t>
  </si>
  <si>
    <t>'62060'</t>
  </si>
  <si>
    <t>'62840'</t>
  </si>
  <si>
    <t>'62740'</t>
  </si>
  <si>
    <t>'62185'</t>
  </si>
  <si>
    <t>'62760'</t>
  </si>
  <si>
    <t>'62199'</t>
  </si>
  <si>
    <t>'62530'</t>
  </si>
  <si>
    <t>'62330'</t>
  </si>
  <si>
    <t>'62370'</t>
  </si>
  <si>
    <t>'62940'</t>
  </si>
  <si>
    <t>'62570'</t>
  </si>
  <si>
    <t>'62440'</t>
  </si>
  <si>
    <t>'62110'</t>
  </si>
  <si>
    <t>'62256'</t>
  </si>
  <si>
    <t>'62257'</t>
  </si>
  <si>
    <t>'62954'</t>
  </si>
  <si>
    <t>'62955'</t>
  </si>
  <si>
    <t>'62132'</t>
  </si>
  <si>
    <t>'62196'</t>
  </si>
  <si>
    <t>'62122'</t>
  </si>
  <si>
    <t>'62113'</t>
  </si>
  <si>
    <t>'62790'</t>
  </si>
  <si>
    <t>'62301'</t>
  </si>
  <si>
    <t>'62304'</t>
  </si>
  <si>
    <t>'62306'</t>
  </si>
  <si>
    <t>'62307'</t>
  </si>
  <si>
    <t>'62308'</t>
  </si>
  <si>
    <t>'62333'</t>
  </si>
  <si>
    <t>'62335'</t>
  </si>
  <si>
    <t>'62971'</t>
  </si>
  <si>
    <t>'62080'</t>
  </si>
  <si>
    <t>'62081'</t>
  </si>
  <si>
    <t>'62800'</t>
  </si>
  <si>
    <t>'62801'</t>
  </si>
  <si>
    <t>'62802'</t>
  </si>
  <si>
    <t>'62803'</t>
  </si>
  <si>
    <t>'62804'</t>
  </si>
  <si>
    <t>'62805'</t>
  </si>
  <si>
    <t>'62191'</t>
  </si>
  <si>
    <t>'62192'</t>
  </si>
  <si>
    <t>'62193'</t>
  </si>
  <si>
    <t>'62218'</t>
  </si>
  <si>
    <t>'62219'</t>
  </si>
  <si>
    <t>'62967'</t>
  </si>
  <si>
    <t>'62968'</t>
  </si>
  <si>
    <t>'62750'</t>
  </si>
  <si>
    <t>'62540'</t>
  </si>
  <si>
    <t>'62670'</t>
  </si>
  <si>
    <t>'62890'</t>
  </si>
  <si>
    <t>'62680'</t>
  </si>
  <si>
    <t>'62809'</t>
  </si>
  <si>
    <t>'62155'</t>
  </si>
  <si>
    <t>'62640'</t>
  </si>
  <si>
    <t>'62159'</t>
  </si>
  <si>
    <t>'62152'</t>
  </si>
  <si>
    <t>'62290'</t>
  </si>
  <si>
    <t>'62950'</t>
  </si>
  <si>
    <t>'62951'</t>
  </si>
  <si>
    <t>'62980'</t>
  </si>
  <si>
    <t>'62221'</t>
  </si>
  <si>
    <t>'62246'</t>
  </si>
  <si>
    <t>'62247'</t>
  </si>
  <si>
    <t>'62977'</t>
  </si>
  <si>
    <t>'62212'</t>
  </si>
  <si>
    <t>'62590'</t>
  </si>
  <si>
    <t>'62230'</t>
  </si>
  <si>
    <t>'62215'</t>
  </si>
  <si>
    <t>'62860'</t>
  </si>
  <si>
    <t>'62480'</t>
  </si>
  <si>
    <t>'62870'</t>
  </si>
  <si>
    <t>'62114'</t>
  </si>
  <si>
    <t>'62054'</t>
  </si>
  <si>
    <t>'62361'</t>
  </si>
  <si>
    <t>'62222'</t>
  </si>
  <si>
    <t>'62280'</t>
  </si>
  <si>
    <t>'62325'</t>
  </si>
  <si>
    <t>'62162'</t>
  </si>
  <si>
    <t>'62430'</t>
  </si>
  <si>
    <t>'62520'</t>
  </si>
  <si>
    <t>'62609'</t>
  </si>
  <si>
    <t>'62061'</t>
  </si>
  <si>
    <t>'62066'</t>
  </si>
  <si>
    <t>'62882'</t>
  </si>
  <si>
    <t>'62883'</t>
  </si>
  <si>
    <t>'62978'</t>
  </si>
  <si>
    <t>'62720'</t>
  </si>
  <si>
    <t>'62930'</t>
  </si>
  <si>
    <t>'62820'</t>
  </si>
  <si>
    <t>SYNDICAT DES TRANSPORTS URBAINS THIERNOIS</t>
  </si>
  <si>
    <t>'63250'</t>
  </si>
  <si>
    <t>'63308'</t>
  </si>
  <si>
    <t>SMT AGGLOMERATION CLERMONTOISE</t>
  </si>
  <si>
    <t>'63058'</t>
  </si>
  <si>
    <t>'63170'</t>
  </si>
  <si>
    <t>'63171'</t>
  </si>
  <si>
    <t>'63172'</t>
  </si>
  <si>
    <t>'63173'</t>
  </si>
  <si>
    <t>'63174'</t>
  </si>
  <si>
    <t>'63175'</t>
  </si>
  <si>
    <t>'63178'</t>
  </si>
  <si>
    <t>'63120'</t>
  </si>
  <si>
    <t>'63930'</t>
  </si>
  <si>
    <t>'63510'</t>
  </si>
  <si>
    <t>'63110'</t>
  </si>
  <si>
    <t>'63112'</t>
  </si>
  <si>
    <t>'63018'</t>
  </si>
  <si>
    <t>'63020'</t>
  </si>
  <si>
    <t>'63118'</t>
  </si>
  <si>
    <t>COMMUNAUTE DE COMMUNES RIOM LIMAGNE ET VOLCANS</t>
  </si>
  <si>
    <t>'63200'</t>
  </si>
  <si>
    <t>'63670'</t>
  </si>
  <si>
    <t>'63808'</t>
  </si>
  <si>
    <t>'63122'</t>
  </si>
  <si>
    <t>'63045'</t>
  </si>
  <si>
    <t>'63400'</t>
  </si>
  <si>
    <t>'63401'</t>
  </si>
  <si>
    <t>'63402'</t>
  </si>
  <si>
    <t>'63403'</t>
  </si>
  <si>
    <t>'63404'</t>
  </si>
  <si>
    <t>'63405'</t>
  </si>
  <si>
    <t>'63406'</t>
  </si>
  <si>
    <t>'63407'</t>
  </si>
  <si>
    <t>'63408'</t>
  </si>
  <si>
    <t>'63530'</t>
  </si>
  <si>
    <t>'63720'</t>
  </si>
  <si>
    <t>'63410'</t>
  </si>
  <si>
    <t>'63290'</t>
  </si>
  <si>
    <t>'63119'</t>
  </si>
  <si>
    <t>'63140'</t>
  </si>
  <si>
    <t>'63203'</t>
  </si>
  <si>
    <t>'63000'</t>
  </si>
  <si>
    <t>'63001'</t>
  </si>
  <si>
    <t>'63002'</t>
  </si>
  <si>
    <t>'63003'</t>
  </si>
  <si>
    <t>'63004'</t>
  </si>
  <si>
    <t>'63005'</t>
  </si>
  <si>
    <t>'63006'</t>
  </si>
  <si>
    <t>'63007'</t>
  </si>
  <si>
    <t>'63008'</t>
  </si>
  <si>
    <t>'63009'</t>
  </si>
  <si>
    <t>'63010'</t>
  </si>
  <si>
    <t>'63011'</t>
  </si>
  <si>
    <t>'63012'</t>
  </si>
  <si>
    <t>'63013'</t>
  </si>
  <si>
    <t>'63014'</t>
  </si>
  <si>
    <t>'63015'</t>
  </si>
  <si>
    <t>'63016'</t>
  </si>
  <si>
    <t>'63017'</t>
  </si>
  <si>
    <t>'63019'</t>
  </si>
  <si>
    <t>'63021'</t>
  </si>
  <si>
    <t>'63022'</t>
  </si>
  <si>
    <t>'63023'</t>
  </si>
  <si>
    <t>'63028'</t>
  </si>
  <si>
    <t>'63029'</t>
  </si>
  <si>
    <t>'63030'</t>
  </si>
  <si>
    <t>'63031'</t>
  </si>
  <si>
    <t>'63032'</t>
  </si>
  <si>
    <t>'63033'</t>
  </si>
  <si>
    <t>'63034'</t>
  </si>
  <si>
    <t>'63035'</t>
  </si>
  <si>
    <t>'63036'</t>
  </si>
  <si>
    <t>'63037'</t>
  </si>
  <si>
    <t>'63038'</t>
  </si>
  <si>
    <t>'63039'</t>
  </si>
  <si>
    <t>'63040'</t>
  </si>
  <si>
    <t>'63042'</t>
  </si>
  <si>
    <t>'63043'</t>
  </si>
  <si>
    <t>'63044'</t>
  </si>
  <si>
    <t>'63046'</t>
  </si>
  <si>
    <t>'63049'</t>
  </si>
  <si>
    <t>'63050'</t>
  </si>
  <si>
    <t>'63051'</t>
  </si>
  <si>
    <t>'63054'</t>
  </si>
  <si>
    <t>'63055'</t>
  </si>
  <si>
    <t>'63057'</t>
  </si>
  <si>
    <t>'63063'</t>
  </si>
  <si>
    <t>'63064'</t>
  </si>
  <si>
    <t>'63100'</t>
  </si>
  <si>
    <t>'63900'</t>
  </si>
  <si>
    <t>'63961'</t>
  </si>
  <si>
    <t>'63962'</t>
  </si>
  <si>
    <t>'63965'</t>
  </si>
  <si>
    <t>'63966'</t>
  </si>
  <si>
    <t>'63967'</t>
  </si>
  <si>
    <t>'63968'</t>
  </si>
  <si>
    <t>'63972'</t>
  </si>
  <si>
    <t>'63800'</t>
  </si>
  <si>
    <t>'63801'</t>
  </si>
  <si>
    <t>'63802'</t>
  </si>
  <si>
    <t>'63803'</t>
  </si>
  <si>
    <t>'63804'</t>
  </si>
  <si>
    <t>'63111'</t>
  </si>
  <si>
    <t>'63300'</t>
  </si>
  <si>
    <t>'63306'</t>
  </si>
  <si>
    <t>'63830'</t>
  </si>
  <si>
    <t>'63201'</t>
  </si>
  <si>
    <t>'63202'</t>
  </si>
  <si>
    <t>'63360'</t>
  </si>
  <si>
    <t>'63370'</t>
  </si>
  <si>
    <t>'63969'</t>
  </si>
  <si>
    <t>'63973'</t>
  </si>
  <si>
    <t>'63190'</t>
  </si>
  <si>
    <t>'63430'</t>
  </si>
  <si>
    <t>'63204'</t>
  </si>
  <si>
    <t>'63115'</t>
  </si>
  <si>
    <t>'63650'</t>
  </si>
  <si>
    <t>'63880'</t>
  </si>
  <si>
    <t>'63870'</t>
  </si>
  <si>
    <t>'63550'</t>
  </si>
  <si>
    <t>'63920'</t>
  </si>
  <si>
    <t>'63230'</t>
  </si>
  <si>
    <t>'63205'</t>
  </si>
  <si>
    <t>'63206'</t>
  </si>
  <si>
    <t>'63963'</t>
  </si>
  <si>
    <t>'63540'</t>
  </si>
  <si>
    <t>'63130'</t>
  </si>
  <si>
    <t>'63520'</t>
  </si>
  <si>
    <t>'63350'</t>
  </si>
  <si>
    <t>'63301'</t>
  </si>
  <si>
    <t>'63302'</t>
  </si>
  <si>
    <t>'63303'</t>
  </si>
  <si>
    <t>'63304'</t>
  </si>
  <si>
    <t>'63305'</t>
  </si>
  <si>
    <t>'63307'</t>
  </si>
  <si>
    <t>'64220'</t>
  </si>
  <si>
    <t>'64210'</t>
  </si>
  <si>
    <t>'64120'</t>
  </si>
  <si>
    <t>'64130'</t>
  </si>
  <si>
    <t>'64250'</t>
  </si>
  <si>
    <t>'64470'</t>
  </si>
  <si>
    <t>'64430'</t>
  </si>
  <si>
    <t>'64600'</t>
  </si>
  <si>
    <t>'64601'</t>
  </si>
  <si>
    <t>'64602'</t>
  </si>
  <si>
    <t>'64603'</t>
  </si>
  <si>
    <t>'64604'</t>
  </si>
  <si>
    <t>'64605'</t>
  </si>
  <si>
    <t>'64270'</t>
  </si>
  <si>
    <t>SMTU PAU-PORTE DES PYRENEES</t>
  </si>
  <si>
    <t>'64230'</t>
  </si>
  <si>
    <t>'64200'</t>
  </si>
  <si>
    <t>'64201'</t>
  </si>
  <si>
    <t>'64202'</t>
  </si>
  <si>
    <t>'64204'</t>
  </si>
  <si>
    <t>'64205'</t>
  </si>
  <si>
    <t>'64320'</t>
  </si>
  <si>
    <t>'64640'</t>
  </si>
  <si>
    <t>'64420'</t>
  </si>
  <si>
    <t>'64310'</t>
  </si>
  <si>
    <t>'64504'</t>
  </si>
  <si>
    <t>'64506'</t>
  </si>
  <si>
    <t>'64290'</t>
  </si>
  <si>
    <t>'64240'</t>
  </si>
  <si>
    <t>'64520'</t>
  </si>
  <si>
    <t>'64208'</t>
  </si>
  <si>
    <t>'64100'</t>
  </si>
  <si>
    <t>'64101'</t>
  </si>
  <si>
    <t>'64102'</t>
  </si>
  <si>
    <t>'64103'</t>
  </si>
  <si>
    <t>'64104'</t>
  </si>
  <si>
    <t>'64105'</t>
  </si>
  <si>
    <t>'64106'</t>
  </si>
  <si>
    <t>'64107'</t>
  </si>
  <si>
    <t>'64108'</t>
  </si>
  <si>
    <t>'64109'</t>
  </si>
  <si>
    <t>'64111'</t>
  </si>
  <si>
    <t>'64112'</t>
  </si>
  <si>
    <t>'64181'</t>
  </si>
  <si>
    <t>'64182'</t>
  </si>
  <si>
    <t>'64183'</t>
  </si>
  <si>
    <t>'64184'</t>
  </si>
  <si>
    <t>'64185'</t>
  </si>
  <si>
    <t>'64187'</t>
  </si>
  <si>
    <t>'64203'</t>
  </si>
  <si>
    <t>'64206'</t>
  </si>
  <si>
    <t>'64780'</t>
  </si>
  <si>
    <t>'64140'</t>
  </si>
  <si>
    <t>'64141'</t>
  </si>
  <si>
    <t>'64143'</t>
  </si>
  <si>
    <t>'64145'</t>
  </si>
  <si>
    <t>'64146'</t>
  </si>
  <si>
    <t>'64700'</t>
  </si>
  <si>
    <t>'64702'</t>
  </si>
  <si>
    <t>'64340'</t>
  </si>
  <si>
    <t>'64500'</t>
  </si>
  <si>
    <t>'64502'</t>
  </si>
  <si>
    <t>'64503'</t>
  </si>
  <si>
    <t>'64110'</t>
  </si>
  <si>
    <t>'64480'</t>
  </si>
  <si>
    <t>'64701'</t>
  </si>
  <si>
    <t>'64703'</t>
  </si>
  <si>
    <t>'64990'</t>
  </si>
  <si>
    <t>'64560'</t>
  </si>
  <si>
    <t>'64231'</t>
  </si>
  <si>
    <t>'64232'</t>
  </si>
  <si>
    <t>'64233'</t>
  </si>
  <si>
    <t>'64234'</t>
  </si>
  <si>
    <t>'64235'</t>
  </si>
  <si>
    <t>'64236'</t>
  </si>
  <si>
    <t>'64237'</t>
  </si>
  <si>
    <t>'64238'</t>
  </si>
  <si>
    <t>'64510'</t>
  </si>
  <si>
    <t>'64121'</t>
  </si>
  <si>
    <t>'64811'</t>
  </si>
  <si>
    <t>'64160'</t>
  </si>
  <si>
    <t>'64450'</t>
  </si>
  <si>
    <t>COMMUNAUTE DE COMMUNES DU HAUT BEARN</t>
  </si>
  <si>
    <t>'64400'</t>
  </si>
  <si>
    <t>'64401'</t>
  </si>
  <si>
    <t>'64402'</t>
  </si>
  <si>
    <t>'64403'</t>
  </si>
  <si>
    <t>'64404'</t>
  </si>
  <si>
    <t>'64390'</t>
  </si>
  <si>
    <t>'64000'</t>
  </si>
  <si>
    <t>'64001'</t>
  </si>
  <si>
    <t>'64002'</t>
  </si>
  <si>
    <t>'64003'</t>
  </si>
  <si>
    <t>'64004'</t>
  </si>
  <si>
    <t>'64006'</t>
  </si>
  <si>
    <t>'64007'</t>
  </si>
  <si>
    <t>'64008'</t>
  </si>
  <si>
    <t>'64010'</t>
  </si>
  <si>
    <t>'64011'</t>
  </si>
  <si>
    <t>'64012'</t>
  </si>
  <si>
    <t>'64013'</t>
  </si>
  <si>
    <t>'64015'</t>
  </si>
  <si>
    <t>'64016'</t>
  </si>
  <si>
    <t>'64017'</t>
  </si>
  <si>
    <t>'64018'</t>
  </si>
  <si>
    <t>'64019'</t>
  </si>
  <si>
    <t>'64021'</t>
  </si>
  <si>
    <t>'64022'</t>
  </si>
  <si>
    <t>'64023'</t>
  </si>
  <si>
    <t>'64024'</t>
  </si>
  <si>
    <t>'64027'</t>
  </si>
  <si>
    <t>'64028'</t>
  </si>
  <si>
    <t>'64029'</t>
  </si>
  <si>
    <t>'64030'</t>
  </si>
  <si>
    <t>'64032'</t>
  </si>
  <si>
    <t>'64034'</t>
  </si>
  <si>
    <t>'64035'</t>
  </si>
  <si>
    <t>'64036'</t>
  </si>
  <si>
    <t>'64038'</t>
  </si>
  <si>
    <t>'64039'</t>
  </si>
  <si>
    <t>'64040'</t>
  </si>
  <si>
    <t>'64041'</t>
  </si>
  <si>
    <t>'64044'</t>
  </si>
  <si>
    <t>'64046'</t>
  </si>
  <si>
    <t>'64050'</t>
  </si>
  <si>
    <t>'64051'</t>
  </si>
  <si>
    <t>'64052'</t>
  </si>
  <si>
    <t>'64053'</t>
  </si>
  <si>
    <t>'64054'</t>
  </si>
  <si>
    <t>'64056'</t>
  </si>
  <si>
    <t>'64058'</t>
  </si>
  <si>
    <t>'64061'</t>
  </si>
  <si>
    <t>'64062'</t>
  </si>
  <si>
    <t>'64064'</t>
  </si>
  <si>
    <t>'64075'</t>
  </si>
  <si>
    <t>'64078'</t>
  </si>
  <si>
    <t>'64080'</t>
  </si>
  <si>
    <t>'64081'</t>
  </si>
  <si>
    <t>'64083'</t>
  </si>
  <si>
    <t>'64086'</t>
  </si>
  <si>
    <t>'64087'</t>
  </si>
  <si>
    <t>'64089'</t>
  </si>
  <si>
    <t>'64090'</t>
  </si>
  <si>
    <t>'64501'</t>
  </si>
  <si>
    <t>'64122'</t>
  </si>
  <si>
    <t>CA TARBES LOURDES PYRENEES</t>
  </si>
  <si>
    <t>'65100'</t>
  </si>
  <si>
    <t>'65107'</t>
  </si>
  <si>
    <t>'65360'</t>
  </si>
  <si>
    <t>'65390'</t>
  </si>
  <si>
    <t>'65501'</t>
  </si>
  <si>
    <t>'65690'</t>
  </si>
  <si>
    <t>'65350'</t>
  </si>
  <si>
    <t>'65800'</t>
  </si>
  <si>
    <t>'65801'</t>
  </si>
  <si>
    <t>'65380'</t>
  </si>
  <si>
    <t>'65460'</t>
  </si>
  <si>
    <t>'65140'</t>
  </si>
  <si>
    <t>'65190'</t>
  </si>
  <si>
    <t>'65320'</t>
  </si>
  <si>
    <t>'65321'</t>
  </si>
  <si>
    <t>'65500'</t>
  </si>
  <si>
    <t>'65200'</t>
  </si>
  <si>
    <t>'65310'</t>
  </si>
  <si>
    <t>'65311'</t>
  </si>
  <si>
    <t>'65004'</t>
  </si>
  <si>
    <t>'65420'</t>
  </si>
  <si>
    <t>'65421'</t>
  </si>
  <si>
    <t>'65429'</t>
  </si>
  <si>
    <t>'65290'</t>
  </si>
  <si>
    <t>'65101'</t>
  </si>
  <si>
    <t>'65104'</t>
  </si>
  <si>
    <t>'65921'</t>
  </si>
  <si>
    <t>'65102'</t>
  </si>
  <si>
    <t>'65103'</t>
  </si>
  <si>
    <t>'65105'</t>
  </si>
  <si>
    <t>'65106'</t>
  </si>
  <si>
    <t>'65108'</t>
  </si>
  <si>
    <t>'65009'</t>
  </si>
  <si>
    <t>'65312'</t>
  </si>
  <si>
    <t>'65490'</t>
  </si>
  <si>
    <t>'65270'</t>
  </si>
  <si>
    <t>'65600'</t>
  </si>
  <si>
    <t>'65601'</t>
  </si>
  <si>
    <t>'65430'</t>
  </si>
  <si>
    <t>'65000'</t>
  </si>
  <si>
    <t>'65001'</t>
  </si>
  <si>
    <t>'65002'</t>
  </si>
  <si>
    <t>'65003'</t>
  </si>
  <si>
    <t>'65005'</t>
  </si>
  <si>
    <t>'65006'</t>
  </si>
  <si>
    <t>'65007'</t>
  </si>
  <si>
    <t>'65008'</t>
  </si>
  <si>
    <t>'65010'</t>
  </si>
  <si>
    <t>'65013'</t>
  </si>
  <si>
    <t>'65014'</t>
  </si>
  <si>
    <t>'65015'</t>
  </si>
  <si>
    <t>'65016'</t>
  </si>
  <si>
    <t>'65017'</t>
  </si>
  <si>
    <t>'65018'</t>
  </si>
  <si>
    <t>'65019'</t>
  </si>
  <si>
    <t>'65020'</t>
  </si>
  <si>
    <t>'65021'</t>
  </si>
  <si>
    <t>'65022'</t>
  </si>
  <si>
    <t>'65023'</t>
  </si>
  <si>
    <t>'65024'</t>
  </si>
  <si>
    <t>'65025'</t>
  </si>
  <si>
    <t>'65901'</t>
  </si>
  <si>
    <t>'65902'</t>
  </si>
  <si>
    <t>'65904'</t>
  </si>
  <si>
    <t>'65905'</t>
  </si>
  <si>
    <t>'65907'</t>
  </si>
  <si>
    <t>'65911'</t>
  </si>
  <si>
    <t>'65912'</t>
  </si>
  <si>
    <t>'65914'</t>
  </si>
  <si>
    <t>'65915'</t>
  </si>
  <si>
    <t>'65917'</t>
  </si>
  <si>
    <t>'65918'</t>
  </si>
  <si>
    <t>'65920'</t>
  </si>
  <si>
    <t>'65930'</t>
  </si>
  <si>
    <t>'65950'</t>
  </si>
  <si>
    <t>'65951'</t>
  </si>
  <si>
    <t>'65954'</t>
  </si>
  <si>
    <t>CU PERPIGNAN MEDITERRANEE METROPOLE</t>
  </si>
  <si>
    <t>'66540'</t>
  </si>
  <si>
    <t>'66390'</t>
  </si>
  <si>
    <t>'66420'</t>
  </si>
  <si>
    <t>'66421'</t>
  </si>
  <si>
    <t>'66422'</t>
  </si>
  <si>
    <t>'66423'</t>
  </si>
  <si>
    <t>'66050'</t>
  </si>
  <si>
    <t>'66430'</t>
  </si>
  <si>
    <t>'66039'</t>
  </si>
  <si>
    <t>'66330'</t>
  </si>
  <si>
    <t>'66331'</t>
  </si>
  <si>
    <t>'66334'</t>
  </si>
  <si>
    <t>'66335'</t>
  </si>
  <si>
    <t>'66600'</t>
  </si>
  <si>
    <t>'66140'</t>
  </si>
  <si>
    <t>'66141'</t>
  </si>
  <si>
    <t>'66145'</t>
  </si>
  <si>
    <t>'66680'</t>
  </si>
  <si>
    <t>'66720'</t>
  </si>
  <si>
    <t>'66310'</t>
  </si>
  <si>
    <t>'66300'</t>
  </si>
  <si>
    <t>'66302'</t>
  </si>
  <si>
    <t>'66000'</t>
  </si>
  <si>
    <t>'66001'</t>
  </si>
  <si>
    <t>'66002'</t>
  </si>
  <si>
    <t>'66003'</t>
  </si>
  <si>
    <t>'66004'</t>
  </si>
  <si>
    <t>'66005'</t>
  </si>
  <si>
    <t>'66006'</t>
  </si>
  <si>
    <t>'66007'</t>
  </si>
  <si>
    <t>'66011'</t>
  </si>
  <si>
    <t>'66012'</t>
  </si>
  <si>
    <t>'66013'</t>
  </si>
  <si>
    <t>'66014'</t>
  </si>
  <si>
    <t>'66015'</t>
  </si>
  <si>
    <t>'66017'</t>
  </si>
  <si>
    <t>'66018'</t>
  </si>
  <si>
    <t>'66019'</t>
  </si>
  <si>
    <t>'66020'</t>
  </si>
  <si>
    <t>'66021'</t>
  </si>
  <si>
    <t>'66025'</t>
  </si>
  <si>
    <t>'66026'</t>
  </si>
  <si>
    <t>'66027'</t>
  </si>
  <si>
    <t>'66028'</t>
  </si>
  <si>
    <t>'66029'</t>
  </si>
  <si>
    <t>'66030'</t>
  </si>
  <si>
    <t>'66031'</t>
  </si>
  <si>
    <t>'66032'</t>
  </si>
  <si>
    <t>'66033'</t>
  </si>
  <si>
    <t>'66034'</t>
  </si>
  <si>
    <t>'66046'</t>
  </si>
  <si>
    <t>'66070'</t>
  </si>
  <si>
    <t>'66100'</t>
  </si>
  <si>
    <t>'66101'</t>
  </si>
  <si>
    <t>'66102'</t>
  </si>
  <si>
    <t>'66103'</t>
  </si>
  <si>
    <t>'66830'</t>
  </si>
  <si>
    <t>'66832'</t>
  </si>
  <si>
    <t>'66836'</t>
  </si>
  <si>
    <t>'66845'</t>
  </si>
  <si>
    <t>'66850'</t>
  </si>
  <si>
    <t>'66853'</t>
  </si>
  <si>
    <t>'66854'</t>
  </si>
  <si>
    <t>'66856'</t>
  </si>
  <si>
    <t>'66860'</t>
  </si>
  <si>
    <t>'66863'</t>
  </si>
  <si>
    <t>'66866'</t>
  </si>
  <si>
    <t>'66870'</t>
  </si>
  <si>
    <t>'66906'</t>
  </si>
  <si>
    <t>'66921'</t>
  </si>
  <si>
    <t>'66931'</t>
  </si>
  <si>
    <t>'66940'</t>
  </si>
  <si>
    <t>'66941'</t>
  </si>
  <si>
    <t>'66945'</t>
  </si>
  <si>
    <t>'66950'</t>
  </si>
  <si>
    <t>'66951'</t>
  </si>
  <si>
    <t>'66960'</t>
  </si>
  <si>
    <t>'66962'</t>
  </si>
  <si>
    <t>'66963'</t>
  </si>
  <si>
    <t>'66965'</t>
  </si>
  <si>
    <t>'66966'</t>
  </si>
  <si>
    <t>'66968'</t>
  </si>
  <si>
    <t>'66969'</t>
  </si>
  <si>
    <t>'66370'</t>
  </si>
  <si>
    <t>'66450'</t>
  </si>
  <si>
    <t>'66601'</t>
  </si>
  <si>
    <t>'66602'</t>
  </si>
  <si>
    <t>'66604'</t>
  </si>
  <si>
    <t>'66605'</t>
  </si>
  <si>
    <t>'66606'</t>
  </si>
  <si>
    <t>'66240'</t>
  </si>
  <si>
    <t>'66170'</t>
  </si>
  <si>
    <t>'66510'</t>
  </si>
  <si>
    <t>'66250'</t>
  </si>
  <si>
    <t>'66470'</t>
  </si>
  <si>
    <t>'66144'</t>
  </si>
  <si>
    <t>'66570'</t>
  </si>
  <si>
    <t>'66280'</t>
  </si>
  <si>
    <t>'66270'</t>
  </si>
  <si>
    <t>'66440'</t>
  </si>
  <si>
    <t>'66350'</t>
  </si>
  <si>
    <t>'66410'</t>
  </si>
  <si>
    <t>'66180'</t>
  </si>
  <si>
    <t>'66610'</t>
  </si>
  <si>
    <t>EUROMETROPOLE DE STRASBOURG</t>
  </si>
  <si>
    <t>'67087'</t>
  </si>
  <si>
    <t>'67204'</t>
  </si>
  <si>
    <t>'67600'</t>
  </si>
  <si>
    <t>'67603'</t>
  </si>
  <si>
    <t>'67606'</t>
  </si>
  <si>
    <t>COMMUNAUTE D'AGGLOMERATION DE HAGUENAU</t>
  </si>
  <si>
    <t>'67500'</t>
  </si>
  <si>
    <t>'67501'</t>
  </si>
  <si>
    <t>'67503'</t>
  </si>
  <si>
    <t>CC PAYS DE SAINTE ODILE (CCPSO)</t>
  </si>
  <si>
    <t>'67210'</t>
  </si>
  <si>
    <t>'67170'</t>
  </si>
  <si>
    <t>'67171'</t>
  </si>
  <si>
    <t>'67173'</t>
  </si>
  <si>
    <t>'67800'</t>
  </si>
  <si>
    <t>'67801'</t>
  </si>
  <si>
    <t>'67802'</t>
  </si>
  <si>
    <t>'67803'</t>
  </si>
  <si>
    <t>'67804'</t>
  </si>
  <si>
    <t>'67807'</t>
  </si>
  <si>
    <t>'67240'</t>
  </si>
  <si>
    <t>'67241'</t>
  </si>
  <si>
    <t>'67242'</t>
  </si>
  <si>
    <t>'67243'</t>
  </si>
  <si>
    <t>'67350'</t>
  </si>
  <si>
    <t>'67113'</t>
  </si>
  <si>
    <t>'67112'</t>
  </si>
  <si>
    <t>'67172'</t>
  </si>
  <si>
    <t>'67604'</t>
  </si>
  <si>
    <t>'67607'</t>
  </si>
  <si>
    <t>'67730'</t>
  </si>
  <si>
    <t>'67650'</t>
  </si>
  <si>
    <t>'67034'</t>
  </si>
  <si>
    <t>'67038'</t>
  </si>
  <si>
    <t>'67201'</t>
  </si>
  <si>
    <t>'67550'</t>
  </si>
  <si>
    <t>'67382'</t>
  </si>
  <si>
    <t>'67831'</t>
  </si>
  <si>
    <t>'67832'</t>
  </si>
  <si>
    <t>'67833'</t>
  </si>
  <si>
    <t>'67834'</t>
  </si>
  <si>
    <t>'67836'</t>
  </si>
  <si>
    <t>'67841'</t>
  </si>
  <si>
    <t>'67842'</t>
  </si>
  <si>
    <t>'67960'</t>
  </si>
  <si>
    <t>'67961'</t>
  </si>
  <si>
    <t>'67114'</t>
  </si>
  <si>
    <t>'67401'</t>
  </si>
  <si>
    <t>'67402'</t>
  </si>
  <si>
    <t>'67403'</t>
  </si>
  <si>
    <t>'67411'</t>
  </si>
  <si>
    <t>'67412'</t>
  </si>
  <si>
    <t>'67404'</t>
  </si>
  <si>
    <t>'67640'</t>
  </si>
  <si>
    <t>'67118'</t>
  </si>
  <si>
    <t>'67405'</t>
  </si>
  <si>
    <t>'67949'</t>
  </si>
  <si>
    <t>'67962'</t>
  </si>
  <si>
    <t>'67983'</t>
  </si>
  <si>
    <t>'67502'</t>
  </si>
  <si>
    <t>'67504'</t>
  </si>
  <si>
    <t>'67506'</t>
  </si>
  <si>
    <t>'67838'</t>
  </si>
  <si>
    <t>'67980'</t>
  </si>
  <si>
    <t>'67068'</t>
  </si>
  <si>
    <t>'67927'</t>
  </si>
  <si>
    <t>'67933'</t>
  </si>
  <si>
    <t>'67942'</t>
  </si>
  <si>
    <t>'67974'</t>
  </si>
  <si>
    <t>'67810'</t>
  </si>
  <si>
    <t>'67843'</t>
  </si>
  <si>
    <t>'67999'</t>
  </si>
  <si>
    <t>'67270'</t>
  </si>
  <si>
    <t>'67007'</t>
  </si>
  <si>
    <t>'67400'</t>
  </si>
  <si>
    <t>'67407'</t>
  </si>
  <si>
    <t>'67408'</t>
  </si>
  <si>
    <t>'67409'</t>
  </si>
  <si>
    <t>'67880'</t>
  </si>
  <si>
    <t>'67120'</t>
  </si>
  <si>
    <t>'67214'</t>
  </si>
  <si>
    <t>'67450'</t>
  </si>
  <si>
    <t>'67451'</t>
  </si>
  <si>
    <t>'67452'</t>
  </si>
  <si>
    <t>'67380'</t>
  </si>
  <si>
    <t>'67381'</t>
  </si>
  <si>
    <t>'67985'</t>
  </si>
  <si>
    <t>'67012'</t>
  </si>
  <si>
    <t>'67031'</t>
  </si>
  <si>
    <t>'67206'</t>
  </si>
  <si>
    <t>'67670'</t>
  </si>
  <si>
    <t>'67932'</t>
  </si>
  <si>
    <t>'67944'</t>
  </si>
  <si>
    <t>'67601'</t>
  </si>
  <si>
    <t>'67602'</t>
  </si>
  <si>
    <t>'67014'</t>
  </si>
  <si>
    <t>'67207'</t>
  </si>
  <si>
    <t>'67211'</t>
  </si>
  <si>
    <t>'67212'</t>
  </si>
  <si>
    <t>'67033'</t>
  </si>
  <si>
    <t>'67035'</t>
  </si>
  <si>
    <t>'67088'</t>
  </si>
  <si>
    <t>'67205'</t>
  </si>
  <si>
    <t>'67921'</t>
  </si>
  <si>
    <t>'67922'</t>
  </si>
  <si>
    <t>'67923'</t>
  </si>
  <si>
    <t>'67213'</t>
  </si>
  <si>
    <t>'67215'</t>
  </si>
  <si>
    <t>'67216'</t>
  </si>
  <si>
    <t>'67217'</t>
  </si>
  <si>
    <t>'67203'</t>
  </si>
  <si>
    <t>'67507'</t>
  </si>
  <si>
    <t>'67590'</t>
  </si>
  <si>
    <t>'67990'</t>
  </si>
  <si>
    <t>'67540'</t>
  </si>
  <si>
    <t>'67541'</t>
  </si>
  <si>
    <t>'67542'</t>
  </si>
  <si>
    <t>'67115'</t>
  </si>
  <si>
    <t>'67116'</t>
  </si>
  <si>
    <t>'67455'</t>
  </si>
  <si>
    <t>'67456'</t>
  </si>
  <si>
    <t>'67410'</t>
  </si>
  <si>
    <t>'67608'</t>
  </si>
  <si>
    <t>'67750'</t>
  </si>
  <si>
    <t>'67013'</t>
  </si>
  <si>
    <t>'67015'</t>
  </si>
  <si>
    <t>'67044'</t>
  </si>
  <si>
    <t>'67061'</t>
  </si>
  <si>
    <t>'67096'</t>
  </si>
  <si>
    <t>'67300'</t>
  </si>
  <si>
    <t>'67301'</t>
  </si>
  <si>
    <t>'67302'</t>
  </si>
  <si>
    <t>'67303'</t>
  </si>
  <si>
    <t>'67304'</t>
  </si>
  <si>
    <t>'67305'</t>
  </si>
  <si>
    <t>'67306'</t>
  </si>
  <si>
    <t>'67311'</t>
  </si>
  <si>
    <t>'67312'</t>
  </si>
  <si>
    <t>'67902'</t>
  </si>
  <si>
    <t>'67911'</t>
  </si>
  <si>
    <t>'67945'</t>
  </si>
  <si>
    <t>'67972'</t>
  </si>
  <si>
    <t>'67982'</t>
  </si>
  <si>
    <t>'67605'</t>
  </si>
  <si>
    <t>'67609'</t>
  </si>
  <si>
    <t>'67260'</t>
  </si>
  <si>
    <t>'67457'</t>
  </si>
  <si>
    <t>'67458'</t>
  </si>
  <si>
    <t>'67460'</t>
  </si>
  <si>
    <t>'67000'</t>
  </si>
  <si>
    <t>'67001'</t>
  </si>
  <si>
    <t>'67002'</t>
  </si>
  <si>
    <t>'67003'</t>
  </si>
  <si>
    <t>'67004'</t>
  </si>
  <si>
    <t>'67005'</t>
  </si>
  <si>
    <t>'67006'</t>
  </si>
  <si>
    <t>'67008'</t>
  </si>
  <si>
    <t>'67009'</t>
  </si>
  <si>
    <t>'67010'</t>
  </si>
  <si>
    <t>'67011'</t>
  </si>
  <si>
    <t>'67016'</t>
  </si>
  <si>
    <t>'67017'</t>
  </si>
  <si>
    <t>'67018'</t>
  </si>
  <si>
    <t>'67020'</t>
  </si>
  <si>
    <t>'67021'</t>
  </si>
  <si>
    <t>'67022'</t>
  </si>
  <si>
    <t>'67023'</t>
  </si>
  <si>
    <t>'67024'</t>
  </si>
  <si>
    <t>'67025'</t>
  </si>
  <si>
    <t>'67026'</t>
  </si>
  <si>
    <t>'67027'</t>
  </si>
  <si>
    <t>'67028'</t>
  </si>
  <si>
    <t>'67029'</t>
  </si>
  <si>
    <t>'67030'</t>
  </si>
  <si>
    <t>'67036'</t>
  </si>
  <si>
    <t>'67037'</t>
  </si>
  <si>
    <t>'67039'</t>
  </si>
  <si>
    <t>'67043'</t>
  </si>
  <si>
    <t>'67045'</t>
  </si>
  <si>
    <t>'67046'</t>
  </si>
  <si>
    <t>'67060'</t>
  </si>
  <si>
    <t>'67064'</t>
  </si>
  <si>
    <t>'67065'</t>
  </si>
  <si>
    <t>'67067'</t>
  </si>
  <si>
    <t>'67069'</t>
  </si>
  <si>
    <t>'67070'</t>
  </si>
  <si>
    <t>'67071'</t>
  </si>
  <si>
    <t>'67073'</t>
  </si>
  <si>
    <t>'67074'</t>
  </si>
  <si>
    <t>'67075'</t>
  </si>
  <si>
    <t>'67076'</t>
  </si>
  <si>
    <t>'67077'</t>
  </si>
  <si>
    <t>'67080'</t>
  </si>
  <si>
    <t>'67081'</t>
  </si>
  <si>
    <t>'67082'</t>
  </si>
  <si>
    <t>'67083'</t>
  </si>
  <si>
    <t>'67084'</t>
  </si>
  <si>
    <t>'67085'</t>
  </si>
  <si>
    <t>'67086'</t>
  </si>
  <si>
    <t>'67089'</t>
  </si>
  <si>
    <t>'67090'</t>
  </si>
  <si>
    <t>'67091'</t>
  </si>
  <si>
    <t>'67092'</t>
  </si>
  <si>
    <t>'67093'</t>
  </si>
  <si>
    <t>'67100'</t>
  </si>
  <si>
    <t>'67102'</t>
  </si>
  <si>
    <t>'67151'</t>
  </si>
  <si>
    <t>'67200'</t>
  </si>
  <si>
    <t>'67900'</t>
  </si>
  <si>
    <t>'67901'</t>
  </si>
  <si>
    <t>'67905'</t>
  </si>
  <si>
    <t>'67906'</t>
  </si>
  <si>
    <t>'67907'</t>
  </si>
  <si>
    <t>'67909'</t>
  </si>
  <si>
    <t>'67913'</t>
  </si>
  <si>
    <t>'67925'</t>
  </si>
  <si>
    <t>'67953'</t>
  </si>
  <si>
    <t>'67958'</t>
  </si>
  <si>
    <t>'67964'</t>
  </si>
  <si>
    <t>'67975'</t>
  </si>
  <si>
    <t>'67976'</t>
  </si>
  <si>
    <t>'67977'</t>
  </si>
  <si>
    <t>'67978'</t>
  </si>
  <si>
    <t>'67979'</t>
  </si>
  <si>
    <t>'67981'</t>
  </si>
  <si>
    <t>'67453'</t>
  </si>
  <si>
    <t>'67454'</t>
  </si>
  <si>
    <t>'67610'</t>
  </si>
  <si>
    <t>'67032'</t>
  </si>
  <si>
    <t>'67202'</t>
  </si>
  <si>
    <t>COLMAR AGGLOMERATION</t>
  </si>
  <si>
    <t>'68280'</t>
  </si>
  <si>
    <t>COMMUNAUTE DE COMMUNES SAINT LOUIS AGGLOMERATION</t>
  </si>
  <si>
    <t>'68220'</t>
  </si>
  <si>
    <t>CA MULHOUSE ALSACE AGGLOMERATION</t>
  </si>
  <si>
    <t>'68390'</t>
  </si>
  <si>
    <t>'68391'</t>
  </si>
  <si>
    <t>'68392'</t>
  </si>
  <si>
    <t>'68490'</t>
  </si>
  <si>
    <t>'68870'</t>
  </si>
  <si>
    <t>'68500'</t>
  </si>
  <si>
    <t>'68320'</t>
  </si>
  <si>
    <t>'68730'</t>
  </si>
  <si>
    <t>'68540'</t>
  </si>
  <si>
    <t>'68440'</t>
  </si>
  <si>
    <t>'68050'</t>
  </si>
  <si>
    <t>'68057'</t>
  </si>
  <si>
    <t>'68058'</t>
  </si>
  <si>
    <t>'68059'</t>
  </si>
  <si>
    <t>'68060'</t>
  </si>
  <si>
    <t>'68068'</t>
  </si>
  <si>
    <t>'68069'</t>
  </si>
  <si>
    <t>'68072'</t>
  </si>
  <si>
    <t>'68350'</t>
  </si>
  <si>
    <t>'68055'</t>
  </si>
  <si>
    <t>'68000'</t>
  </si>
  <si>
    <t>'68001'</t>
  </si>
  <si>
    <t>'68002'</t>
  </si>
  <si>
    <t>'68003'</t>
  </si>
  <si>
    <t>'68004'</t>
  </si>
  <si>
    <t>'68005'</t>
  </si>
  <si>
    <t>'68006'</t>
  </si>
  <si>
    <t>'68007'</t>
  </si>
  <si>
    <t>'68008'</t>
  </si>
  <si>
    <t>'68009'</t>
  </si>
  <si>
    <t>'68010'</t>
  </si>
  <si>
    <t>'68012'</t>
  </si>
  <si>
    <t>'68013'</t>
  </si>
  <si>
    <t>'68014'</t>
  </si>
  <si>
    <t>'68015'</t>
  </si>
  <si>
    <t>'68016'</t>
  </si>
  <si>
    <t>'68017'</t>
  </si>
  <si>
    <t>'68018'</t>
  </si>
  <si>
    <t>'68020'</t>
  </si>
  <si>
    <t>'68021'</t>
  </si>
  <si>
    <t>'68022'</t>
  </si>
  <si>
    <t>'68023'</t>
  </si>
  <si>
    <t>'68024'</t>
  </si>
  <si>
    <t>'68025'</t>
  </si>
  <si>
    <t>'68026'</t>
  </si>
  <si>
    <t>'68027'</t>
  </si>
  <si>
    <t>'68921'</t>
  </si>
  <si>
    <t>'68720'</t>
  </si>
  <si>
    <t>'68990'</t>
  </si>
  <si>
    <t>'68510'</t>
  </si>
  <si>
    <t>'68221'</t>
  </si>
  <si>
    <t>'68420'</t>
  </si>
  <si>
    <t>'68925'</t>
  </si>
  <si>
    <t>'68304'</t>
  </si>
  <si>
    <t>'68180'</t>
  </si>
  <si>
    <t>'68019'</t>
  </si>
  <si>
    <t>'68125'</t>
  </si>
  <si>
    <t>'68330'</t>
  </si>
  <si>
    <t>'68331'</t>
  </si>
  <si>
    <t>'68332'</t>
  </si>
  <si>
    <t>'68333'</t>
  </si>
  <si>
    <t>'68110'</t>
  </si>
  <si>
    <t>'68311'</t>
  </si>
  <si>
    <t>'68312'</t>
  </si>
  <si>
    <t>'68313'</t>
  </si>
  <si>
    <t>'68314'</t>
  </si>
  <si>
    <t>'68315'</t>
  </si>
  <si>
    <t>'68316'</t>
  </si>
  <si>
    <t>'68317'</t>
  </si>
  <si>
    <t>'68040'</t>
  </si>
  <si>
    <t>'68927'</t>
  </si>
  <si>
    <t>'68680'</t>
  </si>
  <si>
    <t>'68260'</t>
  </si>
  <si>
    <t>'68261'</t>
  </si>
  <si>
    <t>'68262'</t>
  </si>
  <si>
    <t>'68263'</t>
  </si>
  <si>
    <t>'68264'</t>
  </si>
  <si>
    <t>'68265'</t>
  </si>
  <si>
    <t>'68944'</t>
  </si>
  <si>
    <t>'68460'</t>
  </si>
  <si>
    <t>'68790'</t>
  </si>
  <si>
    <t>'68051'</t>
  </si>
  <si>
    <t>'68052'</t>
  </si>
  <si>
    <t>'68053'</t>
  </si>
  <si>
    <t>'68054'</t>
  </si>
  <si>
    <t>'68056'</t>
  </si>
  <si>
    <t>'68061'</t>
  </si>
  <si>
    <t>'68062'</t>
  </si>
  <si>
    <t>'68063'</t>
  </si>
  <si>
    <t>'68064'</t>
  </si>
  <si>
    <t>'68065'</t>
  </si>
  <si>
    <t>'68066'</t>
  </si>
  <si>
    <t>'68067'</t>
  </si>
  <si>
    <t>'68070'</t>
  </si>
  <si>
    <t>'68071'</t>
  </si>
  <si>
    <t>'68073'</t>
  </si>
  <si>
    <t>'68074'</t>
  </si>
  <si>
    <t>'68082'</t>
  </si>
  <si>
    <t>'68083'</t>
  </si>
  <si>
    <t>'68084'</t>
  </si>
  <si>
    <t>'68085'</t>
  </si>
  <si>
    <t>'68086'</t>
  </si>
  <si>
    <t>'68090'</t>
  </si>
  <si>
    <t>'68091'</t>
  </si>
  <si>
    <t>'68092'</t>
  </si>
  <si>
    <t>'68093'</t>
  </si>
  <si>
    <t>'68097'</t>
  </si>
  <si>
    <t>'68100'</t>
  </si>
  <si>
    <t>'68200'</t>
  </si>
  <si>
    <t>'68301'</t>
  </si>
  <si>
    <t>'68947'</t>
  </si>
  <si>
    <t>'68948'</t>
  </si>
  <si>
    <t>'68230'</t>
  </si>
  <si>
    <t>'68120'</t>
  </si>
  <si>
    <t>'68840'</t>
  </si>
  <si>
    <t>'68950'</t>
  </si>
  <si>
    <t>'68400'</t>
  </si>
  <si>
    <t>'68170'</t>
  </si>
  <si>
    <t>'68171'</t>
  </si>
  <si>
    <t>'68172'</t>
  </si>
  <si>
    <t>'68173'</t>
  </si>
  <si>
    <t>'68128'</t>
  </si>
  <si>
    <t>'68307'</t>
  </si>
  <si>
    <t>'68270'</t>
  </si>
  <si>
    <t>'68272'</t>
  </si>
  <si>
    <t>'68274'</t>
  </si>
  <si>
    <t>'68127'</t>
  </si>
  <si>
    <t>'68131'</t>
  </si>
  <si>
    <t>'68300'</t>
  </si>
  <si>
    <t>'68302'</t>
  </si>
  <si>
    <t>'68303'</t>
  </si>
  <si>
    <t>'68305'</t>
  </si>
  <si>
    <t>'68306'</t>
  </si>
  <si>
    <t>'68308'</t>
  </si>
  <si>
    <t>'68309'</t>
  </si>
  <si>
    <t>'68393'</t>
  </si>
  <si>
    <t>'68968'</t>
  </si>
  <si>
    <t>'68850'</t>
  </si>
  <si>
    <t>'68190'</t>
  </si>
  <si>
    <t>'68130'</t>
  </si>
  <si>
    <t>'68920'</t>
  </si>
  <si>
    <t>'68124'</t>
  </si>
  <si>
    <t>'68310'</t>
  </si>
  <si>
    <t>'68802'</t>
  </si>
  <si>
    <t>'68806'</t>
  </si>
  <si>
    <t>'68271'</t>
  </si>
  <si>
    <t>'68273'</t>
  </si>
  <si>
    <t>'69170'</t>
  </si>
  <si>
    <t>'69790'</t>
  </si>
  <si>
    <t>'69250'</t>
  </si>
  <si>
    <t>'69581'</t>
  </si>
  <si>
    <t>'69380'</t>
  </si>
  <si>
    <t>'69480'</t>
  </si>
  <si>
    <t>'69550'</t>
  </si>
  <si>
    <t>'69420'</t>
  </si>
  <si>
    <t>'69714'</t>
  </si>
  <si>
    <t>'69490'</t>
  </si>
  <si>
    <t>'69210'</t>
  </si>
  <si>
    <t>'69591'</t>
  </si>
  <si>
    <t>'69592'</t>
  </si>
  <si>
    <t>'69593'</t>
  </si>
  <si>
    <t>'69430'</t>
  </si>
  <si>
    <t>'69400'</t>
  </si>
  <si>
    <t>'69651'</t>
  </si>
  <si>
    <t>'69652'</t>
  </si>
  <si>
    <t>'69653'</t>
  </si>
  <si>
    <t>'69654'</t>
  </si>
  <si>
    <t>'69655'</t>
  </si>
  <si>
    <t>'69656'</t>
  </si>
  <si>
    <t>'69657'</t>
  </si>
  <si>
    <t>'69658'</t>
  </si>
  <si>
    <t>'69659'</t>
  </si>
  <si>
    <t>'69610'</t>
  </si>
  <si>
    <t>'69620'</t>
  </si>
  <si>
    <t>'69220'</t>
  </si>
  <si>
    <t>'69822'</t>
  </si>
  <si>
    <t>'69823'</t>
  </si>
  <si>
    <t>'69824'</t>
  </si>
  <si>
    <t>'69595'</t>
  </si>
  <si>
    <t>'69690'</t>
  </si>
  <si>
    <t>'69460'</t>
  </si>
  <si>
    <t>'69530'</t>
  </si>
  <si>
    <t>'69126'</t>
  </si>
  <si>
    <t>'69500'</t>
  </si>
  <si>
    <t>'69513'</t>
  </si>
  <si>
    <t>'69671'</t>
  </si>
  <si>
    <t>'69672'</t>
  </si>
  <si>
    <t>'69673'</t>
  </si>
  <si>
    <t>'69674'</t>
  </si>
  <si>
    <t>'69675'</t>
  </si>
  <si>
    <t>'69676'</t>
  </si>
  <si>
    <t>'69677'</t>
  </si>
  <si>
    <t>'69678'</t>
  </si>
  <si>
    <t>'69841'</t>
  </si>
  <si>
    <t>'69270'</t>
  </si>
  <si>
    <t>'69300'</t>
  </si>
  <si>
    <t>'69641'</t>
  </si>
  <si>
    <t>'69642'</t>
  </si>
  <si>
    <t>'69643'</t>
  </si>
  <si>
    <t>'69644'</t>
  </si>
  <si>
    <t>'69645'</t>
  </si>
  <si>
    <t>'69646'</t>
  </si>
  <si>
    <t>'69647'</t>
  </si>
  <si>
    <t>'69648'</t>
  </si>
  <si>
    <t>'69732'</t>
  </si>
  <si>
    <t>'69840'</t>
  </si>
  <si>
    <t>'69870'</t>
  </si>
  <si>
    <t>'69770'</t>
  </si>
  <si>
    <t>'69410'</t>
  </si>
  <si>
    <t>'69541'</t>
  </si>
  <si>
    <t>'69542'</t>
  </si>
  <si>
    <t>'69543'</t>
  </si>
  <si>
    <t>'69544'</t>
  </si>
  <si>
    <t>'69932'</t>
  </si>
  <si>
    <t>'69953'</t>
  </si>
  <si>
    <t>'69956'</t>
  </si>
  <si>
    <t>'69590'</t>
  </si>
  <si>
    <t>'69630'</t>
  </si>
  <si>
    <t>'69260'</t>
  </si>
  <si>
    <t>'69751'</t>
  </si>
  <si>
    <t>'69390'</t>
  </si>
  <si>
    <t>'69700'</t>
  </si>
  <si>
    <t>'69702'</t>
  </si>
  <si>
    <t>'69440'</t>
  </si>
  <si>
    <t>'69115'</t>
  </si>
  <si>
    <t>'69640'</t>
  </si>
  <si>
    <t>'69660'</t>
  </si>
  <si>
    <t>'69470'</t>
  </si>
  <si>
    <t>'69290'</t>
  </si>
  <si>
    <t>'69583'</t>
  </si>
  <si>
    <t>'69570'</t>
  </si>
  <si>
    <t>'69571'</t>
  </si>
  <si>
    <t>'69572'</t>
  </si>
  <si>
    <t>'69573'</t>
  </si>
  <si>
    <t>'69574'</t>
  </si>
  <si>
    <t>'69850'</t>
  </si>
  <si>
    <t>'69130'</t>
  </si>
  <si>
    <t>'69131'</t>
  </si>
  <si>
    <t>'69132'</t>
  </si>
  <si>
    <t>'69134'</t>
  </si>
  <si>
    <t>'69136'</t>
  </si>
  <si>
    <t>'69948'</t>
  </si>
  <si>
    <t>'69820'</t>
  </si>
  <si>
    <t>'69582'</t>
  </si>
  <si>
    <t>'69340'</t>
  </si>
  <si>
    <t>'69811'</t>
  </si>
  <si>
    <t>'69812'</t>
  </si>
  <si>
    <t>'69813'</t>
  </si>
  <si>
    <t>'69817'</t>
  </si>
  <si>
    <t>'69701'</t>
  </si>
  <si>
    <t>'69665'</t>
  </si>
  <si>
    <t>'69520'</t>
  </si>
  <si>
    <t>'69540'</t>
  </si>
  <si>
    <t>'69760'</t>
  </si>
  <si>
    <t>'69280'</t>
  </si>
  <si>
    <t>'69510'</t>
  </si>
  <si>
    <t>'69860'</t>
  </si>
  <si>
    <t>'69350'</t>
  </si>
  <si>
    <t>'69922'</t>
  </si>
  <si>
    <t>'69923'</t>
  </si>
  <si>
    <t>'69924'</t>
  </si>
  <si>
    <t>'69600'</t>
  </si>
  <si>
    <t>'69921'</t>
  </si>
  <si>
    <t>'69310'</t>
  </si>
  <si>
    <t>'69491'</t>
  </si>
  <si>
    <t>'69492'</t>
  </si>
  <si>
    <t>'69493'</t>
  </si>
  <si>
    <t>'69495'</t>
  </si>
  <si>
    <t>'69240'</t>
  </si>
  <si>
    <t>'69650'</t>
  </si>
  <si>
    <t>'69594'</t>
  </si>
  <si>
    <t>'69930'</t>
  </si>
  <si>
    <t>'69560'</t>
  </si>
  <si>
    <t>'69450'</t>
  </si>
  <si>
    <t>'69771'</t>
  </si>
  <si>
    <t>'69370'</t>
  </si>
  <si>
    <t>'69190'</t>
  </si>
  <si>
    <t>'69191'</t>
  </si>
  <si>
    <t>'69192'</t>
  </si>
  <si>
    <t>'69195'</t>
  </si>
  <si>
    <t>'69110'</t>
  </si>
  <si>
    <t>'69230'</t>
  </si>
  <si>
    <t>'69561'</t>
  </si>
  <si>
    <t>'69563'</t>
  </si>
  <si>
    <t>'69564'</t>
  </si>
  <si>
    <t>'69565'</t>
  </si>
  <si>
    <t>'69830'</t>
  </si>
  <si>
    <t>'69171'</t>
  </si>
  <si>
    <t>'69172'</t>
  </si>
  <si>
    <t>'69173'</t>
  </si>
  <si>
    <t>'69160'</t>
  </si>
  <si>
    <t>'69814'</t>
  </si>
  <si>
    <t>'69890'</t>
  </si>
  <si>
    <t>'69670'</t>
  </si>
  <si>
    <t>'69120'</t>
  </si>
  <si>
    <t>'69511'</t>
  </si>
  <si>
    <t>'69512'</t>
  </si>
  <si>
    <t>'69514'</t>
  </si>
  <si>
    <t>'69515'</t>
  </si>
  <si>
    <t>'69516'</t>
  </si>
  <si>
    <t>'69517'</t>
  </si>
  <si>
    <t>'69518'</t>
  </si>
  <si>
    <t>'69200'</t>
  </si>
  <si>
    <t>'69351'</t>
  </si>
  <si>
    <t>'69355'</t>
  </si>
  <si>
    <t>'69356'</t>
  </si>
  <si>
    <t>'69359'</t>
  </si>
  <si>
    <t>'69631'</t>
  </si>
  <si>
    <t>'69632'</t>
  </si>
  <si>
    <t>'69633'</t>
  </si>
  <si>
    <t>'69634'</t>
  </si>
  <si>
    <t>'69635'</t>
  </si>
  <si>
    <t>'69636'</t>
  </si>
  <si>
    <t>'69637'</t>
  </si>
  <si>
    <t>'69691'</t>
  </si>
  <si>
    <t>'69692'</t>
  </si>
  <si>
    <t>'69693'</t>
  </si>
  <si>
    <t>'69694'</t>
  </si>
  <si>
    <t>'69969'</t>
  </si>
  <si>
    <t>'69661'</t>
  </si>
  <si>
    <t>'69667'</t>
  </si>
  <si>
    <t>'69100'</t>
  </si>
  <si>
    <t>'69486'</t>
  </si>
  <si>
    <t>'69601'</t>
  </si>
  <si>
    <t>'69602'</t>
  </si>
  <si>
    <t>'69603'</t>
  </si>
  <si>
    <t>'69604'</t>
  </si>
  <si>
    <t>'69605'</t>
  </si>
  <si>
    <t>'69606'</t>
  </si>
  <si>
    <t>'69607'</t>
  </si>
  <si>
    <t>'69608'</t>
  </si>
  <si>
    <t>'69609'</t>
  </si>
  <si>
    <t>'69611'</t>
  </si>
  <si>
    <t>'69612'</t>
  </si>
  <si>
    <t>'69613'</t>
  </si>
  <si>
    <t>'69615'</t>
  </si>
  <si>
    <t>'69616'</t>
  </si>
  <si>
    <t>'69619'</t>
  </si>
  <si>
    <t>'69621'</t>
  </si>
  <si>
    <t>'69622'</t>
  </si>
  <si>
    <t>'69623'</t>
  </si>
  <si>
    <t>'69624'</t>
  </si>
  <si>
    <t>'69625'</t>
  </si>
  <si>
    <t>'69626'</t>
  </si>
  <si>
    <t>'69627'</t>
  </si>
  <si>
    <t>'69628'</t>
  </si>
  <si>
    <t>'69910'</t>
  </si>
  <si>
    <t>'69970'</t>
  </si>
  <si>
    <t>'69680'</t>
  </si>
  <si>
    <t>'69681'</t>
  </si>
  <si>
    <t>'69682'</t>
  </si>
  <si>
    <t>'69684'</t>
  </si>
  <si>
    <t>'69685'</t>
  </si>
  <si>
    <t>'69686'</t>
  </si>
  <si>
    <t>'69687'</t>
  </si>
  <si>
    <t>'69836'</t>
  </si>
  <si>
    <t>'69937'</t>
  </si>
  <si>
    <t>'69360'</t>
  </si>
  <si>
    <t>'69553'</t>
  </si>
  <si>
    <t>'69960'</t>
  </si>
  <si>
    <t>'69961'</t>
  </si>
  <si>
    <t>'69962'</t>
  </si>
  <si>
    <t>'69963'</t>
  </si>
  <si>
    <t>'69964'</t>
  </si>
  <si>
    <t>'69965'</t>
  </si>
  <si>
    <t>'69968'</t>
  </si>
  <si>
    <t>'69150'</t>
  </si>
  <si>
    <t>'69151'</t>
  </si>
  <si>
    <t>'69152'</t>
  </si>
  <si>
    <t>'69153'</t>
  </si>
  <si>
    <t>'69154'</t>
  </si>
  <si>
    <t>'69159'</t>
  </si>
  <si>
    <t>'69320'</t>
  </si>
  <si>
    <t>'69551'</t>
  </si>
  <si>
    <t>'69552'</t>
  </si>
  <si>
    <t>'69740'</t>
  </si>
  <si>
    <t>'69741'</t>
  </si>
  <si>
    <t>'69742'</t>
  </si>
  <si>
    <t>'69743'</t>
  </si>
  <si>
    <t>'69744'</t>
  </si>
  <si>
    <t>'69745'</t>
  </si>
  <si>
    <t>'69746'</t>
  </si>
  <si>
    <t>'69747'</t>
  </si>
  <si>
    <t>'69726'</t>
  </si>
  <si>
    <t>'69727'</t>
  </si>
  <si>
    <t>'69730'</t>
  </si>
  <si>
    <t>'69330'</t>
  </si>
  <si>
    <t>'69881'</t>
  </si>
  <si>
    <t>'69883'</t>
  </si>
  <si>
    <t>'69967'</t>
  </si>
  <si>
    <t>'69882'</t>
  </si>
  <si>
    <t>'69991'</t>
  </si>
  <si>
    <t>'69780'</t>
  </si>
  <si>
    <t>'69891'</t>
  </si>
  <si>
    <t>'69140'</t>
  </si>
  <si>
    <t>'69141'</t>
  </si>
  <si>
    <t>'69142'</t>
  </si>
  <si>
    <t>'69143'</t>
  </si>
  <si>
    <t>'69144'</t>
  </si>
  <si>
    <t>'69145'</t>
  </si>
  <si>
    <t>'69146'</t>
  </si>
  <si>
    <t>'69147'</t>
  </si>
  <si>
    <t>'69148'</t>
  </si>
  <si>
    <t>'69720'</t>
  </si>
  <si>
    <t>'69748'</t>
  </si>
  <si>
    <t>'69800'</t>
  </si>
  <si>
    <t>'69801'</t>
  </si>
  <si>
    <t>'69802'</t>
  </si>
  <si>
    <t>'69803'</t>
  </si>
  <si>
    <t>'69804'</t>
  </si>
  <si>
    <t>'69805'</t>
  </si>
  <si>
    <t>'69806'</t>
  </si>
  <si>
    <t>'69808'</t>
  </si>
  <si>
    <t>'69832'</t>
  </si>
  <si>
    <t>'69901'</t>
  </si>
  <si>
    <t>'69904'</t>
  </si>
  <si>
    <t>'69907'</t>
  </si>
  <si>
    <t>'69908'</t>
  </si>
  <si>
    <t>'69933'</t>
  </si>
  <si>
    <t>'69935'</t>
  </si>
  <si>
    <t>'69945'</t>
  </si>
  <si>
    <t>'69947'</t>
  </si>
  <si>
    <t>'69951'</t>
  </si>
  <si>
    <t>'69952'</t>
  </si>
  <si>
    <t>'69955'</t>
  </si>
  <si>
    <t>'69580'</t>
  </si>
  <si>
    <t>'69124'</t>
  </si>
  <si>
    <t>'69125'</t>
  </si>
  <si>
    <t>'69749'</t>
  </si>
  <si>
    <t>'69001'</t>
  </si>
  <si>
    <t>'69201'</t>
  </si>
  <si>
    <t>'69202'</t>
  </si>
  <si>
    <t>'69203'</t>
  </si>
  <si>
    <t>'69204'</t>
  </si>
  <si>
    <t>'69205'</t>
  </si>
  <si>
    <t>'69206'</t>
  </si>
  <si>
    <t>'69207'</t>
  </si>
  <si>
    <t>'69208'</t>
  </si>
  <si>
    <t>'69209'</t>
  </si>
  <si>
    <t>'69214'</t>
  </si>
  <si>
    <t>'69217'</t>
  </si>
  <si>
    <t>'69241'</t>
  </si>
  <si>
    <t>'69242'</t>
  </si>
  <si>
    <t>'69244'</t>
  </si>
  <si>
    <t>'69274'</t>
  </si>
  <si>
    <t>'69281'</t>
  </si>
  <si>
    <t>'69282'</t>
  </si>
  <si>
    <t>'69283'</t>
  </si>
  <si>
    <t>'69002'</t>
  </si>
  <si>
    <t>'69213'</t>
  </si>
  <si>
    <t>'69215'</t>
  </si>
  <si>
    <t>'69216'</t>
  </si>
  <si>
    <t>'69218'</t>
  </si>
  <si>
    <t>'69219'</t>
  </si>
  <si>
    <t>'69226'</t>
  </si>
  <si>
    <t>'69227'</t>
  </si>
  <si>
    <t>'69228'</t>
  </si>
  <si>
    <t>'69229'</t>
  </si>
  <si>
    <t>'69232'</t>
  </si>
  <si>
    <t>'69237'</t>
  </si>
  <si>
    <t>'69239'</t>
  </si>
  <si>
    <t>'69267'</t>
  </si>
  <si>
    <t>'69268'</t>
  </si>
  <si>
    <t>'69269'</t>
  </si>
  <si>
    <t>'69271'</t>
  </si>
  <si>
    <t>'69284'</t>
  </si>
  <si>
    <t>'69285'</t>
  </si>
  <si>
    <t>'69286'</t>
  </si>
  <si>
    <t>'69287'</t>
  </si>
  <si>
    <t>'69288'</t>
  </si>
  <si>
    <t>'69289'</t>
  </si>
  <si>
    <t>'69291'</t>
  </si>
  <si>
    <t>'69292'</t>
  </si>
  <si>
    <t>'69293'</t>
  </si>
  <si>
    <t>'69294'</t>
  </si>
  <si>
    <t>'69339'</t>
  </si>
  <si>
    <t>'69003'</t>
  </si>
  <si>
    <t>'69062'</t>
  </si>
  <si>
    <t>'69211'</t>
  </si>
  <si>
    <t>'69212'</t>
  </si>
  <si>
    <t>'69275'</t>
  </si>
  <si>
    <t>'69326'</t>
  </si>
  <si>
    <t>'69327'</t>
  </si>
  <si>
    <t>'69328'</t>
  </si>
  <si>
    <t>'69329'</t>
  </si>
  <si>
    <t>'69376'</t>
  </si>
  <si>
    <t>'69391'</t>
  </si>
  <si>
    <t>'69392'</t>
  </si>
  <si>
    <t>'69393'</t>
  </si>
  <si>
    <t>'69394'</t>
  </si>
  <si>
    <t>'69395'</t>
  </si>
  <si>
    <t>'69396'</t>
  </si>
  <si>
    <t>'69397'</t>
  </si>
  <si>
    <t>'69398'</t>
  </si>
  <si>
    <t>'69399'</t>
  </si>
  <si>
    <t>'69401'</t>
  </si>
  <si>
    <t>'69402'</t>
  </si>
  <si>
    <t>'69403'</t>
  </si>
  <si>
    <t>'69404'</t>
  </si>
  <si>
    <t>'69405'</t>
  </si>
  <si>
    <t>'69406'</t>
  </si>
  <si>
    <t>'69408'</t>
  </si>
  <si>
    <t>'69409'</t>
  </si>
  <si>
    <t>'69416'</t>
  </si>
  <si>
    <t>'69418'</t>
  </si>
  <si>
    <t>'69419'</t>
  </si>
  <si>
    <t>'69421'</t>
  </si>
  <si>
    <t>'69422'</t>
  </si>
  <si>
    <t>'69423'</t>
  </si>
  <si>
    <t>'69424'</t>
  </si>
  <si>
    <t>'69425'</t>
  </si>
  <si>
    <t>'69426'</t>
  </si>
  <si>
    <t>'69427'</t>
  </si>
  <si>
    <t>'69428'</t>
  </si>
  <si>
    <t>'69429'</t>
  </si>
  <si>
    <t>'69431'</t>
  </si>
  <si>
    <t>'69432'</t>
  </si>
  <si>
    <t>'69433'</t>
  </si>
  <si>
    <t>'69435'</t>
  </si>
  <si>
    <t>'69436'</t>
  </si>
  <si>
    <t>'69437'</t>
  </si>
  <si>
    <t>'69438'</t>
  </si>
  <si>
    <t>'69439'</t>
  </si>
  <si>
    <t>'69441'</t>
  </si>
  <si>
    <t>'69442'</t>
  </si>
  <si>
    <t>'69443'</t>
  </si>
  <si>
    <t>'69444'</t>
  </si>
  <si>
    <t>'69445'</t>
  </si>
  <si>
    <t>'69446'</t>
  </si>
  <si>
    <t>'69447'</t>
  </si>
  <si>
    <t>'69448'</t>
  </si>
  <si>
    <t>'69449'</t>
  </si>
  <si>
    <t>'69451'</t>
  </si>
  <si>
    <t>'69481'</t>
  </si>
  <si>
    <t>'69482'</t>
  </si>
  <si>
    <t>'69483'</t>
  </si>
  <si>
    <t>'69484'</t>
  </si>
  <si>
    <t>'69485'</t>
  </si>
  <si>
    <t>'69487'</t>
  </si>
  <si>
    <t>'69488'</t>
  </si>
  <si>
    <t>'69489'</t>
  </si>
  <si>
    <t>'69501'</t>
  </si>
  <si>
    <t>'69502'</t>
  </si>
  <si>
    <t>'69503'</t>
  </si>
  <si>
    <t>'69504'</t>
  </si>
  <si>
    <t>'69505'</t>
  </si>
  <si>
    <t>'69507'</t>
  </si>
  <si>
    <t>'69508'</t>
  </si>
  <si>
    <t>'69004'</t>
  </si>
  <si>
    <t>'69243'</t>
  </si>
  <si>
    <t>'69276'</t>
  </si>
  <si>
    <t>'69316'</t>
  </si>
  <si>
    <t>'69317'</t>
  </si>
  <si>
    <t>'69005'</t>
  </si>
  <si>
    <t>'69245'</t>
  </si>
  <si>
    <t>'69246'</t>
  </si>
  <si>
    <t>'69247'</t>
  </si>
  <si>
    <t>'69321'</t>
  </si>
  <si>
    <t>'69322'</t>
  </si>
  <si>
    <t>'69006'</t>
  </si>
  <si>
    <t>'69060'</t>
  </si>
  <si>
    <t>'69061'</t>
  </si>
  <si>
    <t>'69064'</t>
  </si>
  <si>
    <t>'69411'</t>
  </si>
  <si>
    <t>'69412'</t>
  </si>
  <si>
    <t>'69413'</t>
  </si>
  <si>
    <t>'69414'</t>
  </si>
  <si>
    <t>'69415'</t>
  </si>
  <si>
    <t>'69452'</t>
  </si>
  <si>
    <t>'69453'</t>
  </si>
  <si>
    <t>'69454'</t>
  </si>
  <si>
    <t>'69455'</t>
  </si>
  <si>
    <t>'69456'</t>
  </si>
  <si>
    <t>'69457'</t>
  </si>
  <si>
    <t>'69458'</t>
  </si>
  <si>
    <t>'69459'</t>
  </si>
  <si>
    <t>'69461'</t>
  </si>
  <si>
    <t>'69463'</t>
  </si>
  <si>
    <t>'69464'</t>
  </si>
  <si>
    <t>'69465'</t>
  </si>
  <si>
    <t>'69466'</t>
  </si>
  <si>
    <t>'69467'</t>
  </si>
  <si>
    <t>'69468'</t>
  </si>
  <si>
    <t>'69469'</t>
  </si>
  <si>
    <t>'69472'</t>
  </si>
  <si>
    <t>'69475'</t>
  </si>
  <si>
    <t>'69476'</t>
  </si>
  <si>
    <t>'69477'</t>
  </si>
  <si>
    <t>'69478'</t>
  </si>
  <si>
    <t>'69905'</t>
  </si>
  <si>
    <t>'69007'</t>
  </si>
  <si>
    <t>'69301'</t>
  </si>
  <si>
    <t>'69302'</t>
  </si>
  <si>
    <t>'69307'</t>
  </si>
  <si>
    <t>'69309'</t>
  </si>
  <si>
    <t>'69341'</t>
  </si>
  <si>
    <t>'69342'</t>
  </si>
  <si>
    <t>'69343'</t>
  </si>
  <si>
    <t>'69344'</t>
  </si>
  <si>
    <t>'69345'</t>
  </si>
  <si>
    <t>'69346'</t>
  </si>
  <si>
    <t>'69347'</t>
  </si>
  <si>
    <t>'69348'</t>
  </si>
  <si>
    <t>'69349'</t>
  </si>
  <si>
    <t>'69353'</t>
  </si>
  <si>
    <t>'69354'</t>
  </si>
  <si>
    <t>'69357'</t>
  </si>
  <si>
    <t>'69361'</t>
  </si>
  <si>
    <t>'69362'</t>
  </si>
  <si>
    <t>'69363'</t>
  </si>
  <si>
    <t>'69364'</t>
  </si>
  <si>
    <t>'69365'</t>
  </si>
  <si>
    <t>'69366'</t>
  </si>
  <si>
    <t>'69367'</t>
  </si>
  <si>
    <t>'69369'</t>
  </si>
  <si>
    <t>'69389'</t>
  </si>
  <si>
    <t>'69835'</t>
  </si>
  <si>
    <t>'69900'</t>
  </si>
  <si>
    <t>'69998'</t>
  </si>
  <si>
    <t>'69008'</t>
  </si>
  <si>
    <t>'69352'</t>
  </si>
  <si>
    <t>'69371'</t>
  </si>
  <si>
    <t>'69372'</t>
  </si>
  <si>
    <t>'69373'</t>
  </si>
  <si>
    <t>'69377'</t>
  </si>
  <si>
    <t>'69379'</t>
  </si>
  <si>
    <t>'69384'</t>
  </si>
  <si>
    <t>'69385'</t>
  </si>
  <si>
    <t>'69902'</t>
  </si>
  <si>
    <t>'69009'</t>
  </si>
  <si>
    <t>'69225'</t>
  </si>
  <si>
    <t>'69251'</t>
  </si>
  <si>
    <t>'69254'</t>
  </si>
  <si>
    <t>'69255'</t>
  </si>
  <si>
    <t>'69256'</t>
  </si>
  <si>
    <t>'69257'</t>
  </si>
  <si>
    <t>'69258'</t>
  </si>
  <si>
    <t>'69261'</t>
  </si>
  <si>
    <t>'69262'</t>
  </si>
  <si>
    <t>'69263'</t>
  </si>
  <si>
    <t>'69264'</t>
  </si>
  <si>
    <t>'69265'</t>
  </si>
  <si>
    <t>'69266'</t>
  </si>
  <si>
    <t>'69279'</t>
  </si>
  <si>
    <t>'69336'</t>
  </si>
  <si>
    <t>'69337'</t>
  </si>
  <si>
    <t>'69338'</t>
  </si>
  <si>
    <t>COMMUNAUTE D'AGGLOMERATION DE VESOUL</t>
  </si>
  <si>
    <t>'70000'</t>
  </si>
  <si>
    <t>'70400'</t>
  </si>
  <si>
    <t>'70006'</t>
  </si>
  <si>
    <t>'70007'</t>
  </si>
  <si>
    <t>'70014'</t>
  </si>
  <si>
    <t>'70001'</t>
  </si>
  <si>
    <t>'70002'</t>
  </si>
  <si>
    <t>'70005'</t>
  </si>
  <si>
    <t>'70003'</t>
  </si>
  <si>
    <t>'70004'</t>
  </si>
  <si>
    <t>'70013'</t>
  </si>
  <si>
    <t>'70019'</t>
  </si>
  <si>
    <t>'70020'</t>
  </si>
  <si>
    <t>'70021'</t>
  </si>
  <si>
    <t>'70022'</t>
  </si>
  <si>
    <t>COMMUNAUTE D'AGGLOMERATION LE GRAND CHALON</t>
  </si>
  <si>
    <t>'71350'</t>
  </si>
  <si>
    <t>'71510'</t>
  </si>
  <si>
    <t>'71260'</t>
  </si>
  <si>
    <t>'71640'</t>
  </si>
  <si>
    <t>'71960'</t>
  </si>
  <si>
    <t>COMMUNAUTE URBAINE CREUSOT-MONTCEAU</t>
  </si>
  <si>
    <t>'71710'</t>
  </si>
  <si>
    <t>'71450'</t>
  </si>
  <si>
    <t>'71150'</t>
  </si>
  <si>
    <t>'71670'</t>
  </si>
  <si>
    <t>'71570'</t>
  </si>
  <si>
    <t>'71100'</t>
  </si>
  <si>
    <t>'71102'</t>
  </si>
  <si>
    <t>'71103'</t>
  </si>
  <si>
    <t>'71104'</t>
  </si>
  <si>
    <t>'71105'</t>
  </si>
  <si>
    <t>'71106'</t>
  </si>
  <si>
    <t>'71107'</t>
  </si>
  <si>
    <t>'71108'</t>
  </si>
  <si>
    <t>'71109'</t>
  </si>
  <si>
    <t>'71321'</t>
  </si>
  <si>
    <t>'71322'</t>
  </si>
  <si>
    <t>'71323'</t>
  </si>
  <si>
    <t>'71324'</t>
  </si>
  <si>
    <t>'71328'</t>
  </si>
  <si>
    <t>'71331'</t>
  </si>
  <si>
    <t>'71333'</t>
  </si>
  <si>
    <t>'71334'</t>
  </si>
  <si>
    <t>'71335'</t>
  </si>
  <si>
    <t>'71336'</t>
  </si>
  <si>
    <t>'71337'</t>
  </si>
  <si>
    <t>'71530'</t>
  </si>
  <si>
    <t>'71013'</t>
  </si>
  <si>
    <t>'71040'</t>
  </si>
  <si>
    <t>'71012'</t>
  </si>
  <si>
    <t>'71019'</t>
  </si>
  <si>
    <t>'71020'</t>
  </si>
  <si>
    <t>'71850'</t>
  </si>
  <si>
    <t>'71380'</t>
  </si>
  <si>
    <t>'71325'</t>
  </si>
  <si>
    <t>'71880'</t>
  </si>
  <si>
    <t>'71002'</t>
  </si>
  <si>
    <t>'71008'</t>
  </si>
  <si>
    <t>'71420'</t>
  </si>
  <si>
    <t>'71680'</t>
  </si>
  <si>
    <t>'71200'</t>
  </si>
  <si>
    <t>'71201'</t>
  </si>
  <si>
    <t>'71202'</t>
  </si>
  <si>
    <t>'71203'</t>
  </si>
  <si>
    <t>'71204'</t>
  </si>
  <si>
    <t>'71205'</t>
  </si>
  <si>
    <t>'71206'</t>
  </si>
  <si>
    <t>'71210'</t>
  </si>
  <si>
    <t>'71590'</t>
  </si>
  <si>
    <t>'71300'</t>
  </si>
  <si>
    <t>'71301'</t>
  </si>
  <si>
    <t>'71003'</t>
  </si>
  <si>
    <t>'71006'</t>
  </si>
  <si>
    <t>'71007'</t>
  </si>
  <si>
    <t>'71870'</t>
  </si>
  <si>
    <t>'71000'</t>
  </si>
  <si>
    <t>'71001'</t>
  </si>
  <si>
    <t>'71004'</t>
  </si>
  <si>
    <t>'71005'</t>
  </si>
  <si>
    <t>'71009'</t>
  </si>
  <si>
    <t>'71010'</t>
  </si>
  <si>
    <t>'71011'</t>
  </si>
  <si>
    <t>'71017'</t>
  </si>
  <si>
    <t>'71018'</t>
  </si>
  <si>
    <t>'71021'</t>
  </si>
  <si>
    <t>'71022'</t>
  </si>
  <si>
    <t>'71023'</t>
  </si>
  <si>
    <t>'71024'</t>
  </si>
  <si>
    <t>'71025'</t>
  </si>
  <si>
    <t>'71026'</t>
  </si>
  <si>
    <t>'71027'</t>
  </si>
  <si>
    <t>'71031'</t>
  </si>
  <si>
    <t>'71240'</t>
  </si>
  <si>
    <t>'71302'</t>
  </si>
  <si>
    <t>'71303'</t>
  </si>
  <si>
    <t>'71304'</t>
  </si>
  <si>
    <t>'71305'</t>
  </si>
  <si>
    <t>'71306'</t>
  </si>
  <si>
    <t>'71307'</t>
  </si>
  <si>
    <t>'71308'</t>
  </si>
  <si>
    <t>'71309'</t>
  </si>
  <si>
    <t>'71230'</t>
  </si>
  <si>
    <t>'71390'</t>
  </si>
  <si>
    <t>'71118'</t>
  </si>
  <si>
    <t>'71410'</t>
  </si>
  <si>
    <t>'71326'</t>
  </si>
  <si>
    <t>COMMUNAUTE URBAINE LE MANS METROPOLE</t>
  </si>
  <si>
    <t>'72650'</t>
  </si>
  <si>
    <t>'72700'</t>
  </si>
  <si>
    <t>'72703'</t>
  </si>
  <si>
    <t>'72704'</t>
  </si>
  <si>
    <t>'72705'</t>
  </si>
  <si>
    <t>'72610'</t>
  </si>
  <si>
    <t>'72004'</t>
  </si>
  <si>
    <t>'72230'</t>
  </si>
  <si>
    <t>'72231'</t>
  </si>
  <si>
    <t>'72232'</t>
  </si>
  <si>
    <t>'72233'</t>
  </si>
  <si>
    <t>'72234'</t>
  </si>
  <si>
    <t>'72236'</t>
  </si>
  <si>
    <t>'72237'</t>
  </si>
  <si>
    <t>POLE METROPOLITAIN MOBILITES LE MANS-SARTHE</t>
  </si>
  <si>
    <t>'72250'</t>
  </si>
  <si>
    <t>'72008'</t>
  </si>
  <si>
    <t>'72470'</t>
  </si>
  <si>
    <t>'72560'</t>
  </si>
  <si>
    <t>'72550'</t>
  </si>
  <si>
    <t>'72190'</t>
  </si>
  <si>
    <t>'72600'</t>
  </si>
  <si>
    <t>'72000'</t>
  </si>
  <si>
    <t>'72001'</t>
  </si>
  <si>
    <t>'72002'</t>
  </si>
  <si>
    <t>'72003'</t>
  </si>
  <si>
    <t>'72005'</t>
  </si>
  <si>
    <t>'72006'</t>
  </si>
  <si>
    <t>'72007'</t>
  </si>
  <si>
    <t>'72009'</t>
  </si>
  <si>
    <t>'72013'</t>
  </si>
  <si>
    <t>'72014'</t>
  </si>
  <si>
    <t>'72015'</t>
  </si>
  <si>
    <t>'72016'</t>
  </si>
  <si>
    <t>'72018'</t>
  </si>
  <si>
    <t>'72019'</t>
  </si>
  <si>
    <t>'72021'</t>
  </si>
  <si>
    <t>'72024'</t>
  </si>
  <si>
    <t>'72025'</t>
  </si>
  <si>
    <t>'72026'</t>
  </si>
  <si>
    <t>'72027'</t>
  </si>
  <si>
    <t>'72028'</t>
  </si>
  <si>
    <t>'72029'</t>
  </si>
  <si>
    <t>'72030'</t>
  </si>
  <si>
    <t>'72032'</t>
  </si>
  <si>
    <t>'72033'</t>
  </si>
  <si>
    <t>'72034'</t>
  </si>
  <si>
    <t>'72035'</t>
  </si>
  <si>
    <t>'72036'</t>
  </si>
  <si>
    <t>'72037'</t>
  </si>
  <si>
    <t>'72038'</t>
  </si>
  <si>
    <t>'72039'</t>
  </si>
  <si>
    <t>'72041'</t>
  </si>
  <si>
    <t>'72042'</t>
  </si>
  <si>
    <t>'72043'</t>
  </si>
  <si>
    <t>'72044'</t>
  </si>
  <si>
    <t>'72045'</t>
  </si>
  <si>
    <t>'72046'</t>
  </si>
  <si>
    <t>'72047'</t>
  </si>
  <si>
    <t>'72048'</t>
  </si>
  <si>
    <t>'72051'</t>
  </si>
  <si>
    <t>'72052'</t>
  </si>
  <si>
    <t>'72055'</t>
  </si>
  <si>
    <t>'72058'</t>
  </si>
  <si>
    <t>'72059'</t>
  </si>
  <si>
    <t>'72071'</t>
  </si>
  <si>
    <t>'72072'</t>
  </si>
  <si>
    <t>'72073'</t>
  </si>
  <si>
    <t>'72075'</t>
  </si>
  <si>
    <t>'72077'</t>
  </si>
  <si>
    <t>'72080'</t>
  </si>
  <si>
    <t>'72083'</t>
  </si>
  <si>
    <t>'72085'</t>
  </si>
  <si>
    <t>'72086'</t>
  </si>
  <si>
    <t>'72087'</t>
  </si>
  <si>
    <t>'72088'</t>
  </si>
  <si>
    <t>'72091'</t>
  </si>
  <si>
    <t>'72095'</t>
  </si>
  <si>
    <t>'72100'</t>
  </si>
  <si>
    <t>'72902'</t>
  </si>
  <si>
    <t>'72904'</t>
  </si>
  <si>
    <t>'72220'</t>
  </si>
  <si>
    <t>'72530'</t>
  </si>
  <si>
    <t>CA CHAMBERY METROPOLE COEUR DES BAUGES</t>
  </si>
  <si>
    <t>'73340'</t>
  </si>
  <si>
    <t>COMMUNAUTE D'AGGLOMERATION DU LAC DU BOURGET</t>
  </si>
  <si>
    <t>'73100'</t>
  </si>
  <si>
    <t>'73101'</t>
  </si>
  <si>
    <t>'73102'</t>
  </si>
  <si>
    <t>'73103'</t>
  </si>
  <si>
    <t>'73104'</t>
  </si>
  <si>
    <t>'73105'</t>
  </si>
  <si>
    <t>'73106'</t>
  </si>
  <si>
    <t>'73107'</t>
  </si>
  <si>
    <t>'73108'</t>
  </si>
  <si>
    <t>'73410'</t>
  </si>
  <si>
    <t>'73000'</t>
  </si>
  <si>
    <t>'73001'</t>
  </si>
  <si>
    <t>'73003'</t>
  </si>
  <si>
    <t>'73011'</t>
  </si>
  <si>
    <t>'73018'</t>
  </si>
  <si>
    <t>'73021'</t>
  </si>
  <si>
    <t>'73230'</t>
  </si>
  <si>
    <t>'73232'</t>
  </si>
  <si>
    <t>'73235'</t>
  </si>
  <si>
    <t>'73236'</t>
  </si>
  <si>
    <t>'73005'</t>
  </si>
  <si>
    <t>'73006'</t>
  </si>
  <si>
    <t>'73007'</t>
  </si>
  <si>
    <t>'73008'</t>
  </si>
  <si>
    <t>'73024'</t>
  </si>
  <si>
    <t>'73025'</t>
  </si>
  <si>
    <t>'73026'</t>
  </si>
  <si>
    <t>'73370'</t>
  </si>
  <si>
    <t>'73371'</t>
  </si>
  <si>
    <t>'73372'</t>
  </si>
  <si>
    <t>'73373'</t>
  </si>
  <si>
    <t>'73374'</t>
  </si>
  <si>
    <t>'73375'</t>
  </si>
  <si>
    <t>'73376'</t>
  </si>
  <si>
    <t>'73377'</t>
  </si>
  <si>
    <t>'73378'</t>
  </si>
  <si>
    <t>'73379'</t>
  </si>
  <si>
    <t>'73381'</t>
  </si>
  <si>
    <t>VILLE DE BOURG SAINT MAURICE</t>
  </si>
  <si>
    <t>'73700'</t>
  </si>
  <si>
    <t>'73701'</t>
  </si>
  <si>
    <t>'73702'</t>
  </si>
  <si>
    <t>'73703'</t>
  </si>
  <si>
    <t>'73704'</t>
  </si>
  <si>
    <t>'73705'</t>
  </si>
  <si>
    <t>'73708'</t>
  </si>
  <si>
    <t>'73190'</t>
  </si>
  <si>
    <t>'73191'</t>
  </si>
  <si>
    <t>'73192'</t>
  </si>
  <si>
    <t>'73194'</t>
  </si>
  <si>
    <t>'73195'</t>
  </si>
  <si>
    <t>'73002'</t>
  </si>
  <si>
    <t>'73004'</t>
  </si>
  <si>
    <t>'73009'</t>
  </si>
  <si>
    <t>'73010'</t>
  </si>
  <si>
    <t>'73015'</t>
  </si>
  <si>
    <t>'73016'</t>
  </si>
  <si>
    <t>'73017'</t>
  </si>
  <si>
    <t>'73020'</t>
  </si>
  <si>
    <t>'73022'</t>
  </si>
  <si>
    <t>'73031'</t>
  </si>
  <si>
    <t>'73073'</t>
  </si>
  <si>
    <t>'73079'</t>
  </si>
  <si>
    <t>'73091'</t>
  </si>
  <si>
    <t>'73094'</t>
  </si>
  <si>
    <t>'73310'</t>
  </si>
  <si>
    <t>'73630'</t>
  </si>
  <si>
    <t>'73160'</t>
  </si>
  <si>
    <t>'73294'</t>
  </si>
  <si>
    <t>'73420'</t>
  </si>
  <si>
    <t>'73290'</t>
  </si>
  <si>
    <t>'73291'</t>
  </si>
  <si>
    <t>'73292'</t>
  </si>
  <si>
    <t>'73490'</t>
  </si>
  <si>
    <t>'73491'</t>
  </si>
  <si>
    <t>'73492'</t>
  </si>
  <si>
    <t>'73493'</t>
  </si>
  <si>
    <t>'73494'</t>
  </si>
  <si>
    <t>'73231'</t>
  </si>
  <si>
    <t>CC DU PAYS EVIAN ET VALLEE ABONDANCE</t>
  </si>
  <si>
    <t>'74360'</t>
  </si>
  <si>
    <t>COMMUNAUTE D'AGGLOMERATION GRAND ANNECY</t>
  </si>
  <si>
    <t>'74540'</t>
  </si>
  <si>
    <t>CA THONON AGGLOMERATION</t>
  </si>
  <si>
    <t>'74200'</t>
  </si>
  <si>
    <t>'74202'</t>
  </si>
  <si>
    <t>'74205'</t>
  </si>
  <si>
    <t>'74800'</t>
  </si>
  <si>
    <t>'74801'</t>
  </si>
  <si>
    <t>'74802'</t>
  </si>
  <si>
    <t>'74803'</t>
  </si>
  <si>
    <t>'74804'</t>
  </si>
  <si>
    <t>'74805'</t>
  </si>
  <si>
    <t>ANNENASSE AGGLO</t>
  </si>
  <si>
    <t>'74100'</t>
  </si>
  <si>
    <t>'74107'</t>
  </si>
  <si>
    <t>'74111'</t>
  </si>
  <si>
    <t>'74000'</t>
  </si>
  <si>
    <t>'74001'</t>
  </si>
  <si>
    <t>'74002'</t>
  </si>
  <si>
    <t>'74003'</t>
  </si>
  <si>
    <t>'74004'</t>
  </si>
  <si>
    <t>'74005'</t>
  </si>
  <si>
    <t>'74006'</t>
  </si>
  <si>
    <t>'74007'</t>
  </si>
  <si>
    <t>'74008'</t>
  </si>
  <si>
    <t>'74009'</t>
  </si>
  <si>
    <t>'74010'</t>
  </si>
  <si>
    <t>'74011'</t>
  </si>
  <si>
    <t>'74012'</t>
  </si>
  <si>
    <t>'74013'</t>
  </si>
  <si>
    <t>'74014'</t>
  </si>
  <si>
    <t>'74016'</t>
  </si>
  <si>
    <t>'74020'</t>
  </si>
  <si>
    <t>'74021'</t>
  </si>
  <si>
    <t>'74023'</t>
  </si>
  <si>
    <t>'74025'</t>
  </si>
  <si>
    <t>'74034'</t>
  </si>
  <si>
    <t>'74036'</t>
  </si>
  <si>
    <t>'74039'</t>
  </si>
  <si>
    <t>'74040'</t>
  </si>
  <si>
    <t>'74041'</t>
  </si>
  <si>
    <t>'74054'</t>
  </si>
  <si>
    <t>'74055'</t>
  </si>
  <si>
    <t>'74960'</t>
  </si>
  <si>
    <t>'74984'</t>
  </si>
  <si>
    <t>'74985'</t>
  </si>
  <si>
    <t>'74986'</t>
  </si>
  <si>
    <t>'74987'</t>
  </si>
  <si>
    <t>'74990'</t>
  </si>
  <si>
    <t>'74991'</t>
  </si>
  <si>
    <t>'74992'</t>
  </si>
  <si>
    <t>'74993'</t>
  </si>
  <si>
    <t>'74994'</t>
  </si>
  <si>
    <t>'74995'</t>
  </si>
  <si>
    <t>'74997'</t>
  </si>
  <si>
    <t>'74998'</t>
  </si>
  <si>
    <t>'74940'</t>
  </si>
  <si>
    <t>'74941'</t>
  </si>
  <si>
    <t>'74942'</t>
  </si>
  <si>
    <t>'74943'</t>
  </si>
  <si>
    <t>'74944'</t>
  </si>
  <si>
    <t>'74946'</t>
  </si>
  <si>
    <t>'74101'</t>
  </si>
  <si>
    <t>'74102'</t>
  </si>
  <si>
    <t>'74103'</t>
  </si>
  <si>
    <t>'74105'</t>
  </si>
  <si>
    <t>'74106'</t>
  </si>
  <si>
    <t>'74108'</t>
  </si>
  <si>
    <t>'74112'</t>
  </si>
  <si>
    <t>'74201'</t>
  </si>
  <si>
    <t>'74204'</t>
  </si>
  <si>
    <t>'74207'</t>
  </si>
  <si>
    <t>'74930'</t>
  </si>
  <si>
    <t>'74370'</t>
  </si>
  <si>
    <t>'74371'</t>
  </si>
  <si>
    <t>'74372'</t>
  </si>
  <si>
    <t>'74373'</t>
  </si>
  <si>
    <t>'74380'</t>
  </si>
  <si>
    <t>'74570'</t>
  </si>
  <si>
    <t>'74130'</t>
  </si>
  <si>
    <t>'74131'</t>
  </si>
  <si>
    <t>'74132'</t>
  </si>
  <si>
    <t>'74134'</t>
  </si>
  <si>
    <t>'74140'</t>
  </si>
  <si>
    <t>'74500'</t>
  </si>
  <si>
    <t>COMMUNAUTE DE COMMUNES RUMILLY TERRE DE SAVOIE</t>
  </si>
  <si>
    <t>'74150'</t>
  </si>
  <si>
    <t>'74290'</t>
  </si>
  <si>
    <t>'74133'</t>
  </si>
  <si>
    <t>'74136'</t>
  </si>
  <si>
    <t>'74137'</t>
  </si>
  <si>
    <t>'74138'</t>
  </si>
  <si>
    <t>'74890'</t>
  </si>
  <si>
    <t>'74152'</t>
  </si>
  <si>
    <t>'74550'</t>
  </si>
  <si>
    <t>'74502'</t>
  </si>
  <si>
    <t>'74410'</t>
  </si>
  <si>
    <t>'74390'</t>
  </si>
  <si>
    <t>'74650'</t>
  </si>
  <si>
    <t>'74961'</t>
  </si>
  <si>
    <t>'74962'</t>
  </si>
  <si>
    <t>'74963'</t>
  </si>
  <si>
    <t>'74381'</t>
  </si>
  <si>
    <t>'74330'</t>
  </si>
  <si>
    <t>'74501'</t>
  </si>
  <si>
    <t>'74503'</t>
  </si>
  <si>
    <t>'74250'</t>
  </si>
  <si>
    <t>'74240'</t>
  </si>
  <si>
    <t>'74320'</t>
  </si>
  <si>
    <t>'74206'</t>
  </si>
  <si>
    <t>'74970'</t>
  </si>
  <si>
    <t>'74151'</t>
  </si>
  <si>
    <t>'74153'</t>
  </si>
  <si>
    <t>'74490'</t>
  </si>
  <si>
    <t>'74374'</t>
  </si>
  <si>
    <t>'74966'</t>
  </si>
  <si>
    <t>'74996'</t>
  </si>
  <si>
    <t>'74560'</t>
  </si>
  <si>
    <t>'74600'</t>
  </si>
  <si>
    <t>'74808'</t>
  </si>
  <si>
    <t>'74154'</t>
  </si>
  <si>
    <t>'74156'</t>
  </si>
  <si>
    <t>'74807'</t>
  </si>
  <si>
    <t>'74210'</t>
  </si>
  <si>
    <t>'74203'</t>
  </si>
  <si>
    <t>'75001'</t>
  </si>
  <si>
    <t>'75021'</t>
  </si>
  <si>
    <t>'75023'</t>
  </si>
  <si>
    <t>'75024'</t>
  </si>
  <si>
    <t>'75026'</t>
  </si>
  <si>
    <t>'75028'</t>
  </si>
  <si>
    <t>'75029'</t>
  </si>
  <si>
    <t>'75030'</t>
  </si>
  <si>
    <t>'75031'</t>
  </si>
  <si>
    <t>'75032'</t>
  </si>
  <si>
    <t>'75033'</t>
  </si>
  <si>
    <t>'75034'</t>
  </si>
  <si>
    <t>'75035'</t>
  </si>
  <si>
    <t>'75036'</t>
  </si>
  <si>
    <t>'75038'</t>
  </si>
  <si>
    <t>'75039'</t>
  </si>
  <si>
    <t>'75040'</t>
  </si>
  <si>
    <t>'75041'</t>
  </si>
  <si>
    <t>'75042'</t>
  </si>
  <si>
    <t>'75044'</t>
  </si>
  <si>
    <t>'75045'</t>
  </si>
  <si>
    <t>'75046'</t>
  </si>
  <si>
    <t>'75047'</t>
  </si>
  <si>
    <t>'75049'</t>
  </si>
  <si>
    <t>'75050'</t>
  </si>
  <si>
    <t>'75051'</t>
  </si>
  <si>
    <t>'75053'</t>
  </si>
  <si>
    <t>'75054'</t>
  </si>
  <si>
    <t>'75055'</t>
  </si>
  <si>
    <t>'75056'</t>
  </si>
  <si>
    <t>'75058'</t>
  </si>
  <si>
    <t>'75059'</t>
  </si>
  <si>
    <t>'75078'</t>
  </si>
  <si>
    <t>'75100'</t>
  </si>
  <si>
    <t>'75195'</t>
  </si>
  <si>
    <t>'91872'</t>
  </si>
  <si>
    <t>'75002'</t>
  </si>
  <si>
    <t>'75060'</t>
  </si>
  <si>
    <t>'75061'</t>
  </si>
  <si>
    <t>'75062'</t>
  </si>
  <si>
    <t>'75063'</t>
  </si>
  <si>
    <t>'75064'</t>
  </si>
  <si>
    <t>'75065'</t>
  </si>
  <si>
    <t>'75066'</t>
  </si>
  <si>
    <t>'75068'</t>
  </si>
  <si>
    <t>'75069'</t>
  </si>
  <si>
    <t>'75073'</t>
  </si>
  <si>
    <t>'75074'</t>
  </si>
  <si>
    <t>'75075'</t>
  </si>
  <si>
    <t>'75076'</t>
  </si>
  <si>
    <t>'75077'</t>
  </si>
  <si>
    <t>'75079'</t>
  </si>
  <si>
    <t>'75080'</t>
  </si>
  <si>
    <t>'75081'</t>
  </si>
  <si>
    <t>'75082'</t>
  </si>
  <si>
    <t>'75083'</t>
  </si>
  <si>
    <t>'75084'</t>
  </si>
  <si>
    <t>'75085'</t>
  </si>
  <si>
    <t>'75086'</t>
  </si>
  <si>
    <t>'75088'</t>
  </si>
  <si>
    <t>'75089'</t>
  </si>
  <si>
    <t>'75091'</t>
  </si>
  <si>
    <t>'75092'</t>
  </si>
  <si>
    <t>'75096'</t>
  </si>
  <si>
    <t>'75097'</t>
  </si>
  <si>
    <t>'75099'</t>
  </si>
  <si>
    <t>'75102'</t>
  </si>
  <si>
    <t>'75103'</t>
  </si>
  <si>
    <t>'75104'</t>
  </si>
  <si>
    <t>'75105'</t>
  </si>
  <si>
    <t>'75106'</t>
  </si>
  <si>
    <t>'75107'</t>
  </si>
  <si>
    <t>'75108'</t>
  </si>
  <si>
    <t>'75111'</t>
  </si>
  <si>
    <t>'75112'</t>
  </si>
  <si>
    <t>'75113'</t>
  </si>
  <si>
    <t>'75117'</t>
  </si>
  <si>
    <t>'75118'</t>
  </si>
  <si>
    <t>'75003'</t>
  </si>
  <si>
    <t>'75122'</t>
  </si>
  <si>
    <t>'75123'</t>
  </si>
  <si>
    <t>'75124'</t>
  </si>
  <si>
    <t>'75139'</t>
  </si>
  <si>
    <t>'75140'</t>
  </si>
  <si>
    <t>'75141'</t>
  </si>
  <si>
    <t>'75151'</t>
  </si>
  <si>
    <t>'75152'</t>
  </si>
  <si>
    <t>'75153'</t>
  </si>
  <si>
    <t>'75154'</t>
  </si>
  <si>
    <t>'75155'</t>
  </si>
  <si>
    <t>'75004'</t>
  </si>
  <si>
    <t>'75161'</t>
  </si>
  <si>
    <t>'75162'</t>
  </si>
  <si>
    <t>'75163'</t>
  </si>
  <si>
    <t>'75180'</t>
  </si>
  <si>
    <t>'75181'</t>
  </si>
  <si>
    <t>'75183'</t>
  </si>
  <si>
    <t>'75184'</t>
  </si>
  <si>
    <t>'75186'</t>
  </si>
  <si>
    <t>'75188'</t>
  </si>
  <si>
    <t>'75189'</t>
  </si>
  <si>
    <t>'75191'</t>
  </si>
  <si>
    <t>'75192'</t>
  </si>
  <si>
    <t>'75194'</t>
  </si>
  <si>
    <t>'75196'</t>
  </si>
  <si>
    <t>'75197'</t>
  </si>
  <si>
    <t>'75198'</t>
  </si>
  <si>
    <t>'75915'</t>
  </si>
  <si>
    <t>'75005'</t>
  </si>
  <si>
    <t>'75221'</t>
  </si>
  <si>
    <t>'75222'</t>
  </si>
  <si>
    <t>'75223'</t>
  </si>
  <si>
    <t>'75224'</t>
  </si>
  <si>
    <t>'75225'</t>
  </si>
  <si>
    <t>'75226'</t>
  </si>
  <si>
    <t>'75227'</t>
  </si>
  <si>
    <t>'75228'</t>
  </si>
  <si>
    <t>'75229'</t>
  </si>
  <si>
    <t>'75230'</t>
  </si>
  <si>
    <t>'75231'</t>
  </si>
  <si>
    <t>'75232'</t>
  </si>
  <si>
    <t>'75233'</t>
  </si>
  <si>
    <t>'75235'</t>
  </si>
  <si>
    <t>'75236'</t>
  </si>
  <si>
    <t>'75237'</t>
  </si>
  <si>
    <t>'75238'</t>
  </si>
  <si>
    <t>'75239'</t>
  </si>
  <si>
    <t>'75240'</t>
  </si>
  <si>
    <t>'75241'</t>
  </si>
  <si>
    <t>'75248'</t>
  </si>
  <si>
    <t>'75252'</t>
  </si>
  <si>
    <t>'75253'</t>
  </si>
  <si>
    <t>'75256'</t>
  </si>
  <si>
    <t>'75257'</t>
  </si>
  <si>
    <t>'75263'</t>
  </si>
  <si>
    <t>'75006'</t>
  </si>
  <si>
    <t>'75260'</t>
  </si>
  <si>
    <t>'75261'</t>
  </si>
  <si>
    <t>'75262'</t>
  </si>
  <si>
    <t>'75264'</t>
  </si>
  <si>
    <t>'75265'</t>
  </si>
  <si>
    <t>'75266'</t>
  </si>
  <si>
    <t>'75267'</t>
  </si>
  <si>
    <t>'75269'</t>
  </si>
  <si>
    <t>'75270'</t>
  </si>
  <si>
    <t>'75272'</t>
  </si>
  <si>
    <t>'75273'</t>
  </si>
  <si>
    <t>'75275'</t>
  </si>
  <si>
    <t>'75278'</t>
  </si>
  <si>
    <t>'75279'</t>
  </si>
  <si>
    <t>'75280'</t>
  </si>
  <si>
    <t>'75282'</t>
  </si>
  <si>
    <t>'75284'</t>
  </si>
  <si>
    <t>'75288'</t>
  </si>
  <si>
    <t>'75291'</t>
  </si>
  <si>
    <t>'75292'</t>
  </si>
  <si>
    <t>'75294'</t>
  </si>
  <si>
    <t>'75298'</t>
  </si>
  <si>
    <t>'75007'</t>
  </si>
  <si>
    <t>'75138'</t>
  </si>
  <si>
    <t>'75321'</t>
  </si>
  <si>
    <t>'75322'</t>
  </si>
  <si>
    <t>'75323'</t>
  </si>
  <si>
    <t>'75325'</t>
  </si>
  <si>
    <t>'75326'</t>
  </si>
  <si>
    <t>'75327'</t>
  </si>
  <si>
    <t>'75328'</t>
  </si>
  <si>
    <t>'75329'</t>
  </si>
  <si>
    <t>'75330'</t>
  </si>
  <si>
    <t>'75333'</t>
  </si>
  <si>
    <t>'75334'</t>
  </si>
  <si>
    <t>'75335'</t>
  </si>
  <si>
    <t>'75337'</t>
  </si>
  <si>
    <t>'75338'</t>
  </si>
  <si>
    <t>'75339'</t>
  </si>
  <si>
    <t>'75340'</t>
  </si>
  <si>
    <t>'75341'</t>
  </si>
  <si>
    <t>'75343'</t>
  </si>
  <si>
    <t>'75344'</t>
  </si>
  <si>
    <t>'75345'</t>
  </si>
  <si>
    <t>'75348'</t>
  </si>
  <si>
    <t>'75349'</t>
  </si>
  <si>
    <t>'75350'</t>
  </si>
  <si>
    <t>'75351'</t>
  </si>
  <si>
    <t>'75352'</t>
  </si>
  <si>
    <t>'75353'</t>
  </si>
  <si>
    <t>'75355'</t>
  </si>
  <si>
    <t>'75356'</t>
  </si>
  <si>
    <t>'75357'</t>
  </si>
  <si>
    <t>'75358'</t>
  </si>
  <si>
    <t>'75359'</t>
  </si>
  <si>
    <t>'75700'</t>
  </si>
  <si>
    <t>'75008'</t>
  </si>
  <si>
    <t>'75360'</t>
  </si>
  <si>
    <t>'75361'</t>
  </si>
  <si>
    <t>'75362'</t>
  </si>
  <si>
    <t>'75363'</t>
  </si>
  <si>
    <t>'75364'</t>
  </si>
  <si>
    <t>'75365'</t>
  </si>
  <si>
    <t>'75366'</t>
  </si>
  <si>
    <t>'75367'</t>
  </si>
  <si>
    <t>'75368'</t>
  </si>
  <si>
    <t>'75370'</t>
  </si>
  <si>
    <t>'75371'</t>
  </si>
  <si>
    <t>'75372'</t>
  </si>
  <si>
    <t>'75373'</t>
  </si>
  <si>
    <t>'75374'</t>
  </si>
  <si>
    <t>'75375'</t>
  </si>
  <si>
    <t>'75376'</t>
  </si>
  <si>
    <t>'75377'</t>
  </si>
  <si>
    <t>'75378'</t>
  </si>
  <si>
    <t>'75379'</t>
  </si>
  <si>
    <t>'75380'</t>
  </si>
  <si>
    <t>'75381'</t>
  </si>
  <si>
    <t>'75382'</t>
  </si>
  <si>
    <t>'75383'</t>
  </si>
  <si>
    <t>'75384'</t>
  </si>
  <si>
    <t>'75386'</t>
  </si>
  <si>
    <t>'75388'</t>
  </si>
  <si>
    <t>'75389'</t>
  </si>
  <si>
    <t>'75390'</t>
  </si>
  <si>
    <t>'75391'</t>
  </si>
  <si>
    <t>'75394'</t>
  </si>
  <si>
    <t>'75395'</t>
  </si>
  <si>
    <t>'75396'</t>
  </si>
  <si>
    <t>'75397'</t>
  </si>
  <si>
    <t>'75398'</t>
  </si>
  <si>
    <t>'75400'</t>
  </si>
  <si>
    <t>'75401'</t>
  </si>
  <si>
    <t>'75402'</t>
  </si>
  <si>
    <t>'75403'</t>
  </si>
  <si>
    <t>'75404'</t>
  </si>
  <si>
    <t>'75405'</t>
  </si>
  <si>
    <t>'75406'</t>
  </si>
  <si>
    <t>'75407'</t>
  </si>
  <si>
    <t>'75408'</t>
  </si>
  <si>
    <t>'75409'</t>
  </si>
  <si>
    <t>'75410'</t>
  </si>
  <si>
    <t>'75413'</t>
  </si>
  <si>
    <t>'75414'</t>
  </si>
  <si>
    <t>'75415'</t>
  </si>
  <si>
    <t>'75416'</t>
  </si>
  <si>
    <t>'75418'</t>
  </si>
  <si>
    <t>'75419'</t>
  </si>
  <si>
    <t>'75420'</t>
  </si>
  <si>
    <t>'75715'</t>
  </si>
  <si>
    <t>'75800'</t>
  </si>
  <si>
    <t>'75802'</t>
  </si>
  <si>
    <t>'75803'</t>
  </si>
  <si>
    <t>'75854'</t>
  </si>
  <si>
    <t>'75009'</t>
  </si>
  <si>
    <t>'75305'</t>
  </si>
  <si>
    <t>'75306'</t>
  </si>
  <si>
    <t>'75307'</t>
  </si>
  <si>
    <t>'75308'</t>
  </si>
  <si>
    <t>'75309'</t>
  </si>
  <si>
    <t>'75311'</t>
  </si>
  <si>
    <t>'75312'</t>
  </si>
  <si>
    <t>'75313'</t>
  </si>
  <si>
    <t>'75314'</t>
  </si>
  <si>
    <t>'75315'</t>
  </si>
  <si>
    <t>'75317'</t>
  </si>
  <si>
    <t>'75318'</t>
  </si>
  <si>
    <t>'75320'</t>
  </si>
  <si>
    <t>'75421'</t>
  </si>
  <si>
    <t>'75422'</t>
  </si>
  <si>
    <t>'75423'</t>
  </si>
  <si>
    <t>'75424'</t>
  </si>
  <si>
    <t>'75425'</t>
  </si>
  <si>
    <t>'75426'</t>
  </si>
  <si>
    <t>'75427'</t>
  </si>
  <si>
    <t>'75428'</t>
  </si>
  <si>
    <t>'75429'</t>
  </si>
  <si>
    <t>'75431'</t>
  </si>
  <si>
    <t>'75432'</t>
  </si>
  <si>
    <t>'75433'</t>
  </si>
  <si>
    <t>'75434'</t>
  </si>
  <si>
    <t>'75435'</t>
  </si>
  <si>
    <t>'75436'</t>
  </si>
  <si>
    <t>'75437'</t>
  </si>
  <si>
    <t>'75438'</t>
  </si>
  <si>
    <t>'75439'</t>
  </si>
  <si>
    <t>'75440'</t>
  </si>
  <si>
    <t>'75441'</t>
  </si>
  <si>
    <t>'75442'</t>
  </si>
  <si>
    <t>'75444'</t>
  </si>
  <si>
    <t>'75445'</t>
  </si>
  <si>
    <t>'75446'</t>
  </si>
  <si>
    <t>'75447'</t>
  </si>
  <si>
    <t>'75449'</t>
  </si>
  <si>
    <t>'75450'</t>
  </si>
  <si>
    <t>'75451'</t>
  </si>
  <si>
    <t>'75452'</t>
  </si>
  <si>
    <t>'75453'</t>
  </si>
  <si>
    <t>'75455'</t>
  </si>
  <si>
    <t>'75456'</t>
  </si>
  <si>
    <t>'75457'</t>
  </si>
  <si>
    <t>'75458'</t>
  </si>
  <si>
    <t>'75459'</t>
  </si>
  <si>
    <t>'75010'</t>
  </si>
  <si>
    <t>'75462'</t>
  </si>
  <si>
    <t>'75463'</t>
  </si>
  <si>
    <t>'75464'</t>
  </si>
  <si>
    <t>'75465'</t>
  </si>
  <si>
    <t>'75467'</t>
  </si>
  <si>
    <t>'75468'</t>
  </si>
  <si>
    <t>'75472'</t>
  </si>
  <si>
    <t>'75473'</t>
  </si>
  <si>
    <t>'75474'</t>
  </si>
  <si>
    <t>'75475'</t>
  </si>
  <si>
    <t>'75476'</t>
  </si>
  <si>
    <t>'75477'</t>
  </si>
  <si>
    <t>'75478'</t>
  </si>
  <si>
    <t>'75479'</t>
  </si>
  <si>
    <t>'75480'</t>
  </si>
  <si>
    <t>'75481'</t>
  </si>
  <si>
    <t>'75482'</t>
  </si>
  <si>
    <t>'75483'</t>
  </si>
  <si>
    <t>'75484'</t>
  </si>
  <si>
    <t>'75485'</t>
  </si>
  <si>
    <t>'75486'</t>
  </si>
  <si>
    <t>'75487'</t>
  </si>
  <si>
    <t>'75488'</t>
  </si>
  <si>
    <t>'75490'</t>
  </si>
  <si>
    <t>'75491'</t>
  </si>
  <si>
    <t>'75492'</t>
  </si>
  <si>
    <t>'75493'</t>
  </si>
  <si>
    <t>'75494'</t>
  </si>
  <si>
    <t>'75495'</t>
  </si>
  <si>
    <t>'75496'</t>
  </si>
  <si>
    <t>'75497'</t>
  </si>
  <si>
    <t>'75498'</t>
  </si>
  <si>
    <t>'75499'</t>
  </si>
  <si>
    <t>'91126'</t>
  </si>
  <si>
    <t>'75011'</t>
  </si>
  <si>
    <t>'75126'</t>
  </si>
  <si>
    <t>'75127'</t>
  </si>
  <si>
    <t>'75128'</t>
  </si>
  <si>
    <t>'75129'</t>
  </si>
  <si>
    <t>'75130'</t>
  </si>
  <si>
    <t>'75134'</t>
  </si>
  <si>
    <t>'75521'</t>
  </si>
  <si>
    <t>'75522'</t>
  </si>
  <si>
    <t>'75523'</t>
  </si>
  <si>
    <t>'75524'</t>
  </si>
  <si>
    <t>'75525'</t>
  </si>
  <si>
    <t>'75526'</t>
  </si>
  <si>
    <t>'75527'</t>
  </si>
  <si>
    <t>'75528'</t>
  </si>
  <si>
    <t>'75534'</t>
  </si>
  <si>
    <t>'75536'</t>
  </si>
  <si>
    <t>'75537'</t>
  </si>
  <si>
    <t>'75538'</t>
  </si>
  <si>
    <t>'75540'</t>
  </si>
  <si>
    <t>'75541'</t>
  </si>
  <si>
    <t>'75542'</t>
  </si>
  <si>
    <t>'75543'</t>
  </si>
  <si>
    <t>'75544'</t>
  </si>
  <si>
    <t>'75545'</t>
  </si>
  <si>
    <t>'75546'</t>
  </si>
  <si>
    <t>'75547'</t>
  </si>
  <si>
    <t>'75548'</t>
  </si>
  <si>
    <t>'75550'</t>
  </si>
  <si>
    <t>'75551'</t>
  </si>
  <si>
    <t>'75552'</t>
  </si>
  <si>
    <t>'75553'</t>
  </si>
  <si>
    <t>'75555'</t>
  </si>
  <si>
    <t>'75556'</t>
  </si>
  <si>
    <t>'75558'</t>
  </si>
  <si>
    <t>'75012'</t>
  </si>
  <si>
    <t>'75131'</t>
  </si>
  <si>
    <t>'75132'</t>
  </si>
  <si>
    <t>'75560'</t>
  </si>
  <si>
    <t>'75561'</t>
  </si>
  <si>
    <t>'75562'</t>
  </si>
  <si>
    <t>'75563'</t>
  </si>
  <si>
    <t>'75568'</t>
  </si>
  <si>
    <t>'75570'</t>
  </si>
  <si>
    <t>'75571'</t>
  </si>
  <si>
    <t>'75572'</t>
  </si>
  <si>
    <t>'75573'</t>
  </si>
  <si>
    <t>'75574'</t>
  </si>
  <si>
    <t>'75575'</t>
  </si>
  <si>
    <t>'75576'</t>
  </si>
  <si>
    <t>'75577'</t>
  </si>
  <si>
    <t>'75578'</t>
  </si>
  <si>
    <t>'75579'</t>
  </si>
  <si>
    <t>'75580'</t>
  </si>
  <si>
    <t>'75581'</t>
  </si>
  <si>
    <t>'75582'</t>
  </si>
  <si>
    <t>'75583'</t>
  </si>
  <si>
    <t>'75584'</t>
  </si>
  <si>
    <t>'75586'</t>
  </si>
  <si>
    <t>'75587'</t>
  </si>
  <si>
    <t>'75588'</t>
  </si>
  <si>
    <t>'75589'</t>
  </si>
  <si>
    <t>'75590'</t>
  </si>
  <si>
    <t>'75591'</t>
  </si>
  <si>
    <t>'75592'</t>
  </si>
  <si>
    <t>'75593'</t>
  </si>
  <si>
    <t>'75594'</t>
  </si>
  <si>
    <t>'75595'</t>
  </si>
  <si>
    <t>'75596'</t>
  </si>
  <si>
    <t>'75597'</t>
  </si>
  <si>
    <t>'75598'</t>
  </si>
  <si>
    <t>'75599'</t>
  </si>
  <si>
    <t>'75601'</t>
  </si>
  <si>
    <t>'75602'</t>
  </si>
  <si>
    <t>'75603'</t>
  </si>
  <si>
    <t>'75604'</t>
  </si>
  <si>
    <t>'75605'</t>
  </si>
  <si>
    <t>'75606'</t>
  </si>
  <si>
    <t>'75607'</t>
  </si>
  <si>
    <t>'75608'</t>
  </si>
  <si>
    <t>'75609'</t>
  </si>
  <si>
    <t>'75610'</t>
  </si>
  <si>
    <t>'75611'</t>
  </si>
  <si>
    <t>'75612'</t>
  </si>
  <si>
    <t>'75614'</t>
  </si>
  <si>
    <t>'75616'</t>
  </si>
  <si>
    <t>'75013'</t>
  </si>
  <si>
    <t>'75201'</t>
  </si>
  <si>
    <t>'75204'</t>
  </si>
  <si>
    <t>'75205'</t>
  </si>
  <si>
    <t>'75206'</t>
  </si>
  <si>
    <t>'75210'</t>
  </si>
  <si>
    <t>'75211'</t>
  </si>
  <si>
    <t>'75212'</t>
  </si>
  <si>
    <t>'75214'</t>
  </si>
  <si>
    <t>'75243'</t>
  </si>
  <si>
    <t>'75244'</t>
  </si>
  <si>
    <t>'75619'</t>
  </si>
  <si>
    <t>'75621'</t>
  </si>
  <si>
    <t>'75622'</t>
  </si>
  <si>
    <t>'75623'</t>
  </si>
  <si>
    <t>'75624'</t>
  </si>
  <si>
    <t>'75625'</t>
  </si>
  <si>
    <t>'75626'</t>
  </si>
  <si>
    <t>'75627'</t>
  </si>
  <si>
    <t>'75628'</t>
  </si>
  <si>
    <t>'75629'</t>
  </si>
  <si>
    <t>'75630'</t>
  </si>
  <si>
    <t>'75631'</t>
  </si>
  <si>
    <t>'75633'</t>
  </si>
  <si>
    <t>'75634'</t>
  </si>
  <si>
    <t>'75635'</t>
  </si>
  <si>
    <t>'75636'</t>
  </si>
  <si>
    <t>'75637'</t>
  </si>
  <si>
    <t>'75638'</t>
  </si>
  <si>
    <t>'75639'</t>
  </si>
  <si>
    <t>'75640'</t>
  </si>
  <si>
    <t>'75641'</t>
  </si>
  <si>
    <t>'75642'</t>
  </si>
  <si>
    <t>'75643'</t>
  </si>
  <si>
    <t>'75644'</t>
  </si>
  <si>
    <t>'75646'</t>
  </si>
  <si>
    <t>'75647'</t>
  </si>
  <si>
    <t>'75648'</t>
  </si>
  <si>
    <t>'75649'</t>
  </si>
  <si>
    <t>'75650'</t>
  </si>
  <si>
    <t>'75651'</t>
  </si>
  <si>
    <t>'75652'</t>
  </si>
  <si>
    <t>'75654'</t>
  </si>
  <si>
    <t>'75656'</t>
  </si>
  <si>
    <t>'75657'</t>
  </si>
  <si>
    <t>'75701'</t>
  </si>
  <si>
    <t>'75702'</t>
  </si>
  <si>
    <t>'75703'</t>
  </si>
  <si>
    <t>'75705'</t>
  </si>
  <si>
    <t>'75706'</t>
  </si>
  <si>
    <t>'75707'</t>
  </si>
  <si>
    <t>'75709'</t>
  </si>
  <si>
    <t>'75914'</t>
  </si>
  <si>
    <t>'91124'</t>
  </si>
  <si>
    <t>'75014'</t>
  </si>
  <si>
    <t>'75159'</t>
  </si>
  <si>
    <t>'75618'</t>
  </si>
  <si>
    <t>'75660'</t>
  </si>
  <si>
    <t>'75662'</t>
  </si>
  <si>
    <t>'75663'</t>
  </si>
  <si>
    <t>'75664'</t>
  </si>
  <si>
    <t>'75665'</t>
  </si>
  <si>
    <t>'75668'</t>
  </si>
  <si>
    <t>'75669'</t>
  </si>
  <si>
    <t>'75670'</t>
  </si>
  <si>
    <t>'75671'</t>
  </si>
  <si>
    <t>'75673'</t>
  </si>
  <si>
    <t>'75674'</t>
  </si>
  <si>
    <t>'75675'</t>
  </si>
  <si>
    <t>'75676'</t>
  </si>
  <si>
    <t>'75677'</t>
  </si>
  <si>
    <t>'75679'</t>
  </si>
  <si>
    <t>'75680'</t>
  </si>
  <si>
    <t>'75682'</t>
  </si>
  <si>
    <t>'75683'</t>
  </si>
  <si>
    <t>'75685'</t>
  </si>
  <si>
    <t>'75687'</t>
  </si>
  <si>
    <t>'75689'</t>
  </si>
  <si>
    <t>'75690'</t>
  </si>
  <si>
    <t>'75691'</t>
  </si>
  <si>
    <t>'75693'</t>
  </si>
  <si>
    <t>'75694'</t>
  </si>
  <si>
    <t>'75696'</t>
  </si>
  <si>
    <t>'75697'</t>
  </si>
  <si>
    <t>'75698'</t>
  </si>
  <si>
    <t>'75699'</t>
  </si>
  <si>
    <t>'75993'</t>
  </si>
  <si>
    <t>'75994'</t>
  </si>
  <si>
    <t>'75996'</t>
  </si>
  <si>
    <t>'75997'</t>
  </si>
  <si>
    <t>'75998'</t>
  </si>
  <si>
    <t>'75015'</t>
  </si>
  <si>
    <t>'75115'</t>
  </si>
  <si>
    <t>'75502'</t>
  </si>
  <si>
    <t>'75504'</t>
  </si>
  <si>
    <t>'75505'</t>
  </si>
  <si>
    <t>'75506'</t>
  </si>
  <si>
    <t>'75507'</t>
  </si>
  <si>
    <t>'75508'</t>
  </si>
  <si>
    <t>'75509'</t>
  </si>
  <si>
    <t>'75510'</t>
  </si>
  <si>
    <t>'75511'</t>
  </si>
  <si>
    <t>'75512'</t>
  </si>
  <si>
    <t>'75513'</t>
  </si>
  <si>
    <t>'75515'</t>
  </si>
  <si>
    <t>'75710'</t>
  </si>
  <si>
    <t>'75712'</t>
  </si>
  <si>
    <t>'75714'</t>
  </si>
  <si>
    <t>'75716'</t>
  </si>
  <si>
    <t>'75717'</t>
  </si>
  <si>
    <t>'75718'</t>
  </si>
  <si>
    <t>'75719'</t>
  </si>
  <si>
    <t>'75720'</t>
  </si>
  <si>
    <t>'75721'</t>
  </si>
  <si>
    <t>'75722'</t>
  </si>
  <si>
    <t>'75723'</t>
  </si>
  <si>
    <t>'75724'</t>
  </si>
  <si>
    <t>'75725'</t>
  </si>
  <si>
    <t>'75726'</t>
  </si>
  <si>
    <t>'75727'</t>
  </si>
  <si>
    <t>'75730'</t>
  </si>
  <si>
    <t>'75731'</t>
  </si>
  <si>
    <t>'75732'</t>
  </si>
  <si>
    <t>'75734'</t>
  </si>
  <si>
    <t>'75737'</t>
  </si>
  <si>
    <t>'75738'</t>
  </si>
  <si>
    <t>'75739'</t>
  </si>
  <si>
    <t>'75740'</t>
  </si>
  <si>
    <t>'75741'</t>
  </si>
  <si>
    <t>'75742'</t>
  </si>
  <si>
    <t>'75743'</t>
  </si>
  <si>
    <t>'75745'</t>
  </si>
  <si>
    <t>'75747'</t>
  </si>
  <si>
    <t>'75748'</t>
  </si>
  <si>
    <t>'75749'</t>
  </si>
  <si>
    <t>'75750'</t>
  </si>
  <si>
    <t>'75755'</t>
  </si>
  <si>
    <t>'75756'</t>
  </si>
  <si>
    <t>'75757'</t>
  </si>
  <si>
    <t>'75759'</t>
  </si>
  <si>
    <t>'75900'</t>
  </si>
  <si>
    <t>'75901'</t>
  </si>
  <si>
    <t>'75902'</t>
  </si>
  <si>
    <t>'75903'</t>
  </si>
  <si>
    <t>'75904'</t>
  </si>
  <si>
    <t>'75905'</t>
  </si>
  <si>
    <t>'75907'</t>
  </si>
  <si>
    <t>'75908'</t>
  </si>
  <si>
    <t>'75911'</t>
  </si>
  <si>
    <t>'75016'</t>
  </si>
  <si>
    <t>'75116'</t>
  </si>
  <si>
    <t>'75179'</t>
  </si>
  <si>
    <t>'75202'</t>
  </si>
  <si>
    <t>'75203'</t>
  </si>
  <si>
    <t>'75208'</t>
  </si>
  <si>
    <t>'75219'</t>
  </si>
  <si>
    <t>'75220'</t>
  </si>
  <si>
    <t>'75761'</t>
  </si>
  <si>
    <t>'75762'</t>
  </si>
  <si>
    <t>'75765'</t>
  </si>
  <si>
    <t>'75767'</t>
  </si>
  <si>
    <t>'75769'</t>
  </si>
  <si>
    <t>'75770'</t>
  </si>
  <si>
    <t>'75771'</t>
  </si>
  <si>
    <t>'75772'</t>
  </si>
  <si>
    <t>'75773'</t>
  </si>
  <si>
    <t>'75775'</t>
  </si>
  <si>
    <t>'75780'</t>
  </si>
  <si>
    <t>'75781'</t>
  </si>
  <si>
    <t>'75782'</t>
  </si>
  <si>
    <t>'75783'</t>
  </si>
  <si>
    <t>'75784'</t>
  </si>
  <si>
    <t>'75786'</t>
  </si>
  <si>
    <t>'75789'</t>
  </si>
  <si>
    <t>'75794'</t>
  </si>
  <si>
    <t>'75795'</t>
  </si>
  <si>
    <t>'75796'</t>
  </si>
  <si>
    <t>'75798'</t>
  </si>
  <si>
    <t>'75799'</t>
  </si>
  <si>
    <t>'75017'</t>
  </si>
  <si>
    <t>'75172'</t>
  </si>
  <si>
    <t>'75173'</t>
  </si>
  <si>
    <t>'75174'</t>
  </si>
  <si>
    <t>'75175'</t>
  </si>
  <si>
    <t>'75176'</t>
  </si>
  <si>
    <t>'75177'</t>
  </si>
  <si>
    <t>'75617'</t>
  </si>
  <si>
    <t>'75805'</t>
  </si>
  <si>
    <t>'75806'</t>
  </si>
  <si>
    <t>'75807'</t>
  </si>
  <si>
    <t>'75808'</t>
  </si>
  <si>
    <t>'75809'</t>
  </si>
  <si>
    <t>'75810'</t>
  </si>
  <si>
    <t>'75811'</t>
  </si>
  <si>
    <t>'75812'</t>
  </si>
  <si>
    <t>'75813'</t>
  </si>
  <si>
    <t>'75814'</t>
  </si>
  <si>
    <t>'75815'</t>
  </si>
  <si>
    <t>'75816'</t>
  </si>
  <si>
    <t>'75817'</t>
  </si>
  <si>
    <t>'75820'</t>
  </si>
  <si>
    <t>'75821'</t>
  </si>
  <si>
    <t>'75822'</t>
  </si>
  <si>
    <t>'75823'</t>
  </si>
  <si>
    <t>'75824'</t>
  </si>
  <si>
    <t>'75825'</t>
  </si>
  <si>
    <t>'75826'</t>
  </si>
  <si>
    <t>'75827'</t>
  </si>
  <si>
    <t>'75828'</t>
  </si>
  <si>
    <t>'75829'</t>
  </si>
  <si>
    <t>'75830'</t>
  </si>
  <si>
    <t>'75831'</t>
  </si>
  <si>
    <t>'75833'</t>
  </si>
  <si>
    <t>'75834'</t>
  </si>
  <si>
    <t>'75835'</t>
  </si>
  <si>
    <t>'75836'</t>
  </si>
  <si>
    <t>'75837'</t>
  </si>
  <si>
    <t>'75838'</t>
  </si>
  <si>
    <t>'75839'</t>
  </si>
  <si>
    <t>'75840'</t>
  </si>
  <si>
    <t>'75841'</t>
  </si>
  <si>
    <t>'75843'</t>
  </si>
  <si>
    <t>'75844'</t>
  </si>
  <si>
    <t>'75845'</t>
  </si>
  <si>
    <t>'75847'</t>
  </si>
  <si>
    <t>'75848'</t>
  </si>
  <si>
    <t>'75849'</t>
  </si>
  <si>
    <t>'75850'</t>
  </si>
  <si>
    <t>'75852'</t>
  </si>
  <si>
    <t>'75853'</t>
  </si>
  <si>
    <t>'75855'</t>
  </si>
  <si>
    <t>'75856'</t>
  </si>
  <si>
    <t>'75857'</t>
  </si>
  <si>
    <t>'75858'</t>
  </si>
  <si>
    <t>'75859'</t>
  </si>
  <si>
    <t>'95521'</t>
  </si>
  <si>
    <t>'75018'</t>
  </si>
  <si>
    <t>'75135'</t>
  </si>
  <si>
    <t>'75136'</t>
  </si>
  <si>
    <t>'75860'</t>
  </si>
  <si>
    <t>'75861'</t>
  </si>
  <si>
    <t>'75862'</t>
  </si>
  <si>
    <t>'75863'</t>
  </si>
  <si>
    <t>'75864'</t>
  </si>
  <si>
    <t>'75865'</t>
  </si>
  <si>
    <t>'75866'</t>
  </si>
  <si>
    <t>'75867'</t>
  </si>
  <si>
    <t>'75868'</t>
  </si>
  <si>
    <t>'75869'</t>
  </si>
  <si>
    <t>'75870'</t>
  </si>
  <si>
    <t>'75871'</t>
  </si>
  <si>
    <t>'75872'</t>
  </si>
  <si>
    <t>'75873'</t>
  </si>
  <si>
    <t>'75874'</t>
  </si>
  <si>
    <t>'75875'</t>
  </si>
  <si>
    <t>'75876'</t>
  </si>
  <si>
    <t>'75877'</t>
  </si>
  <si>
    <t>'75878'</t>
  </si>
  <si>
    <t>'75879'</t>
  </si>
  <si>
    <t>'75880'</t>
  </si>
  <si>
    <t>'75881'</t>
  </si>
  <si>
    <t>'75882'</t>
  </si>
  <si>
    <t>'75883'</t>
  </si>
  <si>
    <t>'75885'</t>
  </si>
  <si>
    <t>'75886'</t>
  </si>
  <si>
    <t>'75887'</t>
  </si>
  <si>
    <t>'75889'</t>
  </si>
  <si>
    <t>'75890'</t>
  </si>
  <si>
    <t>'75891'</t>
  </si>
  <si>
    <t>'75892'</t>
  </si>
  <si>
    <t>'75893'</t>
  </si>
  <si>
    <t>'75894'</t>
  </si>
  <si>
    <t>'75895'</t>
  </si>
  <si>
    <t>'75899'</t>
  </si>
  <si>
    <t>'75019'</t>
  </si>
  <si>
    <t>'75144'</t>
  </si>
  <si>
    <t>'75146'</t>
  </si>
  <si>
    <t>'75164'</t>
  </si>
  <si>
    <t>'75165'</t>
  </si>
  <si>
    <t>'75166'</t>
  </si>
  <si>
    <t>'75167'</t>
  </si>
  <si>
    <t>'75168'</t>
  </si>
  <si>
    <t>'75169'</t>
  </si>
  <si>
    <t>'75170'</t>
  </si>
  <si>
    <t>'75171'</t>
  </si>
  <si>
    <t>'75792'</t>
  </si>
  <si>
    <t>'75916'</t>
  </si>
  <si>
    <t>'75918'</t>
  </si>
  <si>
    <t>'75919'</t>
  </si>
  <si>
    <t>'75921'</t>
  </si>
  <si>
    <t>'75922'</t>
  </si>
  <si>
    <t>'75924'</t>
  </si>
  <si>
    <t>'75926'</t>
  </si>
  <si>
    <t>'75927'</t>
  </si>
  <si>
    <t>'75928'</t>
  </si>
  <si>
    <t>'75929'</t>
  </si>
  <si>
    <t>'75930'</t>
  </si>
  <si>
    <t>'75931'</t>
  </si>
  <si>
    <t>'75933'</t>
  </si>
  <si>
    <t>'75934'</t>
  </si>
  <si>
    <t>'75935'</t>
  </si>
  <si>
    <t>'75937'</t>
  </si>
  <si>
    <t>'75938'</t>
  </si>
  <si>
    <t>'75939'</t>
  </si>
  <si>
    <t>'75940'</t>
  </si>
  <si>
    <t>'75941'</t>
  </si>
  <si>
    <t>'75942'</t>
  </si>
  <si>
    <t>'75944'</t>
  </si>
  <si>
    <t>'75945'</t>
  </si>
  <si>
    <t>'75946'</t>
  </si>
  <si>
    <t>'75947'</t>
  </si>
  <si>
    <t>'75948'</t>
  </si>
  <si>
    <t>'75949'</t>
  </si>
  <si>
    <t>'75950'</t>
  </si>
  <si>
    <t>'75951'</t>
  </si>
  <si>
    <t>'75954'</t>
  </si>
  <si>
    <t>'75955'</t>
  </si>
  <si>
    <t>'75956'</t>
  </si>
  <si>
    <t>'75957'</t>
  </si>
  <si>
    <t>'75958'</t>
  </si>
  <si>
    <t>'75959'</t>
  </si>
  <si>
    <t>'75020'</t>
  </si>
  <si>
    <t>'75960'</t>
  </si>
  <si>
    <t>'75961'</t>
  </si>
  <si>
    <t>'75962'</t>
  </si>
  <si>
    <t>'75965'</t>
  </si>
  <si>
    <t>'75966'</t>
  </si>
  <si>
    <t>'75967'</t>
  </si>
  <si>
    <t>'75969'</t>
  </si>
  <si>
    <t>'75970'</t>
  </si>
  <si>
    <t>'75971'</t>
  </si>
  <si>
    <t>'75972'</t>
  </si>
  <si>
    <t>'75973'</t>
  </si>
  <si>
    <t>'75974'</t>
  </si>
  <si>
    <t>'75975'</t>
  </si>
  <si>
    <t>'75976'</t>
  </si>
  <si>
    <t>'75977'</t>
  </si>
  <si>
    <t>'75978'</t>
  </si>
  <si>
    <t>'75979'</t>
  </si>
  <si>
    <t>'75980'</t>
  </si>
  <si>
    <t>'75982'</t>
  </si>
  <si>
    <t>'75984'</t>
  </si>
  <si>
    <t>'75985'</t>
  </si>
  <si>
    <t>'75986'</t>
  </si>
  <si>
    <t>'75987'</t>
  </si>
  <si>
    <t>'75988'</t>
  </si>
  <si>
    <t>'75989'</t>
  </si>
  <si>
    <t>'75990'</t>
  </si>
  <si>
    <t>COMMUNAUTE DE COMMUNES YVETOT NORMANDIE</t>
  </si>
  <si>
    <t>'76190'</t>
  </si>
  <si>
    <t>'76193'</t>
  </si>
  <si>
    <t>METROPOLE ROUEN NORMANDIE</t>
  </si>
  <si>
    <t>'76920'</t>
  </si>
  <si>
    <t>COMMUNAUTE D'AGGLOMERATION DE LA REGION DIEPPOISE</t>
  </si>
  <si>
    <t>'76370'</t>
  </si>
  <si>
    <t>CA FECAMP CAUX LITTORAL AGGLO</t>
  </si>
  <si>
    <t>'76540'</t>
  </si>
  <si>
    <t>COMMUNAUTE URBAINE LE HAVRE SEINE METROPOLE</t>
  </si>
  <si>
    <t>'76280'</t>
  </si>
  <si>
    <t>'76480'</t>
  </si>
  <si>
    <t>'76880'</t>
  </si>
  <si>
    <t>'76550'</t>
  </si>
  <si>
    <t>'76520'</t>
  </si>
  <si>
    <t>'76195'</t>
  </si>
  <si>
    <t>'76196'</t>
  </si>
  <si>
    <t>'76197'</t>
  </si>
  <si>
    <t>'76192'</t>
  </si>
  <si>
    <t>'76029'</t>
  </si>
  <si>
    <t>'76240'</t>
  </si>
  <si>
    <t>'76790'</t>
  </si>
  <si>
    <t>'76420'</t>
  </si>
  <si>
    <t>'76230'</t>
  </si>
  <si>
    <t>'76231'</t>
  </si>
  <si>
    <t>'76232'</t>
  </si>
  <si>
    <t>'76233'</t>
  </si>
  <si>
    <t>'76234'</t>
  </si>
  <si>
    <t>'76235'</t>
  </si>
  <si>
    <t>'76236'</t>
  </si>
  <si>
    <t>'76237'</t>
  </si>
  <si>
    <t>'76238'</t>
  </si>
  <si>
    <t>'76530'</t>
  </si>
  <si>
    <t>'76380'</t>
  </si>
  <si>
    <t>'76320'</t>
  </si>
  <si>
    <t>'76503'</t>
  </si>
  <si>
    <t>'76504'</t>
  </si>
  <si>
    <t>'76930'</t>
  </si>
  <si>
    <t>'76430'</t>
  </si>
  <si>
    <t>'76410'</t>
  </si>
  <si>
    <t>'76400'</t>
  </si>
  <si>
    <t>'76401'</t>
  </si>
  <si>
    <t>'76404'</t>
  </si>
  <si>
    <t>'76111'</t>
  </si>
  <si>
    <t>'76160'</t>
  </si>
  <si>
    <t>'76161'</t>
  </si>
  <si>
    <t>'76250'</t>
  </si>
  <si>
    <t>'76200'</t>
  </si>
  <si>
    <t>'76201'</t>
  </si>
  <si>
    <t>'76202'</t>
  </si>
  <si>
    <t>'76203'</t>
  </si>
  <si>
    <t>'76204'</t>
  </si>
  <si>
    <t>'76205'</t>
  </si>
  <si>
    <t>'76206'</t>
  </si>
  <si>
    <t>'76207'</t>
  </si>
  <si>
    <t>'76208'</t>
  </si>
  <si>
    <t>'76209'</t>
  </si>
  <si>
    <t>'76881'</t>
  </si>
  <si>
    <t>'76882'</t>
  </si>
  <si>
    <t>'76884'</t>
  </si>
  <si>
    <t>'76885'</t>
  </si>
  <si>
    <t>'76887'</t>
  </si>
  <si>
    <t>'76500'</t>
  </si>
  <si>
    <t>'76501'</t>
  </si>
  <si>
    <t>'76502'</t>
  </si>
  <si>
    <t>'76403'</t>
  </si>
  <si>
    <t>'76133'</t>
  </si>
  <si>
    <t>'76405'</t>
  </si>
  <si>
    <t>'76402'</t>
  </si>
  <si>
    <t>'76290'</t>
  </si>
  <si>
    <t>'76700'</t>
  </si>
  <si>
    <t>'76050'</t>
  </si>
  <si>
    <t>'76054'</t>
  </si>
  <si>
    <t>'76060'</t>
  </si>
  <si>
    <t>'76062'</t>
  </si>
  <si>
    <t>'76064'</t>
  </si>
  <si>
    <t>'76068'</t>
  </si>
  <si>
    <t>'76080'</t>
  </si>
  <si>
    <t>'76120'</t>
  </si>
  <si>
    <t>'76121'</t>
  </si>
  <si>
    <t>'76122'</t>
  </si>
  <si>
    <t>'76123'</t>
  </si>
  <si>
    <t>'76124'</t>
  </si>
  <si>
    <t>'76125'</t>
  </si>
  <si>
    <t>'76127'</t>
  </si>
  <si>
    <t>'76175'</t>
  </si>
  <si>
    <t>'76177'</t>
  </si>
  <si>
    <t>'76191'</t>
  </si>
  <si>
    <t>'76113'</t>
  </si>
  <si>
    <t>'76051'</t>
  </si>
  <si>
    <t>'76052'</t>
  </si>
  <si>
    <t>'76053'</t>
  </si>
  <si>
    <t>'76055'</t>
  </si>
  <si>
    <t>'76056'</t>
  </si>
  <si>
    <t>'76057'</t>
  </si>
  <si>
    <t>'76058'</t>
  </si>
  <si>
    <t>'76059'</t>
  </si>
  <si>
    <t>'76061'</t>
  </si>
  <si>
    <t>'76063'</t>
  </si>
  <si>
    <t>'76065'</t>
  </si>
  <si>
    <t>'76066'</t>
  </si>
  <si>
    <t>'76067'</t>
  </si>
  <si>
    <t>'76070'</t>
  </si>
  <si>
    <t>'76071'</t>
  </si>
  <si>
    <t>'76072'</t>
  </si>
  <si>
    <t>'76083'</t>
  </si>
  <si>
    <t>'76084'</t>
  </si>
  <si>
    <t>'76085'</t>
  </si>
  <si>
    <t>'76086'</t>
  </si>
  <si>
    <t>'76087'</t>
  </si>
  <si>
    <t>'76093'</t>
  </si>
  <si>
    <t>'76094'</t>
  </si>
  <si>
    <t>'76095'</t>
  </si>
  <si>
    <t>'76096'</t>
  </si>
  <si>
    <t>'76098'</t>
  </si>
  <si>
    <t>'76600'</t>
  </si>
  <si>
    <t>'76610'</t>
  </si>
  <si>
    <t>'76620'</t>
  </si>
  <si>
    <t>'76840'</t>
  </si>
  <si>
    <t>'76770'</t>
  </si>
  <si>
    <t>'76018'</t>
  </si>
  <si>
    <t>'76150'</t>
  </si>
  <si>
    <t>'76151'</t>
  </si>
  <si>
    <t>'76152'</t>
  </si>
  <si>
    <t>'76153'</t>
  </si>
  <si>
    <t>'76155'</t>
  </si>
  <si>
    <t>'76570'</t>
  </si>
  <si>
    <t>'76130'</t>
  </si>
  <si>
    <t>'76131'</t>
  </si>
  <si>
    <t>'76132'</t>
  </si>
  <si>
    <t>'76134'</t>
  </si>
  <si>
    <t>'76135'</t>
  </si>
  <si>
    <t>'76136'</t>
  </si>
  <si>
    <t>'76137'</t>
  </si>
  <si>
    <t>'76138'</t>
  </si>
  <si>
    <t>'76821'</t>
  </si>
  <si>
    <t>'76823'</t>
  </si>
  <si>
    <t>'76824'</t>
  </si>
  <si>
    <t>'76825'</t>
  </si>
  <si>
    <t>'76960'</t>
  </si>
  <si>
    <t>'76350'</t>
  </si>
  <si>
    <t>'76650'</t>
  </si>
  <si>
    <t>'76140'</t>
  </si>
  <si>
    <t>'76141'</t>
  </si>
  <si>
    <t>'76142'</t>
  </si>
  <si>
    <t>'76143'</t>
  </si>
  <si>
    <t>'76144'</t>
  </si>
  <si>
    <t>'76640'</t>
  </si>
  <si>
    <t>'76000'</t>
  </si>
  <si>
    <t>'76001'</t>
  </si>
  <si>
    <t>'76002'</t>
  </si>
  <si>
    <t>'76003'</t>
  </si>
  <si>
    <t>'76004'</t>
  </si>
  <si>
    <t>'76005'</t>
  </si>
  <si>
    <t>'76006'</t>
  </si>
  <si>
    <t>'76007'</t>
  </si>
  <si>
    <t>'76008'</t>
  </si>
  <si>
    <t>'76011'</t>
  </si>
  <si>
    <t>'76012'</t>
  </si>
  <si>
    <t>'76017'</t>
  </si>
  <si>
    <t>'76020'</t>
  </si>
  <si>
    <t>'76021'</t>
  </si>
  <si>
    <t>'76022'</t>
  </si>
  <si>
    <t>'76024'</t>
  </si>
  <si>
    <t>'76028'</t>
  </si>
  <si>
    <t>'76030'</t>
  </si>
  <si>
    <t>'76031'</t>
  </si>
  <si>
    <t>'76032'</t>
  </si>
  <si>
    <t>'76035'</t>
  </si>
  <si>
    <t>'76036'</t>
  </si>
  <si>
    <t>'76037'</t>
  </si>
  <si>
    <t>'76038'</t>
  </si>
  <si>
    <t>'76039'</t>
  </si>
  <si>
    <t>'76040'</t>
  </si>
  <si>
    <t>'76041'</t>
  </si>
  <si>
    <t>'76042'</t>
  </si>
  <si>
    <t>'76043'</t>
  </si>
  <si>
    <t>'76044'</t>
  </si>
  <si>
    <t>'76045'</t>
  </si>
  <si>
    <t>'76046'</t>
  </si>
  <si>
    <t>'76047'</t>
  </si>
  <si>
    <t>'76100'</t>
  </si>
  <si>
    <t>'76101'</t>
  </si>
  <si>
    <t>'76107'</t>
  </si>
  <si>
    <t>'76108'</t>
  </si>
  <si>
    <t>'76171'</t>
  </si>
  <si>
    <t>'76172'</t>
  </si>
  <si>
    <t>'76173'</t>
  </si>
  <si>
    <t>'76174'</t>
  </si>
  <si>
    <t>'76176'</t>
  </si>
  <si>
    <t>'76178'</t>
  </si>
  <si>
    <t>'76179'</t>
  </si>
  <si>
    <t>'76181'</t>
  </si>
  <si>
    <t>'76183'</t>
  </si>
  <si>
    <t>'76186'</t>
  </si>
  <si>
    <t>'76188'</t>
  </si>
  <si>
    <t>'76723'</t>
  </si>
  <si>
    <t>'76914'</t>
  </si>
  <si>
    <t>'76925'</t>
  </si>
  <si>
    <t>'76310'</t>
  </si>
  <si>
    <t>'76303'</t>
  </si>
  <si>
    <t>'76800'</t>
  </si>
  <si>
    <t>'76801'</t>
  </si>
  <si>
    <t>'76802'</t>
  </si>
  <si>
    <t>'76803'</t>
  </si>
  <si>
    <t>'76804'</t>
  </si>
  <si>
    <t>'76805'</t>
  </si>
  <si>
    <t>'76806'</t>
  </si>
  <si>
    <t>'76807'</t>
  </si>
  <si>
    <t>'76808'</t>
  </si>
  <si>
    <t>'76119'</t>
  </si>
  <si>
    <t>'76194'</t>
  </si>
  <si>
    <t>'76300'</t>
  </si>
  <si>
    <t>'76301'</t>
  </si>
  <si>
    <t>'76302'</t>
  </si>
  <si>
    <t>'76304'</t>
  </si>
  <si>
    <t>'76305'</t>
  </si>
  <si>
    <t>'76306'</t>
  </si>
  <si>
    <t>'76308'</t>
  </si>
  <si>
    <t>'76580'</t>
  </si>
  <si>
    <t>'77760'</t>
  </si>
  <si>
    <t>'77120'</t>
  </si>
  <si>
    <t>'77390'</t>
  </si>
  <si>
    <t>'77410'</t>
  </si>
  <si>
    <t>'77411'</t>
  </si>
  <si>
    <t>'77412'</t>
  </si>
  <si>
    <t>'77413'</t>
  </si>
  <si>
    <t>'77630'</t>
  </si>
  <si>
    <t>'77440'</t>
  </si>
  <si>
    <t>'77890'</t>
  </si>
  <si>
    <t>'77720'</t>
  </si>
  <si>
    <t>'77722'</t>
  </si>
  <si>
    <t>'77570'</t>
  </si>
  <si>
    <t>'77560'</t>
  </si>
  <si>
    <t>'77210'</t>
  </si>
  <si>
    <t>'77211'</t>
  </si>
  <si>
    <t>'77212'</t>
  </si>
  <si>
    <t>'77213'</t>
  </si>
  <si>
    <t>'77214'</t>
  </si>
  <si>
    <t>'77215'</t>
  </si>
  <si>
    <t>'77216'</t>
  </si>
  <si>
    <t>'77219'</t>
  </si>
  <si>
    <t>'77283'</t>
  </si>
  <si>
    <t>'77284'</t>
  </si>
  <si>
    <t>'77480'</t>
  </si>
  <si>
    <t>'77167'</t>
  </si>
  <si>
    <t>'77792'</t>
  </si>
  <si>
    <t>'77797'</t>
  </si>
  <si>
    <t>'77700'</t>
  </si>
  <si>
    <t>'77704'</t>
  </si>
  <si>
    <t>'77706'</t>
  </si>
  <si>
    <t>'77716'</t>
  </si>
  <si>
    <t>'77118'</t>
  </si>
  <si>
    <t>'77970'</t>
  </si>
  <si>
    <t>'77130'</t>
  </si>
  <si>
    <t>'77932'</t>
  </si>
  <si>
    <t>'77910'</t>
  </si>
  <si>
    <t>'77750'</t>
  </si>
  <si>
    <t>'77510'</t>
  </si>
  <si>
    <t>'77540'</t>
  </si>
  <si>
    <t>'77320'</t>
  </si>
  <si>
    <t>'77017'</t>
  </si>
  <si>
    <t>'77115'</t>
  </si>
  <si>
    <t>'77940'</t>
  </si>
  <si>
    <t>'77590'</t>
  </si>
  <si>
    <t>'77350'</t>
  </si>
  <si>
    <t>'77310'</t>
  </si>
  <si>
    <t>'77981'</t>
  </si>
  <si>
    <t>'77983'</t>
  </si>
  <si>
    <t>'77986'</t>
  </si>
  <si>
    <t>'77169'</t>
  </si>
  <si>
    <t>'77353'</t>
  </si>
  <si>
    <t>'77580'</t>
  </si>
  <si>
    <t>'77780'</t>
  </si>
  <si>
    <t>'77470'</t>
  </si>
  <si>
    <t>'77620'</t>
  </si>
  <si>
    <t>'77723'</t>
  </si>
  <si>
    <t>'77170'</t>
  </si>
  <si>
    <t>'77251'</t>
  </si>
  <si>
    <t>'77252'</t>
  </si>
  <si>
    <t>'77253'</t>
  </si>
  <si>
    <t>'77254'</t>
  </si>
  <si>
    <t>'77255'</t>
  </si>
  <si>
    <t>'77257'</t>
  </si>
  <si>
    <t>'77266'</t>
  </si>
  <si>
    <t>'77177'</t>
  </si>
  <si>
    <t>'77508'</t>
  </si>
  <si>
    <t>'77600'</t>
  </si>
  <si>
    <t>'77601'</t>
  </si>
  <si>
    <t>'77605'</t>
  </si>
  <si>
    <t>'77607'</t>
  </si>
  <si>
    <t>'77608'</t>
  </si>
  <si>
    <t>'77611'</t>
  </si>
  <si>
    <t>'77603'</t>
  </si>
  <si>
    <t>'77873'</t>
  </si>
  <si>
    <t>'77876'</t>
  </si>
  <si>
    <t>'77400'</t>
  </si>
  <si>
    <t>'77403'</t>
  </si>
  <si>
    <t>'77515'</t>
  </si>
  <si>
    <t>'77930'</t>
  </si>
  <si>
    <t>'77240'</t>
  </si>
  <si>
    <t>'77241'</t>
  </si>
  <si>
    <t>'77245'</t>
  </si>
  <si>
    <t>'77247'</t>
  </si>
  <si>
    <t>'77520'</t>
  </si>
  <si>
    <t>'77933'</t>
  </si>
  <si>
    <t>'77987'</t>
  </si>
  <si>
    <t>'77522'</t>
  </si>
  <si>
    <t>'77460'</t>
  </si>
  <si>
    <t>'77171'</t>
  </si>
  <si>
    <t>'77160'</t>
  </si>
  <si>
    <t>'77483'</t>
  </si>
  <si>
    <t>'77484'</t>
  </si>
  <si>
    <t>'77144'</t>
  </si>
  <si>
    <t>'77771'</t>
  </si>
  <si>
    <t>'77650'</t>
  </si>
  <si>
    <t>'77260'</t>
  </si>
  <si>
    <t>'77261'</t>
  </si>
  <si>
    <t>'77430'</t>
  </si>
  <si>
    <t>'77811'</t>
  </si>
  <si>
    <t>'77816'</t>
  </si>
  <si>
    <t>'77318'</t>
  </si>
  <si>
    <t>'77420'</t>
  </si>
  <si>
    <t>'77421'</t>
  </si>
  <si>
    <t>'77422'</t>
  </si>
  <si>
    <t>'77423'</t>
  </si>
  <si>
    <t>'77427'</t>
  </si>
  <si>
    <t>'77435'</t>
  </si>
  <si>
    <t>'77437'</t>
  </si>
  <si>
    <t>'77444'</t>
  </si>
  <si>
    <t>'77447'</t>
  </si>
  <si>
    <t>'77453'</t>
  </si>
  <si>
    <t>'77454'</t>
  </si>
  <si>
    <t>'77455'</t>
  </si>
  <si>
    <t>'77660'</t>
  </si>
  <si>
    <t>'77370'</t>
  </si>
  <si>
    <t>'77610'</t>
  </si>
  <si>
    <t>'77019'</t>
  </si>
  <si>
    <t>'77820'</t>
  </si>
  <si>
    <t>'77126'</t>
  </si>
  <si>
    <t>'77793'</t>
  </si>
  <si>
    <t>'77500'</t>
  </si>
  <si>
    <t>'77501'</t>
  </si>
  <si>
    <t>'77502'</t>
  </si>
  <si>
    <t>'77503'</t>
  </si>
  <si>
    <t>'77504'</t>
  </si>
  <si>
    <t>'77505'</t>
  </si>
  <si>
    <t>'77506'</t>
  </si>
  <si>
    <t>'77507'</t>
  </si>
  <si>
    <t>'77641'</t>
  </si>
  <si>
    <t>'77645'</t>
  </si>
  <si>
    <t>'77646'</t>
  </si>
  <si>
    <t>'77701'</t>
  </si>
  <si>
    <t>'77705'</t>
  </si>
  <si>
    <t>'77707'</t>
  </si>
  <si>
    <t>'77776'</t>
  </si>
  <si>
    <t>'77777'</t>
  </si>
  <si>
    <t>'77173'</t>
  </si>
  <si>
    <t>'77710'</t>
  </si>
  <si>
    <t>'77730'</t>
  </si>
  <si>
    <t>'77414'</t>
  </si>
  <si>
    <t>'77416'</t>
  </si>
  <si>
    <t>'77417'</t>
  </si>
  <si>
    <t>'77090'</t>
  </si>
  <si>
    <t>'77615'</t>
  </si>
  <si>
    <t>'77616'</t>
  </si>
  <si>
    <t>'77380'</t>
  </si>
  <si>
    <t>'77381'</t>
  </si>
  <si>
    <t>'77382'</t>
  </si>
  <si>
    <t>'77384'</t>
  </si>
  <si>
    <t>'77385'</t>
  </si>
  <si>
    <t>'77388'</t>
  </si>
  <si>
    <t>'77290'</t>
  </si>
  <si>
    <t>'77292'</t>
  </si>
  <si>
    <t>'77293'</t>
  </si>
  <si>
    <t>'77295'</t>
  </si>
  <si>
    <t>'77923'</t>
  </si>
  <si>
    <t>'77450'</t>
  </si>
  <si>
    <t>'77352'</t>
  </si>
  <si>
    <t>'77860'</t>
  </si>
  <si>
    <t>'77840'</t>
  </si>
  <si>
    <t>'77521'</t>
  </si>
  <si>
    <t>'77523'</t>
  </si>
  <si>
    <t>'77527'</t>
  </si>
  <si>
    <t>'77702'</t>
  </si>
  <si>
    <t>'77703'</t>
  </si>
  <si>
    <t>'77181'</t>
  </si>
  <si>
    <t>'77154'</t>
  </si>
  <si>
    <t>'77355'</t>
  </si>
  <si>
    <t>'77357'</t>
  </si>
  <si>
    <t>'77124'</t>
  </si>
  <si>
    <t>'77183'</t>
  </si>
  <si>
    <t>'77312'</t>
  </si>
  <si>
    <t>'77313'</t>
  </si>
  <si>
    <t>'77314'</t>
  </si>
  <si>
    <t>'77315'</t>
  </si>
  <si>
    <t>'77316'</t>
  </si>
  <si>
    <t>'77327'</t>
  </si>
  <si>
    <t>'77436'</t>
  </si>
  <si>
    <t>'77165'</t>
  </si>
  <si>
    <t>'77001'</t>
  </si>
  <si>
    <t>'77002'</t>
  </si>
  <si>
    <t>'77004'</t>
  </si>
  <si>
    <t>'77187'</t>
  </si>
  <si>
    <t>'77190'</t>
  </si>
  <si>
    <t>'77191'</t>
  </si>
  <si>
    <t>'77192'</t>
  </si>
  <si>
    <t>'77193'</t>
  </si>
  <si>
    <t>'77194'</t>
  </si>
  <si>
    <t>'77196'</t>
  </si>
  <si>
    <t>'77198'</t>
  </si>
  <si>
    <t>'77230'</t>
  </si>
  <si>
    <t>'77231'</t>
  </si>
  <si>
    <t>'77234'</t>
  </si>
  <si>
    <t>'77163'</t>
  </si>
  <si>
    <t>'77140'</t>
  </si>
  <si>
    <t>'77139'</t>
  </si>
  <si>
    <t>'77830'</t>
  </si>
  <si>
    <t>'77184'</t>
  </si>
  <si>
    <t>'77311'</t>
  </si>
  <si>
    <t>'77250'</t>
  </si>
  <si>
    <t>'77872'</t>
  </si>
  <si>
    <t>'77874'</t>
  </si>
  <si>
    <t>'77157'</t>
  </si>
  <si>
    <t>'77166'</t>
  </si>
  <si>
    <t>'77220'</t>
  </si>
  <si>
    <t>'77133'</t>
  </si>
  <si>
    <t>'77150'</t>
  </si>
  <si>
    <t>'77164'</t>
  </si>
  <si>
    <t>'77602'</t>
  </si>
  <si>
    <t>'77614'</t>
  </si>
  <si>
    <t>'77262'</t>
  </si>
  <si>
    <t>'77263'</t>
  </si>
  <si>
    <t>'77300'</t>
  </si>
  <si>
    <t>'77301'</t>
  </si>
  <si>
    <t>'77302'</t>
  </si>
  <si>
    <t>'77303'</t>
  </si>
  <si>
    <t>'77304'</t>
  </si>
  <si>
    <t>'77305'</t>
  </si>
  <si>
    <t>'77307'</t>
  </si>
  <si>
    <t>'77309'</t>
  </si>
  <si>
    <t>'77690'</t>
  </si>
  <si>
    <t>'77356'</t>
  </si>
  <si>
    <t>'77114'</t>
  </si>
  <si>
    <t>'77401'</t>
  </si>
  <si>
    <t>'77463'</t>
  </si>
  <si>
    <t>'77871'</t>
  </si>
  <si>
    <t>'77223'</t>
  </si>
  <si>
    <t>'77791'</t>
  </si>
  <si>
    <t>'77795'</t>
  </si>
  <si>
    <t>'77880'</t>
  </si>
  <si>
    <t>'77850'</t>
  </si>
  <si>
    <t>'77264'</t>
  </si>
  <si>
    <t>'77640'</t>
  </si>
  <si>
    <t>'77402'</t>
  </si>
  <si>
    <t>'77404'</t>
  </si>
  <si>
    <t>'77405'</t>
  </si>
  <si>
    <t>'77407'</t>
  </si>
  <si>
    <t>'77462'</t>
  </si>
  <si>
    <t>'77464'</t>
  </si>
  <si>
    <t>'77465'</t>
  </si>
  <si>
    <t>'77148'</t>
  </si>
  <si>
    <t>'77481'</t>
  </si>
  <si>
    <t>'77127'</t>
  </si>
  <si>
    <t>'77551'</t>
  </si>
  <si>
    <t>'77552'</t>
  </si>
  <si>
    <t>'77553'</t>
  </si>
  <si>
    <t>'77561'</t>
  </si>
  <si>
    <t>'77563'</t>
  </si>
  <si>
    <t>'77564'</t>
  </si>
  <si>
    <t>'77566'</t>
  </si>
  <si>
    <t>'77567'</t>
  </si>
  <si>
    <t>'77568'</t>
  </si>
  <si>
    <t>'77550'</t>
  </si>
  <si>
    <t>'77000'</t>
  </si>
  <si>
    <t>'77040'</t>
  </si>
  <si>
    <t>'77042'</t>
  </si>
  <si>
    <t>'77043'</t>
  </si>
  <si>
    <t>'77185'</t>
  </si>
  <si>
    <t>'77432'</t>
  </si>
  <si>
    <t>'77448'</t>
  </si>
  <si>
    <t>'77451'</t>
  </si>
  <si>
    <t>'77452'</t>
  </si>
  <si>
    <t>'77482'</t>
  </si>
  <si>
    <t>'77138'</t>
  </si>
  <si>
    <t>'77950'</t>
  </si>
  <si>
    <t>'77100'</t>
  </si>
  <si>
    <t>'77103'</t>
  </si>
  <si>
    <t>'77109'</t>
  </si>
  <si>
    <t>'77334'</t>
  </si>
  <si>
    <t>'77990'</t>
  </si>
  <si>
    <t>'95703'</t>
  </si>
  <si>
    <t>'95711'</t>
  </si>
  <si>
    <t>'95712'</t>
  </si>
  <si>
    <t>'95713'</t>
  </si>
  <si>
    <t>'95716'</t>
  </si>
  <si>
    <t>'77145'</t>
  </si>
  <si>
    <t>'77101'</t>
  </si>
  <si>
    <t>'77102'</t>
  </si>
  <si>
    <t>'77104'</t>
  </si>
  <si>
    <t>'77105'</t>
  </si>
  <si>
    <t>'77107'</t>
  </si>
  <si>
    <t>'77331'</t>
  </si>
  <si>
    <t>'77332'</t>
  </si>
  <si>
    <t>'77333'</t>
  </si>
  <si>
    <t>'77335'</t>
  </si>
  <si>
    <t>'77337'</t>
  </si>
  <si>
    <t>'77003'</t>
  </si>
  <si>
    <t>'77007'</t>
  </si>
  <si>
    <t>'77008'</t>
  </si>
  <si>
    <t>'77009'</t>
  </si>
  <si>
    <t>'77010'</t>
  </si>
  <si>
    <t>'77011'</t>
  </si>
  <si>
    <t>'77012'</t>
  </si>
  <si>
    <t>'77015'</t>
  </si>
  <si>
    <t>'77018'</t>
  </si>
  <si>
    <t>'77020'</t>
  </si>
  <si>
    <t>'77021'</t>
  </si>
  <si>
    <t>'77023'</t>
  </si>
  <si>
    <t>'77026'</t>
  </si>
  <si>
    <t>'95707'</t>
  </si>
  <si>
    <t>'95715'</t>
  </si>
  <si>
    <t>'95723'</t>
  </si>
  <si>
    <t>'95724'</t>
  </si>
  <si>
    <t>'95735'</t>
  </si>
  <si>
    <t>'95741'</t>
  </si>
  <si>
    <t>'95742'</t>
  </si>
  <si>
    <t>'95746'</t>
  </si>
  <si>
    <t>'77291'</t>
  </si>
  <si>
    <t>'77294'</t>
  </si>
  <si>
    <t>'77297'</t>
  </si>
  <si>
    <t>'77554'</t>
  </si>
  <si>
    <t>'77555'</t>
  </si>
  <si>
    <t>'77557'</t>
  </si>
  <si>
    <t>'77151'</t>
  </si>
  <si>
    <t>'77875'</t>
  </si>
  <si>
    <t>'77772'</t>
  </si>
  <si>
    <t>'77122'</t>
  </si>
  <si>
    <t>'77039'</t>
  </si>
  <si>
    <t>'77815'</t>
  </si>
  <si>
    <t>'77818'</t>
  </si>
  <si>
    <t>'77961'</t>
  </si>
  <si>
    <t>'77176'</t>
  </si>
  <si>
    <t>'77547'</t>
  </si>
  <si>
    <t>'77796'</t>
  </si>
  <si>
    <t>'77798'</t>
  </si>
  <si>
    <t>'77108'</t>
  </si>
  <si>
    <t>'77351'</t>
  </si>
  <si>
    <t>'77186'</t>
  </si>
  <si>
    <t>'77424'</t>
  </si>
  <si>
    <t>'77426'</t>
  </si>
  <si>
    <t>'77431'</t>
  </si>
  <si>
    <t>'77438'</t>
  </si>
  <si>
    <t>'77442'</t>
  </si>
  <si>
    <t>'77445'</t>
  </si>
  <si>
    <t>'77446'</t>
  </si>
  <si>
    <t>'77458'</t>
  </si>
  <si>
    <t>'77123'</t>
  </si>
  <si>
    <t>'77178'</t>
  </si>
  <si>
    <t>'77134'</t>
  </si>
  <si>
    <t>'77232'</t>
  </si>
  <si>
    <t>'77280'</t>
  </si>
  <si>
    <t>'77330'</t>
  </si>
  <si>
    <t>'77831'</t>
  </si>
  <si>
    <t>'77832'</t>
  </si>
  <si>
    <t>'77833'</t>
  </si>
  <si>
    <t>'77834'</t>
  </si>
  <si>
    <t>'77837'</t>
  </si>
  <si>
    <t>'77931'</t>
  </si>
  <si>
    <t>'77131'</t>
  </si>
  <si>
    <t>'77354'</t>
  </si>
  <si>
    <t>'77340'</t>
  </si>
  <si>
    <t>'77341'</t>
  </si>
  <si>
    <t>'77342'</t>
  </si>
  <si>
    <t>'77343'</t>
  </si>
  <si>
    <t>'77344'</t>
  </si>
  <si>
    <t>'77346'</t>
  </si>
  <si>
    <t>'77347'</t>
  </si>
  <si>
    <t>'77348'</t>
  </si>
  <si>
    <t>'77135'</t>
  </si>
  <si>
    <t>'77224'</t>
  </si>
  <si>
    <t>'77982'</t>
  </si>
  <si>
    <t>'77486'</t>
  </si>
  <si>
    <t>'77487'</t>
  </si>
  <si>
    <t>'77488'</t>
  </si>
  <si>
    <t>'77556'</t>
  </si>
  <si>
    <t>'77558'</t>
  </si>
  <si>
    <t>'77112'</t>
  </si>
  <si>
    <t>'77113'</t>
  </si>
  <si>
    <t>'77680'</t>
  </si>
  <si>
    <t>'77052'</t>
  </si>
  <si>
    <t>'77951'</t>
  </si>
  <si>
    <t>'77670'</t>
  </si>
  <si>
    <t>'77814'</t>
  </si>
  <si>
    <t>'77794'</t>
  </si>
  <si>
    <t>'77202'</t>
  </si>
  <si>
    <t>'77467'</t>
  </si>
  <si>
    <t>'77920'</t>
  </si>
  <si>
    <t>'77541'</t>
  </si>
  <si>
    <t>'77542'</t>
  </si>
  <si>
    <t>'77543'</t>
  </si>
  <si>
    <t>'77544'</t>
  </si>
  <si>
    <t>'77545'</t>
  </si>
  <si>
    <t>'77546'</t>
  </si>
  <si>
    <t>'77548'</t>
  </si>
  <si>
    <t>'77246'</t>
  </si>
  <si>
    <t>'77708'</t>
  </si>
  <si>
    <t>'77711'</t>
  </si>
  <si>
    <t>'77111'</t>
  </si>
  <si>
    <t>'77468'</t>
  </si>
  <si>
    <t>'77810'</t>
  </si>
  <si>
    <t>'77813'</t>
  </si>
  <si>
    <t>'77200'</t>
  </si>
  <si>
    <t>'77201'</t>
  </si>
  <si>
    <t>'77203'</t>
  </si>
  <si>
    <t>'77204'</t>
  </si>
  <si>
    <t>'77205'</t>
  </si>
  <si>
    <t>'77206'</t>
  </si>
  <si>
    <t>'77207'</t>
  </si>
  <si>
    <t>'77208'</t>
  </si>
  <si>
    <t>'77221'</t>
  </si>
  <si>
    <t>'77222'</t>
  </si>
  <si>
    <t>'77360'</t>
  </si>
  <si>
    <t>'77141'</t>
  </si>
  <si>
    <t>'77005'</t>
  </si>
  <si>
    <t>'77006'</t>
  </si>
  <si>
    <t>'77013'</t>
  </si>
  <si>
    <t>'77016'</t>
  </si>
  <si>
    <t>'77050'</t>
  </si>
  <si>
    <t>'77051'</t>
  </si>
  <si>
    <t>'94811'</t>
  </si>
  <si>
    <t>'77242'</t>
  </si>
  <si>
    <t>'77243'</t>
  </si>
  <si>
    <t>'77248'</t>
  </si>
  <si>
    <t>'77174'</t>
  </si>
  <si>
    <t>'77270'</t>
  </si>
  <si>
    <t>'77271'</t>
  </si>
  <si>
    <t>'77272'</t>
  </si>
  <si>
    <t>'77195'</t>
  </si>
  <si>
    <t>'77870'</t>
  </si>
  <si>
    <t>'78660'</t>
  </si>
  <si>
    <t>'78108'</t>
  </si>
  <si>
    <t>'78260'</t>
  </si>
  <si>
    <t>'78113'</t>
  </si>
  <si>
    <t>'78105'</t>
  </si>
  <si>
    <t>'78240'</t>
  </si>
  <si>
    <t>'78580'</t>
  </si>
  <si>
    <t>'78770'</t>
  </si>
  <si>
    <t>'78570'</t>
  </si>
  <si>
    <t>'78790'</t>
  </si>
  <si>
    <t>'78410'</t>
  </si>
  <si>
    <t>'78411'</t>
  </si>
  <si>
    <t>'78412'</t>
  </si>
  <si>
    <t>'78413'</t>
  </si>
  <si>
    <t>'78416'</t>
  </si>
  <si>
    <t>'78610'</t>
  </si>
  <si>
    <t>'78612'</t>
  </si>
  <si>
    <t>'78930'</t>
  </si>
  <si>
    <t>'78089'</t>
  </si>
  <si>
    <t>'78126'</t>
  </si>
  <si>
    <t>'78415'</t>
  </si>
  <si>
    <t>'78591'</t>
  </si>
  <si>
    <t>'78592'</t>
  </si>
  <si>
    <t>'78870'</t>
  </si>
  <si>
    <t>'78550'</t>
  </si>
  <si>
    <t>'78490'</t>
  </si>
  <si>
    <t>'78910'</t>
  </si>
  <si>
    <t>'78270'</t>
  </si>
  <si>
    <t>'78650'</t>
  </si>
  <si>
    <t>'78200'</t>
  </si>
  <si>
    <t>'78088'</t>
  </si>
  <si>
    <t>'78090'</t>
  </si>
  <si>
    <t>'78095'</t>
  </si>
  <si>
    <t>'78331'</t>
  </si>
  <si>
    <t>'78390'</t>
  </si>
  <si>
    <t>'78391'</t>
  </si>
  <si>
    <t>'78395'</t>
  </si>
  <si>
    <t>'78125'</t>
  </si>
  <si>
    <t>'78830'</t>
  </si>
  <si>
    <t>'78380'</t>
  </si>
  <si>
    <t>'78980'</t>
  </si>
  <si>
    <t>'78440'</t>
  </si>
  <si>
    <t>'78352'</t>
  </si>
  <si>
    <t>'78530'</t>
  </si>
  <si>
    <t>'78531'</t>
  </si>
  <si>
    <t>'78532'</t>
  </si>
  <si>
    <t>'78533'</t>
  </si>
  <si>
    <t>'78534'</t>
  </si>
  <si>
    <t>'78535'</t>
  </si>
  <si>
    <t>'78536'</t>
  </si>
  <si>
    <t>'78926'</t>
  </si>
  <si>
    <t>'78202'</t>
  </si>
  <si>
    <t>'78203'</t>
  </si>
  <si>
    <t>'78205'</t>
  </si>
  <si>
    <t>'78713'</t>
  </si>
  <si>
    <t>'78714'</t>
  </si>
  <si>
    <t>'78718'</t>
  </si>
  <si>
    <t>'78302'</t>
  </si>
  <si>
    <t>'78915'</t>
  </si>
  <si>
    <t>'78955'</t>
  </si>
  <si>
    <t>'78420'</t>
  </si>
  <si>
    <t>'78421'</t>
  </si>
  <si>
    <t>'78423'</t>
  </si>
  <si>
    <t>'78424'</t>
  </si>
  <si>
    <t>'78720'</t>
  </si>
  <si>
    <t>'78170'</t>
  </si>
  <si>
    <t>'78171'</t>
  </si>
  <si>
    <t>'78172'</t>
  </si>
  <si>
    <t>'78173'</t>
  </si>
  <si>
    <t>'78102'</t>
  </si>
  <si>
    <t>'78241'</t>
  </si>
  <si>
    <t>'78243'</t>
  </si>
  <si>
    <t>'78244'</t>
  </si>
  <si>
    <t>'78245'</t>
  </si>
  <si>
    <t>'78130'</t>
  </si>
  <si>
    <t>'78135'</t>
  </si>
  <si>
    <t>'78117'</t>
  </si>
  <si>
    <t>'78772'</t>
  </si>
  <si>
    <t>'78400'</t>
  </si>
  <si>
    <t>'78401'</t>
  </si>
  <si>
    <t>'78402'</t>
  </si>
  <si>
    <t>'78403'</t>
  </si>
  <si>
    <t>'78404'</t>
  </si>
  <si>
    <t>'78344'</t>
  </si>
  <si>
    <t>'78450'</t>
  </si>
  <si>
    <t>'78150'</t>
  </si>
  <si>
    <t>'78151'</t>
  </si>
  <si>
    <t>'78152'</t>
  </si>
  <si>
    <t>'78153'</t>
  </si>
  <si>
    <t>'78155'</t>
  </si>
  <si>
    <t>'78157'</t>
  </si>
  <si>
    <t>'78158'</t>
  </si>
  <si>
    <t>'78460'</t>
  </si>
  <si>
    <t>'78471'</t>
  </si>
  <si>
    <t>'78472'</t>
  </si>
  <si>
    <t>'78120'</t>
  </si>
  <si>
    <t>'78515'</t>
  </si>
  <si>
    <t>'78340'</t>
  </si>
  <si>
    <t>'78345'</t>
  </si>
  <si>
    <t>'78346'</t>
  </si>
  <si>
    <t>'78310'</t>
  </si>
  <si>
    <t>'78311'</t>
  </si>
  <si>
    <t>'78312'</t>
  </si>
  <si>
    <t>'78313'</t>
  </si>
  <si>
    <t>'78314'</t>
  </si>
  <si>
    <t>'78315'</t>
  </si>
  <si>
    <t>'78317'</t>
  </si>
  <si>
    <t>'78700'</t>
  </si>
  <si>
    <t>'78701'</t>
  </si>
  <si>
    <t>'78702'</t>
  </si>
  <si>
    <t>'78703'</t>
  </si>
  <si>
    <t>'78705'</t>
  </si>
  <si>
    <t>'78121'</t>
  </si>
  <si>
    <t>'78290'</t>
  </si>
  <si>
    <t>'78291'</t>
  </si>
  <si>
    <t>'78292'</t>
  </si>
  <si>
    <t>'78293'</t>
  </si>
  <si>
    <t>'78294'</t>
  </si>
  <si>
    <t>'78111'</t>
  </si>
  <si>
    <t>'78810'</t>
  </si>
  <si>
    <t>'78417'</t>
  </si>
  <si>
    <t>'78920'</t>
  </si>
  <si>
    <t>'78851'</t>
  </si>
  <si>
    <t>'78852'</t>
  </si>
  <si>
    <t>'78854'</t>
  </si>
  <si>
    <t>'78990'</t>
  </si>
  <si>
    <t>'78995'</t>
  </si>
  <si>
    <t>'78996'</t>
  </si>
  <si>
    <t>'78997'</t>
  </si>
  <si>
    <t>'78512'</t>
  </si>
  <si>
    <t>'78680'</t>
  </si>
  <si>
    <t>'78690'</t>
  </si>
  <si>
    <t>'78620'</t>
  </si>
  <si>
    <t>'78740'</t>
  </si>
  <si>
    <t>'78520'</t>
  </si>
  <si>
    <t>'78330'</t>
  </si>
  <si>
    <t>'78112'</t>
  </si>
  <si>
    <t>'78840'</t>
  </si>
  <si>
    <t>'78250'</t>
  </si>
  <si>
    <t>'78950'</t>
  </si>
  <si>
    <t>'78890'</t>
  </si>
  <si>
    <t>'78511'</t>
  </si>
  <si>
    <t>'78513'</t>
  </si>
  <si>
    <t>'78931'</t>
  </si>
  <si>
    <t>'78041'</t>
  </si>
  <si>
    <t>'78042'</t>
  </si>
  <si>
    <t>'78043'</t>
  </si>
  <si>
    <t>'78044'</t>
  </si>
  <si>
    <t>'78045'</t>
  </si>
  <si>
    <t>'78046'</t>
  </si>
  <si>
    <t>'78047'</t>
  </si>
  <si>
    <t>'78052'</t>
  </si>
  <si>
    <t>'78053'</t>
  </si>
  <si>
    <t>'78054'</t>
  </si>
  <si>
    <t>'78056'</t>
  </si>
  <si>
    <t>'78061'</t>
  </si>
  <si>
    <t>'78062'</t>
  </si>
  <si>
    <t>'78064'</t>
  </si>
  <si>
    <t>'78065'</t>
  </si>
  <si>
    <t>'78066'</t>
  </si>
  <si>
    <t>'78084'</t>
  </si>
  <si>
    <t>'78085'</t>
  </si>
  <si>
    <t>'78182'</t>
  </si>
  <si>
    <t>'78184'</t>
  </si>
  <si>
    <t>'78280'</t>
  </si>
  <si>
    <t>'78281'</t>
  </si>
  <si>
    <t>'78282'</t>
  </si>
  <si>
    <t>'78283'</t>
  </si>
  <si>
    <t>'78284'</t>
  </si>
  <si>
    <t>'78285'</t>
  </si>
  <si>
    <t>'78286'</t>
  </si>
  <si>
    <t>'78287'</t>
  </si>
  <si>
    <t>'78288'</t>
  </si>
  <si>
    <t>'78800'</t>
  </si>
  <si>
    <t>'78801'</t>
  </si>
  <si>
    <t>'78802'</t>
  </si>
  <si>
    <t>'78803'</t>
  </si>
  <si>
    <t>'78804'</t>
  </si>
  <si>
    <t>'78805'</t>
  </si>
  <si>
    <t>'78806'</t>
  </si>
  <si>
    <t>'78371'</t>
  </si>
  <si>
    <t>'78760'</t>
  </si>
  <si>
    <t>'78350'</t>
  </si>
  <si>
    <t>'78351'</t>
  </si>
  <si>
    <t>'78353'</t>
  </si>
  <si>
    <t>'78354'</t>
  </si>
  <si>
    <t>'78355'</t>
  </si>
  <si>
    <t>'78356'</t>
  </si>
  <si>
    <t>'78820'</t>
  </si>
  <si>
    <t>'78320'</t>
  </si>
  <si>
    <t>'78730'</t>
  </si>
  <si>
    <t>'78430'</t>
  </si>
  <si>
    <t>'78431'</t>
  </si>
  <si>
    <t>'78204'</t>
  </si>
  <si>
    <t>'78207'</t>
  </si>
  <si>
    <t>'78208'</t>
  </si>
  <si>
    <t>'78114'</t>
  </si>
  <si>
    <t>'78771'</t>
  </si>
  <si>
    <t>'78778'</t>
  </si>
  <si>
    <t>'78600'</t>
  </si>
  <si>
    <t>'78601'</t>
  </si>
  <si>
    <t>'78602'</t>
  </si>
  <si>
    <t>'78603'</t>
  </si>
  <si>
    <t>'78604'</t>
  </si>
  <si>
    <t>'78605'</t>
  </si>
  <si>
    <t>'78201'</t>
  </si>
  <si>
    <t>'78206'</t>
  </si>
  <si>
    <t>'78712'</t>
  </si>
  <si>
    <t>'78715'</t>
  </si>
  <si>
    <t>'78711'</t>
  </si>
  <si>
    <t>'78750'</t>
  </si>
  <si>
    <t>'78124'</t>
  </si>
  <si>
    <t>'78160'</t>
  </si>
  <si>
    <t>'78161'</t>
  </si>
  <si>
    <t>'78162'</t>
  </si>
  <si>
    <t>'78163'</t>
  </si>
  <si>
    <t>'78164'</t>
  </si>
  <si>
    <t>'78165'</t>
  </si>
  <si>
    <t>'78166'</t>
  </si>
  <si>
    <t>'78780'</t>
  </si>
  <si>
    <t>'78137'</t>
  </si>
  <si>
    <t>'78316'</t>
  </si>
  <si>
    <t>'78670'</t>
  </si>
  <si>
    <t>'78321'</t>
  </si>
  <si>
    <t>'78322'</t>
  </si>
  <si>
    <t>'78970'</t>
  </si>
  <si>
    <t>'78940'</t>
  </si>
  <si>
    <t>'78470'</t>
  </si>
  <si>
    <t>'78360'</t>
  </si>
  <si>
    <t>'78361'</t>
  </si>
  <si>
    <t>'78362'</t>
  </si>
  <si>
    <t>'78363'</t>
  </si>
  <si>
    <t>'78364'</t>
  </si>
  <si>
    <t>'78368'</t>
  </si>
  <si>
    <t>'78051'</t>
  </si>
  <si>
    <t>'78055'</t>
  </si>
  <si>
    <t>'78057'</t>
  </si>
  <si>
    <t>'78060'</t>
  </si>
  <si>
    <t>'78063'</t>
  </si>
  <si>
    <t>'78067'</t>
  </si>
  <si>
    <t>'78069'</t>
  </si>
  <si>
    <t>'78071'</t>
  </si>
  <si>
    <t>'78072'</t>
  </si>
  <si>
    <t>'78075'</t>
  </si>
  <si>
    <t>'78077'</t>
  </si>
  <si>
    <t>'78078'</t>
  </si>
  <si>
    <t>'78180'</t>
  </si>
  <si>
    <t>'78181'</t>
  </si>
  <si>
    <t>'78183'</t>
  </si>
  <si>
    <t>'78185'</t>
  </si>
  <si>
    <t>'78186'</t>
  </si>
  <si>
    <t>'78188'</t>
  </si>
  <si>
    <t>'78882'</t>
  </si>
  <si>
    <t>'78883'</t>
  </si>
  <si>
    <t>'78884'</t>
  </si>
  <si>
    <t>'78886'</t>
  </si>
  <si>
    <t>'78897'</t>
  </si>
  <si>
    <t>'78630'</t>
  </si>
  <si>
    <t>'78131'</t>
  </si>
  <si>
    <t>'78132'</t>
  </si>
  <si>
    <t>'78133'</t>
  </si>
  <si>
    <t>'78134'</t>
  </si>
  <si>
    <t>'78640'</t>
  </si>
  <si>
    <t>'78590'</t>
  </si>
  <si>
    <t>'78599'</t>
  </si>
  <si>
    <t>'78230'</t>
  </si>
  <si>
    <t>'78231'</t>
  </si>
  <si>
    <t>'78232'</t>
  </si>
  <si>
    <t>'78233'</t>
  </si>
  <si>
    <t>'78234'</t>
  </si>
  <si>
    <t>'78239'</t>
  </si>
  <si>
    <t>'78948'</t>
  </si>
  <si>
    <t>'78370'</t>
  </si>
  <si>
    <t>'78372'</t>
  </si>
  <si>
    <t>'78373'</t>
  </si>
  <si>
    <t>'78374'</t>
  </si>
  <si>
    <t>'78375'</t>
  </si>
  <si>
    <t>'78376'</t>
  </si>
  <si>
    <t>'78377'</t>
  </si>
  <si>
    <t>'78378'</t>
  </si>
  <si>
    <t>'78091'</t>
  </si>
  <si>
    <t>'78092'</t>
  </si>
  <si>
    <t>'78093'</t>
  </si>
  <si>
    <t>'78300'</t>
  </si>
  <si>
    <t>'78301'</t>
  </si>
  <si>
    <t>'78303'</t>
  </si>
  <si>
    <t>'78304'</t>
  </si>
  <si>
    <t>'78306'</t>
  </si>
  <si>
    <t>'78307'</t>
  </si>
  <si>
    <t>'78308'</t>
  </si>
  <si>
    <t>'78560'</t>
  </si>
  <si>
    <t>'78514'</t>
  </si>
  <si>
    <t>'78710'</t>
  </si>
  <si>
    <t>'78210'</t>
  </si>
  <si>
    <t>'78212'</t>
  </si>
  <si>
    <t>'78100'</t>
  </si>
  <si>
    <t>'78101'</t>
  </si>
  <si>
    <t>'78104'</t>
  </si>
  <si>
    <t>'78106'</t>
  </si>
  <si>
    <t>'78122'</t>
  </si>
  <si>
    <t>'78174'</t>
  </si>
  <si>
    <t>'91416'</t>
  </si>
  <si>
    <t>'78860'</t>
  </si>
  <si>
    <t>'78500'</t>
  </si>
  <si>
    <t>'78501'</t>
  </si>
  <si>
    <t>'78502'</t>
  </si>
  <si>
    <t>'78503'</t>
  </si>
  <si>
    <t>'78504'</t>
  </si>
  <si>
    <t>'78505'</t>
  </si>
  <si>
    <t>'78506'</t>
  </si>
  <si>
    <t>'78507'</t>
  </si>
  <si>
    <t>'78850'</t>
  </si>
  <si>
    <t>'78080'</t>
  </si>
  <si>
    <t>'78083'</t>
  </si>
  <si>
    <t>'78190'</t>
  </si>
  <si>
    <t>'78191'</t>
  </si>
  <si>
    <t>'78192'</t>
  </si>
  <si>
    <t>'78193'</t>
  </si>
  <si>
    <t>'78194'</t>
  </si>
  <si>
    <t>'78195'</t>
  </si>
  <si>
    <t>'78196'</t>
  </si>
  <si>
    <t>'78197'</t>
  </si>
  <si>
    <t>'78921'</t>
  </si>
  <si>
    <t>'78924'</t>
  </si>
  <si>
    <t>'78510'</t>
  </si>
  <si>
    <t>'78129'</t>
  </si>
  <si>
    <t>'78140'</t>
  </si>
  <si>
    <t>'78141'</t>
  </si>
  <si>
    <t>'78142'</t>
  </si>
  <si>
    <t>'78143'</t>
  </si>
  <si>
    <t>'78146'</t>
  </si>
  <si>
    <t>'78147'</t>
  </si>
  <si>
    <t>'78148'</t>
  </si>
  <si>
    <t>'78457'</t>
  </si>
  <si>
    <t>'78941'</t>
  </si>
  <si>
    <t>'78942'</t>
  </si>
  <si>
    <t>'78943'</t>
  </si>
  <si>
    <t>'78945'</t>
  </si>
  <si>
    <t>'78946'</t>
  </si>
  <si>
    <t>'78480'</t>
  </si>
  <si>
    <t>'78540'</t>
  </si>
  <si>
    <t>'78000'</t>
  </si>
  <si>
    <t>'78001'</t>
  </si>
  <si>
    <t>'78002'</t>
  </si>
  <si>
    <t>'78003'</t>
  </si>
  <si>
    <t>'78004'</t>
  </si>
  <si>
    <t>'78005'</t>
  </si>
  <si>
    <t>'78006'</t>
  </si>
  <si>
    <t>'78007'</t>
  </si>
  <si>
    <t>'78008'</t>
  </si>
  <si>
    <t>'78009'</t>
  </si>
  <si>
    <t>'78010'</t>
  </si>
  <si>
    <t>'78011'</t>
  </si>
  <si>
    <t>'78012'</t>
  </si>
  <si>
    <t>'78013'</t>
  </si>
  <si>
    <t>'78014'</t>
  </si>
  <si>
    <t>'78017'</t>
  </si>
  <si>
    <t>'78018'</t>
  </si>
  <si>
    <t>'78020'</t>
  </si>
  <si>
    <t>'78021'</t>
  </si>
  <si>
    <t>'78026'</t>
  </si>
  <si>
    <t>'78027'</t>
  </si>
  <si>
    <t>'78028'</t>
  </si>
  <si>
    <t>'78029'</t>
  </si>
  <si>
    <t>'78030'</t>
  </si>
  <si>
    <t>'78032'</t>
  </si>
  <si>
    <t>'78033'</t>
  </si>
  <si>
    <t>'78034'</t>
  </si>
  <si>
    <t>'78035'</t>
  </si>
  <si>
    <t>'78110'</t>
  </si>
  <si>
    <t>'78115'</t>
  </si>
  <si>
    <t>'78116'</t>
  </si>
  <si>
    <t>'78118'</t>
  </si>
  <si>
    <t>'78220'</t>
  </si>
  <si>
    <t>'78221'</t>
  </si>
  <si>
    <t>'78222'</t>
  </si>
  <si>
    <t>'78223'</t>
  </si>
  <si>
    <t>'78096'</t>
  </si>
  <si>
    <t>'78881'</t>
  </si>
  <si>
    <t>'78960'</t>
  </si>
  <si>
    <t>'78961'</t>
  </si>
  <si>
    <t>COMMUNAUTE D'AGGLOMERATION DU NIORTAIS</t>
  </si>
  <si>
    <t>'79230'</t>
  </si>
  <si>
    <t>'79234'</t>
  </si>
  <si>
    <t>'79210'</t>
  </si>
  <si>
    <t>COMMUNAUTE DE COMMUNES HAUT VAL DE SEVRE</t>
  </si>
  <si>
    <t>'79400'</t>
  </si>
  <si>
    <t>'79800'</t>
  </si>
  <si>
    <t>'79401'</t>
  </si>
  <si>
    <t>'79402'</t>
  </si>
  <si>
    <t>'79360'</t>
  </si>
  <si>
    <t>'79000'</t>
  </si>
  <si>
    <t>'79002'</t>
  </si>
  <si>
    <t>'79012'</t>
  </si>
  <si>
    <t>'79014'</t>
  </si>
  <si>
    <t>'79024'</t>
  </si>
  <si>
    <t>'79025'</t>
  </si>
  <si>
    <t>'79026'</t>
  </si>
  <si>
    <t>'79027'</t>
  </si>
  <si>
    <t>'79041'</t>
  </si>
  <si>
    <t>'79043'</t>
  </si>
  <si>
    <t>'79061'</t>
  </si>
  <si>
    <t>'79087'</t>
  </si>
  <si>
    <t>'79088'</t>
  </si>
  <si>
    <t>'79260'</t>
  </si>
  <si>
    <t>'79001'</t>
  </si>
  <si>
    <t>'79005'</t>
  </si>
  <si>
    <t>'79008'</t>
  </si>
  <si>
    <t>'79028'</t>
  </si>
  <si>
    <t>'79030'</t>
  </si>
  <si>
    <t>'79036'</t>
  </si>
  <si>
    <t>'79042'</t>
  </si>
  <si>
    <t>'79045'</t>
  </si>
  <si>
    <t>'79074'</t>
  </si>
  <si>
    <t>'79081'</t>
  </si>
  <si>
    <t>'79082'</t>
  </si>
  <si>
    <t>'79083'</t>
  </si>
  <si>
    <t>'79084'</t>
  </si>
  <si>
    <t>'79085'</t>
  </si>
  <si>
    <t>'79086'</t>
  </si>
  <si>
    <t>'79091'</t>
  </si>
  <si>
    <t>'79180'</t>
  </si>
  <si>
    <t>'79182'</t>
  </si>
  <si>
    <t>'79184'</t>
  </si>
  <si>
    <t>'79185'</t>
  </si>
  <si>
    <t>'79410'</t>
  </si>
  <si>
    <t>'79510'</t>
  </si>
  <si>
    <t>'79270'</t>
  </si>
  <si>
    <t>'79233'</t>
  </si>
  <si>
    <t>'79220'</t>
  </si>
  <si>
    <t>'79460'</t>
  </si>
  <si>
    <t>'79003'</t>
  </si>
  <si>
    <t>'79004'</t>
  </si>
  <si>
    <t>'79006'</t>
  </si>
  <si>
    <t>'79007'</t>
  </si>
  <si>
    <t>'79010'</t>
  </si>
  <si>
    <t>'79011'</t>
  </si>
  <si>
    <t>'79016'</t>
  </si>
  <si>
    <t>'79017'</t>
  </si>
  <si>
    <t>'79018'</t>
  </si>
  <si>
    <t>'79021'</t>
  </si>
  <si>
    <t>'79022'</t>
  </si>
  <si>
    <t>'79029'</t>
  </si>
  <si>
    <t>'79031'</t>
  </si>
  <si>
    <t>'79032'</t>
  </si>
  <si>
    <t>'79033'</t>
  </si>
  <si>
    <t>'79034'</t>
  </si>
  <si>
    <t>'79037'</t>
  </si>
  <si>
    <t>'79038'</t>
  </si>
  <si>
    <t>'79044'</t>
  </si>
  <si>
    <t>'79055'</t>
  </si>
  <si>
    <t>'79076'</t>
  </si>
  <si>
    <t>'79077'</t>
  </si>
  <si>
    <t>'79079'</t>
  </si>
  <si>
    <t>'79092'</t>
  </si>
  <si>
    <t>'79099'</t>
  </si>
  <si>
    <t>'79403'</t>
  </si>
  <si>
    <t>'79232'</t>
  </si>
  <si>
    <t>'79404'</t>
  </si>
  <si>
    <t>'79160'</t>
  </si>
  <si>
    <t>'79231'</t>
  </si>
  <si>
    <t>COMMUNAUTE DE COMMUNES DE L'ABBEVILLOIS</t>
  </si>
  <si>
    <t>'80100'</t>
  </si>
  <si>
    <t>'80101'</t>
  </si>
  <si>
    <t>'80102'</t>
  </si>
  <si>
    <t>'80103'</t>
  </si>
  <si>
    <t>'80104'</t>
  </si>
  <si>
    <t>'80106'</t>
  </si>
  <si>
    <t>'80107'</t>
  </si>
  <si>
    <t>'80108'</t>
  </si>
  <si>
    <t>'80142'</t>
  </si>
  <si>
    <t>'80143'</t>
  </si>
  <si>
    <t>'80144'</t>
  </si>
  <si>
    <t>COMMUNAUTE D'AGGLOMERATION AMIENS METROPOLE</t>
  </si>
  <si>
    <t>'80260'</t>
  </si>
  <si>
    <t>'80000'</t>
  </si>
  <si>
    <t>'80001'</t>
  </si>
  <si>
    <t>'80002'</t>
  </si>
  <si>
    <t>'80003'</t>
  </si>
  <si>
    <t>'80004'</t>
  </si>
  <si>
    <t>'80005'</t>
  </si>
  <si>
    <t>'80006'</t>
  </si>
  <si>
    <t>'80007'</t>
  </si>
  <si>
    <t>'80008'</t>
  </si>
  <si>
    <t>'80009'</t>
  </si>
  <si>
    <t>'80010'</t>
  </si>
  <si>
    <t>'80011'</t>
  </si>
  <si>
    <t>'80012'</t>
  </si>
  <si>
    <t>'80013'</t>
  </si>
  <si>
    <t>'80015'</t>
  </si>
  <si>
    <t>'80016'</t>
  </si>
  <si>
    <t>'80017'</t>
  </si>
  <si>
    <t>'80019'</t>
  </si>
  <si>
    <t>'80020'</t>
  </si>
  <si>
    <t>'80021'</t>
  </si>
  <si>
    <t>'80022'</t>
  </si>
  <si>
    <t>'80023'</t>
  </si>
  <si>
    <t>'80025'</t>
  </si>
  <si>
    <t>'80026'</t>
  </si>
  <si>
    <t>'80027'</t>
  </si>
  <si>
    <t>'80028'</t>
  </si>
  <si>
    <t>'80029'</t>
  </si>
  <si>
    <t>'80030'</t>
  </si>
  <si>
    <t>'80033'</t>
  </si>
  <si>
    <t>'80036'</t>
  </si>
  <si>
    <t>'80037'</t>
  </si>
  <si>
    <t>'80038'</t>
  </si>
  <si>
    <t>'80039'</t>
  </si>
  <si>
    <t>'80040'</t>
  </si>
  <si>
    <t>'80041'</t>
  </si>
  <si>
    <t>'80042'</t>
  </si>
  <si>
    <t>'80043'</t>
  </si>
  <si>
    <t>'80044'</t>
  </si>
  <si>
    <t>'80046'</t>
  </si>
  <si>
    <t>'80047'</t>
  </si>
  <si>
    <t>'80048'</t>
  </si>
  <si>
    <t>'80050'</t>
  </si>
  <si>
    <t>'80051'</t>
  </si>
  <si>
    <t>'80054'</t>
  </si>
  <si>
    <t>'80055'</t>
  </si>
  <si>
    <t>'80056'</t>
  </si>
  <si>
    <t>'80060'</t>
  </si>
  <si>
    <t>'80061'</t>
  </si>
  <si>
    <t>'80062'</t>
  </si>
  <si>
    <t>'80063'</t>
  </si>
  <si>
    <t>'80064'</t>
  </si>
  <si>
    <t>'80068'</t>
  </si>
  <si>
    <t>'80069'</t>
  </si>
  <si>
    <t>'80075'</t>
  </si>
  <si>
    <t>'80080'</t>
  </si>
  <si>
    <t>'80081'</t>
  </si>
  <si>
    <t>'80082'</t>
  </si>
  <si>
    <t>'80083'</t>
  </si>
  <si>
    <t>'80084'</t>
  </si>
  <si>
    <t>'80085'</t>
  </si>
  <si>
    <t>'80086'</t>
  </si>
  <si>
    <t>'80088'</t>
  </si>
  <si>
    <t>'80089'</t>
  </si>
  <si>
    <t>'80090'</t>
  </si>
  <si>
    <t>'80091'</t>
  </si>
  <si>
    <t>'80092'</t>
  </si>
  <si>
    <t>'80093'</t>
  </si>
  <si>
    <t>'80094'</t>
  </si>
  <si>
    <t>'80095'</t>
  </si>
  <si>
    <t>'80096'</t>
  </si>
  <si>
    <t>'80097'</t>
  </si>
  <si>
    <t>'80333'</t>
  </si>
  <si>
    <t>'80891'</t>
  </si>
  <si>
    <t>'80132'</t>
  </si>
  <si>
    <t>'80332'</t>
  </si>
  <si>
    <t>'80440'</t>
  </si>
  <si>
    <t>'80540'</t>
  </si>
  <si>
    <t>'80331'</t>
  </si>
  <si>
    <t>'80334'</t>
  </si>
  <si>
    <t>'80337'</t>
  </si>
  <si>
    <t>'80339'</t>
  </si>
  <si>
    <t>'80580'</t>
  </si>
  <si>
    <t>'80330'</t>
  </si>
  <si>
    <t>'80450'</t>
  </si>
  <si>
    <t>'80480'</t>
  </si>
  <si>
    <t>'80470'</t>
  </si>
  <si>
    <t>'80250'</t>
  </si>
  <si>
    <t>'80680'</t>
  </si>
  <si>
    <t>'80115'</t>
  </si>
  <si>
    <t>'80136'</t>
  </si>
  <si>
    <t>'80336'</t>
  </si>
  <si>
    <t>'80335'</t>
  </si>
  <si>
    <t>'80160'</t>
  </si>
  <si>
    <t>'80310'</t>
  </si>
  <si>
    <t>COMMUNAUTE D'AGGLOMERATION DE CASTRES-MAZAMET</t>
  </si>
  <si>
    <t>'81200'</t>
  </si>
  <si>
    <t>'81201'</t>
  </si>
  <si>
    <t>'81202'</t>
  </si>
  <si>
    <t>'81203'</t>
  </si>
  <si>
    <t>COMMUNAUTE D'AGGLOMERATION DE L'ALBIGEOIS</t>
  </si>
  <si>
    <t>'81000'</t>
  </si>
  <si>
    <t>'81001'</t>
  </si>
  <si>
    <t>'81002'</t>
  </si>
  <si>
    <t>'81003'</t>
  </si>
  <si>
    <t>'81004'</t>
  </si>
  <si>
    <t>'81005'</t>
  </si>
  <si>
    <t>'81006'</t>
  </si>
  <si>
    <t>'81007'</t>
  </si>
  <si>
    <t>'81011'</t>
  </si>
  <si>
    <t>'81012'</t>
  </si>
  <si>
    <t>'81013'</t>
  </si>
  <si>
    <t>'81014'</t>
  </si>
  <si>
    <t>'81015'</t>
  </si>
  <si>
    <t>'81016'</t>
  </si>
  <si>
    <t>'81017'</t>
  </si>
  <si>
    <t>'81018'</t>
  </si>
  <si>
    <t>'81021'</t>
  </si>
  <si>
    <t>'81022'</t>
  </si>
  <si>
    <t>'81023'</t>
  </si>
  <si>
    <t>'81025'</t>
  </si>
  <si>
    <t>'81027'</t>
  </si>
  <si>
    <t>'81030'</t>
  </si>
  <si>
    <t>'81034'</t>
  </si>
  <si>
    <t>'81035'</t>
  </si>
  <si>
    <t>'81036'</t>
  </si>
  <si>
    <t>'81037'</t>
  </si>
  <si>
    <t>'81039'</t>
  </si>
  <si>
    <t>COMMUNAUTE D'AGGLOMERATION GAILLAC-GRAULHET</t>
  </si>
  <si>
    <t>'81140'</t>
  </si>
  <si>
    <t>'81170'</t>
  </si>
  <si>
    <t>'81160'</t>
  </si>
  <si>
    <t>'81600'</t>
  </si>
  <si>
    <t>'81204'</t>
  </si>
  <si>
    <t>'81205'</t>
  </si>
  <si>
    <t>'81630'</t>
  </si>
  <si>
    <t>'81150'</t>
  </si>
  <si>
    <t>'81490'</t>
  </si>
  <si>
    <t>'81390'</t>
  </si>
  <si>
    <t>'81300'</t>
  </si>
  <si>
    <t>'81305'</t>
  </si>
  <si>
    <t>'81990'</t>
  </si>
  <si>
    <t>'81100'</t>
  </si>
  <si>
    <t>'81101'</t>
  </si>
  <si>
    <t>'81102'</t>
  </si>
  <si>
    <t>'81103'</t>
  </si>
  <si>
    <t>'81104'</t>
  </si>
  <si>
    <t>'81105'</t>
  </si>
  <si>
    <t>'81106'</t>
  </si>
  <si>
    <t>'81107'</t>
  </si>
  <si>
    <t>'81108'</t>
  </si>
  <si>
    <t>'81115'</t>
  </si>
  <si>
    <t>'81116'</t>
  </si>
  <si>
    <t>'81800'</t>
  </si>
  <si>
    <t>'81020'</t>
  </si>
  <si>
    <t>'81120'</t>
  </si>
  <si>
    <t>'81601'</t>
  </si>
  <si>
    <t>'81602'</t>
  </si>
  <si>
    <t>'81603'</t>
  </si>
  <si>
    <t>'81604'</t>
  </si>
  <si>
    <t>'81605'</t>
  </si>
  <si>
    <t>'81500'</t>
  </si>
  <si>
    <t>'81301'</t>
  </si>
  <si>
    <t>'81302'</t>
  </si>
  <si>
    <t>'81303'</t>
  </si>
  <si>
    <t>'81304'</t>
  </si>
  <si>
    <t>'81290'</t>
  </si>
  <si>
    <t>'81090'</t>
  </si>
  <si>
    <t>COMMUNE DE LAVAUR</t>
  </si>
  <si>
    <t>'81501'</t>
  </si>
  <si>
    <t>'81502'</t>
  </si>
  <si>
    <t>'81503'</t>
  </si>
  <si>
    <t>'81506'</t>
  </si>
  <si>
    <t>'81380'</t>
  </si>
  <si>
    <t>'81310'</t>
  </si>
  <si>
    <t>'81710'</t>
  </si>
  <si>
    <t>'81660'</t>
  </si>
  <si>
    <t>'81026'</t>
  </si>
  <si>
    <t>'81240'</t>
  </si>
  <si>
    <t>'81019'</t>
  </si>
  <si>
    <t>GRAND MONTAUBAN CA</t>
  </si>
  <si>
    <t>'82290'</t>
  </si>
  <si>
    <t>'82710'</t>
  </si>
  <si>
    <t>'82370'</t>
  </si>
  <si>
    <t>'82700'</t>
  </si>
  <si>
    <t>'82130'</t>
  </si>
  <si>
    <t>'82000'</t>
  </si>
  <si>
    <t>'82001'</t>
  </si>
  <si>
    <t>'82002'</t>
  </si>
  <si>
    <t>'82003'</t>
  </si>
  <si>
    <t>'82004'</t>
  </si>
  <si>
    <t>'82005'</t>
  </si>
  <si>
    <t>'82006'</t>
  </si>
  <si>
    <t>'82007'</t>
  </si>
  <si>
    <t>'82008'</t>
  </si>
  <si>
    <t>'82009'</t>
  </si>
  <si>
    <t>'82013'</t>
  </si>
  <si>
    <t>'82014'</t>
  </si>
  <si>
    <t>'82015'</t>
  </si>
  <si>
    <t>'82017'</t>
  </si>
  <si>
    <t>'82024'</t>
  </si>
  <si>
    <t>'82027'</t>
  </si>
  <si>
    <t>'82030'</t>
  </si>
  <si>
    <t>'82032'</t>
  </si>
  <si>
    <t>'82033'</t>
  </si>
  <si>
    <t>'82037'</t>
  </si>
  <si>
    <t>'82040'</t>
  </si>
  <si>
    <t>'82047'</t>
  </si>
  <si>
    <t>'82048'</t>
  </si>
  <si>
    <t>'82053'</t>
  </si>
  <si>
    <t>'82054'</t>
  </si>
  <si>
    <t>'82057'</t>
  </si>
  <si>
    <t>'82060'</t>
  </si>
  <si>
    <t>'82065'</t>
  </si>
  <si>
    <t>'82067'</t>
  </si>
  <si>
    <t>'82070'</t>
  </si>
  <si>
    <t>'82077'</t>
  </si>
  <si>
    <t>'82080'</t>
  </si>
  <si>
    <t>'82087'</t>
  </si>
  <si>
    <t>ESTEREL COTE D'AZUR AGGLOMERATION</t>
  </si>
  <si>
    <t>'83600'</t>
  </si>
  <si>
    <t>'83601'</t>
  </si>
  <si>
    <t>DRACENIE PROVENCE VERDON AGGLO</t>
  </si>
  <si>
    <t>'83111'</t>
  </si>
  <si>
    <t>'83460'</t>
  </si>
  <si>
    <t>COMMUNAUTE D'AGGLOMERATION SUD SAINTE BAUME</t>
  </si>
  <si>
    <t>'83150'</t>
  </si>
  <si>
    <t>'83840'</t>
  </si>
  <si>
    <t>'83830'</t>
  </si>
  <si>
    <t>'83330'</t>
  </si>
  <si>
    <t>'83740'</t>
  </si>
  <si>
    <t>COMMUNAUTE D'AGGLOMERATION TOULON-PROVENCE-MEDITER</t>
  </si>
  <si>
    <t>'83320'</t>
  </si>
  <si>
    <t>'83300'</t>
  </si>
  <si>
    <t>CA TOULON-PROVENCE-MEDITERRANEE</t>
  </si>
  <si>
    <t>'83040'</t>
  </si>
  <si>
    <t>'83041'</t>
  </si>
  <si>
    <t>'83260'</t>
  </si>
  <si>
    <t>'83001'</t>
  </si>
  <si>
    <t>'83002'</t>
  </si>
  <si>
    <t>'83003'</t>
  </si>
  <si>
    <t>'83004'</t>
  </si>
  <si>
    <t>'83005'</t>
  </si>
  <si>
    <t>'83006'</t>
  </si>
  <si>
    <t>'83007'</t>
  </si>
  <si>
    <t>'83008'</t>
  </si>
  <si>
    <t>'83011'</t>
  </si>
  <si>
    <t>'83012'</t>
  </si>
  <si>
    <t>'83013'</t>
  </si>
  <si>
    <t>'83014'</t>
  </si>
  <si>
    <t>'83015'</t>
  </si>
  <si>
    <t>'83780'</t>
  </si>
  <si>
    <t>'83370'</t>
  </si>
  <si>
    <t>'83371'</t>
  </si>
  <si>
    <t>'83372'</t>
  </si>
  <si>
    <t>'83482'</t>
  </si>
  <si>
    <t>'83602'</t>
  </si>
  <si>
    <t>'83603'</t>
  </si>
  <si>
    <t>'83604'</t>
  </si>
  <si>
    <t>'83606'</t>
  </si>
  <si>
    <t>'83608'</t>
  </si>
  <si>
    <t>'83613'</t>
  </si>
  <si>
    <t>'83614'</t>
  </si>
  <si>
    <t>'83615'</t>
  </si>
  <si>
    <t>'83616'</t>
  </si>
  <si>
    <t>'83618'</t>
  </si>
  <si>
    <t>'83704'</t>
  </si>
  <si>
    <t>'83038'</t>
  </si>
  <si>
    <t>'83042'</t>
  </si>
  <si>
    <t>'83077'</t>
  </si>
  <si>
    <t>'83078'</t>
  </si>
  <si>
    <t>'83079'</t>
  </si>
  <si>
    <t>'83085'</t>
  </si>
  <si>
    <t>'83087'</t>
  </si>
  <si>
    <t>'83088'</t>
  </si>
  <si>
    <t>'83089'</t>
  </si>
  <si>
    <t>'83130'</t>
  </si>
  <si>
    <t>'83951'</t>
  </si>
  <si>
    <t>'83952'</t>
  </si>
  <si>
    <t>'83953'</t>
  </si>
  <si>
    <t>'83954'</t>
  </si>
  <si>
    <t>'83957'</t>
  </si>
  <si>
    <t>'83958'</t>
  </si>
  <si>
    <t>'83400'</t>
  </si>
  <si>
    <t>'83401'</t>
  </si>
  <si>
    <t>'83402'</t>
  </si>
  <si>
    <t>'83403'</t>
  </si>
  <si>
    <t>'83404'</t>
  </si>
  <si>
    <t>'83405'</t>
  </si>
  <si>
    <t>'83406'</t>
  </si>
  <si>
    <t>'83407'</t>
  </si>
  <si>
    <t>'83408'</t>
  </si>
  <si>
    <t>'83409'</t>
  </si>
  <si>
    <t>'83411'</t>
  </si>
  <si>
    <t>'83412'</t>
  </si>
  <si>
    <t>'83418'</t>
  </si>
  <si>
    <t>'83510'</t>
  </si>
  <si>
    <t>'83131'</t>
  </si>
  <si>
    <t>'83998'</t>
  </si>
  <si>
    <t>'83920'</t>
  </si>
  <si>
    <t>'83490'</t>
  </si>
  <si>
    <t>'83180'</t>
  </si>
  <si>
    <t>'83190'</t>
  </si>
  <si>
    <t>'83191'</t>
  </si>
  <si>
    <t>'83192'</t>
  </si>
  <si>
    <t>'83196'</t>
  </si>
  <si>
    <t>'83220'</t>
  </si>
  <si>
    <t>'83480'</t>
  </si>
  <si>
    <t>'83481'</t>
  </si>
  <si>
    <t>'83487'</t>
  </si>
  <si>
    <t>'83488'</t>
  </si>
  <si>
    <t>'83200'</t>
  </si>
  <si>
    <t>'83380'</t>
  </si>
  <si>
    <t>'83520'</t>
  </si>
  <si>
    <t>'83521'</t>
  </si>
  <si>
    <t>'83270'</t>
  </si>
  <si>
    <t>'83530'</t>
  </si>
  <si>
    <t>'83700'</t>
  </si>
  <si>
    <t>'83701'</t>
  </si>
  <si>
    <t>'83702'</t>
  </si>
  <si>
    <t>'83703'</t>
  </si>
  <si>
    <t>'83705'</t>
  </si>
  <si>
    <t>'83707'</t>
  </si>
  <si>
    <t>'83640'</t>
  </si>
  <si>
    <t>'83690'</t>
  </si>
  <si>
    <t>'83110'</t>
  </si>
  <si>
    <t>'83112'</t>
  </si>
  <si>
    <t>'83113'</t>
  </si>
  <si>
    <t>'83117'</t>
  </si>
  <si>
    <t>'83187'</t>
  </si>
  <si>
    <t>'83500'</t>
  </si>
  <si>
    <t>'83501'</t>
  </si>
  <si>
    <t>'83502'</t>
  </si>
  <si>
    <t>'83504'</t>
  </si>
  <si>
    <t>'83507'</t>
  </si>
  <si>
    <t>'83511'</t>
  </si>
  <si>
    <t>'83512'</t>
  </si>
  <si>
    <t>'83514'</t>
  </si>
  <si>
    <t>'83518'</t>
  </si>
  <si>
    <t>'83030'</t>
  </si>
  <si>
    <t>'83870'</t>
  </si>
  <si>
    <t>'83060'</t>
  </si>
  <si>
    <t>'83140'</t>
  </si>
  <si>
    <t>'83181'</t>
  </si>
  <si>
    <t>'83183'</t>
  </si>
  <si>
    <t>'83184'</t>
  </si>
  <si>
    <t>'83185'</t>
  </si>
  <si>
    <t>'83188'</t>
  </si>
  <si>
    <t>'83000'</t>
  </si>
  <si>
    <t>'83050'</t>
  </si>
  <si>
    <t>'83051'</t>
  </si>
  <si>
    <t>'83052'</t>
  </si>
  <si>
    <t>'83053'</t>
  </si>
  <si>
    <t>'83054'</t>
  </si>
  <si>
    <t>'83055'</t>
  </si>
  <si>
    <t>'83056'</t>
  </si>
  <si>
    <t>'83057'</t>
  </si>
  <si>
    <t>'83058'</t>
  </si>
  <si>
    <t>'83061'</t>
  </si>
  <si>
    <t>'83062'</t>
  </si>
  <si>
    <t>'83063'</t>
  </si>
  <si>
    <t>'83064'</t>
  </si>
  <si>
    <t>'83065'</t>
  </si>
  <si>
    <t>'83069'</t>
  </si>
  <si>
    <t>'83070'</t>
  </si>
  <si>
    <t>'83071'</t>
  </si>
  <si>
    <t>'83076'</t>
  </si>
  <si>
    <t>'83080'</t>
  </si>
  <si>
    <t>'83081'</t>
  </si>
  <si>
    <t>'83082'</t>
  </si>
  <si>
    <t>'83083'</t>
  </si>
  <si>
    <t>'83084'</t>
  </si>
  <si>
    <t>'83086'</t>
  </si>
  <si>
    <t>'83090'</t>
  </si>
  <si>
    <t>'83091'</t>
  </si>
  <si>
    <t>'83092'</t>
  </si>
  <si>
    <t>'83093'</t>
  </si>
  <si>
    <t>'83094'</t>
  </si>
  <si>
    <t>'83095'</t>
  </si>
  <si>
    <t>'83097'</t>
  </si>
  <si>
    <t>'83098'</t>
  </si>
  <si>
    <t>'83099'</t>
  </si>
  <si>
    <t>'83100'</t>
  </si>
  <si>
    <t>'83107'</t>
  </si>
  <si>
    <t>'83800'</t>
  </si>
  <si>
    <t>'83720'</t>
  </si>
  <si>
    <t>'83160'</t>
  </si>
  <si>
    <t>'83163'</t>
  </si>
  <si>
    <t>'83166'</t>
  </si>
  <si>
    <t>'83167'</t>
  </si>
  <si>
    <t>'83550'</t>
  </si>
  <si>
    <t>'83560'</t>
  </si>
  <si>
    <t>'83430'</t>
  </si>
  <si>
    <t>COMMUNAUTE DE COMMUNES LES SORGUES DU COMTAT</t>
  </si>
  <si>
    <t>'84210'</t>
  </si>
  <si>
    <t>VILLE D'APT</t>
  </si>
  <si>
    <t>'84400'</t>
  </si>
  <si>
    <t>'84401'</t>
  </si>
  <si>
    <t>'84402'</t>
  </si>
  <si>
    <t>'84403'</t>
  </si>
  <si>
    <t>'84404'</t>
  </si>
  <si>
    <t>'84405'</t>
  </si>
  <si>
    <t>CA VENTOUX COMTAT VENAISSIN</t>
  </si>
  <si>
    <t>'84810'</t>
  </si>
  <si>
    <t>'84000'</t>
  </si>
  <si>
    <t>'84004'</t>
  </si>
  <si>
    <t>'84005'</t>
  </si>
  <si>
    <t>'84006'</t>
  </si>
  <si>
    <t>'84007'</t>
  </si>
  <si>
    <t>'84008'</t>
  </si>
  <si>
    <t>'84009'</t>
  </si>
  <si>
    <t>'84010'</t>
  </si>
  <si>
    <t>'84011'</t>
  </si>
  <si>
    <t>'84013'</t>
  </si>
  <si>
    <t>'84014'</t>
  </si>
  <si>
    <t>'84015'</t>
  </si>
  <si>
    <t>'84018'</t>
  </si>
  <si>
    <t>'84021'</t>
  </si>
  <si>
    <t>'84022'</t>
  </si>
  <si>
    <t>'84023'</t>
  </si>
  <si>
    <t>'84024'</t>
  </si>
  <si>
    <t>'84025'</t>
  </si>
  <si>
    <t>'84027'</t>
  </si>
  <si>
    <t>'84029'</t>
  </si>
  <si>
    <t>'84031'</t>
  </si>
  <si>
    <t>'84032'</t>
  </si>
  <si>
    <t>'84033'</t>
  </si>
  <si>
    <t>'84034'</t>
  </si>
  <si>
    <t>'84035'</t>
  </si>
  <si>
    <t>'84036'</t>
  </si>
  <si>
    <t>'84041'</t>
  </si>
  <si>
    <t>'84042'</t>
  </si>
  <si>
    <t>'84043'</t>
  </si>
  <si>
    <t>'84044'</t>
  </si>
  <si>
    <t>'84045'</t>
  </si>
  <si>
    <t>'84046'</t>
  </si>
  <si>
    <t>'84047'</t>
  </si>
  <si>
    <t>'84048'</t>
  </si>
  <si>
    <t>'84049'</t>
  </si>
  <si>
    <t>'84054'</t>
  </si>
  <si>
    <t>'84056'</t>
  </si>
  <si>
    <t>'84058'</t>
  </si>
  <si>
    <t>'84069'</t>
  </si>
  <si>
    <t>'84071'</t>
  </si>
  <si>
    <t>'84072'</t>
  </si>
  <si>
    <t>'84077'</t>
  </si>
  <si>
    <t>'84078'</t>
  </si>
  <si>
    <t>'84081'</t>
  </si>
  <si>
    <t>'84082'</t>
  </si>
  <si>
    <t>'84083'</t>
  </si>
  <si>
    <t>'84084'</t>
  </si>
  <si>
    <t>'84085'</t>
  </si>
  <si>
    <t>'84090'</t>
  </si>
  <si>
    <t>'84091'</t>
  </si>
  <si>
    <t>'84092'</t>
  </si>
  <si>
    <t>'84093'</t>
  </si>
  <si>
    <t>'84094'</t>
  </si>
  <si>
    <t>'84095'</t>
  </si>
  <si>
    <t>'84096'</t>
  </si>
  <si>
    <t>'84097'</t>
  </si>
  <si>
    <t>'84098'</t>
  </si>
  <si>
    <t>'84099'</t>
  </si>
  <si>
    <t>'84140'</t>
  </si>
  <si>
    <t>'84141'</t>
  </si>
  <si>
    <t>'84142'</t>
  </si>
  <si>
    <t>'84143'</t>
  </si>
  <si>
    <t>'84144'</t>
  </si>
  <si>
    <t>'84147'</t>
  </si>
  <si>
    <t>'84901'</t>
  </si>
  <si>
    <t>'84902'</t>
  </si>
  <si>
    <t>'84905'</t>
  </si>
  <si>
    <t>'84907'</t>
  </si>
  <si>
    <t>'84908'</t>
  </si>
  <si>
    <t>'84909'</t>
  </si>
  <si>
    <t>'84911'</t>
  </si>
  <si>
    <t>'84912'</t>
  </si>
  <si>
    <t>'84913'</t>
  </si>
  <si>
    <t>'84914'</t>
  </si>
  <si>
    <t>'84915'</t>
  </si>
  <si>
    <t>'84916'</t>
  </si>
  <si>
    <t>'84917'</t>
  </si>
  <si>
    <t>'84918'</t>
  </si>
  <si>
    <t>'84330'</t>
  </si>
  <si>
    <t>'84190'</t>
  </si>
  <si>
    <t>CA LUBERON MONTS DE VAUCLUSE</t>
  </si>
  <si>
    <t>'84220'</t>
  </si>
  <si>
    <t>'84340'</t>
  </si>
  <si>
    <t>'84370'</t>
  </si>
  <si>
    <t>'84410'</t>
  </si>
  <si>
    <t>COMMUNAUTE COMMUNES PAYS REUNI D'ORANGE</t>
  </si>
  <si>
    <t>'84860'</t>
  </si>
  <si>
    <t>'84200'</t>
  </si>
  <si>
    <t>'84201'</t>
  </si>
  <si>
    <t>'84202'</t>
  </si>
  <si>
    <t>'84203'</t>
  </si>
  <si>
    <t>'84204'</t>
  </si>
  <si>
    <t>'84205'</t>
  </si>
  <si>
    <t>'84206'</t>
  </si>
  <si>
    <t>'84208'</t>
  </si>
  <si>
    <t>'84972'</t>
  </si>
  <si>
    <t>'84271'</t>
  </si>
  <si>
    <t>'84276'</t>
  </si>
  <si>
    <t>'84510'</t>
  </si>
  <si>
    <t>'84300'</t>
  </si>
  <si>
    <t>'84301'</t>
  </si>
  <si>
    <t>'84302'</t>
  </si>
  <si>
    <t>'84303'</t>
  </si>
  <si>
    <t>'84304'</t>
  </si>
  <si>
    <t>'84305'</t>
  </si>
  <si>
    <t>'84306'</t>
  </si>
  <si>
    <t>'84307'</t>
  </si>
  <si>
    <t>'84951'</t>
  </si>
  <si>
    <t>'84952'</t>
  </si>
  <si>
    <t>'84953'</t>
  </si>
  <si>
    <t>'84954'</t>
  </si>
  <si>
    <t>'84956'</t>
  </si>
  <si>
    <t>'84230'</t>
  </si>
  <si>
    <t>'84231'</t>
  </si>
  <si>
    <t>'84232'</t>
  </si>
  <si>
    <t>'84460'</t>
  </si>
  <si>
    <t>'84350'</t>
  </si>
  <si>
    <t>'84272'</t>
  </si>
  <si>
    <t>'84275'</t>
  </si>
  <si>
    <t>'84320'</t>
  </si>
  <si>
    <t>'84450'</t>
  </si>
  <si>
    <t>'84101'</t>
  </si>
  <si>
    <t>'84150'</t>
  </si>
  <si>
    <t>'84800'</t>
  </si>
  <si>
    <t>'84802'</t>
  </si>
  <si>
    <t>'84803'</t>
  </si>
  <si>
    <t>'84808'</t>
  </si>
  <si>
    <t>'84360'</t>
  </si>
  <si>
    <t>'84870'</t>
  </si>
  <si>
    <t>'84160'</t>
  </si>
  <si>
    <t>'84660'</t>
  </si>
  <si>
    <t>'84380'</t>
  </si>
  <si>
    <t>'84170'</t>
  </si>
  <si>
    <t>'84207'</t>
  </si>
  <si>
    <t>'84310'</t>
  </si>
  <si>
    <t>'84580'</t>
  </si>
  <si>
    <t>'84100'</t>
  </si>
  <si>
    <t>'84102'</t>
  </si>
  <si>
    <t>'84103'</t>
  </si>
  <si>
    <t>'84104'</t>
  </si>
  <si>
    <t>'84105'</t>
  </si>
  <si>
    <t>'84106'</t>
  </si>
  <si>
    <t>'84107'</t>
  </si>
  <si>
    <t>'84108'</t>
  </si>
  <si>
    <t>'84872'</t>
  </si>
  <si>
    <t>'84873'</t>
  </si>
  <si>
    <t>'84874'</t>
  </si>
  <si>
    <t>'84120'</t>
  </si>
  <si>
    <t>'84121'</t>
  </si>
  <si>
    <t>'84122'</t>
  </si>
  <si>
    <t>'84123'</t>
  </si>
  <si>
    <t>'84124'</t>
  </si>
  <si>
    <t>'84130'</t>
  </si>
  <si>
    <t>'84131'</t>
  </si>
  <si>
    <t>'84132'</t>
  </si>
  <si>
    <t>'84133'</t>
  </si>
  <si>
    <t>'84134'</t>
  </si>
  <si>
    <t>'84440'</t>
  </si>
  <si>
    <t>'84260'</t>
  </si>
  <si>
    <t>'84700'</t>
  </si>
  <si>
    <t>'84701'</t>
  </si>
  <si>
    <t>'84702'</t>
  </si>
  <si>
    <t>'84703'</t>
  </si>
  <si>
    <t>'84704'</t>
  </si>
  <si>
    <t>'84705'</t>
  </si>
  <si>
    <t>'84706'</t>
  </si>
  <si>
    <t>'84308'</t>
  </si>
  <si>
    <t>'84270'</t>
  </si>
  <si>
    <t>'84277'</t>
  </si>
  <si>
    <t>'84278'</t>
  </si>
  <si>
    <t>'84740'</t>
  </si>
  <si>
    <t>LA ROCHE-SUR-YON AGGLOMERATION</t>
  </si>
  <si>
    <t>'85005'</t>
  </si>
  <si>
    <t>'85021'</t>
  </si>
  <si>
    <t>'85430'</t>
  </si>
  <si>
    <t>'85310'</t>
  </si>
  <si>
    <t>'85035'</t>
  </si>
  <si>
    <t>'85036'</t>
  </si>
  <si>
    <t>LES SABLES D'OLONNE AGGLOMERATION</t>
  </si>
  <si>
    <t>'85180'</t>
  </si>
  <si>
    <t>'85007'</t>
  </si>
  <si>
    <t>'85010'</t>
  </si>
  <si>
    <t>'85170'</t>
  </si>
  <si>
    <t>'85280'</t>
  </si>
  <si>
    <t>'85480'</t>
  </si>
  <si>
    <t>'85340'</t>
  </si>
  <si>
    <t>'85150'</t>
  </si>
  <si>
    <t>'85000'</t>
  </si>
  <si>
    <t>'85003'</t>
  </si>
  <si>
    <t>'85004'</t>
  </si>
  <si>
    <t>'85006'</t>
  </si>
  <si>
    <t>'85009'</t>
  </si>
  <si>
    <t>'85015'</t>
  </si>
  <si>
    <t>'85016'</t>
  </si>
  <si>
    <t>'85017'</t>
  </si>
  <si>
    <t>'85020'</t>
  </si>
  <si>
    <t>'85001'</t>
  </si>
  <si>
    <t>'85002'</t>
  </si>
  <si>
    <t>'85008'</t>
  </si>
  <si>
    <t>'85012'</t>
  </si>
  <si>
    <t>'85013'</t>
  </si>
  <si>
    <t>'85018'</t>
  </si>
  <si>
    <t>'85019'</t>
  </si>
  <si>
    <t>'85023'</t>
  </si>
  <si>
    <t>'85024'</t>
  </si>
  <si>
    <t>'85026'</t>
  </si>
  <si>
    <t>'85033'</t>
  </si>
  <si>
    <t>'85921'</t>
  </si>
  <si>
    <t>'85922'</t>
  </si>
  <si>
    <t>'85923'</t>
  </si>
  <si>
    <t>'85924'</t>
  </si>
  <si>
    <t>'85925'</t>
  </si>
  <si>
    <t>'85927'</t>
  </si>
  <si>
    <t>'85930'</t>
  </si>
  <si>
    <t>'85931'</t>
  </si>
  <si>
    <t>'85932'</t>
  </si>
  <si>
    <t>'85933'</t>
  </si>
  <si>
    <t>'85934'</t>
  </si>
  <si>
    <t>'85100'</t>
  </si>
  <si>
    <t>'85101'</t>
  </si>
  <si>
    <t>'85102'</t>
  </si>
  <si>
    <t>'85103'</t>
  </si>
  <si>
    <t>'85104'</t>
  </si>
  <si>
    <t>'85105'</t>
  </si>
  <si>
    <t>'85106'</t>
  </si>
  <si>
    <t>'85107'</t>
  </si>
  <si>
    <t>'85108'</t>
  </si>
  <si>
    <t>'85109'</t>
  </si>
  <si>
    <t>'85118'</t>
  </si>
  <si>
    <t>'85190'</t>
  </si>
  <si>
    <t>COMMUNAUTE D'AGGLOMERATION DU PAYS CHATELLERAUDAIS</t>
  </si>
  <si>
    <t>'86260'</t>
  </si>
  <si>
    <t>'86100'</t>
  </si>
  <si>
    <t>'86104'</t>
  </si>
  <si>
    <t>'86210'</t>
  </si>
  <si>
    <t>'86530'</t>
  </si>
  <si>
    <t>GRAND POITIERS COMMUNAUTE URBAINE</t>
  </si>
  <si>
    <t>'86130'</t>
  </si>
  <si>
    <t>'86131'</t>
  </si>
  <si>
    <t>'86490'</t>
  </si>
  <si>
    <t>'86190'</t>
  </si>
  <si>
    <t>'86060'</t>
  </si>
  <si>
    <t>'86062'</t>
  </si>
  <si>
    <t>'86580'</t>
  </si>
  <si>
    <t>'86800'</t>
  </si>
  <si>
    <t>'86300'</t>
  </si>
  <si>
    <t>'86012'</t>
  </si>
  <si>
    <t>'86180'</t>
  </si>
  <si>
    <t>'37160'</t>
  </si>
  <si>
    <t>'86600'</t>
  </si>
  <si>
    <t>'86101'</t>
  </si>
  <si>
    <t>'86140'</t>
  </si>
  <si>
    <t>'86133'</t>
  </si>
  <si>
    <t>'86360'</t>
  </si>
  <si>
    <t>'86361'</t>
  </si>
  <si>
    <t>'86362'</t>
  </si>
  <si>
    <t>'86961'</t>
  </si>
  <si>
    <t>'86962'</t>
  </si>
  <si>
    <t>'86963'</t>
  </si>
  <si>
    <t>'86980'</t>
  </si>
  <si>
    <t>'86102'</t>
  </si>
  <si>
    <t>'86103'</t>
  </si>
  <si>
    <t>'86105'</t>
  </si>
  <si>
    <t>'86106'</t>
  </si>
  <si>
    <t>'86107'</t>
  </si>
  <si>
    <t>'86108'</t>
  </si>
  <si>
    <t>'86117'</t>
  </si>
  <si>
    <t>'86450'</t>
  </si>
  <si>
    <t>'86270'</t>
  </si>
  <si>
    <t>'86240'</t>
  </si>
  <si>
    <t>'86220'</t>
  </si>
  <si>
    <t>'86134'</t>
  </si>
  <si>
    <t>'86132'</t>
  </si>
  <si>
    <t>'86138'</t>
  </si>
  <si>
    <t>'86380'</t>
  </si>
  <si>
    <t>'86230'</t>
  </si>
  <si>
    <t>'86066'</t>
  </si>
  <si>
    <t>'86550'</t>
  </si>
  <si>
    <t>'86061'</t>
  </si>
  <si>
    <t>'86440'</t>
  </si>
  <si>
    <t>'86000'</t>
  </si>
  <si>
    <t>'86001'</t>
  </si>
  <si>
    <t>'86002'</t>
  </si>
  <si>
    <t>'86003'</t>
  </si>
  <si>
    <t>'86004'</t>
  </si>
  <si>
    <t>'86005'</t>
  </si>
  <si>
    <t>'86006'</t>
  </si>
  <si>
    <t>'86007'</t>
  </si>
  <si>
    <t>'86008'</t>
  </si>
  <si>
    <t>'86009'</t>
  </si>
  <si>
    <t>'86010'</t>
  </si>
  <si>
    <t>'86011'</t>
  </si>
  <si>
    <t>'86020'</t>
  </si>
  <si>
    <t>'86021'</t>
  </si>
  <si>
    <t>'86022'</t>
  </si>
  <si>
    <t>'86023'</t>
  </si>
  <si>
    <t>'86029'</t>
  </si>
  <si>
    <t>'86030'</t>
  </si>
  <si>
    <t>'86034'</t>
  </si>
  <si>
    <t>'86035'</t>
  </si>
  <si>
    <t>'86036'</t>
  </si>
  <si>
    <t>'86038'</t>
  </si>
  <si>
    <t>'86042'</t>
  </si>
  <si>
    <t>'86043'</t>
  </si>
  <si>
    <t>'86044'</t>
  </si>
  <si>
    <t>'86046'</t>
  </si>
  <si>
    <t>'86047'</t>
  </si>
  <si>
    <t>'86065'</t>
  </si>
  <si>
    <t>'86067'</t>
  </si>
  <si>
    <t>'86068'</t>
  </si>
  <si>
    <t>'86071'</t>
  </si>
  <si>
    <t>'86072'</t>
  </si>
  <si>
    <t>'86073'</t>
  </si>
  <si>
    <t>'86082'</t>
  </si>
  <si>
    <t>'86610'</t>
  </si>
  <si>
    <t>'86480'</t>
  </si>
  <si>
    <t>'86280'</t>
  </si>
  <si>
    <t>'86281'</t>
  </si>
  <si>
    <t>'86282'</t>
  </si>
  <si>
    <t>'86289'</t>
  </si>
  <si>
    <t>'86135'</t>
  </si>
  <si>
    <t>'86136'</t>
  </si>
  <si>
    <t>'86540'</t>
  </si>
  <si>
    <t>COMMUNAUTE D'AGGLOMERATION DE LIMOGES METROPOLE</t>
  </si>
  <si>
    <t>'87220'</t>
  </si>
  <si>
    <t>'87003'</t>
  </si>
  <si>
    <t>'87221'</t>
  </si>
  <si>
    <t>'87223'</t>
  </si>
  <si>
    <t>'87070'</t>
  </si>
  <si>
    <t>'87270'</t>
  </si>
  <si>
    <t>'87001'</t>
  </si>
  <si>
    <t>'87004'</t>
  </si>
  <si>
    <t>'87920'</t>
  </si>
  <si>
    <t>'87009'</t>
  </si>
  <si>
    <t>'87015'</t>
  </si>
  <si>
    <t>'87016'</t>
  </si>
  <si>
    <t>'87038'</t>
  </si>
  <si>
    <t>'87222'</t>
  </si>
  <si>
    <t>'87052'</t>
  </si>
  <si>
    <t>'87054'</t>
  </si>
  <si>
    <t>'87170'</t>
  </si>
  <si>
    <t>'87000'</t>
  </si>
  <si>
    <t>'87002'</t>
  </si>
  <si>
    <t>'87005'</t>
  </si>
  <si>
    <t>'87006'</t>
  </si>
  <si>
    <t>'87007'</t>
  </si>
  <si>
    <t>'87008'</t>
  </si>
  <si>
    <t>'87010'</t>
  </si>
  <si>
    <t>'87011'</t>
  </si>
  <si>
    <t>'87012'</t>
  </si>
  <si>
    <t>'87013'</t>
  </si>
  <si>
    <t>'87014'</t>
  </si>
  <si>
    <t>'87017'</t>
  </si>
  <si>
    <t>'87020'</t>
  </si>
  <si>
    <t>'87021'</t>
  </si>
  <si>
    <t>'87022'</t>
  </si>
  <si>
    <t>'87023'</t>
  </si>
  <si>
    <t>'87025'</t>
  </si>
  <si>
    <t>'87026'</t>
  </si>
  <si>
    <t>'87030'</t>
  </si>
  <si>
    <t>'87031'</t>
  </si>
  <si>
    <t>'87032'</t>
  </si>
  <si>
    <t>'87033'</t>
  </si>
  <si>
    <t>'87036'</t>
  </si>
  <si>
    <t>'87037'</t>
  </si>
  <si>
    <t>'87039'</t>
  </si>
  <si>
    <t>'87040'</t>
  </si>
  <si>
    <t>'87041'</t>
  </si>
  <si>
    <t>'87042'</t>
  </si>
  <si>
    <t>'87043'</t>
  </si>
  <si>
    <t>'87044'</t>
  </si>
  <si>
    <t>'87045'</t>
  </si>
  <si>
    <t>'87046'</t>
  </si>
  <si>
    <t>'87047'</t>
  </si>
  <si>
    <t>'87048'</t>
  </si>
  <si>
    <t>'87050'</t>
  </si>
  <si>
    <t>'87051'</t>
  </si>
  <si>
    <t>'87053'</t>
  </si>
  <si>
    <t>'87055'</t>
  </si>
  <si>
    <t>'87056'</t>
  </si>
  <si>
    <t>'87058'</t>
  </si>
  <si>
    <t>'87060'</t>
  </si>
  <si>
    <t>'87061'</t>
  </si>
  <si>
    <t>'87065'</t>
  </si>
  <si>
    <t>'87067'</t>
  </si>
  <si>
    <t>'87068'</t>
  </si>
  <si>
    <t>'87069'</t>
  </si>
  <si>
    <t>'87071'</t>
  </si>
  <si>
    <t>'87073'</t>
  </si>
  <si>
    <t>'87074'</t>
  </si>
  <si>
    <t>'87082'</t>
  </si>
  <si>
    <t>'87084'</t>
  </si>
  <si>
    <t>'87089'</t>
  </si>
  <si>
    <t>'87090'</t>
  </si>
  <si>
    <t>'87100'</t>
  </si>
  <si>
    <t>'87280'</t>
  </si>
  <si>
    <t>'87900'</t>
  </si>
  <si>
    <t>'87950'</t>
  </si>
  <si>
    <t>'87410'</t>
  </si>
  <si>
    <t>'87350'</t>
  </si>
  <si>
    <t>'87510'</t>
  </si>
  <si>
    <t>'87570'</t>
  </si>
  <si>
    <t>'87590'</t>
  </si>
  <si>
    <t>'87110'</t>
  </si>
  <si>
    <t>'87430'</t>
  </si>
  <si>
    <t>'87520'</t>
  </si>
  <si>
    <t>'88110'</t>
  </si>
  <si>
    <t>'88650'</t>
  </si>
  <si>
    <t>COMMUNAUTE D'AGGLOMERATION D'EPINAL</t>
  </si>
  <si>
    <t>'88380'</t>
  </si>
  <si>
    <t>'88430'</t>
  </si>
  <si>
    <t>'88600'</t>
  </si>
  <si>
    <t>'88154'</t>
  </si>
  <si>
    <t>'88330'</t>
  </si>
  <si>
    <t>'88460'</t>
  </si>
  <si>
    <t>'88240'</t>
  </si>
  <si>
    <t>'88520'</t>
  </si>
  <si>
    <t>'88210'</t>
  </si>
  <si>
    <t>'88640'</t>
  </si>
  <si>
    <t>'88150'</t>
  </si>
  <si>
    <t>'88370'</t>
  </si>
  <si>
    <t>'88490'</t>
  </si>
  <si>
    <t>'88470'</t>
  </si>
  <si>
    <t>'88130'</t>
  </si>
  <si>
    <t>'88000'</t>
  </si>
  <si>
    <t>'88002'</t>
  </si>
  <si>
    <t>'88012'</t>
  </si>
  <si>
    <t>'88026'</t>
  </si>
  <si>
    <t>'88027'</t>
  </si>
  <si>
    <t>'88052'</t>
  </si>
  <si>
    <t>'88131'</t>
  </si>
  <si>
    <t>'88132'</t>
  </si>
  <si>
    <t>'88133'</t>
  </si>
  <si>
    <t>'88270'</t>
  </si>
  <si>
    <t>'88390'</t>
  </si>
  <si>
    <t>'88151'</t>
  </si>
  <si>
    <t>'88152'</t>
  </si>
  <si>
    <t>'88153'</t>
  </si>
  <si>
    <t>'88155'</t>
  </si>
  <si>
    <t>'88156'</t>
  </si>
  <si>
    <t>'88105'</t>
  </si>
  <si>
    <t>'88230'</t>
  </si>
  <si>
    <t>'88100'</t>
  </si>
  <si>
    <t>'88050'</t>
  </si>
  <si>
    <t>'88051'</t>
  </si>
  <si>
    <t>'88220'</t>
  </si>
  <si>
    <t>'88001'</t>
  </si>
  <si>
    <t>'88003'</t>
  </si>
  <si>
    <t>'88004'</t>
  </si>
  <si>
    <t>'88005'</t>
  </si>
  <si>
    <t>'88006'</t>
  </si>
  <si>
    <t>'88007'</t>
  </si>
  <si>
    <t>'88008'</t>
  </si>
  <si>
    <t>'88009'</t>
  </si>
  <si>
    <t>'88010'</t>
  </si>
  <si>
    <t>'88011'</t>
  </si>
  <si>
    <t>'88013'</t>
  </si>
  <si>
    <t>'88014'</t>
  </si>
  <si>
    <t>'88015'</t>
  </si>
  <si>
    <t>'88016'</t>
  </si>
  <si>
    <t>'88020'</t>
  </si>
  <si>
    <t>'88021'</t>
  </si>
  <si>
    <t>'88025'</t>
  </si>
  <si>
    <t>'88033'</t>
  </si>
  <si>
    <t>'88060'</t>
  </si>
  <si>
    <t>'88084'</t>
  </si>
  <si>
    <t>'88085'</t>
  </si>
  <si>
    <t>'88086'</t>
  </si>
  <si>
    <t>'88088'</t>
  </si>
  <si>
    <t>'88089'</t>
  </si>
  <si>
    <t>'88480'</t>
  </si>
  <si>
    <t>'88440'</t>
  </si>
  <si>
    <t>'88190'</t>
  </si>
  <si>
    <t>'88191'</t>
  </si>
  <si>
    <t>'88192'</t>
  </si>
  <si>
    <t>'88194'</t>
  </si>
  <si>
    <t>'88195'</t>
  </si>
  <si>
    <t>'88198'</t>
  </si>
  <si>
    <t>'88550'</t>
  </si>
  <si>
    <t>'88420'</t>
  </si>
  <si>
    <t>'88700'</t>
  </si>
  <si>
    <t>'88102'</t>
  </si>
  <si>
    <t>'88101'</t>
  </si>
  <si>
    <t>'88103'</t>
  </si>
  <si>
    <t>'88104'</t>
  </si>
  <si>
    <t>'88106'</t>
  </si>
  <si>
    <t>'88107'</t>
  </si>
  <si>
    <t>'88108'</t>
  </si>
  <si>
    <t>'88187'</t>
  </si>
  <si>
    <t>'88580'</t>
  </si>
  <si>
    <t>'88450'</t>
  </si>
  <si>
    <t>COMMUNAUTE D'AGGLOMERATION DE L'AUXERROIS</t>
  </si>
  <si>
    <t>'89380'</t>
  </si>
  <si>
    <t>COMMUNAUTE DE COMMUNES DU SENONAIS</t>
  </si>
  <si>
    <t>'89500'</t>
  </si>
  <si>
    <t>'89290'</t>
  </si>
  <si>
    <t>'89000'</t>
  </si>
  <si>
    <t>'89002'</t>
  </si>
  <si>
    <t>'89003'</t>
  </si>
  <si>
    <t>'89004'</t>
  </si>
  <si>
    <t>'89005'</t>
  </si>
  <si>
    <t>'89006'</t>
  </si>
  <si>
    <t>'89007'</t>
  </si>
  <si>
    <t>'89010'</t>
  </si>
  <si>
    <t>'89011'</t>
  </si>
  <si>
    <t>'89012'</t>
  </si>
  <si>
    <t>'89015'</t>
  </si>
  <si>
    <t>'89016'</t>
  </si>
  <si>
    <t>'89020'</t>
  </si>
  <si>
    <t>'89021'</t>
  </si>
  <si>
    <t>'89023'</t>
  </si>
  <si>
    <t>'89024'</t>
  </si>
  <si>
    <t>'89025'</t>
  </si>
  <si>
    <t>'89026'</t>
  </si>
  <si>
    <t>'89027'</t>
  </si>
  <si>
    <t>'89028'</t>
  </si>
  <si>
    <t>'89089'</t>
  </si>
  <si>
    <t>'89230'</t>
  </si>
  <si>
    <t>'89113'</t>
  </si>
  <si>
    <t>'89240'</t>
  </si>
  <si>
    <t>'89530'</t>
  </si>
  <si>
    <t>'89100'</t>
  </si>
  <si>
    <t>'89580'</t>
  </si>
  <si>
    <t>'89104'</t>
  </si>
  <si>
    <t>'89106'</t>
  </si>
  <si>
    <t>'89510'</t>
  </si>
  <si>
    <t>'89101'</t>
  </si>
  <si>
    <t>'89001'</t>
  </si>
  <si>
    <t>'89103'</t>
  </si>
  <si>
    <t>'89107'</t>
  </si>
  <si>
    <t>'89250'</t>
  </si>
  <si>
    <t>'89102'</t>
  </si>
  <si>
    <t>'89105'</t>
  </si>
  <si>
    <t>'89470'</t>
  </si>
  <si>
    <t>'89320'</t>
  </si>
  <si>
    <t>'89108'</t>
  </si>
  <si>
    <t>'89515'</t>
  </si>
  <si>
    <t>'89260'</t>
  </si>
  <si>
    <t>SMT TERRITOIRE DE BELFORT</t>
  </si>
  <si>
    <t>'90400'</t>
  </si>
  <si>
    <t>'90150'</t>
  </si>
  <si>
    <t>'90170'</t>
  </si>
  <si>
    <t>'90800'</t>
  </si>
  <si>
    <t>'90006'</t>
  </si>
  <si>
    <t>'90200'</t>
  </si>
  <si>
    <t>'90500'</t>
  </si>
  <si>
    <t>'90000'</t>
  </si>
  <si>
    <t>'90001'</t>
  </si>
  <si>
    <t>'90002'</t>
  </si>
  <si>
    <t>'90003'</t>
  </si>
  <si>
    <t>'90004'</t>
  </si>
  <si>
    <t>'90005'</t>
  </si>
  <si>
    <t>'90007'</t>
  </si>
  <si>
    <t>'90008'</t>
  </si>
  <si>
    <t>'90009'</t>
  </si>
  <si>
    <t>'90010'</t>
  </si>
  <si>
    <t>'90012'</t>
  </si>
  <si>
    <t>'90013'</t>
  </si>
  <si>
    <t>'90014'</t>
  </si>
  <si>
    <t>'90016'</t>
  </si>
  <si>
    <t>'90018'</t>
  </si>
  <si>
    <t>'90019'</t>
  </si>
  <si>
    <t>'90020'</t>
  </si>
  <si>
    <t>'90021'</t>
  </si>
  <si>
    <t>'90022'</t>
  </si>
  <si>
    <t>'90025'</t>
  </si>
  <si>
    <t>'90040'</t>
  </si>
  <si>
    <t>'90101'</t>
  </si>
  <si>
    <t>'90160'</t>
  </si>
  <si>
    <t>'90100'</t>
  </si>
  <si>
    <t>'90110'</t>
  </si>
  <si>
    <t>'90140'</t>
  </si>
  <si>
    <t>'90130'</t>
  </si>
  <si>
    <t>'90700'</t>
  </si>
  <si>
    <t>'90330'</t>
  </si>
  <si>
    <t>'90340'</t>
  </si>
  <si>
    <t>'90300'</t>
  </si>
  <si>
    <t>'90023'</t>
  </si>
  <si>
    <t>'90850'</t>
  </si>
  <si>
    <t>'90350'</t>
  </si>
  <si>
    <t>'90600'</t>
  </si>
  <si>
    <t>'90360'</t>
  </si>
  <si>
    <t>'90120'</t>
  </si>
  <si>
    <t>'90370'</t>
  </si>
  <si>
    <t>'90380'</t>
  </si>
  <si>
    <t>'90015'</t>
  </si>
  <si>
    <t>'91150'</t>
  </si>
  <si>
    <t>'91151'</t>
  </si>
  <si>
    <t>'91670'</t>
  </si>
  <si>
    <t>'91470'</t>
  </si>
  <si>
    <t>'91290'</t>
  </si>
  <si>
    <t>'91291'</t>
  </si>
  <si>
    <t>'91292'</t>
  </si>
  <si>
    <t>'91294'</t>
  </si>
  <si>
    <t>'91295'</t>
  </si>
  <si>
    <t>'91296'</t>
  </si>
  <si>
    <t>'91298'</t>
  </si>
  <si>
    <t>'91690'</t>
  </si>
  <si>
    <t>'91200'</t>
  </si>
  <si>
    <t>'91201'</t>
  </si>
  <si>
    <t>'91204'</t>
  </si>
  <si>
    <t>'91205'</t>
  </si>
  <si>
    <t>'91261'</t>
  </si>
  <si>
    <t>'91410'</t>
  </si>
  <si>
    <t>'91830'</t>
  </si>
  <si>
    <t>'91580'</t>
  </si>
  <si>
    <t>'91630'</t>
  </si>
  <si>
    <t>'91160'</t>
  </si>
  <si>
    <t>'91161'</t>
  </si>
  <si>
    <t>'91162'</t>
  </si>
  <si>
    <t>'91163'</t>
  </si>
  <si>
    <t>'91165'</t>
  </si>
  <si>
    <t>'91610'</t>
  </si>
  <si>
    <t>'91590'</t>
  </si>
  <si>
    <t>'91570'</t>
  </si>
  <si>
    <t>'91571'</t>
  </si>
  <si>
    <t>'91572'</t>
  </si>
  <si>
    <t>'91573'</t>
  </si>
  <si>
    <t>'91720'</t>
  </si>
  <si>
    <t>'91870'</t>
  </si>
  <si>
    <t>'91790'</t>
  </si>
  <si>
    <t>'91049'</t>
  </si>
  <si>
    <t>'91070'</t>
  </si>
  <si>
    <t>'91071'</t>
  </si>
  <si>
    <t>'91072'</t>
  </si>
  <si>
    <t>'91074'</t>
  </si>
  <si>
    <t>'91078'</t>
  </si>
  <si>
    <t>'91912'</t>
  </si>
  <si>
    <t>'91919'</t>
  </si>
  <si>
    <t>'91921'</t>
  </si>
  <si>
    <t>'91922'</t>
  </si>
  <si>
    <t>'91923'</t>
  </si>
  <si>
    <t>'91924'</t>
  </si>
  <si>
    <t>'91850'</t>
  </si>
  <si>
    <t>'91800'</t>
  </si>
  <si>
    <t>'91801'</t>
  </si>
  <si>
    <t>'91820'</t>
  </si>
  <si>
    <t>'91880'</t>
  </si>
  <si>
    <t>'91220'</t>
  </si>
  <si>
    <t>'91221'</t>
  </si>
  <si>
    <t>'91222'</t>
  </si>
  <si>
    <t>'91223'</t>
  </si>
  <si>
    <t>'91224'</t>
  </si>
  <si>
    <t>'91226'</t>
  </si>
  <si>
    <t>'91227'</t>
  </si>
  <si>
    <t>'91650'</t>
  </si>
  <si>
    <t>'91153'</t>
  </si>
  <si>
    <t>'91154'</t>
  </si>
  <si>
    <t>'91640'</t>
  </si>
  <si>
    <t>'91805'</t>
  </si>
  <si>
    <t>'91297'</t>
  </si>
  <si>
    <t>'91680'</t>
  </si>
  <si>
    <t>'91401'</t>
  </si>
  <si>
    <t>'91407'</t>
  </si>
  <si>
    <t>'91440'</t>
  </si>
  <si>
    <t>'91893'</t>
  </si>
  <si>
    <t>'91780'</t>
  </si>
  <si>
    <t>'91740'</t>
  </si>
  <si>
    <t>'91730'</t>
  </si>
  <si>
    <t>'91750'</t>
  </si>
  <si>
    <t>'91164'</t>
  </si>
  <si>
    <t>'91380'</t>
  </si>
  <si>
    <t>'91381'</t>
  </si>
  <si>
    <t>'91382'</t>
  </si>
  <si>
    <t>'91383'</t>
  </si>
  <si>
    <t>'91385'</t>
  </si>
  <si>
    <t>'91388'</t>
  </si>
  <si>
    <t>'91781'</t>
  </si>
  <si>
    <t>'91873'</t>
  </si>
  <si>
    <t>'91100'</t>
  </si>
  <si>
    <t>'91101'</t>
  </si>
  <si>
    <t>'91102'</t>
  </si>
  <si>
    <t>'91103'</t>
  </si>
  <si>
    <t>'91104'</t>
  </si>
  <si>
    <t>'91105'</t>
  </si>
  <si>
    <t>'91106'</t>
  </si>
  <si>
    <t>'91107'</t>
  </si>
  <si>
    <t>'91108'</t>
  </si>
  <si>
    <t>'91811'</t>
  </si>
  <si>
    <t>'91813'</t>
  </si>
  <si>
    <t>'91814'</t>
  </si>
  <si>
    <t>'91412'</t>
  </si>
  <si>
    <t>'91490'</t>
  </si>
  <si>
    <t>'91002'</t>
  </si>
  <si>
    <t>'91003'</t>
  </si>
  <si>
    <t>'91004'</t>
  </si>
  <si>
    <t>'91005'</t>
  </si>
  <si>
    <t>'91006'</t>
  </si>
  <si>
    <t>'91007'</t>
  </si>
  <si>
    <t>'91008'</t>
  </si>
  <si>
    <t>'91009'</t>
  </si>
  <si>
    <t>'91011'</t>
  </si>
  <si>
    <t>'91012'</t>
  </si>
  <si>
    <t>'91014'</t>
  </si>
  <si>
    <t>'91019'</t>
  </si>
  <si>
    <t>'91020'</t>
  </si>
  <si>
    <t>'91021'</t>
  </si>
  <si>
    <t>'91023'</t>
  </si>
  <si>
    <t>'91024'</t>
  </si>
  <si>
    <t>'91026'</t>
  </si>
  <si>
    <t>'91031'</t>
  </si>
  <si>
    <t>'91032'</t>
  </si>
  <si>
    <t>'91042'</t>
  </si>
  <si>
    <t>'91045'</t>
  </si>
  <si>
    <t>'91051'</t>
  </si>
  <si>
    <t>'91054'</t>
  </si>
  <si>
    <t>'91055'</t>
  </si>
  <si>
    <t>'91080'</t>
  </si>
  <si>
    <t>'91331'</t>
  </si>
  <si>
    <t>'91332'</t>
  </si>
  <si>
    <t>'91333'</t>
  </si>
  <si>
    <t>'91334'</t>
  </si>
  <si>
    <t>'91560'</t>
  </si>
  <si>
    <t>'91415'</t>
  </si>
  <si>
    <t>'91417'</t>
  </si>
  <si>
    <t>'91418'</t>
  </si>
  <si>
    <t>'91210'</t>
  </si>
  <si>
    <t>'91211'</t>
  </si>
  <si>
    <t>'91214'</t>
  </si>
  <si>
    <t>'91540'</t>
  </si>
  <si>
    <t>'91520'</t>
  </si>
  <si>
    <t>'91860'</t>
  </si>
  <si>
    <t>'91861'</t>
  </si>
  <si>
    <t>'91360'</t>
  </si>
  <si>
    <t>'91660'</t>
  </si>
  <si>
    <t>'91152'</t>
  </si>
  <si>
    <t>'91156'</t>
  </si>
  <si>
    <t>'91157'</t>
  </si>
  <si>
    <t>'91158'</t>
  </si>
  <si>
    <t>'91450'</t>
  </si>
  <si>
    <t>'91000'</t>
  </si>
  <si>
    <t>'91001'</t>
  </si>
  <si>
    <t>'91010'</t>
  </si>
  <si>
    <t>'91013'</t>
  </si>
  <si>
    <t>'91022'</t>
  </si>
  <si>
    <t>'91025'</t>
  </si>
  <si>
    <t>'91028'</t>
  </si>
  <si>
    <t>'91030'</t>
  </si>
  <si>
    <t>'91033'</t>
  </si>
  <si>
    <t>'91034'</t>
  </si>
  <si>
    <t>'91035'</t>
  </si>
  <si>
    <t>'91036'</t>
  </si>
  <si>
    <t>'91037'</t>
  </si>
  <si>
    <t>'91038'</t>
  </si>
  <si>
    <t>'91039'</t>
  </si>
  <si>
    <t>'91040'</t>
  </si>
  <si>
    <t>'91043'</t>
  </si>
  <si>
    <t>'91050'</t>
  </si>
  <si>
    <t>'91053'</t>
  </si>
  <si>
    <t>'91057'</t>
  </si>
  <si>
    <t>'91058'</t>
  </si>
  <si>
    <t>'91700'</t>
  </si>
  <si>
    <t>'91702'</t>
  </si>
  <si>
    <t>'91704'</t>
  </si>
  <si>
    <t>'91705'</t>
  </si>
  <si>
    <t>'91707'</t>
  </si>
  <si>
    <t>'91712'</t>
  </si>
  <si>
    <t>'91949'</t>
  </si>
  <si>
    <t>'91541'</t>
  </si>
  <si>
    <t>'91411'</t>
  </si>
  <si>
    <t>'91190'</t>
  </si>
  <si>
    <t>'91192'</t>
  </si>
  <si>
    <t>'91193'</t>
  </si>
  <si>
    <t>'91195'</t>
  </si>
  <si>
    <t>'91196'</t>
  </si>
  <si>
    <t>'91198'</t>
  </si>
  <si>
    <t>'91400'</t>
  </si>
  <si>
    <t>'91940'</t>
  </si>
  <si>
    <t>'91131'</t>
  </si>
  <si>
    <t>'91350'</t>
  </si>
  <si>
    <t>'91351'</t>
  </si>
  <si>
    <t>'91353'</t>
  </si>
  <si>
    <t>'91354'</t>
  </si>
  <si>
    <t>'91355'</t>
  </si>
  <si>
    <t>'91430'</t>
  </si>
  <si>
    <t>'91760'</t>
  </si>
  <si>
    <t>'91510'</t>
  </si>
  <si>
    <t>'91260'</t>
  </si>
  <si>
    <t>'91263'</t>
  </si>
  <si>
    <t>'91265'</t>
  </si>
  <si>
    <t>'91268'</t>
  </si>
  <si>
    <t>'91310'</t>
  </si>
  <si>
    <t>'91311'</t>
  </si>
  <si>
    <t>'91312'</t>
  </si>
  <si>
    <t>'91315'</t>
  </si>
  <si>
    <t>'91015'</t>
  </si>
  <si>
    <t>'91017'</t>
  </si>
  <si>
    <t>'91018'</t>
  </si>
  <si>
    <t>'91027'</t>
  </si>
  <si>
    <t>'91029'</t>
  </si>
  <si>
    <t>'91044'</t>
  </si>
  <si>
    <t>'91047'</t>
  </si>
  <si>
    <t>'91048'</t>
  </si>
  <si>
    <t>'91052'</t>
  </si>
  <si>
    <t>'91056'</t>
  </si>
  <si>
    <t>'91090'</t>
  </si>
  <si>
    <t>'91166'</t>
  </si>
  <si>
    <t>'91697'</t>
  </si>
  <si>
    <t>'91982'</t>
  </si>
  <si>
    <t>'91460'</t>
  </si>
  <si>
    <t>'91461'</t>
  </si>
  <si>
    <t>'91462'</t>
  </si>
  <si>
    <t>'91463'</t>
  </si>
  <si>
    <t>'91300'</t>
  </si>
  <si>
    <t>'91301'</t>
  </si>
  <si>
    <t>'91302'</t>
  </si>
  <si>
    <t>'91303'</t>
  </si>
  <si>
    <t>'91305'</t>
  </si>
  <si>
    <t>'91307'</t>
  </si>
  <si>
    <t>'91323'</t>
  </si>
  <si>
    <t>'91325'</t>
  </si>
  <si>
    <t>'91341'</t>
  </si>
  <si>
    <t>'91342'</t>
  </si>
  <si>
    <t>'91343'</t>
  </si>
  <si>
    <t>'91344'</t>
  </si>
  <si>
    <t>'91345'</t>
  </si>
  <si>
    <t>'91346'</t>
  </si>
  <si>
    <t>'91348'</t>
  </si>
  <si>
    <t>'91349'</t>
  </si>
  <si>
    <t>'91741'</t>
  </si>
  <si>
    <t>'91742'</t>
  </si>
  <si>
    <t>'91743'</t>
  </si>
  <si>
    <t>'91744'</t>
  </si>
  <si>
    <t>'91745'</t>
  </si>
  <si>
    <t>'91746'</t>
  </si>
  <si>
    <t>'91747'</t>
  </si>
  <si>
    <t>'91748'</t>
  </si>
  <si>
    <t>'91749'</t>
  </si>
  <si>
    <t>'91881'</t>
  </si>
  <si>
    <t>'91882'</t>
  </si>
  <si>
    <t>'91883'</t>
  </si>
  <si>
    <t>'91884'</t>
  </si>
  <si>
    <t>'91885'</t>
  </si>
  <si>
    <t>'91886'</t>
  </si>
  <si>
    <t>'91887'</t>
  </si>
  <si>
    <t>'91984'</t>
  </si>
  <si>
    <t>'91542'</t>
  </si>
  <si>
    <t>'91930'</t>
  </si>
  <si>
    <t>'91230'</t>
  </si>
  <si>
    <t>'91335'</t>
  </si>
  <si>
    <t>'91420'</t>
  </si>
  <si>
    <t>'91421'</t>
  </si>
  <si>
    <t>'91422'</t>
  </si>
  <si>
    <t>'91423'</t>
  </si>
  <si>
    <t>'91424'</t>
  </si>
  <si>
    <t>'91426'</t>
  </si>
  <si>
    <t>'91390'</t>
  </si>
  <si>
    <t>'91250'</t>
  </si>
  <si>
    <t>'91620'</t>
  </si>
  <si>
    <t>'91625'</t>
  </si>
  <si>
    <t>'91340'</t>
  </si>
  <si>
    <t>'91125'</t>
  </si>
  <si>
    <t>'91402'</t>
  </si>
  <si>
    <t>'91403'</t>
  </si>
  <si>
    <t>'91405'</t>
  </si>
  <si>
    <t>'91406'</t>
  </si>
  <si>
    <t>'91898'</t>
  </si>
  <si>
    <t>'91899'</t>
  </si>
  <si>
    <t>'91120'</t>
  </si>
  <si>
    <t>'91122'</t>
  </si>
  <si>
    <t>'91123'</t>
  </si>
  <si>
    <t>'91127'</t>
  </si>
  <si>
    <t>'91128'</t>
  </si>
  <si>
    <t>'91761'</t>
  </si>
  <si>
    <t>'91762'</t>
  </si>
  <si>
    <t>'91764'</t>
  </si>
  <si>
    <t>'91765'</t>
  </si>
  <si>
    <t>'91766'</t>
  </si>
  <si>
    <t>'91767'</t>
  </si>
  <si>
    <t>'91874'</t>
  </si>
  <si>
    <t>'91875'</t>
  </si>
  <si>
    <t>'91878'</t>
  </si>
  <si>
    <t>'91550'</t>
  </si>
  <si>
    <t>'91551'</t>
  </si>
  <si>
    <t>'94390'</t>
  </si>
  <si>
    <t>'94391'</t>
  </si>
  <si>
    <t>'94392'</t>
  </si>
  <si>
    <t>'94393'</t>
  </si>
  <si>
    <t>'94394'</t>
  </si>
  <si>
    <t>'94396'</t>
  </si>
  <si>
    <t>'94398'</t>
  </si>
  <si>
    <t>'94399'</t>
  </si>
  <si>
    <t>'94541'</t>
  </si>
  <si>
    <t>'94542'</t>
  </si>
  <si>
    <t>'94543'</t>
  </si>
  <si>
    <t>'94544'</t>
  </si>
  <si>
    <t>'94546'</t>
  </si>
  <si>
    <t>'94547'</t>
  </si>
  <si>
    <t>'94548'</t>
  </si>
  <si>
    <t>'94549'</t>
  </si>
  <si>
    <t>'94551'</t>
  </si>
  <si>
    <t>'91229'</t>
  </si>
  <si>
    <t>'91480'</t>
  </si>
  <si>
    <t>'91130'</t>
  </si>
  <si>
    <t>'91132'</t>
  </si>
  <si>
    <t>'91133'</t>
  </si>
  <si>
    <t>'91136'</t>
  </si>
  <si>
    <t>'91137'</t>
  </si>
  <si>
    <t>'91892'</t>
  </si>
  <si>
    <t>'91895'</t>
  </si>
  <si>
    <t>'91191'</t>
  </si>
  <si>
    <t>'91194'</t>
  </si>
  <si>
    <t>'91530'</t>
  </si>
  <si>
    <t>'91701'</t>
  </si>
  <si>
    <t>'91703'</t>
  </si>
  <si>
    <t>'91706'</t>
  </si>
  <si>
    <t>'91708'</t>
  </si>
  <si>
    <t>'91180'</t>
  </si>
  <si>
    <t>'91240'</t>
  </si>
  <si>
    <t>'91241'</t>
  </si>
  <si>
    <t>'91242'</t>
  </si>
  <si>
    <t>'91280'</t>
  </si>
  <si>
    <t>'91910'</t>
  </si>
  <si>
    <t>'91770'</t>
  </si>
  <si>
    <t>'91600'</t>
  </si>
  <si>
    <t>'91601'</t>
  </si>
  <si>
    <t>'91602'</t>
  </si>
  <si>
    <t>'91605'</t>
  </si>
  <si>
    <t>'91840'</t>
  </si>
  <si>
    <t>'91370'</t>
  </si>
  <si>
    <t>'91371'</t>
  </si>
  <si>
    <t>'91374'</t>
  </si>
  <si>
    <t>'91810'</t>
  </si>
  <si>
    <t>'91710'</t>
  </si>
  <si>
    <t>'91890'</t>
  </si>
  <si>
    <t>'91270'</t>
  </si>
  <si>
    <t>'91140'</t>
  </si>
  <si>
    <t>'91141'</t>
  </si>
  <si>
    <t>'91941'</t>
  </si>
  <si>
    <t>'91942'</t>
  </si>
  <si>
    <t>'91943'</t>
  </si>
  <si>
    <t>'91944'</t>
  </si>
  <si>
    <t>'91945'</t>
  </si>
  <si>
    <t>'91946'</t>
  </si>
  <si>
    <t>'91948'</t>
  </si>
  <si>
    <t>'91951'</t>
  </si>
  <si>
    <t>'91952'</t>
  </si>
  <si>
    <t>'91953'</t>
  </si>
  <si>
    <t>'91959'</t>
  </si>
  <si>
    <t>'91961'</t>
  </si>
  <si>
    <t>'91962'</t>
  </si>
  <si>
    <t>'91963'</t>
  </si>
  <si>
    <t>'91965'</t>
  </si>
  <si>
    <t>'91966'</t>
  </si>
  <si>
    <t>'91968'</t>
  </si>
  <si>
    <t>'91971'</t>
  </si>
  <si>
    <t>'91972'</t>
  </si>
  <si>
    <t>'91973'</t>
  </si>
  <si>
    <t>'91976'</t>
  </si>
  <si>
    <t>'91978'</t>
  </si>
  <si>
    <t>'91969'</t>
  </si>
  <si>
    <t>'91170'</t>
  </si>
  <si>
    <t>'91171'</t>
  </si>
  <si>
    <t>'91172'</t>
  </si>
  <si>
    <t>'91177'</t>
  </si>
  <si>
    <t>'91178'</t>
  </si>
  <si>
    <t>'91179'</t>
  </si>
  <si>
    <t>'91320'</t>
  </si>
  <si>
    <t>'91321'</t>
  </si>
  <si>
    <t>'91322'</t>
  </si>
  <si>
    <t>'91328'</t>
  </si>
  <si>
    <t>'91735'</t>
  </si>
  <si>
    <t>'91782'</t>
  </si>
  <si>
    <t>'91330'</t>
  </si>
  <si>
    <t>'91947'</t>
  </si>
  <si>
    <t>'91955'</t>
  </si>
  <si>
    <t>'91958'</t>
  </si>
  <si>
    <t>'91967'</t>
  </si>
  <si>
    <t>'91974'</t>
  </si>
  <si>
    <t>'91977'</t>
  </si>
  <si>
    <t>'92160'</t>
  </si>
  <si>
    <t>'92161'</t>
  </si>
  <si>
    <t>'92162'</t>
  </si>
  <si>
    <t>'92163'</t>
  </si>
  <si>
    <t>'92164'</t>
  </si>
  <si>
    <t>'92165'</t>
  </si>
  <si>
    <t>'92166'</t>
  </si>
  <si>
    <t>'92167'</t>
  </si>
  <si>
    <t>'92168'</t>
  </si>
  <si>
    <t>'92182'</t>
  </si>
  <si>
    <t>'92183'</t>
  </si>
  <si>
    <t>'92184'</t>
  </si>
  <si>
    <t>'92185'</t>
  </si>
  <si>
    <t>'92186'</t>
  </si>
  <si>
    <t>'92188'</t>
  </si>
  <si>
    <t>'92761'</t>
  </si>
  <si>
    <t>'92762'</t>
  </si>
  <si>
    <t>'92763'</t>
  </si>
  <si>
    <t>'92768'</t>
  </si>
  <si>
    <t>'92600'</t>
  </si>
  <si>
    <t>'92601'</t>
  </si>
  <si>
    <t>'92602'</t>
  </si>
  <si>
    <t>'92603'</t>
  </si>
  <si>
    <t>'92604'</t>
  </si>
  <si>
    <t>'92605'</t>
  </si>
  <si>
    <t>'92606'</t>
  </si>
  <si>
    <t>'92607'</t>
  </si>
  <si>
    <t>'92665'</t>
  </si>
  <si>
    <t>'92220'</t>
  </si>
  <si>
    <t>'92221'</t>
  </si>
  <si>
    <t>'92222'</t>
  </si>
  <si>
    <t>'92223'</t>
  </si>
  <si>
    <t>'92224'</t>
  </si>
  <si>
    <t>'92225'</t>
  </si>
  <si>
    <t>'92226'</t>
  </si>
  <si>
    <t>'92227'</t>
  </si>
  <si>
    <t>'92228'</t>
  </si>
  <si>
    <t>'92321'</t>
  </si>
  <si>
    <t>'92542'</t>
  </si>
  <si>
    <t>'92270'</t>
  </si>
  <si>
    <t>'92271'</t>
  </si>
  <si>
    <t>'92272'</t>
  </si>
  <si>
    <t>'92273'</t>
  </si>
  <si>
    <t>'92274'</t>
  </si>
  <si>
    <t>'92275'</t>
  </si>
  <si>
    <t>'92276'</t>
  </si>
  <si>
    <t>'92277'</t>
  </si>
  <si>
    <t>'92279'</t>
  </si>
  <si>
    <t>'92777'</t>
  </si>
  <si>
    <t>'95527'</t>
  </si>
  <si>
    <t>'92100'</t>
  </si>
  <si>
    <t>'92101'</t>
  </si>
  <si>
    <t>'92102'</t>
  </si>
  <si>
    <t>'92103'</t>
  </si>
  <si>
    <t>'92104'</t>
  </si>
  <si>
    <t>'92105'</t>
  </si>
  <si>
    <t>'92106'</t>
  </si>
  <si>
    <t>'92107'</t>
  </si>
  <si>
    <t>'92108'</t>
  </si>
  <si>
    <t>'92109'</t>
  </si>
  <si>
    <t>'92511'</t>
  </si>
  <si>
    <t>'92513'</t>
  </si>
  <si>
    <t>'92514'</t>
  </si>
  <si>
    <t>'92515'</t>
  </si>
  <si>
    <t>'92516'</t>
  </si>
  <si>
    <t>'92517'</t>
  </si>
  <si>
    <t>'92518'</t>
  </si>
  <si>
    <t>'92614'</t>
  </si>
  <si>
    <t>'92641'</t>
  </si>
  <si>
    <t>'92642'</t>
  </si>
  <si>
    <t>'92643'</t>
  </si>
  <si>
    <t>'92644'</t>
  </si>
  <si>
    <t>'92645'</t>
  </si>
  <si>
    <t>'92649'</t>
  </si>
  <si>
    <t>'92650'</t>
  </si>
  <si>
    <t>'92651'</t>
  </si>
  <si>
    <t>'92652'</t>
  </si>
  <si>
    <t>'92653'</t>
  </si>
  <si>
    <t>'92654'</t>
  </si>
  <si>
    <t>'92655'</t>
  </si>
  <si>
    <t>'92656'</t>
  </si>
  <si>
    <t>'92658'</t>
  </si>
  <si>
    <t>'92659'</t>
  </si>
  <si>
    <t>'92660'</t>
  </si>
  <si>
    <t>'92771'</t>
  </si>
  <si>
    <t>'92772'</t>
  </si>
  <si>
    <t>'92773'</t>
  </si>
  <si>
    <t>'92774'</t>
  </si>
  <si>
    <t>'92776'</t>
  </si>
  <si>
    <t>'92778'</t>
  </si>
  <si>
    <t>'92779'</t>
  </si>
  <si>
    <t>'92340'</t>
  </si>
  <si>
    <t>'92341'</t>
  </si>
  <si>
    <t>'92342'</t>
  </si>
  <si>
    <t>'94204'</t>
  </si>
  <si>
    <t>'92290'</t>
  </si>
  <si>
    <t>'92291'</t>
  </si>
  <si>
    <t>'92292'</t>
  </si>
  <si>
    <t>'92293'</t>
  </si>
  <si>
    <t>'92295'</t>
  </si>
  <si>
    <t>'92296'</t>
  </si>
  <si>
    <t>'92297'</t>
  </si>
  <si>
    <t>'92298'</t>
  </si>
  <si>
    <t>'92320'</t>
  </si>
  <si>
    <t>'92322'</t>
  </si>
  <si>
    <t>'92323'</t>
  </si>
  <si>
    <t>'92324'</t>
  </si>
  <si>
    <t>'92325'</t>
  </si>
  <si>
    <t>'92326'</t>
  </si>
  <si>
    <t>'92327'</t>
  </si>
  <si>
    <t>'92438'</t>
  </si>
  <si>
    <t>'92370'</t>
  </si>
  <si>
    <t>'92371'</t>
  </si>
  <si>
    <t>'92372'</t>
  </si>
  <si>
    <t>'92379'</t>
  </si>
  <si>
    <t>'92140'</t>
  </si>
  <si>
    <t>'92141'</t>
  </si>
  <si>
    <t>'92142'</t>
  </si>
  <si>
    <t>'92143'</t>
  </si>
  <si>
    <t>'92144'</t>
  </si>
  <si>
    <t>'92145'</t>
  </si>
  <si>
    <t>'92146'</t>
  </si>
  <si>
    <t>'92147'</t>
  </si>
  <si>
    <t>'92148'</t>
  </si>
  <si>
    <t>'92361'</t>
  </si>
  <si>
    <t>'95146'</t>
  </si>
  <si>
    <t>'92110'</t>
  </si>
  <si>
    <t>'92111'</t>
  </si>
  <si>
    <t>'92112'</t>
  </si>
  <si>
    <t>'92113'</t>
  </si>
  <si>
    <t>'92114'</t>
  </si>
  <si>
    <t>'92115'</t>
  </si>
  <si>
    <t>'92116'</t>
  </si>
  <si>
    <t>'92117'</t>
  </si>
  <si>
    <t>'92118'</t>
  </si>
  <si>
    <t>'92581'</t>
  </si>
  <si>
    <t>'92582'</t>
  </si>
  <si>
    <t>'92583'</t>
  </si>
  <si>
    <t>'92584'</t>
  </si>
  <si>
    <t>'92585'</t>
  </si>
  <si>
    <t>'92586'</t>
  </si>
  <si>
    <t>'92587'</t>
  </si>
  <si>
    <t>'92588'</t>
  </si>
  <si>
    <t>'92611'</t>
  </si>
  <si>
    <t>'92613'</t>
  </si>
  <si>
    <t>'92615'</t>
  </si>
  <si>
    <t>'92616'</t>
  </si>
  <si>
    <t>'92700'</t>
  </si>
  <si>
    <t>'92701'</t>
  </si>
  <si>
    <t>'92702'</t>
  </si>
  <si>
    <t>'92703'</t>
  </si>
  <si>
    <t>'92704'</t>
  </si>
  <si>
    <t>'92705'</t>
  </si>
  <si>
    <t>'92706'</t>
  </si>
  <si>
    <t>'92707'</t>
  </si>
  <si>
    <t>'92708'</t>
  </si>
  <si>
    <t>'92709'</t>
  </si>
  <si>
    <t>'92711'</t>
  </si>
  <si>
    <t>'92712'</t>
  </si>
  <si>
    <t>'92714'</t>
  </si>
  <si>
    <t>'92715'</t>
  </si>
  <si>
    <t>'75778'</t>
  </si>
  <si>
    <t>'92032'</t>
  </si>
  <si>
    <t>'92033'</t>
  </si>
  <si>
    <t>'92036'</t>
  </si>
  <si>
    <t>'92037'</t>
  </si>
  <si>
    <t>'92038'</t>
  </si>
  <si>
    <t>'92040'</t>
  </si>
  <si>
    <t>'92041'</t>
  </si>
  <si>
    <t>'92043'</t>
  </si>
  <si>
    <t>'92048'</t>
  </si>
  <si>
    <t>'92049'</t>
  </si>
  <si>
    <t>'92050'</t>
  </si>
  <si>
    <t>'92051'</t>
  </si>
  <si>
    <t>'92052'</t>
  </si>
  <si>
    <t>'92054'</t>
  </si>
  <si>
    <t>'92061'</t>
  </si>
  <si>
    <t>'92062'</t>
  </si>
  <si>
    <t>'92063'</t>
  </si>
  <si>
    <t>'92066'</t>
  </si>
  <si>
    <t>'92068'</t>
  </si>
  <si>
    <t>'92069'</t>
  </si>
  <si>
    <t>'92070'</t>
  </si>
  <si>
    <t>'92072'</t>
  </si>
  <si>
    <t>'92075'</t>
  </si>
  <si>
    <t>'92077'</t>
  </si>
  <si>
    <t>'92078'</t>
  </si>
  <si>
    <t>'92079'</t>
  </si>
  <si>
    <t>'92081'</t>
  </si>
  <si>
    <t>'92082'</t>
  </si>
  <si>
    <t>'92083'</t>
  </si>
  <si>
    <t>'92084'</t>
  </si>
  <si>
    <t>'92086'</t>
  </si>
  <si>
    <t>'92089'</t>
  </si>
  <si>
    <t>'92091'</t>
  </si>
  <si>
    <t>'92095'</t>
  </si>
  <si>
    <t>'92096'</t>
  </si>
  <si>
    <t>'92097'</t>
  </si>
  <si>
    <t>'92098'</t>
  </si>
  <si>
    <t>'92099'</t>
  </si>
  <si>
    <t>'92400'</t>
  </si>
  <si>
    <t>'92401'</t>
  </si>
  <si>
    <t>'92402'</t>
  </si>
  <si>
    <t>'92403'</t>
  </si>
  <si>
    <t>'92404'</t>
  </si>
  <si>
    <t>'92405'</t>
  </si>
  <si>
    <t>'92406'</t>
  </si>
  <si>
    <t>'92407'</t>
  </si>
  <si>
    <t>'92408'</t>
  </si>
  <si>
    <t>'92409'</t>
  </si>
  <si>
    <t>'92411'</t>
  </si>
  <si>
    <t>'92412'</t>
  </si>
  <si>
    <t>'92413'</t>
  </si>
  <si>
    <t>'92414'</t>
  </si>
  <si>
    <t>'92415'</t>
  </si>
  <si>
    <t>'92416'</t>
  </si>
  <si>
    <t>'92417'</t>
  </si>
  <si>
    <t>'92418'</t>
  </si>
  <si>
    <t>'92419'</t>
  </si>
  <si>
    <t>'92671'</t>
  </si>
  <si>
    <t>'92672'</t>
  </si>
  <si>
    <t>'92675'</t>
  </si>
  <si>
    <t>'92677'</t>
  </si>
  <si>
    <t>'92679'</t>
  </si>
  <si>
    <t>'92901'</t>
  </si>
  <si>
    <t>'92902'</t>
  </si>
  <si>
    <t>'92903'</t>
  </si>
  <si>
    <t>'92913'</t>
  </si>
  <si>
    <t>'92916'</t>
  </si>
  <si>
    <t>'92917'</t>
  </si>
  <si>
    <t>'92920'</t>
  </si>
  <si>
    <t>'92924'</t>
  </si>
  <si>
    <t>'92925'</t>
  </si>
  <si>
    <t>'92926'</t>
  </si>
  <si>
    <t>'92927'</t>
  </si>
  <si>
    <t>'92928'</t>
  </si>
  <si>
    <t>'92929'</t>
  </si>
  <si>
    <t>'92930'</t>
  </si>
  <si>
    <t>'92931'</t>
  </si>
  <si>
    <t>'92932'</t>
  </si>
  <si>
    <t>'92933'</t>
  </si>
  <si>
    <t>'92934'</t>
  </si>
  <si>
    <t>'92971'</t>
  </si>
  <si>
    <t>'92973'</t>
  </si>
  <si>
    <t>'92974'</t>
  </si>
  <si>
    <t>'92975'</t>
  </si>
  <si>
    <t>'92978'</t>
  </si>
  <si>
    <t>'92979'</t>
  </si>
  <si>
    <t>'92982'</t>
  </si>
  <si>
    <t>'92984'</t>
  </si>
  <si>
    <t>'92989'</t>
  </si>
  <si>
    <t>'92999'</t>
  </si>
  <si>
    <t>'92260'</t>
  </si>
  <si>
    <t>'92261'</t>
  </si>
  <si>
    <t>'92262'</t>
  </si>
  <si>
    <t>'92263'</t>
  </si>
  <si>
    <t>'92266'</t>
  </si>
  <si>
    <t>'92380'</t>
  </si>
  <si>
    <t>'92422'</t>
  </si>
  <si>
    <t>'92250'</t>
  </si>
  <si>
    <t>'92251'</t>
  </si>
  <si>
    <t>'92252'</t>
  </si>
  <si>
    <t>'92253'</t>
  </si>
  <si>
    <t>'92254'</t>
  </si>
  <si>
    <t>'92256'</t>
  </si>
  <si>
    <t>'92257'</t>
  </si>
  <si>
    <t>'92258'</t>
  </si>
  <si>
    <t>'92230'</t>
  </si>
  <si>
    <t>'92231'</t>
  </si>
  <si>
    <t>'92232'</t>
  </si>
  <si>
    <t>'92233'</t>
  </si>
  <si>
    <t>'92234'</t>
  </si>
  <si>
    <t>'92235'</t>
  </si>
  <si>
    <t>'92236'</t>
  </si>
  <si>
    <t>'92237'</t>
  </si>
  <si>
    <t>'92238'</t>
  </si>
  <si>
    <t>'92239'</t>
  </si>
  <si>
    <t>'92621'</t>
  </si>
  <si>
    <t>'92622'</t>
  </si>
  <si>
    <t>'92623'</t>
  </si>
  <si>
    <t>'92624'</t>
  </si>
  <si>
    <t>'92626'</t>
  </si>
  <si>
    <t>'92631'</t>
  </si>
  <si>
    <t>'92632'</t>
  </si>
  <si>
    <t>'92633'</t>
  </si>
  <si>
    <t>'92634'</t>
  </si>
  <si>
    <t>'92635'</t>
  </si>
  <si>
    <t>'92636'</t>
  </si>
  <si>
    <t>'92637'</t>
  </si>
  <si>
    <t>'92638'</t>
  </si>
  <si>
    <t>'92130'</t>
  </si>
  <si>
    <t>'92131'</t>
  </si>
  <si>
    <t>'92132'</t>
  </si>
  <si>
    <t>'92133'</t>
  </si>
  <si>
    <t>'92134'</t>
  </si>
  <si>
    <t>'92135'</t>
  </si>
  <si>
    <t>'92136'</t>
  </si>
  <si>
    <t>'92137'</t>
  </si>
  <si>
    <t>'92138'</t>
  </si>
  <si>
    <t>'92441'</t>
  </si>
  <si>
    <t>'92442'</t>
  </si>
  <si>
    <t>'92443'</t>
  </si>
  <si>
    <t>'92444'</t>
  </si>
  <si>
    <t>'92445'</t>
  </si>
  <si>
    <t>'92446'</t>
  </si>
  <si>
    <t>'92447'</t>
  </si>
  <si>
    <t>'92448'</t>
  </si>
  <si>
    <t>'92454'</t>
  </si>
  <si>
    <t>'92781'</t>
  </si>
  <si>
    <t>'92782'</t>
  </si>
  <si>
    <t>'92784'</t>
  </si>
  <si>
    <t>'92785'</t>
  </si>
  <si>
    <t>'92787'</t>
  </si>
  <si>
    <t>'92788'</t>
  </si>
  <si>
    <t>'92789'</t>
  </si>
  <si>
    <t>'92791'</t>
  </si>
  <si>
    <t>'92792'</t>
  </si>
  <si>
    <t>'92793'</t>
  </si>
  <si>
    <t>'92794'</t>
  </si>
  <si>
    <t>'92795'</t>
  </si>
  <si>
    <t>'92798'</t>
  </si>
  <si>
    <t>'92861'</t>
  </si>
  <si>
    <t>'92862'</t>
  </si>
  <si>
    <t>'92863'</t>
  </si>
  <si>
    <t>'92864'</t>
  </si>
  <si>
    <t>'92865'</t>
  </si>
  <si>
    <t>'92866'</t>
  </si>
  <si>
    <t>'92867'</t>
  </si>
  <si>
    <t>'92300'</t>
  </si>
  <si>
    <t>'92301'</t>
  </si>
  <si>
    <t>'92302'</t>
  </si>
  <si>
    <t>'92303'</t>
  </si>
  <si>
    <t>'92304'</t>
  </si>
  <si>
    <t>'92306'</t>
  </si>
  <si>
    <t>'92308'</t>
  </si>
  <si>
    <t>'92309'</t>
  </si>
  <si>
    <t>'92352'</t>
  </si>
  <si>
    <t>'92531'</t>
  </si>
  <si>
    <t>'92532'</t>
  </si>
  <si>
    <t>'92533'</t>
  </si>
  <si>
    <t>'92534'</t>
  </si>
  <si>
    <t>'92536'</t>
  </si>
  <si>
    <t>'92537'</t>
  </si>
  <si>
    <t>'92538'</t>
  </si>
  <si>
    <t>'92591'</t>
  </si>
  <si>
    <t>'92592'</t>
  </si>
  <si>
    <t>'92593'</t>
  </si>
  <si>
    <t>'92594'</t>
  </si>
  <si>
    <t>'92595'</t>
  </si>
  <si>
    <t>'92596'</t>
  </si>
  <si>
    <t>'92597'</t>
  </si>
  <si>
    <t>'92598'</t>
  </si>
  <si>
    <t>'92599'</t>
  </si>
  <si>
    <t>'92682'</t>
  </si>
  <si>
    <t>'92683'</t>
  </si>
  <si>
    <t>'92684'</t>
  </si>
  <si>
    <t>'92685'</t>
  </si>
  <si>
    <t>'92686'</t>
  </si>
  <si>
    <t>'92688'</t>
  </si>
  <si>
    <t>'92689'</t>
  </si>
  <si>
    <t>'92691'</t>
  </si>
  <si>
    <t>'92693'</t>
  </si>
  <si>
    <t>'92697'</t>
  </si>
  <si>
    <t>'92698'</t>
  </si>
  <si>
    <t>'92240'</t>
  </si>
  <si>
    <t>'92241'</t>
  </si>
  <si>
    <t>'92242'</t>
  </si>
  <si>
    <t>'92243'</t>
  </si>
  <si>
    <t>'92244'</t>
  </si>
  <si>
    <t>'92245'</t>
  </si>
  <si>
    <t>'92246'</t>
  </si>
  <si>
    <t>'92247'</t>
  </si>
  <si>
    <t>'92430'</t>
  </si>
  <si>
    <t>'92190'</t>
  </si>
  <si>
    <t>'92191'</t>
  </si>
  <si>
    <t>'92193'</t>
  </si>
  <si>
    <t>'92194'</t>
  </si>
  <si>
    <t>'92195'</t>
  </si>
  <si>
    <t>'92196'</t>
  </si>
  <si>
    <t>'92197'</t>
  </si>
  <si>
    <t>'92360'</t>
  </si>
  <si>
    <t>'92362'</t>
  </si>
  <si>
    <t>'92364'</t>
  </si>
  <si>
    <t>'92365'</t>
  </si>
  <si>
    <t>'92366'</t>
  </si>
  <si>
    <t>'92367'</t>
  </si>
  <si>
    <t>'92120'</t>
  </si>
  <si>
    <t>'92121'</t>
  </si>
  <si>
    <t>'92122'</t>
  </si>
  <si>
    <t>'92123'</t>
  </si>
  <si>
    <t>'92124'</t>
  </si>
  <si>
    <t>'92126'</t>
  </si>
  <si>
    <t>'92127'</t>
  </si>
  <si>
    <t>'92128'</t>
  </si>
  <si>
    <t>'92129'</t>
  </si>
  <si>
    <t>'92541'</t>
  </si>
  <si>
    <t>'92543'</t>
  </si>
  <si>
    <t>'92544'</t>
  </si>
  <si>
    <t>'92545'</t>
  </si>
  <si>
    <t>'92546'</t>
  </si>
  <si>
    <t>'92547'</t>
  </si>
  <si>
    <t>'92548'</t>
  </si>
  <si>
    <t>'92000'</t>
  </si>
  <si>
    <t>'92001'</t>
  </si>
  <si>
    <t>'92002'</t>
  </si>
  <si>
    <t>'92003'</t>
  </si>
  <si>
    <t>'92004'</t>
  </si>
  <si>
    <t>'92005'</t>
  </si>
  <si>
    <t>'92006'</t>
  </si>
  <si>
    <t>'92007'</t>
  </si>
  <si>
    <t>'92008'</t>
  </si>
  <si>
    <t>'92009'</t>
  </si>
  <si>
    <t>'92010'</t>
  </si>
  <si>
    <t>'92011'</t>
  </si>
  <si>
    <t>'92012'</t>
  </si>
  <si>
    <t>'92013'</t>
  </si>
  <si>
    <t>'92014'</t>
  </si>
  <si>
    <t>'92015'</t>
  </si>
  <si>
    <t>'92016'</t>
  </si>
  <si>
    <t>'92017'</t>
  </si>
  <si>
    <t>'92018'</t>
  </si>
  <si>
    <t>'92020'</t>
  </si>
  <si>
    <t>'92022'</t>
  </si>
  <si>
    <t>'92023'</t>
  </si>
  <si>
    <t>'92024'</t>
  </si>
  <si>
    <t>'92025'</t>
  </si>
  <si>
    <t>'92026'</t>
  </si>
  <si>
    <t>'92027'</t>
  </si>
  <si>
    <t>'92028'</t>
  </si>
  <si>
    <t>'92029'</t>
  </si>
  <si>
    <t>'92721'</t>
  </si>
  <si>
    <t>'92722'</t>
  </si>
  <si>
    <t>'92723'</t>
  </si>
  <si>
    <t>'92725'</t>
  </si>
  <si>
    <t>'92726'</t>
  </si>
  <si>
    <t>'92727'</t>
  </si>
  <si>
    <t>'92729'</t>
  </si>
  <si>
    <t>'92730'</t>
  </si>
  <si>
    <t>'92731'</t>
  </si>
  <si>
    <t>'92733'</t>
  </si>
  <si>
    <t>'92735'</t>
  </si>
  <si>
    <t>'92736'</t>
  </si>
  <si>
    <t>'92737'</t>
  </si>
  <si>
    <t>'92739'</t>
  </si>
  <si>
    <t>'92741'</t>
  </si>
  <si>
    <t>'92743'</t>
  </si>
  <si>
    <t>'92744'</t>
  </si>
  <si>
    <t>'92745'</t>
  </si>
  <si>
    <t>'92747'</t>
  </si>
  <si>
    <t>'92748'</t>
  </si>
  <si>
    <t>'92751'</t>
  </si>
  <si>
    <t>'92752'</t>
  </si>
  <si>
    <t>'92755'</t>
  </si>
  <si>
    <t>'92756'</t>
  </si>
  <si>
    <t>'92758'</t>
  </si>
  <si>
    <t>'92881'</t>
  </si>
  <si>
    <t>'92883'</t>
  </si>
  <si>
    <t>'92884'</t>
  </si>
  <si>
    <t>'92885'</t>
  </si>
  <si>
    <t>'92894'</t>
  </si>
  <si>
    <t>'92895'</t>
  </si>
  <si>
    <t>'92897'</t>
  </si>
  <si>
    <t>'92985'</t>
  </si>
  <si>
    <t>'92200'</t>
  </si>
  <si>
    <t>'92201'</t>
  </si>
  <si>
    <t>'92202'</t>
  </si>
  <si>
    <t>'92203'</t>
  </si>
  <si>
    <t>'92204'</t>
  </si>
  <si>
    <t>'92205'</t>
  </si>
  <si>
    <t>'92207'</t>
  </si>
  <si>
    <t>'92208'</t>
  </si>
  <si>
    <t>'92521'</t>
  </si>
  <si>
    <t>'92522'</t>
  </si>
  <si>
    <t>'92523'</t>
  </si>
  <si>
    <t>'92524'</t>
  </si>
  <si>
    <t>'92525'</t>
  </si>
  <si>
    <t>'92526'</t>
  </si>
  <si>
    <t>'92527'</t>
  </si>
  <si>
    <t>'92528'</t>
  </si>
  <si>
    <t>'92571'</t>
  </si>
  <si>
    <t>'92572'</t>
  </si>
  <si>
    <t>'92573'</t>
  </si>
  <si>
    <t>'92575'</t>
  </si>
  <si>
    <t>'92576'</t>
  </si>
  <si>
    <t>'92577'</t>
  </si>
  <si>
    <t>'92578'</t>
  </si>
  <si>
    <t>'92350'</t>
  </si>
  <si>
    <t>'92351'</t>
  </si>
  <si>
    <t>'92353'</t>
  </si>
  <si>
    <t>'92354'</t>
  </si>
  <si>
    <t>'92355'</t>
  </si>
  <si>
    <t>'92356'</t>
  </si>
  <si>
    <t>'92357'</t>
  </si>
  <si>
    <t>'92358'</t>
  </si>
  <si>
    <t>'92031'</t>
  </si>
  <si>
    <t>'92034'</t>
  </si>
  <si>
    <t>'92035'</t>
  </si>
  <si>
    <t>'92039'</t>
  </si>
  <si>
    <t>'92042'</t>
  </si>
  <si>
    <t>'92044'</t>
  </si>
  <si>
    <t>'92045'</t>
  </si>
  <si>
    <t>'92046'</t>
  </si>
  <si>
    <t>'92047'</t>
  </si>
  <si>
    <t>'92053'</t>
  </si>
  <si>
    <t>'92055'</t>
  </si>
  <si>
    <t>'92056'</t>
  </si>
  <si>
    <t>'92057'</t>
  </si>
  <si>
    <t>'92058'</t>
  </si>
  <si>
    <t>'92059'</t>
  </si>
  <si>
    <t>'92060'</t>
  </si>
  <si>
    <t>'92064'</t>
  </si>
  <si>
    <t>'92065'</t>
  </si>
  <si>
    <t>'92067'</t>
  </si>
  <si>
    <t>'92071'</t>
  </si>
  <si>
    <t>'92073'</t>
  </si>
  <si>
    <t>'92074'</t>
  </si>
  <si>
    <t>'92076'</t>
  </si>
  <si>
    <t>'92085'</t>
  </si>
  <si>
    <t>'92088'</t>
  </si>
  <si>
    <t>'92092'</t>
  </si>
  <si>
    <t>'92093'</t>
  </si>
  <si>
    <t>'92800'</t>
  </si>
  <si>
    <t>'92801'</t>
  </si>
  <si>
    <t>'92802'</t>
  </si>
  <si>
    <t>'92803'</t>
  </si>
  <si>
    <t>'92804'</t>
  </si>
  <si>
    <t>'92805'</t>
  </si>
  <si>
    <t>'92806'</t>
  </si>
  <si>
    <t>'92807'</t>
  </si>
  <si>
    <t>'92808'</t>
  </si>
  <si>
    <t>'92809'</t>
  </si>
  <si>
    <t>'92811'</t>
  </si>
  <si>
    <t>'92812'</t>
  </si>
  <si>
    <t>'92813'</t>
  </si>
  <si>
    <t>'92814'</t>
  </si>
  <si>
    <t>'92815'</t>
  </si>
  <si>
    <t>'92816'</t>
  </si>
  <si>
    <t>'92817'</t>
  </si>
  <si>
    <t>'92818'</t>
  </si>
  <si>
    <t>'92819'</t>
  </si>
  <si>
    <t>'92820'</t>
  </si>
  <si>
    <t>'92821'</t>
  </si>
  <si>
    <t>'92822'</t>
  </si>
  <si>
    <t>'92823'</t>
  </si>
  <si>
    <t>'92904'</t>
  </si>
  <si>
    <t>'92906'</t>
  </si>
  <si>
    <t>'92907'</t>
  </si>
  <si>
    <t>'92908'</t>
  </si>
  <si>
    <t>'92909'</t>
  </si>
  <si>
    <t>'92911'</t>
  </si>
  <si>
    <t>'92912'</t>
  </si>
  <si>
    <t>'92914'</t>
  </si>
  <si>
    <t>'92915'</t>
  </si>
  <si>
    <t>'92918'</t>
  </si>
  <si>
    <t>'92919'</t>
  </si>
  <si>
    <t>'92921'</t>
  </si>
  <si>
    <t>'92923'</t>
  </si>
  <si>
    <t>'92935'</t>
  </si>
  <si>
    <t>'92936'</t>
  </si>
  <si>
    <t>'92937'</t>
  </si>
  <si>
    <t>'92939'</t>
  </si>
  <si>
    <t>'92970'</t>
  </si>
  <si>
    <t>'92972'</t>
  </si>
  <si>
    <t>'92977'</t>
  </si>
  <si>
    <t>'92980'</t>
  </si>
  <si>
    <t>'92981'</t>
  </si>
  <si>
    <t>'92986'</t>
  </si>
  <si>
    <t>'92987'</t>
  </si>
  <si>
    <t>'92988'</t>
  </si>
  <si>
    <t>'92153'</t>
  </si>
  <si>
    <t>'92500'</t>
  </si>
  <si>
    <t>'92501'</t>
  </si>
  <si>
    <t>'92502'</t>
  </si>
  <si>
    <t>'92503'</t>
  </si>
  <si>
    <t>'92504'</t>
  </si>
  <si>
    <t>'92505'</t>
  </si>
  <si>
    <t>'92506'</t>
  </si>
  <si>
    <t>'92507'</t>
  </si>
  <si>
    <t>'92508'</t>
  </si>
  <si>
    <t>'92561'</t>
  </si>
  <si>
    <t>'92562'</t>
  </si>
  <si>
    <t>'92563'</t>
  </si>
  <si>
    <t>'92564'</t>
  </si>
  <si>
    <t>'92565'</t>
  </si>
  <si>
    <t>'92566'</t>
  </si>
  <si>
    <t>'92567'</t>
  </si>
  <si>
    <t>'92568'</t>
  </si>
  <si>
    <t>'92569'</t>
  </si>
  <si>
    <t>'92842'</t>
  </si>
  <si>
    <t>'92843'</t>
  </si>
  <si>
    <t>'92844'</t>
  </si>
  <si>
    <t>'92845'</t>
  </si>
  <si>
    <t>'92846'</t>
  </si>
  <si>
    <t>'92847'</t>
  </si>
  <si>
    <t>'92848'</t>
  </si>
  <si>
    <t>'92851'</t>
  </si>
  <si>
    <t>'92852'</t>
  </si>
  <si>
    <t>'92853'</t>
  </si>
  <si>
    <t>'92854'</t>
  </si>
  <si>
    <t>'92855'</t>
  </si>
  <si>
    <t>'92856'</t>
  </si>
  <si>
    <t>'92859'</t>
  </si>
  <si>
    <t>'92210'</t>
  </si>
  <si>
    <t>'92211'</t>
  </si>
  <si>
    <t>'92212'</t>
  </si>
  <si>
    <t>'92213'</t>
  </si>
  <si>
    <t>'92214'</t>
  </si>
  <si>
    <t>'92215'</t>
  </si>
  <si>
    <t>'92216'</t>
  </si>
  <si>
    <t>'92219'</t>
  </si>
  <si>
    <t>'92553'</t>
  </si>
  <si>
    <t>'92330'</t>
  </si>
  <si>
    <t>'92331'</t>
  </si>
  <si>
    <t>'92332'</t>
  </si>
  <si>
    <t>'92333'</t>
  </si>
  <si>
    <t>'92337'</t>
  </si>
  <si>
    <t>'92310'</t>
  </si>
  <si>
    <t>'92311'</t>
  </si>
  <si>
    <t>'92312'</t>
  </si>
  <si>
    <t>'92313'</t>
  </si>
  <si>
    <t>'92314'</t>
  </si>
  <si>
    <t>'92315'</t>
  </si>
  <si>
    <t>'92316'</t>
  </si>
  <si>
    <t>'92317'</t>
  </si>
  <si>
    <t>'92318'</t>
  </si>
  <si>
    <t>'92150'</t>
  </si>
  <si>
    <t>'92151'</t>
  </si>
  <si>
    <t>'92152'</t>
  </si>
  <si>
    <t>'92154'</t>
  </si>
  <si>
    <t>'92155'</t>
  </si>
  <si>
    <t>'92156'</t>
  </si>
  <si>
    <t>'92157'</t>
  </si>
  <si>
    <t>'92158'</t>
  </si>
  <si>
    <t>'92264'</t>
  </si>
  <si>
    <t>'92268'</t>
  </si>
  <si>
    <t>'92280'</t>
  </si>
  <si>
    <t>'92281'</t>
  </si>
  <si>
    <t>'92282'</t>
  </si>
  <si>
    <t>'92284'</t>
  </si>
  <si>
    <t>'92286'</t>
  </si>
  <si>
    <t>'92287'</t>
  </si>
  <si>
    <t>'92288'</t>
  </si>
  <si>
    <t>'92289'</t>
  </si>
  <si>
    <t>'92170'</t>
  </si>
  <si>
    <t>'92171'</t>
  </si>
  <si>
    <t>'92172'</t>
  </si>
  <si>
    <t>'92173'</t>
  </si>
  <si>
    <t>'92174'</t>
  </si>
  <si>
    <t>'92175'</t>
  </si>
  <si>
    <t>'92176'</t>
  </si>
  <si>
    <t>'92177'</t>
  </si>
  <si>
    <t>'92178'</t>
  </si>
  <si>
    <t>'92420'</t>
  </si>
  <si>
    <t>'92423'</t>
  </si>
  <si>
    <t>'92410'</t>
  </si>
  <si>
    <t>'92388'</t>
  </si>
  <si>
    <t>'92390'</t>
  </si>
  <si>
    <t>'92391'</t>
  </si>
  <si>
    <t>'92392'</t>
  </si>
  <si>
    <t>'92393'</t>
  </si>
  <si>
    <t>'92394'</t>
  </si>
  <si>
    <t>'92395'</t>
  </si>
  <si>
    <t>'92396'</t>
  </si>
  <si>
    <t>'92397'</t>
  </si>
  <si>
    <t>'92398'</t>
  </si>
  <si>
    <t>'93214'</t>
  </si>
  <si>
    <t>'93300'</t>
  </si>
  <si>
    <t>'93301'</t>
  </si>
  <si>
    <t>'93302'</t>
  </si>
  <si>
    <t>'93303'</t>
  </si>
  <si>
    <t>'93304'</t>
  </si>
  <si>
    <t>'93305'</t>
  </si>
  <si>
    <t>'93306'</t>
  </si>
  <si>
    <t>'93307'</t>
  </si>
  <si>
    <t>'93308'</t>
  </si>
  <si>
    <t>'93309'</t>
  </si>
  <si>
    <t>'93321'</t>
  </si>
  <si>
    <t>'93323'</t>
  </si>
  <si>
    <t>'93324'</t>
  </si>
  <si>
    <t>'93325'</t>
  </si>
  <si>
    <t>'93326'</t>
  </si>
  <si>
    <t>'93327'</t>
  </si>
  <si>
    <t>'93329'</t>
  </si>
  <si>
    <t>'93531'</t>
  </si>
  <si>
    <t>'93532'</t>
  </si>
  <si>
    <t>'93533'</t>
  </si>
  <si>
    <t>'93534'</t>
  </si>
  <si>
    <t>'93535'</t>
  </si>
  <si>
    <t>'93536'</t>
  </si>
  <si>
    <t>'93537'</t>
  </si>
  <si>
    <t>'93538'</t>
  </si>
  <si>
    <t>'93539'</t>
  </si>
  <si>
    <t>'93588'</t>
  </si>
  <si>
    <t>'93600'</t>
  </si>
  <si>
    <t>'93601'</t>
  </si>
  <si>
    <t>'93602'</t>
  </si>
  <si>
    <t>'93603'</t>
  </si>
  <si>
    <t>'93604'</t>
  </si>
  <si>
    <t>'93605'</t>
  </si>
  <si>
    <t>'93606'</t>
  </si>
  <si>
    <t>'93608'</t>
  </si>
  <si>
    <t>'93611'</t>
  </si>
  <si>
    <t>'93612'</t>
  </si>
  <si>
    <t>'93613'</t>
  </si>
  <si>
    <t>'93614'</t>
  </si>
  <si>
    <t>'93615'</t>
  </si>
  <si>
    <t>'93616'</t>
  </si>
  <si>
    <t>'93617'</t>
  </si>
  <si>
    <t>'93618'</t>
  </si>
  <si>
    <t>'93619'</t>
  </si>
  <si>
    <t>'93621'</t>
  </si>
  <si>
    <t>'93622'</t>
  </si>
  <si>
    <t>'93623'</t>
  </si>
  <si>
    <t>'93170'</t>
  </si>
  <si>
    <t>'93171'</t>
  </si>
  <si>
    <t>'93172'</t>
  </si>
  <si>
    <t>'93174'</t>
  </si>
  <si>
    <t>'93175'</t>
  </si>
  <si>
    <t>'93176'</t>
  </si>
  <si>
    <t>'93177'</t>
  </si>
  <si>
    <t>'93541'</t>
  </si>
  <si>
    <t>'93542'</t>
  </si>
  <si>
    <t>'93544'</t>
  </si>
  <si>
    <t>'93545'</t>
  </si>
  <si>
    <t>'93547'</t>
  </si>
  <si>
    <t>'93731'</t>
  </si>
  <si>
    <t>'93738'</t>
  </si>
  <si>
    <t>'93150'</t>
  </si>
  <si>
    <t>'93151'</t>
  </si>
  <si>
    <t>'93153'</t>
  </si>
  <si>
    <t>'93154'</t>
  </si>
  <si>
    <t>'93155'</t>
  </si>
  <si>
    <t>'93156'</t>
  </si>
  <si>
    <t>'93157'</t>
  </si>
  <si>
    <t>'93158'</t>
  </si>
  <si>
    <t>'93591'</t>
  </si>
  <si>
    <t>'93593'</t>
  </si>
  <si>
    <t>'93000'</t>
  </si>
  <si>
    <t>'93001'</t>
  </si>
  <si>
    <t>'93002'</t>
  </si>
  <si>
    <t>'93003'</t>
  </si>
  <si>
    <t>'93004'</t>
  </si>
  <si>
    <t>'93005'</t>
  </si>
  <si>
    <t>'93006'</t>
  </si>
  <si>
    <t>'93007'</t>
  </si>
  <si>
    <t>'93008'</t>
  </si>
  <si>
    <t>'93009'</t>
  </si>
  <si>
    <t>'93011'</t>
  </si>
  <si>
    <t>'93012'</t>
  </si>
  <si>
    <t>'93013'</t>
  </si>
  <si>
    <t>'93014'</t>
  </si>
  <si>
    <t>'93016'</t>
  </si>
  <si>
    <t>'93017'</t>
  </si>
  <si>
    <t>'93018'</t>
  </si>
  <si>
    <t>'93021'</t>
  </si>
  <si>
    <t>'93022'</t>
  </si>
  <si>
    <t>'93024'</t>
  </si>
  <si>
    <t>'93140'</t>
  </si>
  <si>
    <t>'93141'</t>
  </si>
  <si>
    <t>'93142'</t>
  </si>
  <si>
    <t>'93143'</t>
  </si>
  <si>
    <t>'93144'</t>
  </si>
  <si>
    <t>'93146'</t>
  </si>
  <si>
    <t>'93147'</t>
  </si>
  <si>
    <t>'93148'</t>
  </si>
  <si>
    <t>'93350'</t>
  </si>
  <si>
    <t>'93351'</t>
  </si>
  <si>
    <t>'93352'</t>
  </si>
  <si>
    <t>'93390'</t>
  </si>
  <si>
    <t>'93470'</t>
  </si>
  <si>
    <t>'93120'</t>
  </si>
  <si>
    <t>'93121'</t>
  </si>
  <si>
    <t>'93122'</t>
  </si>
  <si>
    <t>'93123'</t>
  </si>
  <si>
    <t>'93126'</t>
  </si>
  <si>
    <t>'93127'</t>
  </si>
  <si>
    <t>'93734'</t>
  </si>
  <si>
    <t>'93736'</t>
  </si>
  <si>
    <t>'93737'</t>
  </si>
  <si>
    <t>'93904'</t>
  </si>
  <si>
    <t>'93700'</t>
  </si>
  <si>
    <t>'93701'</t>
  </si>
  <si>
    <t>'93705'</t>
  </si>
  <si>
    <t>'93711'</t>
  </si>
  <si>
    <t>'93440'</t>
  </si>
  <si>
    <t>'93441'</t>
  </si>
  <si>
    <t>'93800'</t>
  </si>
  <si>
    <t>'93801'</t>
  </si>
  <si>
    <t>'93802'</t>
  </si>
  <si>
    <t>'93806'</t>
  </si>
  <si>
    <t>'93807'</t>
  </si>
  <si>
    <t>'93220'</t>
  </si>
  <si>
    <t>'93221'</t>
  </si>
  <si>
    <t>'93222'</t>
  </si>
  <si>
    <t>'93161'</t>
  </si>
  <si>
    <t>'93460'</t>
  </si>
  <si>
    <t>'93450'</t>
  </si>
  <si>
    <t>'93451'</t>
  </si>
  <si>
    <t>'93260'</t>
  </si>
  <si>
    <t>'93261'</t>
  </si>
  <si>
    <t>'93190'</t>
  </si>
  <si>
    <t>'93297'</t>
  </si>
  <si>
    <t>'93891'</t>
  </si>
  <si>
    <t>'93370'</t>
  </si>
  <si>
    <t>'93100'</t>
  </si>
  <si>
    <t>'93101'</t>
  </si>
  <si>
    <t>'93102'</t>
  </si>
  <si>
    <t>'93103'</t>
  </si>
  <si>
    <t>'93104'</t>
  </si>
  <si>
    <t>'93105'</t>
  </si>
  <si>
    <t>'93106'</t>
  </si>
  <si>
    <t>'93107'</t>
  </si>
  <si>
    <t>'93108'</t>
  </si>
  <si>
    <t>'93181'</t>
  </si>
  <si>
    <t>'93182'</t>
  </si>
  <si>
    <t>'93183'</t>
  </si>
  <si>
    <t>'93184'</t>
  </si>
  <si>
    <t>'93186'</t>
  </si>
  <si>
    <t>'93187'</t>
  </si>
  <si>
    <t>'93188'</t>
  </si>
  <si>
    <t>'93189'</t>
  </si>
  <si>
    <t>'93496'</t>
  </si>
  <si>
    <t>'93511'</t>
  </si>
  <si>
    <t>'93512'</t>
  </si>
  <si>
    <t>'93513'</t>
  </si>
  <si>
    <t>'93514'</t>
  </si>
  <si>
    <t>'93517'</t>
  </si>
  <si>
    <t>'93518'</t>
  </si>
  <si>
    <t>'93555'</t>
  </si>
  <si>
    <t>'93556'</t>
  </si>
  <si>
    <t>'93558'</t>
  </si>
  <si>
    <t>'93360'</t>
  </si>
  <si>
    <t>'93361'</t>
  </si>
  <si>
    <t>'93362'</t>
  </si>
  <si>
    <t>'93363'</t>
  </si>
  <si>
    <t>'93364'</t>
  </si>
  <si>
    <t>'93365'</t>
  </si>
  <si>
    <t>'93330'</t>
  </si>
  <si>
    <t>'93331'</t>
  </si>
  <si>
    <t>'93332'</t>
  </si>
  <si>
    <t>'93334'</t>
  </si>
  <si>
    <t>'93335'</t>
  </si>
  <si>
    <t>'93336'</t>
  </si>
  <si>
    <t>'93337'</t>
  </si>
  <si>
    <t>'93472'</t>
  </si>
  <si>
    <t>'93473'</t>
  </si>
  <si>
    <t>'93479'</t>
  </si>
  <si>
    <t>'93160'</t>
  </si>
  <si>
    <t>'93162'</t>
  </si>
  <si>
    <t>'93163'</t>
  </si>
  <si>
    <t>'93164'</t>
  </si>
  <si>
    <t>'93165'</t>
  </si>
  <si>
    <t>'93166'</t>
  </si>
  <si>
    <t>'93167'</t>
  </si>
  <si>
    <t>'93168'</t>
  </si>
  <si>
    <t>'93169'</t>
  </si>
  <si>
    <t>'93191'</t>
  </si>
  <si>
    <t>'93192'</t>
  </si>
  <si>
    <t>'93193'</t>
  </si>
  <si>
    <t>'93194'</t>
  </si>
  <si>
    <t>'93195'</t>
  </si>
  <si>
    <t>'93196'</t>
  </si>
  <si>
    <t>'93197'</t>
  </si>
  <si>
    <t>'93199'</t>
  </si>
  <si>
    <t>'93462'</t>
  </si>
  <si>
    <t>'93463'</t>
  </si>
  <si>
    <t>'93464'</t>
  </si>
  <si>
    <t>'93465'</t>
  </si>
  <si>
    <t>'93468'</t>
  </si>
  <si>
    <t>'93881'</t>
  </si>
  <si>
    <t>'93883'</t>
  </si>
  <si>
    <t>'93884'</t>
  </si>
  <si>
    <t>'93885'</t>
  </si>
  <si>
    <t>'93887'</t>
  </si>
  <si>
    <t>'93901'</t>
  </si>
  <si>
    <t>'93130'</t>
  </si>
  <si>
    <t>'93131'</t>
  </si>
  <si>
    <t>'93132'</t>
  </si>
  <si>
    <t>'93133'</t>
  </si>
  <si>
    <t>'93134'</t>
  </si>
  <si>
    <t>'93135'</t>
  </si>
  <si>
    <t>'93136'</t>
  </si>
  <si>
    <t>'93500'</t>
  </si>
  <si>
    <t>'93501'</t>
  </si>
  <si>
    <t>'93502'</t>
  </si>
  <si>
    <t>'93503'</t>
  </si>
  <si>
    <t>'93505'</t>
  </si>
  <si>
    <t>'93506'</t>
  </si>
  <si>
    <t>'93507'</t>
  </si>
  <si>
    <t>'93508'</t>
  </si>
  <si>
    <t>'93691'</t>
  </si>
  <si>
    <t>'93692'</t>
  </si>
  <si>
    <t>'93693'</t>
  </si>
  <si>
    <t>'93694'</t>
  </si>
  <si>
    <t>'93695'</t>
  </si>
  <si>
    <t>'93696'</t>
  </si>
  <si>
    <t>'93697'</t>
  </si>
  <si>
    <t>'93698'</t>
  </si>
  <si>
    <t>'93699'</t>
  </si>
  <si>
    <t>'93761'</t>
  </si>
  <si>
    <t>'93320'</t>
  </si>
  <si>
    <t>'93380'</t>
  </si>
  <si>
    <t>'93381'</t>
  </si>
  <si>
    <t>'93382'</t>
  </si>
  <si>
    <t>'93383'</t>
  </si>
  <si>
    <t>'93386'</t>
  </si>
  <si>
    <t>'93310'</t>
  </si>
  <si>
    <t>'93311'</t>
  </si>
  <si>
    <t>'93315'</t>
  </si>
  <si>
    <t>'93340'</t>
  </si>
  <si>
    <t>'93341'</t>
  </si>
  <si>
    <t>'93342'</t>
  </si>
  <si>
    <t>'93343'</t>
  </si>
  <si>
    <t>'93344'</t>
  </si>
  <si>
    <t>'93345'</t>
  </si>
  <si>
    <t>'93346'</t>
  </si>
  <si>
    <t>'93348'</t>
  </si>
  <si>
    <t>'93230'</t>
  </si>
  <si>
    <t>'93231'</t>
  </si>
  <si>
    <t>'93232'</t>
  </si>
  <si>
    <t>'93234'</t>
  </si>
  <si>
    <t>'93110'</t>
  </si>
  <si>
    <t>'93111'</t>
  </si>
  <si>
    <t>'93112'</t>
  </si>
  <si>
    <t>'93113'</t>
  </si>
  <si>
    <t>'93114'</t>
  </si>
  <si>
    <t>'93115'</t>
  </si>
  <si>
    <t>'93116'</t>
  </si>
  <si>
    <t>'93117'</t>
  </si>
  <si>
    <t>'93118'</t>
  </si>
  <si>
    <t>'93561'</t>
  </si>
  <si>
    <t>'93562'</t>
  </si>
  <si>
    <t>'93563'</t>
  </si>
  <si>
    <t>'93564'</t>
  </si>
  <si>
    <t>'93565'</t>
  </si>
  <si>
    <t>'93200'</t>
  </si>
  <si>
    <t>'93201'</t>
  </si>
  <si>
    <t>'93202'</t>
  </si>
  <si>
    <t>'93203'</t>
  </si>
  <si>
    <t>'93204'</t>
  </si>
  <si>
    <t>'93205'</t>
  </si>
  <si>
    <t>'93206'</t>
  </si>
  <si>
    <t>'93207'</t>
  </si>
  <si>
    <t>'93208'</t>
  </si>
  <si>
    <t>'93209'</t>
  </si>
  <si>
    <t>'93210'</t>
  </si>
  <si>
    <t>'93211'</t>
  </si>
  <si>
    <t>'93212'</t>
  </si>
  <si>
    <t>'93213'</t>
  </si>
  <si>
    <t>'93215'</t>
  </si>
  <si>
    <t>'93216'</t>
  </si>
  <si>
    <t>'93217'</t>
  </si>
  <si>
    <t>'93218'</t>
  </si>
  <si>
    <t>'93219'</t>
  </si>
  <si>
    <t>'93282'</t>
  </si>
  <si>
    <t>'93283'</t>
  </si>
  <si>
    <t>'93284'</t>
  </si>
  <si>
    <t>'93285'</t>
  </si>
  <si>
    <t>'93287'</t>
  </si>
  <si>
    <t>'93288'</t>
  </si>
  <si>
    <t>'93412'</t>
  </si>
  <si>
    <t>'93413'</t>
  </si>
  <si>
    <t>'93418'</t>
  </si>
  <si>
    <t>'93453'</t>
  </si>
  <si>
    <t>'93454'</t>
  </si>
  <si>
    <t>'93455'</t>
  </si>
  <si>
    <t>'93456'</t>
  </si>
  <si>
    <t>'93457'</t>
  </si>
  <si>
    <t>'93458'</t>
  </si>
  <si>
    <t>'93521'</t>
  </si>
  <si>
    <t>'93522'</t>
  </si>
  <si>
    <t>'93523'</t>
  </si>
  <si>
    <t>'93524'</t>
  </si>
  <si>
    <t>'93526'</t>
  </si>
  <si>
    <t>'93527'</t>
  </si>
  <si>
    <t>'93528'</t>
  </si>
  <si>
    <t>'93571'</t>
  </si>
  <si>
    <t>'93574'</t>
  </si>
  <si>
    <t>'93577'</t>
  </si>
  <si>
    <t>'93578'</t>
  </si>
  <si>
    <t>'93631'</t>
  </si>
  <si>
    <t>'93633'</t>
  </si>
  <si>
    <t>'93634'</t>
  </si>
  <si>
    <t>'93637'</t>
  </si>
  <si>
    <t>'93812'</t>
  </si>
  <si>
    <t>'93400'</t>
  </si>
  <si>
    <t>'93401'</t>
  </si>
  <si>
    <t>'93402'</t>
  </si>
  <si>
    <t>'93403'</t>
  </si>
  <si>
    <t>'93404'</t>
  </si>
  <si>
    <t>'93405'</t>
  </si>
  <si>
    <t>'93406'</t>
  </si>
  <si>
    <t>'93407'</t>
  </si>
  <si>
    <t>'93408'</t>
  </si>
  <si>
    <t>'93481'</t>
  </si>
  <si>
    <t>'93482'</t>
  </si>
  <si>
    <t>'93483'</t>
  </si>
  <si>
    <t>'93484'</t>
  </si>
  <si>
    <t>'93485'</t>
  </si>
  <si>
    <t>'93486'</t>
  </si>
  <si>
    <t>'93487'</t>
  </si>
  <si>
    <t>'93488'</t>
  </si>
  <si>
    <t>'93489'</t>
  </si>
  <si>
    <t>'93581'</t>
  </si>
  <si>
    <t>'93582'</t>
  </si>
  <si>
    <t>'93583'</t>
  </si>
  <si>
    <t>'93584'</t>
  </si>
  <si>
    <t>'93585'</t>
  </si>
  <si>
    <t>'93586'</t>
  </si>
  <si>
    <t>'93587'</t>
  </si>
  <si>
    <t>'93589'</t>
  </si>
  <si>
    <t>'93270'</t>
  </si>
  <si>
    <t>'93271'</t>
  </si>
  <si>
    <t>'93274'</t>
  </si>
  <si>
    <t>'93275'</t>
  </si>
  <si>
    <t>'93240'</t>
  </si>
  <si>
    <t>'93241'</t>
  </si>
  <si>
    <t>'93242'</t>
  </si>
  <si>
    <t>'93245'</t>
  </si>
  <si>
    <t>'93246'</t>
  </si>
  <si>
    <t>'93290'</t>
  </si>
  <si>
    <t>'93294'</t>
  </si>
  <si>
    <t>'93410'</t>
  </si>
  <si>
    <t>'93250'</t>
  </si>
  <si>
    <t>'93420'</t>
  </si>
  <si>
    <t>'93421'</t>
  </si>
  <si>
    <t>'93422'</t>
  </si>
  <si>
    <t>'93423'</t>
  </si>
  <si>
    <t>'93424'</t>
  </si>
  <si>
    <t>'93430'</t>
  </si>
  <si>
    <t>'93431'</t>
  </si>
  <si>
    <t>'93436'</t>
  </si>
  <si>
    <t>'93437'</t>
  </si>
  <si>
    <t>'94480'</t>
  </si>
  <si>
    <t>'94140'</t>
  </si>
  <si>
    <t>'94141'</t>
  </si>
  <si>
    <t>'94142'</t>
  </si>
  <si>
    <t>'94143'</t>
  </si>
  <si>
    <t>'94146'</t>
  </si>
  <si>
    <t>'94854'</t>
  </si>
  <si>
    <t>'94110'</t>
  </si>
  <si>
    <t>'94111'</t>
  </si>
  <si>
    <t>'94112'</t>
  </si>
  <si>
    <t>'94113'</t>
  </si>
  <si>
    <t>'94114'</t>
  </si>
  <si>
    <t>'94115'</t>
  </si>
  <si>
    <t>'94116'</t>
  </si>
  <si>
    <t>'94117'</t>
  </si>
  <si>
    <t>'94118'</t>
  </si>
  <si>
    <t>'94234'</t>
  </si>
  <si>
    <t>'94252'</t>
  </si>
  <si>
    <t>'94257'</t>
  </si>
  <si>
    <t>'94741'</t>
  </si>
  <si>
    <t>'94742'</t>
  </si>
  <si>
    <t>'94743'</t>
  </si>
  <si>
    <t>'94745'</t>
  </si>
  <si>
    <t>'94748'</t>
  </si>
  <si>
    <t>'94749'</t>
  </si>
  <si>
    <t>'94942'</t>
  </si>
  <si>
    <t>'94470'</t>
  </si>
  <si>
    <t>'94471'</t>
  </si>
  <si>
    <t>'94472'</t>
  </si>
  <si>
    <t>'94475'</t>
  </si>
  <si>
    <t>'94477'</t>
  </si>
  <si>
    <t>'94478'</t>
  </si>
  <si>
    <t>'94001'</t>
  </si>
  <si>
    <t>'94002'</t>
  </si>
  <si>
    <t>'94380'</t>
  </si>
  <si>
    <t>'94381'</t>
  </si>
  <si>
    <t>'94382'</t>
  </si>
  <si>
    <t>'94383'</t>
  </si>
  <si>
    <t>'94384'</t>
  </si>
  <si>
    <t>'94385'</t>
  </si>
  <si>
    <t>'94386'</t>
  </si>
  <si>
    <t>'94387'</t>
  </si>
  <si>
    <t>'94388'</t>
  </si>
  <si>
    <t>'94389'</t>
  </si>
  <si>
    <t>'94861'</t>
  </si>
  <si>
    <t>'94862'</t>
  </si>
  <si>
    <t>'94864'</t>
  </si>
  <si>
    <t>'94865'</t>
  </si>
  <si>
    <t>'94866'</t>
  </si>
  <si>
    <t>'94360'</t>
  </si>
  <si>
    <t>'94361'</t>
  </si>
  <si>
    <t>'94363'</t>
  </si>
  <si>
    <t>'94364'</t>
  </si>
  <si>
    <t>'94366'</t>
  </si>
  <si>
    <t>'94368'</t>
  </si>
  <si>
    <t>'94230'</t>
  </si>
  <si>
    <t>'94231'</t>
  </si>
  <si>
    <t>'94232'</t>
  </si>
  <si>
    <t>'94235'</t>
  </si>
  <si>
    <t>'94236'</t>
  </si>
  <si>
    <t>'94237'</t>
  </si>
  <si>
    <t>'94239'</t>
  </si>
  <si>
    <t>'94103'</t>
  </si>
  <si>
    <t>'94276'</t>
  </si>
  <si>
    <t>'94500'</t>
  </si>
  <si>
    <t>'94501'</t>
  </si>
  <si>
    <t>'94502'</t>
  </si>
  <si>
    <t>'94503'</t>
  </si>
  <si>
    <t>'94504'</t>
  </si>
  <si>
    <t>'94506'</t>
  </si>
  <si>
    <t>'94507'</t>
  </si>
  <si>
    <t>'94508'</t>
  </si>
  <si>
    <t>'94220'</t>
  </si>
  <si>
    <t>'94221'</t>
  </si>
  <si>
    <t>'94222'</t>
  </si>
  <si>
    <t>'94223'</t>
  </si>
  <si>
    <t>'94224'</t>
  </si>
  <si>
    <t>'94225'</t>
  </si>
  <si>
    <t>'94226'</t>
  </si>
  <si>
    <t>'94227'</t>
  </si>
  <si>
    <t>'94228'</t>
  </si>
  <si>
    <t>'94411'</t>
  </si>
  <si>
    <t>'94673'</t>
  </si>
  <si>
    <t>'94674'</t>
  </si>
  <si>
    <t>'94676'</t>
  </si>
  <si>
    <t>'94677'</t>
  </si>
  <si>
    <t>'94430'</t>
  </si>
  <si>
    <t>'94431'</t>
  </si>
  <si>
    <t>'94432'</t>
  </si>
  <si>
    <t>'94433'</t>
  </si>
  <si>
    <t>'94434'</t>
  </si>
  <si>
    <t>'94435'</t>
  </si>
  <si>
    <t>'94436'</t>
  </si>
  <si>
    <t>'94437'</t>
  </si>
  <si>
    <t>'94438'</t>
  </si>
  <si>
    <t>'94152'</t>
  </si>
  <si>
    <t>'94153'</t>
  </si>
  <si>
    <t>'94154'</t>
  </si>
  <si>
    <t>'94155'</t>
  </si>
  <si>
    <t>'94156'</t>
  </si>
  <si>
    <t>'94158'</t>
  </si>
  <si>
    <t>'94512'</t>
  </si>
  <si>
    <t>'94514'</t>
  </si>
  <si>
    <t>'94515'</t>
  </si>
  <si>
    <t>'94516'</t>
  </si>
  <si>
    <t>'94522'</t>
  </si>
  <si>
    <t>'94525'</t>
  </si>
  <si>
    <t>'94535'</t>
  </si>
  <si>
    <t>'94550'</t>
  </si>
  <si>
    <t>'94562'</t>
  </si>
  <si>
    <t>'94565'</t>
  </si>
  <si>
    <t>'94566'</t>
  </si>
  <si>
    <t>'94569'</t>
  </si>
  <si>
    <t>'94571'</t>
  </si>
  <si>
    <t>'94572'</t>
  </si>
  <si>
    <t>'94574'</t>
  </si>
  <si>
    <t>'94575'</t>
  </si>
  <si>
    <t>'94576'</t>
  </si>
  <si>
    <t>'94581'</t>
  </si>
  <si>
    <t>'94582'</t>
  </si>
  <si>
    <t>'94584'</t>
  </si>
  <si>
    <t>'94585'</t>
  </si>
  <si>
    <t>'94586'</t>
  </si>
  <si>
    <t>'94587'</t>
  </si>
  <si>
    <t>'94591'</t>
  </si>
  <si>
    <t>'94592'</t>
  </si>
  <si>
    <t>'94594'</t>
  </si>
  <si>
    <t>'94596'</t>
  </si>
  <si>
    <t>'94597'</t>
  </si>
  <si>
    <t>'94611'</t>
  </si>
  <si>
    <t>'94612'</t>
  </si>
  <si>
    <t>'94616'</t>
  </si>
  <si>
    <t>'94619'</t>
  </si>
  <si>
    <t>'94621'</t>
  </si>
  <si>
    <t>'94622'</t>
  </si>
  <si>
    <t>'94626'</t>
  </si>
  <si>
    <t>'94631'</t>
  </si>
  <si>
    <t>'94632'</t>
  </si>
  <si>
    <t>'94634'</t>
  </si>
  <si>
    <t>'94635'</t>
  </si>
  <si>
    <t>'94637'</t>
  </si>
  <si>
    <t>'94638'</t>
  </si>
  <si>
    <t>'94639'</t>
  </si>
  <si>
    <t>'94641'</t>
  </si>
  <si>
    <t>'94642'</t>
  </si>
  <si>
    <t>'94644'</t>
  </si>
  <si>
    <t>'94645'</t>
  </si>
  <si>
    <t>'94647'</t>
  </si>
  <si>
    <t>'94648'</t>
  </si>
  <si>
    <t>'94656'</t>
  </si>
  <si>
    <t>'94658'</t>
  </si>
  <si>
    <t>'94659'</t>
  </si>
  <si>
    <t>'94669'</t>
  </si>
  <si>
    <t>'94600'</t>
  </si>
  <si>
    <t>'94601'</t>
  </si>
  <si>
    <t>'94604'</t>
  </si>
  <si>
    <t>'94607'</t>
  </si>
  <si>
    <t>'94000'</t>
  </si>
  <si>
    <t>'94003'</t>
  </si>
  <si>
    <t>'94004'</t>
  </si>
  <si>
    <t>'94005'</t>
  </si>
  <si>
    <t>'94006'</t>
  </si>
  <si>
    <t>'94007'</t>
  </si>
  <si>
    <t>'94008'</t>
  </si>
  <si>
    <t>'94009'</t>
  </si>
  <si>
    <t>'94010'</t>
  </si>
  <si>
    <t>'94011'</t>
  </si>
  <si>
    <t>'94012'</t>
  </si>
  <si>
    <t>'94013'</t>
  </si>
  <si>
    <t>'94014'</t>
  </si>
  <si>
    <t>'94015'</t>
  </si>
  <si>
    <t>'94016'</t>
  </si>
  <si>
    <t>'94017'</t>
  </si>
  <si>
    <t>'94018'</t>
  </si>
  <si>
    <t>'94019'</t>
  </si>
  <si>
    <t>'94020'</t>
  </si>
  <si>
    <t>'94021'</t>
  </si>
  <si>
    <t>'94022'</t>
  </si>
  <si>
    <t>'94023'</t>
  </si>
  <si>
    <t>'94025'</t>
  </si>
  <si>
    <t>'94026'</t>
  </si>
  <si>
    <t>'94027'</t>
  </si>
  <si>
    <t>'94028'</t>
  </si>
  <si>
    <t>'94030'</t>
  </si>
  <si>
    <t>'94031'</t>
  </si>
  <si>
    <t>'94032'</t>
  </si>
  <si>
    <t>'94033'</t>
  </si>
  <si>
    <t>'94034'</t>
  </si>
  <si>
    <t>'94035'</t>
  </si>
  <si>
    <t>'94037'</t>
  </si>
  <si>
    <t>'94038'</t>
  </si>
  <si>
    <t>'94040'</t>
  </si>
  <si>
    <t>'94041'</t>
  </si>
  <si>
    <t>'94042'</t>
  </si>
  <si>
    <t>'94043'</t>
  </si>
  <si>
    <t>'94044'</t>
  </si>
  <si>
    <t>'94045'</t>
  </si>
  <si>
    <t>'94046'</t>
  </si>
  <si>
    <t>'94048'</t>
  </si>
  <si>
    <t>'94049'</t>
  </si>
  <si>
    <t>'94054'</t>
  </si>
  <si>
    <t>'94945'</t>
  </si>
  <si>
    <t>'94947'</t>
  </si>
  <si>
    <t>'94949'</t>
  </si>
  <si>
    <t>'94951'</t>
  </si>
  <si>
    <t>'94953'</t>
  </si>
  <si>
    <t>'94954'</t>
  </si>
  <si>
    <t>'94961'</t>
  </si>
  <si>
    <t>'94962'</t>
  </si>
  <si>
    <t>'94964'</t>
  </si>
  <si>
    <t>'94974'</t>
  </si>
  <si>
    <t>'94976'</t>
  </si>
  <si>
    <t>'94120'</t>
  </si>
  <si>
    <t>'94121'</t>
  </si>
  <si>
    <t>'94122'</t>
  </si>
  <si>
    <t>'94123'</t>
  </si>
  <si>
    <t>'94124'</t>
  </si>
  <si>
    <t>'94125'</t>
  </si>
  <si>
    <t>'94126'</t>
  </si>
  <si>
    <t>'94127'</t>
  </si>
  <si>
    <t>'94128'</t>
  </si>
  <si>
    <t>'94131'</t>
  </si>
  <si>
    <t>'94132'</t>
  </si>
  <si>
    <t>'94133'</t>
  </si>
  <si>
    <t>'94134'</t>
  </si>
  <si>
    <t>'94135'</t>
  </si>
  <si>
    <t>'94136'</t>
  </si>
  <si>
    <t>'94137'</t>
  </si>
  <si>
    <t>'94138'</t>
  </si>
  <si>
    <t>'94721'</t>
  </si>
  <si>
    <t>'94722'</t>
  </si>
  <si>
    <t>'94723'</t>
  </si>
  <si>
    <t>'94724'</t>
  </si>
  <si>
    <t>'94725'</t>
  </si>
  <si>
    <t>'94726'</t>
  </si>
  <si>
    <t>'94727'</t>
  </si>
  <si>
    <t>'94729'</t>
  </si>
  <si>
    <t>'94260'</t>
  </si>
  <si>
    <t>'94261'</t>
  </si>
  <si>
    <t>'94262'</t>
  </si>
  <si>
    <t>'94263'</t>
  </si>
  <si>
    <t>'94266'</t>
  </si>
  <si>
    <t>'94267'</t>
  </si>
  <si>
    <t>'94268'</t>
  </si>
  <si>
    <t>'94831'</t>
  </si>
  <si>
    <t>'94832'</t>
  </si>
  <si>
    <t>'94250'</t>
  </si>
  <si>
    <t>'94251'</t>
  </si>
  <si>
    <t>'94253'</t>
  </si>
  <si>
    <t>'94254'</t>
  </si>
  <si>
    <t>'94255'</t>
  </si>
  <si>
    <t>'94256'</t>
  </si>
  <si>
    <t>'94258'</t>
  </si>
  <si>
    <t>'94271'</t>
  </si>
  <si>
    <t>'94240'</t>
  </si>
  <si>
    <t>'94241'</t>
  </si>
  <si>
    <t>'94242'</t>
  </si>
  <si>
    <t>'94243'</t>
  </si>
  <si>
    <t>'94246'</t>
  </si>
  <si>
    <t>'94247'</t>
  </si>
  <si>
    <t>'94249'</t>
  </si>
  <si>
    <t>'94200'</t>
  </si>
  <si>
    <t>'94201'</t>
  </si>
  <si>
    <t>'94202'</t>
  </si>
  <si>
    <t>'94203'</t>
  </si>
  <si>
    <t>'94205'</t>
  </si>
  <si>
    <t>'94206'</t>
  </si>
  <si>
    <t>'94207'</t>
  </si>
  <si>
    <t>'94208'</t>
  </si>
  <si>
    <t>'94209'</t>
  </si>
  <si>
    <t>'94762'</t>
  </si>
  <si>
    <t>'94763'</t>
  </si>
  <si>
    <t>'94764'</t>
  </si>
  <si>
    <t>'94766'</t>
  </si>
  <si>
    <t>'94768'</t>
  </si>
  <si>
    <t>'94851'</t>
  </si>
  <si>
    <t>'94852'</t>
  </si>
  <si>
    <t>'94853'</t>
  </si>
  <si>
    <t>'94855'</t>
  </si>
  <si>
    <t>'94856'</t>
  </si>
  <si>
    <t>'94857'</t>
  </si>
  <si>
    <t>'94859'</t>
  </si>
  <si>
    <t>'94340'</t>
  </si>
  <si>
    <t>'94341'</t>
  </si>
  <si>
    <t>'94344'</t>
  </si>
  <si>
    <t>'94345'</t>
  </si>
  <si>
    <t>'94349'</t>
  </si>
  <si>
    <t>'94270'</t>
  </si>
  <si>
    <t>'94272'</t>
  </si>
  <si>
    <t>'94273'</t>
  </si>
  <si>
    <t>'94274'</t>
  </si>
  <si>
    <t>'94275'</t>
  </si>
  <si>
    <t>'94277'</t>
  </si>
  <si>
    <t>'94278'</t>
  </si>
  <si>
    <t>'94281'</t>
  </si>
  <si>
    <t>'94801'</t>
  </si>
  <si>
    <t>'94450'</t>
  </si>
  <si>
    <t>'94451'</t>
  </si>
  <si>
    <t>'94452'</t>
  </si>
  <si>
    <t>'94453'</t>
  </si>
  <si>
    <t>'94455'</t>
  </si>
  <si>
    <t>'94456'</t>
  </si>
  <si>
    <t>'94700'</t>
  </si>
  <si>
    <t>'94701'</t>
  </si>
  <si>
    <t>'94702'</t>
  </si>
  <si>
    <t>'94703'</t>
  </si>
  <si>
    <t>'94704'</t>
  </si>
  <si>
    <t>'94706'</t>
  </si>
  <si>
    <t>'94707'</t>
  </si>
  <si>
    <t>'94709'</t>
  </si>
  <si>
    <t>'94710'</t>
  </si>
  <si>
    <t>'94711'</t>
  </si>
  <si>
    <t>'94715'</t>
  </si>
  <si>
    <t>'95303'</t>
  </si>
  <si>
    <t>'94520'</t>
  </si>
  <si>
    <t>'94440'</t>
  </si>
  <si>
    <t>'94130'</t>
  </si>
  <si>
    <t>'94731'</t>
  </si>
  <si>
    <t>'94732'</t>
  </si>
  <si>
    <t>'94733'</t>
  </si>
  <si>
    <t>'94735'</t>
  </si>
  <si>
    <t>'94736'</t>
  </si>
  <si>
    <t>'94737'</t>
  </si>
  <si>
    <t>'94738'</t>
  </si>
  <si>
    <t>'94371'</t>
  </si>
  <si>
    <t>'94373'</t>
  </si>
  <si>
    <t>'94376'</t>
  </si>
  <si>
    <t>'94880'</t>
  </si>
  <si>
    <t>'94310'</t>
  </si>
  <si>
    <t>'94311'</t>
  </si>
  <si>
    <t>'94312'</t>
  </si>
  <si>
    <t>'94319'</t>
  </si>
  <si>
    <t>'94537'</t>
  </si>
  <si>
    <t>'94567'</t>
  </si>
  <si>
    <t>'94577'</t>
  </si>
  <si>
    <t>'94667'</t>
  </si>
  <si>
    <t>'94955'</t>
  </si>
  <si>
    <t>'94968'</t>
  </si>
  <si>
    <t>'94490'</t>
  </si>
  <si>
    <t>'94170'</t>
  </si>
  <si>
    <t>'94171'</t>
  </si>
  <si>
    <t>'94172'</t>
  </si>
  <si>
    <t>'94420'</t>
  </si>
  <si>
    <t>'94510'</t>
  </si>
  <si>
    <t>'94098'</t>
  </si>
  <si>
    <t>'94150'</t>
  </si>
  <si>
    <t>'94157'</t>
  </si>
  <si>
    <t>'94159'</t>
  </si>
  <si>
    <t>'94513'</t>
  </si>
  <si>
    <t>'94518'</t>
  </si>
  <si>
    <t>'94519'</t>
  </si>
  <si>
    <t>'94523'</t>
  </si>
  <si>
    <t>'94524'</t>
  </si>
  <si>
    <t>'94526'</t>
  </si>
  <si>
    <t>'94528'</t>
  </si>
  <si>
    <t>'94532'</t>
  </si>
  <si>
    <t>'94533'</t>
  </si>
  <si>
    <t>'94534'</t>
  </si>
  <si>
    <t>'94536'</t>
  </si>
  <si>
    <t>'94538'</t>
  </si>
  <si>
    <t>'94539'</t>
  </si>
  <si>
    <t>'94563'</t>
  </si>
  <si>
    <t>'94564'</t>
  </si>
  <si>
    <t>'94568'</t>
  </si>
  <si>
    <t>'94573'</t>
  </si>
  <si>
    <t>'94578'</t>
  </si>
  <si>
    <t>'94579'</t>
  </si>
  <si>
    <t>'94583'</t>
  </si>
  <si>
    <t>'94588'</t>
  </si>
  <si>
    <t>'94589'</t>
  </si>
  <si>
    <t>'94593'</t>
  </si>
  <si>
    <t>'94595'</t>
  </si>
  <si>
    <t>'94598'</t>
  </si>
  <si>
    <t>'94599'</t>
  </si>
  <si>
    <t>'94613'</t>
  </si>
  <si>
    <t>'94617'</t>
  </si>
  <si>
    <t>'94618'</t>
  </si>
  <si>
    <t>'94623'</t>
  </si>
  <si>
    <t>'94627'</t>
  </si>
  <si>
    <t>'94628'</t>
  </si>
  <si>
    <t>'94633'</t>
  </si>
  <si>
    <t>'94636'</t>
  </si>
  <si>
    <t>'94643'</t>
  </si>
  <si>
    <t>'94652'</t>
  </si>
  <si>
    <t>'94653'</t>
  </si>
  <si>
    <t>'94654'</t>
  </si>
  <si>
    <t>'94663'</t>
  </si>
  <si>
    <t>'94664'</t>
  </si>
  <si>
    <t>'94952'</t>
  </si>
  <si>
    <t>'94956'</t>
  </si>
  <si>
    <t>'94972'</t>
  </si>
  <si>
    <t>'94160'</t>
  </si>
  <si>
    <t>'94161'</t>
  </si>
  <si>
    <t>'94162'</t>
  </si>
  <si>
    <t>'94163'</t>
  </si>
  <si>
    <t>'94165'</t>
  </si>
  <si>
    <t>'94100'</t>
  </si>
  <si>
    <t>'94101'</t>
  </si>
  <si>
    <t>'94102'</t>
  </si>
  <si>
    <t>'94104'</t>
  </si>
  <si>
    <t>'94106'</t>
  </si>
  <si>
    <t>'94107'</t>
  </si>
  <si>
    <t>'94210'</t>
  </si>
  <si>
    <t>'94211'</t>
  </si>
  <si>
    <t>'94214'</t>
  </si>
  <si>
    <t>'94410'</t>
  </si>
  <si>
    <t>'94412'</t>
  </si>
  <si>
    <t>'94413'</t>
  </si>
  <si>
    <t>'94414'</t>
  </si>
  <si>
    <t>'94415'</t>
  </si>
  <si>
    <t>'94417'</t>
  </si>
  <si>
    <t>'94419'</t>
  </si>
  <si>
    <t>'94370'</t>
  </si>
  <si>
    <t>'94372'</t>
  </si>
  <si>
    <t>'94320'</t>
  </si>
  <si>
    <t>'94321'</t>
  </si>
  <si>
    <t>'94324'</t>
  </si>
  <si>
    <t>'94327'</t>
  </si>
  <si>
    <t>'94511'</t>
  </si>
  <si>
    <t>'94517'</t>
  </si>
  <si>
    <t>'94521'</t>
  </si>
  <si>
    <t>'94527'</t>
  </si>
  <si>
    <t>'94531'</t>
  </si>
  <si>
    <t>'94561'</t>
  </si>
  <si>
    <t>'94651'</t>
  </si>
  <si>
    <t>'94657'</t>
  </si>
  <si>
    <t>'94661'</t>
  </si>
  <si>
    <t>'94460'</t>
  </si>
  <si>
    <t>'94800'</t>
  </si>
  <si>
    <t>'94802'</t>
  </si>
  <si>
    <t>'94803'</t>
  </si>
  <si>
    <t>'94804'</t>
  </si>
  <si>
    <t>'94805'</t>
  </si>
  <si>
    <t>'94806'</t>
  </si>
  <si>
    <t>'94807'</t>
  </si>
  <si>
    <t>'94808'</t>
  </si>
  <si>
    <t>'94814'</t>
  </si>
  <si>
    <t>'94815'</t>
  </si>
  <si>
    <t>'94817'</t>
  </si>
  <si>
    <t>'94290'</t>
  </si>
  <si>
    <t>'94190'</t>
  </si>
  <si>
    <t>'94191'</t>
  </si>
  <si>
    <t>'94192'</t>
  </si>
  <si>
    <t>'94193'</t>
  </si>
  <si>
    <t>'94194'</t>
  </si>
  <si>
    <t>'94195'</t>
  </si>
  <si>
    <t>'94350'</t>
  </si>
  <si>
    <t>'94351'</t>
  </si>
  <si>
    <t>'94353'</t>
  </si>
  <si>
    <t>'94354'</t>
  </si>
  <si>
    <t>'94355'</t>
  </si>
  <si>
    <t>'94356'</t>
  </si>
  <si>
    <t>'94357'</t>
  </si>
  <si>
    <t>'94300'</t>
  </si>
  <si>
    <t>'94301'</t>
  </si>
  <si>
    <t>'94302'</t>
  </si>
  <si>
    <t>'94303'</t>
  </si>
  <si>
    <t>'94304'</t>
  </si>
  <si>
    <t>'94305'</t>
  </si>
  <si>
    <t>'94306'</t>
  </si>
  <si>
    <t>'94307'</t>
  </si>
  <si>
    <t>'94682'</t>
  </si>
  <si>
    <t>'94683'</t>
  </si>
  <si>
    <t>'94684'</t>
  </si>
  <si>
    <t>'94686'</t>
  </si>
  <si>
    <t>'94400'</t>
  </si>
  <si>
    <t>'94401'</t>
  </si>
  <si>
    <t>'94402'</t>
  </si>
  <si>
    <t>'94403'</t>
  </si>
  <si>
    <t>'94404'</t>
  </si>
  <si>
    <t>'94405'</t>
  </si>
  <si>
    <t>'94406'</t>
  </si>
  <si>
    <t>'94407'</t>
  </si>
  <si>
    <t>'94408'</t>
  </si>
  <si>
    <t>'94781'</t>
  </si>
  <si>
    <t>'94782'</t>
  </si>
  <si>
    <t>'94784'</t>
  </si>
  <si>
    <t>'95450'</t>
  </si>
  <si>
    <t>'95510'</t>
  </si>
  <si>
    <t>'95420'</t>
  </si>
  <si>
    <t>'95710'</t>
  </si>
  <si>
    <t>'95335'</t>
  </si>
  <si>
    <t>'95580'</t>
  </si>
  <si>
    <t>'95100'</t>
  </si>
  <si>
    <t>'95101'</t>
  </si>
  <si>
    <t>'95102'</t>
  </si>
  <si>
    <t>'95103'</t>
  </si>
  <si>
    <t>'95104'</t>
  </si>
  <si>
    <t>'95105'</t>
  </si>
  <si>
    <t>'95106'</t>
  </si>
  <si>
    <t>'95107'</t>
  </si>
  <si>
    <t>'95815'</t>
  </si>
  <si>
    <t>'95400'</t>
  </si>
  <si>
    <t>'95810'</t>
  </si>
  <si>
    <t>'95270'</t>
  </si>
  <si>
    <t>'95570'</t>
  </si>
  <si>
    <t>'95430'</t>
  </si>
  <si>
    <t>'95560'</t>
  </si>
  <si>
    <t>'95157'</t>
  </si>
  <si>
    <t>'95250'</t>
  </si>
  <si>
    <t>'95251'</t>
  </si>
  <si>
    <t>'95252'</t>
  </si>
  <si>
    <t>'95260'</t>
  </si>
  <si>
    <t>'95750'</t>
  </si>
  <si>
    <t>'95340'</t>
  </si>
  <si>
    <t>'95155'</t>
  </si>
  <si>
    <t>'95550'</t>
  </si>
  <si>
    <t>'95551'</t>
  </si>
  <si>
    <t>'95840'</t>
  </si>
  <si>
    <t>'95870'</t>
  </si>
  <si>
    <t>'95871'</t>
  </si>
  <si>
    <t>'95872'</t>
  </si>
  <si>
    <t>'95873'</t>
  </si>
  <si>
    <t>'95874'</t>
  </si>
  <si>
    <t>'95875'</t>
  </si>
  <si>
    <t>'95876'</t>
  </si>
  <si>
    <t>'95877'</t>
  </si>
  <si>
    <t>'95000'</t>
  </si>
  <si>
    <t>'95015'</t>
  </si>
  <si>
    <t>'95650'</t>
  </si>
  <si>
    <t>'95651'</t>
  </si>
  <si>
    <t>'95500'</t>
  </si>
  <si>
    <t>'95503'</t>
  </si>
  <si>
    <t>'95331'</t>
  </si>
  <si>
    <t>'95332'</t>
  </si>
  <si>
    <t>'95575'</t>
  </si>
  <si>
    <t>'95720'</t>
  </si>
  <si>
    <t>'95640'</t>
  </si>
  <si>
    <t>'95820'</t>
  </si>
  <si>
    <t>'95770'</t>
  </si>
  <si>
    <t>'95001'</t>
  </si>
  <si>
    <t>'95002'</t>
  </si>
  <si>
    <t>'95003'</t>
  </si>
  <si>
    <t>'95006'</t>
  </si>
  <si>
    <t>'95007'</t>
  </si>
  <si>
    <t>'95010'</t>
  </si>
  <si>
    <t>'95011'</t>
  </si>
  <si>
    <t>'95012'</t>
  </si>
  <si>
    <t>'95013'</t>
  </si>
  <si>
    <t>'95014'</t>
  </si>
  <si>
    <t>'95017'</t>
  </si>
  <si>
    <t>'95018'</t>
  </si>
  <si>
    <t>'95020'</t>
  </si>
  <si>
    <t>'95021'</t>
  </si>
  <si>
    <t>'95022'</t>
  </si>
  <si>
    <t>'95023'</t>
  </si>
  <si>
    <t>'95024'</t>
  </si>
  <si>
    <t>'95025'</t>
  </si>
  <si>
    <t>'95027'</t>
  </si>
  <si>
    <t>'95028'</t>
  </si>
  <si>
    <t>'95031'</t>
  </si>
  <si>
    <t>'95032'</t>
  </si>
  <si>
    <t>'95033'</t>
  </si>
  <si>
    <t>'95034'</t>
  </si>
  <si>
    <t>'95035'</t>
  </si>
  <si>
    <t>'95036'</t>
  </si>
  <si>
    <t>'95037'</t>
  </si>
  <si>
    <t>'95090'</t>
  </si>
  <si>
    <t>'95091'</t>
  </si>
  <si>
    <t>'95092'</t>
  </si>
  <si>
    <t>'95093'</t>
  </si>
  <si>
    <t>'95094'</t>
  </si>
  <si>
    <t>'95095'</t>
  </si>
  <si>
    <t>'95098'</t>
  </si>
  <si>
    <t>'95301'</t>
  </si>
  <si>
    <t>'95800'</t>
  </si>
  <si>
    <t>'95801'</t>
  </si>
  <si>
    <t>'95802'</t>
  </si>
  <si>
    <t>'95803'</t>
  </si>
  <si>
    <t>'95804'</t>
  </si>
  <si>
    <t>'95805'</t>
  </si>
  <si>
    <t>'95806'</t>
  </si>
  <si>
    <t>'95807'</t>
  </si>
  <si>
    <t>'95808'</t>
  </si>
  <si>
    <t>'95861'</t>
  </si>
  <si>
    <t>'95862'</t>
  </si>
  <si>
    <t>'95863'</t>
  </si>
  <si>
    <t>'95865'</t>
  </si>
  <si>
    <t>'95866'</t>
  </si>
  <si>
    <t>'95891'</t>
  </si>
  <si>
    <t>'95892'</t>
  </si>
  <si>
    <t>'95895'</t>
  </si>
  <si>
    <t>'95897'</t>
  </si>
  <si>
    <t>'95898'</t>
  </si>
  <si>
    <t>'95905'</t>
  </si>
  <si>
    <t>'95660'</t>
  </si>
  <si>
    <t>'95190'</t>
  </si>
  <si>
    <t>'95380'</t>
  </si>
  <si>
    <t>'95240'</t>
  </si>
  <si>
    <t>'95830'</t>
  </si>
  <si>
    <t>'95170'</t>
  </si>
  <si>
    <t>'95413'</t>
  </si>
  <si>
    <t>'95330'</t>
  </si>
  <si>
    <t>'95600'</t>
  </si>
  <si>
    <t>'95601'</t>
  </si>
  <si>
    <t>'95602'</t>
  </si>
  <si>
    <t>'95603'</t>
  </si>
  <si>
    <t>'95604'</t>
  </si>
  <si>
    <t>'95605'</t>
  </si>
  <si>
    <t>'95333'</t>
  </si>
  <si>
    <t>'95440'</t>
  </si>
  <si>
    <t>'95441'</t>
  </si>
  <si>
    <t>'95880'</t>
  </si>
  <si>
    <t>'95300'</t>
  </si>
  <si>
    <t>'95302'</t>
  </si>
  <si>
    <t>'95304'</t>
  </si>
  <si>
    <t>'95305'</t>
  </si>
  <si>
    <t>'95306'</t>
  </si>
  <si>
    <t>'95476'</t>
  </si>
  <si>
    <t>'95523'</t>
  </si>
  <si>
    <t>'95528'</t>
  </si>
  <si>
    <t>'95610'</t>
  </si>
  <si>
    <t>'95611'</t>
  </si>
  <si>
    <t>'95612'</t>
  </si>
  <si>
    <t>'95613'</t>
  </si>
  <si>
    <t>'95614'</t>
  </si>
  <si>
    <t>'95615'</t>
  </si>
  <si>
    <t>'95616'</t>
  </si>
  <si>
    <t>'95617'</t>
  </si>
  <si>
    <t>'95618'</t>
  </si>
  <si>
    <t>'95120'</t>
  </si>
  <si>
    <t>'95121'</t>
  </si>
  <si>
    <t>'95122'</t>
  </si>
  <si>
    <t>'95123'</t>
  </si>
  <si>
    <t>'95124'</t>
  </si>
  <si>
    <t>'95125'</t>
  </si>
  <si>
    <t>'95126'</t>
  </si>
  <si>
    <t>'95127'</t>
  </si>
  <si>
    <t>'95460'</t>
  </si>
  <si>
    <t>'95461'</t>
  </si>
  <si>
    <t>'95191'</t>
  </si>
  <si>
    <t>'95696'</t>
  </si>
  <si>
    <t>'95470'</t>
  </si>
  <si>
    <t>'95471'</t>
  </si>
  <si>
    <t>'95472'</t>
  </si>
  <si>
    <t>'95477'</t>
  </si>
  <si>
    <t>'95672'</t>
  </si>
  <si>
    <t>'95130'</t>
  </si>
  <si>
    <t>'95131'</t>
  </si>
  <si>
    <t>'95132'</t>
  </si>
  <si>
    <t>'95133'</t>
  </si>
  <si>
    <t>'95134'</t>
  </si>
  <si>
    <t>'95137'</t>
  </si>
  <si>
    <t>'95138'</t>
  </si>
  <si>
    <t>'95740'</t>
  </si>
  <si>
    <t>'95530'</t>
  </si>
  <si>
    <t>'95690'</t>
  </si>
  <si>
    <t>'95140'</t>
  </si>
  <si>
    <t>'95141'</t>
  </si>
  <si>
    <t>'95142'</t>
  </si>
  <si>
    <t>'95143'</t>
  </si>
  <si>
    <t>'95144'</t>
  </si>
  <si>
    <t>'95145'</t>
  </si>
  <si>
    <t>'95501'</t>
  </si>
  <si>
    <t>'95502'</t>
  </si>
  <si>
    <t>'95504'</t>
  </si>
  <si>
    <t>'95505'</t>
  </si>
  <si>
    <t>'95506'</t>
  </si>
  <si>
    <t>'95508'</t>
  </si>
  <si>
    <t>'95926'</t>
  </si>
  <si>
    <t>'95932'</t>
  </si>
  <si>
    <t>'95934'</t>
  </si>
  <si>
    <t>'95940'</t>
  </si>
  <si>
    <t>'95944'</t>
  </si>
  <si>
    <t>'95945'</t>
  </si>
  <si>
    <t>'95946'</t>
  </si>
  <si>
    <t>'95947'</t>
  </si>
  <si>
    <t>'95948'</t>
  </si>
  <si>
    <t>'95950'</t>
  </si>
  <si>
    <t>'95951'</t>
  </si>
  <si>
    <t>'95952'</t>
  </si>
  <si>
    <t>'95953'</t>
  </si>
  <si>
    <t>'95954'</t>
  </si>
  <si>
    <t>'95956'</t>
  </si>
  <si>
    <t>'95957'</t>
  </si>
  <si>
    <t>'95971'</t>
  </si>
  <si>
    <t>'95975'</t>
  </si>
  <si>
    <t>'95192'</t>
  </si>
  <si>
    <t>'95193'</t>
  </si>
  <si>
    <t>'95194'</t>
  </si>
  <si>
    <t>'95195'</t>
  </si>
  <si>
    <t>'95196'</t>
  </si>
  <si>
    <t>'95197'</t>
  </si>
  <si>
    <t>'95198'</t>
  </si>
  <si>
    <t>'95691'</t>
  </si>
  <si>
    <t>'95692'</t>
  </si>
  <si>
    <t>'95693'</t>
  </si>
  <si>
    <t>'95410'</t>
  </si>
  <si>
    <t>'95411'</t>
  </si>
  <si>
    <t>'95780'</t>
  </si>
  <si>
    <t>'95220'</t>
  </si>
  <si>
    <t>'95221'</t>
  </si>
  <si>
    <t>'95222'</t>
  </si>
  <si>
    <t>'95223'</t>
  </si>
  <si>
    <t>'95224'</t>
  </si>
  <si>
    <t>'95226'</t>
  </si>
  <si>
    <t>'95228'</t>
  </si>
  <si>
    <t>'95290'</t>
  </si>
  <si>
    <t>'95291'</t>
  </si>
  <si>
    <t>'95850'</t>
  </si>
  <si>
    <t>'95008'</t>
  </si>
  <si>
    <t>'95280'</t>
  </si>
  <si>
    <t>'95474'</t>
  </si>
  <si>
    <t>'95475'</t>
  </si>
  <si>
    <t>'95670'</t>
  </si>
  <si>
    <t>'95180'</t>
  </si>
  <si>
    <t>'95630'</t>
  </si>
  <si>
    <t>'95540'</t>
  </si>
  <si>
    <t>'95370'</t>
  </si>
  <si>
    <t>'95680'</t>
  </si>
  <si>
    <t>'95360'</t>
  </si>
  <si>
    <t>'95412'</t>
  </si>
  <si>
    <t>'95160'</t>
  </si>
  <si>
    <t>'95161'</t>
  </si>
  <si>
    <t>'95162'</t>
  </si>
  <si>
    <t>'95169'</t>
  </si>
  <si>
    <t>'95590'</t>
  </si>
  <si>
    <t>'95520'</t>
  </si>
  <si>
    <t>'95522'</t>
  </si>
  <si>
    <t>'95524'</t>
  </si>
  <si>
    <t>'95525'</t>
  </si>
  <si>
    <t>'95620'</t>
  </si>
  <si>
    <t>'95480'</t>
  </si>
  <si>
    <t>'95350'</t>
  </si>
  <si>
    <t>'95321'</t>
  </si>
  <si>
    <t>'95030'</t>
  </si>
  <si>
    <t>'95307'</t>
  </si>
  <si>
    <t>'95652'</t>
  </si>
  <si>
    <t>'95700'</t>
  </si>
  <si>
    <t>'95701'</t>
  </si>
  <si>
    <t>'95702'</t>
  </si>
  <si>
    <t>'95704'</t>
  </si>
  <si>
    <t>'95705'</t>
  </si>
  <si>
    <t>'95706'</t>
  </si>
  <si>
    <t>'95708'</t>
  </si>
  <si>
    <t>'95709'</t>
  </si>
  <si>
    <t>'95718'</t>
  </si>
  <si>
    <t>'95721'</t>
  </si>
  <si>
    <t>'95722'</t>
  </si>
  <si>
    <t>'95725'</t>
  </si>
  <si>
    <t>'95732'</t>
  </si>
  <si>
    <t>'95733'</t>
  </si>
  <si>
    <t>'95734'</t>
  </si>
  <si>
    <t>'95911'</t>
  </si>
  <si>
    <t>'95912'</t>
  </si>
  <si>
    <t>'95913'</t>
  </si>
  <si>
    <t>'95919'</t>
  </si>
  <si>
    <t>'95920'</t>
  </si>
  <si>
    <t>'95921'</t>
  </si>
  <si>
    <t>'95931'</t>
  </si>
  <si>
    <t>'95933'</t>
  </si>
  <si>
    <t>'95941'</t>
  </si>
  <si>
    <t>'95942'</t>
  </si>
  <si>
    <t>'95943'</t>
  </si>
  <si>
    <t>'95958'</t>
  </si>
  <si>
    <t>'95970'</t>
  </si>
  <si>
    <t>'95972'</t>
  </si>
  <si>
    <t>'95973'</t>
  </si>
  <si>
    <t>'95974'</t>
  </si>
  <si>
    <t>'95976'</t>
  </si>
  <si>
    <t>'95978'</t>
  </si>
  <si>
    <t>'95355'</t>
  </si>
  <si>
    <t>'95113'</t>
  </si>
  <si>
    <t>'95210'</t>
  </si>
  <si>
    <t>'95211'</t>
  </si>
  <si>
    <t>'95212'</t>
  </si>
  <si>
    <t>'95213'</t>
  </si>
  <si>
    <t>'95214'</t>
  </si>
  <si>
    <t>'95216'</t>
  </si>
  <si>
    <t>'95217'</t>
  </si>
  <si>
    <t>'95320'</t>
  </si>
  <si>
    <t>'95322'</t>
  </si>
  <si>
    <t>'95324'</t>
  </si>
  <si>
    <t>'95328'</t>
  </si>
  <si>
    <t>'95004'</t>
  </si>
  <si>
    <t>'95005'</t>
  </si>
  <si>
    <t>'95040'</t>
  </si>
  <si>
    <t>'95041'</t>
  </si>
  <si>
    <t>'95042'</t>
  </si>
  <si>
    <t>'95046'</t>
  </si>
  <si>
    <t>'95050'</t>
  </si>
  <si>
    <t>'95051'</t>
  </si>
  <si>
    <t>'95052'</t>
  </si>
  <si>
    <t>'95053'</t>
  </si>
  <si>
    <t>'95054'</t>
  </si>
  <si>
    <t>'95055'</t>
  </si>
  <si>
    <t>'95056'</t>
  </si>
  <si>
    <t>'95060'</t>
  </si>
  <si>
    <t>'95061'</t>
  </si>
  <si>
    <t>'95062'</t>
  </si>
  <si>
    <t>'95063'</t>
  </si>
  <si>
    <t>'95064'</t>
  </si>
  <si>
    <t>'95065'</t>
  </si>
  <si>
    <t>'95067'</t>
  </si>
  <si>
    <t>'95070'</t>
  </si>
  <si>
    <t>'95071'</t>
  </si>
  <si>
    <t>'95072'</t>
  </si>
  <si>
    <t>'95073'</t>
  </si>
  <si>
    <t>'95074'</t>
  </si>
  <si>
    <t>'95075'</t>
  </si>
  <si>
    <t>'95076'</t>
  </si>
  <si>
    <t>'95077'</t>
  </si>
  <si>
    <t>'95078'</t>
  </si>
  <si>
    <t>'95079'</t>
  </si>
  <si>
    <t>'95310'</t>
  </si>
  <si>
    <t>'95311'</t>
  </si>
  <si>
    <t>'95312'</t>
  </si>
  <si>
    <t>'95313'</t>
  </si>
  <si>
    <t>'95314'</t>
  </si>
  <si>
    <t>'95315'</t>
  </si>
  <si>
    <t>'95316'</t>
  </si>
  <si>
    <t>'95318'</t>
  </si>
  <si>
    <t>'95390'</t>
  </si>
  <si>
    <t>'95473'</t>
  </si>
  <si>
    <t>'95671'</t>
  </si>
  <si>
    <t>'95110'</t>
  </si>
  <si>
    <t>'95111'</t>
  </si>
  <si>
    <t>'95112'</t>
  </si>
  <si>
    <t>'95117'</t>
  </si>
  <si>
    <t>'95118'</t>
  </si>
  <si>
    <t>'95200'</t>
  </si>
  <si>
    <t>'95201'</t>
  </si>
  <si>
    <t>'95202'</t>
  </si>
  <si>
    <t>'95203'</t>
  </si>
  <si>
    <t>'95204'</t>
  </si>
  <si>
    <t>'95205'</t>
  </si>
  <si>
    <t>'95206'</t>
  </si>
  <si>
    <t>'95842'</t>
  </si>
  <si>
    <t>'95230'</t>
  </si>
  <si>
    <t>'95231'</t>
  </si>
  <si>
    <t>'95232'</t>
  </si>
  <si>
    <t>'95233'</t>
  </si>
  <si>
    <t>'95234'</t>
  </si>
  <si>
    <t>'95478'</t>
  </si>
  <si>
    <t>'95150'</t>
  </si>
  <si>
    <t>'95151'</t>
  </si>
  <si>
    <t>'95152'</t>
  </si>
  <si>
    <t>'95153'</t>
  </si>
  <si>
    <t>'95154'</t>
  </si>
  <si>
    <t>'95158'</t>
  </si>
  <si>
    <t>'95760'</t>
  </si>
  <si>
    <t>'95038'</t>
  </si>
  <si>
    <t>'95490'</t>
  </si>
  <si>
    <t>SYNDICAT MIXTE TRANSPORTS PETIT CUL DE SAC MARIN</t>
  </si>
  <si>
    <t>'97139'</t>
  </si>
  <si>
    <t>'97142'</t>
  </si>
  <si>
    <t>'97151'</t>
  </si>
  <si>
    <t>'97152'</t>
  </si>
  <si>
    <t>'97176'</t>
  </si>
  <si>
    <t>'97178'</t>
  </si>
  <si>
    <t>'97181'</t>
  </si>
  <si>
    <t>'97182'</t>
  </si>
  <si>
    <t>'97183'</t>
  </si>
  <si>
    <t>COMMUNAUTE D'AGGLOMERATION NORD GRANDE-TERRE</t>
  </si>
  <si>
    <t>'97121'</t>
  </si>
  <si>
    <t>'97085'</t>
  </si>
  <si>
    <t>'97086'</t>
  </si>
  <si>
    <t>'97122'</t>
  </si>
  <si>
    <t>'97187'</t>
  </si>
  <si>
    <t>'97188'</t>
  </si>
  <si>
    <t>'97189'</t>
  </si>
  <si>
    <t>'97191'</t>
  </si>
  <si>
    <t>'97192'</t>
  </si>
  <si>
    <t>'97193'</t>
  </si>
  <si>
    <t>'97194'</t>
  </si>
  <si>
    <t>'97195'</t>
  </si>
  <si>
    <t>'97196'</t>
  </si>
  <si>
    <t>'97197'</t>
  </si>
  <si>
    <t>'97198'</t>
  </si>
  <si>
    <t>'97199'</t>
  </si>
  <si>
    <t>COMMUNAUTE DAGGLOMERATION SUD CARAIBE</t>
  </si>
  <si>
    <t>'97123'</t>
  </si>
  <si>
    <t>'97100'</t>
  </si>
  <si>
    <t>'97101'</t>
  </si>
  <si>
    <t>'97102'</t>
  </si>
  <si>
    <t>'97103'</t>
  </si>
  <si>
    <t>'97104'</t>
  </si>
  <si>
    <t>'97105'</t>
  </si>
  <si>
    <t>'97106'</t>
  </si>
  <si>
    <t>'97107'</t>
  </si>
  <si>
    <t>'97108'</t>
  </si>
  <si>
    <t>'97125'</t>
  </si>
  <si>
    <t>'97130'</t>
  </si>
  <si>
    <t>'97113'</t>
  </si>
  <si>
    <t>'97127'</t>
  </si>
  <si>
    <t>COMMUNAUTE D'AGGLOMERATION NORD BASSE-TERRE</t>
  </si>
  <si>
    <t>'97126'</t>
  </si>
  <si>
    <t>'97190'</t>
  </si>
  <si>
    <t>'97128'</t>
  </si>
  <si>
    <t>'97129'</t>
  </si>
  <si>
    <t>'97111'</t>
  </si>
  <si>
    <t>'97160'</t>
  </si>
  <si>
    <t>'97082'</t>
  </si>
  <si>
    <t>'97170'</t>
  </si>
  <si>
    <t>'97131'</t>
  </si>
  <si>
    <t>'97004'</t>
  </si>
  <si>
    <t>'97110'</t>
  </si>
  <si>
    <t>'97153'</t>
  </si>
  <si>
    <t>'97154'</t>
  </si>
  <si>
    <t>'97155'</t>
  </si>
  <si>
    <t>'97156'</t>
  </si>
  <si>
    <t>'97157'</t>
  </si>
  <si>
    <t>'97158'</t>
  </si>
  <si>
    <t>'97161'</t>
  </si>
  <si>
    <t>'97162'</t>
  </si>
  <si>
    <t>'97163'</t>
  </si>
  <si>
    <t>'97164'</t>
  </si>
  <si>
    <t>'97165'</t>
  </si>
  <si>
    <t>'97166'</t>
  </si>
  <si>
    <t>'97167'</t>
  </si>
  <si>
    <t>'97168'</t>
  </si>
  <si>
    <t>'97169'</t>
  </si>
  <si>
    <t>'97171'</t>
  </si>
  <si>
    <t>'97172'</t>
  </si>
  <si>
    <t>'97174'</t>
  </si>
  <si>
    <t>'97116'</t>
  </si>
  <si>
    <t>'97117'</t>
  </si>
  <si>
    <t>'97120'</t>
  </si>
  <si>
    <t>'97118'</t>
  </si>
  <si>
    <t>'97180'</t>
  </si>
  <si>
    <t>'97115'</t>
  </si>
  <si>
    <t>'97136'</t>
  </si>
  <si>
    <t>'97137'</t>
  </si>
  <si>
    <t>'97114'</t>
  </si>
  <si>
    <t>'97141'</t>
  </si>
  <si>
    <t>'97119'</t>
  </si>
  <si>
    <t>MARTINIQUE TRANSPORT CTM</t>
  </si>
  <si>
    <t>'97216'</t>
  </si>
  <si>
    <t>'97217'</t>
  </si>
  <si>
    <t>'97218'</t>
  </si>
  <si>
    <t>'97221'</t>
  </si>
  <si>
    <t>'97222'</t>
  </si>
  <si>
    <t>'97241'</t>
  </si>
  <si>
    <t>'97223'</t>
  </si>
  <si>
    <t>'97224'</t>
  </si>
  <si>
    <t>'97242'</t>
  </si>
  <si>
    <t>'97250'</t>
  </si>
  <si>
    <t>'97200'</t>
  </si>
  <si>
    <t>'97201'</t>
  </si>
  <si>
    <t>'97202'</t>
  </si>
  <si>
    <t>'97203'</t>
  </si>
  <si>
    <t>'97204'</t>
  </si>
  <si>
    <t>'97205'</t>
  </si>
  <si>
    <t>'97206'</t>
  </si>
  <si>
    <t>'97207'</t>
  </si>
  <si>
    <t>'97208'</t>
  </si>
  <si>
    <t>'97209'</t>
  </si>
  <si>
    <t>'97210'</t>
  </si>
  <si>
    <t>'97219'</t>
  </si>
  <si>
    <t>'97234'</t>
  </si>
  <si>
    <t>'97243'</t>
  </si>
  <si>
    <t>'97244'</t>
  </si>
  <si>
    <t>'97245'</t>
  </si>
  <si>
    <t>'97246'</t>
  </si>
  <si>
    <t>'97247'</t>
  </si>
  <si>
    <t>'97248'</t>
  </si>
  <si>
    <t>'97249'</t>
  </si>
  <si>
    <t>'97255'</t>
  </si>
  <si>
    <t>'97256'</t>
  </si>
  <si>
    <t>'97257'</t>
  </si>
  <si>
    <t>'97258'</t>
  </si>
  <si>
    <t>'97261'</t>
  </si>
  <si>
    <t>'97262'</t>
  </si>
  <si>
    <t>'97263'</t>
  </si>
  <si>
    <t>'97264'</t>
  </si>
  <si>
    <t>'97240'</t>
  </si>
  <si>
    <t>'97213'</t>
  </si>
  <si>
    <t>'97232'</t>
  </si>
  <si>
    <t>'97281'</t>
  </si>
  <si>
    <t>'97282'</t>
  </si>
  <si>
    <t>'97283'</t>
  </si>
  <si>
    <t>'97284'</t>
  </si>
  <si>
    <t>'97285'</t>
  </si>
  <si>
    <t>'97286'</t>
  </si>
  <si>
    <t>'97287'</t>
  </si>
  <si>
    <t>'97288'</t>
  </si>
  <si>
    <t>'97289'</t>
  </si>
  <si>
    <t>'97292'</t>
  </si>
  <si>
    <t>'97214'</t>
  </si>
  <si>
    <t>'97225'</t>
  </si>
  <si>
    <t>'97290'</t>
  </si>
  <si>
    <t>'97260'</t>
  </si>
  <si>
    <t>'97211'</t>
  </si>
  <si>
    <t>'97215'</t>
  </si>
  <si>
    <t>'97231'</t>
  </si>
  <si>
    <t>'97270'</t>
  </si>
  <si>
    <t>'97212'</t>
  </si>
  <si>
    <t>'97227'</t>
  </si>
  <si>
    <t>'97228'</t>
  </si>
  <si>
    <t>'97230'</t>
  </si>
  <si>
    <t>'97233'</t>
  </si>
  <si>
    <t>'97271'</t>
  </si>
  <si>
    <t>'97272'</t>
  </si>
  <si>
    <t>'97273'</t>
  </si>
  <si>
    <t>'97274'</t>
  </si>
  <si>
    <t>'97276'</t>
  </si>
  <si>
    <t>'97277'</t>
  </si>
  <si>
    <t>'97278'</t>
  </si>
  <si>
    <t>'97220'</t>
  </si>
  <si>
    <t>'97229'</t>
  </si>
  <si>
    <t>'97280'</t>
  </si>
  <si>
    <t>'97226'</t>
  </si>
  <si>
    <t>COMMUNAUTE D'AGGLOMERATION DU CENTRE LITTORAL</t>
  </si>
  <si>
    <t>'97300'</t>
  </si>
  <si>
    <t>'97304'</t>
  </si>
  <si>
    <t>'97305'</t>
  </si>
  <si>
    <t>'97306'</t>
  </si>
  <si>
    <t>'97307'</t>
  </si>
  <si>
    <t>'97308'</t>
  </si>
  <si>
    <t>'97321'</t>
  </si>
  <si>
    <t>'97322'</t>
  </si>
  <si>
    <t>'97323'</t>
  </si>
  <si>
    <t>'97324'</t>
  </si>
  <si>
    <t>'97325'</t>
  </si>
  <si>
    <t>'97326'</t>
  </si>
  <si>
    <t>'97327'</t>
  </si>
  <si>
    <t>'97328'</t>
  </si>
  <si>
    <t>'97329'</t>
  </si>
  <si>
    <t>'97331'</t>
  </si>
  <si>
    <t>'97332'</t>
  </si>
  <si>
    <t>'97333'</t>
  </si>
  <si>
    <t>'97334'</t>
  </si>
  <si>
    <t>'97335'</t>
  </si>
  <si>
    <t>'97336'</t>
  </si>
  <si>
    <t>'97337'</t>
  </si>
  <si>
    <t>'97338'</t>
  </si>
  <si>
    <t>'97339'</t>
  </si>
  <si>
    <t>'97341'</t>
  </si>
  <si>
    <t>'97342'</t>
  </si>
  <si>
    <t>'97343'</t>
  </si>
  <si>
    <t>'97344'</t>
  </si>
  <si>
    <t>'97345'</t>
  </si>
  <si>
    <t>'97346'</t>
  </si>
  <si>
    <t>'97399'</t>
  </si>
  <si>
    <t>'97355'</t>
  </si>
  <si>
    <t>'97351'</t>
  </si>
  <si>
    <t>'97357'</t>
  </si>
  <si>
    <t>'97354'</t>
  </si>
  <si>
    <t>'97311'</t>
  </si>
  <si>
    <t>'97352'</t>
  </si>
  <si>
    <t>'97356'</t>
  </si>
  <si>
    <t>CA VILLES SOLIDAIRES</t>
  </si>
  <si>
    <t>'97425'</t>
  </si>
  <si>
    <t>COMMUNAUTE INTERCOMMUNALE REUNION EST</t>
  </si>
  <si>
    <t>'97412'</t>
  </si>
  <si>
    <t>COMMUNAUTE D'AGGLOMERATION DU SUD</t>
  </si>
  <si>
    <t>'97414'</t>
  </si>
  <si>
    <t>'97427'</t>
  </si>
  <si>
    <t>'97429'</t>
  </si>
  <si>
    <t>'97431'</t>
  </si>
  <si>
    <t>CA TERRITOIRE DE LA COTE OUEST</t>
  </si>
  <si>
    <t>'97420'</t>
  </si>
  <si>
    <t>'97821'</t>
  </si>
  <si>
    <t>'97822'</t>
  </si>
  <si>
    <t>'97823'</t>
  </si>
  <si>
    <t>'97824'</t>
  </si>
  <si>
    <t>'97825'</t>
  </si>
  <si>
    <t>'97826'</t>
  </si>
  <si>
    <t>'97827'</t>
  </si>
  <si>
    <t>'97828'</t>
  </si>
  <si>
    <t>'97829'</t>
  </si>
  <si>
    <t>'97419'</t>
  </si>
  <si>
    <t>'97725'</t>
  </si>
  <si>
    <t>'97440'</t>
  </si>
  <si>
    <t>'97437'</t>
  </si>
  <si>
    <t>'97470'</t>
  </si>
  <si>
    <t>COMMUNAUTE INTERCOMMUNALE DU NORD DE LA REUNION</t>
  </si>
  <si>
    <t>'97400'</t>
  </si>
  <si>
    <t>'97404'</t>
  </si>
  <si>
    <t>'97405'</t>
  </si>
  <si>
    <t>'97417'</t>
  </si>
  <si>
    <t>'97461'</t>
  </si>
  <si>
    <t>'97462'</t>
  </si>
  <si>
    <t>'97463'</t>
  </si>
  <si>
    <t>'97464'</t>
  </si>
  <si>
    <t>'97465'</t>
  </si>
  <si>
    <t>'97466'</t>
  </si>
  <si>
    <t>'97467'</t>
  </si>
  <si>
    <t>'97468'</t>
  </si>
  <si>
    <t>'97469'</t>
  </si>
  <si>
    <t>'97471'</t>
  </si>
  <si>
    <t>'97472'</t>
  </si>
  <si>
    <t>'97473'</t>
  </si>
  <si>
    <t>'97474'</t>
  </si>
  <si>
    <t>'97475'</t>
  </si>
  <si>
    <t>'97476'</t>
  </si>
  <si>
    <t>'97477'</t>
  </si>
  <si>
    <t>'97478'</t>
  </si>
  <si>
    <t>'97479'</t>
  </si>
  <si>
    <t>'97481'</t>
  </si>
  <si>
    <t>'97482'</t>
  </si>
  <si>
    <t>'97487'</t>
  </si>
  <si>
    <t>'97488'</t>
  </si>
  <si>
    <t>'97489'</t>
  </si>
  <si>
    <t>'97490'</t>
  </si>
  <si>
    <t>'97491'</t>
  </si>
  <si>
    <t>'97492'</t>
  </si>
  <si>
    <t>'97493'</t>
  </si>
  <si>
    <t>'97494'</t>
  </si>
  <si>
    <t>'97495'</t>
  </si>
  <si>
    <t>'97499'</t>
  </si>
  <si>
    <t>'97741'</t>
  </si>
  <si>
    <t>'97743'</t>
  </si>
  <si>
    <t>'97744'</t>
  </si>
  <si>
    <t>'97801'</t>
  </si>
  <si>
    <t>'97802'</t>
  </si>
  <si>
    <t>'97803'</t>
  </si>
  <si>
    <t>'97804'</t>
  </si>
  <si>
    <t>'97805'</t>
  </si>
  <si>
    <t>'97480'</t>
  </si>
  <si>
    <t>'97416'</t>
  </si>
  <si>
    <t>'97424'</t>
  </si>
  <si>
    <t>'97436'</t>
  </si>
  <si>
    <t>'97421'</t>
  </si>
  <si>
    <t>'97450'</t>
  </si>
  <si>
    <t>'97872'</t>
  </si>
  <si>
    <t>'97899'</t>
  </si>
  <si>
    <t>'97411'</t>
  </si>
  <si>
    <t>'97422'</t>
  </si>
  <si>
    <t>'97423'</t>
  </si>
  <si>
    <t>'97434'</t>
  </si>
  <si>
    <t>'97435'</t>
  </si>
  <si>
    <t>'97460'</t>
  </si>
  <si>
    <t>'97861'</t>
  </si>
  <si>
    <t>'97862'</t>
  </si>
  <si>
    <t>'97863'</t>
  </si>
  <si>
    <t>'97864'</t>
  </si>
  <si>
    <t>'97867'</t>
  </si>
  <si>
    <t>'97410'</t>
  </si>
  <si>
    <t>'97432'</t>
  </si>
  <si>
    <t>'97447'</t>
  </si>
  <si>
    <t>'97448'</t>
  </si>
  <si>
    <t>'97449'</t>
  </si>
  <si>
    <t>'97451'</t>
  </si>
  <si>
    <t>'97452'</t>
  </si>
  <si>
    <t>'97453'</t>
  </si>
  <si>
    <t>'97454'</t>
  </si>
  <si>
    <t>'97455'</t>
  </si>
  <si>
    <t>'97456'</t>
  </si>
  <si>
    <t>'97457'</t>
  </si>
  <si>
    <t>'97458'</t>
  </si>
  <si>
    <t>'97459'</t>
  </si>
  <si>
    <t>'97751'</t>
  </si>
  <si>
    <t>'97851'</t>
  </si>
  <si>
    <t>'97442'</t>
  </si>
  <si>
    <t>'97438'</t>
  </si>
  <si>
    <t>'97832'</t>
  </si>
  <si>
    <t>'97833'</t>
  </si>
  <si>
    <t>'97439'</t>
  </si>
  <si>
    <t>'97441'</t>
  </si>
  <si>
    <t>'97433'</t>
  </si>
  <si>
    <t>'97418'</t>
  </si>
  <si>
    <t>'97430'</t>
  </si>
  <si>
    <t>'97831'</t>
  </si>
  <si>
    <t>'97834'</t>
  </si>
  <si>
    <t>'97835'</t>
  </si>
  <si>
    <t>'97836'</t>
  </si>
  <si>
    <t>'97837'</t>
  </si>
  <si>
    <t>'97838'</t>
  </si>
  <si>
    <t>'97839'</t>
  </si>
  <si>
    <t>'97426'</t>
  </si>
  <si>
    <t>'97413'</t>
  </si>
  <si>
    <t>COMMUNAUTE D'AGGLOMERATION DEMBENI-MAMOUDZOU</t>
  </si>
  <si>
    <t>'97660'</t>
  </si>
  <si>
    <t>'97600'</t>
  </si>
  <si>
    <t>Ambérieux-en-Dombes</t>
  </si>
  <si>
    <t>Ars-sur-Formans</t>
  </si>
  <si>
    <t>Attignat</t>
  </si>
  <si>
    <t>Balan</t>
  </si>
  <si>
    <t>COMMUNAUTE DE COMMUNES DE LA COTIERE A MONTLUEL</t>
  </si>
  <si>
    <t>'01360'</t>
  </si>
  <si>
    <t>Beaupont</t>
  </si>
  <si>
    <t>Beauregard</t>
  </si>
  <si>
    <t>Béligneux</t>
  </si>
  <si>
    <t>'01365'</t>
  </si>
  <si>
    <t>Bény</t>
  </si>
  <si>
    <t>Béréziat</t>
  </si>
  <si>
    <t>Beynost</t>
  </si>
  <si>
    <t>La Boisse</t>
  </si>
  <si>
    <t>'01121'</t>
  </si>
  <si>
    <t>'01122'</t>
  </si>
  <si>
    <t>'01123'</t>
  </si>
  <si>
    <t>'01124'</t>
  </si>
  <si>
    <t>'01125'</t>
  </si>
  <si>
    <t>'01126'</t>
  </si>
  <si>
    <t>Bourg-en-Bresse</t>
  </si>
  <si>
    <t>Bressolles</t>
  </si>
  <si>
    <t>Buellas</t>
  </si>
  <si>
    <t>Certines</t>
  </si>
  <si>
    <t>Ceyzériat</t>
  </si>
  <si>
    <t>Nivigne et Suran</t>
  </si>
  <si>
    <t>Civrieux</t>
  </si>
  <si>
    <t>Cize</t>
  </si>
  <si>
    <t>Coligny</t>
  </si>
  <si>
    <t>Confrançon</t>
  </si>
  <si>
    <t>Cormoz</t>
  </si>
  <si>
    <t>Corveissiat</t>
  </si>
  <si>
    <t>Courmangoux</t>
  </si>
  <si>
    <t>Courtes</t>
  </si>
  <si>
    <t>Bresse Vallons</t>
  </si>
  <si>
    <t>Curciat-Dongalon</t>
  </si>
  <si>
    <t>Curtafond</t>
  </si>
  <si>
    <t>Dagneux</t>
  </si>
  <si>
    <t>'01127'</t>
  </si>
  <si>
    <t>Dompierre-sur-Veyle</t>
  </si>
  <si>
    <t>Domsure</t>
  </si>
  <si>
    <t>Drom</t>
  </si>
  <si>
    <t>Druillat</t>
  </si>
  <si>
    <t>Échenevex</t>
  </si>
  <si>
    <t>Fareins</t>
  </si>
  <si>
    <t>Foissiat</t>
  </si>
  <si>
    <t>Frans</t>
  </si>
  <si>
    <t>Géovreisset</t>
  </si>
  <si>
    <t>Grand-Corent</t>
  </si>
  <si>
    <t>Hautecourt-Romanèche</t>
  </si>
  <si>
    <t>Jassans-Riottier</t>
  </si>
  <si>
    <t>Jasseron</t>
  </si>
  <si>
    <t>Jayat</t>
  </si>
  <si>
    <t>Journans</t>
  </si>
  <si>
    <t>Lent</t>
  </si>
  <si>
    <t>Lescheroux</t>
  </si>
  <si>
    <t>Malafretaz</t>
  </si>
  <si>
    <t>Mantenay-Montlin</t>
  </si>
  <si>
    <t>Marboz</t>
  </si>
  <si>
    <t>Marsonnas</t>
  </si>
  <si>
    <t>Massieux</t>
  </si>
  <si>
    <t>Meillonnas</t>
  </si>
  <si>
    <t>Bohas-Meyriat-Rignat</t>
  </si>
  <si>
    <t>Miribel</t>
  </si>
  <si>
    <t>Misérieux</t>
  </si>
  <si>
    <t>Montagnat</t>
  </si>
  <si>
    <t>Montcet</t>
  </si>
  <si>
    <t>Montluel</t>
  </si>
  <si>
    <t>Montracol</t>
  </si>
  <si>
    <t>Montrevel-en-Bresse</t>
  </si>
  <si>
    <t>Neyron</t>
  </si>
  <si>
    <t>Niévroz</t>
  </si>
  <si>
    <t>Parcieux</t>
  </si>
  <si>
    <t>Péronnas</t>
  </si>
  <si>
    <t>Pirajoux</t>
  </si>
  <si>
    <t>Pizay</t>
  </si>
  <si>
    <t>Polliat</t>
  </si>
  <si>
    <t>Pouillat</t>
  </si>
  <si>
    <t>Ramasse</t>
  </si>
  <si>
    <t>Rancé</t>
  </si>
  <si>
    <t>Revonnas</t>
  </si>
  <si>
    <t>Reyrieux</t>
  </si>
  <si>
    <t>Saint-André-sur-Vieux-Jonc</t>
  </si>
  <si>
    <t>Saint-Bernard</t>
  </si>
  <si>
    <t>Sainte-Croix</t>
  </si>
  <si>
    <t>Saint-Denis-lès-Bourg</t>
  </si>
  <si>
    <t>Saint-Didier-d'Aussiat</t>
  </si>
  <si>
    <t>Saint-Didier-de-Formans</t>
  </si>
  <si>
    <t>Saint-Étienne-du-Bois</t>
  </si>
  <si>
    <t>Sainte-Euphémie</t>
  </si>
  <si>
    <t>Saint-Jean-de-Thurigneux</t>
  </si>
  <si>
    <t>Saint-Jean-sur-Reyssouze</t>
  </si>
  <si>
    <t>Saint-Julien-sur-Reyssouze</t>
  </si>
  <si>
    <t>Saint-Just</t>
  </si>
  <si>
    <t>Saint-Laurent-sur-Saône</t>
  </si>
  <si>
    <t>Saint-Martin-du-Mont</t>
  </si>
  <si>
    <t>Saint-Martin-le-Châtel</t>
  </si>
  <si>
    <t>Saint-Maurice-de-Beynost</t>
  </si>
  <si>
    <t>Saint-Nizier-le-Bouchoux</t>
  </si>
  <si>
    <t>Saint-Rémy</t>
  </si>
  <si>
    <t>Saint-Sulpice</t>
  </si>
  <si>
    <t>Saint-Trivier-de-Courtes</t>
  </si>
  <si>
    <t>Salavre</t>
  </si>
  <si>
    <t>Savigneux</t>
  </si>
  <si>
    <t>Servas</t>
  </si>
  <si>
    <t>Servignat</t>
  </si>
  <si>
    <t>Simandre-sur-Suran</t>
  </si>
  <si>
    <t>Thil</t>
  </si>
  <si>
    <t>Tossiat</t>
  </si>
  <si>
    <t>Toussieux</t>
  </si>
  <si>
    <t>Tramoyes</t>
  </si>
  <si>
    <t>La Tranclière</t>
  </si>
  <si>
    <t>Val-Revermont</t>
  </si>
  <si>
    <t>Trévoux</t>
  </si>
  <si>
    <t>Vandeins</t>
  </si>
  <si>
    <t>Verjon</t>
  </si>
  <si>
    <t>Vernoux</t>
  </si>
  <si>
    <t>Vescours</t>
  </si>
  <si>
    <t>Villemotier</t>
  </si>
  <si>
    <t>Villeneuve</t>
  </si>
  <si>
    <t>Villereversure</t>
  </si>
  <si>
    <t>Viriat</t>
  </si>
  <si>
    <t>Abbécourt</t>
  </si>
  <si>
    <t>Achery</t>
  </si>
  <si>
    <t>Acy</t>
  </si>
  <si>
    <t>Alaincourt</t>
  </si>
  <si>
    <t>Allemant</t>
  </si>
  <si>
    <t>Ambleny</t>
  </si>
  <si>
    <t>Ambrief</t>
  </si>
  <si>
    <t>Amigny-Rouy</t>
  </si>
  <si>
    <t>Ancienville</t>
  </si>
  <si>
    <t>Andelain</t>
  </si>
  <si>
    <t>Anguilcourt-le-Sart</t>
  </si>
  <si>
    <t>Annois</t>
  </si>
  <si>
    <t>Armentières-sur-Ourcq</t>
  </si>
  <si>
    <t>Arrancy</t>
  </si>
  <si>
    <t>Artemps</t>
  </si>
  <si>
    <t>Athies-sous-Laon</t>
  </si>
  <si>
    <t>Attilly</t>
  </si>
  <si>
    <t>Aubigny-aux-Kaisnes</t>
  </si>
  <si>
    <t>Audignicourt</t>
  </si>
  <si>
    <t>Aulnois-sous-Laon</t>
  </si>
  <si>
    <t>Autreville</t>
  </si>
  <si>
    <t>Azy-sur-Marne</t>
  </si>
  <si>
    <t>Bagneux</t>
  </si>
  <si>
    <t>Barzy-sur-Marne</t>
  </si>
  <si>
    <t>Vallées en Champagne</t>
  </si>
  <si>
    <t>Beaumont-en-Beine</t>
  </si>
  <si>
    <t>Beautor</t>
  </si>
  <si>
    <t>Beauvois-en-Vermandois</t>
  </si>
  <si>
    <t>Belleau</t>
  </si>
  <si>
    <t>Bellenglise</t>
  </si>
  <si>
    <t>Belleu</t>
  </si>
  <si>
    <t>Bellicourt</t>
  </si>
  <si>
    <t>Benay</t>
  </si>
  <si>
    <t>Bernot</t>
  </si>
  <si>
    <t>Berny-Rivière</t>
  </si>
  <si>
    <t>Bertaucourt-Epourdon</t>
  </si>
  <si>
    <t>Berthenicourt</t>
  </si>
  <si>
    <t>Bertricourt</t>
  </si>
  <si>
    <t>Besny-et-Loizy</t>
  </si>
  <si>
    <t>Béthancourt-en-Vaux</t>
  </si>
  <si>
    <t>Beuvardes</t>
  </si>
  <si>
    <t>Bézu-Saint-Germain</t>
  </si>
  <si>
    <t>Bichancourt</t>
  </si>
  <si>
    <t>Bieuxy</t>
  </si>
  <si>
    <t>Bièvres</t>
  </si>
  <si>
    <t>Billy-sur-Aisne</t>
  </si>
  <si>
    <t>Blesmes</t>
  </si>
  <si>
    <t>Bonneil</t>
  </si>
  <si>
    <t>Bonnesvalyn</t>
  </si>
  <si>
    <t>Bouresches</t>
  </si>
  <si>
    <t>Brasles</t>
  </si>
  <si>
    <t>Bray-Saint-Christophe</t>
  </si>
  <si>
    <t>Braye</t>
  </si>
  <si>
    <t>Brécy</t>
  </si>
  <si>
    <t>Brie</t>
  </si>
  <si>
    <t>Brissay-Choigny</t>
  </si>
  <si>
    <t>Brissy-Hamégicourt</t>
  </si>
  <si>
    <t>Brumetz</t>
  </si>
  <si>
    <t>Bruyères-sur-Fère</t>
  </si>
  <si>
    <t>Bruyères-et-Montbérault</t>
  </si>
  <si>
    <t>Bucy-le-Long</t>
  </si>
  <si>
    <t>Bucy-lès-Cerny</t>
  </si>
  <si>
    <t>Bussiares</t>
  </si>
  <si>
    <t>Buzancy</t>
  </si>
  <si>
    <t>Caillouël-Crépigny</t>
  </si>
  <si>
    <t>Castres</t>
  </si>
  <si>
    <t>Caulaincourt</t>
  </si>
  <si>
    <t>Caumont</t>
  </si>
  <si>
    <t>Celles-lès-Condé</t>
  </si>
  <si>
    <t>Celles-sur-Aisne</t>
  </si>
  <si>
    <t>Cerizy</t>
  </si>
  <si>
    <t>Cerny-en-Laonnois</t>
  </si>
  <si>
    <t>Cerny-lès-Bucy</t>
  </si>
  <si>
    <t>Cessières-Suzy</t>
  </si>
  <si>
    <t>Chacrise</t>
  </si>
  <si>
    <t>Chambry</t>
  </si>
  <si>
    <t>Chamouille</t>
  </si>
  <si>
    <t>Le Charmel</t>
  </si>
  <si>
    <t>Charmes</t>
  </si>
  <si>
    <t>Chartèves</t>
  </si>
  <si>
    <t>Chassemy</t>
  </si>
  <si>
    <t>Château-Thierry</t>
  </si>
  <si>
    <t>Châtillon-sur-Oise</t>
  </si>
  <si>
    <t>Chaudun</t>
  </si>
  <si>
    <t>Chauny</t>
  </si>
  <si>
    <t>Chavigny</t>
  </si>
  <si>
    <t>Chérêt</t>
  </si>
  <si>
    <t>Chézy-en-Orxois</t>
  </si>
  <si>
    <t>Chierry</t>
  </si>
  <si>
    <t>Chivres-Val</t>
  </si>
  <si>
    <t>Chivy-lès-Étouvelles</t>
  </si>
  <si>
    <t>Chouy</t>
  </si>
  <si>
    <t>Cierges</t>
  </si>
  <si>
    <t>Ciry-Salsogne</t>
  </si>
  <si>
    <t>Clacy-et-Thierret</t>
  </si>
  <si>
    <t>Clamecy</t>
  </si>
  <si>
    <t>Clastres</t>
  </si>
  <si>
    <t>Cœuvres-et-Valsery</t>
  </si>
  <si>
    <t>Coincy</t>
  </si>
  <si>
    <t>Colligis-Crandelain</t>
  </si>
  <si>
    <t>Commenchon</t>
  </si>
  <si>
    <t>Condé-en-Brie</t>
  </si>
  <si>
    <t>Condé-sur-Aisne</t>
  </si>
  <si>
    <t>Condren</t>
  </si>
  <si>
    <t>Connigis</t>
  </si>
  <si>
    <t>Contescourt</t>
  </si>
  <si>
    <t>Corcy</t>
  </si>
  <si>
    <t>Coulonges-Cohan</t>
  </si>
  <si>
    <t>Courbes</t>
  </si>
  <si>
    <t>Courboin</t>
  </si>
  <si>
    <t>Courchamps</t>
  </si>
  <si>
    <t>Courmelles</t>
  </si>
  <si>
    <t>Courmont</t>
  </si>
  <si>
    <t>Courtemont-Varennes</t>
  </si>
  <si>
    <t>Couvrelles</t>
  </si>
  <si>
    <t>Coyolles</t>
  </si>
  <si>
    <t>Crépy</t>
  </si>
  <si>
    <t>Crézancy</t>
  </si>
  <si>
    <t>Croix-Fonsomme</t>
  </si>
  <si>
    <t>La Croix-sur-Ourcq</t>
  </si>
  <si>
    <t>Crouy</t>
  </si>
  <si>
    <t>Cuffies</t>
  </si>
  <si>
    <t>Cugny</t>
  </si>
  <si>
    <t>Cuisy-en-Almont</t>
  </si>
  <si>
    <t>Cutry</t>
  </si>
  <si>
    <t>Dallon</t>
  </si>
  <si>
    <t>Dammard</t>
  </si>
  <si>
    <t>Dampleux</t>
  </si>
  <si>
    <t>Danizy</t>
  </si>
  <si>
    <t>Deuillet</t>
  </si>
  <si>
    <t>Dommiers</t>
  </si>
  <si>
    <t>Douchy</t>
  </si>
  <si>
    <t>Dravegny</t>
  </si>
  <si>
    <t>Droizy</t>
  </si>
  <si>
    <t>Dury</t>
  </si>
  <si>
    <t>Épagny</t>
  </si>
  <si>
    <t>Épaux-Bézu</t>
  </si>
  <si>
    <t>Épieds</t>
  </si>
  <si>
    <t>Eppes</t>
  </si>
  <si>
    <t>Essigny-le-Grand</t>
  </si>
  <si>
    <t>Essigny-le-Petit</t>
  </si>
  <si>
    <t>Essômes-sur-Marne</t>
  </si>
  <si>
    <t>Estrées</t>
  </si>
  <si>
    <t>Étampes-sur-Marne</t>
  </si>
  <si>
    <t>Étaves-et-Bocquiaux</t>
  </si>
  <si>
    <t>Étouvelles</t>
  </si>
  <si>
    <t>Étreillers</t>
  </si>
  <si>
    <t>Étrépilly</t>
  </si>
  <si>
    <t>Faverolles</t>
  </si>
  <si>
    <t>Fayet</t>
  </si>
  <si>
    <t>La Fère</t>
  </si>
  <si>
    <t>Fère-en-Tardenois</t>
  </si>
  <si>
    <t>La Ferté-Milon</t>
  </si>
  <si>
    <t>Festieux</t>
  </si>
  <si>
    <t>Fieulaine</t>
  </si>
  <si>
    <t>Flavy-le-Martel</t>
  </si>
  <si>
    <t>Fleury</t>
  </si>
  <si>
    <t>Fluquières</t>
  </si>
  <si>
    <t>Fonsomme</t>
  </si>
  <si>
    <t>Fontaine-lès-Clercs</t>
  </si>
  <si>
    <t>Fontaine-Notre-Dame</t>
  </si>
  <si>
    <t>Fontaine-Uterte</t>
  </si>
  <si>
    <t>Fontenoy</t>
  </si>
  <si>
    <t>Fossoy</t>
  </si>
  <si>
    <t>Fourdrain</t>
  </si>
  <si>
    <t>Francilly-Selency</t>
  </si>
  <si>
    <t>Fresnes-en-Tardenois</t>
  </si>
  <si>
    <t>Fressancourt</t>
  </si>
  <si>
    <t>Frières-Faillouël</t>
  </si>
  <si>
    <t>Gandelu</t>
  </si>
  <si>
    <t>Gauchy</t>
  </si>
  <si>
    <t>Gibercourt</t>
  </si>
  <si>
    <t>Gland</t>
  </si>
  <si>
    <t>Goussancourt</t>
  </si>
  <si>
    <t>Gricourt</t>
  </si>
  <si>
    <t>Grisolles</t>
  </si>
  <si>
    <t>Grugies</t>
  </si>
  <si>
    <t>Guivry</t>
  </si>
  <si>
    <t>Happencourt</t>
  </si>
  <si>
    <t>Haramont</t>
  </si>
  <si>
    <t>Hargicourt</t>
  </si>
  <si>
    <t>Harly</t>
  </si>
  <si>
    <t>Lehaucourt</t>
  </si>
  <si>
    <t>Hautevesnes</t>
  </si>
  <si>
    <t>Hauteville</t>
  </si>
  <si>
    <t>Hinacourt</t>
  </si>
  <si>
    <t>Holnon</t>
  </si>
  <si>
    <t>Homblières</t>
  </si>
  <si>
    <t>Itancourt</t>
  </si>
  <si>
    <t>Jaulgonne</t>
  </si>
  <si>
    <t>Jeancourt</t>
  </si>
  <si>
    <t>Joncourt</t>
  </si>
  <si>
    <t>Jussy</t>
  </si>
  <si>
    <t>Juvigny</t>
  </si>
  <si>
    <t>Laffaux</t>
  </si>
  <si>
    <t>Laniscourt</t>
  </si>
  <si>
    <t>Laon</t>
  </si>
  <si>
    <t>Largny-sur-Automne</t>
  </si>
  <si>
    <t>Latilly</t>
  </si>
  <si>
    <t>Laval-en-Laonnois</t>
  </si>
  <si>
    <t>Laversine</t>
  </si>
  <si>
    <t>Lesdins</t>
  </si>
  <si>
    <t>Lesges</t>
  </si>
  <si>
    <t>Leuilly-sous-Coucy</t>
  </si>
  <si>
    <t>Leury</t>
  </si>
  <si>
    <t>Levergies</t>
  </si>
  <si>
    <t>Licy-Clignon</t>
  </si>
  <si>
    <t>Lierval</t>
  </si>
  <si>
    <t>Liez</t>
  </si>
  <si>
    <t>Longpont</t>
  </si>
  <si>
    <t>Louâtre</t>
  </si>
  <si>
    <t>Loupeigne</t>
  </si>
  <si>
    <t>Ly-Fontaine</t>
  </si>
  <si>
    <t>Maast-et-Violaine</t>
  </si>
  <si>
    <t>Macogny</t>
  </si>
  <si>
    <t>Magny-la-Fosse</t>
  </si>
  <si>
    <t>Maissemy</t>
  </si>
  <si>
    <t>Manicamp</t>
  </si>
  <si>
    <t>Dhuys et Morin-en-Brie</t>
  </si>
  <si>
    <t>Marcy</t>
  </si>
  <si>
    <t>Marest-Dampcourt</t>
  </si>
  <si>
    <t>Mareuil-en-Dôle</t>
  </si>
  <si>
    <t>Margival</t>
  </si>
  <si>
    <t>Marizy-Sainte-Geneviève</t>
  </si>
  <si>
    <t>Marizy-Saint-Mard</t>
  </si>
  <si>
    <t>Martigny-Courpierre</t>
  </si>
  <si>
    <t>Mayot</t>
  </si>
  <si>
    <t>Mennessis</t>
  </si>
  <si>
    <t>Mercin-et-Vaux</t>
  </si>
  <si>
    <t>Mesnil-Saint-Laurent</t>
  </si>
  <si>
    <t>Mézières-sur-Oise</t>
  </si>
  <si>
    <t>Mézy-Moulins</t>
  </si>
  <si>
    <t>Missy-aux-Bois</t>
  </si>
  <si>
    <t>Missy-sur-Aisne</t>
  </si>
  <si>
    <t>Molinchart</t>
  </si>
  <si>
    <t>Monceau-lès-Leups</t>
  </si>
  <si>
    <t>Monnes</t>
  </si>
  <si>
    <t>Mons-en-Laonnois</t>
  </si>
  <si>
    <t>Montbrehain</t>
  </si>
  <si>
    <t>Montchâlons</t>
  </si>
  <si>
    <t>Mont-d'Origny</t>
  </si>
  <si>
    <t>Montescourt-Lizerolles</t>
  </si>
  <si>
    <t>Montgobert</t>
  </si>
  <si>
    <t>Monthenault</t>
  </si>
  <si>
    <t>Monthiers</t>
  </si>
  <si>
    <t>Monthurel</t>
  </si>
  <si>
    <t>Montigny-en-Arrouaise</t>
  </si>
  <si>
    <t>Montigny-l'Allier</t>
  </si>
  <si>
    <t>Montigny-Lengrain</t>
  </si>
  <si>
    <t>Montigny-lès-Condé</t>
  </si>
  <si>
    <t>Montlevon</t>
  </si>
  <si>
    <t>Mont-Saint-Père</t>
  </si>
  <si>
    <t>Morcourt</t>
  </si>
  <si>
    <t>Morsain</t>
  </si>
  <si>
    <t>Mortefontaine</t>
  </si>
  <si>
    <t>Moÿ-de-l'Aisne</t>
  </si>
  <si>
    <t>Muret-et-Crouttes</t>
  </si>
  <si>
    <t>Nampteuil-sous-Muret</t>
  </si>
  <si>
    <t>Nanteuil-la-Fosse</t>
  </si>
  <si>
    <t>Nanteuil-Notre-Dame</t>
  </si>
  <si>
    <t>Nauroy</t>
  </si>
  <si>
    <t>Nesles-la-Montagne</t>
  </si>
  <si>
    <t>Neuflieux</t>
  </si>
  <si>
    <t>Neuilly-Saint-Front</t>
  </si>
  <si>
    <t>La Neuville-en-Beine</t>
  </si>
  <si>
    <t>Neuville-Saint-Amand</t>
  </si>
  <si>
    <t>Neuville-sur-Margival</t>
  </si>
  <si>
    <t>Neuvillette</t>
  </si>
  <si>
    <t>Nogentel</t>
  </si>
  <si>
    <t>Noroy-sur-Ourcq</t>
  </si>
  <si>
    <t>Nouvion-le-Vineux</t>
  </si>
  <si>
    <t>Nouvron-Vingré</t>
  </si>
  <si>
    <t>Bernoy-le-Château</t>
  </si>
  <si>
    <t>Ognes</t>
  </si>
  <si>
    <t>Oigny-en-Valois</t>
  </si>
  <si>
    <t>Ollezy</t>
  </si>
  <si>
    <t>Omissy</t>
  </si>
  <si>
    <t>Orgeval</t>
  </si>
  <si>
    <t>Origny-Sainte-Benoite</t>
  </si>
  <si>
    <t>Osly-Courtil</t>
  </si>
  <si>
    <t>Parfondru</t>
  </si>
  <si>
    <t>Pargny-la-Dhuys</t>
  </si>
  <si>
    <t>Pasly</t>
  </si>
  <si>
    <t>Passy-en-Valois</t>
  </si>
  <si>
    <t>Passy-sur-Marne</t>
  </si>
  <si>
    <t>Pernant</t>
  </si>
  <si>
    <t>Pierremande</t>
  </si>
  <si>
    <t>Pleine-Selve</t>
  </si>
  <si>
    <t>Ploisy</t>
  </si>
  <si>
    <t>Pommiers</t>
  </si>
  <si>
    <t>Pontru</t>
  </si>
  <si>
    <t>Pontruet</t>
  </si>
  <si>
    <t>Pouilly-sur-Serre</t>
  </si>
  <si>
    <t>Presles-et-Thierny</t>
  </si>
  <si>
    <t>Priez</t>
  </si>
  <si>
    <t>Puiseux-en-Retz</t>
  </si>
  <si>
    <t>Quierzy</t>
  </si>
  <si>
    <t>Ramicourt</t>
  </si>
  <si>
    <t>Regny</t>
  </si>
  <si>
    <t>Remaucourt</t>
  </si>
  <si>
    <t>Remigny</t>
  </si>
  <si>
    <t>Renansart</t>
  </si>
  <si>
    <t>Ressons-le-Long</t>
  </si>
  <si>
    <t>Retheuil</t>
  </si>
  <si>
    <t>Reuilly-Sauvigny</t>
  </si>
  <si>
    <t>Ribemont</t>
  </si>
  <si>
    <t>Rocourt-Saint-Martin</t>
  </si>
  <si>
    <t>Rogécourt</t>
  </si>
  <si>
    <t>Ronchères</t>
  </si>
  <si>
    <t>Roupy</t>
  </si>
  <si>
    <t>Rouvroy</t>
  </si>
  <si>
    <t>Rozet-Saint-Albin</t>
  </si>
  <si>
    <t>Rozières-sur-Crise</t>
  </si>
  <si>
    <t>Rozoy-Bellevalle</t>
  </si>
  <si>
    <t>Saconin-et-Breuil</t>
  </si>
  <si>
    <t>Saint-Bandry</t>
  </si>
  <si>
    <t>Saint-Christophe-à-Berry</t>
  </si>
  <si>
    <t>Saint-Eugène</t>
  </si>
  <si>
    <t>Saint-Gengoulph</t>
  </si>
  <si>
    <t>Saint-Gobain</t>
  </si>
  <si>
    <t>Saint-Nicolas-aux-Bois</t>
  </si>
  <si>
    <t>Saint-Pierre-Aigle</t>
  </si>
  <si>
    <t>Saint-Quentin</t>
  </si>
  <si>
    <t>Saint-Simon</t>
  </si>
  <si>
    <t>Samoussy</t>
  </si>
  <si>
    <t>Sancy-les-Cheminots</t>
  </si>
  <si>
    <t>Saponay</t>
  </si>
  <si>
    <t>Savy</t>
  </si>
  <si>
    <t>Septmonts</t>
  </si>
  <si>
    <t>Sequehart</t>
  </si>
  <si>
    <t>Seraucourt-le-Grand</t>
  </si>
  <si>
    <t>Serches</t>
  </si>
  <si>
    <t>Sergy</t>
  </si>
  <si>
    <t>Seringes-et-Nesles</t>
  </si>
  <si>
    <t>Sermoise</t>
  </si>
  <si>
    <t>Servais</t>
  </si>
  <si>
    <t>Séry-lès-Mézières</t>
  </si>
  <si>
    <t>Silly-la-Poterie</t>
  </si>
  <si>
    <t>Sinceny</t>
  </si>
  <si>
    <t>Sissy</t>
  </si>
  <si>
    <t>Soissons</t>
  </si>
  <si>
    <t>Sommelans</t>
  </si>
  <si>
    <t>Sommette-Eaucourt</t>
  </si>
  <si>
    <t>Soucy</t>
  </si>
  <si>
    <t>Surfontaine</t>
  </si>
  <si>
    <t>Taillefontaine</t>
  </si>
  <si>
    <t>Tartiers</t>
  </si>
  <si>
    <t>Tergnier</t>
  </si>
  <si>
    <t>Terny-Sorny</t>
  </si>
  <si>
    <t>Thenelles</t>
  </si>
  <si>
    <t>Torcy-en-Valois</t>
  </si>
  <si>
    <t>Travecy</t>
  </si>
  <si>
    <t>Trélou-sur-Marne</t>
  </si>
  <si>
    <t>Troësnes</t>
  </si>
  <si>
    <t>Tugny-et-Pont</t>
  </si>
  <si>
    <t>Ugny-le-Gay</t>
  </si>
  <si>
    <t>Urvillers</t>
  </si>
  <si>
    <t>Vassens</t>
  </si>
  <si>
    <t>Vasseny</t>
  </si>
  <si>
    <t>Vaucelles-et-Beffecourt</t>
  </si>
  <si>
    <t>Vauxrezis</t>
  </si>
  <si>
    <t>Vauxbuin</t>
  </si>
  <si>
    <t>Vaux-en-Vermandois</t>
  </si>
  <si>
    <t>Vendelles</t>
  </si>
  <si>
    <t>Vendeuil</t>
  </si>
  <si>
    <t>Venizel</t>
  </si>
  <si>
    <t>Verdilly</t>
  </si>
  <si>
    <t>Le Verguier</t>
  </si>
  <si>
    <t>Vermand</t>
  </si>
  <si>
    <t>Versigny</t>
  </si>
  <si>
    <t>Veslud</t>
  </si>
  <si>
    <t>Vézaponin</t>
  </si>
  <si>
    <t>Vézilly</t>
  </si>
  <si>
    <t>Vic-sur-Aisne</t>
  </si>
  <si>
    <t>Vichel-Nanteuil</t>
  </si>
  <si>
    <t>Viffort</t>
  </si>
  <si>
    <t>Villemontoire</t>
  </si>
  <si>
    <t>Villeneuve-Saint-Germain</t>
  </si>
  <si>
    <t>Villeneuve-sur-Fère</t>
  </si>
  <si>
    <t>Villequier-Aumont</t>
  </si>
  <si>
    <t>Villeret</t>
  </si>
  <si>
    <t>Villers-Agron-Aiguizy</t>
  </si>
  <si>
    <t>Villers-Cotterêts</t>
  </si>
  <si>
    <t>Villers-Hélon</t>
  </si>
  <si>
    <t>Villers-le-Sec</t>
  </si>
  <si>
    <t>Villers-Saint-Christophe</t>
  </si>
  <si>
    <t>Villers-sur-Fère</t>
  </si>
  <si>
    <t>Viry-Noureuil</t>
  </si>
  <si>
    <t>Vivaise</t>
  </si>
  <si>
    <t>Vivières</t>
  </si>
  <si>
    <t>Vorges</t>
  </si>
  <si>
    <t>Vregny</t>
  </si>
  <si>
    <t>Vuillery</t>
  </si>
  <si>
    <t>Abrest</t>
  </si>
  <si>
    <t>Arfeuilles</t>
  </si>
  <si>
    <t>Arronnes</t>
  </si>
  <si>
    <t>Aubigny</t>
  </si>
  <si>
    <t>Aurouër</t>
  </si>
  <si>
    <t>Avermes</t>
  </si>
  <si>
    <t>Bellerive-sur-Allier</t>
  </si>
  <si>
    <t>Bessay-sur-Allier</t>
  </si>
  <si>
    <t>Besson</t>
  </si>
  <si>
    <t>Billy</t>
  </si>
  <si>
    <t>Bost</t>
  </si>
  <si>
    <t>Bresnay</t>
  </si>
  <si>
    <t>Brugheas</t>
  </si>
  <si>
    <t>Busset</t>
  </si>
  <si>
    <t>La Chabanne</t>
  </si>
  <si>
    <t>Chapeau</t>
  </si>
  <si>
    <t>La Chapelle</t>
  </si>
  <si>
    <t>Charmeil</t>
  </si>
  <si>
    <t>Châtel-Montagne</t>
  </si>
  <si>
    <t>Châtelus</t>
  </si>
  <si>
    <t>Chemilly</t>
  </si>
  <si>
    <t>Chézy</t>
  </si>
  <si>
    <t>Cognat-Lyonne</t>
  </si>
  <si>
    <t>Coulandon</t>
  </si>
  <si>
    <t>Creuzier-le-Neuf</t>
  </si>
  <si>
    <t>Creuzier-le-Vieux</t>
  </si>
  <si>
    <t>Cusset</t>
  </si>
  <si>
    <t>Désertines</t>
  </si>
  <si>
    <t>Domérat</t>
  </si>
  <si>
    <t>Espinasse-Vozelle</t>
  </si>
  <si>
    <t>Ferrières-sur-Sichon</t>
  </si>
  <si>
    <t>Gennetines</t>
  </si>
  <si>
    <t>Gouise</t>
  </si>
  <si>
    <t>La Guillermie</t>
  </si>
  <si>
    <t>Hauterive</t>
  </si>
  <si>
    <t>Lamaids</t>
  </si>
  <si>
    <t>Laprugne</t>
  </si>
  <si>
    <t>Lavault-Sainte-Anne</t>
  </si>
  <si>
    <t>Lavoine</t>
  </si>
  <si>
    <t>Lignerolles</t>
  </si>
  <si>
    <t>Magnet</t>
  </si>
  <si>
    <t>Mariol</t>
  </si>
  <si>
    <t>Le Mayet-de-Montagne</t>
  </si>
  <si>
    <t>Molles</t>
  </si>
  <si>
    <t>Montbeugny</t>
  </si>
  <si>
    <t>Montilly</t>
  </si>
  <si>
    <t>Montluçon</t>
  </si>
  <si>
    <t>Moulins</t>
  </si>
  <si>
    <t>Neuilly-le-Réal</t>
  </si>
  <si>
    <t>Neuvy</t>
  </si>
  <si>
    <t>Nizerolles</t>
  </si>
  <si>
    <t>Prémilhat</t>
  </si>
  <si>
    <t>Quinssaines</t>
  </si>
  <si>
    <t>Saint-Clément</t>
  </si>
  <si>
    <t>Saint-Ennemond</t>
  </si>
  <si>
    <t>Saint-Germain-des-Fossés</t>
  </si>
  <si>
    <t>Saint-Nicolas-des-Biefs</t>
  </si>
  <si>
    <t>Saint-Rémy-en-Rollat</t>
  </si>
  <si>
    <t>Saint-Victor</t>
  </si>
  <si>
    <t>Saint-Yorre</t>
  </si>
  <si>
    <t>Serbannes</t>
  </si>
  <si>
    <t>Seuillet</t>
  </si>
  <si>
    <t>Souvigny</t>
  </si>
  <si>
    <t>Teillet-Argenty</t>
  </si>
  <si>
    <t>Toulon-sur-Allier</t>
  </si>
  <si>
    <t>Trévol</t>
  </si>
  <si>
    <t>Vendat</t>
  </si>
  <si>
    <t>Le Vernet</t>
  </si>
  <si>
    <t>Vichy</t>
  </si>
  <si>
    <t>Villeneuve-sur-Allier</t>
  </si>
  <si>
    <t>Yzeure</t>
  </si>
  <si>
    <t>Aiglun</t>
  </si>
  <si>
    <t>Allemagne-en-Provence</t>
  </si>
  <si>
    <t>Archail</t>
  </si>
  <si>
    <t>Auzet</t>
  </si>
  <si>
    <t>Barles</t>
  </si>
  <si>
    <t>Barras</t>
  </si>
  <si>
    <t>Beaujeu</t>
  </si>
  <si>
    <t>Beynes</t>
  </si>
  <si>
    <t>Bras-d'Asse</t>
  </si>
  <si>
    <t>La Brillanne</t>
  </si>
  <si>
    <t>Brunet</t>
  </si>
  <si>
    <t>Le Brusquet</t>
  </si>
  <si>
    <t>Le Castellard-Mélan</t>
  </si>
  <si>
    <t>Le Castellet</t>
  </si>
  <si>
    <t>Le Chaffaut-Saint-Jurson</t>
  </si>
  <si>
    <t>Champtercier</t>
  </si>
  <si>
    <t>Château-Arnoux-Saint-Auban</t>
  </si>
  <si>
    <t>Châteauredon</t>
  </si>
  <si>
    <t>Claret</t>
  </si>
  <si>
    <t>Corbières-en-Provence</t>
  </si>
  <si>
    <t>Curbans</t>
  </si>
  <si>
    <t>Digne-les-Bains</t>
  </si>
  <si>
    <t>Draix</t>
  </si>
  <si>
    <t>Entrages</t>
  </si>
  <si>
    <t>Entrevennes</t>
  </si>
  <si>
    <t>L'Escale</t>
  </si>
  <si>
    <t>Esparron-de-Verdon</t>
  </si>
  <si>
    <t>Estoublon</t>
  </si>
  <si>
    <t>Ganagobie</t>
  </si>
  <si>
    <t>Gréoux-les-Bains</t>
  </si>
  <si>
    <t>La Javie</t>
  </si>
  <si>
    <t>Majastres</t>
  </si>
  <si>
    <t>Malijai</t>
  </si>
  <si>
    <t>Mallefougasse-Augès</t>
  </si>
  <si>
    <t>Mallemoisson</t>
  </si>
  <si>
    <t>Manosque</t>
  </si>
  <si>
    <t>Marcoux</t>
  </si>
  <si>
    <t>Les Mées</t>
  </si>
  <si>
    <t>Mézel</t>
  </si>
  <si>
    <t>Mirabeau</t>
  </si>
  <si>
    <t>Montagnac-Montpezat</t>
  </si>
  <si>
    <t>Montclar</t>
  </si>
  <si>
    <t>Montfuron</t>
  </si>
  <si>
    <t>Moustiers-Sainte-Marie</t>
  </si>
  <si>
    <t>Oraison</t>
  </si>
  <si>
    <t>Peyruis</t>
  </si>
  <si>
    <t>Pierrevert</t>
  </si>
  <si>
    <t>Pontis</t>
  </si>
  <si>
    <t>COMMUNAUTE DE COMMUNES DE SERRES-PONCON</t>
  </si>
  <si>
    <t>'05160'</t>
  </si>
  <si>
    <t>Prads-Haute-Bléone</t>
  </si>
  <si>
    <t>Puimichel</t>
  </si>
  <si>
    <t>Puimoisson</t>
  </si>
  <si>
    <t>Quinson</t>
  </si>
  <si>
    <t>Riez</t>
  </si>
  <si>
    <t>La Robine-sur-Galabre</t>
  </si>
  <si>
    <t>Roumoules</t>
  </si>
  <si>
    <t>Sainte-Croix-du-Verdon</t>
  </si>
  <si>
    <t>Hautes-Duyes</t>
  </si>
  <si>
    <t>Saint-Jeannet</t>
  </si>
  <si>
    <t>Saint-Julien-d'Asse</t>
  </si>
  <si>
    <t>Saint-Jurs</t>
  </si>
  <si>
    <t>Saint-Laurent-du-Verdon</t>
  </si>
  <si>
    <t>Saint-Maime</t>
  </si>
  <si>
    <t>Saint-Martin-de-Brômes</t>
  </si>
  <si>
    <t>Saint-Martin-lès-Seyne</t>
  </si>
  <si>
    <t>Sainte-Tulle</t>
  </si>
  <si>
    <t>Selonnet</t>
  </si>
  <si>
    <t>Seyne</t>
  </si>
  <si>
    <t>Thoard</t>
  </si>
  <si>
    <t>Valensole</t>
  </si>
  <si>
    <t>Verdaches</t>
  </si>
  <si>
    <t>Volonne</t>
  </si>
  <si>
    <t>Volx</t>
  </si>
  <si>
    <t>Baratier</t>
  </si>
  <si>
    <t>'05200'</t>
  </si>
  <si>
    <t>Barcillonnette</t>
  </si>
  <si>
    <t>Briançon</t>
  </si>
  <si>
    <t>Cervières</t>
  </si>
  <si>
    <t>Châteauroux-les-Alpes</t>
  </si>
  <si>
    <t>'05380'</t>
  </si>
  <si>
    <t>Châteauvieux</t>
  </si>
  <si>
    <t>Chorges</t>
  </si>
  <si>
    <t>'05230'</t>
  </si>
  <si>
    <t>Crévoux</t>
  </si>
  <si>
    <t>Crots</t>
  </si>
  <si>
    <t>Embrun</t>
  </si>
  <si>
    <t>'05201'</t>
  </si>
  <si>
    <t>'05202'</t>
  </si>
  <si>
    <t>'05208'</t>
  </si>
  <si>
    <t>Esparron</t>
  </si>
  <si>
    <t>Fouillouse</t>
  </si>
  <si>
    <t>La Freissinouse</t>
  </si>
  <si>
    <t>Gap</t>
  </si>
  <si>
    <t>La Grave</t>
  </si>
  <si>
    <t>Jarjayes</t>
  </si>
  <si>
    <t>Lardier-et-Valença</t>
  </si>
  <si>
    <t>Lettret</t>
  </si>
  <si>
    <t>Le Monêtier-les-Bains</t>
  </si>
  <si>
    <t>Montgenèvre</t>
  </si>
  <si>
    <t>Neffes</t>
  </si>
  <si>
    <t>Névache</t>
  </si>
  <si>
    <t>Les Orres</t>
  </si>
  <si>
    <t>Pelleautier</t>
  </si>
  <si>
    <t>Prunières</t>
  </si>
  <si>
    <t>Puy-Saint-André</t>
  </si>
  <si>
    <t>Puy-Saint-Eusèbe</t>
  </si>
  <si>
    <t>Puy-Saint-Pierre</t>
  </si>
  <si>
    <t>Puy-Sanières</t>
  </si>
  <si>
    <t>Réallon</t>
  </si>
  <si>
    <t>Saint-André-d'Embrun</t>
  </si>
  <si>
    <t>Saint-Apollinaire</t>
  </si>
  <si>
    <t>Saint-Chaffrey</t>
  </si>
  <si>
    <t>Saint-Sauveur</t>
  </si>
  <si>
    <t>La Salle-les-Alpes</t>
  </si>
  <si>
    <t>La Saulce</t>
  </si>
  <si>
    <t>Le Sauze-du-Lac</t>
  </si>
  <si>
    <t>Savines-le-Lac</t>
  </si>
  <si>
    <t>Sigoyer</t>
  </si>
  <si>
    <t>Tallard</t>
  </si>
  <si>
    <t>Val-des-Prés</t>
  </si>
  <si>
    <t>Villar-d'Arêne</t>
  </si>
  <si>
    <t>Villar-Saint-Pancrace</t>
  </si>
  <si>
    <t>Vitrolles</t>
  </si>
  <si>
    <t>Amirat</t>
  </si>
  <si>
    <t>Andon</t>
  </si>
  <si>
    <t>Antibes</t>
  </si>
  <si>
    <t>Aspremont</t>
  </si>
  <si>
    <t>Auribeau-sur-Siagne</t>
  </si>
  <si>
    <t>Bairols</t>
  </si>
  <si>
    <t>Le Bar-sur-Loup</t>
  </si>
  <si>
    <t>Beaulieu-sur-Mer</t>
  </si>
  <si>
    <t>Beausoleil</t>
  </si>
  <si>
    <t>Belvédère</t>
  </si>
  <si>
    <t>Bézaudun-les-Alpes</t>
  </si>
  <si>
    <t>Biot</t>
  </si>
  <si>
    <t>La Bollène-Vésubie</t>
  </si>
  <si>
    <t>Bonson</t>
  </si>
  <si>
    <t>Bouyon</t>
  </si>
  <si>
    <t>Breil-sur-Roya</t>
  </si>
  <si>
    <t>Briançonnet</t>
  </si>
  <si>
    <t>Le Broc</t>
  </si>
  <si>
    <t>Cabris</t>
  </si>
  <si>
    <t>Cagnes-sur-Mer</t>
  </si>
  <si>
    <t>Caille</t>
  </si>
  <si>
    <t>Cannes</t>
  </si>
  <si>
    <t>Le Cannet</t>
  </si>
  <si>
    <t>Cap-d'Ail</t>
  </si>
  <si>
    <t>Carros</t>
  </si>
  <si>
    <t>Castagniers</t>
  </si>
  <si>
    <t>Castellar</t>
  </si>
  <si>
    <t>Castillon</t>
  </si>
  <si>
    <t>Caussols</t>
  </si>
  <si>
    <t>Châteauneuf-Grasse</t>
  </si>
  <si>
    <t>Châteauneuf-Villevieille</t>
  </si>
  <si>
    <t>'06390'</t>
  </si>
  <si>
    <t>Cipières</t>
  </si>
  <si>
    <t>Clans</t>
  </si>
  <si>
    <t>La Colle-sur-Loup</t>
  </si>
  <si>
    <t>Collongues</t>
  </si>
  <si>
    <t>Colomars</t>
  </si>
  <si>
    <t>Conségudes</t>
  </si>
  <si>
    <t>Courmes</t>
  </si>
  <si>
    <t>Coursegoules</t>
  </si>
  <si>
    <t>Drap</t>
  </si>
  <si>
    <t>Duranus</t>
  </si>
  <si>
    <t>Escragnolles</t>
  </si>
  <si>
    <t>Èze</t>
  </si>
  <si>
    <t>Falicon</t>
  </si>
  <si>
    <t>Les Ferres</t>
  </si>
  <si>
    <t>Fontan</t>
  </si>
  <si>
    <t>Gars</t>
  </si>
  <si>
    <t>Gattières</t>
  </si>
  <si>
    <t>La Gaude</t>
  </si>
  <si>
    <t>Gilette</t>
  </si>
  <si>
    <t>Gorbio</t>
  </si>
  <si>
    <t>Gourdon</t>
  </si>
  <si>
    <t>Grasse</t>
  </si>
  <si>
    <t>Gréolières</t>
  </si>
  <si>
    <t>Ilonse</t>
  </si>
  <si>
    <t>Isola</t>
  </si>
  <si>
    <t>Lantosque</t>
  </si>
  <si>
    <t>Levens</t>
  </si>
  <si>
    <t>Mandelieu-la-Napoule</t>
  </si>
  <si>
    <t>Marie</t>
  </si>
  <si>
    <t>Le Mas</t>
  </si>
  <si>
    <t>Menton</t>
  </si>
  <si>
    <t>Mouans-Sartoux</t>
  </si>
  <si>
    <t>Mougins</t>
  </si>
  <si>
    <t>Moulinet</t>
  </si>
  <si>
    <t>Les Mujouls</t>
  </si>
  <si>
    <t>Nice</t>
  </si>
  <si>
    <t>Opio</t>
  </si>
  <si>
    <t>Pégomas</t>
  </si>
  <si>
    <t>Peymeinade</t>
  </si>
  <si>
    <t>Rimplas</t>
  </si>
  <si>
    <t>Roquebillière</t>
  </si>
  <si>
    <t>Roquebrune-Cap-Martin</t>
  </si>
  <si>
    <t>Roquefort-les-Pins</t>
  </si>
  <si>
    <t>La Roque-en-Provence</t>
  </si>
  <si>
    <t>La Roquette-sur-Siagne</t>
  </si>
  <si>
    <t>La Roquette-sur-Var</t>
  </si>
  <si>
    <t>Roubion</t>
  </si>
  <si>
    <t>Roure</t>
  </si>
  <si>
    <t>Le Rouret</t>
  </si>
  <si>
    <t>Sainte-Agnès</t>
  </si>
  <si>
    <t>Saint-André-de-la-Roche</t>
  </si>
  <si>
    <t>Saint-Auban</t>
  </si>
  <si>
    <t>Saint-Blaise</t>
  </si>
  <si>
    <t>Saint-Cézaire-sur-Siagne</t>
  </si>
  <si>
    <t>Saint-Dalmas-le-Selvage</t>
  </si>
  <si>
    <t>Saint-Étienne-de-Tinée</t>
  </si>
  <si>
    <t>Saint-Jean-Cap-Ferrat</t>
  </si>
  <si>
    <t>Saint-Laurent-du-Var</t>
  </si>
  <si>
    <t>Saint-Martin-du-Var</t>
  </si>
  <si>
    <t>Saint-Martin-Vésubie</t>
  </si>
  <si>
    <t>Saint-Paul-de-Vence</t>
  </si>
  <si>
    <t>Saint-Sauveur-sur-Tinée</t>
  </si>
  <si>
    <t>Saint-Vallier-de-Thiey</t>
  </si>
  <si>
    <t>Sallagriffon</t>
  </si>
  <si>
    <t>Saorge</t>
  </si>
  <si>
    <t>Séranon</t>
  </si>
  <si>
    <t>Sospel</t>
  </si>
  <si>
    <t>Spéracèdes</t>
  </si>
  <si>
    <t>Théoule-sur-Mer</t>
  </si>
  <si>
    <t>Le Tignet</t>
  </si>
  <si>
    <t>La Tour</t>
  </si>
  <si>
    <t>Tournefort</t>
  </si>
  <si>
    <t>Tourrette-Levens</t>
  </si>
  <si>
    <t>Tourrettes-sur-Loup</t>
  </si>
  <si>
    <t>La Trinité</t>
  </si>
  <si>
    <t>La Turbie</t>
  </si>
  <si>
    <t>Utelle</t>
  </si>
  <si>
    <t>Valbonne</t>
  </si>
  <si>
    <t>Valdeblore</t>
  </si>
  <si>
    <t>Valderoure</t>
  </si>
  <si>
    <t>Vallauris</t>
  </si>
  <si>
    <t>Venanson</t>
  </si>
  <si>
    <t>Vence</t>
  </si>
  <si>
    <t>Villefranche-sur-Mer</t>
  </si>
  <si>
    <t>Villeneuve-Loubet</t>
  </si>
  <si>
    <t>La Brigue</t>
  </si>
  <si>
    <t>Tende</t>
  </si>
  <si>
    <t>Ajoux</t>
  </si>
  <si>
    <t>Alboussière</t>
  </si>
  <si>
    <t>SYNDICAT MIXTE VALENCE-ROMANS-MOBILITE</t>
  </si>
  <si>
    <t>Alissas</t>
  </si>
  <si>
    <t>Annonay</t>
  </si>
  <si>
    <t>Ardoix</t>
  </si>
  <si>
    <t>Arlebosc</t>
  </si>
  <si>
    <t>Beauchastel</t>
  </si>
  <si>
    <t>Beauvène</t>
  </si>
  <si>
    <t>Boffres</t>
  </si>
  <si>
    <t>Bogy</t>
  </si>
  <si>
    <t>Bozas</t>
  </si>
  <si>
    <t>Boucieu-le-Roi</t>
  </si>
  <si>
    <t>Boulieu-lès-Annonay</t>
  </si>
  <si>
    <t>Brossainc</t>
  </si>
  <si>
    <t>Chalencon</t>
  </si>
  <si>
    <t>Champis</t>
  </si>
  <si>
    <t>Charmes-sur-Rhône</t>
  </si>
  <si>
    <t>Charnas</t>
  </si>
  <si>
    <t>Châteaubourg</t>
  </si>
  <si>
    <t>Châteauneuf-de-Vernoux</t>
  </si>
  <si>
    <t>Cheminas</t>
  </si>
  <si>
    <t>Chomérac</t>
  </si>
  <si>
    <t>Colombier-le-Cardinal</t>
  </si>
  <si>
    <t>Colombier-le-Jeune</t>
  </si>
  <si>
    <t>Colombier-le-Vieux</t>
  </si>
  <si>
    <t>Cornas</t>
  </si>
  <si>
    <t>Coux</t>
  </si>
  <si>
    <t>Creysseilles</t>
  </si>
  <si>
    <t>Davézieux</t>
  </si>
  <si>
    <t>Dunière-sur-Eyrieux</t>
  </si>
  <si>
    <t>Étables</t>
  </si>
  <si>
    <t>Félines</t>
  </si>
  <si>
    <t>Flaviac</t>
  </si>
  <si>
    <t>Freyssenet</t>
  </si>
  <si>
    <t>Gilhac-et-Bruzac</t>
  </si>
  <si>
    <t>Gluiras</t>
  </si>
  <si>
    <t>Glun</t>
  </si>
  <si>
    <t>Guilherand-Granges</t>
  </si>
  <si>
    <t>Lavilledieu</t>
  </si>
  <si>
    <t>Lemps</t>
  </si>
  <si>
    <t>Limony</t>
  </si>
  <si>
    <t>Lyas</t>
  </si>
  <si>
    <t>Marcols-les-Eaux</t>
  </si>
  <si>
    <t>Mauves</t>
  </si>
  <si>
    <t>Monestier</t>
  </si>
  <si>
    <t>Les Ollières-sur-Eyrieux</t>
  </si>
  <si>
    <t>Pailharès</t>
  </si>
  <si>
    <t>Peaugres</t>
  </si>
  <si>
    <t>Plats</t>
  </si>
  <si>
    <t>Pourchères</t>
  </si>
  <si>
    <t>Le Pouzin</t>
  </si>
  <si>
    <t>Pranles</t>
  </si>
  <si>
    <t>Privas</t>
  </si>
  <si>
    <t>Quintenas</t>
  </si>
  <si>
    <t>Rochessauve</t>
  </si>
  <si>
    <t>Roiffieux</t>
  </si>
  <si>
    <t>Rompon</t>
  </si>
  <si>
    <t>Saint-Apollinaire-de-Rias</t>
  </si>
  <si>
    <t>Saint-Barthélemy-le-Plain</t>
  </si>
  <si>
    <t>Saint-Cierge-la-Serre</t>
  </si>
  <si>
    <t>Saint-Clair</t>
  </si>
  <si>
    <t>Saint-Cyr</t>
  </si>
  <si>
    <t>Saint-Désirat</t>
  </si>
  <si>
    <t>Saint-Étienne-de-Serre</t>
  </si>
  <si>
    <t>Saint-Félicien</t>
  </si>
  <si>
    <t>Saint-Fortunat-sur-Eyrieux</t>
  </si>
  <si>
    <t>Saint-Georges-les-Bains</t>
  </si>
  <si>
    <t>Saint-Jacques-d'Atticieux</t>
  </si>
  <si>
    <t>Saint-Jean-Chambre</t>
  </si>
  <si>
    <t>Saint-Jean-de-Muzols</t>
  </si>
  <si>
    <t>Saint-Julien-du-Gua</t>
  </si>
  <si>
    <t>Saint-Julien-en-Saint-Alban</t>
  </si>
  <si>
    <t>Saint-Julien-le-Roux</t>
  </si>
  <si>
    <t>Saint-Julien-Vocance</t>
  </si>
  <si>
    <t>Saint-Laurent-du-Pape</t>
  </si>
  <si>
    <t>Saint-Marcel-lès-Annonay</t>
  </si>
  <si>
    <t>Saint-Maurice-en-Chalencon</t>
  </si>
  <si>
    <t>Saint-Michel-de-Chabrillanoux</t>
  </si>
  <si>
    <t>Saint-Péray</t>
  </si>
  <si>
    <t>Saint-Priest</t>
  </si>
  <si>
    <t>Saint-Romain-de-Lerps</t>
  </si>
  <si>
    <t>Saint-Sauveur-de-Montagut</t>
  </si>
  <si>
    <t>Saint-Sylvestre</t>
  </si>
  <si>
    <t>Saint-Vincent-de-Durfort</t>
  </si>
  <si>
    <t>Savas</t>
  </si>
  <si>
    <t>Sécheras</t>
  </si>
  <si>
    <t>Serrières</t>
  </si>
  <si>
    <t>Silhac</t>
  </si>
  <si>
    <t>Soyons</t>
  </si>
  <si>
    <t>Talencieux</t>
  </si>
  <si>
    <t>Thorrenc</t>
  </si>
  <si>
    <t>Toulaud</t>
  </si>
  <si>
    <t>Tournon-sur-Rhône</t>
  </si>
  <si>
    <t>Vanosc</t>
  </si>
  <si>
    <t>Vaudevant</t>
  </si>
  <si>
    <t>Vernosc-lès-Annonay</t>
  </si>
  <si>
    <t>Vernoux-en-Vivarais</t>
  </si>
  <si>
    <t>Veyras</t>
  </si>
  <si>
    <t>Villevocance</t>
  </si>
  <si>
    <t>Vinzieux</t>
  </si>
  <si>
    <t>Vion</t>
  </si>
  <si>
    <t>Vocance</t>
  </si>
  <si>
    <t>La Voulte-sur-Rhône</t>
  </si>
  <si>
    <t>Aiglemont</t>
  </si>
  <si>
    <t>Arreux</t>
  </si>
  <si>
    <t>Les Ayvelles</t>
  </si>
  <si>
    <t>Baâlons</t>
  </si>
  <si>
    <t>Bazeilles</t>
  </si>
  <si>
    <t>Belval</t>
  </si>
  <si>
    <t>Blombay</t>
  </si>
  <si>
    <t>Bourg-Fidèle</t>
  </si>
  <si>
    <t>Chalandry-Elaire</t>
  </si>
  <si>
    <t>Charleville-Mézières</t>
  </si>
  <si>
    <t>Cheveuges</t>
  </si>
  <si>
    <t>Cliron</t>
  </si>
  <si>
    <t>Daigny</t>
  </si>
  <si>
    <t>Damouzy</t>
  </si>
  <si>
    <t>Dom-le-Mesnil</t>
  </si>
  <si>
    <t>Donchery</t>
  </si>
  <si>
    <t>Écordal</t>
  </si>
  <si>
    <t>Étrépigny</t>
  </si>
  <si>
    <t>Fagnon</t>
  </si>
  <si>
    <t>Fleigneux</t>
  </si>
  <si>
    <t>Flize</t>
  </si>
  <si>
    <t>Floing</t>
  </si>
  <si>
    <t>Francheval</t>
  </si>
  <si>
    <t>La Francheville</t>
  </si>
  <si>
    <t>Gernelle</t>
  </si>
  <si>
    <t>Gespunsart</t>
  </si>
  <si>
    <t>Givonne</t>
  </si>
  <si>
    <t>Glaire</t>
  </si>
  <si>
    <t>La Grandville</t>
  </si>
  <si>
    <t>Hannogne-Saint-Martin</t>
  </si>
  <si>
    <t>Haudrecy</t>
  </si>
  <si>
    <t>Houldizy</t>
  </si>
  <si>
    <t>Illy</t>
  </si>
  <si>
    <t>Issancourt-et-Rumel</t>
  </si>
  <si>
    <t>Lumes</t>
  </si>
  <si>
    <t>La Moncelle</t>
  </si>
  <si>
    <t>Montcy-Notre-Dame</t>
  </si>
  <si>
    <t>Neufmanil</t>
  </si>
  <si>
    <t>Nouvion-sur-Meuse</t>
  </si>
  <si>
    <t>Nouzonville</t>
  </si>
  <si>
    <t>Noyers-Pont-Maugis</t>
  </si>
  <si>
    <t>Pouru-aux-Bois</t>
  </si>
  <si>
    <t>Pouru-Saint-Remy</t>
  </si>
  <si>
    <t>Prix-lès-Mézières</t>
  </si>
  <si>
    <t>Rouvroy-sur-Audry</t>
  </si>
  <si>
    <t>Saint-Aignan</t>
  </si>
  <si>
    <t>Saint-Laurent</t>
  </si>
  <si>
    <t>Saint-Menges</t>
  </si>
  <si>
    <t>Sapogne-et-Feuchères</t>
  </si>
  <si>
    <t>Sécheval</t>
  </si>
  <si>
    <t>Sedan</t>
  </si>
  <si>
    <t>Thelonne</t>
  </si>
  <si>
    <t>Tournes</t>
  </si>
  <si>
    <t>Vieux-lès-Asfeld</t>
  </si>
  <si>
    <t>Villers-Semeuse</t>
  </si>
  <si>
    <t>Villers-sur-Bar</t>
  </si>
  <si>
    <t>Ville-sur-Lumes</t>
  </si>
  <si>
    <t>Vivier-au-Court</t>
  </si>
  <si>
    <t>Vrigne aux Bois</t>
  </si>
  <si>
    <t>Vrigne-Meuse</t>
  </si>
  <si>
    <t>Wadelincourt</t>
  </si>
  <si>
    <t>Warcq</t>
  </si>
  <si>
    <t>Arabaux</t>
  </si>
  <si>
    <t>Artix</t>
  </si>
  <si>
    <t>Baulou</t>
  </si>
  <si>
    <t>Bénac</t>
  </si>
  <si>
    <t>Le Bosc</t>
  </si>
  <si>
    <t>Brassac</t>
  </si>
  <si>
    <t>Burret</t>
  </si>
  <si>
    <t>Calzan</t>
  </si>
  <si>
    <t>Cazaux</t>
  </si>
  <si>
    <t>Celles</t>
  </si>
  <si>
    <t>Cos</t>
  </si>
  <si>
    <t>Coussa</t>
  </si>
  <si>
    <t>Crampagna</t>
  </si>
  <si>
    <t>Dalou</t>
  </si>
  <si>
    <t>Ferrières-sur-Ariège</t>
  </si>
  <si>
    <t>Foix</t>
  </si>
  <si>
    <t>Ganac</t>
  </si>
  <si>
    <t>Gudas</t>
  </si>
  <si>
    <t>L'Herm</t>
  </si>
  <si>
    <t>Loubens</t>
  </si>
  <si>
    <t>Loubières</t>
  </si>
  <si>
    <t>Malléon</t>
  </si>
  <si>
    <t>Montégut-Plantaurel</t>
  </si>
  <si>
    <t>Montgailhard</t>
  </si>
  <si>
    <t>Montoulieu</t>
  </si>
  <si>
    <t>Pradières</t>
  </si>
  <si>
    <t>Prayols</t>
  </si>
  <si>
    <t>Rieux-de-Pelleport</t>
  </si>
  <si>
    <t>Saint-Bauzeil</t>
  </si>
  <si>
    <t>Saint-Félix-de-Rieutord</t>
  </si>
  <si>
    <t>Saint-Jean-de-Verges</t>
  </si>
  <si>
    <t>Saint-Martin-de-Caralp</t>
  </si>
  <si>
    <t>Saint-Paul-de-Jarrat</t>
  </si>
  <si>
    <t>Saint-Pierre-de-Rivière</t>
  </si>
  <si>
    <t>Ségura</t>
  </si>
  <si>
    <t>Serres-sur-Arget</t>
  </si>
  <si>
    <t>Soula</t>
  </si>
  <si>
    <t>Varilhes</t>
  </si>
  <si>
    <t>Ventenac</t>
  </si>
  <si>
    <t>Vernajoul</t>
  </si>
  <si>
    <t>Verniolle</t>
  </si>
  <si>
    <t>Vira</t>
  </si>
  <si>
    <t>Assenay</t>
  </si>
  <si>
    <t>Aubeterre</t>
  </si>
  <si>
    <t>Barberey-Saint-Sulpice</t>
  </si>
  <si>
    <t>Les Bordes-Aumont</t>
  </si>
  <si>
    <t>Bouilly</t>
  </si>
  <si>
    <t>Bouranton</t>
  </si>
  <si>
    <t>Bréviandes</t>
  </si>
  <si>
    <t>Bucey-en-Othe</t>
  </si>
  <si>
    <t>Buchères</t>
  </si>
  <si>
    <t>La Chapelle-Saint-Luc</t>
  </si>
  <si>
    <t>Clérey</t>
  </si>
  <si>
    <t>Cormost</t>
  </si>
  <si>
    <t>Courteranges</t>
  </si>
  <si>
    <t>Creney-près-Troyes</t>
  </si>
  <si>
    <t>Crésantignes</t>
  </si>
  <si>
    <t>Dierrey-Saint-Pierre</t>
  </si>
  <si>
    <t>Estissac</t>
  </si>
  <si>
    <t>Fays-la-Chapelle</t>
  </si>
  <si>
    <t>Feuges</t>
  </si>
  <si>
    <t>Fontvannes</t>
  </si>
  <si>
    <t>Fresnoy-le-Château</t>
  </si>
  <si>
    <t>Isle-Aumont</t>
  </si>
  <si>
    <t>Javernant</t>
  </si>
  <si>
    <t>Jeugny</t>
  </si>
  <si>
    <t>Laines-aux-Bois</t>
  </si>
  <si>
    <t>Laubressel</t>
  </si>
  <si>
    <t>Lavau</t>
  </si>
  <si>
    <t>Lirey</t>
  </si>
  <si>
    <t>Longeville-sur-Mogne</t>
  </si>
  <si>
    <t>Lusigny-sur-Barse</t>
  </si>
  <si>
    <t>Macey</t>
  </si>
  <si>
    <t>Machy</t>
  </si>
  <si>
    <t>Maupas</t>
  </si>
  <si>
    <t>Mergey</t>
  </si>
  <si>
    <t>Mesnil-Saint-Père</t>
  </si>
  <si>
    <t>Messon</t>
  </si>
  <si>
    <t>Montaulin</t>
  </si>
  <si>
    <t>Montceaux-lès-Vaudes</t>
  </si>
  <si>
    <t>Montgueux</t>
  </si>
  <si>
    <t>Montiéramey</t>
  </si>
  <si>
    <t>Montreuil-sur-Barse</t>
  </si>
  <si>
    <t>Montsuzain</t>
  </si>
  <si>
    <t>Moussey</t>
  </si>
  <si>
    <t>Les Noës-près-Troyes</t>
  </si>
  <si>
    <t>Le Pavillon-Sainte-Julie</t>
  </si>
  <si>
    <t>Payns</t>
  </si>
  <si>
    <t>Pont-Sainte-Marie</t>
  </si>
  <si>
    <t>Prugny</t>
  </si>
  <si>
    <t>La Rivière-de-Corps</t>
  </si>
  <si>
    <t>Roncenay</t>
  </si>
  <si>
    <t>Rosières-près-Troyes</t>
  </si>
  <si>
    <t>Rouilly-Saint-Loup</t>
  </si>
  <si>
    <t>Ruvigny</t>
  </si>
  <si>
    <t>Saint-André-les-Vergers</t>
  </si>
  <si>
    <t>Saint-Benoît-sur-Seine</t>
  </si>
  <si>
    <t>Saint-Germain</t>
  </si>
  <si>
    <t>Saint-Jean-de-Bonneval</t>
  </si>
  <si>
    <t>Saint-Julien-les-Villas</t>
  </si>
  <si>
    <t>Saint-Léger-près-Troyes</t>
  </si>
  <si>
    <t>Saint-Lyé</t>
  </si>
  <si>
    <t>Sainte-Maure</t>
  </si>
  <si>
    <t>Saint-Parres-aux-Tertres</t>
  </si>
  <si>
    <t>Saint-Pouange</t>
  </si>
  <si>
    <t>Sainte-Savine</t>
  </si>
  <si>
    <t>Saint-Thibault</t>
  </si>
  <si>
    <t>Sommeval</t>
  </si>
  <si>
    <t>Souligny</t>
  </si>
  <si>
    <t>Thennelières</t>
  </si>
  <si>
    <t>Torvilliers</t>
  </si>
  <si>
    <t>Troyes</t>
  </si>
  <si>
    <t>Vailly</t>
  </si>
  <si>
    <t>Vauchassis</t>
  </si>
  <si>
    <t>La Vendue-Mignot</t>
  </si>
  <si>
    <t>Verrières</t>
  </si>
  <si>
    <t>Villacerf</t>
  </si>
  <si>
    <t>Villechétif</t>
  </si>
  <si>
    <t>Villeloup</t>
  </si>
  <si>
    <t>Villemereuil</t>
  </si>
  <si>
    <t>Villery</t>
  </si>
  <si>
    <t>Villy-le-Bois</t>
  </si>
  <si>
    <t>Villy-le-Maréchal</t>
  </si>
  <si>
    <t>Aigues-Vives</t>
  </si>
  <si>
    <t>Alairac</t>
  </si>
  <si>
    <t>Alzonne</t>
  </si>
  <si>
    <t>Aragon</t>
  </si>
  <si>
    <t>Argeliers</t>
  </si>
  <si>
    <t>Armissan</t>
  </si>
  <si>
    <t>Arquettes-en-Val</t>
  </si>
  <si>
    <t>Arzens</t>
  </si>
  <si>
    <t>Azille</t>
  </si>
  <si>
    <t>Badens</t>
  </si>
  <si>
    <t>Bages</t>
  </si>
  <si>
    <t>Bagnoles</t>
  </si>
  <si>
    <t>Barbaira</t>
  </si>
  <si>
    <t>Berriac</t>
  </si>
  <si>
    <t>Bizanet</t>
  </si>
  <si>
    <t>Bize-Minervois</t>
  </si>
  <si>
    <t>Blomac</t>
  </si>
  <si>
    <t>Bouilhonnac</t>
  </si>
  <si>
    <t>Cabrespine</t>
  </si>
  <si>
    <t>Capendu</t>
  </si>
  <si>
    <t>Carcassonne</t>
  </si>
  <si>
    <t>Castans</t>
  </si>
  <si>
    <t>Caunes-Minervois</t>
  </si>
  <si>
    <t>Caunettes-en-Val</t>
  </si>
  <si>
    <t>Caux-et-Sauzens</t>
  </si>
  <si>
    <t>Cavanac</t>
  </si>
  <si>
    <t>Caves</t>
  </si>
  <si>
    <t>Cazilhac</t>
  </si>
  <si>
    <t>Citou</t>
  </si>
  <si>
    <t>Comigne</t>
  </si>
  <si>
    <t>Conques-sur-Orbiel</t>
  </si>
  <si>
    <t>Couffoulens</t>
  </si>
  <si>
    <t>Coursan</t>
  </si>
  <si>
    <t>Cuxac-d'Aude</t>
  </si>
  <si>
    <t>Douzens</t>
  </si>
  <si>
    <t>Fajac-en-Val</t>
  </si>
  <si>
    <t>Feuilla</t>
  </si>
  <si>
    <t>Floure</t>
  </si>
  <si>
    <t>Fontiès-d'Aude</t>
  </si>
  <si>
    <t>Ginestas</t>
  </si>
  <si>
    <t>Gruissan</t>
  </si>
  <si>
    <t>Labastide-en-Val</t>
  </si>
  <si>
    <t>La Palme</t>
  </si>
  <si>
    <t>La Redorte</t>
  </si>
  <si>
    <t>Laure-Minervois</t>
  </si>
  <si>
    <t>Lavalette</t>
  </si>
  <si>
    <t>Lespinassière</t>
  </si>
  <si>
    <t>Leuc</t>
  </si>
  <si>
    <t>Leucate</t>
  </si>
  <si>
    <t>Limousis</t>
  </si>
  <si>
    <t>Malves-en-Minervois</t>
  </si>
  <si>
    <t>Marcorignan</t>
  </si>
  <si>
    <t>Marseillette</t>
  </si>
  <si>
    <t>Mas-des-Cours</t>
  </si>
  <si>
    <t>Mayronnes</t>
  </si>
  <si>
    <t>Mirepeisset</t>
  </si>
  <si>
    <t>Montirat</t>
  </si>
  <si>
    <t>Val-de-Dagne</t>
  </si>
  <si>
    <t>Montolieu</t>
  </si>
  <si>
    <t>Montredon-des-Corbières</t>
  </si>
  <si>
    <t>Monze</t>
  </si>
  <si>
    <t>Moussan</t>
  </si>
  <si>
    <t>Moussoulens</t>
  </si>
  <si>
    <t>Narbonne</t>
  </si>
  <si>
    <t>Névian</t>
  </si>
  <si>
    <t>Port-la-Nouvelle</t>
  </si>
  <si>
    <t>Ouveillan</t>
  </si>
  <si>
    <t>Palaja</t>
  </si>
  <si>
    <t>Pennautier</t>
  </si>
  <si>
    <t>Pépieux</t>
  </si>
  <si>
    <t>Peyriac-de-Mer</t>
  </si>
  <si>
    <t>Peyriac-Minervois</t>
  </si>
  <si>
    <t>Pezens</t>
  </si>
  <si>
    <t>Portel-des-Corbières</t>
  </si>
  <si>
    <t>Pouzols-Minervois</t>
  </si>
  <si>
    <t>Pradelles-Cabardès</t>
  </si>
  <si>
    <t>Preixan</t>
  </si>
  <si>
    <t>Puichéric</t>
  </si>
  <si>
    <t>Raissac-d'Aude</t>
  </si>
  <si>
    <t>Raissac-sur-Lampy</t>
  </si>
  <si>
    <t>Rieux-en-Val</t>
  </si>
  <si>
    <t>Rieux-Minervois</t>
  </si>
  <si>
    <t>Roquefort-des-Corbières</t>
  </si>
  <si>
    <t>Rouffiac-d'Aude</t>
  </si>
  <si>
    <t>Roullens</t>
  </si>
  <si>
    <t>Rustiques</t>
  </si>
  <si>
    <t>Sainte-Eulalie</t>
  </si>
  <si>
    <t>Saint-Frichoux</t>
  </si>
  <si>
    <t>Saint-Marcel-sur-Aude</t>
  </si>
  <si>
    <t>Saint-Martin-le-Vieil</t>
  </si>
  <si>
    <t>Saint-Nazaire-d'Aude</t>
  </si>
  <si>
    <t>Sainte-Valière</t>
  </si>
  <si>
    <t>Sallèles-Cabardès</t>
  </si>
  <si>
    <t>Sallèles-d'Aude</t>
  </si>
  <si>
    <t>Salles-d'Aude</t>
  </si>
  <si>
    <t>Serviès-en-Val</t>
  </si>
  <si>
    <t>Sigean</t>
  </si>
  <si>
    <t>Taurize</t>
  </si>
  <si>
    <t>Trausse</t>
  </si>
  <si>
    <t>Trèbes</t>
  </si>
  <si>
    <t>Treilles</t>
  </si>
  <si>
    <t>Ventenac-Cabardès</t>
  </si>
  <si>
    <t>Ventenac-en-Minervois</t>
  </si>
  <si>
    <t>Verzeille</t>
  </si>
  <si>
    <t>Villalier</t>
  </si>
  <si>
    <t>Villar-en-Val</t>
  </si>
  <si>
    <t>Villarzel-Cabardès</t>
  </si>
  <si>
    <t>Villedaigne</t>
  </si>
  <si>
    <t>Villedubert</t>
  </si>
  <si>
    <t>Villefloure</t>
  </si>
  <si>
    <t>Villegailhenc</t>
  </si>
  <si>
    <t>Villegly</t>
  </si>
  <si>
    <t>Villemoustaussou</t>
  </si>
  <si>
    <t>Villeneuve-Minervois</t>
  </si>
  <si>
    <t>Villesèquelande</t>
  </si>
  <si>
    <t>Villetritouls</t>
  </si>
  <si>
    <t>Vinassan</t>
  </si>
  <si>
    <t>Almont-les-Junies</t>
  </si>
  <si>
    <t>Aubin</t>
  </si>
  <si>
    <t>Boisse-Penchot</t>
  </si>
  <si>
    <t>Bouillac</t>
  </si>
  <si>
    <t>Camboulazet</t>
  </si>
  <si>
    <t>Baraqueville</t>
  </si>
  <si>
    <t>Cransac</t>
  </si>
  <si>
    <t>Creissels</t>
  </si>
  <si>
    <t>Decazeville</t>
  </si>
  <si>
    <t>Druelle Balsac</t>
  </si>
  <si>
    <t>Firmi</t>
  </si>
  <si>
    <t>Flagnac</t>
  </si>
  <si>
    <t>Livinhac-le-Haut</t>
  </si>
  <si>
    <t>Luc-la-Primaube</t>
  </si>
  <si>
    <t>Manhac</t>
  </si>
  <si>
    <t>Millau</t>
  </si>
  <si>
    <t>Le Monastère</t>
  </si>
  <si>
    <t>Olemps</t>
  </si>
  <si>
    <t>Onet-le-Château</t>
  </si>
  <si>
    <t>Rodez</t>
  </si>
  <si>
    <t>Saint-Parthem</t>
  </si>
  <si>
    <t>Sainte-Radegonde</t>
  </si>
  <si>
    <t>Saint-Santin</t>
  </si>
  <si>
    <t>Sébazac-Concourès</t>
  </si>
  <si>
    <t>Villefranche-de-Rouergue</t>
  </si>
  <si>
    <t>Viviez</t>
  </si>
  <si>
    <t>Aix-en-Provence</t>
  </si>
  <si>
    <t>Allauch</t>
  </si>
  <si>
    <t>Alleins</t>
  </si>
  <si>
    <t>Arles</t>
  </si>
  <si>
    <t>Aubagne</t>
  </si>
  <si>
    <t>Auriol</t>
  </si>
  <si>
    <t>Aurons</t>
  </si>
  <si>
    <t>La Barben</t>
  </si>
  <si>
    <t>Beaurecueil</t>
  </si>
  <si>
    <t>Belcodène</t>
  </si>
  <si>
    <t>Berre-l'Étang</t>
  </si>
  <si>
    <t>Bouc-Bel-Air</t>
  </si>
  <si>
    <t>La Bouilladisse</t>
  </si>
  <si>
    <t>Boulbon</t>
  </si>
  <si>
    <t>Cabriès</t>
  </si>
  <si>
    <t>Cadolive</t>
  </si>
  <si>
    <t>Carry-le-Rouet</t>
  </si>
  <si>
    <t>Cassis</t>
  </si>
  <si>
    <t>Ceyreste</t>
  </si>
  <si>
    <t>Charleval</t>
  </si>
  <si>
    <t>Châteauneuf-le-Rouge</t>
  </si>
  <si>
    <t>Châteauneuf-les-Martigues</t>
  </si>
  <si>
    <t>La Ciotat</t>
  </si>
  <si>
    <t>Cornillon-Confoux</t>
  </si>
  <si>
    <t>Cuges-les-Pins</t>
  </si>
  <si>
    <t>La Destrousse</t>
  </si>
  <si>
    <t>Éguilles</t>
  </si>
  <si>
    <t>Ensuès-la-Redonne</t>
  </si>
  <si>
    <t>Eyguières</t>
  </si>
  <si>
    <t>La Fare-les-Oliviers</t>
  </si>
  <si>
    <t>Fos-sur-Mer</t>
  </si>
  <si>
    <t>Fuveau</t>
  </si>
  <si>
    <t>Gardanne</t>
  </si>
  <si>
    <t>Gémenos</t>
  </si>
  <si>
    <t>Gignac-la-Nerthe</t>
  </si>
  <si>
    <t>Grans</t>
  </si>
  <si>
    <t>Gréasque</t>
  </si>
  <si>
    <t>Istres</t>
  </si>
  <si>
    <t>Jouques</t>
  </si>
  <si>
    <t>Lamanon</t>
  </si>
  <si>
    <t>Lambesc</t>
  </si>
  <si>
    <t>Lançon-Provence</t>
  </si>
  <si>
    <t>Mallemort</t>
  </si>
  <si>
    <t>Marignane</t>
  </si>
  <si>
    <t>Martigues</t>
  </si>
  <si>
    <t>Meyrargues</t>
  </si>
  <si>
    <t>Meyreuil</t>
  </si>
  <si>
    <t>Saint-Pierre-de-Mézoargues</t>
  </si>
  <si>
    <t>Mimet</t>
  </si>
  <si>
    <t>Miramas</t>
  </si>
  <si>
    <t>Pélissanne</t>
  </si>
  <si>
    <t>La Penne-sur-Huveaune</t>
  </si>
  <si>
    <t>Les Pennes-Mirabeau</t>
  </si>
  <si>
    <t>Peynier</t>
  </si>
  <si>
    <t>Peypin</t>
  </si>
  <si>
    <t>Peyrolles-en-Provence</t>
  </si>
  <si>
    <t>Plan-de-Cuques</t>
  </si>
  <si>
    <t>Port-de-Bouc</t>
  </si>
  <si>
    <t>Port-Saint-Louis-du-Rhône</t>
  </si>
  <si>
    <t>Puyloubier</t>
  </si>
  <si>
    <t>Le Puy-Sainte-Réparade</t>
  </si>
  <si>
    <t>Rognac</t>
  </si>
  <si>
    <t>Rognes</t>
  </si>
  <si>
    <t>La Roque-d'Anthéron</t>
  </si>
  <si>
    <t>Roquefort-la-Bédoule</t>
  </si>
  <si>
    <t>Roquevaire</t>
  </si>
  <si>
    <t>Rousset</t>
  </si>
  <si>
    <t>Le Rove</t>
  </si>
  <si>
    <t>Saint-Antonin-sur-Bayon</t>
  </si>
  <si>
    <t>Saint-Cannat</t>
  </si>
  <si>
    <t>Saint-Chamas</t>
  </si>
  <si>
    <t>Saint-Estève-Janson</t>
  </si>
  <si>
    <t>Saint-Marc-Jaumegarde</t>
  </si>
  <si>
    <t>Saintes-Maries-de-la-Mer</t>
  </si>
  <si>
    <t>Saint-Martin-de-Crau</t>
  </si>
  <si>
    <t>Saint-Mitre-les-Remparts</t>
  </si>
  <si>
    <t>Saint-Paul-lès-Durance</t>
  </si>
  <si>
    <t>Saint-Savournin</t>
  </si>
  <si>
    <t>Saint-Victoret</t>
  </si>
  <si>
    <t>Salon-de-Provence</t>
  </si>
  <si>
    <t>Sausset-les-Pins</t>
  </si>
  <si>
    <t>Sénas</t>
  </si>
  <si>
    <t>Septèmes-les-Vallons</t>
  </si>
  <si>
    <t>Simiane-Collongue</t>
  </si>
  <si>
    <t>Tarascon</t>
  </si>
  <si>
    <t>Le Tholonet</t>
  </si>
  <si>
    <t>Trets</t>
  </si>
  <si>
    <t>Vauvenargues</t>
  </si>
  <si>
    <t>Velaux</t>
  </si>
  <si>
    <t>Venelles</t>
  </si>
  <si>
    <t>Ventabren</t>
  </si>
  <si>
    <t>Vernègues</t>
  </si>
  <si>
    <t>Coudoux</t>
  </si>
  <si>
    <t>Carnoux-en-Provence</t>
  </si>
  <si>
    <t>Marseille 01</t>
  </si>
  <si>
    <t>Marseille 02</t>
  </si>
  <si>
    <t>Marseille 03</t>
  </si>
  <si>
    <t>Marseille 04</t>
  </si>
  <si>
    <t>Marseille 05</t>
  </si>
  <si>
    <t>Marseille 06</t>
  </si>
  <si>
    <t>Marseille 07</t>
  </si>
  <si>
    <t>Marseille 08</t>
  </si>
  <si>
    <t>Marseille 09</t>
  </si>
  <si>
    <t>Marseille 10</t>
  </si>
  <si>
    <t>Marseille 11</t>
  </si>
  <si>
    <t>Marseille 12</t>
  </si>
  <si>
    <t>Marseille 13</t>
  </si>
  <si>
    <t>Marseille 14</t>
  </si>
  <si>
    <t>Marseille 15</t>
  </si>
  <si>
    <t>Marseille 16</t>
  </si>
  <si>
    <t>Authie</t>
  </si>
  <si>
    <t>Bénouville</t>
  </si>
  <si>
    <t>Biéville-Beuville</t>
  </si>
  <si>
    <t>Blainville-sur-Orne</t>
  </si>
  <si>
    <t>Bourguébus</t>
  </si>
  <si>
    <t>Thue et Mue</t>
  </si>
  <si>
    <t>Bretteville-sur-Odon</t>
  </si>
  <si>
    <t>Caen</t>
  </si>
  <si>
    <t>Cairon</t>
  </si>
  <si>
    <t>Cambes-en-Plaine</t>
  </si>
  <si>
    <t>Carpiquet</t>
  </si>
  <si>
    <t>Colleville-Montgomery</t>
  </si>
  <si>
    <t>Colombelles</t>
  </si>
  <si>
    <t>Cormelles-le-Royal</t>
  </si>
  <si>
    <t>Cuverville</t>
  </si>
  <si>
    <t>Démouville</t>
  </si>
  <si>
    <t>Épron</t>
  </si>
  <si>
    <t>Éterville</t>
  </si>
  <si>
    <t>Fleury-sur-Orne</t>
  </si>
  <si>
    <t>Le Fresne-Camilly</t>
  </si>
  <si>
    <t>Giberville</t>
  </si>
  <si>
    <t>Grentheville</t>
  </si>
  <si>
    <t>Hermanville-sur-Mer</t>
  </si>
  <si>
    <t>Hérouville-Saint-Clair</t>
  </si>
  <si>
    <t>Houlgate</t>
  </si>
  <si>
    <t>Ifs</t>
  </si>
  <si>
    <t>Lion-sur-Mer</t>
  </si>
  <si>
    <t>Louvigny</t>
  </si>
  <si>
    <t>Mathieu</t>
  </si>
  <si>
    <t>Mondeville</t>
  </si>
  <si>
    <t>Mouen</t>
  </si>
  <si>
    <t>Ouistreham</t>
  </si>
  <si>
    <t>Périers-sur-le-Dan</t>
  </si>
  <si>
    <t>Castine-en-Plaine</t>
  </si>
  <si>
    <t>Rosel</t>
  </si>
  <si>
    <t>Rots</t>
  </si>
  <si>
    <t>Le Castelet</t>
  </si>
  <si>
    <t>Saint-André-sur-Orne</t>
  </si>
  <si>
    <t>Saint-Aubin-d'Arquenay</t>
  </si>
  <si>
    <t>Saint-Contest</t>
  </si>
  <si>
    <t>Saint-Germain-la-Blanche-Herbe</t>
  </si>
  <si>
    <t>Saint-Manvieu-Norrey</t>
  </si>
  <si>
    <t>Sannerville</t>
  </si>
  <si>
    <t>Soliers</t>
  </si>
  <si>
    <t>Thaon</t>
  </si>
  <si>
    <t>Thury-Harcourt-le-Hom</t>
  </si>
  <si>
    <t>Tourville-sur-Odon</t>
  </si>
  <si>
    <t>Troarn</t>
  </si>
  <si>
    <t>Verson</t>
  </si>
  <si>
    <t>Villons-les-Buissons</t>
  </si>
  <si>
    <t>Arpajon-sur-Cère</t>
  </si>
  <si>
    <t>Aurillac</t>
  </si>
  <si>
    <t>Ayrens</t>
  </si>
  <si>
    <t>Crandelles</t>
  </si>
  <si>
    <t>Giou-de-Mamou</t>
  </si>
  <si>
    <t>Jussac</t>
  </si>
  <si>
    <t>Lacapelle-Viescamp</t>
  </si>
  <si>
    <t>Laroquevieille</t>
  </si>
  <si>
    <t>Lascelle</t>
  </si>
  <si>
    <t>Mandailles-Saint-Julien</t>
  </si>
  <si>
    <t>Marmanhac</t>
  </si>
  <si>
    <t>Naucelles</t>
  </si>
  <si>
    <t>Reilhac</t>
  </si>
  <si>
    <t>Saint-Cirgues-de-Jordanne</t>
  </si>
  <si>
    <t>Saint-Paul-des-Landes</t>
  </si>
  <si>
    <t>Sansac-de-Marmiesse</t>
  </si>
  <si>
    <t>Teissières-de-Cornet</t>
  </si>
  <si>
    <t>Velzic</t>
  </si>
  <si>
    <t>Vézac</t>
  </si>
  <si>
    <t>Yolet</t>
  </si>
  <si>
    <t>Ytrac</t>
  </si>
  <si>
    <t>Ambernac</t>
  </si>
  <si>
    <t>Angeac-Champagne</t>
  </si>
  <si>
    <t>Angeac-Charente</t>
  </si>
  <si>
    <t>Angoulême</t>
  </si>
  <si>
    <t>Ars</t>
  </si>
  <si>
    <t>Asnières-sur-Nouère</t>
  </si>
  <si>
    <t>Balzac</t>
  </si>
  <si>
    <t>Bassac</t>
  </si>
  <si>
    <t>Birac</t>
  </si>
  <si>
    <t>Bonneuil</t>
  </si>
  <si>
    <t>Bouëx</t>
  </si>
  <si>
    <t>Bourg-Charente</t>
  </si>
  <si>
    <t>Bouteville</t>
  </si>
  <si>
    <t>Boutiers-Saint-Trojan</t>
  </si>
  <si>
    <t>Bréville</t>
  </si>
  <si>
    <t>Champmillon</t>
  </si>
  <si>
    <t>Champniers</t>
  </si>
  <si>
    <t>Chassors</t>
  </si>
  <si>
    <t>Châteaubernard</t>
  </si>
  <si>
    <t>Châteauneuf-sur-Charente</t>
  </si>
  <si>
    <t>Cherves-Richemont</t>
  </si>
  <si>
    <t>Claix</t>
  </si>
  <si>
    <t>Cognac</t>
  </si>
  <si>
    <t>La Couronne</t>
  </si>
  <si>
    <t>Criteuil-la-Magdeleine</t>
  </si>
  <si>
    <t>Dignac</t>
  </si>
  <si>
    <t>Dirac</t>
  </si>
  <si>
    <t>Épenède</t>
  </si>
  <si>
    <t>Fléac</t>
  </si>
  <si>
    <t>Fleurac</t>
  </si>
  <si>
    <t>Foussignac</t>
  </si>
  <si>
    <t>Garat</t>
  </si>
  <si>
    <t>Gensac-la-Pallue</t>
  </si>
  <si>
    <t>Genté</t>
  </si>
  <si>
    <t>Gimeux</t>
  </si>
  <si>
    <t>Mainxe-Gondeville</t>
  </si>
  <si>
    <t>Gond-Pontouvre</t>
  </si>
  <si>
    <t>Hiersac</t>
  </si>
  <si>
    <t>Houlette</t>
  </si>
  <si>
    <t>L'Isle-d'Espagnac</t>
  </si>
  <si>
    <t>Jarnac</t>
  </si>
  <si>
    <t>Jauldes</t>
  </si>
  <si>
    <t>Javrezac</t>
  </si>
  <si>
    <t>Juillac-le-Coq</t>
  </si>
  <si>
    <t>Julienne</t>
  </si>
  <si>
    <t>Lignières-Ambleville</t>
  </si>
  <si>
    <t>Linars</t>
  </si>
  <si>
    <t>Louzac-Saint-André</t>
  </si>
  <si>
    <t>Magnac-sur-Touvre</t>
  </si>
  <si>
    <t>Maine-de-Boixe</t>
  </si>
  <si>
    <t>Bellevigne</t>
  </si>
  <si>
    <t>Marsac</t>
  </si>
  <si>
    <t>Mérignac</t>
  </si>
  <si>
    <t>Merpins</t>
  </si>
  <si>
    <t>Mesnac</t>
  </si>
  <si>
    <t>Les Métairies</t>
  </si>
  <si>
    <t>Mornac</t>
  </si>
  <si>
    <t>Mosnac-Saint-Simeux</t>
  </si>
  <si>
    <t>Moulidars</t>
  </si>
  <si>
    <t>Mouthiers-sur-Boëme</t>
  </si>
  <si>
    <t>Nercillac</t>
  </si>
  <si>
    <t>Nersac</t>
  </si>
  <si>
    <t>Nonac</t>
  </si>
  <si>
    <t>Plassac-Rouffiac</t>
  </si>
  <si>
    <t>Puymoyen</t>
  </si>
  <si>
    <t>Réparsac</t>
  </si>
  <si>
    <t>Roullet-Saint-Estèphe</t>
  </si>
  <si>
    <t>Ruelle-sur-Touvre</t>
  </si>
  <si>
    <t>Graves-Saint-Amant</t>
  </si>
  <si>
    <t>Saint-Brice</t>
  </si>
  <si>
    <t>Saint-Fort-sur-le-Né</t>
  </si>
  <si>
    <t>Saint-Laurent-de-Cognac</t>
  </si>
  <si>
    <t>Saint-Même-les-Carrières</t>
  </si>
  <si>
    <t>Saint-Michel</t>
  </si>
  <si>
    <t>Saint-Preuil</t>
  </si>
  <si>
    <t>Saint-Saturnin</t>
  </si>
  <si>
    <t>Sainte-Sévère</t>
  </si>
  <si>
    <t>Saint-Séverin</t>
  </si>
  <si>
    <t>Saint-Sulpice-de-Cognac</t>
  </si>
  <si>
    <t>Saint-Yrieix-sur-Charente</t>
  </si>
  <si>
    <t>Salles-d'Angles</t>
  </si>
  <si>
    <t>Segonzac</t>
  </si>
  <si>
    <t>Sers</t>
  </si>
  <si>
    <t>Sigogne</t>
  </si>
  <si>
    <t>Sireuil</t>
  </si>
  <si>
    <t>Soyaux</t>
  </si>
  <si>
    <t>Torsac</t>
  </si>
  <si>
    <t>Touvre</t>
  </si>
  <si>
    <t>Touzac</t>
  </si>
  <si>
    <t>Triac-Lautrait</t>
  </si>
  <si>
    <t>Trois-Palis</t>
  </si>
  <si>
    <t>Vibrac</t>
  </si>
  <si>
    <t>Vindelle</t>
  </si>
  <si>
    <t>Vitrac-Saint-Vincent</t>
  </si>
  <si>
    <t>Vœuil-et-Giget</t>
  </si>
  <si>
    <t>Voulgézac</t>
  </si>
  <si>
    <t>Vouzan</t>
  </si>
  <si>
    <t>Île-d'Aix</t>
  </si>
  <si>
    <t>Angoulins</t>
  </si>
  <si>
    <t>Arces</t>
  </si>
  <si>
    <t>Arvert</t>
  </si>
  <si>
    <t>Aytré</t>
  </si>
  <si>
    <t>Barzan</t>
  </si>
  <si>
    <t>Beaugeay</t>
  </si>
  <si>
    <t>Bourgneuf</t>
  </si>
  <si>
    <t>Boutenac-Touvent</t>
  </si>
  <si>
    <t>Breuillet</t>
  </si>
  <si>
    <t>Breuil-Magné</t>
  </si>
  <si>
    <t>Brie-sous-Mortagne</t>
  </si>
  <si>
    <t>Burie</t>
  </si>
  <si>
    <t>Bussac-sur-Charente</t>
  </si>
  <si>
    <t>Cabariot</t>
  </si>
  <si>
    <t>Chaillevette</t>
  </si>
  <si>
    <t>Champagne</t>
  </si>
  <si>
    <t>Chaniers</t>
  </si>
  <si>
    <t>La Chapelle-des-Pots</t>
  </si>
  <si>
    <t>Châtelaillon-Plage</t>
  </si>
  <si>
    <t>Le Chay</t>
  </si>
  <si>
    <t>Chenac-Saint-Seurin-d'Uzet</t>
  </si>
  <si>
    <t>Chérac</t>
  </si>
  <si>
    <t>Chermignac</t>
  </si>
  <si>
    <t>Clavette</t>
  </si>
  <si>
    <t>La Clisse</t>
  </si>
  <si>
    <t>Colombiers</t>
  </si>
  <si>
    <t>Corme-Écluse</t>
  </si>
  <si>
    <t>Corme-Royal</t>
  </si>
  <si>
    <t>Courcoury</t>
  </si>
  <si>
    <t>Cozes</t>
  </si>
  <si>
    <t>Croix-Chapeau</t>
  </si>
  <si>
    <t>Dompierre-sur-Charente</t>
  </si>
  <si>
    <t>Dompierre-sur-Mer</t>
  </si>
  <si>
    <t>Le Douhet</t>
  </si>
  <si>
    <t>Échillais</t>
  </si>
  <si>
    <t>Écoyeux</t>
  </si>
  <si>
    <t>Écurat</t>
  </si>
  <si>
    <t>L'Éguille</t>
  </si>
  <si>
    <t>Épargnes</t>
  </si>
  <si>
    <t>Esnandes</t>
  </si>
  <si>
    <t>Étaules</t>
  </si>
  <si>
    <t>Floirac</t>
  </si>
  <si>
    <t>Fontcouverte</t>
  </si>
  <si>
    <t>Fouras</t>
  </si>
  <si>
    <t>Les Gonds</t>
  </si>
  <si>
    <t>Grézac</t>
  </si>
  <si>
    <t>La Gripperie-Saint-Symphorien</t>
  </si>
  <si>
    <t>L'Houmeau</t>
  </si>
  <si>
    <t>La Jard</t>
  </si>
  <si>
    <t>La Jarne</t>
  </si>
  <si>
    <t>La Jarrie</t>
  </si>
  <si>
    <t>Lagord</t>
  </si>
  <si>
    <t>Loire-les-Marais</t>
  </si>
  <si>
    <t>Luchat</t>
  </si>
  <si>
    <t>Lussant</t>
  </si>
  <si>
    <t>Marsilly</t>
  </si>
  <si>
    <t>Les Mathes</t>
  </si>
  <si>
    <t>Médis</t>
  </si>
  <si>
    <t>Meschers-sur-Gironde</t>
  </si>
  <si>
    <t>Migron</t>
  </si>
  <si>
    <t>Moëze</t>
  </si>
  <si>
    <t>Montils</t>
  </si>
  <si>
    <t>Montroy</t>
  </si>
  <si>
    <t>Moragne</t>
  </si>
  <si>
    <t>Mornac-sur-Seudre</t>
  </si>
  <si>
    <t>Mortagne-sur-Gironde</t>
  </si>
  <si>
    <t>Muron</t>
  </si>
  <si>
    <t>Nieul-sur-Mer</t>
  </si>
  <si>
    <t>Périgny</t>
  </si>
  <si>
    <t>Pessines</t>
  </si>
  <si>
    <t>Pisany</t>
  </si>
  <si>
    <t>Préguillac</t>
  </si>
  <si>
    <t>Puilboreau</t>
  </si>
  <si>
    <t>Rochefort</t>
  </si>
  <si>
    <t>La Rochelle</t>
  </si>
  <si>
    <t>Rouffiac</t>
  </si>
  <si>
    <t>Royan</t>
  </si>
  <si>
    <t>Sablonceaux</t>
  </si>
  <si>
    <t>Saint-Agnant</t>
  </si>
  <si>
    <t>Saint-Augustin</t>
  </si>
  <si>
    <t>Saint-Bris-des-Bois</t>
  </si>
  <si>
    <t>Saint-Césaire</t>
  </si>
  <si>
    <t>Saint-Christophe</t>
  </si>
  <si>
    <t>Saint-Coutant-le-Grand</t>
  </si>
  <si>
    <t>Saint-Froult</t>
  </si>
  <si>
    <t>Saint-Georges-de-Didonne</t>
  </si>
  <si>
    <t>Saint-Georges-des-Coteaux</t>
  </si>
  <si>
    <t>Saint-Hippolyte</t>
  </si>
  <si>
    <t>Saint-Jean-d'Angle</t>
  </si>
  <si>
    <t>Saint-Laurent-de-la-Prée</t>
  </si>
  <si>
    <t>Saint-Médard-d'Aunis</t>
  </si>
  <si>
    <t>Saint-Nazaire-sur-Charente</t>
  </si>
  <si>
    <t>Saint-Palais-sur-Mer</t>
  </si>
  <si>
    <t>Saint-Rogatien</t>
  </si>
  <si>
    <t>Saint-Romain sur Gironde</t>
  </si>
  <si>
    <t>Saint-Romain-de-Benet</t>
  </si>
  <si>
    <t>Saint-Sauvant</t>
  </si>
  <si>
    <t>Saint-Sever-de-Saintonge</t>
  </si>
  <si>
    <t>Sainte-Soulle</t>
  </si>
  <si>
    <t>Saint-Sulpice-de-Royan</t>
  </si>
  <si>
    <t>Saint-Vaize</t>
  </si>
  <si>
    <t>Saint-Vivien</t>
  </si>
  <si>
    <t>Saint-Xandre</t>
  </si>
  <si>
    <t>Saintes</t>
  </si>
  <si>
    <t>Salles-sur-Mer</t>
  </si>
  <si>
    <t>Saujon</t>
  </si>
  <si>
    <t>Semussac</t>
  </si>
  <si>
    <t>Le Seure</t>
  </si>
  <si>
    <t>Soubise</t>
  </si>
  <si>
    <t>Talmont-sur-Gironde</t>
  </si>
  <si>
    <t>Thairé</t>
  </si>
  <si>
    <t>Thénac</t>
  </si>
  <si>
    <t>Tonnay-Charente</t>
  </si>
  <si>
    <t>La Tremblade</t>
  </si>
  <si>
    <t>Varzay</t>
  </si>
  <si>
    <t>Vaux-sur-Mer</t>
  </si>
  <si>
    <t>Vénérand</t>
  </si>
  <si>
    <t>Vergeroux</t>
  </si>
  <si>
    <t>Vérines</t>
  </si>
  <si>
    <t>Villars-les-Bois</t>
  </si>
  <si>
    <t>Yves</t>
  </si>
  <si>
    <t>Port-des-Barques</t>
  </si>
  <si>
    <t>Annoix</t>
  </si>
  <si>
    <t>Arçay</t>
  </si>
  <si>
    <t>Berry-Bouy</t>
  </si>
  <si>
    <t>Bourges</t>
  </si>
  <si>
    <t>La Chapelle-Saint-Ursin</t>
  </si>
  <si>
    <t>Fussy</t>
  </si>
  <si>
    <t>Lissay-Lochy</t>
  </si>
  <si>
    <t>Marmagne</t>
  </si>
  <si>
    <t>Mehun-sur-Yèvre</t>
  </si>
  <si>
    <t>Morthomiers</t>
  </si>
  <si>
    <t>Pigny</t>
  </si>
  <si>
    <t>Plaimpied-Givaudins</t>
  </si>
  <si>
    <t>Saint-Doulchard</t>
  </si>
  <si>
    <t>Saint-Florent-sur-Cher</t>
  </si>
  <si>
    <t>Saint-Germain-du-Puy</t>
  </si>
  <si>
    <t>Saint-Michel-de-Volangis</t>
  </si>
  <si>
    <t>Le Subdray</t>
  </si>
  <si>
    <t>Trouy</t>
  </si>
  <si>
    <t>Vierzon</t>
  </si>
  <si>
    <t>Vorly</t>
  </si>
  <si>
    <t>Allassac</t>
  </si>
  <si>
    <t>Les Angles-sur-Corrèze</t>
  </si>
  <si>
    <t>Ayen</t>
  </si>
  <si>
    <t>Bar</t>
  </si>
  <si>
    <t>Beaumont</t>
  </si>
  <si>
    <t>Brignac-la-Plaine</t>
  </si>
  <si>
    <t>Brive-la-Gaillarde</t>
  </si>
  <si>
    <t>Chabrignac</t>
  </si>
  <si>
    <t>Chamboulive</t>
  </si>
  <si>
    <t>Chameyrat</t>
  </si>
  <si>
    <t>Chanac-les-Mines</t>
  </si>
  <si>
    <t>Chanteix</t>
  </si>
  <si>
    <t>La Chapelle-aux-Brocs</t>
  </si>
  <si>
    <t>Chartrier-Ferrière</t>
  </si>
  <si>
    <t>Le Chastang</t>
  </si>
  <si>
    <t>Chasteaux</t>
  </si>
  <si>
    <t>Cornil</t>
  </si>
  <si>
    <t>Corrèze</t>
  </si>
  <si>
    <t>Cosnac</t>
  </si>
  <si>
    <t>Cublac</t>
  </si>
  <si>
    <t>Dampniat</t>
  </si>
  <si>
    <t>Donzenac</t>
  </si>
  <si>
    <t>Espagnac</t>
  </si>
  <si>
    <t>Estivals</t>
  </si>
  <si>
    <t>Estivaux</t>
  </si>
  <si>
    <t>Eyrein</t>
  </si>
  <si>
    <t>Favars</t>
  </si>
  <si>
    <t>Gimel-les-Cascades</t>
  </si>
  <si>
    <t>Jugeals-Nazareth</t>
  </si>
  <si>
    <t>Juillac</t>
  </si>
  <si>
    <t>Ladignac-sur-Rondelles</t>
  </si>
  <si>
    <t>Lagarde-Marc-la-Tour</t>
  </si>
  <si>
    <t>Lagraulière</t>
  </si>
  <si>
    <t>Laguenne-sur-Avalouze</t>
  </si>
  <si>
    <t>Larche</t>
  </si>
  <si>
    <t>Lascaux</t>
  </si>
  <si>
    <t>Lissac-sur-Couze</t>
  </si>
  <si>
    <t>Louignac</t>
  </si>
  <si>
    <t>Malemort</t>
  </si>
  <si>
    <t>Mansac</t>
  </si>
  <si>
    <t>Marcillac-la-Croze</t>
  </si>
  <si>
    <t>Naves</t>
  </si>
  <si>
    <t>Nespouls</t>
  </si>
  <si>
    <t>Noailles</t>
  </si>
  <si>
    <t>Objat</t>
  </si>
  <si>
    <t>Orliac-de-Bar</t>
  </si>
  <si>
    <t>Pandrignes</t>
  </si>
  <si>
    <t>Perpezac-le-Blanc</t>
  </si>
  <si>
    <t>Pierrefitte</t>
  </si>
  <si>
    <t>Rosiers-de-Juillac</t>
  </si>
  <si>
    <t>Sadroc</t>
  </si>
  <si>
    <t>Saint-Aulaire</t>
  </si>
  <si>
    <t>Saint-Bazile-de-Meyssac</t>
  </si>
  <si>
    <t>Saint-Bonnet-la-Rivière</t>
  </si>
  <si>
    <t>Saint-Bonnet-l'Enfantier</t>
  </si>
  <si>
    <t>Saint-Cernin-de-Larche</t>
  </si>
  <si>
    <t>Saint-Cyprien</t>
  </si>
  <si>
    <t>Saint-Cyr-la-Roche</t>
  </si>
  <si>
    <t>Sainte-Féréole</t>
  </si>
  <si>
    <t>Sainte-Fortunade</t>
  </si>
  <si>
    <t>Saint-Germain-les-Vergnes</t>
  </si>
  <si>
    <t>Saint-Hilaire-Peyroux</t>
  </si>
  <si>
    <t>Saint-Jal</t>
  </si>
  <si>
    <t>Saint-Martial-de-Gimel</t>
  </si>
  <si>
    <t>Saint-Mexant</t>
  </si>
  <si>
    <t>Saint-Pantaléon-de-Larche</t>
  </si>
  <si>
    <t>Saint-Pardoux-l'Ortigier</t>
  </si>
  <si>
    <t>Saint-Paul</t>
  </si>
  <si>
    <t>Saint-Priest-de-Gimel</t>
  </si>
  <si>
    <t>Saint-Robert</t>
  </si>
  <si>
    <t>Saint-Salvadour</t>
  </si>
  <si>
    <t>Saint-Solve</t>
  </si>
  <si>
    <t>Saint-Viance</t>
  </si>
  <si>
    <t>Seilhac</t>
  </si>
  <si>
    <t>Tulle</t>
  </si>
  <si>
    <t>Turenne</t>
  </si>
  <si>
    <t>Ussac</t>
  </si>
  <si>
    <t>Varetz</t>
  </si>
  <si>
    <t>Vars-sur-Roseix</t>
  </si>
  <si>
    <t>Veix</t>
  </si>
  <si>
    <t>Vignols</t>
  </si>
  <si>
    <t>Vitrac-sur-Montane</t>
  </si>
  <si>
    <t>Voutezac</t>
  </si>
  <si>
    <t>Yssandon</t>
  </si>
  <si>
    <t>Ahuy</t>
  </si>
  <si>
    <t>Aloxe-Corton</t>
  </si>
  <si>
    <t>Aubigny-la-Ronce</t>
  </si>
  <si>
    <t>Auxey-Duresses</t>
  </si>
  <si>
    <t>Baubigny</t>
  </si>
  <si>
    <t>Beaune</t>
  </si>
  <si>
    <t>Bligny-lès-Beaune</t>
  </si>
  <si>
    <t>Bouilland</t>
  </si>
  <si>
    <t>Bouze-lès-Beaune</t>
  </si>
  <si>
    <t>Bressey-sur-Tille</t>
  </si>
  <si>
    <t>Bretenière</t>
  </si>
  <si>
    <t>Chassagne-Montrachet</t>
  </si>
  <si>
    <t>Chenôve</t>
  </si>
  <si>
    <t>Chevigny-en-Valière</t>
  </si>
  <si>
    <t>Chevigny-Saint-Sauveur</t>
  </si>
  <si>
    <t>Chorey-les-Beaune</t>
  </si>
  <si>
    <t>Combertault</t>
  </si>
  <si>
    <t>Corberon</t>
  </si>
  <si>
    <t>Corcelles-les-Arts</t>
  </si>
  <si>
    <t>Corgengoux</t>
  </si>
  <si>
    <t>Cormot-Vauchignon</t>
  </si>
  <si>
    <t>Corpeau</t>
  </si>
  <si>
    <t>Crépand</t>
  </si>
  <si>
    <t>Daix</t>
  </si>
  <si>
    <t>Dijon</t>
  </si>
  <si>
    <t>Ébaty</t>
  </si>
  <si>
    <t>Échevronne</t>
  </si>
  <si>
    <t>Fénay</t>
  </si>
  <si>
    <t>Fontaine-lès-Dijon</t>
  </si>
  <si>
    <t>Hauteville-lès-Dijon</t>
  </si>
  <si>
    <t>Is-sur-Tille</t>
  </si>
  <si>
    <t>Val-Mont</t>
  </si>
  <si>
    <t>Levernois</t>
  </si>
  <si>
    <t>Longvic</t>
  </si>
  <si>
    <t>Magny-sur-Tille</t>
  </si>
  <si>
    <t>Marigny-lès-Reullée</t>
  </si>
  <si>
    <t>Marsannay-la-Côte</t>
  </si>
  <si>
    <t>Mavilly-Mandelot</t>
  </si>
  <si>
    <t>Meloisey</t>
  </si>
  <si>
    <t>Merceuil</t>
  </si>
  <si>
    <t>Meursanges</t>
  </si>
  <si>
    <t>Meursault</t>
  </si>
  <si>
    <t>Molinot</t>
  </si>
  <si>
    <t>Montagny-lès-Beaune</t>
  </si>
  <si>
    <t>Monthelie</t>
  </si>
  <si>
    <t>Nantoux</t>
  </si>
  <si>
    <t>Neuilly-Crimolois</t>
  </si>
  <si>
    <t>Nolay</t>
  </si>
  <si>
    <t>Ouges</t>
  </si>
  <si>
    <t>Pernand-Vergelesses</t>
  </si>
  <si>
    <t>Perrigny-lès-Dijon</t>
  </si>
  <si>
    <t>Plombières-lès-Dijon</t>
  </si>
  <si>
    <t>Pommard</t>
  </si>
  <si>
    <t>Puligny-Montrachet</t>
  </si>
  <si>
    <t>Quetigny</t>
  </si>
  <si>
    <t>La Rochepot</t>
  </si>
  <si>
    <t>Ruffey-lès-Beaune</t>
  </si>
  <si>
    <t>Saint-Aubin</t>
  </si>
  <si>
    <t>Sainte-Marie-la-Blanche</t>
  </si>
  <si>
    <t>Saint-Romain</t>
  </si>
  <si>
    <t>Santenay</t>
  </si>
  <si>
    <t>Santosse</t>
  </si>
  <si>
    <t>Savigny-lès-Beaune</t>
  </si>
  <si>
    <t>Sennecey-lès-Dijon</t>
  </si>
  <si>
    <t>Ladoix-Serrigny</t>
  </si>
  <si>
    <t>Tailly</t>
  </si>
  <si>
    <t>Talant</t>
  </si>
  <si>
    <t>Thury</t>
  </si>
  <si>
    <t>Varois-et-Chaignot</t>
  </si>
  <si>
    <t>Vignoles</t>
  </si>
  <si>
    <t>Volnay</t>
  </si>
  <si>
    <t>Andel</t>
  </si>
  <si>
    <t>Aucaleuc</t>
  </si>
  <si>
    <t>Bégard</t>
  </si>
  <si>
    <t>Belle-Isle-en-Terre</t>
  </si>
  <si>
    <t>Berhet</t>
  </si>
  <si>
    <t>Bobital</t>
  </si>
  <si>
    <t>Le Bodéo</t>
  </si>
  <si>
    <t>La Bouillie</t>
  </si>
  <si>
    <t>Bourbriac</t>
  </si>
  <si>
    <t>Bourseul</t>
  </si>
  <si>
    <t>Bréhand</t>
  </si>
  <si>
    <t>Brélidy</t>
  </si>
  <si>
    <t>Broons</t>
  </si>
  <si>
    <t>Brusvily</t>
  </si>
  <si>
    <t>Bulat-Pestivien</t>
  </si>
  <si>
    <t>Calanhel</t>
  </si>
  <si>
    <t>Callac</t>
  </si>
  <si>
    <t>Calorguen</t>
  </si>
  <si>
    <t>Camlez</t>
  </si>
  <si>
    <t>Caouënnec-Lanvézéac</t>
  </si>
  <si>
    <t>Carnoët</t>
  </si>
  <si>
    <t>Caulnes</t>
  </si>
  <si>
    <t>Cavan</t>
  </si>
  <si>
    <t>Les Champs-Géraux</t>
  </si>
  <si>
    <t>La Chapelle-Blanche</t>
  </si>
  <si>
    <t>La Chapelle-Neuve</t>
  </si>
  <si>
    <t>Coadout</t>
  </si>
  <si>
    <t>Coatascorn</t>
  </si>
  <si>
    <t>Coatréven</t>
  </si>
  <si>
    <t>Coëtmieux</t>
  </si>
  <si>
    <t>Corseul</t>
  </si>
  <si>
    <t>Créhen</t>
  </si>
  <si>
    <t>Dinan</t>
  </si>
  <si>
    <t>Duault</t>
  </si>
  <si>
    <t>Éréac</t>
  </si>
  <si>
    <t>Erquy</t>
  </si>
  <si>
    <t>Binic-Étables-sur-Mer</t>
  </si>
  <si>
    <t>Évran</t>
  </si>
  <si>
    <t>Le Fœil</t>
  </si>
  <si>
    <t>Grâces</t>
  </si>
  <si>
    <t>Guenroc</t>
  </si>
  <si>
    <t>Guingamp</t>
  </si>
  <si>
    <t>Guitté</t>
  </si>
  <si>
    <t>Gurunhuel</t>
  </si>
  <si>
    <t>La Harmoye</t>
  </si>
  <si>
    <t>Hénanbihen</t>
  </si>
  <si>
    <t>Hénansal</t>
  </si>
  <si>
    <t>Hengoat</t>
  </si>
  <si>
    <t>Hénon</t>
  </si>
  <si>
    <t>Hillion</t>
  </si>
  <si>
    <t>Le Hinglé</t>
  </si>
  <si>
    <t>Jugon-les-Lacs - Commune nouvelle</t>
  </si>
  <si>
    <t>Kerbors</t>
  </si>
  <si>
    <t>Kerfot</t>
  </si>
  <si>
    <t>Kerien</t>
  </si>
  <si>
    <t>Kermaria-Sulard</t>
  </si>
  <si>
    <t>Kermoroc'h</t>
  </si>
  <si>
    <t>Kerpert</t>
  </si>
  <si>
    <t>Lamballe-Armor</t>
  </si>
  <si>
    <t>Landebaëron</t>
  </si>
  <si>
    <t>Landébia</t>
  </si>
  <si>
    <t>La Landec</t>
  </si>
  <si>
    <t>Landéhen</t>
  </si>
  <si>
    <t>Lanfains</t>
  </si>
  <si>
    <t>Langoat</t>
  </si>
  <si>
    <t>Langrolay-sur-Rance</t>
  </si>
  <si>
    <t>Languédias</t>
  </si>
  <si>
    <t>Languenan</t>
  </si>
  <si>
    <t>Langueux</t>
  </si>
  <si>
    <t>Lanleff</t>
  </si>
  <si>
    <t>Lanloup</t>
  </si>
  <si>
    <t>Lanmérin</t>
  </si>
  <si>
    <t>Lanmodez</t>
  </si>
  <si>
    <t>Lannion</t>
  </si>
  <si>
    <t>Lanrelas</t>
  </si>
  <si>
    <t>Lantic</t>
  </si>
  <si>
    <t>Lanvallay</t>
  </si>
  <si>
    <t>Lanvellec</t>
  </si>
  <si>
    <t>Laurenan</t>
  </si>
  <si>
    <t>Le Leslay</t>
  </si>
  <si>
    <t>Lézardrieux</t>
  </si>
  <si>
    <t>Loc-Envel</t>
  </si>
  <si>
    <t>Loguivy-Plougras</t>
  </si>
  <si>
    <t>Lohuec</t>
  </si>
  <si>
    <t>Louannec</t>
  </si>
  <si>
    <t>Louargat</t>
  </si>
  <si>
    <t>Maël-Pestivien</t>
  </si>
  <si>
    <t>Magoar</t>
  </si>
  <si>
    <t>La Malhoure</t>
  </si>
  <si>
    <t>Mantallot</t>
  </si>
  <si>
    <t>Matignon</t>
  </si>
  <si>
    <t>La Méaugon</t>
  </si>
  <si>
    <t>Mégrit</t>
  </si>
  <si>
    <t>Le Merzer</t>
  </si>
  <si>
    <t>Minihy-Tréguier</t>
  </si>
  <si>
    <t>Moncontour</t>
  </si>
  <si>
    <t>Morieux</t>
  </si>
  <si>
    <t>Moustéru</t>
  </si>
  <si>
    <t>Le Moustoir</t>
  </si>
  <si>
    <t>Noyal</t>
  </si>
  <si>
    <t>Pabu</t>
  </si>
  <si>
    <t>Paimpol</t>
  </si>
  <si>
    <t>Pédernec</t>
  </si>
  <si>
    <t>Penguily</t>
  </si>
  <si>
    <t>Penvénan</t>
  </si>
  <si>
    <t>Perros-Guirec</t>
  </si>
  <si>
    <t>Plaine-Haute</t>
  </si>
  <si>
    <t>Plaintel</t>
  </si>
  <si>
    <t>Plancoët</t>
  </si>
  <si>
    <t>Planguenoual</t>
  </si>
  <si>
    <t>Pléboulle</t>
  </si>
  <si>
    <t>Plédéliac</t>
  </si>
  <si>
    <t>Plédran</t>
  </si>
  <si>
    <t>Pléhédel</t>
  </si>
  <si>
    <t>Fréhel</t>
  </si>
  <si>
    <t>Plélan-le-Petit</t>
  </si>
  <si>
    <t>Plémy</t>
  </si>
  <si>
    <t>Plénée-Jugon</t>
  </si>
  <si>
    <t>Pléneuf-Val-André</t>
  </si>
  <si>
    <t>Plérin</t>
  </si>
  <si>
    <t>Plésidy</t>
  </si>
  <si>
    <t>Pleslin-Trigavou</t>
  </si>
  <si>
    <t>Plestan</t>
  </si>
  <si>
    <t>Plestin-les-Grèves</t>
  </si>
  <si>
    <t>Pleubian</t>
  </si>
  <si>
    <t>Pleudaniel</t>
  </si>
  <si>
    <t>Pleudihen-sur-Rance</t>
  </si>
  <si>
    <t>Pleumeur-Bodou</t>
  </si>
  <si>
    <t>Pleumeur-Gautier</t>
  </si>
  <si>
    <t>Pléven</t>
  </si>
  <si>
    <t>Plévenon</t>
  </si>
  <si>
    <t>Plévin</t>
  </si>
  <si>
    <t>Plœuc-L'Hermitage</t>
  </si>
  <si>
    <t>Ploëzal</t>
  </si>
  <si>
    <t>Plorec-sur-Arguenon</t>
  </si>
  <si>
    <t>Plouaret</t>
  </si>
  <si>
    <t>Plouasne</t>
  </si>
  <si>
    <t>Beaussais-sur-Mer</t>
  </si>
  <si>
    <t>Ploubazlanec</t>
  </si>
  <si>
    <t>Ploubezre</t>
  </si>
  <si>
    <t>Plouëc-du-Trieux</t>
  </si>
  <si>
    <t>Plouër-sur-Rance</t>
  </si>
  <si>
    <t>Plouézec</t>
  </si>
  <si>
    <t>Ploufragan</t>
  </si>
  <si>
    <t>Plougonver</t>
  </si>
  <si>
    <t>Plougras</t>
  </si>
  <si>
    <t>Plougrescant</t>
  </si>
  <si>
    <t>Plouguiel</t>
  </si>
  <si>
    <t>Plouisy</t>
  </si>
  <si>
    <t>Ploulec'h</t>
  </si>
  <si>
    <t>Ploumagoar</t>
  </si>
  <si>
    <t>Ploumilliau</t>
  </si>
  <si>
    <t>Plounérin</t>
  </si>
  <si>
    <t>Plounévez-Moëdec</t>
  </si>
  <si>
    <t>Plourac'h</t>
  </si>
  <si>
    <t>Plourhan</t>
  </si>
  <si>
    <t>Plourivo</t>
  </si>
  <si>
    <t>Plouzélambre</t>
  </si>
  <si>
    <t>Pluduno</t>
  </si>
  <si>
    <t>Plufur</t>
  </si>
  <si>
    <t>Plumaudan</t>
  </si>
  <si>
    <t>Plumaugat</t>
  </si>
  <si>
    <t>Plurien</t>
  </si>
  <si>
    <t>Plusquellec</t>
  </si>
  <si>
    <t>Pluzunet</t>
  </si>
  <si>
    <t>Pommeret</t>
  </si>
  <si>
    <t>Pommerit Jaudy</t>
  </si>
  <si>
    <t>Pont-Melvez</t>
  </si>
  <si>
    <t>Pontrieux</t>
  </si>
  <si>
    <t>Pordic</t>
  </si>
  <si>
    <t>Pouldouran</t>
  </si>
  <si>
    <t>Prat</t>
  </si>
  <si>
    <t>Quemper-Guézennec</t>
  </si>
  <si>
    <t>Quemperven</t>
  </si>
  <si>
    <t>Quessoy</t>
  </si>
  <si>
    <t>Quévert</t>
  </si>
  <si>
    <t>Quintenic</t>
  </si>
  <si>
    <t>Quintin</t>
  </si>
  <si>
    <t>Le Quiou</t>
  </si>
  <si>
    <t>La Roche-Jaudy</t>
  </si>
  <si>
    <t>Rospez</t>
  </si>
  <si>
    <t>Rouillac</t>
  </si>
  <si>
    <t>Ruca</t>
  </si>
  <si>
    <t>Runan</t>
  </si>
  <si>
    <t>Saint-Adrien</t>
  </si>
  <si>
    <t>Saint-Agathon</t>
  </si>
  <si>
    <t>Saint-Alban</t>
  </si>
  <si>
    <t>Saint-André-des-Eaux</t>
  </si>
  <si>
    <t>Saint-Bihy</t>
  </si>
  <si>
    <t>Saint-Brandan</t>
  </si>
  <si>
    <t>Saint-Brieuc</t>
  </si>
  <si>
    <t>Saint-Carné</t>
  </si>
  <si>
    <t>Saint-Carreuc</t>
  </si>
  <si>
    <t>Saint-Cast-le-Guildo</t>
  </si>
  <si>
    <t>Saint-Clet</t>
  </si>
  <si>
    <t>Saint-Denoual</t>
  </si>
  <si>
    <t>Saint-Donan</t>
  </si>
  <si>
    <t>Saint-Gildas</t>
  </si>
  <si>
    <t>Saint-Glen</t>
  </si>
  <si>
    <t>Saint-Hélen</t>
  </si>
  <si>
    <t>Saint-Jacut-de-la-Mer</t>
  </si>
  <si>
    <t>Saint-Jouan-de-l'Isle</t>
  </si>
  <si>
    <t>Saint-Judoce</t>
  </si>
  <si>
    <t>Saint-Julien</t>
  </si>
  <si>
    <t>Saint-Juvat</t>
  </si>
  <si>
    <t>Saint-Lormel</t>
  </si>
  <si>
    <t>Saint-Maden</t>
  </si>
  <si>
    <t>Saint-Maudez</t>
  </si>
  <si>
    <t>Saint-Méloir-des-Bois</t>
  </si>
  <si>
    <t>Saint-Michel-de-Plélan</t>
  </si>
  <si>
    <t>Saint-Michel-en-Grève</t>
  </si>
  <si>
    <t>Saint-Nicodème</t>
  </si>
  <si>
    <t>Saint-Pôtan</t>
  </si>
  <si>
    <t>Saint-Quay-Perros</t>
  </si>
  <si>
    <t>Saint-Quay-Portrieux</t>
  </si>
  <si>
    <t>Saint-Rieul</t>
  </si>
  <si>
    <t>Saint-Samson-sur-Rance</t>
  </si>
  <si>
    <t>Saint-Servais</t>
  </si>
  <si>
    <t>Saint-Trimoël</t>
  </si>
  <si>
    <t>Senven-Léhart</t>
  </si>
  <si>
    <t>Sévignac</t>
  </si>
  <si>
    <t>Squiffiec</t>
  </si>
  <si>
    <t>Taden</t>
  </si>
  <si>
    <t>Tonquédec</t>
  </si>
  <si>
    <t>Tramain</t>
  </si>
  <si>
    <t>Trébédan</t>
  </si>
  <si>
    <t>Trébeurden</t>
  </si>
  <si>
    <t>Trébry</t>
  </si>
  <si>
    <t>Trédaniel</t>
  </si>
  <si>
    <t>Trédarzec</t>
  </si>
  <si>
    <t>Trédias</t>
  </si>
  <si>
    <t>Trédrez-Locquémeau</t>
  </si>
  <si>
    <t>Tréduder</t>
  </si>
  <si>
    <t>Treffrin</t>
  </si>
  <si>
    <t>Tréfumel</t>
  </si>
  <si>
    <t>Trégastel</t>
  </si>
  <si>
    <t>Tréglamus</t>
  </si>
  <si>
    <t>Trégonneau</t>
  </si>
  <si>
    <t>Trégrom</t>
  </si>
  <si>
    <t>Trégueux</t>
  </si>
  <si>
    <t>Tréguier</t>
  </si>
  <si>
    <t>Trélévern</t>
  </si>
  <si>
    <t>Trélivan</t>
  </si>
  <si>
    <t>Trémel</t>
  </si>
  <si>
    <t>Trémeloir</t>
  </si>
  <si>
    <t>Trémeur</t>
  </si>
  <si>
    <t>Trémuson</t>
  </si>
  <si>
    <t>Tréogan</t>
  </si>
  <si>
    <t>Tréveneuc</t>
  </si>
  <si>
    <t>Trévou-Tréguignec</t>
  </si>
  <si>
    <t>Trévron</t>
  </si>
  <si>
    <t>Trézény</t>
  </si>
  <si>
    <t>Troguéry</t>
  </si>
  <si>
    <t>La Vicomté-sur-Rance</t>
  </si>
  <si>
    <t>Le Vieux-Bourg</t>
  </si>
  <si>
    <t>Le Vieux-Marché</t>
  </si>
  <si>
    <t>Vildé-Guingalan</t>
  </si>
  <si>
    <t>Yffiniac</t>
  </si>
  <si>
    <t>Yvias</t>
  </si>
  <si>
    <t>Yvignac-la-Tour</t>
  </si>
  <si>
    <t>Ajain</t>
  </si>
  <si>
    <t>Anzême</t>
  </si>
  <si>
    <t>La Brionne</t>
  </si>
  <si>
    <t>Bussière-Dunoise</t>
  </si>
  <si>
    <t>La Chapelle-Taillefert</t>
  </si>
  <si>
    <t>Gartempe</t>
  </si>
  <si>
    <t>Glénic</t>
  </si>
  <si>
    <t>Guéret</t>
  </si>
  <si>
    <t>Jouillat</t>
  </si>
  <si>
    <t>Mazeirat</t>
  </si>
  <si>
    <t>'23150'</t>
  </si>
  <si>
    <t>Montaigut-le-Blanc</t>
  </si>
  <si>
    <t>Peyrabout</t>
  </si>
  <si>
    <t>La Saunière</t>
  </si>
  <si>
    <t>Savennes</t>
  </si>
  <si>
    <t>Saint-Éloi</t>
  </si>
  <si>
    <t>Sainte-Feyre</t>
  </si>
  <si>
    <t>Saint-Fiel</t>
  </si>
  <si>
    <t>Saint-Léger-le-Guérétois</t>
  </si>
  <si>
    <t>Saint-Silvain-Montaigut</t>
  </si>
  <si>
    <t>Saint-Sulpice-le-Guérétois</t>
  </si>
  <si>
    <t>Saint-Vaury</t>
  </si>
  <si>
    <t>Saint-Victor-en-Marche</t>
  </si>
  <si>
    <t>Saint-Yrieix-les-Bois</t>
  </si>
  <si>
    <t>Agonac</t>
  </si>
  <si>
    <t>Annesse-et-Beaulieu</t>
  </si>
  <si>
    <t>Antonne-et-Trigonant</t>
  </si>
  <si>
    <t>Archignac</t>
  </si>
  <si>
    <t>Bassillac et Auberoche</t>
  </si>
  <si>
    <t>Bergerac</t>
  </si>
  <si>
    <t>Biron</t>
  </si>
  <si>
    <t>Bosset</t>
  </si>
  <si>
    <t>Boulazac Isle Manoire</t>
  </si>
  <si>
    <t>Bouniagues</t>
  </si>
  <si>
    <t>Bourrou</t>
  </si>
  <si>
    <t>Brantôme en Périgord</t>
  </si>
  <si>
    <t>Cénac-et-Saint-Julien</t>
  </si>
  <si>
    <t>Chalagnac</t>
  </si>
  <si>
    <t>Champcevinel</t>
  </si>
  <si>
    <t>Chancelade</t>
  </si>
  <si>
    <t>Le Change</t>
  </si>
  <si>
    <t>La Chapelle-Gonaguet</t>
  </si>
  <si>
    <t>Château-l'Évêque</t>
  </si>
  <si>
    <t>Colombier</t>
  </si>
  <si>
    <t>Cornille</t>
  </si>
  <si>
    <t>Coulounieix-Chamiers</t>
  </si>
  <si>
    <t>Coursac</t>
  </si>
  <si>
    <t>Cours-de-Pile</t>
  </si>
  <si>
    <t>Creysse</t>
  </si>
  <si>
    <t>Creyssensac-et-Pissot</t>
  </si>
  <si>
    <t>Cunèges</t>
  </si>
  <si>
    <t>La Douze</t>
  </si>
  <si>
    <t>Église-Neuve-de-Vergt</t>
  </si>
  <si>
    <t>Escoire</t>
  </si>
  <si>
    <t>Eygurande-et-Gardedeuil</t>
  </si>
  <si>
    <t>Le Fleix</t>
  </si>
  <si>
    <t>Fouleix</t>
  </si>
  <si>
    <t>Fraisse</t>
  </si>
  <si>
    <t>Gageac-et-Rouillac</t>
  </si>
  <si>
    <t>Gardonne</t>
  </si>
  <si>
    <t>Ginestet</t>
  </si>
  <si>
    <t>Grun-Bordas</t>
  </si>
  <si>
    <t>Lacropte</t>
  </si>
  <si>
    <t>La Force</t>
  </si>
  <si>
    <t>Lamonzie-Montastruc</t>
  </si>
  <si>
    <t>Lamonzie-Saint-Martin</t>
  </si>
  <si>
    <t>Lembras</t>
  </si>
  <si>
    <t>Lempzours</t>
  </si>
  <si>
    <t>Lunas</t>
  </si>
  <si>
    <t>Manzac-sur-Vern</t>
  </si>
  <si>
    <t>Marsac-sur-l'Isle</t>
  </si>
  <si>
    <t>Marsalès</t>
  </si>
  <si>
    <t>Mensignac</t>
  </si>
  <si>
    <t>Mescoules</t>
  </si>
  <si>
    <t>Mialet</t>
  </si>
  <si>
    <t>Monbazillac</t>
  </si>
  <si>
    <t>Monfaucon</t>
  </si>
  <si>
    <t>Mouleydier</t>
  </si>
  <si>
    <t>Sanilhac</t>
  </si>
  <si>
    <t>Paunat</t>
  </si>
  <si>
    <t>Périgueux</t>
  </si>
  <si>
    <t>Pomport</t>
  </si>
  <si>
    <t>Prigonrieux</t>
  </si>
  <si>
    <t>Queyssac</t>
  </si>
  <si>
    <t>Razac-de-Saussignac</t>
  </si>
  <si>
    <t>Razac-sur-l'Isle</t>
  </si>
  <si>
    <t>Ribagnac</t>
  </si>
  <si>
    <t>Rouffignac-de-Sigoulès</t>
  </si>
  <si>
    <t>Val de Louyre et Caudeau</t>
  </si>
  <si>
    <t>Saint-Amand-de-Vergt</t>
  </si>
  <si>
    <t>Saint-André-de-Double</t>
  </si>
  <si>
    <t>Saint-Crépin-d'Auberoche</t>
  </si>
  <si>
    <t>Saint-Georges-Blancaneix</t>
  </si>
  <si>
    <t>Saint-Germain-et-Mons</t>
  </si>
  <si>
    <t>Saint-Géry</t>
  </si>
  <si>
    <t>Saint-Geyrac</t>
  </si>
  <si>
    <t>Saint-Laurent-des-Vignes</t>
  </si>
  <si>
    <t>Saint-Laurent-la-Vallée</t>
  </si>
  <si>
    <t>Saint-Marcory</t>
  </si>
  <si>
    <t>Saint-Mayme-de-Péreyrol</t>
  </si>
  <si>
    <t>Saint-Michel-de-Villadeix</t>
  </si>
  <si>
    <t>Saint-Nexans</t>
  </si>
  <si>
    <t>Saint-Paul-de-Serre</t>
  </si>
  <si>
    <t>Saint-Pierre-de-Chignac</t>
  </si>
  <si>
    <t>Saint-Pierre-d'Eyraud</t>
  </si>
  <si>
    <t>Salon</t>
  </si>
  <si>
    <t>Sarlat-la-Canéda</t>
  </si>
  <si>
    <t>Sarliac-sur-l'Isle</t>
  </si>
  <si>
    <t>Saussignac</t>
  </si>
  <si>
    <t>Savignac-les-Églises</t>
  </si>
  <si>
    <t>Sigoulès-et-Flaugeac</t>
  </si>
  <si>
    <t>Sorges et Ligueux en Périgord</t>
  </si>
  <si>
    <t>Trélissac</t>
  </si>
  <si>
    <t>Vergt</t>
  </si>
  <si>
    <t>Veyrines-de-Vergt</t>
  </si>
  <si>
    <t>Abbévillers</t>
  </si>
  <si>
    <t>Aibre</t>
  </si>
  <si>
    <t>Allenjoie</t>
  </si>
  <si>
    <t>Allondans</t>
  </si>
  <si>
    <t>Amagney</t>
  </si>
  <si>
    <t>Arbouans</t>
  </si>
  <si>
    <t>Arc-sous-Montenot</t>
  </si>
  <si>
    <t>Audeux</t>
  </si>
  <si>
    <t>Audincourt</t>
  </si>
  <si>
    <t>Autechaux-Roide</t>
  </si>
  <si>
    <t>Auxon Dessous</t>
  </si>
  <si>
    <t>Les Auxons</t>
  </si>
  <si>
    <t>Avanne-Aveney</t>
  </si>
  <si>
    <t>Badevel</t>
  </si>
  <si>
    <t>Bart</t>
  </si>
  <si>
    <t>Bavans</t>
  </si>
  <si>
    <t>Berche</t>
  </si>
  <si>
    <t>Besançon</t>
  </si>
  <si>
    <t>Bethoncourt</t>
  </si>
  <si>
    <t>Beure</t>
  </si>
  <si>
    <t>Beutal</t>
  </si>
  <si>
    <t>Blamont</t>
  </si>
  <si>
    <t>Bondeval</t>
  </si>
  <si>
    <t>Bonnay</t>
  </si>
  <si>
    <t>Bourguignon</t>
  </si>
  <si>
    <t>Boussières</t>
  </si>
  <si>
    <t>Braillans</t>
  </si>
  <si>
    <t>Bretigney</t>
  </si>
  <si>
    <t>Brognard</t>
  </si>
  <si>
    <t>Busy</t>
  </si>
  <si>
    <t>Byans-sur-Doubs</t>
  </si>
  <si>
    <t>Chalèze</t>
  </si>
  <si>
    <t>Chalezeule</t>
  </si>
  <si>
    <t>Champagney</t>
  </si>
  <si>
    <t>Champoux</t>
  </si>
  <si>
    <t>Champvans-les-Moulins</t>
  </si>
  <si>
    <t>Châtillon-le-Duc</t>
  </si>
  <si>
    <t>Chaucenne</t>
  </si>
  <si>
    <t>Chaudefontaine</t>
  </si>
  <si>
    <t>Chemaudin et Vaux</t>
  </si>
  <si>
    <t>La Chevillotte</t>
  </si>
  <si>
    <t>Chevroz</t>
  </si>
  <si>
    <t>Colombier-Fontaine</t>
  </si>
  <si>
    <t>Courcelles-lès-Montbéliard</t>
  </si>
  <si>
    <t>Cussey-sur-l'Ognon</t>
  </si>
  <si>
    <t>Dambelin</t>
  </si>
  <si>
    <t>Dambenois</t>
  </si>
  <si>
    <t>Dampierre-les-Bois</t>
  </si>
  <si>
    <t>Dampierre-sur-le-Doubs</t>
  </si>
  <si>
    <t>Dannemarie</t>
  </si>
  <si>
    <t>Dannemarie-sur-Crète</t>
  </si>
  <si>
    <t>Dasle</t>
  </si>
  <si>
    <t>Deluz</t>
  </si>
  <si>
    <t>Devecey</t>
  </si>
  <si>
    <t>Dung</t>
  </si>
  <si>
    <t>Échenans</t>
  </si>
  <si>
    <t>École-Valentin</t>
  </si>
  <si>
    <t>Écot</t>
  </si>
  <si>
    <t>Écurcey</t>
  </si>
  <si>
    <t>Étouvans</t>
  </si>
  <si>
    <t>Étupes</t>
  </si>
  <si>
    <t>Exincourt</t>
  </si>
  <si>
    <t>Fesches-le-Châtel</t>
  </si>
  <si>
    <t>Feule</t>
  </si>
  <si>
    <t>Fontain</t>
  </si>
  <si>
    <t>Franois</t>
  </si>
  <si>
    <t>Geneuille</t>
  </si>
  <si>
    <t>Gennes</t>
  </si>
  <si>
    <t>Glay</t>
  </si>
  <si>
    <t>Goux-lès-Dambelin</t>
  </si>
  <si>
    <t>Grand-Charmont</t>
  </si>
  <si>
    <t>Grandfontaine</t>
  </si>
  <si>
    <t>Le Gratteris</t>
  </si>
  <si>
    <t>Hérimoncourt</t>
  </si>
  <si>
    <t>Issans</t>
  </si>
  <si>
    <t>Laire</t>
  </si>
  <si>
    <t>Larnod</t>
  </si>
  <si>
    <t>Longevelle-sur-Doubs</t>
  </si>
  <si>
    <t>Lougres</t>
  </si>
  <si>
    <t>Mamirolle</t>
  </si>
  <si>
    <t>Mandeure</t>
  </si>
  <si>
    <t>Marchaux-Chaudefontaine</t>
  </si>
  <si>
    <t>Mathay</t>
  </si>
  <si>
    <t>Mazerolles-le-Salin</t>
  </si>
  <si>
    <t>Mérey-Vieilley</t>
  </si>
  <si>
    <t>Meslières</t>
  </si>
  <si>
    <t>Miserey-Salines</t>
  </si>
  <si>
    <t>Montbéliard</t>
  </si>
  <si>
    <t>Montenois</t>
  </si>
  <si>
    <t>Montfaucon</t>
  </si>
  <si>
    <t>Montferrand-le-Château</t>
  </si>
  <si>
    <t>Morre</t>
  </si>
  <si>
    <t>Nancray</t>
  </si>
  <si>
    <t>Neuchâtel-Urtière</t>
  </si>
  <si>
    <t>Noirefontaine</t>
  </si>
  <si>
    <t>Noironte</t>
  </si>
  <si>
    <t>Nommay</t>
  </si>
  <si>
    <t>Novillars</t>
  </si>
  <si>
    <t>Osselle-Routelle</t>
  </si>
  <si>
    <t>Palise</t>
  </si>
  <si>
    <t>Pelousey</t>
  </si>
  <si>
    <t>Pierrefontaine-lès-Blamont</t>
  </si>
  <si>
    <t>Pirey</t>
  </si>
  <si>
    <t>Pont-de-Roide-Vermondans</t>
  </si>
  <si>
    <t>Pouilley-Français</t>
  </si>
  <si>
    <t>Pouilley-les-Vignes</t>
  </si>
  <si>
    <t>Présentevillers</t>
  </si>
  <si>
    <t>Pugey</t>
  </si>
  <si>
    <t>Rancenay</t>
  </si>
  <si>
    <t>Raynans</t>
  </si>
  <si>
    <t>Rémondans-Vaivre</t>
  </si>
  <si>
    <t>Roche-lez-Beaupré</t>
  </si>
  <si>
    <t>Roches-lès-Blamont</t>
  </si>
  <si>
    <t>Roset-Fluans</t>
  </si>
  <si>
    <t>Roulans</t>
  </si>
  <si>
    <t>Saint-Julien-lès-Montbéliard</t>
  </si>
  <si>
    <t>Sainte-Marie</t>
  </si>
  <si>
    <t>Saint-Maurice-Colombier</t>
  </si>
  <si>
    <t>Sainte-Suzanne</t>
  </si>
  <si>
    <t>Saint-Vit</t>
  </si>
  <si>
    <t>Saône</t>
  </si>
  <si>
    <t>Seloncourt</t>
  </si>
  <si>
    <t>Semondans</t>
  </si>
  <si>
    <t>Serre-les-Sapins</t>
  </si>
  <si>
    <t>Sochaux</t>
  </si>
  <si>
    <t>Solemont</t>
  </si>
  <si>
    <t>Taillecourt</t>
  </si>
  <si>
    <t>Tallenay</t>
  </si>
  <si>
    <t>Thise</t>
  </si>
  <si>
    <t>Thoraise</t>
  </si>
  <si>
    <t>Thulay</t>
  </si>
  <si>
    <t>Torpes</t>
  </si>
  <si>
    <t>Vaire</t>
  </si>
  <si>
    <t>Vaire Le Petit</t>
  </si>
  <si>
    <t>Valentigney</t>
  </si>
  <si>
    <t>Vandoncourt</t>
  </si>
  <si>
    <t>Vaux-et-Chantegrue</t>
  </si>
  <si>
    <t>Velesmes-Essarts</t>
  </si>
  <si>
    <t>Venise</t>
  </si>
  <si>
    <t>Le Vernoy</t>
  </si>
  <si>
    <t>La Vèze</t>
  </si>
  <si>
    <t>Vieilley</t>
  </si>
  <si>
    <t>Vieux-Charmont</t>
  </si>
  <si>
    <t>Villars-lès-Blamont</t>
  </si>
  <si>
    <t>Villars-Saint-Georges</t>
  </si>
  <si>
    <t>Villars-sous-Dampjoux</t>
  </si>
  <si>
    <t>Villars-sous-Écot</t>
  </si>
  <si>
    <t>Vorges-les-Pins</t>
  </si>
  <si>
    <t>Voujeaucourt</t>
  </si>
  <si>
    <t>Alixan</t>
  </si>
  <si>
    <t>Allan</t>
  </si>
  <si>
    <t>Ancône</t>
  </si>
  <si>
    <t>Arthémonay</t>
  </si>
  <si>
    <t>Barbières</t>
  </si>
  <si>
    <t>Barcelonne</t>
  </si>
  <si>
    <t>Bathernay</t>
  </si>
  <si>
    <t>La Bâtie-Rolland</t>
  </si>
  <si>
    <t>La Baume-Cornillane</t>
  </si>
  <si>
    <t>La Baume-d'Hostun</t>
  </si>
  <si>
    <t>Beaumont-lès-Valence</t>
  </si>
  <si>
    <t>Beaumont-Monteux</t>
  </si>
  <si>
    <t>Beauregard-Baret</t>
  </si>
  <si>
    <t>Beauvallon</t>
  </si>
  <si>
    <t>Bésayes</t>
  </si>
  <si>
    <t>Bonlieu-sur-Roubion</t>
  </si>
  <si>
    <t>Bourg-de-Péage</t>
  </si>
  <si>
    <t>Bourg-lès-Valence</t>
  </si>
  <si>
    <t>Bren</t>
  </si>
  <si>
    <t>Chabeuil</t>
  </si>
  <si>
    <t>Le Chalon</t>
  </si>
  <si>
    <t>Chanos-Curson</t>
  </si>
  <si>
    <t>Chantemerle-les-Blés</t>
  </si>
  <si>
    <t>Charmes-sur-l'Herbasse</t>
  </si>
  <si>
    <t>Charols</t>
  </si>
  <si>
    <t>Charpey</t>
  </si>
  <si>
    <t>Châteaudouble</t>
  </si>
  <si>
    <t>Châteauneuf-sur-Isère</t>
  </si>
  <si>
    <t>Châteauneuf-du-Rhône</t>
  </si>
  <si>
    <t>Châtillon-Saint-Jean</t>
  </si>
  <si>
    <t>Chatuzange-le-Goubet</t>
  </si>
  <si>
    <t>Chavannes</t>
  </si>
  <si>
    <t>Cléon-d'Andran</t>
  </si>
  <si>
    <t>Clérieux</t>
  </si>
  <si>
    <t>Combovin</t>
  </si>
  <si>
    <t>Condillac</t>
  </si>
  <si>
    <t>La Coucourde</t>
  </si>
  <si>
    <t>Crépol</t>
  </si>
  <si>
    <t>Crozes-Hermitage</t>
  </si>
  <si>
    <t>Érôme</t>
  </si>
  <si>
    <t>Espeluche</t>
  </si>
  <si>
    <t>Étoile-sur-Rhône</t>
  </si>
  <si>
    <t>Eymeux</t>
  </si>
  <si>
    <t>Génissieux</t>
  </si>
  <si>
    <t>Geyssans</t>
  </si>
  <si>
    <t>Hostun</t>
  </si>
  <si>
    <t>Larnage</t>
  </si>
  <si>
    <t>La Laupie</t>
  </si>
  <si>
    <t>Malissard</t>
  </si>
  <si>
    <t>Manas</t>
  </si>
  <si>
    <t>Marches</t>
  </si>
  <si>
    <t>Margès</t>
  </si>
  <si>
    <t>Marsanne</t>
  </si>
  <si>
    <t>Marsaz</t>
  </si>
  <si>
    <t>Mercurol-Veaunes</t>
  </si>
  <si>
    <t>Mirabel-et-Blacons</t>
  </si>
  <si>
    <t>Montboucher-sur-Jabron</t>
  </si>
  <si>
    <t>Montchenu</t>
  </si>
  <si>
    <t>Montéléger</t>
  </si>
  <si>
    <t>Montélier</t>
  </si>
  <si>
    <t>Montélimar</t>
  </si>
  <si>
    <t>Montmeyran</t>
  </si>
  <si>
    <t>Montmiral</t>
  </si>
  <si>
    <t>Valherbasse</t>
  </si>
  <si>
    <t>Montvendre</t>
  </si>
  <si>
    <t>Mours-Saint-Eusèbe</t>
  </si>
  <si>
    <t>Ourches</t>
  </si>
  <si>
    <t>Parnans</t>
  </si>
  <si>
    <t>Peyrins</t>
  </si>
  <si>
    <t>Peyrus</t>
  </si>
  <si>
    <t>Pont-de-l'Isère</t>
  </si>
  <si>
    <t>Portes-en-Valdaine</t>
  </si>
  <si>
    <t>Portes-lès-Valence</t>
  </si>
  <si>
    <t>Puygiron</t>
  </si>
  <si>
    <t>Puy-Saint-Martin</t>
  </si>
  <si>
    <t>La Roche-de-Glun</t>
  </si>
  <si>
    <t>Rochefort-en-Valdaine</t>
  </si>
  <si>
    <t>Rochefort-Samson</t>
  </si>
  <si>
    <t>Romans-sur-Isère</t>
  </si>
  <si>
    <t>Roynac</t>
  </si>
  <si>
    <t>Saint-Bardoux</t>
  </si>
  <si>
    <t>Saint-Benoit-en-Diois</t>
  </si>
  <si>
    <t>Saint-Christophe-et-le-Laris</t>
  </si>
  <si>
    <t>Saint-Donat-sur-l'Herbasse</t>
  </si>
  <si>
    <t>Saint-Gervais-sur-Roubion</t>
  </si>
  <si>
    <t>Saint-Laurent-d'Onay</t>
  </si>
  <si>
    <t>Saint-Marcel-lès-Sauzet</t>
  </si>
  <si>
    <t>Saint-Marcel-lès-Valence</t>
  </si>
  <si>
    <t>Saint-Michel-sur-Savasse</t>
  </si>
  <si>
    <t>Saint-Paul-lès-Romans</t>
  </si>
  <si>
    <t>Saulce-sur-Rhône</t>
  </si>
  <si>
    <t>Sauzet</t>
  </si>
  <si>
    <t>Savasse</t>
  </si>
  <si>
    <t>Serves-sur-Rhône</t>
  </si>
  <si>
    <t>Tain-l'Hermitage</t>
  </si>
  <si>
    <t>La Touche</t>
  </si>
  <si>
    <t>Les Tourrettes</t>
  </si>
  <si>
    <t>Triors</t>
  </si>
  <si>
    <t>Upie</t>
  </si>
  <si>
    <t>Valence</t>
  </si>
  <si>
    <t>Granges-les-Beaumont</t>
  </si>
  <si>
    <t>Gervans</t>
  </si>
  <si>
    <t>Jaillans</t>
  </si>
  <si>
    <t>Saint-Vincent-la-Commanderie</t>
  </si>
  <si>
    <t>Acon</t>
  </si>
  <si>
    <t>Acquigny</t>
  </si>
  <si>
    <t>Aigleville</t>
  </si>
  <si>
    <t>Ailly</t>
  </si>
  <si>
    <t>Alizay</t>
  </si>
  <si>
    <t>Amfreville-sous-les-Monts</t>
  </si>
  <si>
    <t>Amfreville-sur-Iton</t>
  </si>
  <si>
    <t>Andé</t>
  </si>
  <si>
    <t>Les Andelys</t>
  </si>
  <si>
    <t>Angerville-la-Campagne</t>
  </si>
  <si>
    <t>Arnières-sur-Iton</t>
  </si>
  <si>
    <t>Le Val d'Hazey</t>
  </si>
  <si>
    <t>Autheuil-Authouillet</t>
  </si>
  <si>
    <t>Les Authieux</t>
  </si>
  <si>
    <t>Aviron</t>
  </si>
  <si>
    <t>Les Baux-Sainte-Croix</t>
  </si>
  <si>
    <t>Le Bec-Thomas</t>
  </si>
  <si>
    <t>Frenelles-en-Vexin</t>
  </si>
  <si>
    <t>Bois-Jérôme-Saint-Ouen</t>
  </si>
  <si>
    <t>Bois-le-Roi</t>
  </si>
  <si>
    <t>Boisset-les-Prévanches</t>
  </si>
  <si>
    <t>La Boissière</t>
  </si>
  <si>
    <t>Boncourt</t>
  </si>
  <si>
    <t>Bouafles</t>
  </si>
  <si>
    <t>Le Boulay-Morin</t>
  </si>
  <si>
    <t>Bretagnolles</t>
  </si>
  <si>
    <t>Breuilpont</t>
  </si>
  <si>
    <t>Bueil</t>
  </si>
  <si>
    <t>Caillouet-Orgeville</t>
  </si>
  <si>
    <t>Cailly-sur-Eure</t>
  </si>
  <si>
    <t>Caugé</t>
  </si>
  <si>
    <t>Chaignes</t>
  </si>
  <si>
    <t>Chambray</t>
  </si>
  <si>
    <t>Champenard</t>
  </si>
  <si>
    <t>Champigny-la-Futelaye</t>
  </si>
  <si>
    <t>La Chapelle-du-Bois-des-Faulx</t>
  </si>
  <si>
    <t>La Chapelle-Hareng</t>
  </si>
  <si>
    <t>Chavigny-Bailleul</t>
  </si>
  <si>
    <t>Cierrey</t>
  </si>
  <si>
    <t>Connelles</t>
  </si>
  <si>
    <t>Le Cormier</t>
  </si>
  <si>
    <t>Coudres</t>
  </si>
  <si>
    <t>Courcelles-sur-Seine</t>
  </si>
  <si>
    <t>Courdemanche</t>
  </si>
  <si>
    <t>La Couture-Boussey</t>
  </si>
  <si>
    <t>Crasville</t>
  </si>
  <si>
    <t>Criquebeuf-sur-Seine</t>
  </si>
  <si>
    <t>Croisy-sur-Eure</t>
  </si>
  <si>
    <t>Clef Vallée d'Eure</t>
  </si>
  <si>
    <t>Croth</t>
  </si>
  <si>
    <t>Les Damps</t>
  </si>
  <si>
    <t>Dardez</t>
  </si>
  <si>
    <t>Daubeuf-près-Vatteville</t>
  </si>
  <si>
    <t>Douains</t>
  </si>
  <si>
    <t>Droisy</t>
  </si>
  <si>
    <t>Vexin-sur-Epte</t>
  </si>
  <si>
    <t>Écouis</t>
  </si>
  <si>
    <t>Émalleville</t>
  </si>
  <si>
    <t>Évreux</t>
  </si>
  <si>
    <t>Ézy-sur-Eure</t>
  </si>
  <si>
    <t>Fains</t>
  </si>
  <si>
    <t>Fauville</t>
  </si>
  <si>
    <t>Fontaine-Bellenger</t>
  </si>
  <si>
    <t>Fontaine-sous-Jouy</t>
  </si>
  <si>
    <t>La Forêt-du-Parc</t>
  </si>
  <si>
    <t>Foucrainville</t>
  </si>
  <si>
    <t>Fresney</t>
  </si>
  <si>
    <t>Gadencourt</t>
  </si>
  <si>
    <t>Gaillon</t>
  </si>
  <si>
    <t>La Baronnie</t>
  </si>
  <si>
    <t>Garennes-sur-Eure</t>
  </si>
  <si>
    <t>Gasny</t>
  </si>
  <si>
    <t>Gauciel</t>
  </si>
  <si>
    <t>Gauville-la-Campagne</t>
  </si>
  <si>
    <t>Giverny</t>
  </si>
  <si>
    <t>Gravigny</t>
  </si>
  <si>
    <t>Grossœuvre</t>
  </si>
  <si>
    <t>Guichainville</t>
  </si>
  <si>
    <t>Guiseniers</t>
  </si>
  <si>
    <t>L'Habit</t>
  </si>
  <si>
    <t>Hardencourt-Cocherel</t>
  </si>
  <si>
    <t>La Harengère</t>
  </si>
  <si>
    <t>Harquency</t>
  </si>
  <si>
    <t>La Haye-le-Comte</t>
  </si>
  <si>
    <t>La Haye-Malherbe</t>
  </si>
  <si>
    <t>Hécourt</t>
  </si>
  <si>
    <t>Hennezis</t>
  </si>
  <si>
    <t>Herqueville</t>
  </si>
  <si>
    <t>Heubécourt-Haricourt</t>
  </si>
  <si>
    <t>Heudebouville</t>
  </si>
  <si>
    <t>Heudreville-sur-Eure</t>
  </si>
  <si>
    <t>La Heunière</t>
  </si>
  <si>
    <t>Heuqueville</t>
  </si>
  <si>
    <t>Houlbec-Cocherel</t>
  </si>
  <si>
    <t>Huest</t>
  </si>
  <si>
    <t>Igoville</t>
  </si>
  <si>
    <t>Illiers-l'Évêque</t>
  </si>
  <si>
    <t>Incarville</t>
  </si>
  <si>
    <t>Irreville</t>
  </si>
  <si>
    <t>Ivry-la-Bataille</t>
  </si>
  <si>
    <t>Jouy-sur-Eure</t>
  </si>
  <si>
    <t>Jumelles</t>
  </si>
  <si>
    <t>Léry</t>
  </si>
  <si>
    <t>Louviers</t>
  </si>
  <si>
    <t>Mandeville</t>
  </si>
  <si>
    <t>Le Manoir</t>
  </si>
  <si>
    <t>Marcilly-la-Campagne</t>
  </si>
  <si>
    <t>Marcilly-sur-Eure</t>
  </si>
  <si>
    <t>Martot</t>
  </si>
  <si>
    <t>Ménilles</t>
  </si>
  <si>
    <t>Mercey</t>
  </si>
  <si>
    <t>Merey</t>
  </si>
  <si>
    <t>Le Mesnil-Fuguet</t>
  </si>
  <si>
    <t>Le Mesnil-Jourdain</t>
  </si>
  <si>
    <t>Mesnil-sur-l'Estrée</t>
  </si>
  <si>
    <t>Mesnil-Verclives</t>
  </si>
  <si>
    <t>Mézières-en-Vexin</t>
  </si>
  <si>
    <t>Miserey</t>
  </si>
  <si>
    <t>Moisville</t>
  </si>
  <si>
    <t>Terres de Bord</t>
  </si>
  <si>
    <t>Mouettes</t>
  </si>
  <si>
    <t>Mousseaux-Neuville</t>
  </si>
  <si>
    <t>Muids</t>
  </si>
  <si>
    <t>Muzy</t>
  </si>
  <si>
    <t>Neuilly</t>
  </si>
  <si>
    <t>Nonancourt</t>
  </si>
  <si>
    <t>Normanville</t>
  </si>
  <si>
    <t>Notre-Dame-de-l'Isle</t>
  </si>
  <si>
    <t>Pacy-sur-Eure</t>
  </si>
  <si>
    <t>Parville</t>
  </si>
  <si>
    <t>Pinterville</t>
  </si>
  <si>
    <t>Pîtres</t>
  </si>
  <si>
    <t>Le Plessis-Grohan</t>
  </si>
  <si>
    <t>Le Plessis-Hébert</t>
  </si>
  <si>
    <t>Pont-de-l'Arche</t>
  </si>
  <si>
    <t>Porte-de-Seine</t>
  </si>
  <si>
    <t>Port-Mort</t>
  </si>
  <si>
    <t>Poses</t>
  </si>
  <si>
    <t>Pressagny-l'Orgueilleux</t>
  </si>
  <si>
    <t>Prey</t>
  </si>
  <si>
    <t>Quatremare</t>
  </si>
  <si>
    <t>Reuilly</t>
  </si>
  <si>
    <t>La Roquette</t>
  </si>
  <si>
    <t>Rouvray</t>
  </si>
  <si>
    <t>Sacquenville</t>
  </si>
  <si>
    <t>Saint-André-de-l'Eure</t>
  </si>
  <si>
    <t>Saint-Antonin-de-Sommaire</t>
  </si>
  <si>
    <t>Saint-Aubin-sur-Gaillon</t>
  </si>
  <si>
    <t>Sainte-Colombe-près-Vernon</t>
  </si>
  <si>
    <t>Le Vaudreuil</t>
  </si>
  <si>
    <t>Saint-Cyr-la-Campagne</t>
  </si>
  <si>
    <t>Saint-Didier-des-Bois</t>
  </si>
  <si>
    <t>Saint-Étienne-du-Vauvray</t>
  </si>
  <si>
    <t>Saint-Étienne-sous-Bailleul</t>
  </si>
  <si>
    <t>Sainte-Geneviève-lès-Gasny</t>
  </si>
  <si>
    <t>Saint-Germain-de-Fresney</t>
  </si>
  <si>
    <t>Saint-Germain-de-Pasquier</t>
  </si>
  <si>
    <t>Saint-Germain-des-Angles</t>
  </si>
  <si>
    <t>Saint-Germain-sur-Avre</t>
  </si>
  <si>
    <t>Saint-Julien-de-la-Liègue</t>
  </si>
  <si>
    <t>La Chapelle-Longueville</t>
  </si>
  <si>
    <t>Saint-Laurent-des-Bois</t>
  </si>
  <si>
    <t>Saint-Luc</t>
  </si>
  <si>
    <t>Saint-Marcel</t>
  </si>
  <si>
    <t>Saint-Martin-la-Campagne</t>
  </si>
  <si>
    <t>Saint-Philbert-sur-Risle</t>
  </si>
  <si>
    <t>Saint-Pierre-de-Bailleul</t>
  </si>
  <si>
    <t>Saint-Pierre-du-Vauvray</t>
  </si>
  <si>
    <t>Saint-Pierre-la-Garenne</t>
  </si>
  <si>
    <t>Saint-Sébastien-de-Morsent</t>
  </si>
  <si>
    <t>Saint-Vigor</t>
  </si>
  <si>
    <t>Saint-Vincent-des-Bois</t>
  </si>
  <si>
    <t>Sassey</t>
  </si>
  <si>
    <t>La Saussaye</t>
  </si>
  <si>
    <t>Serez</t>
  </si>
  <si>
    <t>Surtauville</t>
  </si>
  <si>
    <t>Surville</t>
  </si>
  <si>
    <t>Suzay</t>
  </si>
  <si>
    <t>Le Thuit</t>
  </si>
  <si>
    <t>Tilly</t>
  </si>
  <si>
    <t>Le Torpt</t>
  </si>
  <si>
    <t>Tournedos-Bois-Hubert</t>
  </si>
  <si>
    <t>Tourneville</t>
  </si>
  <si>
    <t>La Vacherie</t>
  </si>
  <si>
    <t>Le Val-David</t>
  </si>
  <si>
    <t>Vatteville</t>
  </si>
  <si>
    <t>Vaux-sur-Eure</t>
  </si>
  <si>
    <t>Les Trois Lacs</t>
  </si>
  <si>
    <t>Les Ventes</t>
  </si>
  <si>
    <t>Vernon</t>
  </si>
  <si>
    <t>Vézillon</t>
  </si>
  <si>
    <t>Le Vieil-Évreux</t>
  </si>
  <si>
    <t>Villegats</t>
  </si>
  <si>
    <t>Villers-sur-le-Roule</t>
  </si>
  <si>
    <t>Villez-sous-Bailleul</t>
  </si>
  <si>
    <t>Villiers-en-Désœuvre</t>
  </si>
  <si>
    <t>Vironvay</t>
  </si>
  <si>
    <t>Vraiville</t>
  </si>
  <si>
    <t>Val-de-Reuil</t>
  </si>
  <si>
    <t>Abondant</t>
  </si>
  <si>
    <t>Allainville</t>
  </si>
  <si>
    <t>Allonnes</t>
  </si>
  <si>
    <t>Amilly</t>
  </si>
  <si>
    <t>Anet</t>
  </si>
  <si>
    <t>Ardelles</t>
  </si>
  <si>
    <t>Ardelu</t>
  </si>
  <si>
    <t>Aunay-sous-Auneau</t>
  </si>
  <si>
    <t>Aunay-sous-Crécy</t>
  </si>
  <si>
    <t>Auneau-Bleury-Saint-Symphorien</t>
  </si>
  <si>
    <t>Baigneaux</t>
  </si>
  <si>
    <t>Bailleau-le-Pin</t>
  </si>
  <si>
    <t>Bailleau-l'Évêque</t>
  </si>
  <si>
    <t>Bailleau-Armenonville</t>
  </si>
  <si>
    <t>Barjouville</t>
  </si>
  <si>
    <t>Barmainville</t>
  </si>
  <si>
    <t>Baudreville</t>
  </si>
  <si>
    <t>Bazoches-en-Dunois</t>
  </si>
  <si>
    <t>Bazoches-les-Hautes</t>
  </si>
  <si>
    <t>Beauche</t>
  </si>
  <si>
    <t>Beauvilliers</t>
  </si>
  <si>
    <t>Berchères-Saint-Germain</t>
  </si>
  <si>
    <t>Berchères-les-Pierres</t>
  </si>
  <si>
    <t>Berchères-sur-Vesgre</t>
  </si>
  <si>
    <t>Bérou-la-Mulotière</t>
  </si>
  <si>
    <t>Béville-le-Comte</t>
  </si>
  <si>
    <t>Billancelles</t>
  </si>
  <si>
    <t>Blandainville</t>
  </si>
  <si>
    <t>Boisgasson</t>
  </si>
  <si>
    <t>Boissy-en-Drouais</t>
  </si>
  <si>
    <t>Boisville-la-Saint-Père</t>
  </si>
  <si>
    <t>La Bourdinière-Saint-Loup</t>
  </si>
  <si>
    <t>Boncé</t>
  </si>
  <si>
    <t>Bouglainval</t>
  </si>
  <si>
    <t>Le Boullay-les-Deux-Églises</t>
  </si>
  <si>
    <t>Le Boullay-Mivoye</t>
  </si>
  <si>
    <t>Le Boullay-Thierry</t>
  </si>
  <si>
    <t>Boutigny-Prouais</t>
  </si>
  <si>
    <t>Bouville</t>
  </si>
  <si>
    <t>Bréchamps</t>
  </si>
  <si>
    <t>Brezolles</t>
  </si>
  <si>
    <t>Briconville</t>
  </si>
  <si>
    <t>Broué</t>
  </si>
  <si>
    <t>Bû</t>
  </si>
  <si>
    <t>Cernay</t>
  </si>
  <si>
    <t>Challet</t>
  </si>
  <si>
    <t>Champhol</t>
  </si>
  <si>
    <t>Champrond-en-Gâtine</t>
  </si>
  <si>
    <t>Champseru</t>
  </si>
  <si>
    <t>La Chapelle-d'Aunainville</t>
  </si>
  <si>
    <t>La Chapelle-Forainvilliers</t>
  </si>
  <si>
    <t>Charonville</t>
  </si>
  <si>
    <t>Charpont</t>
  </si>
  <si>
    <t>Chartainvilliers</t>
  </si>
  <si>
    <t>Chartres</t>
  </si>
  <si>
    <t>Châtaincourt</t>
  </si>
  <si>
    <t>Châteaudun</t>
  </si>
  <si>
    <t>Châteauneuf-en-Thymerais</t>
  </si>
  <si>
    <t>Les Châtelets</t>
  </si>
  <si>
    <t>Les Châtelliers-Notre-Dame</t>
  </si>
  <si>
    <t>Châtenay</t>
  </si>
  <si>
    <t>Chaudon</t>
  </si>
  <si>
    <t>Chauffours</t>
  </si>
  <si>
    <t>La Chaussée-d'Ivry</t>
  </si>
  <si>
    <t>Cherisy</t>
  </si>
  <si>
    <t>Chuisnes</t>
  </si>
  <si>
    <t>Cintray</t>
  </si>
  <si>
    <t>Clévilliers</t>
  </si>
  <si>
    <t>Coltainville</t>
  </si>
  <si>
    <t>Combres</t>
  </si>
  <si>
    <t>Corancez</t>
  </si>
  <si>
    <t>Cormainville</t>
  </si>
  <si>
    <t>Les Corvées-les-Yys</t>
  </si>
  <si>
    <t>Le Coudray</t>
  </si>
  <si>
    <t>Coulombs</t>
  </si>
  <si>
    <t>Courville-sur-Eure</t>
  </si>
  <si>
    <t>Crécy-Couvé</t>
  </si>
  <si>
    <t>Croisilles</t>
  </si>
  <si>
    <t>Crucey-Villages</t>
  </si>
  <si>
    <t>Dambron</t>
  </si>
  <si>
    <t>Dammarie</t>
  </si>
  <si>
    <t>Dampierre-sur-Avre</t>
  </si>
  <si>
    <t>Dangers</t>
  </si>
  <si>
    <t>Denonville</t>
  </si>
  <si>
    <t>Digny</t>
  </si>
  <si>
    <t>Dreux</t>
  </si>
  <si>
    <t>Droue-sur-Drouette</t>
  </si>
  <si>
    <t>Écluzelles</t>
  </si>
  <si>
    <t>Écrosnes</t>
  </si>
  <si>
    <t>Épeautrolles</t>
  </si>
  <si>
    <t>Épernon</t>
  </si>
  <si>
    <t>Ermenonville-la-Grande</t>
  </si>
  <si>
    <t>Ermenonville-la-Petite</t>
  </si>
  <si>
    <t>Escorpain</t>
  </si>
  <si>
    <t>Favières</t>
  </si>
  <si>
    <t>Le Favril</t>
  </si>
  <si>
    <t>Fessanvilliers-Mattanvilliers</t>
  </si>
  <si>
    <t>Fontaine-la-Guyon</t>
  </si>
  <si>
    <t>Fontaine-les-Ribouts</t>
  </si>
  <si>
    <t>Fontenay-sur-Conie</t>
  </si>
  <si>
    <t>Fontenay-sur-Eure</t>
  </si>
  <si>
    <t>Francourville</t>
  </si>
  <si>
    <t>Fresnay-le-Comte</t>
  </si>
  <si>
    <t>Fresnay-le-Gilmert</t>
  </si>
  <si>
    <t>Fresnay-l'Évêque</t>
  </si>
  <si>
    <t>Friaize</t>
  </si>
  <si>
    <t>Fruncé</t>
  </si>
  <si>
    <t>Gallardon</t>
  </si>
  <si>
    <t>Garancières-en-Beauce</t>
  </si>
  <si>
    <t>Garancières-en-Drouais</t>
  </si>
  <si>
    <t>Garnay</t>
  </si>
  <si>
    <t>Gas</t>
  </si>
  <si>
    <t>Gasville-Oisème</t>
  </si>
  <si>
    <t>Le Gault-Saint-Denis</t>
  </si>
  <si>
    <t>Gellainville</t>
  </si>
  <si>
    <t>Germainville</t>
  </si>
  <si>
    <t>Gilles</t>
  </si>
  <si>
    <t>Gommerville</t>
  </si>
  <si>
    <t>Gouillons</t>
  </si>
  <si>
    <t>Goussainville</t>
  </si>
  <si>
    <t>Guainville</t>
  </si>
  <si>
    <t>Le Gué-de-Longroi</t>
  </si>
  <si>
    <t>Guilleville</t>
  </si>
  <si>
    <t>Guillonville</t>
  </si>
  <si>
    <t>Hanches</t>
  </si>
  <si>
    <t>Happonvilliers</t>
  </si>
  <si>
    <t>Havelu</t>
  </si>
  <si>
    <t>Houville-la-Branche</t>
  </si>
  <si>
    <t>Houx</t>
  </si>
  <si>
    <t>Illiers-Combray</t>
  </si>
  <si>
    <t>Intréville</t>
  </si>
  <si>
    <t>Jaudrais</t>
  </si>
  <si>
    <t>Jouy</t>
  </si>
  <si>
    <t>Landelles</t>
  </si>
  <si>
    <t>Laons</t>
  </si>
  <si>
    <t>Léthuin</t>
  </si>
  <si>
    <t>Levainville</t>
  </si>
  <si>
    <t>Lèves</t>
  </si>
  <si>
    <t>Levesville-la-Chenard</t>
  </si>
  <si>
    <t>Loigny-la-Bataille</t>
  </si>
  <si>
    <t>Lormaye</t>
  </si>
  <si>
    <t>Louville-la-Chenard</t>
  </si>
  <si>
    <t>Louvilliers-en-Drouais</t>
  </si>
  <si>
    <t>Lucé</t>
  </si>
  <si>
    <t>Luisant</t>
  </si>
  <si>
    <t>Lumeau</t>
  </si>
  <si>
    <t>Luplanté</t>
  </si>
  <si>
    <t>Luray</t>
  </si>
  <si>
    <t>Magny</t>
  </si>
  <si>
    <t>Maillebois</t>
  </si>
  <si>
    <t>Maintenon</t>
  </si>
  <si>
    <t>Mainvilliers</t>
  </si>
  <si>
    <t>Maisons</t>
  </si>
  <si>
    <t>La Mancelière</t>
  </si>
  <si>
    <t>Marchéville</t>
  </si>
  <si>
    <t>Marchezais</t>
  </si>
  <si>
    <t>Marville-Moutiers-Brûlé</t>
  </si>
  <si>
    <t>Méréglise</t>
  </si>
  <si>
    <t>Mérouville</t>
  </si>
  <si>
    <t>Meslay-le-Grenet</t>
  </si>
  <si>
    <t>Meslay-le-Vidame</t>
  </si>
  <si>
    <t>Le Mesnil-Simon</t>
  </si>
  <si>
    <t>Mévoisins</t>
  </si>
  <si>
    <t>Mézières-en-Drouais</t>
  </si>
  <si>
    <t>Mignières</t>
  </si>
  <si>
    <t>Mittainvilliers-Vérigny</t>
  </si>
  <si>
    <t>Moinville-la-Jeulin</t>
  </si>
  <si>
    <t>Mondonville-Saint-Jean</t>
  </si>
  <si>
    <t>Montigny-le-Chartif</t>
  </si>
  <si>
    <t>Montlandon</t>
  </si>
  <si>
    <t>Montreuil</t>
  </si>
  <si>
    <t>Morainville</t>
  </si>
  <si>
    <t>Morancez</t>
  </si>
  <si>
    <t>Moriers</t>
  </si>
  <si>
    <t>Mottereau</t>
  </si>
  <si>
    <t>Moutiers</t>
  </si>
  <si>
    <t>Néron</t>
  </si>
  <si>
    <t>Neuvy-en-Beauce</t>
  </si>
  <si>
    <t>Neuvy-en-Dunois</t>
  </si>
  <si>
    <t>Nogent-le-Phaye</t>
  </si>
  <si>
    <t>Nogent-le-Roi</t>
  </si>
  <si>
    <t>Nogent-le-Rotrou</t>
  </si>
  <si>
    <t>Nogent-sur-Eure</t>
  </si>
  <si>
    <t>Nonvilliers-Grandhoux</t>
  </si>
  <si>
    <t>Oinville-Saint-Liphard</t>
  </si>
  <si>
    <t>Oinville-sous-Auneau</t>
  </si>
  <si>
    <t>Ollé</t>
  </si>
  <si>
    <t>Orgères-en-Beauce</t>
  </si>
  <si>
    <t>Orlu</t>
  </si>
  <si>
    <t>Ormoy</t>
  </si>
  <si>
    <t>Orrouer</t>
  </si>
  <si>
    <t>Ouarville</t>
  </si>
  <si>
    <t>Ouerre</t>
  </si>
  <si>
    <t>Oulins</t>
  </si>
  <si>
    <t>Oysonville</t>
  </si>
  <si>
    <t>Péronville</t>
  </si>
  <si>
    <t>Pierres</t>
  </si>
  <si>
    <t>Les Pinthières</t>
  </si>
  <si>
    <t>Poinville</t>
  </si>
  <si>
    <t>Poisvilliers</t>
  </si>
  <si>
    <t>Pontgouin</t>
  </si>
  <si>
    <t>Poupry</t>
  </si>
  <si>
    <t>Prasville</t>
  </si>
  <si>
    <t>Pré-Saint-Martin</t>
  </si>
  <si>
    <t>Prudemanche</t>
  </si>
  <si>
    <t>Prunay-le-Gillon</t>
  </si>
  <si>
    <t>Puiseux</t>
  </si>
  <si>
    <t>Réclainville</t>
  </si>
  <si>
    <t>Revercourt</t>
  </si>
  <si>
    <t>Roinville</t>
  </si>
  <si>
    <t>Rouvray-Saint-Denis</t>
  </si>
  <si>
    <t>Rouvray-Saint-Florentin</t>
  </si>
  <si>
    <t>Rouvres</t>
  </si>
  <si>
    <t>Saint-Ange-et-Torçay</t>
  </si>
  <si>
    <t>Saint-Arnoult-des-Bois</t>
  </si>
  <si>
    <t>Saint-Aubin-des-Bois</t>
  </si>
  <si>
    <t>Saint-Avit-les-Guespières</t>
  </si>
  <si>
    <t>Villemaury</t>
  </si>
  <si>
    <t>Sainte-Gemme-Moronval</t>
  </si>
  <si>
    <t>Saint-Denis-des-Puits</t>
  </si>
  <si>
    <t>Saint-Éman</t>
  </si>
  <si>
    <t>Saint-Georges-sur-Eure</t>
  </si>
  <si>
    <t>Saint-Germain-le-Gaillard</t>
  </si>
  <si>
    <t>Saint-Jean-de-Rebervilliers</t>
  </si>
  <si>
    <t>Saint-Laurent-la-Gâtine</t>
  </si>
  <si>
    <t>Saint-Léger-des-Aubées</t>
  </si>
  <si>
    <t>Saint-Lubin-de-Cravant</t>
  </si>
  <si>
    <t>Saint-Lubin-de-la-Haye</t>
  </si>
  <si>
    <t>Saint-Lubin-des-Joncherets</t>
  </si>
  <si>
    <t>Saint-Lucien</t>
  </si>
  <si>
    <t>Saint-Luperce</t>
  </si>
  <si>
    <t>Saint-Maixme-Hauterive</t>
  </si>
  <si>
    <t>Saint-Martin-de-Nigelles</t>
  </si>
  <si>
    <t>Saint-Ouen-Marchefroy</t>
  </si>
  <si>
    <t>Saint-Piat</t>
  </si>
  <si>
    <t>Saint-Prest</t>
  </si>
  <si>
    <t>Saint-Rémy-sur-Avre</t>
  </si>
  <si>
    <t>Saint-Sauveur-Marville</t>
  </si>
  <si>
    <t>Sainville</t>
  </si>
  <si>
    <t>Sandarville</t>
  </si>
  <si>
    <t>Santeuil</t>
  </si>
  <si>
    <t>Santilly</t>
  </si>
  <si>
    <t>Saulnières</t>
  </si>
  <si>
    <t>Saumeray</t>
  </si>
  <si>
    <t>Saussay</t>
  </si>
  <si>
    <t>Senantes</t>
  </si>
  <si>
    <t>Serazereux</t>
  </si>
  <si>
    <t>Serville</t>
  </si>
  <si>
    <t>Sorel-Moussel</t>
  </si>
  <si>
    <t>Soulaires</t>
  </si>
  <si>
    <t>Sours</t>
  </si>
  <si>
    <t>Terminiers</t>
  </si>
  <si>
    <t>Theuville</t>
  </si>
  <si>
    <t>Le Thieulin</t>
  </si>
  <si>
    <t>Thimert-Gâtelles</t>
  </si>
  <si>
    <t>Thivars</t>
  </si>
  <si>
    <t>Tillay-le-Péneux</t>
  </si>
  <si>
    <t>Toury</t>
  </si>
  <si>
    <t>Trancrainville</t>
  </si>
  <si>
    <t>Tremblay-les-Villages</t>
  </si>
  <si>
    <t>Tréon</t>
  </si>
  <si>
    <t>Umpeau</t>
  </si>
  <si>
    <t>Vaupillon</t>
  </si>
  <si>
    <t>Ver-lès-Chartres</t>
  </si>
  <si>
    <t>Vernouillet</t>
  </si>
  <si>
    <t>Vert-en-Drouais</t>
  </si>
  <si>
    <t>Éole-en-Beauce</t>
  </si>
  <si>
    <t>Vierville</t>
  </si>
  <si>
    <t>Vieuvicq</t>
  </si>
  <si>
    <t>Villampuy</t>
  </si>
  <si>
    <t>Villars</t>
  </si>
  <si>
    <t>Villebon</t>
  </si>
  <si>
    <t>Villemeux-sur-Eure</t>
  </si>
  <si>
    <t>Villemeux-Saint-Nicolas</t>
  </si>
  <si>
    <t>Villiers-le-Morhier</t>
  </si>
  <si>
    <t>Vitray-en-Beauce</t>
  </si>
  <si>
    <t>Voise</t>
  </si>
  <si>
    <t>Les Villages Vovéens</t>
  </si>
  <si>
    <t>Yermenonville</t>
  </si>
  <si>
    <t>Ymeray</t>
  </si>
  <si>
    <t>Ymonville</t>
  </si>
  <si>
    <t>Arzano</t>
  </si>
  <si>
    <t>Bannalec</t>
  </si>
  <si>
    <t>Baye</t>
  </si>
  <si>
    <t>Bohars</t>
  </si>
  <si>
    <t>Botsorhel</t>
  </si>
  <si>
    <t>Brest</t>
  </si>
  <si>
    <t>Briec</t>
  </si>
  <si>
    <t>Carantec</t>
  </si>
  <si>
    <t>Carhaix-Plouguer</t>
  </si>
  <si>
    <t>Cléden-Poher</t>
  </si>
  <si>
    <t>Clohars-Carnoët</t>
  </si>
  <si>
    <t>Le Cloître-Saint-Thégonnec</t>
  </si>
  <si>
    <t>Concarneau</t>
  </si>
  <si>
    <t>Daoulas</t>
  </si>
  <si>
    <t>Dirinon</t>
  </si>
  <si>
    <t>Douarnenez</t>
  </si>
  <si>
    <t>Edern</t>
  </si>
  <si>
    <t>Elliant</t>
  </si>
  <si>
    <t>Ergué-Gabéric</t>
  </si>
  <si>
    <t>La Forest-Landerneau</t>
  </si>
  <si>
    <t>Garlan</t>
  </si>
  <si>
    <t>Gouesnou</t>
  </si>
  <si>
    <t>Guengat</t>
  </si>
  <si>
    <t>Guerlesquin</t>
  </si>
  <si>
    <t>Guilers</t>
  </si>
  <si>
    <t>Guilligomarc'h</t>
  </si>
  <si>
    <t>Guimaëc</t>
  </si>
  <si>
    <t>Guipavas</t>
  </si>
  <si>
    <t>Hanvec</t>
  </si>
  <si>
    <t>Henvic</t>
  </si>
  <si>
    <t>Hôpital-Camfrout</t>
  </si>
  <si>
    <t>Irvillac</t>
  </si>
  <si>
    <t>Le Juch</t>
  </si>
  <si>
    <t>Kergloff</t>
  </si>
  <si>
    <t>Kerlaz</t>
  </si>
  <si>
    <t>Landerneau</t>
  </si>
  <si>
    <t>Landrévarzec</t>
  </si>
  <si>
    <t>Landudal</t>
  </si>
  <si>
    <t>Langolen</t>
  </si>
  <si>
    <t>Lanmeur</t>
  </si>
  <si>
    <t>Lannéanou</t>
  </si>
  <si>
    <t>Lanneuffret</t>
  </si>
  <si>
    <t>Loc-Brévalaire</t>
  </si>
  <si>
    <t>Locquénolé</t>
  </si>
  <si>
    <t>Locquirec</t>
  </si>
  <si>
    <t>Locronan</t>
  </si>
  <si>
    <t>Locunolé</t>
  </si>
  <si>
    <t>Logonna-Daoulas</t>
  </si>
  <si>
    <t>Loperhet</t>
  </si>
  <si>
    <t>La Martyre</t>
  </si>
  <si>
    <t>Melgven</t>
  </si>
  <si>
    <t>Mellac</t>
  </si>
  <si>
    <t>Moëlan-sur-Mer</t>
  </si>
  <si>
    <t>Morlaix</t>
  </si>
  <si>
    <t>Motreff</t>
  </si>
  <si>
    <t>Névez</t>
  </si>
  <si>
    <t>Pencran</t>
  </si>
  <si>
    <t>Pleyber-Christ</t>
  </si>
  <si>
    <t>Plogonnec</t>
  </si>
  <si>
    <t>Plomelin</t>
  </si>
  <si>
    <t>Plonéis</t>
  </si>
  <si>
    <t>Ploudiry</t>
  </si>
  <si>
    <t>Plouédern</t>
  </si>
  <si>
    <t>Plouégat-Guérand</t>
  </si>
  <si>
    <t>Plouégat-Moysan</t>
  </si>
  <si>
    <t>Plouezoc'h</t>
  </si>
  <si>
    <t>Plougasnou</t>
  </si>
  <si>
    <t>Plougastel-Daoulas</t>
  </si>
  <si>
    <t>Plougonven</t>
  </si>
  <si>
    <t>Plouigneau</t>
  </si>
  <si>
    <t>Plounéour-Ménez</t>
  </si>
  <si>
    <t>Plounévézel</t>
  </si>
  <si>
    <t>Plourin-lès-Morlaix</t>
  </si>
  <si>
    <t>Plouzané</t>
  </si>
  <si>
    <t>Pluguffan</t>
  </si>
  <si>
    <t>Pont-Aven</t>
  </si>
  <si>
    <t>Pont-Croix</t>
  </si>
  <si>
    <t>Pouldergat</t>
  </si>
  <si>
    <t>Poullan-sur-Mer</t>
  </si>
  <si>
    <t>Poullaouen</t>
  </si>
  <si>
    <t>Quéménéven</t>
  </si>
  <si>
    <t>Querrien</t>
  </si>
  <si>
    <t>Quimper</t>
  </si>
  <si>
    <t>Quimperlé</t>
  </si>
  <si>
    <t>Rédené</t>
  </si>
  <si>
    <t>Le Relecq-Kerhuon</t>
  </si>
  <si>
    <t>Riec-sur-Bélon</t>
  </si>
  <si>
    <t>La Roche-Maurice</t>
  </si>
  <si>
    <t>Rosporden</t>
  </si>
  <si>
    <t>Saint-Divy</t>
  </si>
  <si>
    <t>Saint-Eloy</t>
  </si>
  <si>
    <t>Saint-Hernin</t>
  </si>
  <si>
    <t>Saint-Jean-du-Doigt</t>
  </si>
  <si>
    <t>Saint-Martin-des-Champs</t>
  </si>
  <si>
    <t>Sainte-Sève</t>
  </si>
  <si>
    <t>Saint-Thégonnec Loc-Eguiner</t>
  </si>
  <si>
    <t>Saint-Thonan</t>
  </si>
  <si>
    <t>Saint-Thurien</t>
  </si>
  <si>
    <t>Saint-Urbain</t>
  </si>
  <si>
    <t>Saint-Yvi</t>
  </si>
  <si>
    <t>Scaër</t>
  </si>
  <si>
    <t>Taulé</t>
  </si>
  <si>
    <t>Tourch</t>
  </si>
  <si>
    <t>Tréflévénez</t>
  </si>
  <si>
    <t>Trégunc</t>
  </si>
  <si>
    <t>Le Tréhou</t>
  </si>
  <si>
    <t>Trémaouézan</t>
  </si>
  <si>
    <t>Tréméven</t>
  </si>
  <si>
    <t>Le Trévoux</t>
  </si>
  <si>
    <t>Afa</t>
  </si>
  <si>
    <t>Ajaccio</t>
  </si>
  <si>
    <t>Alata</t>
  </si>
  <si>
    <t>Appietto</t>
  </si>
  <si>
    <t>Bonifacio</t>
  </si>
  <si>
    <t>Cuttoli-Corticchiato</t>
  </si>
  <si>
    <t>Figari</t>
  </si>
  <si>
    <t>Lecci</t>
  </si>
  <si>
    <t>Monacia-d'Aullène</t>
  </si>
  <si>
    <t>Peri</t>
  </si>
  <si>
    <t>Pianottoli-Caldarello</t>
  </si>
  <si>
    <t>Porto-Vecchio</t>
  </si>
  <si>
    <t>Sarrola-Carcopino</t>
  </si>
  <si>
    <t>Sotta</t>
  </si>
  <si>
    <t>Tavaco</t>
  </si>
  <si>
    <t>Valle-di-Mezzana</t>
  </si>
  <si>
    <t>Villanova</t>
  </si>
  <si>
    <t>Bastia</t>
  </si>
  <si>
    <t>Belgodère</t>
  </si>
  <si>
    <t>Corbara</t>
  </si>
  <si>
    <t>Costa</t>
  </si>
  <si>
    <t>Feliceto</t>
  </si>
  <si>
    <t>Furiani</t>
  </si>
  <si>
    <t>L'Île-Rousse</t>
  </si>
  <si>
    <t>Lama</t>
  </si>
  <si>
    <t>Mausoléo</t>
  </si>
  <si>
    <t>Monticello</t>
  </si>
  <si>
    <t>Muro</t>
  </si>
  <si>
    <t>Nessa</t>
  </si>
  <si>
    <t>Novella</t>
  </si>
  <si>
    <t>Occhiatana</t>
  </si>
  <si>
    <t>Olmi-Cappella</t>
  </si>
  <si>
    <t>Palasca</t>
  </si>
  <si>
    <t>Pietralba</t>
  </si>
  <si>
    <t>Pigna</t>
  </si>
  <si>
    <t>Pioggiola</t>
  </si>
  <si>
    <t>Speloncato</t>
  </si>
  <si>
    <t>San-Martino-di-Lota</t>
  </si>
  <si>
    <t>Santa-Maria-di-Lota</t>
  </si>
  <si>
    <t>Santa-Reparata-di-Balagna</t>
  </si>
  <si>
    <t>Urtaca</t>
  </si>
  <si>
    <t>Vallica</t>
  </si>
  <si>
    <t>Ville-di-Paraso</t>
  </si>
  <si>
    <t>Ville-di-Pietrabugno</t>
  </si>
  <si>
    <t>Aiguèze</t>
  </si>
  <si>
    <t>Alès</t>
  </si>
  <si>
    <t>Allègre-les-Fumades</t>
  </si>
  <si>
    <t>Anduze</t>
  </si>
  <si>
    <t>Les Angles</t>
  </si>
  <si>
    <t>Aujac</t>
  </si>
  <si>
    <t>Bagard</t>
  </si>
  <si>
    <t>Bagnols-sur-Cèze</t>
  </si>
  <si>
    <t>Bernis</t>
  </si>
  <si>
    <t>Bessèges</t>
  </si>
  <si>
    <t>Bezouce</t>
  </si>
  <si>
    <t>Boisset-et-Gaujac</t>
  </si>
  <si>
    <t>Bonnevaux</t>
  </si>
  <si>
    <t>Boucoiran-et-Nozières</t>
  </si>
  <si>
    <t>Bouillargues</t>
  </si>
  <si>
    <t>Bouquet</t>
  </si>
  <si>
    <t>Branoux-les-Taillades</t>
  </si>
  <si>
    <t>Brignon</t>
  </si>
  <si>
    <t>Brouzet-lès-Alès</t>
  </si>
  <si>
    <t>Cabrières</t>
  </si>
  <si>
    <t>Caissargues</t>
  </si>
  <si>
    <t>La Calmette</t>
  </si>
  <si>
    <t>Cardet</t>
  </si>
  <si>
    <t>Carsan</t>
  </si>
  <si>
    <t>Castelnau-Valence</t>
  </si>
  <si>
    <t>Caveirac</t>
  </si>
  <si>
    <t>Cavillargues</t>
  </si>
  <si>
    <t>Cendras</t>
  </si>
  <si>
    <t>Chambon</t>
  </si>
  <si>
    <t>Chamborigaud</t>
  </si>
  <si>
    <t>Chusclan</t>
  </si>
  <si>
    <t>Clarensac</t>
  </si>
  <si>
    <t>Codolet</t>
  </si>
  <si>
    <t>Concoules</t>
  </si>
  <si>
    <t>Connaux</t>
  </si>
  <si>
    <t>Corbès</t>
  </si>
  <si>
    <t>Cornillon</t>
  </si>
  <si>
    <t>Cruviers-Lascours</t>
  </si>
  <si>
    <t>Deaux</t>
  </si>
  <si>
    <t>Dions</t>
  </si>
  <si>
    <t>Domessargues</t>
  </si>
  <si>
    <t>Euzet</t>
  </si>
  <si>
    <t>Fons</t>
  </si>
  <si>
    <t>Gagnières</t>
  </si>
  <si>
    <t>Gajan</t>
  </si>
  <si>
    <t>Le Garn</t>
  </si>
  <si>
    <t>Garons</t>
  </si>
  <si>
    <t>Gaujac</t>
  </si>
  <si>
    <t>Générac</t>
  </si>
  <si>
    <t>Générargues</t>
  </si>
  <si>
    <t>Génolhac</t>
  </si>
  <si>
    <t>Goudargues</t>
  </si>
  <si>
    <t>La Grand-Combe</t>
  </si>
  <si>
    <t>Issirac</t>
  </si>
  <si>
    <t>Lamelouze</t>
  </si>
  <si>
    <t>Langlade</t>
  </si>
  <si>
    <t>Lasalle</t>
  </si>
  <si>
    <t>Laudun-l'Ardoise</t>
  </si>
  <si>
    <t>Laval-Pradel</t>
  </si>
  <si>
    <t>Laval-Saint-Roman</t>
  </si>
  <si>
    <t>Lédenon</t>
  </si>
  <si>
    <t>Lédignan</t>
  </si>
  <si>
    <t>Lézan</t>
  </si>
  <si>
    <t>Lirac</t>
  </si>
  <si>
    <t>Les Mages</t>
  </si>
  <si>
    <t>Manduel</t>
  </si>
  <si>
    <t>Marguerittes</t>
  </si>
  <si>
    <t>Martignargues</t>
  </si>
  <si>
    <t>Le Martinet</t>
  </si>
  <si>
    <t>Massanes</t>
  </si>
  <si>
    <t>Massillargues-Attuech</t>
  </si>
  <si>
    <t>Mauressargues</t>
  </si>
  <si>
    <t>Méjannes-lès-Alès</t>
  </si>
  <si>
    <t>Meyrannes</t>
  </si>
  <si>
    <t>Milhaud</t>
  </si>
  <si>
    <t>Molières-sur-Cèze</t>
  </si>
  <si>
    <t>Mons</t>
  </si>
  <si>
    <t>Montclus</t>
  </si>
  <si>
    <t>Monteils</t>
  </si>
  <si>
    <t>Montignargues</t>
  </si>
  <si>
    <t>Moulézan</t>
  </si>
  <si>
    <t>Navacelles</t>
  </si>
  <si>
    <t>Ners</t>
  </si>
  <si>
    <t>Nîmes</t>
  </si>
  <si>
    <t>Orsan</t>
  </si>
  <si>
    <t>Le Pin</t>
  </si>
  <si>
    <t>Les Plans</t>
  </si>
  <si>
    <t>Pont-Saint-Esprit</t>
  </si>
  <si>
    <t>Portes</t>
  </si>
  <si>
    <t>Poulx</t>
  </si>
  <si>
    <t>Pujaut</t>
  </si>
  <si>
    <t>Redessan</t>
  </si>
  <si>
    <t>Ribaute-les-Tavernes</t>
  </si>
  <si>
    <t>Robiac-Rochessadoule</t>
  </si>
  <si>
    <t>Rochefort-du-Gard</t>
  </si>
  <si>
    <t>Roquemaure</t>
  </si>
  <si>
    <t>La Roque-sur-Cèze</t>
  </si>
  <si>
    <t>Rousson</t>
  </si>
  <si>
    <t>La Rouvière</t>
  </si>
  <si>
    <t>Sabran</t>
  </si>
  <si>
    <t>Saint-Alexandre</t>
  </si>
  <si>
    <t>Saint-Ambroix</t>
  </si>
  <si>
    <t>Sainte-Anastasie</t>
  </si>
  <si>
    <t>Saint-André-de-Roquepertuis</t>
  </si>
  <si>
    <t>Saint-André-d'Olérargues</t>
  </si>
  <si>
    <t>Saint-Bauzély</t>
  </si>
  <si>
    <t>Saint-Bonnet-de-Salendrinque</t>
  </si>
  <si>
    <t>Sainte-Cécile-d'Andorge</t>
  </si>
  <si>
    <t>Saint-Césaire-de-Gauzignan</t>
  </si>
  <si>
    <t>Saint-Chaptes</t>
  </si>
  <si>
    <t>Saint-Christol-de-Rodières</t>
  </si>
  <si>
    <t>Saint-Christol-lez-Alès</t>
  </si>
  <si>
    <t>Saint-Côme-et-Maruéjols</t>
  </si>
  <si>
    <t>Sainte-Croix-de-Caderle</t>
  </si>
  <si>
    <t>Saint-Dézéry</t>
  </si>
  <si>
    <t>Saint-Dionisy</t>
  </si>
  <si>
    <t>Saint-Étienne-de-l'Olm</t>
  </si>
  <si>
    <t>Saint-Étienne-des-Sorts</t>
  </si>
  <si>
    <t>Saint-Florent-sur-Auzonnet</t>
  </si>
  <si>
    <t>Saint-Geniès-de-Comolas</t>
  </si>
  <si>
    <t>Saint-Geniès-de-Malgoirès</t>
  </si>
  <si>
    <t>Saint-Gervais</t>
  </si>
  <si>
    <t>Saint-Gervasy</t>
  </si>
  <si>
    <t>Saint-Gilles</t>
  </si>
  <si>
    <t>Saint-Hilaire-de-Brethmas</t>
  </si>
  <si>
    <t>Saint-Hippolyte-de-Caton</t>
  </si>
  <si>
    <t>Saint-Jean-de-Ceyrargues</t>
  </si>
  <si>
    <t>Saint-Jean-de-Serres</t>
  </si>
  <si>
    <t>Saint-Jean-de-Valériscle</t>
  </si>
  <si>
    <t>Saint-Jean-du-Gard</t>
  </si>
  <si>
    <t>Saint-Jean-du-Pin</t>
  </si>
  <si>
    <t>Saint-Julien-de-Cassagnas</t>
  </si>
  <si>
    <t>Saint-Julien-de-Peyrolas</t>
  </si>
  <si>
    <t>Saint-Julien-les-Rosiers</t>
  </si>
  <si>
    <t>Saint-Just-et-Vacquières</t>
  </si>
  <si>
    <t>Saint-Laurent-de-Carnols</t>
  </si>
  <si>
    <t>Saint-Laurent-des-Arbres</t>
  </si>
  <si>
    <t>Saint-Mamert-du-Gard</t>
  </si>
  <si>
    <t>Saint-Martin-de-Valgalgues</t>
  </si>
  <si>
    <t>Saint-Maurice-de-Cazevieille</t>
  </si>
  <si>
    <t>Saint-Michel-d'Euzet</t>
  </si>
  <si>
    <t>Saint-Nazaire</t>
  </si>
  <si>
    <t>Saint-Paulet-de-Caisson</t>
  </si>
  <si>
    <t>Saint-Paul-la-Coste</t>
  </si>
  <si>
    <t>Saint-Pons-la-Calm</t>
  </si>
  <si>
    <t>Saint-Privat-des-Vieux</t>
  </si>
  <si>
    <t>Saint-Sébastien-d'Aigrefeuille</t>
  </si>
  <si>
    <t>Saint-Victor-la-Coste</t>
  </si>
  <si>
    <t>Salazac</t>
  </si>
  <si>
    <t>Salindres</t>
  </si>
  <si>
    <t>Les Salles-du-Gardon</t>
  </si>
  <si>
    <t>Sauveterre</t>
  </si>
  <si>
    <t>Saze</t>
  </si>
  <si>
    <t>Sénéchas</t>
  </si>
  <si>
    <t>Sernhac</t>
  </si>
  <si>
    <t>Seynes</t>
  </si>
  <si>
    <t>Soustelle</t>
  </si>
  <si>
    <t>Tavel</t>
  </si>
  <si>
    <t>Thoiras</t>
  </si>
  <si>
    <t>Tornac</t>
  </si>
  <si>
    <t>Tresques</t>
  </si>
  <si>
    <t>Vabres</t>
  </si>
  <si>
    <t>Vénéjan</t>
  </si>
  <si>
    <t>Verfeuil</t>
  </si>
  <si>
    <t>La Vernarède</t>
  </si>
  <si>
    <t>Vézénobres</t>
  </si>
  <si>
    <t>Villeneuve-lès-Avignon</t>
  </si>
  <si>
    <t>Montagnac</t>
  </si>
  <si>
    <t>Saint-Paul-les-Fonts</t>
  </si>
  <si>
    <t>Rodilhan</t>
  </si>
  <si>
    <t>Aigrefeuille</t>
  </si>
  <si>
    <t>Ayguesvives</t>
  </si>
  <si>
    <t>Aucamville</t>
  </si>
  <si>
    <t>Aureville</t>
  </si>
  <si>
    <t>Aussonne</t>
  </si>
  <si>
    <t>Auzeville-Tolosane</t>
  </si>
  <si>
    <t>Auzielle</t>
  </si>
  <si>
    <t>Balma</t>
  </si>
  <si>
    <t>Baziège</t>
  </si>
  <si>
    <t>Beaupuy</t>
  </si>
  <si>
    <t>Beauzelle</t>
  </si>
  <si>
    <t>Belberaud</t>
  </si>
  <si>
    <t>Belbèze-de-Lauragais</t>
  </si>
  <si>
    <t>Blagnac</t>
  </si>
  <si>
    <t>Brax</t>
  </si>
  <si>
    <t>Bruguières</t>
  </si>
  <si>
    <t>Castanet-Tolosan</t>
  </si>
  <si>
    <t>Castelginest</t>
  </si>
  <si>
    <t>Castelmaurou</t>
  </si>
  <si>
    <t>Clermont-le-Fort</t>
  </si>
  <si>
    <t>Colomiers</t>
  </si>
  <si>
    <t>Cornebarrieu</t>
  </si>
  <si>
    <t>Corronsac</t>
  </si>
  <si>
    <t>Cugnaux</t>
  </si>
  <si>
    <t>Deyme</t>
  </si>
  <si>
    <t>Donneville</t>
  </si>
  <si>
    <t>Drémil-Lafage</t>
  </si>
  <si>
    <t>Eaunes</t>
  </si>
  <si>
    <t>Escalquens</t>
  </si>
  <si>
    <t>Espanès</t>
  </si>
  <si>
    <t>Le Fauga</t>
  </si>
  <si>
    <t>Fenouillet</t>
  </si>
  <si>
    <t>Flourens</t>
  </si>
  <si>
    <t>Fonbeauzard</t>
  </si>
  <si>
    <t>Fonsorbes</t>
  </si>
  <si>
    <t>Fourquevaux</t>
  </si>
  <si>
    <t>Frouzins</t>
  </si>
  <si>
    <t>Gagnac-sur-Garonne</t>
  </si>
  <si>
    <t>Goyrans</t>
  </si>
  <si>
    <t>Gratentour</t>
  </si>
  <si>
    <t>Issus</t>
  </si>
  <si>
    <t>Labarthe-sur-Lèze</t>
  </si>
  <si>
    <t>Labastide-Beauvoir</t>
  </si>
  <si>
    <t>Labastidette</t>
  </si>
  <si>
    <t>Labège</t>
  </si>
  <si>
    <t>Lacroix-Falgarde</t>
  </si>
  <si>
    <t>Lapeyrouse-Fossat</t>
  </si>
  <si>
    <t>Launaguet</t>
  </si>
  <si>
    <t>Lauzerville</t>
  </si>
  <si>
    <t>Lavernose-Lacasse</t>
  </si>
  <si>
    <t>Lespinasse</t>
  </si>
  <si>
    <t>Mervilla</t>
  </si>
  <si>
    <t>Mondonville</t>
  </si>
  <si>
    <t>Mondouzil</t>
  </si>
  <si>
    <t>Montberon</t>
  </si>
  <si>
    <t>Montbrun-Lauragais</t>
  </si>
  <si>
    <t>Montgiscard</t>
  </si>
  <si>
    <t>Montlaur</t>
  </si>
  <si>
    <t>Montrabé</t>
  </si>
  <si>
    <t>Muret</t>
  </si>
  <si>
    <t>Noueilles</t>
  </si>
  <si>
    <t>Odars</t>
  </si>
  <si>
    <t>Péchabou</t>
  </si>
  <si>
    <t>Pechbonnieu</t>
  </si>
  <si>
    <t>Pechbusque</t>
  </si>
  <si>
    <t>Pibrac</t>
  </si>
  <si>
    <t>Pin-Balma</t>
  </si>
  <si>
    <t>Pinsaguel</t>
  </si>
  <si>
    <t>Pins-Justaret</t>
  </si>
  <si>
    <t>Plaisance-du-Touch</t>
  </si>
  <si>
    <t>Pompertuzat</t>
  </si>
  <si>
    <t>Portet-sur-Garonne</t>
  </si>
  <si>
    <t>Pouze</t>
  </si>
  <si>
    <t>Quint-Fonsegrives</t>
  </si>
  <si>
    <t>Ramonville-Saint-Agne</t>
  </si>
  <si>
    <t>Rebigue</t>
  </si>
  <si>
    <t>Roques</t>
  </si>
  <si>
    <t>Roquettes</t>
  </si>
  <si>
    <t>Rouffiac-Tolosan</t>
  </si>
  <si>
    <t>Saint-Clar-de-Rivière</t>
  </si>
  <si>
    <t>Saint-Geniès-Bellevue</t>
  </si>
  <si>
    <t>Saint-Hilaire</t>
  </si>
  <si>
    <t>Saint-Jean</t>
  </si>
  <si>
    <t>Saint-Jory</t>
  </si>
  <si>
    <t>Saint-Loup-Cammas</t>
  </si>
  <si>
    <t>Saint-Lys</t>
  </si>
  <si>
    <t>Saint-Orens-de-Gameville</t>
  </si>
  <si>
    <t>La Salvetat-Saint-Gilles</t>
  </si>
  <si>
    <t>Saubens</t>
  </si>
  <si>
    <t>Seilh</t>
  </si>
  <si>
    <t>Seysses</t>
  </si>
  <si>
    <t>Toulouse</t>
  </si>
  <si>
    <t>Tournefeuille</t>
  </si>
  <si>
    <t>L'Union</t>
  </si>
  <si>
    <t>Varennes</t>
  </si>
  <si>
    <t>Vieille-Toulouse</t>
  </si>
  <si>
    <t>Vigoulet-Auzil</t>
  </si>
  <si>
    <t>Villate</t>
  </si>
  <si>
    <t>Villeneuve-Tolosane</t>
  </si>
  <si>
    <t>Antras</t>
  </si>
  <si>
    <t>Auch</t>
  </si>
  <si>
    <t>Augnax</t>
  </si>
  <si>
    <t>Auterive</t>
  </si>
  <si>
    <t>Ayguetinte</t>
  </si>
  <si>
    <t>Biran</t>
  </si>
  <si>
    <t>Bonas</t>
  </si>
  <si>
    <t>Castelnau-Barbarens</t>
  </si>
  <si>
    <t>Castéra-Verduzan</t>
  </si>
  <si>
    <t>Castillon-Massas</t>
  </si>
  <si>
    <t>Castin</t>
  </si>
  <si>
    <t>Crastes</t>
  </si>
  <si>
    <t>Duran</t>
  </si>
  <si>
    <t>Jegun</t>
  </si>
  <si>
    <t>Lahitte</t>
  </si>
  <si>
    <t>Lavardens</t>
  </si>
  <si>
    <t>Leboulin</t>
  </si>
  <si>
    <t>Mérens</t>
  </si>
  <si>
    <t>Mirepoix</t>
  </si>
  <si>
    <t>Montaut-les-Créneaux</t>
  </si>
  <si>
    <t>Montégut</t>
  </si>
  <si>
    <t>Nougaroulet</t>
  </si>
  <si>
    <t>Ordan-Larroque</t>
  </si>
  <si>
    <t>Pavie</t>
  </si>
  <si>
    <t>Pessan</t>
  </si>
  <si>
    <t>Peyrusse-Massas</t>
  </si>
  <si>
    <t>Preignan</t>
  </si>
  <si>
    <t>Puycasquier</t>
  </si>
  <si>
    <t>Roquefort</t>
  </si>
  <si>
    <t>Roquelaure</t>
  </si>
  <si>
    <t>Sainte-Christie</t>
  </si>
  <si>
    <t>Saint-Jean-Poutge</t>
  </si>
  <si>
    <t>Saint-Lary</t>
  </si>
  <si>
    <t>Tourrenquets</t>
  </si>
  <si>
    <t>Abzac</t>
  </si>
  <si>
    <t>Aillas</t>
  </si>
  <si>
    <t>Ambarès-et-Lagrave</t>
  </si>
  <si>
    <t>Ambès</t>
  </si>
  <si>
    <t>Andernos-les-Bains</t>
  </si>
  <si>
    <t>COMMUNAUTE D'AGGLO. DU BASSIN D'ARCACHON NORD</t>
  </si>
  <si>
    <t>'33510'</t>
  </si>
  <si>
    <t>Arbanats</t>
  </si>
  <si>
    <t>COMMUNAUTE DE COMMUNES CONVERGENCE GARONNE</t>
  </si>
  <si>
    <t>'33640'</t>
  </si>
  <si>
    <t>Porte-de-Benauge</t>
  </si>
  <si>
    <t>NOUVELLE-AQUITAINE MOBILITES</t>
  </si>
  <si>
    <t>'33760'</t>
  </si>
  <si>
    <t>Arcachon</t>
  </si>
  <si>
    <t>Arcins</t>
  </si>
  <si>
    <t>'33460'</t>
  </si>
  <si>
    <t>Arès</t>
  </si>
  <si>
    <t>'33740'</t>
  </si>
  <si>
    <t>Arsac</t>
  </si>
  <si>
    <t>Artigues-près-Bordeaux</t>
  </si>
  <si>
    <t>Les Artigues-de-Lussac</t>
  </si>
  <si>
    <t>'33570'</t>
  </si>
  <si>
    <t>Arveyres</t>
  </si>
  <si>
    <t>Asques</t>
  </si>
  <si>
    <t>'33240'</t>
  </si>
  <si>
    <t>Val de Virvée</t>
  </si>
  <si>
    <t>Audenge</t>
  </si>
  <si>
    <t>'33980'</t>
  </si>
  <si>
    <t>Auros</t>
  </si>
  <si>
    <t>Avensan</t>
  </si>
  <si>
    <t>'33480'</t>
  </si>
  <si>
    <t>Ayguemorte-les-Graves</t>
  </si>
  <si>
    <t>COMMUNAUTE DE COMMUNES DE MONTESQUIEU</t>
  </si>
  <si>
    <t>Bagas</t>
  </si>
  <si>
    <t>Balizac</t>
  </si>
  <si>
    <t>Barie</t>
  </si>
  <si>
    <t>Baron</t>
  </si>
  <si>
    <t>Le Barp</t>
  </si>
  <si>
    <t>'33114'</t>
  </si>
  <si>
    <t>'33116'</t>
  </si>
  <si>
    <t>Barsac</t>
  </si>
  <si>
    <t>Bassanne</t>
  </si>
  <si>
    <t>Bassens</t>
  </si>
  <si>
    <t>Baurech</t>
  </si>
  <si>
    <t>'33880'</t>
  </si>
  <si>
    <t>Bayas</t>
  </si>
  <si>
    <t>Bayon-sur-Gironde</t>
  </si>
  <si>
    <t>'33710'</t>
  </si>
  <si>
    <t>Beautiran</t>
  </si>
  <si>
    <t>Bègles</t>
  </si>
  <si>
    <t>Béguey</t>
  </si>
  <si>
    <t>'33410'</t>
  </si>
  <si>
    <t>Belin-Béliet</t>
  </si>
  <si>
    <t>'33830'</t>
  </si>
  <si>
    <t>Bellebat</t>
  </si>
  <si>
    <t>Bellefond</t>
  </si>
  <si>
    <t>Berson</t>
  </si>
  <si>
    <t>'33390'</t>
  </si>
  <si>
    <t>'33392'</t>
  </si>
  <si>
    <t>Berthez</t>
  </si>
  <si>
    <t>Beychac-et-Caillau</t>
  </si>
  <si>
    <t>Bieujac</t>
  </si>
  <si>
    <t>Biganos</t>
  </si>
  <si>
    <t>'33380'</t>
  </si>
  <si>
    <t>Les Billaux</t>
  </si>
  <si>
    <t>Blaignac</t>
  </si>
  <si>
    <t>Blanquefort</t>
  </si>
  <si>
    <t>Blésignac</t>
  </si>
  <si>
    <t>'33670'</t>
  </si>
  <si>
    <t>Bommes</t>
  </si>
  <si>
    <t>Bonnetan</t>
  </si>
  <si>
    <t>Bonzac</t>
  </si>
  <si>
    <t>Bordeaux</t>
  </si>
  <si>
    <t>Bouliac</t>
  </si>
  <si>
    <t>Bourdelles</t>
  </si>
  <si>
    <t>Bourg</t>
  </si>
  <si>
    <t>Bourideys</t>
  </si>
  <si>
    <t>Le Bouscat</t>
  </si>
  <si>
    <t>Brach</t>
  </si>
  <si>
    <t>Branne</t>
  </si>
  <si>
    <t>Brannens</t>
  </si>
  <si>
    <t>Brouqueyran</t>
  </si>
  <si>
    <t>Bruges</t>
  </si>
  <si>
    <t>Budos</t>
  </si>
  <si>
    <t>Cabanac-et-Villagrains</t>
  </si>
  <si>
    <t>'33650'</t>
  </si>
  <si>
    <t>Cabara</t>
  </si>
  <si>
    <t>Cadarsac</t>
  </si>
  <si>
    <t>Cadaujac</t>
  </si>
  <si>
    <t>Cadillac-sur-Garonne</t>
  </si>
  <si>
    <t>Cadillac-en-Fronsadais</t>
  </si>
  <si>
    <t>Camarsac</t>
  </si>
  <si>
    <t>Cambes</t>
  </si>
  <si>
    <t>Camblanes-et-Meynac</t>
  </si>
  <si>
    <t>'33360'</t>
  </si>
  <si>
    <t>Camiac-et-Saint-Denis</t>
  </si>
  <si>
    <t>Camiran</t>
  </si>
  <si>
    <t>Camps-sur-l'Isle</t>
  </si>
  <si>
    <t>Campugnan</t>
  </si>
  <si>
    <t>Canéjan</t>
  </si>
  <si>
    <t>'33610'</t>
  </si>
  <si>
    <t>'33612'</t>
  </si>
  <si>
    <t>Capian</t>
  </si>
  <si>
    <t>'33550'</t>
  </si>
  <si>
    <t>Carbon-Blanc</t>
  </si>
  <si>
    <t>Carcans</t>
  </si>
  <si>
    <t>'33121'</t>
  </si>
  <si>
    <t>Cardan</t>
  </si>
  <si>
    <t>Carignan-de-Bordeaux</t>
  </si>
  <si>
    <t>Casseuil</t>
  </si>
  <si>
    <t>Castelnau-de-Médoc</t>
  </si>
  <si>
    <t>Castets et Castillon</t>
  </si>
  <si>
    <t>Castillon-de-Castets</t>
  </si>
  <si>
    <t>Castres-Gironde</t>
  </si>
  <si>
    <t>Caudrot</t>
  </si>
  <si>
    <t>Cavignac</t>
  </si>
  <si>
    <t>Cazalis</t>
  </si>
  <si>
    <t>Cénac</t>
  </si>
  <si>
    <t>Cenon</t>
  </si>
  <si>
    <t>Cérons</t>
  </si>
  <si>
    <t>Cessac</t>
  </si>
  <si>
    <t>Cestas</t>
  </si>
  <si>
    <t>'33611'</t>
  </si>
  <si>
    <t>'33613'</t>
  </si>
  <si>
    <t>'33614'</t>
  </si>
  <si>
    <t>'33629'</t>
  </si>
  <si>
    <t>Cézac</t>
  </si>
  <si>
    <t>Chamadelle</t>
  </si>
  <si>
    <t>Civrac-de-Blaye</t>
  </si>
  <si>
    <t>'33920'</t>
  </si>
  <si>
    <t>Coimères</t>
  </si>
  <si>
    <t>Coirac</t>
  </si>
  <si>
    <t>'33540'</t>
  </si>
  <si>
    <t>Comps</t>
  </si>
  <si>
    <t>Courpiac</t>
  </si>
  <si>
    <t>Coutras</t>
  </si>
  <si>
    <t>Créon</t>
  </si>
  <si>
    <t>Croignon</t>
  </si>
  <si>
    <t>Cubnezais</t>
  </si>
  <si>
    <t>Cubzac-les-Ponts</t>
  </si>
  <si>
    <t>Cursan</t>
  </si>
  <si>
    <t>Cussac-Fort-Médoc</t>
  </si>
  <si>
    <t>Daignac</t>
  </si>
  <si>
    <t>Dardenac</t>
  </si>
  <si>
    <t>Daubèze</t>
  </si>
  <si>
    <t>Donzac</t>
  </si>
  <si>
    <t>Les Églisottes-et-Chalaures</t>
  </si>
  <si>
    <t>Escoussans</t>
  </si>
  <si>
    <t>Espiet</t>
  </si>
  <si>
    <t>Les Esseintes</t>
  </si>
  <si>
    <t>Eynesse</t>
  </si>
  <si>
    <t>'33220'</t>
  </si>
  <si>
    <t>Eysines</t>
  </si>
  <si>
    <t>Faleyras</t>
  </si>
  <si>
    <t>Fargues</t>
  </si>
  <si>
    <t>Fargues-Saint-Hilaire</t>
  </si>
  <si>
    <t>Le Fieu</t>
  </si>
  <si>
    <t>Floudès</t>
  </si>
  <si>
    <t>Fontet</t>
  </si>
  <si>
    <t>Fossès-et-Baleyssac</t>
  </si>
  <si>
    <t>Fronsac</t>
  </si>
  <si>
    <t>'33126'</t>
  </si>
  <si>
    <t>Frontenac</t>
  </si>
  <si>
    <t>Gabarnac</t>
  </si>
  <si>
    <t>Galgon</t>
  </si>
  <si>
    <t>'33133'</t>
  </si>
  <si>
    <t>Gauriac</t>
  </si>
  <si>
    <t>Gauriaguet</t>
  </si>
  <si>
    <t>Génissac</t>
  </si>
  <si>
    <t>Gironde-sur-Dropt</t>
  </si>
  <si>
    <t>Gornac</t>
  </si>
  <si>
    <t>Gours</t>
  </si>
  <si>
    <t>Gradignan</t>
  </si>
  <si>
    <t>Grézillac</t>
  </si>
  <si>
    <t>Guillac</t>
  </si>
  <si>
    <t>Guillos</t>
  </si>
  <si>
    <t>Guîtres</t>
  </si>
  <si>
    <t>Gujan-Mestras</t>
  </si>
  <si>
    <t>Le Haillan</t>
  </si>
  <si>
    <t>Haux</t>
  </si>
  <si>
    <t>Hostens</t>
  </si>
  <si>
    <t>Hure</t>
  </si>
  <si>
    <t>Illats</t>
  </si>
  <si>
    <t>Isle-Saint-Georges</t>
  </si>
  <si>
    <t>Izon</t>
  </si>
  <si>
    <t>Jugazan</t>
  </si>
  <si>
    <t>Labarde</t>
  </si>
  <si>
    <t>La Brède</t>
  </si>
  <si>
    <t>Lacanau</t>
  </si>
  <si>
    <t>'33680'</t>
  </si>
  <si>
    <t>Ladaux</t>
  </si>
  <si>
    <t>Lagorce</t>
  </si>
  <si>
    <t>La Lande-de-Fronsac</t>
  </si>
  <si>
    <t>Lamarque</t>
  </si>
  <si>
    <t>Lamothe-Landerron</t>
  </si>
  <si>
    <t>Lalande-de-Pomerol</t>
  </si>
  <si>
    <t>Landiras</t>
  </si>
  <si>
    <t>Langoiran</t>
  </si>
  <si>
    <t>Langon</t>
  </si>
  <si>
    <t>Lansac</t>
  </si>
  <si>
    <t>Lanton</t>
  </si>
  <si>
    <t>'33138'</t>
  </si>
  <si>
    <t>Lapouyade</t>
  </si>
  <si>
    <t>Laroque</t>
  </si>
  <si>
    <t>Laruscade</t>
  </si>
  <si>
    <t>Latresne</t>
  </si>
  <si>
    <t>Lège-Cap-Ferret</t>
  </si>
  <si>
    <t>'33950'</t>
  </si>
  <si>
    <t>'33970'</t>
  </si>
  <si>
    <t>Léogeats</t>
  </si>
  <si>
    <t>Léognan</t>
  </si>
  <si>
    <t>'33850'</t>
  </si>
  <si>
    <t>Lestiac-sur-Garonne</t>
  </si>
  <si>
    <t>Les Lèves-et-Thoumeyragues</t>
  </si>
  <si>
    <t>Libourne</t>
  </si>
  <si>
    <t>Lignan-de-Bordeaux</t>
  </si>
  <si>
    <t>Listrac-Médoc</t>
  </si>
  <si>
    <t>Lormont</t>
  </si>
  <si>
    <t>Louchats</t>
  </si>
  <si>
    <t>Loupes</t>
  </si>
  <si>
    <t>Loupiac</t>
  </si>
  <si>
    <t>Loupiac-de-la-Réole</t>
  </si>
  <si>
    <t>Lucmau</t>
  </si>
  <si>
    <t>Ludon-Médoc</t>
  </si>
  <si>
    <t>Lugaignac</t>
  </si>
  <si>
    <t>Lugasson</t>
  </si>
  <si>
    <t>Lugon-et-l'Île-du-Carnay</t>
  </si>
  <si>
    <t>Lugos</t>
  </si>
  <si>
    <t>Macau</t>
  </si>
  <si>
    <t>Madirac</t>
  </si>
  <si>
    <t>Maransin</t>
  </si>
  <si>
    <t>Marcenais</t>
  </si>
  <si>
    <t>Margaux-Cantenac</t>
  </si>
  <si>
    <t>Margueron</t>
  </si>
  <si>
    <t>Marsas</t>
  </si>
  <si>
    <t>Martignas-sur-Jalle</t>
  </si>
  <si>
    <t>Martillac</t>
  </si>
  <si>
    <t>Martres</t>
  </si>
  <si>
    <t>Mazères</t>
  </si>
  <si>
    <t>'33691'</t>
  </si>
  <si>
    <t>'33692'</t>
  </si>
  <si>
    <t>'33693'</t>
  </si>
  <si>
    <t>'33694'</t>
  </si>
  <si>
    <t>'33695'</t>
  </si>
  <si>
    <t>'33697'</t>
  </si>
  <si>
    <t>'33698'</t>
  </si>
  <si>
    <t>'33699'</t>
  </si>
  <si>
    <t>Mios</t>
  </si>
  <si>
    <t>Mombrier</t>
  </si>
  <si>
    <t>Mongauzy</t>
  </si>
  <si>
    <t>Monprimblanc</t>
  </si>
  <si>
    <t>Monségur</t>
  </si>
  <si>
    <t>Montagne</t>
  </si>
  <si>
    <t>Montagoudin</t>
  </si>
  <si>
    <t>Montignac</t>
  </si>
  <si>
    <t>Montussan</t>
  </si>
  <si>
    <t>'33451'</t>
  </si>
  <si>
    <t>Morizès</t>
  </si>
  <si>
    <t>Mouillac</t>
  </si>
  <si>
    <t>Moulis-en-Médoc</t>
  </si>
  <si>
    <t>Moulon</t>
  </si>
  <si>
    <t>Mourens</t>
  </si>
  <si>
    <t>Naujan-et-Postiac</t>
  </si>
  <si>
    <t>Néac</t>
  </si>
  <si>
    <t>Nérigean</t>
  </si>
  <si>
    <t>Noaillac</t>
  </si>
  <si>
    <t>Noaillan</t>
  </si>
  <si>
    <t>Omet</t>
  </si>
  <si>
    <t>Origne</t>
  </si>
  <si>
    <t>Paillet</t>
  </si>
  <si>
    <t>Parempuyre</t>
  </si>
  <si>
    <t>Les Peintures</t>
  </si>
  <si>
    <t>Périssac</t>
  </si>
  <si>
    <t>Pessac</t>
  </si>
  <si>
    <t>Peujard</t>
  </si>
  <si>
    <t>Le Pian-Médoc</t>
  </si>
  <si>
    <t>Le Pian-sur-Garonne</t>
  </si>
  <si>
    <t>Podensac</t>
  </si>
  <si>
    <t>Pomerol</t>
  </si>
  <si>
    <t>Pompéjac</t>
  </si>
  <si>
    <t>Pompignac</t>
  </si>
  <si>
    <t>Pondaurat</t>
  </si>
  <si>
    <t>Porchères</t>
  </si>
  <si>
    <t>Le Porge</t>
  </si>
  <si>
    <t>Portets</t>
  </si>
  <si>
    <t>Le Pout</t>
  </si>
  <si>
    <t>Préchac</t>
  </si>
  <si>
    <t>Preignac</t>
  </si>
  <si>
    <t>Prignac-et-Marcamps</t>
  </si>
  <si>
    <t>Pugnac</t>
  </si>
  <si>
    <t>Pujols-sur-Ciron</t>
  </si>
  <si>
    <t>Puybarban</t>
  </si>
  <si>
    <t>Puynormand</t>
  </si>
  <si>
    <t>Quinsac</t>
  </si>
  <si>
    <t>Rauzan</t>
  </si>
  <si>
    <t>La Réole</t>
  </si>
  <si>
    <t>Rions</t>
  </si>
  <si>
    <t>La Rivière</t>
  </si>
  <si>
    <t>Roaillan</t>
  </si>
  <si>
    <t>Romagne</t>
  </si>
  <si>
    <t>Roquebrune</t>
  </si>
  <si>
    <t>Sablons</t>
  </si>
  <si>
    <t>Sadirac</t>
  </si>
  <si>
    <t>Saillans</t>
  </si>
  <si>
    <t>'33141'</t>
  </si>
  <si>
    <t>Saint-André-de-Cubzac</t>
  </si>
  <si>
    <t>Saint-André-du-Bois</t>
  </si>
  <si>
    <t>Saint-Antoine-sur-l'Isle</t>
  </si>
  <si>
    <t>Saint-Aubin-de-Branne</t>
  </si>
  <si>
    <t>Saint-Aubin-de-Médoc</t>
  </si>
  <si>
    <t>Saint-Caprais-de-Bordeaux</t>
  </si>
  <si>
    <t>Saint-Christoly-de-Blaye</t>
  </si>
  <si>
    <t>Saint-Christophe-des-Bardes</t>
  </si>
  <si>
    <t>'33330'</t>
  </si>
  <si>
    <t>Saint-Christophe-de-Double</t>
  </si>
  <si>
    <t>Saint-Ciers-d'Abzac</t>
  </si>
  <si>
    <t>Saint-Ciers-de-Canesse</t>
  </si>
  <si>
    <t>Sainte-Croix-du-Mont</t>
  </si>
  <si>
    <t>Saint-Denis-de-Pile</t>
  </si>
  <si>
    <t>Saint-Exupéry</t>
  </si>
  <si>
    <t>Sainte-Foy-la-Longue</t>
  </si>
  <si>
    <t>Saint-Genès-de-Fronsac</t>
  </si>
  <si>
    <t>Saint-Genès-de-Lombaud</t>
  </si>
  <si>
    <t>Saint-Genis-du-Bois</t>
  </si>
  <si>
    <t>Saint-Germain-de-Grave</t>
  </si>
  <si>
    <t>Saint-Germain-du-Puch</t>
  </si>
  <si>
    <t>Saint-Germain-de-la-Rivière</t>
  </si>
  <si>
    <t>Saint-Girons-d'Aiguevives</t>
  </si>
  <si>
    <t>Sainte-Hélène</t>
  </si>
  <si>
    <t>Saint-Hilaire-de-la-Noaille</t>
  </si>
  <si>
    <t>Saint-Jean-de-Blaignac</t>
  </si>
  <si>
    <t>Saint-Jean-d'Illac</t>
  </si>
  <si>
    <t>Saint-Laurent-Médoc</t>
  </si>
  <si>
    <t>'33112'</t>
  </si>
  <si>
    <t>Saint-Laurent-d'Arce</t>
  </si>
  <si>
    <t>Saint-Laurent-des-Combes</t>
  </si>
  <si>
    <t>Saint-Laurent-du-Plan</t>
  </si>
  <si>
    <t>Saint-Léger-de-Balson</t>
  </si>
  <si>
    <t>Saint-Léon</t>
  </si>
  <si>
    <t>Saint-Loubert</t>
  </si>
  <si>
    <t>Saint-Loubès</t>
  </si>
  <si>
    <t>Saint-Louis-de-Montferrand</t>
  </si>
  <si>
    <t>Saint-Macaire</t>
  </si>
  <si>
    <t>Saint-Magne</t>
  </si>
  <si>
    <t>Saint-Maixant</t>
  </si>
  <si>
    <t>Saint-Mariens</t>
  </si>
  <si>
    <t>Saint-Martial</t>
  </si>
  <si>
    <t>Saint-Martin-de-Laye</t>
  </si>
  <si>
    <t>Saint-Martin-de-Sescas</t>
  </si>
  <si>
    <t>Saint-Martin-du-Bois</t>
  </si>
  <si>
    <t>Saint-Médard-de-Guizières</t>
  </si>
  <si>
    <t>Saint-Médard-d'Eyrans</t>
  </si>
  <si>
    <t>Saint-Médard-en-Jalles</t>
  </si>
  <si>
    <t>Saint-Michel-de-Fronsac</t>
  </si>
  <si>
    <t>Saint-Michel-de-Rieufret</t>
  </si>
  <si>
    <t>Saint-Morillon</t>
  </si>
  <si>
    <t>Saint-Pardon-de-Conques</t>
  </si>
  <si>
    <t>Saint-Pierre-d'Aurillac</t>
  </si>
  <si>
    <t>Saint-Pierre-de-Bat</t>
  </si>
  <si>
    <t>Saint-Pierre-de-Mons</t>
  </si>
  <si>
    <t>Saint-Quentin-de-Baron</t>
  </si>
  <si>
    <t>Saint-Quentin-de-Caplong</t>
  </si>
  <si>
    <t>Saint-Romain-la-Virvée</t>
  </si>
  <si>
    <t>Saint-Sauveur-de-Puynormand</t>
  </si>
  <si>
    <t>Saint-Savin</t>
  </si>
  <si>
    <t>Saint-Selve</t>
  </si>
  <si>
    <t>Saint-Seurin-de-Bourg</t>
  </si>
  <si>
    <t>Saint-Seurin-sur-l'Isle</t>
  </si>
  <si>
    <t>Saint-Sève</t>
  </si>
  <si>
    <t>Saint-Sulpice-et-Cameyrac</t>
  </si>
  <si>
    <t>Saint-Symphorien</t>
  </si>
  <si>
    <t>Sainte-Terre</t>
  </si>
  <si>
    <t>'33350'</t>
  </si>
  <si>
    <t>Saint-Trojan</t>
  </si>
  <si>
    <t>Saint-Vincent-de-Paul</t>
  </si>
  <si>
    <t>Saint-Vincent-de-Pertignas</t>
  </si>
  <si>
    <t>Saint-Vivien-de-Blaye</t>
  </si>
  <si>
    <t>Saint-Vivien-de-Monségur</t>
  </si>
  <si>
    <t>Saint-Yzan-de-Soudiac</t>
  </si>
  <si>
    <t>Salaunes</t>
  </si>
  <si>
    <t>Sallebœuf</t>
  </si>
  <si>
    <t>Salles</t>
  </si>
  <si>
    <t>'33770'</t>
  </si>
  <si>
    <t>Samonac</t>
  </si>
  <si>
    <t>Saucats</t>
  </si>
  <si>
    <t>Saugon</t>
  </si>
  <si>
    <t>Saumos</t>
  </si>
  <si>
    <t>Sauternes</t>
  </si>
  <si>
    <t>La Sauve</t>
  </si>
  <si>
    <t>Savignac</t>
  </si>
  <si>
    <t>Savignac-de-l'Isle</t>
  </si>
  <si>
    <t>Semens</t>
  </si>
  <si>
    <t>Soulignac</t>
  </si>
  <si>
    <t>Soussans</t>
  </si>
  <si>
    <t>Tabanac</t>
  </si>
  <si>
    <t>Le Taillan-Médoc</t>
  </si>
  <si>
    <t>Talence</t>
  </si>
  <si>
    <t>Targon</t>
  </si>
  <si>
    <t>Tarnès</t>
  </si>
  <si>
    <t>Tauriac</t>
  </si>
  <si>
    <t>Le Teich</t>
  </si>
  <si>
    <t>Le Temple</t>
  </si>
  <si>
    <t>La Teste-de-Buch</t>
  </si>
  <si>
    <t>Teuillac</t>
  </si>
  <si>
    <t>Tizac-de-Curton</t>
  </si>
  <si>
    <t>Tizac-de-Lapouyade</t>
  </si>
  <si>
    <t>Toulenne</t>
  </si>
  <si>
    <t>Le Tourne</t>
  </si>
  <si>
    <t>Tresses</t>
  </si>
  <si>
    <t>Le Tuzan</t>
  </si>
  <si>
    <t>Uzeste</t>
  </si>
  <si>
    <t>Vayres</t>
  </si>
  <si>
    <t>Vérac</t>
  </si>
  <si>
    <t>Verdelais</t>
  </si>
  <si>
    <t>Vignonet</t>
  </si>
  <si>
    <t>Villandraut</t>
  </si>
  <si>
    <t>Villegouge</t>
  </si>
  <si>
    <t>Villenave-de-Rions</t>
  </si>
  <si>
    <t>Villenave-d'Ornon</t>
  </si>
  <si>
    <t>Virelade</t>
  </si>
  <si>
    <t>Virsac</t>
  </si>
  <si>
    <t>Yvrac</t>
  </si>
  <si>
    <t>Marcheprime</t>
  </si>
  <si>
    <t>Abeilhan</t>
  </si>
  <si>
    <t>Adissan</t>
  </si>
  <si>
    <t>Agde</t>
  </si>
  <si>
    <t>Agonès</t>
  </si>
  <si>
    <t>Alignan-du-Vent</t>
  </si>
  <si>
    <t>Aniane</t>
  </si>
  <si>
    <t>Arboras</t>
  </si>
  <si>
    <t>Argelliers</t>
  </si>
  <si>
    <t>Assas</t>
  </si>
  <si>
    <t>Aumelas</t>
  </si>
  <si>
    <t>Aumes</t>
  </si>
  <si>
    <t>Autignac</t>
  </si>
  <si>
    <t>Baillargues</t>
  </si>
  <si>
    <t>Balaruc-les-Bains</t>
  </si>
  <si>
    <t>Balaruc-le-Vieux</t>
  </si>
  <si>
    <t>Bassan</t>
  </si>
  <si>
    <t>Beaulieu</t>
  </si>
  <si>
    <t>Bélarga</t>
  </si>
  <si>
    <t>Bessan</t>
  </si>
  <si>
    <t>Béziers</t>
  </si>
  <si>
    <t>Boisseron</t>
  </si>
  <si>
    <t>Boujan-sur-Libron</t>
  </si>
  <si>
    <t>Bouzigues</t>
  </si>
  <si>
    <t>Brignac</t>
  </si>
  <si>
    <t>Brissac</t>
  </si>
  <si>
    <t>Buzignargues</t>
  </si>
  <si>
    <t>Campagne</t>
  </si>
  <si>
    <t>Candillargues</t>
  </si>
  <si>
    <t>Canet</t>
  </si>
  <si>
    <t>Capestang</t>
  </si>
  <si>
    <t>Castelnau-de-Guers</t>
  </si>
  <si>
    <t>Castelnau-le-Lez</t>
  </si>
  <si>
    <t>Castries</t>
  </si>
  <si>
    <t>Causse-de-la-Selle</t>
  </si>
  <si>
    <t>Causses-et-Veyran</t>
  </si>
  <si>
    <t>Caux</t>
  </si>
  <si>
    <t>Cazedarnes</t>
  </si>
  <si>
    <t>Cazevieille</t>
  </si>
  <si>
    <t>Cazouls-d'Hérault</t>
  </si>
  <si>
    <t>Cazouls-lès-Béziers</t>
  </si>
  <si>
    <t>Cébazan</t>
  </si>
  <si>
    <t>Cers</t>
  </si>
  <si>
    <t>Cessenon-sur-Orb</t>
  </si>
  <si>
    <t>Ceyras</t>
  </si>
  <si>
    <t>Clapiers</t>
  </si>
  <si>
    <t>Combaillaux</t>
  </si>
  <si>
    <t>Corneilhan</t>
  </si>
  <si>
    <t>Coulobres</t>
  </si>
  <si>
    <t>Cournonsec</t>
  </si>
  <si>
    <t>Cournonterral</t>
  </si>
  <si>
    <t>Creissan</t>
  </si>
  <si>
    <t>Le Crès</t>
  </si>
  <si>
    <t>Espondeilhan</t>
  </si>
  <si>
    <t>Fabrègues</t>
  </si>
  <si>
    <t>Ferrières-les-Verreries</t>
  </si>
  <si>
    <t>Florensac</t>
  </si>
  <si>
    <t>Fontanès</t>
  </si>
  <si>
    <t>Fouzilhon</t>
  </si>
  <si>
    <t>Frontignan</t>
  </si>
  <si>
    <t>Galargues</t>
  </si>
  <si>
    <t>Garrigues</t>
  </si>
  <si>
    <t>Gigean</t>
  </si>
  <si>
    <t>Gignac</t>
  </si>
  <si>
    <t>Grabels</t>
  </si>
  <si>
    <t>Guzargues</t>
  </si>
  <si>
    <t>Jacou</t>
  </si>
  <si>
    <t>Jonquières</t>
  </si>
  <si>
    <t>Juvignac</t>
  </si>
  <si>
    <t>Lagamas</t>
  </si>
  <si>
    <t>Lansargues</t>
  </si>
  <si>
    <t>Lattes</t>
  </si>
  <si>
    <t>Lauret</t>
  </si>
  <si>
    <t>Lavérune</t>
  </si>
  <si>
    <t>Lespignan</t>
  </si>
  <si>
    <t>Lézignan-la-Cèbe</t>
  </si>
  <si>
    <t>Lieuran-lès-Béziers</t>
  </si>
  <si>
    <t>Lignan-sur-Orb</t>
  </si>
  <si>
    <t>Loupian</t>
  </si>
  <si>
    <t>Lunel</t>
  </si>
  <si>
    <t>Lunel-Viel</t>
  </si>
  <si>
    <t>Magalas</t>
  </si>
  <si>
    <t>Maraussan</t>
  </si>
  <si>
    <t>Margon</t>
  </si>
  <si>
    <t>Marseillan</t>
  </si>
  <si>
    <t>Marsillargues</t>
  </si>
  <si>
    <t>Mas-de-Londres</t>
  </si>
  <si>
    <t>Les Matelles</t>
  </si>
  <si>
    <t>Mauguio</t>
  </si>
  <si>
    <t>Maureilhan</t>
  </si>
  <si>
    <t>Mèze</t>
  </si>
  <si>
    <t>Mireval</t>
  </si>
  <si>
    <t>Montady</t>
  </si>
  <si>
    <t>Montarnaud</t>
  </si>
  <si>
    <t>Montaud</t>
  </si>
  <si>
    <t>Montbazin</t>
  </si>
  <si>
    <t>Montblanc</t>
  </si>
  <si>
    <t>Montels</t>
  </si>
  <si>
    <t>Montferrier-sur-Lez</t>
  </si>
  <si>
    <t>Montouliers</t>
  </si>
  <si>
    <t>Montpellier</t>
  </si>
  <si>
    <t>Montpeyroux</t>
  </si>
  <si>
    <t>Mudaison</t>
  </si>
  <si>
    <t>Murles</t>
  </si>
  <si>
    <t>Murviel-lès-Béziers</t>
  </si>
  <si>
    <t>Murviel-lès-Montpellier</t>
  </si>
  <si>
    <t>Nézignan-l'Évêque</t>
  </si>
  <si>
    <t>Nissan-lez-Enserune</t>
  </si>
  <si>
    <t>Nizas</t>
  </si>
  <si>
    <t>Notre-Dame-de-Londres</t>
  </si>
  <si>
    <t>Pailhès</t>
  </si>
  <si>
    <t>Palavas-les-Flots</t>
  </si>
  <si>
    <t>Pégairolles-de-Buèges</t>
  </si>
  <si>
    <t>Pérols</t>
  </si>
  <si>
    <t>Pézenas</t>
  </si>
  <si>
    <t>Pignan</t>
  </si>
  <si>
    <t>Pinet</t>
  </si>
  <si>
    <t>Plaissan</t>
  </si>
  <si>
    <t>Poilhes</t>
  </si>
  <si>
    <t>Pomérols</t>
  </si>
  <si>
    <t>Popian</t>
  </si>
  <si>
    <t>Portiragnes</t>
  </si>
  <si>
    <t>Le Pouget</t>
  </si>
  <si>
    <t>Poussan</t>
  </si>
  <si>
    <t>Pouzols</t>
  </si>
  <si>
    <t>Prades-le-Lez</t>
  </si>
  <si>
    <t>Puéchabon</t>
  </si>
  <si>
    <t>Puilacher</t>
  </si>
  <si>
    <t>Puimisson</t>
  </si>
  <si>
    <t>Puissalicon</t>
  </si>
  <si>
    <t>Puisserguier</t>
  </si>
  <si>
    <t>Quarante</t>
  </si>
  <si>
    <t>Restinclières</t>
  </si>
  <si>
    <t>Rouet</t>
  </si>
  <si>
    <t>Saint-André-de-Buèges</t>
  </si>
  <si>
    <t>Saint-André-de-Sangonis</t>
  </si>
  <si>
    <t>Saint-Aunès</t>
  </si>
  <si>
    <t>Saint-Bauzille-de-la-Sylve</t>
  </si>
  <si>
    <t>Saint-Bauzille-de-Montmel</t>
  </si>
  <si>
    <t>Saint-Bauzille-de-Putois</t>
  </si>
  <si>
    <t>Saint-Brès</t>
  </si>
  <si>
    <t>Entre-Vignes</t>
  </si>
  <si>
    <t>Saint-Clément-de-Rivière</t>
  </si>
  <si>
    <t>Sainte-Croix-de-Quintillargues</t>
  </si>
  <si>
    <t>Saint-Drézéry</t>
  </si>
  <si>
    <t>Saint-Félix-de-Lodez</t>
  </si>
  <si>
    <t>Saint-Gély-du-Fesc</t>
  </si>
  <si>
    <t>Saint-Geniès-des-Mourgues</t>
  </si>
  <si>
    <t>Saint-Geniès-de-Fontedit</t>
  </si>
  <si>
    <t>Saint-Georges-d'Orques</t>
  </si>
  <si>
    <t>Saint-Guilhem-le-Désert</t>
  </si>
  <si>
    <t>Saint-Guiraud</t>
  </si>
  <si>
    <t>Saint-Hilaire-de-Beauvoir</t>
  </si>
  <si>
    <t>Saint-Jean-de-Cornies</t>
  </si>
  <si>
    <t>Saint-Jean-de-Cuculles</t>
  </si>
  <si>
    <t>Saint-Jean-de-Fos</t>
  </si>
  <si>
    <t>Saint-Jean-de-Védas</t>
  </si>
  <si>
    <t>Saint-Martin-de-Londres</t>
  </si>
  <si>
    <t>Saint-Mathieu-de-Tréviers</t>
  </si>
  <si>
    <t>Saint-Nazaire-de-Ladarez</t>
  </si>
  <si>
    <t>Saint-Nazaire-de-Pézan</t>
  </si>
  <si>
    <t>Saint-Pargoire</t>
  </si>
  <si>
    <t>Saint-Paul-et-Valmalle</t>
  </si>
  <si>
    <t>Saint-Pons-de-Mauchiens</t>
  </si>
  <si>
    <t>Saint-Saturnin-de-Lucian</t>
  </si>
  <si>
    <t>Saint-Sériès</t>
  </si>
  <si>
    <t>Saint-Thibéry</t>
  </si>
  <si>
    <t>Saint-Vincent-de-Barbeyrargues</t>
  </si>
  <si>
    <t>Saturargues</t>
  </si>
  <si>
    <t>Saussan</t>
  </si>
  <si>
    <t>Saussines</t>
  </si>
  <si>
    <t>Sauteyrargues</t>
  </si>
  <si>
    <t>Sauvian</t>
  </si>
  <si>
    <t>Sérignan</t>
  </si>
  <si>
    <t>Servian</t>
  </si>
  <si>
    <t>Sète</t>
  </si>
  <si>
    <t>Sussargues</t>
  </si>
  <si>
    <t>Teyran</t>
  </si>
  <si>
    <t>Thézan-lès-Béziers</t>
  </si>
  <si>
    <t>Tressan</t>
  </si>
  <si>
    <t>Le Triadou</t>
  </si>
  <si>
    <t>Vacquières</t>
  </si>
  <si>
    <t>Vailhauquès</t>
  </si>
  <si>
    <t>Valergues</t>
  </si>
  <si>
    <t>Valflaunès</t>
  </si>
  <si>
    <t>Valras-Plage</t>
  </si>
  <si>
    <t>Valros</t>
  </si>
  <si>
    <t>Vendargues</t>
  </si>
  <si>
    <t>Vendémian</t>
  </si>
  <si>
    <t>Vendres</t>
  </si>
  <si>
    <t>Verargues</t>
  </si>
  <si>
    <t>Vias</t>
  </si>
  <si>
    <t>Vic-la-Gardiole</t>
  </si>
  <si>
    <t>Villeneuve-lès-Béziers</t>
  </si>
  <si>
    <t>Villeneuve-lès-Maguelone</t>
  </si>
  <si>
    <t>Villespassans</t>
  </si>
  <si>
    <t>Villetelle</t>
  </si>
  <si>
    <t>Villeveyrac</t>
  </si>
  <si>
    <t>Viols-en-Laval</t>
  </si>
  <si>
    <t>Viols-le-Fort</t>
  </si>
  <si>
    <t>La Grande-Motte</t>
  </si>
  <si>
    <t>Acigné</t>
  </si>
  <si>
    <t>Argentré-du-Plessis</t>
  </si>
  <si>
    <t>COMMUNAUTE D'AGGLOMERATION DE VITRE COMMUNAUTE</t>
  </si>
  <si>
    <t>'35370'</t>
  </si>
  <si>
    <t>'35507'</t>
  </si>
  <si>
    <t>Availles-sur-Seiche</t>
  </si>
  <si>
    <t>'35130'</t>
  </si>
  <si>
    <t>Bais</t>
  </si>
  <si>
    <t>'35680'</t>
  </si>
  <si>
    <t>Balazé</t>
  </si>
  <si>
    <t>'35500'</t>
  </si>
  <si>
    <t>'35503'</t>
  </si>
  <si>
    <t>La Bazouge-du-Désert</t>
  </si>
  <si>
    <t>Beaucé</t>
  </si>
  <si>
    <t>Bécherel</t>
  </si>
  <si>
    <t>Betton</t>
  </si>
  <si>
    <t>Billé</t>
  </si>
  <si>
    <t>La Bouëxière</t>
  </si>
  <si>
    <t>Bourgbarré</t>
  </si>
  <si>
    <t>Bréal-sous-Vitré</t>
  </si>
  <si>
    <t>Brécé</t>
  </si>
  <si>
    <t>Brielles</t>
  </si>
  <si>
    <t>Bruz</t>
  </si>
  <si>
    <t>Cancale</t>
  </si>
  <si>
    <t>Cesson-Sévigné</t>
  </si>
  <si>
    <t>Champeaux</t>
  </si>
  <si>
    <t>Chantepie</t>
  </si>
  <si>
    <t>La Chapelle-Chaussée</t>
  </si>
  <si>
    <t>La Chapelle-des-Fougeretz</t>
  </si>
  <si>
    <t>La Chapelle-Erbrée</t>
  </si>
  <si>
    <t>La Chapelle-Janson</t>
  </si>
  <si>
    <t>La Chapelle-Saint-Aubert</t>
  </si>
  <si>
    <t>La Chapelle-Thouarault</t>
  </si>
  <si>
    <t>Chartres-de-Bretagne</t>
  </si>
  <si>
    <t>Chasné-sur-Illet</t>
  </si>
  <si>
    <t>'35220'</t>
  </si>
  <si>
    <t>'35221'</t>
  </si>
  <si>
    <t>Châteauneuf-d'Ille-et-Vilaine</t>
  </si>
  <si>
    <t>Châtillon-en-Vendelais</t>
  </si>
  <si>
    <t>Chavagne</t>
  </si>
  <si>
    <t>Chevaigné</t>
  </si>
  <si>
    <t>Cintré</t>
  </si>
  <si>
    <t>Clayes</t>
  </si>
  <si>
    <t>Combourtillé</t>
  </si>
  <si>
    <t>Cornillé</t>
  </si>
  <si>
    <t>Corps-Nuds</t>
  </si>
  <si>
    <t>Domagné</t>
  </si>
  <si>
    <t>'35113'</t>
  </si>
  <si>
    <t>Domalain</t>
  </si>
  <si>
    <t>Domloup</t>
  </si>
  <si>
    <t>Dourdain</t>
  </si>
  <si>
    <t>Drouges</t>
  </si>
  <si>
    <t>Erbrée</t>
  </si>
  <si>
    <t>Ercé-près-Liffré</t>
  </si>
  <si>
    <t>Étrelles</t>
  </si>
  <si>
    <t>Le Ferré</t>
  </si>
  <si>
    <t>Fleurigné</t>
  </si>
  <si>
    <t>Fougères</t>
  </si>
  <si>
    <t>La Fresnais</t>
  </si>
  <si>
    <t>Gennes-sur-Seiche</t>
  </si>
  <si>
    <t>Gévezé</t>
  </si>
  <si>
    <t>Gosné</t>
  </si>
  <si>
    <t>La Gouesnière</t>
  </si>
  <si>
    <t>La Guerche-de-Bretagne</t>
  </si>
  <si>
    <t>L'Hermitage</t>
  </si>
  <si>
    <t>Hirel</t>
  </si>
  <si>
    <t>Javené</t>
  </si>
  <si>
    <t>Laignelet</t>
  </si>
  <si>
    <t>Laillé</t>
  </si>
  <si>
    <t>Landavran</t>
  </si>
  <si>
    <t>Landéan</t>
  </si>
  <si>
    <t>Langan</t>
  </si>
  <si>
    <t>Lécousse</t>
  </si>
  <si>
    <t>Liffré</t>
  </si>
  <si>
    <t>Lillemer</t>
  </si>
  <si>
    <t>Livré-sur-Changeon</t>
  </si>
  <si>
    <t>Le Loroux</t>
  </si>
  <si>
    <t>Louvigné-de-Bais</t>
  </si>
  <si>
    <t>Louvigné-du-Désert</t>
  </si>
  <si>
    <t>Luitré-Dompierre</t>
  </si>
  <si>
    <t>Marpiré</t>
  </si>
  <si>
    <t>Mecé</t>
  </si>
  <si>
    <t>Mellé</t>
  </si>
  <si>
    <t>Mézières-sur-Couesnon</t>
  </si>
  <si>
    <t>Miniac-Morvan</t>
  </si>
  <si>
    <t>Miniac-sous-Bécherel</t>
  </si>
  <si>
    <t>Mondevert</t>
  </si>
  <si>
    <t>Montautour</t>
  </si>
  <si>
    <t>Montgermont</t>
  </si>
  <si>
    <t>Monthault</t>
  </si>
  <si>
    <t>Montreuil-des-Landes</t>
  </si>
  <si>
    <t>Montreuil-sous-Pérouse</t>
  </si>
  <si>
    <t>Mordelles</t>
  </si>
  <si>
    <t>Moussé</t>
  </si>
  <si>
    <t>Nouvoitou</t>
  </si>
  <si>
    <t>Noyal-Châtillon-sur-Seiche</t>
  </si>
  <si>
    <t>Orgères</t>
  </si>
  <si>
    <t>Pacé</t>
  </si>
  <si>
    <t>Parcé</t>
  </si>
  <si>
    <t>Parigné</t>
  </si>
  <si>
    <t>Parthenay-de-Bretagne</t>
  </si>
  <si>
    <t>Le Pertre</t>
  </si>
  <si>
    <t>Plerguer</t>
  </si>
  <si>
    <t>Pocé-les-Bois</t>
  </si>
  <si>
    <t>'35501'</t>
  </si>
  <si>
    <t>'35505'</t>
  </si>
  <si>
    <t>Poilley</t>
  </si>
  <si>
    <t>Princé</t>
  </si>
  <si>
    <t>Rannée</t>
  </si>
  <si>
    <t>Rennes</t>
  </si>
  <si>
    <t>Le Rheu</t>
  </si>
  <si>
    <t>Romagné</t>
  </si>
  <si>
    <t>Romillé</t>
  </si>
  <si>
    <t>Saint-Armel</t>
  </si>
  <si>
    <t>Saint-Aubin-des-Landes</t>
  </si>
  <si>
    <t>Saint-Aubin-du-Cormier</t>
  </si>
  <si>
    <t>Saint-Benoît-des-Ondes</t>
  </si>
  <si>
    <t>Saint-Christophe-des-Bois</t>
  </si>
  <si>
    <t>Saint-Christophe-de-Valains</t>
  </si>
  <si>
    <t>Saint-Coulomb</t>
  </si>
  <si>
    <t>Saint-Didier</t>
  </si>
  <si>
    <t>Saint-Erblon</t>
  </si>
  <si>
    <t>Saint-Ganton</t>
  </si>
  <si>
    <t>Saint-Georges-de-Reintembault</t>
  </si>
  <si>
    <t>Saint-Germain-du-Pinel</t>
  </si>
  <si>
    <t>Saint-Grégoire</t>
  </si>
  <si>
    <t>Saint-Guinoux</t>
  </si>
  <si>
    <t>Saint-Jacques-de-la-Lande</t>
  </si>
  <si>
    <t>Rives-du-Couesnon</t>
  </si>
  <si>
    <t>Saint-Jean-sur-Vilaine</t>
  </si>
  <si>
    <t>Saint-Jouan-des-Guérets</t>
  </si>
  <si>
    <t>Saint-Malo</t>
  </si>
  <si>
    <t>Saint-Marc-le-Blanc</t>
  </si>
  <si>
    <t>Saint-Méloir-des-Ondes</t>
  </si>
  <si>
    <t>Saint-M'Hervé</t>
  </si>
  <si>
    <t>Saint-Ouen-des-Alleux</t>
  </si>
  <si>
    <t>Saint-Père-Marc-en-Poulet</t>
  </si>
  <si>
    <t>Saint-Sauveur-des-Landes</t>
  </si>
  <si>
    <t>Saint-Suliac</t>
  </si>
  <si>
    <t>Saint-Sulpice-la-Forêt</t>
  </si>
  <si>
    <t>La Selle-en-Luitré</t>
  </si>
  <si>
    <t>La Selle-Guerchaise</t>
  </si>
  <si>
    <t>Taillis</t>
  </si>
  <si>
    <t>Thorigné-Fouillard</t>
  </si>
  <si>
    <t>Torcé</t>
  </si>
  <si>
    <t>Val-d'Izé</t>
  </si>
  <si>
    <t>Vendel</t>
  </si>
  <si>
    <t>Vergéal</t>
  </si>
  <si>
    <t>Le Verger</t>
  </si>
  <si>
    <t>Vern-sur-Seiche</t>
  </si>
  <si>
    <t>Vezin-le-Coquet</t>
  </si>
  <si>
    <t>Villamée</t>
  </si>
  <si>
    <t>La Ville-ès-Nonais</t>
  </si>
  <si>
    <t>Visseiche</t>
  </si>
  <si>
    <t>Vitré</t>
  </si>
  <si>
    <t>'35502'</t>
  </si>
  <si>
    <t>'35504'</t>
  </si>
  <si>
    <t>'35506'</t>
  </si>
  <si>
    <t>Le Tronchet</t>
  </si>
  <si>
    <t>Pont-Péan</t>
  </si>
  <si>
    <t>Ardentes</t>
  </si>
  <si>
    <t>Arthon</t>
  </si>
  <si>
    <t>Châteauroux</t>
  </si>
  <si>
    <t>Coings</t>
  </si>
  <si>
    <t>Déols</t>
  </si>
  <si>
    <t>Diors</t>
  </si>
  <si>
    <t>Étrechet</t>
  </si>
  <si>
    <t>Jeu-les-Bois</t>
  </si>
  <si>
    <t>Luant</t>
  </si>
  <si>
    <t>Mâron</t>
  </si>
  <si>
    <t>Montierchaume</t>
  </si>
  <si>
    <t>Le Poinçonnet</t>
  </si>
  <si>
    <t>Saint-Maur</t>
  </si>
  <si>
    <t>Sassierges-Saint-Germain</t>
  </si>
  <si>
    <t>Villentrois-Faverolles-en-Berry</t>
  </si>
  <si>
    <t>Anché</t>
  </si>
  <si>
    <t>COMMUNAUTE DE COMMUNES CHINON VIENNE ET LOIRE</t>
  </si>
  <si>
    <t>'37500'</t>
  </si>
  <si>
    <t>Avoine</t>
  </si>
  <si>
    <t>'37420'</t>
  </si>
  <si>
    <t>Ballan-Miré</t>
  </si>
  <si>
    <t>Beaumont-en-Véron</t>
  </si>
  <si>
    <t>Berthenay</t>
  </si>
  <si>
    <t>Candes-Saint-Martin</t>
  </si>
  <si>
    <t>Chambray-lès-Tours</t>
  </si>
  <si>
    <t>Chanceaux-sur-Choisille</t>
  </si>
  <si>
    <t>Chinon</t>
  </si>
  <si>
    <t>'37501'</t>
  </si>
  <si>
    <t>'37502'</t>
  </si>
  <si>
    <t>Chouzé-sur-Loire</t>
  </si>
  <si>
    <t>'37140'</t>
  </si>
  <si>
    <t>Cinais</t>
  </si>
  <si>
    <t>Couziers</t>
  </si>
  <si>
    <t>Cravant-les-Côteaux</t>
  </si>
  <si>
    <t>Druye</t>
  </si>
  <si>
    <t>Fondettes</t>
  </si>
  <si>
    <t>Huismes</t>
  </si>
  <si>
    <t>Joué-lès-Tours</t>
  </si>
  <si>
    <t>Lerné</t>
  </si>
  <si>
    <t>Luynes</t>
  </si>
  <si>
    <t>Marçay</t>
  </si>
  <si>
    <t>La Membrolle-sur-Choisille</t>
  </si>
  <si>
    <t>Mettray</t>
  </si>
  <si>
    <t>Notre-Dame-d'Oé</t>
  </si>
  <si>
    <t>Parçay-Meslay</t>
  </si>
  <si>
    <t>La Riche</t>
  </si>
  <si>
    <t>Rivière</t>
  </si>
  <si>
    <t>La Roche-Clermault</t>
  </si>
  <si>
    <t>Rochecorbon</t>
  </si>
  <si>
    <t>Saint-Avertin</t>
  </si>
  <si>
    <t>Saint-Benoît-la-Forêt</t>
  </si>
  <si>
    <t>Saint-Cyr-sur-Loire</t>
  </si>
  <si>
    <t>Saint-Étienne-de-Chigny</t>
  </si>
  <si>
    <t>Saint-Genouph</t>
  </si>
  <si>
    <t>Saint-Germain-sur-Vienne</t>
  </si>
  <si>
    <t>Saint-Pierre-des-Corps</t>
  </si>
  <si>
    <t>Savigny-en-Véron</t>
  </si>
  <si>
    <t>Savonnières</t>
  </si>
  <si>
    <t>Seuilly</t>
  </si>
  <si>
    <t>Thizay</t>
  </si>
  <si>
    <t>Tours</t>
  </si>
  <si>
    <t>Vernou-sur-Brenne</t>
  </si>
  <si>
    <t>Villandry</t>
  </si>
  <si>
    <t>La Ville-aux-Dames</t>
  </si>
  <si>
    <t>Vouvray</t>
  </si>
  <si>
    <t>Les Adrets</t>
  </si>
  <si>
    <t>Allevard</t>
  </si>
  <si>
    <t>Barraux</t>
  </si>
  <si>
    <t>Bernin</t>
  </si>
  <si>
    <t>Bilieu</t>
  </si>
  <si>
    <t>Biviers</t>
  </si>
  <si>
    <t>Bourgoin-Jallieu</t>
  </si>
  <si>
    <t>Bresson</t>
  </si>
  <si>
    <t>Brié-et-Angonnes</t>
  </si>
  <si>
    <t>La Buisse</t>
  </si>
  <si>
    <t>La Buissière</t>
  </si>
  <si>
    <t>Champagnier</t>
  </si>
  <si>
    <t>Le Champ-près-Froges</t>
  </si>
  <si>
    <t>Champ-sur-Drac</t>
  </si>
  <si>
    <t>Chapareillan</t>
  </si>
  <si>
    <t>La Chapelle-du-Bard</t>
  </si>
  <si>
    <t>Charancieu</t>
  </si>
  <si>
    <t>Charavines</t>
  </si>
  <si>
    <t>Charnècles</t>
  </si>
  <si>
    <t>Chasse-sur-Rhône</t>
  </si>
  <si>
    <t>Châteauvilain</t>
  </si>
  <si>
    <t>Le Cheylas</t>
  </si>
  <si>
    <t>Chèzeneuve</t>
  </si>
  <si>
    <t>Chirens</t>
  </si>
  <si>
    <t>Chonas-l'Amballan</t>
  </si>
  <si>
    <t>Chuzelles</t>
  </si>
  <si>
    <t>La Combe-de-Lancey</t>
  </si>
  <si>
    <t>Corenc</t>
  </si>
  <si>
    <t>Les Côtes-d'Arey</t>
  </si>
  <si>
    <t>Coublevie</t>
  </si>
  <si>
    <t>Crachier</t>
  </si>
  <si>
    <t>Crolles</t>
  </si>
  <si>
    <t>Domarin</t>
  </si>
  <si>
    <t>Domène</t>
  </si>
  <si>
    <t>Échirolles</t>
  </si>
  <si>
    <t>Eclose-Badinières</t>
  </si>
  <si>
    <t>Les Éparres</t>
  </si>
  <si>
    <t>Estrablin</t>
  </si>
  <si>
    <t>Eybens</t>
  </si>
  <si>
    <t>Eyzin-Pinet</t>
  </si>
  <si>
    <t>Le Haut-Bréda</t>
  </si>
  <si>
    <t>La Flachère</t>
  </si>
  <si>
    <t>Fontaine</t>
  </si>
  <si>
    <t>Fontanil-Cornillon</t>
  </si>
  <si>
    <t>Four</t>
  </si>
  <si>
    <t>Froges</t>
  </si>
  <si>
    <t>Gières</t>
  </si>
  <si>
    <t>Goncelin</t>
  </si>
  <si>
    <t>Grenoble</t>
  </si>
  <si>
    <t>Le Gua</t>
  </si>
  <si>
    <t>Herbeys</t>
  </si>
  <si>
    <t>Hurtières</t>
  </si>
  <si>
    <t>L'Isle-d'Abeau</t>
  </si>
  <si>
    <t>Jardin</t>
  </si>
  <si>
    <t>Jarrie</t>
  </si>
  <si>
    <t>Laval-en-Belledonne</t>
  </si>
  <si>
    <t>Lumbin</t>
  </si>
  <si>
    <t>Luzinay</t>
  </si>
  <si>
    <t>Massieu</t>
  </si>
  <si>
    <t>Maubec</t>
  </si>
  <si>
    <t>Merlas</t>
  </si>
  <si>
    <t>Meylan</t>
  </si>
  <si>
    <t>Meyrié</t>
  </si>
  <si>
    <t>Meyssiez</t>
  </si>
  <si>
    <t>Miribel-Lanchâtre</t>
  </si>
  <si>
    <t>Moidieu-Détourbe</t>
  </si>
  <si>
    <t>Moirans</t>
  </si>
  <si>
    <t>Montbonnot-Saint-Martin</t>
  </si>
  <si>
    <t>Montchaboud</t>
  </si>
  <si>
    <t>Montferrat</t>
  </si>
  <si>
    <t>Mont-Saint-Martin</t>
  </si>
  <si>
    <t>Morestel</t>
  </si>
  <si>
    <t>Le Moutaret</t>
  </si>
  <si>
    <t>La Murette</t>
  </si>
  <si>
    <t>Murianette</t>
  </si>
  <si>
    <t>Nivolas-Vermelle</t>
  </si>
  <si>
    <t>Notre-Dame-de-Commiers</t>
  </si>
  <si>
    <t>Notre-Dame-de-Mésage</t>
  </si>
  <si>
    <t>Noyarey</t>
  </si>
  <si>
    <t>Villages du Lac de Paladru</t>
  </si>
  <si>
    <t>La Pierre</t>
  </si>
  <si>
    <t>Pierre-Châtel</t>
  </si>
  <si>
    <t>pinsot</t>
  </si>
  <si>
    <t>Poisat</t>
  </si>
  <si>
    <t>Pommier-de-Beaurepaire</t>
  </si>
  <si>
    <t>Pontcharra</t>
  </si>
  <si>
    <t>Le Pont-de-Claix</t>
  </si>
  <si>
    <t>Pont-Évêque</t>
  </si>
  <si>
    <t>Proveysieux</t>
  </si>
  <si>
    <t>Quaix-en-Chartreuse</t>
  </si>
  <si>
    <t>Réaumont</t>
  </si>
  <si>
    <t>Revel</t>
  </si>
  <si>
    <t>Reventin-Vaugris</t>
  </si>
  <si>
    <t>Rives</t>
  </si>
  <si>
    <t>Ruy-Montceau</t>
  </si>
  <si>
    <t>Saint-Alban-de-Roche</t>
  </si>
  <si>
    <t>Saint-Aupre</t>
  </si>
  <si>
    <t>Saint-Barthélemy-de-Séchilienne</t>
  </si>
  <si>
    <t>Saint-Baudille-et-Pipet</t>
  </si>
  <si>
    <t>Saint-Blaise-du-Buis</t>
  </si>
  <si>
    <t>Saint-Bueil</t>
  </si>
  <si>
    <t>Saint-Cassien</t>
  </si>
  <si>
    <t>Saint-Égrève</t>
  </si>
  <si>
    <t>Saint-Étienne-de-Crossey</t>
  </si>
  <si>
    <t>Saint-Geoire-en-Valdaine</t>
  </si>
  <si>
    <t>Saint-Georges-de-Commiers</t>
  </si>
  <si>
    <t>Plateau-des-Petites-Roches</t>
  </si>
  <si>
    <t>Saint-Ismier</t>
  </si>
  <si>
    <t>Saint-Jean-de-Moirans</t>
  </si>
  <si>
    <t>Saint-Jean-le-Vieux</t>
  </si>
  <si>
    <t>La Sure en Chartreuse</t>
  </si>
  <si>
    <t>Sainte-Marie-d'Alloix</t>
  </si>
  <si>
    <t>Sainte-Marie-du-Mont</t>
  </si>
  <si>
    <t>Saint-Martin-d'Hères</t>
  </si>
  <si>
    <t>Saint-Martin-d'Uriage</t>
  </si>
  <si>
    <t>Saint-Martin-le-Vinoux</t>
  </si>
  <si>
    <t>Saint-Maximin</t>
  </si>
  <si>
    <t>Saint-Mury-Monteymond</t>
  </si>
  <si>
    <t>Saint-Nazaire-les-Eymes</t>
  </si>
  <si>
    <t>Saint-Nicolas-de-Macherin</t>
  </si>
  <si>
    <t>Saint-Ondras</t>
  </si>
  <si>
    <t>Saint-Paul-de-Varces</t>
  </si>
  <si>
    <t>Crêts en Belledonne</t>
  </si>
  <si>
    <t>Saint-Pierre-de-Mésage</t>
  </si>
  <si>
    <t>Saint-Quentin-Fallavier</t>
  </si>
  <si>
    <t>Saint-Sorlin-de-Vienne</t>
  </si>
  <si>
    <t>Saint-Sulpice-des-Rivoires</t>
  </si>
  <si>
    <t>Saint-Vincent-de-Mercuze</t>
  </si>
  <si>
    <t>Le Sappey-en-Chartreuse</t>
  </si>
  <si>
    <t>Sarcenas</t>
  </si>
  <si>
    <t>Sassenage</t>
  </si>
  <si>
    <t>Satolas-et-Bonce</t>
  </si>
  <si>
    <t>Séchilienne</t>
  </si>
  <si>
    <t>Septème</t>
  </si>
  <si>
    <t>Sérézin-de-la-Tour</t>
  </si>
  <si>
    <t>Serpaize</t>
  </si>
  <si>
    <t>Seyssinet-Pariset</t>
  </si>
  <si>
    <t>Seyssins</t>
  </si>
  <si>
    <t>Seyssuel</t>
  </si>
  <si>
    <t>Succieu</t>
  </si>
  <si>
    <t>Tencin</t>
  </si>
  <si>
    <t>La Terrasse</t>
  </si>
  <si>
    <t>Theys</t>
  </si>
  <si>
    <t>Le Touvet</t>
  </si>
  <si>
    <t>La Tronche</t>
  </si>
  <si>
    <t>Tullins</t>
  </si>
  <si>
    <t>Varces-Allières-et-Risset</t>
  </si>
  <si>
    <t>Vaulnaveys-le-Bas</t>
  </si>
  <si>
    <t>Vaulnaveys-le-Haut</t>
  </si>
  <si>
    <t>Vaulx-Milieu</t>
  </si>
  <si>
    <t>Velanne</t>
  </si>
  <si>
    <t>Venon</t>
  </si>
  <si>
    <t>La Verpillière</t>
  </si>
  <si>
    <t>Le Versoud</t>
  </si>
  <si>
    <t>Veurey-Voroize</t>
  </si>
  <si>
    <t>Vienne</t>
  </si>
  <si>
    <t>Vif</t>
  </si>
  <si>
    <t>Villard-Bonnot</t>
  </si>
  <si>
    <t>Villefontaine</t>
  </si>
  <si>
    <t>Villette-de-Vienne</t>
  </si>
  <si>
    <t>Vizille</t>
  </si>
  <si>
    <t>Voiron</t>
  </si>
  <si>
    <t>Voissant</t>
  </si>
  <si>
    <t>Voreppe</t>
  </si>
  <si>
    <t>Vourey</t>
  </si>
  <si>
    <t>Chamrousse</t>
  </si>
  <si>
    <t>Abergement-la-Ronce</t>
  </si>
  <si>
    <t>Amange</t>
  </si>
  <si>
    <t>Archelange</t>
  </si>
  <si>
    <t>Audelange</t>
  </si>
  <si>
    <t>Aumur</t>
  </si>
  <si>
    <t>Authume</t>
  </si>
  <si>
    <t>Auxange</t>
  </si>
  <si>
    <t>Avignon-lès-Saint-Claude</t>
  </si>
  <si>
    <t>Baverans</t>
  </si>
  <si>
    <t>Bellecombe</t>
  </si>
  <si>
    <t>Biarne</t>
  </si>
  <si>
    <t>Bornay</t>
  </si>
  <si>
    <t>Les Bouchoux</t>
  </si>
  <si>
    <t>Brevans</t>
  </si>
  <si>
    <t>Briod</t>
  </si>
  <si>
    <t>Cesancey</t>
  </si>
  <si>
    <t>Champdivers</t>
  </si>
  <si>
    <t>Champvans</t>
  </si>
  <si>
    <t>Châtenois</t>
  </si>
  <si>
    <t>Chevigny</t>
  </si>
  <si>
    <t>Chille</t>
  </si>
  <si>
    <t>Chilly-le-Vignoble</t>
  </si>
  <si>
    <t>Choisey</t>
  </si>
  <si>
    <t>Choux</t>
  </si>
  <si>
    <t>Coiserette</t>
  </si>
  <si>
    <t>Condamine</t>
  </si>
  <si>
    <t>Conliège</t>
  </si>
  <si>
    <t>Courbouzon</t>
  </si>
  <si>
    <t>Courlans</t>
  </si>
  <si>
    <t>Courlaoux</t>
  </si>
  <si>
    <t>Coyrière</t>
  </si>
  <si>
    <t>Crissey</t>
  </si>
  <si>
    <t>Damparis</t>
  </si>
  <si>
    <t>Le Deschaux</t>
  </si>
  <si>
    <t>Dole</t>
  </si>
  <si>
    <t>Éclans-Nenon</t>
  </si>
  <si>
    <t>L'Étoile</t>
  </si>
  <si>
    <t>Falletans</t>
  </si>
  <si>
    <t>Foucherans</t>
  </si>
  <si>
    <t>Frasne-les-Meulières</t>
  </si>
  <si>
    <t>Frébuans</t>
  </si>
  <si>
    <t>Geruge</t>
  </si>
  <si>
    <t>Gevingey</t>
  </si>
  <si>
    <t>Gevry</t>
  </si>
  <si>
    <t>Gredisans</t>
  </si>
  <si>
    <t>Jouhe</t>
  </si>
  <si>
    <t>Lajoux</t>
  </si>
  <si>
    <t>Larrivoire</t>
  </si>
  <si>
    <t>Lavangeot</t>
  </si>
  <si>
    <t>Lavans-lès-Dole</t>
  </si>
  <si>
    <t>Lavans-lès-Saint-Claude</t>
  </si>
  <si>
    <t>Leschères</t>
  </si>
  <si>
    <t>Lons-le-Saunier</t>
  </si>
  <si>
    <t>Macornay</t>
  </si>
  <si>
    <t>Malange</t>
  </si>
  <si>
    <t>Menotey</t>
  </si>
  <si>
    <t>Messia-sur-Sorne</t>
  </si>
  <si>
    <t>Moiron</t>
  </si>
  <si>
    <t>Moissey</t>
  </si>
  <si>
    <t>Chassal-Molinges</t>
  </si>
  <si>
    <t>Monnières</t>
  </si>
  <si>
    <t>Montaigu</t>
  </si>
  <si>
    <t>Montmorot</t>
  </si>
  <si>
    <t>Les Moussières</t>
  </si>
  <si>
    <t>Nevy-lès-Dole</t>
  </si>
  <si>
    <t>Pannessières</t>
  </si>
  <si>
    <t>Parcey</t>
  </si>
  <si>
    <t>Peintre</t>
  </si>
  <si>
    <t>Perrigny</t>
  </si>
  <si>
    <t>Peseux</t>
  </si>
  <si>
    <t>La Pesse</t>
  </si>
  <si>
    <t>Pointre</t>
  </si>
  <si>
    <t>Publy</t>
  </si>
  <si>
    <t>Rainans</t>
  </si>
  <si>
    <t>Ravilloles</t>
  </si>
  <si>
    <t>Revigny</t>
  </si>
  <si>
    <t>La Rixouse</t>
  </si>
  <si>
    <t>Rochefort-sur-Nenon</t>
  </si>
  <si>
    <t>Rogna</t>
  </si>
  <si>
    <t>Romange</t>
  </si>
  <si>
    <t>Saint-Claude</t>
  </si>
  <si>
    <t>Coteaux du Lizon</t>
  </si>
  <si>
    <t>Sampans</t>
  </si>
  <si>
    <t>Septmoncel les Molunes</t>
  </si>
  <si>
    <t>Tavaux</t>
  </si>
  <si>
    <t>Trenal</t>
  </si>
  <si>
    <t>Verges</t>
  </si>
  <si>
    <t>Vernantois</t>
  </si>
  <si>
    <t>Vevy</t>
  </si>
  <si>
    <t>Villard-Saint-Sauveur</t>
  </si>
  <si>
    <t>Villeneuve-sous-Pymont</t>
  </si>
  <si>
    <t>Villers-Robert</t>
  </si>
  <si>
    <t>Villette-lès-Dole</t>
  </si>
  <si>
    <t>Viry</t>
  </si>
  <si>
    <t>Vriange</t>
  </si>
  <si>
    <t>Vulvoz</t>
  </si>
  <si>
    <t>Angoumé</t>
  </si>
  <si>
    <t>Angresse</t>
  </si>
  <si>
    <t>Azur</t>
  </si>
  <si>
    <t>Bénesse-lès-Dax</t>
  </si>
  <si>
    <t>Bénesse-Maremne</t>
  </si>
  <si>
    <t>Benquet</t>
  </si>
  <si>
    <t>Bostens</t>
  </si>
  <si>
    <t>Bougue</t>
  </si>
  <si>
    <t>Bretagne-de-Marsan</t>
  </si>
  <si>
    <t>Campet-et-Lamolère</t>
  </si>
  <si>
    <t>Candresse</t>
  </si>
  <si>
    <t>Capbreton</t>
  </si>
  <si>
    <t>Dax</t>
  </si>
  <si>
    <t>Gaillères</t>
  </si>
  <si>
    <t>Geloux</t>
  </si>
  <si>
    <t>Gourbera</t>
  </si>
  <si>
    <t>Herm</t>
  </si>
  <si>
    <t>Heugas</t>
  </si>
  <si>
    <t>Josse</t>
  </si>
  <si>
    <t>Labenne</t>
  </si>
  <si>
    <t>Laglorieuse</t>
  </si>
  <si>
    <t>Lucbardez-et-Bargues</t>
  </si>
  <si>
    <t>Magescq</t>
  </si>
  <si>
    <t>Mazerolles</t>
  </si>
  <si>
    <t>Mées</t>
  </si>
  <si>
    <t>Messanges</t>
  </si>
  <si>
    <t>Moliets-et-Maa</t>
  </si>
  <si>
    <t>Mont-de-Marsan</t>
  </si>
  <si>
    <t>Narrosse</t>
  </si>
  <si>
    <t>Oeyreluy</t>
  </si>
  <si>
    <t>Ondres</t>
  </si>
  <si>
    <t>Orx</t>
  </si>
  <si>
    <t>Pouydesseaux</t>
  </si>
  <si>
    <t>Rivière-Saas-et-Gourby</t>
  </si>
  <si>
    <t>Saint-Avit</t>
  </si>
  <si>
    <t>Saint-Geours-de-Maremne</t>
  </si>
  <si>
    <t>Saint-Jean-de-Marsacq</t>
  </si>
  <si>
    <t>Sainte-Marie-de-Gosse</t>
  </si>
  <si>
    <t>Saint-Martin-de-Hinx</t>
  </si>
  <si>
    <t>Saint-Martin-de-Seignanx</t>
  </si>
  <si>
    <t>Saint-Martin-d'Oney</t>
  </si>
  <si>
    <t>Saint-Pandelon</t>
  </si>
  <si>
    <t>Saint-Paul-lès-Dax</t>
  </si>
  <si>
    <t>Saint-Perdon</t>
  </si>
  <si>
    <t>Saint-Pierre-du-Mont</t>
  </si>
  <si>
    <t>Saint-Vincent-de-Tyrosse</t>
  </si>
  <si>
    <t>Saubion</t>
  </si>
  <si>
    <t>Saubrigues</t>
  </si>
  <si>
    <t>Saubusse</t>
  </si>
  <si>
    <t>Saugnac-et-Cambran</t>
  </si>
  <si>
    <t>Seignosse</t>
  </si>
  <si>
    <t>Seyresse</t>
  </si>
  <si>
    <t>Siest</t>
  </si>
  <si>
    <t>Soorts-Hossegor</t>
  </si>
  <si>
    <t>Soustons</t>
  </si>
  <si>
    <t>Tarnos</t>
  </si>
  <si>
    <t>Tercis-les-Bains</t>
  </si>
  <si>
    <t>Téthieu</t>
  </si>
  <si>
    <t>Tosse</t>
  </si>
  <si>
    <t>Uchacq-et-Parentis</t>
  </si>
  <si>
    <t>Vieux-Boucau-les-Bains</t>
  </si>
  <si>
    <t>Yzosse</t>
  </si>
  <si>
    <t>Ambloy</t>
  </si>
  <si>
    <t>Areines</t>
  </si>
  <si>
    <t>Artins</t>
  </si>
  <si>
    <t>Authon</t>
  </si>
  <si>
    <t>Averdon</t>
  </si>
  <si>
    <t>Azé</t>
  </si>
  <si>
    <t>Blois</t>
  </si>
  <si>
    <t>Bonneveau</t>
  </si>
  <si>
    <t>Candé-sur-Beuvron</t>
  </si>
  <si>
    <t>Cellé</t>
  </si>
  <si>
    <t>Cellettes</t>
  </si>
  <si>
    <t>Chailles</t>
  </si>
  <si>
    <t>Chambon Sur Cisse</t>
  </si>
  <si>
    <t>Champigny-en-Beauce</t>
  </si>
  <si>
    <t>La Chapelle-Vendômoise</t>
  </si>
  <si>
    <t>Chaumont-sur-Loire</t>
  </si>
  <si>
    <t>La Chaussée-Saint-Victor</t>
  </si>
  <si>
    <t>Cheverny</t>
  </si>
  <si>
    <t>Chitenay</t>
  </si>
  <si>
    <t>Valloire-sur-Cisse</t>
  </si>
  <si>
    <t>Cormeray</t>
  </si>
  <si>
    <t>Couffy</t>
  </si>
  <si>
    <t>Coulommiers-la-Tour</t>
  </si>
  <si>
    <t>Cour-Cheverny</t>
  </si>
  <si>
    <t>Vallée-de-Ronsard</t>
  </si>
  <si>
    <t>Crucheray</t>
  </si>
  <si>
    <t>Danzé</t>
  </si>
  <si>
    <t>Épuisay</t>
  </si>
  <si>
    <t>Les Essarts</t>
  </si>
  <si>
    <t>Faye</t>
  </si>
  <si>
    <t>Fontaine-les-Coteaux</t>
  </si>
  <si>
    <t>Fortan</t>
  </si>
  <si>
    <t>Fossé</t>
  </si>
  <si>
    <t>Françay</t>
  </si>
  <si>
    <t>Gombergean</t>
  </si>
  <si>
    <t>Les Hayes</t>
  </si>
  <si>
    <t>Herbault</t>
  </si>
  <si>
    <t>Houssay</t>
  </si>
  <si>
    <t>Huisseau-en-Beauce</t>
  </si>
  <si>
    <t>Lancé</t>
  </si>
  <si>
    <t>Lancôme</t>
  </si>
  <si>
    <t>Landes-le-Gaulois</t>
  </si>
  <si>
    <t>Lavardin</t>
  </si>
  <si>
    <t>Lunay</t>
  </si>
  <si>
    <t>Marcilly-en-Beauce</t>
  </si>
  <si>
    <t>Marolles</t>
  </si>
  <si>
    <t>Mazangé</t>
  </si>
  <si>
    <t>Menars</t>
  </si>
  <si>
    <t>Mesland</t>
  </si>
  <si>
    <t>Meslay</t>
  </si>
  <si>
    <t>Valencisse</t>
  </si>
  <si>
    <t>Monteaux</t>
  </si>
  <si>
    <t>Monthou-sur-Bièvre</t>
  </si>
  <si>
    <t>Les Montils</t>
  </si>
  <si>
    <t>Montoire-sur-le-Loir</t>
  </si>
  <si>
    <t>Montrouveau</t>
  </si>
  <si>
    <t>Naveil</t>
  </si>
  <si>
    <t>Nourray</t>
  </si>
  <si>
    <t>Veuzain-sur-Loire</t>
  </si>
  <si>
    <t>Pray</t>
  </si>
  <si>
    <t>Prunay-Cassereau</t>
  </si>
  <si>
    <t>Rahart</t>
  </si>
  <si>
    <t>Rilly-sur-Loire</t>
  </si>
  <si>
    <t>Rocé</t>
  </si>
  <si>
    <t>Les Roches-l'Évêque</t>
  </si>
  <si>
    <t>Saint-Amand-Longpré</t>
  </si>
  <si>
    <t>Sainte-Anne</t>
  </si>
  <si>
    <t>Saint-Arnoult</t>
  </si>
  <si>
    <t>Saint-Bohaire</t>
  </si>
  <si>
    <t>Saint-Cyr-du-Gault</t>
  </si>
  <si>
    <t>Saint-Denis-sur-Loire</t>
  </si>
  <si>
    <t>Saint-Étienne-des-Guérets</t>
  </si>
  <si>
    <t>Saint-Firmin-des-Prés</t>
  </si>
  <si>
    <t>Saint-Gervais-la-Forêt</t>
  </si>
  <si>
    <t>Saint-Gourgon</t>
  </si>
  <si>
    <t>Saint-Jacques-des-Guérets</t>
  </si>
  <si>
    <t>Saint-Lubin-en-Vergonnois</t>
  </si>
  <si>
    <t>Saint-Martin-des-Bois</t>
  </si>
  <si>
    <t>Saint-Ouen</t>
  </si>
  <si>
    <t>Saint-Rimay</t>
  </si>
  <si>
    <t>Saint-Sulpice-de-Pommeray</t>
  </si>
  <si>
    <t>Sambin</t>
  </si>
  <si>
    <t>Sasnières</t>
  </si>
  <si>
    <t>Savigny-sur-Braye</t>
  </si>
  <si>
    <t>Seigy</t>
  </si>
  <si>
    <t>Selommes</t>
  </si>
  <si>
    <t>Seur</t>
  </si>
  <si>
    <t>Sougé</t>
  </si>
  <si>
    <t>Ternay</t>
  </si>
  <si>
    <t>Thoré-la-Rochette</t>
  </si>
  <si>
    <t>Tourailles</t>
  </si>
  <si>
    <t>Tour-en-Sologne</t>
  </si>
  <si>
    <t>Troo</t>
  </si>
  <si>
    <t>Valaire</t>
  </si>
  <si>
    <t>Vendôme</t>
  </si>
  <si>
    <t>Vernou-en-Sologne</t>
  </si>
  <si>
    <t>Villavard</t>
  </si>
  <si>
    <t>La Ville-aux-Clercs</t>
  </si>
  <si>
    <t>Villebarou</t>
  </si>
  <si>
    <t>Villechauve</t>
  </si>
  <si>
    <t>Villedieu-le-Château</t>
  </si>
  <si>
    <t>Villefrancœur</t>
  </si>
  <si>
    <t>Villemardy</t>
  </si>
  <si>
    <t>Villeporcher</t>
  </si>
  <si>
    <t>Villerable</t>
  </si>
  <si>
    <t>Villerbon</t>
  </si>
  <si>
    <t>Villeromain</t>
  </si>
  <si>
    <t>Villetrun</t>
  </si>
  <si>
    <t>Villiersfaux</t>
  </si>
  <si>
    <t>Villiers-sur-Loir</t>
  </si>
  <si>
    <t>Vineuil</t>
  </si>
  <si>
    <t>Aboën</t>
  </si>
  <si>
    <t>Ambierle</t>
  </si>
  <si>
    <t>Andrézieux-Bouthéon</t>
  </si>
  <si>
    <t>Arcon</t>
  </si>
  <si>
    <t>Caloire</t>
  </si>
  <si>
    <t>Cellieu</t>
  </si>
  <si>
    <t>Chagnon</t>
  </si>
  <si>
    <t>Chambœuf</t>
  </si>
  <si>
    <t>Le Chambon-Feugerolles</t>
  </si>
  <si>
    <t>Changy</t>
  </si>
  <si>
    <t>Châteauneuf</t>
  </si>
  <si>
    <t>Chevrières</t>
  </si>
  <si>
    <t>Combre</t>
  </si>
  <si>
    <t>Commelle-Vernay</t>
  </si>
  <si>
    <t>Le Coteau</t>
  </si>
  <si>
    <t>Coutouvre</t>
  </si>
  <si>
    <t>Le Crozet</t>
  </si>
  <si>
    <t>Dargoire</t>
  </si>
  <si>
    <t>Doizieux</t>
  </si>
  <si>
    <t>L'Étrat</t>
  </si>
  <si>
    <t>Farnay</t>
  </si>
  <si>
    <t>Firminy</t>
  </si>
  <si>
    <t>La Fouillouse</t>
  </si>
  <si>
    <t>Fraisses</t>
  </si>
  <si>
    <t>La Gimond</t>
  </si>
  <si>
    <t>Grammond</t>
  </si>
  <si>
    <t>La Grand-Croix</t>
  </si>
  <si>
    <t>L'Horme</t>
  </si>
  <si>
    <t>Lentigny</t>
  </si>
  <si>
    <t>Lorette</t>
  </si>
  <si>
    <t>Mably</t>
  </si>
  <si>
    <t>Marcenod</t>
  </si>
  <si>
    <t>Maringes</t>
  </si>
  <si>
    <t>Montagny</t>
  </si>
  <si>
    <t>Noailly</t>
  </si>
  <si>
    <t>Les Noës</t>
  </si>
  <si>
    <t>Notre-Dame-de-Boisset</t>
  </si>
  <si>
    <t>Ouches</t>
  </si>
  <si>
    <t>La Pacaudière</t>
  </si>
  <si>
    <t>Parigny</t>
  </si>
  <si>
    <t>Pavezin</t>
  </si>
  <si>
    <t>Perreux</t>
  </si>
  <si>
    <t>Pouilly-les-Nonains</t>
  </si>
  <si>
    <t>Renaison</t>
  </si>
  <si>
    <t>La Ricamarie</t>
  </si>
  <si>
    <t>Riorges</t>
  </si>
  <si>
    <t>Rive-de-Gier</t>
  </si>
  <si>
    <t>Roanne</t>
  </si>
  <si>
    <t>Roche-la-Molière</t>
  </si>
  <si>
    <t>Rozier-Côtes-d'Aurec</t>
  </si>
  <si>
    <t>Sail-les-Bains</t>
  </si>
  <si>
    <t>Saint-Alban-les-Eaux</t>
  </si>
  <si>
    <t>Saint-André-d'Apchon</t>
  </si>
  <si>
    <t>Saint-Bonnet-des-Quarts</t>
  </si>
  <si>
    <t>Saint-Bonnet-les-Oules</t>
  </si>
  <si>
    <t>Saint-Chamond</t>
  </si>
  <si>
    <t>Saint-Christo-en-Jarez</t>
  </si>
  <si>
    <t>Sainte-Croix-en-Jarez</t>
  </si>
  <si>
    <t>Saint-Denis-sur-Coise</t>
  </si>
  <si>
    <t>Saint-Étienne</t>
  </si>
  <si>
    <t>Saint-Forgeux-Lespinasse</t>
  </si>
  <si>
    <t>Saint-Galmier</t>
  </si>
  <si>
    <t>Saint-Genest-Lerpt</t>
  </si>
  <si>
    <t>Genilac</t>
  </si>
  <si>
    <t>Saint-Germain-Lespinasse</t>
  </si>
  <si>
    <t>Saint-Haon-le-Châtel</t>
  </si>
  <si>
    <t>Saint-Haon-le-Vieux</t>
  </si>
  <si>
    <t>Saint-Héand</t>
  </si>
  <si>
    <t>Saint-Jean-Bonnefonds</t>
  </si>
  <si>
    <t>Saint-Jean-Saint-Maurice-sur-Loire</t>
  </si>
  <si>
    <t>Saint-Joseph</t>
  </si>
  <si>
    <t>Saint-Léger-sur-Roanne</t>
  </si>
  <si>
    <t>Saint-Martin-d'Estréaux</t>
  </si>
  <si>
    <t>Saint-Martin-la-Plaine</t>
  </si>
  <si>
    <t>Saint-Maurice-en-Gourgois</t>
  </si>
  <si>
    <t>Saint-Nizier-de-Fornas</t>
  </si>
  <si>
    <t>Saint-Paul-en-Cornillon</t>
  </si>
  <si>
    <t>Saint-Paul-en-Jarez</t>
  </si>
  <si>
    <t>Saint-Priest-en-Jarez</t>
  </si>
  <si>
    <t>Saint-Rirand</t>
  </si>
  <si>
    <t>Saint-Romain-en-Jarez</t>
  </si>
  <si>
    <t>Saint-Romain-la-Motte</t>
  </si>
  <si>
    <t>Saint-Vincent-de-Boisset</t>
  </si>
  <si>
    <t>Sorbiers</t>
  </si>
  <si>
    <t>La Talaudière</t>
  </si>
  <si>
    <t>Tartaras</t>
  </si>
  <si>
    <t>La Terrasse-sur-Dorlay</t>
  </si>
  <si>
    <t>La Tour-en-Jarez</t>
  </si>
  <si>
    <t>Unieux</t>
  </si>
  <si>
    <t>Urbise</t>
  </si>
  <si>
    <t>Valfleury</t>
  </si>
  <si>
    <t>La Valla-en-Gier</t>
  </si>
  <si>
    <t>Villemontais</t>
  </si>
  <si>
    <t>Villerest</t>
  </si>
  <si>
    <t>Viricelles</t>
  </si>
  <si>
    <t>Virigneux</t>
  </si>
  <si>
    <t>Vivans</t>
  </si>
  <si>
    <t>Aiguilhe</t>
  </si>
  <si>
    <t>Allègre</t>
  </si>
  <si>
    <t>Arsac-en-Velay</t>
  </si>
  <si>
    <t>Bains</t>
  </si>
  <si>
    <t>Beaune-sur-Arzon</t>
  </si>
  <si>
    <t>Bellevue-la-Montagne</t>
  </si>
  <si>
    <t>Blanzac</t>
  </si>
  <si>
    <t>Blavozy</t>
  </si>
  <si>
    <t>Bonneval</t>
  </si>
  <si>
    <t>Borne</t>
  </si>
  <si>
    <t>Le Brignon</t>
  </si>
  <si>
    <t>Brives-Charensac</t>
  </si>
  <si>
    <t>Céaux-d'Allègre</t>
  </si>
  <si>
    <t>Ceyssac</t>
  </si>
  <si>
    <t>Chadrac</t>
  </si>
  <si>
    <t>La Chaise-Dieu</t>
  </si>
  <si>
    <t>Chamalières-sur-Loire</t>
  </si>
  <si>
    <t>La Chapelle-Bertin</t>
  </si>
  <si>
    <t>La Chapelle-Geneste</t>
  </si>
  <si>
    <t>Chaspinhac</t>
  </si>
  <si>
    <t>Chaspuzac</t>
  </si>
  <si>
    <t>Chomelix</t>
  </si>
  <si>
    <t>Cistrières</t>
  </si>
  <si>
    <t>Connangles</t>
  </si>
  <si>
    <t>Coubon</t>
  </si>
  <si>
    <t>Craponne-sur-Arzon</t>
  </si>
  <si>
    <t>Cussac-sur-Loire</t>
  </si>
  <si>
    <t>Espaly-Saint-Marcel</t>
  </si>
  <si>
    <t>Fix-Saint-Geneys</t>
  </si>
  <si>
    <t>Jullianges</t>
  </si>
  <si>
    <t>Laval-sur-Doulon</t>
  </si>
  <si>
    <t>Lavoûte-sur-Loire</t>
  </si>
  <si>
    <t>Lissac</t>
  </si>
  <si>
    <t>Loudes</t>
  </si>
  <si>
    <t>Malrevers</t>
  </si>
  <si>
    <t>Malvières</t>
  </si>
  <si>
    <t>Mézères</t>
  </si>
  <si>
    <t>Monistrol-d'Allier</t>
  </si>
  <si>
    <t>Monlet</t>
  </si>
  <si>
    <t>Le Monteil</t>
  </si>
  <si>
    <t>Le Pertuis</t>
  </si>
  <si>
    <t>Polignac</t>
  </si>
  <si>
    <t>Le Puy-en-Velay</t>
  </si>
  <si>
    <t>Roche-en-Régnier</t>
  </si>
  <si>
    <t>Rosières</t>
  </si>
  <si>
    <t>Saint-Christophe-sur-Dolaison</t>
  </si>
  <si>
    <t>Saint-Étienne-Lardeyrol</t>
  </si>
  <si>
    <t>Saint-Geneys-près-Saint-Paulien</t>
  </si>
  <si>
    <t>Saint-Georges-Lagricol</t>
  </si>
  <si>
    <t>Saint-Germain-Laprade</t>
  </si>
  <si>
    <t>Saint-Hostien</t>
  </si>
  <si>
    <t>Saint-Jean-d'Aubrigoux</t>
  </si>
  <si>
    <t>Saint-Jean-de-Nay</t>
  </si>
  <si>
    <t>Saint-Julien-d'Ance</t>
  </si>
  <si>
    <t>Saint-Pal-de-Senouire</t>
  </si>
  <si>
    <t>Saint-Paulien</t>
  </si>
  <si>
    <t>Saint-Pierre-du-Champ</t>
  </si>
  <si>
    <t>Saint-Préjet-d'Allier</t>
  </si>
  <si>
    <t>Saint-Privat-d'Allier</t>
  </si>
  <si>
    <t>Saint-Victor-sur-Arlanc</t>
  </si>
  <si>
    <t>Saint-Vidal</t>
  </si>
  <si>
    <t>Saint-Vincent</t>
  </si>
  <si>
    <t>Sanssac-l'Église</t>
  </si>
  <si>
    <t>Sembadel</t>
  </si>
  <si>
    <t>Solignac-sur-Loire</t>
  </si>
  <si>
    <t>Vals-près-le-Puy</t>
  </si>
  <si>
    <t>Vazeilles-Limandre</t>
  </si>
  <si>
    <t>Vergezac</t>
  </si>
  <si>
    <t>Vernassal</t>
  </si>
  <si>
    <t>Vorey</t>
  </si>
  <si>
    <t>Aigrefeuille-sur-Maine</t>
  </si>
  <si>
    <t>CLISSON SEVRE ET MAINE AGGLOMERATION</t>
  </si>
  <si>
    <t>'44140'</t>
  </si>
  <si>
    <t>Assérac</t>
  </si>
  <si>
    <t>Basse-Goulaine</t>
  </si>
  <si>
    <t>Batz-sur-Mer</t>
  </si>
  <si>
    <t>Besné</t>
  </si>
  <si>
    <t>Bouaye</t>
  </si>
  <si>
    <t>Bouguenais</t>
  </si>
  <si>
    <t>Boussay</t>
  </si>
  <si>
    <t>'44190'</t>
  </si>
  <si>
    <t>Brains</t>
  </si>
  <si>
    <t>Carquefou</t>
  </si>
  <si>
    <t>La Chapelle-des-Marais</t>
  </si>
  <si>
    <t>La Chapelle-sur-Erdre</t>
  </si>
  <si>
    <t>Château-Thébaud</t>
  </si>
  <si>
    <t>'44690'</t>
  </si>
  <si>
    <t>Clisson</t>
  </si>
  <si>
    <t>'44191'</t>
  </si>
  <si>
    <t>'44192'</t>
  </si>
  <si>
    <t>'44193'</t>
  </si>
  <si>
    <t>'44194'</t>
  </si>
  <si>
    <t>'44195'</t>
  </si>
  <si>
    <t>'44196'</t>
  </si>
  <si>
    <t>Corsept</t>
  </si>
  <si>
    <t>Couëron</t>
  </si>
  <si>
    <t>Le Croisic</t>
  </si>
  <si>
    <t>Donges</t>
  </si>
  <si>
    <t>La Baule-Escoublac</t>
  </si>
  <si>
    <t>Frossay</t>
  </si>
  <si>
    <t>Gétigné</t>
  </si>
  <si>
    <t>Gorges</t>
  </si>
  <si>
    <t>Guérande</t>
  </si>
  <si>
    <t>La Haie-Fouassière</t>
  </si>
  <si>
    <t>Haute-Goulaine</t>
  </si>
  <si>
    <t>Herbignac</t>
  </si>
  <si>
    <t>Indre</t>
  </si>
  <si>
    <t>Maisdon-sur-Sèvre</t>
  </si>
  <si>
    <t>Mauves-sur-Loire</t>
  </si>
  <si>
    <t>Mesquer</t>
  </si>
  <si>
    <t>La Montagne</t>
  </si>
  <si>
    <t>Montoir-de-Bretagne</t>
  </si>
  <si>
    <t>Nantes</t>
  </si>
  <si>
    <t>Orvault</t>
  </si>
  <si>
    <t>Paimbœuf</t>
  </si>
  <si>
    <t>Le Pellerin</t>
  </si>
  <si>
    <t>Piriac-sur-Mer</t>
  </si>
  <si>
    <t>La Planche</t>
  </si>
  <si>
    <t>Pornichet</t>
  </si>
  <si>
    <t>Le Pouliguen</t>
  </si>
  <si>
    <t>Remouillé</t>
  </si>
  <si>
    <t>Rezé</t>
  </si>
  <si>
    <t>Saint-Aignan-Grandlieu</t>
  </si>
  <si>
    <t>Saint-Brevin-les-Pins</t>
  </si>
  <si>
    <t>Saint-Fiacre-sur-Maine</t>
  </si>
  <si>
    <t>Saint-Herblain</t>
  </si>
  <si>
    <t>Saint-Hilaire-de-Clisson</t>
  </si>
  <si>
    <t>Saint-Jean-de-Boiseau</t>
  </si>
  <si>
    <t>Saint-Joachim</t>
  </si>
  <si>
    <t>Saint-Léger-les-Vignes</t>
  </si>
  <si>
    <t>Sainte-Luce-sur-Loire</t>
  </si>
  <si>
    <t>Saint-Lumine-de-Clisson</t>
  </si>
  <si>
    <t>Saint-Lyphard</t>
  </si>
  <si>
    <t>Saint-Malo-de-Guersac</t>
  </si>
  <si>
    <t>Saint-Molf</t>
  </si>
  <si>
    <t>Saint-Père-en-Retz</t>
  </si>
  <si>
    <t>Saint-Sébastien-sur-Loire</t>
  </si>
  <si>
    <t>Saint-Viaud</t>
  </si>
  <si>
    <t>Sautron</t>
  </si>
  <si>
    <t>Les Sorinières</t>
  </si>
  <si>
    <t>Thouaré-sur-Loire</t>
  </si>
  <si>
    <t>Trignac</t>
  </si>
  <si>
    <t>La Turballe</t>
  </si>
  <si>
    <t>Vertou</t>
  </si>
  <si>
    <t>Vieillevigne</t>
  </si>
  <si>
    <t>'44116'</t>
  </si>
  <si>
    <t>Boigny-sur-Bionne</t>
  </si>
  <si>
    <t>Bou</t>
  </si>
  <si>
    <t>Cepoy</t>
  </si>
  <si>
    <t>Châlette-sur-Loing</t>
  </si>
  <si>
    <t>Chanteau</t>
  </si>
  <si>
    <t>La Chapelle-Saint-Mesmin</t>
  </si>
  <si>
    <t>Chécy</t>
  </si>
  <si>
    <t>Combleux</t>
  </si>
  <si>
    <t>Conflans-sur-Loing</t>
  </si>
  <si>
    <t>Corquilleroy</t>
  </si>
  <si>
    <t>Fleury-les-Aubrais</t>
  </si>
  <si>
    <t>Ingré</t>
  </si>
  <si>
    <t>Mardié</t>
  </si>
  <si>
    <t>Marigny-les-Usages</t>
  </si>
  <si>
    <t>Montargis</t>
  </si>
  <si>
    <t>Olivet</t>
  </si>
  <si>
    <t>Orléans</t>
  </si>
  <si>
    <t>Ormes</t>
  </si>
  <si>
    <t>Pannes</t>
  </si>
  <si>
    <t>Paucourt</t>
  </si>
  <si>
    <t>Saint-Cyr-en-Val</t>
  </si>
  <si>
    <t>Saint-Denis-en-Val</t>
  </si>
  <si>
    <t>Saint-Hilaire-Saint-Mesmin</t>
  </si>
  <si>
    <t>Saint-Jean-de-Braye</t>
  </si>
  <si>
    <t>Saint-Jean-de-la-Ruelle</t>
  </si>
  <si>
    <t>Saint-Jean-le-Blanc</t>
  </si>
  <si>
    <t>Saint-Pryvé-Saint-Mesmin</t>
  </si>
  <si>
    <t>Saran</t>
  </si>
  <si>
    <t>Semoy</t>
  </si>
  <si>
    <t>Villemandeur</t>
  </si>
  <si>
    <t>Vimory</t>
  </si>
  <si>
    <t>Arcambal</t>
  </si>
  <si>
    <t>Boissières</t>
  </si>
  <si>
    <t>Bouziès</t>
  </si>
  <si>
    <t>Cabrerets</t>
  </si>
  <si>
    <t>Cahors</t>
  </si>
  <si>
    <t>Caillac</t>
  </si>
  <si>
    <t>Calamane</t>
  </si>
  <si>
    <t>Catus</t>
  </si>
  <si>
    <t>Cieurac</t>
  </si>
  <si>
    <t>Cornac</t>
  </si>
  <si>
    <t>Crayssac</t>
  </si>
  <si>
    <t>Douelle</t>
  </si>
  <si>
    <t>Espère</t>
  </si>
  <si>
    <t>Figeac</t>
  </si>
  <si>
    <t>Fontanes</t>
  </si>
  <si>
    <t>Francoulès</t>
  </si>
  <si>
    <t>Gigouzac</t>
  </si>
  <si>
    <t>Les Junies</t>
  </si>
  <si>
    <t>Labastide-du-Vert</t>
  </si>
  <si>
    <t>Labastide-Marnhac</t>
  </si>
  <si>
    <t>Lamagdelaine</t>
  </si>
  <si>
    <t>Bellefont-La Rauze</t>
  </si>
  <si>
    <t>Lherm</t>
  </si>
  <si>
    <t>Maxou</t>
  </si>
  <si>
    <t>Mechmont</t>
  </si>
  <si>
    <t>Mercuès</t>
  </si>
  <si>
    <t>Le Montat</t>
  </si>
  <si>
    <t>Montgesty</t>
  </si>
  <si>
    <t>Nuzéjouls</t>
  </si>
  <si>
    <t>Pontcirq</t>
  </si>
  <si>
    <t>Pradines</t>
  </si>
  <si>
    <t>Saint-Cirq-Lapopie</t>
  </si>
  <si>
    <t>Saint-Denis-Catus</t>
  </si>
  <si>
    <t>Saint Géry-Vers</t>
  </si>
  <si>
    <t>Saint-Médard</t>
  </si>
  <si>
    <t>Tour-de-Faure</t>
  </si>
  <si>
    <t>Trespoux-Rassiels</t>
  </si>
  <si>
    <t>Uzech</t>
  </si>
  <si>
    <t>Vayrac</t>
  </si>
  <si>
    <t>Saint-Pierre-Lafeuille</t>
  </si>
  <si>
    <t>Agen</t>
  </si>
  <si>
    <t>Agmé</t>
  </si>
  <si>
    <t>Allez-et-Cazeneuve</t>
  </si>
  <si>
    <t>Astaffort</t>
  </si>
  <si>
    <t>Aubiac</t>
  </si>
  <si>
    <t>Bajamont</t>
  </si>
  <si>
    <t>Beauville</t>
  </si>
  <si>
    <t>Bias</t>
  </si>
  <si>
    <t>Birac-sur-Trec</t>
  </si>
  <si>
    <t>Blaymont</t>
  </si>
  <si>
    <t>Boé</t>
  </si>
  <si>
    <t>Bon-Encontre</t>
  </si>
  <si>
    <t>Calonges</t>
  </si>
  <si>
    <t>Casseneuil</t>
  </si>
  <si>
    <t>Cassignas</t>
  </si>
  <si>
    <t>Castelculier</t>
  </si>
  <si>
    <t>Castella</t>
  </si>
  <si>
    <t>Castelnau-sur-Gupie</t>
  </si>
  <si>
    <t>Caubon-Saint-Sauveur</t>
  </si>
  <si>
    <t>Caudecoste</t>
  </si>
  <si>
    <t>Caumont-sur-Garonne</t>
  </si>
  <si>
    <t>Cauzac</t>
  </si>
  <si>
    <t>Clairac</t>
  </si>
  <si>
    <t>Cocumont</t>
  </si>
  <si>
    <t>Colayrac-Saint-Cirq</t>
  </si>
  <si>
    <t>Couthures-sur-Garonne</t>
  </si>
  <si>
    <t>La Croix-Blanche</t>
  </si>
  <si>
    <t>Cuq</t>
  </si>
  <si>
    <t>Dolmayrac</t>
  </si>
  <si>
    <t>Dondas</t>
  </si>
  <si>
    <t>Engayrac</t>
  </si>
  <si>
    <t>Escassefort</t>
  </si>
  <si>
    <t>Estillac</t>
  </si>
  <si>
    <t>Fals</t>
  </si>
  <si>
    <t>Fauguerolles</t>
  </si>
  <si>
    <t>Fauillet</t>
  </si>
  <si>
    <t>Fongrave</t>
  </si>
  <si>
    <t>Foulayronnes</t>
  </si>
  <si>
    <t>Fourques-sur-Garonne</t>
  </si>
  <si>
    <t>Gontaud-de-Nogaret</t>
  </si>
  <si>
    <t>Grateloup-Saint-Gayrand</t>
  </si>
  <si>
    <t>Hautefage-la-Tour</t>
  </si>
  <si>
    <t>Jusix</t>
  </si>
  <si>
    <t>Lafitte-sur-Lot</t>
  </si>
  <si>
    <t>Lafox</t>
  </si>
  <si>
    <t>Lagruère</t>
  </si>
  <si>
    <t>Lagupie</t>
  </si>
  <si>
    <t>Laplume</t>
  </si>
  <si>
    <t>Laroque-Timbaut</t>
  </si>
  <si>
    <t>Layrac</t>
  </si>
  <si>
    <t>Lédat</t>
  </si>
  <si>
    <t>Longueville</t>
  </si>
  <si>
    <t>Marcellus</t>
  </si>
  <si>
    <t>Marmande</t>
  </si>
  <si>
    <t>Marmont-Pachas</t>
  </si>
  <si>
    <t>Le Mas-d'Agenais</t>
  </si>
  <si>
    <t>Mauvezin-sur-Gupie</t>
  </si>
  <si>
    <t>Meilhan-sur-Garonne</t>
  </si>
  <si>
    <t>Moirax</t>
  </si>
  <si>
    <t>Monbalen</t>
  </si>
  <si>
    <t>Montpouillan</t>
  </si>
  <si>
    <t>Le Passage</t>
  </si>
  <si>
    <t>Pont-du-Casse</t>
  </si>
  <si>
    <t>Pujols</t>
  </si>
  <si>
    <t>Puymiclan</t>
  </si>
  <si>
    <t>Puymirol</t>
  </si>
  <si>
    <t>Saint-Antoine-de-Ficalba</t>
  </si>
  <si>
    <t>Saint-Barthélemy-d'Agenais</t>
  </si>
  <si>
    <t>Sainte-Bazeille</t>
  </si>
  <si>
    <t>Saint-Caprais-de-Lerm</t>
  </si>
  <si>
    <t>Sainte-Colombe-de-Villeneuve</t>
  </si>
  <si>
    <t>Sainte-Colombe-en-Bruilhois</t>
  </si>
  <si>
    <t>Saint-Étienne-de-Fougères</t>
  </si>
  <si>
    <t>Saint-Hilaire-de-Lusignan</t>
  </si>
  <si>
    <t>Saint-Jean-de-Thurac</t>
  </si>
  <si>
    <t>Sainte-Livrade-sur-Lot</t>
  </si>
  <si>
    <t>Saint-Martin-de-Beauville</t>
  </si>
  <si>
    <t>Saint-Martin-Petit</t>
  </si>
  <si>
    <t>Saint-Maurin</t>
  </si>
  <si>
    <t>Saint-Nicolas-de-la-Balerme</t>
  </si>
  <si>
    <t>Saint-Pardoux-du-Breuil</t>
  </si>
  <si>
    <t>Saint-Pierre-de-Clairac</t>
  </si>
  <si>
    <t>Saint-Romain-le-Noble</t>
  </si>
  <si>
    <t>Saint-Sauveur-de-Meilhan</t>
  </si>
  <si>
    <t>Saint-Sixte</t>
  </si>
  <si>
    <t>Saint-Urcisse</t>
  </si>
  <si>
    <t>Samazan</t>
  </si>
  <si>
    <t>Sauvagnas</t>
  </si>
  <si>
    <t>La Sauvetat-de-Savères</t>
  </si>
  <si>
    <t>Sauveterre-Saint-Denis</t>
  </si>
  <si>
    <t>Sénestis</t>
  </si>
  <si>
    <t>Sérignac-sur-Garonne</t>
  </si>
  <si>
    <t>Seyches</t>
  </si>
  <si>
    <t>Taillebourg</t>
  </si>
  <si>
    <t>Tayrac</t>
  </si>
  <si>
    <t>Tonneins</t>
  </si>
  <si>
    <t>Varès</t>
  </si>
  <si>
    <t>Villeneuve-sur-Lot</t>
  </si>
  <si>
    <t>Villeton</t>
  </si>
  <si>
    <t>Virazeil</t>
  </si>
  <si>
    <t>Mende</t>
  </si>
  <si>
    <t>Tuffalun</t>
  </si>
  <si>
    <t>Angers</t>
  </si>
  <si>
    <t>Antoigné</t>
  </si>
  <si>
    <t>Artannes-sur-Thouet</t>
  </si>
  <si>
    <t>Avrillé</t>
  </si>
  <si>
    <t>Beaucouzé</t>
  </si>
  <si>
    <t>Beaupréau-en-Mauges</t>
  </si>
  <si>
    <t>COMMUNAUTE D'AGGLOMERATION MAUGES COMMUNAUTE</t>
  </si>
  <si>
    <t>'49110'</t>
  </si>
  <si>
    <t>'49450'</t>
  </si>
  <si>
    <t>'49458'</t>
  </si>
  <si>
    <t>'49510'</t>
  </si>
  <si>
    <t>'49600'</t>
  </si>
  <si>
    <t>'49601'</t>
  </si>
  <si>
    <t>'49602'</t>
  </si>
  <si>
    <t>Bégrolles-en-Mauges</t>
  </si>
  <si>
    <t>CHOLET AGGLOMERATION</t>
  </si>
  <si>
    <t>Béhuard</t>
  </si>
  <si>
    <t>Blou</t>
  </si>
  <si>
    <t>Bouchemaine</t>
  </si>
  <si>
    <t>Brain-sur-Allonnes</t>
  </si>
  <si>
    <t>La Breille-les-Pins</t>
  </si>
  <si>
    <t>Breze</t>
  </si>
  <si>
    <t>Brigne</t>
  </si>
  <si>
    <t>Briollay</t>
  </si>
  <si>
    <t>Brossay</t>
  </si>
  <si>
    <t>Cantenay-Épinard</t>
  </si>
  <si>
    <t>Cernusson</t>
  </si>
  <si>
    <t>Les Cerqueux</t>
  </si>
  <si>
    <t>Bellevigne-les-Châteaux</t>
  </si>
  <si>
    <t>Orée d'Anjou</t>
  </si>
  <si>
    <t>'49270'</t>
  </si>
  <si>
    <t>'49530'</t>
  </si>
  <si>
    <t>Chanteloup-les-Bois</t>
  </si>
  <si>
    <t>Chemillé-en-Anjou</t>
  </si>
  <si>
    <t>'49120'</t>
  </si>
  <si>
    <t>'49670'</t>
  </si>
  <si>
    <t>'49750'</t>
  </si>
  <si>
    <t>Cholet</t>
  </si>
  <si>
    <t>Cizay-la-Madeleine</t>
  </si>
  <si>
    <t>Cléré-sur-Layon</t>
  </si>
  <si>
    <t>Concourson-sur-Layon</t>
  </si>
  <si>
    <t>Coron</t>
  </si>
  <si>
    <t>Le Coudray-Macouard</t>
  </si>
  <si>
    <t>Courléon</t>
  </si>
  <si>
    <t>Dénezé-sous-Doué</t>
  </si>
  <si>
    <t>Distré</t>
  </si>
  <si>
    <t>Doué-en-Anjou</t>
  </si>
  <si>
    <t>Écouflant</t>
  </si>
  <si>
    <t>Écuillé</t>
  </si>
  <si>
    <t>Feneu</t>
  </si>
  <si>
    <t>Fontevraud-l'Abbaye</t>
  </si>
  <si>
    <t>Forges</t>
  </si>
  <si>
    <t>Gennes-Val-De-Loire</t>
  </si>
  <si>
    <t>La Lande-Chasles</t>
  </si>
  <si>
    <t>Longué-Jumelles</t>
  </si>
  <si>
    <t>Louresse-Rochemenier</t>
  </si>
  <si>
    <t>Maulévrier</t>
  </si>
  <si>
    <t>Le May-sur-Èvre</t>
  </si>
  <si>
    <t>Mazières-en-Mauges</t>
  </si>
  <si>
    <t>La Meignanne</t>
  </si>
  <si>
    <t>Meigne</t>
  </si>
  <si>
    <t>Longuenée-en-Anjou</t>
  </si>
  <si>
    <t>Miré</t>
  </si>
  <si>
    <t>Montilliers</t>
  </si>
  <si>
    <t>Montreuil-Juigné</t>
  </si>
  <si>
    <t>Montreuil-Bellay</t>
  </si>
  <si>
    <t>Montrevault-sur-Èvre</t>
  </si>
  <si>
    <t>'49111'</t>
  </si>
  <si>
    <t>'49115'</t>
  </si>
  <si>
    <t>'49116'</t>
  </si>
  <si>
    <t>'49117'</t>
  </si>
  <si>
    <t>Montsoreau</t>
  </si>
  <si>
    <t>Mouliherne</t>
  </si>
  <si>
    <t>Mûrs-Erigné</t>
  </si>
  <si>
    <t>Neuillé</t>
  </si>
  <si>
    <t>Nuaillé</t>
  </si>
  <si>
    <t>Parnay</t>
  </si>
  <si>
    <t>Passavant-sur-Layon</t>
  </si>
  <si>
    <t>La Pellerine</t>
  </si>
  <si>
    <t>La Plaine</t>
  </si>
  <si>
    <t>Le Plessis-Grammoire</t>
  </si>
  <si>
    <t>Le Plessis-Mace</t>
  </si>
  <si>
    <t>Mauges-sur-Loire</t>
  </si>
  <si>
    <t>'49290'</t>
  </si>
  <si>
    <t>'49410'</t>
  </si>
  <si>
    <t>'49570'</t>
  </si>
  <si>
    <t>'49620'</t>
  </si>
  <si>
    <t>Les Ponts-de-Cé</t>
  </si>
  <si>
    <t>Ombrée d'Anjou</t>
  </si>
  <si>
    <t>Le Puy-Notre-Dame</t>
  </si>
  <si>
    <t>La Romagne</t>
  </si>
  <si>
    <t>Gennes-Val-de-Loire</t>
  </si>
  <si>
    <t>Rou-Marson</t>
  </si>
  <si>
    <t>Saint-Barthélemy-d'Anjou</t>
  </si>
  <si>
    <t>Saint-Christophe-du-Bois</t>
  </si>
  <si>
    <t>Saint-Clément-de-la-Place</t>
  </si>
  <si>
    <t>Saint-Clément-des-Levées</t>
  </si>
  <si>
    <t>Saint-cyr-en-Bourg</t>
  </si>
  <si>
    <t>Sainte-Gemmes-sur-Loire</t>
  </si>
  <si>
    <t>Saint-Georges-sur-Layon</t>
  </si>
  <si>
    <t>Saint-Jean-de-la-Croix</t>
  </si>
  <si>
    <t>Saint-Just-sur-Dive</t>
  </si>
  <si>
    <t>Saint-Lambert-la-Potherie</t>
  </si>
  <si>
    <t>Saint-Léger-de-Linières</t>
  </si>
  <si>
    <t>Saint-Léger-sous-Cholet</t>
  </si>
  <si>
    <t>Sèvremoine</t>
  </si>
  <si>
    <t>'49230'</t>
  </si>
  <si>
    <t>'49660'</t>
  </si>
  <si>
    <t>'49710'</t>
  </si>
  <si>
    <t>Saint-Macaire-du-Bois</t>
  </si>
  <si>
    <t>Saint-Martin-de-la-Place</t>
  </si>
  <si>
    <t>Saint-Martin-du-Fouilloux</t>
  </si>
  <si>
    <t>Loire-Authion</t>
  </si>
  <si>
    <t>Saint-Paul-du-Bois</t>
  </si>
  <si>
    <t>Saint-Philbert-du-Peuple</t>
  </si>
  <si>
    <t>Verrières-en-Anjou</t>
  </si>
  <si>
    <t>Sarrigné</t>
  </si>
  <si>
    <t>Saumur</t>
  </si>
  <si>
    <t>Savennières</t>
  </si>
  <si>
    <t>La Séguinière</t>
  </si>
  <si>
    <t>Somloire</t>
  </si>
  <si>
    <t>soucelles</t>
  </si>
  <si>
    <t>Soulaines-sur-Aubance</t>
  </si>
  <si>
    <t>Soulaire-et-Bourg</t>
  </si>
  <si>
    <t>Souzay-Champigny</t>
  </si>
  <si>
    <t>La Tessoualle</t>
  </si>
  <si>
    <t>Toutlemonde</t>
  </si>
  <si>
    <t>Trélazé</t>
  </si>
  <si>
    <t>Trémentines</t>
  </si>
  <si>
    <t>Turquant</t>
  </si>
  <si>
    <t>Les Ulmes</t>
  </si>
  <si>
    <t>Varennes-sur-Loire</t>
  </si>
  <si>
    <t>Varrains</t>
  </si>
  <si>
    <t>Vaudelnay</t>
  </si>
  <si>
    <t>Les-Verchers-sur-Layon</t>
  </si>
  <si>
    <t>Vernantes</t>
  </si>
  <si>
    <t>Vernoil-le-Fourrier</t>
  </si>
  <si>
    <t>Verrie</t>
  </si>
  <si>
    <t>Vezins</t>
  </si>
  <si>
    <t>Lys-Haut-Layon</t>
  </si>
  <si>
    <t>Villebernier</t>
  </si>
  <si>
    <t>Rives-du-Loir-en-Anjou</t>
  </si>
  <si>
    <t>Vivy</t>
  </si>
  <si>
    <t>Yzernay</t>
  </si>
  <si>
    <t>Agneaux</t>
  </si>
  <si>
    <t>Agon-Coutainville</t>
  </si>
  <si>
    <t>Airel</t>
  </si>
  <si>
    <t>Amigny</t>
  </si>
  <si>
    <t>Anctoville-sur-Boscq</t>
  </si>
  <si>
    <t>Anneville-en-Saire</t>
  </si>
  <si>
    <t>Annoville</t>
  </si>
  <si>
    <t>Aumeville-Lestre</t>
  </si>
  <si>
    <t>Azeville</t>
  </si>
  <si>
    <t>La Baleine</t>
  </si>
  <si>
    <t>Barfleur</t>
  </si>
  <si>
    <t>Barneville-Carteret</t>
  </si>
  <si>
    <t>La Barre-de-Semilly</t>
  </si>
  <si>
    <t>Baudre</t>
  </si>
  <si>
    <t>Beauchamps</t>
  </si>
  <si>
    <t>Beaucoudray</t>
  </si>
  <si>
    <t>La Hague</t>
  </si>
  <si>
    <t>Benoîtville</t>
  </si>
  <si>
    <t>Bérigny</t>
  </si>
  <si>
    <t>Besneville</t>
  </si>
  <si>
    <t>Beuvrigny</t>
  </si>
  <si>
    <t>Biéville</t>
  </si>
  <si>
    <t>Biniville</t>
  </si>
  <si>
    <t>Blainville-sur-Mer</t>
  </si>
  <si>
    <t>La Bonneville</t>
  </si>
  <si>
    <t>Jullouville</t>
  </si>
  <si>
    <t>Brainville</t>
  </si>
  <si>
    <t>Brécey</t>
  </si>
  <si>
    <t>Bréhal</t>
  </si>
  <si>
    <t>Bretteville</t>
  </si>
  <si>
    <t>Breuville</t>
  </si>
  <si>
    <t>Bréville-sur-Mer</t>
  </si>
  <si>
    <t>Bricquebec-en-Cotentin</t>
  </si>
  <si>
    <t>Bricquebosq</t>
  </si>
  <si>
    <t>Bricqueville-la-Blouette</t>
  </si>
  <si>
    <t>Bricqueville-sur-Mer</t>
  </si>
  <si>
    <t>Brillevast</t>
  </si>
  <si>
    <t>Brix</t>
  </si>
  <si>
    <t>Cambernon</t>
  </si>
  <si>
    <t>Cametours</t>
  </si>
  <si>
    <t>Camprond</t>
  </si>
  <si>
    <t>Canisy</t>
  </si>
  <si>
    <t>Canteloup</t>
  </si>
  <si>
    <t>Canville-la-Rocque</t>
  </si>
  <si>
    <t>Carantilly</t>
  </si>
  <si>
    <t>Carneville</t>
  </si>
  <si>
    <t>Carolles</t>
  </si>
  <si>
    <t>Catteville</t>
  </si>
  <si>
    <t>Cavigny</t>
  </si>
  <si>
    <t>Cérences</t>
  </si>
  <si>
    <t>Cerisy-la-Forêt</t>
  </si>
  <si>
    <t>Cerisy-la-Salle</t>
  </si>
  <si>
    <t>Champrepus</t>
  </si>
  <si>
    <t>Chanteloup</t>
  </si>
  <si>
    <t>La Chapelle-Cécelin</t>
  </si>
  <si>
    <t>Cherbourg-en-Cotentin</t>
  </si>
  <si>
    <t>Chérencé-le-Héron</t>
  </si>
  <si>
    <t>Clitourps</t>
  </si>
  <si>
    <t>Colomby</t>
  </si>
  <si>
    <t>Condé-sur-Vire</t>
  </si>
  <si>
    <t>Vicq-sur-Mer</t>
  </si>
  <si>
    <t>Coudeville-sur-Mer</t>
  </si>
  <si>
    <t>Courcy</t>
  </si>
  <si>
    <t>Coutances</t>
  </si>
  <si>
    <t>Couvains</t>
  </si>
  <si>
    <t>Couville</t>
  </si>
  <si>
    <t>Crosville-sur-Douve</t>
  </si>
  <si>
    <t>Dangy</t>
  </si>
  <si>
    <t>Denneville</t>
  </si>
  <si>
    <t>Le Dézert</t>
  </si>
  <si>
    <t>Digosville</t>
  </si>
  <si>
    <t>Domjean</t>
  </si>
  <si>
    <t>Donville-les-Bains</t>
  </si>
  <si>
    <t>Écausseville</t>
  </si>
  <si>
    <t>Émondeville</t>
  </si>
  <si>
    <t>Equeurdreville-Hainneville</t>
  </si>
  <si>
    <t>Équilly</t>
  </si>
  <si>
    <t>Éroudeville</t>
  </si>
  <si>
    <t>L'Étang-Bertrand</t>
  </si>
  <si>
    <t>Fermanville</t>
  </si>
  <si>
    <t>Frevaches</t>
  </si>
  <si>
    <t>Fierville-les-Mines</t>
  </si>
  <si>
    <t>Flamanville</t>
  </si>
  <si>
    <t>Flottemanville</t>
  </si>
  <si>
    <t>Folligny</t>
  </si>
  <si>
    <t>Fontenay-sur-Mer</t>
  </si>
  <si>
    <t>Fourneaux</t>
  </si>
  <si>
    <t>Fresville</t>
  </si>
  <si>
    <t>Gatteville-le-Phare</t>
  </si>
  <si>
    <t>Gavray-sur-Sienne</t>
  </si>
  <si>
    <t>Ger</t>
  </si>
  <si>
    <t>La-glacerie</t>
  </si>
  <si>
    <t>Golleville</t>
  </si>
  <si>
    <t>Gonneville-Le Theil</t>
  </si>
  <si>
    <t>Gouvets</t>
  </si>
  <si>
    <t>Gouville-sur-Mer</t>
  </si>
  <si>
    <t>Graignes-Mesnil-Angot</t>
  </si>
  <si>
    <t>Granville</t>
  </si>
  <si>
    <t>Gratot</t>
  </si>
  <si>
    <t>Grimesnil</t>
  </si>
  <si>
    <t>Grosville</t>
  </si>
  <si>
    <t>Guilberville</t>
  </si>
  <si>
    <t>Le Ham</t>
  </si>
  <si>
    <t>Hambye</t>
  </si>
  <si>
    <t>Hardinvast</t>
  </si>
  <si>
    <t>Hauteville-sur-Mer</t>
  </si>
  <si>
    <t>Hauteville-la-Guichard</t>
  </si>
  <si>
    <t>Hautteville-Bocage</t>
  </si>
  <si>
    <t>La Haye-d'Ectot</t>
  </si>
  <si>
    <t>La Haye-Pesnel</t>
  </si>
  <si>
    <t>Héauville</t>
  </si>
  <si>
    <t>Thèreval</t>
  </si>
  <si>
    <t>Helleville</t>
  </si>
  <si>
    <t>Hémevez</t>
  </si>
  <si>
    <t>Heugueville-sur-Sienne</t>
  </si>
  <si>
    <t>Hocquigny</t>
  </si>
  <si>
    <t>Le-Hommet-D'Arthenay</t>
  </si>
  <si>
    <t>Huberville</t>
  </si>
  <si>
    <t>Hudimesnil</t>
  </si>
  <si>
    <t>Joganville</t>
  </si>
  <si>
    <t>Lamberville</t>
  </si>
  <si>
    <t>Lengronne</t>
  </si>
  <si>
    <t>Lestre</t>
  </si>
  <si>
    <t>Lieusaint</t>
  </si>
  <si>
    <t>Tourneville-sur-Mer</t>
  </si>
  <si>
    <t>Le Loreur</t>
  </si>
  <si>
    <t>Le Lorey</t>
  </si>
  <si>
    <t>Lozon</t>
  </si>
  <si>
    <t>La Lucerne-d'Outremer</t>
  </si>
  <si>
    <t>La Luzerne</t>
  </si>
  <si>
    <t>Magneville</t>
  </si>
  <si>
    <t>Marigny-Le-Lozon</t>
  </si>
  <si>
    <t>Martinvast</t>
  </si>
  <si>
    <t>Maupertus-sur-Mer</t>
  </si>
  <si>
    <t>La Meauffe</t>
  </si>
  <si>
    <t>Le Mesnil</t>
  </si>
  <si>
    <t>Le Mesnil-Amey</t>
  </si>
  <si>
    <t>Le Mesnil-Aubert</t>
  </si>
  <si>
    <t>Le Mesnil-au-Val</t>
  </si>
  <si>
    <t>Le Mesnil-Eury</t>
  </si>
  <si>
    <t>Le Mesnil-Garnier</t>
  </si>
  <si>
    <t>Le Mesnil-Gilbert</t>
  </si>
  <si>
    <t>Le Mesnillard</t>
  </si>
  <si>
    <t>Le Mesnil-Ozenne</t>
  </si>
  <si>
    <t>Le Mesnil-Rouxelin</t>
  </si>
  <si>
    <t>Le Mesnil-Véneron</t>
  </si>
  <si>
    <t>Le Haye D'Ectot</t>
  </si>
  <si>
    <t>Le Mesnil-Villeman</t>
  </si>
  <si>
    <t>La Meurdraquière</t>
  </si>
  <si>
    <t>Les Moitiers-d'Allonne</t>
  </si>
  <si>
    <t>Montaigu-la-Brisette</t>
  </si>
  <si>
    <t>Montaigu-les-Bois</t>
  </si>
  <si>
    <t>Montcuit</t>
  </si>
  <si>
    <t>Montebourg</t>
  </si>
  <si>
    <t>Montfarville</t>
  </si>
  <si>
    <t>Monthuchon</t>
  </si>
  <si>
    <t>Montmartin-sur-Mer</t>
  </si>
  <si>
    <t>Montpinchon</t>
  </si>
  <si>
    <t>Montrabot</t>
  </si>
  <si>
    <t>Montreuil-sur-Lozon</t>
  </si>
  <si>
    <t>Moon-sur-Elle</t>
  </si>
  <si>
    <t>Morigny</t>
  </si>
  <si>
    <t>Morville</t>
  </si>
  <si>
    <t>La Mouche</t>
  </si>
  <si>
    <t>Moyon Villages</t>
  </si>
  <si>
    <t>Muneville-le-Bingard</t>
  </si>
  <si>
    <t>Muneville-sur-Mer</t>
  </si>
  <si>
    <t>Négreville</t>
  </si>
  <si>
    <t>Néhou</t>
  </si>
  <si>
    <t>Neuville-en-Beaumont</t>
  </si>
  <si>
    <t>Nicorps</t>
  </si>
  <si>
    <t>Notre-Dame-de-Cenilly</t>
  </si>
  <si>
    <t>Notre-Dame-de-Livoye</t>
  </si>
  <si>
    <t>Nouainville</t>
  </si>
  <si>
    <t>Octeville-l'Avenel</t>
  </si>
  <si>
    <t>Orglandes</t>
  </si>
  <si>
    <t>Orval sur Sienne</t>
  </si>
  <si>
    <t>Ouville</t>
  </si>
  <si>
    <t>Ozeville</t>
  </si>
  <si>
    <t>La Pernelle</t>
  </si>
  <si>
    <t>Le Perron</t>
  </si>
  <si>
    <t>Pierreville</t>
  </si>
  <si>
    <t>Les Pieux</t>
  </si>
  <si>
    <t>Pirou</t>
  </si>
  <si>
    <t>Pont-Hébert</t>
  </si>
  <si>
    <t>Port-Bail-sur-Mer</t>
  </si>
  <si>
    <t>Précey</t>
  </si>
  <si>
    <t>quesqueville</t>
  </si>
  <si>
    <t>Quettehou</t>
  </si>
  <si>
    <t>Quettreville-sur-Sienne</t>
  </si>
  <si>
    <t>Quibou</t>
  </si>
  <si>
    <t>Quinéville</t>
  </si>
  <si>
    <t>Rampan</t>
  </si>
  <si>
    <t>Rauville-la-Bigot</t>
  </si>
  <si>
    <t>Rauville-la-Place</t>
  </si>
  <si>
    <t>Regnéville-sur-Mer</t>
  </si>
  <si>
    <t>Reigneville-Bocage</t>
  </si>
  <si>
    <t>Remilly Les Marais</t>
  </si>
  <si>
    <t>Réville</t>
  </si>
  <si>
    <t>Rocheville</t>
  </si>
  <si>
    <t>Roncey</t>
  </si>
  <si>
    <t>Rouxeville</t>
  </si>
  <si>
    <t>Le Rozel</t>
  </si>
  <si>
    <t>Saint-Amand-Villages</t>
  </si>
  <si>
    <t>Saint-André-de-l'Épine</t>
  </si>
  <si>
    <t>Saint-Aubin-des-Préaux</t>
  </si>
  <si>
    <t>Saint-Christophe-du-Foc</t>
  </si>
  <si>
    <t>Saint-Clair-sur-l'Elle</t>
  </si>
  <si>
    <t>Sainte-Colombe</t>
  </si>
  <si>
    <t>Saint-Denis-le-Gast</t>
  </si>
  <si>
    <t>Saint-Denis-le-Vêtu</t>
  </si>
  <si>
    <t>Saint-Ebremand-De-Bonfosse</t>
  </si>
  <si>
    <t>Saint-Floxel</t>
  </si>
  <si>
    <t>Saint-Fromond</t>
  </si>
  <si>
    <t>Sainte-Geneviève</t>
  </si>
  <si>
    <t>Saint-Georges-de-la-Rivière</t>
  </si>
  <si>
    <t>Saint-Georges-d'Elle</t>
  </si>
  <si>
    <t>Saint-Georges-Montcocq</t>
  </si>
  <si>
    <t>Saint-Germain-d'Elle</t>
  </si>
  <si>
    <t>Saint-Germain-de-Tournebut</t>
  </si>
  <si>
    <t>Saint-Jacques-de-Néhou</t>
  </si>
  <si>
    <t>Saint-Jean-de-Daye</t>
  </si>
  <si>
    <t>Saint-Jean-de-la-Rivière</t>
  </si>
  <si>
    <t>Saint-Jean-de-Savigny</t>
  </si>
  <si>
    <t>Saint-Jean-d'Elle</t>
  </si>
  <si>
    <t>Saint-Jean-des-Champs</t>
  </si>
  <si>
    <t>Saint-Lô</t>
  </si>
  <si>
    <t>Saint-Lô-D'Ourville</t>
  </si>
  <si>
    <t>Saint-Louet-sur-Vire</t>
  </si>
  <si>
    <t>Saint-Malo-de-la-Lande</t>
  </si>
  <si>
    <t>Saint-Marcouf</t>
  </si>
  <si>
    <t>Saint-Martin-d'Audouville</t>
  </si>
  <si>
    <t>Saint-Martin-de-Bonfossé</t>
  </si>
  <si>
    <t>Saint-Martin-de-Cenilly</t>
  </si>
  <si>
    <t>Saint-Martin-le-Gréard</t>
  </si>
  <si>
    <t>Saint-Maurice-en-Cotentin</t>
  </si>
  <si>
    <t>Saint-Pair-sur-Mer</t>
  </si>
  <si>
    <t>Saint-Pierre-d'Arthéglise</t>
  </si>
  <si>
    <t>Saint-Pierre-de-Coutances</t>
  </si>
  <si>
    <t>Saint-Pierre-de-Semilly</t>
  </si>
  <si>
    <t>Saint-Pierre-Église</t>
  </si>
  <si>
    <t>Saint-Pierre-Langers</t>
  </si>
  <si>
    <t>Saint-Planchers</t>
  </si>
  <si>
    <t>Bourgvallées</t>
  </si>
  <si>
    <t>Saint-Sauveur-la-Pommeraye</t>
  </si>
  <si>
    <t>Saint-Sauveur-Villages</t>
  </si>
  <si>
    <t>Saint-Sauveur-le-Vicomte</t>
  </si>
  <si>
    <t>Sainte-Suzanne-sur-Vire</t>
  </si>
  <si>
    <t>Saint-Vaast-la-Hougue</t>
  </si>
  <si>
    <t>Saint-Vigor-des-Monts</t>
  </si>
  <si>
    <t>Saussemesnil</t>
  </si>
  <si>
    <t>Saussey</t>
  </si>
  <si>
    <t>Savigny</t>
  </si>
  <si>
    <t>Sénoville</t>
  </si>
  <si>
    <t>Sideville</t>
  </si>
  <si>
    <t>Siouville-Hague</t>
  </si>
  <si>
    <t>Sortosville-en-Beaumont</t>
  </si>
  <si>
    <t>Sortosville</t>
  </si>
  <si>
    <t>Sottevast</t>
  </si>
  <si>
    <t>Sotteville</t>
  </si>
  <si>
    <t>Surtainville</t>
  </si>
  <si>
    <t>Taillepied</t>
  </si>
  <si>
    <t>Tamerville</t>
  </si>
  <si>
    <t>Tessy-Bocage</t>
  </si>
  <si>
    <t>Teurthéville-Bocage</t>
  </si>
  <si>
    <t>Teurthéville-Hague</t>
  </si>
  <si>
    <t>Théville</t>
  </si>
  <si>
    <t>Tocqueville</t>
  </si>
  <si>
    <t>Tollevast</t>
  </si>
  <si>
    <t>Torigny-les-Villes</t>
  </si>
  <si>
    <t>Tourville-sur-Sienne</t>
  </si>
  <si>
    <t>Tréauville</t>
  </si>
  <si>
    <t>Urville</t>
  </si>
  <si>
    <t>Valcanville</t>
  </si>
  <si>
    <t>Valognes</t>
  </si>
  <si>
    <t>Varouville</t>
  </si>
  <si>
    <t>Le Vast</t>
  </si>
  <si>
    <t>Vaudreville</t>
  </si>
  <si>
    <t>La Vendelée</t>
  </si>
  <si>
    <t>Ver</t>
  </si>
  <si>
    <t>Le Vicel</t>
  </si>
  <si>
    <t>Videcosville</t>
  </si>
  <si>
    <t>Villiers-Fossard</t>
  </si>
  <si>
    <t>Virandeville</t>
  </si>
  <si>
    <t>Yquelon</t>
  </si>
  <si>
    <t>Yvetot-Bocage</t>
  </si>
  <si>
    <t>Aigny</t>
  </si>
  <si>
    <t>Ambonnay</t>
  </si>
  <si>
    <t>Ambrières</t>
  </si>
  <si>
    <t>Anthenay</t>
  </si>
  <si>
    <t>Aougny</t>
  </si>
  <si>
    <t>Arcis-le-Ponsart</t>
  </si>
  <si>
    <t>Athis</t>
  </si>
  <si>
    <t>Aubérive</t>
  </si>
  <si>
    <t>Aubilly</t>
  </si>
  <si>
    <t>Aulnay-sur-Marne</t>
  </si>
  <si>
    <t>Auménancourt</t>
  </si>
  <si>
    <t>Avenay-Val-d'Or</t>
  </si>
  <si>
    <t>Avize</t>
  </si>
  <si>
    <t>Aÿ-Champagne</t>
  </si>
  <si>
    <t>Baconnes</t>
  </si>
  <si>
    <t>Baslieux-lès-Fismes</t>
  </si>
  <si>
    <t>Bazancourt</t>
  </si>
  <si>
    <t>Beaumont-sur-Vesle</t>
  </si>
  <si>
    <t>Beine-Nauroy</t>
  </si>
  <si>
    <t>Bergères-lès-Vertus</t>
  </si>
  <si>
    <t>Berméricourt</t>
  </si>
  <si>
    <t>Berru</t>
  </si>
  <si>
    <t>Bétheniville</t>
  </si>
  <si>
    <t>Bétheny</t>
  </si>
  <si>
    <t>Bezannes</t>
  </si>
  <si>
    <t>Billy-le-Grand</t>
  </si>
  <si>
    <t>Binarville</t>
  </si>
  <si>
    <t>Bligny</t>
  </si>
  <si>
    <t>Bouleuse</t>
  </si>
  <si>
    <t>Boult-sur-Suippe</t>
  </si>
  <si>
    <t>Bourgogne-Fresne</t>
  </si>
  <si>
    <t>Bouvancourt</t>
  </si>
  <si>
    <t>Bouy</t>
  </si>
  <si>
    <t>Bouzy</t>
  </si>
  <si>
    <t>Branscourt</t>
  </si>
  <si>
    <t>Breuil-sur-Vesle</t>
  </si>
  <si>
    <t>Brimont</t>
  </si>
  <si>
    <t>Brouillet</t>
  </si>
  <si>
    <t>Brugny-Vaudancourt</t>
  </si>
  <si>
    <t>Bussy-Lettrée</t>
  </si>
  <si>
    <t>Caurel</t>
  </si>
  <si>
    <t>Cauroy-lès-Hermonville</t>
  </si>
  <si>
    <t>Cernay-lès-Reims</t>
  </si>
  <si>
    <t>Chaintrix-Bierges</t>
  </si>
  <si>
    <t>Châlons-en-Champagne</t>
  </si>
  <si>
    <t>Châlons-sur-Vesle</t>
  </si>
  <si>
    <t>Chaltrait</t>
  </si>
  <si>
    <t>Chambrecy</t>
  </si>
  <si>
    <t>Chamery</t>
  </si>
  <si>
    <t>Champfleury</t>
  </si>
  <si>
    <t>Champigneul-Champagne</t>
  </si>
  <si>
    <t>Champigny</t>
  </si>
  <si>
    <t>Champillon</t>
  </si>
  <si>
    <t>Chaumuzy</t>
  </si>
  <si>
    <t>Chavot-Courcourt</t>
  </si>
  <si>
    <t>Chenay</t>
  </si>
  <si>
    <t>Cheniers</t>
  </si>
  <si>
    <t>Cherville</t>
  </si>
  <si>
    <t>Chigny-les-Roses</t>
  </si>
  <si>
    <t>Chouilly</t>
  </si>
  <si>
    <t>Clamanges</t>
  </si>
  <si>
    <t>Val-des-Marais</t>
  </si>
  <si>
    <t>Compertrix</t>
  </si>
  <si>
    <t>Condé-sur-Marne</t>
  </si>
  <si>
    <t>Coolus</t>
  </si>
  <si>
    <t>Cormicy</t>
  </si>
  <si>
    <t>Cormontreuil</t>
  </si>
  <si>
    <t>Coulommes-la-Montagne</t>
  </si>
  <si>
    <t>Courcelles-Sapicourt</t>
  </si>
  <si>
    <t>Courlandon</t>
  </si>
  <si>
    <t>Courmas</t>
  </si>
  <si>
    <t>Courtagnon</t>
  </si>
  <si>
    <t>Courville</t>
  </si>
  <si>
    <t>Cramant</t>
  </si>
  <si>
    <t>Crugny</t>
  </si>
  <si>
    <t>Cuis</t>
  </si>
  <si>
    <t>Cuisles</t>
  </si>
  <si>
    <t>Cumières</t>
  </si>
  <si>
    <t>Dampierre-au-Temple</t>
  </si>
  <si>
    <t>Dizy</t>
  </si>
  <si>
    <t>Dommartin-Lettrée</t>
  </si>
  <si>
    <t>Dontrien</t>
  </si>
  <si>
    <t>Écueil</t>
  </si>
  <si>
    <t>Écury-le-Repos</t>
  </si>
  <si>
    <t>Épernay</t>
  </si>
  <si>
    <t>L'Épine</t>
  </si>
  <si>
    <t>Époye</t>
  </si>
  <si>
    <t>Étréchy</t>
  </si>
  <si>
    <t>Fagnières</t>
  </si>
  <si>
    <t>Faverolles-et-Coëmy</t>
  </si>
  <si>
    <t>Fismes</t>
  </si>
  <si>
    <t>Flavigny</t>
  </si>
  <si>
    <t>Fontaine-sur-Ay</t>
  </si>
  <si>
    <t>Germaine</t>
  </si>
  <si>
    <t>Germigny</t>
  </si>
  <si>
    <t>Germinon</t>
  </si>
  <si>
    <t>Gigny-Bussy</t>
  </si>
  <si>
    <t>Givry-lès-Loisy</t>
  </si>
  <si>
    <t>Les Grandes-Loges</t>
  </si>
  <si>
    <t>Grauves</t>
  </si>
  <si>
    <t>Gueux</t>
  </si>
  <si>
    <t>Haussimont</t>
  </si>
  <si>
    <t>Hautvillers</t>
  </si>
  <si>
    <t>Hermonville</t>
  </si>
  <si>
    <t>Heutrégiville</t>
  </si>
  <si>
    <t>Hourges</t>
  </si>
  <si>
    <t>Isles-sur-Suippe</t>
  </si>
  <si>
    <t>Isse</t>
  </si>
  <si>
    <t>Les Istres-et-Bury</t>
  </si>
  <si>
    <t>Jâlons</t>
  </si>
  <si>
    <t>Janvry</t>
  </si>
  <si>
    <t>Jonchery-sur-Vesle</t>
  </si>
  <si>
    <t>Jonquery</t>
  </si>
  <si>
    <t>Jouy-lès-Reims</t>
  </si>
  <si>
    <t>Lagery</t>
  </si>
  <si>
    <t>Landricourt</t>
  </si>
  <si>
    <t>Lavannes</t>
  </si>
  <si>
    <t>Lenharrée</t>
  </si>
  <si>
    <t>Lhéry</t>
  </si>
  <si>
    <t>Livry-Louvercy</t>
  </si>
  <si>
    <t>Loisy-en-Brie</t>
  </si>
  <si>
    <t>Loivre</t>
  </si>
  <si>
    <t>Ludes</t>
  </si>
  <si>
    <t>Magneux</t>
  </si>
  <si>
    <t>Mailly-Champagne</t>
  </si>
  <si>
    <t>Mancy</t>
  </si>
  <si>
    <t>Mardeuil</t>
  </si>
  <si>
    <t>Mareuil-le-Port</t>
  </si>
  <si>
    <t>Marfaux</t>
  </si>
  <si>
    <t>Matougues</t>
  </si>
  <si>
    <t>Merfy</t>
  </si>
  <si>
    <t>Méry-Prémecy</t>
  </si>
  <si>
    <t>Les Mesneux</t>
  </si>
  <si>
    <t>Le Mesnil-sur-Oger</t>
  </si>
  <si>
    <t>Moncetz-Longevas</t>
  </si>
  <si>
    <t>Montbré</t>
  </si>
  <si>
    <t>Montépreux</t>
  </si>
  <si>
    <t>Monthelon</t>
  </si>
  <si>
    <t>Montigny-sur-Vesle</t>
  </si>
  <si>
    <t>Mont-sur-Courville</t>
  </si>
  <si>
    <t>Morangis</t>
  </si>
  <si>
    <t>Moslins</t>
  </si>
  <si>
    <t>Mourmelon-le-Grand</t>
  </si>
  <si>
    <t>Mourmelon-le-Petit</t>
  </si>
  <si>
    <t>Moussy</t>
  </si>
  <si>
    <t>Muizon</t>
  </si>
  <si>
    <t>Mutigny</t>
  </si>
  <si>
    <t>Nanteuil-la-Forêt</t>
  </si>
  <si>
    <t>Nogent-l'Abbesse</t>
  </si>
  <si>
    <t>Œuilly</t>
  </si>
  <si>
    <t>Oiry</t>
  </si>
  <si>
    <t>Olizy</t>
  </si>
  <si>
    <t>Pargny-lès-Reims</t>
  </si>
  <si>
    <t>Les Petites-Loges</t>
  </si>
  <si>
    <t>Pévy</t>
  </si>
  <si>
    <t>Pierre-Morains</t>
  </si>
  <si>
    <t>Pierry</t>
  </si>
  <si>
    <t>Plivot</t>
  </si>
  <si>
    <t>Pocancy</t>
  </si>
  <si>
    <t>Poilly</t>
  </si>
  <si>
    <t>Pomacle</t>
  </si>
  <si>
    <t>Pontfaverger-Moronvilliers</t>
  </si>
  <si>
    <t>Pouillon</t>
  </si>
  <si>
    <t>Pourcy</t>
  </si>
  <si>
    <t>Prosnes</t>
  </si>
  <si>
    <t>Prouilly</t>
  </si>
  <si>
    <t>Prunay</t>
  </si>
  <si>
    <t>Puisieulx</t>
  </si>
  <si>
    <t>Recy</t>
  </si>
  <si>
    <t>Reims</t>
  </si>
  <si>
    <t>Rilly-la-Montagne</t>
  </si>
  <si>
    <t>Romain</t>
  </si>
  <si>
    <t>Romigny</t>
  </si>
  <si>
    <t>Rosnay</t>
  </si>
  <si>
    <t>Rouffy</t>
  </si>
  <si>
    <t>Sacy</t>
  </si>
  <si>
    <t>Saint-Brice-Courcelles</t>
  </si>
  <si>
    <t>Saint-Étienne-au-Temple</t>
  </si>
  <si>
    <t>Saint-Étienne-sur-Suippe</t>
  </si>
  <si>
    <t>Saint-Eulien</t>
  </si>
  <si>
    <t>Saint-Euphraise-et-Clairizet</t>
  </si>
  <si>
    <t>Saint-Gibrien</t>
  </si>
  <si>
    <t>Saint-Hilaire-au-Temple</t>
  </si>
  <si>
    <t>Saint-Hilaire-le-Petit</t>
  </si>
  <si>
    <t>Saint-Imoges</t>
  </si>
  <si>
    <t>Saint-Léonard</t>
  </si>
  <si>
    <t>Saint-Mard-lès-Rouffy</t>
  </si>
  <si>
    <t>Saint-Martin-l'Heureux</t>
  </si>
  <si>
    <t>Saint-Martin-sur-le-Pré</t>
  </si>
  <si>
    <t>Saint-Masmes</t>
  </si>
  <si>
    <t>Saint-Memmie</t>
  </si>
  <si>
    <t>Saint-Pierre</t>
  </si>
  <si>
    <t>Saint-Souplet-sur-Py</t>
  </si>
  <si>
    <t>Saint-Thierry</t>
  </si>
  <si>
    <t>Saint-Vrain</t>
  </si>
  <si>
    <t>Sapignicourt</t>
  </si>
  <si>
    <t>Sarcy</t>
  </si>
  <si>
    <t>Sarry</t>
  </si>
  <si>
    <t>Savigny-sur-Ardres</t>
  </si>
  <si>
    <t>Selles</t>
  </si>
  <si>
    <t>Sept-Saulx</t>
  </si>
  <si>
    <t>Sermiers</t>
  </si>
  <si>
    <t>Serzy-et-Prin</t>
  </si>
  <si>
    <t>Sillery</t>
  </si>
  <si>
    <t>Sommesous</t>
  </si>
  <si>
    <t>Soudé</t>
  </si>
  <si>
    <t>Soudron</t>
  </si>
  <si>
    <t>Soulières</t>
  </si>
  <si>
    <t>Taissy</t>
  </si>
  <si>
    <t>Val de Livre</t>
  </si>
  <si>
    <t>Thibie</t>
  </si>
  <si>
    <t>Thillois</t>
  </si>
  <si>
    <t>Val-de-Vesle</t>
  </si>
  <si>
    <t>Tinqueux</t>
  </si>
  <si>
    <t>Tours-sur-Marne</t>
  </si>
  <si>
    <t>Tramery</t>
  </si>
  <si>
    <t>Trécon</t>
  </si>
  <si>
    <t>Trépail</t>
  </si>
  <si>
    <t>Treslon</t>
  </si>
  <si>
    <t>Trigny</t>
  </si>
  <si>
    <t>Trois-Fontaines-l'Abbaye</t>
  </si>
  <si>
    <t>Trois-Puits</t>
  </si>
  <si>
    <t>Unchair</t>
  </si>
  <si>
    <t>Vadenay</t>
  </si>
  <si>
    <t>Vandeuil</t>
  </si>
  <si>
    <t>Vassimont-et-Chapelaine</t>
  </si>
  <si>
    <t>Vatry</t>
  </si>
  <si>
    <t>Vaudemange</t>
  </si>
  <si>
    <t>Vaudesincourt</t>
  </si>
  <si>
    <t>Vélye</t>
  </si>
  <si>
    <t>Ventelay</t>
  </si>
  <si>
    <t>Vert-Toulon</t>
  </si>
  <si>
    <t>Blancs-Coteaux</t>
  </si>
  <si>
    <t>Verzenay</t>
  </si>
  <si>
    <t>Verzy</t>
  </si>
  <si>
    <t>La Veuve</t>
  </si>
  <si>
    <t>Ville-Dommange</t>
  </si>
  <si>
    <t>Ville-en-Selve</t>
  </si>
  <si>
    <t>Ville-en-Tardenois</t>
  </si>
  <si>
    <t>Villeneuve-Renneville-Chevigny</t>
  </si>
  <si>
    <t>Villers-Allerand</t>
  </si>
  <si>
    <t>Villers-aux-Bois</t>
  </si>
  <si>
    <t>Villers-aux-Nœuds</t>
  </si>
  <si>
    <t>Villers-Franqueux</t>
  </si>
  <si>
    <t>Villers-le-Château</t>
  </si>
  <si>
    <t>Villers-Marmery</t>
  </si>
  <si>
    <t>Villeseneux</t>
  </si>
  <si>
    <t>Vinay</t>
  </si>
  <si>
    <t>Voilemont</t>
  </si>
  <si>
    <t>Vouillers</t>
  </si>
  <si>
    <t>Vouzy</t>
  </si>
  <si>
    <t>Vraux</t>
  </si>
  <si>
    <t>Vrigny</t>
  </si>
  <si>
    <t>Warmeriville</t>
  </si>
  <si>
    <t>Witry-lès-Reims</t>
  </si>
  <si>
    <t>Magenta</t>
  </si>
  <si>
    <t>Ageville</t>
  </si>
  <si>
    <t>Allichamps</t>
  </si>
  <si>
    <t>Annéville-la-Prairie</t>
  </si>
  <si>
    <t>Attancourt</t>
  </si>
  <si>
    <t>Bailly-aux-Forges</t>
  </si>
  <si>
    <t>Bettancourt-la-Ferrée</t>
  </si>
  <si>
    <t>Biesles</t>
  </si>
  <si>
    <t>Blaisy</t>
  </si>
  <si>
    <t>Bologne</t>
  </si>
  <si>
    <t>Brethenay</t>
  </si>
  <si>
    <t>Briaucourt</t>
  </si>
  <si>
    <t>Brousseval</t>
  </si>
  <si>
    <t>Buxières-lès-Villiers</t>
  </si>
  <si>
    <t>Cerisières</t>
  </si>
  <si>
    <t>Chancenay</t>
  </si>
  <si>
    <t>Chaumont</t>
  </si>
  <si>
    <t>Chamarandes-Choignes</t>
  </si>
  <si>
    <t>Colombey les Deux Églises</t>
  </si>
  <si>
    <t>Condes</t>
  </si>
  <si>
    <t>Curmont</t>
  </si>
  <si>
    <t>Cuves</t>
  </si>
  <si>
    <t>Daillancourt</t>
  </si>
  <si>
    <t>Domblain</t>
  </si>
  <si>
    <t>Dommartin-le-Franc</t>
  </si>
  <si>
    <t>Doulevant-le-Petit</t>
  </si>
  <si>
    <t>Éclaron-Braucourt-Sainte-Livière</t>
  </si>
  <si>
    <t>Esnouveaux</t>
  </si>
  <si>
    <t>Euffigneix</t>
  </si>
  <si>
    <t>Fays</t>
  </si>
  <si>
    <t>Forcey</t>
  </si>
  <si>
    <t>Foulain</t>
  </si>
  <si>
    <t>Froncles</t>
  </si>
  <si>
    <t>La Genevroye</t>
  </si>
  <si>
    <t>Gillancourt</t>
  </si>
  <si>
    <t>Guindrecourt-sur-Blaise</t>
  </si>
  <si>
    <t>Hallignicourt</t>
  </si>
  <si>
    <t>Humbécourt</t>
  </si>
  <si>
    <t>Jonchery</t>
  </si>
  <si>
    <t>Juzennecourt</t>
  </si>
  <si>
    <t>Lachapelle-en-Blaisy</t>
  </si>
  <si>
    <t>Lamancine</t>
  </si>
  <si>
    <t>Laneuville-au-Pont</t>
  </si>
  <si>
    <t>Lanques-sur-Rognon</t>
  </si>
  <si>
    <t>Laville-aux-Bois</t>
  </si>
  <si>
    <t>Louvemont</t>
  </si>
  <si>
    <t>Louvières</t>
  </si>
  <si>
    <t>Luzy-sur-Marne</t>
  </si>
  <si>
    <t>Mandres-la-Côte</t>
  </si>
  <si>
    <t>Marbéville</t>
  </si>
  <si>
    <t>Marnay-sur-Marne</t>
  </si>
  <si>
    <t>Meures</t>
  </si>
  <si>
    <t>Mirbel</t>
  </si>
  <si>
    <t>Moëslains</t>
  </si>
  <si>
    <t>Montreuil-sur-Blaise</t>
  </si>
  <si>
    <t>Morancourt</t>
  </si>
  <si>
    <t>Neuilly-sur-Suize</t>
  </si>
  <si>
    <t>Ninville</t>
  </si>
  <si>
    <t>Nogent</t>
  </si>
  <si>
    <t>Ormoy-lès-Sexfontaines</t>
  </si>
  <si>
    <t>Oudincourt</t>
  </si>
  <si>
    <t>Perthes</t>
  </si>
  <si>
    <t>Poinson-lès-Nogent</t>
  </si>
  <si>
    <t>Poulangy</t>
  </si>
  <si>
    <t>Rachecourt-Suzémont</t>
  </si>
  <si>
    <t>Rennepont</t>
  </si>
  <si>
    <t>Riaucourt</t>
  </si>
  <si>
    <t>Rizaucourt-Buchey</t>
  </si>
  <si>
    <t>Rochefort-sur-la-Côte</t>
  </si>
  <si>
    <t>Rouécourt</t>
  </si>
  <si>
    <t>Saint-Dizier</t>
  </si>
  <si>
    <t>Sarcey</t>
  </si>
  <si>
    <t>Semoutiers-Montsaon</t>
  </si>
  <si>
    <t>Sexfontaines</t>
  </si>
  <si>
    <t>Sommancourt</t>
  </si>
  <si>
    <t>Soncourt-sur-Marne</t>
  </si>
  <si>
    <t>Thivet</t>
  </si>
  <si>
    <t>Treix</t>
  </si>
  <si>
    <t>Troisfontaines-la-Ville</t>
  </si>
  <si>
    <t>Valcourt</t>
  </si>
  <si>
    <t>Valleret</t>
  </si>
  <si>
    <t>Vaux-sur-Blaise</t>
  </si>
  <si>
    <t>Verbiesles</t>
  </si>
  <si>
    <t>Vesaignes-sur-Marne</t>
  </si>
  <si>
    <t>Viéville</t>
  </si>
  <si>
    <t>Ville-en-Blaisois</t>
  </si>
  <si>
    <t>Villiers-en-Lieu</t>
  </si>
  <si>
    <t>Villiers-le-Sec</t>
  </si>
  <si>
    <t>Vitry-lès-Nogent</t>
  </si>
  <si>
    <t>Voillecomte</t>
  </si>
  <si>
    <t>Vouécourt</t>
  </si>
  <si>
    <t>Vraincourt</t>
  </si>
  <si>
    <t>Wassy</t>
  </si>
  <si>
    <t>Ahuillé</t>
  </si>
  <si>
    <t>Alexain</t>
  </si>
  <si>
    <t>Argentré</t>
  </si>
  <si>
    <t>Aron</t>
  </si>
  <si>
    <t>La Bazoge-Montpinçon</t>
  </si>
  <si>
    <t>Beaulieu-sur-Oudon</t>
  </si>
  <si>
    <t>Belgeard</t>
  </si>
  <si>
    <t>Bonchamp-lès-Laval</t>
  </si>
  <si>
    <t>Le Bourgneuf-la-Forêt</t>
  </si>
  <si>
    <t>Bourgon</t>
  </si>
  <si>
    <t>La Brûlatte</t>
  </si>
  <si>
    <t>Châlons-du-Maine</t>
  </si>
  <si>
    <t>Champéon</t>
  </si>
  <si>
    <t>Changé</t>
  </si>
  <si>
    <t>La Chapelle-Anthenaise</t>
  </si>
  <si>
    <t>La Chapelle-au-Riboul</t>
  </si>
  <si>
    <t>Charchigné</t>
  </si>
  <si>
    <t>Commer</t>
  </si>
  <si>
    <t>Contest</t>
  </si>
  <si>
    <t>Entrammes</t>
  </si>
  <si>
    <t>Forcé</t>
  </si>
  <si>
    <t>Le Genest-Saint-Isle</t>
  </si>
  <si>
    <t>La Gravelle</t>
  </si>
  <si>
    <t>Grazay</t>
  </si>
  <si>
    <t>La Haie-Traversaine</t>
  </si>
  <si>
    <t>Hardanges</t>
  </si>
  <si>
    <t>Le Horps</t>
  </si>
  <si>
    <t>Le Housseau-Brétignolles</t>
  </si>
  <si>
    <t>L'Huisserie</t>
  </si>
  <si>
    <t>Jublains</t>
  </si>
  <si>
    <t>Lassay-les-Châteaux</t>
  </si>
  <si>
    <t>Launay-Villiers</t>
  </si>
  <si>
    <t>Laval</t>
  </si>
  <si>
    <t>Loiron-Ruillé</t>
  </si>
  <si>
    <t>Louverné</t>
  </si>
  <si>
    <t>Louvigné</t>
  </si>
  <si>
    <t>Marcillé-la-Ville</t>
  </si>
  <si>
    <t>Martigné-sur-Mayenne</t>
  </si>
  <si>
    <t>Mayenne</t>
  </si>
  <si>
    <t>Montflours</t>
  </si>
  <si>
    <t>Montigné-le-Brillant</t>
  </si>
  <si>
    <t>Montjean</t>
  </si>
  <si>
    <t>Montreuil-Poulay</t>
  </si>
  <si>
    <t>Moulay</t>
  </si>
  <si>
    <t>Nuillé-sur-Vicoin</t>
  </si>
  <si>
    <t>Parigné-sur-Braye</t>
  </si>
  <si>
    <t>Parné-sur-Roc</t>
  </si>
  <si>
    <t>Placé</t>
  </si>
  <si>
    <t>Port-Brillet</t>
  </si>
  <si>
    <t>Rennes-en-Grenouilles</t>
  </si>
  <si>
    <t>Le Ribay</t>
  </si>
  <si>
    <t>Sacé</t>
  </si>
  <si>
    <t>Saint-Baudelle</t>
  </si>
  <si>
    <t>Saint-Berthevin</t>
  </si>
  <si>
    <t>Saint-Cyr-le-Gravelais</t>
  </si>
  <si>
    <t>Saint-Fraimbault-de-Prières</t>
  </si>
  <si>
    <t>Saint-Georges-Buttavent</t>
  </si>
  <si>
    <t>Saint-Germain-d'Anxure</t>
  </si>
  <si>
    <t>Saint-Germain-le-Fouilloux</t>
  </si>
  <si>
    <t>Saint-Jean-sur-Mayenne</t>
  </si>
  <si>
    <t>Saint-Julien-du-Terroux</t>
  </si>
  <si>
    <t>Sainte-Marie-du-Bois</t>
  </si>
  <si>
    <t>Saint-Ouën-des-Toits</t>
  </si>
  <si>
    <t>Saint-Pierre-la-Cour</t>
  </si>
  <si>
    <t>Soulgé-sur-Ouette</t>
  </si>
  <si>
    <t>Thubœuf</t>
  </si>
  <si>
    <t>Abbéville-lès-Conflans</t>
  </si>
  <si>
    <t>Affléville</t>
  </si>
  <si>
    <t>Aingeray</t>
  </si>
  <si>
    <t>Allamont</t>
  </si>
  <si>
    <t>Amenoncourt</t>
  </si>
  <si>
    <t>Ancerviller</t>
  </si>
  <si>
    <t>Anderny</t>
  </si>
  <si>
    <t>Andilly</t>
  </si>
  <si>
    <t>Anoux</t>
  </si>
  <si>
    <t>Ansauville</t>
  </si>
  <si>
    <t>Anthelupt</t>
  </si>
  <si>
    <t>Arnaville</t>
  </si>
  <si>
    <t>Arracourt</t>
  </si>
  <si>
    <t>Art-sur-Meurthe</t>
  </si>
  <si>
    <t>Athienville</t>
  </si>
  <si>
    <t>Atton</t>
  </si>
  <si>
    <t>Auboué</t>
  </si>
  <si>
    <t>Audun-le-Roman</t>
  </si>
  <si>
    <t>Autrepierre</t>
  </si>
  <si>
    <t>Autreville-sur-Moselle</t>
  </si>
  <si>
    <t>Avillers</t>
  </si>
  <si>
    <t>Avrainville</t>
  </si>
  <si>
    <t>Avricourt</t>
  </si>
  <si>
    <t>Avril</t>
  </si>
  <si>
    <t>Azelot</t>
  </si>
  <si>
    <t>Azerailles</t>
  </si>
  <si>
    <t>Baccarat</t>
  </si>
  <si>
    <t>Bainville-sur-Madon</t>
  </si>
  <si>
    <t>Barbas</t>
  </si>
  <si>
    <t>Barbonville</t>
  </si>
  <si>
    <t>Les Baroches</t>
  </si>
  <si>
    <t>Bathelémont</t>
  </si>
  <si>
    <t>Batilly</t>
  </si>
  <si>
    <t>Bauzemont</t>
  </si>
  <si>
    <t>Bayon</t>
  </si>
  <si>
    <t>Bayonville-sur-Mad</t>
  </si>
  <si>
    <t>Béchamps</t>
  </si>
  <si>
    <t>Belleville</t>
  </si>
  <si>
    <t>Bénaménil</t>
  </si>
  <si>
    <t>Bernécourt</t>
  </si>
  <si>
    <t>Bertrichamps</t>
  </si>
  <si>
    <t>Bettainvillers</t>
  </si>
  <si>
    <t>Beuvillers</t>
  </si>
  <si>
    <t>Bezange-la-Grande</t>
  </si>
  <si>
    <t>Bezaumont</t>
  </si>
  <si>
    <t>Bicqueley</t>
  </si>
  <si>
    <t>Bienville-la-Petite</t>
  </si>
  <si>
    <t>Bionville</t>
  </si>
  <si>
    <t>Blainville-sur-l'Eau</t>
  </si>
  <si>
    <t>Blâmont</t>
  </si>
  <si>
    <t>Blémerey</t>
  </si>
  <si>
    <t>Blénod-lès-Pont-à-Mousson</t>
  </si>
  <si>
    <t>Bonviller</t>
  </si>
  <si>
    <t>Mont-Bonvillers</t>
  </si>
  <si>
    <t>Borville</t>
  </si>
  <si>
    <t>Boucq</t>
  </si>
  <si>
    <t>Bouillonville</t>
  </si>
  <si>
    <t>Bouvron</t>
  </si>
  <si>
    <t>Bouxières-aux-Dames</t>
  </si>
  <si>
    <t>Bouxières-sous-Froidmont</t>
  </si>
  <si>
    <t>Brémoncourt</t>
  </si>
  <si>
    <t>Val de Briey</t>
  </si>
  <si>
    <t>Brouville</t>
  </si>
  <si>
    <t>Bruley</t>
  </si>
  <si>
    <t>Bruville</t>
  </si>
  <si>
    <t>Bures</t>
  </si>
  <si>
    <t>Buriville</t>
  </si>
  <si>
    <t>Burthecourt-aux-Chênes</t>
  </si>
  <si>
    <t>Chaligny</t>
  </si>
  <si>
    <t>Chambley-Bussières</t>
  </si>
  <si>
    <t>Champey-sur-Moselle</t>
  </si>
  <si>
    <t>Champigneulles</t>
  </si>
  <si>
    <t>Chanteheux</t>
  </si>
  <si>
    <t>Charey</t>
  </si>
  <si>
    <t>Charmes-la-Côte</t>
  </si>
  <si>
    <t>Charmois</t>
  </si>
  <si>
    <t>Chaudeney-sur-Moselle</t>
  </si>
  <si>
    <t>Chazelles-sur-Albe</t>
  </si>
  <si>
    <t>Chenevières</t>
  </si>
  <si>
    <t>Chenières</t>
  </si>
  <si>
    <t>Choloy-Ménillot</t>
  </si>
  <si>
    <t>Clayeures</t>
  </si>
  <si>
    <t>Coincourt</t>
  </si>
  <si>
    <t>Conflans-en-Jarnisy</t>
  </si>
  <si>
    <t>Cons-la-Grandville</t>
  </si>
  <si>
    <t>Cosnes-et-Romain</t>
  </si>
  <si>
    <t>Courbesseaux</t>
  </si>
  <si>
    <t>Coyviller</t>
  </si>
  <si>
    <t>Crévéchamps</t>
  </si>
  <si>
    <t>Crévic</t>
  </si>
  <si>
    <t>Crion</t>
  </si>
  <si>
    <t>Croismare</t>
  </si>
  <si>
    <t>Crusnes</t>
  </si>
  <si>
    <t>Custines</t>
  </si>
  <si>
    <t>Damelevières</t>
  </si>
  <si>
    <t>Dampvitoux</t>
  </si>
  <si>
    <t>Deneuvre</t>
  </si>
  <si>
    <t>Deuxville</t>
  </si>
  <si>
    <t>Dieulouard</t>
  </si>
  <si>
    <t>Dombasle-sur-Meurthe</t>
  </si>
  <si>
    <t>Domèvre-en-Haye</t>
  </si>
  <si>
    <t>Domèvre-sur-Vezouze</t>
  </si>
  <si>
    <t>Domgermain</t>
  </si>
  <si>
    <t>Domjevin</t>
  </si>
  <si>
    <t>Dommartemont</t>
  </si>
  <si>
    <t>Dommartin-la-Chaussée</t>
  </si>
  <si>
    <t>Dommartin-lès-Toul</t>
  </si>
  <si>
    <t>Domprix</t>
  </si>
  <si>
    <t>Domptail-en-l'Air</t>
  </si>
  <si>
    <t>Doncourt-lès-Conflans</t>
  </si>
  <si>
    <t>Drouville</t>
  </si>
  <si>
    <t>Écrouves</t>
  </si>
  <si>
    <t>Einvaux</t>
  </si>
  <si>
    <t>Einville-au-Jard</t>
  </si>
  <si>
    <t>Emberménil</t>
  </si>
  <si>
    <t>Errouville</t>
  </si>
  <si>
    <t>Essey-et-Maizerais</t>
  </si>
  <si>
    <t>Essey-la-Côte</t>
  </si>
  <si>
    <t>Essey-lès-Nancy</t>
  </si>
  <si>
    <t>Euvezin</t>
  </si>
  <si>
    <t>Faulx</t>
  </si>
  <si>
    <t>Ferrières</t>
  </si>
  <si>
    <t>Fey-en-Haye</t>
  </si>
  <si>
    <t>Fillières</t>
  </si>
  <si>
    <t>Flainval</t>
  </si>
  <si>
    <t>Flavigny-sur-Moselle</t>
  </si>
  <si>
    <t>Fléville-devant-Nancy</t>
  </si>
  <si>
    <t>Fléville-Lixières</t>
  </si>
  <si>
    <t>Flin</t>
  </si>
  <si>
    <t>Flirey</t>
  </si>
  <si>
    <t>Fontenoy-la-Joûte</t>
  </si>
  <si>
    <t>Fontenoy-sur-Moselle</t>
  </si>
  <si>
    <t>Foug</t>
  </si>
  <si>
    <t>Fraimbois</t>
  </si>
  <si>
    <t>Francheville</t>
  </si>
  <si>
    <t>Franconville</t>
  </si>
  <si>
    <t>Fréménil</t>
  </si>
  <si>
    <t>Frémonville</t>
  </si>
  <si>
    <t>Friauville</t>
  </si>
  <si>
    <t>Frolois</t>
  </si>
  <si>
    <t>Frouard</t>
  </si>
  <si>
    <t>Froville</t>
  </si>
  <si>
    <t>Gélacourt</t>
  </si>
  <si>
    <t>Gerbéviller</t>
  </si>
  <si>
    <t>Gézoncourt</t>
  </si>
  <si>
    <t>Giraumont</t>
  </si>
  <si>
    <t>Giriviller</t>
  </si>
  <si>
    <t>Glonville</t>
  </si>
  <si>
    <t>Gogney</t>
  </si>
  <si>
    <t>Gondrecourt-Aix</t>
  </si>
  <si>
    <t>Gondreville</t>
  </si>
  <si>
    <t>Gondrexon</t>
  </si>
  <si>
    <t>Gorcy</t>
  </si>
  <si>
    <t>Griscourt</t>
  </si>
  <si>
    <t>Grosrouvres</t>
  </si>
  <si>
    <t>Gye</t>
  </si>
  <si>
    <t>Hablainville</t>
  </si>
  <si>
    <t>Hagéville</t>
  </si>
  <si>
    <t>Haigneville</t>
  </si>
  <si>
    <t>Halloville</t>
  </si>
  <si>
    <t>Hamonville</t>
  </si>
  <si>
    <t>Hannonville-Suzémont</t>
  </si>
  <si>
    <t>Harbouey</t>
  </si>
  <si>
    <t>Hatrize</t>
  </si>
  <si>
    <t>Haucourt-Moulaine</t>
  </si>
  <si>
    <t>Haudonville</t>
  </si>
  <si>
    <t>Haussonville</t>
  </si>
  <si>
    <t>Heillecourt</t>
  </si>
  <si>
    <t>Hénaménil</t>
  </si>
  <si>
    <t>Herbéviller</t>
  </si>
  <si>
    <t>Hériménil</t>
  </si>
  <si>
    <t>Herserange</t>
  </si>
  <si>
    <t>Hoéville</t>
  </si>
  <si>
    <t>Homécourt</t>
  </si>
  <si>
    <t>Houdemont</t>
  </si>
  <si>
    <t>Hudiviller</t>
  </si>
  <si>
    <t>Hussigny-Godbrange</t>
  </si>
  <si>
    <t>Igney</t>
  </si>
  <si>
    <t>Jaillon</t>
  </si>
  <si>
    <t>Jarny</t>
  </si>
  <si>
    <t>Jarville-la-Malgrange</t>
  </si>
  <si>
    <t>Jaulny</t>
  </si>
  <si>
    <t>Jeandelize</t>
  </si>
  <si>
    <t>Jezainville</t>
  </si>
  <si>
    <t>Jœuf</t>
  </si>
  <si>
    <t>Jolivet</t>
  </si>
  <si>
    <t>Joppécourt</t>
  </si>
  <si>
    <t>Jouaville</t>
  </si>
  <si>
    <t>Joudreville</t>
  </si>
  <si>
    <t>Juvrecourt</t>
  </si>
  <si>
    <t>Labry</t>
  </si>
  <si>
    <t>Lachapelle</t>
  </si>
  <si>
    <t>Lagney</t>
  </si>
  <si>
    <t>Laix</t>
  </si>
  <si>
    <t>Lamath</t>
  </si>
  <si>
    <t>Landécourt</t>
  </si>
  <si>
    <t>Landremont</t>
  </si>
  <si>
    <t>Landres</t>
  </si>
  <si>
    <t>Laneuveville-aux-Bois</t>
  </si>
  <si>
    <t>Laneuveville-derrière-Foug</t>
  </si>
  <si>
    <t>Laneuveville-devant-Nancy</t>
  </si>
  <si>
    <t>Lantéfontaine</t>
  </si>
  <si>
    <t>Laronxe</t>
  </si>
  <si>
    <t>Laxou</t>
  </si>
  <si>
    <t>Lay-Saint-Christophe</t>
  </si>
  <si>
    <t>Lay-Saint-Remy</t>
  </si>
  <si>
    <t>Leintrey</t>
  </si>
  <si>
    <t>Lesménils</t>
  </si>
  <si>
    <t>Lexy</t>
  </si>
  <si>
    <t>Limey-Remenauville</t>
  </si>
  <si>
    <t>Lironville</t>
  </si>
  <si>
    <t>Liverdun</t>
  </si>
  <si>
    <t>Loisy</t>
  </si>
  <si>
    <t>Longlaville</t>
  </si>
  <si>
    <t>Longwy</t>
  </si>
  <si>
    <t>Lorey</t>
  </si>
  <si>
    <t>Loromontzey</t>
  </si>
  <si>
    <t>Lubey</t>
  </si>
  <si>
    <t>Lucey</t>
  </si>
  <si>
    <t>Ludres</t>
  </si>
  <si>
    <t>Lunéville</t>
  </si>
  <si>
    <t>Lupcourt</t>
  </si>
  <si>
    <t>Magnières</t>
  </si>
  <si>
    <t>Maidières</t>
  </si>
  <si>
    <t>Mairy-Mainville</t>
  </si>
  <si>
    <t>Maixe</t>
  </si>
  <si>
    <t>Maizières</t>
  </si>
  <si>
    <t>Malavillers</t>
  </si>
  <si>
    <t>Malleloy</t>
  </si>
  <si>
    <t>Malzéville</t>
  </si>
  <si>
    <t>Mamey</t>
  </si>
  <si>
    <t>Mandres-aux-Quatre-Tours</t>
  </si>
  <si>
    <t>Manoncourt-en-Vermois</t>
  </si>
  <si>
    <t>Manoncourt-en-Woëvre</t>
  </si>
  <si>
    <t>Manonville</t>
  </si>
  <si>
    <t>Manonviller</t>
  </si>
  <si>
    <t>Marainviller</t>
  </si>
  <si>
    <t>Marbache</t>
  </si>
  <si>
    <t>Maron</t>
  </si>
  <si>
    <t>Mars-la-Tour</t>
  </si>
  <si>
    <t>Marthemont</t>
  </si>
  <si>
    <t>Martincourt</t>
  </si>
  <si>
    <t>Mattexey</t>
  </si>
  <si>
    <t>Maxéville</t>
  </si>
  <si>
    <t>Méhoncourt</t>
  </si>
  <si>
    <t>Ménil-la-Tour</t>
  </si>
  <si>
    <t>Mercy-le-Bas</t>
  </si>
  <si>
    <t>Mercy-le-Haut</t>
  </si>
  <si>
    <t>Méréville</t>
  </si>
  <si>
    <t>Merviller</t>
  </si>
  <si>
    <t>Messein</t>
  </si>
  <si>
    <t>Mexy</t>
  </si>
  <si>
    <t>Mignéville</t>
  </si>
  <si>
    <t>Minorville</t>
  </si>
  <si>
    <t>Moineville</t>
  </si>
  <si>
    <t>Moncel-lès-Lunéville</t>
  </si>
  <si>
    <t>Montauville</t>
  </si>
  <si>
    <t>Montenoy</t>
  </si>
  <si>
    <t>Montreux</t>
  </si>
  <si>
    <t>Mont-sur-Meurthe</t>
  </si>
  <si>
    <t>Morfontaine</t>
  </si>
  <si>
    <t>Moriviller</t>
  </si>
  <si>
    <t>Morville-sur-Seille</t>
  </si>
  <si>
    <t>Mouacourt</t>
  </si>
  <si>
    <t>Mouaville</t>
  </si>
  <si>
    <t>Mousson</t>
  </si>
  <si>
    <t>Moyen</t>
  </si>
  <si>
    <t>Murville</t>
  </si>
  <si>
    <t>Nancy</t>
  </si>
  <si>
    <t>Neuves-Maisons</t>
  </si>
  <si>
    <t>Nonhigny</t>
  </si>
  <si>
    <t>Norroy-le-Sec</t>
  </si>
  <si>
    <t>Norroy-lès-Pont-à-Mousson</t>
  </si>
  <si>
    <t>Noviant-aux-Prés</t>
  </si>
  <si>
    <t>Ogéviller</t>
  </si>
  <si>
    <t>Olley</t>
  </si>
  <si>
    <t>Onville</t>
  </si>
  <si>
    <t>Ozerailles</t>
  </si>
  <si>
    <t>Pagney-derrière-Barine</t>
  </si>
  <si>
    <t>Pagny-sur-Moselle</t>
  </si>
  <si>
    <t>Parroy</t>
  </si>
  <si>
    <t>Pettonville</t>
  </si>
  <si>
    <t>Piennes</t>
  </si>
  <si>
    <t>Pierre-la-Treiche</t>
  </si>
  <si>
    <t>Pierre-Percée</t>
  </si>
  <si>
    <t>Pompey</t>
  </si>
  <si>
    <t>Pont-à-Mousson</t>
  </si>
  <si>
    <t>Pont-Saint-Vincent</t>
  </si>
  <si>
    <t>Port-sur-Seille</t>
  </si>
  <si>
    <t>Prény</t>
  </si>
  <si>
    <t>Preutin-Higny</t>
  </si>
  <si>
    <t>Pulligny</t>
  </si>
  <si>
    <t>Pulnoy</t>
  </si>
  <si>
    <t>Puxe</t>
  </si>
  <si>
    <t>Puxieux</t>
  </si>
  <si>
    <t>Raon-lès-Leau</t>
  </si>
  <si>
    <t>Raville-sur-Sânon</t>
  </si>
  <si>
    <t>Réchicourt-la-Petite</t>
  </si>
  <si>
    <t>Réclonville</t>
  </si>
  <si>
    <t>Rehainviller</t>
  </si>
  <si>
    <t>Reherrey</t>
  </si>
  <si>
    <t>Réhon</t>
  </si>
  <si>
    <t>Reillon</t>
  </si>
  <si>
    <t>Rembercourt-sur-Mad</t>
  </si>
  <si>
    <t>Remenoville</t>
  </si>
  <si>
    <t>Remoncourt</t>
  </si>
  <si>
    <t>Repaix</t>
  </si>
  <si>
    <t>Richardménil</t>
  </si>
  <si>
    <t>Rogéville</t>
  </si>
  <si>
    <t>Rosières-aux-Salines</t>
  </si>
  <si>
    <t>Rosières-en-Haye</t>
  </si>
  <si>
    <t>Royaumeix</t>
  </si>
  <si>
    <t>Rozelieures</t>
  </si>
  <si>
    <t>Saffais</t>
  </si>
  <si>
    <t>Saint-Ail</t>
  </si>
  <si>
    <t>Saint-Baussant</t>
  </si>
  <si>
    <t>Saint-Boingt</t>
  </si>
  <si>
    <t>Saint-Julien-lès-Gorze</t>
  </si>
  <si>
    <t>Saint-Mard</t>
  </si>
  <si>
    <t>Saint-Martin</t>
  </si>
  <si>
    <t>Saint-Max</t>
  </si>
  <si>
    <t>Saint-Nicolas-de-Port</t>
  </si>
  <si>
    <t>Saint-Rémy-aux-Bois</t>
  </si>
  <si>
    <t>Saizerais</t>
  </si>
  <si>
    <t>Sancy</t>
  </si>
  <si>
    <t>Sanzey</t>
  </si>
  <si>
    <t>Saulnes</t>
  </si>
  <si>
    <t>Saulxures-lès-Nancy</t>
  </si>
  <si>
    <t>Seichamps</t>
  </si>
  <si>
    <t>Seicheprey</t>
  </si>
  <si>
    <t>Seranville</t>
  </si>
  <si>
    <t>Serres</t>
  </si>
  <si>
    <t>Serrouville</t>
  </si>
  <si>
    <t>Sexey-aux-Forges</t>
  </si>
  <si>
    <t>Sionviller</t>
  </si>
  <si>
    <t>Sommerviller</t>
  </si>
  <si>
    <t>Sponville</t>
  </si>
  <si>
    <t>Thélod</t>
  </si>
  <si>
    <t>Thiaucourt-Regniéville</t>
  </si>
  <si>
    <t>Thiaville-sur-Meurthe</t>
  </si>
  <si>
    <t>Thiébauménil</t>
  </si>
  <si>
    <t>Thumeréville</t>
  </si>
  <si>
    <t>Tiercelet</t>
  </si>
  <si>
    <t>Tomblaine</t>
  </si>
  <si>
    <t>Tonnoy</t>
  </si>
  <si>
    <t>Toul</t>
  </si>
  <si>
    <t>Tremblecourt</t>
  </si>
  <si>
    <t>Trieux</t>
  </si>
  <si>
    <t>Trondes</t>
  </si>
  <si>
    <t>Tronville</t>
  </si>
  <si>
    <t>Tucquegnieux</t>
  </si>
  <si>
    <t>Ugny</t>
  </si>
  <si>
    <t>Vacqueville</t>
  </si>
  <si>
    <t>Valhey</t>
  </si>
  <si>
    <t>Valleroy</t>
  </si>
  <si>
    <t>Vallois</t>
  </si>
  <si>
    <t>Vandelainville</t>
  </si>
  <si>
    <t>Vandières</t>
  </si>
  <si>
    <t>Vandœuvre-lès-Nancy</t>
  </si>
  <si>
    <t>Varangéville</t>
  </si>
  <si>
    <t>Vathiménil</t>
  </si>
  <si>
    <t>Vaucourt</t>
  </si>
  <si>
    <t>Vaxainville</t>
  </si>
  <si>
    <t>Vého</t>
  </si>
  <si>
    <t>Bois-de-Haye</t>
  </si>
  <si>
    <t>Velle-sur-Moselle</t>
  </si>
  <si>
    <t>Veney</t>
  </si>
  <si>
    <t>Vennezey</t>
  </si>
  <si>
    <t>Verdenal</t>
  </si>
  <si>
    <t>Viéville-en-Haye</t>
  </si>
  <si>
    <t>Vigneulles</t>
  </si>
  <si>
    <t>Vilcey-sur-Trey</t>
  </si>
  <si>
    <t>Villacourt</t>
  </si>
  <si>
    <t>Ville-au-Val</t>
  </si>
  <si>
    <t>Villecey-sur-Mad</t>
  </si>
  <si>
    <t>Ville-en-Vermois</t>
  </si>
  <si>
    <t>Ville-Houdlémont</t>
  </si>
  <si>
    <t>Villers-en-Haye</t>
  </si>
  <si>
    <t>Villers-la-Montagne</t>
  </si>
  <si>
    <t>Villers-lès-Nancy</t>
  </si>
  <si>
    <t>Villers-sous-Prény</t>
  </si>
  <si>
    <t>Villerupt</t>
  </si>
  <si>
    <t>Ville-sur-Yron</t>
  </si>
  <si>
    <t>Villey-le-Sec</t>
  </si>
  <si>
    <t>Villey-Saint-Étienne</t>
  </si>
  <si>
    <t>Virecourt</t>
  </si>
  <si>
    <t>Viterne</t>
  </si>
  <si>
    <t>Vitrimont</t>
  </si>
  <si>
    <t>Vittonville</t>
  </si>
  <si>
    <t>Waville</t>
  </si>
  <si>
    <t>Xammes</t>
  </si>
  <si>
    <t>Xermaménil</t>
  </si>
  <si>
    <t>Xeuilley</t>
  </si>
  <si>
    <t>Xivry-Circourt</t>
  </si>
  <si>
    <t>Xonville</t>
  </si>
  <si>
    <t>Xousse</t>
  </si>
  <si>
    <t>Xures</t>
  </si>
  <si>
    <t>Bar-le-Duc</t>
  </si>
  <si>
    <t>Beaumont-en-Verdunois</t>
  </si>
  <si>
    <t>Behonne</t>
  </si>
  <si>
    <t>Belleray</t>
  </si>
  <si>
    <t>Belleville-sur-Meuse</t>
  </si>
  <si>
    <t>Béthelainville</t>
  </si>
  <si>
    <t>Béthincourt</t>
  </si>
  <si>
    <t>Beurey-sur-Saulx</t>
  </si>
  <si>
    <t>Bezonvaux</t>
  </si>
  <si>
    <t>Bouligny</t>
  </si>
  <si>
    <t>Bras-sur-Meuse</t>
  </si>
  <si>
    <t>Champneuville</t>
  </si>
  <si>
    <t>Chardogne</t>
  </si>
  <si>
    <t>Charny-sur-Meuse</t>
  </si>
  <si>
    <t>Chattancourt</t>
  </si>
  <si>
    <t>Combles-en-Barrois</t>
  </si>
  <si>
    <t>Cumières-le-Mort-Homme</t>
  </si>
  <si>
    <t>Doncourt-aux-Templiers</t>
  </si>
  <si>
    <t>Fains-Véel</t>
  </si>
  <si>
    <t>Fleury-devant-Douaumont</t>
  </si>
  <si>
    <t>Fromeréville-les-Vallons</t>
  </si>
  <si>
    <t>Givrauval</t>
  </si>
  <si>
    <t>Guerpont</t>
  </si>
  <si>
    <t>Haudainville</t>
  </si>
  <si>
    <t>Haumont-près-Samogneux</t>
  </si>
  <si>
    <t>Ligny-en-Barrois</t>
  </si>
  <si>
    <t>Loisey</t>
  </si>
  <si>
    <t>Longeaux</t>
  </si>
  <si>
    <t>Longeville-en-Barrois</t>
  </si>
  <si>
    <t>Louvemont-Côte-du-Poivre</t>
  </si>
  <si>
    <t>Marre</t>
  </si>
  <si>
    <t>Menaucourt</t>
  </si>
  <si>
    <t>Montzéville</t>
  </si>
  <si>
    <t>Chanteraine</t>
  </si>
  <si>
    <t>Val-d'Ornain</t>
  </si>
  <si>
    <t>Naives-Rosières</t>
  </si>
  <si>
    <t>Naix-aux-Forges</t>
  </si>
  <si>
    <t>Nançois-sur-Ornain</t>
  </si>
  <si>
    <t>Nant-le-Grand</t>
  </si>
  <si>
    <t>Nantois</t>
  </si>
  <si>
    <t>Ornes</t>
  </si>
  <si>
    <t>Resson</t>
  </si>
  <si>
    <t>Robert-Espagne</t>
  </si>
  <si>
    <t>Rumont</t>
  </si>
  <si>
    <t>Saint-Amand-sur-Ornain</t>
  </si>
  <si>
    <t>Salmagne</t>
  </si>
  <si>
    <t>Samogneux</t>
  </si>
  <si>
    <t>Savonnières-devant-Bar</t>
  </si>
  <si>
    <t>Silmont</t>
  </si>
  <si>
    <t>Sivry-la-Perche</t>
  </si>
  <si>
    <t>Tannois</t>
  </si>
  <si>
    <t>Thierville-sur-Meuse</t>
  </si>
  <si>
    <t>Trémont-sur-Saulx</t>
  </si>
  <si>
    <t>Tronville-en-Barrois</t>
  </si>
  <si>
    <t>Vacherauville</t>
  </si>
  <si>
    <t>Douaumont-Vaux</t>
  </si>
  <si>
    <t>Vavincourt</t>
  </si>
  <si>
    <t>Velaines</t>
  </si>
  <si>
    <t>Verdun</t>
  </si>
  <si>
    <t>Arradon</t>
  </si>
  <si>
    <t>Arzon</t>
  </si>
  <si>
    <t>Augan</t>
  </si>
  <si>
    <t>DE L'OUST A BROCELIANDE COMMUNAUTE</t>
  </si>
  <si>
    <t>Baden</t>
  </si>
  <si>
    <t>Beignon</t>
  </si>
  <si>
    <t>'56380'</t>
  </si>
  <si>
    <t>Bohal</t>
  </si>
  <si>
    <t>'56140'</t>
  </si>
  <si>
    <t>Brandérion</t>
  </si>
  <si>
    <t>Brandivy</t>
  </si>
  <si>
    <t>Bubry</t>
  </si>
  <si>
    <t>Calan</t>
  </si>
  <si>
    <t>Camoël</t>
  </si>
  <si>
    <t>Campénéac</t>
  </si>
  <si>
    <t>Carentoir</t>
  </si>
  <si>
    <t>'56910'</t>
  </si>
  <si>
    <t>Caro</t>
  </si>
  <si>
    <t>Caudan</t>
  </si>
  <si>
    <t>Cléguer</t>
  </si>
  <si>
    <t>Colpo</t>
  </si>
  <si>
    <t>Concoret</t>
  </si>
  <si>
    <t>Cournon</t>
  </si>
  <si>
    <t>'56200'</t>
  </si>
  <si>
    <t>'56204'</t>
  </si>
  <si>
    <t>La Croix-Helléan</t>
  </si>
  <si>
    <t>Cruguel</t>
  </si>
  <si>
    <t>Elven</t>
  </si>
  <si>
    <t>Évriguet</t>
  </si>
  <si>
    <t>Férel</t>
  </si>
  <si>
    <t>La Gacilly</t>
  </si>
  <si>
    <t>'56201'</t>
  </si>
  <si>
    <t>'56209'</t>
  </si>
  <si>
    <t>'56900'</t>
  </si>
  <si>
    <t>Gâvres</t>
  </si>
  <si>
    <t>Gestel</t>
  </si>
  <si>
    <t>Gourhel</t>
  </si>
  <si>
    <t>Grand-Champ</t>
  </si>
  <si>
    <t>La Grée-Saint-Laurent</t>
  </si>
  <si>
    <t>Groix</t>
  </si>
  <si>
    <t>Guégon</t>
  </si>
  <si>
    <t>Guer</t>
  </si>
  <si>
    <t>'56381'</t>
  </si>
  <si>
    <t>'56382'</t>
  </si>
  <si>
    <t>'56383'</t>
  </si>
  <si>
    <t>Guidel</t>
  </si>
  <si>
    <t>Guilliers</t>
  </si>
  <si>
    <t>Helléan</t>
  </si>
  <si>
    <t>Hennebont</t>
  </si>
  <si>
    <t>Le Hézo</t>
  </si>
  <si>
    <t>Île-aux-Moines</t>
  </si>
  <si>
    <t>Île-d'Arz</t>
  </si>
  <si>
    <t>Inguiniel</t>
  </si>
  <si>
    <t>Inzinzac-Lochrist</t>
  </si>
  <si>
    <t>Josselin</t>
  </si>
  <si>
    <t>Lanester</t>
  </si>
  <si>
    <t>Languidic</t>
  </si>
  <si>
    <t>Forges de Lanouée</t>
  </si>
  <si>
    <t>Lantillac</t>
  </si>
  <si>
    <t>Lanvaudan</t>
  </si>
  <si>
    <t>Larmor-Baden</t>
  </si>
  <si>
    <t>Larmor-Plage</t>
  </si>
  <si>
    <t>Lizio</t>
  </si>
  <si>
    <t>Locmaria-Grand-Champ</t>
  </si>
  <si>
    <t>Locmiquélic</t>
  </si>
  <si>
    <t>Locqueltas</t>
  </si>
  <si>
    <t>Lorient</t>
  </si>
  <si>
    <t>Loyat</t>
  </si>
  <si>
    <t>Malestroit</t>
  </si>
  <si>
    <t>Mauron</t>
  </si>
  <si>
    <t>Ménéac</t>
  </si>
  <si>
    <t>Meucon</t>
  </si>
  <si>
    <t>Missiriac</t>
  </si>
  <si>
    <t>Mohon</t>
  </si>
  <si>
    <t>Monteneuf</t>
  </si>
  <si>
    <t>Monterblanc</t>
  </si>
  <si>
    <t>Montertelot</t>
  </si>
  <si>
    <t>Néant-sur-Yvel</t>
  </si>
  <si>
    <t>Noyal-Muzillac</t>
  </si>
  <si>
    <t>Pénestin</t>
  </si>
  <si>
    <t>Plaudren</t>
  </si>
  <si>
    <t>Plescop</t>
  </si>
  <si>
    <t>Pleucadeuc</t>
  </si>
  <si>
    <t>Ploemeur</t>
  </si>
  <si>
    <t>Ploeren</t>
  </si>
  <si>
    <t>Ploërmel</t>
  </si>
  <si>
    <t>Plouay</t>
  </si>
  <si>
    <t>Plougoumelen</t>
  </si>
  <si>
    <t>Pont-Scorff</t>
  </si>
  <si>
    <t>Porcaro</t>
  </si>
  <si>
    <t>Port-Louis</t>
  </si>
  <si>
    <t>Quéven</t>
  </si>
  <si>
    <t>Quistinic</t>
  </si>
  <si>
    <t>Réminiac</t>
  </si>
  <si>
    <t>Riantec</t>
  </si>
  <si>
    <t>Val d'Oust</t>
  </si>
  <si>
    <t>Ruffiac</t>
  </si>
  <si>
    <t>Saint-Abraham</t>
  </si>
  <si>
    <t>Saint-Avé</t>
  </si>
  <si>
    <t>Saint-Brieuc-de-Mauron</t>
  </si>
  <si>
    <t>Saint-Congard</t>
  </si>
  <si>
    <t>Saint-Gildas-de-Rhuys</t>
  </si>
  <si>
    <t>Saint-Guyomard</t>
  </si>
  <si>
    <t>Saint-Laurent-sur-Oust</t>
  </si>
  <si>
    <t>Saint-Léry</t>
  </si>
  <si>
    <t>Saint-Malo-de-Beignon</t>
  </si>
  <si>
    <t>Saint-Malo-des-Trois-Fontaines</t>
  </si>
  <si>
    <t>Saint-Martin-sur-Oust</t>
  </si>
  <si>
    <t>Saint-Nicolas-du-Tertre</t>
  </si>
  <si>
    <t>Saint-Nolff</t>
  </si>
  <si>
    <t>Saint-Servant</t>
  </si>
  <si>
    <t>Sarzeau</t>
  </si>
  <si>
    <t>Séné</t>
  </si>
  <si>
    <t>Sérent</t>
  </si>
  <si>
    <t>Sulniac</t>
  </si>
  <si>
    <t>Surzur</t>
  </si>
  <si>
    <t>Taupont</t>
  </si>
  <si>
    <t>Theix-Noyalo</t>
  </si>
  <si>
    <t>Le Tour-du-Parc</t>
  </si>
  <si>
    <t>Tréal</t>
  </si>
  <si>
    <t>Trédion</t>
  </si>
  <si>
    <t>Treffléan</t>
  </si>
  <si>
    <t>Tréhorenteuc</t>
  </si>
  <si>
    <t>La Trinité-Porhoët</t>
  </si>
  <si>
    <t>La Trinité-Surzur</t>
  </si>
  <si>
    <t>Vannes</t>
  </si>
  <si>
    <t>Le Bono</t>
  </si>
  <si>
    <t>Abreschviller</t>
  </si>
  <si>
    <t>Algrange</t>
  </si>
  <si>
    <t>Alsting</t>
  </si>
  <si>
    <t>Altrippe</t>
  </si>
  <si>
    <t>Altviller</t>
  </si>
  <si>
    <t>Amanvillers</t>
  </si>
  <si>
    <t>Ancy-Dornot</t>
  </si>
  <si>
    <t>Angevillers</t>
  </si>
  <si>
    <t>Arry</t>
  </si>
  <si>
    <t>Ars-Laquenexy</t>
  </si>
  <si>
    <t>Ars-sur-Moselle</t>
  </si>
  <si>
    <t>Aspach</t>
  </si>
  <si>
    <t>Assenoncourt</t>
  </si>
  <si>
    <t>Augny</t>
  </si>
  <si>
    <t>Azoudange</t>
  </si>
  <si>
    <t>Le Ban-Saint-Martin</t>
  </si>
  <si>
    <t>Barchain</t>
  </si>
  <si>
    <t>Baronville</t>
  </si>
  <si>
    <t>Bébing</t>
  </si>
  <si>
    <t>Behren-lès-Forbach</t>
  </si>
  <si>
    <t>Bérig-Vintrange</t>
  </si>
  <si>
    <t>Berthelming</t>
  </si>
  <si>
    <t>Bertrange</t>
  </si>
  <si>
    <t>Bettborn</t>
  </si>
  <si>
    <t>Bickenholtz</t>
  </si>
  <si>
    <t>Biding</t>
  </si>
  <si>
    <t>Belles-Forêts</t>
  </si>
  <si>
    <t>Bistroff</t>
  </si>
  <si>
    <t>Bliesbruck</t>
  </si>
  <si>
    <t>Blies-Ébersing</t>
  </si>
  <si>
    <t>Blies-Guersviller</t>
  </si>
  <si>
    <t>Boulange</t>
  </si>
  <si>
    <t>Bousbach</t>
  </si>
  <si>
    <t>Boustroff</t>
  </si>
  <si>
    <t>Brouderdorff</t>
  </si>
  <si>
    <t>Brulange</t>
  </si>
  <si>
    <t>Buhl-Lorraine</t>
  </si>
  <si>
    <t>Carling</t>
  </si>
  <si>
    <t>Cattenom</t>
  </si>
  <si>
    <t>Châtel-Saint-Germain</t>
  </si>
  <si>
    <t>Chesny</t>
  </si>
  <si>
    <t>Chieulles</t>
  </si>
  <si>
    <t>Cocheren</t>
  </si>
  <si>
    <t>Coin-lès-Cuvry</t>
  </si>
  <si>
    <t>Coin-sur-Seille</t>
  </si>
  <si>
    <t>Corny-sur-Moselle</t>
  </si>
  <si>
    <t>Cuvry</t>
  </si>
  <si>
    <t>Desseling</t>
  </si>
  <si>
    <t>Destry</t>
  </si>
  <si>
    <t>Diane-Capelle</t>
  </si>
  <si>
    <t>Diebling</t>
  </si>
  <si>
    <t>Diffembach-lès-Hellimer</t>
  </si>
  <si>
    <t>Dolving</t>
  </si>
  <si>
    <t>Donnelay</t>
  </si>
  <si>
    <t>Eincheville</t>
  </si>
  <si>
    <t>Entrange</t>
  </si>
  <si>
    <t>Ernestviller</t>
  </si>
  <si>
    <t>Erstroff</t>
  </si>
  <si>
    <t>Escherange</t>
  </si>
  <si>
    <t>Etzling</t>
  </si>
  <si>
    <t>Fameck</t>
  </si>
  <si>
    <t>Farschviller</t>
  </si>
  <si>
    <t>Fénétrange</t>
  </si>
  <si>
    <t>Féy</t>
  </si>
  <si>
    <t>Fleisheim</t>
  </si>
  <si>
    <t>Florange</t>
  </si>
  <si>
    <t>Folkling</t>
  </si>
  <si>
    <t>Folschviller</t>
  </si>
  <si>
    <t>Fontoy</t>
  </si>
  <si>
    <t>Forbach</t>
  </si>
  <si>
    <t>Foulcrey</t>
  </si>
  <si>
    <t>Fraquelfing</t>
  </si>
  <si>
    <t>Frauenberg</t>
  </si>
  <si>
    <t>Frémestroff</t>
  </si>
  <si>
    <t>Freybouse</t>
  </si>
  <si>
    <t>Fribourg</t>
  </si>
  <si>
    <t>Gandrange</t>
  </si>
  <si>
    <t>Gondrexange</t>
  </si>
  <si>
    <t>Gorze</t>
  </si>
  <si>
    <t>Gosselming</t>
  </si>
  <si>
    <t>Gravelotte</t>
  </si>
  <si>
    <t>Gréning</t>
  </si>
  <si>
    <t>Grosbliederstroff</t>
  </si>
  <si>
    <t>Grostenquin</t>
  </si>
  <si>
    <t>Grundviller</t>
  </si>
  <si>
    <t>Guebenhouse</t>
  </si>
  <si>
    <t>Le Val-de-Guéblange</t>
  </si>
  <si>
    <t>Guénange</t>
  </si>
  <si>
    <t>Guermange</t>
  </si>
  <si>
    <t>Guessling-Hémering</t>
  </si>
  <si>
    <t>Basse-Ham</t>
  </si>
  <si>
    <t>Hambach</t>
  </si>
  <si>
    <t>Harprich</t>
  </si>
  <si>
    <t>Harreberg</t>
  </si>
  <si>
    <t>Hartzviller</t>
  </si>
  <si>
    <t>Haselbourg</t>
  </si>
  <si>
    <t>Hattigny</t>
  </si>
  <si>
    <t>Haut-Clocher</t>
  </si>
  <si>
    <t>Havange</t>
  </si>
  <si>
    <t>Hayange</t>
  </si>
  <si>
    <t>Hellering-lès-Fénétrange</t>
  </si>
  <si>
    <t>Hellimer</t>
  </si>
  <si>
    <t>Héming</t>
  </si>
  <si>
    <t>Hermelange</t>
  </si>
  <si>
    <t>Hertzing</t>
  </si>
  <si>
    <t>Hesse</t>
  </si>
  <si>
    <t>Hettange-Grande</t>
  </si>
  <si>
    <t>Hilbesheim</t>
  </si>
  <si>
    <t>Hilsprich</t>
  </si>
  <si>
    <t>Holving</t>
  </si>
  <si>
    <t>Hommarting</t>
  </si>
  <si>
    <t>Hommert</t>
  </si>
  <si>
    <t>L'Hôpital</t>
  </si>
  <si>
    <t>Hundling</t>
  </si>
  <si>
    <t>Ibigny</t>
  </si>
  <si>
    <t>Illange</t>
  </si>
  <si>
    <t>Imling</t>
  </si>
  <si>
    <t>Ippling</t>
  </si>
  <si>
    <t>Jouy-aux-Arches</t>
  </si>
  <si>
    <t>Jury</t>
  </si>
  <si>
    <t>Kalhausen</t>
  </si>
  <si>
    <t>Kanfen</t>
  </si>
  <si>
    <t>Kappelkinger</t>
  </si>
  <si>
    <t>Kerbach</t>
  </si>
  <si>
    <t>Kerprich-aux-Bois</t>
  </si>
  <si>
    <t>Kirviller</t>
  </si>
  <si>
    <t>Knutange</t>
  </si>
  <si>
    <t>Kuntzig</t>
  </si>
  <si>
    <t>Lachambre</t>
  </si>
  <si>
    <t>Lafrimbolle</t>
  </si>
  <si>
    <t>Landange</t>
  </si>
  <si>
    <t>Landroff</t>
  </si>
  <si>
    <t>Laneuveville-lès-Lorquin</t>
  </si>
  <si>
    <t>Langatte</t>
  </si>
  <si>
    <t>Languimberg</t>
  </si>
  <si>
    <t>Laning</t>
  </si>
  <si>
    <t>Laquenexy</t>
  </si>
  <si>
    <t>Lelling</t>
  </si>
  <si>
    <t>Lessy</t>
  </si>
  <si>
    <t>Leyviller</t>
  </si>
  <si>
    <t>Lixing-lès-Rouhling</t>
  </si>
  <si>
    <t>Lixing-lès-Saint-Avold</t>
  </si>
  <si>
    <t>Longeville-lès-Metz</t>
  </si>
  <si>
    <t>Lorquin</t>
  </si>
  <si>
    <t>Lorry-lès-Metz</t>
  </si>
  <si>
    <t>Lorry-Mardigny</t>
  </si>
  <si>
    <t>METZ METROPOLE COMMUNAUTE D AGGLOMERATION</t>
  </si>
  <si>
    <t>Loupershouse</t>
  </si>
  <si>
    <t>Macheren</t>
  </si>
  <si>
    <t>Manom</t>
  </si>
  <si>
    <t>Marieulles</t>
  </si>
  <si>
    <t>Marly</t>
  </si>
  <si>
    <t>La Maxe</t>
  </si>
  <si>
    <t>Maxstadt</t>
  </si>
  <si>
    <t>Mécleuves</t>
  </si>
  <si>
    <t>Métairies-Saint-Quirin</t>
  </si>
  <si>
    <t>Metz</t>
  </si>
  <si>
    <t>Metzing</t>
  </si>
  <si>
    <t>Mey</t>
  </si>
  <si>
    <t>Mittersheim</t>
  </si>
  <si>
    <t>Montigny-lès-Metz</t>
  </si>
  <si>
    <t>Morhange</t>
  </si>
  <si>
    <t>Morsbach</t>
  </si>
  <si>
    <t>Moulins-lès-Metz</t>
  </si>
  <si>
    <t>Nelling</t>
  </si>
  <si>
    <t>Neufchef</t>
  </si>
  <si>
    <t>Neufgrange</t>
  </si>
  <si>
    <t>Neufmoulins</t>
  </si>
  <si>
    <t>Niderhoff</t>
  </si>
  <si>
    <t>Niderviller</t>
  </si>
  <si>
    <t>Niederstinzel</t>
  </si>
  <si>
    <t>Nilvange</t>
  </si>
  <si>
    <t>Nitting</t>
  </si>
  <si>
    <t>Noisseville</t>
  </si>
  <si>
    <t>Nouilly</t>
  </si>
  <si>
    <t>Nousseviller-Saint-Nabor</t>
  </si>
  <si>
    <t>Novéant-sur-Moselle</t>
  </si>
  <si>
    <t>Oberstinzel</t>
  </si>
  <si>
    <t>Œting</t>
  </si>
  <si>
    <t>Ottange</t>
  </si>
  <si>
    <t>Peltre</t>
  </si>
  <si>
    <t>Petit-Tenquin</t>
  </si>
  <si>
    <t>Petite-Rosselle</t>
  </si>
  <si>
    <t>Plaine-de-Walsch</t>
  </si>
  <si>
    <t>Plappeville</t>
  </si>
  <si>
    <t>Porcelette</t>
  </si>
  <si>
    <t>Postroff</t>
  </si>
  <si>
    <t>Pouilly</t>
  </si>
  <si>
    <t>Pournoy-la-Chétive</t>
  </si>
  <si>
    <t>Puttelange-aux-Lacs</t>
  </si>
  <si>
    <t>Racrange</t>
  </si>
  <si>
    <t>Ranguevaux</t>
  </si>
  <si>
    <t>Réchicourt-le-Château</t>
  </si>
  <si>
    <t>Réding</t>
  </si>
  <si>
    <t>Rémelfing</t>
  </si>
  <si>
    <t>Rémering-lès-Puttelange</t>
  </si>
  <si>
    <t>Rezonville-Vionville</t>
  </si>
  <si>
    <t>Rhodes</t>
  </si>
  <si>
    <t>Richeling</t>
  </si>
  <si>
    <t>Richeval</t>
  </si>
  <si>
    <t>Rochonvillers</t>
  </si>
  <si>
    <t>Romelfing</t>
  </si>
  <si>
    <t>Roncourt</t>
  </si>
  <si>
    <t>Rosbruck</t>
  </si>
  <si>
    <t>Rouhling</t>
  </si>
  <si>
    <t>Rozérieulles</t>
  </si>
  <si>
    <t>Saint-Avold</t>
  </si>
  <si>
    <t>Saint-Georges</t>
  </si>
  <si>
    <t>Saint-Jean-de-Bassel</t>
  </si>
  <si>
    <t>Saint-Jean-Rohrbach</t>
  </si>
  <si>
    <t>Saint-Julien-lès-Metz</t>
  </si>
  <si>
    <t>Saint-Privat-la-Montagne</t>
  </si>
  <si>
    <t>Saint-Quirin</t>
  </si>
  <si>
    <t>Sainte-Ruffine</t>
  </si>
  <si>
    <t>Sarralbe</t>
  </si>
  <si>
    <t>Sarraltroff</t>
  </si>
  <si>
    <t>Sarrebourg</t>
  </si>
  <si>
    <t>Sarreguemines</t>
  </si>
  <si>
    <t>Sarreinsming</t>
  </si>
  <si>
    <t>Saulny</t>
  </si>
  <si>
    <t>Schalbach</t>
  </si>
  <si>
    <t>Schneckenbusch</t>
  </si>
  <si>
    <t>Schœneck</t>
  </si>
  <si>
    <t>Scy-Chazelles</t>
  </si>
  <si>
    <t>Serémange-Erzange</t>
  </si>
  <si>
    <t>Spicheren</t>
  </si>
  <si>
    <t>Stiring-Wendel</t>
  </si>
  <si>
    <t>Suisse</t>
  </si>
  <si>
    <t>Tenteling</t>
  </si>
  <si>
    <t>Terville</t>
  </si>
  <si>
    <t>Théding</t>
  </si>
  <si>
    <t>Thionville</t>
  </si>
  <si>
    <t>Tressange</t>
  </si>
  <si>
    <t>Troisfontaines</t>
  </si>
  <si>
    <t>Turquestein-Blancrupt</t>
  </si>
  <si>
    <t>Uckange</t>
  </si>
  <si>
    <t>Vahl-Ebersing</t>
  </si>
  <si>
    <t>Vallerange</t>
  </si>
  <si>
    <t>Valmont</t>
  </si>
  <si>
    <t>Vantoux</t>
  </si>
  <si>
    <t>Vany</t>
  </si>
  <si>
    <t>Vasperviller</t>
  </si>
  <si>
    <t>Vaux</t>
  </si>
  <si>
    <t>Veckersviller</t>
  </si>
  <si>
    <t>Vernéville</t>
  </si>
  <si>
    <t>Vieux-Lixheim</t>
  </si>
  <si>
    <t>Viller</t>
  </si>
  <si>
    <t>Vilsberg</t>
  </si>
  <si>
    <t>Volmerange-les-Mines</t>
  </si>
  <si>
    <t>Voyer</t>
  </si>
  <si>
    <t>Walscheid</t>
  </si>
  <si>
    <t>Wiesviller</t>
  </si>
  <si>
    <t>Willerwald</t>
  </si>
  <si>
    <t>Wittring</t>
  </si>
  <si>
    <t>Wœlfling-lès-Sarreguemines</t>
  </si>
  <si>
    <t>Woippy</t>
  </si>
  <si>
    <t>Woustviller</t>
  </si>
  <si>
    <t>Xouaxange</t>
  </si>
  <si>
    <t>Yutz</t>
  </si>
  <si>
    <t>Zetting</t>
  </si>
  <si>
    <t>Diesen</t>
  </si>
  <si>
    <t>Stuckange</t>
  </si>
  <si>
    <t>Challuy</t>
  </si>
  <si>
    <t>Coulanges-lès-Nevers</t>
  </si>
  <si>
    <t>Fourchambault</t>
  </si>
  <si>
    <t>Garchizy</t>
  </si>
  <si>
    <t>Germigny-sur-Loire</t>
  </si>
  <si>
    <t>Gimouille</t>
  </si>
  <si>
    <t>Marzy</t>
  </si>
  <si>
    <t>Nevers</t>
  </si>
  <si>
    <t>Parigny-les-Vaux</t>
  </si>
  <si>
    <t>Pougues-les-Eaux</t>
  </si>
  <si>
    <t>Saincaize-Meauce</t>
  </si>
  <si>
    <t>Sermoise-sur-Loire</t>
  </si>
  <si>
    <t>Varennes-Vauzelles</t>
  </si>
  <si>
    <t>Abancourt</t>
  </si>
  <si>
    <t>Abscon</t>
  </si>
  <si>
    <t>Aibes</t>
  </si>
  <si>
    <t>Aix-en-Pévèle</t>
  </si>
  <si>
    <t>Allennes-les-Marais</t>
  </si>
  <si>
    <t>Anhiers</t>
  </si>
  <si>
    <t>Aniche</t>
  </si>
  <si>
    <t>Villeneuve-d'Ascq</t>
  </si>
  <si>
    <t>Anneux</t>
  </si>
  <si>
    <t>Annœullin</t>
  </si>
  <si>
    <t>Anstaing</t>
  </si>
  <si>
    <t>Anzin</t>
  </si>
  <si>
    <t>Arleux</t>
  </si>
  <si>
    <t>Armbouts-Cappel</t>
  </si>
  <si>
    <t>Armentières</t>
  </si>
  <si>
    <t>Artres</t>
  </si>
  <si>
    <t>Assevent</t>
  </si>
  <si>
    <t>Attiches</t>
  </si>
  <si>
    <t>Aubencheul-au-Bac</t>
  </si>
  <si>
    <t>Auberchicourt</t>
  </si>
  <si>
    <t>Aubers</t>
  </si>
  <si>
    <t>Aubigny-au-Bac</t>
  </si>
  <si>
    <t>Aubry-du-Hainaut</t>
  </si>
  <si>
    <t>Auby</t>
  </si>
  <si>
    <t>Auchy-lez-Orchies</t>
  </si>
  <si>
    <t>Audignies</t>
  </si>
  <si>
    <t>Aulnoy-lez-Valenciennes</t>
  </si>
  <si>
    <t>Aulnoye-Aymeries</t>
  </si>
  <si>
    <t>Avelin</t>
  </si>
  <si>
    <t>Avesnes-le-Sec</t>
  </si>
  <si>
    <t>Awoingt</t>
  </si>
  <si>
    <t>Bachant</t>
  </si>
  <si>
    <t>Bachy</t>
  </si>
  <si>
    <t>Bailleul</t>
  </si>
  <si>
    <t>Baisieux</t>
  </si>
  <si>
    <t>Bambecque</t>
  </si>
  <si>
    <t>Banteux</t>
  </si>
  <si>
    <t>Bantigny</t>
  </si>
  <si>
    <t>Bantouzelle</t>
  </si>
  <si>
    <t>La Bassée</t>
  </si>
  <si>
    <t>Bauvin</t>
  </si>
  <si>
    <t>Beaucamps-Ligny</t>
  </si>
  <si>
    <t>Beaufort</t>
  </si>
  <si>
    <t>Bellaing</t>
  </si>
  <si>
    <t>Bérelles</t>
  </si>
  <si>
    <t>Bergues</t>
  </si>
  <si>
    <t>Berlaimont</t>
  </si>
  <si>
    <t>Bermerain</t>
  </si>
  <si>
    <t>Bersée</t>
  </si>
  <si>
    <t>Bersillies</t>
  </si>
  <si>
    <t>Bettignies</t>
  </si>
  <si>
    <t>Beuvrages</t>
  </si>
  <si>
    <t>Beuvry-la-Forêt</t>
  </si>
  <si>
    <t>Bierne</t>
  </si>
  <si>
    <t>Bissezeele</t>
  </si>
  <si>
    <t>Blécourt</t>
  </si>
  <si>
    <t>Bois-Grenier</t>
  </si>
  <si>
    <t>Bollezeele</t>
  </si>
  <si>
    <t>Bondues</t>
  </si>
  <si>
    <t>Bouchain</t>
  </si>
  <si>
    <t>Bourbourg</t>
  </si>
  <si>
    <t>Bourghelles</t>
  </si>
  <si>
    <t>Boursies</t>
  </si>
  <si>
    <t>Bousbecque</t>
  </si>
  <si>
    <t>Bousignies</t>
  </si>
  <si>
    <t>Bousignies-sur-Roc</t>
  </si>
  <si>
    <t>Boussières-sur-Sambre</t>
  </si>
  <si>
    <t>Boussois</t>
  </si>
  <si>
    <t>Bouvignies</t>
  </si>
  <si>
    <t>Bouvines</t>
  </si>
  <si>
    <t>Bray-Dunes</t>
  </si>
  <si>
    <t>Brillon</t>
  </si>
  <si>
    <t>Brouckerque</t>
  </si>
  <si>
    <t>Broxeele</t>
  </si>
  <si>
    <t>Bruay-sur-l'Escaut</t>
  </si>
  <si>
    <t>Bruille-lez-Marchiennes</t>
  </si>
  <si>
    <t>Bruille-Saint-Amand</t>
  </si>
  <si>
    <t>Brunémont</t>
  </si>
  <si>
    <t>Bry</t>
  </si>
  <si>
    <t>Bugnicourt</t>
  </si>
  <si>
    <t>Cagnoncles</t>
  </si>
  <si>
    <t>Cambrai</t>
  </si>
  <si>
    <t>Camphin-en-Carembault</t>
  </si>
  <si>
    <t>Camphin-en-Pévèle</t>
  </si>
  <si>
    <t>Cantaing-sur-Escaut</t>
  </si>
  <si>
    <t>Cantin</t>
  </si>
  <si>
    <t>Capelle</t>
  </si>
  <si>
    <t>Capinghem</t>
  </si>
  <si>
    <t>Cappelle-en-Pévèle</t>
  </si>
  <si>
    <t>Cappelle-Brouck</t>
  </si>
  <si>
    <t>Cappelle-la-Grande</t>
  </si>
  <si>
    <t>Carnin</t>
  </si>
  <si>
    <t>Cauroir</t>
  </si>
  <si>
    <t>Cerfontaine</t>
  </si>
  <si>
    <t>La Chapelle-d'Armentières</t>
  </si>
  <si>
    <t>Château-l'Abbaye</t>
  </si>
  <si>
    <t>Chemy</t>
  </si>
  <si>
    <t>Chéreng</t>
  </si>
  <si>
    <t>Choisies</t>
  </si>
  <si>
    <t>Cobrieux</t>
  </si>
  <si>
    <t>Colleret</t>
  </si>
  <si>
    <t>Comines</t>
  </si>
  <si>
    <t>Condé-sur-l'Escaut</t>
  </si>
  <si>
    <t>Coudekerque-Branche</t>
  </si>
  <si>
    <t>Courchelettes</t>
  </si>
  <si>
    <t>Cousolre</t>
  </si>
  <si>
    <t>Coutiches</t>
  </si>
  <si>
    <t>Craywick</t>
  </si>
  <si>
    <t>Crespin</t>
  </si>
  <si>
    <t>Crèvecœur-sur-l'Escaut</t>
  </si>
  <si>
    <t>Crochte</t>
  </si>
  <si>
    <t>Croix</t>
  </si>
  <si>
    <t>Cuincy</t>
  </si>
  <si>
    <t>Curgies</t>
  </si>
  <si>
    <t>Cuvillers</t>
  </si>
  <si>
    <t>Cysoing</t>
  </si>
  <si>
    <t>Damousies</t>
  </si>
  <si>
    <t>Dechy</t>
  </si>
  <si>
    <t>Denain</t>
  </si>
  <si>
    <t>Deûlémont</t>
  </si>
  <si>
    <t>Dimechaux</t>
  </si>
  <si>
    <t>Doignies</t>
  </si>
  <si>
    <t>Douai</t>
  </si>
  <si>
    <t>Douchy-les-Mines</t>
  </si>
  <si>
    <t>Dourlers</t>
  </si>
  <si>
    <t>Drincham</t>
  </si>
  <si>
    <t>Dunkerque</t>
  </si>
  <si>
    <t>Écaillon</t>
  </si>
  <si>
    <t>Eccles</t>
  </si>
  <si>
    <t>Éclaibes</t>
  </si>
  <si>
    <t>Écuélin</t>
  </si>
  <si>
    <t>Élesmes</t>
  </si>
  <si>
    <t>Émerchicourt</t>
  </si>
  <si>
    <t>Emmerin</t>
  </si>
  <si>
    <t>Englos</t>
  </si>
  <si>
    <t>Ennetières-en-Weppes</t>
  </si>
  <si>
    <t>Ennevelin</t>
  </si>
  <si>
    <t>Erchin</t>
  </si>
  <si>
    <t>Eringhem</t>
  </si>
  <si>
    <t>Erquinghem-le-Sec</t>
  </si>
  <si>
    <t>Erquinghem-Lys</t>
  </si>
  <si>
    <t>Erre</t>
  </si>
  <si>
    <t>Escarmain</t>
  </si>
  <si>
    <t>Escaudain</t>
  </si>
  <si>
    <t>Escaudœuvres</t>
  </si>
  <si>
    <t>Escautpont</t>
  </si>
  <si>
    <t>Escobecques</t>
  </si>
  <si>
    <t>Esnes</t>
  </si>
  <si>
    <t>Esquelbecq</t>
  </si>
  <si>
    <t>Esquerchin</t>
  </si>
  <si>
    <t>Estaires</t>
  </si>
  <si>
    <t>Estourmel</t>
  </si>
  <si>
    <t>Estreux</t>
  </si>
  <si>
    <t>Eswars</t>
  </si>
  <si>
    <t>Eth</t>
  </si>
  <si>
    <t>Estrun</t>
  </si>
  <si>
    <t>Faches-Thumesnil</t>
  </si>
  <si>
    <t>Famars</t>
  </si>
  <si>
    <t>Féchain</t>
  </si>
  <si>
    <t>Feignies</t>
  </si>
  <si>
    <t>Fenain</t>
  </si>
  <si>
    <t>Férin</t>
  </si>
  <si>
    <t>Ferrière-la-Grande</t>
  </si>
  <si>
    <t>Ferrière-la-Petite</t>
  </si>
  <si>
    <t>Flers-en-Escrebieux</t>
  </si>
  <si>
    <t>Flesquières</t>
  </si>
  <si>
    <t>Flines-lès-Mortagne</t>
  </si>
  <si>
    <t>Flines-lez-Raches</t>
  </si>
  <si>
    <t>Floursies</t>
  </si>
  <si>
    <t>Forest-sur-Marque</t>
  </si>
  <si>
    <t>Fournes-en-Weppes</t>
  </si>
  <si>
    <t>Frelinghien</t>
  </si>
  <si>
    <t>Fresnes-sur-Escaut</t>
  </si>
  <si>
    <t>Fressain</t>
  </si>
  <si>
    <t>Fressies</t>
  </si>
  <si>
    <t>Fretin</t>
  </si>
  <si>
    <t>Fromelles</t>
  </si>
  <si>
    <t>Genech</t>
  </si>
  <si>
    <t>Ghyvelde</t>
  </si>
  <si>
    <t>Gœulzin</t>
  </si>
  <si>
    <t>Gognies-Chaussée</t>
  </si>
  <si>
    <t>Gondecourt</t>
  </si>
  <si>
    <t>Gonnelieu</t>
  </si>
  <si>
    <t>'59231'</t>
  </si>
  <si>
    <t>La Gorgue</t>
  </si>
  <si>
    <t>Gouzeaucourt</t>
  </si>
  <si>
    <t>Grande-Synthe</t>
  </si>
  <si>
    <t>Grand-Fort-Philippe</t>
  </si>
  <si>
    <t>Gravelines</t>
  </si>
  <si>
    <t>Gruson</t>
  </si>
  <si>
    <t>Guesnain</t>
  </si>
  <si>
    <t>Hallennes-lez-Haubourdin</t>
  </si>
  <si>
    <t>Halluin</t>
  </si>
  <si>
    <t>Hamel</t>
  </si>
  <si>
    <t>Hantay</t>
  </si>
  <si>
    <t>Hargnies</t>
  </si>
  <si>
    <t>Hasnon</t>
  </si>
  <si>
    <t>Haspres</t>
  </si>
  <si>
    <t>Haubourdin</t>
  </si>
  <si>
    <t>Haulchin</t>
  </si>
  <si>
    <t>Hautmont</t>
  </si>
  <si>
    <t>Haveluy</t>
  </si>
  <si>
    <t>Haverskerque</t>
  </si>
  <si>
    <t>Haynecourt</t>
  </si>
  <si>
    <t>Hélesmes</t>
  </si>
  <si>
    <t>Hem</t>
  </si>
  <si>
    <t>Hem-Lenglet</t>
  </si>
  <si>
    <t>Hergnies</t>
  </si>
  <si>
    <t>Hérin</t>
  </si>
  <si>
    <t>Herlies</t>
  </si>
  <si>
    <t>Herrin</t>
  </si>
  <si>
    <t>Herzeele</t>
  </si>
  <si>
    <t>Hondschoote</t>
  </si>
  <si>
    <t>Honnecourt-sur-Escaut</t>
  </si>
  <si>
    <t>Hordain</t>
  </si>
  <si>
    <t>Hornaing</t>
  </si>
  <si>
    <t>Houplin-Ancoisne</t>
  </si>
  <si>
    <t>Houplines</t>
  </si>
  <si>
    <t>Hoymille</t>
  </si>
  <si>
    <t>Illies</t>
  </si>
  <si>
    <t>Iwuy</t>
  </si>
  <si>
    <t>Jenlain</t>
  </si>
  <si>
    <t>Jeumont</t>
  </si>
  <si>
    <t>Killem</t>
  </si>
  <si>
    <t>Lallaing</t>
  </si>
  <si>
    <t>Lambersart</t>
  </si>
  <si>
    <t>Lambres-lez-Douai</t>
  </si>
  <si>
    <t>Landas</t>
  </si>
  <si>
    <t>Lannoy</t>
  </si>
  <si>
    <t>Lauwin-Planque</t>
  </si>
  <si>
    <t>Lecelles</t>
  </si>
  <si>
    <t>Lécluse</t>
  </si>
  <si>
    <t>Ledringhem</t>
  </si>
  <si>
    <t>Leers</t>
  </si>
  <si>
    <t>Leffrinckoucke</t>
  </si>
  <si>
    <t>Lesdain</t>
  </si>
  <si>
    <t>Lesquin</t>
  </si>
  <si>
    <t>Leval</t>
  </si>
  <si>
    <t>Lewarde</t>
  </si>
  <si>
    <t>Lezennes</t>
  </si>
  <si>
    <t>Lieu-Saint-Amand</t>
  </si>
  <si>
    <t>Lille</t>
  </si>
  <si>
    <t>Limont-Fontaine</t>
  </si>
  <si>
    <t>Linselles</t>
  </si>
  <si>
    <t>Loffre</t>
  </si>
  <si>
    <t>Lompret</t>
  </si>
  <si>
    <t>La Longueville</t>
  </si>
  <si>
    <t>Looberghe</t>
  </si>
  <si>
    <t>Loon-Plage</t>
  </si>
  <si>
    <t>Loos</t>
  </si>
  <si>
    <t>Lourches</t>
  </si>
  <si>
    <t>Louvil</t>
  </si>
  <si>
    <t>Louvroil</t>
  </si>
  <si>
    <t>Lys-lez-Lannoy</t>
  </si>
  <si>
    <t>La Madeleine</t>
  </si>
  <si>
    <t>Maing</t>
  </si>
  <si>
    <t>Mairieux</t>
  </si>
  <si>
    <t>Le Maisnil</t>
  </si>
  <si>
    <t>Marchiennes</t>
  </si>
  <si>
    <t>Marcoing</t>
  </si>
  <si>
    <t>Marcq-en-Barœul</t>
  </si>
  <si>
    <t>Marcq-en-Ostrevent</t>
  </si>
  <si>
    <t>Maresches</t>
  </si>
  <si>
    <t>Marpent</t>
  </si>
  <si>
    <t>Marquette-lez-Lille</t>
  </si>
  <si>
    <t>Marquette-en-Ostrevant</t>
  </si>
  <si>
    <t>Marquillies</t>
  </si>
  <si>
    <t>Masnières</t>
  </si>
  <si>
    <t>'59241'</t>
  </si>
  <si>
    <t>Masny</t>
  </si>
  <si>
    <t>Mastaing</t>
  </si>
  <si>
    <t>Maubeuge</t>
  </si>
  <si>
    <t>Maulde</t>
  </si>
  <si>
    <t>Mecquignies</t>
  </si>
  <si>
    <t>Merckeghem</t>
  </si>
  <si>
    <t>Mérignies</t>
  </si>
  <si>
    <t>Merville</t>
  </si>
  <si>
    <t>Méteren</t>
  </si>
  <si>
    <t>Millam</t>
  </si>
  <si>
    <t>Millonfosse</t>
  </si>
  <si>
    <t>Mœuvres</t>
  </si>
  <si>
    <t>Monceau-Saint-Waast</t>
  </si>
  <si>
    <t>Monchaux-sur-Écaillon</t>
  </si>
  <si>
    <t>Moncheaux</t>
  </si>
  <si>
    <t>Monchecourt</t>
  </si>
  <si>
    <t>Mons-en-Barœul</t>
  </si>
  <si>
    <t>Mons-en-Pévèle</t>
  </si>
  <si>
    <t>Montigny-en-Ostrevent</t>
  </si>
  <si>
    <t>Montrécourt</t>
  </si>
  <si>
    <t>Mortagne-du-Nord</t>
  </si>
  <si>
    <t>Mouchin</t>
  </si>
  <si>
    <t>Mouvaux</t>
  </si>
  <si>
    <t>Neuf-Berquin</t>
  </si>
  <si>
    <t>Neuf-Mesnil</t>
  </si>
  <si>
    <t>Neuville-en-Ferrain</t>
  </si>
  <si>
    <t>La Neuville</t>
  </si>
  <si>
    <t>Neuville-Saint-Rémy</t>
  </si>
  <si>
    <t>Neuville-sur-Escaut</t>
  </si>
  <si>
    <t>Nieppe</t>
  </si>
  <si>
    <t>Niergnies</t>
  </si>
  <si>
    <t>Nivelle</t>
  </si>
  <si>
    <t>Nomain</t>
  </si>
  <si>
    <t>Noyelles-lès-Seclin</t>
  </si>
  <si>
    <t>Noyelles-sur-Escaut</t>
  </si>
  <si>
    <t>Noyelles-sur-Sambre</t>
  </si>
  <si>
    <t>Noyelles-sur-Selle</t>
  </si>
  <si>
    <t>Obrechies</t>
  </si>
  <si>
    <t>Odomez</t>
  </si>
  <si>
    <t>Oisy</t>
  </si>
  <si>
    <t>Onnaing</t>
  </si>
  <si>
    <t>Oost-Cappel</t>
  </si>
  <si>
    <t>Orchies</t>
  </si>
  <si>
    <t>Ostricourt</t>
  </si>
  <si>
    <t>Paillencourt</t>
  </si>
  <si>
    <t>Pecquencourt</t>
  </si>
  <si>
    <t>Pérenchies</t>
  </si>
  <si>
    <t>Péronne-en-Mélantois</t>
  </si>
  <si>
    <t>Petite-Forêt</t>
  </si>
  <si>
    <t>Phalempin</t>
  </si>
  <si>
    <t>Pitgam</t>
  </si>
  <si>
    <t>Pont-à-Marcq</t>
  </si>
  <si>
    <t>Pont-sur-Sambre</t>
  </si>
  <si>
    <t>Prémesques</t>
  </si>
  <si>
    <t>Préseau</t>
  </si>
  <si>
    <t>Prouvy</t>
  </si>
  <si>
    <t>Proville</t>
  </si>
  <si>
    <t>Provin</t>
  </si>
  <si>
    <t>Quaëdypre</t>
  </si>
  <si>
    <t>Quarouble</t>
  </si>
  <si>
    <t>Quérénaing</t>
  </si>
  <si>
    <t>Quesnoy-sur-Deûle</t>
  </si>
  <si>
    <t>Quiévelon</t>
  </si>
  <si>
    <t>Quiévrechain</t>
  </si>
  <si>
    <t>Râches</t>
  </si>
  <si>
    <t>Radinghem-en-Weppes</t>
  </si>
  <si>
    <t>Raillencourt-Sainte-Olle</t>
  </si>
  <si>
    <t>Raimbeaucourt</t>
  </si>
  <si>
    <t>Raismes</t>
  </si>
  <si>
    <t>Ramillies</t>
  </si>
  <si>
    <t>Recquignies</t>
  </si>
  <si>
    <t>Rexpoëde</t>
  </si>
  <si>
    <t>Ribécourt-la-Tour</t>
  </si>
  <si>
    <t>Rieulay</t>
  </si>
  <si>
    <t>Rieux-en-Cambrésis</t>
  </si>
  <si>
    <t>Rœulx</t>
  </si>
  <si>
    <t>Rombies-et-Marchipont</t>
  </si>
  <si>
    <t>Ronchin</t>
  </si>
  <si>
    <t>Roncq</t>
  </si>
  <si>
    <t>Roost-Warendin</t>
  </si>
  <si>
    <t>Rosult</t>
  </si>
  <si>
    <t>Roubaix</t>
  </si>
  <si>
    <t>Roucourt</t>
  </si>
  <si>
    <t>Rousies</t>
  </si>
  <si>
    <t>Rouvignies</t>
  </si>
  <si>
    <t>Les Rues-des-Vignes</t>
  </si>
  <si>
    <t>Rumegies</t>
  </si>
  <si>
    <t>Rumilly-en-Cambrésis</t>
  </si>
  <si>
    <t>Sailly-lez-Cambrai</t>
  </si>
  <si>
    <t>Sailly-lez-Lannoy</t>
  </si>
  <si>
    <t>Sainghin-en-Mélantois</t>
  </si>
  <si>
    <t>Sainghin-en-Weppes</t>
  </si>
  <si>
    <t>Saint-Amand-les-Eaux</t>
  </si>
  <si>
    <t>Saint-André-lez-Lille</t>
  </si>
  <si>
    <t>Saint-Aybert</t>
  </si>
  <si>
    <t>Saint-Georges-sur-l'Aa</t>
  </si>
  <si>
    <t>Saint-Jans-Cappel</t>
  </si>
  <si>
    <t>Saint-Martin-sur-Écaillon</t>
  </si>
  <si>
    <t>Saint-Momelin</t>
  </si>
  <si>
    <t>Saint-Pierre-Brouck</t>
  </si>
  <si>
    <t>Saint-Remy-Chaussée</t>
  </si>
  <si>
    <t>Saint-Remy-du-Nord</t>
  </si>
  <si>
    <t>Saint-Saulve</t>
  </si>
  <si>
    <t>Salomé</t>
  </si>
  <si>
    <t>Sancourt</t>
  </si>
  <si>
    <t>Santes</t>
  </si>
  <si>
    <t>Sars-et-Rosières</t>
  </si>
  <si>
    <t>Sassegnies</t>
  </si>
  <si>
    <t>Saultain</t>
  </si>
  <si>
    <t>Saulzoir</t>
  </si>
  <si>
    <t>Sebourg</t>
  </si>
  <si>
    <t>Seclin</t>
  </si>
  <si>
    <t>Semousies</t>
  </si>
  <si>
    <t>La Sentinelle</t>
  </si>
  <si>
    <t>Sepmeries</t>
  </si>
  <si>
    <t>Sequedin</t>
  </si>
  <si>
    <t>Séranvillers-Forenville</t>
  </si>
  <si>
    <t>Sin-le-Noble</t>
  </si>
  <si>
    <t>Socx</t>
  </si>
  <si>
    <t>Solrinnes</t>
  </si>
  <si>
    <t>Somain</t>
  </si>
  <si>
    <t>Sommaing</t>
  </si>
  <si>
    <t>Spycker</t>
  </si>
  <si>
    <t>Steene</t>
  </si>
  <si>
    <t>Steenwerck</t>
  </si>
  <si>
    <t>Templemars</t>
  </si>
  <si>
    <t>Templeuve-en-Pévèle</t>
  </si>
  <si>
    <t>Téteghem-Coudekerque-Village</t>
  </si>
  <si>
    <t>Thiant</t>
  </si>
  <si>
    <t>Thivencelle</t>
  </si>
  <si>
    <t>Thumeries</t>
  </si>
  <si>
    <t>Thun-l'Évêque</t>
  </si>
  <si>
    <t>Thun-Saint-Amand</t>
  </si>
  <si>
    <t>Thun-Saint-Martin</t>
  </si>
  <si>
    <t>Tilloy-lez-Marchiennes</t>
  </si>
  <si>
    <t>Tilloy-lez-Cambrai</t>
  </si>
  <si>
    <t>Toufflers</t>
  </si>
  <si>
    <t>Tourcoing</t>
  </si>
  <si>
    <t>Tourmignies</t>
  </si>
  <si>
    <t>Tressin</t>
  </si>
  <si>
    <t>Trith-Saint-Léger</t>
  </si>
  <si>
    <t>Uxem</t>
  </si>
  <si>
    <t>Valenciennes</t>
  </si>
  <si>
    <t>Vendegies-sur-Écaillon</t>
  </si>
  <si>
    <t>Vendeville</t>
  </si>
  <si>
    <t>Verchain-Maugré</t>
  </si>
  <si>
    <t>Verlinghem</t>
  </si>
  <si>
    <t>Vicq</t>
  </si>
  <si>
    <t>Vieux-Berquin</t>
  </si>
  <si>
    <t>Vieux-Condé</t>
  </si>
  <si>
    <t>Vieux-Mesnil</t>
  </si>
  <si>
    <t>Vieux-Reng</t>
  </si>
  <si>
    <t>Villers-au-Tertre</t>
  </si>
  <si>
    <t>Villers-en-Cauchies</t>
  </si>
  <si>
    <t>Villers-Guislain</t>
  </si>
  <si>
    <t>Villers-Plouich</t>
  </si>
  <si>
    <t>Villers-Sire-Nicole</t>
  </si>
  <si>
    <t>Volckerinckhove</t>
  </si>
  <si>
    <t>Vred</t>
  </si>
  <si>
    <t>Wahagnies</t>
  </si>
  <si>
    <t>Wallers</t>
  </si>
  <si>
    <t>Wambaix</t>
  </si>
  <si>
    <t>Wambrechies</t>
  </si>
  <si>
    <t>Wandignies-Hamage</t>
  </si>
  <si>
    <t>Wannehain</t>
  </si>
  <si>
    <t>Wargnies-le-Grand</t>
  </si>
  <si>
    <t>Wargnies-le-Petit</t>
  </si>
  <si>
    <t>Warhem</t>
  </si>
  <si>
    <t>Warlaing</t>
  </si>
  <si>
    <t>Warneton</t>
  </si>
  <si>
    <t>Wasnes-au-Bac</t>
  </si>
  <si>
    <t>Wasquehal</t>
  </si>
  <si>
    <t>Wattignies</t>
  </si>
  <si>
    <t>Wattignies-la-Victoire</t>
  </si>
  <si>
    <t>Wattrelos</t>
  </si>
  <si>
    <t>Wavrechain-sous-Denain</t>
  </si>
  <si>
    <t>Wavrechain-sous-Faulx</t>
  </si>
  <si>
    <t>Wavrin</t>
  </si>
  <si>
    <t>Waziers</t>
  </si>
  <si>
    <t>Wervicq-Sud</t>
  </si>
  <si>
    <t>West-Cappel</t>
  </si>
  <si>
    <t>Wicres</t>
  </si>
  <si>
    <t>Willems</t>
  </si>
  <si>
    <t>Wormhout</t>
  </si>
  <si>
    <t>Wylder</t>
  </si>
  <si>
    <t>Zegerscappel</t>
  </si>
  <si>
    <t>Zuydcoote</t>
  </si>
  <si>
    <t>Don</t>
  </si>
  <si>
    <t>Abbecourt</t>
  </si>
  <si>
    <t>Abbeville-Saint-Lucien</t>
  </si>
  <si>
    <t>Achy</t>
  </si>
  <si>
    <t>Acy-en-Multien</t>
  </si>
  <si>
    <t>Les Ageux</t>
  </si>
  <si>
    <t>Agnetz</t>
  </si>
  <si>
    <t>Airion</t>
  </si>
  <si>
    <t>Allonne</t>
  </si>
  <si>
    <t>Amblainville</t>
  </si>
  <si>
    <t>Andeville</t>
  </si>
  <si>
    <t>Angicourt</t>
  </si>
  <si>
    <t>Angivillers</t>
  </si>
  <si>
    <t>Angy</t>
  </si>
  <si>
    <t>Ansacq</t>
  </si>
  <si>
    <t>Ansauvillers</t>
  </si>
  <si>
    <t>Antheuil-Portes</t>
  </si>
  <si>
    <t>Antilly</t>
  </si>
  <si>
    <t>Appilly</t>
  </si>
  <si>
    <t>Apremont</t>
  </si>
  <si>
    <t>Armancourt</t>
  </si>
  <si>
    <t>Arsy</t>
  </si>
  <si>
    <t>Attichy</t>
  </si>
  <si>
    <t>Auchy-la-Montagne</t>
  </si>
  <si>
    <t>Auger-Saint-Vincent</t>
  </si>
  <si>
    <t>Aumont-en-Halatte</t>
  </si>
  <si>
    <t>Auneuil</t>
  </si>
  <si>
    <t>Auteuil</t>
  </si>
  <si>
    <t>Autheuil-en-Valois</t>
  </si>
  <si>
    <t>Avilly-Saint-Léonard</t>
  </si>
  <si>
    <t>Avrechy</t>
  </si>
  <si>
    <t>Avrigny</t>
  </si>
  <si>
    <t>Babœuf</t>
  </si>
  <si>
    <t>Bacouël</t>
  </si>
  <si>
    <t>Bailleul-le-Soc</t>
  </si>
  <si>
    <t>Bailleul-sur-Thérain</t>
  </si>
  <si>
    <t>Bailleval</t>
  </si>
  <si>
    <t>Bailly</t>
  </si>
  <si>
    <t>Balagny-sur-Thérain</t>
  </si>
  <si>
    <t>Barbery</t>
  </si>
  <si>
    <t>Bargny</t>
  </si>
  <si>
    <t>Baugy</t>
  </si>
  <si>
    <t>Bazicourt</t>
  </si>
  <si>
    <t>Beaudéduit</t>
  </si>
  <si>
    <t>Beaugies-sous-Bois</t>
  </si>
  <si>
    <t>Les Hauts-Talican</t>
  </si>
  <si>
    <t>Beaurains-lès-Noyon</t>
  </si>
  <si>
    <t>Beaurepaire</t>
  </si>
  <si>
    <t>Beauvais</t>
  </si>
  <si>
    <t>Béhéricourt</t>
  </si>
  <si>
    <t>Belle-Église</t>
  </si>
  <si>
    <t>Belloy</t>
  </si>
  <si>
    <t>Berlancourt</t>
  </si>
  <si>
    <t>Berneuil-en-Bray</t>
  </si>
  <si>
    <t>Berneuil-sur-Aisne</t>
  </si>
  <si>
    <t>Berthecourt</t>
  </si>
  <si>
    <t>Béthancourt-en-Valois</t>
  </si>
  <si>
    <t>Béthisy-Saint-Martin</t>
  </si>
  <si>
    <t>Béthisy-Saint-Pierre</t>
  </si>
  <si>
    <t>Betz</t>
  </si>
  <si>
    <t>Bienville</t>
  </si>
  <si>
    <t>Biermont</t>
  </si>
  <si>
    <t>Bitry</t>
  </si>
  <si>
    <t>Blacourt</t>
  </si>
  <si>
    <t>Blaincourt-lès-Précy</t>
  </si>
  <si>
    <t>Blancfossé</t>
  </si>
  <si>
    <t>Blicourt</t>
  </si>
  <si>
    <t>Blincourt</t>
  </si>
  <si>
    <t>Boissy-Fresnoy</t>
  </si>
  <si>
    <t>Bonlier</t>
  </si>
  <si>
    <t>Bonneuil-les-Eaux</t>
  </si>
  <si>
    <t>Bonneuil-en-Valois</t>
  </si>
  <si>
    <t>Bonnières</t>
  </si>
  <si>
    <t>Boran-sur-Oise</t>
  </si>
  <si>
    <t>Borest</t>
  </si>
  <si>
    <t>Bornel</t>
  </si>
  <si>
    <t>Boubiers</t>
  </si>
  <si>
    <t>Bouconvillers</t>
  </si>
  <si>
    <t>Bouillancy</t>
  </si>
  <si>
    <t>Boullarre</t>
  </si>
  <si>
    <t>Boulogne-la-Grasse</t>
  </si>
  <si>
    <t>Boursonne</t>
  </si>
  <si>
    <t>Boury-en-Vexin</t>
  </si>
  <si>
    <t>Boutencourt</t>
  </si>
  <si>
    <t>Braisnes-sur-Aronde</t>
  </si>
  <si>
    <t>Brasseuse</t>
  </si>
  <si>
    <t>Brégy</t>
  </si>
  <si>
    <t>Brenouille</t>
  </si>
  <si>
    <t>Bresles</t>
  </si>
  <si>
    <t>Breteuil</t>
  </si>
  <si>
    <t>Brétigny</t>
  </si>
  <si>
    <t>Breuil-le-Sec</t>
  </si>
  <si>
    <t>Breuil-le-Vert</t>
  </si>
  <si>
    <t>Briot</t>
  </si>
  <si>
    <t>Brombos</t>
  </si>
  <si>
    <t>Broquiers</t>
  </si>
  <si>
    <t>Brunvillers-la-Motte</t>
  </si>
  <si>
    <t>Bucamps</t>
  </si>
  <si>
    <t>Buicourt</t>
  </si>
  <si>
    <t>Bulles</t>
  </si>
  <si>
    <t>Bury</t>
  </si>
  <si>
    <t>Bussy</t>
  </si>
  <si>
    <t>Caisnes</t>
  </si>
  <si>
    <t>Cambronne-lès-Ribécourt</t>
  </si>
  <si>
    <t>Cambronne-lès-Clermont</t>
  </si>
  <si>
    <t>Campeaux</t>
  </si>
  <si>
    <t>Campremy</t>
  </si>
  <si>
    <t>Candor</t>
  </si>
  <si>
    <t>Canly</t>
  </si>
  <si>
    <t>Cannectancourt</t>
  </si>
  <si>
    <t>Canny-sur-Matz</t>
  </si>
  <si>
    <t>Canny-sur-Thérain</t>
  </si>
  <si>
    <t>Carlepont</t>
  </si>
  <si>
    <t>Catenoy</t>
  </si>
  <si>
    <t>Catheux</t>
  </si>
  <si>
    <t>Catigny</t>
  </si>
  <si>
    <t>Catillon-Fumechon</t>
  </si>
  <si>
    <t>Cauffry</t>
  </si>
  <si>
    <t>Cauvigny</t>
  </si>
  <si>
    <t>Cempuis</t>
  </si>
  <si>
    <t>Cernoy</t>
  </si>
  <si>
    <t>Chamant</t>
  </si>
  <si>
    <t>Chambly</t>
  </si>
  <si>
    <t>Chambors</t>
  </si>
  <si>
    <t>Chantilly</t>
  </si>
  <si>
    <t>La Chapelle-en-Serval</t>
  </si>
  <si>
    <t>Chaumont-en-Vexin</t>
  </si>
  <si>
    <t>Chavençon</t>
  </si>
  <si>
    <t>Chelles</t>
  </si>
  <si>
    <t>Chepoix</t>
  </si>
  <si>
    <t>Chevincourt</t>
  </si>
  <si>
    <t>Chèvreville</t>
  </si>
  <si>
    <t>Chiry-Ourscamp</t>
  </si>
  <si>
    <t>Choisy-au-Bac</t>
  </si>
  <si>
    <t>Choisy-la-Victoire</t>
  </si>
  <si>
    <t>Choqueuse-les-Bénards</t>
  </si>
  <si>
    <t>Cinqueux</t>
  </si>
  <si>
    <t>Cires-lès-Mello</t>
  </si>
  <si>
    <t>Clairoix</t>
  </si>
  <si>
    <t>Clermont</t>
  </si>
  <si>
    <t>Compiègne</t>
  </si>
  <si>
    <t>Conchy-les-Pots</t>
  </si>
  <si>
    <t>Conteville</t>
  </si>
  <si>
    <t>Corbeil-Cerf</t>
  </si>
  <si>
    <t>Cormeilles</t>
  </si>
  <si>
    <t>Le Coudray-Saint-Germer</t>
  </si>
  <si>
    <t>Le Coudray-sur-Thelle</t>
  </si>
  <si>
    <t>Coudun</t>
  </si>
  <si>
    <t>Couloisy</t>
  </si>
  <si>
    <t>Courcelles-lès-Gisors</t>
  </si>
  <si>
    <t>Courteuil</t>
  </si>
  <si>
    <t>Courtieux</t>
  </si>
  <si>
    <t>Coye-la-Forêt</t>
  </si>
  <si>
    <t>Cramoisy</t>
  </si>
  <si>
    <t>Crapeaumesnil</t>
  </si>
  <si>
    <t>Creil</t>
  </si>
  <si>
    <t>Crépy-en-Valois</t>
  </si>
  <si>
    <t>Cressonsacq</t>
  </si>
  <si>
    <t>Crèvecœur-le-Grand</t>
  </si>
  <si>
    <t>Crèvecœur-le-Petit</t>
  </si>
  <si>
    <t>Crillon</t>
  </si>
  <si>
    <t>Crisolles</t>
  </si>
  <si>
    <t>Le Crocq</t>
  </si>
  <si>
    <t>Croissy-sur-Celle</t>
  </si>
  <si>
    <t>Croutoy</t>
  </si>
  <si>
    <t>Crouy-en-Thelle</t>
  </si>
  <si>
    <t>Cuignières</t>
  </si>
  <si>
    <t>Cuigy-en-Bray</t>
  </si>
  <si>
    <t>Cuise-la-Motte</t>
  </si>
  <si>
    <t>Cuts</t>
  </si>
  <si>
    <t>Cuvergnon</t>
  </si>
  <si>
    <t>Cuvilly</t>
  </si>
  <si>
    <t>Cuy</t>
  </si>
  <si>
    <t>Daméraucourt</t>
  </si>
  <si>
    <t>Dargies</t>
  </si>
  <si>
    <t>Delincourt</t>
  </si>
  <si>
    <t>La Drenne</t>
  </si>
  <si>
    <t>Dieudonné</t>
  </si>
  <si>
    <t>Dives</t>
  </si>
  <si>
    <t>Doméliers</t>
  </si>
  <si>
    <t>Duvy</t>
  </si>
  <si>
    <t>Écuvilly</t>
  </si>
  <si>
    <t>Élencourt</t>
  </si>
  <si>
    <t>Élincourt-Sainte-Marguerite</t>
  </si>
  <si>
    <t>Éméville</t>
  </si>
  <si>
    <t>Énencourt-Léage</t>
  </si>
  <si>
    <t>La Corne-en-Vexin</t>
  </si>
  <si>
    <t>Épineuse</t>
  </si>
  <si>
    <t>Éragny-sur-Epte</t>
  </si>
  <si>
    <t>Ercuis</t>
  </si>
  <si>
    <t>Ermenonville</t>
  </si>
  <si>
    <t>Ernemont-Boutavent</t>
  </si>
  <si>
    <t>Erquery</t>
  </si>
  <si>
    <t>Erquinvillers</t>
  </si>
  <si>
    <t>Escames</t>
  </si>
  <si>
    <t>Esches</t>
  </si>
  <si>
    <t>Espaubourg</t>
  </si>
  <si>
    <t>Essuiles</t>
  </si>
  <si>
    <t>Estrées-Saint-Denis</t>
  </si>
  <si>
    <t>Étavigny</t>
  </si>
  <si>
    <t>Étouy</t>
  </si>
  <si>
    <t>Ève</t>
  </si>
  <si>
    <t>Évricourt</t>
  </si>
  <si>
    <t>Fay-les-Étangs</t>
  </si>
  <si>
    <t>Le Fayel</t>
  </si>
  <si>
    <t>Le Fay-Saint-Quentin</t>
  </si>
  <si>
    <t>Feigneux</t>
  </si>
  <si>
    <t>Feuquières</t>
  </si>
  <si>
    <t>Fitz-James</t>
  </si>
  <si>
    <t>Flavacourt</t>
  </si>
  <si>
    <t>Flavy-le-Meldeux</t>
  </si>
  <si>
    <t>Fléchy</t>
  </si>
  <si>
    <t>Fleurines</t>
  </si>
  <si>
    <t>Fontaine-Bonneleau</t>
  </si>
  <si>
    <t>Fontaine-Chaalis</t>
  </si>
  <si>
    <t>Fontaine-Lavaganne</t>
  </si>
  <si>
    <t>Fontaine-Saint-Lucien</t>
  </si>
  <si>
    <t>Fontenay-Torcy</t>
  </si>
  <si>
    <t>Formerie</t>
  </si>
  <si>
    <t>Fouilleuse</t>
  </si>
  <si>
    <t>Foulangues</t>
  </si>
  <si>
    <t>Fouquenies</t>
  </si>
  <si>
    <t>Fouquerolles</t>
  </si>
  <si>
    <t>Fournival</t>
  </si>
  <si>
    <t>Francastel</t>
  </si>
  <si>
    <t>Francières</t>
  </si>
  <si>
    <t>Fréniches</t>
  </si>
  <si>
    <t>Montchevreuil</t>
  </si>
  <si>
    <t>Fresne-Léguillon</t>
  </si>
  <si>
    <t>Fresnières</t>
  </si>
  <si>
    <t>Fresnoy-en-Thelle</t>
  </si>
  <si>
    <t>Fresnoy-la-Rivière</t>
  </si>
  <si>
    <t>Fresnoy-le-Luat</t>
  </si>
  <si>
    <t>Frétoy-le-Château</t>
  </si>
  <si>
    <t>Frocourt</t>
  </si>
  <si>
    <t>Froissy</t>
  </si>
  <si>
    <t>Le Gallet</t>
  </si>
  <si>
    <t>Gaudechart</t>
  </si>
  <si>
    <t>Genvry</t>
  </si>
  <si>
    <t>Gerberoy</t>
  </si>
  <si>
    <t>Gilocourt</t>
  </si>
  <si>
    <t>Glaignes</t>
  </si>
  <si>
    <t>Glatigny</t>
  </si>
  <si>
    <t>Goincourt</t>
  </si>
  <si>
    <t>Golancourt</t>
  </si>
  <si>
    <t>Gournay-sur-Aronde</t>
  </si>
  <si>
    <t>Gouvieux</t>
  </si>
  <si>
    <t>Gouy-les-Groseillers</t>
  </si>
  <si>
    <t>Grandfresnoy</t>
  </si>
  <si>
    <t>Grandvillers-aux-Bois</t>
  </si>
  <si>
    <t>Grandvilliers</t>
  </si>
  <si>
    <t>Grandrû</t>
  </si>
  <si>
    <t>Grémévillers</t>
  </si>
  <si>
    <t>Grez</t>
  </si>
  <si>
    <t>Guignecourt</t>
  </si>
  <si>
    <t>Guiscard</t>
  </si>
  <si>
    <t>Gury</t>
  </si>
  <si>
    <t>Hadancourt-le-Haut-Clocher</t>
  </si>
  <si>
    <t>Hainvillers</t>
  </si>
  <si>
    <t>Halloy</t>
  </si>
  <si>
    <t>Hannaches</t>
  </si>
  <si>
    <t>Le Hamel</t>
  </si>
  <si>
    <t>Hanvoile</t>
  </si>
  <si>
    <t>Hardivillers</t>
  </si>
  <si>
    <t>Haucourt</t>
  </si>
  <si>
    <t>Haudivillers</t>
  </si>
  <si>
    <t>Hautbos</t>
  </si>
  <si>
    <t>Haute-Épine</t>
  </si>
  <si>
    <t>Hautefontaine</t>
  </si>
  <si>
    <t>Heilles</t>
  </si>
  <si>
    <t>Hémévillers</t>
  </si>
  <si>
    <t>Hénonville</t>
  </si>
  <si>
    <t>Herchies</t>
  </si>
  <si>
    <t>La Hérelle</t>
  </si>
  <si>
    <t>Héricourt-sur-Thérain</t>
  </si>
  <si>
    <t>Hermes</t>
  </si>
  <si>
    <t>Hétomesnil</t>
  </si>
  <si>
    <t>Hodenc-en-Bray</t>
  </si>
  <si>
    <t>Hodenc-l'Évêque</t>
  </si>
  <si>
    <t>Hondainville</t>
  </si>
  <si>
    <t>Houdancourt</t>
  </si>
  <si>
    <t>La Houssoye</t>
  </si>
  <si>
    <t>Ivors</t>
  </si>
  <si>
    <t>Ivry-le-Temple</t>
  </si>
  <si>
    <t>Jaméricourt</t>
  </si>
  <si>
    <t>Janville</t>
  </si>
  <si>
    <t>Jaulzy</t>
  </si>
  <si>
    <t>Jaux</t>
  </si>
  <si>
    <t>Jouy-sous-Thelle</t>
  </si>
  <si>
    <t>Juvignies</t>
  </si>
  <si>
    <t>Laberlière</t>
  </si>
  <si>
    <t>Laboissière-en-Thelle</t>
  </si>
  <si>
    <t>Labosse</t>
  </si>
  <si>
    <t>Labruyère</t>
  </si>
  <si>
    <t>Lachapelle-aux-Pots</t>
  </si>
  <si>
    <t>Lachapelle-Saint-Pierre</t>
  </si>
  <si>
    <t>Lachapelle-sous-Gerberoy</t>
  </si>
  <si>
    <t>Lachaussée-du-Bois-d'Écu</t>
  </si>
  <si>
    <t>Lachelle</t>
  </si>
  <si>
    <t>Lacroix-Saint-Ouen</t>
  </si>
  <si>
    <t>Lafraye</t>
  </si>
  <si>
    <t>Lagny</t>
  </si>
  <si>
    <t>Lagny-le-Sec</t>
  </si>
  <si>
    <t>Laigneville</t>
  </si>
  <si>
    <t>Lalande-en-Son</t>
  </si>
  <si>
    <t>Lalandelle</t>
  </si>
  <si>
    <t>Lamécourt</t>
  </si>
  <si>
    <t>Lamorlaye</t>
  </si>
  <si>
    <t>Larbroye</t>
  </si>
  <si>
    <t>Lassigny</t>
  </si>
  <si>
    <t>Lataule</t>
  </si>
  <si>
    <t>Lattainville</t>
  </si>
  <si>
    <t>Lavacquerie</t>
  </si>
  <si>
    <t>Laversines</t>
  </si>
  <si>
    <t>Lavilletertre</t>
  </si>
  <si>
    <t>Léglantiers</t>
  </si>
  <si>
    <t>Lévignen</t>
  </si>
  <si>
    <t>Lhéraule</t>
  </si>
  <si>
    <t>Liancourt</t>
  </si>
  <si>
    <t>Liancourt-Saint-Pierre</t>
  </si>
  <si>
    <t>Libermont</t>
  </si>
  <si>
    <t>Lierville</t>
  </si>
  <si>
    <t>Lieuvillers</t>
  </si>
  <si>
    <t>Lihus</t>
  </si>
  <si>
    <t>Litz</t>
  </si>
  <si>
    <t>Loconville</t>
  </si>
  <si>
    <t>Longueil-Annel</t>
  </si>
  <si>
    <t>Longueil-Sainte-Marie</t>
  </si>
  <si>
    <t>Lormaison</t>
  </si>
  <si>
    <t>Loueuse</t>
  </si>
  <si>
    <t>Luchy</t>
  </si>
  <si>
    <t>Machemont</t>
  </si>
  <si>
    <t>Maimbeville</t>
  </si>
  <si>
    <t>Maisoncelle-Saint-Pierre</t>
  </si>
  <si>
    <t>Maisoncelle-Tuilerie</t>
  </si>
  <si>
    <t>Marest-sur-Matz</t>
  </si>
  <si>
    <t>Mareuil-la-Motte</t>
  </si>
  <si>
    <t>Mareuil-sur-Ourcq</t>
  </si>
  <si>
    <t>Margny-aux-Cerises</t>
  </si>
  <si>
    <t>Margny-lès-Compiègne</t>
  </si>
  <si>
    <t>Margny-sur-Matz</t>
  </si>
  <si>
    <t>Marquéglise</t>
  </si>
  <si>
    <t>Marseille-en-Beauvaisis</t>
  </si>
  <si>
    <t>Maucourt</t>
  </si>
  <si>
    <t>Maulers</t>
  </si>
  <si>
    <t>Maysel</t>
  </si>
  <si>
    <t>Mélicocq</t>
  </si>
  <si>
    <t>Mello</t>
  </si>
  <si>
    <t>Ménévillers</t>
  </si>
  <si>
    <t>Méru</t>
  </si>
  <si>
    <t>Le Mesnil-Conteville</t>
  </si>
  <si>
    <t>Le Mesnil-en-Thelle</t>
  </si>
  <si>
    <t>Le Mesnil-sur-Bulles</t>
  </si>
  <si>
    <t>Le Mesnil-Théribus</t>
  </si>
  <si>
    <t>Le Meux</t>
  </si>
  <si>
    <t>Milly-sur-Thérain</t>
  </si>
  <si>
    <t>Mogneville</t>
  </si>
  <si>
    <t>Monceaux</t>
  </si>
  <si>
    <t>Monchy-Humières</t>
  </si>
  <si>
    <t>Monchy-Saint-Éloi</t>
  </si>
  <si>
    <t>Mondescourt</t>
  </si>
  <si>
    <t>Monneville</t>
  </si>
  <si>
    <t>Montagny-en-Vexin</t>
  </si>
  <si>
    <t>Montagny-Sainte-Félicité</t>
  </si>
  <si>
    <t>Montataire</t>
  </si>
  <si>
    <t>Montépilloy</t>
  </si>
  <si>
    <t>Montiers</t>
  </si>
  <si>
    <t>Montjavoult</t>
  </si>
  <si>
    <t>Mont-l'Évêque</t>
  </si>
  <si>
    <t>Montlognon</t>
  </si>
  <si>
    <t>Montmacq</t>
  </si>
  <si>
    <t>Montmartin</t>
  </si>
  <si>
    <t>Montreuil-sur-Brêche</t>
  </si>
  <si>
    <t>Montreuil-sur-Thérain</t>
  </si>
  <si>
    <t>Monts</t>
  </si>
  <si>
    <t>Le Mont-Saint-Adrien</t>
  </si>
  <si>
    <t>Morangles</t>
  </si>
  <si>
    <t>Morienval</t>
  </si>
  <si>
    <t>Morlincourt</t>
  </si>
  <si>
    <t>Mortefontaine-en-Thelle</t>
  </si>
  <si>
    <t>Mortemer</t>
  </si>
  <si>
    <t>Morvillers</t>
  </si>
  <si>
    <t>Mory-Montcrux</t>
  </si>
  <si>
    <t>Mouchy-le-Châtel</t>
  </si>
  <si>
    <t>Moulin-sous-Touvent</t>
  </si>
  <si>
    <t>Mouy</t>
  </si>
  <si>
    <t>Moyenneville</t>
  </si>
  <si>
    <t>Moyvillers</t>
  </si>
  <si>
    <t>Muidorge</t>
  </si>
  <si>
    <t>Muirancourt</t>
  </si>
  <si>
    <t>Mureaumont</t>
  </si>
  <si>
    <t>Nampcel</t>
  </si>
  <si>
    <t>Nanteuil-le-Haudouin</t>
  </si>
  <si>
    <t>Néry</t>
  </si>
  <si>
    <t>Neufchelles</t>
  </si>
  <si>
    <t>Neufvy-sur-Aronde</t>
  </si>
  <si>
    <t>Neuilly-en-Thelle</t>
  </si>
  <si>
    <t>Neuilly-sous-Clermont</t>
  </si>
  <si>
    <t>Neuville-Bosc</t>
  </si>
  <si>
    <t>La Neuville-en-Hez</t>
  </si>
  <si>
    <t>La Neuville-Roy</t>
  </si>
  <si>
    <t>La Neuville-Saint-Pierre</t>
  </si>
  <si>
    <t>La Neuville-sur-Oudeuil</t>
  </si>
  <si>
    <t>La Neuville-sur-Ressons</t>
  </si>
  <si>
    <t>La Neuville-Vault</t>
  </si>
  <si>
    <t>Nivillers</t>
  </si>
  <si>
    <t>Nogent-sur-Oise</t>
  </si>
  <si>
    <t>Nointel</t>
  </si>
  <si>
    <t>Noirémont</t>
  </si>
  <si>
    <t>Noroy</t>
  </si>
  <si>
    <t>Nourard-le-Franc</t>
  </si>
  <si>
    <t>Novillers</t>
  </si>
  <si>
    <t>Noyers-Saint-Martin</t>
  </si>
  <si>
    <t>Noyon</t>
  </si>
  <si>
    <t>Offoy</t>
  </si>
  <si>
    <t>Ognolles</t>
  </si>
  <si>
    <t>Omécourt</t>
  </si>
  <si>
    <t>Ons-en-Bray</t>
  </si>
  <si>
    <t>Ormoy-le-Davien</t>
  </si>
  <si>
    <t>Ormoy-Villers</t>
  </si>
  <si>
    <t>Oroër</t>
  </si>
  <si>
    <t>Orrouy</t>
  </si>
  <si>
    <t>Orry-la-Ville</t>
  </si>
  <si>
    <t>Orvillers-Sorel</t>
  </si>
  <si>
    <t>Oudeuil</t>
  </si>
  <si>
    <t>Oursel-Maison</t>
  </si>
  <si>
    <t>Paillart</t>
  </si>
  <si>
    <t>Parnes</t>
  </si>
  <si>
    <t>Passel</t>
  </si>
  <si>
    <t>Péroy-les-Gombries</t>
  </si>
  <si>
    <t>Pierrefitte-en-Beauvaisis</t>
  </si>
  <si>
    <t>Pierrefonds</t>
  </si>
  <si>
    <t>Pimprez</t>
  </si>
  <si>
    <t>Pisseleu</t>
  </si>
  <si>
    <t>Plailly</t>
  </si>
  <si>
    <t>Plainval</t>
  </si>
  <si>
    <t>Le Plessier-sur-Bulles</t>
  </si>
  <si>
    <t>Le Plessier-sur-Saint-Just</t>
  </si>
  <si>
    <t>Plessis-de-Roye</t>
  </si>
  <si>
    <t>Le Plessis-Belleville</t>
  </si>
  <si>
    <t>Le Plessis-Brion</t>
  </si>
  <si>
    <t>Le Plessis-Patte-d'Oie</t>
  </si>
  <si>
    <t>Ponchon</t>
  </si>
  <si>
    <t>Pontarmé</t>
  </si>
  <si>
    <t>Pont-l'Évêque</t>
  </si>
  <si>
    <t>Pontoise-lès-Noyon</t>
  </si>
  <si>
    <t>Pontpoint</t>
  </si>
  <si>
    <t>Pont-Sainte-Maxence</t>
  </si>
  <si>
    <t>Porcheux</t>
  </si>
  <si>
    <t>Porquéricourt</t>
  </si>
  <si>
    <t>Précy-sur-Oise</t>
  </si>
  <si>
    <t>Prévillers</t>
  </si>
  <si>
    <t>Pronleroy</t>
  </si>
  <si>
    <t>Puiseux-en-Bray</t>
  </si>
  <si>
    <t>Puiseux-le-Hauberger</t>
  </si>
  <si>
    <t>Puits-la-Vallée</t>
  </si>
  <si>
    <t>Quesmy</t>
  </si>
  <si>
    <t>Le Quesnel-Aubry</t>
  </si>
  <si>
    <t>Rainvillers</t>
  </si>
  <si>
    <t>Rantigny</t>
  </si>
  <si>
    <t>Raray</t>
  </si>
  <si>
    <t>Ravenel</t>
  </si>
  <si>
    <t>Réez-Fosse-Martin</t>
  </si>
  <si>
    <t>Reilly</t>
  </si>
  <si>
    <t>Rémécourt</t>
  </si>
  <si>
    <t>Rémérangles</t>
  </si>
  <si>
    <t>Remy</t>
  </si>
  <si>
    <t>Ressons-sur-Matz</t>
  </si>
  <si>
    <t>Rethondes</t>
  </si>
  <si>
    <t>Reuil-sur-Brêche</t>
  </si>
  <si>
    <t>Rhuis</t>
  </si>
  <si>
    <t>Ribécourt-Dreslincourt</t>
  </si>
  <si>
    <t>Ricquebourg</t>
  </si>
  <si>
    <t>Rieux</t>
  </si>
  <si>
    <t>Rivecourt</t>
  </si>
  <si>
    <t>Roberval</t>
  </si>
  <si>
    <t>Rochy-Condé</t>
  </si>
  <si>
    <t>Rocquemont</t>
  </si>
  <si>
    <t>Rosoy</t>
  </si>
  <si>
    <t>Rosoy-en-Multien</t>
  </si>
  <si>
    <t>Rotangy</t>
  </si>
  <si>
    <t>Rothois</t>
  </si>
  <si>
    <t>Rousseloy</t>
  </si>
  <si>
    <t>Rouville</t>
  </si>
  <si>
    <t>Rouvillers</t>
  </si>
  <si>
    <t>Rouvres-en-Multien</t>
  </si>
  <si>
    <t>Rouvroy-les-Merles</t>
  </si>
  <si>
    <t>Roy-Boissy</t>
  </si>
  <si>
    <t>Roye-sur-Matz</t>
  </si>
  <si>
    <t>La Rue-Saint-Pierre</t>
  </si>
  <si>
    <t>Rully</t>
  </si>
  <si>
    <t>Russy-Bémont</t>
  </si>
  <si>
    <t>Sacy-le-Grand</t>
  </si>
  <si>
    <t>Sacy-le-Petit</t>
  </si>
  <si>
    <t>Sains-Morainvillers</t>
  </si>
  <si>
    <t>Saint-André-Farivillers</t>
  </si>
  <si>
    <t>Saint-Aubin-en-Bray</t>
  </si>
  <si>
    <t>Saint-Aubin-sous-Erquery</t>
  </si>
  <si>
    <t>Saint-Crépin-aux-Bois</t>
  </si>
  <si>
    <t>Saint-Crépin-Ibouvillers</t>
  </si>
  <si>
    <t>Saint-Deniscourt</t>
  </si>
  <si>
    <t>Saint-Étienne-Roilaye</t>
  </si>
  <si>
    <t>Sainte-Eusoye</t>
  </si>
  <si>
    <t>Saint-Félix</t>
  </si>
  <si>
    <t>Saint-Germain-la-Poterie</t>
  </si>
  <si>
    <t>Saint-Germer-de-Fly</t>
  </si>
  <si>
    <t>Saintines</t>
  </si>
  <si>
    <t>Saint-Jean-aux-Bois</t>
  </si>
  <si>
    <t>Saint-Just-en-Chaussée</t>
  </si>
  <si>
    <t>Saint-Léger-aux-Bois</t>
  </si>
  <si>
    <t>Saint-Léger-en-Bray</t>
  </si>
  <si>
    <t>Saint-Leu-d'Esserent</t>
  </si>
  <si>
    <t>Saint-Martin-le-Nœud</t>
  </si>
  <si>
    <t>Saint-Martin-Longueau</t>
  </si>
  <si>
    <t>Saint-Omer-en-Chaussée</t>
  </si>
  <si>
    <t>Saint-Pierre-es-Champs</t>
  </si>
  <si>
    <t>Saint-Pierre-lès-Bitry</t>
  </si>
  <si>
    <t>Saint-Quentin-des-Prés</t>
  </si>
  <si>
    <t>Saint-Remy-en-l'Eau</t>
  </si>
  <si>
    <t>Saint-Samson-la-Poterie</t>
  </si>
  <si>
    <t>Saint-Vaast-de-Longmont</t>
  </si>
  <si>
    <t>Saint-Vaast-lès-Mello</t>
  </si>
  <si>
    <t>Salency</t>
  </si>
  <si>
    <t>Sarnois</t>
  </si>
  <si>
    <t>Le Saulchoy</t>
  </si>
  <si>
    <t>Savignies</t>
  </si>
  <si>
    <t>Sempigny</t>
  </si>
  <si>
    <t>Senlis</t>
  </si>
  <si>
    <t>Senots</t>
  </si>
  <si>
    <t>Serans</t>
  </si>
  <si>
    <t>Sérévillers</t>
  </si>
  <si>
    <t>Sérifontaine</t>
  </si>
  <si>
    <t>Sermaize</t>
  </si>
  <si>
    <t>Séry-Magneval</t>
  </si>
  <si>
    <t>Silly-le-Long</t>
  </si>
  <si>
    <t>Silly-Tillard</t>
  </si>
  <si>
    <t>Sommereux</t>
  </si>
  <si>
    <t>Songeons</t>
  </si>
  <si>
    <t>Sully</t>
  </si>
  <si>
    <t>Suzoy</t>
  </si>
  <si>
    <t>Talmontiers</t>
  </si>
  <si>
    <t>Therdonne</t>
  </si>
  <si>
    <t>Thérines</t>
  </si>
  <si>
    <t>Thibivillers</t>
  </si>
  <si>
    <t>Thiers-sur-Thève</t>
  </si>
  <si>
    <t>Thiescourt</t>
  </si>
  <si>
    <t>Thieuloy-Saint-Antoine</t>
  </si>
  <si>
    <t>Thieux</t>
  </si>
  <si>
    <t>Thiverny</t>
  </si>
  <si>
    <t>Thourotte</t>
  </si>
  <si>
    <t>Thury-en-Valois</t>
  </si>
  <si>
    <t>Thury-sous-Clermont</t>
  </si>
  <si>
    <t>Tillé</t>
  </si>
  <si>
    <t>Tourly</t>
  </si>
  <si>
    <t>Tracy-le-Mont</t>
  </si>
  <si>
    <t>Tracy-le-Val</t>
  </si>
  <si>
    <t>Trie-Château</t>
  </si>
  <si>
    <t>Trie-la-Ville</t>
  </si>
  <si>
    <t>Troissereux</t>
  </si>
  <si>
    <t>Trosly-Breuil</t>
  </si>
  <si>
    <t>Troussencourt</t>
  </si>
  <si>
    <t>Trumilly</t>
  </si>
  <si>
    <t>Ully-Saint-Georges</t>
  </si>
  <si>
    <t>Valdampierre</t>
  </si>
  <si>
    <t>Valescourt</t>
  </si>
  <si>
    <t>Vandélicourt</t>
  </si>
  <si>
    <t>Varesnes</t>
  </si>
  <si>
    <t>Varinfroy</t>
  </si>
  <si>
    <t>Vauchelles</t>
  </si>
  <si>
    <t>Vauciennes</t>
  </si>
  <si>
    <t>Vaudancourt</t>
  </si>
  <si>
    <t>Le Vaumain</t>
  </si>
  <si>
    <t>Vaumoise</t>
  </si>
  <si>
    <t>Le Vauroux</t>
  </si>
  <si>
    <t>Velennes</t>
  </si>
  <si>
    <t>Vendeuil-Caply</t>
  </si>
  <si>
    <t>Venette</t>
  </si>
  <si>
    <t>Ver-sur-Launette</t>
  </si>
  <si>
    <t>Verberie</t>
  </si>
  <si>
    <t>Verderel-lès-Sauqueuse</t>
  </si>
  <si>
    <t>Verderonne</t>
  </si>
  <si>
    <t>Verneuil-en-Halatte</t>
  </si>
  <si>
    <t>Vez</t>
  </si>
  <si>
    <t>Viefvillers</t>
  </si>
  <si>
    <t>Vieux-Moulin</t>
  </si>
  <si>
    <t>Vignemont</t>
  </si>
  <si>
    <t>Ville</t>
  </si>
  <si>
    <t>Villembray</t>
  </si>
  <si>
    <t>Villeneuve-les-Sablons</t>
  </si>
  <si>
    <t>La Villeneuve-sous-Thury</t>
  </si>
  <si>
    <t>Villeneuve-sur-Verberie</t>
  </si>
  <si>
    <t>Villers-Saint-Barthélemy</t>
  </si>
  <si>
    <t>Villers-Saint-Frambourg-Ognon</t>
  </si>
  <si>
    <t>Villers-Saint-Genest</t>
  </si>
  <si>
    <t>Villers-Saint-Paul</t>
  </si>
  <si>
    <t>Villers-Saint-Sépulcre</t>
  </si>
  <si>
    <t>Villers-sous-Saint-Leu</t>
  </si>
  <si>
    <t>Villers-sur-Auchy</t>
  </si>
  <si>
    <t>Villers-sur-Bonnières</t>
  </si>
  <si>
    <t>Villers-sur-Coudun</t>
  </si>
  <si>
    <t>Villers-Vermont</t>
  </si>
  <si>
    <t>Villeselve</t>
  </si>
  <si>
    <t>Vineuil-Saint-Firmin</t>
  </si>
  <si>
    <t>Vrocourt</t>
  </si>
  <si>
    <t>Wacquemoulin</t>
  </si>
  <si>
    <t>Wambez</t>
  </si>
  <si>
    <t>Warluis</t>
  </si>
  <si>
    <t>Wavignies</t>
  </si>
  <si>
    <t>Aux Marais</t>
  </si>
  <si>
    <t>Alençon</t>
  </si>
  <si>
    <t>Argentan</t>
  </si>
  <si>
    <t>Athis-Val de Rouvre</t>
  </si>
  <si>
    <t>Aubusson</t>
  </si>
  <si>
    <t>Aunou-le-Faucon</t>
  </si>
  <si>
    <t>Banvou</t>
  </si>
  <si>
    <t>La Bazoque</t>
  </si>
  <si>
    <t>Bellou-en-Houlme</t>
  </si>
  <si>
    <t>Berjou</t>
  </si>
  <si>
    <t>Boucé</t>
  </si>
  <si>
    <t>Brieux</t>
  </si>
  <si>
    <t>Briouze</t>
  </si>
  <si>
    <t>Cahan</t>
  </si>
  <si>
    <t>Caligny</t>
  </si>
  <si>
    <t>Cerisé</t>
  </si>
  <si>
    <t>Cerisy-Belle-Étoile</t>
  </si>
  <si>
    <t>La Chapelle-au-Moine</t>
  </si>
  <si>
    <t>La Chapelle-Biche</t>
  </si>
  <si>
    <t>Le Châtellier</t>
  </si>
  <si>
    <t>Ciral</t>
  </si>
  <si>
    <t>Commeaux</t>
  </si>
  <si>
    <t>Condé-sur-Sarthe</t>
  </si>
  <si>
    <t>Coudehard</t>
  </si>
  <si>
    <t>Coulonces</t>
  </si>
  <si>
    <t>La Coulonche</t>
  </si>
  <si>
    <t>Cuissai</t>
  </si>
  <si>
    <t>Damigny</t>
  </si>
  <si>
    <t>Dompierre</t>
  </si>
  <si>
    <t>Durcet</t>
  </si>
  <si>
    <t>Échalou</t>
  </si>
  <si>
    <t>Écorches</t>
  </si>
  <si>
    <t>Écouché-les-Vallées</t>
  </si>
  <si>
    <t>La Ferrière-aux-Étangs</t>
  </si>
  <si>
    <t>La Ferrière-Bochard</t>
  </si>
  <si>
    <t>La Ferté Macé</t>
  </si>
  <si>
    <t>Flers</t>
  </si>
  <si>
    <t>Fleuré</t>
  </si>
  <si>
    <t>Fontaine-les-Bassets</t>
  </si>
  <si>
    <t>Gandelain</t>
  </si>
  <si>
    <t>Ginai</t>
  </si>
  <si>
    <t>Monts-sur-Orne</t>
  </si>
  <si>
    <t>Le Grais</t>
  </si>
  <si>
    <t>Guêprei</t>
  </si>
  <si>
    <t>Héloup</t>
  </si>
  <si>
    <t>Joué-du-Plain</t>
  </si>
  <si>
    <t>Juvigny-sur-Orne</t>
  </si>
  <si>
    <t>Lalacelle</t>
  </si>
  <si>
    <t>La Lande-de-Lougé</t>
  </si>
  <si>
    <t>La Lande-Patry</t>
  </si>
  <si>
    <t>La Lande-Saint-Siméon</t>
  </si>
  <si>
    <t>Landigou</t>
  </si>
  <si>
    <t>Landisacq</t>
  </si>
  <si>
    <t>Larré</t>
  </si>
  <si>
    <t>L'Orée-d'Écouves</t>
  </si>
  <si>
    <t>Longny les Villages</t>
  </si>
  <si>
    <t>Lonlay-le-Tesson</t>
  </si>
  <si>
    <t>Lonrai</t>
  </si>
  <si>
    <t>Lougé-sur-Maire</t>
  </si>
  <si>
    <t>Louvières-en-Auge</t>
  </si>
  <si>
    <t>Le Ménil-de-Briouze</t>
  </si>
  <si>
    <t>Ménil-Erreux</t>
  </si>
  <si>
    <t>Ménil-Hubert-sur-Orne</t>
  </si>
  <si>
    <t>Merri</t>
  </si>
  <si>
    <t>Messei</t>
  </si>
  <si>
    <t>Mieuxcé</t>
  </si>
  <si>
    <t>Montabard</t>
  </si>
  <si>
    <t>Montilly-sur-Noireau</t>
  </si>
  <si>
    <t>Mont-Ormel</t>
  </si>
  <si>
    <t>Montreuil-la-Cambe</t>
  </si>
  <si>
    <t>Moulins-sur-Orne</t>
  </si>
  <si>
    <t>Neauphe-sur-Dive</t>
  </si>
  <si>
    <t>Nécy</t>
  </si>
  <si>
    <t>Occagnes</t>
  </si>
  <si>
    <t>Ommoy</t>
  </si>
  <si>
    <t>Le Pin-au-Haras</t>
  </si>
  <si>
    <t>Pointel</t>
  </si>
  <si>
    <t>Écouves</t>
  </si>
  <si>
    <t>Rânes</t>
  </si>
  <si>
    <t>Ri</t>
  </si>
  <si>
    <t>La Roche-Mabile</t>
  </si>
  <si>
    <t>Rônai</t>
  </si>
  <si>
    <t>Sai</t>
  </si>
  <si>
    <t>Saint-André-de-Messei</t>
  </si>
  <si>
    <t>Saint-Brice-sous-Rânes</t>
  </si>
  <si>
    <t>Saint-Céneri-le-Gérei</t>
  </si>
  <si>
    <t>Boischampré</t>
  </si>
  <si>
    <t>Saint-Clair-de-Halouze</t>
  </si>
  <si>
    <t>Saint-Denis-sur-Sarthon</t>
  </si>
  <si>
    <t>Saint-Ellier-les-Bois</t>
  </si>
  <si>
    <t>Saint-Georges-d'Annebecq</t>
  </si>
  <si>
    <t>Saint-Georges-des-Groseillers</t>
  </si>
  <si>
    <t>Saint-Germain-du-Corbéis</t>
  </si>
  <si>
    <t>Saint-Gervais-des-Sablons</t>
  </si>
  <si>
    <t>Sainte-Honorine-la-Chardonne</t>
  </si>
  <si>
    <t>Saint-Lambert-sur-Dive</t>
  </si>
  <si>
    <t>Saint-Nicolas-des-Bois</t>
  </si>
  <si>
    <t>Sainte-Opportune</t>
  </si>
  <si>
    <t>Saint-Philbert-sur-Orne</t>
  </si>
  <si>
    <t>Saint-Pierre-du-Regard</t>
  </si>
  <si>
    <t>Saires-la-Verrerie</t>
  </si>
  <si>
    <t>Sarceaux</t>
  </si>
  <si>
    <t>Les Monts d'Andaine</t>
  </si>
  <si>
    <t>La Selle-la-Forge</t>
  </si>
  <si>
    <t>Semallé</t>
  </si>
  <si>
    <t>Sévigny</t>
  </si>
  <si>
    <t>Sevrai</t>
  </si>
  <si>
    <t>Gouffern en Auge</t>
  </si>
  <si>
    <t>Tanques</t>
  </si>
  <si>
    <t>Tournai-sur-Dive</t>
  </si>
  <si>
    <t>Trun</t>
  </si>
  <si>
    <t>Valframbert</t>
  </si>
  <si>
    <t>Vieux-Pont</t>
  </si>
  <si>
    <t>Villedieu-lès-Bailleul</t>
  </si>
  <si>
    <t>Vimoutiers</t>
  </si>
  <si>
    <t>Ablain-Saint-Nazaire</t>
  </si>
  <si>
    <t>Ablainzevelle</t>
  </si>
  <si>
    <t>Acheville</t>
  </si>
  <si>
    <t>Achicourt</t>
  </si>
  <si>
    <t>Acq</t>
  </si>
  <si>
    <t>Acquin-Westbécourt</t>
  </si>
  <si>
    <t>Adinfer</t>
  </si>
  <si>
    <t>Affringues</t>
  </si>
  <si>
    <t>Agnez-lès-Duisans</t>
  </si>
  <si>
    <t>Agny</t>
  </si>
  <si>
    <t>Aire-sur-la-Lys</t>
  </si>
  <si>
    <t>Airon-Notre-Dame</t>
  </si>
  <si>
    <t>Airon-Saint-Vaast</t>
  </si>
  <si>
    <t>Aix-Noulette</t>
  </si>
  <si>
    <t>Alincthun</t>
  </si>
  <si>
    <t>Allouagne</t>
  </si>
  <si>
    <t>Ambleteuse</t>
  </si>
  <si>
    <t>Ames</t>
  </si>
  <si>
    <t>Amettes</t>
  </si>
  <si>
    <t>Andres</t>
  </si>
  <si>
    <t>Angres</t>
  </si>
  <si>
    <t>Annay</t>
  </si>
  <si>
    <t>Annequin</t>
  </si>
  <si>
    <t>Annezin</t>
  </si>
  <si>
    <t>Anzin-Saint-Aubin</t>
  </si>
  <si>
    <t>Ardres</t>
  </si>
  <si>
    <t>Arleux-en-Gohelle</t>
  </si>
  <si>
    <t>Arques</t>
  </si>
  <si>
    <t>Arras</t>
  </si>
  <si>
    <t>Athies</t>
  </si>
  <si>
    <t>Les Attaques</t>
  </si>
  <si>
    <t>Attin</t>
  </si>
  <si>
    <t>Auchel</t>
  </si>
  <si>
    <t>Auchy-au-Bois</t>
  </si>
  <si>
    <t>Auchy-les-Mines</t>
  </si>
  <si>
    <t>Audincthun</t>
  </si>
  <si>
    <t>Audresselles</t>
  </si>
  <si>
    <t>Aumerval</t>
  </si>
  <si>
    <t>Autingues</t>
  </si>
  <si>
    <t>Avion</t>
  </si>
  <si>
    <t>Avroult</t>
  </si>
  <si>
    <t>Ayette</t>
  </si>
  <si>
    <t>Bailleul-lès-Pernes</t>
  </si>
  <si>
    <t>Bailleulmont</t>
  </si>
  <si>
    <t>Bailleul-Sir-Berthoult</t>
  </si>
  <si>
    <t>Bailleulval</t>
  </si>
  <si>
    <t>Baincthun</t>
  </si>
  <si>
    <t>Bajus</t>
  </si>
  <si>
    <t>Balinghem</t>
  </si>
  <si>
    <t>Barlin</t>
  </si>
  <si>
    <t>Barly</t>
  </si>
  <si>
    <t>Basseux</t>
  </si>
  <si>
    <t>Bavincourt</t>
  </si>
  <si>
    <t>Bayenghem-lès-Éperlecques</t>
  </si>
  <si>
    <t>Bayenghem-lès-Seninghem</t>
  </si>
  <si>
    <t>Beaumerie-Saint-Martin</t>
  </si>
  <si>
    <t>Beaumetz-lès-Aire</t>
  </si>
  <si>
    <t>Beaumetz-lès-Loges</t>
  </si>
  <si>
    <t>Beaurains</t>
  </si>
  <si>
    <t>Bellebrune</t>
  </si>
  <si>
    <t>Belle-et-Houllefort</t>
  </si>
  <si>
    <t>Bellonne</t>
  </si>
  <si>
    <t>Bénifontaine</t>
  </si>
  <si>
    <t>Berck</t>
  </si>
  <si>
    <t>Berles-au-Bois</t>
  </si>
  <si>
    <t>Berneville</t>
  </si>
  <si>
    <t>Bernieulles</t>
  </si>
  <si>
    <t>Béthune</t>
  </si>
  <si>
    <t>Beugin</t>
  </si>
  <si>
    <t>Beutin</t>
  </si>
  <si>
    <t>Beuvrequen</t>
  </si>
  <si>
    <t>Beuvry</t>
  </si>
  <si>
    <t>Bienvillers-au-Bois</t>
  </si>
  <si>
    <t>Billy-Berclau</t>
  </si>
  <si>
    <t>Billy-Montigny</t>
  </si>
  <si>
    <t>Blairville</t>
  </si>
  <si>
    <t>Blendecques</t>
  </si>
  <si>
    <t>Blessy</t>
  </si>
  <si>
    <t>Boiry-Becquerelle</t>
  </si>
  <si>
    <t>Boiry-Notre-Dame</t>
  </si>
  <si>
    <t>Boiry-Saint-Martin</t>
  </si>
  <si>
    <t>Boiry-Sainte-Rictrude</t>
  </si>
  <si>
    <t>Bois-Bernard</t>
  </si>
  <si>
    <t>Boisdinghem</t>
  </si>
  <si>
    <t>Boisjean</t>
  </si>
  <si>
    <t>Boisleux-au-Mont</t>
  </si>
  <si>
    <t>Boisleux-Saint-Marc</t>
  </si>
  <si>
    <t>Bomy</t>
  </si>
  <si>
    <t>Bonningues-lès-Calais</t>
  </si>
  <si>
    <t>Boulogne-sur-Mer</t>
  </si>
  <si>
    <t>Bouquehault</t>
  </si>
  <si>
    <t>Bourecq</t>
  </si>
  <si>
    <t>Bournonville</t>
  </si>
  <si>
    <t>Bouvelinghem</t>
  </si>
  <si>
    <t>Bouvigny-Boyeffles</t>
  </si>
  <si>
    <t>Boyelles</t>
  </si>
  <si>
    <t>Brebières</t>
  </si>
  <si>
    <t>Brêmes</t>
  </si>
  <si>
    <t>Bréxent-Énocq</t>
  </si>
  <si>
    <t>Bruay-la-Buissière</t>
  </si>
  <si>
    <t>Bucquoy</t>
  </si>
  <si>
    <t>Bullecourt</t>
  </si>
  <si>
    <t>Bully-les-Mines</t>
  </si>
  <si>
    <t>Burbure</t>
  </si>
  <si>
    <t>Busnes</t>
  </si>
  <si>
    <t>Calais</t>
  </si>
  <si>
    <t>Calonne-Ricouart</t>
  </si>
  <si>
    <t>Calonne-sur-la-Lys</t>
  </si>
  <si>
    <t>La Calotterie</t>
  </si>
  <si>
    <t>Camblain-Châtelain</t>
  </si>
  <si>
    <t>Camblain-l'Abbé</t>
  </si>
  <si>
    <t>Cambrin</t>
  </si>
  <si>
    <t>Camiers</t>
  </si>
  <si>
    <t>Campagne-lès-Guines</t>
  </si>
  <si>
    <t>Campagne-lès-Wardrecques</t>
  </si>
  <si>
    <t>Campigneulles-les-Grandes</t>
  </si>
  <si>
    <t>Campigneulles-les-Petites</t>
  </si>
  <si>
    <t>Capelle-Fermont</t>
  </si>
  <si>
    <t>Carency</t>
  </si>
  <si>
    <t>Carly</t>
  </si>
  <si>
    <t>Carvin</t>
  </si>
  <si>
    <t>La Cauchie</t>
  </si>
  <si>
    <t>Cauchy-à-la-Tour</t>
  </si>
  <si>
    <t>Caucourt</t>
  </si>
  <si>
    <t>Chérisy</t>
  </si>
  <si>
    <t>Chocques</t>
  </si>
  <si>
    <t>Clairmarais</t>
  </si>
  <si>
    <t>Cléty</t>
  </si>
  <si>
    <t>Colembert</t>
  </si>
  <si>
    <t>Colline-Beaumont</t>
  </si>
  <si>
    <t>La Comté</t>
  </si>
  <si>
    <t>Conchil-le-Temple</t>
  </si>
  <si>
    <t>Condette</t>
  </si>
  <si>
    <t>Conteville-lès-Boulogne</t>
  </si>
  <si>
    <t>Coquelles</t>
  </si>
  <si>
    <t>Corbehem</t>
  </si>
  <si>
    <t>Cormont</t>
  </si>
  <si>
    <t>Coullemont</t>
  </si>
  <si>
    <t>Coulogne</t>
  </si>
  <si>
    <t>Coulomby</t>
  </si>
  <si>
    <t>Courcelles-le-Comte</t>
  </si>
  <si>
    <t>Courcelles-lès-Lens</t>
  </si>
  <si>
    <t>Courrières</t>
  </si>
  <si>
    <t>La Couture</t>
  </si>
  <si>
    <t>Couturelle</t>
  </si>
  <si>
    <t>Coyecques</t>
  </si>
  <si>
    <t>Crémarest</t>
  </si>
  <si>
    <t>Cucq</t>
  </si>
  <si>
    <t>Cuinchy</t>
  </si>
  <si>
    <t>Dainville</t>
  </si>
  <si>
    <t>Dannes</t>
  </si>
  <si>
    <t>Delettes</t>
  </si>
  <si>
    <t>Denier</t>
  </si>
  <si>
    <t>Dennebrœucq</t>
  </si>
  <si>
    <t>Diéval</t>
  </si>
  <si>
    <t>Divion</t>
  </si>
  <si>
    <t>Dohem</t>
  </si>
  <si>
    <t>Douchy-lès-Ayette</t>
  </si>
  <si>
    <t>Dourges</t>
  </si>
  <si>
    <t>Douvrin</t>
  </si>
  <si>
    <t>Drocourt</t>
  </si>
  <si>
    <t>Drouvin-le-Marais</t>
  </si>
  <si>
    <t>Duisans</t>
  </si>
  <si>
    <t>Echinghen</t>
  </si>
  <si>
    <t>Écoust-Saint-Mein</t>
  </si>
  <si>
    <t>Ecquedecques</t>
  </si>
  <si>
    <t>Ecques</t>
  </si>
  <si>
    <t>Écuires</t>
  </si>
  <si>
    <t>Écurie</t>
  </si>
  <si>
    <t>Éleu-dit-Leauwette</t>
  </si>
  <si>
    <t>Elnes</t>
  </si>
  <si>
    <t>Embry</t>
  </si>
  <si>
    <t>Enquin-lez-Guinegatte</t>
  </si>
  <si>
    <t>Éperlecques</t>
  </si>
  <si>
    <t>Équihen-Plage</t>
  </si>
  <si>
    <t>Erny-Saint-Julien</t>
  </si>
  <si>
    <t>Ervillers</t>
  </si>
  <si>
    <t>Escalles</t>
  </si>
  <si>
    <t>Esquerdes</t>
  </si>
  <si>
    <t>Essars</t>
  </si>
  <si>
    <t>Estevelles</t>
  </si>
  <si>
    <t>Estrée</t>
  </si>
  <si>
    <t>Estrée-Blanche</t>
  </si>
  <si>
    <t>Estrée-Cauchy</t>
  </si>
  <si>
    <t>Estréelles</t>
  </si>
  <si>
    <t>Étaing</t>
  </si>
  <si>
    <t>Étaples</t>
  </si>
  <si>
    <t>Étrun</t>
  </si>
  <si>
    <t>Évin-Malmaison</t>
  </si>
  <si>
    <t>Fampoux</t>
  </si>
  <si>
    <t>Farbus</t>
  </si>
  <si>
    <t>Fauquembergues</t>
  </si>
  <si>
    <t>Febvin-Palfart</t>
  </si>
  <si>
    <t>Ferfay</t>
  </si>
  <si>
    <t>Festubert</t>
  </si>
  <si>
    <t>Feuchy</t>
  </si>
  <si>
    <t>Ficheux</t>
  </si>
  <si>
    <t>Fléchin</t>
  </si>
  <si>
    <t>Fleurbaix</t>
  </si>
  <si>
    <t>Floringhem</t>
  </si>
  <si>
    <t>Foncquevillers</t>
  </si>
  <si>
    <t>Fontaine-lès-Croisilles</t>
  </si>
  <si>
    <t>Fontaine-lès-Hermans</t>
  </si>
  <si>
    <t>Fosseux</t>
  </si>
  <si>
    <t>Fouquereuil</t>
  </si>
  <si>
    <t>Fouquières-lès-Béthune</t>
  </si>
  <si>
    <t>Fouquières-lès-Lens</t>
  </si>
  <si>
    <t>Frencq</t>
  </si>
  <si>
    <t>Fresnicourt-le-Dolmen</t>
  </si>
  <si>
    <t>Fresnoy-en-Gohelle</t>
  </si>
  <si>
    <t>Fréthun</t>
  </si>
  <si>
    <t>Frévin-Capelle</t>
  </si>
  <si>
    <t>Gauchin-Légal</t>
  </si>
  <si>
    <t>Gaudiempré</t>
  </si>
  <si>
    <t>Gavrelle</t>
  </si>
  <si>
    <t>Givenchy-en-Gohelle</t>
  </si>
  <si>
    <t>Givenchy-lès-la-Bassée</t>
  </si>
  <si>
    <t>Gomiécourt</t>
  </si>
  <si>
    <t>Gonnehem</t>
  </si>
  <si>
    <t>Gosnay</t>
  </si>
  <si>
    <t>Gouves</t>
  </si>
  <si>
    <t>Gouy-en-Artois</t>
  </si>
  <si>
    <t>Gouy-Servins</t>
  </si>
  <si>
    <t>Gouy-sous-Bellonne</t>
  </si>
  <si>
    <t>Grand-Rullecourt</t>
  </si>
  <si>
    <t>Grenay</t>
  </si>
  <si>
    <t>Groffliers</t>
  </si>
  <si>
    <t>Guarbecque</t>
  </si>
  <si>
    <t>Guémappe</t>
  </si>
  <si>
    <t>Guemps</t>
  </si>
  <si>
    <t>Guînes</t>
  </si>
  <si>
    <t>Habarcq</t>
  </si>
  <si>
    <t>Haillicourt</t>
  </si>
  <si>
    <t>Haisnes</t>
  </si>
  <si>
    <t>Halinghen</t>
  </si>
  <si>
    <t>Hallines</t>
  </si>
  <si>
    <t>Hamelincourt</t>
  </si>
  <si>
    <t>Ham-en-Artois</t>
  </si>
  <si>
    <t>Hames-Boucres</t>
  </si>
  <si>
    <t>Hannescamps</t>
  </si>
  <si>
    <t>Harnes</t>
  </si>
  <si>
    <t>Haute-Avesnes</t>
  </si>
  <si>
    <t>Helfaut</t>
  </si>
  <si>
    <t>Hendecourt-lès-Ransart</t>
  </si>
  <si>
    <t>Héninel</t>
  </si>
  <si>
    <t>Hénin-Beaumont</t>
  </si>
  <si>
    <t>Hénin-sur-Cojeul</t>
  </si>
  <si>
    <t>Henneveux</t>
  </si>
  <si>
    <t>Hénu</t>
  </si>
  <si>
    <t>La Herlière</t>
  </si>
  <si>
    <t>Hermaville</t>
  </si>
  <si>
    <t>Hermelinghen</t>
  </si>
  <si>
    <t>Hermin</t>
  </si>
  <si>
    <t>Hersin-Coupigny</t>
  </si>
  <si>
    <t>Hervelinghen</t>
  </si>
  <si>
    <t>Hesdigneul-lès-Béthune</t>
  </si>
  <si>
    <t>Hesdigneul-lès-Boulogne</t>
  </si>
  <si>
    <t>Hesdin-l'Abbé</t>
  </si>
  <si>
    <t>Heuringhem</t>
  </si>
  <si>
    <t>Hinges</t>
  </si>
  <si>
    <t>Houchin</t>
  </si>
  <si>
    <t>Houdain</t>
  </si>
  <si>
    <t>Houlle</t>
  </si>
  <si>
    <t>Hubersent</t>
  </si>
  <si>
    <t>Hulluch</t>
  </si>
  <si>
    <t>Humbercamps</t>
  </si>
  <si>
    <t>Bellinghem</t>
  </si>
  <si>
    <t>Inxent</t>
  </si>
  <si>
    <t>Isbergues</t>
  </si>
  <si>
    <t>Isques</t>
  </si>
  <si>
    <t>Izel-lès-Équerchin</t>
  </si>
  <si>
    <t>Izel-lès-Hameau</t>
  </si>
  <si>
    <t>Labeuvrière</t>
  </si>
  <si>
    <t>Labourse</t>
  </si>
  <si>
    <t>Lacres</t>
  </si>
  <si>
    <t>Laires</t>
  </si>
  <si>
    <t>Lambres</t>
  </si>
  <si>
    <t>Landrethun-lès-Ardres</t>
  </si>
  <si>
    <t>Lapugnoy</t>
  </si>
  <si>
    <t>Lattre-Saint-Quentin</t>
  </si>
  <si>
    <t>Laventie</t>
  </si>
  <si>
    <t>Lefaux</t>
  </si>
  <si>
    <t>Leforest</t>
  </si>
  <si>
    <t>Lens</t>
  </si>
  <si>
    <t>Lépine</t>
  </si>
  <si>
    <t>Lespesses</t>
  </si>
  <si>
    <t>Lestrem</t>
  </si>
  <si>
    <t>Leulinghem</t>
  </si>
  <si>
    <t>Lières</t>
  </si>
  <si>
    <t>Liettres</t>
  </si>
  <si>
    <t>Liévin</t>
  </si>
  <si>
    <t>Lignereuil</t>
  </si>
  <si>
    <t>Ligny-lès-Aire</t>
  </si>
  <si>
    <t>Lillers</t>
  </si>
  <si>
    <t>Linghem</t>
  </si>
  <si>
    <t>Locon</t>
  </si>
  <si>
    <t>Loison-sous-Lens</t>
  </si>
  <si>
    <t>Longuenesse</t>
  </si>
  <si>
    <t>Longvilliers</t>
  </si>
  <si>
    <t>Loos-en-Gohelle</t>
  </si>
  <si>
    <t>Lorgies</t>
  </si>
  <si>
    <t>Louches</t>
  </si>
  <si>
    <t>Lozinghem</t>
  </si>
  <si>
    <t>Lumbres</t>
  </si>
  <si>
    <t>La Madelaine-sous-Montreuil</t>
  </si>
  <si>
    <t>Maisnil-lès-Ruitz</t>
  </si>
  <si>
    <t>Mametz</t>
  </si>
  <si>
    <t>Manin</t>
  </si>
  <si>
    <t>Maninghen-Henne</t>
  </si>
  <si>
    <t>Marck</t>
  </si>
  <si>
    <t>Marest</t>
  </si>
  <si>
    <t>Maresville</t>
  </si>
  <si>
    <t>Marles-les-Mines</t>
  </si>
  <si>
    <t>Marœuil</t>
  </si>
  <si>
    <t>Mazingarbe</t>
  </si>
  <si>
    <t>Mazinghem</t>
  </si>
  <si>
    <t>Menneville</t>
  </si>
  <si>
    <t>Mentque-Nortbécourt</t>
  </si>
  <si>
    <t>Mercatel</t>
  </si>
  <si>
    <t>Merck-Saint-Liévin</t>
  </si>
  <si>
    <t>Méricourt</t>
  </si>
  <si>
    <t>Merlimont</t>
  </si>
  <si>
    <t>Meurchin</t>
  </si>
  <si>
    <t>Monchiet</t>
  </si>
  <si>
    <t>Monchy-au-Bois</t>
  </si>
  <si>
    <t>Monchy-le-Preux</t>
  </si>
  <si>
    <t>Mont-Bernanchon</t>
  </si>
  <si>
    <t>Montcavrel</t>
  </si>
  <si>
    <t>Montenescourt</t>
  </si>
  <si>
    <t>Montigny-en-Gohelle</t>
  </si>
  <si>
    <t>Montreuil-sur-Mer</t>
  </si>
  <si>
    <t>Mont-Saint-Éloi</t>
  </si>
  <si>
    <t>Moringhem</t>
  </si>
  <si>
    <t>Mory</t>
  </si>
  <si>
    <t>Moulle</t>
  </si>
  <si>
    <t>Nabringhen</t>
  </si>
  <si>
    <t>Nédon</t>
  </si>
  <si>
    <t>Nédonchel</t>
  </si>
  <si>
    <t>Nempont-Saint-Firmin</t>
  </si>
  <si>
    <t>Nesles</t>
  </si>
  <si>
    <t>Neufchâtel-Hardelot</t>
  </si>
  <si>
    <t>Neuve-Chapelle</t>
  </si>
  <si>
    <t>Neuville-Saint-Vaast</t>
  </si>
  <si>
    <t>Neuville-sous-Montreuil</t>
  </si>
  <si>
    <t>Neuville-Vitasse</t>
  </si>
  <si>
    <t>Neuvireuil</t>
  </si>
  <si>
    <t>Nielles-lès-Ardres</t>
  </si>
  <si>
    <t>Nielles-lès-Calais</t>
  </si>
  <si>
    <t>Nœux-les-Mines</t>
  </si>
  <si>
    <t>Nordausques</t>
  </si>
  <si>
    <t>Norrent-Fontes</t>
  </si>
  <si>
    <t>Nortkerque</t>
  </si>
  <si>
    <t>Nort-Leulinghem</t>
  </si>
  <si>
    <t>Noyelles-Godault</t>
  </si>
  <si>
    <t>Noyelles-lès-Vermelles</t>
  </si>
  <si>
    <t>Noyelles-sous-Bellonne</t>
  </si>
  <si>
    <t>Noyelles-sous-Lens</t>
  </si>
  <si>
    <t>Noyellette</t>
  </si>
  <si>
    <t>Oblinghem</t>
  </si>
  <si>
    <t>Offekerque</t>
  </si>
  <si>
    <t>Offrethun</t>
  </si>
  <si>
    <t>Oignies</t>
  </si>
  <si>
    <t>Oppy</t>
  </si>
  <si>
    <t>Ourton</t>
  </si>
  <si>
    <t>Outreau</t>
  </si>
  <si>
    <t>Ouve-Wirquin</t>
  </si>
  <si>
    <t>Oye-Plage</t>
  </si>
  <si>
    <t>Palluel</t>
  </si>
  <si>
    <t>Pelves</t>
  </si>
  <si>
    <t>Pernes-lès-Boulogne</t>
  </si>
  <si>
    <t>Peuplingues</t>
  </si>
  <si>
    <t>Pihem</t>
  </si>
  <si>
    <t>Pihen-lès-Guînes</t>
  </si>
  <si>
    <t>Pittefaux</t>
  </si>
  <si>
    <t>Pommier</t>
  </si>
  <si>
    <t>Pont-à-Vendin</t>
  </si>
  <si>
    <t>Le Portel</t>
  </si>
  <si>
    <t>Puisieux</t>
  </si>
  <si>
    <t>Quelmes</t>
  </si>
  <si>
    <t>Quercamps</t>
  </si>
  <si>
    <t>Quernes</t>
  </si>
  <si>
    <t>Questrecques</t>
  </si>
  <si>
    <t>Quiéry-la-Motte</t>
  </si>
  <si>
    <t>Quiestède</t>
  </si>
  <si>
    <t>Racquinghem</t>
  </si>
  <si>
    <t>Rang-du-Fliers</t>
  </si>
  <si>
    <t>Ransart</t>
  </si>
  <si>
    <t>Rebreuve-Ranchicourt</t>
  </si>
  <si>
    <t>Reclinghem</t>
  </si>
  <si>
    <t>Récourt</t>
  </si>
  <si>
    <t>Recques-sur-Course</t>
  </si>
  <si>
    <t>Rely</t>
  </si>
  <si>
    <t>Remilly-Wirquin</t>
  </si>
  <si>
    <t>Rémy</t>
  </si>
  <si>
    <t>Renty</t>
  </si>
  <si>
    <t>Richebourg</t>
  </si>
  <si>
    <t>Robecq</t>
  </si>
  <si>
    <t>Roclincourt</t>
  </si>
  <si>
    <t>Rodelinghem</t>
  </si>
  <si>
    <t>Rœux</t>
  </si>
  <si>
    <t>Rombly</t>
  </si>
  <si>
    <t>Roquetoire</t>
  </si>
  <si>
    <t>Roussent</t>
  </si>
  <si>
    <t>Ruitz</t>
  </si>
  <si>
    <t>Sachin</t>
  </si>
  <si>
    <t>Sailly-en-Ostrevent</t>
  </si>
  <si>
    <t>Sailly-Labourse</t>
  </si>
  <si>
    <t>Sailly-sur-la-Lys</t>
  </si>
  <si>
    <t>Sains-en-Gohelle</t>
  </si>
  <si>
    <t>Saint-Amand</t>
  </si>
  <si>
    <t>Sainte-Catherine</t>
  </si>
  <si>
    <t>Saint-Étienne-au-Mont</t>
  </si>
  <si>
    <t>Saint-Floris</t>
  </si>
  <si>
    <t>Saint-Folquin</t>
  </si>
  <si>
    <t>Saint-Hilaire-Cottes</t>
  </si>
  <si>
    <t>Saint-Inglevert</t>
  </si>
  <si>
    <t>Saint-Josse</t>
  </si>
  <si>
    <t>Saint-Laurent-Blangy</t>
  </si>
  <si>
    <t>Saint-Léger</t>
  </si>
  <si>
    <t>Sainte-Marie-Kerque</t>
  </si>
  <si>
    <t>Saint-Martin-lez-Tatinghem</t>
  </si>
  <si>
    <t>Saint-Martin-Boulogne</t>
  </si>
  <si>
    <t>Saint-Martin-d'Hardinghem</t>
  </si>
  <si>
    <t>Saint-Martin-sur-Cojeul</t>
  </si>
  <si>
    <t>Saint-Nicolas</t>
  </si>
  <si>
    <t>Saint-Omer</t>
  </si>
  <si>
    <t>Saint-Omer-Capelle</t>
  </si>
  <si>
    <t>Saint-Tricat</t>
  </si>
  <si>
    <t>Saint-Venant</t>
  </si>
  <si>
    <t>Sallaumines</t>
  </si>
  <si>
    <t>Salperwick</t>
  </si>
  <si>
    <t>Samer</t>
  </si>
  <si>
    <t>Sangatte</t>
  </si>
  <si>
    <t>Sars-le-Bois</t>
  </si>
  <si>
    <t>Saulty</t>
  </si>
  <si>
    <t>Seninghem</t>
  </si>
  <si>
    <t>Serques</t>
  </si>
  <si>
    <t>Servins</t>
  </si>
  <si>
    <t>Setques</t>
  </si>
  <si>
    <t>Simencourt</t>
  </si>
  <si>
    <t>Sombrin</t>
  </si>
  <si>
    <t>Sorrus</t>
  </si>
  <si>
    <t>Souastre</t>
  </si>
  <si>
    <t>Souchez</t>
  </si>
  <si>
    <t>Sus-Saint-Léger</t>
  </si>
  <si>
    <t>Tardinghen</t>
  </si>
  <si>
    <t>Thélus</t>
  </si>
  <si>
    <t>Thérouanne</t>
  </si>
  <si>
    <t>Thiembronne</t>
  </si>
  <si>
    <t>Tigny-Noyelle</t>
  </si>
  <si>
    <t>Tilloy-lès-Hermaville</t>
  </si>
  <si>
    <t>Tilloy-lès-Mofflaines</t>
  </si>
  <si>
    <t>Tilques</t>
  </si>
  <si>
    <t>Tingry</t>
  </si>
  <si>
    <t>Tortequesne</t>
  </si>
  <si>
    <t>Le Touquet-Paris-Plage</t>
  </si>
  <si>
    <t>Tournehem-sur-la-Hem</t>
  </si>
  <si>
    <t>Tubersent</t>
  </si>
  <si>
    <t>Vaudricourt</t>
  </si>
  <si>
    <t>Vendin-lès-Béthune</t>
  </si>
  <si>
    <t>Vendin-le-Vieil</t>
  </si>
  <si>
    <t>Verlincthun</t>
  </si>
  <si>
    <t>Vermelles</t>
  </si>
  <si>
    <t>Verquigneul</t>
  </si>
  <si>
    <t>Verquin</t>
  </si>
  <si>
    <t>Verton</t>
  </si>
  <si>
    <t>Vieille-Chapelle</t>
  </si>
  <si>
    <t>Villers-au-Bois</t>
  </si>
  <si>
    <t>Vimy</t>
  </si>
  <si>
    <t>Violaines</t>
  </si>
  <si>
    <t>Vis-en-Artois</t>
  </si>
  <si>
    <t>Vitry-en-Artois</t>
  </si>
  <si>
    <t>Waben</t>
  </si>
  <si>
    <t>Wacquinghen</t>
  </si>
  <si>
    <t>Wailly</t>
  </si>
  <si>
    <t>Wailly-Beaucamp</t>
  </si>
  <si>
    <t>Wancourt</t>
  </si>
  <si>
    <t>Wanquetin</t>
  </si>
  <si>
    <t>Wardrecques</t>
  </si>
  <si>
    <t>Warlus</t>
  </si>
  <si>
    <t>Warluzel</t>
  </si>
  <si>
    <t>Le Wast</t>
  </si>
  <si>
    <t>Wavrans-sur-l'Aa</t>
  </si>
  <si>
    <t>Westrehem</t>
  </si>
  <si>
    <t>Widehem</t>
  </si>
  <si>
    <t>Wierre-au-Bois</t>
  </si>
  <si>
    <t>Wierre-Effroy</t>
  </si>
  <si>
    <t>Willerval</t>
  </si>
  <si>
    <t>Wimereux</t>
  </si>
  <si>
    <t>Wimille</t>
  </si>
  <si>
    <t>Wingles</t>
  </si>
  <si>
    <t>Wirwignes</t>
  </si>
  <si>
    <t>Wismes</t>
  </si>
  <si>
    <t>Wisques</t>
  </si>
  <si>
    <t>Witternesse</t>
  </si>
  <si>
    <t>Wittes</t>
  </si>
  <si>
    <t>Wizernes</t>
  </si>
  <si>
    <t>Zouafques</t>
  </si>
  <si>
    <t>Zudausques</t>
  </si>
  <si>
    <t>Libercourt</t>
  </si>
  <si>
    <t>La Capelle-lès-Boulogne</t>
  </si>
  <si>
    <t>Antoingt</t>
  </si>
  <si>
    <t>COMMUNAUTE D'AGGLO PAYS D'ISSOIRE</t>
  </si>
  <si>
    <t>'63340'</t>
  </si>
  <si>
    <t>Anzat-le-Luguet</t>
  </si>
  <si>
    <t>'63420'</t>
  </si>
  <si>
    <t>Apchat</t>
  </si>
  <si>
    <t>Arconsat</t>
  </si>
  <si>
    <t>Ardes</t>
  </si>
  <si>
    <t>Aubière</t>
  </si>
  <si>
    <t>Aubusson-d'Auvergne</t>
  </si>
  <si>
    <t>Augerolles</t>
  </si>
  <si>
    <t>Augnat</t>
  </si>
  <si>
    <t>Aulnat</t>
  </si>
  <si>
    <t>Auzat-la-Combelle</t>
  </si>
  <si>
    <t>'63570'</t>
  </si>
  <si>
    <t>Bansat</t>
  </si>
  <si>
    <t>Bergonne</t>
  </si>
  <si>
    <t>'63500'</t>
  </si>
  <si>
    <t>Blanzat</t>
  </si>
  <si>
    <t>Boudes</t>
  </si>
  <si>
    <t>Brassac-les-Mines</t>
  </si>
  <si>
    <t>Brenat</t>
  </si>
  <si>
    <t>'63501'</t>
  </si>
  <si>
    <t>'63502'</t>
  </si>
  <si>
    <t>Le Breuil-sur-Couze</t>
  </si>
  <si>
    <t>'63504'</t>
  </si>
  <si>
    <t>Cébazat</t>
  </si>
  <si>
    <t>Celles-sur-Durolle</t>
  </si>
  <si>
    <t>La Cellette</t>
  </si>
  <si>
    <t>Le Cendre</t>
  </si>
  <si>
    <t>Ceyrat</t>
  </si>
  <si>
    <t>Chabreloche</t>
  </si>
  <si>
    <t>Chadeleuf</t>
  </si>
  <si>
    <t>'63320'</t>
  </si>
  <si>
    <t>Chalus</t>
  </si>
  <si>
    <t>Chamalières</t>
  </si>
  <si>
    <t>Champagnat-le-Jeune</t>
  </si>
  <si>
    <t>'63580'</t>
  </si>
  <si>
    <t>Champeix</t>
  </si>
  <si>
    <t>Chanat-la-Mouteyre</t>
  </si>
  <si>
    <t>La Chapelle-Marcousse</t>
  </si>
  <si>
    <t>La Chapelle-sur-Usson</t>
  </si>
  <si>
    <t>Chappes</t>
  </si>
  <si>
    <t>Charbonnier-les-Mines</t>
  </si>
  <si>
    <t>Charbonnières-les-Varennes</t>
  </si>
  <si>
    <t>Charnat</t>
  </si>
  <si>
    <t>Chassagne</t>
  </si>
  <si>
    <t>Châteaugay</t>
  </si>
  <si>
    <t>Châteldon</t>
  </si>
  <si>
    <t>Châtel-Guyon</t>
  </si>
  <si>
    <t>Chavaroux</t>
  </si>
  <si>
    <t>Le Cheix</t>
  </si>
  <si>
    <t>Chidrac</t>
  </si>
  <si>
    <t>Clémensat</t>
  </si>
  <si>
    <t>Clerlande</t>
  </si>
  <si>
    <t>Clermont-Ferrand</t>
  </si>
  <si>
    <t>Collanges</t>
  </si>
  <si>
    <t>Coudes</t>
  </si>
  <si>
    <t>'63114'</t>
  </si>
  <si>
    <t>Courgoul</t>
  </si>
  <si>
    <t>Cournon-d'Auvergne</t>
  </si>
  <si>
    <t>Courpière</t>
  </si>
  <si>
    <t>Cunlhat</t>
  </si>
  <si>
    <t>Dauzat-sur-Vodable</t>
  </si>
  <si>
    <t>Dorat</t>
  </si>
  <si>
    <t>Durtol</t>
  </si>
  <si>
    <t>Égliseneuve-des-Liards</t>
  </si>
  <si>
    <t>'63490'</t>
  </si>
  <si>
    <t>Ennezat</t>
  </si>
  <si>
    <t>Entraigues</t>
  </si>
  <si>
    <t>Enval</t>
  </si>
  <si>
    <t>Escoutoux</t>
  </si>
  <si>
    <t>Esteil</t>
  </si>
  <si>
    <t>Aulhat-Flat</t>
  </si>
  <si>
    <t>Gerzat</t>
  </si>
  <si>
    <t>Gignat</t>
  </si>
  <si>
    <t>Grandeyrolles</t>
  </si>
  <si>
    <t>Issoire</t>
  </si>
  <si>
    <t>'63503'</t>
  </si>
  <si>
    <t>'63505'</t>
  </si>
  <si>
    <t>'63506'</t>
  </si>
  <si>
    <t>Jumeaux</t>
  </si>
  <si>
    <t>Lachaux</t>
  </si>
  <si>
    <t>Lamontgie</t>
  </si>
  <si>
    <t>Lempdes</t>
  </si>
  <si>
    <t>Lezoux</t>
  </si>
  <si>
    <t>Ludesse</t>
  </si>
  <si>
    <t>Lussat</t>
  </si>
  <si>
    <t>Madriat</t>
  </si>
  <si>
    <t>Malauzat</t>
  </si>
  <si>
    <t>Malintrat</t>
  </si>
  <si>
    <t>Mareugheol</t>
  </si>
  <si>
    <t>Marsat</t>
  </si>
  <si>
    <t>Les Martres-d'Artière</t>
  </si>
  <si>
    <t>Martres-sur-Morge</t>
  </si>
  <si>
    <t>Mazoires</t>
  </si>
  <si>
    <t>Meilhaud</t>
  </si>
  <si>
    <t>Ménétrol</t>
  </si>
  <si>
    <t>Mur-sur-Allier</t>
  </si>
  <si>
    <t>La Monnerie-le-Montel</t>
  </si>
  <si>
    <t>Moriat</t>
  </si>
  <si>
    <t>Chambaron sur Morge</t>
  </si>
  <si>
    <t>Mozac</t>
  </si>
  <si>
    <t>Néronde-sur-Dore</t>
  </si>
  <si>
    <t>Neschers</t>
  </si>
  <si>
    <t>Noalhat</t>
  </si>
  <si>
    <t>Nohanent</t>
  </si>
  <si>
    <t>Nonette-Orsonnette</t>
  </si>
  <si>
    <t>Olmet</t>
  </si>
  <si>
    <t>Orbeil</t>
  </si>
  <si>
    <t>Orcines</t>
  </si>
  <si>
    <t>Palladuc</t>
  </si>
  <si>
    <t>Pardines</t>
  </si>
  <si>
    <t>Parent</t>
  </si>
  <si>
    <t>'63270'</t>
  </si>
  <si>
    <t>Parentignat</t>
  </si>
  <si>
    <t>Paslières</t>
  </si>
  <si>
    <t>Pérignat-lès-Sarliève</t>
  </si>
  <si>
    <t>Pérignat-sur-Allier</t>
  </si>
  <si>
    <t>Perrier</t>
  </si>
  <si>
    <t>Peschadoires</t>
  </si>
  <si>
    <t>Peslières</t>
  </si>
  <si>
    <t>Pessat-Villeneuve</t>
  </si>
  <si>
    <t>Plauzat</t>
  </si>
  <si>
    <t>'63730'</t>
  </si>
  <si>
    <t>Pont-du-Château</t>
  </si>
  <si>
    <t>Les Pradeaux</t>
  </si>
  <si>
    <t>Pulvérières</t>
  </si>
  <si>
    <t>Puy-Guillaume</t>
  </si>
  <si>
    <t>La Renaudie</t>
  </si>
  <si>
    <t>Rentières</t>
  </si>
  <si>
    <t>Riom</t>
  </si>
  <si>
    <t>Ris</t>
  </si>
  <si>
    <t>Roche-Charles-la-Mayrand</t>
  </si>
  <si>
    <t>Romagnat</t>
  </si>
  <si>
    <t>Royat</t>
  </si>
  <si>
    <t>Sainte-Agathe</t>
  </si>
  <si>
    <t>Saint-Alyre-ès-Montagne</t>
  </si>
  <si>
    <t>Saint-Babel</t>
  </si>
  <si>
    <t>Saint-Beauzire</t>
  </si>
  <si>
    <t>Saint-Bonnet-près-Riom</t>
  </si>
  <si>
    <t>Saint-Cirgues-sur-Couze</t>
  </si>
  <si>
    <t>Saint-Étienne-sur-Usson</t>
  </si>
  <si>
    <t>Saint-Floret</t>
  </si>
  <si>
    <t>Saint-Flour-l'Étang</t>
  </si>
  <si>
    <t>Saint-Genès-Champanelle</t>
  </si>
  <si>
    <t>Saint-Genès-la-Tourette</t>
  </si>
  <si>
    <t>Saint-Germain-Lembron</t>
  </si>
  <si>
    <t>Saint-Gervazy</t>
  </si>
  <si>
    <t>Saint-Hérent</t>
  </si>
  <si>
    <t>Saint-Ignat</t>
  </si>
  <si>
    <t>Saint-Jean-d'Heurs</t>
  </si>
  <si>
    <t>Saint-Jean-en-Val</t>
  </si>
  <si>
    <t>Saint-Jean-Saint-Gervais</t>
  </si>
  <si>
    <t>Saint-Laure</t>
  </si>
  <si>
    <t>Saint-Martin-des-Plains</t>
  </si>
  <si>
    <t>Saint-Martin-d'Ollières</t>
  </si>
  <si>
    <t>Saint-Ours</t>
  </si>
  <si>
    <t>Saint-Quentin-sur-Sauxillanges</t>
  </si>
  <si>
    <t>Saint-Rémy-de-Chargnat</t>
  </si>
  <si>
    <t>Saint-Rémy-sur-Durolle</t>
  </si>
  <si>
    <t>Saint-Victor-Montvianeix</t>
  </si>
  <si>
    <t>Saint-Yvoine</t>
  </si>
  <si>
    <t>Saurier</t>
  </si>
  <si>
    <t>Sauvagnat-Sainte-Marthe</t>
  </si>
  <si>
    <t>Sauviat</t>
  </si>
  <si>
    <t>Sauxillanges</t>
  </si>
  <si>
    <t>Sayat</t>
  </si>
  <si>
    <t>Sermentizon</t>
  </si>
  <si>
    <t>Solignat</t>
  </si>
  <si>
    <t>Sugères</t>
  </si>
  <si>
    <t>Surat</t>
  </si>
  <si>
    <t>Ternant-les-Eaux</t>
  </si>
  <si>
    <t>Thiers</t>
  </si>
  <si>
    <t>Tourzel-Ronzières</t>
  </si>
  <si>
    <t>Usson</t>
  </si>
  <si>
    <t>Valz-sous-Châteauneuf</t>
  </si>
  <si>
    <t>Varennes-sur-Morge</t>
  </si>
  <si>
    <t>Varennes-sur-Usson</t>
  </si>
  <si>
    <t>Le Vernet-Chaméane</t>
  </si>
  <si>
    <t>Vichel</t>
  </si>
  <si>
    <t>Viscomtat</t>
  </si>
  <si>
    <t>Vodable</t>
  </si>
  <si>
    <t>Vollore-Montagne</t>
  </si>
  <si>
    <t>Vollore-Ville</t>
  </si>
  <si>
    <t>Volvic</t>
  </si>
  <si>
    <t>Accous</t>
  </si>
  <si>
    <t>'64490'</t>
  </si>
  <si>
    <t>Agnos</t>
  </si>
  <si>
    <t>Ahaxe-Alciette-Bascassan</t>
  </si>
  <si>
    <t>Ahetze</t>
  </si>
  <si>
    <t>Aïcirits-Camou-Suhast</t>
  </si>
  <si>
    <t>Aincille</t>
  </si>
  <si>
    <t>Ainharp</t>
  </si>
  <si>
    <t>Ainhice-Mongelos</t>
  </si>
  <si>
    <t>Ainhoa</t>
  </si>
  <si>
    <t>Alçay-Alçabéhéty-Sunharette</t>
  </si>
  <si>
    <t>Aldudes</t>
  </si>
  <si>
    <t>Alos-Sibas-Abense</t>
  </si>
  <si>
    <t>Amendeuix-Oneix</t>
  </si>
  <si>
    <t>Amorots-Succos</t>
  </si>
  <si>
    <t>Anglet</t>
  </si>
  <si>
    <t>Anhaux</t>
  </si>
  <si>
    <t>Aramits</t>
  </si>
  <si>
    <t>'64570'</t>
  </si>
  <si>
    <t>Arancou</t>
  </si>
  <si>
    <t>Arbérats-Sillègue</t>
  </si>
  <si>
    <t>Arbonne</t>
  </si>
  <si>
    <t>Arbouet-Sussaute</t>
  </si>
  <si>
    <t>Arbus</t>
  </si>
  <si>
    <t>Arcangues</t>
  </si>
  <si>
    <t>Aren</t>
  </si>
  <si>
    <t>Arette</t>
  </si>
  <si>
    <t>Aressy</t>
  </si>
  <si>
    <t>Arhansus</t>
  </si>
  <si>
    <t>Armendarits</t>
  </si>
  <si>
    <t>Arnéguy</t>
  </si>
  <si>
    <t>Aroue-Ithorots-Olhaïby</t>
  </si>
  <si>
    <t>Arrast-Larrebieu</t>
  </si>
  <si>
    <t>Arraute-Charritte</t>
  </si>
  <si>
    <t>Artigueloutan</t>
  </si>
  <si>
    <t>Artiguelouve</t>
  </si>
  <si>
    <t>Asasp-Arros</t>
  </si>
  <si>
    <t>'64660'</t>
  </si>
  <si>
    <t>Ascain</t>
  </si>
  <si>
    <t>Ascarat</t>
  </si>
  <si>
    <t>Aubertin</t>
  </si>
  <si>
    <t>Aussevielle</t>
  </si>
  <si>
    <t>Aussurucq</t>
  </si>
  <si>
    <t>Aydius</t>
  </si>
  <si>
    <t>Ayherre</t>
  </si>
  <si>
    <t>Banca</t>
  </si>
  <si>
    <t>Barcus</t>
  </si>
  <si>
    <t>Bardos</t>
  </si>
  <si>
    <t>Bassussarry</t>
  </si>
  <si>
    <t>Bayonne</t>
  </si>
  <si>
    <t>Bedous</t>
  </si>
  <si>
    <t>Béguios</t>
  </si>
  <si>
    <t>Béhasque-Lapiste</t>
  </si>
  <si>
    <t>Béhorléguy</t>
  </si>
  <si>
    <t>Bergouey-Viellenave</t>
  </si>
  <si>
    <t>Berrogain-Laruns</t>
  </si>
  <si>
    <t>Beyrie-sur-Joyeuse</t>
  </si>
  <si>
    <t>Beyrie-en-Béarn</t>
  </si>
  <si>
    <t>Biarritz</t>
  </si>
  <si>
    <t>Bidache</t>
  </si>
  <si>
    <t>Bidarray</t>
  </si>
  <si>
    <t>Bidart</t>
  </si>
  <si>
    <t>Bidos</t>
  </si>
  <si>
    <t>Billère</t>
  </si>
  <si>
    <t>Biriatou</t>
  </si>
  <si>
    <t>Bizanos</t>
  </si>
  <si>
    <t>Bonloc</t>
  </si>
  <si>
    <t>Borce</t>
  </si>
  <si>
    <t>Bosdarros</t>
  </si>
  <si>
    <t>Boucau</t>
  </si>
  <si>
    <t>Bougarber</t>
  </si>
  <si>
    <t>Briscous</t>
  </si>
  <si>
    <t>Bunus</t>
  </si>
  <si>
    <t>Bussunarits-Sarrasquette</t>
  </si>
  <si>
    <t>Bustince-Iriberry</t>
  </si>
  <si>
    <t>Buziet</t>
  </si>
  <si>
    <t>'64680'</t>
  </si>
  <si>
    <t>Cambo-les-Bains</t>
  </si>
  <si>
    <t>Came</t>
  </si>
  <si>
    <t>Camou-Cihigue</t>
  </si>
  <si>
    <t>Cette-Eygun</t>
  </si>
  <si>
    <t>Charritte-de-Bas</t>
  </si>
  <si>
    <t>Chéraute</t>
  </si>
  <si>
    <t>Ciboure</t>
  </si>
  <si>
    <t>Denguin</t>
  </si>
  <si>
    <t>Domezain-Berraute</t>
  </si>
  <si>
    <t>Escot</t>
  </si>
  <si>
    <t>Escou</t>
  </si>
  <si>
    <t>'64870'</t>
  </si>
  <si>
    <t>Escout</t>
  </si>
  <si>
    <t>Espelette</t>
  </si>
  <si>
    <t>Espès-Undurein</t>
  </si>
  <si>
    <t>Esquiule</t>
  </si>
  <si>
    <t>Estérençuby</t>
  </si>
  <si>
    <t>Estialescq</t>
  </si>
  <si>
    <t>Estos</t>
  </si>
  <si>
    <t>Etcharry</t>
  </si>
  <si>
    <t>Etchebar</t>
  </si>
  <si>
    <t>Etsaut</t>
  </si>
  <si>
    <t>Eysus</t>
  </si>
  <si>
    <t>Ance Féas</t>
  </si>
  <si>
    <t>Gabat</t>
  </si>
  <si>
    <t>Gamarthe</t>
  </si>
  <si>
    <t>Gan</t>
  </si>
  <si>
    <t>Garindein</t>
  </si>
  <si>
    <t>Garris</t>
  </si>
  <si>
    <t>Gelos</t>
  </si>
  <si>
    <t>Géronce</t>
  </si>
  <si>
    <t>Geüs-d'Oloron</t>
  </si>
  <si>
    <t>Goès</t>
  </si>
  <si>
    <t>Gotein-Libarrenx</t>
  </si>
  <si>
    <t>Guéthary</t>
  </si>
  <si>
    <t>Guiche</t>
  </si>
  <si>
    <t>Gurmençon</t>
  </si>
  <si>
    <t>Halsou</t>
  </si>
  <si>
    <t>Hasparren</t>
  </si>
  <si>
    <t>Hélette</t>
  </si>
  <si>
    <t>Hendaye</t>
  </si>
  <si>
    <t>Herrère</t>
  </si>
  <si>
    <t>L'Hôpital-Saint-Blaise</t>
  </si>
  <si>
    <t>Hosta</t>
  </si>
  <si>
    <t>Ibarrolle</t>
  </si>
  <si>
    <t>Idaux-Mendy</t>
  </si>
  <si>
    <t>Idron</t>
  </si>
  <si>
    <t>Iholdy</t>
  </si>
  <si>
    <t>Ilharre</t>
  </si>
  <si>
    <t>Irissarry</t>
  </si>
  <si>
    <t>Irouléguy</t>
  </si>
  <si>
    <t>Ispoure</t>
  </si>
  <si>
    <t>Issor</t>
  </si>
  <si>
    <t>Isturits</t>
  </si>
  <si>
    <t>Itxassou</t>
  </si>
  <si>
    <t>Jatxou</t>
  </si>
  <si>
    <t>Jaxu</t>
  </si>
  <si>
    <t>Jurançon</t>
  </si>
  <si>
    <t>Juxue</t>
  </si>
  <si>
    <t>La Bastide-Clairence</t>
  </si>
  <si>
    <t>Labets-Biscay</t>
  </si>
  <si>
    <t>Lacarre</t>
  </si>
  <si>
    <t>Lacarry-Arhan-Charritte-de-Haut</t>
  </si>
  <si>
    <t>Laguinge-Restoue</t>
  </si>
  <si>
    <t>Lahonce</t>
  </si>
  <si>
    <t>Lanne-en-Barétous</t>
  </si>
  <si>
    <t>Lantabat</t>
  </si>
  <si>
    <t>Larceveau-Arros-Cibits</t>
  </si>
  <si>
    <t>Laroin</t>
  </si>
  <si>
    <t>Larrau</t>
  </si>
  <si>
    <t>Larressore</t>
  </si>
  <si>
    <t>Larribar-Sorhapuru</t>
  </si>
  <si>
    <t>Lasse</t>
  </si>
  <si>
    <t>Lasseube</t>
  </si>
  <si>
    <t>Lasseubetat</t>
  </si>
  <si>
    <t>Lecumberry</t>
  </si>
  <si>
    <t>Ledeuix</t>
  </si>
  <si>
    <t>Lée</t>
  </si>
  <si>
    <t>Lées-Athas</t>
  </si>
  <si>
    <t>Lescar</t>
  </si>
  <si>
    <t>Lescun</t>
  </si>
  <si>
    <t>Lichans-Sunhar</t>
  </si>
  <si>
    <t>Lichos</t>
  </si>
  <si>
    <t>Licq-Athérey</t>
  </si>
  <si>
    <t>Lohitzun-Oyhercq</t>
  </si>
  <si>
    <t>Lons</t>
  </si>
  <si>
    <t>Louhossoa</t>
  </si>
  <si>
    <t>Lourdios-Ichère</t>
  </si>
  <si>
    <t>Lurbe-Saint-Christau</t>
  </si>
  <si>
    <t>Luxe-Sumberraute</t>
  </si>
  <si>
    <t>Macaye</t>
  </si>
  <si>
    <t>Masparraute</t>
  </si>
  <si>
    <t>Mauléon-Licharre</t>
  </si>
  <si>
    <t>Mazères-Lezons</t>
  </si>
  <si>
    <t>Méharin</t>
  </si>
  <si>
    <t>Meillon</t>
  </si>
  <si>
    <t>Mendionde</t>
  </si>
  <si>
    <t>Menditte</t>
  </si>
  <si>
    <t>Mendive</t>
  </si>
  <si>
    <t>Moncayolle-Larrory-Mendibieu</t>
  </si>
  <si>
    <t>Montardon</t>
  </si>
  <si>
    <t>Montory</t>
  </si>
  <si>
    <t>Morlaàs</t>
  </si>
  <si>
    <t>Mouguerre</t>
  </si>
  <si>
    <t>Moumour</t>
  </si>
  <si>
    <t>Musculdy</t>
  </si>
  <si>
    <t>Navailles-Angos</t>
  </si>
  <si>
    <t>Ogeu-les-Bains</t>
  </si>
  <si>
    <t>Oloron-Sainte-Marie</t>
  </si>
  <si>
    <t>Ordiarp</t>
  </si>
  <si>
    <t>Orègue</t>
  </si>
  <si>
    <t>Orin</t>
  </si>
  <si>
    <t>Orsanco</t>
  </si>
  <si>
    <t>Ossas-Suhare</t>
  </si>
  <si>
    <t>Osse-en-Aspe</t>
  </si>
  <si>
    <t>Osserain-Rivareyte</t>
  </si>
  <si>
    <t>Ossès</t>
  </si>
  <si>
    <t>Ostabat-Asme</t>
  </si>
  <si>
    <t>Ousse</t>
  </si>
  <si>
    <t>Pagolle</t>
  </si>
  <si>
    <t>Pau</t>
  </si>
  <si>
    <t>Poey-de-Lescar</t>
  </si>
  <si>
    <t>Poey-d'Oloron</t>
  </si>
  <si>
    <t>Préchacq-Josbaig</t>
  </si>
  <si>
    <t>'64190'</t>
  </si>
  <si>
    <t>Précilhon</t>
  </si>
  <si>
    <t>Rontignon</t>
  </si>
  <si>
    <t>Roquiague</t>
  </si>
  <si>
    <t>Sainte-Engrâce</t>
  </si>
  <si>
    <t>Saint-Esteben</t>
  </si>
  <si>
    <t>Saint-Étienne-de-Baïgorry</t>
  </si>
  <si>
    <t>Saint-Faust</t>
  </si>
  <si>
    <t>Saint-Goin</t>
  </si>
  <si>
    <t>Saint-Jean-de-Luz</t>
  </si>
  <si>
    <t>Saint-Jean-Pied-de-Port</t>
  </si>
  <si>
    <t>Saint-Just-Ibarre</t>
  </si>
  <si>
    <t>Saint-Martin-d'Arberoue</t>
  </si>
  <si>
    <t>Saint-Martin-d'Arrossa</t>
  </si>
  <si>
    <t>Saint-Palais</t>
  </si>
  <si>
    <t>Saint-Pée-sur-Nivelle</t>
  </si>
  <si>
    <t>Saint-Pierre-d'Irube</t>
  </si>
  <si>
    <t>Sames</t>
  </si>
  <si>
    <t>Sare</t>
  </si>
  <si>
    <t>Sarrance</t>
  </si>
  <si>
    <t>Saucède</t>
  </si>
  <si>
    <t>Sauguis-Saint-Étienne</t>
  </si>
  <si>
    <t>Sauvagnon</t>
  </si>
  <si>
    <t>Sendets</t>
  </si>
  <si>
    <t>Serres-Castet</t>
  </si>
  <si>
    <t>Serres-Morlaàs</t>
  </si>
  <si>
    <t>Siros</t>
  </si>
  <si>
    <t>Souraïde</t>
  </si>
  <si>
    <t>Suhescun</t>
  </si>
  <si>
    <t>Tardets-Sorholus</t>
  </si>
  <si>
    <t>Trois-Villes</t>
  </si>
  <si>
    <t>Uhart-Cize</t>
  </si>
  <si>
    <t>Uhart-Mixe</t>
  </si>
  <si>
    <t>Urcuit</t>
  </si>
  <si>
    <t>Urdos</t>
  </si>
  <si>
    <t>Urepel</t>
  </si>
  <si>
    <t>Urrugne</t>
  </si>
  <si>
    <t>Urt</t>
  </si>
  <si>
    <t>Ustaritz</t>
  </si>
  <si>
    <t>Uzein</t>
  </si>
  <si>
    <t>Uzos</t>
  </si>
  <si>
    <t>Verdets</t>
  </si>
  <si>
    <t>Villefranque</t>
  </si>
  <si>
    <t>Viodos-Abense-de-Bas</t>
  </si>
  <si>
    <t>Adé</t>
  </si>
  <si>
    <t>Allier</t>
  </si>
  <si>
    <t>Andrest</t>
  </si>
  <si>
    <t>Angos</t>
  </si>
  <si>
    <t>Arcizac-Adour</t>
  </si>
  <si>
    <t>Arcizac-ez-Angles</t>
  </si>
  <si>
    <t>Arrodets-ez-Angles</t>
  </si>
  <si>
    <t>Artigues</t>
  </si>
  <si>
    <t>Aspin-en-Lavedan</t>
  </si>
  <si>
    <t>Aubarède</t>
  </si>
  <si>
    <t>Aureilhan</t>
  </si>
  <si>
    <t>Aurensan</t>
  </si>
  <si>
    <t>Averan</t>
  </si>
  <si>
    <t>Azereix</t>
  </si>
  <si>
    <t>Barbazan-Debat</t>
  </si>
  <si>
    <t>Barbazan-Dessus</t>
  </si>
  <si>
    <t>Barlest</t>
  </si>
  <si>
    <t>Barry</t>
  </si>
  <si>
    <t>Bartrès</t>
  </si>
  <si>
    <t>Bazet</t>
  </si>
  <si>
    <t>Bazillac</t>
  </si>
  <si>
    <t>Berbérust-Lias</t>
  </si>
  <si>
    <t>Bernac-Debat</t>
  </si>
  <si>
    <t>Bernac-Dessus</t>
  </si>
  <si>
    <t>Bernadets-Dessus</t>
  </si>
  <si>
    <t>Bordères-sur-l'Échez</t>
  </si>
  <si>
    <t>Bordes</t>
  </si>
  <si>
    <t>Bouilh-Péreuilh</t>
  </si>
  <si>
    <t>Boulin</t>
  </si>
  <si>
    <t>Bourréac</t>
  </si>
  <si>
    <t>Bours</t>
  </si>
  <si>
    <t>Cabanac</t>
  </si>
  <si>
    <t>Calavanté</t>
  </si>
  <si>
    <t>Camalès</t>
  </si>
  <si>
    <t>Castelvieilh</t>
  </si>
  <si>
    <t>Castéra-Lou</t>
  </si>
  <si>
    <t>Chelle-Debat</t>
  </si>
  <si>
    <t>Cheust</t>
  </si>
  <si>
    <t>Chis</t>
  </si>
  <si>
    <t>Clarac</t>
  </si>
  <si>
    <t>Coussan</t>
  </si>
  <si>
    <t>Dours</t>
  </si>
  <si>
    <t>Escondeaux</t>
  </si>
  <si>
    <t>Escoubès-Pouts</t>
  </si>
  <si>
    <t>Fréchou-Fréchet</t>
  </si>
  <si>
    <t>Gardères</t>
  </si>
  <si>
    <t>Gayan</t>
  </si>
  <si>
    <t>Gazost</t>
  </si>
  <si>
    <t>Germs-sur-l'Oussouet</t>
  </si>
  <si>
    <t>Geu</t>
  </si>
  <si>
    <t>Gez-ez-Angles</t>
  </si>
  <si>
    <t>Gonez</t>
  </si>
  <si>
    <t>Goudon</t>
  </si>
  <si>
    <t>Hibarette</t>
  </si>
  <si>
    <t>Hiis</t>
  </si>
  <si>
    <t>Hitte</t>
  </si>
  <si>
    <t>Horgues</t>
  </si>
  <si>
    <t>Hourc</t>
  </si>
  <si>
    <t>Ibos</t>
  </si>
  <si>
    <t>Jacque</t>
  </si>
  <si>
    <t>Jarret</t>
  </si>
  <si>
    <t>Juillan</t>
  </si>
  <si>
    <t>Julos</t>
  </si>
  <si>
    <t>Juncalas</t>
  </si>
  <si>
    <t>Lagarde</t>
  </si>
  <si>
    <t>Arrayou-Lahitte</t>
  </si>
  <si>
    <t>Laloubère</t>
  </si>
  <si>
    <t>Lamarque-Pontacq</t>
  </si>
  <si>
    <t>Lanne</t>
  </si>
  <si>
    <t>Laslades</t>
  </si>
  <si>
    <t>Layrisse</t>
  </si>
  <si>
    <t>Lescurry</t>
  </si>
  <si>
    <t>Lespouey</t>
  </si>
  <si>
    <t>Lézignan</t>
  </si>
  <si>
    <t>Lhez</t>
  </si>
  <si>
    <t>Lizos</t>
  </si>
  <si>
    <t>Loubajac</t>
  </si>
  <si>
    <t>Loucrup</t>
  </si>
  <si>
    <t>Louey</t>
  </si>
  <si>
    <t>Louit</t>
  </si>
  <si>
    <t>Lourdes</t>
  </si>
  <si>
    <t>Lugagnan</t>
  </si>
  <si>
    <t>Luquet</t>
  </si>
  <si>
    <t>Mansan</t>
  </si>
  <si>
    <t>Marquerie</t>
  </si>
  <si>
    <t>Mascaras</t>
  </si>
  <si>
    <t>Momères</t>
  </si>
  <si>
    <t>Moulédous</t>
  </si>
  <si>
    <t>Mun</t>
  </si>
  <si>
    <t>Odos</t>
  </si>
  <si>
    <t>Oléac-Debat</t>
  </si>
  <si>
    <t>Oléac-Dessus</t>
  </si>
  <si>
    <t>Omex</t>
  </si>
  <si>
    <t>Orincles</t>
  </si>
  <si>
    <t>Orleix</t>
  </si>
  <si>
    <t>Ossen</t>
  </si>
  <si>
    <t>Ossun</t>
  </si>
  <si>
    <t>Ossun-ez-Angles</t>
  </si>
  <si>
    <t>Oueilloux</t>
  </si>
  <si>
    <t>Ourdis-Cotdoussan</t>
  </si>
  <si>
    <t>Ourdon</t>
  </si>
  <si>
    <t>Oursbelille</t>
  </si>
  <si>
    <t>Ousté</t>
  </si>
  <si>
    <t>Paréac</t>
  </si>
  <si>
    <t>Peyraube</t>
  </si>
  <si>
    <t>Peyrouse</t>
  </si>
  <si>
    <t>Pintac</t>
  </si>
  <si>
    <t>Poueyferré</t>
  </si>
  <si>
    <t>Pouyastruc</t>
  </si>
  <si>
    <t>Pujo</t>
  </si>
  <si>
    <t>Sabalos</t>
  </si>
  <si>
    <t>Saint-Créac</t>
  </si>
  <si>
    <t>Saint-Pé-de-Bigorre</t>
  </si>
  <si>
    <t>Salles-Adour</t>
  </si>
  <si>
    <t>Sarniguet</t>
  </si>
  <si>
    <t>Sarrouilles</t>
  </si>
  <si>
    <t>Ségus</t>
  </si>
  <si>
    <t>Séméac</t>
  </si>
  <si>
    <t>Sère-Lanso</t>
  </si>
  <si>
    <t>Séron</t>
  </si>
  <si>
    <t>Siarrouy</t>
  </si>
  <si>
    <t>Sinzos</t>
  </si>
  <si>
    <t>Soréac</t>
  </si>
  <si>
    <t>Soues</t>
  </si>
  <si>
    <t>Souyeaux</t>
  </si>
  <si>
    <t>Talazac</t>
  </si>
  <si>
    <t>Tarasteix</t>
  </si>
  <si>
    <t>Tarbes</t>
  </si>
  <si>
    <t>Tostat</t>
  </si>
  <si>
    <t>Ugnouas</t>
  </si>
  <si>
    <t>Vielle-Adour</t>
  </si>
  <si>
    <t>Viger</t>
  </si>
  <si>
    <t>Villenave-près-Marsac</t>
  </si>
  <si>
    <t>Visker</t>
  </si>
  <si>
    <t>Baho</t>
  </si>
  <si>
    <t>Baixas</t>
  </si>
  <si>
    <t>Le Barcarès</t>
  </si>
  <si>
    <t>Bompas</t>
  </si>
  <si>
    <t>Cabestany</t>
  </si>
  <si>
    <t>Calce</t>
  </si>
  <si>
    <t>Canet-en-Roussillon</t>
  </si>
  <si>
    <t>Canohès</t>
  </si>
  <si>
    <t>Cases-de-Pène</t>
  </si>
  <si>
    <t>Cassagnes</t>
  </si>
  <si>
    <t>Espira-de-l'Agly</t>
  </si>
  <si>
    <t>Estagel</t>
  </si>
  <si>
    <t>Llupia</t>
  </si>
  <si>
    <t>Montner</t>
  </si>
  <si>
    <t>Opoul-Périllos</t>
  </si>
  <si>
    <t>Perpignan</t>
  </si>
  <si>
    <t>Peyrestortes</t>
  </si>
  <si>
    <t>Pézilla-la-Rivière</t>
  </si>
  <si>
    <t>Pollestres</t>
  </si>
  <si>
    <t>Ponteilla</t>
  </si>
  <si>
    <t>Rivesaltes</t>
  </si>
  <si>
    <t>Saint-Estève</t>
  </si>
  <si>
    <t>Saint-Féliu-d'Avall</t>
  </si>
  <si>
    <t>Saint-Laurent-de-la-Salanque</t>
  </si>
  <si>
    <t>Sainte-Marie-la-Mer</t>
  </si>
  <si>
    <t>Saleilles</t>
  </si>
  <si>
    <t>Le Soler</t>
  </si>
  <si>
    <t>Tautavel</t>
  </si>
  <si>
    <t>Torreilles</t>
  </si>
  <si>
    <t>Toulouges</t>
  </si>
  <si>
    <t>Villelongue-de-la-Salanque</t>
  </si>
  <si>
    <t>Villeneuve-de-la-Raho</t>
  </si>
  <si>
    <t>Villeneuve-la-Rivière</t>
  </si>
  <si>
    <t>Vingrau</t>
  </si>
  <si>
    <t>Achenheim</t>
  </si>
  <si>
    <t>Baldenheim</t>
  </si>
  <si>
    <t>Batzendorf</t>
  </si>
  <si>
    <t>Bernardswiller</t>
  </si>
  <si>
    <t>Bernolsheim</t>
  </si>
  <si>
    <t>Berstheim</t>
  </si>
  <si>
    <t>Bilwisheim</t>
  </si>
  <si>
    <t>Bischheim</t>
  </si>
  <si>
    <t>Bischwiller</t>
  </si>
  <si>
    <t>Bitschhoffen</t>
  </si>
  <si>
    <t>Blaesheim</t>
  </si>
  <si>
    <t>Breuschwickersheim</t>
  </si>
  <si>
    <t>Brumath</t>
  </si>
  <si>
    <t>Dauendorf</t>
  </si>
  <si>
    <t>Dieffenthal</t>
  </si>
  <si>
    <t>Donnenheim</t>
  </si>
  <si>
    <t>Ebersheim</t>
  </si>
  <si>
    <t>Ebersmunster</t>
  </si>
  <si>
    <t>Eckbolsheim</t>
  </si>
  <si>
    <t>Eckwersheim</t>
  </si>
  <si>
    <t>Engwiller</t>
  </si>
  <si>
    <t>Entzheim</t>
  </si>
  <si>
    <t>Eschau</t>
  </si>
  <si>
    <t>Fegersheim</t>
  </si>
  <si>
    <t>Geispolsheim</t>
  </si>
  <si>
    <t>Haguenau</t>
  </si>
  <si>
    <t>Hangenbieten</t>
  </si>
  <si>
    <t>Hochstett</t>
  </si>
  <si>
    <t>Hœnheim</t>
  </si>
  <si>
    <t>Holtzheim</t>
  </si>
  <si>
    <t>Huttendorf</t>
  </si>
  <si>
    <t>Illkirch-Graffenstaden</t>
  </si>
  <si>
    <t>Innenheim</t>
  </si>
  <si>
    <t>Kaltenhouse</t>
  </si>
  <si>
    <t>Kindwiller</t>
  </si>
  <si>
    <t>Kintzheim</t>
  </si>
  <si>
    <t>Kolbsheim</t>
  </si>
  <si>
    <t>Krautergersheim</t>
  </si>
  <si>
    <t>Krautwiller</t>
  </si>
  <si>
    <t>Kriegsheim</t>
  </si>
  <si>
    <t>Lampertheim</t>
  </si>
  <si>
    <t>Lingolsheim</t>
  </si>
  <si>
    <t>Lipsheim</t>
  </si>
  <si>
    <t>Meistratzheim</t>
  </si>
  <si>
    <t>Mittelhausbergen</t>
  </si>
  <si>
    <t>Mittelschaeffolsheim</t>
  </si>
  <si>
    <t>Mommenheim</t>
  </si>
  <si>
    <t>Morschwiller</t>
  </si>
  <si>
    <t>Mundolsheim</t>
  </si>
  <si>
    <t>Mussig</t>
  </si>
  <si>
    <t>Muttersholtz</t>
  </si>
  <si>
    <t>Niederhausbergen</t>
  </si>
  <si>
    <t>Niedermodern</t>
  </si>
  <si>
    <t>Niedernai</t>
  </si>
  <si>
    <t>Niederschaeffolsheim</t>
  </si>
  <si>
    <t>Oberhausbergen</t>
  </si>
  <si>
    <t>Oberhoffen-sur-Moder</t>
  </si>
  <si>
    <t>Obernai</t>
  </si>
  <si>
    <t>Oberschaeffolsheim</t>
  </si>
  <si>
    <t>Ohlungen</t>
  </si>
  <si>
    <t>Olwisheim</t>
  </si>
  <si>
    <t>Orschwiller</t>
  </si>
  <si>
    <t>Osthoffen</t>
  </si>
  <si>
    <t>Ostwald</t>
  </si>
  <si>
    <t>Val-de-Moder</t>
  </si>
  <si>
    <t>Plobsheim</t>
  </si>
  <si>
    <t>Reichstett</t>
  </si>
  <si>
    <t>Rohrwiller</t>
  </si>
  <si>
    <t>Rottelsheim</t>
  </si>
  <si>
    <t>Scherwiller</t>
  </si>
  <si>
    <t>Schiltigheim</t>
  </si>
  <si>
    <t>Schirrhein</t>
  </si>
  <si>
    <t>Schirrhoffen</t>
  </si>
  <si>
    <t>Schweighouse-sur-Moder</t>
  </si>
  <si>
    <t>Sélestat</t>
  </si>
  <si>
    <t>Siltzheim</t>
  </si>
  <si>
    <t>Souffelweyersheim</t>
  </si>
  <si>
    <t>Strasbourg</t>
  </si>
  <si>
    <t>Uhlwiller</t>
  </si>
  <si>
    <t>Uhrwiller</t>
  </si>
  <si>
    <t>La Vancelle</t>
  </si>
  <si>
    <t>Vendenheim</t>
  </si>
  <si>
    <t>Wahlenheim</t>
  </si>
  <si>
    <t>La Wantzenau</t>
  </si>
  <si>
    <t>Wintershouse</t>
  </si>
  <si>
    <t>Wittersheim</t>
  </si>
  <si>
    <t>Wolfisheim</t>
  </si>
  <si>
    <t>Andolsheim</t>
  </si>
  <si>
    <t>Attenschwiller</t>
  </si>
  <si>
    <t>Baldersheim</t>
  </si>
  <si>
    <t>Bantzenheim</t>
  </si>
  <si>
    <t>Bartenheim</t>
  </si>
  <si>
    <t>Battenheim</t>
  </si>
  <si>
    <t>Berrwiller</t>
  </si>
  <si>
    <t>Bischwihr</t>
  </si>
  <si>
    <t>Blotzheim</t>
  </si>
  <si>
    <t>Bollwiller</t>
  </si>
  <si>
    <t>Brinckheim</t>
  </si>
  <si>
    <t>Bruebach</t>
  </si>
  <si>
    <t>Brunstatt-Didenheim</t>
  </si>
  <si>
    <t>Buschwiller</t>
  </si>
  <si>
    <t>Chalampé</t>
  </si>
  <si>
    <t>Colmar</t>
  </si>
  <si>
    <t>Dessenheim</t>
  </si>
  <si>
    <t>Dietwiller</t>
  </si>
  <si>
    <t>Eschentzwiller</t>
  </si>
  <si>
    <t>Feldkirch</t>
  </si>
  <si>
    <t>Flaxlanden</t>
  </si>
  <si>
    <t>Folgensbourg</t>
  </si>
  <si>
    <t>Fortschwihr</t>
  </si>
  <si>
    <t>Galfingue</t>
  </si>
  <si>
    <t>Geispitzen</t>
  </si>
  <si>
    <t>Habsheim</t>
  </si>
  <si>
    <t>Hagenthal-le-Bas</t>
  </si>
  <si>
    <t>Hagenthal-le-Haut</t>
  </si>
  <si>
    <t>Hégenheim</t>
  </si>
  <si>
    <t>Heimsbrunn</t>
  </si>
  <si>
    <t>Helfrantzkirch</t>
  </si>
  <si>
    <t>Herrlisheim-près-Colmar</t>
  </si>
  <si>
    <t>Hésingue</t>
  </si>
  <si>
    <t>Porte du Ried</t>
  </si>
  <si>
    <t>Hombourg</t>
  </si>
  <si>
    <t>Horbourg-Wihr</t>
  </si>
  <si>
    <t>Houssen</t>
  </si>
  <si>
    <t>Huningue</t>
  </si>
  <si>
    <t>Illzach</t>
  </si>
  <si>
    <t>Ingersheim</t>
  </si>
  <si>
    <t>Jebsheim</t>
  </si>
  <si>
    <t>Kappelen</t>
  </si>
  <si>
    <t>Kembs</t>
  </si>
  <si>
    <t>Kingersheim</t>
  </si>
  <si>
    <t>Knœringue</t>
  </si>
  <si>
    <t>Kœtzingue</t>
  </si>
  <si>
    <t>Landser</t>
  </si>
  <si>
    <t>Leymen</t>
  </si>
  <si>
    <t>Liebenswiller</t>
  </si>
  <si>
    <t>Lutterbach</t>
  </si>
  <si>
    <t>Magstatt-le-Bas</t>
  </si>
  <si>
    <t>Magstatt-le-Haut</t>
  </si>
  <si>
    <t>Michelbach-le-Bas</t>
  </si>
  <si>
    <t>Michelbach-le-Haut</t>
  </si>
  <si>
    <t>Morschwiller-le-Bas</t>
  </si>
  <si>
    <t>Mulhouse</t>
  </si>
  <si>
    <t>Muntzenheim</t>
  </si>
  <si>
    <t>Neuwiller</t>
  </si>
  <si>
    <t>Niedermorschwihr</t>
  </si>
  <si>
    <t>Niffer</t>
  </si>
  <si>
    <t>Ottmarsheim</t>
  </si>
  <si>
    <t>Petit-Landau</t>
  </si>
  <si>
    <t>Pfastatt</t>
  </si>
  <si>
    <t>Pulversheim</t>
  </si>
  <si>
    <t>Ranspach-le-Bas</t>
  </si>
  <si>
    <t>Ranspach-le-Haut</t>
  </si>
  <si>
    <t>Rantzwiller</t>
  </si>
  <si>
    <t>Reiningue</t>
  </si>
  <si>
    <t>Richwiller</t>
  </si>
  <si>
    <t>Riedisheim</t>
  </si>
  <si>
    <t>Rixheim</t>
  </si>
  <si>
    <t>Rosenau</t>
  </si>
  <si>
    <t>Ruelisheim</t>
  </si>
  <si>
    <t>Sainte-Croix-en-Plaine</t>
  </si>
  <si>
    <t>Saint-Louis</t>
  </si>
  <si>
    <t>Sausheim</t>
  </si>
  <si>
    <t>Schlierbach</t>
  </si>
  <si>
    <t>Sierentz</t>
  </si>
  <si>
    <t>Staffelfelden</t>
  </si>
  <si>
    <t>Steinbrunn-le-Bas</t>
  </si>
  <si>
    <t>Steinbrunn-le-Haut</t>
  </si>
  <si>
    <t>Stetten</t>
  </si>
  <si>
    <t>Sundhoffen</t>
  </si>
  <si>
    <t>Turckheim</t>
  </si>
  <si>
    <t>Uffheim</t>
  </si>
  <si>
    <t>Ungersheim</t>
  </si>
  <si>
    <t>Village-Neuf</t>
  </si>
  <si>
    <t>Wahlbach</t>
  </si>
  <si>
    <t>Walbach</t>
  </si>
  <si>
    <t>Waltenheim</t>
  </si>
  <si>
    <t>Wentzwiller</t>
  </si>
  <si>
    <t>Wettolsheim</t>
  </si>
  <si>
    <t>Wickerschwihr</t>
  </si>
  <si>
    <t>Wintzenheim</t>
  </si>
  <si>
    <t>Wittelsheim</t>
  </si>
  <si>
    <t>Wittenheim</t>
  </si>
  <si>
    <t>Zaessingue</t>
  </si>
  <si>
    <t>Zillisheim</t>
  </si>
  <si>
    <t>Zimmerbach</t>
  </si>
  <si>
    <t>Zimmersheim</t>
  </si>
  <si>
    <t>Affoux</t>
  </si>
  <si>
    <t>Aigueperse</t>
  </si>
  <si>
    <t>Albigny-sur-Saône</t>
  </si>
  <si>
    <t>Alix</t>
  </si>
  <si>
    <t>Ambérieux</t>
  </si>
  <si>
    <t>Amplepuis</t>
  </si>
  <si>
    <t>Ampuis</t>
  </si>
  <si>
    <t>Ancy</t>
  </si>
  <si>
    <t>Anse</t>
  </si>
  <si>
    <t>L'Arbresle</t>
  </si>
  <si>
    <t>Les Ardillats</t>
  </si>
  <si>
    <t>Arnas</t>
  </si>
  <si>
    <t>Aveize</t>
  </si>
  <si>
    <t>Azolette</t>
  </si>
  <si>
    <t>Bagnols</t>
  </si>
  <si>
    <t>Belleville-en-Beaujolais</t>
  </si>
  <si>
    <t>Belmont-d'Azergues</t>
  </si>
  <si>
    <t>Bessenay</t>
  </si>
  <si>
    <t>Bibost</t>
  </si>
  <si>
    <t>Blacé</t>
  </si>
  <si>
    <t>Val d'Oingt</t>
  </si>
  <si>
    <t>Le Breuil</t>
  </si>
  <si>
    <t>Brignais</t>
  </si>
  <si>
    <t>Brindas</t>
  </si>
  <si>
    <t>Bron</t>
  </si>
  <si>
    <t>Brullioles</t>
  </si>
  <si>
    <t>Brussieu</t>
  </si>
  <si>
    <t>Bully</t>
  </si>
  <si>
    <t>Cailloux-sur-Fontaines</t>
  </si>
  <si>
    <t>Caluire-et-Cuire</t>
  </si>
  <si>
    <t>Cenves</t>
  </si>
  <si>
    <t>Cercié</t>
  </si>
  <si>
    <t>Chambost-Allières</t>
  </si>
  <si>
    <t>Chambost-Longessaigne</t>
  </si>
  <si>
    <t>Chamelet</t>
  </si>
  <si>
    <t>Champagne-au-Mont-d'Or</t>
  </si>
  <si>
    <t>La Chapelle-sur-Coise</t>
  </si>
  <si>
    <t>Chaponost</t>
  </si>
  <si>
    <t>Charbonnières-les-Bains</t>
  </si>
  <si>
    <t>Charentay</t>
  </si>
  <si>
    <t>Charly</t>
  </si>
  <si>
    <t>Charnay</t>
  </si>
  <si>
    <t>Chasselay</t>
  </si>
  <si>
    <t>Châtillon</t>
  </si>
  <si>
    <t>Chaussan</t>
  </si>
  <si>
    <t>Chazay-d'Azergues</t>
  </si>
  <si>
    <t>Chénas</t>
  </si>
  <si>
    <t>Chénelette</t>
  </si>
  <si>
    <t>Les Chères</t>
  </si>
  <si>
    <t>Chessy</t>
  </si>
  <si>
    <t>Chevinay</t>
  </si>
  <si>
    <t>Chiroubles</t>
  </si>
  <si>
    <t>Civrieux-d'Azergues</t>
  </si>
  <si>
    <t>Claveisolles</t>
  </si>
  <si>
    <t>Cogny</t>
  </si>
  <si>
    <t>Coise</t>
  </si>
  <si>
    <t>Collonges-au-Mont-d'Or</t>
  </si>
  <si>
    <t>Condrieu</t>
  </si>
  <si>
    <t>Corcelles-en-Beaujolais</t>
  </si>
  <si>
    <t>Cours</t>
  </si>
  <si>
    <t>Courzieu</t>
  </si>
  <si>
    <t>Couzon-au-Mont-d'Or</t>
  </si>
  <si>
    <t>Craponne</t>
  </si>
  <si>
    <t>Cublize</t>
  </si>
  <si>
    <t>Curis-au-Mont-d'Or</t>
  </si>
  <si>
    <t>Dardilly</t>
  </si>
  <si>
    <t>Denicé</t>
  </si>
  <si>
    <t>Dième</t>
  </si>
  <si>
    <t>Dommartin</t>
  </si>
  <si>
    <t>Dracé</t>
  </si>
  <si>
    <t>Duerne</t>
  </si>
  <si>
    <t>Échalas</t>
  </si>
  <si>
    <t>Écully</t>
  </si>
  <si>
    <t>Émeringes</t>
  </si>
  <si>
    <t>Éveux</t>
  </si>
  <si>
    <t>Fleurie</t>
  </si>
  <si>
    <t>Fleurieu-sur-Saône</t>
  </si>
  <si>
    <t>Fleurieux-sur-l'Arbresle</t>
  </si>
  <si>
    <t>Fontaines-Saint-Martin</t>
  </si>
  <si>
    <t>Fontaines-sur-Saône</t>
  </si>
  <si>
    <t>Frontenas</t>
  </si>
  <si>
    <t>Givors</t>
  </si>
  <si>
    <t>Gleizé</t>
  </si>
  <si>
    <t>Grandris</t>
  </si>
  <si>
    <t>Grézieu-la-Varenne</t>
  </si>
  <si>
    <t>Grézieu-le-Marché</t>
  </si>
  <si>
    <t>Grigny</t>
  </si>
  <si>
    <t>Les Haies</t>
  </si>
  <si>
    <t>Les Halles</t>
  </si>
  <si>
    <t>Haute-Rivoire</t>
  </si>
  <si>
    <t>Irigny</t>
  </si>
  <si>
    <t>Joux</t>
  </si>
  <si>
    <t>Juliénas</t>
  </si>
  <si>
    <t>Jullié</t>
  </si>
  <si>
    <t>Lacenas</t>
  </si>
  <si>
    <t>Lachassagne</t>
  </si>
  <si>
    <t>Lamure-sur-Azergues</t>
  </si>
  <si>
    <t>Lancié</t>
  </si>
  <si>
    <t>Lantignié</t>
  </si>
  <si>
    <t>Larajasse</t>
  </si>
  <si>
    <t>Légny</t>
  </si>
  <si>
    <t>Lentilly</t>
  </si>
  <si>
    <t>Létra</t>
  </si>
  <si>
    <t>Limas</t>
  </si>
  <si>
    <t>Limonest</t>
  </si>
  <si>
    <t>Lissieu</t>
  </si>
  <si>
    <t>Loire-sur-Rhône</t>
  </si>
  <si>
    <t>Longes</t>
  </si>
  <si>
    <t>Longessaigne</t>
  </si>
  <si>
    <t>Lozanne</t>
  </si>
  <si>
    <t>Lucenay</t>
  </si>
  <si>
    <t>Marchampt</t>
  </si>
  <si>
    <t>Marcilly-d'Azergues</t>
  </si>
  <si>
    <t>Marcy-l'Étoile</t>
  </si>
  <si>
    <t>Meaux-la-Montagne</t>
  </si>
  <si>
    <t>Messimy</t>
  </si>
  <si>
    <t>Meys</t>
  </si>
  <si>
    <t>Millery</t>
  </si>
  <si>
    <t>Moiré</t>
  </si>
  <si>
    <t>Deux-Grosnes</t>
  </si>
  <si>
    <t>Montmelas-Saint-Sorlin</t>
  </si>
  <si>
    <t>Montromant</t>
  </si>
  <si>
    <t>Montrottier</t>
  </si>
  <si>
    <t>Morancé</t>
  </si>
  <si>
    <t>Mornant</t>
  </si>
  <si>
    <t>La Mulatière</t>
  </si>
  <si>
    <t>Neuville-sur-Saône</t>
  </si>
  <si>
    <t>Odenas</t>
  </si>
  <si>
    <t>Orliénas</t>
  </si>
  <si>
    <t>Oullins</t>
  </si>
  <si>
    <t>Le Perréon</t>
  </si>
  <si>
    <t>Pierre-Bénite</t>
  </si>
  <si>
    <t>Poleymieux-au-Mont-d'Or</t>
  </si>
  <si>
    <t>Pollionnay</t>
  </si>
  <si>
    <t>Pomeys</t>
  </si>
  <si>
    <t>Vindry-sur-Turdine</t>
  </si>
  <si>
    <t>Porte des Pierres Dorées</t>
  </si>
  <si>
    <t>Poule-les-Écharmeaux</t>
  </si>
  <si>
    <t>Propières</t>
  </si>
  <si>
    <t>Quincié-en-Beaujolais</t>
  </si>
  <si>
    <t>Quincieux</t>
  </si>
  <si>
    <t>Ranchal</t>
  </si>
  <si>
    <t>Régnié-Durette</t>
  </si>
  <si>
    <t>Riverie</t>
  </si>
  <si>
    <t>Rivolet</t>
  </si>
  <si>
    <t>Rochetaillée-sur-Saône</t>
  </si>
  <si>
    <t>Ronno</t>
  </si>
  <si>
    <t>Rontalon</t>
  </si>
  <si>
    <t>Sain-Bel</t>
  </si>
  <si>
    <t>Salles-Arbuissonnas-en-Beaujolais</t>
  </si>
  <si>
    <t>Les Sauvages</t>
  </si>
  <si>
    <t>Soucieu-en-Jarrest</t>
  </si>
  <si>
    <t>Sourcieux-les-Mines</t>
  </si>
  <si>
    <t>Souzy</t>
  </si>
  <si>
    <t>Saint-André-la-Côte</t>
  </si>
  <si>
    <t>Saint-Appolinaire</t>
  </si>
  <si>
    <t>Saint-Bonnet-des-Bruyères</t>
  </si>
  <si>
    <t>Saint-Bonnet-le-Troncy</t>
  </si>
  <si>
    <t>Saint-Clément-de-Vers</t>
  </si>
  <si>
    <t>Saint-Clément-les-Places</t>
  </si>
  <si>
    <t>Saint-Clément-sur-Valsonne</t>
  </si>
  <si>
    <t>Sainte-Consorce</t>
  </si>
  <si>
    <t>Saint-Cyr-au-Mont-d'Or</t>
  </si>
  <si>
    <t>Saint-Cyr-le-Chatoux</t>
  </si>
  <si>
    <t>Saint-Cyr-sur-le-Rhône</t>
  </si>
  <si>
    <t>Saint-Didier-au-Mont-d'Or</t>
  </si>
  <si>
    <t>Saint-Didier-sur-Beaujeu</t>
  </si>
  <si>
    <t>Saint-Étienne-des-Oullières</t>
  </si>
  <si>
    <t>Saint-Étienne-la-Varenne</t>
  </si>
  <si>
    <t>Saint-Fons</t>
  </si>
  <si>
    <t>Saint-Forgeux</t>
  </si>
  <si>
    <t>Sainte-Foy-l'Argentière</t>
  </si>
  <si>
    <t>Sainte-Foy-lès-Lyon</t>
  </si>
  <si>
    <t>Saint-Genis-l'Argentière</t>
  </si>
  <si>
    <t>Saint-Genis-Laval</t>
  </si>
  <si>
    <t>Saint-Genis-les-Ollières</t>
  </si>
  <si>
    <t>Saint-Georges-de-Reneins</t>
  </si>
  <si>
    <t>Saint-Germain-au-Mont-d'Or</t>
  </si>
  <si>
    <t>Saint-Germain-Nuelles</t>
  </si>
  <si>
    <t>Saint-Igny-de-Vers</t>
  </si>
  <si>
    <t>Saint-Jean-des-Vignes</t>
  </si>
  <si>
    <t>Saint-Jean-la-Bussière</t>
  </si>
  <si>
    <t>Saint-Julien-sur-Bibost</t>
  </si>
  <si>
    <t>Saint-Just-d'Avray</t>
  </si>
  <si>
    <t>Saint-Lager</t>
  </si>
  <si>
    <t>Saint-Laurent-d'Agny</t>
  </si>
  <si>
    <t>Saint-Laurent-de-Chamousset</t>
  </si>
  <si>
    <t>Saint-Marcel-l'Éclairé</t>
  </si>
  <si>
    <t>Saint-Martin-en-Haut</t>
  </si>
  <si>
    <t>Chabanière</t>
  </si>
  <si>
    <t>Saint-Nizier-d'Azergues</t>
  </si>
  <si>
    <t>Saint-Pierre-la-Palud</t>
  </si>
  <si>
    <t>Saint-Romain-au-Mont-d'Or</t>
  </si>
  <si>
    <t>Saint-Romain-de-Popey</t>
  </si>
  <si>
    <t>Saint-Romain-en-Gal</t>
  </si>
  <si>
    <t>Saint-Romain-en-Gier</t>
  </si>
  <si>
    <t>Saint-Symphorien-sur-Coise</t>
  </si>
  <si>
    <t>Saint-Vérand</t>
  </si>
  <si>
    <t>Saint-Vincent-de-Reins</t>
  </si>
  <si>
    <t>Taluyers</t>
  </si>
  <si>
    <t>Taponas</t>
  </si>
  <si>
    <t>Tarare</t>
  </si>
  <si>
    <t>Tassin-la-Demi-Lune</t>
  </si>
  <si>
    <t>Ternand</t>
  </si>
  <si>
    <t>Theizé</t>
  </si>
  <si>
    <t>Thizy-les-Bourgs</t>
  </si>
  <si>
    <t>Thurins</t>
  </si>
  <si>
    <t>La Tour-de-Salvagny</t>
  </si>
  <si>
    <t>Trèves</t>
  </si>
  <si>
    <t>Tupin-et-Semons</t>
  </si>
  <si>
    <t>Valsonne</t>
  </si>
  <si>
    <t>Vaugneray</t>
  </si>
  <si>
    <t>Vaulx-en-Velin</t>
  </si>
  <si>
    <t>Vaux-en-Beaujolais</t>
  </si>
  <si>
    <t>Vauxrenard</t>
  </si>
  <si>
    <t>Vénissieux</t>
  </si>
  <si>
    <t>Vernaison</t>
  </si>
  <si>
    <t>Vernay</t>
  </si>
  <si>
    <t>Villechenève</t>
  </si>
  <si>
    <t>Villefranche-sur-Saône</t>
  </si>
  <si>
    <t>Ville-sur-Jarnioux</t>
  </si>
  <si>
    <t>Villeurbanne</t>
  </si>
  <si>
    <t>Villié-Morgon</t>
  </si>
  <si>
    <t>Vourles</t>
  </si>
  <si>
    <t>Yzeron</t>
  </si>
  <si>
    <t>Chaponnay</t>
  </si>
  <si>
    <t>Chassieu</t>
  </si>
  <si>
    <t>Communay</t>
  </si>
  <si>
    <t>Corbas</t>
  </si>
  <si>
    <t>Décines-Charpieu</t>
  </si>
  <si>
    <t>Feyzin</t>
  </si>
  <si>
    <t>Genas</t>
  </si>
  <si>
    <t>Genay</t>
  </si>
  <si>
    <t>Jonage</t>
  </si>
  <si>
    <t>Jons</t>
  </si>
  <si>
    <t>Marennes</t>
  </si>
  <si>
    <t>Meyzieu</t>
  </si>
  <si>
    <t>Mions</t>
  </si>
  <si>
    <t>Montanay</t>
  </si>
  <si>
    <t>Pusignan</t>
  </si>
  <si>
    <t>Rillieux-la-Pape</t>
  </si>
  <si>
    <t>Saint-Bonnet-de-Mure</t>
  </si>
  <si>
    <t>Saint-Laurent-de-Mure</t>
  </si>
  <si>
    <t>Saint-Pierre-de-Chandieu</t>
  </si>
  <si>
    <t>Saint-Symphorien-d'Ozon</t>
  </si>
  <si>
    <t>Sathonay-Camp</t>
  </si>
  <si>
    <t>Sathonay-Village</t>
  </si>
  <si>
    <t>Sérézin-du-Rhône</t>
  </si>
  <si>
    <t>Simandres</t>
  </si>
  <si>
    <t>Solaize</t>
  </si>
  <si>
    <t>Toussieu</t>
  </si>
  <si>
    <t>Colombier-Saugnieu</t>
  </si>
  <si>
    <t>Lyon 01</t>
  </si>
  <si>
    <t>Lyon 02</t>
  </si>
  <si>
    <t>Lyon 03</t>
  </si>
  <si>
    <t>Lyon 04</t>
  </si>
  <si>
    <t>Lyon 05</t>
  </si>
  <si>
    <t>Lyon 06</t>
  </si>
  <si>
    <t>Lyon 07</t>
  </si>
  <si>
    <t>Lyon 08</t>
  </si>
  <si>
    <t>Lyon 09</t>
  </si>
  <si>
    <t>Andelarre</t>
  </si>
  <si>
    <t>Andelarrot</t>
  </si>
  <si>
    <t>Belverne</t>
  </si>
  <si>
    <t>Brevilliers</t>
  </si>
  <si>
    <t>Chagey</t>
  </si>
  <si>
    <t>Châlonvillars</t>
  </si>
  <si>
    <t>Champey</t>
  </si>
  <si>
    <t>Chariez</t>
  </si>
  <si>
    <t>Chavanne</t>
  </si>
  <si>
    <t>Chenebier</t>
  </si>
  <si>
    <t>Coisevaux</t>
  </si>
  <si>
    <t>Comberjon</t>
  </si>
  <si>
    <t>Coulevon</t>
  </si>
  <si>
    <t>Couthenans</t>
  </si>
  <si>
    <t>Échenans-sous-Mont-Vaudois</t>
  </si>
  <si>
    <t>Échenoz-la-Méline</t>
  </si>
  <si>
    <t>Étobon</t>
  </si>
  <si>
    <t>Frotey-lès-Vesoul</t>
  </si>
  <si>
    <t>Héricourt</t>
  </si>
  <si>
    <t>Luze</t>
  </si>
  <si>
    <t>Mandrevillars</t>
  </si>
  <si>
    <t>Montcey</t>
  </si>
  <si>
    <t>Montigny-lès-Vesoul</t>
  </si>
  <si>
    <t>Mont-le-Vernois</t>
  </si>
  <si>
    <t>Navenne</t>
  </si>
  <si>
    <t>Noidans-lès-Vesoul</t>
  </si>
  <si>
    <t>Pusey</t>
  </si>
  <si>
    <t>Pusy-et-Épenoux</t>
  </si>
  <si>
    <t>Quincey</t>
  </si>
  <si>
    <t>Saulnot</t>
  </si>
  <si>
    <t>Tartécourt</t>
  </si>
  <si>
    <t>Trémoins</t>
  </si>
  <si>
    <t>Vaivre-et-Montoille</t>
  </si>
  <si>
    <t>Verlans</t>
  </si>
  <si>
    <t>Vesoul</t>
  </si>
  <si>
    <t>Villeparois</t>
  </si>
  <si>
    <t>Villers-sur-Saulnot</t>
  </si>
  <si>
    <t>Vyans-le-Val</t>
  </si>
  <si>
    <t>Allerey-sur-Saône</t>
  </si>
  <si>
    <t>Aluze</t>
  </si>
  <si>
    <t>Barizey</t>
  </si>
  <si>
    <t>Berzé-la-Ville</t>
  </si>
  <si>
    <t>Les Bizots</t>
  </si>
  <si>
    <t>Blanzy</t>
  </si>
  <si>
    <t>Bouzeron</t>
  </si>
  <si>
    <t>Bussières</t>
  </si>
  <si>
    <t>Chagny</t>
  </si>
  <si>
    <t>Chaintré</t>
  </si>
  <si>
    <t>Chalon-sur-Saône</t>
  </si>
  <si>
    <t>Chamilly</t>
  </si>
  <si>
    <t>Champforgeuil</t>
  </si>
  <si>
    <t>Chânes</t>
  </si>
  <si>
    <t>Change</t>
  </si>
  <si>
    <t>La Chapelle-de-Guinchay</t>
  </si>
  <si>
    <t>Charbonnières</t>
  </si>
  <si>
    <t>La Charmée</t>
  </si>
  <si>
    <t>Charmoy</t>
  </si>
  <si>
    <t>Charnay-lès-Mâcon</t>
  </si>
  <si>
    <t>Charrecey</t>
  </si>
  <si>
    <t>Chasselas</t>
  </si>
  <si>
    <t>Chassey-le-Camp</t>
  </si>
  <si>
    <t>Châtenoy-en-Bresse</t>
  </si>
  <si>
    <t>Châtenoy-le-Royal</t>
  </si>
  <si>
    <t>Chaudenay</t>
  </si>
  <si>
    <t>Cheilly-lès-Maranges</t>
  </si>
  <si>
    <t>Chevagny-les-Chevrières</t>
  </si>
  <si>
    <t>Ciry-le-Noble</t>
  </si>
  <si>
    <t>Crêches-sur-Saône</t>
  </si>
  <si>
    <t>Le Creusot</t>
  </si>
  <si>
    <t>Davayé</t>
  </si>
  <si>
    <t>Demigny</t>
  </si>
  <si>
    <t>Dennevy</t>
  </si>
  <si>
    <t>Dezize-lès-Maranges</t>
  </si>
  <si>
    <t>Dracy-le-Fort</t>
  </si>
  <si>
    <t>Écuisses</t>
  </si>
  <si>
    <t>Épervans</t>
  </si>
  <si>
    <t>Farges-lès-Chalon</t>
  </si>
  <si>
    <t>Fontaines</t>
  </si>
  <si>
    <t>Fragnes-La Loyère</t>
  </si>
  <si>
    <t>Fuissé</t>
  </si>
  <si>
    <t>Génelard</t>
  </si>
  <si>
    <t>Gergy</t>
  </si>
  <si>
    <t>Givry</t>
  </si>
  <si>
    <t>Hurigny</t>
  </si>
  <si>
    <t>Igé</t>
  </si>
  <si>
    <t>Jambles</t>
  </si>
  <si>
    <t>Laizé</t>
  </si>
  <si>
    <t>Lans</t>
  </si>
  <si>
    <t>Lessard-le-National</t>
  </si>
  <si>
    <t>Leynes</t>
  </si>
  <si>
    <t>Lournand</t>
  </si>
  <si>
    <t>Lux</t>
  </si>
  <si>
    <t>Mâcon</t>
  </si>
  <si>
    <t>Marigny</t>
  </si>
  <si>
    <t>Marnay</t>
  </si>
  <si>
    <t>Mellecey</t>
  </si>
  <si>
    <t>Mercurey</t>
  </si>
  <si>
    <t>Milly-Lamartine</t>
  </si>
  <si>
    <t>Montceau-les-Mines</t>
  </si>
  <si>
    <t>Montcenis</t>
  </si>
  <si>
    <t>Montchanin</t>
  </si>
  <si>
    <t>Oslon</t>
  </si>
  <si>
    <t>Paris-l'Hôpital</t>
  </si>
  <si>
    <t>Péronne</t>
  </si>
  <si>
    <t>Perrecy-les-Forges</t>
  </si>
  <si>
    <t>Pouilloux</t>
  </si>
  <si>
    <t>Prissé</t>
  </si>
  <si>
    <t>Pruzilly</t>
  </si>
  <si>
    <t>La Roche-Vineuse</t>
  </si>
  <si>
    <t>Romanèche-Thorins</t>
  </si>
  <si>
    <t>Saint-Ambreuil</t>
  </si>
  <si>
    <t>Saint-Amour-Bellevue</t>
  </si>
  <si>
    <t>Saint-Berain-sous-Sanvignes</t>
  </si>
  <si>
    <t>Saint-Bérain-sur-Dheune</t>
  </si>
  <si>
    <t>Saint-Denis-de-Vaux</t>
  </si>
  <si>
    <t>Saint-Désert</t>
  </si>
  <si>
    <t>Saint-Eusèbe</t>
  </si>
  <si>
    <t>Saint-Firmin</t>
  </si>
  <si>
    <t>Saint-Jean-de-Vaux</t>
  </si>
  <si>
    <t>Saint-Julien-sur-Dheune</t>
  </si>
  <si>
    <t>Saint-Laurent-d'Andenay</t>
  </si>
  <si>
    <t>Saint-Léger-sur-Dheune</t>
  </si>
  <si>
    <t>Saint-Loup-Géanges</t>
  </si>
  <si>
    <t>Saint-Loup-de-Varennes</t>
  </si>
  <si>
    <t>Saint-Mard-de-Vaux</t>
  </si>
  <si>
    <t>Saint-Martin-Belle-Roche</t>
  </si>
  <si>
    <t>Saint-Martin-sous-Montaigu</t>
  </si>
  <si>
    <t>Saint-Maurice-de-Satonnay</t>
  </si>
  <si>
    <t>Saint-Pierre-de-Varennes</t>
  </si>
  <si>
    <t>Saint-Sernin-du-Bois</t>
  </si>
  <si>
    <t>Saint-Sernin-du-Plain</t>
  </si>
  <si>
    <t>Saint-Symphorien-d'Ancelles</t>
  </si>
  <si>
    <t>Saint-Symphorien-de-Marmagne</t>
  </si>
  <si>
    <t>Saint-Vallier</t>
  </si>
  <si>
    <t>La Salle</t>
  </si>
  <si>
    <t>Sampigny-lès-Maranges</t>
  </si>
  <si>
    <t>Sancé</t>
  </si>
  <si>
    <t>Sanvignes-les-Mines</t>
  </si>
  <si>
    <t>Sassenay</t>
  </si>
  <si>
    <t>Senozan</t>
  </si>
  <si>
    <t>Sevrey</t>
  </si>
  <si>
    <t>Sologny</t>
  </si>
  <si>
    <t>Solutré-Pouilly</t>
  </si>
  <si>
    <t>Torcy</t>
  </si>
  <si>
    <t>Varennes-le-Grand</t>
  </si>
  <si>
    <t>Varennes-lès-Mâcon</t>
  </si>
  <si>
    <t>Vergisson</t>
  </si>
  <si>
    <t>Verzé</t>
  </si>
  <si>
    <t>Vinzelles</t>
  </si>
  <si>
    <t>Virey-le-Grand</t>
  </si>
  <si>
    <t>Aigné</t>
  </si>
  <si>
    <t>Arçonnay</t>
  </si>
  <si>
    <t>Ardenay-sur-Mérize</t>
  </si>
  <si>
    <t>'72370'</t>
  </si>
  <si>
    <t>Arnage</t>
  </si>
  <si>
    <t>Ballon-Saint Mars</t>
  </si>
  <si>
    <t>'72290'</t>
  </si>
  <si>
    <t>La Bazoge</t>
  </si>
  <si>
    <t>Bouloire</t>
  </si>
  <si>
    <t>'72440'</t>
  </si>
  <si>
    <t>Le Breil-sur-Mérize</t>
  </si>
  <si>
    <t>Brette-les-Pins</t>
  </si>
  <si>
    <t>Cérans-Foulletourte</t>
  </si>
  <si>
    <t>'72330'</t>
  </si>
  <si>
    <t>Challes</t>
  </si>
  <si>
    <t>Champagné</t>
  </si>
  <si>
    <t>Champfleur</t>
  </si>
  <si>
    <t>La Chapelle-Saint-Aubin</t>
  </si>
  <si>
    <t>La Chapelle-Saint-Fray</t>
  </si>
  <si>
    <t>'72240'</t>
  </si>
  <si>
    <t>Chaufour-Notre-Dame</t>
  </si>
  <si>
    <t>Chemiré-le-Gaudin</t>
  </si>
  <si>
    <t>'72210'</t>
  </si>
  <si>
    <t>Cherré-Au</t>
  </si>
  <si>
    <t>Conlie</t>
  </si>
  <si>
    <t>Connerré</t>
  </si>
  <si>
    <t>'72160'</t>
  </si>
  <si>
    <t>Coudrecieux</t>
  </si>
  <si>
    <t>Coulaines</t>
  </si>
  <si>
    <t>Courcebœufs</t>
  </si>
  <si>
    <t>Crissé</t>
  </si>
  <si>
    <t>'72140'</t>
  </si>
  <si>
    <t>Cures</t>
  </si>
  <si>
    <t>Degré</t>
  </si>
  <si>
    <t>Domfront-en-Champagne</t>
  </si>
  <si>
    <t>Écommoy</t>
  </si>
  <si>
    <t>Étival-lès-le-Mans</t>
  </si>
  <si>
    <t>Fay</t>
  </si>
  <si>
    <t>Fercé-sur-Sarthe</t>
  </si>
  <si>
    <t>'72430'</t>
  </si>
  <si>
    <t>Fillé</t>
  </si>
  <si>
    <t>Villeneuve-en-Perseigne</t>
  </si>
  <si>
    <t>Le Grez</t>
  </si>
  <si>
    <t>Guécélard</t>
  </si>
  <si>
    <t>La Guierche</t>
  </si>
  <si>
    <t>'72380'</t>
  </si>
  <si>
    <t>Joué-l'Abbé</t>
  </si>
  <si>
    <t>Laigné-en-Belin</t>
  </si>
  <si>
    <t>Lombron</t>
  </si>
  <si>
    <t>'72450'</t>
  </si>
  <si>
    <t>Louplande</t>
  </si>
  <si>
    <t>Maisoncelles</t>
  </si>
  <si>
    <t>Malicorne-sur-Sarthe</t>
  </si>
  <si>
    <t>'72270'</t>
  </si>
  <si>
    <t>Le Mans</t>
  </si>
  <si>
    <t>Marigné-Laillé</t>
  </si>
  <si>
    <t>Mézeray</t>
  </si>
  <si>
    <t>Mézières-sous-Lavardin</t>
  </si>
  <si>
    <t>La Milesse</t>
  </si>
  <si>
    <t>Moncé-en-Belin</t>
  </si>
  <si>
    <t>Montbizot</t>
  </si>
  <si>
    <t>Mont-Saint-Jean</t>
  </si>
  <si>
    <t>Mulsanne</t>
  </si>
  <si>
    <t>Neuvillalais</t>
  </si>
  <si>
    <t>Neuville-sur-Sarthe</t>
  </si>
  <si>
    <t>Neuvillette-en-Charnie</t>
  </si>
  <si>
    <t>Bernay-Neuvy-en-Champagne</t>
  </si>
  <si>
    <t>Nuillé-le-Jalais</t>
  </si>
  <si>
    <t>Parennes</t>
  </si>
  <si>
    <t>Parigné-le-Pôlin</t>
  </si>
  <si>
    <t>Parigné-l'Évêque</t>
  </si>
  <si>
    <t>Pezé-le-Robert</t>
  </si>
  <si>
    <t>Montfort-le-Gesnois</t>
  </si>
  <si>
    <t>Pruillé-le-Chétif</t>
  </si>
  <si>
    <t>La Quinte</t>
  </si>
  <si>
    <t>Roëzé-sur-Sarthe</t>
  </si>
  <si>
    <t>Rouessé-Vassé</t>
  </si>
  <si>
    <t>Rouez</t>
  </si>
  <si>
    <t>Rouillon</t>
  </si>
  <si>
    <t>Ruaudin</t>
  </si>
  <si>
    <t>Ruillé-en-Champagne</t>
  </si>
  <si>
    <t>Saint-Biez-en-Belin</t>
  </si>
  <si>
    <t>Saint-Célerin</t>
  </si>
  <si>
    <t>'72110'</t>
  </si>
  <si>
    <t>Saint-Corneille</t>
  </si>
  <si>
    <t>'72460'</t>
  </si>
  <si>
    <t>Saint-Georges-du-Bois</t>
  </si>
  <si>
    <t>Saint-Gervais-en-Belin</t>
  </si>
  <si>
    <t>Sainte-Jamme-sur-Sarthe</t>
  </si>
  <si>
    <t>Saint-Jean-d'Assé</t>
  </si>
  <si>
    <t>Saint-Jean-du-Bois</t>
  </si>
  <si>
    <t>Saint-Mars-de-Locquenay</t>
  </si>
  <si>
    <t>Saint-Mars-d'Outillé</t>
  </si>
  <si>
    <t>Saint-Mars-la-Brière</t>
  </si>
  <si>
    <t>Saint-Michel-de-Chavaignes</t>
  </si>
  <si>
    <t>Saint-Ouen-en-Belin</t>
  </si>
  <si>
    <t>Saint-Paterne - Le Chevain</t>
  </si>
  <si>
    <t>Saint-Pavace</t>
  </si>
  <si>
    <t>Saint-Rémy-de-Sillé</t>
  </si>
  <si>
    <t>Sainte-Sabine-sur-Longève</t>
  </si>
  <si>
    <t>Sargé-lès-le-Mans</t>
  </si>
  <si>
    <t>Savigné-l'Évêque</t>
  </si>
  <si>
    <t>Sillé-le-Guillaume</t>
  </si>
  <si>
    <t>Sillé-le-Philippe</t>
  </si>
  <si>
    <t>Souillé</t>
  </si>
  <si>
    <t>Souligné-Flacé</t>
  </si>
  <si>
    <t>Souligné-sous-Ballon</t>
  </si>
  <si>
    <t>Soulitré</t>
  </si>
  <si>
    <t>Spay</t>
  </si>
  <si>
    <t>'72702'</t>
  </si>
  <si>
    <t>Surfonds</t>
  </si>
  <si>
    <t>La Suze-sur-Sarthe</t>
  </si>
  <si>
    <t>Teillé</t>
  </si>
  <si>
    <t>Teloché</t>
  </si>
  <si>
    <t>Tennie</t>
  </si>
  <si>
    <t>Thorigné-sur-Dué</t>
  </si>
  <si>
    <t>Torcé-en-Vallée</t>
  </si>
  <si>
    <t>Trangé</t>
  </si>
  <si>
    <t>Tresson</t>
  </si>
  <si>
    <t>Voivres-lès-le-Mans</t>
  </si>
  <si>
    <t>Yvré-l'Évêque</t>
  </si>
  <si>
    <t>Aillon-le-Jeune</t>
  </si>
  <si>
    <t>Aillon-le-Vieux</t>
  </si>
  <si>
    <t>Aix-les-Bains</t>
  </si>
  <si>
    <t>Entrelacs</t>
  </si>
  <si>
    <t>Arith</t>
  </si>
  <si>
    <t>Barberaz</t>
  </si>
  <si>
    <t>Barby</t>
  </si>
  <si>
    <t>Bellecombe-en-Bauges</t>
  </si>
  <si>
    <t>La Biolle</t>
  </si>
  <si>
    <t>Bourdeau</t>
  </si>
  <si>
    <t>Le Bourget-du-Lac</t>
  </si>
  <si>
    <t>Bourg-Saint-Maurice</t>
  </si>
  <si>
    <t>Brison-Saint-Innocent</t>
  </si>
  <si>
    <t>Challes-les-Eaux</t>
  </si>
  <si>
    <t>Chambéry</t>
  </si>
  <si>
    <t>Chanaz</t>
  </si>
  <si>
    <t>La Chapelle-du-Mont-du-Chat</t>
  </si>
  <si>
    <t>Le Châtelard</t>
  </si>
  <si>
    <t>Chindrieux</t>
  </si>
  <si>
    <t>Cognin</t>
  </si>
  <si>
    <t>La Compôte</t>
  </si>
  <si>
    <t>Conjux</t>
  </si>
  <si>
    <t>Curienne</t>
  </si>
  <si>
    <t>Les Déserts</t>
  </si>
  <si>
    <t>Doucy-en-Bauges</t>
  </si>
  <si>
    <t>Drumettaz-Clarafond</t>
  </si>
  <si>
    <t>École</t>
  </si>
  <si>
    <t>Grésy-sur-Aix</t>
  </si>
  <si>
    <t>Jacob-Bellecombette</t>
  </si>
  <si>
    <t>Jarsy</t>
  </si>
  <si>
    <t>Lescheraines</t>
  </si>
  <si>
    <t>Méry</t>
  </si>
  <si>
    <t>Montagnole</t>
  </si>
  <si>
    <t>Montcel</t>
  </si>
  <si>
    <t>La Motte-en-Bauges</t>
  </si>
  <si>
    <t>La Motte-Servolex</t>
  </si>
  <si>
    <t>Motz</t>
  </si>
  <si>
    <t>Mouxy</t>
  </si>
  <si>
    <t>Le Noyer</t>
  </si>
  <si>
    <t>Ontex</t>
  </si>
  <si>
    <t>Pugny-Chatenod</t>
  </si>
  <si>
    <t>Puygros</t>
  </si>
  <si>
    <t>La Ravoire</t>
  </si>
  <si>
    <t>Ruffieux</t>
  </si>
  <si>
    <t>Saint-Alban-Leysse</t>
  </si>
  <si>
    <t>Saint-Baldoph</t>
  </si>
  <si>
    <t>Saint-Cassin</t>
  </si>
  <si>
    <t>Saint-François-de-Sales</t>
  </si>
  <si>
    <t>Saint-Jean-d'Arvey</t>
  </si>
  <si>
    <t>Saint-Jeoire-Prieuré</t>
  </si>
  <si>
    <t>Saint-Offenge</t>
  </si>
  <si>
    <t>Saint-Pierre-de-Curtille</t>
  </si>
  <si>
    <t>Sainte-Reine</t>
  </si>
  <si>
    <t>Serrières-en-Chautagne</t>
  </si>
  <si>
    <t>Sonnaz</t>
  </si>
  <si>
    <t>Thoiry</t>
  </si>
  <si>
    <t>La Thuile</t>
  </si>
  <si>
    <t>Tresserve</t>
  </si>
  <si>
    <t>Trévignin</t>
  </si>
  <si>
    <t>Verel-Pragondran</t>
  </si>
  <si>
    <t>Vimines</t>
  </si>
  <si>
    <t>Vions</t>
  </si>
  <si>
    <t>Viviers-du-Lac</t>
  </si>
  <si>
    <t>Voglans</t>
  </si>
  <si>
    <t>Abondance</t>
  </si>
  <si>
    <t>Alby-sur-Chéran</t>
  </si>
  <si>
    <t>Allèves</t>
  </si>
  <si>
    <t>Allinges</t>
  </si>
  <si>
    <t>Amancy</t>
  </si>
  <si>
    <t>SYNDICAT MIXTE DES 4 COMMUNAUTES DE COMMUNES</t>
  </si>
  <si>
    <t>Ambilly</t>
  </si>
  <si>
    <t>Annecy</t>
  </si>
  <si>
    <t>Annemasse</t>
  </si>
  <si>
    <t>Anthy-sur-Léman</t>
  </si>
  <si>
    <t>Arbusigny</t>
  </si>
  <si>
    <t>Archamps</t>
  </si>
  <si>
    <t>COMMUNAUTE DE COMMUNES DU GENEVOIS</t>
  </si>
  <si>
    <t>'74160'</t>
  </si>
  <si>
    <t>'74161'</t>
  </si>
  <si>
    <t>'74162'</t>
  </si>
  <si>
    <t>'74163'</t>
  </si>
  <si>
    <t>'74164'</t>
  </si>
  <si>
    <t>'74165'</t>
  </si>
  <si>
    <t>'74166'</t>
  </si>
  <si>
    <t>Arenthon</t>
  </si>
  <si>
    <t>Argonay</t>
  </si>
  <si>
    <t>Armoy</t>
  </si>
  <si>
    <t>Arthaz-Pont-Notre-Dame</t>
  </si>
  <si>
    <t>Ayse</t>
  </si>
  <si>
    <t>Ballaison</t>
  </si>
  <si>
    <t>Bernex</t>
  </si>
  <si>
    <t>Bloye</t>
  </si>
  <si>
    <t>Bluffy</t>
  </si>
  <si>
    <t>Bonne</t>
  </si>
  <si>
    <t>Bonneville</t>
  </si>
  <si>
    <t>Bons-en-Chablais</t>
  </si>
  <si>
    <t>Bossey</t>
  </si>
  <si>
    <t>Boussy</t>
  </si>
  <si>
    <t>Brenthonne</t>
  </si>
  <si>
    <t>Brizon</t>
  </si>
  <si>
    <t>Cervens</t>
  </si>
  <si>
    <t>Chainaz-les-Frasses</t>
  </si>
  <si>
    <t>Champanges</t>
  </si>
  <si>
    <t>La Chapelle-d'Abondance</t>
  </si>
  <si>
    <t>La Chapelle-Rambaud</t>
  </si>
  <si>
    <t>La Chapelle-Saint-Maurice</t>
  </si>
  <si>
    <t>Chapeiry</t>
  </si>
  <si>
    <t>Charvonnex</t>
  </si>
  <si>
    <t>Châtel</t>
  </si>
  <si>
    <t>Chavanod</t>
  </si>
  <si>
    <t>Chênex</t>
  </si>
  <si>
    <t>'74520'</t>
  </si>
  <si>
    <t>Chens-sur-Léman</t>
  </si>
  <si>
    <t>Chevenoz</t>
  </si>
  <si>
    <t>Chevrier</t>
  </si>
  <si>
    <t>Collonges-sous-Salève</t>
  </si>
  <si>
    <t>Contamine-sur-Arve</t>
  </si>
  <si>
    <t>Cornier</t>
  </si>
  <si>
    <t>La Côte-d'Arbroz</t>
  </si>
  <si>
    <t>Cranves-Sales</t>
  </si>
  <si>
    <t>Crempigny-Bonneguête</t>
  </si>
  <si>
    <t>Cusy</t>
  </si>
  <si>
    <t>Dingy-en-Vuache</t>
  </si>
  <si>
    <t>Douvaine</t>
  </si>
  <si>
    <t>Draillant</t>
  </si>
  <si>
    <t>Duingt</t>
  </si>
  <si>
    <t>Entrevernes</t>
  </si>
  <si>
    <t>Epagny Metz-Tessy</t>
  </si>
  <si>
    <t>Etaux</t>
  </si>
  <si>
    <t>Étercy</t>
  </si>
  <si>
    <t>Étrembières</t>
  </si>
  <si>
    <t>Évian-les-Bains</t>
  </si>
  <si>
    <t>Excenevex</t>
  </si>
  <si>
    <t>Faucigny</t>
  </si>
  <si>
    <t>Feigères</t>
  </si>
  <si>
    <t>Fessy</t>
  </si>
  <si>
    <t>Féternes</t>
  </si>
  <si>
    <t>Fillinges</t>
  </si>
  <si>
    <t>Gaillard</t>
  </si>
  <si>
    <t>Groisy</t>
  </si>
  <si>
    <t>Gruffy</t>
  </si>
  <si>
    <t>Hauteville-sur-Fier</t>
  </si>
  <si>
    <t>Héry-sur-Alby</t>
  </si>
  <si>
    <t>Jonzier-Épagny</t>
  </si>
  <si>
    <t>Larringes</t>
  </si>
  <si>
    <t>Leschaux</t>
  </si>
  <si>
    <t>Loisin</t>
  </si>
  <si>
    <t>Lornay</t>
  </si>
  <si>
    <t>Lucinges</t>
  </si>
  <si>
    <t>Lugrin</t>
  </si>
  <si>
    <t>Lully</t>
  </si>
  <si>
    <t>Lyaud</t>
  </si>
  <si>
    <t>Machilly</t>
  </si>
  <si>
    <t>Marcellaz-Albanais</t>
  </si>
  <si>
    <t>Marcellaz</t>
  </si>
  <si>
    <t>Margencel</t>
  </si>
  <si>
    <t>Marignier</t>
  </si>
  <si>
    <t>Marigny-Saint-Marcel</t>
  </si>
  <si>
    <t>Marin</t>
  </si>
  <si>
    <t>Massingy</t>
  </si>
  <si>
    <t>Massongy</t>
  </si>
  <si>
    <t>Maxilly-sur-Léman</t>
  </si>
  <si>
    <t>Mégevette</t>
  </si>
  <si>
    <t>Meillerie</t>
  </si>
  <si>
    <t>Menthon-Saint-Bernard</t>
  </si>
  <si>
    <t>Messery</t>
  </si>
  <si>
    <t>Monnetier-Mornex</t>
  </si>
  <si>
    <t>Montagny-les-Lanches</t>
  </si>
  <si>
    <t>Moye</t>
  </si>
  <si>
    <t>La Muraz</t>
  </si>
  <si>
    <t>Mûres</t>
  </si>
  <si>
    <t>Nangy</t>
  </si>
  <si>
    <t>Nâves-Parmelan</t>
  </si>
  <si>
    <t>Nernier</t>
  </si>
  <si>
    <t>Neuvecelle</t>
  </si>
  <si>
    <t>Neydens</t>
  </si>
  <si>
    <t>Novel</t>
  </si>
  <si>
    <t>Onnion</t>
  </si>
  <si>
    <t>Orcier</t>
  </si>
  <si>
    <t>Peillonnex</t>
  </si>
  <si>
    <t>Perrignier</t>
  </si>
  <si>
    <t>Pers-Jussy</t>
  </si>
  <si>
    <t>Glières-Val-de-Borne</t>
  </si>
  <si>
    <t>Poisy</t>
  </si>
  <si>
    <t>Présilly</t>
  </si>
  <si>
    <t>Publier</t>
  </si>
  <si>
    <t>Quintal</t>
  </si>
  <si>
    <t>Reignier-Ésery</t>
  </si>
  <si>
    <t>La Roche-sur-Foron</t>
  </si>
  <si>
    <t>Rumilly</t>
  </si>
  <si>
    <t>Saint-Cergues</t>
  </si>
  <si>
    <t>Saint-Eustache</t>
  </si>
  <si>
    <t>Saint-Jean-de-Tholome</t>
  </si>
  <si>
    <t>Saint-Jeoire</t>
  </si>
  <si>
    <t>Saint-Jorioz</t>
  </si>
  <si>
    <t>Saint-Julien-en-Genevois</t>
  </si>
  <si>
    <t>Saint-Paul-en-Chablais</t>
  </si>
  <si>
    <t>Saint-Pierre-en-Faucigny</t>
  </si>
  <si>
    <t>Saint-Sixt</t>
  </si>
  <si>
    <t>Sales</t>
  </si>
  <si>
    <t>Scientrier</t>
  </si>
  <si>
    <t>Sciez</t>
  </si>
  <si>
    <t>Sevrier</t>
  </si>
  <si>
    <t>Sixt-Fer-à-Cheval</t>
  </si>
  <si>
    <t>Talloires-Montmin</t>
  </si>
  <si>
    <t>Thollon-les-Mémises</t>
  </si>
  <si>
    <t>Thonon-les-Bains</t>
  </si>
  <si>
    <t>Fillière</t>
  </si>
  <si>
    <t>Thusy</t>
  </si>
  <si>
    <t>Vacheresse</t>
  </si>
  <si>
    <t>Valleiry</t>
  </si>
  <si>
    <t>Vallières-sur-Fier</t>
  </si>
  <si>
    <t>Vaulx</t>
  </si>
  <si>
    <t>Veigy-Foncenex</t>
  </si>
  <si>
    <t>Vers</t>
  </si>
  <si>
    <t>Versonnex</t>
  </si>
  <si>
    <t>Vétraz-Monthoux</t>
  </si>
  <si>
    <t>Veyrier-du-Lac</t>
  </si>
  <si>
    <t>Villaz</t>
  </si>
  <si>
    <t>Ville-en-Sallaz</t>
  </si>
  <si>
    <t>Ville-la-Grand</t>
  </si>
  <si>
    <t>Vinzier</t>
  </si>
  <si>
    <t>'74580'</t>
  </si>
  <si>
    <t>Viuz-la-Chiésaz</t>
  </si>
  <si>
    <t>Viuz-en-Sallaz</t>
  </si>
  <si>
    <t>Vougy</t>
  </si>
  <si>
    <t>Vulbens</t>
  </si>
  <si>
    <t>Yvoire</t>
  </si>
  <si>
    <t>Paris 01</t>
  </si>
  <si>
    <t>Paris 02</t>
  </si>
  <si>
    <t>Paris 03</t>
  </si>
  <si>
    <t>Paris 04</t>
  </si>
  <si>
    <t>Paris 05</t>
  </si>
  <si>
    <t>Paris 06</t>
  </si>
  <si>
    <t>Paris 07</t>
  </si>
  <si>
    <t>Paris 08</t>
  </si>
  <si>
    <t>Paris 09</t>
  </si>
  <si>
    <t>Paris 10</t>
  </si>
  <si>
    <t>Paris 11</t>
  </si>
  <si>
    <t>Paris 12</t>
  </si>
  <si>
    <t>Paris 13</t>
  </si>
  <si>
    <t>Paris 14</t>
  </si>
  <si>
    <t>Paris 15</t>
  </si>
  <si>
    <t>Paris 16</t>
  </si>
  <si>
    <t>Paris 17</t>
  </si>
  <si>
    <t>Paris 18</t>
  </si>
  <si>
    <t>Paris 19</t>
  </si>
  <si>
    <t>Paris 20</t>
  </si>
  <si>
    <t>Allouville-Bellefosse</t>
  </si>
  <si>
    <t>Alvimare</t>
  </si>
  <si>
    <t>COMMUNAUTE D'AGGLOMERATION DE CAUX SEINE AGGLO</t>
  </si>
  <si>
    <t>Amfreville-la-Mi-Voie</t>
  </si>
  <si>
    <t>Ancourt</t>
  </si>
  <si>
    <t>Ancretteville-sur-Mer</t>
  </si>
  <si>
    <t>Angerville-la-Martel</t>
  </si>
  <si>
    <t>Angerville-l'Orcher</t>
  </si>
  <si>
    <t>Anglesqueville-l'Esneval</t>
  </si>
  <si>
    <t>Anneville-Ambourville</t>
  </si>
  <si>
    <t>Anquetierville</t>
  </si>
  <si>
    <t>'76490'</t>
  </si>
  <si>
    <t>Arques-la-Bataille</t>
  </si>
  <si>
    <t>Aubermesnil-Beaumais</t>
  </si>
  <si>
    <t>Les Authieux-sur-le-Port-Saint-Ouen</t>
  </si>
  <si>
    <t>Les Hauts-de-Caux</t>
  </si>
  <si>
    <t>Auzebosc</t>
  </si>
  <si>
    <t>Baons-le-Comte</t>
  </si>
  <si>
    <t>Bardouville</t>
  </si>
  <si>
    <t>Barentin</t>
  </si>
  <si>
    <t>COMMUNAUTE DE COMMUNES CAUX AUTREBERTHE</t>
  </si>
  <si>
    <t>'76360'</t>
  </si>
  <si>
    <t>Belbeuf</t>
  </si>
  <si>
    <t>Bernières</t>
  </si>
  <si>
    <t>'76210'</t>
  </si>
  <si>
    <t>Berville-sur-Seine</t>
  </si>
  <si>
    <t>Beuzeville-la-Grenier</t>
  </si>
  <si>
    <t>Beuzevillette</t>
  </si>
  <si>
    <t>Bihorel</t>
  </si>
  <si>
    <t>Blacqueville</t>
  </si>
  <si>
    <t>Bonsecours</t>
  </si>
  <si>
    <t>Bois-Guillaume</t>
  </si>
  <si>
    <t>Bois-Himont</t>
  </si>
  <si>
    <t>Bolbec</t>
  </si>
  <si>
    <t>Bolleville</t>
  </si>
  <si>
    <t>Boos</t>
  </si>
  <si>
    <t>Bordeaux-Saint-Clair</t>
  </si>
  <si>
    <t>La Bouille</t>
  </si>
  <si>
    <t>Canteleu</t>
  </si>
  <si>
    <t>Carville-la-Folletière</t>
  </si>
  <si>
    <t>Rives-en-Seine</t>
  </si>
  <si>
    <t>Caudebec-lès-Elbeuf</t>
  </si>
  <si>
    <t>Cauville-sur-Mer</t>
  </si>
  <si>
    <t>La Cerlangue</t>
  </si>
  <si>
    <t>Cléon</t>
  </si>
  <si>
    <t>Cléville</t>
  </si>
  <si>
    <t>Cliponville</t>
  </si>
  <si>
    <t>Colleville</t>
  </si>
  <si>
    <t>Colmesnil-Manneville</t>
  </si>
  <si>
    <t>Contremoulins</t>
  </si>
  <si>
    <t>Criquebeuf-en-Caux</t>
  </si>
  <si>
    <t>Criquetot-l'Esneval</t>
  </si>
  <si>
    <t>Croix-Mare</t>
  </si>
  <si>
    <t>Darnétal</t>
  </si>
  <si>
    <t>Déville-lès-Rouen</t>
  </si>
  <si>
    <t>Dieppe</t>
  </si>
  <si>
    <t>Duclair</t>
  </si>
  <si>
    <t>Écalles-Alix</t>
  </si>
  <si>
    <t>Écretteville-lès-Baons</t>
  </si>
  <si>
    <t>Écretteville-sur-Mer</t>
  </si>
  <si>
    <t>Elbeuf</t>
  </si>
  <si>
    <t>Életot</t>
  </si>
  <si>
    <t>Émanville</t>
  </si>
  <si>
    <t>Envronville</t>
  </si>
  <si>
    <t>Épinay-sur-Duclair</t>
  </si>
  <si>
    <t>Épouville</t>
  </si>
  <si>
    <t>Épretot</t>
  </si>
  <si>
    <t>Épreville</t>
  </si>
  <si>
    <t>Étainhus</t>
  </si>
  <si>
    <t>Étretat</t>
  </si>
  <si>
    <t>Terres-de-Caux</t>
  </si>
  <si>
    <t>Fécamp</t>
  </si>
  <si>
    <t>Fongueusemare</t>
  </si>
  <si>
    <t>Fontaine-la-Mallet</t>
  </si>
  <si>
    <t>Fontaine-sous-Préaux</t>
  </si>
  <si>
    <t>Fontenay</t>
  </si>
  <si>
    <t>Foucart</t>
  </si>
  <si>
    <t>La Frénaye</t>
  </si>
  <si>
    <t>'76170'</t>
  </si>
  <si>
    <t>Freneuse</t>
  </si>
  <si>
    <t>Saint Martin de l'If</t>
  </si>
  <si>
    <t>Froberville</t>
  </si>
  <si>
    <t>Gainneville</t>
  </si>
  <si>
    <t>Ganzeville</t>
  </si>
  <si>
    <t>Gerponville</t>
  </si>
  <si>
    <t>Gerville</t>
  </si>
  <si>
    <t>Gonfreville-l'Orcher</t>
  </si>
  <si>
    <t>Gonneville-la-Mallet</t>
  </si>
  <si>
    <t>Goupillières</t>
  </si>
  <si>
    <t>Gouy</t>
  </si>
  <si>
    <t>Graimbouville</t>
  </si>
  <si>
    <t>Grand-Camp</t>
  </si>
  <si>
    <t>Grand-Couronne</t>
  </si>
  <si>
    <t>Le Grand-Quevilly</t>
  </si>
  <si>
    <t>Grèges</t>
  </si>
  <si>
    <t>Gruchet-le-Valasse</t>
  </si>
  <si>
    <t>Harfleur</t>
  </si>
  <si>
    <t>Hattenville</t>
  </si>
  <si>
    <t>Hautot-le-Vatois</t>
  </si>
  <si>
    <t>Hautot-Saint-Sulpice</t>
  </si>
  <si>
    <t>Hautot-sur-Mer</t>
  </si>
  <si>
    <t>Hautot-sur-Seine</t>
  </si>
  <si>
    <t>Le Havre</t>
  </si>
  <si>
    <t>Hénouville</t>
  </si>
  <si>
    <t>Hermeville</t>
  </si>
  <si>
    <t>Heurteauville</t>
  </si>
  <si>
    <t>'76940'</t>
  </si>
  <si>
    <t>Le Houlme</t>
  </si>
  <si>
    <t>Houppeville</t>
  </si>
  <si>
    <t>Isneauville</t>
  </si>
  <si>
    <t>Jumièges</t>
  </si>
  <si>
    <t>Lanquetot</t>
  </si>
  <si>
    <t>Lillebonne</t>
  </si>
  <si>
    <t>Limésy</t>
  </si>
  <si>
    <t>Limpiville</t>
  </si>
  <si>
    <t>Lintot</t>
  </si>
  <si>
    <t>Les Loges</t>
  </si>
  <si>
    <t>La Londe</t>
  </si>
  <si>
    <t>Louvetot</t>
  </si>
  <si>
    <t>Arelaune-en-Seine</t>
  </si>
  <si>
    <t>Malaunay</t>
  </si>
  <si>
    <t>Manéglise</t>
  </si>
  <si>
    <t>Maniquerville</t>
  </si>
  <si>
    <t>Mannevillette</t>
  </si>
  <si>
    <t>Maromme</t>
  </si>
  <si>
    <t>Martigny</t>
  </si>
  <si>
    <t>Martin-Église</t>
  </si>
  <si>
    <t>Maulévrier-Sainte-Gertrude</t>
  </si>
  <si>
    <t>Mélamare</t>
  </si>
  <si>
    <t>Le Mesnil-Esnard</t>
  </si>
  <si>
    <t>Mesnil-Panneville</t>
  </si>
  <si>
    <t>Le Mesnil-sous-Jumièges</t>
  </si>
  <si>
    <t>Mirville</t>
  </si>
  <si>
    <t>Montivilliers</t>
  </si>
  <si>
    <t>Montmain</t>
  </si>
  <si>
    <t>Mont-Saint-Aignan</t>
  </si>
  <si>
    <t>Moulineaux</t>
  </si>
  <si>
    <t>La Neuville-Chant-d'Oisel</t>
  </si>
  <si>
    <t>Nointot</t>
  </si>
  <si>
    <t>Norville</t>
  </si>
  <si>
    <t>'76330'</t>
  </si>
  <si>
    <t>Notre-Dame-de-Bliquetuit</t>
  </si>
  <si>
    <t>Notre-Dame-de-Bondeville</t>
  </si>
  <si>
    <t>Franqueville-Saint-Pierre</t>
  </si>
  <si>
    <t>Port-Jérôme-sur-Seine</t>
  </si>
  <si>
    <t>Notre-Dame-du-Bec</t>
  </si>
  <si>
    <t>Octeville-sur-Mer</t>
  </si>
  <si>
    <t>Offranville</t>
  </si>
  <si>
    <t>Oissel</t>
  </si>
  <si>
    <t>Orival</t>
  </si>
  <si>
    <t>Oudalle</t>
  </si>
  <si>
    <t>Parc-d'Anxtot</t>
  </si>
  <si>
    <t>Pavilly</t>
  </si>
  <si>
    <t>Petit-Couronne</t>
  </si>
  <si>
    <t>Le Petit-Quevilly</t>
  </si>
  <si>
    <t>Petiville</t>
  </si>
  <si>
    <t>Pierrefiques</t>
  </si>
  <si>
    <t>La Poterie-Cap-d'Antifer</t>
  </si>
  <si>
    <t>Quevillon</t>
  </si>
  <si>
    <t>Quévreville-la-Poterie</t>
  </si>
  <si>
    <t>Raffetot</t>
  </si>
  <si>
    <t>La Remuée</t>
  </si>
  <si>
    <t>Riville</t>
  </si>
  <si>
    <t>Rocquefort</t>
  </si>
  <si>
    <t>Rogerville</t>
  </si>
  <si>
    <t>Rolleville</t>
  </si>
  <si>
    <t>Roncherolles-sur-le-Vivier</t>
  </si>
  <si>
    <t>Rouen</t>
  </si>
  <si>
    <t>Rouxmesnil-Bouteilles</t>
  </si>
  <si>
    <t>Sahurs</t>
  </si>
  <si>
    <t>Sainneville</t>
  </si>
  <si>
    <t>Sainte-Adresse</t>
  </si>
  <si>
    <t>Saint-Antoine-la-Forêt</t>
  </si>
  <si>
    <t>Saint-Aubin-Celloville</t>
  </si>
  <si>
    <t>Saint-Aubin-de-Crétot</t>
  </si>
  <si>
    <t>Saint-Aubin-Épinay</t>
  </si>
  <si>
    <t>Saint-Aubin-lès-Elbeuf</t>
  </si>
  <si>
    <t>Saint-Aubin-Routot</t>
  </si>
  <si>
    <t>Saint-Aubin-sur-Scie</t>
  </si>
  <si>
    <t>Sainte-Austreberthe</t>
  </si>
  <si>
    <t>Saint-Clair-sur-les-Monts</t>
  </si>
  <si>
    <t>Saint-Étienne-du-Rouvray</t>
  </si>
  <si>
    <t>Saint-Eustache-la-Forêt</t>
  </si>
  <si>
    <t>Saint-Gilles-de-Crétot</t>
  </si>
  <si>
    <t>Saint-Gilles-de-la-Neuville</t>
  </si>
  <si>
    <t>Sainte-Hélène-Bondeville</t>
  </si>
  <si>
    <t>Saint-Jacques-sur-Darnétal</t>
  </si>
  <si>
    <t>Saint-Jean-de-Folleville</t>
  </si>
  <si>
    <t>Saint-Jean-de-la-Neuville</t>
  </si>
  <si>
    <t>Saint-Jouin-Bruneval</t>
  </si>
  <si>
    <t>Saint-Laurent-de-Brèvedent</t>
  </si>
  <si>
    <t>Saint-Léger-du-Bourg-Denis</t>
  </si>
  <si>
    <t>Sainte-Marguerite-sur-Mer</t>
  </si>
  <si>
    <t>Sainte-Marguerite-sur-Duclair</t>
  </si>
  <si>
    <t>Sainte-Marie-au-Bosc</t>
  </si>
  <si>
    <t>Sainte-Marie-des-Champs</t>
  </si>
  <si>
    <t>Saint-Martin-de-Boscherville</t>
  </si>
  <si>
    <t>Saint-Martin-du-Bec</t>
  </si>
  <si>
    <t>Saint-Martin-du-Manoir</t>
  </si>
  <si>
    <t>Saint-Martin-du-Vivier</t>
  </si>
  <si>
    <t>Saint-Maurice-d'Ételan</t>
  </si>
  <si>
    <t>Saint-Nicolas-de-la-Haie</t>
  </si>
  <si>
    <t>Saint-Nicolas-de-la-Taille</t>
  </si>
  <si>
    <t>Saint-Paër</t>
  </si>
  <si>
    <t>Saint-Pierre-de-Manneville</t>
  </si>
  <si>
    <t>Saint-Pierre-de-Varengeville</t>
  </si>
  <si>
    <t>Saint-Pierre-en-Port</t>
  </si>
  <si>
    <t>Saint-Pierre-lès-Elbeuf</t>
  </si>
  <si>
    <t>Saint-Romain-de-Colbosc</t>
  </si>
  <si>
    <t>Saint-Vigor-d'Ymonville</t>
  </si>
  <si>
    <t>Saint-Vincent-Cramesnil</t>
  </si>
  <si>
    <t>Sandouville</t>
  </si>
  <si>
    <t>Sassetot-le-Mauconduit</t>
  </si>
  <si>
    <t>Sauqueville</t>
  </si>
  <si>
    <t>Senneville-sur-Fécamp</t>
  </si>
  <si>
    <t>Sorquainville</t>
  </si>
  <si>
    <t>Sotteville-lès-Rouen</t>
  </si>
  <si>
    <t>Sotteville-sous-le-Val</t>
  </si>
  <si>
    <t>Tancarville</t>
  </si>
  <si>
    <t>Thérouldeville</t>
  </si>
  <si>
    <t>Theuville-aux-Maillots</t>
  </si>
  <si>
    <t>Thiergeville</t>
  </si>
  <si>
    <t>Thiétreville</t>
  </si>
  <si>
    <t>Le Tilleul</t>
  </si>
  <si>
    <t>Touffreville-la-Corbeline</t>
  </si>
  <si>
    <t>Tourville-la-Rivière</t>
  </si>
  <si>
    <t>Tourville-les-Ifs</t>
  </si>
  <si>
    <t>Tourville-sur-Arques</t>
  </si>
  <si>
    <t>Toussaint</t>
  </si>
  <si>
    <t>Le Trait</t>
  </si>
  <si>
    <t>Trémauville</t>
  </si>
  <si>
    <t>La Trinité-du-Mont</t>
  </si>
  <si>
    <t>Les Trois-Pierres</t>
  </si>
  <si>
    <t>Trouville</t>
  </si>
  <si>
    <t>Turretot</t>
  </si>
  <si>
    <t>Val-de-la-Haye</t>
  </si>
  <si>
    <t>Valliquerville</t>
  </si>
  <si>
    <t>Varengeville-sur-Mer</t>
  </si>
  <si>
    <t>Vattetot-sur-Mer</t>
  </si>
  <si>
    <t>Vatteville-la-Rue</t>
  </si>
  <si>
    <t>Vergetot</t>
  </si>
  <si>
    <t>Villainville</t>
  </si>
  <si>
    <t>Villers-Écalles</t>
  </si>
  <si>
    <t>Yainville</t>
  </si>
  <si>
    <t>Yébleron</t>
  </si>
  <si>
    <t>Ymare</t>
  </si>
  <si>
    <t>Yport</t>
  </si>
  <si>
    <t>Ypreville-Biville</t>
  </si>
  <si>
    <t>Yvetot</t>
  </si>
  <si>
    <t>Yville-sur-Seine</t>
  </si>
  <si>
    <t>Achères-la-Forêt</t>
  </si>
  <si>
    <t>Amillis</t>
  </si>
  <si>
    <t>Amponville</t>
  </si>
  <si>
    <t>Andrezel</t>
  </si>
  <si>
    <t>Annet-sur-Marne</t>
  </si>
  <si>
    <t>Arbonne-la-Forêt</t>
  </si>
  <si>
    <t>Argentières</t>
  </si>
  <si>
    <t>Armentières-en-Brie</t>
  </si>
  <si>
    <t>Arville</t>
  </si>
  <si>
    <t>Aubepierre-Ozouer-le-Repos</t>
  </si>
  <si>
    <t>Aufferville</t>
  </si>
  <si>
    <t>Augers-en-Brie</t>
  </si>
  <si>
    <t>Aulnoy</t>
  </si>
  <si>
    <t>Avon</t>
  </si>
  <si>
    <t>Baby</t>
  </si>
  <si>
    <t>Bagneaux-sur-Loing</t>
  </si>
  <si>
    <t>Bailly-Romainvilliers</t>
  </si>
  <si>
    <t>Balloy</t>
  </si>
  <si>
    <t>Bannost-Villegagnon</t>
  </si>
  <si>
    <t>Barbey</t>
  </si>
  <si>
    <t>Barbizon</t>
  </si>
  <si>
    <t>Barcy</t>
  </si>
  <si>
    <t>Bassevelle</t>
  </si>
  <si>
    <t>Bazoches-lès-Bray</t>
  </si>
  <si>
    <t>Beauchery-Saint-Martin</t>
  </si>
  <si>
    <t>Beaumont-du-Gâtinais</t>
  </si>
  <si>
    <t>Beauvoir</t>
  </si>
  <si>
    <t>Bellot</t>
  </si>
  <si>
    <t>Bernay-Vilbert</t>
  </si>
  <si>
    <t>Beton-Bazoches</t>
  </si>
  <si>
    <t>Bezalles</t>
  </si>
  <si>
    <t>Blandy</t>
  </si>
  <si>
    <t>Blennes</t>
  </si>
  <si>
    <t>Boisdon</t>
  </si>
  <si>
    <t>Boissettes</t>
  </si>
  <si>
    <t>Boissise-la-Bertrand</t>
  </si>
  <si>
    <t>Boissise-le-Roi</t>
  </si>
  <si>
    <t>Boissy-aux-Cailles</t>
  </si>
  <si>
    <t>Boissy-le-Châtel</t>
  </si>
  <si>
    <t>Boitron</t>
  </si>
  <si>
    <t>Bombon</t>
  </si>
  <si>
    <t>Bougligny</t>
  </si>
  <si>
    <t>Boulancourt</t>
  </si>
  <si>
    <t>Bouleurs</t>
  </si>
  <si>
    <t>Bourron-Marlotte</t>
  </si>
  <si>
    <t>Boutigny</t>
  </si>
  <si>
    <t>Bransles</t>
  </si>
  <si>
    <t>Bray-sur-Seine</t>
  </si>
  <si>
    <t>Bréau</t>
  </si>
  <si>
    <t>Brie-Comte-Robert</t>
  </si>
  <si>
    <t>La Brosse-Montceaux</t>
  </si>
  <si>
    <t>Brou-sur-Chantereine</t>
  </si>
  <si>
    <t>Burcy</t>
  </si>
  <si>
    <t>Bussy-Saint-Georges</t>
  </si>
  <si>
    <t>Bussy-Saint-Martin</t>
  </si>
  <si>
    <t>Buthiers</t>
  </si>
  <si>
    <t>Cannes-Écluse</t>
  </si>
  <si>
    <t>Carnetin</t>
  </si>
  <si>
    <t>La Celle-sur-Morin</t>
  </si>
  <si>
    <t>Cély</t>
  </si>
  <si>
    <t>Cerneux</t>
  </si>
  <si>
    <t>Cesson</t>
  </si>
  <si>
    <t>Cessoy-en-Montois</t>
  </si>
  <si>
    <t>Chailly-en-Bière</t>
  </si>
  <si>
    <t>Chailly-en-Brie</t>
  </si>
  <si>
    <t>Chaintreaux</t>
  </si>
  <si>
    <t>Chalautre-la-Grande</t>
  </si>
  <si>
    <t>Chalautre-la-Petite</t>
  </si>
  <si>
    <t>Chalifert</t>
  </si>
  <si>
    <t>Chalmaison</t>
  </si>
  <si>
    <t>Chamigny</t>
  </si>
  <si>
    <t>Champagne-sur-Seine</t>
  </si>
  <si>
    <t>Champcenest</t>
  </si>
  <si>
    <t>Champdeuil</t>
  </si>
  <si>
    <t>Champs-sur-Marne</t>
  </si>
  <si>
    <t>Changis-sur-Marne</t>
  </si>
  <si>
    <t>Chanteloup-en-Brie</t>
  </si>
  <si>
    <t>La Chapelle-Gauthier</t>
  </si>
  <si>
    <t>La Chapelle-Iger</t>
  </si>
  <si>
    <t>La Chapelle-la-Reine</t>
  </si>
  <si>
    <t>La Chapelle-Rablais</t>
  </si>
  <si>
    <t>La Chapelle-Saint-Sulpice</t>
  </si>
  <si>
    <t>Les Chapelles-Bourbon</t>
  </si>
  <si>
    <t>La Chapelle-Moutils</t>
  </si>
  <si>
    <t>Charmentray</t>
  </si>
  <si>
    <t>Charny</t>
  </si>
  <si>
    <t>Chartrettes</t>
  </si>
  <si>
    <t>Chartronges</t>
  </si>
  <si>
    <t>Châteaubleau</t>
  </si>
  <si>
    <t>Château-Landon</t>
  </si>
  <si>
    <t>Le Châtelet-en-Brie</t>
  </si>
  <si>
    <t>Châtenay-sur-Seine</t>
  </si>
  <si>
    <t>Châtenoy</t>
  </si>
  <si>
    <t>Châtillon-la-Borde</t>
  </si>
  <si>
    <t>Châtres</t>
  </si>
  <si>
    <t>Chauffry</t>
  </si>
  <si>
    <t>Chaumes-en-Brie</t>
  </si>
  <si>
    <t>Chenoise-Cucharmoy</t>
  </si>
  <si>
    <t>Chenou</t>
  </si>
  <si>
    <t>Chevrainvilliers</t>
  </si>
  <si>
    <t>Chevru</t>
  </si>
  <si>
    <t>Chevry-Cossigny</t>
  </si>
  <si>
    <t>Chevry-en-Sereine</t>
  </si>
  <si>
    <t>Choisy-en-Brie</t>
  </si>
  <si>
    <t>Citry</t>
  </si>
  <si>
    <t>Claye-Souilly</t>
  </si>
  <si>
    <t>Clos-Fontaine</t>
  </si>
  <si>
    <t>Cocherel</t>
  </si>
  <si>
    <t>Collégien</t>
  </si>
  <si>
    <t>Combs-la-Ville</t>
  </si>
  <si>
    <t>Compans</t>
  </si>
  <si>
    <t>Conches-sur-Gondoire</t>
  </si>
  <si>
    <t>Condé-Sainte-Libiaire</t>
  </si>
  <si>
    <t>Congis-sur-Thérouanne</t>
  </si>
  <si>
    <t>Coubert</t>
  </si>
  <si>
    <t>Couilly-Pont-aux-Dames</t>
  </si>
  <si>
    <t>Coulombs-en-Valois</t>
  </si>
  <si>
    <t>Coulommes</t>
  </si>
  <si>
    <t>Coulommiers</t>
  </si>
  <si>
    <t>Coupvray</t>
  </si>
  <si>
    <t>Courcelles-en-Bassée</t>
  </si>
  <si>
    <t>Courchamp</t>
  </si>
  <si>
    <t>Courpalay</t>
  </si>
  <si>
    <t>Courquetaine</t>
  </si>
  <si>
    <t>Courtacon</t>
  </si>
  <si>
    <t>Courtomer</t>
  </si>
  <si>
    <t>Courtry</t>
  </si>
  <si>
    <t>Coutençon</t>
  </si>
  <si>
    <t>Coutevroult</t>
  </si>
  <si>
    <t>Crécy-la-Chapelle</t>
  </si>
  <si>
    <t>Crégy-lès-Meaux</t>
  </si>
  <si>
    <t>Crèvecœur-en-Brie</t>
  </si>
  <si>
    <t>Crisenoy</t>
  </si>
  <si>
    <t>Croissy-Beaubourg</t>
  </si>
  <si>
    <t>La Croix-en-Brie</t>
  </si>
  <si>
    <t>Crouy-sur-Ourcq</t>
  </si>
  <si>
    <t>Cuisy</t>
  </si>
  <si>
    <t>Dagny</t>
  </si>
  <si>
    <t>Dammarie-les-Lys</t>
  </si>
  <si>
    <t>Dammartin-en-Goële</t>
  </si>
  <si>
    <t>Dammartin-sur-Tigeaux</t>
  </si>
  <si>
    <t>Dampmart</t>
  </si>
  <si>
    <t>Darvault</t>
  </si>
  <si>
    <t>Dhuisy</t>
  </si>
  <si>
    <t>Diant</t>
  </si>
  <si>
    <t>Donnemarie-Dontilly</t>
  </si>
  <si>
    <t>Dormelles</t>
  </si>
  <si>
    <t>Doue</t>
  </si>
  <si>
    <t>Douy-la-Ramée</t>
  </si>
  <si>
    <t>Échouboulains</t>
  </si>
  <si>
    <t>Les Écrennes</t>
  </si>
  <si>
    <t>Égligny</t>
  </si>
  <si>
    <t>Égreville</t>
  </si>
  <si>
    <t>Émerainville</t>
  </si>
  <si>
    <t>Esbly</t>
  </si>
  <si>
    <t>Esmans</t>
  </si>
  <si>
    <t>Everly</t>
  </si>
  <si>
    <t>Évry-Grégy-sur-Yerre</t>
  </si>
  <si>
    <t>Faremoutiers</t>
  </si>
  <si>
    <t>Faÿ-lès-Nemours</t>
  </si>
  <si>
    <t>Féricy</t>
  </si>
  <si>
    <t>Férolles-Attilly</t>
  </si>
  <si>
    <t>Ferrières-en-Brie</t>
  </si>
  <si>
    <t>La Ferté-Gaucher</t>
  </si>
  <si>
    <t>La Ferté-sous-Jouarre</t>
  </si>
  <si>
    <t>Flagy</t>
  </si>
  <si>
    <t>Fleury-en-Bière</t>
  </si>
  <si>
    <t>Fontainebleau</t>
  </si>
  <si>
    <t>Fontaine-Fourches</t>
  </si>
  <si>
    <t>Fontaine-le-Port</t>
  </si>
  <si>
    <t>Fontains</t>
  </si>
  <si>
    <t>Fontenailles</t>
  </si>
  <si>
    <t>Fontenay-Trésigny</t>
  </si>
  <si>
    <t>Forfry</t>
  </si>
  <si>
    <t>Fouju</t>
  </si>
  <si>
    <t>Fresnes-sur-Marne</t>
  </si>
  <si>
    <t>Frétoy</t>
  </si>
  <si>
    <t>Fromont</t>
  </si>
  <si>
    <t>Fublaines</t>
  </si>
  <si>
    <t>Garentreville</t>
  </si>
  <si>
    <t>Gastins</t>
  </si>
  <si>
    <t>La Genevraye</t>
  </si>
  <si>
    <t>Germigny-l'Évêque</t>
  </si>
  <si>
    <t>Germigny-sous-Coulombs</t>
  </si>
  <si>
    <t>Gesvres-le-Chapitre</t>
  </si>
  <si>
    <t>Giremoutiers</t>
  </si>
  <si>
    <t>Gironville</t>
  </si>
  <si>
    <t>Gouaix</t>
  </si>
  <si>
    <t>Gouvernes</t>
  </si>
  <si>
    <t>La Grande-Paroisse</t>
  </si>
  <si>
    <t>Grandpuits-Bailly-Carrois</t>
  </si>
  <si>
    <t>Gravon</t>
  </si>
  <si>
    <t>Gressy</t>
  </si>
  <si>
    <t>Gretz-Armainvilliers</t>
  </si>
  <si>
    <t>Grez-sur-Loing</t>
  </si>
  <si>
    <t>Grisy-Suisnes</t>
  </si>
  <si>
    <t>Grisy-sur-Seine</t>
  </si>
  <si>
    <t>Guérard</t>
  </si>
  <si>
    <t>Guercheville</t>
  </si>
  <si>
    <t>Guermantes</t>
  </si>
  <si>
    <t>Guignes</t>
  </si>
  <si>
    <t>Gurcy-le-Châtel</t>
  </si>
  <si>
    <t>Hautefeuille</t>
  </si>
  <si>
    <t>La Haute-Maison</t>
  </si>
  <si>
    <t>Héricy</t>
  </si>
  <si>
    <t>Hermé</t>
  </si>
  <si>
    <t>Hondevilliers</t>
  </si>
  <si>
    <t>La Houssaye-en-Brie</t>
  </si>
  <si>
    <t>Ichy</t>
  </si>
  <si>
    <t>Isles-les-Meldeuses</t>
  </si>
  <si>
    <t>Isles-lès-Villenoy</t>
  </si>
  <si>
    <t>Iverny</t>
  </si>
  <si>
    <t>Jablines</t>
  </si>
  <si>
    <t>Jaignes</t>
  </si>
  <si>
    <t>Jaulnes</t>
  </si>
  <si>
    <t>Jossigny</t>
  </si>
  <si>
    <t>Jouarre</t>
  </si>
  <si>
    <t>Jouy-le-Châtel</t>
  </si>
  <si>
    <t>Jouy-sur-Morin</t>
  </si>
  <si>
    <t>Juilly</t>
  </si>
  <si>
    <t>Jutigny</t>
  </si>
  <si>
    <t>Lagny-sur-Marne</t>
  </si>
  <si>
    <t>Larchant</t>
  </si>
  <si>
    <t>Laval-en-Brie</t>
  </si>
  <si>
    <t>Léchelle</t>
  </si>
  <si>
    <t>Lescherolles</t>
  </si>
  <si>
    <t>Lesches</t>
  </si>
  <si>
    <t>Lésigny</t>
  </si>
  <si>
    <t>Leudon-en-Brie</t>
  </si>
  <si>
    <t>Limoges-Fourches</t>
  </si>
  <si>
    <t>Lissy</t>
  </si>
  <si>
    <t>Liverdy-en-Brie</t>
  </si>
  <si>
    <t>Livry-sur-Seine</t>
  </si>
  <si>
    <t>Lizines</t>
  </si>
  <si>
    <t>Lizy-sur-Ourcq</t>
  </si>
  <si>
    <t>Lognes</t>
  </si>
  <si>
    <t>Longperrier</t>
  </si>
  <si>
    <t>Lorrez-le-Bocage-Préaux</t>
  </si>
  <si>
    <t>Louan-Villegruis-Fontaine</t>
  </si>
  <si>
    <t>Luisetaines</t>
  </si>
  <si>
    <t>Lumigny-Nesles-Ormeaux</t>
  </si>
  <si>
    <t>Luzancy</t>
  </si>
  <si>
    <t>Machault</t>
  </si>
  <si>
    <t>La Madeleine-sur-Loing</t>
  </si>
  <si>
    <t>Magny-le-Hongre</t>
  </si>
  <si>
    <t>Maincy</t>
  </si>
  <si>
    <t>Maisoncelles-en-Brie</t>
  </si>
  <si>
    <t>Maisoncelles-en-Gâtinais</t>
  </si>
  <si>
    <t>Maison-Rouge</t>
  </si>
  <si>
    <t>Marchémoret</t>
  </si>
  <si>
    <t>Marcilly</t>
  </si>
  <si>
    <t>Les Marêts</t>
  </si>
  <si>
    <t>Mareuil-lès-Meaux</t>
  </si>
  <si>
    <t>Marles-en-Brie</t>
  </si>
  <si>
    <t>Marolles-en-Brie</t>
  </si>
  <si>
    <t>Marolles-sur-Seine</t>
  </si>
  <si>
    <t>Mary-sur-Marne</t>
  </si>
  <si>
    <t>Mauperthuis</t>
  </si>
  <si>
    <t>Mauregard</t>
  </si>
  <si>
    <t>May-en-Multien</t>
  </si>
  <si>
    <t>Meaux</t>
  </si>
  <si>
    <t>Le Mée-sur-Seine</t>
  </si>
  <si>
    <t>Meigneux</t>
  </si>
  <si>
    <t>Meilleray</t>
  </si>
  <si>
    <t>Melun</t>
  </si>
  <si>
    <t>Melz-sur-Seine</t>
  </si>
  <si>
    <t>Méry-sur-Marne</t>
  </si>
  <si>
    <t>Le Mesnil-Amelot</t>
  </si>
  <si>
    <t>Messy</t>
  </si>
  <si>
    <t>Misy-sur-Yonne</t>
  </si>
  <si>
    <t>Mitry-Mory</t>
  </si>
  <si>
    <t>Moisenay</t>
  </si>
  <si>
    <t>Moissy-Cramayel</t>
  </si>
  <si>
    <t>Mondreville</t>
  </si>
  <si>
    <t>Mons-en-Montois</t>
  </si>
  <si>
    <t>Montceaux-lès-Meaux</t>
  </si>
  <si>
    <t>Montceaux-lès-Provins</t>
  </si>
  <si>
    <t>Montcourt-Fromonville</t>
  </si>
  <si>
    <t>Montdauphin</t>
  </si>
  <si>
    <t>Montenils</t>
  </si>
  <si>
    <t>Montereau-Fault-Yonne</t>
  </si>
  <si>
    <t>Montereau-sur-le-Jard</t>
  </si>
  <si>
    <t>Montévrain</t>
  </si>
  <si>
    <t>Montgé-en-Goële</t>
  </si>
  <si>
    <t>Monthyon</t>
  </si>
  <si>
    <t>Montigny-le-Guesdier</t>
  </si>
  <si>
    <t>Montigny-Lencoup</t>
  </si>
  <si>
    <t>Montigny-sur-Loing</t>
  </si>
  <si>
    <t>Montmachoux</t>
  </si>
  <si>
    <t>Montolivet</t>
  </si>
  <si>
    <t>Montry</t>
  </si>
  <si>
    <t>Moret-Loing-et-Orvanne</t>
  </si>
  <si>
    <t>Mormant</t>
  </si>
  <si>
    <t>Mortcerf</t>
  </si>
  <si>
    <t>Mortery</t>
  </si>
  <si>
    <t>Mouroux</t>
  </si>
  <si>
    <t>Mousseaux-lès-Bray</t>
  </si>
  <si>
    <t>Moussy-le-Neuf</t>
  </si>
  <si>
    <t>Moussy-le-Vieux</t>
  </si>
  <si>
    <t>Mouy-sur-Seine</t>
  </si>
  <si>
    <t>Nandy</t>
  </si>
  <si>
    <t>Nangis</t>
  </si>
  <si>
    <t>Nanteau-sur-Essonne</t>
  </si>
  <si>
    <t>Nanteau-sur-Lunain</t>
  </si>
  <si>
    <t>Nanteuil-lès-Meaux</t>
  </si>
  <si>
    <t>Nanteuil-sur-Marne</t>
  </si>
  <si>
    <t>Nantouillet</t>
  </si>
  <si>
    <t>Nemours</t>
  </si>
  <si>
    <t>Chauconin-Neufmontiers</t>
  </si>
  <si>
    <t>Neufmoutiers-en-Brie</t>
  </si>
  <si>
    <t>Noisiel</t>
  </si>
  <si>
    <t>Noisy-Rudignon</t>
  </si>
  <si>
    <t>Noisy-sur-École</t>
  </si>
  <si>
    <t>Nonville</t>
  </si>
  <si>
    <t>Noyen-sur-Seine</t>
  </si>
  <si>
    <t>Obsonville</t>
  </si>
  <si>
    <t>Ocquerre</t>
  </si>
  <si>
    <t>Oissery</t>
  </si>
  <si>
    <t>Orly-sur-Morin</t>
  </si>
  <si>
    <t>Les Ormes-sur-Voulzie</t>
  </si>
  <si>
    <t>Ormesson</t>
  </si>
  <si>
    <t>Othis</t>
  </si>
  <si>
    <t>Ozoir-la-Ferrière</t>
  </si>
  <si>
    <t>Ozouer-le-Voulgis</t>
  </si>
  <si>
    <t>Paley</t>
  </si>
  <si>
    <t>Pamfou</t>
  </si>
  <si>
    <t>Paroy</t>
  </si>
  <si>
    <t>Passy-sur-Seine</t>
  </si>
  <si>
    <t>Pécy</t>
  </si>
  <si>
    <t>Penchard</t>
  </si>
  <si>
    <t>Pézarches</t>
  </si>
  <si>
    <t>Pierre-Levée</t>
  </si>
  <si>
    <t>Le Plessis-aux-Bois</t>
  </si>
  <si>
    <t>Le Plessis-Feu-Aussoux</t>
  </si>
  <si>
    <t>Le Plessis-l'Évêque</t>
  </si>
  <si>
    <t>Le Plessis-Placy</t>
  </si>
  <si>
    <t>Poigny</t>
  </si>
  <si>
    <t>Poincy</t>
  </si>
  <si>
    <t>Poligny</t>
  </si>
  <si>
    <t>Pommeuse</t>
  </si>
  <si>
    <t>Pomponne</t>
  </si>
  <si>
    <t>Pontault-Combault</t>
  </si>
  <si>
    <t>Pontcarré</t>
  </si>
  <si>
    <t>Précy-sur-Marne</t>
  </si>
  <si>
    <t>Presles-en-Brie</t>
  </si>
  <si>
    <t>Pringy</t>
  </si>
  <si>
    <t>Provins</t>
  </si>
  <si>
    <t>Quiers</t>
  </si>
  <si>
    <t>Quincy-Voisins</t>
  </si>
  <si>
    <t>Rampillon</t>
  </si>
  <si>
    <t>Réau</t>
  </si>
  <si>
    <t>Rebais</t>
  </si>
  <si>
    <t>Recloses</t>
  </si>
  <si>
    <t>Remauville</t>
  </si>
  <si>
    <t>Reuil-en-Brie</t>
  </si>
  <si>
    <t>La Rochette</t>
  </si>
  <si>
    <t>Roissy-en-Brie</t>
  </si>
  <si>
    <t>Rouilly</t>
  </si>
  <si>
    <t>Rozay-en-Brie</t>
  </si>
  <si>
    <t>Rubelles</t>
  </si>
  <si>
    <t>Rupéreux</t>
  </si>
  <si>
    <t>Saâcy-sur-Marne</t>
  </si>
  <si>
    <t>Sablonnières</t>
  </si>
  <si>
    <t>Sainte-Aulde</t>
  </si>
  <si>
    <t>Saint-Barthélemy</t>
  </si>
  <si>
    <t>Saint-Cyr-sur-Morin</t>
  </si>
  <si>
    <t>Saint-Denis-lès-Rebais</t>
  </si>
  <si>
    <t>Saint-Fargeau-Ponthierry</t>
  </si>
  <si>
    <t>Saint-Fiacre</t>
  </si>
  <si>
    <t>Saint-Germain-Laval</t>
  </si>
  <si>
    <t>Saint-Germain-Laxis</t>
  </si>
  <si>
    <t>Saint-Germain-sous-Doue</t>
  </si>
  <si>
    <t>Saint-Germain-sur-École</t>
  </si>
  <si>
    <t>Saint-Germain-sur-Morin</t>
  </si>
  <si>
    <t>Saint-Hilliers</t>
  </si>
  <si>
    <t>Saint-Jean-les-Deux-Jumeaux</t>
  </si>
  <si>
    <t>Saint-Just-en-Brie</t>
  </si>
  <si>
    <t>Saint-Loup-de-Naud</t>
  </si>
  <si>
    <t>Saint-Mammès</t>
  </si>
  <si>
    <t>Saint-Mars-Vieux-Maisons</t>
  </si>
  <si>
    <t>Saint-Martin-du-Boschet</t>
  </si>
  <si>
    <t>Saint-Martin-en-Bière</t>
  </si>
  <si>
    <t>Saint-Méry</t>
  </si>
  <si>
    <t>Saint-Mesmes</t>
  </si>
  <si>
    <t>Saint-Ouen-en-Brie</t>
  </si>
  <si>
    <t>Saint-Ouen-sur-Morin</t>
  </si>
  <si>
    <t>Saint-Pathus</t>
  </si>
  <si>
    <t>Saint-Pierre-lès-Nemours</t>
  </si>
  <si>
    <t>Saint-Rémy-la-Vanne</t>
  </si>
  <si>
    <t>Beautheil-Saints</t>
  </si>
  <si>
    <t>Saint-Sauveur-lès-Bray</t>
  </si>
  <si>
    <t>Saint-Sauveur-sur-École</t>
  </si>
  <si>
    <t>Saint-Siméon</t>
  </si>
  <si>
    <t>Saint-Soupplets</t>
  </si>
  <si>
    <t>Saint-Thibault-des-Vignes</t>
  </si>
  <si>
    <t>Salins</t>
  </si>
  <si>
    <t>Sammeron</t>
  </si>
  <si>
    <t>Samois-sur-Seine</t>
  </si>
  <si>
    <t>Samoreau</t>
  </si>
  <si>
    <t>Sancy-lès-Provins</t>
  </si>
  <si>
    <t>Savigny-le-Temple</t>
  </si>
  <si>
    <t>Savins</t>
  </si>
  <si>
    <t>Seine-Port</t>
  </si>
  <si>
    <t>Sept-Sorts</t>
  </si>
  <si>
    <t>Serris</t>
  </si>
  <si>
    <t>Servon</t>
  </si>
  <si>
    <t>Signy-Signets</t>
  </si>
  <si>
    <t>Sigy</t>
  </si>
  <si>
    <t>Sivry-Courtry</t>
  </si>
  <si>
    <t>Sognolles-en-Montois</t>
  </si>
  <si>
    <t>Soignolles-en-Brie</t>
  </si>
  <si>
    <t>Soisy-Bouy</t>
  </si>
  <si>
    <t>Solers</t>
  </si>
  <si>
    <t>Souppes-sur-Loing</t>
  </si>
  <si>
    <t>Sourdun</t>
  </si>
  <si>
    <t>Tancrou</t>
  </si>
  <si>
    <t>Thénisy</t>
  </si>
  <si>
    <t>Thomery</t>
  </si>
  <si>
    <t>Thorigny-sur-Marne</t>
  </si>
  <si>
    <t>Thoury-Férottes</t>
  </si>
  <si>
    <t>Tigeaux</t>
  </si>
  <si>
    <t>La Tombe</t>
  </si>
  <si>
    <t>Touquin</t>
  </si>
  <si>
    <t>Tournan-en-Brie</t>
  </si>
  <si>
    <t>Tousson</t>
  </si>
  <si>
    <t>La Trétoire</t>
  </si>
  <si>
    <t>Treuzy-Levelay</t>
  </si>
  <si>
    <t>Trilbardou</t>
  </si>
  <si>
    <t>Trilport</t>
  </si>
  <si>
    <t>Trocy-en-Multien</t>
  </si>
  <si>
    <t>Ury</t>
  </si>
  <si>
    <t>Ussy-sur-Marne</t>
  </si>
  <si>
    <t>Vaires-sur-Marne</t>
  </si>
  <si>
    <t>Valence-en-Brie</t>
  </si>
  <si>
    <t>Vanvillé</t>
  </si>
  <si>
    <t>Varennes-sur-Seine</t>
  </si>
  <si>
    <t>Varreddes</t>
  </si>
  <si>
    <t>Vaucourtois</t>
  </si>
  <si>
    <t>Le Vaudoué</t>
  </si>
  <si>
    <t>Vaudoy-en-Brie</t>
  </si>
  <si>
    <t>Vaux-le-Pénil</t>
  </si>
  <si>
    <t>Vaux-sur-Lunain</t>
  </si>
  <si>
    <t>Vendrest</t>
  </si>
  <si>
    <t>Verdelot</t>
  </si>
  <si>
    <t>Verneuil-l'Étang</t>
  </si>
  <si>
    <t>Vernou-la-Celle-sur-Seine</t>
  </si>
  <si>
    <t>Vert-Saint-Denis</t>
  </si>
  <si>
    <t>Vieux-Champagne</t>
  </si>
  <si>
    <t>Vignely</t>
  </si>
  <si>
    <t>Villebéon</t>
  </si>
  <si>
    <t>Villecerf</t>
  </si>
  <si>
    <t>Villemaréchal</t>
  </si>
  <si>
    <t>Villemareuil</t>
  </si>
  <si>
    <t>Villemer</t>
  </si>
  <si>
    <t>Villenauxe-la-Petite</t>
  </si>
  <si>
    <t>Villeneuve-le-Comte</t>
  </si>
  <si>
    <t>Villeneuve-les-Bordes</t>
  </si>
  <si>
    <t>Villeneuve-Saint-Denis</t>
  </si>
  <si>
    <t>Villeneuve-sous-Dammartin</t>
  </si>
  <si>
    <t>Villeneuve-sur-Bellot</t>
  </si>
  <si>
    <t>Villenoy</t>
  </si>
  <si>
    <t>Villeparisis</t>
  </si>
  <si>
    <t>Villeroy</t>
  </si>
  <si>
    <t>Ville-Saint-Jacques</t>
  </si>
  <si>
    <t>Villevaudé</t>
  </si>
  <si>
    <t>Villiers-en-Bière</t>
  </si>
  <si>
    <t>Villiers-Saint-Georges</t>
  </si>
  <si>
    <t>Villiers-sous-Grez</t>
  </si>
  <si>
    <t>Villiers-sur-Morin</t>
  </si>
  <si>
    <t>Villiers-sur-Seine</t>
  </si>
  <si>
    <t>Villuis</t>
  </si>
  <si>
    <t>Vimpelles</t>
  </si>
  <si>
    <t>Vinantes</t>
  </si>
  <si>
    <t>Vincy-Manœuvre</t>
  </si>
  <si>
    <t>Voinsles</t>
  </si>
  <si>
    <t>Voisenon</t>
  </si>
  <si>
    <t>Voulangis</t>
  </si>
  <si>
    <t>Voulton</t>
  </si>
  <si>
    <t>Voulx</t>
  </si>
  <si>
    <t>Vulaines-lès-Provins</t>
  </si>
  <si>
    <t>Vulaines-sur-Seine</t>
  </si>
  <si>
    <t>Yèbles</t>
  </si>
  <si>
    <t>Ablis</t>
  </si>
  <si>
    <t>Achères</t>
  </si>
  <si>
    <t>Adainville</t>
  </si>
  <si>
    <t>Aigremont</t>
  </si>
  <si>
    <t>Les Alluets-le-Roi</t>
  </si>
  <si>
    <t>Andelu</t>
  </si>
  <si>
    <t>Andrésy</t>
  </si>
  <si>
    <t>Arnouville-lès-Mantes</t>
  </si>
  <si>
    <t>Aubergenville</t>
  </si>
  <si>
    <t>Auffargis</t>
  </si>
  <si>
    <t>Auffreville-Brasseuil</t>
  </si>
  <si>
    <t>Aulnay-sur-Mauldre</t>
  </si>
  <si>
    <t>Autouillet</t>
  </si>
  <si>
    <t>Bazainville</t>
  </si>
  <si>
    <t>Bazemont</t>
  </si>
  <si>
    <t>Bazoches-sur-Guyonne</t>
  </si>
  <si>
    <t>Béhoust</t>
  </si>
  <si>
    <t>Bennecourt</t>
  </si>
  <si>
    <t>Blaru</t>
  </si>
  <si>
    <t>Boinville-en-Mantois</t>
  </si>
  <si>
    <t>Boinville-le-Gaillard</t>
  </si>
  <si>
    <t>Boinvilliers</t>
  </si>
  <si>
    <t>Bois-d'Arcy</t>
  </si>
  <si>
    <t>Boissets</t>
  </si>
  <si>
    <t>La Boissière-École</t>
  </si>
  <si>
    <t>Boissy-Mauvoisin</t>
  </si>
  <si>
    <t>Boissy-sans-Avoir</t>
  </si>
  <si>
    <t>Bonnelles</t>
  </si>
  <si>
    <t>Bonnières-sur-Seine</t>
  </si>
  <si>
    <t>Bouafle</t>
  </si>
  <si>
    <t>Bougival</t>
  </si>
  <si>
    <t>Bourdonné</t>
  </si>
  <si>
    <t>Breuil-Bois-Robert</t>
  </si>
  <si>
    <t>Bréval</t>
  </si>
  <si>
    <t>Les Bréviaires</t>
  </si>
  <si>
    <t>Brueil-en-Vexin</t>
  </si>
  <si>
    <t>Buc</t>
  </si>
  <si>
    <t>Buchelay</t>
  </si>
  <si>
    <t>Bullion</t>
  </si>
  <si>
    <t>Carrières-sous-Poissy</t>
  </si>
  <si>
    <t>Carrières-sur-Seine</t>
  </si>
  <si>
    <t>La Celle-les-Bordes</t>
  </si>
  <si>
    <t>La Celle-Saint-Cloud</t>
  </si>
  <si>
    <t>Cernay-la-Ville</t>
  </si>
  <si>
    <t>Chambourcy</t>
  </si>
  <si>
    <t>Chanteloup-les-Vignes</t>
  </si>
  <si>
    <t>Chapet</t>
  </si>
  <si>
    <t>Châteaufort</t>
  </si>
  <si>
    <t>Chatou</t>
  </si>
  <si>
    <t>Chaufour-lès-Bonnières</t>
  </si>
  <si>
    <t>Chavenay</t>
  </si>
  <si>
    <t>Le Chesnay-Rocquencourt</t>
  </si>
  <si>
    <t>Chevreuse</t>
  </si>
  <si>
    <t>Choisel</t>
  </si>
  <si>
    <t>Civry-la-Forêt</t>
  </si>
  <si>
    <t>Clairefontaine-en-Yvelines</t>
  </si>
  <si>
    <t>Les Clayes-sous-Bois</t>
  </si>
  <si>
    <t>Coignières</t>
  </si>
  <si>
    <t>Condé-sur-Vesgre</t>
  </si>
  <si>
    <t>Conflans-Sainte-Honorine</t>
  </si>
  <si>
    <t>Courgent</t>
  </si>
  <si>
    <t>Cravent</t>
  </si>
  <si>
    <t>Crespières</t>
  </si>
  <si>
    <t>Croissy-sur-Seine</t>
  </si>
  <si>
    <t>Dammartin-en-Serve</t>
  </si>
  <si>
    <t>Dampierre-en-Yvelines</t>
  </si>
  <si>
    <t>Davron</t>
  </si>
  <si>
    <t>Ecquevilly</t>
  </si>
  <si>
    <t>Élancourt</t>
  </si>
  <si>
    <t>Émancé</t>
  </si>
  <si>
    <t>Épône</t>
  </si>
  <si>
    <t>Les Essarts-le-Roi</t>
  </si>
  <si>
    <t>L'Étang-la-Ville</t>
  </si>
  <si>
    <t>Évecquemont</t>
  </si>
  <si>
    <t>La Falaise</t>
  </si>
  <si>
    <t>Favrieux</t>
  </si>
  <si>
    <t>Feucherolles</t>
  </si>
  <si>
    <t>Flacourt</t>
  </si>
  <si>
    <t>Flexanville</t>
  </si>
  <si>
    <t>Flins-Neuve-Église</t>
  </si>
  <si>
    <t>Flins-sur-Seine</t>
  </si>
  <si>
    <t>Follainville-Dennemont</t>
  </si>
  <si>
    <t>Fontenay-le-Fleury</t>
  </si>
  <si>
    <t>Fontenay-Mauvoisin</t>
  </si>
  <si>
    <t>Fontenay-Saint-Père</t>
  </si>
  <si>
    <t>Gaillon-sur-Montcient</t>
  </si>
  <si>
    <t>Galluis</t>
  </si>
  <si>
    <t>Gambais</t>
  </si>
  <si>
    <t>Gambaiseuil</t>
  </si>
  <si>
    <t>Garancières</t>
  </si>
  <si>
    <t>Gargenville</t>
  </si>
  <si>
    <t>Gazeran</t>
  </si>
  <si>
    <t>Gommecourt</t>
  </si>
  <si>
    <t>Goussonville</t>
  </si>
  <si>
    <t>Grandchamp</t>
  </si>
  <si>
    <t>Gressey</t>
  </si>
  <si>
    <t>Grosrouvre</t>
  </si>
  <si>
    <t>Guernes</t>
  </si>
  <si>
    <t>Guerville</t>
  </si>
  <si>
    <t>Guitrancourt</t>
  </si>
  <si>
    <t>Guyancourt</t>
  </si>
  <si>
    <t>Hardricourt</t>
  </si>
  <si>
    <t>Hargeville</t>
  </si>
  <si>
    <t>La Hauteville</t>
  </si>
  <si>
    <t>Herbeville</t>
  </si>
  <si>
    <t>Hermeray</t>
  </si>
  <si>
    <t>Houdan</t>
  </si>
  <si>
    <t>Houilles</t>
  </si>
  <si>
    <t>Issou</t>
  </si>
  <si>
    <t>Jambville</t>
  </si>
  <si>
    <t>Notre-Dame-de-la-Mer</t>
  </si>
  <si>
    <t>Jouars-Pontchartrain</t>
  </si>
  <si>
    <t>Jouy-en-Josas</t>
  </si>
  <si>
    <t>Jouy-Mauvoisin</t>
  </si>
  <si>
    <t>Jumeauville</t>
  </si>
  <si>
    <t>Juziers</t>
  </si>
  <si>
    <t>Lainville-en-Vexin</t>
  </si>
  <si>
    <t>Lévis-Saint-Nom</t>
  </si>
  <si>
    <t>Limay</t>
  </si>
  <si>
    <t>Limetz-Villez</t>
  </si>
  <si>
    <t>Les Loges-en-Josas</t>
  </si>
  <si>
    <t>Lommoye</t>
  </si>
  <si>
    <t>Longnes</t>
  </si>
  <si>
    <t>Louveciennes</t>
  </si>
  <si>
    <t>Magnanville</t>
  </si>
  <si>
    <t>Magny-les-Hameaux</t>
  </si>
  <si>
    <t>Maisons-Laffitte</t>
  </si>
  <si>
    <t>Mantes-la-Jolie</t>
  </si>
  <si>
    <t>Mantes-la-Ville</t>
  </si>
  <si>
    <t>Marcq</t>
  </si>
  <si>
    <t>Mareil-le-Guyon</t>
  </si>
  <si>
    <t>Mareil-Marly</t>
  </si>
  <si>
    <t>Mareil-sur-Mauldre</t>
  </si>
  <si>
    <t>Marly-le-Roi</t>
  </si>
  <si>
    <t>Maule</t>
  </si>
  <si>
    <t>Maulette</t>
  </si>
  <si>
    <t>Maurecourt</t>
  </si>
  <si>
    <t>Maurepas</t>
  </si>
  <si>
    <t>Médan</t>
  </si>
  <si>
    <t>Ménerville</t>
  </si>
  <si>
    <t>Méré</t>
  </si>
  <si>
    <t>Le Mesnil-le-Roi</t>
  </si>
  <si>
    <t>Le Mesnil-Saint-Denis</t>
  </si>
  <si>
    <t>Les Mesnuls</t>
  </si>
  <si>
    <t>Meulan-en-Yvelines</t>
  </si>
  <si>
    <t>Mézières-sur-Seine</t>
  </si>
  <si>
    <t>Mézy-sur-Seine</t>
  </si>
  <si>
    <t>Millemont</t>
  </si>
  <si>
    <t>Milon-la-Chapelle</t>
  </si>
  <si>
    <t>Mittainville</t>
  </si>
  <si>
    <t>Moisson</t>
  </si>
  <si>
    <t>Montainville</t>
  </si>
  <si>
    <t>Montalet-le-Bois</t>
  </si>
  <si>
    <t>Montchauvet</t>
  </si>
  <si>
    <t>Montesson</t>
  </si>
  <si>
    <t>Montfort-l'Amaury</t>
  </si>
  <si>
    <t>Montigny-le-Bretonneux</t>
  </si>
  <si>
    <t>Morainvilliers</t>
  </si>
  <si>
    <t>Mousseaux-sur-Seine</t>
  </si>
  <si>
    <t>Mulcent</t>
  </si>
  <si>
    <t>Les Mureaux</t>
  </si>
  <si>
    <t>Neauphle-le-Château</t>
  </si>
  <si>
    <t>Neauphle-le-Vieux</t>
  </si>
  <si>
    <t>Neauphlette</t>
  </si>
  <si>
    <t>Nézel</t>
  </si>
  <si>
    <t>Noisy-le-Roi</t>
  </si>
  <si>
    <t>Oinville-sur-Montcient</t>
  </si>
  <si>
    <t>Orcemont</t>
  </si>
  <si>
    <t>Orgerus</t>
  </si>
  <si>
    <t>Orphin</t>
  </si>
  <si>
    <t>Orsonville</t>
  </si>
  <si>
    <t>Orvilliers</t>
  </si>
  <si>
    <t>Osmoy</t>
  </si>
  <si>
    <t>Paray-Douaville</t>
  </si>
  <si>
    <t>Le Pecq</t>
  </si>
  <si>
    <t>Perdreauville</t>
  </si>
  <si>
    <t>Le Perray-en-Yvelines</t>
  </si>
  <si>
    <t>Plaisir</t>
  </si>
  <si>
    <t>Poigny-la-Forêt</t>
  </si>
  <si>
    <t>Poissy</t>
  </si>
  <si>
    <t>Ponthévrard</t>
  </si>
  <si>
    <t>Porcheville</t>
  </si>
  <si>
    <t>Le Port-Marly</t>
  </si>
  <si>
    <t>Prunay-le-Temple</t>
  </si>
  <si>
    <t>Prunay-en-Yvelines</t>
  </si>
  <si>
    <t>La Queue-les-Yvelines</t>
  </si>
  <si>
    <t>Raizeux</t>
  </si>
  <si>
    <t>Rambouillet</t>
  </si>
  <si>
    <t>Rennemoulin</t>
  </si>
  <si>
    <t>Rochefort-en-Yvelines</t>
  </si>
  <si>
    <t>Rolleboise</t>
  </si>
  <si>
    <t>Rosay</t>
  </si>
  <si>
    <t>Rosny-sur-Seine</t>
  </si>
  <si>
    <t>Sailly</t>
  </si>
  <si>
    <t>Saint-Arnoult-en-Yvelines</t>
  </si>
  <si>
    <t>Saint-Cyr-l'École</t>
  </si>
  <si>
    <t>Saint-Forget</t>
  </si>
  <si>
    <t>Saint-Germain-de-la-Grange</t>
  </si>
  <si>
    <t>Saint-Germain-en-Laye</t>
  </si>
  <si>
    <t>Saint-Hilarion</t>
  </si>
  <si>
    <t>Saint-Illiers-la-Ville</t>
  </si>
  <si>
    <t>Saint-Illiers-le-Bois</t>
  </si>
  <si>
    <t>Saint-Lambert</t>
  </si>
  <si>
    <t>Saint-Léger-en-Yvelines</t>
  </si>
  <si>
    <t>Saint-Martin-de-Bréthencourt</t>
  </si>
  <si>
    <t>Saint-Martin-la-Garenne</t>
  </si>
  <si>
    <t>Sainte-Mesme</t>
  </si>
  <si>
    <t>Saint-Nom-la-Bretèche</t>
  </si>
  <si>
    <t>Saint-Rémy-lès-Chevreuse</t>
  </si>
  <si>
    <t>Saint-Rémy-l'Honoré</t>
  </si>
  <si>
    <t>Sartrouville</t>
  </si>
  <si>
    <t>Saulx-Marchais</t>
  </si>
  <si>
    <t>Senlisse</t>
  </si>
  <si>
    <t>Septeuil</t>
  </si>
  <si>
    <t>Soindres</t>
  </si>
  <si>
    <t>Sonchamp</t>
  </si>
  <si>
    <t>Tacoignières</t>
  </si>
  <si>
    <t>Le Tartre-Gaudran</t>
  </si>
  <si>
    <t>Le Tertre-Saint-Denis</t>
  </si>
  <si>
    <t>Tessancourt-sur-Aubette</t>
  </si>
  <si>
    <t>Thiverval-Grignon</t>
  </si>
  <si>
    <t>Toussus-le-Noble</t>
  </si>
  <si>
    <t>Trappes</t>
  </si>
  <si>
    <t>Le Tremblay-sur-Mauldre</t>
  </si>
  <si>
    <t>Triel-sur-Seine</t>
  </si>
  <si>
    <t>Vaux-sur-Seine</t>
  </si>
  <si>
    <t>Vélizy-Villacoublay</t>
  </si>
  <si>
    <t>Verneuil-sur-Seine</t>
  </si>
  <si>
    <t>La Verrière</t>
  </si>
  <si>
    <t>Versailles</t>
  </si>
  <si>
    <t>Vert</t>
  </si>
  <si>
    <t>Le Vésinet</t>
  </si>
  <si>
    <t>Vieille-Église-en-Yvelines</t>
  </si>
  <si>
    <t>La Villeneuve-en-Chevrie</t>
  </si>
  <si>
    <t>Villennes-sur-Seine</t>
  </si>
  <si>
    <t>Villepreux</t>
  </si>
  <si>
    <t>Villette</t>
  </si>
  <si>
    <t>Villiers-le-Mahieu</t>
  </si>
  <si>
    <t>Villiers-Saint-Frédéric</t>
  </si>
  <si>
    <t>Viroflay</t>
  </si>
  <si>
    <t>Voisins-le-Bretonneux</t>
  </si>
  <si>
    <t>Aiffres</t>
  </si>
  <si>
    <t>Amuré</t>
  </si>
  <si>
    <t>Arçais</t>
  </si>
  <si>
    <t>Augé</t>
  </si>
  <si>
    <t>Azay-le-Brûlé</t>
  </si>
  <si>
    <t>Beauvoir-sur-Niort</t>
  </si>
  <si>
    <t>Béceleuf</t>
  </si>
  <si>
    <t>Bessines</t>
  </si>
  <si>
    <t>Boismé</t>
  </si>
  <si>
    <t>Bougon</t>
  </si>
  <si>
    <t>Le Bourdet</t>
  </si>
  <si>
    <t>La Crèche</t>
  </si>
  <si>
    <t>Brûlain</t>
  </si>
  <si>
    <t>Plaine-d'Argenson</t>
  </si>
  <si>
    <t>Chauray</t>
  </si>
  <si>
    <t>Cherveux</t>
  </si>
  <si>
    <t>Coulon</t>
  </si>
  <si>
    <t>Échiré</t>
  </si>
  <si>
    <t>Épannes</t>
  </si>
  <si>
    <t>Exireuil</t>
  </si>
  <si>
    <t>Fors</t>
  </si>
  <si>
    <t>La Foye-Monjault</t>
  </si>
  <si>
    <t>François</t>
  </si>
  <si>
    <t>Frontenay-Rohan-Rohan</t>
  </si>
  <si>
    <t>Germond-Rouvre</t>
  </si>
  <si>
    <t>Granzay-Gript</t>
  </si>
  <si>
    <t>Juscorps</t>
  </si>
  <si>
    <t>Magné</t>
  </si>
  <si>
    <t>Mauzé-sur-le-Mignon</t>
  </si>
  <si>
    <t>Nanteuil</t>
  </si>
  <si>
    <t>Niort</t>
  </si>
  <si>
    <t>Pamproux</t>
  </si>
  <si>
    <t>Prahecq</t>
  </si>
  <si>
    <t>Pressigny</t>
  </si>
  <si>
    <t>Prin-Deyrançon</t>
  </si>
  <si>
    <t>La Rochénard</t>
  </si>
  <si>
    <t>Romans</t>
  </si>
  <si>
    <t>Sainte-Eanne</t>
  </si>
  <si>
    <t>Saint-Gelais</t>
  </si>
  <si>
    <t>Saint-Georges-de-Rex</t>
  </si>
  <si>
    <t>Saint-Hilaire-la-Palud</t>
  </si>
  <si>
    <t>Saint-Maixent-l'École</t>
  </si>
  <si>
    <t>Saint-Martin-de-Bernegoue</t>
  </si>
  <si>
    <t>Saint-Martin-de-Saint-Maixent</t>
  </si>
  <si>
    <t>Saint-Maxire</t>
  </si>
  <si>
    <t>Sainte-Néomaye</t>
  </si>
  <si>
    <t>Saint-Romans-des-Champs</t>
  </si>
  <si>
    <t>Saivres</t>
  </si>
  <si>
    <t>Sansais</t>
  </si>
  <si>
    <t>Sciecq</t>
  </si>
  <si>
    <t>Soudan</t>
  </si>
  <si>
    <t>Souvigné</t>
  </si>
  <si>
    <t>Thénezay</t>
  </si>
  <si>
    <t>Val-du-Mignon</t>
  </si>
  <si>
    <t>Vallans</t>
  </si>
  <si>
    <t>Le Vanneau-Irleau</t>
  </si>
  <si>
    <t>Villiers-en-Plaine</t>
  </si>
  <si>
    <t>Vouillé</t>
  </si>
  <si>
    <t>Abbeville</t>
  </si>
  <si>
    <t>Allonville</t>
  </si>
  <si>
    <t>Amiens</t>
  </si>
  <si>
    <t>Bellancourt</t>
  </si>
  <si>
    <t>Bertangles</t>
  </si>
  <si>
    <t>Blangy-Tronville</t>
  </si>
  <si>
    <t>Bovelles</t>
  </si>
  <si>
    <t>Boves</t>
  </si>
  <si>
    <t>Bray-lès-Mareuil</t>
  </si>
  <si>
    <t>Cagny</t>
  </si>
  <si>
    <t>Cambron</t>
  </si>
  <si>
    <t>Camon</t>
  </si>
  <si>
    <t>Caours</t>
  </si>
  <si>
    <t>Cardonnette</t>
  </si>
  <si>
    <t>Clairy-Saulchoix</t>
  </si>
  <si>
    <t>Creuse</t>
  </si>
  <si>
    <t>Dreuil-lès-Amiens</t>
  </si>
  <si>
    <t>Drucat</t>
  </si>
  <si>
    <t>Eaucourt-sur-Somme</t>
  </si>
  <si>
    <t>Épagne-Épagnette</t>
  </si>
  <si>
    <t>Estrées-sur-Noye</t>
  </si>
  <si>
    <t>Glisy</t>
  </si>
  <si>
    <t>Grand-Laviers</t>
  </si>
  <si>
    <t>Grattepanche</t>
  </si>
  <si>
    <t>Guignemicourt</t>
  </si>
  <si>
    <t>Hébécourt</t>
  </si>
  <si>
    <t>Longueau</t>
  </si>
  <si>
    <t>Mareuil-Caubert</t>
  </si>
  <si>
    <t>Neufmoulin</t>
  </si>
  <si>
    <t>Pissy</t>
  </si>
  <si>
    <t>Pont-de-Metz</t>
  </si>
  <si>
    <t>Poulainville</t>
  </si>
  <si>
    <t>Querrieu</t>
  </si>
  <si>
    <t>Remiencourt</t>
  </si>
  <si>
    <t>Revelles</t>
  </si>
  <si>
    <t>Rivery</t>
  </si>
  <si>
    <t>Rumigny</t>
  </si>
  <si>
    <t>Sains-en-Amiénois</t>
  </si>
  <si>
    <t>Saint-Fuscien</t>
  </si>
  <si>
    <t>Saint-Sauflieu</t>
  </si>
  <si>
    <t>Saint-Vaast-en-Chaussée</t>
  </si>
  <si>
    <t>Saleux</t>
  </si>
  <si>
    <t>Salouël</t>
  </si>
  <si>
    <t>Saveuse</t>
  </si>
  <si>
    <t>Seux</t>
  </si>
  <si>
    <t>Thézy-Glimont</t>
  </si>
  <si>
    <t>Vauchelles-les-Quesnoy</t>
  </si>
  <si>
    <t>Vaux-en-Amiénois</t>
  </si>
  <si>
    <t>Vers-sur-Selle</t>
  </si>
  <si>
    <t>Yonval</t>
  </si>
  <si>
    <t>Aiguefonde</t>
  </si>
  <si>
    <t>Albi</t>
  </si>
  <si>
    <t>Alos</t>
  </si>
  <si>
    <t>Amarens</t>
  </si>
  <si>
    <t>Andillac</t>
  </si>
  <si>
    <t>Arthès</t>
  </si>
  <si>
    <t>Aussac</t>
  </si>
  <si>
    <t>Aussillon</t>
  </si>
  <si>
    <t>Beauvais-sur-Tescou</t>
  </si>
  <si>
    <t>Bernac</t>
  </si>
  <si>
    <t>Boissezon</t>
  </si>
  <si>
    <t>Brens</t>
  </si>
  <si>
    <t>Briatexte</t>
  </si>
  <si>
    <t>Broze</t>
  </si>
  <si>
    <t>Busque</t>
  </si>
  <si>
    <t>Cadalen</t>
  </si>
  <si>
    <t>Cahuzac-sur-Vère</t>
  </si>
  <si>
    <t>Cambon</t>
  </si>
  <si>
    <t>Campagnac</t>
  </si>
  <si>
    <t>Carlus</t>
  </si>
  <si>
    <t>Castanet</t>
  </si>
  <si>
    <t>Castelnau-de-Lévis</t>
  </si>
  <si>
    <t>Castelnau-de-Montmiral</t>
  </si>
  <si>
    <t>Caucalières</t>
  </si>
  <si>
    <t>Cestayrols</t>
  </si>
  <si>
    <t>Coufouleux</t>
  </si>
  <si>
    <t>Cunac</t>
  </si>
  <si>
    <t>Dénat</t>
  </si>
  <si>
    <t>Donnazac</t>
  </si>
  <si>
    <t>Fayssac</t>
  </si>
  <si>
    <t>Fénols</t>
  </si>
  <si>
    <t>Florentin</t>
  </si>
  <si>
    <t>Frausseilles</t>
  </si>
  <si>
    <t>Fréjairolles</t>
  </si>
  <si>
    <t>Gaillac</t>
  </si>
  <si>
    <t>Giroussens</t>
  </si>
  <si>
    <t>Graulhet</t>
  </si>
  <si>
    <t>Grazac</t>
  </si>
  <si>
    <t>Itzac</t>
  </si>
  <si>
    <t>Labastide-de-Lévis</t>
  </si>
  <si>
    <t>Labessière-Candeil</t>
  </si>
  <si>
    <t>Labruguière</t>
  </si>
  <si>
    <t>Lagarrigue</t>
  </si>
  <si>
    <t>Lagrave</t>
  </si>
  <si>
    <t>Larroque</t>
  </si>
  <si>
    <t>Lasgraisses</t>
  </si>
  <si>
    <t>Lavaur</t>
  </si>
  <si>
    <t>Lescure-d'Albigeois</t>
  </si>
  <si>
    <t>Lisle-sur-Tarn</t>
  </si>
  <si>
    <t>Loubers</t>
  </si>
  <si>
    <t>Marssac-sur-Tarn</t>
  </si>
  <si>
    <t>Mazamet</t>
  </si>
  <si>
    <t>Mézens</t>
  </si>
  <si>
    <t>Missècle</t>
  </si>
  <si>
    <t>Montans</t>
  </si>
  <si>
    <t>Montdurausse</t>
  </si>
  <si>
    <t>Montgaillard</t>
  </si>
  <si>
    <t>Montvalen</t>
  </si>
  <si>
    <t>Moulayrès</t>
  </si>
  <si>
    <t>Navès</t>
  </si>
  <si>
    <t>Noailhac</t>
  </si>
  <si>
    <t>Parisot</t>
  </si>
  <si>
    <t>Payrin-Augmontel</t>
  </si>
  <si>
    <t>Peyrole</t>
  </si>
  <si>
    <t>Pont-de-Larn</t>
  </si>
  <si>
    <t>Puybegon</t>
  </si>
  <si>
    <t>Puycelsi</t>
  </si>
  <si>
    <t>Puygouzon</t>
  </si>
  <si>
    <t>Rabastens</t>
  </si>
  <si>
    <t>Le Rialet</t>
  </si>
  <si>
    <t>Rivières</t>
  </si>
  <si>
    <t>Saint-Amans-Soult</t>
  </si>
  <si>
    <t>Saint-Beauzile</t>
  </si>
  <si>
    <t>Sainte-Cécile-du-Cayrou</t>
  </si>
  <si>
    <t>Saint-Gauzens</t>
  </si>
  <si>
    <t>Saint-Juéry</t>
  </si>
  <si>
    <t>Saliès</t>
  </si>
  <si>
    <t>Salvagnac</t>
  </si>
  <si>
    <t>La Sauzière-Saint-Jean</t>
  </si>
  <si>
    <t>Senouillac</t>
  </si>
  <si>
    <t>Le Sequestre</t>
  </si>
  <si>
    <t>Técou</t>
  </si>
  <si>
    <t>Terssac</t>
  </si>
  <si>
    <t>Tonnac</t>
  </si>
  <si>
    <t>Valdurenque</t>
  </si>
  <si>
    <t>Le Verdier</t>
  </si>
  <si>
    <t>Vieux</t>
  </si>
  <si>
    <t>Le Vintrou</t>
  </si>
  <si>
    <t>Albefeuille-Lagarde</t>
  </si>
  <si>
    <t>Bressols</t>
  </si>
  <si>
    <t>Corbarieu</t>
  </si>
  <si>
    <t>Escatalens</t>
  </si>
  <si>
    <t>Lacourt-Saint-Pierre</t>
  </si>
  <si>
    <t>Lamothe-Capdeville</t>
  </si>
  <si>
    <t>Montauban</t>
  </si>
  <si>
    <t>Montbeton</t>
  </si>
  <si>
    <t>Reyniès</t>
  </si>
  <si>
    <t>Saint-Nauphary</t>
  </si>
  <si>
    <t>Villemade</t>
  </si>
  <si>
    <t>Les Adrets-de-l'Estérel</t>
  </si>
  <si>
    <t>Ampus</t>
  </si>
  <si>
    <t>Les Arcs</t>
  </si>
  <si>
    <t>Bandol</t>
  </si>
  <si>
    <t>Bargème</t>
  </si>
  <si>
    <t>Bargemon</t>
  </si>
  <si>
    <t>La Bastide</t>
  </si>
  <si>
    <t>Le Beausset</t>
  </si>
  <si>
    <t>La Cadière-d'Azur</t>
  </si>
  <si>
    <t>Callas</t>
  </si>
  <si>
    <t>Carqueiranne</t>
  </si>
  <si>
    <t>Claviers</t>
  </si>
  <si>
    <t>Comps-sur-Artuby</t>
  </si>
  <si>
    <t>La Crau</t>
  </si>
  <si>
    <t>Draguignan</t>
  </si>
  <si>
    <t>Évenos</t>
  </si>
  <si>
    <t>Figanières</t>
  </si>
  <si>
    <t>Flayosc</t>
  </si>
  <si>
    <t>Fréjus</t>
  </si>
  <si>
    <t>La Garde</t>
  </si>
  <si>
    <t>Hyères</t>
  </si>
  <si>
    <t>Lorgues</t>
  </si>
  <si>
    <t>La Motte</t>
  </si>
  <si>
    <t>Le Muy</t>
  </si>
  <si>
    <t>Ollioules</t>
  </si>
  <si>
    <t>Le Pradet</t>
  </si>
  <si>
    <t>Puget-sur-Argens</t>
  </si>
  <si>
    <t>Le Revest-les-Eaux</t>
  </si>
  <si>
    <t>Riboux</t>
  </si>
  <si>
    <t>Roquebrune-sur-Argens</t>
  </si>
  <si>
    <t>La Roque-Esclapon</t>
  </si>
  <si>
    <t>Saint-Cyr-sur-Mer</t>
  </si>
  <si>
    <t>Saint-Raphaël</t>
  </si>
  <si>
    <t>Saint-Zacharie</t>
  </si>
  <si>
    <t>Salernes</t>
  </si>
  <si>
    <t>Sanary-sur-Mer</t>
  </si>
  <si>
    <t>La Seyne-sur-Mer</t>
  </si>
  <si>
    <t>Signes</t>
  </si>
  <si>
    <t>Sillans-la-Cascade</t>
  </si>
  <si>
    <t>Six-Fours-les-Plages</t>
  </si>
  <si>
    <t>Taradeau</t>
  </si>
  <si>
    <t>Toulon</t>
  </si>
  <si>
    <t>Trans-en-Provence</t>
  </si>
  <si>
    <t>La Valette-du-Var</t>
  </si>
  <si>
    <t>Vidauban</t>
  </si>
  <si>
    <t>Vinon-sur-Verdon</t>
  </si>
  <si>
    <t>Saint-Mandrier-sur-Mer</t>
  </si>
  <si>
    <t>Saint-Antonin-du-Var</t>
  </si>
  <si>
    <t>Althen-des-Paluds</t>
  </si>
  <si>
    <t>Apt</t>
  </si>
  <si>
    <t>Aubignan</t>
  </si>
  <si>
    <t>Avignon</t>
  </si>
  <si>
    <t>Le Barroux</t>
  </si>
  <si>
    <t>Le Beaucet</t>
  </si>
  <si>
    <t>Beaumes-de-Venise</t>
  </si>
  <si>
    <t>Beaumettes</t>
  </si>
  <si>
    <t>Beaumont-du-Ventoux</t>
  </si>
  <si>
    <t>Bédarrides</t>
  </si>
  <si>
    <t>Bédoin</t>
  </si>
  <si>
    <t>Bollène</t>
  </si>
  <si>
    <t>COMMUNAUTE DE COMMUNES RHONE LEZ PROVENCE</t>
  </si>
  <si>
    <t>'84500'</t>
  </si>
  <si>
    <t>'84501'</t>
  </si>
  <si>
    <t>'84502'</t>
  </si>
  <si>
    <t>'84503'</t>
  </si>
  <si>
    <t>'84504'</t>
  </si>
  <si>
    <t>'84505'</t>
  </si>
  <si>
    <t>'84507'</t>
  </si>
  <si>
    <t>Cabrières-d'Avignon</t>
  </si>
  <si>
    <t>Caderousse</t>
  </si>
  <si>
    <t>Caromb</t>
  </si>
  <si>
    <t>Carpentras</t>
  </si>
  <si>
    <t>Caumont-sur-Durance</t>
  </si>
  <si>
    <t>Cavaillon</t>
  </si>
  <si>
    <t>Châteauneuf-du-Pape</t>
  </si>
  <si>
    <t>Cheval-Blanc</t>
  </si>
  <si>
    <t>Courthézon</t>
  </si>
  <si>
    <t>Crillon-le-Brave</t>
  </si>
  <si>
    <t>Entraigues-sur-la-Sorgue</t>
  </si>
  <si>
    <t>Flassan</t>
  </si>
  <si>
    <t>Gigondas</t>
  </si>
  <si>
    <t>Gordes</t>
  </si>
  <si>
    <t>Jonquerettes</t>
  </si>
  <si>
    <t>Lafare</t>
  </si>
  <si>
    <t>Lagnes</t>
  </si>
  <si>
    <t>Lamotte-du-Rhône</t>
  </si>
  <si>
    <t>'84840'</t>
  </si>
  <si>
    <t>Lapalud</t>
  </si>
  <si>
    <t>Lauris</t>
  </si>
  <si>
    <t>Loriol-du-Comtat</t>
  </si>
  <si>
    <t>Lourmarin</t>
  </si>
  <si>
    <t>Malaucène</t>
  </si>
  <si>
    <t>Mazan</t>
  </si>
  <si>
    <t>Mérindol</t>
  </si>
  <si>
    <t>Modène</t>
  </si>
  <si>
    <t>Mondragon</t>
  </si>
  <si>
    <t>'84430'</t>
  </si>
  <si>
    <t>Monteux</t>
  </si>
  <si>
    <t>Morières-lès-Avignon</t>
  </si>
  <si>
    <t>Mornas</t>
  </si>
  <si>
    <t>'84550'</t>
  </si>
  <si>
    <t>Oppède</t>
  </si>
  <si>
    <t>Orange</t>
  </si>
  <si>
    <t>Pernes-les-Fontaines</t>
  </si>
  <si>
    <t>Pertuis</t>
  </si>
  <si>
    <t>Le Pontet</t>
  </si>
  <si>
    <t>Puget</t>
  </si>
  <si>
    <t>Puyvert</t>
  </si>
  <si>
    <t>Robion</t>
  </si>
  <si>
    <t>La Roque-Alric</t>
  </si>
  <si>
    <t>La Roque-sur-Pernes</t>
  </si>
  <si>
    <t>Saint-Hippolyte-le-Graveyron</t>
  </si>
  <si>
    <t>Saint-Pierre-de-Vassols</t>
  </si>
  <si>
    <t>Saint-Saturnin-lès-Avignon</t>
  </si>
  <si>
    <t>Sarrians</t>
  </si>
  <si>
    <t>Sorgues</t>
  </si>
  <si>
    <t>Suzette</t>
  </si>
  <si>
    <t>Taillades</t>
  </si>
  <si>
    <t>Vacqueyras</t>
  </si>
  <si>
    <t>Vaugines</t>
  </si>
  <si>
    <t>Vedène</t>
  </si>
  <si>
    <t>Velleron</t>
  </si>
  <si>
    <t>Venasque</t>
  </si>
  <si>
    <t>Aubigny-Les Clouzeaux</t>
  </si>
  <si>
    <t>Chaillé-les-Marais</t>
  </si>
  <si>
    <t>La Chaize-le-Vicomte</t>
  </si>
  <si>
    <t>La Châtaigneraie</t>
  </si>
  <si>
    <t>Cheffois</t>
  </si>
  <si>
    <t>Dompierre-sur-Yon</t>
  </si>
  <si>
    <t>La Ferrière</t>
  </si>
  <si>
    <t>Fougeré</t>
  </si>
  <si>
    <t>L'Île-d'Olonne</t>
  </si>
  <si>
    <t>Landeronde</t>
  </si>
  <si>
    <t>Mouilleron-le-Captif</t>
  </si>
  <si>
    <t>Nesmy</t>
  </si>
  <si>
    <t>Notre-Dame-de-Monts</t>
  </si>
  <si>
    <t>La Roche-sur-Yon</t>
  </si>
  <si>
    <t>Les Sables-d'Olonne</t>
  </si>
  <si>
    <t>Rives de l'Yon</t>
  </si>
  <si>
    <t>Sainte-Foy</t>
  </si>
  <si>
    <t>Saint-Mathurin</t>
  </si>
  <si>
    <t>Le Tablier</t>
  </si>
  <si>
    <t>Thorigny</t>
  </si>
  <si>
    <t>Vairé</t>
  </si>
  <si>
    <t>Venansault</t>
  </si>
  <si>
    <t>Angles-sur-l'Anglin</t>
  </si>
  <si>
    <t>Antran</t>
  </si>
  <si>
    <t>Archigny</t>
  </si>
  <si>
    <t>Availles-en-Châtellerault</t>
  </si>
  <si>
    <t>Beaumont Saint-Cyr</t>
  </si>
  <si>
    <t>Béruges</t>
  </si>
  <si>
    <t>Biard</t>
  </si>
  <si>
    <t>Bignoux</t>
  </si>
  <si>
    <t>Bonnes</t>
  </si>
  <si>
    <t>Bonneuil-Matours</t>
  </si>
  <si>
    <t>Buxerolles</t>
  </si>
  <si>
    <t>Buxeuil</t>
  </si>
  <si>
    <t>Celle-Lévescault</t>
  </si>
  <si>
    <t>Cenon-sur-Vienne</t>
  </si>
  <si>
    <t>La Chapelle-Moulière</t>
  </si>
  <si>
    <t>Chasseneuil-du-Poitou</t>
  </si>
  <si>
    <t>Châtellerault</t>
  </si>
  <si>
    <t>Chauvigny</t>
  </si>
  <si>
    <t>Chenevelles</t>
  </si>
  <si>
    <t>Cloué</t>
  </si>
  <si>
    <t>Coulombiers</t>
  </si>
  <si>
    <t>Coussay-les-Bois</t>
  </si>
  <si>
    <t>Croutelle</t>
  </si>
  <si>
    <t>Curzay-sur-Vonne</t>
  </si>
  <si>
    <t>Dangé-Saint-Romain</t>
  </si>
  <si>
    <t>Dissay</t>
  </si>
  <si>
    <t>Doussay</t>
  </si>
  <si>
    <t>Fontaine-le-Comte</t>
  </si>
  <si>
    <t>Ingrandes</t>
  </si>
  <si>
    <t>Jardres</t>
  </si>
  <si>
    <t>Jaunay-Marigny</t>
  </si>
  <si>
    <t>Jazeneuil</t>
  </si>
  <si>
    <t>Lavoux</t>
  </si>
  <si>
    <t>Leigné-les-Bois</t>
  </si>
  <si>
    <t>Leigné-sur-Usseau</t>
  </si>
  <si>
    <t>Lencloître</t>
  </si>
  <si>
    <t>Leugny</t>
  </si>
  <si>
    <t>Ligugé</t>
  </si>
  <si>
    <t>Liniers</t>
  </si>
  <si>
    <t>Lusignan</t>
  </si>
  <si>
    <t>Mairé</t>
  </si>
  <si>
    <t>Mignaloux-Beauvoir</t>
  </si>
  <si>
    <t>Migné-Auxances</t>
  </si>
  <si>
    <t>Mondion</t>
  </si>
  <si>
    <t>Montamisé</t>
  </si>
  <si>
    <t>Monthoiron</t>
  </si>
  <si>
    <t>Naintré</t>
  </si>
  <si>
    <t>Orches</t>
  </si>
  <si>
    <t>Les Ormes</t>
  </si>
  <si>
    <t>Ouzilly</t>
  </si>
  <si>
    <t>Oyré</t>
  </si>
  <si>
    <t>Pleumartin</t>
  </si>
  <si>
    <t>Poitiers</t>
  </si>
  <si>
    <t>Port-de-Piles</t>
  </si>
  <si>
    <t>Pouillé</t>
  </si>
  <si>
    <t>La Puye</t>
  </si>
  <si>
    <t>La Roche-Posay</t>
  </si>
  <si>
    <t>Rouillé</t>
  </si>
  <si>
    <t>Saint-Benoît</t>
  </si>
  <si>
    <t>Saint-Genest-d'Ambière</t>
  </si>
  <si>
    <t>Saint-Georges-lès-Baillargeaux</t>
  </si>
  <si>
    <t>Saint-Gervais-les-Trois-Clochers</t>
  </si>
  <si>
    <t>Saint-Julien-l'Ars</t>
  </si>
  <si>
    <t>Sainte-Radégonde</t>
  </si>
  <si>
    <t>Saint-Rémy-sur-Creuse</t>
  </si>
  <si>
    <t>Senillé-Saint-Sauveur</t>
  </si>
  <si>
    <t>Sanxay</t>
  </si>
  <si>
    <t>Savigny-Lévescault</t>
  </si>
  <si>
    <t>Savigny-sous-Faye</t>
  </si>
  <si>
    <t>Scorbé-Clairvaux</t>
  </si>
  <si>
    <t>Sérigny</t>
  </si>
  <si>
    <t>Sèvres-Anxaumont</t>
  </si>
  <si>
    <t>Sossais</t>
  </si>
  <si>
    <t>Tercé</t>
  </si>
  <si>
    <t>Thuré</t>
  </si>
  <si>
    <t>Usseau</t>
  </si>
  <si>
    <t>Vaux-sur-Vienne</t>
  </si>
  <si>
    <t>Vellèches</t>
  </si>
  <si>
    <t>Vicq-sur-Gartempe</t>
  </si>
  <si>
    <t>Vouneuil-sous-Biard</t>
  </si>
  <si>
    <t>Vouneuil-sur-Vienne</t>
  </si>
  <si>
    <t>Aureil</t>
  </si>
  <si>
    <t>Boisseuil</t>
  </si>
  <si>
    <t>Bonnac-la-Côte</t>
  </si>
  <si>
    <t>Chaptelat</t>
  </si>
  <si>
    <t>Condat-sur-Vienne</t>
  </si>
  <si>
    <t>Couzeix</t>
  </si>
  <si>
    <t>Eyjeaux</t>
  </si>
  <si>
    <t>Feytiat</t>
  </si>
  <si>
    <t>Isle</t>
  </si>
  <si>
    <t>Limoges</t>
  </si>
  <si>
    <t>Le Palais-sur-Vienne</t>
  </si>
  <si>
    <t>Panazol</t>
  </si>
  <si>
    <t>Peyrilhac</t>
  </si>
  <si>
    <t>Rilhac-Rancon</t>
  </si>
  <si>
    <t>Saint-Gence</t>
  </si>
  <si>
    <t>Saint-Just-le-Martel</t>
  </si>
  <si>
    <t>Solignac</t>
  </si>
  <si>
    <t>Verneuil-sur-Vienne</t>
  </si>
  <si>
    <t>Veyrac</t>
  </si>
  <si>
    <t>Le Vigen</t>
  </si>
  <si>
    <t>Allarmont</t>
  </si>
  <si>
    <t>Anould</t>
  </si>
  <si>
    <t>Arches</t>
  </si>
  <si>
    <t>Archettes</t>
  </si>
  <si>
    <t>Arrentès-de-Corcieux</t>
  </si>
  <si>
    <t>Aydoilles</t>
  </si>
  <si>
    <t>Badménil-aux-Bois</t>
  </si>
  <si>
    <t>La Baffe</t>
  </si>
  <si>
    <t>La Vôge-les-Bains</t>
  </si>
  <si>
    <t>Ban-de-Laveline</t>
  </si>
  <si>
    <t>Ban-de-Sapt</t>
  </si>
  <si>
    <t>Barbey-Seroux</t>
  </si>
  <si>
    <t>Bayecourt</t>
  </si>
  <si>
    <t>Bellefontaine</t>
  </si>
  <si>
    <t>Bertrimoutier</t>
  </si>
  <si>
    <t>Le Beulay</t>
  </si>
  <si>
    <t>Biffontaine</t>
  </si>
  <si>
    <t>La Bourgonce</t>
  </si>
  <si>
    <t>Brantigny</t>
  </si>
  <si>
    <t>Celles-sur-Plaine</t>
  </si>
  <si>
    <t>Chamagne</t>
  </si>
  <si>
    <t>Chantraine</t>
  </si>
  <si>
    <t>La Chapelle-aux-Bois</t>
  </si>
  <si>
    <t>La Chapelle-devant-Bruyères</t>
  </si>
  <si>
    <t>Charmois-l'Orgueilleux</t>
  </si>
  <si>
    <t>Châtas</t>
  </si>
  <si>
    <t>Châtel-sur-Moselle</t>
  </si>
  <si>
    <t>Chaumousey</t>
  </si>
  <si>
    <t>Chavelot</t>
  </si>
  <si>
    <t>Ban-sur-Meurthe-Clefcy</t>
  </si>
  <si>
    <t>Le Clerjus</t>
  </si>
  <si>
    <t>Coinches</t>
  </si>
  <si>
    <t>Combrimont</t>
  </si>
  <si>
    <t>Corcieux</t>
  </si>
  <si>
    <t>La Croix-aux-Mines</t>
  </si>
  <si>
    <t>Damas-aux-Bois</t>
  </si>
  <si>
    <t>Darnieulles</t>
  </si>
  <si>
    <t>Denipaire</t>
  </si>
  <si>
    <t>Deyvillers</t>
  </si>
  <si>
    <t>Dignonville</t>
  </si>
  <si>
    <t>Dinozé</t>
  </si>
  <si>
    <t>Dogneville</t>
  </si>
  <si>
    <t>Domèvre-sur-Avière</t>
  </si>
  <si>
    <t>Domèvre-sur-Durbion</t>
  </si>
  <si>
    <t>Dounoux</t>
  </si>
  <si>
    <t>Entre-deux-Eaux</t>
  </si>
  <si>
    <t>Épinal</t>
  </si>
  <si>
    <t>Essegney</t>
  </si>
  <si>
    <t>Étival-Clairefontaine</t>
  </si>
  <si>
    <t>Florémont</t>
  </si>
  <si>
    <t>Fomerey</t>
  </si>
  <si>
    <t>Fontenoy-le-Château</t>
  </si>
  <si>
    <t>Les Forges</t>
  </si>
  <si>
    <t>Fraize</t>
  </si>
  <si>
    <t>Frapelle</t>
  </si>
  <si>
    <t>Frizon</t>
  </si>
  <si>
    <t>Gemaingoutte</t>
  </si>
  <si>
    <t>Gerbépal</t>
  </si>
  <si>
    <t>Gigney</t>
  </si>
  <si>
    <t>Girancourt</t>
  </si>
  <si>
    <t>Girecourt-sur-Durbion</t>
  </si>
  <si>
    <t>Golbey</t>
  </si>
  <si>
    <t>La Grande-Fosse</t>
  </si>
  <si>
    <t>Grandrupt</t>
  </si>
  <si>
    <t>Gruey-lès-Surance</t>
  </si>
  <si>
    <t>Hadigny-les-Verrières</t>
  </si>
  <si>
    <t>Hadol</t>
  </si>
  <si>
    <t>Haillainville</t>
  </si>
  <si>
    <t>La Haye</t>
  </si>
  <si>
    <t>Hergugney</t>
  </si>
  <si>
    <t>La Houssière</t>
  </si>
  <si>
    <t>Hurbache</t>
  </si>
  <si>
    <t>Jarménil</t>
  </si>
  <si>
    <t>Jeuxey</t>
  </si>
  <si>
    <t>Langley</t>
  </si>
  <si>
    <t>Lesseux</t>
  </si>
  <si>
    <t>Longchamp</t>
  </si>
  <si>
    <t>Lubine</t>
  </si>
  <si>
    <t>Lusse</t>
  </si>
  <si>
    <t>Luvigny</t>
  </si>
  <si>
    <t>Mandray</t>
  </si>
  <si>
    <t>Mazeley</t>
  </si>
  <si>
    <t>Ménil-de-Senones</t>
  </si>
  <si>
    <t>Le Mont</t>
  </si>
  <si>
    <t>Montmotier</t>
  </si>
  <si>
    <t>Moriville</t>
  </si>
  <si>
    <t>Moyenmoutier</t>
  </si>
  <si>
    <t>Nayemont-les-Fosses</t>
  </si>
  <si>
    <t>Neuvillers-sur-Fave</t>
  </si>
  <si>
    <t>Nomexy</t>
  </si>
  <si>
    <t>Nompatelize</t>
  </si>
  <si>
    <t>Ollainville</t>
  </si>
  <si>
    <t>Padoux</t>
  </si>
  <si>
    <t>Pair-et-Grandrupt</t>
  </si>
  <si>
    <t>Pallegney</t>
  </si>
  <si>
    <t>La Petite-Fosse</t>
  </si>
  <si>
    <t>La Petite-Raon</t>
  </si>
  <si>
    <t>Plainfaing</t>
  </si>
  <si>
    <t>Portieux</t>
  </si>
  <si>
    <t>Les Poulières</t>
  </si>
  <si>
    <t>Pouxeux</t>
  </si>
  <si>
    <t>Provenchères-et-Colroy</t>
  </si>
  <si>
    <t>Le Puid</t>
  </si>
  <si>
    <t>Raon-aux-Bois</t>
  </si>
  <si>
    <t>Raon-l'Étape</t>
  </si>
  <si>
    <t>Raon-sur-Plaine</t>
  </si>
  <si>
    <t>Raves</t>
  </si>
  <si>
    <t>Rehaincourt</t>
  </si>
  <si>
    <t>Remomeix</t>
  </si>
  <si>
    <t>Renauvoid</t>
  </si>
  <si>
    <t>Rugney</t>
  </si>
  <si>
    <t>Saint-Dié-des-Vosges</t>
  </si>
  <si>
    <t>Saint-Jean-d'Ormont</t>
  </si>
  <si>
    <t>Sainte-Marguerite</t>
  </si>
  <si>
    <t>Saint-Michel-sur-Meurthe</t>
  </si>
  <si>
    <t>Saint-Remy</t>
  </si>
  <si>
    <t>Saint-Stail</t>
  </si>
  <si>
    <t>Sanchey</t>
  </si>
  <si>
    <t>Le Saulcy</t>
  </si>
  <si>
    <t>Saulcy-sur-Meurthe</t>
  </si>
  <si>
    <t>Senones</t>
  </si>
  <si>
    <t>Sercœur</t>
  </si>
  <si>
    <t>Socourt</t>
  </si>
  <si>
    <t>Taintrux</t>
  </si>
  <si>
    <t>Thaon-les-Vosges</t>
  </si>
  <si>
    <t>Trémonzey</t>
  </si>
  <si>
    <t>Ubexy</t>
  </si>
  <si>
    <t>Uriménil</t>
  </si>
  <si>
    <t>Uxegney</t>
  </si>
  <si>
    <t>Uzemain</t>
  </si>
  <si>
    <t>Vaudéville</t>
  </si>
  <si>
    <t>Vaxoncourt</t>
  </si>
  <si>
    <t>Le Vermont</t>
  </si>
  <si>
    <t>Vexaincourt</t>
  </si>
  <si>
    <t>Vienville</t>
  </si>
  <si>
    <t>Villoncourt</t>
  </si>
  <si>
    <t>Vincey</t>
  </si>
  <si>
    <t>La Voivre</t>
  </si>
  <si>
    <t>Les Voivres</t>
  </si>
  <si>
    <t>Wisembach</t>
  </si>
  <si>
    <t>Xertigny</t>
  </si>
  <si>
    <t>Zincourt</t>
  </si>
  <si>
    <t>Appoigny</t>
  </si>
  <si>
    <t>Armeau</t>
  </si>
  <si>
    <t>Augy</t>
  </si>
  <si>
    <t>Auxerre</t>
  </si>
  <si>
    <t>Bleigny-le-Carreau</t>
  </si>
  <si>
    <t>Les Bordes</t>
  </si>
  <si>
    <t>Branches</t>
  </si>
  <si>
    <t>Champs-sur-Yonne</t>
  </si>
  <si>
    <t>Charbuy</t>
  </si>
  <si>
    <t>Chevannes</t>
  </si>
  <si>
    <t>Chitry</t>
  </si>
  <si>
    <t>Collemiers</t>
  </si>
  <si>
    <t>Coulanges-la-Vineuse</t>
  </si>
  <si>
    <t>Courtois-sur-Yonne</t>
  </si>
  <si>
    <t>Dixmont</t>
  </si>
  <si>
    <t>Escamps</t>
  </si>
  <si>
    <t>Escolives-Sainte-Camille</t>
  </si>
  <si>
    <t>Étigny</t>
  </si>
  <si>
    <t>Fontaine-la-Gaillarde</t>
  </si>
  <si>
    <t>Gron</t>
  </si>
  <si>
    <t>Gurgy</t>
  </si>
  <si>
    <t>Gy-l'Évêque</t>
  </si>
  <si>
    <t>Irancy</t>
  </si>
  <si>
    <t>Lindry</t>
  </si>
  <si>
    <t>Maillot</t>
  </si>
  <si>
    <t>Malay-le-Grand</t>
  </si>
  <si>
    <t>Malay-le-Petit</t>
  </si>
  <si>
    <t>Marsangy</t>
  </si>
  <si>
    <t>Monéteau</t>
  </si>
  <si>
    <t>Montigny-la-Resle</t>
  </si>
  <si>
    <t>Noé</t>
  </si>
  <si>
    <t>Paron</t>
  </si>
  <si>
    <t>Passy</t>
  </si>
  <si>
    <t>Quenne</t>
  </si>
  <si>
    <t>Saint-Bris-le-Vineux</t>
  </si>
  <si>
    <t>Saint-Denis-lès-Sens</t>
  </si>
  <si>
    <t>Saint-Georges-sur-Baulche</t>
  </si>
  <si>
    <t>Saint-Martin-du-Tertre</t>
  </si>
  <si>
    <t>Saligny</t>
  </si>
  <si>
    <t>Sens</t>
  </si>
  <si>
    <t>Vallan</t>
  </si>
  <si>
    <t>Venoy</t>
  </si>
  <si>
    <t>Véron</t>
  </si>
  <si>
    <t>Villefargeau</t>
  </si>
  <si>
    <t>Villeneuve-Saint-Salves</t>
  </si>
  <si>
    <t>Villeneuve-sur-Yonne</t>
  </si>
  <si>
    <t>Villiers-Louis</t>
  </si>
  <si>
    <t>Vincelles</t>
  </si>
  <si>
    <t>Vincelottes</t>
  </si>
  <si>
    <t>Voisines</t>
  </si>
  <si>
    <t>Andelnans</t>
  </si>
  <si>
    <t>Angeot</t>
  </si>
  <si>
    <t>Anjoutey</t>
  </si>
  <si>
    <t>Argiésans</t>
  </si>
  <si>
    <t>Auxelles-Bas</t>
  </si>
  <si>
    <t>Auxelles-Haut</t>
  </si>
  <si>
    <t>Banvillars</t>
  </si>
  <si>
    <t>Bavilliers</t>
  </si>
  <si>
    <t>Beaucourt</t>
  </si>
  <si>
    <t>Belfort</t>
  </si>
  <si>
    <t>Bermont</t>
  </si>
  <si>
    <t>Bessoncourt</t>
  </si>
  <si>
    <t>Bethonvilliers</t>
  </si>
  <si>
    <t>Boron</t>
  </si>
  <si>
    <t>Botans</t>
  </si>
  <si>
    <t>Bourg-sous-Châtelet</t>
  </si>
  <si>
    <t>Bourogne</t>
  </si>
  <si>
    <t>Brebotte</t>
  </si>
  <si>
    <t>Bretagne</t>
  </si>
  <si>
    <t>Châtenois-les-Forges</t>
  </si>
  <si>
    <t>Chaux</t>
  </si>
  <si>
    <t>Chavanatte</t>
  </si>
  <si>
    <t>Chavannes-les-Grands</t>
  </si>
  <si>
    <t>Chèvremont</t>
  </si>
  <si>
    <t>Courcelles</t>
  </si>
  <si>
    <t>Courtelevant</t>
  </si>
  <si>
    <t>Cravanche</t>
  </si>
  <si>
    <t>Cunelières</t>
  </si>
  <si>
    <t>Danjoutin</t>
  </si>
  <si>
    <t>Delle</t>
  </si>
  <si>
    <t>Denney</t>
  </si>
  <si>
    <t>Dorans</t>
  </si>
  <si>
    <t>Eguenigue</t>
  </si>
  <si>
    <t>Éloie</t>
  </si>
  <si>
    <t>Essert</t>
  </si>
  <si>
    <t>Étueffont</t>
  </si>
  <si>
    <t>Évette-Salbert</t>
  </si>
  <si>
    <t>Faverois</t>
  </si>
  <si>
    <t>Felon</t>
  </si>
  <si>
    <t>Fêche-l'Église</t>
  </si>
  <si>
    <t>Florimont</t>
  </si>
  <si>
    <t>Fontenelle</t>
  </si>
  <si>
    <t>Foussemagne</t>
  </si>
  <si>
    <t>Frais</t>
  </si>
  <si>
    <t>Froidefontaine</t>
  </si>
  <si>
    <t>Giromagny</t>
  </si>
  <si>
    <t>Grandvillars</t>
  </si>
  <si>
    <t>Grosmagny</t>
  </si>
  <si>
    <t>Grosne</t>
  </si>
  <si>
    <t>Joncherey</t>
  </si>
  <si>
    <t>Lachapelle-sous-Chaux</t>
  </si>
  <si>
    <t>Lachapelle-sous-Rougemont</t>
  </si>
  <si>
    <t>Lacollonge</t>
  </si>
  <si>
    <t>Lagrange</t>
  </si>
  <si>
    <t>Lamadeleine-Val-des-Anges</t>
  </si>
  <si>
    <t>Larivière</t>
  </si>
  <si>
    <t>Lebetain</t>
  </si>
  <si>
    <t>Lepuix-Neuf</t>
  </si>
  <si>
    <t>Lepuix</t>
  </si>
  <si>
    <t>Menoncourt</t>
  </si>
  <si>
    <t>Meroux-Moval</t>
  </si>
  <si>
    <t>Méziré</t>
  </si>
  <si>
    <t>Montbouton</t>
  </si>
  <si>
    <t>Montreux-Château</t>
  </si>
  <si>
    <t>Morvillars</t>
  </si>
  <si>
    <t>Novillard</t>
  </si>
  <si>
    <t>Offemont</t>
  </si>
  <si>
    <t>Pérouse</t>
  </si>
  <si>
    <t>Petit-Croix</t>
  </si>
  <si>
    <t>Petitefontaine</t>
  </si>
  <si>
    <t>Petitmagny</t>
  </si>
  <si>
    <t>Phaffans</t>
  </si>
  <si>
    <t>Réchésy</t>
  </si>
  <si>
    <t>Autrechêne</t>
  </si>
  <si>
    <t>Recouvrance</t>
  </si>
  <si>
    <t>Reppe</t>
  </si>
  <si>
    <t>Riervescemont</t>
  </si>
  <si>
    <t>Romagny-sous-Rougemont</t>
  </si>
  <si>
    <t>Roppe</t>
  </si>
  <si>
    <t>Rougegoutte</t>
  </si>
  <si>
    <t>Rougemont-le-Château</t>
  </si>
  <si>
    <t>Saint-Dizier-l'Évêque</t>
  </si>
  <si>
    <t>Saint-Germain-le-Châtelet</t>
  </si>
  <si>
    <t>Sermamagny</t>
  </si>
  <si>
    <t>Sevenans</t>
  </si>
  <si>
    <t>Suarce</t>
  </si>
  <si>
    <t>Thiancourt</t>
  </si>
  <si>
    <t>Trévenans</t>
  </si>
  <si>
    <t>Urcerey</t>
  </si>
  <si>
    <t>Valdoie</t>
  </si>
  <si>
    <t>Vauthiermont</t>
  </si>
  <si>
    <t>Vellescot</t>
  </si>
  <si>
    <t>Vescemont</t>
  </si>
  <si>
    <t>Vétrigne</t>
  </si>
  <si>
    <t>Vézelois</t>
  </si>
  <si>
    <t>Villars-le-Sec</t>
  </si>
  <si>
    <t>Abbéville-la-Rivière</t>
  </si>
  <si>
    <t>Angerville</t>
  </si>
  <si>
    <t>Angervilliers</t>
  </si>
  <si>
    <t>Arpajon</t>
  </si>
  <si>
    <t>Arrancourt</t>
  </si>
  <si>
    <t>Athis-Mons</t>
  </si>
  <si>
    <t>Authon-la-Plaine</t>
  </si>
  <si>
    <t>Auvernaux</t>
  </si>
  <si>
    <t>Auvers-Saint-Georges</t>
  </si>
  <si>
    <t>Ballainvilliers</t>
  </si>
  <si>
    <t>Ballancourt-sur-Essonne</t>
  </si>
  <si>
    <t>Baulne</t>
  </si>
  <si>
    <t>Boigneville</t>
  </si>
  <si>
    <t>Bois-Herpin</t>
  </si>
  <si>
    <t>Boissy-la-Rivière</t>
  </si>
  <si>
    <t>Boissy-le-Cutté</t>
  </si>
  <si>
    <t>Boissy-le-Sec</t>
  </si>
  <si>
    <t>Boissy-sous-Saint-Yon</t>
  </si>
  <si>
    <t>Bondoufle</t>
  </si>
  <si>
    <t>Boullay-les-Troux</t>
  </si>
  <si>
    <t>Bouray-sur-Juine</t>
  </si>
  <si>
    <t>Boussy-Saint-Antoine</t>
  </si>
  <si>
    <t>Boutervilliers</t>
  </si>
  <si>
    <t>Boutigny-sur-Essonne</t>
  </si>
  <si>
    <t>Brétigny-sur-Orge</t>
  </si>
  <si>
    <t>Breux-Jouy</t>
  </si>
  <si>
    <t>Brières-les-Scellés</t>
  </si>
  <si>
    <t>Briis-sous-Forges</t>
  </si>
  <si>
    <t>Brouy</t>
  </si>
  <si>
    <t>Brunoy</t>
  </si>
  <si>
    <t>Bruyères-le-Châtel</t>
  </si>
  <si>
    <t>Buno-Bonnevaux</t>
  </si>
  <si>
    <t>Bures-sur-Yvette</t>
  </si>
  <si>
    <t>Cerny</t>
  </si>
  <si>
    <t>Chalo-Saint-Mars</t>
  </si>
  <si>
    <t>Chalou-Moulineux</t>
  </si>
  <si>
    <t>Chamarande</t>
  </si>
  <si>
    <t>Champcueil</t>
  </si>
  <si>
    <t>Champlan</t>
  </si>
  <si>
    <t>Champmotteux</t>
  </si>
  <si>
    <t>Chatignonville</t>
  </si>
  <si>
    <t>Chauffour-lès-Étréchy</t>
  </si>
  <si>
    <t>Cheptainville</t>
  </si>
  <si>
    <t>Chilly-Mazarin</t>
  </si>
  <si>
    <t>Corbeil-Essonnes</t>
  </si>
  <si>
    <t>Corbreuse</t>
  </si>
  <si>
    <t>Le Coudray-Montceaux</t>
  </si>
  <si>
    <t>Courances</t>
  </si>
  <si>
    <t>Courdimanche-sur-Essonne</t>
  </si>
  <si>
    <t>Courson-Monteloup</t>
  </si>
  <si>
    <t>Crosne</t>
  </si>
  <si>
    <t>Dannemois</t>
  </si>
  <si>
    <t>D'Huison-Longueville</t>
  </si>
  <si>
    <t>Dourdan</t>
  </si>
  <si>
    <t>Draveil</t>
  </si>
  <si>
    <t>Écharcon</t>
  </si>
  <si>
    <t>Égly</t>
  </si>
  <si>
    <t>Épinay-sous-Sénart</t>
  </si>
  <si>
    <t>Épinay-sur-Orge</t>
  </si>
  <si>
    <t>Étampes</t>
  </si>
  <si>
    <t>Étiolles</t>
  </si>
  <si>
    <t>Évry-Courcouronnes</t>
  </si>
  <si>
    <t>La Ferté-Alais</t>
  </si>
  <si>
    <t>Fleury-Mérogis</t>
  </si>
  <si>
    <t>Fontaine-la-Rivière</t>
  </si>
  <si>
    <t>Fontenay-lès-Briis</t>
  </si>
  <si>
    <t>Fontenay-le-Vicomte</t>
  </si>
  <si>
    <t>La Forêt-le-Roi</t>
  </si>
  <si>
    <t>La Forêt-Sainte-Croix</t>
  </si>
  <si>
    <t>Forges-les-Bains</t>
  </si>
  <si>
    <t>Gif-sur-Yvette</t>
  </si>
  <si>
    <t>Gironville-sur-Essonne</t>
  </si>
  <si>
    <t>Gometz-la-Ville</t>
  </si>
  <si>
    <t>Gometz-le-Châtel</t>
  </si>
  <si>
    <t>Les Granges-le-Roi</t>
  </si>
  <si>
    <t>Guibeville</t>
  </si>
  <si>
    <t>Guigneville-sur-Essonne</t>
  </si>
  <si>
    <t>Guillerval</t>
  </si>
  <si>
    <t>Igny</t>
  </si>
  <si>
    <t>Itteville</t>
  </si>
  <si>
    <t>Janville-sur-Juine</t>
  </si>
  <si>
    <t>Juvisy-sur-Orge</t>
  </si>
  <si>
    <t>Lardy</t>
  </si>
  <si>
    <t>Leudeville</t>
  </si>
  <si>
    <t>Leuville-sur-Orge</t>
  </si>
  <si>
    <t>Limours</t>
  </si>
  <si>
    <t>Linas</t>
  </si>
  <si>
    <t>Lisses</t>
  </si>
  <si>
    <t>Longjumeau</t>
  </si>
  <si>
    <t>Longpont-sur-Orge</t>
  </si>
  <si>
    <t>Maisse</t>
  </si>
  <si>
    <t>Marcoussis</t>
  </si>
  <si>
    <t>Marolles-en-Beauce</t>
  </si>
  <si>
    <t>Marolles-en-Hurepoix</t>
  </si>
  <si>
    <t>Massy</t>
  </si>
  <si>
    <t>Mauchamps</t>
  </si>
  <si>
    <t>Mennecy</t>
  </si>
  <si>
    <t>Le Mérévillois</t>
  </si>
  <si>
    <t>Mérobert</t>
  </si>
  <si>
    <t>Mespuits</t>
  </si>
  <si>
    <t>Milly-la-Forêt</t>
  </si>
  <si>
    <t>Moigny-sur-École</t>
  </si>
  <si>
    <t>Les Molières</t>
  </si>
  <si>
    <t>Monnerville</t>
  </si>
  <si>
    <t>Montgeron</t>
  </si>
  <si>
    <t>Montlhéry</t>
  </si>
  <si>
    <t>Morigny-Champigny</t>
  </si>
  <si>
    <t>Morsang-sur-Orge</t>
  </si>
  <si>
    <t>Morsang-sur-Seine</t>
  </si>
  <si>
    <t>Nainville-les-Roches</t>
  </si>
  <si>
    <t>La Norville</t>
  </si>
  <si>
    <t>Nozay</t>
  </si>
  <si>
    <t>Oncy-sur-École</t>
  </si>
  <si>
    <t>Ormoy-la-Rivière</t>
  </si>
  <si>
    <t>Orsay</t>
  </si>
  <si>
    <t>Orveau</t>
  </si>
  <si>
    <t>Palaiseau</t>
  </si>
  <si>
    <t>Paray-Vieille-Poste</t>
  </si>
  <si>
    <t>Pecqueuse</t>
  </si>
  <si>
    <t>Le Plessis-Pâté</t>
  </si>
  <si>
    <t>Plessis-Saint-Benoist</t>
  </si>
  <si>
    <t>Prunay-sur-Essonne</t>
  </si>
  <si>
    <t>Puiselet-le-Marais</t>
  </si>
  <si>
    <t>Pussay</t>
  </si>
  <si>
    <t>Quincy-sous-Sénart</t>
  </si>
  <si>
    <t>Richarville</t>
  </si>
  <si>
    <t>Ris-Orangis</t>
  </si>
  <si>
    <t>Roinvilliers</t>
  </si>
  <si>
    <t>Saclas</t>
  </si>
  <si>
    <t>Saclay</t>
  </si>
  <si>
    <t>Saint-Chéron</t>
  </si>
  <si>
    <t>Saint-Cyr-la-Rivière</t>
  </si>
  <si>
    <t>Saint-Cyr-sous-Dourdan</t>
  </si>
  <si>
    <t>Saint-Escobille</t>
  </si>
  <si>
    <t>Sainte-Geneviève-des-Bois</t>
  </si>
  <si>
    <t>Saint-Germain-lès-Arpajon</t>
  </si>
  <si>
    <t>Saint-Germain-lès-Corbeil</t>
  </si>
  <si>
    <t>Saint-Jean-de-Beauregard</t>
  </si>
  <si>
    <t>Saint-Maurice-Montcouronne</t>
  </si>
  <si>
    <t>Saint-Michel-sur-Orge</t>
  </si>
  <si>
    <t>Saint-Pierre-du-Perray</t>
  </si>
  <si>
    <t>Saintry-sur-Seine</t>
  </si>
  <si>
    <t>Saint-Sulpice-de-Favières</t>
  </si>
  <si>
    <t>Saint-Yon</t>
  </si>
  <si>
    <t>Saulx-les-Chartreux</t>
  </si>
  <si>
    <t>Savigny-sur-Orge</t>
  </si>
  <si>
    <t>Sermaise</t>
  </si>
  <si>
    <t>Soisy-sur-École</t>
  </si>
  <si>
    <t>Soisy-sur-Seine</t>
  </si>
  <si>
    <t>Souzy-la-Briche</t>
  </si>
  <si>
    <t>Congerville-Thionville</t>
  </si>
  <si>
    <t>Tigery</t>
  </si>
  <si>
    <t>Torfou</t>
  </si>
  <si>
    <t>Valpuiseaux</t>
  </si>
  <si>
    <t>Le Val-Saint-Germain</t>
  </si>
  <si>
    <t>Varennes-Jarcy</t>
  </si>
  <si>
    <t>Vaugrigneuse</t>
  </si>
  <si>
    <t>Vauhallan</t>
  </si>
  <si>
    <t>Vayres-sur-Essonne</t>
  </si>
  <si>
    <t>Verrières-le-Buisson</t>
  </si>
  <si>
    <t>Vert-le-Grand</t>
  </si>
  <si>
    <t>Vert-le-Petit</t>
  </si>
  <si>
    <t>Videlles</t>
  </si>
  <si>
    <t>Vigneux-sur-Seine</t>
  </si>
  <si>
    <t>Villabé</t>
  </si>
  <si>
    <t>Villebon-sur-Yvette</t>
  </si>
  <si>
    <t>Villeconin</t>
  </si>
  <si>
    <t>La Ville-du-Bois</t>
  </si>
  <si>
    <t>Villejust</t>
  </si>
  <si>
    <t>Villemoisson-sur-Orge</t>
  </si>
  <si>
    <t>Villeneuve-sur-Auvers</t>
  </si>
  <si>
    <t>Villiers-le-Bâcle</t>
  </si>
  <si>
    <t>Villiers-sur-Orge</t>
  </si>
  <si>
    <t>Viry-Châtillon</t>
  </si>
  <si>
    <t>Wissous</t>
  </si>
  <si>
    <t>Yerres</t>
  </si>
  <si>
    <t>Les Ulis</t>
  </si>
  <si>
    <t>Antony</t>
  </si>
  <si>
    <t>Asnières-sur-Seine</t>
  </si>
  <si>
    <t>Bois-Colombes</t>
  </si>
  <si>
    <t>Boulogne-Billancourt</t>
  </si>
  <si>
    <t>Bourg-la-Reine</t>
  </si>
  <si>
    <t>Châtenay-Malabry</t>
  </si>
  <si>
    <t>Chaville</t>
  </si>
  <si>
    <t>Clamart</t>
  </si>
  <si>
    <t>Clichy</t>
  </si>
  <si>
    <t>Colombes</t>
  </si>
  <si>
    <t>Courbevoie</t>
  </si>
  <si>
    <t>Fontenay-aux-Roses</t>
  </si>
  <si>
    <t>Garches</t>
  </si>
  <si>
    <t>La Garenne-Colombes</t>
  </si>
  <si>
    <t>Gennevilliers</t>
  </si>
  <si>
    <t>Issy-les-Moulineaux</t>
  </si>
  <si>
    <t>Levallois-Perret</t>
  </si>
  <si>
    <t>Malakoff</t>
  </si>
  <si>
    <t>Marnes-la-Coquette</t>
  </si>
  <si>
    <t>Meudon</t>
  </si>
  <si>
    <t>Montrouge</t>
  </si>
  <si>
    <t>Nanterre</t>
  </si>
  <si>
    <t>Neuilly-sur-Seine</t>
  </si>
  <si>
    <t>Le Plessis-Robinson</t>
  </si>
  <si>
    <t>Puteaux</t>
  </si>
  <si>
    <t>Rueil-Malmaison</t>
  </si>
  <si>
    <t>Saint-Cloud</t>
  </si>
  <si>
    <t>Sceaux</t>
  </si>
  <si>
    <t>Sèvres</t>
  </si>
  <si>
    <t>Suresnes</t>
  </si>
  <si>
    <t>Vanves</t>
  </si>
  <si>
    <t>Vaucresson</t>
  </si>
  <si>
    <t>Ville-d'Avray</t>
  </si>
  <si>
    <t>Villeneuve-la-Garenne</t>
  </si>
  <si>
    <t>Aubervilliers</t>
  </si>
  <si>
    <t>Aulnay-sous-Bois</t>
  </si>
  <si>
    <t>Bagnolet</t>
  </si>
  <si>
    <t>Le Blanc-Mesnil</t>
  </si>
  <si>
    <t>Bobigny</t>
  </si>
  <si>
    <t>Bondy</t>
  </si>
  <si>
    <t>Le Bourget</t>
  </si>
  <si>
    <t>Clichy-sous-Bois</t>
  </si>
  <si>
    <t>Coubron</t>
  </si>
  <si>
    <t>La Courneuve</t>
  </si>
  <si>
    <t>Drancy</t>
  </si>
  <si>
    <t>Dugny</t>
  </si>
  <si>
    <t>Épinay-sur-Seine</t>
  </si>
  <si>
    <t>Gagny</t>
  </si>
  <si>
    <t>Gournay-sur-Marne</t>
  </si>
  <si>
    <t>L'Île-Saint-Denis</t>
  </si>
  <si>
    <t>Les Lilas</t>
  </si>
  <si>
    <t>Livry-Gargan</t>
  </si>
  <si>
    <t>Montfermeil</t>
  </si>
  <si>
    <t>Neuilly-Plaisance</t>
  </si>
  <si>
    <t>Neuilly-sur-Marne</t>
  </si>
  <si>
    <t>Noisy-le-Grand</t>
  </si>
  <si>
    <t>Noisy-le-Sec</t>
  </si>
  <si>
    <t>Pantin</t>
  </si>
  <si>
    <t>Les Pavillons-sous-Bois</t>
  </si>
  <si>
    <t>Pierrefitte-sur-Seine</t>
  </si>
  <si>
    <t>Le Pré-Saint-Gervais</t>
  </si>
  <si>
    <t>Le Raincy</t>
  </si>
  <si>
    <t>Romainville</t>
  </si>
  <si>
    <t>Rosny-sous-Bois</t>
  </si>
  <si>
    <t>Saint-Denis</t>
  </si>
  <si>
    <t>Saint-Ouen-sur-Seine</t>
  </si>
  <si>
    <t>Sevran</t>
  </si>
  <si>
    <t>Stains</t>
  </si>
  <si>
    <t>Tremblay-en-France</t>
  </si>
  <si>
    <t>Vaujours</t>
  </si>
  <si>
    <t>Villemomble</t>
  </si>
  <si>
    <t>Villepinte</t>
  </si>
  <si>
    <t>Villetaneuse</t>
  </si>
  <si>
    <t>Ablon-sur-Seine</t>
  </si>
  <si>
    <t>Alfortville</t>
  </si>
  <si>
    <t>Arcueil</t>
  </si>
  <si>
    <t>Boissy-Saint-Léger</t>
  </si>
  <si>
    <t>Bonneuil-sur-Marne</t>
  </si>
  <si>
    <t>Bry-sur-Marne</t>
  </si>
  <si>
    <t>Cachan</t>
  </si>
  <si>
    <t>Champigny-sur-Marne</t>
  </si>
  <si>
    <t>Charenton-le-Pont</t>
  </si>
  <si>
    <t>Chennevières-sur-Marne</t>
  </si>
  <si>
    <t>Chevilly-Larue</t>
  </si>
  <si>
    <t>Choisy-le-Roi</t>
  </si>
  <si>
    <t>Créteil</t>
  </si>
  <si>
    <t>Fontenay-sous-Bois</t>
  </si>
  <si>
    <t>Fresnes</t>
  </si>
  <si>
    <t>Gentilly</t>
  </si>
  <si>
    <t>L'Haÿ-les-Roses</t>
  </si>
  <si>
    <t>Ivry-sur-Seine</t>
  </si>
  <si>
    <t>Joinville-le-Pont</t>
  </si>
  <si>
    <t>Le Kremlin-Bicêtre</t>
  </si>
  <si>
    <t>Limeil-Brévannes</t>
  </si>
  <si>
    <t>Maisons-Alfort</t>
  </si>
  <si>
    <t>Mandres-les-Roses</t>
  </si>
  <si>
    <t>Nogent-sur-Marne</t>
  </si>
  <si>
    <t>Noiseau</t>
  </si>
  <si>
    <t>Orly</t>
  </si>
  <si>
    <t>Ormesson-sur-Marne</t>
  </si>
  <si>
    <t>Le Perreux-sur-Marne</t>
  </si>
  <si>
    <t>Le Plessis-Trévise</t>
  </si>
  <si>
    <t>La Queue-en-Brie</t>
  </si>
  <si>
    <t>Rungis</t>
  </si>
  <si>
    <t>Saint-Mandé</t>
  </si>
  <si>
    <t>Saint-Maur-des-Fossés</t>
  </si>
  <si>
    <t>Saint-Maurice</t>
  </si>
  <si>
    <t>Santeny</t>
  </si>
  <si>
    <t>Sucy-en-Brie</t>
  </si>
  <si>
    <t>Thiais</t>
  </si>
  <si>
    <t>Valenton</t>
  </si>
  <si>
    <t>Villecresnes</t>
  </si>
  <si>
    <t>Villejuif</t>
  </si>
  <si>
    <t>Villeneuve-le-Roi</t>
  </si>
  <si>
    <t>Villeneuve-Saint-Georges</t>
  </si>
  <si>
    <t>Villiers-sur-Marne</t>
  </si>
  <si>
    <t>Vincennes</t>
  </si>
  <si>
    <t>Vitry-sur-Seine</t>
  </si>
  <si>
    <t>Ableiges</t>
  </si>
  <si>
    <t>Aincourt</t>
  </si>
  <si>
    <t>Ambleville</t>
  </si>
  <si>
    <t>Amenucourt</t>
  </si>
  <si>
    <t>Argenteuil</t>
  </si>
  <si>
    <t>Arnouville</t>
  </si>
  <si>
    <t>Arronville</t>
  </si>
  <si>
    <t>Arthies</t>
  </si>
  <si>
    <t>Asnières-sur-Oise</t>
  </si>
  <si>
    <t>Attainville</t>
  </si>
  <si>
    <t>Auvers-sur-Oise</t>
  </si>
  <si>
    <t>Avernes</t>
  </si>
  <si>
    <t>Baillet-en-France</t>
  </si>
  <si>
    <t>Banthelu</t>
  </si>
  <si>
    <t>Beauchamp</t>
  </si>
  <si>
    <t>Beaumont-sur-Oise</t>
  </si>
  <si>
    <t>Le Bellay-en-Vexin</t>
  </si>
  <si>
    <t>Belloy-en-France</t>
  </si>
  <si>
    <t>Bernes-sur-Oise</t>
  </si>
  <si>
    <t>Berville</t>
  </si>
  <si>
    <t>Bessancourt</t>
  </si>
  <si>
    <t>Béthemont-la-Forêt</t>
  </si>
  <si>
    <t>Bezons</t>
  </si>
  <si>
    <t>Boisemont</t>
  </si>
  <si>
    <t>Boissy-l'Aillerie</t>
  </si>
  <si>
    <t>Bonneuil-en-France</t>
  </si>
  <si>
    <t>Bouffémont</t>
  </si>
  <si>
    <t>Bouqueval</t>
  </si>
  <si>
    <t>Bray-et-Lû</t>
  </si>
  <si>
    <t>Bréançon</t>
  </si>
  <si>
    <t>Brignancourt</t>
  </si>
  <si>
    <t>Bruyères-sur-Oise</t>
  </si>
  <si>
    <t>Buhy</t>
  </si>
  <si>
    <t>Butry-sur-Oise</t>
  </si>
  <si>
    <t>Cergy</t>
  </si>
  <si>
    <t>Champagne-sur-Oise</t>
  </si>
  <si>
    <t>La Chapelle-en-Vexin</t>
  </si>
  <si>
    <t>Charmont</t>
  </si>
  <si>
    <t>Chars</t>
  </si>
  <si>
    <t>Châtenay-en-France</t>
  </si>
  <si>
    <t>Chaumontel</t>
  </si>
  <si>
    <t>Chaussy</t>
  </si>
  <si>
    <t>Chauvry</t>
  </si>
  <si>
    <t>Chennevières-lès-Louvres</t>
  </si>
  <si>
    <t>Chérence</t>
  </si>
  <si>
    <t>Cléry-en-Vexin</t>
  </si>
  <si>
    <t>Commeny</t>
  </si>
  <si>
    <t>Condécourt</t>
  </si>
  <si>
    <t>Cormeilles-en-Parisis</t>
  </si>
  <si>
    <t>Cormeilles-en-Vexin</t>
  </si>
  <si>
    <t>Courcelles-sur-Viosne</t>
  </si>
  <si>
    <t>Courdimanche</t>
  </si>
  <si>
    <t>Deuil-la-Barre</t>
  </si>
  <si>
    <t>Domont</t>
  </si>
  <si>
    <t>Eaubonne</t>
  </si>
  <si>
    <t>Écouen</t>
  </si>
  <si>
    <t>Enghien-les-Bains</t>
  </si>
  <si>
    <t>Ennery</t>
  </si>
  <si>
    <t>Épiais-lès-Louvres</t>
  </si>
  <si>
    <t>Épiais-Rhus</t>
  </si>
  <si>
    <t>Épinay-Champlâtreux</t>
  </si>
  <si>
    <t>Éragny</t>
  </si>
  <si>
    <t>Ermont</t>
  </si>
  <si>
    <t>Ézanville</t>
  </si>
  <si>
    <t>Fontenay-en-Parisis</t>
  </si>
  <si>
    <t>Fosses</t>
  </si>
  <si>
    <t>Frémainville</t>
  </si>
  <si>
    <t>Frémécourt</t>
  </si>
  <si>
    <t>Frépillon</t>
  </si>
  <si>
    <t>La Frette-sur-Seine</t>
  </si>
  <si>
    <t>Frouville</t>
  </si>
  <si>
    <t>Garges-lès-Gonesse</t>
  </si>
  <si>
    <t>Genainville</t>
  </si>
  <si>
    <t>Génicourt</t>
  </si>
  <si>
    <t>Gonesse</t>
  </si>
  <si>
    <t>Gouzangrez</t>
  </si>
  <si>
    <t>Grisy-les-Plâtres</t>
  </si>
  <si>
    <t>Groslay</t>
  </si>
  <si>
    <t>Guiry-en-Vexin</t>
  </si>
  <si>
    <t>Haravilliers</t>
  </si>
  <si>
    <t>Haute-Isle</t>
  </si>
  <si>
    <t>Le Heaulme</t>
  </si>
  <si>
    <t>Hédouville</t>
  </si>
  <si>
    <t>Herblay-sur-Seine</t>
  </si>
  <si>
    <t>Hérouville-en-Vexin</t>
  </si>
  <si>
    <t>Hodent</t>
  </si>
  <si>
    <t>L'Isle-Adam</t>
  </si>
  <si>
    <t>Jagny-sous-Bois</t>
  </si>
  <si>
    <t>Jouy-le-Moutier</t>
  </si>
  <si>
    <t>Labbeville</t>
  </si>
  <si>
    <t>Lassy</t>
  </si>
  <si>
    <t>Livilliers</t>
  </si>
  <si>
    <t>Longuesse</t>
  </si>
  <si>
    <t>Louvres</t>
  </si>
  <si>
    <t>Luzarches</t>
  </si>
  <si>
    <t>Maffliers</t>
  </si>
  <si>
    <t>Magny-en-Vexin</t>
  </si>
  <si>
    <t>Mareil-en-France</t>
  </si>
  <si>
    <t>Margency</t>
  </si>
  <si>
    <t>Marines</t>
  </si>
  <si>
    <t>Marly-la-Ville</t>
  </si>
  <si>
    <t>Maudétour-en-Vexin</t>
  </si>
  <si>
    <t>Menouville</t>
  </si>
  <si>
    <t>Menucourt</t>
  </si>
  <si>
    <t>Mériel</t>
  </si>
  <si>
    <t>Méry-sur-Oise</t>
  </si>
  <si>
    <t>Le Mesnil-Aubry</t>
  </si>
  <si>
    <t>Moisselles</t>
  </si>
  <si>
    <t>Montgeroult</t>
  </si>
  <si>
    <t>Montigny-lès-Cormeilles</t>
  </si>
  <si>
    <t>Montlignon</t>
  </si>
  <si>
    <t>Montmagny</t>
  </si>
  <si>
    <t>Montmorency</t>
  </si>
  <si>
    <t>Montreuil-sur-Epte</t>
  </si>
  <si>
    <t>Montsoult</t>
  </si>
  <si>
    <t>Mours</t>
  </si>
  <si>
    <t>Nerville-la-Forêt</t>
  </si>
  <si>
    <t>Nesles-la-Vallée</t>
  </si>
  <si>
    <t>Neuilly-en-Vexin</t>
  </si>
  <si>
    <t>Neuville-sur-Oise</t>
  </si>
  <si>
    <t>Noisy-sur-Oise</t>
  </si>
  <si>
    <t>Nucourt</t>
  </si>
  <si>
    <t>Omerville</t>
  </si>
  <si>
    <t>Osny</t>
  </si>
  <si>
    <t>Parmain</t>
  </si>
  <si>
    <t>Le Perchay</t>
  </si>
  <si>
    <t>Persan</t>
  </si>
  <si>
    <t>Pierrelaye</t>
  </si>
  <si>
    <t>Piscop</t>
  </si>
  <si>
    <t>Le Plessis-Bouchard</t>
  </si>
  <si>
    <t>Le Plessis-Gassot</t>
  </si>
  <si>
    <t>Le Plessis-Luzarches</t>
  </si>
  <si>
    <t>Pontoise</t>
  </si>
  <si>
    <t>Presles</t>
  </si>
  <si>
    <t>Puiseux-en-France</t>
  </si>
  <si>
    <t>Puiseux-Pontoise</t>
  </si>
  <si>
    <t>La Roche-Guyon</t>
  </si>
  <si>
    <t>Roissy-en-France</t>
  </si>
  <si>
    <t>Ronquerolles</t>
  </si>
  <si>
    <t>Sagy</t>
  </si>
  <si>
    <t>Saint-Brice-sous-Forêt</t>
  </si>
  <si>
    <t>Saint-Clair-sur-Epte</t>
  </si>
  <si>
    <t>Saint-Cyr-en-Arthies</t>
  </si>
  <si>
    <t>Saint-Gratien</t>
  </si>
  <si>
    <t>Saint-Leu-la-Forêt</t>
  </si>
  <si>
    <t>Saint-Ouen-l'Aumône</t>
  </si>
  <si>
    <t>Saint-Prix</t>
  </si>
  <si>
    <t>Saint-Witz</t>
  </si>
  <si>
    <t>Sannois</t>
  </si>
  <si>
    <t>Sarcelles</t>
  </si>
  <si>
    <t>Seraincourt</t>
  </si>
  <si>
    <t>Seugy</t>
  </si>
  <si>
    <t>Soisy-sous-Montmorency</t>
  </si>
  <si>
    <t>Survilliers</t>
  </si>
  <si>
    <t>Taverny</t>
  </si>
  <si>
    <t>Théméricourt</t>
  </si>
  <si>
    <t>Le Thillay</t>
  </si>
  <si>
    <t>Us</t>
  </si>
  <si>
    <t>Vallangoujard</t>
  </si>
  <si>
    <t>Valmondois</t>
  </si>
  <si>
    <t>Vaudherland</t>
  </si>
  <si>
    <t>Vauréal</t>
  </si>
  <si>
    <t>Vémars</t>
  </si>
  <si>
    <t>Vétheuil</t>
  </si>
  <si>
    <t>Viarmes</t>
  </si>
  <si>
    <t>Vienne-en-Arthies</t>
  </si>
  <si>
    <t>Vigny</t>
  </si>
  <si>
    <t>Villaines-sous-Bois</t>
  </si>
  <si>
    <t>Villeron</t>
  </si>
  <si>
    <t>Villers-en-Arthies</t>
  </si>
  <si>
    <t>Villiers-Adam</t>
  </si>
  <si>
    <t>Villiers-le-Bel</t>
  </si>
  <si>
    <t>Wy-dit-Joli-Village</t>
  </si>
  <si>
    <t>Les Abymes</t>
  </si>
  <si>
    <t>Anse-Bertrand</t>
  </si>
  <si>
    <t>Baie-Mahault</t>
  </si>
  <si>
    <t>Baillif</t>
  </si>
  <si>
    <t>Basse-Terre</t>
  </si>
  <si>
    <t>Bouillante</t>
  </si>
  <si>
    <t>Capesterre-Belle-Eau</t>
  </si>
  <si>
    <t>Gourbeyre</t>
  </si>
  <si>
    <t>La Désirade</t>
  </si>
  <si>
    <t>Deshaies</t>
  </si>
  <si>
    <t>Le Gosier</t>
  </si>
  <si>
    <t>Goyave</t>
  </si>
  <si>
    <t>Lamentin</t>
  </si>
  <si>
    <t>Morne-à-l'Eau</t>
  </si>
  <si>
    <t>Le Moule</t>
  </si>
  <si>
    <t>Petit-Bourg</t>
  </si>
  <si>
    <t>Petit-Canal</t>
  </si>
  <si>
    <t>Pointe-à-Pitre</t>
  </si>
  <si>
    <t>Pointe-Noire</t>
  </si>
  <si>
    <t>Saint-François</t>
  </si>
  <si>
    <t>Sainte-Rose</t>
  </si>
  <si>
    <t>Terre-de-Bas</t>
  </si>
  <si>
    <t>Terre-de-Haut</t>
  </si>
  <si>
    <t>Trois-Rivières</t>
  </si>
  <si>
    <t>Vieux-Fort</t>
  </si>
  <si>
    <t>Vieux-Habitants</t>
  </si>
  <si>
    <t>L'Ajoupa-Bouillon</t>
  </si>
  <si>
    <t>Les Anses-d'Arlet</t>
  </si>
  <si>
    <t>Basse-Pointe</t>
  </si>
  <si>
    <t>Le Carbet</t>
  </si>
  <si>
    <t>Case-Pilote</t>
  </si>
  <si>
    <t>Le Diamant</t>
  </si>
  <si>
    <t>Ducos</t>
  </si>
  <si>
    <t>Fonds-Saint-Denis</t>
  </si>
  <si>
    <t>Fort-de-France</t>
  </si>
  <si>
    <t>Le François</t>
  </si>
  <si>
    <t>Grand'Rivière</t>
  </si>
  <si>
    <t>Gros-Morne</t>
  </si>
  <si>
    <t>Le Lamentin</t>
  </si>
  <si>
    <t>Le Lorrain</t>
  </si>
  <si>
    <t>Macouba</t>
  </si>
  <si>
    <t>Le Marigot</t>
  </si>
  <si>
    <t>Le Marin</t>
  </si>
  <si>
    <t>Le Morne-Rouge</t>
  </si>
  <si>
    <t>Le Prêcheur</t>
  </si>
  <si>
    <t>Rivière-Pilote</t>
  </si>
  <si>
    <t>Rivière-Salée</t>
  </si>
  <si>
    <t>Le Robert</t>
  </si>
  <si>
    <t>Saint-Esprit</t>
  </si>
  <si>
    <t>Sainte-Luce</t>
  </si>
  <si>
    <t>Schœlcher</t>
  </si>
  <si>
    <t>Les Trois-Îlets</t>
  </si>
  <si>
    <t>Le Vauclin</t>
  </si>
  <si>
    <t>Le Morne-Vert</t>
  </si>
  <si>
    <t>Cayenne</t>
  </si>
  <si>
    <t>Macouria</t>
  </si>
  <si>
    <t>Matoury</t>
  </si>
  <si>
    <t>Remire-Montjoly</t>
  </si>
  <si>
    <t>Roura</t>
  </si>
  <si>
    <t>Montsinéry-Tonnegrande</t>
  </si>
  <si>
    <t>Les Avirons</t>
  </si>
  <si>
    <t>Bras-Panon</t>
  </si>
  <si>
    <t>Entre-Deux</t>
  </si>
  <si>
    <t>L'Étang-Salé</t>
  </si>
  <si>
    <t>Petite-Île</t>
  </si>
  <si>
    <t>La Plaine-des-Palmistes</t>
  </si>
  <si>
    <t>Le Port</t>
  </si>
  <si>
    <t>La Possession</t>
  </si>
  <si>
    <t>Saint-André</t>
  </si>
  <si>
    <t>'97401'</t>
  </si>
  <si>
    <t>'97402'</t>
  </si>
  <si>
    <t>'97403'</t>
  </si>
  <si>
    <t>'97406'</t>
  </si>
  <si>
    <t>'97408'</t>
  </si>
  <si>
    <t>'97409'</t>
  </si>
  <si>
    <t>'97483'</t>
  </si>
  <si>
    <t>'97484'</t>
  </si>
  <si>
    <t>'97485'</t>
  </si>
  <si>
    <t>'97486'</t>
  </si>
  <si>
    <t>'97701'</t>
  </si>
  <si>
    <t>'97702'</t>
  </si>
  <si>
    <t>'97703'</t>
  </si>
  <si>
    <t>'97704'</t>
  </si>
  <si>
    <t>'97705'</t>
  </si>
  <si>
    <t>'97706'</t>
  </si>
  <si>
    <t>'97707'</t>
  </si>
  <si>
    <t>'97708'</t>
  </si>
  <si>
    <t>'97709'</t>
  </si>
  <si>
    <t>'97711'</t>
  </si>
  <si>
    <t>'97712'</t>
  </si>
  <si>
    <t>'97713'</t>
  </si>
  <si>
    <t>'97714'</t>
  </si>
  <si>
    <t>'97715'</t>
  </si>
  <si>
    <t>'97716'</t>
  </si>
  <si>
    <t>'97717'</t>
  </si>
  <si>
    <t>'97718'</t>
  </si>
  <si>
    <t>'97719'</t>
  </si>
  <si>
    <t>'97806'</t>
  </si>
  <si>
    <t>Saint-Leu</t>
  </si>
  <si>
    <t>Saint-Philippe</t>
  </si>
  <si>
    <t>Salazie</t>
  </si>
  <si>
    <t>Le Tampon</t>
  </si>
  <si>
    <t>Les Trois-Bassins</t>
  </si>
  <si>
    <t>Cilaos</t>
  </si>
  <si>
    <t>Chiconi</t>
  </si>
  <si>
    <t>COMMUNAUTE DE COMMUNES DU CENTRE OUEST</t>
  </si>
  <si>
    <t>'97670'</t>
  </si>
  <si>
    <t>Dembeni</t>
  </si>
  <si>
    <t>Mamoudzou</t>
  </si>
  <si>
    <t>M'Tsangamouji</t>
  </si>
  <si>
    <t>'97650'</t>
  </si>
  <si>
    <t>Ouangani</t>
  </si>
  <si>
    <t>Sada</t>
  </si>
  <si>
    <t>'97640'</t>
  </si>
  <si>
    <t>abattement 2025</t>
  </si>
  <si>
    <t>Tx 2025</t>
  </si>
  <si>
    <t>COMMUNAUTE D'AGGLOMERATION VICHY COMMUNAUTE</t>
  </si>
  <si>
    <t>COMMUNAUTE DE COMMUNES ARDECHE RHONE COIRON</t>
  </si>
  <si>
    <t>'07400'</t>
  </si>
  <si>
    <t>'07350'</t>
  </si>
  <si>
    <t>'07401'</t>
  </si>
  <si>
    <t>'07220'</t>
  </si>
  <si>
    <t>'07402'</t>
  </si>
  <si>
    <t>'07403'</t>
  </si>
  <si>
    <t>'07404'</t>
  </si>
  <si>
    <t>'07405'</t>
  </si>
  <si>
    <t>'07406'</t>
  </si>
  <si>
    <t>'07408'</t>
  </si>
  <si>
    <t>'24220'</t>
  </si>
  <si>
    <t>'24620'</t>
  </si>
  <si>
    <t>'24250'</t>
  </si>
  <si>
    <t>GRAND BESANCON METROPOLE</t>
  </si>
  <si>
    <t>CA DU PAYS DE LANDERNEAU DAOULAS</t>
  </si>
  <si>
    <t>COMMUNAUTE DE COMMUNES CC VAL D'IILLE-AUBIGNE</t>
  </si>
  <si>
    <t>COMMUNAUTE DE COMMUNES PAYS DE CHATEAUGIRON</t>
  </si>
  <si>
    <t>'35440'</t>
  </si>
  <si>
    <t>'35490'</t>
  </si>
  <si>
    <t>'35521'</t>
  </si>
  <si>
    <t>'35531'</t>
  </si>
  <si>
    <t>Roussillon</t>
  </si>
  <si>
    <t>38150'</t>
  </si>
  <si>
    <t>AGGLOMERATION DU GRAND SAINT-DIZIER DER &amp; VALLEES</t>
  </si>
  <si>
    <t>COMMUNAUTE D'AGGLOMERATION COEUR DE FLANDRE</t>
  </si>
  <si>
    <t>'59285'</t>
  </si>
  <si>
    <t>'59670'</t>
  </si>
  <si>
    <t>'59173'</t>
  </si>
  <si>
    <t>'59299'</t>
  </si>
  <si>
    <t>'59189'</t>
  </si>
  <si>
    <t>'59190'</t>
  </si>
  <si>
    <t>'59529'</t>
  </si>
  <si>
    <t>'59522'</t>
  </si>
  <si>
    <t>'59523'</t>
  </si>
  <si>
    <t>'59114'</t>
  </si>
  <si>
    <t>'59524'</t>
  </si>
  <si>
    <t>COMMUNAUTE COMMUNES DES PAYS D'OISE ET D'HALATTE</t>
  </si>
  <si>
    <t>'60725'</t>
  </si>
  <si>
    <t>PERPIGNAN MEDITERRANEE METROPOLE</t>
  </si>
  <si>
    <t>'66550'</t>
  </si>
  <si>
    <t>PETR SELESTAT ALSACE CENTRALE</t>
  </si>
  <si>
    <t>'67220'</t>
  </si>
  <si>
    <t>'67390'</t>
  </si>
  <si>
    <t>'67920'</t>
  </si>
  <si>
    <t>'67820'</t>
  </si>
  <si>
    <t>'68660'</t>
  </si>
  <si>
    <t>'68160'</t>
  </si>
  <si>
    <t>PAMANDZI</t>
  </si>
  <si>
    <t>97615'</t>
  </si>
  <si>
    <t>TISSEO COLLECTIVITES</t>
  </si>
  <si>
    <t>'31620'</t>
  </si>
  <si>
    <t>'31370'</t>
  </si>
  <si>
    <t>2A011</t>
  </si>
  <si>
    <t>COMMUNAUTE DE COMMUNES DE L'ALTA ROCCA</t>
  </si>
  <si>
    <t>'20112'</t>
  </si>
  <si>
    <t>2A024</t>
  </si>
  <si>
    <t>'20116'</t>
  </si>
  <si>
    <t>2A061</t>
  </si>
  <si>
    <t>'20170'</t>
  </si>
  <si>
    <t>2A066</t>
  </si>
  <si>
    <t>'20164'</t>
  </si>
  <si>
    <t>2A092</t>
  </si>
  <si>
    <t>'20135'</t>
  </si>
  <si>
    <t>2A142</t>
  </si>
  <si>
    <t>2A146</t>
  </si>
  <si>
    <t>'20165'</t>
  </si>
  <si>
    <t>2A158</t>
  </si>
  <si>
    <t>2A191</t>
  </si>
  <si>
    <t>2A254</t>
  </si>
  <si>
    <t>'20122'</t>
  </si>
  <si>
    <t>2A269</t>
  </si>
  <si>
    <t>'20145'</t>
  </si>
  <si>
    <t>2A278</t>
  </si>
  <si>
    <t>'20127'</t>
  </si>
  <si>
    <t>2A285</t>
  </si>
  <si>
    <t>'20152'</t>
  </si>
  <si>
    <t>2A300</t>
  </si>
  <si>
    <t>2A308</t>
  </si>
  <si>
    <t>2A357</t>
  </si>
  <si>
    <t>2A362</t>
  </si>
  <si>
    <t>'20124'</t>
  </si>
  <si>
    <t>'20144'</t>
  </si>
  <si>
    <t>2A363</t>
  </si>
  <si>
    <t>COMITE SYNDICAL PETR DU DOUBS CENTRAL</t>
  </si>
  <si>
    <t>'25340'</t>
  </si>
  <si>
    <t>'25116'</t>
  </si>
  <si>
    <t>'25110'</t>
  </si>
  <si>
    <t>'25112'</t>
  </si>
  <si>
    <t>'25119'</t>
  </si>
  <si>
    <t>'25680'</t>
  </si>
  <si>
    <t>'25114'</t>
  </si>
  <si>
    <t>'25380'</t>
  </si>
  <si>
    <t>'25430'</t>
  </si>
  <si>
    <t>'25820'</t>
  </si>
  <si>
    <t xml:space="preserve">  Plafond SS mensuel 2017</t>
  </si>
  <si>
    <t xml:space="preserve">  Plafond SS journalier 2017</t>
  </si>
  <si>
    <t xml:space="preserve">  Plafond SS journalier 2025</t>
  </si>
  <si>
    <t xml:space="preserve">  Plafond SS mensuel 2025</t>
  </si>
  <si>
    <t>new, IDF sans abattement depuis 2025 &amp; SYTRAL avec abattement de 25%</t>
  </si>
  <si>
    <t>PLAFOND SS URSSAF 2,4242 SMIC</t>
  </si>
  <si>
    <t>forfait social sur contribution prévoyance</t>
  </si>
  <si>
    <t>Date de début :</t>
  </si>
  <si>
    <t>Type de contrat :</t>
  </si>
  <si>
    <t>CDI CADRE</t>
  </si>
  <si>
    <t>Simulation de salaire chez Portalia</t>
  </si>
  <si>
    <t>Eléments du salaire</t>
  </si>
  <si>
    <t>[payée sur les charges salariales]</t>
  </si>
  <si>
    <t>[encadrés par la politique interne de frais Portalia]</t>
  </si>
  <si>
    <t>Salaire brut</t>
  </si>
  <si>
    <t>Cet outil de simulation est confidentiel et n'est fourni qu'à titre indicatif. 
Les simulations produites ne constituent en aucune façon un engagement contractuel.</t>
  </si>
  <si>
    <t>Taux Journalier</t>
  </si>
  <si>
    <t>le taux négocié entre le client et le CS (hors taxe par jour) pour la prestation.</t>
  </si>
  <si>
    <t>Nombre de jours travailles</t>
  </si>
  <si>
    <t xml:space="preserve">les 18 jours prennent en compte les jours fériés, les jours de congés sur 1 année (25), la limite des 218 jours par an (en forfait jour). </t>
  </si>
  <si>
    <t>Facturation client</t>
  </si>
  <si>
    <t>le chiffre d’affaires du CS en fonction du nombre de jours travailles x le taux journalier</t>
  </si>
  <si>
    <t>le tarif Portalia pour la mise en place des services (contrat de travail, déclarations, gestion de la paie, outils et accompagnement, support HR &amp; Juridique, facturation et recouvrement). Il est négocié en fonction du Taux Journalier/rémunération du CS</t>
  </si>
  <si>
    <t xml:space="preserve">paiement de l’intégralité du salaire sans l’attente de la facturation client </t>
  </si>
  <si>
    <t>Frais complementaires</t>
  </si>
  <si>
    <t>frais fixes qu’une entreprise de portage salarial paie pour l’exercice de l’activité du consultant. C’est le même montant pour tout le monde. [Obligation d’inscription au cabinet de santé lors de la contractualisation et la gestion des accidents de travail et maladies prof ; l’impôt sur la valeur ajoutée à chaque personne recrutée ; la Responsabilité Civile et Pro, et la Garantie Financière]</t>
  </si>
  <si>
    <t>Frais professionnels non refacturables liés à l’activité du CS et qui impactent le chiffre d’affaires pour permettre une optimisation fiscale, bénéficier d’une exonération des charges sociales et fiscales sur le montant de frais. Ces frais ne sont pas imposables. Montant maximum de 30% du salaire brut mensuel.</t>
  </si>
  <si>
    <t>Tickets Restaurant</t>
  </si>
  <si>
    <t xml:space="preserve">La partie prise en charge par l’employeur (50%) est considérée comme des frais pour permettre une optimisation fiscale et exonération de charges. L’autre partie est déduite directement du Net. </t>
  </si>
  <si>
    <t>Provisions</t>
  </si>
  <si>
    <t>• Provision RC 2%) : % min. Réserve qui permet de payer une indemnité de RC.</t>
  </si>
  <si>
    <t>• Provision Intermission (10%) : % min. Reserve en cas de période sans mission.</t>
  </si>
  <si>
    <t>• Provision CP (10%) : % fixé par la convention collective. Réserve en cas de congés.</t>
  </si>
  <si>
    <t>[Facturation client – Frais de gestion – Frais complémentaires – TR – Provision] : Montant qu’il reste pour calculer le salaire (d’abord brut avec le déductions des charges patronales puis net avec la déduction des charges salariales)</t>
  </si>
  <si>
    <t>Salaire brut reel</t>
  </si>
  <si>
    <t>[Charges patronales entre 40 et 45%] : Cela varie en fonction du nombre de jours travaillés et des frais de fonctionnement déclarés] – L’indemnité RC est exonérée de charges sociales &amp; fiscales, en revanche il y a un forfait social à payer à l’Etat de 30%)</t>
  </si>
  <si>
    <t>Salaire net avant impots (sur bulletin de paie)</t>
  </si>
  <si>
    <t>Salaire déduit des charges salariales sans le taux d’imposition. Le salaire est versé entre le 5 et 7 en début de mois</t>
  </si>
  <si>
    <t>Frais de fonctionnement + TR (Payes hors bulletin de salaire)</t>
  </si>
  <si>
    <t>Somme des frais et Tickets restaurant. Les TR sont chargés sur la carte SWILE et les frais sont remboursés entre le 25 et 27.</t>
  </si>
  <si>
    <t>il s’agit d’une estimation du Package Total et qui prend en compte le salaire net, les frais et TR</t>
  </si>
  <si>
    <t>Provisions net reversees en fin de contrat</t>
  </si>
  <si>
    <t>Montant des provisions en net qui seront reverses lors de la sortie des effectifs ou sur demande du consultant durant l'exercice de sa mission</t>
  </si>
  <si>
    <t>Le salaire versé chaque mois et visible sur le bulletin de salaire (en rapport avec cette simulation) – Hors provision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</si>
</sst>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0.0000%"/>
    <numFmt numFmtId="165" formatCode="#,##0.00\ [$€-1];[Red]\-#,##0.00\ [$€-1]"/>
    <numFmt numFmtId="166" formatCode="_([$€-2]\ * #,##0.00_);_([$€-2]\ * \(#,##0.00\);_([$€-2]\ * &quot;-&quot;??_);_(@_)"/>
    <numFmt numFmtId="167" formatCode="_-* #,##0\ [$€-40C]_-;\-* #,##0\ [$€-40C]_-;_-* &quot;-&quot;??\ [$€-40C]_-;_-@_-"/>
    <numFmt numFmtId="168" formatCode="#,##0&quot; jours&quot;"/>
    <numFmt numFmtId="169" formatCode="0.000"/>
    <numFmt numFmtId="170" formatCode="_-[$€-2]\ * #,##0.00_-;\-[$€-2]\ * #,##0.00_-;_-[$€-2]\ * &quot;-&quot;??_-;_-@_-"/>
    <numFmt numFmtId="171" formatCode="0.0%"/>
    <numFmt numFmtId="172" formatCode="0.000000"/>
    <numFmt numFmtId="173" formatCode="0.000%"/>
    <numFmt numFmtId="174" formatCode="#,##0.000\ [$€-1];[Red]\-#,##0.000\ [$€-1]"/>
    <numFmt numFmtId="175" formatCode="00000"/>
    <numFmt numFmtId="176" formatCode="[$-40C]d\ mmmm\ yyyy;@"/>
  </numFmts>
  <fonts count="53" x14ac:knownFonts="1">
    <font>
      <sz val="11"/>
      <color theme="1"/>
      <name val="Calibri"/>
      <family val="2"/>
      <scheme val="minor"/>
    </font>
    <font>
      <sz val="11"/>
      <color theme="1"/>
      <name val="Calibri"/>
      <family val="2"/>
      <scheme val="minor"/>
    </font>
    <font>
      <b/>
      <sz val="11"/>
      <color theme="1"/>
      <name val="Calibri"/>
      <family val="2"/>
      <scheme val="minor"/>
    </font>
    <font>
      <b/>
      <sz val="11"/>
      <color indexed="9"/>
      <name val="Calibri"/>
      <family val="2"/>
    </font>
    <font>
      <sz val="11"/>
      <color indexed="8"/>
      <name val="Calibri"/>
      <family val="2"/>
    </font>
    <font>
      <b/>
      <sz val="11"/>
      <color indexed="8"/>
      <name val="Calibri"/>
      <family val="2"/>
    </font>
    <font>
      <b/>
      <sz val="10"/>
      <color theme="1"/>
      <name val="Segoe UI"/>
      <family val="2"/>
    </font>
    <font>
      <sz val="10"/>
      <color theme="1"/>
      <name val="Arial"/>
      <family val="2"/>
    </font>
    <font>
      <sz val="11"/>
      <color theme="0"/>
      <name val="Calibri"/>
      <family val="2"/>
      <scheme val="minor"/>
    </font>
    <font>
      <i/>
      <sz val="9"/>
      <color theme="1"/>
      <name val="Calibri"/>
      <family val="2"/>
      <scheme val="minor"/>
    </font>
    <font>
      <sz val="9"/>
      <color indexed="81"/>
      <name val="Tahoma"/>
      <family val="2"/>
    </font>
    <font>
      <b/>
      <sz val="9"/>
      <color indexed="81"/>
      <name val="Tahoma"/>
      <family val="2"/>
    </font>
    <font>
      <b/>
      <sz val="11"/>
      <color theme="0"/>
      <name val="Calibri"/>
      <family val="2"/>
      <scheme val="minor"/>
    </font>
    <font>
      <b/>
      <sz val="14"/>
      <color rgb="FF1B5FAB"/>
      <name val="Segoe UI"/>
      <family val="2"/>
    </font>
    <font>
      <b/>
      <sz val="12"/>
      <color rgb="FF00CC99"/>
      <name val="Segoe UI"/>
      <family val="2"/>
    </font>
    <font>
      <i/>
      <sz val="11"/>
      <color theme="1"/>
      <name val="Calibri"/>
      <family val="2"/>
      <scheme val="minor"/>
    </font>
    <font>
      <i/>
      <u/>
      <sz val="9"/>
      <color theme="1"/>
      <name val="Calibri"/>
      <family val="2"/>
      <scheme val="minor"/>
    </font>
    <font>
      <b/>
      <sz val="11"/>
      <color theme="9"/>
      <name val="Calibri"/>
      <family val="2"/>
      <scheme val="minor"/>
    </font>
    <font>
      <b/>
      <sz val="24"/>
      <color theme="1"/>
      <name val="Calibri"/>
      <family val="2"/>
      <scheme val="minor"/>
    </font>
    <font>
      <i/>
      <sz val="9"/>
      <color rgb="FFFF0000"/>
      <name val="Calibri"/>
      <family val="2"/>
      <scheme val="minor"/>
    </font>
    <font>
      <sz val="9"/>
      <color indexed="8"/>
      <name val="Calibri"/>
      <family val="2"/>
    </font>
    <font>
      <b/>
      <sz val="9"/>
      <color indexed="8"/>
      <name val="Calibri"/>
      <family val="2"/>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color theme="1"/>
      <name val="Calibri"/>
      <family val="2"/>
      <scheme val="minor"/>
    </font>
    <font>
      <b/>
      <i/>
      <sz val="9"/>
      <color theme="1"/>
      <name val="Calibri"/>
      <family val="2"/>
      <scheme val="minor"/>
    </font>
    <font>
      <b/>
      <sz val="10"/>
      <name val="Segoe UI"/>
      <family val="2"/>
    </font>
    <font>
      <b/>
      <sz val="10"/>
      <name val="Calibri"/>
      <family val="2"/>
      <scheme val="minor"/>
    </font>
    <font>
      <b/>
      <sz val="11"/>
      <color rgb="FFFF0000"/>
      <name val="Calibri"/>
      <family val="2"/>
      <scheme val="minor"/>
    </font>
    <font>
      <b/>
      <sz val="11"/>
      <name val="Calibri"/>
      <family val="2"/>
      <scheme val="minor"/>
    </font>
    <font>
      <sz val="11"/>
      <name val="Calibri"/>
      <family val="2"/>
      <scheme val="minor"/>
    </font>
    <font>
      <b/>
      <sz val="10"/>
      <color theme="1"/>
      <name val="Calibri"/>
      <family val="2"/>
      <scheme val="minor"/>
    </font>
    <font>
      <i/>
      <sz val="10"/>
      <color theme="1"/>
      <name val="Calibri"/>
      <family val="2"/>
      <scheme val="minor"/>
    </font>
    <font>
      <u/>
      <sz val="11"/>
      <color theme="10"/>
      <name val="Calibri"/>
      <family val="2"/>
      <scheme val="minor"/>
    </font>
    <font>
      <sz val="11"/>
      <color rgb="FF000000"/>
      <name val="Calibri"/>
      <family val="2"/>
    </font>
    <font>
      <sz val="8"/>
      <name val="Calibri"/>
      <family val="2"/>
      <scheme val="minor"/>
    </font>
    <font>
      <sz val="11"/>
      <color rgb="FF000000"/>
      <name val="Calibri"/>
      <family val="2"/>
      <scheme val="minor"/>
    </font>
    <font>
      <b/>
      <u/>
      <sz val="11"/>
      <color rgb="FF000000"/>
      <name val="Calibri"/>
      <family val="2"/>
      <scheme val="minor"/>
    </font>
    <font>
      <i/>
      <sz val="9"/>
      <color rgb="FF000000"/>
      <name val="Calibri"/>
      <family val="2"/>
      <scheme val="minor"/>
    </font>
    <font>
      <b/>
      <sz val="11"/>
      <color rgb="FFFFFFFF"/>
      <name val="Calibri"/>
      <family val="2"/>
      <scheme val="minor"/>
    </font>
    <font>
      <b/>
      <sz val="11"/>
      <color rgb="FF000000"/>
      <name val="Calibri"/>
      <family val="2"/>
      <scheme val="minor"/>
    </font>
  </fonts>
  <fills count="51">
    <fill>
      <patternFill patternType="none"/>
    </fill>
    <fill>
      <patternFill patternType="gray125"/>
    </fill>
    <fill>
      <patternFill patternType="solid">
        <fgColor rgb="FF808080"/>
        <bgColor indexed="64"/>
      </patternFill>
    </fill>
    <fill>
      <patternFill patternType="solid">
        <fgColor rgb="FFF5F5DC"/>
        <bgColor indexed="64"/>
      </patternFill>
    </fill>
    <fill>
      <patternFill patternType="solid">
        <fgColor rgb="FFFFEBCD"/>
        <bgColor indexed="64"/>
      </patternFill>
    </fill>
    <fill>
      <patternFill patternType="solid">
        <fgColor rgb="FFFFFF00"/>
        <bgColor indexed="64"/>
      </patternFill>
    </fill>
    <fill>
      <patternFill patternType="solid">
        <fgColor rgb="FFE8E8E8"/>
        <bgColor indexed="64"/>
      </patternFill>
    </fill>
    <fill>
      <patternFill patternType="solid">
        <fgColor rgb="FFF5F5F5"/>
        <bgColor indexed="64"/>
      </patternFill>
    </fill>
    <fill>
      <patternFill patternType="solid">
        <fgColor theme="5" tint="0.59999389629810485"/>
        <bgColor indexed="64"/>
      </patternFill>
    </fill>
    <fill>
      <patternFill patternType="solid">
        <fgColor rgb="FFFFFACD"/>
        <bgColor indexed="64"/>
      </patternFill>
    </fill>
    <fill>
      <patternFill patternType="solid">
        <fgColor rgb="FFD2B48C"/>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rgb="FF000000"/>
      </patternFill>
    </fill>
    <fill>
      <patternFill patternType="solid">
        <fgColor rgb="FF80C9FF"/>
        <bgColor rgb="FF000000"/>
      </patternFill>
    </fill>
    <fill>
      <patternFill patternType="solid">
        <fgColor rgb="FF80C9FF"/>
        <bgColor indexed="64"/>
      </patternFill>
    </fill>
    <fill>
      <patternFill patternType="solid">
        <fgColor rgb="FF00528E"/>
        <bgColor rgb="FF000000"/>
      </patternFill>
    </fill>
    <fill>
      <patternFill patternType="solid">
        <fgColor rgb="FF00528E"/>
        <bgColor indexed="64"/>
      </patternFill>
    </fill>
  </fills>
  <borders count="67">
    <border>
      <left/>
      <right/>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thin">
        <color rgb="FF1B5FAB"/>
      </left>
      <right/>
      <top style="thin">
        <color rgb="FF1B5FAB"/>
      </top>
      <bottom style="thin">
        <color rgb="FF1B5FAB"/>
      </bottom>
      <diagonal/>
    </border>
    <border>
      <left/>
      <right/>
      <top style="thin">
        <color rgb="FF1B5FAB"/>
      </top>
      <bottom style="thin">
        <color rgb="FF1B5FAB"/>
      </bottom>
      <diagonal/>
    </border>
    <border>
      <left/>
      <right style="thin">
        <color rgb="FF1B5FAB"/>
      </right>
      <top style="thin">
        <color rgb="FF1B5FAB"/>
      </top>
      <bottom style="thin">
        <color rgb="FF1B5FAB"/>
      </bottom>
      <diagonal/>
    </border>
    <border>
      <left style="thin">
        <color rgb="FF1B5FAB"/>
      </left>
      <right/>
      <top/>
      <bottom/>
      <diagonal/>
    </border>
    <border>
      <left style="thin">
        <color rgb="FF1B5FAB"/>
      </left>
      <right/>
      <top style="thin">
        <color rgb="FF1B5FAB"/>
      </top>
      <bottom/>
      <diagonal/>
    </border>
    <border>
      <left/>
      <right style="thin">
        <color rgb="FF1B5FAB"/>
      </right>
      <top style="thin">
        <color rgb="FF1B5FAB"/>
      </top>
      <bottom/>
      <diagonal/>
    </border>
    <border>
      <left/>
      <right style="thin">
        <color rgb="FF1B5FAB"/>
      </right>
      <top/>
      <bottom/>
      <diagonal/>
    </border>
    <border>
      <left/>
      <right/>
      <top/>
      <bottom style="thin">
        <color rgb="FF1B5FAB"/>
      </bottom>
      <diagonal/>
    </border>
    <border>
      <left/>
      <right style="thin">
        <color rgb="FF1B5FAB"/>
      </right>
      <top/>
      <bottom style="thin">
        <color rgb="FF1B5FAB"/>
      </bottom>
      <diagonal/>
    </border>
    <border>
      <left/>
      <right/>
      <top style="thin">
        <color rgb="FF1B5FAB"/>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249977111117893"/>
      </bottom>
      <diagonal/>
    </border>
    <border>
      <left/>
      <right style="thin">
        <color theme="4" tint="-0.249977111117893"/>
      </right>
      <top/>
      <bottom/>
      <diagonal/>
    </border>
    <border>
      <left style="thin">
        <color theme="4" tint="-0.249977111117893"/>
      </left>
      <right/>
      <top/>
      <bottom style="thin">
        <color theme="4" tint="-0.249977111117893"/>
      </bottom>
      <diagonal/>
    </border>
    <border>
      <left style="thin">
        <color auto="1"/>
      </left>
      <right style="thin">
        <color auto="1"/>
      </right>
      <top style="thin">
        <color auto="1"/>
      </top>
      <bottom/>
      <diagonal/>
    </border>
    <border>
      <left/>
      <right/>
      <top/>
      <bottom style="thin">
        <color auto="1"/>
      </bottom>
      <diagonal/>
    </border>
    <border>
      <left style="thin">
        <color theme="4" tint="-0.249977111117893"/>
      </left>
      <right/>
      <top/>
      <bottom/>
      <diagonal/>
    </border>
    <border>
      <left style="thin">
        <color rgb="FF1B5FAB"/>
      </left>
      <right/>
      <top/>
      <bottom style="thin">
        <color theme="8"/>
      </bottom>
      <diagonal/>
    </border>
    <border>
      <left/>
      <right style="thin">
        <color theme="8"/>
      </right>
      <top/>
      <bottom/>
      <diagonal/>
    </border>
    <border>
      <left style="thin">
        <color theme="8"/>
      </left>
      <right/>
      <top style="thin">
        <color theme="8"/>
      </top>
      <bottom style="thin">
        <color theme="8"/>
      </bottom>
      <diagonal/>
    </border>
    <border>
      <left/>
      <right style="thin">
        <color theme="8"/>
      </right>
      <top style="thin">
        <color theme="8"/>
      </top>
      <bottom style="thin">
        <color theme="8"/>
      </bottom>
      <diagonal/>
    </border>
    <border>
      <left/>
      <right style="thin">
        <color theme="8"/>
      </right>
      <top/>
      <bottom style="thin">
        <color theme="8"/>
      </bottom>
      <diagonal/>
    </border>
    <border>
      <left style="thin">
        <color theme="4" tint="-0.249977111117893"/>
      </left>
      <right/>
      <top/>
      <bottom style="thin">
        <color theme="8"/>
      </bottom>
      <diagonal/>
    </border>
    <border>
      <left style="thin">
        <color theme="4" tint="-0.249977111117893"/>
      </left>
      <right/>
      <top style="thin">
        <color theme="8"/>
      </top>
      <bottom style="thin">
        <color theme="8"/>
      </bottom>
      <diagonal/>
    </border>
    <border>
      <left/>
      <right style="thin">
        <color theme="4" tint="-0.249977111117893"/>
      </right>
      <top style="thin">
        <color theme="8"/>
      </top>
      <bottom style="thin">
        <color theme="8"/>
      </bottom>
      <diagonal/>
    </border>
    <border>
      <left style="medium">
        <color theme="8"/>
      </left>
      <right/>
      <top style="medium">
        <color theme="8"/>
      </top>
      <bottom style="medium">
        <color theme="8"/>
      </bottom>
      <diagonal/>
    </border>
    <border>
      <left/>
      <right/>
      <top style="medium">
        <color theme="8"/>
      </top>
      <bottom style="medium">
        <color theme="8"/>
      </bottom>
      <diagonal/>
    </border>
    <border>
      <left/>
      <right/>
      <top/>
      <bottom style="thin">
        <color theme="4"/>
      </bottom>
      <diagonal/>
    </border>
    <border>
      <left style="thin">
        <color rgb="FF1B5FAB"/>
      </left>
      <right/>
      <top style="thin">
        <color theme="4"/>
      </top>
      <bottom style="thin">
        <color theme="4"/>
      </bottom>
      <diagonal/>
    </border>
    <border>
      <left/>
      <right/>
      <top style="thin">
        <color theme="4"/>
      </top>
      <bottom style="thin">
        <color theme="4"/>
      </bottom>
      <diagonal/>
    </border>
    <border>
      <left/>
      <right style="thin">
        <color rgb="FF0070C0"/>
      </right>
      <top style="thin">
        <color theme="4"/>
      </top>
      <bottom style="thin">
        <color theme="4"/>
      </bottom>
      <diagonal/>
    </border>
    <border>
      <left/>
      <right/>
      <top/>
      <bottom style="thin">
        <color rgb="FF00528E"/>
      </bottom>
      <diagonal/>
    </border>
    <border>
      <left/>
      <right/>
      <top/>
      <bottom style="medium">
        <color indexed="64"/>
      </bottom>
      <diagonal/>
    </border>
    <border>
      <left/>
      <right style="medium">
        <color theme="4"/>
      </right>
      <top style="medium">
        <color theme="8"/>
      </top>
      <bottom style="medium">
        <color theme="8"/>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5">
    <xf numFmtId="0" fontId="0"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xf numFmtId="0" fontId="24" fillId="0" borderId="27" applyNumberFormat="0" applyFill="0" applyAlignment="0" applyProtection="0"/>
    <xf numFmtId="0" fontId="25" fillId="0" borderId="28" applyNumberFormat="0" applyFill="0" applyAlignment="0" applyProtection="0"/>
    <xf numFmtId="0" fontId="26" fillId="0" borderId="29" applyNumberFormat="0" applyFill="0" applyAlignment="0" applyProtection="0"/>
    <xf numFmtId="0" fontId="26" fillId="0" borderId="0" applyNumberFormat="0" applyFill="0" applyBorder="0" applyAlignment="0" applyProtection="0"/>
    <xf numFmtId="0" fontId="27" fillId="15" borderId="0" applyNumberFormat="0" applyBorder="0" applyAlignment="0" applyProtection="0"/>
    <xf numFmtId="0" fontId="28" fillId="16" borderId="0" applyNumberFormat="0" applyBorder="0" applyAlignment="0" applyProtection="0"/>
    <xf numFmtId="0" fontId="29" fillId="17" borderId="0" applyNumberFormat="0" applyBorder="0" applyAlignment="0" applyProtection="0"/>
    <xf numFmtId="0" fontId="30" fillId="18" borderId="30" applyNumberFormat="0" applyAlignment="0" applyProtection="0"/>
    <xf numFmtId="0" fontId="31" fillId="19" borderId="31" applyNumberFormat="0" applyAlignment="0" applyProtection="0"/>
    <xf numFmtId="0" fontId="32" fillId="19" borderId="30" applyNumberFormat="0" applyAlignment="0" applyProtection="0"/>
    <xf numFmtId="0" fontId="33" fillId="0" borderId="32" applyNumberFormat="0" applyFill="0" applyAlignment="0" applyProtection="0"/>
    <xf numFmtId="0" fontId="12" fillId="20" borderId="33" applyNumberFormat="0" applyAlignment="0" applyProtection="0"/>
    <xf numFmtId="0" fontId="34" fillId="0" borderId="0" applyNumberFormat="0" applyFill="0" applyBorder="0" applyAlignment="0" applyProtection="0"/>
    <xf numFmtId="0" fontId="1" fillId="21" borderId="34" applyNumberFormat="0" applyFont="0" applyAlignment="0" applyProtection="0"/>
    <xf numFmtId="0" fontId="35" fillId="0" borderId="0" applyNumberFormat="0" applyFill="0" applyBorder="0" applyAlignment="0" applyProtection="0"/>
    <xf numFmtId="0" fontId="2" fillId="0" borderId="35" applyNumberFormat="0" applyFill="0" applyAlignment="0" applyProtection="0"/>
    <xf numFmtId="0" fontId="8"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8" fillId="45" borderId="0" applyNumberFormat="0" applyBorder="0" applyAlignment="0" applyProtection="0"/>
    <xf numFmtId="0" fontId="45" fillId="0" borderId="0" applyNumberFormat="0" applyFill="0" applyBorder="0" applyAlignment="0" applyProtection="0"/>
  </cellStyleXfs>
  <cellXfs count="220">
    <xf numFmtId="0" fontId="0" fillId="0" borderId="0" xfId="0"/>
    <xf numFmtId="0" fontId="2" fillId="0" borderId="0" xfId="0" applyFont="1"/>
    <xf numFmtId="0" fontId="3" fillId="2" borderId="4" xfId="0" applyFont="1" applyFill="1" applyBorder="1" applyAlignment="1">
      <alignment horizontal="center" vertical="center" wrapText="1"/>
    </xf>
    <xf numFmtId="0" fontId="4" fillId="3" borderId="0" xfId="0" applyFont="1" applyFill="1"/>
    <xf numFmtId="4" fontId="4" fillId="3" borderId="0" xfId="0" applyNumberFormat="1" applyFont="1" applyFill="1"/>
    <xf numFmtId="0" fontId="5" fillId="3" borderId="0" xfId="0" applyFont="1" applyFill="1"/>
    <xf numFmtId="0" fontId="4" fillId="4" borderId="0" xfId="0" applyFont="1" applyFill="1"/>
    <xf numFmtId="4" fontId="4" fillId="4" borderId="0" xfId="0" applyNumberFormat="1" applyFont="1" applyFill="1"/>
    <xf numFmtId="0" fontId="5" fillId="4" borderId="0" xfId="0" applyFont="1" applyFill="1"/>
    <xf numFmtId="0" fontId="0" fillId="5" borderId="0" xfId="0" applyFill="1"/>
    <xf numFmtId="4" fontId="0" fillId="5" borderId="0" xfId="0" applyNumberFormat="1" applyFill="1"/>
    <xf numFmtId="164" fontId="0" fillId="0" borderId="0" xfId="0" applyNumberFormat="1"/>
    <xf numFmtId="0" fontId="6" fillId="8" borderId="8" xfId="0" applyFont="1" applyFill="1" applyBorder="1" applyAlignment="1">
      <alignment horizontal="center"/>
    </xf>
    <xf numFmtId="0" fontId="0" fillId="0" borderId="8" xfId="0" applyBorder="1"/>
    <xf numFmtId="165" fontId="0" fillId="0" borderId="8" xfId="0" applyNumberFormat="1" applyBorder="1"/>
    <xf numFmtId="165" fontId="0" fillId="0" borderId="0" xfId="0" applyNumberFormat="1"/>
    <xf numFmtId="4" fontId="0" fillId="0" borderId="0" xfId="0" applyNumberFormat="1"/>
    <xf numFmtId="4" fontId="5" fillId="4" borderId="0" xfId="0" applyNumberFormat="1" applyFont="1" applyFill="1"/>
    <xf numFmtId="10" fontId="4" fillId="4" borderId="0" xfId="1" applyNumberFormat="1" applyFont="1" applyFill="1" applyBorder="1" applyAlignment="1" applyProtection="1"/>
    <xf numFmtId="0" fontId="4" fillId="9" borderId="0" xfId="0" applyFont="1" applyFill="1"/>
    <xf numFmtId="4" fontId="4" fillId="9" borderId="0" xfId="0" applyNumberFormat="1" applyFont="1" applyFill="1"/>
    <xf numFmtId="0" fontId="5" fillId="9" borderId="0" xfId="0" applyFont="1" applyFill="1"/>
    <xf numFmtId="0" fontId="4" fillId="10" borderId="0" xfId="0" applyFont="1" applyFill="1"/>
    <xf numFmtId="4" fontId="4" fillId="10" borderId="0" xfId="0" applyNumberFormat="1" applyFont="1" applyFill="1"/>
    <xf numFmtId="0" fontId="5" fillId="10" borderId="0" xfId="0" applyFont="1" applyFill="1"/>
    <xf numFmtId="166" fontId="0" fillId="0" borderId="0" xfId="0" applyNumberFormat="1"/>
    <xf numFmtId="0" fontId="8" fillId="0" borderId="0" xfId="0" applyFont="1"/>
    <xf numFmtId="0" fontId="0" fillId="0" borderId="13" xfId="0" applyBorder="1"/>
    <xf numFmtId="9" fontId="0" fillId="0" borderId="13" xfId="0" applyNumberFormat="1" applyBorder="1"/>
    <xf numFmtId="2" fontId="0" fillId="0" borderId="13" xfId="0" applyNumberFormat="1" applyBorder="1"/>
    <xf numFmtId="1" fontId="0" fillId="0" borderId="13" xfId="0" applyNumberFormat="1" applyBorder="1"/>
    <xf numFmtId="0" fontId="9" fillId="0" borderId="0" xfId="0" applyFont="1"/>
    <xf numFmtId="166" fontId="0" fillId="0" borderId="13" xfId="0" applyNumberFormat="1" applyBorder="1"/>
    <xf numFmtId="4" fontId="0" fillId="0" borderId="13" xfId="0" applyNumberFormat="1" applyBorder="1"/>
    <xf numFmtId="0" fontId="0" fillId="11" borderId="13" xfId="0" applyFill="1" applyBorder="1"/>
    <xf numFmtId="2" fontId="0" fillId="0" borderId="0" xfId="0" applyNumberFormat="1"/>
    <xf numFmtId="0" fontId="4" fillId="12" borderId="0" xfId="0" applyFont="1" applyFill="1"/>
    <xf numFmtId="4" fontId="4" fillId="12" borderId="0" xfId="0" applyNumberFormat="1" applyFont="1" applyFill="1"/>
    <xf numFmtId="166" fontId="0" fillId="11" borderId="13" xfId="0" applyNumberFormat="1" applyFill="1" applyBorder="1"/>
    <xf numFmtId="9" fontId="0" fillId="11" borderId="13" xfId="1" applyFont="1" applyFill="1" applyBorder="1"/>
    <xf numFmtId="0" fontId="0" fillId="13" borderId="0" xfId="0" applyFill="1" applyAlignment="1">
      <alignment horizontal="center" vertical="center"/>
    </xf>
    <xf numFmtId="0" fontId="2" fillId="13" borderId="18" xfId="0" applyFont="1" applyFill="1" applyBorder="1" applyAlignment="1">
      <alignment horizontal="left" vertical="center"/>
    </xf>
    <xf numFmtId="0" fontId="2" fillId="13" borderId="17" xfId="0" applyFont="1" applyFill="1" applyBorder="1" applyAlignment="1">
      <alignment horizontal="left" vertical="center"/>
    </xf>
    <xf numFmtId="0" fontId="0" fillId="13" borderId="20" xfId="0" applyFill="1" applyBorder="1" applyAlignment="1">
      <alignment horizontal="center" vertical="center"/>
    </xf>
    <xf numFmtId="0" fontId="0" fillId="13" borderId="18" xfId="0" applyFill="1" applyBorder="1" applyAlignment="1">
      <alignment horizontal="left" vertical="center"/>
    </xf>
    <xf numFmtId="9" fontId="0" fillId="13" borderId="0" xfId="0" applyNumberFormat="1" applyFill="1" applyAlignment="1">
      <alignment horizontal="center" vertical="center"/>
    </xf>
    <xf numFmtId="166" fontId="0" fillId="13" borderId="0" xfId="0" applyNumberFormat="1" applyFill="1" applyAlignment="1">
      <alignment horizontal="center" vertical="center"/>
    </xf>
    <xf numFmtId="0" fontId="0" fillId="13" borderId="0" xfId="0" applyFill="1" applyAlignment="1">
      <alignment horizontal="left" vertical="center"/>
    </xf>
    <xf numFmtId="0" fontId="0" fillId="13" borderId="17" xfId="0" applyFill="1" applyBorder="1" applyAlignment="1">
      <alignment horizontal="left" vertical="center"/>
    </xf>
    <xf numFmtId="166" fontId="0" fillId="13" borderId="22" xfId="0" applyNumberFormat="1" applyFill="1" applyBorder="1" applyAlignment="1">
      <alignment horizontal="center" vertical="center"/>
    </xf>
    <xf numFmtId="0" fontId="18" fillId="0" borderId="13" xfId="0" applyFont="1" applyBorder="1"/>
    <xf numFmtId="0" fontId="0" fillId="0" borderId="24" xfId="0" applyBorder="1"/>
    <xf numFmtId="0" fontId="0" fillId="0" borderId="25" xfId="0" applyBorder="1"/>
    <xf numFmtId="0" fontId="0" fillId="0" borderId="24" xfId="0" applyBorder="1" applyAlignment="1">
      <alignment horizontal="center"/>
    </xf>
    <xf numFmtId="0" fontId="19" fillId="0" borderId="0" xfId="0" applyFont="1"/>
    <xf numFmtId="9" fontId="0" fillId="5" borderId="13" xfId="0" applyNumberFormat="1" applyFill="1" applyBorder="1"/>
    <xf numFmtId="2" fontId="17" fillId="0" borderId="0" xfId="0" applyNumberFormat="1" applyFont="1"/>
    <xf numFmtId="0" fontId="4" fillId="5" borderId="0" xfId="0" applyFont="1" applyFill="1"/>
    <xf numFmtId="4" fontId="4" fillId="5" borderId="0" xfId="0" applyNumberFormat="1" applyFont="1" applyFill="1"/>
    <xf numFmtId="0" fontId="4" fillId="12" borderId="0" xfId="0" applyFont="1" applyFill="1" applyAlignment="1">
      <alignment wrapText="1"/>
    </xf>
    <xf numFmtId="2" fontId="5" fillId="4" borderId="0" xfId="0" applyNumberFormat="1" applyFont="1" applyFill="1"/>
    <xf numFmtId="2" fontId="4" fillId="12" borderId="0" xfId="0" applyNumberFormat="1" applyFont="1" applyFill="1"/>
    <xf numFmtId="169" fontId="4" fillId="10" borderId="0" xfId="0" applyNumberFormat="1" applyFont="1" applyFill="1"/>
    <xf numFmtId="0" fontId="20" fillId="6" borderId="0" xfId="0" applyFont="1" applyFill="1"/>
    <xf numFmtId="4" fontId="20" fillId="7" borderId="0" xfId="0" applyNumberFormat="1" applyFont="1" applyFill="1"/>
    <xf numFmtId="164" fontId="20" fillId="7" borderId="0" xfId="1" applyNumberFormat="1" applyFont="1" applyFill="1" applyBorder="1" applyAlignment="1" applyProtection="1"/>
    <xf numFmtId="0" fontId="5" fillId="11" borderId="0" xfId="0" applyFont="1" applyFill="1"/>
    <xf numFmtId="2" fontId="5" fillId="11" borderId="0" xfId="0" applyNumberFormat="1" applyFont="1" applyFill="1"/>
    <xf numFmtId="4" fontId="5" fillId="11" borderId="0" xfId="0" applyNumberFormat="1" applyFont="1" applyFill="1"/>
    <xf numFmtId="0" fontId="20" fillId="6" borderId="6" xfId="0" applyFont="1" applyFill="1" applyBorder="1"/>
    <xf numFmtId="0" fontId="21" fillId="6" borderId="6" xfId="0" applyFont="1" applyFill="1" applyBorder="1" applyAlignment="1">
      <alignment horizontal="center" wrapText="1"/>
    </xf>
    <xf numFmtId="0" fontId="4" fillId="4" borderId="6" xfId="0" applyFont="1" applyFill="1" applyBorder="1"/>
    <xf numFmtId="4" fontId="4" fillId="4" borderId="6" xfId="0" applyNumberFormat="1" applyFont="1" applyFill="1" applyBorder="1"/>
    <xf numFmtId="4" fontId="5" fillId="4" borderId="6" xfId="0" applyNumberFormat="1" applyFont="1" applyFill="1" applyBorder="1"/>
    <xf numFmtId="168" fontId="4" fillId="4" borderId="6" xfId="0" applyNumberFormat="1" applyFont="1" applyFill="1" applyBorder="1"/>
    <xf numFmtId="168" fontId="5" fillId="11" borderId="0" xfId="0" applyNumberFormat="1" applyFont="1" applyFill="1"/>
    <xf numFmtId="168" fontId="4" fillId="10" borderId="0" xfId="0" applyNumberFormat="1" applyFont="1" applyFill="1"/>
    <xf numFmtId="168" fontId="4" fillId="9" borderId="0" xfId="0" applyNumberFormat="1" applyFont="1" applyFill="1"/>
    <xf numFmtId="168" fontId="4" fillId="5" borderId="0" xfId="0" applyNumberFormat="1" applyFont="1" applyFill="1"/>
    <xf numFmtId="168" fontId="4" fillId="12" borderId="0" xfId="0" applyNumberFormat="1" applyFont="1" applyFill="1"/>
    <xf numFmtId="168" fontId="4" fillId="3" borderId="0" xfId="0" applyNumberFormat="1" applyFont="1" applyFill="1"/>
    <xf numFmtId="168" fontId="5" fillId="4" borderId="0" xfId="0" applyNumberFormat="1" applyFont="1" applyFill="1"/>
    <xf numFmtId="0" fontId="14" fillId="13" borderId="15" xfId="0" applyFont="1" applyFill="1" applyBorder="1" applyAlignment="1">
      <alignment horizontal="right" vertical="center"/>
    </xf>
    <xf numFmtId="170" fontId="0" fillId="13" borderId="0" xfId="0" applyNumberFormat="1" applyFill="1" applyAlignment="1">
      <alignment horizontal="center" vertical="center"/>
    </xf>
    <xf numFmtId="2" fontId="4" fillId="9" borderId="0" xfId="0" applyNumberFormat="1" applyFont="1" applyFill="1"/>
    <xf numFmtId="0" fontId="0" fillId="0" borderId="0" xfId="0" applyAlignment="1">
      <alignment horizontal="center" wrapText="1"/>
    </xf>
    <xf numFmtId="43" fontId="0" fillId="0" borderId="0" xfId="2" applyFont="1"/>
    <xf numFmtId="0" fontId="22" fillId="0" borderId="0" xfId="0" applyFont="1"/>
    <xf numFmtId="0" fontId="36" fillId="0" borderId="0" xfId="0" applyFont="1"/>
    <xf numFmtId="0" fontId="9" fillId="13" borderId="17" xfId="0" applyFont="1" applyFill="1" applyBorder="1" applyAlignment="1">
      <alignment horizontal="left" vertical="center"/>
    </xf>
    <xf numFmtId="0" fontId="0" fillId="13" borderId="37" xfId="0" applyFill="1" applyBorder="1" applyAlignment="1">
      <alignment horizontal="center" vertical="center"/>
    </xf>
    <xf numFmtId="166" fontId="0" fillId="13" borderId="13" xfId="0" applyNumberFormat="1" applyFill="1" applyBorder="1"/>
    <xf numFmtId="2" fontId="0" fillId="11" borderId="13" xfId="0" applyNumberFormat="1" applyFill="1" applyBorder="1"/>
    <xf numFmtId="0" fontId="36" fillId="13" borderId="8" xfId="0" applyFont="1" applyFill="1" applyBorder="1" applyAlignment="1">
      <alignment horizontal="center" vertical="center"/>
    </xf>
    <xf numFmtId="0" fontId="38" fillId="8" borderId="12" xfId="0" applyFont="1" applyFill="1" applyBorder="1" applyAlignment="1">
      <alignment horizontal="center"/>
    </xf>
    <xf numFmtId="0" fontId="38" fillId="8" borderId="11" xfId="0" applyFont="1" applyFill="1" applyBorder="1" applyAlignment="1">
      <alignment horizontal="center"/>
    </xf>
    <xf numFmtId="0" fontId="39" fillId="13" borderId="7" xfId="0" applyFont="1" applyFill="1" applyBorder="1" applyAlignment="1">
      <alignment horizontal="center" vertical="center"/>
    </xf>
    <xf numFmtId="0" fontId="39" fillId="13" borderId="10" xfId="0" applyFont="1" applyFill="1" applyBorder="1" applyAlignment="1">
      <alignment horizontal="center" vertical="center"/>
    </xf>
    <xf numFmtId="169" fontId="0" fillId="0" borderId="0" xfId="0" applyNumberFormat="1"/>
    <xf numFmtId="172" fontId="0" fillId="0" borderId="0" xfId="0" applyNumberFormat="1"/>
    <xf numFmtId="2" fontId="0" fillId="0" borderId="0" xfId="0" applyNumberFormat="1" applyProtection="1">
      <protection locked="0"/>
    </xf>
    <xf numFmtId="170" fontId="0" fillId="0" borderId="0" xfId="0" applyNumberFormat="1"/>
    <xf numFmtId="171" fontId="0" fillId="0" borderId="0" xfId="1" applyNumberFormat="1" applyFont="1"/>
    <xf numFmtId="9" fontId="15" fillId="13" borderId="0" xfId="1" applyFont="1" applyFill="1" applyBorder="1" applyAlignment="1">
      <alignment horizontal="right" vertical="center"/>
    </xf>
    <xf numFmtId="9" fontId="15" fillId="13" borderId="20" xfId="1" applyFont="1" applyFill="1" applyBorder="1" applyAlignment="1">
      <alignment horizontal="right" vertical="center"/>
    </xf>
    <xf numFmtId="9" fontId="0" fillId="11" borderId="13" xfId="1" applyFont="1" applyFill="1" applyBorder="1" applyAlignment="1">
      <alignment horizontal="right"/>
    </xf>
    <xf numFmtId="1" fontId="0" fillId="0" borderId="13" xfId="0" applyNumberFormat="1" applyBorder="1" applyAlignment="1">
      <alignment horizontal="right"/>
    </xf>
    <xf numFmtId="0" fontId="6" fillId="8" borderId="5" xfId="0" applyFont="1" applyFill="1" applyBorder="1" applyAlignment="1">
      <alignment horizontal="center"/>
    </xf>
    <xf numFmtId="0" fontId="38" fillId="8" borderId="0" xfId="0" applyFont="1" applyFill="1" applyAlignment="1">
      <alignment horizontal="center"/>
    </xf>
    <xf numFmtId="0" fontId="39" fillId="13" borderId="0" xfId="0" applyFont="1" applyFill="1" applyAlignment="1">
      <alignment horizontal="center" vertical="center"/>
    </xf>
    <xf numFmtId="173" fontId="0" fillId="0" borderId="8" xfId="1" applyNumberFormat="1" applyFont="1" applyBorder="1"/>
    <xf numFmtId="165" fontId="7" fillId="0" borderId="5" xfId="0" applyNumberFormat="1" applyFont="1" applyBorder="1" applyAlignment="1">
      <alignment horizontal="center" vertical="center"/>
    </xf>
    <xf numFmtId="0" fontId="0" fillId="0" borderId="39" xfId="0" applyBorder="1"/>
    <xf numFmtId="173" fontId="0" fillId="0" borderId="39" xfId="1" applyNumberFormat="1" applyFont="1" applyBorder="1"/>
    <xf numFmtId="165" fontId="0" fillId="0" borderId="39" xfId="0" applyNumberFormat="1" applyBorder="1"/>
    <xf numFmtId="165" fontId="7" fillId="0" borderId="9" xfId="0" applyNumberFormat="1" applyFont="1" applyBorder="1" applyAlignment="1">
      <alignment horizontal="center" vertical="center"/>
    </xf>
    <xf numFmtId="173" fontId="0" fillId="0" borderId="5" xfId="1" applyNumberFormat="1" applyFont="1" applyBorder="1"/>
    <xf numFmtId="2" fontId="36" fillId="11" borderId="13" xfId="0" applyNumberFormat="1" applyFont="1" applyFill="1" applyBorder="1" applyAlignment="1">
      <alignment horizontal="right"/>
    </xf>
    <xf numFmtId="2" fontId="36" fillId="0" borderId="13" xfId="0" applyNumberFormat="1" applyFont="1" applyBorder="1" applyAlignment="1">
      <alignment horizontal="right"/>
    </xf>
    <xf numFmtId="174" fontId="0" fillId="0" borderId="8" xfId="0" applyNumberFormat="1" applyBorder="1"/>
    <xf numFmtId="174" fontId="0" fillId="0" borderId="39" xfId="0" applyNumberFormat="1" applyBorder="1"/>
    <xf numFmtId="0" fontId="2" fillId="13" borderId="0" xfId="0" applyFont="1" applyFill="1" applyAlignment="1">
      <alignment horizontal="center" vertical="center"/>
    </xf>
    <xf numFmtId="171" fontId="0" fillId="11" borderId="13" xfId="0" applyNumberFormat="1" applyFill="1" applyBorder="1"/>
    <xf numFmtId="171" fontId="0" fillId="0" borderId="13" xfId="0" applyNumberFormat="1" applyBorder="1"/>
    <xf numFmtId="0" fontId="40" fillId="0" borderId="0" xfId="0" applyFont="1"/>
    <xf numFmtId="166" fontId="0" fillId="13" borderId="20" xfId="0" applyNumberFormat="1" applyFill="1" applyBorder="1" applyAlignment="1">
      <alignment horizontal="center" vertical="center"/>
    </xf>
    <xf numFmtId="166" fontId="0" fillId="13" borderId="43" xfId="0" applyNumberFormat="1" applyFill="1" applyBorder="1" applyAlignment="1">
      <alignment horizontal="center" vertical="center"/>
    </xf>
    <xf numFmtId="9" fontId="9" fillId="13" borderId="43" xfId="1" applyFont="1" applyFill="1" applyBorder="1" applyAlignment="1">
      <alignment horizontal="right" vertical="center"/>
    </xf>
    <xf numFmtId="166" fontId="9" fillId="13" borderId="43" xfId="0" applyNumberFormat="1" applyFont="1" applyFill="1" applyBorder="1" applyAlignment="1">
      <alignment horizontal="center" vertical="center"/>
    </xf>
    <xf numFmtId="0" fontId="0" fillId="13" borderId="41" xfId="0" applyFill="1" applyBorder="1" applyAlignment="1">
      <alignment horizontal="center" vertical="center"/>
    </xf>
    <xf numFmtId="0" fontId="0" fillId="13" borderId="47" xfId="0" applyFill="1" applyBorder="1" applyAlignment="1">
      <alignment horizontal="center" vertical="center"/>
    </xf>
    <xf numFmtId="0" fontId="14" fillId="13" borderId="16" xfId="0" applyFont="1" applyFill="1" applyBorder="1" applyAlignment="1">
      <alignment horizontal="center" vertical="center"/>
    </xf>
    <xf numFmtId="166" fontId="9" fillId="13" borderId="43" xfId="1" applyNumberFormat="1" applyFont="1" applyFill="1" applyBorder="1" applyAlignment="1">
      <alignment vertical="center"/>
    </xf>
    <xf numFmtId="166" fontId="0" fillId="13" borderId="43" xfId="0" applyNumberFormat="1" applyFill="1" applyBorder="1" applyAlignment="1">
      <alignment vertical="center"/>
    </xf>
    <xf numFmtId="0" fontId="9" fillId="13" borderId="42" xfId="0" applyFont="1" applyFill="1" applyBorder="1" applyAlignment="1">
      <alignment horizontal="left" vertical="center"/>
    </xf>
    <xf numFmtId="0" fontId="0" fillId="13" borderId="48" xfId="0" applyFill="1" applyBorder="1" applyAlignment="1">
      <alignment horizontal="left" vertical="center"/>
    </xf>
    <xf numFmtId="0" fontId="0" fillId="13" borderId="49" xfId="0" applyFill="1" applyBorder="1" applyAlignment="1">
      <alignment horizontal="center" vertical="center"/>
    </xf>
    <xf numFmtId="166" fontId="0" fillId="13" borderId="46" xfId="0" applyNumberFormat="1" applyFill="1" applyBorder="1" applyAlignment="1">
      <alignment vertical="center"/>
    </xf>
    <xf numFmtId="0" fontId="0" fillId="0" borderId="17" xfId="0" applyBorder="1" applyAlignment="1">
      <alignment horizontal="left" vertical="center"/>
    </xf>
    <xf numFmtId="0" fontId="42" fillId="13" borderId="0" xfId="0" applyFont="1" applyFill="1" applyAlignment="1">
      <alignment horizontal="center" vertical="center"/>
    </xf>
    <xf numFmtId="0" fontId="8" fillId="13" borderId="20" xfId="0" applyFont="1" applyFill="1" applyBorder="1" applyAlignment="1">
      <alignment horizontal="center" vertical="center"/>
    </xf>
    <xf numFmtId="0" fontId="8" fillId="13" borderId="0" xfId="0" applyFont="1" applyFill="1" applyAlignment="1">
      <alignment horizontal="center" vertical="center"/>
    </xf>
    <xf numFmtId="0" fontId="0" fillId="13" borderId="52" xfId="0" applyFill="1" applyBorder="1" applyAlignment="1">
      <alignment horizontal="left" vertical="center"/>
    </xf>
    <xf numFmtId="2" fontId="0" fillId="13" borderId="52" xfId="0" applyNumberFormat="1" applyFill="1" applyBorder="1" applyAlignment="1">
      <alignment horizontal="center" vertical="center"/>
    </xf>
    <xf numFmtId="0" fontId="0" fillId="13" borderId="52" xfId="0" applyFill="1" applyBorder="1" applyAlignment="1">
      <alignment horizontal="center" vertical="center"/>
    </xf>
    <xf numFmtId="0" fontId="43" fillId="13" borderId="53" xfId="0" applyFont="1" applyFill="1" applyBorder="1" applyAlignment="1">
      <alignment horizontal="left" vertical="center"/>
    </xf>
    <xf numFmtId="2" fontId="0" fillId="13" borderId="54" xfId="0" applyNumberFormat="1" applyFill="1" applyBorder="1" applyAlignment="1">
      <alignment horizontal="center" vertical="center"/>
    </xf>
    <xf numFmtId="0" fontId="0" fillId="13" borderId="54" xfId="0" applyFill="1" applyBorder="1" applyAlignment="1">
      <alignment horizontal="center" vertical="center"/>
    </xf>
    <xf numFmtId="0" fontId="0" fillId="13" borderId="0" xfId="0" applyFill="1" applyAlignment="1">
      <alignment vertical="center"/>
    </xf>
    <xf numFmtId="171" fontId="43" fillId="13" borderId="55" xfId="1" applyNumberFormat="1" applyFont="1" applyFill="1" applyBorder="1" applyAlignment="1">
      <alignment horizontal="center" vertical="center"/>
    </xf>
    <xf numFmtId="165" fontId="39" fillId="13" borderId="5" xfId="0" applyNumberFormat="1" applyFont="1" applyFill="1" applyBorder="1" applyAlignment="1">
      <alignment horizontal="center" vertical="center"/>
    </xf>
    <xf numFmtId="165" fontId="39" fillId="13" borderId="9" xfId="0" applyNumberFormat="1" applyFont="1" applyFill="1" applyBorder="1" applyAlignment="1">
      <alignment horizontal="center" vertical="center"/>
    </xf>
    <xf numFmtId="49" fontId="0" fillId="0" borderId="0" xfId="0" applyNumberFormat="1"/>
    <xf numFmtId="0" fontId="9" fillId="0" borderId="0" xfId="0" applyFont="1" applyAlignment="1">
      <alignment horizontal="right"/>
    </xf>
    <xf numFmtId="0" fontId="44" fillId="0" borderId="0" xfId="0" applyFont="1" applyAlignment="1">
      <alignment horizontal="right"/>
    </xf>
    <xf numFmtId="9" fontId="0" fillId="0" borderId="0" xfId="0" applyNumberFormat="1"/>
    <xf numFmtId="10" fontId="0" fillId="0" borderId="0" xfId="0" applyNumberFormat="1"/>
    <xf numFmtId="0" fontId="45" fillId="0" borderId="0" xfId="44" applyAlignment="1">
      <alignment horizontal="right"/>
    </xf>
    <xf numFmtId="0" fontId="0" fillId="0" borderId="0" xfId="0" quotePrefix="1"/>
    <xf numFmtId="9" fontId="9" fillId="0" borderId="0" xfId="1" applyFont="1"/>
    <xf numFmtId="175" fontId="0" fillId="0" borderId="0" xfId="0" applyNumberFormat="1"/>
    <xf numFmtId="175" fontId="0" fillId="0" borderId="0" xfId="0" quotePrefix="1" applyNumberFormat="1"/>
    <xf numFmtId="175" fontId="0" fillId="11" borderId="13" xfId="0" quotePrefix="1" applyNumberFormat="1" applyFill="1" applyBorder="1"/>
    <xf numFmtId="10" fontId="0" fillId="0" borderId="13" xfId="0" applyNumberFormat="1" applyBorder="1"/>
    <xf numFmtId="0" fontId="49" fillId="46" borderId="0" xfId="0" applyFont="1" applyFill="1" applyAlignment="1">
      <alignment horizontal="right" vertical="center"/>
    </xf>
    <xf numFmtId="176" fontId="2" fillId="13" borderId="0" xfId="0" applyNumberFormat="1" applyFont="1" applyFill="1" applyAlignment="1">
      <alignment horizontal="center" vertical="center"/>
    </xf>
    <xf numFmtId="166" fontId="0" fillId="13" borderId="20" xfId="0" applyNumberFormat="1" applyFill="1" applyBorder="1" applyAlignment="1">
      <alignment horizontal="right" vertical="center"/>
    </xf>
    <xf numFmtId="0" fontId="50" fillId="46" borderId="17" xfId="0" applyFont="1" applyFill="1" applyBorder="1" applyAlignment="1">
      <alignment horizontal="left" vertical="center"/>
    </xf>
    <xf numFmtId="0" fontId="0" fillId="13" borderId="0" xfId="0" applyFill="1" applyBorder="1" applyAlignment="1">
      <alignment horizontal="center" vertical="center"/>
    </xf>
    <xf numFmtId="0" fontId="41" fillId="47" borderId="17" xfId="0" applyFont="1" applyFill="1" applyBorder="1" applyAlignment="1">
      <alignment horizontal="left" vertical="center"/>
    </xf>
    <xf numFmtId="0" fontId="41" fillId="47" borderId="21" xfId="0" applyFont="1" applyFill="1" applyBorder="1" applyAlignment="1">
      <alignment horizontal="left" vertical="center"/>
    </xf>
    <xf numFmtId="166" fontId="41" fillId="48" borderId="22" xfId="0" applyNumberFormat="1" applyFont="1" applyFill="1" applyBorder="1" applyAlignment="1">
      <alignment horizontal="center" vertical="center"/>
    </xf>
    <xf numFmtId="0" fontId="41" fillId="48" borderId="18" xfId="0" applyFont="1" applyFill="1" applyBorder="1" applyAlignment="1">
      <alignment horizontal="left" vertical="center"/>
    </xf>
    <xf numFmtId="0" fontId="41" fillId="48" borderId="23" xfId="0" applyFont="1" applyFill="1" applyBorder="1" applyAlignment="1">
      <alignment horizontal="center" vertical="center"/>
    </xf>
    <xf numFmtId="166" fontId="41" fillId="48" borderId="23" xfId="0" applyNumberFormat="1" applyFont="1" applyFill="1" applyBorder="1" applyAlignment="1">
      <alignment horizontal="center" vertical="center"/>
    </xf>
    <xf numFmtId="166" fontId="41" fillId="48" borderId="19" xfId="0" applyNumberFormat="1" applyFont="1" applyFill="1" applyBorder="1" applyAlignment="1">
      <alignment horizontal="center" vertical="center"/>
    </xf>
    <xf numFmtId="0" fontId="51" fillId="49" borderId="56" xfId="0" applyFont="1" applyFill="1" applyBorder="1" applyAlignment="1">
      <alignment horizontal="center" vertical="center"/>
    </xf>
    <xf numFmtId="0" fontId="12" fillId="50" borderId="38" xfId="0" applyFont="1" applyFill="1" applyBorder="1" applyAlignment="1">
      <alignment horizontal="left" vertical="center"/>
    </xf>
    <xf numFmtId="166" fontId="12" fillId="50" borderId="44" xfId="0" applyNumberFormat="1" applyFont="1" applyFill="1" applyBorder="1" applyAlignment="1">
      <alignment vertical="center"/>
    </xf>
    <xf numFmtId="166" fontId="12" fillId="50" borderId="45" xfId="0" applyNumberFormat="1" applyFont="1" applyFill="1" applyBorder="1" applyAlignment="1">
      <alignment vertical="center"/>
    </xf>
    <xf numFmtId="0" fontId="12" fillId="50" borderId="36" xfId="0" applyFont="1" applyFill="1" applyBorder="1" applyAlignment="1">
      <alignment horizontal="center" vertical="center"/>
    </xf>
    <xf numFmtId="0" fontId="43" fillId="13" borderId="0" xfId="0" applyFont="1" applyFill="1" applyBorder="1" applyAlignment="1">
      <alignment horizontal="left" vertical="center"/>
    </xf>
    <xf numFmtId="2" fontId="0" fillId="13" borderId="0" xfId="0" applyNumberFormat="1" applyFill="1" applyBorder="1" applyAlignment="1">
      <alignment horizontal="center" vertical="center"/>
    </xf>
    <xf numFmtId="171" fontId="43" fillId="13" borderId="0" xfId="1" applyNumberFormat="1" applyFont="1" applyFill="1" applyBorder="1" applyAlignment="1">
      <alignment horizontal="center" vertical="center"/>
    </xf>
    <xf numFmtId="0" fontId="0" fillId="0" borderId="57" xfId="0" applyBorder="1"/>
    <xf numFmtId="176" fontId="0" fillId="11" borderId="13" xfId="0" applyNumberFormat="1" applyFill="1" applyBorder="1"/>
    <xf numFmtId="0" fontId="0" fillId="11" borderId="13" xfId="0" applyFill="1" applyBorder="1" applyAlignment="1">
      <alignment horizontal="right"/>
    </xf>
    <xf numFmtId="0" fontId="49" fillId="46" borderId="13" xfId="0" applyFont="1" applyFill="1" applyBorder="1" applyAlignment="1">
      <alignment horizontal="left" vertical="center"/>
    </xf>
    <xf numFmtId="0" fontId="52" fillId="0" borderId="26" xfId="0" applyFont="1" applyBorder="1" applyAlignment="1">
      <alignment vertical="center"/>
    </xf>
    <xf numFmtId="0" fontId="48" fillId="0" borderId="59" xfId="0" applyFont="1" applyBorder="1"/>
    <xf numFmtId="0" fontId="48" fillId="0" borderId="60" xfId="0" applyFont="1" applyBorder="1"/>
    <xf numFmtId="0" fontId="48" fillId="0" borderId="60" xfId="0" applyFont="1" applyBorder="1" applyAlignment="1">
      <alignment wrapText="1"/>
    </xf>
    <xf numFmtId="0" fontId="48" fillId="0" borderId="61" xfId="0" applyFont="1" applyBorder="1" applyAlignment="1">
      <alignment wrapText="1"/>
    </xf>
    <xf numFmtId="0" fontId="48" fillId="0" borderId="62" xfId="0" applyFont="1" applyBorder="1" applyAlignment="1">
      <alignment wrapText="1"/>
    </xf>
    <xf numFmtId="0" fontId="48" fillId="0" borderId="63" xfId="0" applyFont="1" applyBorder="1" applyAlignment="1">
      <alignment wrapText="1"/>
    </xf>
    <xf numFmtId="0" fontId="48" fillId="0" borderId="64" xfId="0" applyFont="1" applyBorder="1" applyAlignment="1">
      <alignment wrapText="1"/>
    </xf>
    <xf numFmtId="0" fontId="37" fillId="13" borderId="50" xfId="0" applyFont="1" applyFill="1" applyBorder="1" applyAlignment="1">
      <alignment horizontal="center" vertical="center" wrapText="1"/>
    </xf>
    <xf numFmtId="0" fontId="37" fillId="13" borderId="51" xfId="0" applyFont="1" applyFill="1" applyBorder="1" applyAlignment="1">
      <alignment horizontal="center" vertical="center" wrapText="1"/>
    </xf>
    <xf numFmtId="0" fontId="37" fillId="13" borderId="58" xfId="0" applyFont="1" applyFill="1" applyBorder="1" applyAlignment="1">
      <alignment horizontal="center" vertical="center" wrapText="1"/>
    </xf>
    <xf numFmtId="0" fontId="14" fillId="46" borderId="14" xfId="0" applyFont="1" applyFill="1" applyBorder="1" applyAlignment="1">
      <alignment horizontal="center" vertical="center"/>
    </xf>
    <xf numFmtId="0" fontId="14" fillId="46" borderId="15" xfId="0" applyFont="1" applyFill="1" applyBorder="1" applyAlignment="1">
      <alignment horizontal="center" vertical="center"/>
    </xf>
    <xf numFmtId="9" fontId="9" fillId="13" borderId="0" xfId="1" applyFont="1" applyFill="1" applyBorder="1" applyAlignment="1">
      <alignment horizontal="right" vertical="center"/>
    </xf>
    <xf numFmtId="9" fontId="9" fillId="13" borderId="20" xfId="1" applyFont="1" applyFill="1" applyBorder="1" applyAlignment="1">
      <alignment horizontal="right" vertical="center"/>
    </xf>
    <xf numFmtId="0" fontId="13" fillId="46" borderId="0" xfId="0" applyFont="1" applyFill="1" applyAlignment="1">
      <alignment horizontal="center" vertical="center"/>
    </xf>
    <xf numFmtId="0" fontId="13" fillId="46" borderId="21" xfId="0" applyFont="1" applyFill="1" applyBorder="1" applyAlignment="1">
      <alignment horizontal="center" vertical="center"/>
    </xf>
    <xf numFmtId="167" fontId="2" fillId="13" borderId="23" xfId="0" applyNumberFormat="1" applyFont="1" applyFill="1" applyBorder="1" applyAlignment="1">
      <alignment horizontal="center" vertical="center"/>
    </xf>
    <xf numFmtId="167" fontId="2" fillId="13" borderId="19" xfId="0" applyNumberFormat="1" applyFont="1" applyFill="1" applyBorder="1" applyAlignment="1">
      <alignment horizontal="center" vertical="center"/>
    </xf>
    <xf numFmtId="168" fontId="2" fillId="13" borderId="0" xfId="0" applyNumberFormat="1" applyFont="1" applyFill="1" applyAlignment="1">
      <alignment horizontal="right" vertical="center"/>
    </xf>
    <xf numFmtId="168" fontId="2" fillId="13" borderId="20" xfId="0" applyNumberFormat="1" applyFont="1" applyFill="1" applyBorder="1" applyAlignment="1">
      <alignment horizontal="right" vertical="center"/>
    </xf>
    <xf numFmtId="0" fontId="52" fillId="0" borderId="65" xfId="0" applyFont="1" applyBorder="1" applyAlignment="1">
      <alignment vertical="center"/>
    </xf>
    <xf numFmtId="0" fontId="52" fillId="0" borderId="62" xfId="0" applyFont="1" applyBorder="1" applyAlignment="1">
      <alignment vertical="center"/>
    </xf>
    <xf numFmtId="0" fontId="52" fillId="0" borderId="66" xfId="0" applyFont="1" applyBorder="1" applyAlignment="1">
      <alignment vertical="center"/>
    </xf>
    <xf numFmtId="0" fontId="6" fillId="8" borderId="11" xfId="0" applyFont="1" applyFill="1" applyBorder="1" applyAlignment="1">
      <alignment horizontal="center"/>
    </xf>
    <xf numFmtId="0" fontId="6" fillId="8" borderId="40" xfId="0" applyFont="1" applyFill="1" applyBorder="1" applyAlignment="1">
      <alignment horizontal="center"/>
    </xf>
    <xf numFmtId="0" fontId="9" fillId="14" borderId="26" xfId="0" applyFont="1" applyFill="1" applyBorder="1" applyAlignment="1">
      <alignment horizontal="center" vertical="center" wrapText="1"/>
    </xf>
    <xf numFmtId="0" fontId="9" fillId="14" borderId="24" xfId="0" applyFont="1" applyFill="1" applyBorder="1" applyAlignment="1">
      <alignment horizontal="center" vertical="center" wrapText="1"/>
    </xf>
    <xf numFmtId="0" fontId="9" fillId="14" borderId="25"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cellXfs>
  <cellStyles count="45">
    <cellStyle name="20 % - Accent1" xfId="21" builtinId="30" customBuiltin="1"/>
    <cellStyle name="20 % - Accent2" xfId="25" builtinId="34" customBuiltin="1"/>
    <cellStyle name="20 % - Accent3" xfId="29" builtinId="38" customBuiltin="1"/>
    <cellStyle name="20 % - Accent4" xfId="33" builtinId="42" customBuiltin="1"/>
    <cellStyle name="20 % - Accent5" xfId="37" builtinId="46" customBuiltin="1"/>
    <cellStyle name="20 % - Accent6" xfId="41" builtinId="50" customBuiltin="1"/>
    <cellStyle name="40 % - Accent1" xfId="22" builtinId="31" customBuiltin="1"/>
    <cellStyle name="40 % - Accent2" xfId="26" builtinId="35" customBuiltin="1"/>
    <cellStyle name="40 % - Accent3" xfId="30" builtinId="39" customBuiltin="1"/>
    <cellStyle name="40 % - Accent4" xfId="34" builtinId="43" customBuiltin="1"/>
    <cellStyle name="40 % - Accent5" xfId="38" builtinId="47" customBuiltin="1"/>
    <cellStyle name="40 % - Accent6" xfId="42" builtinId="51" customBuiltin="1"/>
    <cellStyle name="60 % - Accent1" xfId="23" builtinId="32" customBuiltin="1"/>
    <cellStyle name="60 % - Accent2" xfId="27" builtinId="36" customBuiltin="1"/>
    <cellStyle name="60 % - Accent3" xfId="31" builtinId="40" customBuiltin="1"/>
    <cellStyle name="60 % - Accent4" xfId="35" builtinId="44" customBuiltin="1"/>
    <cellStyle name="60 % - Accent5" xfId="39" builtinId="48" customBuiltin="1"/>
    <cellStyle name="60 %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Avertissement" xfId="16" builtinId="11" customBuiltin="1"/>
    <cellStyle name="Calcul" xfId="13" builtinId="22" customBuiltin="1"/>
    <cellStyle name="Cellule liée" xfId="14" builtinId="24" customBuiltin="1"/>
    <cellStyle name="Entrée" xfId="11" builtinId="20" customBuiltin="1"/>
    <cellStyle name="Insatisfaisant" xfId="9" builtinId="27" customBuiltin="1"/>
    <cellStyle name="Lien hypertexte" xfId="44" builtinId="8"/>
    <cellStyle name="Milliers" xfId="2" builtinId="3"/>
    <cellStyle name="Neutre" xfId="10" builtinId="28" customBuiltin="1"/>
    <cellStyle name="Normal" xfId="0" builtinId="0"/>
    <cellStyle name="Note" xfId="17" builtinId="10" customBuiltin="1"/>
    <cellStyle name="Pourcentage" xfId="1" builtinId="5"/>
    <cellStyle name="Satisfaisant" xfId="8" builtinId="26" customBuiltin="1"/>
    <cellStyle name="Sortie" xfId="12" builtinId="21" customBuiltin="1"/>
    <cellStyle name="Texte explicatif" xfId="18" builtinId="53" customBuiltin="1"/>
    <cellStyle name="Titre" xfId="3" builtinId="15" customBuiltin="1"/>
    <cellStyle name="Titre 1" xfId="4" builtinId="16" customBuiltin="1"/>
    <cellStyle name="Titre 2" xfId="5" builtinId="17" customBuiltin="1"/>
    <cellStyle name="Titre 3" xfId="6" builtinId="18" customBuiltin="1"/>
    <cellStyle name="Titre 4" xfId="7" builtinId="19" customBuiltin="1"/>
    <cellStyle name="Total" xfId="19" builtinId="25" customBuiltin="1"/>
    <cellStyle name="Vérification" xfId="15" builtinId="23" customBuiltin="1"/>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Arial"/>
        <family val="2"/>
        <scheme val="none"/>
      </font>
      <numFmt numFmtId="165" formatCode="#,##0.00\ [$€-1];[Red]\-#,##0.00\ [$€-1]"/>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indexed="64"/>
        </left>
        <right style="thin">
          <color auto="1"/>
        </right>
        <top style="thin">
          <color auto="1"/>
        </top>
        <bottom style="thin">
          <color auto="1"/>
        </bottom>
        <vertical/>
        <horizontal style="thin">
          <color auto="1"/>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border diagonalUp="0" diagonalDown="0">
        <left style="thin">
          <color auto="1"/>
        </left>
        <right style="thin">
          <color auto="1"/>
        </right>
        <top style="thin">
          <color auto="1"/>
        </top>
        <bottom style="thin">
          <color auto="1"/>
        </bottom>
        <vertical/>
        <horizontal/>
      </border>
    </dxf>
    <dxf>
      <border outline="0">
        <right style="thin">
          <color auto="1"/>
        </right>
        <bottom style="thin">
          <color auto="1"/>
        </bottom>
      </border>
    </dxf>
    <dxf>
      <fill>
        <patternFill patternType="solid">
          <fgColor indexed="64"/>
          <bgColor theme="5"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Calibri"/>
        <scheme val="minor"/>
      </font>
      <numFmt numFmtId="165" formatCode="#,##0.00\ [$€-1];[Red]\-#,##0.00\ [$€-1]"/>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border>
    </dxf>
    <dxf>
      <font>
        <b/>
        <i val="0"/>
        <strike val="0"/>
        <condense val="0"/>
        <extend val="0"/>
        <outline val="0"/>
        <shadow val="0"/>
        <u val="none"/>
        <vertAlign val="baseline"/>
        <sz val="10"/>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ont>
        <b/>
        <strike val="0"/>
        <outline val="0"/>
        <shadow val="0"/>
        <u val="none"/>
        <vertAlign val="baseline"/>
        <sz val="10"/>
        <color auto="1"/>
      </font>
    </dxf>
    <dxf>
      <border outline="0">
        <bottom style="thin">
          <color auto="1"/>
        </bottom>
      </border>
    </dxf>
    <dxf>
      <font>
        <b/>
        <i val="0"/>
        <strike val="0"/>
        <condense val="0"/>
        <extend val="0"/>
        <outline val="0"/>
        <shadow val="0"/>
        <u val="none"/>
        <vertAlign val="baseline"/>
        <sz val="10"/>
        <color auto="1"/>
        <name val="Segoe UI"/>
        <scheme val="none"/>
      </font>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00CC99"/>
      <color rgb="FF80C9FF"/>
      <color rgb="FF005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476250</xdr:colOff>
      <xdr:row>16</xdr:row>
      <xdr:rowOff>95250</xdr:rowOff>
    </xdr:from>
    <xdr:to>
      <xdr:col>6</xdr:col>
      <xdr:colOff>315541</xdr:colOff>
      <xdr:row>20</xdr:row>
      <xdr:rowOff>35361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5850" y="3562350"/>
          <a:ext cx="2885386" cy="7021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2032197</xdr:colOff>
      <xdr:row>0</xdr:row>
      <xdr:rowOff>79506</xdr:rowOff>
    </xdr:from>
    <xdr:to>
      <xdr:col>2</xdr:col>
      <xdr:colOff>1158366</xdr:colOff>
      <xdr:row>0</xdr:row>
      <xdr:rowOff>592269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27447" y="79506"/>
          <a:ext cx="2181565" cy="508953"/>
        </a:xfrm>
        <a:prstGeom prst="rect">
          <a:avLst/>
        </a:prstGeom>
      </xdr:spPr>
    </xdr:pic>
    <xdr:clientData/>
  </xdr:twoCellAnchor>
  <xdr:twoCellAnchor editAs="oneCell">
    <xdr:from>
      <xdr:col>0</xdr:col>
      <xdr:colOff>93457</xdr:colOff>
      <xdr:row>36</xdr:row>
      <xdr:rowOff>7508</xdr:rowOff>
    </xdr:from>
    <xdr:to>
      <xdr:col>5</xdr:col>
      <xdr:colOff>20056</xdr:colOff>
      <xdr:row>44</xdr:row>
      <xdr:rowOff>35634</xdr:rowOff>
    </xdr:to>
    <xdr:pic>
      <xdr:nvPicPr>
        <xdr:cNvPr id="4" name="Image 3">
          <a:extLst>
            <a:ext uri="{FF2B5EF4-FFF2-40B4-BE49-F238E27FC236}">
              <a16:creationId xmlns:a16="http://schemas.microsoft.com/office/drawing/2014/main" id="{7851BD91-CE94-6F1A-CD02-E407143A7D4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57" y="10232876"/>
          <a:ext cx="6698538" cy="1466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Mutuelle" displayName="TabMutuelle" ref="K31:L33" totalsRowShown="0" headerRowDxfId="39" dataDxfId="37" headerRowBorderDxfId="38" tableBorderDxfId="36" totalsRowBorderDxfId="35">
  <autoFilter ref="K31:L33" xr:uid="{00000000-0009-0000-0100-000003000000}">
    <filterColumn colId="0" hiddenButton="1"/>
    <filterColumn colId="1" hiddenButton="1"/>
  </autoFilter>
  <tableColumns count="2">
    <tableColumn id="1" xr3:uid="{00000000-0010-0000-0100-000001000000}" name="Mutuelle" dataDxfId="34"/>
    <tableColumn id="2" xr3:uid="{00000000-0010-0000-0100-000002000000}" name="part sal" dataDxfId="33">
      <calculatedColumnFormula>M24</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B9F22B-459E-4FF0-8E00-A9A2FA417BC3}" name="Tabmutuelle_AXA" displayName="Tabmutuelle_AXA" ref="I22:N28" headerRowCount="0" totalsRowShown="0" headerRowDxfId="32" tableBorderDxfId="31">
  <tableColumns count="6">
    <tableColumn id="1" xr3:uid="{7300FEE3-3E1A-4455-9D63-430AD33ECC81}" name="Colonne1" dataDxfId="30"/>
    <tableColumn id="4" xr3:uid="{182C38EE-9216-4340-9796-C5EC9A1A4635}" name="Colonne4" headerRowDxfId="29" dataDxfId="28"/>
    <tableColumn id="5" xr3:uid="{B36999D8-BCF5-41CD-BB1E-CFBFAAEF662C}" name="Colonne5" headerRowDxfId="27" dataDxfId="26"/>
    <tableColumn id="6" xr3:uid="{5B69CCFF-4B35-40EE-8623-9BE764110772}" name="Colonne6" headerRowDxfId="25" dataDxfId="24"/>
    <tableColumn id="7" xr3:uid="{19F9980C-506F-4BF6-AD68-AE827126CE8F}" name="Colonne7" headerRowDxfId="23" dataDxfId="22"/>
    <tableColumn id="8" xr3:uid="{33568481-BA54-42FF-8AF0-FE0B81391315}" name="Colonne8" headerRowDxfId="21" dataDxfId="20">
      <calculatedColumnFormula>M22+K22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ww.urssaf.fr/portail/home/taux-et-baremes/versement-mobilite.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0000"/>
  </sheetPr>
  <dimension ref="B2:U33"/>
  <sheetViews>
    <sheetView showGridLines="0" zoomScale="85" zoomScaleNormal="85" workbookViewId="0">
      <selection activeCell="L7" sqref="L7"/>
    </sheetView>
  </sheetViews>
  <sheetFormatPr baseColWidth="10" defaultColWidth="8.5546875" defaultRowHeight="14.4" x14ac:dyDescent="0.3"/>
  <sheetData>
    <row r="2" spans="2:9" ht="15" thickBot="1" x14ac:dyDescent="0.35"/>
    <row r="3" spans="2:9" ht="31.8" thickBot="1" x14ac:dyDescent="0.65">
      <c r="B3" s="50" t="s">
        <v>0</v>
      </c>
      <c r="C3" s="51"/>
      <c r="D3" s="51"/>
      <c r="E3" s="51"/>
      <c r="F3" s="51"/>
      <c r="G3" s="53"/>
      <c r="H3" s="51"/>
      <c r="I3" s="52"/>
    </row>
    <row r="5" spans="2:9" x14ac:dyDescent="0.3">
      <c r="B5" s="1" t="s">
        <v>1</v>
      </c>
    </row>
    <row r="7" spans="2:9" x14ac:dyDescent="0.3">
      <c r="B7" s="1" t="s">
        <v>2</v>
      </c>
    </row>
    <row r="8" spans="2:9" x14ac:dyDescent="0.3">
      <c r="B8" s="1" t="s">
        <v>3</v>
      </c>
    </row>
    <row r="9" spans="2:9" x14ac:dyDescent="0.3">
      <c r="B9" s="1" t="s">
        <v>4</v>
      </c>
      <c r="F9" s="54" t="s">
        <v>5</v>
      </c>
    </row>
    <row r="10" spans="2:9" x14ac:dyDescent="0.3">
      <c r="B10" s="1" t="s">
        <v>6</v>
      </c>
    </row>
    <row r="11" spans="2:9" x14ac:dyDescent="0.3">
      <c r="B11" s="1" t="s">
        <v>7</v>
      </c>
    </row>
    <row r="12" spans="2:9" x14ac:dyDescent="0.3">
      <c r="B12" s="1" t="s">
        <v>8</v>
      </c>
    </row>
    <row r="14" spans="2:9" x14ac:dyDescent="0.3">
      <c r="B14" s="1" t="s">
        <v>9</v>
      </c>
    </row>
    <row r="33" spans="21:21" x14ac:dyDescent="0.3">
      <c r="U33" t="s">
        <v>10</v>
      </c>
    </row>
  </sheetData>
  <pageMargins left="0.7" right="0.7" top="0.75" bottom="0.75" header="0.3" footer="0.3"/>
  <customProperties>
    <customPr name="OrphanNamesChecked" r:id="rId1"/>
  </customPropertie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80C9FF"/>
  </sheetPr>
  <dimension ref="A2:U31"/>
  <sheetViews>
    <sheetView showGridLines="0" topLeftCell="A2" zoomScale="124" zoomScaleNormal="170" workbookViewId="0">
      <selection activeCell="G23" sqref="G23"/>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bestFit="1" customWidth="1"/>
    <col min="11" max="11" width="9.44140625" bestFit="1" customWidth="1"/>
    <col min="13" max="13" width="10.5546875" bestFit="1" customWidth="1"/>
  </cols>
  <sheetData>
    <row r="2" spans="1:21" x14ac:dyDescent="0.3">
      <c r="U2" s="26">
        <v>21.67</v>
      </c>
    </row>
    <row r="3" spans="1:21" ht="15" thickBot="1" x14ac:dyDescent="0.35"/>
    <row r="4" spans="1:21" ht="15" thickBot="1" x14ac:dyDescent="0.35">
      <c r="A4" s="27" t="s">
        <v>11</v>
      </c>
      <c r="B4" s="32">
        <v>62711.754531408013</v>
      </c>
      <c r="C4" s="31" t="s">
        <v>12</v>
      </c>
      <c r="H4" s="27" t="s">
        <v>13</v>
      </c>
      <c r="J4" s="34">
        <v>500</v>
      </c>
      <c r="K4" s="124" t="str">
        <f>IF(AND(J10=10%,J4&lt;250)," Erreur TJM","")</f>
        <v/>
      </c>
    </row>
    <row r="5" spans="1:21" ht="15" thickBot="1" x14ac:dyDescent="0.35">
      <c r="A5" s="27" t="s">
        <v>11</v>
      </c>
      <c r="B5" s="32">
        <f>B4/12</f>
        <v>5225.9795442840013</v>
      </c>
      <c r="C5" s="31" t="s">
        <v>14</v>
      </c>
      <c r="F5" s="25"/>
      <c r="H5" s="27" t="s">
        <v>15</v>
      </c>
      <c r="J5" s="34">
        <v>18</v>
      </c>
    </row>
    <row r="6" spans="1:21" ht="15" thickBot="1" x14ac:dyDescent="0.35">
      <c r="A6" s="27" t="s">
        <v>16</v>
      </c>
      <c r="B6" s="32">
        <f>'BS . Avec prov'!E43</f>
        <v>1202.5807816290016</v>
      </c>
      <c r="H6" s="27" t="s">
        <v>17</v>
      </c>
      <c r="J6" s="30">
        <f>J4*J5</f>
        <v>9000</v>
      </c>
      <c r="K6" s="31" t="s">
        <v>14</v>
      </c>
      <c r="M6" s="29">
        <f>J6*12</f>
        <v>108000</v>
      </c>
      <c r="N6" s="31" t="s">
        <v>12</v>
      </c>
    </row>
    <row r="7" spans="1:21" ht="15" thickBot="1" x14ac:dyDescent="0.35">
      <c r="A7" s="27" t="s">
        <v>18</v>
      </c>
      <c r="B7" s="32">
        <f>'BS . Avec prov'!G43</f>
        <v>2427.0204557160082</v>
      </c>
      <c r="H7" s="27" t="s">
        <v>19</v>
      </c>
      <c r="J7" s="122">
        <v>0.08</v>
      </c>
      <c r="M7" s="29">
        <f>J6*J7</f>
        <v>720</v>
      </c>
      <c r="N7" s="31" t="s">
        <v>20</v>
      </c>
    </row>
    <row r="8" spans="1:21" ht="15" thickBot="1" x14ac:dyDescent="0.35">
      <c r="H8" s="27" t="s">
        <v>21</v>
      </c>
      <c r="J8" s="55">
        <v>0.02</v>
      </c>
      <c r="M8" s="29">
        <f>J8*J6</f>
        <v>180</v>
      </c>
      <c r="N8" s="31" t="s">
        <v>20</v>
      </c>
    </row>
    <row r="9" spans="1:21" ht="15" thickBot="1" x14ac:dyDescent="0.35">
      <c r="A9" s="27" t="s">
        <v>22</v>
      </c>
      <c r="B9" s="33">
        <f>'BS . Avec prov'!E47</f>
        <v>3924.3987626549988</v>
      </c>
      <c r="H9" s="27" t="s">
        <v>23</v>
      </c>
      <c r="J9" s="163">
        <v>0</v>
      </c>
      <c r="M9" s="29">
        <f>($J$6-$M$7-$M$8-$J$11-$M$12-$M$13)*$J$9/(1+$J$9)</f>
        <v>0</v>
      </c>
      <c r="N9" s="31" t="s">
        <v>20</v>
      </c>
      <c r="O9" s="98"/>
    </row>
    <row r="10" spans="1:21" ht="15" thickBot="1" x14ac:dyDescent="0.35">
      <c r="A10" s="27" t="s">
        <v>24</v>
      </c>
      <c r="B10" s="33">
        <f>B5+B7+M7+J11+M8+M9+M10+M12+M13+M23</f>
        <v>9000.0000000000091</v>
      </c>
      <c r="C10" s="31" t="s">
        <v>14</v>
      </c>
      <c r="H10" s="27" t="s">
        <v>25</v>
      </c>
      <c r="J10" s="28">
        <v>0</v>
      </c>
      <c r="M10" s="29">
        <f>IF(J10=0,0,('BS . Avec prov'!E6+'BS . Avec prov'!E7+'BS . Avec prov'!E8)*0.11*(1+'BS . Avec prov'!C57))</f>
        <v>0</v>
      </c>
      <c r="N10" s="31" t="s">
        <v>20</v>
      </c>
    </row>
    <row r="11" spans="1:21" ht="15" thickBot="1" x14ac:dyDescent="0.35">
      <c r="B11" s="29">
        <f>B10*12</f>
        <v>108000.00000000012</v>
      </c>
      <c r="C11" s="31" t="s">
        <v>12</v>
      </c>
      <c r="H11" s="27" t="s">
        <v>26</v>
      </c>
      <c r="J11" s="29">
        <v>198</v>
      </c>
    </row>
    <row r="12" spans="1:21" ht="15" thickBot="1" x14ac:dyDescent="0.35">
      <c r="B12" s="29">
        <f>B10/J5</f>
        <v>500.00000000000051</v>
      </c>
      <c r="C12" s="31" t="s">
        <v>27</v>
      </c>
      <c r="H12" s="27" t="s">
        <v>28</v>
      </c>
      <c r="J12" s="38">
        <v>150</v>
      </c>
      <c r="M12" s="29">
        <f>J12</f>
        <v>150</v>
      </c>
      <c r="N12" s="31" t="s">
        <v>20</v>
      </c>
      <c r="O12" s="87"/>
    </row>
    <row r="13" spans="1:21" ht="15" thickBot="1" x14ac:dyDescent="0.35">
      <c r="H13" s="27" t="s">
        <v>29</v>
      </c>
      <c r="J13" s="91">
        <f>J21/2</f>
        <v>99</v>
      </c>
      <c r="M13" s="29">
        <f>J13</f>
        <v>99</v>
      </c>
      <c r="N13" s="31" t="s">
        <v>20</v>
      </c>
    </row>
    <row r="14" spans="1:21" ht="15" thickBot="1" x14ac:dyDescent="0.35">
      <c r="F14" s="35"/>
      <c r="H14" s="27" t="s">
        <v>30</v>
      </c>
      <c r="J14" s="29">
        <f>J6-M7-M8-M9-M10-J11-M12-M13-M23</f>
        <v>7653</v>
      </c>
      <c r="K14" s="101"/>
    </row>
    <row r="15" spans="1:21" ht="15" thickBot="1" x14ac:dyDescent="0.35">
      <c r="A15" s="184"/>
      <c r="B15" s="184"/>
      <c r="F15" s="35"/>
      <c r="H15" s="27" t="s">
        <v>31</v>
      </c>
      <c r="J15" s="29">
        <f>J14+J11+M7+M12+M8+M9+M13+M10+M23</f>
        <v>9000</v>
      </c>
    </row>
    <row r="16" spans="1:21" ht="15" thickBot="1" x14ac:dyDescent="0.35">
      <c r="A16" s="187" t="s">
        <v>27625</v>
      </c>
      <c r="B16" s="185">
        <v>45689</v>
      </c>
      <c r="F16" s="35"/>
    </row>
    <row r="17" spans="1:21" ht="15" thickBot="1" x14ac:dyDescent="0.35">
      <c r="A17" s="187" t="s">
        <v>27626</v>
      </c>
      <c r="B17" s="186" t="s">
        <v>27627</v>
      </c>
      <c r="H17" s="27" t="s">
        <v>32</v>
      </c>
      <c r="J17" s="117" t="s">
        <v>33</v>
      </c>
      <c r="M17" s="29">
        <f>VLOOKUP(J17,TabMutuelle[],2,FALSE)</f>
        <v>30.4</v>
      </c>
      <c r="N17" s="31" t="s">
        <v>20</v>
      </c>
    </row>
    <row r="18" spans="1:21" ht="15" thickBot="1" x14ac:dyDescent="0.35">
      <c r="F18" s="35"/>
    </row>
    <row r="19" spans="1:21" ht="15" thickBot="1" x14ac:dyDescent="0.35">
      <c r="H19" s="27" t="s">
        <v>34</v>
      </c>
      <c r="J19" s="39">
        <v>0.1</v>
      </c>
      <c r="K19" s="35">
        <f>'BS . Avec prov'!E44*'1. Calcul Avec prov'!J19</f>
        <v>417.4554982084934</v>
      </c>
    </row>
    <row r="20" spans="1:21" ht="15" thickBot="1" x14ac:dyDescent="0.35"/>
    <row r="21" spans="1:21" ht="15" thickBot="1" x14ac:dyDescent="0.35">
      <c r="H21" s="27" t="s">
        <v>35</v>
      </c>
      <c r="J21" s="92">
        <f>11*J5</f>
        <v>198</v>
      </c>
    </row>
    <row r="22" spans="1:21" ht="15" thickBot="1" x14ac:dyDescent="0.35">
      <c r="M22" s="1"/>
      <c r="O22" s="85"/>
    </row>
    <row r="23" spans="1:21" ht="15" thickBot="1" x14ac:dyDescent="0.35">
      <c r="H23" s="27" t="s">
        <v>36</v>
      </c>
      <c r="J23" s="105" t="s">
        <v>33</v>
      </c>
      <c r="N23" s="31"/>
      <c r="O23" s="85"/>
    </row>
    <row r="24" spans="1:21" ht="15" thickBot="1" x14ac:dyDescent="0.35">
      <c r="B24" s="1"/>
      <c r="M24" s="31" t="s">
        <v>37</v>
      </c>
      <c r="N24" s="85"/>
    </row>
    <row r="25" spans="1:21" ht="15" thickBot="1" x14ac:dyDescent="0.35">
      <c r="H25" s="27" t="s">
        <v>38</v>
      </c>
      <c r="J25" s="162">
        <v>92024</v>
      </c>
      <c r="M25" s="87" t="str">
        <f>VLOOKUP(J25,'tauxTransport 2025'!A:C,2,FALSE)</f>
        <v>Clichy</v>
      </c>
    </row>
    <row r="26" spans="1:21" x14ac:dyDescent="0.3">
      <c r="J26" s="153"/>
      <c r="M26" s="87" t="str">
        <f>VLOOKUP(J25,'tauxTransport 2025'!A:H,3,FALSE)</f>
        <v>ILE-DE-FRANCE MOBILITES</v>
      </c>
    </row>
    <row r="27" spans="1:21" x14ac:dyDescent="0.3">
      <c r="J27" s="153"/>
      <c r="M27">
        <f>VLOOKUP(J25,'tauxTransport 2025'!A:H,8,FALSE)</f>
        <v>3.2</v>
      </c>
      <c r="N27" s="159" t="s">
        <v>39</v>
      </c>
      <c r="O27" s="86"/>
    </row>
    <row r="28" spans="1:21" x14ac:dyDescent="0.3">
      <c r="J28" s="154" t="s">
        <v>40</v>
      </c>
      <c r="K28" s="154"/>
      <c r="L28" s="154"/>
      <c r="M28" s="154"/>
      <c r="N28" s="154"/>
      <c r="O28" s="154"/>
    </row>
    <row r="29" spans="1:21" x14ac:dyDescent="0.3">
      <c r="J29" s="157" t="s">
        <v>41</v>
      </c>
    </row>
    <row r="31" spans="1:21" x14ac:dyDescent="0.3">
      <c r="U31" t="s">
        <v>10</v>
      </c>
    </row>
  </sheetData>
  <dataValidations count="4">
    <dataValidation type="decimal" errorStyle="warning" allowBlank="1" showInputMessage="1" showErrorMessage="1" errorTitle="TJM trop faible" error="Le TJM ne doit pas être inférieur à 290 € pour un cadre en forfait jour" sqref="J4" xr:uid="{00000000-0002-0000-0100-000000000000}">
      <formula1>290</formula1>
      <formula2>3000</formula2>
    </dataValidation>
    <dataValidation type="list" allowBlank="1" showInputMessage="1" showErrorMessage="1" sqref="J23" xr:uid="{00000000-0002-0000-0100-000001000000}">
      <formula1>"Oui,Non"</formula1>
    </dataValidation>
    <dataValidation operator="lessThan" allowBlank="1" showInputMessage="1" error="le TJM d'un CDD ne peut être inférieur à 250 €" prompt="le TJM d'un CDD ne peut être inférieur à 250 €" sqref="J10" xr:uid="{AA572F77-EE88-469D-B8FF-EEBBB96C2F8C}"/>
    <dataValidation type="list" allowBlank="1" showInputMessage="1" showErrorMessage="1" sqref="B17" xr:uid="{0C72955D-D4F6-41D4-A8F0-00B358C9DB19}">
      <formula1>"CDI CADRE,CDI NON-CADRE,CDD"</formula1>
    </dataValidation>
  </dataValidations>
  <hyperlinks>
    <hyperlink ref="J29" r:id="rId1" xr:uid="{36D5D1C4-CC02-42EF-85E2-3A063B5DA5DA}"/>
  </hyperlinks>
  <pageMargins left="0.7" right="0.7" top="0.75" bottom="0.75" header="0.3" footer="0.3"/>
  <pageSetup paperSize="9" orientation="portrait" r:id="rId2"/>
  <customProperties>
    <customPr name="OrphanNamesChecke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'BS . Avec prov'!$K$32:$K$33</xm:f>
          </x14:formula1>
          <xm:sqref>J17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80C9FF"/>
  </sheetPr>
  <dimension ref="A2:U34"/>
  <sheetViews>
    <sheetView showGridLines="0" zoomScale="180" zoomScaleNormal="180" workbookViewId="0">
      <selection activeCell="G27" sqref="G27"/>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customWidth="1"/>
    <col min="13" max="13" width="10.5546875" bestFit="1" customWidth="1"/>
  </cols>
  <sheetData>
    <row r="2" spans="1:21" x14ac:dyDescent="0.3">
      <c r="U2" s="26">
        <v>21.67</v>
      </c>
    </row>
    <row r="3" spans="1:21" ht="15" thickBot="1" x14ac:dyDescent="0.35"/>
    <row r="4" spans="1:21" ht="15" thickBot="1" x14ac:dyDescent="0.35">
      <c r="A4" s="27" t="s">
        <v>11</v>
      </c>
      <c r="B4" s="32">
        <v>66925.736689462559</v>
      </c>
      <c r="C4" s="31" t="s">
        <v>12</v>
      </c>
      <c r="H4" s="27" t="s">
        <v>13</v>
      </c>
      <c r="J4" s="30">
        <f>'1. Calcul Avec prov'!J4</f>
        <v>500</v>
      </c>
    </row>
    <row r="5" spans="1:21" ht="15" thickBot="1" x14ac:dyDescent="0.35">
      <c r="A5" s="27" t="s">
        <v>11</v>
      </c>
      <c r="B5" s="32">
        <f>B4/12</f>
        <v>5577.1447241218802</v>
      </c>
      <c r="C5" s="31" t="s">
        <v>14</v>
      </c>
      <c r="F5" s="25"/>
      <c r="H5" s="27" t="s">
        <v>15</v>
      </c>
      <c r="J5" s="30">
        <f>'1. Calcul Avec prov'!J5</f>
        <v>18</v>
      </c>
    </row>
    <row r="6" spans="1:21" ht="15" thickBot="1" x14ac:dyDescent="0.35">
      <c r="A6" s="27" t="s">
        <v>16</v>
      </c>
      <c r="B6" s="32">
        <f>'BS . Sans prov'!E43</f>
        <v>1274.8125444506602</v>
      </c>
      <c r="H6" s="27" t="s">
        <v>17</v>
      </c>
      <c r="J6" s="30">
        <f>J4*J5</f>
        <v>9000</v>
      </c>
      <c r="K6" s="31" t="s">
        <v>14</v>
      </c>
      <c r="M6" s="29">
        <f>J6*12</f>
        <v>108000</v>
      </c>
      <c r="N6" s="31" t="s">
        <v>12</v>
      </c>
    </row>
    <row r="7" spans="1:21" ht="15" thickBot="1" x14ac:dyDescent="0.35">
      <c r="A7" s="27" t="s">
        <v>18</v>
      </c>
      <c r="B7" s="32">
        <f>'BS . Sans prov'!G43</f>
        <v>2585.8552758781184</v>
      </c>
      <c r="H7" s="27" t="s">
        <v>19</v>
      </c>
      <c r="J7" s="123">
        <f>'1. Calcul Avec prov'!J7</f>
        <v>0.08</v>
      </c>
      <c r="M7" s="29">
        <f>J6*J7</f>
        <v>720</v>
      </c>
      <c r="N7" s="31" t="s">
        <v>20</v>
      </c>
    </row>
    <row r="8" spans="1:21" ht="15" thickBot="1" x14ac:dyDescent="0.35">
      <c r="H8" s="27" t="s">
        <v>21</v>
      </c>
      <c r="J8" s="123">
        <v>0</v>
      </c>
      <c r="M8" s="29">
        <f>J8*J6</f>
        <v>0</v>
      </c>
      <c r="N8" s="31" t="s">
        <v>20</v>
      </c>
    </row>
    <row r="9" spans="1:21" ht="15" thickBot="1" x14ac:dyDescent="0.35">
      <c r="A9" s="27" t="s">
        <v>22</v>
      </c>
      <c r="B9" s="33">
        <f>'BS . Sans prov'!E45</f>
        <v>4203.332179671218</v>
      </c>
      <c r="H9" s="27" t="s">
        <v>23</v>
      </c>
      <c r="J9" s="28">
        <v>0</v>
      </c>
      <c r="M9" s="29">
        <f>J6*J9</f>
        <v>0</v>
      </c>
      <c r="N9" s="31" t="s">
        <v>20</v>
      </c>
    </row>
    <row r="10" spans="1:21" ht="15" thickBot="1" x14ac:dyDescent="0.35">
      <c r="A10" s="27" t="s">
        <v>24</v>
      </c>
      <c r="B10" s="33">
        <f>B5+B7+M7+J10+M8+M11+M9+M12+M22</f>
        <v>9329.9999999999982</v>
      </c>
      <c r="C10" s="31" t="s">
        <v>14</v>
      </c>
      <c r="H10" s="27" t="s">
        <v>26</v>
      </c>
      <c r="J10" s="30">
        <v>198</v>
      </c>
    </row>
    <row r="11" spans="1:21" ht="15" thickBot="1" x14ac:dyDescent="0.35">
      <c r="B11" s="29">
        <f>B10*12</f>
        <v>111959.99999999997</v>
      </c>
      <c r="C11" s="31" t="s">
        <v>12</v>
      </c>
      <c r="H11" s="27" t="s">
        <v>28</v>
      </c>
      <c r="J11" s="91">
        <f>'1. Calcul Avec prov'!J12</f>
        <v>150</v>
      </c>
      <c r="M11" s="29">
        <f>J11</f>
        <v>150</v>
      </c>
      <c r="N11" s="31" t="s">
        <v>20</v>
      </c>
    </row>
    <row r="12" spans="1:21" ht="15" thickBot="1" x14ac:dyDescent="0.35">
      <c r="B12" s="29">
        <f>B10/J5</f>
        <v>518.33333333333326</v>
      </c>
      <c r="C12" s="31" t="s">
        <v>27</v>
      </c>
      <c r="H12" s="27" t="s">
        <v>29</v>
      </c>
      <c r="J12" s="91">
        <f>J20/2</f>
        <v>99</v>
      </c>
      <c r="M12" s="29">
        <f>J12</f>
        <v>99</v>
      </c>
      <c r="N12" s="31" t="s">
        <v>20</v>
      </c>
    </row>
    <row r="13" spans="1:21" ht="15" thickBot="1" x14ac:dyDescent="0.35">
      <c r="H13" s="27" t="s">
        <v>30</v>
      </c>
      <c r="J13" s="29">
        <f>J6-M7-M8-J10-M11-M9-M12-M22</f>
        <v>7833</v>
      </c>
    </row>
    <row r="14" spans="1:21" ht="15" thickBot="1" x14ac:dyDescent="0.35">
      <c r="F14" s="35"/>
      <c r="H14" s="27" t="s">
        <v>31</v>
      </c>
      <c r="J14" s="29">
        <f>J13+J10+M7+M11+M8+M9+M12+M22</f>
        <v>9000</v>
      </c>
    </row>
    <row r="15" spans="1:21" ht="15" thickBot="1" x14ac:dyDescent="0.35">
      <c r="F15" s="35"/>
    </row>
    <row r="16" spans="1:21" ht="15" thickBot="1" x14ac:dyDescent="0.35">
      <c r="F16" s="35"/>
      <c r="H16" s="27" t="s">
        <v>32</v>
      </c>
      <c r="J16" s="118" t="str">
        <f>'1. Calcul Avec prov'!J17</f>
        <v>Oui</v>
      </c>
      <c r="M16" s="29">
        <f>VLOOKUP(J16,TabMutuelle[],2,FALSE)</f>
        <v>30.4</v>
      </c>
      <c r="N16" s="31" t="s">
        <v>20</v>
      </c>
    </row>
    <row r="17" spans="6:14" ht="15" thickBot="1" x14ac:dyDescent="0.35"/>
    <row r="18" spans="6:14" ht="15" thickBot="1" x14ac:dyDescent="0.35">
      <c r="F18" s="35"/>
      <c r="H18" s="27" t="s">
        <v>34</v>
      </c>
      <c r="J18" s="28">
        <f>'1. Calcul Avec prov'!J19</f>
        <v>0.1</v>
      </c>
      <c r="K18" s="35">
        <f>'BS . Sans prov'!E45*'2. Calcul Sans prov'!J18</f>
        <v>420.33321796712181</v>
      </c>
    </row>
    <row r="19" spans="6:14" ht="15" thickBot="1" x14ac:dyDescent="0.35"/>
    <row r="20" spans="6:14" ht="15" thickBot="1" x14ac:dyDescent="0.35">
      <c r="H20" s="27" t="s">
        <v>35</v>
      </c>
      <c r="J20" s="29">
        <f>'1. Calcul Avec prov'!J21</f>
        <v>198</v>
      </c>
    </row>
    <row r="21" spans="6:14" ht="15" thickBot="1" x14ac:dyDescent="0.35"/>
    <row r="22" spans="6:14" ht="15" thickBot="1" x14ac:dyDescent="0.35">
      <c r="H22" s="27" t="s">
        <v>36</v>
      </c>
      <c r="J22" s="106" t="str">
        <f>'1. Calcul Avec prov'!J23</f>
        <v>Oui</v>
      </c>
      <c r="N22" s="31"/>
    </row>
    <row r="34" spans="21:21" x14ac:dyDescent="0.3">
      <c r="U34" t="s">
        <v>10</v>
      </c>
    </row>
  </sheetData>
  <pageMargins left="0.7" right="0.7" top="0.75" bottom="0.75" header="0.3" footer="0.3"/>
  <pageSetup paperSize="9" orientation="portrait" r:id="rId1"/>
  <customProperties>
    <customPr name="OrphanNamesChecke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'BS . Avec prov'!$K$32:$K$33</xm:f>
          </x14:formula1>
          <xm:sqref>J16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theme="7"/>
    <pageSetUpPr fitToPage="1"/>
  </sheetPr>
  <dimension ref="A1:BK39"/>
  <sheetViews>
    <sheetView showGridLines="0" tabSelected="1" topLeftCell="A7" zoomScale="93" zoomScaleNormal="170" workbookViewId="0">
      <selection activeCell="E28" sqref="E28"/>
    </sheetView>
  </sheetViews>
  <sheetFormatPr baseColWidth="10" defaultColWidth="10.88671875" defaultRowHeight="14.4" x14ac:dyDescent="0.3"/>
  <cols>
    <col min="1" max="1" width="1.44140625" style="40" customWidth="1"/>
    <col min="2" max="2" width="44.5546875" style="40" customWidth="1"/>
    <col min="3" max="3" width="20.44140625" style="40" bestFit="1" customWidth="1"/>
    <col min="4" max="4" width="16" style="40" customWidth="1"/>
    <col min="5" max="5" width="16.44140625" style="40" customWidth="1"/>
    <col min="6" max="6" width="26" style="40" customWidth="1"/>
    <col min="7" max="7" width="13.5546875" style="40" customWidth="1"/>
    <col min="8" max="16384" width="10.88671875" style="40"/>
  </cols>
  <sheetData>
    <row r="1" spans="1:6" ht="57.6" customHeight="1" x14ac:dyDescent="0.3">
      <c r="F1" s="40" t="s">
        <v>10</v>
      </c>
    </row>
    <row r="2" spans="1:6" x14ac:dyDescent="0.3">
      <c r="B2" s="164" t="s">
        <v>27625</v>
      </c>
      <c r="C2" s="165">
        <f>'1. Calcul Avec prov'!B16</f>
        <v>45689</v>
      </c>
    </row>
    <row r="3" spans="1:6" x14ac:dyDescent="0.3">
      <c r="B3" s="164" t="s">
        <v>27626</v>
      </c>
      <c r="C3" s="121" t="str">
        <f>'1. Calcul Avec prov'!B17</f>
        <v>CDI CADRE</v>
      </c>
    </row>
    <row r="4" spans="1:6" ht="15" customHeight="1" x14ac:dyDescent="0.3">
      <c r="B4" s="203" t="s">
        <v>27628</v>
      </c>
      <c r="C4" s="203"/>
      <c r="D4" s="203"/>
      <c r="E4" s="203"/>
    </row>
    <row r="5" spans="1:6" ht="23.4" customHeight="1" x14ac:dyDescent="0.3">
      <c r="B5" s="204"/>
      <c r="C5" s="204"/>
      <c r="D5" s="204"/>
      <c r="E5" s="204"/>
    </row>
    <row r="6" spans="1:6" ht="25.35" customHeight="1" x14ac:dyDescent="0.3">
      <c r="B6" s="199" t="s">
        <v>27629</v>
      </c>
      <c r="C6" s="200"/>
      <c r="D6" s="82"/>
      <c r="E6" s="131" t="s">
        <v>42</v>
      </c>
    </row>
    <row r="7" spans="1:6" x14ac:dyDescent="0.3">
      <c r="B7" s="41" t="s">
        <v>13</v>
      </c>
      <c r="C7" s="205">
        <f>'1. Calcul Avec prov'!J4</f>
        <v>500</v>
      </c>
      <c r="D7" s="205"/>
      <c r="E7" s="206"/>
    </row>
    <row r="8" spans="1:6" x14ac:dyDescent="0.3">
      <c r="B8" s="42" t="s">
        <v>43</v>
      </c>
      <c r="C8" s="207">
        <f>'1. Calcul Avec prov'!J5</f>
        <v>18</v>
      </c>
      <c r="D8" s="207"/>
      <c r="E8" s="208"/>
    </row>
    <row r="9" spans="1:6" x14ac:dyDescent="0.3">
      <c r="A9" s="43"/>
      <c r="B9" s="169" t="s">
        <v>44</v>
      </c>
      <c r="C9" s="170"/>
      <c r="D9" s="170"/>
      <c r="E9" s="171">
        <f>'1. Calcul Avec prov'!J6</f>
        <v>9000</v>
      </c>
    </row>
    <row r="10" spans="1:6" x14ac:dyDescent="0.3">
      <c r="B10" s="44" t="s">
        <v>19</v>
      </c>
      <c r="C10" s="45"/>
      <c r="D10" s="46"/>
      <c r="E10" s="125">
        <f>'1. Calcul Avec prov'!M7+'1. Calcul Avec prov'!M23</f>
        <v>720</v>
      </c>
    </row>
    <row r="11" spans="1:6" x14ac:dyDescent="0.3">
      <c r="B11" s="89" t="s">
        <v>45</v>
      </c>
      <c r="D11" s="201">
        <f>'1. Calcul Avec prov'!J7</f>
        <v>0.08</v>
      </c>
      <c r="E11" s="202"/>
    </row>
    <row r="12" spans="1:6" x14ac:dyDescent="0.3">
      <c r="B12" s="89" t="s">
        <v>36</v>
      </c>
      <c r="D12" s="103"/>
      <c r="E12" s="104" t="str">
        <f>'1. Calcul Avec prov'!J23</f>
        <v>Oui</v>
      </c>
    </row>
    <row r="13" spans="1:6" x14ac:dyDescent="0.3">
      <c r="A13" s="43"/>
      <c r="B13" s="48" t="s">
        <v>46</v>
      </c>
      <c r="C13" s="47"/>
      <c r="D13" s="46"/>
      <c r="E13" s="125">
        <f>'1. Calcul Avec prov'!J11</f>
        <v>198</v>
      </c>
    </row>
    <row r="14" spans="1:6" x14ac:dyDescent="0.3">
      <c r="B14" s="48"/>
      <c r="E14" s="125"/>
    </row>
    <row r="15" spans="1:6" x14ac:dyDescent="0.3">
      <c r="B15" s="48" t="s">
        <v>32</v>
      </c>
      <c r="E15" s="166" t="str">
        <f>'1. Calcul Avec prov'!J17</f>
        <v>Oui</v>
      </c>
    </row>
    <row r="16" spans="1:6" x14ac:dyDescent="0.3">
      <c r="B16" s="167" t="s">
        <v>27630</v>
      </c>
      <c r="E16" s="125">
        <f>'1. Calcul Avec prov'!M17</f>
        <v>30.4</v>
      </c>
    </row>
    <row r="17" spans="1:63" x14ac:dyDescent="0.3">
      <c r="B17" s="48"/>
      <c r="E17" s="125"/>
    </row>
    <row r="18" spans="1:63" x14ac:dyDescent="0.3">
      <c r="A18" s="43"/>
      <c r="B18" s="48" t="s">
        <v>28</v>
      </c>
      <c r="D18" s="83"/>
      <c r="E18" s="125">
        <f>'1. Calcul Avec prov'!M12</f>
        <v>150</v>
      </c>
    </row>
    <row r="19" spans="1:63" x14ac:dyDescent="0.3">
      <c r="A19" s="168"/>
      <c r="B19" s="167" t="s">
        <v>27631</v>
      </c>
      <c r="D19" s="83"/>
      <c r="E19" s="125"/>
    </row>
    <row r="20" spans="1:63" x14ac:dyDescent="0.3">
      <c r="B20" s="48"/>
      <c r="E20" s="125"/>
    </row>
    <row r="21" spans="1:63" x14ac:dyDescent="0.3">
      <c r="A21" s="43"/>
      <c r="B21" s="48" t="s">
        <v>47</v>
      </c>
      <c r="D21" s="83"/>
      <c r="E21" s="125">
        <f>'1. Calcul Avec prov'!J13</f>
        <v>99</v>
      </c>
    </row>
    <row r="22" spans="1:63" x14ac:dyDescent="0.3">
      <c r="B22" s="48"/>
      <c r="E22" s="125"/>
    </row>
    <row r="23" spans="1:63" x14ac:dyDescent="0.3">
      <c r="A23" s="43"/>
      <c r="B23" s="138" t="s">
        <v>48</v>
      </c>
      <c r="D23" s="83"/>
      <c r="E23" s="126">
        <f>'1. Calcul Avec prov'!M8+'1. Calcul Avec prov'!M9+'1. Calcul Avec prov'!M10</f>
        <v>180</v>
      </c>
    </row>
    <row r="24" spans="1:63" x14ac:dyDescent="0.3">
      <c r="A24" s="43"/>
      <c r="B24" s="89" t="s">
        <v>49</v>
      </c>
      <c r="E24" s="127">
        <f>'1. Calcul Avec prov'!J8+'1. Calcul Avec prov'!J9+'1. Calcul Avec prov'!J10</f>
        <v>0.02</v>
      </c>
    </row>
    <row r="25" spans="1:63" ht="20.399999999999999" customHeight="1" x14ac:dyDescent="0.3">
      <c r="A25" s="43"/>
      <c r="B25" s="138" t="s">
        <v>30</v>
      </c>
      <c r="D25" s="83"/>
      <c r="E25" s="49">
        <f>'1. Calcul Avec prov'!J14</f>
        <v>7653</v>
      </c>
    </row>
    <row r="26" spans="1:63" s="139" customFormat="1" x14ac:dyDescent="0.3">
      <c r="B26" s="172" t="s">
        <v>27632</v>
      </c>
      <c r="C26" s="173"/>
      <c r="D26" s="174"/>
      <c r="E26" s="175">
        <f>'1. Calcul Avec prov'!B5</f>
        <v>5225.9795442840013</v>
      </c>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row>
    <row r="27" spans="1:63" s="141" customFormat="1" ht="18.600000000000001" customHeight="1" x14ac:dyDescent="0.3">
      <c r="A27" s="140"/>
      <c r="B27" s="134" t="s">
        <v>50</v>
      </c>
      <c r="C27" s="148"/>
      <c r="D27" s="148"/>
      <c r="E27" s="128">
        <f>'BS . Avec prov'!G43</f>
        <v>2427.0204557160082</v>
      </c>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row>
    <row r="28" spans="1:63" ht="13.2" customHeight="1" x14ac:dyDescent="0.3">
      <c r="B28" s="177" t="s">
        <v>51</v>
      </c>
      <c r="C28" s="176"/>
      <c r="D28" s="178"/>
      <c r="E28" s="179">
        <f>'BS . Avec prov'!E47</f>
        <v>3924.3987626549988</v>
      </c>
    </row>
    <row r="29" spans="1:63" x14ac:dyDescent="0.3">
      <c r="A29" s="43"/>
      <c r="B29" s="89" t="s">
        <v>52</v>
      </c>
      <c r="C29" s="90"/>
      <c r="D29" s="129"/>
      <c r="E29" s="132">
        <f>'BS . Avec prov'!E43+'3. Template'!E21</f>
        <v>1301.5807816290016</v>
      </c>
    </row>
    <row r="30" spans="1:63" x14ac:dyDescent="0.3">
      <c r="B30" s="47" t="s">
        <v>53</v>
      </c>
      <c r="C30" s="90"/>
      <c r="D30" s="129"/>
      <c r="E30" s="133">
        <f>'BS . Avec prov'!E48+'BS . Avec prov'!E49</f>
        <v>348</v>
      </c>
    </row>
    <row r="31" spans="1:63" x14ac:dyDescent="0.3">
      <c r="A31" s="90"/>
      <c r="B31" s="177" t="s">
        <v>54</v>
      </c>
      <c r="C31" s="180"/>
      <c r="D31" s="178"/>
      <c r="E31" s="179">
        <f>E28+E30</f>
        <v>4272.3987626549988</v>
      </c>
    </row>
    <row r="32" spans="1:63" x14ac:dyDescent="0.3">
      <c r="A32" s="90"/>
      <c r="B32" s="135" t="s">
        <v>55</v>
      </c>
      <c r="C32" s="136"/>
      <c r="D32" s="130"/>
      <c r="E32" s="137">
        <f>'BS . Avec prov'!E52</f>
        <v>278.93341701621921</v>
      </c>
    </row>
    <row r="33" spans="2:5" x14ac:dyDescent="0.3">
      <c r="B33" s="142"/>
      <c r="C33" s="143"/>
      <c r="D33" s="144"/>
      <c r="E33" s="143"/>
    </row>
    <row r="34" spans="2:5" x14ac:dyDescent="0.3">
      <c r="B34" s="145" t="s">
        <v>56</v>
      </c>
      <c r="C34" s="146"/>
      <c r="D34" s="147"/>
      <c r="E34" s="149">
        <f>(E32+E31)/(E9-E10-E13)</f>
        <v>0.56314429345102923</v>
      </c>
    </row>
    <row r="35" spans="2:5" ht="15" thickBot="1" x14ac:dyDescent="0.35">
      <c r="B35" s="181"/>
      <c r="C35" s="182"/>
      <c r="D35" s="168"/>
      <c r="E35" s="183"/>
    </row>
    <row r="36" spans="2:5" ht="27" customHeight="1" thickBot="1" x14ac:dyDescent="0.35">
      <c r="B36" s="196" t="s">
        <v>27633</v>
      </c>
      <c r="C36" s="197"/>
      <c r="D36" s="197"/>
      <c r="E36" s="198"/>
    </row>
    <row r="37" spans="2:5" ht="15" customHeight="1" x14ac:dyDescent="0.3"/>
    <row r="39" spans="2:5" x14ac:dyDescent="0.3">
      <c r="B39"/>
    </row>
  </sheetData>
  <mergeCells count="6">
    <mergeCell ref="B36:E36"/>
    <mergeCell ref="B6:C6"/>
    <mergeCell ref="D11:E11"/>
    <mergeCell ref="B4:E5"/>
    <mergeCell ref="C7:E7"/>
    <mergeCell ref="C8:E8"/>
  </mergeCells>
  <pageMargins left="1" right="1" top="1" bottom="1" header="0.5" footer="0.5"/>
  <pageSetup scale="67" orientation="portrait" r:id="rId1"/>
  <customProperties>
    <customPr name="OrphanNamesChecke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43905-15E9-4E72-B655-3DB38648C623}">
  <sheetPr codeName="Feuil4">
    <tabColor theme="2" tint="-9.9978637043366805E-2"/>
  </sheetPr>
  <dimension ref="A1:B19"/>
  <sheetViews>
    <sheetView zoomScale="180" zoomScaleNormal="180" workbookViewId="0">
      <selection activeCell="E19" sqref="E19"/>
    </sheetView>
  </sheetViews>
  <sheetFormatPr baseColWidth="10" defaultRowHeight="14.4" x14ac:dyDescent="0.3"/>
  <cols>
    <col min="1" max="1" width="54" bestFit="1" customWidth="1"/>
    <col min="2" max="2" width="115.77734375" bestFit="1" customWidth="1"/>
  </cols>
  <sheetData>
    <row r="1" spans="1:2" ht="15" thickBot="1" x14ac:dyDescent="0.35"/>
    <row r="2" spans="1:2" ht="15" thickBot="1" x14ac:dyDescent="0.35">
      <c r="A2" s="188" t="s">
        <v>27634</v>
      </c>
      <c r="B2" s="189" t="s">
        <v>27635</v>
      </c>
    </row>
    <row r="3" spans="1:2" ht="15" thickBot="1" x14ac:dyDescent="0.35">
      <c r="A3" s="188" t="s">
        <v>27636</v>
      </c>
      <c r="B3" s="190" t="s">
        <v>27637</v>
      </c>
    </row>
    <row r="4" spans="1:2" ht="15" thickBot="1" x14ac:dyDescent="0.35">
      <c r="A4" s="188" t="s">
        <v>27638</v>
      </c>
      <c r="B4" s="190" t="s">
        <v>27639</v>
      </c>
    </row>
    <row r="5" spans="1:2" ht="29.4" thickBot="1" x14ac:dyDescent="0.35">
      <c r="A5" s="188" t="s">
        <v>19</v>
      </c>
      <c r="B5" s="191" t="s">
        <v>27640</v>
      </c>
    </row>
    <row r="6" spans="1:2" ht="15" thickBot="1" x14ac:dyDescent="0.35">
      <c r="A6" s="188" t="s">
        <v>36</v>
      </c>
      <c r="B6" s="190" t="s">
        <v>27641</v>
      </c>
    </row>
    <row r="7" spans="1:2" ht="43.8" thickBot="1" x14ac:dyDescent="0.35">
      <c r="A7" s="188" t="s">
        <v>27642</v>
      </c>
      <c r="B7" s="191" t="s">
        <v>27643</v>
      </c>
    </row>
    <row r="8" spans="1:2" ht="43.8" thickBot="1" x14ac:dyDescent="0.35">
      <c r="A8" s="188" t="s">
        <v>28</v>
      </c>
      <c r="B8" s="191" t="s">
        <v>27644</v>
      </c>
    </row>
    <row r="9" spans="1:2" ht="29.4" thickBot="1" x14ac:dyDescent="0.35">
      <c r="A9" s="188" t="s">
        <v>27645</v>
      </c>
      <c r="B9" s="191" t="s">
        <v>27646</v>
      </c>
    </row>
    <row r="10" spans="1:2" x14ac:dyDescent="0.3">
      <c r="A10" s="209" t="s">
        <v>27647</v>
      </c>
      <c r="B10" s="192" t="s">
        <v>27648</v>
      </c>
    </row>
    <row r="11" spans="1:2" x14ac:dyDescent="0.3">
      <c r="A11" s="210"/>
      <c r="B11" s="193" t="s">
        <v>27649</v>
      </c>
    </row>
    <row r="12" spans="1:2" ht="15" thickBot="1" x14ac:dyDescent="0.35">
      <c r="A12" s="211"/>
      <c r="B12" s="194" t="s">
        <v>27650</v>
      </c>
    </row>
    <row r="13" spans="1:2" ht="29.4" thickBot="1" x14ac:dyDescent="0.35">
      <c r="A13" s="188" t="s">
        <v>30</v>
      </c>
      <c r="B13" s="191" t="s">
        <v>27651</v>
      </c>
    </row>
    <row r="14" spans="1:2" x14ac:dyDescent="0.3">
      <c r="A14" s="209" t="s">
        <v>27652</v>
      </c>
      <c r="B14" s="192" t="s">
        <v>27661</v>
      </c>
    </row>
    <row r="15" spans="1:2" ht="29.4" thickBot="1" x14ac:dyDescent="0.35">
      <c r="A15" s="211"/>
      <c r="B15" s="194" t="s">
        <v>27653</v>
      </c>
    </row>
    <row r="16" spans="1:2" ht="15" thickBot="1" x14ac:dyDescent="0.35">
      <c r="A16" s="188" t="s">
        <v>27654</v>
      </c>
      <c r="B16" s="190" t="s">
        <v>27655</v>
      </c>
    </row>
    <row r="17" spans="1:2" ht="15" thickBot="1" x14ac:dyDescent="0.35">
      <c r="A17" s="188" t="s">
        <v>27656</v>
      </c>
      <c r="B17" s="190" t="s">
        <v>27657</v>
      </c>
    </row>
    <row r="18" spans="1:2" ht="15" thickBot="1" x14ac:dyDescent="0.35">
      <c r="A18" s="188" t="s">
        <v>54</v>
      </c>
      <c r="B18" s="190" t="s">
        <v>27658</v>
      </c>
    </row>
    <row r="19" spans="1:2" ht="29.4" thickBot="1" x14ac:dyDescent="0.35">
      <c r="A19" s="188" t="s">
        <v>27659</v>
      </c>
      <c r="B19" s="195" t="s">
        <v>27660</v>
      </c>
    </row>
  </sheetData>
  <mergeCells count="2">
    <mergeCell ref="A10:A12"/>
    <mergeCell ref="A14:A1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CC99"/>
  </sheetPr>
  <dimension ref="A1:Z64"/>
  <sheetViews>
    <sheetView showGridLines="0" zoomScale="140" zoomScaleNormal="140" workbookViewId="0">
      <selection activeCell="O23" sqref="O23"/>
    </sheetView>
  </sheetViews>
  <sheetFormatPr baseColWidth="10" defaultColWidth="8.5546875" defaultRowHeight="14.4" x14ac:dyDescent="0.3"/>
  <cols>
    <col min="1" max="1" width="7" customWidth="1"/>
    <col min="2" max="2" width="42.44140625" customWidth="1"/>
    <col min="3" max="4" width="9.44140625" bestFit="1" customWidth="1"/>
    <col min="5" max="5" width="11.44140625" bestFit="1" customWidth="1"/>
    <col min="6" max="6" width="8.44140625" customWidth="1"/>
    <col min="7" max="7" width="10.44140625" customWidth="1"/>
    <col min="9" max="9" width="27.5546875" hidden="1" customWidth="1"/>
    <col min="10" max="10" width="11.5546875" hidden="1" customWidth="1"/>
    <col min="11" max="11" width="17.44140625" hidden="1" customWidth="1"/>
    <col min="12" max="13" width="12" hidden="1" customWidth="1"/>
    <col min="14" max="14" width="12.5546875" hidden="1" customWidth="1"/>
    <col min="15" max="15" width="12.5546875" customWidth="1"/>
    <col min="16" max="16" width="11.5546875" customWidth="1"/>
    <col min="17" max="17" width="12" customWidth="1"/>
    <col min="18" max="18" width="17" customWidth="1"/>
    <col min="19" max="19" width="9.5546875" customWidth="1"/>
    <col min="20" max="20" width="12" customWidth="1"/>
    <col min="21" max="21" width="12.5546875" customWidth="1"/>
    <col min="22" max="22" width="9.5546875" customWidth="1"/>
    <col min="23" max="23" width="27.44140625" bestFit="1" customWidth="1"/>
    <col min="24" max="24" width="9" bestFit="1" customWidth="1"/>
  </cols>
  <sheetData>
    <row r="1" spans="1:26" x14ac:dyDescent="0.3">
      <c r="A1" s="217" t="s">
        <v>57</v>
      </c>
      <c r="B1" s="218"/>
      <c r="C1" s="218"/>
      <c r="D1" s="218"/>
      <c r="E1" s="218"/>
      <c r="F1" s="218"/>
      <c r="G1" s="218"/>
    </row>
    <row r="2" spans="1:26" x14ac:dyDescent="0.3">
      <c r="A2" t="s">
        <v>58</v>
      </c>
      <c r="C2" s="100">
        <v>11.88</v>
      </c>
      <c r="G2" s="1"/>
      <c r="J2" s="99"/>
    </row>
    <row r="3" spans="1:26" x14ac:dyDescent="0.3">
      <c r="C3" s="217" t="s">
        <v>59</v>
      </c>
      <c r="D3" s="218"/>
      <c r="E3" s="218"/>
      <c r="F3" s="218"/>
      <c r="G3" s="219"/>
    </row>
    <row r="4" spans="1:26" ht="28.8" x14ac:dyDescent="0.3">
      <c r="A4" s="2" t="s">
        <v>60</v>
      </c>
      <c r="B4" s="2" t="s">
        <v>61</v>
      </c>
      <c r="C4" s="2" t="s">
        <v>62</v>
      </c>
      <c r="D4" s="2" t="s">
        <v>63</v>
      </c>
      <c r="E4" s="2" t="s">
        <v>64</v>
      </c>
      <c r="F4" s="2"/>
      <c r="G4" s="2"/>
    </row>
    <row r="5" spans="1:26" x14ac:dyDescent="0.3">
      <c r="A5" s="3"/>
      <c r="B5" s="8" t="s">
        <v>65</v>
      </c>
      <c r="C5" s="81">
        <f>'1. Calcul Avec prov'!J5</f>
        <v>18</v>
      </c>
      <c r="D5" s="60">
        <f>+E5/C5</f>
        <v>290.33219690466672</v>
      </c>
      <c r="E5" s="17">
        <f>'1. Calcul Avec prov'!B5</f>
        <v>5225.9795442840013</v>
      </c>
      <c r="F5" s="17"/>
      <c r="G5" s="8" t="s">
        <v>66</v>
      </c>
      <c r="W5" s="3" t="s">
        <v>27620</v>
      </c>
      <c r="X5" s="4">
        <v>216</v>
      </c>
      <c r="Y5" s="4"/>
      <c r="Z5" s="5" t="s">
        <v>66</v>
      </c>
    </row>
    <row r="6" spans="1:26" x14ac:dyDescent="0.3">
      <c r="A6" s="3"/>
      <c r="B6" s="3" t="s">
        <v>67</v>
      </c>
      <c r="C6" s="80">
        <f>'1. Calcul Avec prov'!J5</f>
        <v>18</v>
      </c>
      <c r="D6" s="4">
        <f>(X11*0.85)/1.1/1.05</f>
        <v>132.46753246753246</v>
      </c>
      <c r="E6" s="4">
        <f>+C6*D6</f>
        <v>2384.4155844155844</v>
      </c>
      <c r="F6" s="4"/>
      <c r="G6" s="5"/>
      <c r="W6" s="3" t="s">
        <v>27621</v>
      </c>
      <c r="X6" s="4">
        <v>3925</v>
      </c>
      <c r="Y6" s="4"/>
      <c r="Z6" s="5" t="s">
        <v>66</v>
      </c>
    </row>
    <row r="7" spans="1:26" x14ac:dyDescent="0.3">
      <c r="A7" s="3"/>
      <c r="B7" s="3" t="s">
        <v>68</v>
      </c>
      <c r="C7" s="80">
        <f>'1. Calcul Avec prov'!J5</f>
        <v>18</v>
      </c>
      <c r="D7" s="4">
        <f>(D5/1.1/1.05)-D6</f>
        <v>118.90233498239542</v>
      </c>
      <c r="E7" s="4">
        <f>+C7*D7</f>
        <v>2140.2420296831174</v>
      </c>
      <c r="F7" s="4"/>
      <c r="G7" s="5"/>
      <c r="W7" s="3" t="s">
        <v>69</v>
      </c>
      <c r="X7" s="4">
        <f>+IF(E10&gt;X6,X6,E10)</f>
        <v>3925</v>
      </c>
      <c r="Y7" s="4"/>
      <c r="Z7" s="5" t="s">
        <v>66</v>
      </c>
    </row>
    <row r="8" spans="1:26" x14ac:dyDescent="0.3">
      <c r="A8" s="3"/>
      <c r="B8" s="3" t="s">
        <v>70</v>
      </c>
      <c r="C8" s="80">
        <f>'1. Calcul Avec prov'!J5</f>
        <v>18</v>
      </c>
      <c r="D8" s="4">
        <f>(D6+D7)*0.05</f>
        <v>12.568493372496395</v>
      </c>
      <c r="E8" s="4">
        <f>+C8*D8</f>
        <v>226.2328807049351</v>
      </c>
      <c r="F8" s="4"/>
      <c r="G8" s="5"/>
      <c r="H8" s="16"/>
      <c r="W8" s="3" t="s">
        <v>71</v>
      </c>
      <c r="X8" s="4">
        <f>IF($E$10&lt;$X$6,0,$E$10-$X$7)</f>
        <v>1300.9795442840004</v>
      </c>
      <c r="Y8" s="4"/>
      <c r="Z8" s="5" t="s">
        <v>66</v>
      </c>
    </row>
    <row r="9" spans="1:26" x14ac:dyDescent="0.3">
      <c r="A9" s="3"/>
      <c r="B9" s="3" t="s">
        <v>72</v>
      </c>
      <c r="C9" s="80">
        <f>'1. Calcul Avec prov'!J5</f>
        <v>18</v>
      </c>
      <c r="D9" s="4">
        <f>(D8+D6+D7)*0.1</f>
        <v>26.39383608224243</v>
      </c>
      <c r="E9" s="4">
        <f>+C9*D9</f>
        <v>475.08904948036377</v>
      </c>
      <c r="F9" s="4"/>
      <c r="G9" s="5"/>
      <c r="H9" s="16"/>
      <c r="W9" s="3" t="s">
        <v>27623</v>
      </c>
      <c r="X9" s="4">
        <f>151.67*C2*2.4242</f>
        <v>4368.0195583200002</v>
      </c>
      <c r="Y9" s="4"/>
      <c r="Z9" s="5" t="s">
        <v>66</v>
      </c>
    </row>
    <row r="10" spans="1:26" ht="15" customHeight="1" x14ac:dyDescent="0.3">
      <c r="A10" s="3"/>
      <c r="B10" s="8" t="s">
        <v>73</v>
      </c>
      <c r="C10" s="81">
        <f>'1. Calcul Avec prov'!J5</f>
        <v>18</v>
      </c>
      <c r="D10" s="60">
        <f>SUM(D6:D9)</f>
        <v>290.33219690466672</v>
      </c>
      <c r="E10" s="60">
        <f>SUM(E6:E9)</f>
        <v>5225.9795442840004</v>
      </c>
      <c r="F10" s="17"/>
      <c r="G10" s="8" t="s">
        <v>66</v>
      </c>
      <c r="J10" s="99"/>
      <c r="W10" s="3" t="s">
        <v>27618</v>
      </c>
      <c r="X10" s="4">
        <v>3269</v>
      </c>
      <c r="Y10" s="4"/>
      <c r="Z10" s="5" t="s">
        <v>66</v>
      </c>
    </row>
    <row r="11" spans="1:26" ht="24.6" x14ac:dyDescent="0.3">
      <c r="A11" s="69"/>
      <c r="B11" s="69"/>
      <c r="C11" s="70" t="s">
        <v>74</v>
      </c>
      <c r="D11" s="70" t="s">
        <v>75</v>
      </c>
      <c r="E11" s="70" t="s">
        <v>76</v>
      </c>
      <c r="F11" s="70" t="s">
        <v>77</v>
      </c>
      <c r="G11" s="70" t="s">
        <v>78</v>
      </c>
      <c r="W11" s="3" t="s">
        <v>27619</v>
      </c>
      <c r="X11" s="4">
        <v>180</v>
      </c>
      <c r="Y11" s="4"/>
      <c r="Z11" s="5" t="s">
        <v>66</v>
      </c>
    </row>
    <row r="12" spans="1:26" x14ac:dyDescent="0.3">
      <c r="A12" s="63" t="s">
        <v>79</v>
      </c>
      <c r="B12" s="63" t="s">
        <v>80</v>
      </c>
      <c r="C12" s="64">
        <f>+$E$10</f>
        <v>5225.9795442840004</v>
      </c>
      <c r="D12" s="65">
        <v>0</v>
      </c>
      <c r="E12" s="64">
        <f>+C12*D12</f>
        <v>0</v>
      </c>
      <c r="F12" s="65">
        <f>IF(C12&gt;X9,13%,7%)</f>
        <v>0.13</v>
      </c>
      <c r="G12" s="64">
        <f>+C12*F12</f>
        <v>679.37734075692003</v>
      </c>
      <c r="H12" s="11" t="s">
        <v>81</v>
      </c>
    </row>
    <row r="13" spans="1:26" x14ac:dyDescent="0.3">
      <c r="A13" s="63" t="s">
        <v>82</v>
      </c>
      <c r="B13" s="63" t="s">
        <v>83</v>
      </c>
      <c r="C13" s="64">
        <f>+$E$10</f>
        <v>5225.9795442840004</v>
      </c>
      <c r="D13" s="65">
        <v>0</v>
      </c>
      <c r="E13" s="64">
        <f t="shared" ref="E13:E35" si="0">+C13*D13</f>
        <v>0</v>
      </c>
      <c r="F13" s="65">
        <v>3.0000000000000001E-3</v>
      </c>
      <c r="G13" s="64">
        <f>+C13*F13</f>
        <v>15.677938632852001</v>
      </c>
      <c r="H13" s="11" t="s">
        <v>81</v>
      </c>
    </row>
    <row r="14" spans="1:26" x14ac:dyDescent="0.3">
      <c r="A14" s="63" t="s">
        <v>84</v>
      </c>
      <c r="B14" s="63" t="s">
        <v>85</v>
      </c>
      <c r="C14" s="64">
        <f>+$E$10</f>
        <v>5225.9795442840004</v>
      </c>
      <c r="D14" s="65">
        <v>4.0000000000000001E-3</v>
      </c>
      <c r="E14" s="64">
        <f t="shared" si="0"/>
        <v>20.903918177136003</v>
      </c>
      <c r="F14" s="65">
        <v>2.0199999999999999E-2</v>
      </c>
      <c r="G14" s="64">
        <f t="shared" ref="G14:G37" si="1">+C14*F14</f>
        <v>105.5647867945368</v>
      </c>
      <c r="H14" s="11" t="s">
        <v>81</v>
      </c>
      <c r="W14" t="s">
        <v>10</v>
      </c>
    </row>
    <row r="15" spans="1:26" x14ac:dyDescent="0.3">
      <c r="A15" s="63" t="s">
        <v>86</v>
      </c>
      <c r="B15" s="63" t="s">
        <v>87</v>
      </c>
      <c r="C15" s="64">
        <f>+IF(E$10&lt;X$6,E$10,X$6)</f>
        <v>3925</v>
      </c>
      <c r="D15" s="65">
        <v>6.9000000000000006E-2</v>
      </c>
      <c r="E15" s="64">
        <f t="shared" si="0"/>
        <v>270.82500000000005</v>
      </c>
      <c r="F15" s="65">
        <v>8.5500000000000007E-2</v>
      </c>
      <c r="G15" s="64">
        <f t="shared" si="1"/>
        <v>335.58750000000003</v>
      </c>
      <c r="H15" t="s">
        <v>81</v>
      </c>
    </row>
    <row r="16" spans="1:26" x14ac:dyDescent="0.3">
      <c r="A16" s="63" t="s">
        <v>88</v>
      </c>
      <c r="B16" s="63" t="s">
        <v>89</v>
      </c>
      <c r="C16" s="64">
        <f>+$E$10</f>
        <v>5225.9795442840004</v>
      </c>
      <c r="D16" s="65">
        <v>0</v>
      </c>
      <c r="E16" s="64">
        <f t="shared" si="0"/>
        <v>0</v>
      </c>
      <c r="F16" s="65">
        <v>3.4500000000000003E-2</v>
      </c>
      <c r="G16" s="64">
        <f t="shared" si="1"/>
        <v>180.29629427779804</v>
      </c>
      <c r="H16" s="11" t="s">
        <v>81</v>
      </c>
    </row>
    <row r="17" spans="1:14" x14ac:dyDescent="0.3">
      <c r="A17" s="63" t="s">
        <v>90</v>
      </c>
      <c r="B17" s="63" t="s">
        <v>91</v>
      </c>
      <c r="C17" s="64">
        <f>+$E$10</f>
        <v>5225.9795442840004</v>
      </c>
      <c r="D17" s="65">
        <v>0</v>
      </c>
      <c r="E17" s="64">
        <f t="shared" si="0"/>
        <v>0</v>
      </c>
      <c r="F17" s="65">
        <v>4.5999999999999999E-3</v>
      </c>
      <c r="G17" s="64">
        <f t="shared" si="1"/>
        <v>24.039505903706402</v>
      </c>
      <c r="H17" s="11" t="s">
        <v>81</v>
      </c>
    </row>
    <row r="18" spans="1:14" x14ac:dyDescent="0.3">
      <c r="A18" s="63" t="s">
        <v>92</v>
      </c>
      <c r="B18" s="63" t="s">
        <v>93</v>
      </c>
      <c r="C18" s="64">
        <f>+$E$10</f>
        <v>5225.9795442840004</v>
      </c>
      <c r="D18" s="65">
        <v>0</v>
      </c>
      <c r="E18" s="64">
        <f t="shared" si="0"/>
        <v>0</v>
      </c>
      <c r="F18" s="65">
        <v>5.0000000000000001E-3</v>
      </c>
      <c r="G18" s="64">
        <f t="shared" si="1"/>
        <v>26.129897721420004</v>
      </c>
      <c r="H18" s="11" t="s">
        <v>94</v>
      </c>
    </row>
    <row r="19" spans="1:14" x14ac:dyDescent="0.3">
      <c r="A19" s="63" t="s">
        <v>95</v>
      </c>
      <c r="B19" s="63" t="s">
        <v>96</v>
      </c>
      <c r="C19" s="64">
        <f>+X$7+X$8</f>
        <v>5225.9795442840004</v>
      </c>
      <c r="D19" s="65">
        <v>0</v>
      </c>
      <c r="E19" s="64">
        <f>+C19*D19</f>
        <v>0</v>
      </c>
      <c r="F19" s="65">
        <v>4.0500000000000001E-2</v>
      </c>
      <c r="G19" s="64">
        <f>+F19*C19</f>
        <v>211.65217154350202</v>
      </c>
      <c r="H19" t="s">
        <v>81</v>
      </c>
    </row>
    <row r="20" spans="1:14" x14ac:dyDescent="0.3">
      <c r="A20" s="63" t="s">
        <v>97</v>
      </c>
      <c r="B20" s="63" t="s">
        <v>98</v>
      </c>
      <c r="C20" s="64">
        <f>+C19</f>
        <v>5225.9795442840004</v>
      </c>
      <c r="D20" s="65">
        <v>0</v>
      </c>
      <c r="E20" s="64">
        <f>+C20*D20</f>
        <v>0</v>
      </c>
      <c r="F20" s="65">
        <v>2.5000000000000001E-3</v>
      </c>
      <c r="G20" s="64">
        <f>+F20*C20</f>
        <v>13.064948860710002</v>
      </c>
      <c r="H20" t="s">
        <v>81</v>
      </c>
    </row>
    <row r="21" spans="1:14" ht="15" x14ac:dyDescent="0.35">
      <c r="A21" s="63" t="s">
        <v>99</v>
      </c>
      <c r="B21" s="63" t="s">
        <v>100</v>
      </c>
      <c r="C21" s="64">
        <f>+C15</f>
        <v>3925</v>
      </c>
      <c r="D21" s="65">
        <v>3.15E-2</v>
      </c>
      <c r="E21" s="64">
        <f t="shared" si="0"/>
        <v>123.6375</v>
      </c>
      <c r="F21" s="65">
        <v>4.7199999999999999E-2</v>
      </c>
      <c r="G21" s="64">
        <f t="shared" si="1"/>
        <v>185.26</v>
      </c>
      <c r="H21" t="s">
        <v>81</v>
      </c>
      <c r="J21" s="212" t="s">
        <v>101</v>
      </c>
      <c r="K21" s="213"/>
      <c r="L21" s="212" t="s">
        <v>102</v>
      </c>
      <c r="M21" s="213"/>
    </row>
    <row r="22" spans="1:14" ht="15" x14ac:dyDescent="0.35">
      <c r="A22" s="63" t="s">
        <v>103</v>
      </c>
      <c r="B22" s="63" t="s">
        <v>104</v>
      </c>
      <c r="C22" s="64">
        <f>+C20-C21</f>
        <v>1300.9795442840004</v>
      </c>
      <c r="D22" s="65">
        <v>8.6400000000000005E-2</v>
      </c>
      <c r="E22" s="64">
        <f>+C22*D22</f>
        <v>112.40463262613764</v>
      </c>
      <c r="F22" s="65">
        <v>0.1295</v>
      </c>
      <c r="G22" s="64">
        <f>+C22*F22</f>
        <v>168.47685098477805</v>
      </c>
      <c r="H22" t="s">
        <v>81</v>
      </c>
      <c r="I22" s="12" t="s">
        <v>32</v>
      </c>
      <c r="J22" s="107" t="s">
        <v>105</v>
      </c>
      <c r="K22" s="12" t="s">
        <v>106</v>
      </c>
      <c r="L22" s="107" t="s">
        <v>107</v>
      </c>
      <c r="M22" s="12" t="s">
        <v>108</v>
      </c>
      <c r="N22" s="107" t="s">
        <v>109</v>
      </c>
    </row>
    <row r="23" spans="1:14" ht="15" customHeight="1" x14ac:dyDescent="0.3">
      <c r="A23" s="63" t="s">
        <v>110</v>
      </c>
      <c r="B23" s="63" t="s">
        <v>111</v>
      </c>
      <c r="C23" s="64">
        <f>+IF(E$10&lt;X$6,0,E$10)</f>
        <v>5225.9795442840004</v>
      </c>
      <c r="D23" s="65">
        <v>1.4E-3</v>
      </c>
      <c r="E23" s="64">
        <f>+C23*D23</f>
        <v>7.316371361997601</v>
      </c>
      <c r="F23" s="65">
        <v>2.0999999999999999E-3</v>
      </c>
      <c r="G23" s="64">
        <f>+C23*F23</f>
        <v>10.9745570429964</v>
      </c>
      <c r="H23" t="s">
        <v>81</v>
      </c>
      <c r="I23" s="13" t="s">
        <v>112</v>
      </c>
      <c r="J23" s="116"/>
      <c r="K23" s="14">
        <v>0</v>
      </c>
      <c r="L23" s="110"/>
      <c r="M23" s="14">
        <v>0</v>
      </c>
      <c r="N23" s="111">
        <f>M23+K23</f>
        <v>0</v>
      </c>
    </row>
    <row r="24" spans="1:14" x14ac:dyDescent="0.3">
      <c r="A24" s="63" t="s">
        <v>113</v>
      </c>
      <c r="B24" s="63" t="s">
        <v>114</v>
      </c>
      <c r="C24" s="64">
        <f>+C15</f>
        <v>3925</v>
      </c>
      <c r="D24" s="65">
        <v>8.6E-3</v>
      </c>
      <c r="E24" s="64">
        <f>+C24*D24</f>
        <v>33.755000000000003</v>
      </c>
      <c r="F24" s="65">
        <v>1.29E-2</v>
      </c>
      <c r="G24" s="64">
        <f>+C24*F24</f>
        <v>50.6325</v>
      </c>
      <c r="H24" t="s">
        <v>81</v>
      </c>
      <c r="I24" s="13" t="s">
        <v>115</v>
      </c>
      <c r="J24" s="116"/>
      <c r="K24" s="119">
        <v>45.6</v>
      </c>
      <c r="L24" s="116"/>
      <c r="M24" s="14">
        <v>30.4</v>
      </c>
      <c r="N24" s="111">
        <f>M24+K24</f>
        <v>76</v>
      </c>
    </row>
    <row r="25" spans="1:14" x14ac:dyDescent="0.3">
      <c r="A25" s="63" t="s">
        <v>113</v>
      </c>
      <c r="B25" s="63" t="s">
        <v>116</v>
      </c>
      <c r="C25" s="64">
        <f>+IF(E$10&lt;X$6,0,(E$10-X$6))</f>
        <v>1300.9795442840004</v>
      </c>
      <c r="D25" s="65">
        <v>1.0800000000000001E-2</v>
      </c>
      <c r="E25" s="64">
        <f>+C25*D25</f>
        <v>14.050579078267205</v>
      </c>
      <c r="F25" s="65">
        <v>1.6199999999999999E-2</v>
      </c>
      <c r="G25" s="64">
        <f>+C25*F25</f>
        <v>21.075868617400808</v>
      </c>
      <c r="H25" t="s">
        <v>81</v>
      </c>
      <c r="I25" s="13" t="s">
        <v>117</v>
      </c>
      <c r="J25" s="116"/>
      <c r="K25" s="119"/>
      <c r="L25" s="110"/>
      <c r="M25" s="14"/>
      <c r="N25" s="111"/>
    </row>
    <row r="26" spans="1:14" x14ac:dyDescent="0.3">
      <c r="A26" s="63" t="s">
        <v>118</v>
      </c>
      <c r="B26" s="63" t="s">
        <v>119</v>
      </c>
      <c r="C26" s="64">
        <f>+C20</f>
        <v>5225.9795442840004</v>
      </c>
      <c r="D26" s="65">
        <v>2.4000000000000001E-4</v>
      </c>
      <c r="E26" s="64">
        <f t="shared" si="0"/>
        <v>1.2542350906281601</v>
      </c>
      <c r="F26" s="65">
        <v>3.6000000000000002E-4</v>
      </c>
      <c r="G26" s="64">
        <f t="shared" si="1"/>
        <v>1.8813526359422403</v>
      </c>
      <c r="H26" t="s">
        <v>81</v>
      </c>
      <c r="I26" s="13" t="s">
        <v>120</v>
      </c>
      <c r="J26" s="116"/>
      <c r="K26" s="119"/>
      <c r="L26" s="116"/>
      <c r="M26" s="14"/>
      <c r="N26" s="111"/>
    </row>
    <row r="27" spans="1:14" x14ac:dyDescent="0.3">
      <c r="A27" s="63" t="s">
        <v>121</v>
      </c>
      <c r="B27" s="63" t="s">
        <v>122</v>
      </c>
      <c r="C27" s="64">
        <f>+C24</f>
        <v>3925</v>
      </c>
      <c r="D27" s="65">
        <v>0</v>
      </c>
      <c r="E27" s="64">
        <f t="shared" si="0"/>
        <v>0</v>
      </c>
      <c r="F27" s="65">
        <v>7.0000000000000001E-3</v>
      </c>
      <c r="G27" s="64">
        <f t="shared" si="1"/>
        <v>27.475000000000001</v>
      </c>
      <c r="I27" s="112" t="s">
        <v>123</v>
      </c>
      <c r="J27" s="116"/>
      <c r="K27" s="119"/>
      <c r="L27" s="113"/>
      <c r="M27" s="14"/>
      <c r="N27" s="111"/>
    </row>
    <row r="28" spans="1:14" x14ac:dyDescent="0.3">
      <c r="A28" s="63" t="s">
        <v>124</v>
      </c>
      <c r="B28" s="63" t="s">
        <v>125</v>
      </c>
      <c r="C28" s="64">
        <f>+IF(E$10&lt;X$6,0,(E$10-X$6))</f>
        <v>1300.9795442840004</v>
      </c>
      <c r="D28" s="65">
        <v>3.5999999999999999E-3</v>
      </c>
      <c r="E28" s="64">
        <f t="shared" si="0"/>
        <v>4.6835263594224017</v>
      </c>
      <c r="F28" s="65">
        <v>3.5999999999999999E-3</v>
      </c>
      <c r="G28" s="64">
        <f t="shared" si="1"/>
        <v>4.6835263594224017</v>
      </c>
      <c r="I28" s="112" t="s">
        <v>126</v>
      </c>
      <c r="J28" s="116"/>
      <c r="K28" s="120"/>
      <c r="L28" s="113"/>
      <c r="M28" s="114"/>
      <c r="N28" s="115"/>
    </row>
    <row r="29" spans="1:14" x14ac:dyDescent="0.3">
      <c r="A29" s="63" t="s">
        <v>127</v>
      </c>
      <c r="B29" s="63" t="s">
        <v>128</v>
      </c>
      <c r="C29" s="64">
        <f>+X6</f>
        <v>3925</v>
      </c>
      <c r="D29" s="65"/>
      <c r="E29" s="64">
        <f>IF('1. Calcul Avec prov'!J17="Oui",'1. Calcul Avec prov'!M17,0)</f>
        <v>30.4</v>
      </c>
      <c r="F29" s="65"/>
      <c r="G29" s="64">
        <f>IF('1. Calcul Avec prov'!J17="Oui",K24,0)</f>
        <v>45.6</v>
      </c>
    </row>
    <row r="30" spans="1:14" x14ac:dyDescent="0.3">
      <c r="A30" s="63"/>
      <c r="B30" s="63" t="s">
        <v>27624</v>
      </c>
      <c r="C30" s="64"/>
      <c r="D30" s="65"/>
      <c r="E30" s="64">
        <f>G27+G28+G29</f>
        <v>77.758526359422405</v>
      </c>
      <c r="F30" s="65">
        <v>0.08</v>
      </c>
      <c r="G30" s="64">
        <f>+E30*F30</f>
        <v>6.2206821087537927</v>
      </c>
    </row>
    <row r="31" spans="1:14" ht="15" x14ac:dyDescent="0.35">
      <c r="A31" s="63" t="s">
        <v>129</v>
      </c>
      <c r="B31" s="63" t="s">
        <v>130</v>
      </c>
      <c r="C31" s="64">
        <f>+E10</f>
        <v>5225.9795442840004</v>
      </c>
      <c r="D31" s="65">
        <v>0</v>
      </c>
      <c r="E31" s="64">
        <f>+C31*D31</f>
        <v>0</v>
      </c>
      <c r="F31" s="65">
        <v>1.6000000000000001E-4</v>
      </c>
      <c r="G31" s="64">
        <f>+C31*F31</f>
        <v>0.83615672708544009</v>
      </c>
      <c r="H31" t="s">
        <v>81</v>
      </c>
      <c r="K31" s="94" t="s">
        <v>32</v>
      </c>
      <c r="L31" s="95" t="s">
        <v>131</v>
      </c>
      <c r="M31" s="108"/>
    </row>
    <row r="32" spans="1:14" x14ac:dyDescent="0.3">
      <c r="A32" s="63" t="s">
        <v>132</v>
      </c>
      <c r="B32" s="63" t="s">
        <v>133</v>
      </c>
      <c r="C32" s="64">
        <f>+E10</f>
        <v>5225.9795442840004</v>
      </c>
      <c r="D32" s="65">
        <v>0</v>
      </c>
      <c r="E32" s="64">
        <f>+C32*D32</f>
        <v>0</v>
      </c>
      <c r="F32" s="65">
        <v>6.7999999999999996E-3</v>
      </c>
      <c r="G32" s="64">
        <f>+C32*F32</f>
        <v>35.536660901131199</v>
      </c>
      <c r="H32" t="s">
        <v>81</v>
      </c>
      <c r="K32" s="96" t="s">
        <v>33</v>
      </c>
      <c r="L32" s="150">
        <v>30.4</v>
      </c>
      <c r="M32" s="109"/>
    </row>
    <row r="33" spans="1:23" x14ac:dyDescent="0.3">
      <c r="A33" s="63" t="s">
        <v>134</v>
      </c>
      <c r="B33" s="63" t="s">
        <v>135</v>
      </c>
      <c r="C33" s="64">
        <f>+E10</f>
        <v>5225.9795442840004</v>
      </c>
      <c r="D33" s="65">
        <v>0</v>
      </c>
      <c r="E33" s="64">
        <f>+C33*D33</f>
        <v>0</v>
      </c>
      <c r="F33" s="65">
        <v>1E-4</v>
      </c>
      <c r="G33" s="64">
        <f>+C33*F33</f>
        <v>0.52259795442840007</v>
      </c>
      <c r="K33" s="97" t="s">
        <v>112</v>
      </c>
      <c r="L33" s="151"/>
      <c r="M33" s="109"/>
      <c r="W33" s="88"/>
    </row>
    <row r="34" spans="1:23" x14ac:dyDescent="0.3">
      <c r="A34" s="63" t="s">
        <v>136</v>
      </c>
      <c r="B34" s="63" t="s">
        <v>137</v>
      </c>
      <c r="C34" s="64">
        <f>E10</f>
        <v>5225.9795442840004</v>
      </c>
      <c r="D34" s="65">
        <v>0</v>
      </c>
      <c r="E34" s="64">
        <f>+C34*D34</f>
        <v>0</v>
      </c>
      <c r="F34" s="65">
        <v>4.0000000000000002E-4</v>
      </c>
      <c r="G34" s="64">
        <f>+C34*F34</f>
        <v>2.0903918177136003</v>
      </c>
    </row>
    <row r="35" spans="1:23" x14ac:dyDescent="0.3">
      <c r="A35" s="63" t="s">
        <v>138</v>
      </c>
      <c r="B35" s="63" t="s">
        <v>139</v>
      </c>
      <c r="C35" s="64">
        <f>+E10</f>
        <v>5225.9795442840004</v>
      </c>
      <c r="D35" s="65">
        <v>0</v>
      </c>
      <c r="E35" s="64">
        <f t="shared" si="0"/>
        <v>0</v>
      </c>
      <c r="F35" s="65">
        <v>1.6E-2</v>
      </c>
      <c r="G35" s="64">
        <f t="shared" si="1"/>
        <v>83.615672708544011</v>
      </c>
      <c r="H35" t="s">
        <v>81</v>
      </c>
      <c r="W35" t="s">
        <v>10</v>
      </c>
    </row>
    <row r="36" spans="1:23" x14ac:dyDescent="0.3">
      <c r="A36" s="63"/>
      <c r="B36" s="63" t="s">
        <v>140</v>
      </c>
      <c r="C36" s="64">
        <f>E10</f>
        <v>5225.9795442840004</v>
      </c>
      <c r="D36" s="65">
        <v>0</v>
      </c>
      <c r="E36" s="64">
        <f t="shared" ref="E36:E37" si="2">+C36*D36</f>
        <v>0</v>
      </c>
      <c r="F36" s="65">
        <f>0.45%</f>
        <v>4.5000000000000005E-3</v>
      </c>
      <c r="G36" s="64">
        <f t="shared" si="1"/>
        <v>23.516907949278004</v>
      </c>
    </row>
    <row r="37" spans="1:23" x14ac:dyDescent="0.3">
      <c r="A37" s="63"/>
      <c r="B37" s="63" t="s">
        <v>141</v>
      </c>
      <c r="C37" s="64">
        <f>E10</f>
        <v>5225.9795442840004</v>
      </c>
      <c r="D37" s="65">
        <v>0</v>
      </c>
      <c r="E37" s="64">
        <f t="shared" si="2"/>
        <v>0</v>
      </c>
      <c r="F37" s="65">
        <f>tx_taxe_transport/100</f>
        <v>3.2000000000000001E-2</v>
      </c>
      <c r="G37" s="64">
        <f t="shared" si="1"/>
        <v>167.23134541708802</v>
      </c>
      <c r="H37" t="s">
        <v>27622</v>
      </c>
    </row>
    <row r="38" spans="1:23" x14ac:dyDescent="0.3">
      <c r="A38" s="63" t="s">
        <v>142</v>
      </c>
      <c r="B38" s="63" t="s">
        <v>143</v>
      </c>
      <c r="C38" s="64">
        <f>IF(($E$10/151.67)&gt;=(C2*3.3939),$E$10,0)</f>
        <v>0</v>
      </c>
      <c r="D38" s="65">
        <v>0</v>
      </c>
      <c r="E38" s="64">
        <f>+C38*D38</f>
        <v>0</v>
      </c>
      <c r="F38" s="65">
        <v>1.7999999999999999E-2</v>
      </c>
      <c r="G38" s="64">
        <f>+C38*F38</f>
        <v>0</v>
      </c>
      <c r="H38" t="s">
        <v>81</v>
      </c>
    </row>
    <row r="39" spans="1:23" x14ac:dyDescent="0.3">
      <c r="A39" s="63" t="s">
        <v>144</v>
      </c>
      <c r="B39" s="63" t="s">
        <v>145</v>
      </c>
      <c r="C39" s="64">
        <f>+C40</f>
        <v>5212.2834286184534</v>
      </c>
      <c r="D39" s="65">
        <v>2.9000000000000001E-2</v>
      </c>
      <c r="E39" s="64">
        <f>+C39*D39</f>
        <v>151.15621942993516</v>
      </c>
      <c r="F39" s="65">
        <v>0</v>
      </c>
      <c r="G39" s="64">
        <f>+C39*F39</f>
        <v>0</v>
      </c>
      <c r="H39" t="s">
        <v>81</v>
      </c>
    </row>
    <row r="40" spans="1:23" x14ac:dyDescent="0.3">
      <c r="A40" s="63" t="s">
        <v>146</v>
      </c>
      <c r="B40" s="63" t="s">
        <v>147</v>
      </c>
      <c r="C40" s="64">
        <f>+($E$10-($E$10*1.75%))+$G$27+$G$28+$G$29</f>
        <v>5212.2834286184534</v>
      </c>
      <c r="D40" s="65">
        <v>6.8000000000000005E-2</v>
      </c>
      <c r="E40" s="64">
        <f>+C40*D40</f>
        <v>354.43527314605484</v>
      </c>
      <c r="F40" s="65">
        <v>0</v>
      </c>
      <c r="G40" s="64">
        <f>+C40*F40</f>
        <v>0</v>
      </c>
      <c r="H40" s="16" t="s">
        <v>81</v>
      </c>
    </row>
    <row r="41" spans="1:23" x14ac:dyDescent="0.3">
      <c r="A41" s="6" t="s">
        <v>66</v>
      </c>
      <c r="B41" s="6" t="s">
        <v>148</v>
      </c>
      <c r="C41" s="6" t="s">
        <v>66</v>
      </c>
      <c r="D41" s="6"/>
      <c r="E41" s="7">
        <f>SUM(E12:E40)-E39</f>
        <v>1051.4245621990665</v>
      </c>
      <c r="F41" s="7"/>
      <c r="G41" s="17"/>
      <c r="W41" t="s">
        <v>10</v>
      </c>
    </row>
    <row r="42" spans="1:23" x14ac:dyDescent="0.3">
      <c r="A42" s="6" t="s">
        <v>66</v>
      </c>
      <c r="B42" s="6" t="s">
        <v>149</v>
      </c>
      <c r="C42" s="6" t="s">
        <v>66</v>
      </c>
      <c r="D42" s="6"/>
      <c r="E42" s="7">
        <f>+E39</f>
        <v>151.15621942993516</v>
      </c>
      <c r="F42" s="7"/>
      <c r="G42" s="8" t="s">
        <v>66</v>
      </c>
    </row>
    <row r="43" spans="1:23" x14ac:dyDescent="0.3">
      <c r="A43" s="71" t="s">
        <v>66</v>
      </c>
      <c r="B43" s="71" t="s">
        <v>150</v>
      </c>
      <c r="C43" s="74">
        <f>'1. Calcul Avec prov'!J5</f>
        <v>18</v>
      </c>
      <c r="D43" s="72">
        <f>E43/C43</f>
        <v>66.81004342383342</v>
      </c>
      <c r="E43" s="72">
        <f>E41+E42</f>
        <v>1202.5807816290016</v>
      </c>
      <c r="F43" s="72">
        <f>G43/C43</f>
        <v>134.83446976200045</v>
      </c>
      <c r="G43" s="73">
        <f>SUM(G12:G40)</f>
        <v>2427.0204557160082</v>
      </c>
      <c r="H43" s="102">
        <f>G43/E10</f>
        <v>0.46441445764375427</v>
      </c>
    </row>
    <row r="44" spans="1:23" x14ac:dyDescent="0.3">
      <c r="A44" s="19" t="s">
        <v>66</v>
      </c>
      <c r="B44" s="19" t="s">
        <v>151</v>
      </c>
      <c r="C44" s="19" t="s">
        <v>66</v>
      </c>
      <c r="D44" s="19"/>
      <c r="E44" s="20">
        <f>+E10-E43+E42</f>
        <v>4174.5549820849337</v>
      </c>
      <c r="F44" s="20"/>
      <c r="G44" s="21" t="s">
        <v>66</v>
      </c>
    </row>
    <row r="45" spans="1:23" x14ac:dyDescent="0.3">
      <c r="A45" s="19"/>
      <c r="B45" s="19" t="s">
        <v>152</v>
      </c>
      <c r="C45" s="77">
        <f>'1. Calcul Avec prov'!J5</f>
        <v>18</v>
      </c>
      <c r="D45" s="84">
        <f>E45/C45</f>
        <v>223.52215348083325</v>
      </c>
      <c r="E45" s="20">
        <f>E10-E43</f>
        <v>4023.3987626549988</v>
      </c>
      <c r="F45" s="20"/>
      <c r="G45" s="21"/>
    </row>
    <row r="46" spans="1:23" x14ac:dyDescent="0.3">
      <c r="A46" s="22"/>
      <c r="B46" s="22" t="s">
        <v>153</v>
      </c>
      <c r="C46" s="76">
        <f>'1. Calcul Avec prov'!J5</f>
        <v>18</v>
      </c>
      <c r="D46" s="62">
        <f>E46/C46</f>
        <v>-5.5</v>
      </c>
      <c r="E46" s="23">
        <f>-'1. Calcul Avec prov'!M13</f>
        <v>-99</v>
      </c>
      <c r="F46" s="23"/>
      <c r="G46" s="24"/>
    </row>
    <row r="47" spans="1:23" x14ac:dyDescent="0.3">
      <c r="A47" s="22" t="s">
        <v>66</v>
      </c>
      <c r="B47" s="66" t="s">
        <v>154</v>
      </c>
      <c r="C47" s="75">
        <f>'1. Calcul Avec prov'!J5</f>
        <v>18</v>
      </c>
      <c r="D47" s="67">
        <f>E47/C47</f>
        <v>218.02215348083325</v>
      </c>
      <c r="E47" s="68">
        <f>E10-E43+E46</f>
        <v>3924.3987626549988</v>
      </c>
      <c r="F47" s="23"/>
      <c r="G47" s="24" t="s">
        <v>66</v>
      </c>
    </row>
    <row r="48" spans="1:23" x14ac:dyDescent="0.3">
      <c r="A48" s="22"/>
      <c r="B48" s="22" t="s">
        <v>155</v>
      </c>
      <c r="C48" s="76"/>
      <c r="D48" s="22"/>
      <c r="E48" s="23">
        <f>'1. Calcul Avec prov'!J12</f>
        <v>150</v>
      </c>
      <c r="F48" s="23"/>
      <c r="G48" s="24"/>
    </row>
    <row r="49" spans="1:23" x14ac:dyDescent="0.3">
      <c r="A49" s="22"/>
      <c r="B49" s="22" t="s">
        <v>156</v>
      </c>
      <c r="C49" s="76"/>
      <c r="D49" s="22"/>
      <c r="E49" s="23">
        <f>'1. Calcul Avec prov'!J21</f>
        <v>198</v>
      </c>
      <c r="F49" s="23"/>
      <c r="G49" s="24"/>
      <c r="S49" s="15"/>
    </row>
    <row r="50" spans="1:23" x14ac:dyDescent="0.3">
      <c r="A50" s="19" t="s">
        <v>66</v>
      </c>
      <c r="B50" s="19" t="s">
        <v>157</v>
      </c>
      <c r="C50" s="77">
        <f>'1. Calcul Avec prov'!J5</f>
        <v>18</v>
      </c>
      <c r="D50" s="19">
        <f>E50/C50</f>
        <v>425.1666666666672</v>
      </c>
      <c r="E50" s="20">
        <f>+E10+G43</f>
        <v>7653.0000000000091</v>
      </c>
      <c r="F50" s="20"/>
      <c r="G50" s="21" t="s">
        <v>66</v>
      </c>
      <c r="S50" s="15"/>
    </row>
    <row r="51" spans="1:23" hidden="1" x14ac:dyDescent="0.3">
      <c r="A51" s="22" t="s">
        <v>66</v>
      </c>
      <c r="B51" s="57" t="s">
        <v>158</v>
      </c>
      <c r="C51" s="78" t="s">
        <v>66</v>
      </c>
      <c r="D51" s="57"/>
      <c r="E51" s="58">
        <f>E47-'1. Calcul Avec prov'!K19</f>
        <v>3506.9432644465055</v>
      </c>
      <c r="F51" s="23"/>
      <c r="G51" s="24" t="s">
        <v>66</v>
      </c>
      <c r="W51" s="16"/>
    </row>
    <row r="52" spans="1:23" x14ac:dyDescent="0.3">
      <c r="A52" s="22"/>
      <c r="B52" s="22" t="s">
        <v>159</v>
      </c>
      <c r="C52" s="76">
        <f>'1. Calcul Avec prov'!J5</f>
        <v>18</v>
      </c>
      <c r="D52" s="62">
        <f>E52/C52</f>
        <v>15.496300945345512</v>
      </c>
      <c r="E52" s="23">
        <f>E53-E47</f>
        <v>278.93341701621921</v>
      </c>
      <c r="F52" s="23"/>
      <c r="G52" s="24"/>
      <c r="W52" s="16"/>
    </row>
    <row r="53" spans="1:23" x14ac:dyDescent="0.3">
      <c r="A53" s="22"/>
      <c r="B53" s="36" t="s">
        <v>160</v>
      </c>
      <c r="C53" s="79">
        <f>'1. Calcul Avec prov'!J5</f>
        <v>18</v>
      </c>
      <c r="D53" s="61">
        <f>E53/C53</f>
        <v>233.51845442617878</v>
      </c>
      <c r="E53" s="37">
        <f>'2. Calcul Sans prov'!B9</f>
        <v>4203.332179671218</v>
      </c>
      <c r="F53" s="23"/>
      <c r="G53" s="24"/>
      <c r="W53" s="16"/>
    </row>
    <row r="54" spans="1:23" ht="28.8" x14ac:dyDescent="0.3">
      <c r="A54" s="22"/>
      <c r="B54" s="59" t="s">
        <v>161</v>
      </c>
      <c r="C54" s="79">
        <f>'1. Calcul Avec prov'!J5</f>
        <v>18</v>
      </c>
      <c r="D54" s="61">
        <f>E54/C54</f>
        <v>252.85178775951212</v>
      </c>
      <c r="E54" s="37">
        <f>E53+E48+E49</f>
        <v>4551.332179671218</v>
      </c>
      <c r="F54" s="23"/>
      <c r="G54" s="24"/>
    </row>
    <row r="55" spans="1:23" ht="33" customHeight="1" x14ac:dyDescent="0.3">
      <c r="G55" s="1"/>
    </row>
    <row r="56" spans="1:23" x14ac:dyDescent="0.3">
      <c r="B56" t="s">
        <v>162</v>
      </c>
      <c r="C56" s="11">
        <f>+E43/E10</f>
        <v>0.23011586085221933</v>
      </c>
      <c r="G56" s="1"/>
      <c r="K56" t="s">
        <v>163</v>
      </c>
    </row>
    <row r="57" spans="1:23" x14ac:dyDescent="0.3">
      <c r="B57" t="s">
        <v>164</v>
      </c>
      <c r="C57" s="11">
        <f>+G43/E10</f>
        <v>0.46441445764375427</v>
      </c>
      <c r="G57" s="1"/>
    </row>
    <row r="58" spans="1:23" ht="15" thickBot="1" x14ac:dyDescent="0.35"/>
    <row r="59" spans="1:23" ht="15" thickBot="1" x14ac:dyDescent="0.35">
      <c r="B59" s="27" t="s">
        <v>56</v>
      </c>
      <c r="C59" s="56">
        <f>E54/'1. Calcul Avec prov'!J6 *100</f>
        <v>50.570357551902426</v>
      </c>
    </row>
    <row r="62" spans="1:23" ht="15" thickBot="1" x14ac:dyDescent="0.35"/>
    <row r="63" spans="1:23" ht="31.5" customHeight="1" thickBot="1" x14ac:dyDescent="0.35">
      <c r="B63" s="214" t="s">
        <v>165</v>
      </c>
      <c r="C63" s="215"/>
      <c r="D63" s="215"/>
      <c r="E63" s="216"/>
    </row>
    <row r="64" spans="1:23" ht="27" customHeight="1" x14ac:dyDescent="0.3"/>
  </sheetData>
  <mergeCells count="5">
    <mergeCell ref="J21:K21"/>
    <mergeCell ref="L21:M21"/>
    <mergeCell ref="B63:E63"/>
    <mergeCell ref="A1:G1"/>
    <mergeCell ref="C3:G3"/>
  </mergeCells>
  <pageMargins left="0.7" right="0.24" top="0.75" bottom="0.75" header="0.3" footer="0.3"/>
  <pageSetup paperSize="9" fitToHeight="0" orientation="portrait" verticalDpi="0" r:id="rId1"/>
  <customProperties>
    <customPr name="OrphanNamesChecked" r:id="rId2"/>
  </customProperties>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CC99"/>
  </sheetPr>
  <dimension ref="A1:X53"/>
  <sheetViews>
    <sheetView zoomScale="130" zoomScaleNormal="130" workbookViewId="0">
      <selection activeCell="B34" sqref="B34"/>
    </sheetView>
  </sheetViews>
  <sheetFormatPr baseColWidth="10" defaultColWidth="8.5546875" defaultRowHeight="14.4" x14ac:dyDescent="0.3"/>
  <cols>
    <col min="1" max="1" width="12.44140625" bestFit="1" customWidth="1"/>
    <col min="2" max="2" width="40.44140625" bestFit="1" customWidth="1"/>
    <col min="4" max="4" width="8.44140625" bestFit="1" customWidth="1"/>
    <col min="5" max="5" width="9" bestFit="1" customWidth="1"/>
    <col min="7" max="7" width="8.44140625" bestFit="1" customWidth="1"/>
    <col min="9" max="10" width="8.5546875" hidden="1" customWidth="1"/>
    <col min="11" max="11" width="34.5546875" hidden="1" customWidth="1"/>
    <col min="12" max="12" width="12" hidden="1" customWidth="1"/>
    <col min="13" max="13" width="12.5546875" hidden="1" customWidth="1"/>
    <col min="14" max="14" width="9.5546875" hidden="1" customWidth="1"/>
    <col min="15" max="15" width="12" hidden="1" customWidth="1"/>
    <col min="16" max="16" width="17" hidden="1" customWidth="1"/>
    <col min="17" max="17" width="11" hidden="1" customWidth="1"/>
    <col min="18" max="18" width="12" hidden="1" customWidth="1"/>
    <col min="19" max="19" width="12.5546875" hidden="1" customWidth="1"/>
    <col min="20" max="20" width="8.5546875" customWidth="1"/>
    <col min="21" max="21" width="26.5546875" bestFit="1" customWidth="1"/>
    <col min="22" max="22" width="14.5546875" customWidth="1"/>
  </cols>
  <sheetData>
    <row r="1" spans="1:24" ht="14.4" customHeight="1" x14ac:dyDescent="0.3">
      <c r="A1" s="217" t="s">
        <v>57</v>
      </c>
      <c r="B1" s="218"/>
      <c r="C1" s="218"/>
      <c r="D1" s="218"/>
      <c r="E1" s="218"/>
      <c r="F1" s="218"/>
      <c r="G1" s="218"/>
    </row>
    <row r="2" spans="1:24" x14ac:dyDescent="0.3">
      <c r="A2" t="s">
        <v>58</v>
      </c>
      <c r="B2" s="100">
        <v>11.88</v>
      </c>
      <c r="G2" s="1"/>
    </row>
    <row r="3" spans="1:24" ht="14.4" customHeight="1" x14ac:dyDescent="0.3">
      <c r="C3" s="217" t="s">
        <v>59</v>
      </c>
      <c r="D3" s="218"/>
      <c r="E3" s="218"/>
      <c r="F3" s="218"/>
      <c r="G3" s="219"/>
    </row>
    <row r="4" spans="1:24" ht="43.2" x14ac:dyDescent="0.3">
      <c r="A4" s="2" t="s">
        <v>60</v>
      </c>
      <c r="B4" s="2" t="s">
        <v>61</v>
      </c>
      <c r="C4" s="2" t="s">
        <v>62</v>
      </c>
      <c r="D4" s="2" t="s">
        <v>63</v>
      </c>
      <c r="E4" s="2" t="s">
        <v>64</v>
      </c>
      <c r="F4" s="2"/>
      <c r="G4" s="2"/>
    </row>
    <row r="5" spans="1:24" ht="14.4" customHeight="1" x14ac:dyDescent="0.3">
      <c r="A5" s="3"/>
      <c r="B5" s="8" t="s">
        <v>65</v>
      </c>
      <c r="C5" s="81">
        <f>'1. Calcul Avec prov'!J5</f>
        <v>18</v>
      </c>
      <c r="D5" s="60">
        <f>+E5/C5</f>
        <v>309.84137356232668</v>
      </c>
      <c r="E5" s="17">
        <f>'2. Calcul Sans prov'!B5</f>
        <v>5577.1447241218802</v>
      </c>
      <c r="F5" s="17"/>
      <c r="G5" s="8" t="s">
        <v>66</v>
      </c>
      <c r="U5" s="3" t="s">
        <v>27620</v>
      </c>
      <c r="V5" s="4">
        <v>216</v>
      </c>
      <c r="W5" s="4"/>
      <c r="X5" s="5" t="s">
        <v>66</v>
      </c>
    </row>
    <row r="6" spans="1:24" ht="14.4" customHeight="1" x14ac:dyDescent="0.3">
      <c r="A6" s="3"/>
      <c r="B6" s="3" t="s">
        <v>67</v>
      </c>
      <c r="C6" s="80">
        <f>'1. Calcul Avec prov'!J5</f>
        <v>18</v>
      </c>
      <c r="D6" s="4">
        <f>(V11*0.85)/1.1/1.05</f>
        <v>132.46753246753246</v>
      </c>
      <c r="E6" s="4">
        <f>+C6*D6</f>
        <v>2384.4155844155844</v>
      </c>
      <c r="F6" s="4"/>
      <c r="G6" s="5"/>
      <c r="U6" s="3" t="s">
        <v>27621</v>
      </c>
      <c r="V6" s="4">
        <v>3925</v>
      </c>
      <c r="W6" s="4"/>
      <c r="X6" s="5" t="s">
        <v>66</v>
      </c>
    </row>
    <row r="7" spans="1:24" ht="14.4" customHeight="1" x14ac:dyDescent="0.3">
      <c r="A7" s="3"/>
      <c r="B7" s="3" t="s">
        <v>68</v>
      </c>
      <c r="C7" s="80">
        <f>'1. Calcul Avec prov'!J5</f>
        <v>18</v>
      </c>
      <c r="D7" s="4">
        <f>(D5/1.1/1.05)-D6</f>
        <v>135.7933970236594</v>
      </c>
      <c r="E7" s="4">
        <f>+C7*D7</f>
        <v>2444.2811464258693</v>
      </c>
      <c r="F7" s="4"/>
      <c r="G7" s="5"/>
      <c r="U7" s="3" t="s">
        <v>69</v>
      </c>
      <c r="V7" s="4">
        <f>+IF(E10&gt;V6,V6,E10)</f>
        <v>3925</v>
      </c>
      <c r="W7" s="4"/>
      <c r="X7" s="5" t="s">
        <v>66</v>
      </c>
    </row>
    <row r="8" spans="1:24" ht="14.4" customHeight="1" x14ac:dyDescent="0.3">
      <c r="A8" s="3"/>
      <c r="B8" s="3" t="s">
        <v>70</v>
      </c>
      <c r="C8" s="80">
        <f>'1. Calcul Avec prov'!J5</f>
        <v>18</v>
      </c>
      <c r="D8" s="4">
        <f>(D6+D7)*0.05</f>
        <v>13.413046474559593</v>
      </c>
      <c r="E8" s="4">
        <f>+C8*D8</f>
        <v>241.43483654207267</v>
      </c>
      <c r="F8" s="4"/>
      <c r="G8" s="5"/>
      <c r="U8" s="3" t="s">
        <v>71</v>
      </c>
      <c r="V8" s="4">
        <f>IF($E$10&lt;$V$6,0,$E$10-$V$7)</f>
        <v>1652.1447241218784</v>
      </c>
      <c r="W8" s="4"/>
      <c r="X8" s="5" t="s">
        <v>66</v>
      </c>
    </row>
    <row r="9" spans="1:24" ht="14.4" customHeight="1" x14ac:dyDescent="0.3">
      <c r="A9" s="3"/>
      <c r="B9" s="3" t="s">
        <v>72</v>
      </c>
      <c r="C9" s="80">
        <f>'1. Calcul Avec prov'!J5</f>
        <v>18</v>
      </c>
      <c r="D9" s="4">
        <f>(D8+D6+D7)*0.1</f>
        <v>28.167397596575142</v>
      </c>
      <c r="E9" s="4">
        <f>+C9*D9</f>
        <v>507.01315673835256</v>
      </c>
      <c r="F9" s="4"/>
      <c r="G9" s="5"/>
      <c r="U9" s="3" t="s">
        <v>27623</v>
      </c>
      <c r="V9" s="4">
        <f>151.67*B2*2.4242</f>
        <v>4368.0195583200002</v>
      </c>
      <c r="W9" s="4"/>
      <c r="X9" s="5" t="s">
        <v>66</v>
      </c>
    </row>
    <row r="10" spans="1:24" x14ac:dyDescent="0.3">
      <c r="A10" s="3"/>
      <c r="B10" s="8" t="s">
        <v>73</v>
      </c>
      <c r="C10" s="81">
        <f>'1. Calcul Avec prov'!J5</f>
        <v>18</v>
      </c>
      <c r="D10" s="60">
        <f>SUM(D6:D9)</f>
        <v>309.84137356232657</v>
      </c>
      <c r="E10" s="60">
        <f>SUM(E6:E9)</f>
        <v>5577.1447241218784</v>
      </c>
      <c r="F10" s="17"/>
      <c r="G10" s="8" t="s">
        <v>66</v>
      </c>
      <c r="U10" s="3" t="s">
        <v>27618</v>
      </c>
      <c r="V10" s="4">
        <v>3269</v>
      </c>
      <c r="W10" s="4"/>
      <c r="X10" s="5" t="s">
        <v>66</v>
      </c>
    </row>
    <row r="11" spans="1:24" ht="36.6" x14ac:dyDescent="0.3">
      <c r="A11" s="69"/>
      <c r="B11" s="69"/>
      <c r="C11" s="70" t="s">
        <v>74</v>
      </c>
      <c r="D11" s="70" t="s">
        <v>75</v>
      </c>
      <c r="E11" s="70" t="s">
        <v>76</v>
      </c>
      <c r="F11" s="70" t="s">
        <v>77</v>
      </c>
      <c r="G11" s="70" t="s">
        <v>78</v>
      </c>
      <c r="K11" s="9" t="s">
        <v>166</v>
      </c>
      <c r="U11" s="3" t="s">
        <v>27619</v>
      </c>
      <c r="V11" s="4">
        <v>180</v>
      </c>
      <c r="W11" s="4"/>
      <c r="X11" s="5" t="s">
        <v>66</v>
      </c>
    </row>
    <row r="12" spans="1:24" x14ac:dyDescent="0.3">
      <c r="A12" s="63" t="s">
        <v>79</v>
      </c>
      <c r="B12" s="63" t="s">
        <v>80</v>
      </c>
      <c r="C12" s="64">
        <f>+$E$10</f>
        <v>5577.1447241218784</v>
      </c>
      <c r="D12" s="65">
        <v>0</v>
      </c>
      <c r="E12" s="64">
        <f>+C12*D12</f>
        <v>0</v>
      </c>
      <c r="F12" s="65">
        <f>IF(C12&gt;V9,13%,7%)</f>
        <v>0.13</v>
      </c>
      <c r="G12" s="64">
        <f>+C12*F12</f>
        <v>725.02881413584419</v>
      </c>
      <c r="K12" s="9" t="s">
        <v>167</v>
      </c>
    </row>
    <row r="13" spans="1:24" x14ac:dyDescent="0.3">
      <c r="A13" s="63" t="s">
        <v>82</v>
      </c>
      <c r="B13" s="63" t="s">
        <v>83</v>
      </c>
      <c r="C13" s="64">
        <f>+$E$10</f>
        <v>5577.1447241218784</v>
      </c>
      <c r="D13" s="65">
        <v>0</v>
      </c>
      <c r="E13" s="64">
        <f t="shared" ref="E13:E35" si="0">+C13*D13</f>
        <v>0</v>
      </c>
      <c r="F13" s="65">
        <v>3.0000000000000001E-3</v>
      </c>
      <c r="G13" s="64">
        <f>+C13*F13</f>
        <v>16.731434172365635</v>
      </c>
      <c r="K13" s="10" t="s">
        <v>168</v>
      </c>
    </row>
    <row r="14" spans="1:24" x14ac:dyDescent="0.3">
      <c r="A14" s="63" t="s">
        <v>84</v>
      </c>
      <c r="B14" s="63" t="s">
        <v>85</v>
      </c>
      <c r="C14" s="64">
        <f>+$E$10</f>
        <v>5577.1447241218784</v>
      </c>
      <c r="D14" s="65">
        <v>4.0000000000000001E-3</v>
      </c>
      <c r="E14" s="64">
        <f t="shared" si="0"/>
        <v>22.308578896487514</v>
      </c>
      <c r="F14" s="65">
        <v>2.0199999999999999E-2</v>
      </c>
      <c r="G14" s="64">
        <f t="shared" ref="G14:G35" si="1">+C14*F14</f>
        <v>112.65832342726193</v>
      </c>
      <c r="K14" s="9">
        <v>353.82</v>
      </c>
    </row>
    <row r="15" spans="1:24" x14ac:dyDescent="0.3">
      <c r="A15" s="63" t="s">
        <v>86</v>
      </c>
      <c r="B15" s="63" t="s">
        <v>87</v>
      </c>
      <c r="C15" s="64">
        <f>+IF(E$10&lt;V$6,E$10,V$6)</f>
        <v>3925</v>
      </c>
      <c r="D15" s="65">
        <v>6.9000000000000006E-2</v>
      </c>
      <c r="E15" s="64">
        <f t="shared" si="0"/>
        <v>270.82500000000005</v>
      </c>
      <c r="F15" s="65">
        <v>8.5500000000000007E-2</v>
      </c>
      <c r="G15" s="64">
        <f t="shared" si="1"/>
        <v>335.58750000000003</v>
      </c>
      <c r="H15" s="11"/>
    </row>
    <row r="16" spans="1:24" x14ac:dyDescent="0.3">
      <c r="A16" s="63" t="s">
        <v>88</v>
      </c>
      <c r="B16" s="63" t="s">
        <v>89</v>
      </c>
      <c r="C16" s="64">
        <f>+$E$10</f>
        <v>5577.1447241218784</v>
      </c>
      <c r="D16" s="65">
        <v>0</v>
      </c>
      <c r="E16" s="64">
        <f t="shared" si="0"/>
        <v>0</v>
      </c>
      <c r="F16" s="65">
        <v>3.4500000000000003E-2</v>
      </c>
      <c r="G16" s="64">
        <f t="shared" si="1"/>
        <v>192.41149298220483</v>
      </c>
      <c r="H16" s="11"/>
    </row>
    <row r="17" spans="1:8" x14ac:dyDescent="0.3">
      <c r="A17" s="63" t="s">
        <v>90</v>
      </c>
      <c r="B17" s="63" t="s">
        <v>91</v>
      </c>
      <c r="C17" s="64">
        <f>+$E$10</f>
        <v>5577.1447241218784</v>
      </c>
      <c r="D17" s="65">
        <v>0</v>
      </c>
      <c r="E17" s="64">
        <f t="shared" si="0"/>
        <v>0</v>
      </c>
      <c r="F17" s="65">
        <v>4.5999999999999999E-3</v>
      </c>
      <c r="G17" s="64">
        <f t="shared" si="1"/>
        <v>25.65486573096064</v>
      </c>
      <c r="H17" s="11"/>
    </row>
    <row r="18" spans="1:8" x14ac:dyDescent="0.3">
      <c r="A18" s="63" t="s">
        <v>92</v>
      </c>
      <c r="B18" s="63" t="s">
        <v>169</v>
      </c>
      <c r="C18" s="64">
        <f>+$E$10</f>
        <v>5577.1447241218784</v>
      </c>
      <c r="D18" s="65">
        <v>0</v>
      </c>
      <c r="E18" s="64">
        <f t="shared" si="0"/>
        <v>0</v>
      </c>
      <c r="F18" s="65">
        <v>5.0000000000000001E-3</v>
      </c>
      <c r="G18" s="64">
        <f t="shared" si="1"/>
        <v>27.885723620609394</v>
      </c>
      <c r="H18" s="11"/>
    </row>
    <row r="19" spans="1:8" x14ac:dyDescent="0.3">
      <c r="A19" s="63" t="s">
        <v>95</v>
      </c>
      <c r="B19" s="63" t="s">
        <v>96</v>
      </c>
      <c r="C19" s="64">
        <f>+V$7+V$8</f>
        <v>5577.1447241218784</v>
      </c>
      <c r="D19" s="65">
        <v>0</v>
      </c>
      <c r="E19" s="64">
        <f>+C19*D19</f>
        <v>0</v>
      </c>
      <c r="F19" s="65">
        <v>4.0500000000000001E-2</v>
      </c>
      <c r="G19" s="64">
        <f>+F19*C19</f>
        <v>225.87436132693608</v>
      </c>
    </row>
    <row r="20" spans="1:8" x14ac:dyDescent="0.3">
      <c r="A20" s="63" t="s">
        <v>97</v>
      </c>
      <c r="B20" s="63" t="s">
        <v>98</v>
      </c>
      <c r="C20" s="64">
        <f>+C19</f>
        <v>5577.1447241218784</v>
      </c>
      <c r="D20" s="65">
        <v>0</v>
      </c>
      <c r="E20" s="64">
        <f>+C20*D20</f>
        <v>0</v>
      </c>
      <c r="F20" s="65">
        <v>2.5000000000000001E-3</v>
      </c>
      <c r="G20" s="64">
        <f>+F20*C20</f>
        <v>13.942861810304697</v>
      </c>
    </row>
    <row r="21" spans="1:8" x14ac:dyDescent="0.3">
      <c r="A21" s="63" t="s">
        <v>99</v>
      </c>
      <c r="B21" s="63" t="s">
        <v>100</v>
      </c>
      <c r="C21" s="64">
        <f>+C15</f>
        <v>3925</v>
      </c>
      <c r="D21" s="65">
        <v>3.15E-2</v>
      </c>
      <c r="E21" s="64">
        <f t="shared" si="0"/>
        <v>123.6375</v>
      </c>
      <c r="F21" s="65">
        <v>4.7199999999999999E-2</v>
      </c>
      <c r="G21" s="64">
        <f t="shared" si="1"/>
        <v>185.26</v>
      </c>
    </row>
    <row r="22" spans="1:8" x14ac:dyDescent="0.3">
      <c r="A22" s="63" t="s">
        <v>103</v>
      </c>
      <c r="B22" s="63" t="s">
        <v>104</v>
      </c>
      <c r="C22" s="64">
        <f>+C20-C21</f>
        <v>1652.1447241218784</v>
      </c>
      <c r="D22" s="65">
        <v>8.6400000000000005E-2</v>
      </c>
      <c r="E22" s="64">
        <f>+C22*D22</f>
        <v>142.74530416413032</v>
      </c>
      <c r="F22" s="65">
        <v>0.1295</v>
      </c>
      <c r="G22" s="64">
        <f>+C22*F22</f>
        <v>213.95274177378326</v>
      </c>
    </row>
    <row r="23" spans="1:8" x14ac:dyDescent="0.3">
      <c r="A23" s="63" t="s">
        <v>110</v>
      </c>
      <c r="B23" s="63" t="s">
        <v>111</v>
      </c>
      <c r="C23" s="64">
        <f>+IF(E$10&lt;V$6,0,E$10)</f>
        <v>5577.1447241218784</v>
      </c>
      <c r="D23" s="65">
        <v>1.4E-3</v>
      </c>
      <c r="E23" s="64">
        <f>+C23*D23</f>
        <v>7.80800261377063</v>
      </c>
      <c r="F23" s="65">
        <v>2.0999999999999999E-3</v>
      </c>
      <c r="G23" s="64">
        <f>+C23*F23</f>
        <v>11.712003920655944</v>
      </c>
    </row>
    <row r="24" spans="1:8" x14ac:dyDescent="0.3">
      <c r="A24" s="63" t="s">
        <v>113</v>
      </c>
      <c r="B24" s="63" t="s">
        <v>114</v>
      </c>
      <c r="C24" s="64">
        <f>+C15</f>
        <v>3925</v>
      </c>
      <c r="D24" s="65">
        <v>8.6E-3</v>
      </c>
      <c r="E24" s="64">
        <f>+C24*D24</f>
        <v>33.755000000000003</v>
      </c>
      <c r="F24" s="65">
        <v>1.29E-2</v>
      </c>
      <c r="G24" s="64">
        <f>+C24*F24</f>
        <v>50.6325</v>
      </c>
    </row>
    <row r="25" spans="1:8" x14ac:dyDescent="0.3">
      <c r="A25" s="63" t="s">
        <v>113</v>
      </c>
      <c r="B25" s="63" t="s">
        <v>116</v>
      </c>
      <c r="C25" s="64">
        <f>+IF(E$10&lt;V$6,0,(E$10-V$6))</f>
        <v>1652.1447241218784</v>
      </c>
      <c r="D25" s="65">
        <v>1.0800000000000001E-2</v>
      </c>
      <c r="E25" s="64">
        <f>+C25*D25</f>
        <v>17.84316302051629</v>
      </c>
      <c r="F25" s="65">
        <v>1.6199999999999999E-2</v>
      </c>
      <c r="G25" s="64">
        <f>+C25*F25</f>
        <v>26.764744530774429</v>
      </c>
    </row>
    <row r="26" spans="1:8" x14ac:dyDescent="0.3">
      <c r="A26" s="63" t="s">
        <v>118</v>
      </c>
      <c r="B26" s="63" t="s">
        <v>119</v>
      </c>
      <c r="C26" s="64">
        <f>+C20</f>
        <v>5577.1447241218784</v>
      </c>
      <c r="D26" s="65">
        <v>2.4000000000000001E-4</v>
      </c>
      <c r="E26" s="64">
        <f t="shared" si="0"/>
        <v>1.3385147337892509</v>
      </c>
      <c r="F26" s="65">
        <v>3.6000000000000002E-4</v>
      </c>
      <c r="G26" s="64">
        <f t="shared" si="1"/>
        <v>2.0077721006838765</v>
      </c>
    </row>
    <row r="27" spans="1:8" ht="15" customHeight="1" x14ac:dyDescent="0.3">
      <c r="A27" s="63" t="s">
        <v>121</v>
      </c>
      <c r="B27" s="63" t="s">
        <v>122</v>
      </c>
      <c r="C27" s="64">
        <f>+C24</f>
        <v>3925</v>
      </c>
      <c r="D27" s="65">
        <v>0</v>
      </c>
      <c r="E27" s="64">
        <f t="shared" si="0"/>
        <v>0</v>
      </c>
      <c r="F27" s="65">
        <v>7.0000000000000001E-3</v>
      </c>
      <c r="G27" s="64">
        <f t="shared" si="1"/>
        <v>27.475000000000001</v>
      </c>
    </row>
    <row r="28" spans="1:8" x14ac:dyDescent="0.3">
      <c r="A28" s="63" t="s">
        <v>124</v>
      </c>
      <c r="B28" s="63" t="s">
        <v>125</v>
      </c>
      <c r="C28" s="64">
        <f>+IF(E$10&lt;V$6,0,(E$10-V$6))</f>
        <v>1652.1447241218784</v>
      </c>
      <c r="D28" s="65">
        <v>3.5999999999999999E-3</v>
      </c>
      <c r="E28" s="64">
        <f t="shared" si="0"/>
        <v>5.947721006838762</v>
      </c>
      <c r="F28" s="65">
        <v>3.5999999999999999E-3</v>
      </c>
      <c r="G28" s="64">
        <f t="shared" si="1"/>
        <v>5.947721006838762</v>
      </c>
    </row>
    <row r="29" spans="1:8" x14ac:dyDescent="0.3">
      <c r="A29" s="63" t="s">
        <v>127</v>
      </c>
      <c r="B29" s="63" t="s">
        <v>128</v>
      </c>
      <c r="C29" s="64">
        <f>+V6</f>
        <v>3925</v>
      </c>
      <c r="D29" s="65"/>
      <c r="E29" s="64">
        <f>IF('1. Calcul Avec prov'!J17="Oui",'1. Calcul Avec prov'!M17,0)</f>
        <v>30.4</v>
      </c>
      <c r="F29" s="65"/>
      <c r="G29" s="64">
        <f>IF('1. Calcul Avec prov'!J17="Oui",45.6,0)</f>
        <v>45.6</v>
      </c>
    </row>
    <row r="30" spans="1:8" x14ac:dyDescent="0.3">
      <c r="A30" s="63"/>
      <c r="B30" s="63" t="s">
        <v>27624</v>
      </c>
      <c r="C30" s="64"/>
      <c r="D30" s="65"/>
      <c r="E30" s="64">
        <f>G27+G28+G29</f>
        <v>79.022721006838765</v>
      </c>
      <c r="F30" s="65">
        <v>0.08</v>
      </c>
      <c r="G30" s="64">
        <f>+E30*F30</f>
        <v>6.3218176805471016</v>
      </c>
    </row>
    <row r="31" spans="1:8" x14ac:dyDescent="0.3">
      <c r="A31" s="63" t="s">
        <v>129</v>
      </c>
      <c r="B31" s="63" t="s">
        <v>130</v>
      </c>
      <c r="C31" s="64">
        <f>+E10</f>
        <v>5577.1447241218784</v>
      </c>
      <c r="D31" s="65">
        <v>0</v>
      </c>
      <c r="E31" s="64">
        <f>+C31*D31</f>
        <v>0</v>
      </c>
      <c r="F31" s="65">
        <v>1.6000000000000001E-4</v>
      </c>
      <c r="G31" s="64">
        <f>+C31*F31</f>
        <v>0.89234315585950064</v>
      </c>
    </row>
    <row r="32" spans="1:8" x14ac:dyDescent="0.3">
      <c r="A32" s="63" t="s">
        <v>132</v>
      </c>
      <c r="B32" s="63" t="s">
        <v>133</v>
      </c>
      <c r="C32" s="64">
        <f>+E10</f>
        <v>5577.1447241218784</v>
      </c>
      <c r="D32" s="65">
        <v>0</v>
      </c>
      <c r="E32" s="64">
        <f>+C32*D32</f>
        <v>0</v>
      </c>
      <c r="F32" s="65">
        <v>6.7999999999999996E-3</v>
      </c>
      <c r="G32" s="64">
        <f>+C32*F32</f>
        <v>37.924584124028769</v>
      </c>
    </row>
    <row r="33" spans="1:12" ht="15" x14ac:dyDescent="0.35">
      <c r="A33" s="63" t="s">
        <v>134</v>
      </c>
      <c r="B33" s="63" t="s">
        <v>135</v>
      </c>
      <c r="C33" s="64">
        <f>+E10</f>
        <v>5577.1447241218784</v>
      </c>
      <c r="D33" s="65">
        <v>0</v>
      </c>
      <c r="E33" s="64">
        <f>+C33*D33</f>
        <v>0</v>
      </c>
      <c r="F33" s="65">
        <v>1E-4</v>
      </c>
      <c r="G33" s="64">
        <f>+C33*F33</f>
        <v>0.55771447241218786</v>
      </c>
      <c r="K33" s="12" t="s">
        <v>32</v>
      </c>
      <c r="L33" s="12" t="s">
        <v>131</v>
      </c>
    </row>
    <row r="34" spans="1:12" x14ac:dyDescent="0.3">
      <c r="A34" s="63" t="s">
        <v>136</v>
      </c>
      <c r="B34" s="63" t="s">
        <v>137</v>
      </c>
      <c r="C34" s="64">
        <f>E10</f>
        <v>5577.1447241218784</v>
      </c>
      <c r="D34" s="65">
        <v>0</v>
      </c>
      <c r="E34" s="64">
        <f>+C34*D34</f>
        <v>0</v>
      </c>
      <c r="F34" s="65">
        <v>4.0000000000000002E-4</v>
      </c>
      <c r="G34" s="64">
        <f>+C34*F34</f>
        <v>2.2308578896487514</v>
      </c>
      <c r="K34" s="93" t="s">
        <v>33</v>
      </c>
      <c r="L34" s="93">
        <f>$V$6*$D29</f>
        <v>0</v>
      </c>
    </row>
    <row r="35" spans="1:12" x14ac:dyDescent="0.3">
      <c r="A35" s="63" t="s">
        <v>138</v>
      </c>
      <c r="B35" s="63" t="s">
        <v>139</v>
      </c>
      <c r="C35" s="64">
        <f>+E10</f>
        <v>5577.1447241218784</v>
      </c>
      <c r="D35" s="65">
        <v>0</v>
      </c>
      <c r="E35" s="64">
        <f t="shared" si="0"/>
        <v>0</v>
      </c>
      <c r="F35" s="65">
        <v>1.6E-2</v>
      </c>
      <c r="G35" s="64">
        <f t="shared" si="1"/>
        <v>89.234315585950057</v>
      </c>
      <c r="K35" s="93" t="s">
        <v>112</v>
      </c>
      <c r="L35" s="93"/>
    </row>
    <row r="36" spans="1:12" x14ac:dyDescent="0.3">
      <c r="A36" s="63" t="s">
        <v>170</v>
      </c>
      <c r="B36" s="63" t="s">
        <v>140</v>
      </c>
      <c r="C36" s="64">
        <f>+E10</f>
        <v>5577.1447241218784</v>
      </c>
      <c r="D36" s="65">
        <v>0</v>
      </c>
      <c r="E36" s="64">
        <f>+C36*D36</f>
        <v>0</v>
      </c>
      <c r="F36" s="65">
        <f>0.45%</f>
        <v>4.5000000000000005E-3</v>
      </c>
      <c r="G36" s="64">
        <f>+C36*F36</f>
        <v>25.097151258548458</v>
      </c>
    </row>
    <row r="37" spans="1:12" x14ac:dyDescent="0.3">
      <c r="A37" s="63"/>
      <c r="B37" s="63" t="s">
        <v>141</v>
      </c>
      <c r="C37" s="64">
        <f>E10</f>
        <v>5577.1447241218784</v>
      </c>
      <c r="D37" s="65">
        <v>0</v>
      </c>
      <c r="E37" s="64">
        <f t="shared" ref="E37" si="2">+C37*D37</f>
        <v>0</v>
      </c>
      <c r="F37" s="65">
        <f>tx_taxe_transport/100</f>
        <v>3.2000000000000001E-2</v>
      </c>
      <c r="G37" s="64">
        <f t="shared" ref="G37" si="3">+C37*F37</f>
        <v>178.46863117190011</v>
      </c>
      <c r="H37" t="s">
        <v>27622</v>
      </c>
    </row>
    <row r="38" spans="1:12" x14ac:dyDescent="0.3">
      <c r="A38" s="63" t="s">
        <v>142</v>
      </c>
      <c r="B38" s="63" t="s">
        <v>143</v>
      </c>
      <c r="C38" s="64">
        <f>IF(($E$10/151.67)&gt;(B2*3.3636),$E$10,0)</f>
        <v>0</v>
      </c>
      <c r="D38" s="65">
        <v>0</v>
      </c>
      <c r="E38" s="64">
        <f>+C38*D38</f>
        <v>0</v>
      </c>
      <c r="F38" s="65">
        <v>1.7999999999999999E-2</v>
      </c>
      <c r="G38" s="64">
        <f>+C38*F38</f>
        <v>0</v>
      </c>
    </row>
    <row r="39" spans="1:12" x14ac:dyDescent="0.3">
      <c r="A39" s="63" t="s">
        <v>144</v>
      </c>
      <c r="B39" s="63" t="s">
        <v>145</v>
      </c>
      <c r="C39" s="64">
        <f>+C40</f>
        <v>5558.5674124565849</v>
      </c>
      <c r="D39" s="65">
        <v>2.9000000000000001E-2</v>
      </c>
      <c r="E39" s="64">
        <f>+C39*D39</f>
        <v>161.19845496124097</v>
      </c>
      <c r="F39" s="65">
        <v>0</v>
      </c>
      <c r="G39" s="64">
        <f>+C39*F39</f>
        <v>0</v>
      </c>
    </row>
    <row r="40" spans="1:12" x14ac:dyDescent="0.3">
      <c r="A40" s="63" t="s">
        <v>146</v>
      </c>
      <c r="B40" s="63" t="s">
        <v>147</v>
      </c>
      <c r="C40" s="64">
        <f>+($E$10-($E$10*1.75%))+$G$27+$G$28+$G$29</f>
        <v>5558.5674124565849</v>
      </c>
      <c r="D40" s="65">
        <v>6.8000000000000005E-2</v>
      </c>
      <c r="E40" s="64">
        <f>+C40*D40</f>
        <v>377.98258404704779</v>
      </c>
      <c r="F40" s="65">
        <v>0</v>
      </c>
      <c r="G40" s="64">
        <f>+C40*F40</f>
        <v>0</v>
      </c>
    </row>
    <row r="41" spans="1:12" x14ac:dyDescent="0.3">
      <c r="A41" s="6" t="s">
        <v>66</v>
      </c>
      <c r="B41" s="6" t="s">
        <v>148</v>
      </c>
      <c r="C41" s="6" t="s">
        <v>66</v>
      </c>
      <c r="D41" s="6"/>
      <c r="E41" s="7">
        <f>SUM(E12:E40)-E39</f>
        <v>1113.6140894894193</v>
      </c>
      <c r="F41" s="7"/>
      <c r="G41" s="17"/>
    </row>
    <row r="42" spans="1:12" x14ac:dyDescent="0.3">
      <c r="A42" s="6" t="s">
        <v>66</v>
      </c>
      <c r="B42" s="6" t="s">
        <v>149</v>
      </c>
      <c r="C42" s="6" t="s">
        <v>66</v>
      </c>
      <c r="D42" s="6"/>
      <c r="E42" s="7">
        <f>+E39</f>
        <v>161.19845496124097</v>
      </c>
      <c r="F42" s="7"/>
      <c r="G42" s="8" t="s">
        <v>66</v>
      </c>
    </row>
    <row r="43" spans="1:12" x14ac:dyDescent="0.3">
      <c r="A43" s="6" t="s">
        <v>66</v>
      </c>
      <c r="B43" s="6" t="s">
        <v>150</v>
      </c>
      <c r="C43" s="6" t="s">
        <v>66</v>
      </c>
      <c r="D43" s="6"/>
      <c r="E43" s="7">
        <f>E41+E42</f>
        <v>1274.8125444506602</v>
      </c>
      <c r="F43" s="18"/>
      <c r="G43" s="17">
        <f>SUM(G12:G40)</f>
        <v>2585.8552758781184</v>
      </c>
      <c r="H43" s="102">
        <f>G43/E10</f>
        <v>0.46365217396886921</v>
      </c>
    </row>
    <row r="44" spans="1:12" x14ac:dyDescent="0.3">
      <c r="A44" s="19" t="s">
        <v>66</v>
      </c>
      <c r="B44" s="19" t="s">
        <v>171</v>
      </c>
      <c r="C44" s="19" t="s">
        <v>66</v>
      </c>
      <c r="D44" s="19"/>
      <c r="E44" s="20">
        <f>+E10-E43+E42</f>
        <v>4463.5306346324587</v>
      </c>
      <c r="F44" s="20"/>
      <c r="G44" s="21" t="s">
        <v>66</v>
      </c>
    </row>
    <row r="45" spans="1:12" x14ac:dyDescent="0.3">
      <c r="A45" s="22" t="s">
        <v>66</v>
      </c>
      <c r="B45" s="22" t="s">
        <v>154</v>
      </c>
      <c r="C45" s="22" t="s">
        <v>66</v>
      </c>
      <c r="D45" s="22"/>
      <c r="E45" s="23">
        <f>E10-E43-'1. Calcul Avec prov'!J13</f>
        <v>4203.332179671218</v>
      </c>
      <c r="F45" s="23"/>
      <c r="G45" s="24" t="s">
        <v>66</v>
      </c>
    </row>
    <row r="46" spans="1:12" x14ac:dyDescent="0.3">
      <c r="A46" s="22"/>
      <c r="B46" s="22" t="s">
        <v>172</v>
      </c>
      <c r="C46" s="22"/>
      <c r="D46" s="22"/>
      <c r="E46" s="23">
        <f>E45+'2. Calcul Sans prov'!J11</f>
        <v>4353.332179671218</v>
      </c>
      <c r="F46" s="23"/>
      <c r="G46" s="24"/>
    </row>
    <row r="47" spans="1:12" x14ac:dyDescent="0.3">
      <c r="A47" s="19" t="s">
        <v>66</v>
      </c>
      <c r="B47" s="19" t="s">
        <v>173</v>
      </c>
      <c r="C47" s="19" t="s">
        <v>66</v>
      </c>
      <c r="D47" s="19"/>
      <c r="E47" s="20">
        <f>+E10+G43</f>
        <v>8162.9999999999964</v>
      </c>
      <c r="F47" s="20"/>
      <c r="G47" s="21" t="s">
        <v>66</v>
      </c>
    </row>
    <row r="48" spans="1:12" x14ac:dyDescent="0.3">
      <c r="A48" s="22" t="s">
        <v>66</v>
      </c>
      <c r="B48" s="22" t="s">
        <v>158</v>
      </c>
      <c r="C48" s="22" t="s">
        <v>66</v>
      </c>
      <c r="D48" s="22"/>
      <c r="E48" s="23">
        <f>E45-'2. Calcul Sans prov'!K18</f>
        <v>3782.998961704096</v>
      </c>
      <c r="F48" s="23"/>
      <c r="G48" s="24" t="s">
        <v>66</v>
      </c>
    </row>
    <row r="49" spans="2:11" x14ac:dyDescent="0.3">
      <c r="G49" s="1"/>
    </row>
    <row r="50" spans="2:11" hidden="1" x14ac:dyDescent="0.3">
      <c r="B50" t="s">
        <v>162</v>
      </c>
      <c r="C50" s="11">
        <f>+E43/E10</f>
        <v>0.22857799241553292</v>
      </c>
      <c r="G50" s="1"/>
    </row>
    <row r="51" spans="2:11" x14ac:dyDescent="0.3">
      <c r="B51" t="s">
        <v>164</v>
      </c>
      <c r="C51" s="11">
        <f>+G43/E10</f>
        <v>0.46365217396886921</v>
      </c>
      <c r="G51" s="1"/>
      <c r="K51" t="s">
        <v>174</v>
      </c>
    </row>
    <row r="52" spans="2:11" x14ac:dyDescent="0.3">
      <c r="K52" t="s">
        <v>175</v>
      </c>
    </row>
    <row r="53" spans="2:11" x14ac:dyDescent="0.3">
      <c r="K53" t="s">
        <v>163</v>
      </c>
    </row>
  </sheetData>
  <mergeCells count="2">
    <mergeCell ref="A1:G1"/>
    <mergeCell ref="C3:G3"/>
  </mergeCells>
  <phoneticPr fontId="47" type="noConversion"/>
  <pageMargins left="0.7" right="0.7" top="0.75" bottom="0.75" header="0.3" footer="0.3"/>
  <customProperties>
    <customPr name="OrphanNamesChecked"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1C8F6-6CDA-4294-9C2E-0B7E05D0C8D1}">
  <sheetPr codeName="Feuil3"/>
  <dimension ref="A1:ES12849"/>
  <sheetViews>
    <sheetView topLeftCell="A12230" workbookViewId="0">
      <selection activeCell="B4880" sqref="B4880"/>
    </sheetView>
  </sheetViews>
  <sheetFormatPr baseColWidth="10" defaultColWidth="11.44140625" defaultRowHeight="14.4" x14ac:dyDescent="0.3"/>
  <cols>
    <col min="2" max="2" width="20.6640625" customWidth="1"/>
    <col min="3" max="3" width="48.44140625" customWidth="1"/>
  </cols>
  <sheetData>
    <row r="1" spans="1:16" x14ac:dyDescent="0.3">
      <c r="G1" t="s">
        <v>27520</v>
      </c>
    </row>
    <row r="2" spans="1:16" x14ac:dyDescent="0.3">
      <c r="C2" t="s">
        <v>176</v>
      </c>
      <c r="G2" s="155">
        <v>0</v>
      </c>
    </row>
    <row r="3" spans="1:16" x14ac:dyDescent="0.3">
      <c r="C3" t="s">
        <v>177</v>
      </c>
      <c r="G3" s="156">
        <v>0.25</v>
      </c>
    </row>
    <row r="5" spans="1:16" x14ac:dyDescent="0.3">
      <c r="A5" t="s">
        <v>178</v>
      </c>
      <c r="B5" t="s">
        <v>179</v>
      </c>
      <c r="C5" t="s">
        <v>180</v>
      </c>
      <c r="D5" t="s">
        <v>181</v>
      </c>
      <c r="E5" t="s">
        <v>182</v>
      </c>
      <c r="F5" t="s">
        <v>183</v>
      </c>
      <c r="G5" t="s">
        <v>184</v>
      </c>
      <c r="H5" t="s">
        <v>27521</v>
      </c>
      <c r="I5" t="s">
        <v>185</v>
      </c>
      <c r="J5" t="s">
        <v>186</v>
      </c>
    </row>
    <row r="6" spans="1:16" x14ac:dyDescent="0.3">
      <c r="A6" s="161">
        <v>1005</v>
      </c>
      <c r="B6" s="158" t="s">
        <v>15176</v>
      </c>
      <c r="C6" t="s">
        <v>187</v>
      </c>
      <c r="D6">
        <v>0.6</v>
      </c>
      <c r="E6">
        <v>0</v>
      </c>
      <c r="F6">
        <f>D6+E6</f>
        <v>0.6</v>
      </c>
      <c r="I6">
        <v>20160701</v>
      </c>
      <c r="J6" t="s">
        <v>188</v>
      </c>
    </row>
    <row r="7" spans="1:16" x14ac:dyDescent="0.3">
      <c r="A7" s="160">
        <v>1021</v>
      </c>
      <c r="B7" s="152" t="s">
        <v>15177</v>
      </c>
      <c r="C7" t="s">
        <v>187</v>
      </c>
      <c r="D7">
        <v>0.6</v>
      </c>
      <c r="E7">
        <v>0</v>
      </c>
      <c r="F7">
        <f t="shared" ref="F7:F70" si="0">D7+E7</f>
        <v>0.6</v>
      </c>
      <c r="I7">
        <v>20160701</v>
      </c>
      <c r="J7" t="s">
        <v>189</v>
      </c>
    </row>
    <row r="8" spans="1:16" x14ac:dyDescent="0.3">
      <c r="A8" s="160">
        <v>1024</v>
      </c>
      <c r="B8" s="152" t="s">
        <v>15178</v>
      </c>
      <c r="C8" t="s">
        <v>190</v>
      </c>
      <c r="D8">
        <v>1.1000000000000001</v>
      </c>
      <c r="E8">
        <v>0</v>
      </c>
      <c r="F8">
        <f t="shared" si="0"/>
        <v>1.1000000000000001</v>
      </c>
      <c r="I8">
        <v>20240101</v>
      </c>
      <c r="J8" t="s">
        <v>191</v>
      </c>
    </row>
    <row r="9" spans="1:16" x14ac:dyDescent="0.3">
      <c r="A9" s="160">
        <v>1027</v>
      </c>
      <c r="B9" t="s">
        <v>15179</v>
      </c>
      <c r="C9" t="s">
        <v>15180</v>
      </c>
      <c r="D9">
        <v>0.45</v>
      </c>
      <c r="E9">
        <v>0</v>
      </c>
      <c r="F9">
        <f t="shared" si="0"/>
        <v>0.45</v>
      </c>
      <c r="I9">
        <v>20250101</v>
      </c>
      <c r="J9" t="s">
        <v>15181</v>
      </c>
    </row>
    <row r="10" spans="1:16" x14ac:dyDescent="0.3">
      <c r="A10" s="160">
        <v>1029</v>
      </c>
      <c r="B10" s="152" t="s">
        <v>15182</v>
      </c>
      <c r="C10" t="s">
        <v>190</v>
      </c>
      <c r="D10">
        <v>1.1000000000000001</v>
      </c>
      <c r="E10">
        <v>0</v>
      </c>
      <c r="F10">
        <f t="shared" si="0"/>
        <v>1.1000000000000001</v>
      </c>
      <c r="I10">
        <v>20240101</v>
      </c>
      <c r="J10" t="s">
        <v>192</v>
      </c>
    </row>
    <row r="11" spans="1:16" x14ac:dyDescent="0.3">
      <c r="A11" s="160">
        <v>1030</v>
      </c>
      <c r="B11" s="152" t="s">
        <v>15183</v>
      </c>
      <c r="C11" t="s">
        <v>187</v>
      </c>
      <c r="D11">
        <v>0.6</v>
      </c>
      <c r="E11">
        <v>0</v>
      </c>
      <c r="F11">
        <f t="shared" si="0"/>
        <v>0.6</v>
      </c>
      <c r="I11">
        <v>20160701</v>
      </c>
      <c r="J11" t="s">
        <v>189</v>
      </c>
    </row>
    <row r="12" spans="1:16" x14ac:dyDescent="0.3">
      <c r="A12" s="160">
        <v>1032</v>
      </c>
      <c r="B12" s="152" t="s">
        <v>15184</v>
      </c>
      <c r="C12" t="s">
        <v>15180</v>
      </c>
      <c r="D12">
        <v>0.45</v>
      </c>
      <c r="E12">
        <v>0</v>
      </c>
      <c r="F12">
        <f t="shared" si="0"/>
        <v>0.45</v>
      </c>
      <c r="I12">
        <v>20250101</v>
      </c>
      <c r="J12" t="s">
        <v>15181</v>
      </c>
      <c r="K12" t="s">
        <v>15185</v>
      </c>
    </row>
    <row r="13" spans="1:16" x14ac:dyDescent="0.3">
      <c r="A13" s="160">
        <v>1038</v>
      </c>
      <c r="B13" s="152" t="s">
        <v>15186</v>
      </c>
      <c r="C13" t="s">
        <v>190</v>
      </c>
      <c r="D13">
        <v>1.1000000000000001</v>
      </c>
      <c r="E13">
        <v>0</v>
      </c>
      <c r="F13">
        <f t="shared" si="0"/>
        <v>1.1000000000000001</v>
      </c>
      <c r="I13">
        <v>20240101</v>
      </c>
      <c r="J13" t="s">
        <v>193</v>
      </c>
    </row>
    <row r="14" spans="1:16" x14ac:dyDescent="0.3">
      <c r="A14" s="160">
        <v>1040</v>
      </c>
      <c r="B14" s="152" t="s">
        <v>15187</v>
      </c>
      <c r="C14" t="s">
        <v>190</v>
      </c>
      <c r="D14">
        <v>1.1000000000000001</v>
      </c>
      <c r="E14">
        <v>0</v>
      </c>
      <c r="F14">
        <f t="shared" si="0"/>
        <v>1.1000000000000001</v>
      </c>
      <c r="I14">
        <v>20240101</v>
      </c>
      <c r="J14" t="s">
        <v>191</v>
      </c>
    </row>
    <row r="15" spans="1:16" x14ac:dyDescent="0.3">
      <c r="A15" s="160">
        <v>1043</v>
      </c>
      <c r="B15" t="s">
        <v>15188</v>
      </c>
      <c r="C15" t="s">
        <v>194</v>
      </c>
      <c r="D15">
        <v>0.5</v>
      </c>
      <c r="E15">
        <v>0</v>
      </c>
      <c r="F15">
        <f t="shared" si="0"/>
        <v>0.5</v>
      </c>
      <c r="I15">
        <v>20210101</v>
      </c>
      <c r="J15" t="s">
        <v>195</v>
      </c>
      <c r="K15" t="s">
        <v>196</v>
      </c>
      <c r="L15" t="s">
        <v>197</v>
      </c>
      <c r="M15" t="s">
        <v>198</v>
      </c>
      <c r="N15" t="s">
        <v>199</v>
      </c>
    </row>
    <row r="16" spans="1:16" x14ac:dyDescent="0.3">
      <c r="A16" s="160">
        <v>1049</v>
      </c>
      <c r="B16" t="s">
        <v>15189</v>
      </c>
      <c r="C16" t="s">
        <v>15180</v>
      </c>
      <c r="D16">
        <v>0.45</v>
      </c>
      <c r="E16">
        <v>0</v>
      </c>
      <c r="F16">
        <f t="shared" si="0"/>
        <v>0.45</v>
      </c>
      <c r="I16">
        <v>20250101</v>
      </c>
      <c r="J16" t="s">
        <v>243</v>
      </c>
      <c r="K16" t="s">
        <v>15190</v>
      </c>
      <c r="L16" t="s">
        <v>15191</v>
      </c>
      <c r="M16" t="s">
        <v>15192</v>
      </c>
      <c r="N16" t="s">
        <v>15193</v>
      </c>
      <c r="O16" t="s">
        <v>15194</v>
      </c>
      <c r="P16" t="s">
        <v>15195</v>
      </c>
    </row>
    <row r="17" spans="1:31" x14ac:dyDescent="0.3">
      <c r="A17" s="160">
        <v>1053</v>
      </c>
      <c r="B17" t="s">
        <v>15196</v>
      </c>
      <c r="C17" t="s">
        <v>190</v>
      </c>
      <c r="D17">
        <v>1.1000000000000001</v>
      </c>
      <c r="E17">
        <v>0</v>
      </c>
      <c r="F17">
        <f t="shared" si="0"/>
        <v>1.1000000000000001</v>
      </c>
      <c r="I17">
        <v>20240101</v>
      </c>
      <c r="J17" t="s">
        <v>200</v>
      </c>
      <c r="K17" t="s">
        <v>201</v>
      </c>
      <c r="L17" t="s">
        <v>202</v>
      </c>
      <c r="M17" t="s">
        <v>203</v>
      </c>
      <c r="N17" t="s">
        <v>204</v>
      </c>
      <c r="O17" t="s">
        <v>205</v>
      </c>
      <c r="P17" t="s">
        <v>206</v>
      </c>
      <c r="Q17" t="s">
        <v>207</v>
      </c>
      <c r="R17" t="s">
        <v>208</v>
      </c>
      <c r="S17" t="s">
        <v>209</v>
      </c>
      <c r="T17" t="s">
        <v>210</v>
      </c>
      <c r="U17" t="s">
        <v>211</v>
      </c>
      <c r="V17" t="s">
        <v>212</v>
      </c>
      <c r="W17" t="s">
        <v>213</v>
      </c>
      <c r="X17" t="s">
        <v>214</v>
      </c>
      <c r="Y17" t="s">
        <v>215</v>
      </c>
      <c r="Z17" t="s">
        <v>216</v>
      </c>
      <c r="AA17" t="s">
        <v>217</v>
      </c>
      <c r="AB17" t="s">
        <v>218</v>
      </c>
      <c r="AC17" t="s">
        <v>219</v>
      </c>
      <c r="AD17" t="s">
        <v>220</v>
      </c>
      <c r="AE17" t="s">
        <v>221</v>
      </c>
    </row>
    <row r="18" spans="1:31" x14ac:dyDescent="0.3">
      <c r="A18" s="160">
        <v>1062</v>
      </c>
      <c r="B18" t="s">
        <v>15197</v>
      </c>
      <c r="C18" t="s">
        <v>15180</v>
      </c>
      <c r="D18">
        <v>0.45</v>
      </c>
      <c r="E18">
        <v>0</v>
      </c>
      <c r="F18">
        <f t="shared" si="0"/>
        <v>0.45</v>
      </c>
      <c r="I18">
        <v>20250101</v>
      </c>
      <c r="J18" t="s">
        <v>15181</v>
      </c>
    </row>
    <row r="19" spans="1:31" x14ac:dyDescent="0.3">
      <c r="A19" s="160">
        <v>1065</v>
      </c>
      <c r="B19" t="s">
        <v>15198</v>
      </c>
      <c r="C19" t="s">
        <v>190</v>
      </c>
      <c r="D19">
        <v>1.1000000000000001</v>
      </c>
      <c r="E19">
        <v>0</v>
      </c>
      <c r="F19">
        <f t="shared" si="0"/>
        <v>1.1000000000000001</v>
      </c>
      <c r="I19">
        <v>20240101</v>
      </c>
      <c r="J19" t="s">
        <v>222</v>
      </c>
    </row>
    <row r="20" spans="1:31" x14ac:dyDescent="0.3">
      <c r="A20" s="160">
        <v>1069</v>
      </c>
      <c r="B20" t="s">
        <v>15199</v>
      </c>
      <c r="C20" t="s">
        <v>190</v>
      </c>
      <c r="D20">
        <v>1.1000000000000001</v>
      </c>
      <c r="E20">
        <v>0</v>
      </c>
      <c r="F20">
        <f t="shared" si="0"/>
        <v>1.1000000000000001</v>
      </c>
      <c r="I20">
        <v>20240101</v>
      </c>
      <c r="J20" t="s">
        <v>223</v>
      </c>
    </row>
    <row r="21" spans="1:31" x14ac:dyDescent="0.3">
      <c r="A21" s="160">
        <v>1072</v>
      </c>
      <c r="B21" t="s">
        <v>15200</v>
      </c>
      <c r="C21" t="s">
        <v>190</v>
      </c>
      <c r="D21">
        <v>1.1000000000000001</v>
      </c>
      <c r="E21">
        <v>0</v>
      </c>
      <c r="F21">
        <f t="shared" si="0"/>
        <v>1.1000000000000001</v>
      </c>
      <c r="I21">
        <v>20240101</v>
      </c>
      <c r="J21" t="s">
        <v>203</v>
      </c>
      <c r="K21" t="s">
        <v>224</v>
      </c>
    </row>
    <row r="22" spans="1:31" x14ac:dyDescent="0.3">
      <c r="A22" s="160">
        <v>1095</v>
      </c>
      <c r="B22" t="s">
        <v>15201</v>
      </c>
      <c r="C22" t="s">
        <v>190</v>
      </c>
      <c r="D22">
        <v>1.1000000000000001</v>
      </c>
      <c r="E22">
        <v>0</v>
      </c>
      <c r="F22">
        <f t="shared" si="0"/>
        <v>1.1000000000000001</v>
      </c>
      <c r="I22">
        <v>20240101</v>
      </c>
      <c r="J22" t="s">
        <v>224</v>
      </c>
    </row>
    <row r="23" spans="1:31" x14ac:dyDescent="0.3">
      <c r="A23" s="160">
        <v>1105</v>
      </c>
      <c r="B23" t="s">
        <v>15202</v>
      </c>
      <c r="C23" t="s">
        <v>187</v>
      </c>
      <c r="D23">
        <v>0.6</v>
      </c>
      <c r="E23">
        <v>0</v>
      </c>
      <c r="F23">
        <f t="shared" si="0"/>
        <v>0.6</v>
      </c>
      <c r="I23">
        <v>20160701</v>
      </c>
      <c r="J23" t="s">
        <v>225</v>
      </c>
    </row>
    <row r="24" spans="1:31" x14ac:dyDescent="0.3">
      <c r="A24" s="160">
        <v>1106</v>
      </c>
      <c r="B24" t="s">
        <v>15203</v>
      </c>
      <c r="C24" t="s">
        <v>190</v>
      </c>
      <c r="D24">
        <v>1.1000000000000001</v>
      </c>
      <c r="E24">
        <v>0</v>
      </c>
      <c r="F24">
        <f t="shared" si="0"/>
        <v>1.1000000000000001</v>
      </c>
      <c r="I24">
        <v>20240101</v>
      </c>
      <c r="J24" t="s">
        <v>224</v>
      </c>
    </row>
    <row r="25" spans="1:31" x14ac:dyDescent="0.3">
      <c r="A25" s="160">
        <v>1108</v>
      </c>
      <c r="B25" t="s">
        <v>15204</v>
      </c>
      <c r="C25" t="s">
        <v>190</v>
      </c>
      <c r="D25">
        <v>1.1000000000000001</v>
      </c>
      <c r="E25">
        <v>0</v>
      </c>
      <c r="F25">
        <f t="shared" si="0"/>
        <v>1.1000000000000001</v>
      </c>
      <c r="I25">
        <v>20240101</v>
      </c>
      <c r="J25" t="s">
        <v>192</v>
      </c>
    </row>
    <row r="26" spans="1:31" x14ac:dyDescent="0.3">
      <c r="A26" s="160">
        <v>1115</v>
      </c>
      <c r="B26" t="s">
        <v>15205</v>
      </c>
      <c r="C26" t="s">
        <v>190</v>
      </c>
      <c r="D26">
        <v>1.1000000000000001</v>
      </c>
      <c r="E26">
        <v>0</v>
      </c>
      <c r="F26">
        <f t="shared" si="0"/>
        <v>1.1000000000000001</v>
      </c>
      <c r="I26">
        <v>20240101</v>
      </c>
      <c r="J26" t="s">
        <v>222</v>
      </c>
    </row>
    <row r="27" spans="1:31" x14ac:dyDescent="0.3">
      <c r="A27" s="160">
        <v>1124</v>
      </c>
      <c r="B27" t="s">
        <v>15206</v>
      </c>
      <c r="C27" t="s">
        <v>190</v>
      </c>
      <c r="D27">
        <v>1.1000000000000001</v>
      </c>
      <c r="E27">
        <v>0</v>
      </c>
      <c r="F27">
        <f t="shared" si="0"/>
        <v>1.1000000000000001</v>
      </c>
      <c r="I27">
        <v>20240101</v>
      </c>
      <c r="J27" t="s">
        <v>226</v>
      </c>
    </row>
    <row r="28" spans="1:31" x14ac:dyDescent="0.3">
      <c r="A28" s="160">
        <v>1125</v>
      </c>
      <c r="B28" t="s">
        <v>15207</v>
      </c>
      <c r="C28" t="s">
        <v>190</v>
      </c>
      <c r="D28">
        <v>1.1000000000000001</v>
      </c>
      <c r="E28">
        <v>0</v>
      </c>
      <c r="F28">
        <f t="shared" si="0"/>
        <v>1.1000000000000001</v>
      </c>
      <c r="I28">
        <v>20240101</v>
      </c>
      <c r="J28" t="s">
        <v>224</v>
      </c>
    </row>
    <row r="29" spans="1:31" x14ac:dyDescent="0.3">
      <c r="A29" s="160">
        <v>1127</v>
      </c>
      <c r="B29" t="s">
        <v>15208</v>
      </c>
      <c r="C29" t="s">
        <v>190</v>
      </c>
      <c r="D29">
        <v>1.1000000000000001</v>
      </c>
      <c r="E29">
        <v>0</v>
      </c>
      <c r="F29">
        <f t="shared" si="0"/>
        <v>1.1000000000000001</v>
      </c>
      <c r="I29">
        <v>20240101</v>
      </c>
      <c r="J29" t="s">
        <v>193</v>
      </c>
    </row>
    <row r="30" spans="1:31" x14ac:dyDescent="0.3">
      <c r="A30" s="160">
        <v>1128</v>
      </c>
      <c r="B30" t="s">
        <v>15209</v>
      </c>
      <c r="C30" t="s">
        <v>190</v>
      </c>
      <c r="D30">
        <v>1.1000000000000001</v>
      </c>
      <c r="E30">
        <v>0</v>
      </c>
      <c r="F30">
        <f t="shared" si="0"/>
        <v>1.1000000000000001</v>
      </c>
      <c r="I30">
        <v>20240101</v>
      </c>
      <c r="J30" t="s">
        <v>226</v>
      </c>
    </row>
    <row r="31" spans="1:31" x14ac:dyDescent="0.3">
      <c r="A31" s="160">
        <v>1130</v>
      </c>
      <c r="B31" t="s">
        <v>15210</v>
      </c>
      <c r="C31" t="s">
        <v>190</v>
      </c>
      <c r="D31">
        <v>1.1000000000000001</v>
      </c>
      <c r="E31">
        <v>0</v>
      </c>
      <c r="F31">
        <f t="shared" si="0"/>
        <v>1.1000000000000001</v>
      </c>
      <c r="I31">
        <v>20240101</v>
      </c>
      <c r="J31" t="s">
        <v>191</v>
      </c>
    </row>
    <row r="32" spans="1:31" x14ac:dyDescent="0.3">
      <c r="A32" s="160">
        <v>1139</v>
      </c>
      <c r="B32" t="s">
        <v>15211</v>
      </c>
      <c r="C32" t="s">
        <v>190</v>
      </c>
      <c r="D32">
        <v>1.1000000000000001</v>
      </c>
      <c r="E32">
        <v>0</v>
      </c>
      <c r="F32">
        <f t="shared" si="0"/>
        <v>1.1000000000000001</v>
      </c>
      <c r="I32">
        <v>20240101</v>
      </c>
      <c r="J32" t="s">
        <v>226</v>
      </c>
    </row>
    <row r="33" spans="1:16" x14ac:dyDescent="0.3">
      <c r="A33" s="160">
        <v>1140</v>
      </c>
      <c r="B33" t="s">
        <v>15212</v>
      </c>
      <c r="C33" t="s">
        <v>190</v>
      </c>
      <c r="D33">
        <v>1.1000000000000001</v>
      </c>
      <c r="E33">
        <v>0</v>
      </c>
      <c r="F33">
        <f t="shared" si="0"/>
        <v>1.1000000000000001</v>
      </c>
      <c r="I33">
        <v>20240101</v>
      </c>
      <c r="J33" t="s">
        <v>222</v>
      </c>
    </row>
    <row r="34" spans="1:16" x14ac:dyDescent="0.3">
      <c r="A34" s="160">
        <v>1142</v>
      </c>
      <c r="B34" t="s">
        <v>15213</v>
      </c>
      <c r="C34" t="s">
        <v>15180</v>
      </c>
      <c r="D34">
        <v>0.45</v>
      </c>
      <c r="E34">
        <v>0</v>
      </c>
      <c r="F34">
        <f t="shared" si="0"/>
        <v>0.45</v>
      </c>
      <c r="I34">
        <v>20250101</v>
      </c>
      <c r="J34" t="s">
        <v>243</v>
      </c>
      <c r="K34" t="s">
        <v>15190</v>
      </c>
      <c r="L34" t="s">
        <v>15191</v>
      </c>
      <c r="M34" t="s">
        <v>15192</v>
      </c>
      <c r="N34" t="s">
        <v>15193</v>
      </c>
      <c r="O34" t="s">
        <v>15195</v>
      </c>
      <c r="P34" t="s">
        <v>15214</v>
      </c>
    </row>
    <row r="35" spans="1:16" x14ac:dyDescent="0.3">
      <c r="A35" s="160">
        <v>1145</v>
      </c>
      <c r="B35" t="s">
        <v>15215</v>
      </c>
      <c r="C35" t="s">
        <v>190</v>
      </c>
      <c r="D35">
        <v>1.1000000000000001</v>
      </c>
      <c r="E35">
        <v>0</v>
      </c>
      <c r="F35">
        <f t="shared" si="0"/>
        <v>1.1000000000000001</v>
      </c>
      <c r="I35">
        <v>20240101</v>
      </c>
      <c r="J35" t="s">
        <v>223</v>
      </c>
    </row>
    <row r="36" spans="1:16" x14ac:dyDescent="0.3">
      <c r="A36" s="160">
        <v>1147</v>
      </c>
      <c r="B36" t="s">
        <v>15216</v>
      </c>
      <c r="C36" t="s">
        <v>190</v>
      </c>
      <c r="D36">
        <v>1.1000000000000001</v>
      </c>
      <c r="E36">
        <v>0</v>
      </c>
      <c r="F36">
        <f t="shared" si="0"/>
        <v>1.1000000000000001</v>
      </c>
      <c r="I36">
        <v>20240101</v>
      </c>
      <c r="J36" t="s">
        <v>192</v>
      </c>
    </row>
    <row r="37" spans="1:16" x14ac:dyDescent="0.3">
      <c r="A37" s="160">
        <v>1150</v>
      </c>
      <c r="B37" t="s">
        <v>15217</v>
      </c>
      <c r="C37" t="s">
        <v>190</v>
      </c>
      <c r="D37">
        <v>1.1000000000000001</v>
      </c>
      <c r="E37">
        <v>0</v>
      </c>
      <c r="F37">
        <f t="shared" si="0"/>
        <v>1.1000000000000001</v>
      </c>
      <c r="I37">
        <v>20240101</v>
      </c>
      <c r="J37" t="s">
        <v>224</v>
      </c>
    </row>
    <row r="38" spans="1:16" x14ac:dyDescent="0.3">
      <c r="A38" s="160">
        <v>1151</v>
      </c>
      <c r="B38" t="s">
        <v>15218</v>
      </c>
      <c r="C38" t="s">
        <v>190</v>
      </c>
      <c r="D38">
        <v>1.1000000000000001</v>
      </c>
      <c r="E38">
        <v>0</v>
      </c>
      <c r="F38">
        <f t="shared" si="0"/>
        <v>1.1000000000000001</v>
      </c>
      <c r="I38">
        <v>20240101</v>
      </c>
      <c r="J38" t="s">
        <v>227</v>
      </c>
    </row>
    <row r="39" spans="1:16" x14ac:dyDescent="0.3">
      <c r="A39" s="160">
        <v>1154</v>
      </c>
      <c r="B39" t="s">
        <v>15219</v>
      </c>
      <c r="C39" t="s">
        <v>190</v>
      </c>
      <c r="D39">
        <v>1.1000000000000001</v>
      </c>
      <c r="E39">
        <v>0</v>
      </c>
      <c r="F39">
        <f t="shared" si="0"/>
        <v>1.1000000000000001</v>
      </c>
      <c r="I39">
        <v>20240101</v>
      </c>
      <c r="J39" t="s">
        <v>191</v>
      </c>
    </row>
    <row r="40" spans="1:16" x14ac:dyDescent="0.3">
      <c r="A40" s="160">
        <v>1157</v>
      </c>
      <c r="B40" t="s">
        <v>15220</v>
      </c>
      <c r="C40" t="s">
        <v>187</v>
      </c>
      <c r="D40">
        <v>0.6</v>
      </c>
      <c r="E40">
        <v>0</v>
      </c>
      <c r="F40">
        <f t="shared" si="0"/>
        <v>0.6</v>
      </c>
      <c r="I40">
        <v>20160701</v>
      </c>
      <c r="J40" t="s">
        <v>189</v>
      </c>
    </row>
    <row r="41" spans="1:16" x14ac:dyDescent="0.3">
      <c r="A41" s="160">
        <v>1163</v>
      </c>
      <c r="B41" t="s">
        <v>15221</v>
      </c>
      <c r="C41" t="s">
        <v>190</v>
      </c>
      <c r="D41">
        <v>1.1000000000000001</v>
      </c>
      <c r="E41">
        <v>0</v>
      </c>
      <c r="F41">
        <f t="shared" si="0"/>
        <v>1.1000000000000001</v>
      </c>
      <c r="I41">
        <v>20240101</v>
      </c>
      <c r="J41" t="s">
        <v>191</v>
      </c>
    </row>
    <row r="42" spans="1:16" x14ac:dyDescent="0.3">
      <c r="A42" s="160">
        <v>1166</v>
      </c>
      <c r="B42" t="s">
        <v>15222</v>
      </c>
      <c r="C42" t="s">
        <v>187</v>
      </c>
      <c r="D42">
        <v>0.6</v>
      </c>
      <c r="E42">
        <v>0</v>
      </c>
      <c r="F42">
        <f t="shared" si="0"/>
        <v>0.6</v>
      </c>
      <c r="I42">
        <v>20160701</v>
      </c>
      <c r="J42" t="s">
        <v>189</v>
      </c>
    </row>
    <row r="43" spans="1:16" x14ac:dyDescent="0.3">
      <c r="A43" s="160">
        <v>1172</v>
      </c>
      <c r="B43" t="s">
        <v>15223</v>
      </c>
      <c r="C43" t="s">
        <v>190</v>
      </c>
      <c r="D43">
        <v>1.1000000000000001</v>
      </c>
      <c r="E43">
        <v>0</v>
      </c>
      <c r="F43">
        <f t="shared" si="0"/>
        <v>1.1000000000000001</v>
      </c>
      <c r="I43">
        <v>20240101</v>
      </c>
      <c r="J43" t="s">
        <v>224</v>
      </c>
    </row>
    <row r="44" spans="1:16" x14ac:dyDescent="0.3">
      <c r="A44" s="160">
        <v>1177</v>
      </c>
      <c r="B44" t="s">
        <v>15224</v>
      </c>
      <c r="C44" t="s">
        <v>190</v>
      </c>
      <c r="D44">
        <v>1.1000000000000001</v>
      </c>
      <c r="E44">
        <v>0</v>
      </c>
      <c r="F44">
        <f t="shared" si="0"/>
        <v>1.1000000000000001</v>
      </c>
      <c r="I44">
        <v>20240101</v>
      </c>
      <c r="J44" t="s">
        <v>224</v>
      </c>
    </row>
    <row r="45" spans="1:16" x14ac:dyDescent="0.3">
      <c r="A45" s="160">
        <v>1184</v>
      </c>
      <c r="B45" t="s">
        <v>15225</v>
      </c>
      <c r="C45" t="s">
        <v>190</v>
      </c>
      <c r="D45">
        <v>1.1000000000000001</v>
      </c>
      <c r="E45">
        <v>0</v>
      </c>
      <c r="F45">
        <f t="shared" si="0"/>
        <v>1.1000000000000001</v>
      </c>
      <c r="I45">
        <v>20240101</v>
      </c>
      <c r="J45" t="s">
        <v>224</v>
      </c>
    </row>
    <row r="46" spans="1:16" x14ac:dyDescent="0.3">
      <c r="A46" s="160">
        <v>1194</v>
      </c>
      <c r="B46" t="s">
        <v>15226</v>
      </c>
      <c r="C46" t="s">
        <v>177</v>
      </c>
      <c r="D46">
        <v>0.9</v>
      </c>
      <c r="E46">
        <v>0</v>
      </c>
      <c r="F46">
        <f t="shared" si="0"/>
        <v>0.9</v>
      </c>
      <c r="G46">
        <v>0.75</v>
      </c>
      <c r="H46">
        <f>G46*F46</f>
        <v>0.67500000000000004</v>
      </c>
      <c r="I46">
        <v>20240701</v>
      </c>
      <c r="J46" t="s">
        <v>189</v>
      </c>
    </row>
    <row r="47" spans="1:16" x14ac:dyDescent="0.3">
      <c r="A47" s="160">
        <v>1195</v>
      </c>
      <c r="B47" t="s">
        <v>15227</v>
      </c>
      <c r="C47" t="s">
        <v>190</v>
      </c>
      <c r="D47">
        <v>1.1000000000000001</v>
      </c>
      <c r="E47">
        <v>0</v>
      </c>
      <c r="F47">
        <f t="shared" si="0"/>
        <v>1.1000000000000001</v>
      </c>
      <c r="I47">
        <v>20240101</v>
      </c>
      <c r="J47" t="s">
        <v>224</v>
      </c>
    </row>
    <row r="48" spans="1:16" x14ac:dyDescent="0.3">
      <c r="A48" s="160">
        <v>1196</v>
      </c>
      <c r="B48" t="s">
        <v>15228</v>
      </c>
      <c r="C48" t="s">
        <v>190</v>
      </c>
      <c r="D48">
        <v>1.1000000000000001</v>
      </c>
      <c r="E48">
        <v>0</v>
      </c>
      <c r="F48">
        <f t="shared" si="0"/>
        <v>1.1000000000000001</v>
      </c>
      <c r="I48">
        <v>20240101</v>
      </c>
      <c r="J48" t="s">
        <v>191</v>
      </c>
    </row>
    <row r="49" spans="1:15" x14ac:dyDescent="0.3">
      <c r="A49" s="160">
        <v>1197</v>
      </c>
      <c r="B49" t="s">
        <v>15229</v>
      </c>
      <c r="C49" t="s">
        <v>190</v>
      </c>
      <c r="D49">
        <v>1.1000000000000001</v>
      </c>
      <c r="E49">
        <v>0</v>
      </c>
      <c r="F49">
        <f t="shared" si="0"/>
        <v>1.1000000000000001</v>
      </c>
      <c r="I49">
        <v>20240101</v>
      </c>
      <c r="J49" t="s">
        <v>224</v>
      </c>
    </row>
    <row r="50" spans="1:15" x14ac:dyDescent="0.3">
      <c r="A50" s="160">
        <v>1211</v>
      </c>
      <c r="B50" t="s">
        <v>15230</v>
      </c>
      <c r="C50" t="s">
        <v>190</v>
      </c>
      <c r="D50">
        <v>1.1000000000000001</v>
      </c>
      <c r="E50">
        <v>0</v>
      </c>
      <c r="F50">
        <f t="shared" si="0"/>
        <v>1.1000000000000001</v>
      </c>
      <c r="I50">
        <v>20240101</v>
      </c>
      <c r="J50" t="s">
        <v>223</v>
      </c>
    </row>
    <row r="51" spans="1:15" x14ac:dyDescent="0.3">
      <c r="A51" s="160">
        <v>1212</v>
      </c>
      <c r="B51" t="s">
        <v>15231</v>
      </c>
      <c r="C51" t="s">
        <v>190</v>
      </c>
      <c r="D51">
        <v>1.1000000000000001</v>
      </c>
      <c r="E51">
        <v>0</v>
      </c>
      <c r="F51">
        <f t="shared" si="0"/>
        <v>1.1000000000000001</v>
      </c>
      <c r="I51">
        <v>20240101</v>
      </c>
      <c r="J51" t="s">
        <v>226</v>
      </c>
    </row>
    <row r="52" spans="1:15" x14ac:dyDescent="0.3">
      <c r="A52" s="160">
        <v>1229</v>
      </c>
      <c r="B52" t="s">
        <v>15232</v>
      </c>
      <c r="C52" t="s">
        <v>190</v>
      </c>
      <c r="D52">
        <v>1.1000000000000001</v>
      </c>
      <c r="E52">
        <v>0</v>
      </c>
      <c r="F52">
        <f t="shared" si="0"/>
        <v>1.1000000000000001</v>
      </c>
      <c r="I52">
        <v>20240101</v>
      </c>
      <c r="J52" t="s">
        <v>191</v>
      </c>
    </row>
    <row r="53" spans="1:15" x14ac:dyDescent="0.3">
      <c r="A53" s="160">
        <v>1230</v>
      </c>
      <c r="B53" t="s">
        <v>15233</v>
      </c>
      <c r="C53" t="s">
        <v>190</v>
      </c>
      <c r="D53">
        <v>1.1000000000000001</v>
      </c>
      <c r="E53">
        <v>0</v>
      </c>
      <c r="F53">
        <f t="shared" si="0"/>
        <v>1.1000000000000001</v>
      </c>
      <c r="I53">
        <v>20240101</v>
      </c>
      <c r="J53" t="s">
        <v>226</v>
      </c>
    </row>
    <row r="54" spans="1:15" x14ac:dyDescent="0.3">
      <c r="A54" s="160">
        <v>1232</v>
      </c>
      <c r="B54" t="s">
        <v>15234</v>
      </c>
      <c r="C54" t="s">
        <v>190</v>
      </c>
      <c r="D54">
        <v>1.1000000000000001</v>
      </c>
      <c r="E54">
        <v>0</v>
      </c>
      <c r="F54">
        <f t="shared" si="0"/>
        <v>1.1000000000000001</v>
      </c>
      <c r="I54">
        <v>20240101</v>
      </c>
      <c r="J54" t="s">
        <v>228</v>
      </c>
    </row>
    <row r="55" spans="1:15" x14ac:dyDescent="0.3">
      <c r="A55" s="160">
        <v>1236</v>
      </c>
      <c r="B55" t="s">
        <v>15235</v>
      </c>
      <c r="C55" t="s">
        <v>190</v>
      </c>
      <c r="D55">
        <v>1.1000000000000001</v>
      </c>
      <c r="E55">
        <v>0</v>
      </c>
      <c r="F55">
        <f t="shared" si="0"/>
        <v>1.1000000000000001</v>
      </c>
      <c r="I55">
        <v>20240101</v>
      </c>
      <c r="J55" t="s">
        <v>191</v>
      </c>
    </row>
    <row r="56" spans="1:15" x14ac:dyDescent="0.3">
      <c r="A56" s="160">
        <v>1238</v>
      </c>
      <c r="B56" t="s">
        <v>15236</v>
      </c>
      <c r="C56" t="s">
        <v>187</v>
      </c>
      <c r="D56">
        <v>0.6</v>
      </c>
      <c r="E56">
        <v>0</v>
      </c>
      <c r="F56">
        <f t="shared" si="0"/>
        <v>0.6</v>
      </c>
      <c r="I56">
        <v>20160701</v>
      </c>
      <c r="J56" t="s">
        <v>229</v>
      </c>
    </row>
    <row r="57" spans="1:15" x14ac:dyDescent="0.3">
      <c r="A57" s="160">
        <v>1241</v>
      </c>
      <c r="B57" t="s">
        <v>15237</v>
      </c>
      <c r="C57" t="s">
        <v>190</v>
      </c>
      <c r="D57">
        <v>1.1000000000000001</v>
      </c>
      <c r="E57">
        <v>0</v>
      </c>
      <c r="F57">
        <f t="shared" si="0"/>
        <v>1.1000000000000001</v>
      </c>
      <c r="I57">
        <v>20240101</v>
      </c>
      <c r="J57" t="s">
        <v>209</v>
      </c>
      <c r="K57" t="s">
        <v>193</v>
      </c>
    </row>
    <row r="58" spans="1:15" x14ac:dyDescent="0.3">
      <c r="A58" s="160">
        <v>1245</v>
      </c>
      <c r="B58" t="s">
        <v>15238</v>
      </c>
      <c r="C58" t="s">
        <v>190</v>
      </c>
      <c r="D58">
        <v>1.1000000000000001</v>
      </c>
      <c r="E58">
        <v>0</v>
      </c>
      <c r="F58">
        <f t="shared" si="0"/>
        <v>1.1000000000000001</v>
      </c>
      <c r="I58">
        <v>20240101</v>
      </c>
      <c r="J58" t="s">
        <v>224</v>
      </c>
    </row>
    <row r="59" spans="1:15" x14ac:dyDescent="0.3">
      <c r="A59" s="160">
        <v>1249</v>
      </c>
      <c r="B59" t="s">
        <v>15239</v>
      </c>
      <c r="C59" t="s">
        <v>194</v>
      </c>
      <c r="D59">
        <v>0.5</v>
      </c>
      <c r="E59">
        <v>0</v>
      </c>
      <c r="F59">
        <f t="shared" si="0"/>
        <v>0.5</v>
      </c>
      <c r="I59">
        <v>20210101</v>
      </c>
      <c r="J59" t="s">
        <v>195</v>
      </c>
      <c r="K59" t="s">
        <v>230</v>
      </c>
      <c r="L59" t="s">
        <v>196</v>
      </c>
      <c r="M59" t="s">
        <v>231</v>
      </c>
      <c r="N59" t="s">
        <v>232</v>
      </c>
      <c r="O59" t="s">
        <v>199</v>
      </c>
    </row>
    <row r="60" spans="1:15" x14ac:dyDescent="0.3">
      <c r="A60" s="160">
        <v>1250</v>
      </c>
      <c r="B60" t="s">
        <v>15240</v>
      </c>
      <c r="C60" t="s">
        <v>187</v>
      </c>
      <c r="D60">
        <v>0.6</v>
      </c>
      <c r="E60">
        <v>0</v>
      </c>
      <c r="F60">
        <f t="shared" si="0"/>
        <v>0.6</v>
      </c>
      <c r="I60">
        <v>20160701</v>
      </c>
      <c r="J60" t="s">
        <v>229</v>
      </c>
      <c r="K60" t="s">
        <v>233</v>
      </c>
    </row>
    <row r="61" spans="1:15" x14ac:dyDescent="0.3">
      <c r="A61" s="160">
        <v>1254</v>
      </c>
      <c r="B61" t="s">
        <v>15241</v>
      </c>
      <c r="C61" t="s">
        <v>190</v>
      </c>
      <c r="D61">
        <v>1.1000000000000001</v>
      </c>
      <c r="E61">
        <v>0</v>
      </c>
      <c r="F61">
        <f t="shared" si="0"/>
        <v>1.1000000000000001</v>
      </c>
      <c r="I61">
        <v>20240101</v>
      </c>
      <c r="J61" t="s">
        <v>203</v>
      </c>
      <c r="K61" t="s">
        <v>207</v>
      </c>
      <c r="L61" t="s">
        <v>224</v>
      </c>
    </row>
    <row r="62" spans="1:15" x14ac:dyDescent="0.3">
      <c r="A62" s="160">
        <v>1259</v>
      </c>
      <c r="B62" t="s">
        <v>15242</v>
      </c>
      <c r="C62" t="s">
        <v>190</v>
      </c>
      <c r="D62">
        <v>1.1000000000000001</v>
      </c>
      <c r="E62">
        <v>0</v>
      </c>
      <c r="F62">
        <f t="shared" si="0"/>
        <v>1.1000000000000001</v>
      </c>
      <c r="I62">
        <v>20240101</v>
      </c>
      <c r="J62" t="s">
        <v>222</v>
      </c>
      <c r="K62" t="s">
        <v>234</v>
      </c>
    </row>
    <row r="63" spans="1:15" x14ac:dyDescent="0.3">
      <c r="A63" s="160">
        <v>1262</v>
      </c>
      <c r="B63" t="s">
        <v>15243</v>
      </c>
      <c r="C63" t="s">
        <v>15180</v>
      </c>
      <c r="D63">
        <v>0.45</v>
      </c>
      <c r="E63">
        <v>0</v>
      </c>
      <c r="F63">
        <f t="shared" si="0"/>
        <v>0.45</v>
      </c>
      <c r="I63">
        <v>20250101</v>
      </c>
      <c r="J63" t="s">
        <v>243</v>
      </c>
      <c r="K63" t="s">
        <v>15190</v>
      </c>
      <c r="L63" t="s">
        <v>15191</v>
      </c>
      <c r="M63" t="s">
        <v>15192</v>
      </c>
      <c r="N63" t="s">
        <v>15193</v>
      </c>
    </row>
    <row r="64" spans="1:15" x14ac:dyDescent="0.3">
      <c r="A64" s="160">
        <v>1264</v>
      </c>
      <c r="B64" t="s">
        <v>15244</v>
      </c>
      <c r="C64" t="s">
        <v>190</v>
      </c>
      <c r="D64">
        <v>1.1000000000000001</v>
      </c>
      <c r="E64">
        <v>0</v>
      </c>
      <c r="F64">
        <f t="shared" si="0"/>
        <v>1.1000000000000001</v>
      </c>
      <c r="I64">
        <v>20240101</v>
      </c>
      <c r="J64" t="s">
        <v>222</v>
      </c>
    </row>
    <row r="65" spans="1:14" x14ac:dyDescent="0.3">
      <c r="A65" s="160">
        <v>1266</v>
      </c>
      <c r="B65" t="s">
        <v>15245</v>
      </c>
      <c r="C65" t="s">
        <v>190</v>
      </c>
      <c r="D65">
        <v>1.1000000000000001</v>
      </c>
      <c r="E65">
        <v>0</v>
      </c>
      <c r="F65">
        <f t="shared" si="0"/>
        <v>1.1000000000000001</v>
      </c>
      <c r="I65">
        <v>20240101</v>
      </c>
      <c r="J65" t="s">
        <v>191</v>
      </c>
    </row>
    <row r="66" spans="1:14" x14ac:dyDescent="0.3">
      <c r="A66" s="160">
        <v>1275</v>
      </c>
      <c r="B66" t="s">
        <v>15246</v>
      </c>
      <c r="C66" t="s">
        <v>194</v>
      </c>
      <c r="D66">
        <v>0.5</v>
      </c>
      <c r="E66">
        <v>0</v>
      </c>
      <c r="F66">
        <f t="shared" si="0"/>
        <v>0.5</v>
      </c>
      <c r="I66">
        <v>20210101</v>
      </c>
      <c r="J66" t="s">
        <v>195</v>
      </c>
      <c r="K66" t="s">
        <v>230</v>
      </c>
      <c r="L66" t="s">
        <v>196</v>
      </c>
      <c r="M66" t="s">
        <v>235</v>
      </c>
    </row>
    <row r="67" spans="1:14" x14ac:dyDescent="0.3">
      <c r="A67" s="160">
        <v>1276</v>
      </c>
      <c r="B67" t="s">
        <v>15247</v>
      </c>
      <c r="C67" t="s">
        <v>15180</v>
      </c>
      <c r="D67">
        <v>0.45</v>
      </c>
      <c r="E67">
        <v>0</v>
      </c>
      <c r="F67">
        <f t="shared" si="0"/>
        <v>0.45</v>
      </c>
      <c r="I67">
        <v>20250101</v>
      </c>
      <c r="J67" t="s">
        <v>243</v>
      </c>
    </row>
    <row r="68" spans="1:14" x14ac:dyDescent="0.3">
      <c r="A68" s="160">
        <v>1285</v>
      </c>
      <c r="B68" t="s">
        <v>15248</v>
      </c>
      <c r="C68" t="s">
        <v>187</v>
      </c>
      <c r="D68">
        <v>0.6</v>
      </c>
      <c r="E68">
        <v>0</v>
      </c>
      <c r="F68">
        <f t="shared" si="0"/>
        <v>0.6</v>
      </c>
      <c r="I68">
        <v>20160701</v>
      </c>
      <c r="J68" t="s">
        <v>229</v>
      </c>
      <c r="K68" t="s">
        <v>236</v>
      </c>
    </row>
    <row r="69" spans="1:14" x14ac:dyDescent="0.3">
      <c r="A69" s="160">
        <v>1289</v>
      </c>
      <c r="B69" t="s">
        <v>15249</v>
      </c>
      <c r="C69" t="s">
        <v>190</v>
      </c>
      <c r="D69">
        <v>1.1000000000000001</v>
      </c>
      <c r="E69">
        <v>0</v>
      </c>
      <c r="F69">
        <f t="shared" si="0"/>
        <v>1.1000000000000001</v>
      </c>
      <c r="I69">
        <v>20240101</v>
      </c>
      <c r="J69" t="s">
        <v>202</v>
      </c>
      <c r="K69" t="s">
        <v>205</v>
      </c>
      <c r="L69" t="s">
        <v>237</v>
      </c>
    </row>
    <row r="70" spans="1:14" x14ac:dyDescent="0.3">
      <c r="A70" s="160">
        <v>1296</v>
      </c>
      <c r="B70" t="s">
        <v>15250</v>
      </c>
      <c r="C70" t="s">
        <v>190</v>
      </c>
      <c r="D70">
        <v>1.1000000000000001</v>
      </c>
      <c r="E70">
        <v>0</v>
      </c>
      <c r="F70">
        <f t="shared" si="0"/>
        <v>1.1000000000000001</v>
      </c>
      <c r="I70">
        <v>20240101</v>
      </c>
      <c r="J70" t="s">
        <v>192</v>
      </c>
    </row>
    <row r="71" spans="1:14" x14ac:dyDescent="0.3">
      <c r="A71" s="160">
        <v>1297</v>
      </c>
      <c r="B71" t="s">
        <v>15251</v>
      </c>
      <c r="C71" t="s">
        <v>15180</v>
      </c>
      <c r="D71">
        <v>0.45</v>
      </c>
      <c r="E71">
        <v>0</v>
      </c>
      <c r="F71">
        <f t="shared" ref="F71:F134" si="1">D71+E71</f>
        <v>0.45</v>
      </c>
      <c r="I71">
        <v>20250101</v>
      </c>
      <c r="J71" t="s">
        <v>243</v>
      </c>
      <c r="K71" t="s">
        <v>15193</v>
      </c>
    </row>
    <row r="72" spans="1:14" x14ac:dyDescent="0.3">
      <c r="A72" s="160">
        <v>1301</v>
      </c>
      <c r="B72" t="s">
        <v>15252</v>
      </c>
      <c r="C72" t="s">
        <v>190</v>
      </c>
      <c r="D72">
        <v>1.1000000000000001</v>
      </c>
      <c r="E72">
        <v>0</v>
      </c>
      <c r="F72">
        <f t="shared" si="1"/>
        <v>1.1000000000000001</v>
      </c>
      <c r="I72">
        <v>20240101</v>
      </c>
      <c r="J72" t="s">
        <v>222</v>
      </c>
      <c r="K72" t="s">
        <v>238</v>
      </c>
    </row>
    <row r="73" spans="1:14" x14ac:dyDescent="0.3">
      <c r="A73" s="160">
        <v>1309</v>
      </c>
      <c r="B73" t="s">
        <v>15253</v>
      </c>
      <c r="C73" t="s">
        <v>190</v>
      </c>
      <c r="D73">
        <v>1.1000000000000001</v>
      </c>
      <c r="E73">
        <v>0</v>
      </c>
      <c r="F73">
        <f t="shared" si="1"/>
        <v>1.1000000000000001</v>
      </c>
      <c r="I73">
        <v>20240101</v>
      </c>
      <c r="J73" t="s">
        <v>224</v>
      </c>
    </row>
    <row r="74" spans="1:14" x14ac:dyDescent="0.3">
      <c r="A74" s="160">
        <v>1317</v>
      </c>
      <c r="B74" t="s">
        <v>15254</v>
      </c>
      <c r="C74" t="s">
        <v>190</v>
      </c>
      <c r="D74">
        <v>1.1000000000000001</v>
      </c>
      <c r="E74">
        <v>0</v>
      </c>
      <c r="F74">
        <f t="shared" si="1"/>
        <v>1.1000000000000001</v>
      </c>
      <c r="I74">
        <v>20240101</v>
      </c>
      <c r="J74" t="s">
        <v>224</v>
      </c>
    </row>
    <row r="75" spans="1:14" x14ac:dyDescent="0.3">
      <c r="A75" s="160">
        <v>1318</v>
      </c>
      <c r="B75" t="s">
        <v>15255</v>
      </c>
      <c r="C75" t="s">
        <v>187</v>
      </c>
      <c r="D75">
        <v>0.6</v>
      </c>
      <c r="E75">
        <v>0</v>
      </c>
      <c r="F75">
        <f t="shared" si="1"/>
        <v>0.6</v>
      </c>
      <c r="I75">
        <v>20160701</v>
      </c>
      <c r="J75" t="s">
        <v>225</v>
      </c>
    </row>
    <row r="76" spans="1:14" x14ac:dyDescent="0.3">
      <c r="A76" s="160">
        <v>1321</v>
      </c>
      <c r="B76" t="s">
        <v>15256</v>
      </c>
      <c r="C76" t="s">
        <v>190</v>
      </c>
      <c r="D76">
        <v>1.1000000000000001</v>
      </c>
      <c r="E76">
        <v>0</v>
      </c>
      <c r="F76">
        <f t="shared" si="1"/>
        <v>1.1000000000000001</v>
      </c>
      <c r="I76">
        <v>20240101</v>
      </c>
      <c r="J76" t="s">
        <v>204</v>
      </c>
      <c r="K76" t="s">
        <v>224</v>
      </c>
    </row>
    <row r="77" spans="1:14" x14ac:dyDescent="0.3">
      <c r="A77" s="160">
        <v>1322</v>
      </c>
      <c r="B77" t="s">
        <v>15257</v>
      </c>
      <c r="C77" t="s">
        <v>187</v>
      </c>
      <c r="D77">
        <v>0.6</v>
      </c>
      <c r="E77">
        <v>0</v>
      </c>
      <c r="F77">
        <f t="shared" si="1"/>
        <v>0.6</v>
      </c>
      <c r="I77">
        <v>20160701</v>
      </c>
      <c r="J77" t="s">
        <v>229</v>
      </c>
      <c r="K77" t="s">
        <v>233</v>
      </c>
      <c r="L77" t="s">
        <v>239</v>
      </c>
      <c r="M77" t="s">
        <v>236</v>
      </c>
      <c r="N77" t="s">
        <v>240</v>
      </c>
    </row>
    <row r="78" spans="1:14" x14ac:dyDescent="0.3">
      <c r="A78" s="160">
        <v>1336</v>
      </c>
      <c r="B78" t="s">
        <v>15258</v>
      </c>
      <c r="C78" t="s">
        <v>190</v>
      </c>
      <c r="D78">
        <v>1.1000000000000001</v>
      </c>
      <c r="E78">
        <v>0</v>
      </c>
      <c r="F78">
        <f t="shared" si="1"/>
        <v>1.1000000000000001</v>
      </c>
      <c r="I78">
        <v>20240101</v>
      </c>
      <c r="J78" t="s">
        <v>201</v>
      </c>
      <c r="K78" t="s">
        <v>203</v>
      </c>
      <c r="L78" t="s">
        <v>237</v>
      </c>
    </row>
    <row r="79" spans="1:14" x14ac:dyDescent="0.3">
      <c r="A79" s="160">
        <v>1339</v>
      </c>
      <c r="B79" t="s">
        <v>15259</v>
      </c>
      <c r="C79" t="s">
        <v>187</v>
      </c>
      <c r="D79">
        <v>0.6</v>
      </c>
      <c r="E79">
        <v>0</v>
      </c>
      <c r="F79">
        <f t="shared" si="1"/>
        <v>0.6</v>
      </c>
      <c r="I79">
        <v>20160701</v>
      </c>
      <c r="J79" t="s">
        <v>229</v>
      </c>
    </row>
    <row r="80" spans="1:14" x14ac:dyDescent="0.3">
      <c r="A80" s="160">
        <v>1342</v>
      </c>
      <c r="B80" t="s">
        <v>15260</v>
      </c>
      <c r="C80" t="s">
        <v>15180</v>
      </c>
      <c r="D80">
        <v>0.45</v>
      </c>
      <c r="E80">
        <v>0</v>
      </c>
      <c r="F80">
        <f t="shared" si="1"/>
        <v>0.45</v>
      </c>
      <c r="I80">
        <v>20250101</v>
      </c>
      <c r="J80" t="s">
        <v>243</v>
      </c>
    </row>
    <row r="81" spans="1:14" x14ac:dyDescent="0.3">
      <c r="A81" s="160">
        <v>1344</v>
      </c>
      <c r="B81" t="s">
        <v>15261</v>
      </c>
      <c r="C81" t="s">
        <v>190</v>
      </c>
      <c r="D81">
        <v>1.1000000000000001</v>
      </c>
      <c r="E81">
        <v>0</v>
      </c>
      <c r="F81">
        <f t="shared" si="1"/>
        <v>1.1000000000000001</v>
      </c>
      <c r="I81">
        <v>20240101</v>
      </c>
      <c r="J81" t="s">
        <v>200</v>
      </c>
      <c r="K81" t="s">
        <v>201</v>
      </c>
      <c r="L81" t="s">
        <v>202</v>
      </c>
      <c r="M81" t="s">
        <v>203</v>
      </c>
      <c r="N81" t="s">
        <v>205</v>
      </c>
    </row>
    <row r="82" spans="1:14" x14ac:dyDescent="0.3">
      <c r="A82" s="160">
        <v>1346</v>
      </c>
      <c r="B82" t="s">
        <v>15262</v>
      </c>
      <c r="C82" t="s">
        <v>190</v>
      </c>
      <c r="D82">
        <v>1.1000000000000001</v>
      </c>
      <c r="E82">
        <v>0</v>
      </c>
      <c r="F82">
        <f t="shared" si="1"/>
        <v>1.1000000000000001</v>
      </c>
      <c r="I82">
        <v>20240101</v>
      </c>
      <c r="J82" t="s">
        <v>191</v>
      </c>
    </row>
    <row r="83" spans="1:14" x14ac:dyDescent="0.3">
      <c r="A83" s="160">
        <v>1347</v>
      </c>
      <c r="B83" t="s">
        <v>15263</v>
      </c>
      <c r="C83" t="s">
        <v>187</v>
      </c>
      <c r="D83">
        <v>0.6</v>
      </c>
      <c r="E83">
        <v>0</v>
      </c>
      <c r="F83">
        <f t="shared" si="1"/>
        <v>0.6</v>
      </c>
      <c r="I83">
        <v>20160701</v>
      </c>
      <c r="J83" t="s">
        <v>229</v>
      </c>
    </row>
    <row r="84" spans="1:14" x14ac:dyDescent="0.3">
      <c r="A84" s="160">
        <v>1350</v>
      </c>
      <c r="B84" t="s">
        <v>15264</v>
      </c>
      <c r="C84" t="s">
        <v>190</v>
      </c>
      <c r="D84">
        <v>1.1000000000000001</v>
      </c>
      <c r="E84">
        <v>0</v>
      </c>
      <c r="F84">
        <f t="shared" si="1"/>
        <v>1.1000000000000001</v>
      </c>
      <c r="I84">
        <v>20240101</v>
      </c>
      <c r="J84" t="s">
        <v>193</v>
      </c>
    </row>
    <row r="85" spans="1:14" x14ac:dyDescent="0.3">
      <c r="A85" s="160">
        <v>1353</v>
      </c>
      <c r="B85" t="s">
        <v>15265</v>
      </c>
      <c r="C85" t="s">
        <v>187</v>
      </c>
      <c r="D85">
        <v>0.6</v>
      </c>
      <c r="E85">
        <v>0</v>
      </c>
      <c r="F85">
        <f t="shared" si="1"/>
        <v>0.6</v>
      </c>
      <c r="I85">
        <v>20160701</v>
      </c>
      <c r="J85" t="s">
        <v>229</v>
      </c>
    </row>
    <row r="86" spans="1:14" x14ac:dyDescent="0.3">
      <c r="A86" s="160">
        <v>1362</v>
      </c>
      <c r="B86" t="s">
        <v>15266</v>
      </c>
      <c r="C86" t="s">
        <v>187</v>
      </c>
      <c r="D86">
        <v>0.6</v>
      </c>
      <c r="E86">
        <v>0</v>
      </c>
      <c r="F86">
        <f t="shared" si="1"/>
        <v>0.6</v>
      </c>
      <c r="I86">
        <v>20160701</v>
      </c>
      <c r="J86" t="s">
        <v>225</v>
      </c>
    </row>
    <row r="87" spans="1:14" x14ac:dyDescent="0.3">
      <c r="A87" s="160">
        <v>1364</v>
      </c>
      <c r="B87" t="s">
        <v>15267</v>
      </c>
      <c r="C87" t="s">
        <v>190</v>
      </c>
      <c r="D87">
        <v>1.1000000000000001</v>
      </c>
      <c r="E87">
        <v>0</v>
      </c>
      <c r="F87">
        <f t="shared" si="1"/>
        <v>1.1000000000000001</v>
      </c>
      <c r="I87">
        <v>20240101</v>
      </c>
      <c r="J87" t="s">
        <v>226</v>
      </c>
    </row>
    <row r="88" spans="1:14" x14ac:dyDescent="0.3">
      <c r="A88" s="160">
        <v>1367</v>
      </c>
      <c r="B88" t="s">
        <v>15268</v>
      </c>
      <c r="C88" t="s">
        <v>190</v>
      </c>
      <c r="D88">
        <v>1.1000000000000001</v>
      </c>
      <c r="E88">
        <v>0</v>
      </c>
      <c r="F88">
        <f t="shared" si="1"/>
        <v>1.1000000000000001</v>
      </c>
      <c r="I88">
        <v>20240101</v>
      </c>
      <c r="J88" t="s">
        <v>226</v>
      </c>
    </row>
    <row r="89" spans="1:14" x14ac:dyDescent="0.3">
      <c r="A89" s="160">
        <v>1369</v>
      </c>
      <c r="B89" t="s">
        <v>15269</v>
      </c>
      <c r="C89" t="s">
        <v>190</v>
      </c>
      <c r="D89">
        <v>1.1000000000000001</v>
      </c>
      <c r="E89">
        <v>0</v>
      </c>
      <c r="F89">
        <f t="shared" si="1"/>
        <v>1.1000000000000001</v>
      </c>
      <c r="I89">
        <v>20240101</v>
      </c>
      <c r="J89" t="s">
        <v>201</v>
      </c>
      <c r="K89" t="s">
        <v>224</v>
      </c>
    </row>
    <row r="90" spans="1:14" x14ac:dyDescent="0.3">
      <c r="A90" s="160">
        <v>1370</v>
      </c>
      <c r="B90" t="s">
        <v>15270</v>
      </c>
      <c r="C90" t="s">
        <v>241</v>
      </c>
      <c r="D90">
        <v>0.8</v>
      </c>
      <c r="E90">
        <v>0</v>
      </c>
      <c r="F90">
        <f t="shared" si="1"/>
        <v>0.8</v>
      </c>
      <c r="I90">
        <v>20140701</v>
      </c>
      <c r="J90" t="s">
        <v>242</v>
      </c>
    </row>
    <row r="91" spans="1:14" x14ac:dyDescent="0.3">
      <c r="A91" s="160">
        <v>1374</v>
      </c>
      <c r="B91" t="s">
        <v>15271</v>
      </c>
      <c r="C91" t="s">
        <v>190</v>
      </c>
      <c r="D91">
        <v>1.1000000000000001</v>
      </c>
      <c r="E91">
        <v>0</v>
      </c>
      <c r="F91">
        <f t="shared" si="1"/>
        <v>1.1000000000000001</v>
      </c>
      <c r="I91">
        <v>20240101</v>
      </c>
      <c r="J91" t="s">
        <v>227</v>
      </c>
    </row>
    <row r="92" spans="1:14" x14ac:dyDescent="0.3">
      <c r="A92" s="160">
        <v>1375</v>
      </c>
      <c r="B92" t="s">
        <v>15272</v>
      </c>
      <c r="C92" t="s">
        <v>190</v>
      </c>
      <c r="D92">
        <v>1.1000000000000001</v>
      </c>
      <c r="E92">
        <v>0</v>
      </c>
      <c r="F92">
        <f t="shared" si="1"/>
        <v>1.1000000000000001</v>
      </c>
      <c r="I92">
        <v>20240101</v>
      </c>
      <c r="J92" t="s">
        <v>222</v>
      </c>
    </row>
    <row r="93" spans="1:14" x14ac:dyDescent="0.3">
      <c r="A93" s="160">
        <v>1376</v>
      </c>
      <c r="B93" t="s">
        <v>15273</v>
      </c>
      <c r="C93" t="s">
        <v>194</v>
      </c>
      <c r="D93">
        <v>0.5</v>
      </c>
      <c r="E93">
        <v>0</v>
      </c>
      <c r="F93">
        <f t="shared" si="1"/>
        <v>0.5</v>
      </c>
      <c r="I93">
        <v>20210101</v>
      </c>
      <c r="J93" t="s">
        <v>195</v>
      </c>
      <c r="K93" t="s">
        <v>196</v>
      </c>
      <c r="L93" t="s">
        <v>197</v>
      </c>
      <c r="M93" t="s">
        <v>231</v>
      </c>
      <c r="N93" t="s">
        <v>199</v>
      </c>
    </row>
    <row r="94" spans="1:14" x14ac:dyDescent="0.3">
      <c r="A94" s="160">
        <v>1380</v>
      </c>
      <c r="B94" t="s">
        <v>15274</v>
      </c>
      <c r="C94" t="s">
        <v>190</v>
      </c>
      <c r="D94">
        <v>1.1000000000000001</v>
      </c>
      <c r="E94">
        <v>0</v>
      </c>
      <c r="F94">
        <f t="shared" si="1"/>
        <v>1.1000000000000001</v>
      </c>
      <c r="I94">
        <v>20240101</v>
      </c>
      <c r="J94" t="s">
        <v>226</v>
      </c>
    </row>
    <row r="95" spans="1:14" x14ac:dyDescent="0.3">
      <c r="A95" s="160">
        <v>1385</v>
      </c>
      <c r="B95" t="s">
        <v>15275</v>
      </c>
      <c r="C95" t="s">
        <v>190</v>
      </c>
      <c r="D95">
        <v>1.1000000000000001</v>
      </c>
      <c r="E95">
        <v>0</v>
      </c>
      <c r="F95">
        <f t="shared" si="1"/>
        <v>1.1000000000000001</v>
      </c>
      <c r="I95">
        <v>20240101</v>
      </c>
      <c r="J95" t="s">
        <v>222</v>
      </c>
      <c r="K95" t="s">
        <v>234</v>
      </c>
    </row>
    <row r="96" spans="1:14" x14ac:dyDescent="0.3">
      <c r="A96" s="160">
        <v>1387</v>
      </c>
      <c r="B96" t="s">
        <v>15276</v>
      </c>
      <c r="C96" t="s">
        <v>190</v>
      </c>
      <c r="D96">
        <v>1.1000000000000001</v>
      </c>
      <c r="E96">
        <v>0</v>
      </c>
      <c r="F96">
        <f t="shared" si="1"/>
        <v>1.1000000000000001</v>
      </c>
      <c r="I96">
        <v>20240101</v>
      </c>
      <c r="J96" t="s">
        <v>191</v>
      </c>
    </row>
    <row r="97" spans="1:15" x14ac:dyDescent="0.3">
      <c r="A97" s="160">
        <v>1388</v>
      </c>
      <c r="B97" t="s">
        <v>15277</v>
      </c>
      <c r="C97" t="s">
        <v>190</v>
      </c>
      <c r="D97">
        <v>1.1000000000000001</v>
      </c>
      <c r="E97">
        <v>0</v>
      </c>
      <c r="F97">
        <f t="shared" si="1"/>
        <v>1.1000000000000001</v>
      </c>
      <c r="I97">
        <v>20240101</v>
      </c>
      <c r="J97" t="s">
        <v>226</v>
      </c>
    </row>
    <row r="98" spans="1:15" x14ac:dyDescent="0.3">
      <c r="A98" s="160">
        <v>1391</v>
      </c>
      <c r="B98" t="s">
        <v>15278</v>
      </c>
      <c r="C98" t="s">
        <v>190</v>
      </c>
      <c r="D98">
        <v>1.1000000000000001</v>
      </c>
      <c r="E98">
        <v>0</v>
      </c>
      <c r="F98">
        <f t="shared" si="1"/>
        <v>1.1000000000000001</v>
      </c>
      <c r="I98">
        <v>20240101</v>
      </c>
      <c r="J98" t="s">
        <v>192</v>
      </c>
    </row>
    <row r="99" spans="1:15" x14ac:dyDescent="0.3">
      <c r="A99" s="160">
        <v>1398</v>
      </c>
      <c r="B99" t="s">
        <v>15279</v>
      </c>
      <c r="C99" t="s">
        <v>187</v>
      </c>
      <c r="D99">
        <v>0.6</v>
      </c>
      <c r="E99">
        <v>0</v>
      </c>
      <c r="F99">
        <f t="shared" si="1"/>
        <v>0.6</v>
      </c>
      <c r="I99">
        <v>20160701</v>
      </c>
      <c r="J99" t="s">
        <v>189</v>
      </c>
    </row>
    <row r="100" spans="1:15" x14ac:dyDescent="0.3">
      <c r="A100" s="160">
        <v>1405</v>
      </c>
      <c r="B100" t="s">
        <v>15280</v>
      </c>
      <c r="C100" t="s">
        <v>190</v>
      </c>
      <c r="D100">
        <v>1.1000000000000001</v>
      </c>
      <c r="E100">
        <v>0</v>
      </c>
      <c r="F100">
        <f t="shared" si="1"/>
        <v>1.1000000000000001</v>
      </c>
      <c r="I100">
        <v>20240101</v>
      </c>
      <c r="J100" t="s">
        <v>204</v>
      </c>
      <c r="K100" t="s">
        <v>237</v>
      </c>
    </row>
    <row r="101" spans="1:15" x14ac:dyDescent="0.3">
      <c r="A101" s="160">
        <v>1406</v>
      </c>
      <c r="B101" t="s">
        <v>15281</v>
      </c>
      <c r="C101" t="s">
        <v>190</v>
      </c>
      <c r="D101">
        <v>1.1000000000000001</v>
      </c>
      <c r="E101">
        <v>0</v>
      </c>
      <c r="F101">
        <f t="shared" si="1"/>
        <v>1.1000000000000001</v>
      </c>
      <c r="I101">
        <v>20240101</v>
      </c>
      <c r="J101" t="s">
        <v>226</v>
      </c>
    </row>
    <row r="102" spans="1:15" x14ac:dyDescent="0.3">
      <c r="A102" s="160">
        <v>1408</v>
      </c>
      <c r="B102" t="s">
        <v>15282</v>
      </c>
      <c r="C102" t="s">
        <v>190</v>
      </c>
      <c r="D102">
        <v>1.1000000000000001</v>
      </c>
      <c r="E102">
        <v>0</v>
      </c>
      <c r="F102">
        <f t="shared" si="1"/>
        <v>1.1000000000000001</v>
      </c>
      <c r="I102">
        <v>20240101</v>
      </c>
      <c r="J102" t="s">
        <v>224</v>
      </c>
    </row>
    <row r="103" spans="1:15" x14ac:dyDescent="0.3">
      <c r="A103" s="160">
        <v>1418</v>
      </c>
      <c r="B103" t="s">
        <v>15283</v>
      </c>
      <c r="C103" t="s">
        <v>194</v>
      </c>
      <c r="D103">
        <v>0.5</v>
      </c>
      <c r="E103">
        <v>0</v>
      </c>
      <c r="F103">
        <f t="shared" si="1"/>
        <v>0.5</v>
      </c>
      <c r="I103">
        <v>20210101</v>
      </c>
      <c r="J103" t="s">
        <v>243</v>
      </c>
      <c r="K103" t="s">
        <v>244</v>
      </c>
    </row>
    <row r="104" spans="1:15" x14ac:dyDescent="0.3">
      <c r="A104" s="160">
        <v>1422</v>
      </c>
      <c r="B104" t="s">
        <v>15284</v>
      </c>
      <c r="C104" t="s">
        <v>190</v>
      </c>
      <c r="D104">
        <v>1.1000000000000001</v>
      </c>
      <c r="E104">
        <v>0</v>
      </c>
      <c r="F104">
        <f t="shared" si="1"/>
        <v>1.1000000000000001</v>
      </c>
      <c r="I104">
        <v>20240101</v>
      </c>
      <c r="J104" t="s">
        <v>206</v>
      </c>
      <c r="K104" t="s">
        <v>224</v>
      </c>
    </row>
    <row r="105" spans="1:15" x14ac:dyDescent="0.3">
      <c r="A105" s="160">
        <v>1423</v>
      </c>
      <c r="B105" t="s">
        <v>15285</v>
      </c>
      <c r="C105" t="s">
        <v>187</v>
      </c>
      <c r="D105">
        <v>0.6</v>
      </c>
      <c r="E105">
        <v>0</v>
      </c>
      <c r="F105">
        <f t="shared" si="1"/>
        <v>0.6</v>
      </c>
      <c r="I105">
        <v>20160701</v>
      </c>
      <c r="J105" t="s">
        <v>229</v>
      </c>
    </row>
    <row r="106" spans="1:15" x14ac:dyDescent="0.3">
      <c r="A106" s="160">
        <v>1424</v>
      </c>
      <c r="B106" t="s">
        <v>15286</v>
      </c>
      <c r="C106" t="s">
        <v>194</v>
      </c>
      <c r="D106">
        <v>0.5</v>
      </c>
      <c r="E106">
        <v>0</v>
      </c>
      <c r="F106">
        <f t="shared" si="1"/>
        <v>0.5</v>
      </c>
      <c r="I106">
        <v>20210101</v>
      </c>
      <c r="J106" t="s">
        <v>225</v>
      </c>
    </row>
    <row r="107" spans="1:15" x14ac:dyDescent="0.3">
      <c r="A107" s="160">
        <v>1425</v>
      </c>
      <c r="B107" t="s">
        <v>15287</v>
      </c>
      <c r="C107" t="s">
        <v>190</v>
      </c>
      <c r="D107">
        <v>1.1000000000000001</v>
      </c>
      <c r="E107">
        <v>0</v>
      </c>
      <c r="F107">
        <f t="shared" si="1"/>
        <v>1.1000000000000001</v>
      </c>
      <c r="I107">
        <v>20240101</v>
      </c>
      <c r="J107" t="s">
        <v>227</v>
      </c>
    </row>
    <row r="108" spans="1:15" x14ac:dyDescent="0.3">
      <c r="A108" s="160">
        <v>1426</v>
      </c>
      <c r="B108" t="s">
        <v>15288</v>
      </c>
      <c r="C108" t="s">
        <v>190</v>
      </c>
      <c r="D108">
        <v>1.1000000000000001</v>
      </c>
      <c r="E108">
        <v>0</v>
      </c>
      <c r="F108">
        <f t="shared" si="1"/>
        <v>1.1000000000000001</v>
      </c>
      <c r="I108">
        <v>20240101</v>
      </c>
      <c r="J108" t="s">
        <v>193</v>
      </c>
    </row>
    <row r="109" spans="1:15" x14ac:dyDescent="0.3">
      <c r="A109" s="160">
        <v>1427</v>
      </c>
      <c r="B109" t="s">
        <v>15289</v>
      </c>
      <c r="C109" t="s">
        <v>187</v>
      </c>
      <c r="D109">
        <v>0.6</v>
      </c>
      <c r="E109">
        <v>0</v>
      </c>
      <c r="F109">
        <f t="shared" si="1"/>
        <v>0.6</v>
      </c>
      <c r="I109">
        <v>20160701</v>
      </c>
      <c r="J109" t="s">
        <v>229</v>
      </c>
      <c r="K109" t="s">
        <v>233</v>
      </c>
      <c r="L109" t="s">
        <v>239</v>
      </c>
      <c r="M109" t="s">
        <v>236</v>
      </c>
      <c r="N109" t="s">
        <v>240</v>
      </c>
      <c r="O109" t="s">
        <v>245</v>
      </c>
    </row>
    <row r="110" spans="1:15" x14ac:dyDescent="0.3">
      <c r="A110" s="160">
        <v>1429</v>
      </c>
      <c r="B110" t="s">
        <v>15290</v>
      </c>
      <c r="C110" t="s">
        <v>190</v>
      </c>
      <c r="D110">
        <v>1.1000000000000001</v>
      </c>
      <c r="E110">
        <v>0</v>
      </c>
      <c r="F110">
        <f t="shared" si="1"/>
        <v>1.1000000000000001</v>
      </c>
      <c r="I110">
        <v>20240101</v>
      </c>
      <c r="J110" t="s">
        <v>246</v>
      </c>
    </row>
    <row r="111" spans="1:15" x14ac:dyDescent="0.3">
      <c r="A111" s="160">
        <v>1432</v>
      </c>
      <c r="B111" t="s">
        <v>15291</v>
      </c>
      <c r="C111" t="s">
        <v>190</v>
      </c>
      <c r="D111">
        <v>1.1000000000000001</v>
      </c>
      <c r="E111">
        <v>0</v>
      </c>
      <c r="F111">
        <f t="shared" si="1"/>
        <v>1.1000000000000001</v>
      </c>
      <c r="I111">
        <v>20240101</v>
      </c>
      <c r="J111" t="s">
        <v>192</v>
      </c>
    </row>
    <row r="112" spans="1:15" x14ac:dyDescent="0.3">
      <c r="A112" s="160">
        <v>1433</v>
      </c>
      <c r="B112" t="s">
        <v>15292</v>
      </c>
      <c r="C112" t="s">
        <v>190</v>
      </c>
      <c r="D112">
        <v>1.1000000000000001</v>
      </c>
      <c r="E112">
        <v>0</v>
      </c>
      <c r="F112">
        <f t="shared" si="1"/>
        <v>1.1000000000000001</v>
      </c>
      <c r="I112">
        <v>20240101</v>
      </c>
      <c r="J112" t="s">
        <v>226</v>
      </c>
    </row>
    <row r="113" spans="1:19" x14ac:dyDescent="0.3">
      <c r="A113" s="160">
        <v>1437</v>
      </c>
      <c r="B113" t="s">
        <v>15293</v>
      </c>
      <c r="C113" t="s">
        <v>190</v>
      </c>
      <c r="D113">
        <v>1.1000000000000001</v>
      </c>
      <c r="E113">
        <v>0</v>
      </c>
      <c r="F113">
        <f t="shared" si="1"/>
        <v>1.1000000000000001</v>
      </c>
      <c r="I113">
        <v>20240101</v>
      </c>
      <c r="J113" t="s">
        <v>226</v>
      </c>
    </row>
    <row r="114" spans="1:19" x14ac:dyDescent="0.3">
      <c r="A114" s="160">
        <v>1445</v>
      </c>
      <c r="B114" t="s">
        <v>15294</v>
      </c>
      <c r="C114" t="s">
        <v>190</v>
      </c>
      <c r="D114">
        <v>1.1000000000000001</v>
      </c>
      <c r="E114">
        <v>0</v>
      </c>
      <c r="F114">
        <f t="shared" si="1"/>
        <v>1.1000000000000001</v>
      </c>
      <c r="I114">
        <v>20240101</v>
      </c>
      <c r="J114" t="s">
        <v>192</v>
      </c>
    </row>
    <row r="115" spans="1:19" x14ac:dyDescent="0.3">
      <c r="A115" s="160">
        <v>1446</v>
      </c>
      <c r="B115" t="s">
        <v>15295</v>
      </c>
      <c r="C115" t="s">
        <v>187</v>
      </c>
      <c r="D115">
        <v>0.6</v>
      </c>
      <c r="E115">
        <v>0</v>
      </c>
      <c r="F115">
        <f t="shared" si="1"/>
        <v>0.6</v>
      </c>
      <c r="I115">
        <v>20160701</v>
      </c>
      <c r="J115" t="s">
        <v>189</v>
      </c>
    </row>
    <row r="116" spans="1:19" x14ac:dyDescent="0.3">
      <c r="A116" s="160">
        <v>1447</v>
      </c>
      <c r="B116" t="s">
        <v>15296</v>
      </c>
      <c r="C116" t="s">
        <v>190</v>
      </c>
      <c r="D116">
        <v>1.1000000000000001</v>
      </c>
      <c r="E116">
        <v>0</v>
      </c>
      <c r="F116">
        <f t="shared" si="1"/>
        <v>1.1000000000000001</v>
      </c>
      <c r="I116">
        <v>20240101</v>
      </c>
      <c r="J116" t="s">
        <v>224</v>
      </c>
    </row>
    <row r="117" spans="1:19" x14ac:dyDescent="0.3">
      <c r="A117" s="160">
        <v>1451</v>
      </c>
      <c r="B117" t="s">
        <v>15297</v>
      </c>
      <c r="C117" t="s">
        <v>190</v>
      </c>
      <c r="D117">
        <v>1.1000000000000001</v>
      </c>
      <c r="E117">
        <v>0</v>
      </c>
      <c r="F117">
        <f t="shared" si="1"/>
        <v>1.1000000000000001</v>
      </c>
      <c r="I117">
        <v>20240101</v>
      </c>
      <c r="J117" t="s">
        <v>202</v>
      </c>
      <c r="K117" t="s">
        <v>204</v>
      </c>
      <c r="L117" t="s">
        <v>205</v>
      </c>
      <c r="M117" t="s">
        <v>206</v>
      </c>
      <c r="N117" t="s">
        <v>207</v>
      </c>
      <c r="O117" t="s">
        <v>208</v>
      </c>
      <c r="P117" t="s">
        <v>212</v>
      </c>
      <c r="Q117" t="s">
        <v>247</v>
      </c>
      <c r="R117" t="s">
        <v>234</v>
      </c>
      <c r="S117" t="s">
        <v>248</v>
      </c>
    </row>
    <row r="118" spans="1:19" x14ac:dyDescent="0.3">
      <c r="A118" s="160">
        <v>2001</v>
      </c>
      <c r="B118" t="s">
        <v>15298</v>
      </c>
      <c r="C118" t="s">
        <v>249</v>
      </c>
      <c r="D118">
        <v>0.6</v>
      </c>
      <c r="E118">
        <v>0</v>
      </c>
      <c r="F118">
        <f t="shared" si="1"/>
        <v>0.6</v>
      </c>
      <c r="I118">
        <v>20230701</v>
      </c>
      <c r="J118" t="s">
        <v>250</v>
      </c>
      <c r="K118" t="s">
        <v>251</v>
      </c>
    </row>
    <row r="119" spans="1:19" x14ac:dyDescent="0.3">
      <c r="A119" s="160">
        <v>2002</v>
      </c>
      <c r="B119" t="s">
        <v>15299</v>
      </c>
      <c r="C119" t="s">
        <v>249</v>
      </c>
      <c r="D119">
        <v>0.6</v>
      </c>
      <c r="E119">
        <v>0</v>
      </c>
      <c r="F119">
        <f t="shared" si="1"/>
        <v>0.6</v>
      </c>
      <c r="I119">
        <v>20230701</v>
      </c>
      <c r="J119" t="s">
        <v>252</v>
      </c>
    </row>
    <row r="120" spans="1:19" x14ac:dyDescent="0.3">
      <c r="A120" s="160">
        <v>2003</v>
      </c>
      <c r="B120" t="s">
        <v>15300</v>
      </c>
      <c r="C120" t="s">
        <v>253</v>
      </c>
      <c r="D120">
        <v>0</v>
      </c>
      <c r="E120">
        <v>0.1</v>
      </c>
      <c r="F120">
        <f t="shared" si="1"/>
        <v>0.1</v>
      </c>
      <c r="I120">
        <v>20230701</v>
      </c>
      <c r="J120" t="s">
        <v>254</v>
      </c>
      <c r="K120" t="s">
        <v>255</v>
      </c>
    </row>
    <row r="121" spans="1:19" x14ac:dyDescent="0.3">
      <c r="A121" s="160">
        <v>2009</v>
      </c>
      <c r="B121" t="s">
        <v>15301</v>
      </c>
      <c r="C121" t="s">
        <v>256</v>
      </c>
      <c r="D121">
        <v>0</v>
      </c>
      <c r="E121">
        <v>0.1</v>
      </c>
      <c r="F121">
        <f t="shared" si="1"/>
        <v>0.1</v>
      </c>
      <c r="I121">
        <v>20180901</v>
      </c>
      <c r="J121" t="s">
        <v>257</v>
      </c>
    </row>
    <row r="122" spans="1:19" x14ac:dyDescent="0.3">
      <c r="A122" s="160">
        <v>2010</v>
      </c>
      <c r="B122" t="s">
        <v>15302</v>
      </c>
      <c r="C122" t="s">
        <v>256</v>
      </c>
      <c r="D122">
        <v>0</v>
      </c>
      <c r="E122">
        <v>0.1</v>
      </c>
      <c r="F122">
        <f t="shared" si="1"/>
        <v>0.1</v>
      </c>
      <c r="I122">
        <v>20180901</v>
      </c>
      <c r="J122" t="s">
        <v>258</v>
      </c>
    </row>
    <row r="123" spans="1:19" x14ac:dyDescent="0.3">
      <c r="A123" s="160">
        <v>2011</v>
      </c>
      <c r="B123" t="s">
        <v>15303</v>
      </c>
      <c r="C123" t="s">
        <v>259</v>
      </c>
      <c r="D123">
        <v>0</v>
      </c>
      <c r="E123">
        <v>0.1</v>
      </c>
      <c r="F123">
        <f t="shared" si="1"/>
        <v>0.1</v>
      </c>
      <c r="I123">
        <v>20230701</v>
      </c>
      <c r="J123" t="s">
        <v>260</v>
      </c>
    </row>
    <row r="124" spans="1:19" x14ac:dyDescent="0.3">
      <c r="A124" s="160">
        <v>2012</v>
      </c>
      <c r="B124" t="s">
        <v>15304</v>
      </c>
      <c r="C124" t="s">
        <v>256</v>
      </c>
      <c r="D124">
        <v>0</v>
      </c>
      <c r="E124">
        <v>0.1</v>
      </c>
      <c r="F124">
        <f t="shared" si="1"/>
        <v>0.1</v>
      </c>
      <c r="I124">
        <v>20240101</v>
      </c>
      <c r="J124" t="s">
        <v>254</v>
      </c>
    </row>
    <row r="125" spans="1:19" x14ac:dyDescent="0.3">
      <c r="A125" s="160">
        <v>2014</v>
      </c>
      <c r="B125" t="s">
        <v>15305</v>
      </c>
      <c r="C125" t="s">
        <v>249</v>
      </c>
      <c r="D125">
        <v>0.6</v>
      </c>
      <c r="E125">
        <v>0</v>
      </c>
      <c r="F125">
        <f t="shared" si="1"/>
        <v>0.6</v>
      </c>
      <c r="I125">
        <v>20230701</v>
      </c>
      <c r="J125" t="s">
        <v>261</v>
      </c>
    </row>
    <row r="126" spans="1:19" x14ac:dyDescent="0.3">
      <c r="A126" s="160">
        <v>2015</v>
      </c>
      <c r="B126" t="s">
        <v>15306</v>
      </c>
      <c r="C126" t="s">
        <v>259</v>
      </c>
      <c r="D126">
        <v>0.6</v>
      </c>
      <c r="E126">
        <v>0</v>
      </c>
      <c r="F126">
        <f t="shared" si="1"/>
        <v>0.6</v>
      </c>
      <c r="I126">
        <v>20200701</v>
      </c>
      <c r="J126" t="s">
        <v>262</v>
      </c>
    </row>
    <row r="127" spans="1:19" x14ac:dyDescent="0.3">
      <c r="A127" s="160">
        <v>2016</v>
      </c>
      <c r="B127" t="s">
        <v>15307</v>
      </c>
      <c r="C127" t="s">
        <v>249</v>
      </c>
      <c r="D127">
        <v>0.6</v>
      </c>
      <c r="E127">
        <v>0</v>
      </c>
      <c r="F127">
        <f t="shared" si="1"/>
        <v>0.6</v>
      </c>
      <c r="I127">
        <v>20230701</v>
      </c>
      <c r="J127" t="s">
        <v>252</v>
      </c>
    </row>
    <row r="128" spans="1:19" x14ac:dyDescent="0.3">
      <c r="A128" s="160">
        <v>2017</v>
      </c>
      <c r="B128" t="s">
        <v>15308</v>
      </c>
      <c r="C128" t="s">
        <v>249</v>
      </c>
      <c r="D128">
        <v>0.6</v>
      </c>
      <c r="E128">
        <v>0</v>
      </c>
      <c r="F128">
        <f t="shared" si="1"/>
        <v>0.6</v>
      </c>
      <c r="I128">
        <v>20230701</v>
      </c>
      <c r="J128" t="s">
        <v>252</v>
      </c>
    </row>
    <row r="129" spans="1:11" x14ac:dyDescent="0.3">
      <c r="A129" s="160">
        <v>2019</v>
      </c>
      <c r="B129" t="s">
        <v>15309</v>
      </c>
      <c r="C129" t="s">
        <v>263</v>
      </c>
      <c r="D129">
        <v>0</v>
      </c>
      <c r="E129">
        <v>0.1</v>
      </c>
      <c r="F129">
        <f t="shared" si="1"/>
        <v>0.1</v>
      </c>
      <c r="I129">
        <v>20230701</v>
      </c>
      <c r="J129" t="s">
        <v>264</v>
      </c>
    </row>
    <row r="130" spans="1:11" x14ac:dyDescent="0.3">
      <c r="A130" s="160">
        <v>2023</v>
      </c>
      <c r="B130" t="s">
        <v>15310</v>
      </c>
      <c r="C130" t="s">
        <v>265</v>
      </c>
      <c r="D130">
        <v>0.3</v>
      </c>
      <c r="E130">
        <v>0.1</v>
      </c>
      <c r="F130">
        <f t="shared" si="1"/>
        <v>0.4</v>
      </c>
      <c r="I130">
        <v>20230701</v>
      </c>
      <c r="J130" t="s">
        <v>266</v>
      </c>
    </row>
    <row r="131" spans="1:11" x14ac:dyDescent="0.3">
      <c r="A131" s="160">
        <v>2024</v>
      </c>
      <c r="B131" t="s">
        <v>15311</v>
      </c>
      <c r="C131" t="s">
        <v>293</v>
      </c>
      <c r="D131">
        <v>0.6</v>
      </c>
      <c r="E131">
        <v>0</v>
      </c>
      <c r="F131">
        <f t="shared" si="1"/>
        <v>0.6</v>
      </c>
      <c r="I131">
        <v>20190101</v>
      </c>
      <c r="J131" t="s">
        <v>267</v>
      </c>
    </row>
    <row r="132" spans="1:11" x14ac:dyDescent="0.3">
      <c r="A132" s="160">
        <v>2025</v>
      </c>
      <c r="B132" t="s">
        <v>15312</v>
      </c>
      <c r="C132" t="s">
        <v>263</v>
      </c>
      <c r="D132">
        <v>0</v>
      </c>
      <c r="E132">
        <v>0.1</v>
      </c>
      <c r="F132">
        <f t="shared" si="1"/>
        <v>0.1</v>
      </c>
      <c r="I132">
        <v>20230701</v>
      </c>
      <c r="J132" t="s">
        <v>264</v>
      </c>
    </row>
    <row r="133" spans="1:11" x14ac:dyDescent="0.3">
      <c r="A133" s="160">
        <v>2028</v>
      </c>
      <c r="B133" t="s">
        <v>15313</v>
      </c>
      <c r="C133" t="s">
        <v>293</v>
      </c>
      <c r="D133">
        <v>0.6</v>
      </c>
      <c r="E133">
        <v>0</v>
      </c>
      <c r="F133">
        <f t="shared" si="1"/>
        <v>0.6</v>
      </c>
      <c r="I133">
        <v>20190101</v>
      </c>
      <c r="J133" t="s">
        <v>268</v>
      </c>
    </row>
    <row r="134" spans="1:11" x14ac:dyDescent="0.3">
      <c r="A134" s="160">
        <v>2029</v>
      </c>
      <c r="B134" t="s">
        <v>15314</v>
      </c>
      <c r="C134" t="s">
        <v>256</v>
      </c>
      <c r="D134">
        <v>0</v>
      </c>
      <c r="E134">
        <v>0.1</v>
      </c>
      <c r="F134">
        <f t="shared" si="1"/>
        <v>0.1</v>
      </c>
      <c r="I134">
        <v>20180901</v>
      </c>
      <c r="J134" t="s">
        <v>269</v>
      </c>
    </row>
    <row r="135" spans="1:11" x14ac:dyDescent="0.3">
      <c r="A135" s="160">
        <v>2032</v>
      </c>
      <c r="B135" t="s">
        <v>15315</v>
      </c>
      <c r="C135" t="s">
        <v>263</v>
      </c>
      <c r="D135">
        <v>0</v>
      </c>
      <c r="E135">
        <v>0.1</v>
      </c>
      <c r="F135">
        <f t="shared" ref="F135:F198" si="2">D135+E135</f>
        <v>0.1</v>
      </c>
      <c r="I135">
        <v>20230701</v>
      </c>
      <c r="J135" t="s">
        <v>270</v>
      </c>
    </row>
    <row r="136" spans="1:11" x14ac:dyDescent="0.3">
      <c r="A136" s="160">
        <v>2034</v>
      </c>
      <c r="B136" t="s">
        <v>15316</v>
      </c>
      <c r="C136" t="s">
        <v>259</v>
      </c>
      <c r="D136">
        <v>0.6</v>
      </c>
      <c r="E136">
        <v>0</v>
      </c>
      <c r="F136">
        <f t="shared" si="2"/>
        <v>0.6</v>
      </c>
      <c r="I136">
        <v>20200701</v>
      </c>
      <c r="J136" t="s">
        <v>250</v>
      </c>
    </row>
    <row r="137" spans="1:11" x14ac:dyDescent="0.3">
      <c r="A137" s="160">
        <v>2037</v>
      </c>
      <c r="B137" t="s">
        <v>15317</v>
      </c>
      <c r="C137" t="s">
        <v>293</v>
      </c>
      <c r="D137">
        <v>0.6</v>
      </c>
      <c r="E137">
        <v>0</v>
      </c>
      <c r="F137">
        <f t="shared" si="2"/>
        <v>0.6</v>
      </c>
      <c r="I137">
        <v>20190101</v>
      </c>
      <c r="J137" t="s">
        <v>271</v>
      </c>
    </row>
    <row r="138" spans="1:11" x14ac:dyDescent="0.3">
      <c r="A138" s="160">
        <v>2041</v>
      </c>
      <c r="B138" t="s">
        <v>15318</v>
      </c>
      <c r="C138" t="s">
        <v>249</v>
      </c>
      <c r="D138">
        <v>0.6</v>
      </c>
      <c r="E138">
        <v>0</v>
      </c>
      <c r="F138">
        <f t="shared" si="2"/>
        <v>0.6</v>
      </c>
      <c r="I138">
        <v>20230701</v>
      </c>
      <c r="J138" t="s">
        <v>250</v>
      </c>
    </row>
    <row r="139" spans="1:11" x14ac:dyDescent="0.3">
      <c r="A139" s="160">
        <v>2042</v>
      </c>
      <c r="B139" t="s">
        <v>15319</v>
      </c>
      <c r="C139" t="s">
        <v>265</v>
      </c>
      <c r="D139">
        <v>0.6</v>
      </c>
      <c r="E139">
        <v>0.1</v>
      </c>
      <c r="F139">
        <f t="shared" si="2"/>
        <v>0.7</v>
      </c>
      <c r="I139">
        <v>20230701</v>
      </c>
      <c r="J139" t="s">
        <v>272</v>
      </c>
      <c r="K139" t="s">
        <v>273</v>
      </c>
    </row>
    <row r="140" spans="1:11" x14ac:dyDescent="0.3">
      <c r="A140" s="160">
        <v>2043</v>
      </c>
      <c r="B140" t="s">
        <v>15320</v>
      </c>
      <c r="C140" t="s">
        <v>253</v>
      </c>
      <c r="D140">
        <v>0.6</v>
      </c>
      <c r="E140">
        <v>0.1</v>
      </c>
      <c r="F140">
        <f t="shared" si="2"/>
        <v>0.7</v>
      </c>
      <c r="I140">
        <v>20230701</v>
      </c>
      <c r="J140" t="s">
        <v>260</v>
      </c>
    </row>
    <row r="141" spans="1:11" x14ac:dyDescent="0.3">
      <c r="A141" s="160">
        <v>2051</v>
      </c>
      <c r="B141" t="s">
        <v>15321</v>
      </c>
      <c r="C141" t="s">
        <v>265</v>
      </c>
      <c r="D141">
        <v>0.3</v>
      </c>
      <c r="E141">
        <v>0.1</v>
      </c>
      <c r="F141">
        <f t="shared" si="2"/>
        <v>0.4</v>
      </c>
      <c r="I141">
        <v>20230701</v>
      </c>
      <c r="J141" t="s">
        <v>274</v>
      </c>
    </row>
    <row r="142" spans="1:11" x14ac:dyDescent="0.3">
      <c r="A142" s="160">
        <v>2053</v>
      </c>
      <c r="B142" t="s">
        <v>15322</v>
      </c>
      <c r="C142" t="s">
        <v>265</v>
      </c>
      <c r="D142">
        <v>0.3</v>
      </c>
      <c r="E142">
        <v>0.1</v>
      </c>
      <c r="F142">
        <f t="shared" si="2"/>
        <v>0.4</v>
      </c>
      <c r="I142">
        <v>20230701</v>
      </c>
      <c r="J142" t="s">
        <v>275</v>
      </c>
    </row>
    <row r="143" spans="1:11" x14ac:dyDescent="0.3">
      <c r="A143" s="160">
        <v>2056</v>
      </c>
      <c r="B143" t="s">
        <v>15323</v>
      </c>
      <c r="C143" t="s">
        <v>249</v>
      </c>
      <c r="D143">
        <v>0.6</v>
      </c>
      <c r="E143">
        <v>0</v>
      </c>
      <c r="F143">
        <f t="shared" si="2"/>
        <v>0.6</v>
      </c>
      <c r="I143">
        <v>20240701</v>
      </c>
      <c r="J143" t="s">
        <v>250</v>
      </c>
    </row>
    <row r="144" spans="1:11" x14ac:dyDescent="0.3">
      <c r="A144" s="160">
        <v>2059</v>
      </c>
      <c r="B144" t="s">
        <v>15324</v>
      </c>
      <c r="C144" t="s">
        <v>249</v>
      </c>
      <c r="D144">
        <v>0.6</v>
      </c>
      <c r="E144">
        <v>0</v>
      </c>
      <c r="F144">
        <f t="shared" si="2"/>
        <v>0.6</v>
      </c>
      <c r="I144">
        <v>20230701</v>
      </c>
      <c r="J144" t="s">
        <v>252</v>
      </c>
    </row>
    <row r="145" spans="1:15" x14ac:dyDescent="0.3">
      <c r="A145" s="160">
        <v>2060</v>
      </c>
      <c r="B145" t="s">
        <v>15325</v>
      </c>
      <c r="C145" t="s">
        <v>256</v>
      </c>
      <c r="D145">
        <v>0</v>
      </c>
      <c r="E145">
        <v>0.1</v>
      </c>
      <c r="F145">
        <f t="shared" si="2"/>
        <v>0.1</v>
      </c>
      <c r="I145">
        <v>20180901</v>
      </c>
      <c r="J145" t="s">
        <v>270</v>
      </c>
    </row>
    <row r="146" spans="1:15" x14ac:dyDescent="0.3">
      <c r="A146" s="160">
        <v>2062</v>
      </c>
      <c r="B146" t="s">
        <v>15326</v>
      </c>
      <c r="C146" t="s">
        <v>265</v>
      </c>
      <c r="D146">
        <v>0.6</v>
      </c>
      <c r="E146">
        <v>0.1</v>
      </c>
      <c r="F146">
        <f t="shared" si="2"/>
        <v>0.7</v>
      </c>
      <c r="I146">
        <v>20230701</v>
      </c>
      <c r="J146" t="s">
        <v>272</v>
      </c>
    </row>
    <row r="147" spans="1:15" x14ac:dyDescent="0.3">
      <c r="A147" s="160">
        <v>2063</v>
      </c>
      <c r="B147" t="s">
        <v>15327</v>
      </c>
      <c r="C147" t="s">
        <v>256</v>
      </c>
      <c r="D147">
        <v>0</v>
      </c>
      <c r="E147">
        <v>0.1</v>
      </c>
      <c r="F147">
        <f t="shared" si="2"/>
        <v>0.1</v>
      </c>
      <c r="I147">
        <v>20180901</v>
      </c>
      <c r="J147" t="s">
        <v>276</v>
      </c>
    </row>
    <row r="148" spans="1:15" x14ac:dyDescent="0.3">
      <c r="A148" s="160">
        <v>2064</v>
      </c>
      <c r="B148" t="s">
        <v>15328</v>
      </c>
      <c r="C148" t="s">
        <v>253</v>
      </c>
      <c r="D148">
        <v>0.6</v>
      </c>
      <c r="E148">
        <v>0.1</v>
      </c>
      <c r="F148">
        <f t="shared" si="2"/>
        <v>0.7</v>
      </c>
      <c r="I148">
        <v>20230701</v>
      </c>
      <c r="J148" t="s">
        <v>254</v>
      </c>
      <c r="K148" t="s">
        <v>277</v>
      </c>
      <c r="L148" t="s">
        <v>278</v>
      </c>
      <c r="M148" t="s">
        <v>279</v>
      </c>
      <c r="N148" t="s">
        <v>255</v>
      </c>
      <c r="O148" t="s">
        <v>280</v>
      </c>
    </row>
    <row r="149" spans="1:15" x14ac:dyDescent="0.3">
      <c r="A149" s="160">
        <v>2065</v>
      </c>
      <c r="B149" t="s">
        <v>15329</v>
      </c>
      <c r="C149" t="s">
        <v>256</v>
      </c>
      <c r="D149">
        <v>0</v>
      </c>
      <c r="E149">
        <v>0.1</v>
      </c>
      <c r="F149">
        <f t="shared" si="2"/>
        <v>0.1</v>
      </c>
      <c r="I149">
        <v>20180901</v>
      </c>
      <c r="J149" t="s">
        <v>276</v>
      </c>
    </row>
    <row r="150" spans="1:15" x14ac:dyDescent="0.3">
      <c r="A150" s="160">
        <v>2066</v>
      </c>
      <c r="B150" t="s">
        <v>15330</v>
      </c>
      <c r="C150" t="s">
        <v>256</v>
      </c>
      <c r="D150">
        <v>0</v>
      </c>
      <c r="E150">
        <v>0.1</v>
      </c>
      <c r="F150">
        <f t="shared" si="2"/>
        <v>0.1</v>
      </c>
      <c r="I150">
        <v>20180901</v>
      </c>
      <c r="J150" t="s">
        <v>281</v>
      </c>
    </row>
    <row r="151" spans="1:15" x14ac:dyDescent="0.3">
      <c r="A151" s="160">
        <v>2070</v>
      </c>
      <c r="B151" t="s">
        <v>15331</v>
      </c>
      <c r="C151" t="s">
        <v>256</v>
      </c>
      <c r="D151">
        <v>0</v>
      </c>
      <c r="E151">
        <v>0.1</v>
      </c>
      <c r="F151">
        <f t="shared" si="2"/>
        <v>0.1</v>
      </c>
      <c r="I151">
        <v>20180901</v>
      </c>
      <c r="J151" t="s">
        <v>282</v>
      </c>
    </row>
    <row r="152" spans="1:15" x14ac:dyDescent="0.3">
      <c r="A152" s="160">
        <v>2071</v>
      </c>
      <c r="B152" t="s">
        <v>15332</v>
      </c>
      <c r="C152" t="s">
        <v>259</v>
      </c>
      <c r="D152">
        <v>0.6</v>
      </c>
      <c r="E152">
        <v>0</v>
      </c>
      <c r="F152">
        <f t="shared" si="2"/>
        <v>0.6</v>
      </c>
      <c r="I152">
        <v>20200701</v>
      </c>
      <c r="J152" t="s">
        <v>260</v>
      </c>
    </row>
    <row r="153" spans="1:15" x14ac:dyDescent="0.3">
      <c r="A153" s="160">
        <v>2074</v>
      </c>
      <c r="B153" t="s">
        <v>15333</v>
      </c>
      <c r="C153" t="s">
        <v>249</v>
      </c>
      <c r="D153">
        <v>0.6</v>
      </c>
      <c r="E153">
        <v>0</v>
      </c>
      <c r="F153">
        <f t="shared" si="2"/>
        <v>0.6</v>
      </c>
      <c r="I153">
        <v>20230701</v>
      </c>
      <c r="J153" t="s">
        <v>252</v>
      </c>
    </row>
    <row r="154" spans="1:15" x14ac:dyDescent="0.3">
      <c r="A154" s="160">
        <v>2075</v>
      </c>
      <c r="B154" t="s">
        <v>15334</v>
      </c>
      <c r="C154" t="s">
        <v>256</v>
      </c>
      <c r="D154">
        <v>0</v>
      </c>
      <c r="E154">
        <v>0.1</v>
      </c>
      <c r="F154">
        <f t="shared" si="2"/>
        <v>0.1</v>
      </c>
      <c r="I154">
        <v>20180901</v>
      </c>
      <c r="J154" t="s">
        <v>257</v>
      </c>
    </row>
    <row r="155" spans="1:15" x14ac:dyDescent="0.3">
      <c r="A155" s="160">
        <v>2077</v>
      </c>
      <c r="B155" t="s">
        <v>15335</v>
      </c>
      <c r="C155" t="s">
        <v>253</v>
      </c>
      <c r="D155">
        <v>0.6</v>
      </c>
      <c r="E155">
        <v>0.1</v>
      </c>
      <c r="F155">
        <f t="shared" si="2"/>
        <v>0.7</v>
      </c>
      <c r="I155">
        <v>20230701</v>
      </c>
      <c r="J155" t="s">
        <v>254</v>
      </c>
      <c r="K155" t="s">
        <v>283</v>
      </c>
    </row>
    <row r="156" spans="1:15" x14ac:dyDescent="0.3">
      <c r="A156" s="160">
        <v>2080</v>
      </c>
      <c r="B156" t="s">
        <v>15336</v>
      </c>
      <c r="C156" t="s">
        <v>293</v>
      </c>
      <c r="D156">
        <v>0.6</v>
      </c>
      <c r="E156">
        <v>0</v>
      </c>
      <c r="F156">
        <f t="shared" si="2"/>
        <v>0.6</v>
      </c>
      <c r="I156">
        <v>20190101</v>
      </c>
      <c r="J156" t="s">
        <v>284</v>
      </c>
    </row>
    <row r="157" spans="1:15" x14ac:dyDescent="0.3">
      <c r="A157" s="160">
        <v>2081</v>
      </c>
      <c r="B157" t="s">
        <v>15337</v>
      </c>
      <c r="C157" t="s">
        <v>249</v>
      </c>
      <c r="D157">
        <v>0.6</v>
      </c>
      <c r="E157">
        <v>0</v>
      </c>
      <c r="F157">
        <f t="shared" si="2"/>
        <v>0.6</v>
      </c>
      <c r="I157">
        <v>20230701</v>
      </c>
      <c r="J157" t="s">
        <v>250</v>
      </c>
    </row>
    <row r="158" spans="1:15" x14ac:dyDescent="0.3">
      <c r="A158" s="160">
        <v>2083</v>
      </c>
      <c r="B158" t="s">
        <v>15338</v>
      </c>
      <c r="C158" t="s">
        <v>265</v>
      </c>
      <c r="D158">
        <v>0.3</v>
      </c>
      <c r="E158">
        <v>0.1</v>
      </c>
      <c r="F158">
        <f t="shared" si="2"/>
        <v>0.4</v>
      </c>
      <c r="I158">
        <v>20230701</v>
      </c>
      <c r="J158" t="s">
        <v>285</v>
      </c>
    </row>
    <row r="159" spans="1:15" x14ac:dyDescent="0.3">
      <c r="A159" s="160">
        <v>2085</v>
      </c>
      <c r="B159" t="s">
        <v>15339</v>
      </c>
      <c r="C159" t="s">
        <v>265</v>
      </c>
      <c r="D159">
        <v>0.6</v>
      </c>
      <c r="E159">
        <v>0.1</v>
      </c>
      <c r="F159">
        <f t="shared" si="2"/>
        <v>0.7</v>
      </c>
      <c r="I159">
        <v>20230701</v>
      </c>
      <c r="J159" t="s">
        <v>272</v>
      </c>
      <c r="K159" t="s">
        <v>286</v>
      </c>
      <c r="L159" t="s">
        <v>287</v>
      </c>
      <c r="M159" t="s">
        <v>288</v>
      </c>
    </row>
    <row r="160" spans="1:15" x14ac:dyDescent="0.3">
      <c r="A160" s="160">
        <v>2086</v>
      </c>
      <c r="B160" t="s">
        <v>15340</v>
      </c>
      <c r="C160" t="s">
        <v>249</v>
      </c>
      <c r="D160">
        <v>0.6</v>
      </c>
      <c r="E160">
        <v>0</v>
      </c>
      <c r="F160">
        <f t="shared" si="2"/>
        <v>0.6</v>
      </c>
      <c r="I160">
        <v>20230701</v>
      </c>
      <c r="J160" t="s">
        <v>250</v>
      </c>
    </row>
    <row r="161" spans="1:14" x14ac:dyDescent="0.3">
      <c r="A161" s="160">
        <v>2087</v>
      </c>
      <c r="B161" t="s">
        <v>15341</v>
      </c>
      <c r="C161" t="s">
        <v>259</v>
      </c>
      <c r="D161">
        <v>0.6</v>
      </c>
      <c r="E161">
        <v>0.1</v>
      </c>
      <c r="F161">
        <f t="shared" si="2"/>
        <v>0.7</v>
      </c>
      <c r="I161">
        <v>20200701</v>
      </c>
      <c r="J161" t="s">
        <v>260</v>
      </c>
    </row>
    <row r="162" spans="1:14" x14ac:dyDescent="0.3">
      <c r="A162" s="160">
        <v>2088</v>
      </c>
      <c r="B162" t="s">
        <v>15342</v>
      </c>
      <c r="C162" t="s">
        <v>293</v>
      </c>
      <c r="D162">
        <v>0.6</v>
      </c>
      <c r="E162">
        <v>0</v>
      </c>
      <c r="F162">
        <f t="shared" si="2"/>
        <v>0.6</v>
      </c>
      <c r="I162">
        <v>20190101</v>
      </c>
      <c r="J162" t="s">
        <v>267</v>
      </c>
    </row>
    <row r="163" spans="1:14" x14ac:dyDescent="0.3">
      <c r="A163" s="160">
        <v>2089</v>
      </c>
      <c r="B163" t="s">
        <v>15343</v>
      </c>
      <c r="C163" t="s">
        <v>253</v>
      </c>
      <c r="D163">
        <v>0.6</v>
      </c>
      <c r="E163">
        <v>0.1</v>
      </c>
      <c r="F163">
        <f t="shared" si="2"/>
        <v>0.7</v>
      </c>
      <c r="I163">
        <v>20230701</v>
      </c>
      <c r="J163" t="s">
        <v>254</v>
      </c>
      <c r="K163" t="s">
        <v>289</v>
      </c>
      <c r="L163" t="s">
        <v>278</v>
      </c>
      <c r="M163" t="s">
        <v>290</v>
      </c>
      <c r="N163" t="s">
        <v>255</v>
      </c>
    </row>
    <row r="164" spans="1:14" x14ac:dyDescent="0.3">
      <c r="A164" s="160">
        <v>2094</v>
      </c>
      <c r="B164" t="s">
        <v>15344</v>
      </c>
      <c r="C164" t="s">
        <v>265</v>
      </c>
      <c r="D164">
        <v>0.6</v>
      </c>
      <c r="E164">
        <v>0.1</v>
      </c>
      <c r="F164">
        <f t="shared" si="2"/>
        <v>0.7</v>
      </c>
      <c r="I164">
        <v>20230701</v>
      </c>
      <c r="J164" t="s">
        <v>272</v>
      </c>
    </row>
    <row r="165" spans="1:14" x14ac:dyDescent="0.3">
      <c r="A165" s="160">
        <v>2098</v>
      </c>
      <c r="B165" t="s">
        <v>15345</v>
      </c>
      <c r="C165" t="s">
        <v>265</v>
      </c>
      <c r="D165">
        <v>0.6</v>
      </c>
      <c r="E165">
        <v>0.1</v>
      </c>
      <c r="F165">
        <f t="shared" si="2"/>
        <v>0.7</v>
      </c>
      <c r="I165">
        <v>20230701</v>
      </c>
      <c r="J165" t="s">
        <v>272</v>
      </c>
    </row>
    <row r="166" spans="1:14" x14ac:dyDescent="0.3">
      <c r="A166" s="160">
        <v>2099</v>
      </c>
      <c r="B166" t="s">
        <v>15346</v>
      </c>
      <c r="C166" t="s">
        <v>265</v>
      </c>
      <c r="D166">
        <v>0.3</v>
      </c>
      <c r="E166">
        <v>0.1</v>
      </c>
      <c r="F166">
        <f t="shared" si="2"/>
        <v>0.4</v>
      </c>
      <c r="I166">
        <v>20230701</v>
      </c>
      <c r="J166" t="s">
        <v>272</v>
      </c>
    </row>
    <row r="167" spans="1:14" x14ac:dyDescent="0.3">
      <c r="A167" s="160">
        <v>2105</v>
      </c>
      <c r="B167" t="s">
        <v>15347</v>
      </c>
      <c r="C167" t="s">
        <v>265</v>
      </c>
      <c r="D167">
        <v>0.6</v>
      </c>
      <c r="E167">
        <v>0.1</v>
      </c>
      <c r="F167">
        <f t="shared" si="2"/>
        <v>0.7</v>
      </c>
      <c r="I167">
        <v>20230701</v>
      </c>
      <c r="J167" t="s">
        <v>272</v>
      </c>
      <c r="K167" t="s">
        <v>287</v>
      </c>
    </row>
    <row r="168" spans="1:14" x14ac:dyDescent="0.3">
      <c r="A168" s="160">
        <v>2114</v>
      </c>
      <c r="B168" t="s">
        <v>15348</v>
      </c>
      <c r="C168" t="s">
        <v>265</v>
      </c>
      <c r="D168">
        <v>0.6</v>
      </c>
      <c r="E168">
        <v>0.1</v>
      </c>
      <c r="F168">
        <f t="shared" si="2"/>
        <v>0.7</v>
      </c>
      <c r="I168">
        <v>20230701</v>
      </c>
      <c r="J168" t="s">
        <v>272</v>
      </c>
      <c r="K168" t="s">
        <v>286</v>
      </c>
      <c r="L168" t="s">
        <v>288</v>
      </c>
    </row>
    <row r="169" spans="1:14" x14ac:dyDescent="0.3">
      <c r="A169" s="160">
        <v>2117</v>
      </c>
      <c r="B169" t="s">
        <v>15349</v>
      </c>
      <c r="C169" t="s">
        <v>263</v>
      </c>
      <c r="D169">
        <v>0.8</v>
      </c>
      <c r="E169">
        <v>0.1</v>
      </c>
      <c r="F169">
        <f t="shared" si="2"/>
        <v>0.9</v>
      </c>
      <c r="I169">
        <v>20230701</v>
      </c>
      <c r="J169" t="s">
        <v>264</v>
      </c>
    </row>
    <row r="170" spans="1:14" x14ac:dyDescent="0.3">
      <c r="A170" s="160">
        <v>2118</v>
      </c>
      <c r="B170" t="s">
        <v>15350</v>
      </c>
      <c r="C170" t="s">
        <v>253</v>
      </c>
      <c r="D170">
        <v>0.6</v>
      </c>
      <c r="E170">
        <v>0.1</v>
      </c>
      <c r="F170">
        <f t="shared" si="2"/>
        <v>0.7</v>
      </c>
      <c r="I170">
        <v>20230701</v>
      </c>
      <c r="J170" t="s">
        <v>291</v>
      </c>
    </row>
    <row r="171" spans="1:14" x14ac:dyDescent="0.3">
      <c r="A171" s="160">
        <v>2119</v>
      </c>
      <c r="B171" t="s">
        <v>15351</v>
      </c>
      <c r="C171" t="s">
        <v>265</v>
      </c>
      <c r="D171">
        <v>0.6</v>
      </c>
      <c r="E171">
        <v>0.1</v>
      </c>
      <c r="F171">
        <f t="shared" si="2"/>
        <v>0.7</v>
      </c>
      <c r="I171">
        <v>20230701</v>
      </c>
      <c r="J171" t="s">
        <v>266</v>
      </c>
    </row>
    <row r="172" spans="1:14" x14ac:dyDescent="0.3">
      <c r="A172" s="160">
        <v>2122</v>
      </c>
      <c r="B172" t="s">
        <v>15352</v>
      </c>
      <c r="C172" t="s">
        <v>249</v>
      </c>
      <c r="D172">
        <v>0.6</v>
      </c>
      <c r="E172">
        <v>0</v>
      </c>
      <c r="F172">
        <f t="shared" si="2"/>
        <v>0.6</v>
      </c>
      <c r="I172">
        <v>20240701</v>
      </c>
      <c r="J172" t="s">
        <v>284</v>
      </c>
    </row>
    <row r="173" spans="1:14" x14ac:dyDescent="0.3">
      <c r="A173" s="160">
        <v>2123</v>
      </c>
      <c r="B173" t="s">
        <v>15353</v>
      </c>
      <c r="C173" t="s">
        <v>256</v>
      </c>
      <c r="D173">
        <v>0</v>
      </c>
      <c r="E173">
        <v>0.1</v>
      </c>
      <c r="F173">
        <f t="shared" si="2"/>
        <v>0.1</v>
      </c>
      <c r="I173">
        <v>20180901</v>
      </c>
      <c r="J173" t="s">
        <v>257</v>
      </c>
    </row>
    <row r="174" spans="1:14" x14ac:dyDescent="0.3">
      <c r="A174" s="160">
        <v>2124</v>
      </c>
      <c r="B174" t="s">
        <v>15354</v>
      </c>
      <c r="C174" t="s">
        <v>256</v>
      </c>
      <c r="D174">
        <v>0</v>
      </c>
      <c r="E174">
        <v>0.1</v>
      </c>
      <c r="F174">
        <f t="shared" si="2"/>
        <v>0.1</v>
      </c>
      <c r="I174">
        <v>20180901</v>
      </c>
      <c r="J174" t="s">
        <v>257</v>
      </c>
    </row>
    <row r="175" spans="1:14" x14ac:dyDescent="0.3">
      <c r="A175" s="160">
        <v>2125</v>
      </c>
      <c r="B175" t="s">
        <v>15355</v>
      </c>
      <c r="C175" t="s">
        <v>265</v>
      </c>
      <c r="D175">
        <v>0.3</v>
      </c>
      <c r="E175">
        <v>0.1</v>
      </c>
      <c r="F175">
        <f t="shared" si="2"/>
        <v>0.4</v>
      </c>
      <c r="I175">
        <v>20230701</v>
      </c>
      <c r="J175" t="s">
        <v>292</v>
      </c>
    </row>
    <row r="176" spans="1:14" x14ac:dyDescent="0.3">
      <c r="A176" s="160">
        <v>2127</v>
      </c>
      <c r="B176" t="s">
        <v>15356</v>
      </c>
      <c r="C176" t="s">
        <v>265</v>
      </c>
      <c r="D176">
        <v>0.3</v>
      </c>
      <c r="E176">
        <v>0.1</v>
      </c>
      <c r="F176">
        <f t="shared" si="2"/>
        <v>0.4</v>
      </c>
      <c r="I176">
        <v>20230701</v>
      </c>
      <c r="J176" t="s">
        <v>285</v>
      </c>
    </row>
    <row r="177" spans="1:11" x14ac:dyDescent="0.3">
      <c r="A177" s="160">
        <v>2128</v>
      </c>
      <c r="B177" t="s">
        <v>15357</v>
      </c>
      <c r="C177" t="s">
        <v>293</v>
      </c>
      <c r="D177">
        <v>0.6</v>
      </c>
      <c r="E177">
        <v>0</v>
      </c>
      <c r="F177">
        <f t="shared" si="2"/>
        <v>0.6</v>
      </c>
      <c r="I177">
        <v>20190101</v>
      </c>
      <c r="J177" t="s">
        <v>294</v>
      </c>
      <c r="K177" t="s">
        <v>267</v>
      </c>
    </row>
    <row r="178" spans="1:11" x14ac:dyDescent="0.3">
      <c r="A178" s="160">
        <v>2131</v>
      </c>
      <c r="B178" t="s">
        <v>15358</v>
      </c>
      <c r="C178" t="s">
        <v>253</v>
      </c>
      <c r="D178">
        <v>0.6</v>
      </c>
      <c r="E178">
        <v>0.1</v>
      </c>
      <c r="F178">
        <f t="shared" si="2"/>
        <v>0.7</v>
      </c>
      <c r="I178">
        <v>20230701</v>
      </c>
      <c r="J178" t="s">
        <v>279</v>
      </c>
      <c r="K178" t="s">
        <v>291</v>
      </c>
    </row>
    <row r="179" spans="1:11" x14ac:dyDescent="0.3">
      <c r="A179" s="160">
        <v>2132</v>
      </c>
      <c r="B179" t="s">
        <v>15359</v>
      </c>
      <c r="C179" t="s">
        <v>293</v>
      </c>
      <c r="D179">
        <v>0.6</v>
      </c>
      <c r="E179">
        <v>0</v>
      </c>
      <c r="F179">
        <f t="shared" si="2"/>
        <v>0.6</v>
      </c>
      <c r="I179">
        <v>20190101</v>
      </c>
      <c r="J179" t="s">
        <v>284</v>
      </c>
    </row>
    <row r="180" spans="1:11" x14ac:dyDescent="0.3">
      <c r="A180" s="160">
        <v>2137</v>
      </c>
      <c r="B180" t="s">
        <v>15360</v>
      </c>
      <c r="C180" t="s">
        <v>265</v>
      </c>
      <c r="D180">
        <v>0.3</v>
      </c>
      <c r="E180">
        <v>0.1</v>
      </c>
      <c r="F180">
        <f t="shared" si="2"/>
        <v>0.4</v>
      </c>
      <c r="I180">
        <v>20230701</v>
      </c>
      <c r="J180" t="s">
        <v>292</v>
      </c>
    </row>
    <row r="181" spans="1:11" x14ac:dyDescent="0.3">
      <c r="A181" s="160">
        <v>2138</v>
      </c>
      <c r="B181" t="s">
        <v>15361</v>
      </c>
      <c r="C181" t="s">
        <v>256</v>
      </c>
      <c r="D181">
        <v>0</v>
      </c>
      <c r="E181">
        <v>0.1</v>
      </c>
      <c r="F181">
        <f t="shared" si="2"/>
        <v>0.1</v>
      </c>
      <c r="I181">
        <v>20240101</v>
      </c>
      <c r="J181" t="s">
        <v>254</v>
      </c>
      <c r="K181" t="s">
        <v>290</v>
      </c>
    </row>
    <row r="182" spans="1:11" x14ac:dyDescent="0.3">
      <c r="A182" s="160">
        <v>2139</v>
      </c>
      <c r="B182" t="s">
        <v>15362</v>
      </c>
      <c r="C182" t="s">
        <v>249</v>
      </c>
      <c r="D182">
        <v>0.6</v>
      </c>
      <c r="E182">
        <v>0</v>
      </c>
      <c r="F182">
        <f t="shared" si="2"/>
        <v>0.6</v>
      </c>
      <c r="I182">
        <v>20230701</v>
      </c>
      <c r="J182" t="s">
        <v>250</v>
      </c>
    </row>
    <row r="183" spans="1:11" x14ac:dyDescent="0.3">
      <c r="A183" s="160">
        <v>2142</v>
      </c>
      <c r="B183" t="s">
        <v>15363</v>
      </c>
      <c r="C183" t="s">
        <v>263</v>
      </c>
      <c r="D183">
        <v>0.8</v>
      </c>
      <c r="E183">
        <v>0.1</v>
      </c>
      <c r="F183">
        <f t="shared" si="2"/>
        <v>0.9</v>
      </c>
      <c r="I183">
        <v>20230701</v>
      </c>
      <c r="J183" t="s">
        <v>295</v>
      </c>
    </row>
    <row r="184" spans="1:11" x14ac:dyDescent="0.3">
      <c r="A184" s="160">
        <v>2144</v>
      </c>
      <c r="B184" t="s">
        <v>15364</v>
      </c>
      <c r="C184" t="s">
        <v>256</v>
      </c>
      <c r="D184">
        <v>0</v>
      </c>
      <c r="E184">
        <v>0.1</v>
      </c>
      <c r="F184">
        <f t="shared" si="2"/>
        <v>0.1</v>
      </c>
      <c r="I184">
        <v>20180901</v>
      </c>
      <c r="J184" t="s">
        <v>269</v>
      </c>
    </row>
    <row r="185" spans="1:11" x14ac:dyDescent="0.3">
      <c r="A185" s="160">
        <v>2145</v>
      </c>
      <c r="B185" t="s">
        <v>15365</v>
      </c>
      <c r="C185" t="s">
        <v>249</v>
      </c>
      <c r="D185">
        <v>0.6</v>
      </c>
      <c r="E185">
        <v>0</v>
      </c>
      <c r="F185">
        <f t="shared" si="2"/>
        <v>0.6</v>
      </c>
      <c r="I185">
        <v>20230701</v>
      </c>
      <c r="J185" t="s">
        <v>250</v>
      </c>
    </row>
    <row r="186" spans="1:11" x14ac:dyDescent="0.3">
      <c r="A186" s="160">
        <v>2146</v>
      </c>
      <c r="B186" t="s">
        <v>15366</v>
      </c>
      <c r="C186" t="s">
        <v>265</v>
      </c>
      <c r="D186">
        <v>0.3</v>
      </c>
      <c r="E186">
        <v>0.1</v>
      </c>
      <c r="F186">
        <f t="shared" si="2"/>
        <v>0.4</v>
      </c>
      <c r="I186">
        <v>20230701</v>
      </c>
      <c r="J186" t="s">
        <v>275</v>
      </c>
    </row>
    <row r="187" spans="1:11" x14ac:dyDescent="0.3">
      <c r="A187" s="160">
        <v>2148</v>
      </c>
      <c r="B187" t="s">
        <v>15367</v>
      </c>
      <c r="C187" t="s">
        <v>256</v>
      </c>
      <c r="D187">
        <v>0</v>
      </c>
      <c r="E187">
        <v>0.1</v>
      </c>
      <c r="F187">
        <f t="shared" si="2"/>
        <v>0.1</v>
      </c>
      <c r="I187">
        <v>20180901</v>
      </c>
      <c r="J187" t="s">
        <v>296</v>
      </c>
    </row>
    <row r="188" spans="1:11" x14ac:dyDescent="0.3">
      <c r="A188" s="160">
        <v>2149</v>
      </c>
      <c r="B188" t="s">
        <v>15368</v>
      </c>
      <c r="C188" t="s">
        <v>256</v>
      </c>
      <c r="D188">
        <v>0</v>
      </c>
      <c r="E188">
        <v>0.1</v>
      </c>
      <c r="F188">
        <f t="shared" si="2"/>
        <v>0.1</v>
      </c>
      <c r="I188">
        <v>20180901</v>
      </c>
      <c r="J188" t="s">
        <v>257</v>
      </c>
    </row>
    <row r="189" spans="1:11" x14ac:dyDescent="0.3">
      <c r="A189" s="160">
        <v>2150</v>
      </c>
      <c r="B189" t="s">
        <v>15369</v>
      </c>
      <c r="C189" t="s">
        <v>293</v>
      </c>
      <c r="D189">
        <v>0.6</v>
      </c>
      <c r="E189">
        <v>0</v>
      </c>
      <c r="F189">
        <f t="shared" si="2"/>
        <v>0.6</v>
      </c>
      <c r="I189">
        <v>20240101</v>
      </c>
      <c r="J189" t="s">
        <v>267</v>
      </c>
    </row>
    <row r="190" spans="1:11" x14ac:dyDescent="0.3">
      <c r="A190" s="160">
        <v>2151</v>
      </c>
      <c r="B190" t="s">
        <v>15370</v>
      </c>
      <c r="C190" t="s">
        <v>293</v>
      </c>
      <c r="D190">
        <v>0.6</v>
      </c>
      <c r="E190">
        <v>0</v>
      </c>
      <c r="F190">
        <f t="shared" si="2"/>
        <v>0.6</v>
      </c>
      <c r="I190">
        <v>20190101</v>
      </c>
      <c r="J190" t="s">
        <v>284</v>
      </c>
    </row>
    <row r="191" spans="1:11" x14ac:dyDescent="0.3">
      <c r="A191" s="160">
        <v>2153</v>
      </c>
      <c r="B191" t="s">
        <v>15371</v>
      </c>
      <c r="C191" t="s">
        <v>293</v>
      </c>
      <c r="D191">
        <v>0.6</v>
      </c>
      <c r="E191">
        <v>0</v>
      </c>
      <c r="F191">
        <f t="shared" si="2"/>
        <v>0.6</v>
      </c>
      <c r="I191">
        <v>20190101</v>
      </c>
      <c r="J191" t="s">
        <v>258</v>
      </c>
    </row>
    <row r="192" spans="1:11" x14ac:dyDescent="0.3">
      <c r="A192" s="160">
        <v>2154</v>
      </c>
      <c r="B192" t="s">
        <v>15372</v>
      </c>
      <c r="C192" t="s">
        <v>256</v>
      </c>
      <c r="D192">
        <v>0</v>
      </c>
      <c r="E192">
        <v>0.1</v>
      </c>
      <c r="F192">
        <f t="shared" si="2"/>
        <v>0.1</v>
      </c>
      <c r="I192">
        <v>20240101</v>
      </c>
      <c r="J192" t="s">
        <v>254</v>
      </c>
    </row>
    <row r="193" spans="1:17" x14ac:dyDescent="0.3">
      <c r="A193" s="160">
        <v>2157</v>
      </c>
      <c r="B193" t="s">
        <v>15373</v>
      </c>
      <c r="C193" t="s">
        <v>293</v>
      </c>
      <c r="D193">
        <v>0.6</v>
      </c>
      <c r="E193">
        <v>0</v>
      </c>
      <c r="F193">
        <f t="shared" si="2"/>
        <v>0.6</v>
      </c>
      <c r="I193">
        <v>20190101</v>
      </c>
      <c r="J193" t="s">
        <v>271</v>
      </c>
      <c r="K193" t="s">
        <v>297</v>
      </c>
      <c r="L193" t="s">
        <v>298</v>
      </c>
      <c r="M193" t="s">
        <v>299</v>
      </c>
      <c r="N193" t="s">
        <v>294</v>
      </c>
      <c r="O193" t="s">
        <v>300</v>
      </c>
      <c r="P193" t="s">
        <v>301</v>
      </c>
    </row>
    <row r="194" spans="1:17" x14ac:dyDescent="0.3">
      <c r="A194" s="160">
        <v>2158</v>
      </c>
      <c r="B194" t="s">
        <v>15374</v>
      </c>
      <c r="C194" t="s">
        <v>293</v>
      </c>
      <c r="D194">
        <v>0.6</v>
      </c>
      <c r="E194">
        <v>0</v>
      </c>
      <c r="F194">
        <f t="shared" si="2"/>
        <v>0.6</v>
      </c>
      <c r="I194">
        <v>20240101</v>
      </c>
      <c r="J194" t="s">
        <v>294</v>
      </c>
      <c r="K194" t="s">
        <v>267</v>
      </c>
    </row>
    <row r="195" spans="1:17" x14ac:dyDescent="0.3">
      <c r="A195" s="160">
        <v>2164</v>
      </c>
      <c r="B195" t="s">
        <v>15375</v>
      </c>
      <c r="C195" t="s">
        <v>265</v>
      </c>
      <c r="D195">
        <v>0.3</v>
      </c>
      <c r="E195">
        <v>0.1</v>
      </c>
      <c r="F195">
        <f t="shared" si="2"/>
        <v>0.4</v>
      </c>
      <c r="I195">
        <v>20230701</v>
      </c>
      <c r="J195" t="s">
        <v>274</v>
      </c>
    </row>
    <row r="196" spans="1:17" x14ac:dyDescent="0.3">
      <c r="A196" s="160">
        <v>2165</v>
      </c>
      <c r="B196" t="s">
        <v>15376</v>
      </c>
      <c r="C196" t="s">
        <v>249</v>
      </c>
      <c r="D196">
        <v>0.6</v>
      </c>
      <c r="E196">
        <v>0</v>
      </c>
      <c r="F196">
        <f t="shared" si="2"/>
        <v>0.6</v>
      </c>
      <c r="I196">
        <v>20230701</v>
      </c>
      <c r="J196" t="s">
        <v>252</v>
      </c>
    </row>
    <row r="197" spans="1:17" x14ac:dyDescent="0.3">
      <c r="A197" s="160">
        <v>2166</v>
      </c>
      <c r="B197" t="s">
        <v>15377</v>
      </c>
      <c r="C197" t="s">
        <v>265</v>
      </c>
      <c r="D197">
        <v>0.6</v>
      </c>
      <c r="E197">
        <v>0.1</v>
      </c>
      <c r="F197">
        <f t="shared" si="2"/>
        <v>0.7</v>
      </c>
      <c r="I197">
        <v>20230701</v>
      </c>
      <c r="J197" t="s">
        <v>272</v>
      </c>
      <c r="K197" t="s">
        <v>286</v>
      </c>
    </row>
    <row r="198" spans="1:17" x14ac:dyDescent="0.3">
      <c r="A198" s="160">
        <v>2167</v>
      </c>
      <c r="B198" t="s">
        <v>15378</v>
      </c>
      <c r="C198" t="s">
        <v>256</v>
      </c>
      <c r="D198">
        <v>0</v>
      </c>
      <c r="E198">
        <v>0.1</v>
      </c>
      <c r="F198">
        <f t="shared" si="2"/>
        <v>0.1</v>
      </c>
      <c r="I198">
        <v>20180901</v>
      </c>
      <c r="J198" t="s">
        <v>289</v>
      </c>
      <c r="K198" t="s">
        <v>296</v>
      </c>
    </row>
    <row r="199" spans="1:17" x14ac:dyDescent="0.3">
      <c r="A199" s="160">
        <v>2168</v>
      </c>
      <c r="B199" t="s">
        <v>15379</v>
      </c>
      <c r="C199" t="s">
        <v>265</v>
      </c>
      <c r="D199">
        <v>0.6</v>
      </c>
      <c r="E199">
        <v>0.1</v>
      </c>
      <c r="F199">
        <f t="shared" ref="F199:F262" si="3">D199+E199</f>
        <v>0.7</v>
      </c>
      <c r="I199">
        <v>20230701</v>
      </c>
      <c r="J199" t="s">
        <v>272</v>
      </c>
      <c r="K199" t="s">
        <v>302</v>
      </c>
      <c r="L199" t="s">
        <v>286</v>
      </c>
      <c r="M199" t="s">
        <v>273</v>
      </c>
      <c r="N199" t="s">
        <v>303</v>
      </c>
      <c r="O199" t="s">
        <v>304</v>
      </c>
      <c r="P199" t="s">
        <v>287</v>
      </c>
      <c r="Q199" t="s">
        <v>288</v>
      </c>
    </row>
    <row r="200" spans="1:17" x14ac:dyDescent="0.3">
      <c r="A200" s="160">
        <v>2170</v>
      </c>
      <c r="B200" t="s">
        <v>15380</v>
      </c>
      <c r="C200" t="s">
        <v>256</v>
      </c>
      <c r="D200">
        <v>0</v>
      </c>
      <c r="E200">
        <v>0.1</v>
      </c>
      <c r="F200">
        <f t="shared" si="3"/>
        <v>0.1</v>
      </c>
      <c r="I200">
        <v>20180901</v>
      </c>
      <c r="J200" t="s">
        <v>257</v>
      </c>
    </row>
    <row r="201" spans="1:17" x14ac:dyDescent="0.3">
      <c r="A201" s="160">
        <v>2172</v>
      </c>
      <c r="B201" t="s">
        <v>15381</v>
      </c>
      <c r="C201" t="s">
        <v>253</v>
      </c>
      <c r="D201">
        <v>0.6</v>
      </c>
      <c r="E201">
        <v>0.1</v>
      </c>
      <c r="F201">
        <f t="shared" si="3"/>
        <v>0.7</v>
      </c>
      <c r="I201">
        <v>20240101</v>
      </c>
      <c r="J201" t="s">
        <v>254</v>
      </c>
    </row>
    <row r="202" spans="1:17" x14ac:dyDescent="0.3">
      <c r="A202" s="160">
        <v>2173</v>
      </c>
      <c r="B202" t="s">
        <v>15382</v>
      </c>
      <c r="C202" t="s">
        <v>249</v>
      </c>
      <c r="D202">
        <v>0.6</v>
      </c>
      <c r="E202">
        <v>0</v>
      </c>
      <c r="F202">
        <f t="shared" si="3"/>
        <v>0.6</v>
      </c>
      <c r="I202">
        <v>20230701</v>
      </c>
      <c r="J202" t="s">
        <v>298</v>
      </c>
      <c r="K202" t="s">
        <v>250</v>
      </c>
      <c r="L202" t="s">
        <v>305</v>
      </c>
      <c r="M202" t="s">
        <v>306</v>
      </c>
      <c r="N202" t="s">
        <v>251</v>
      </c>
    </row>
    <row r="203" spans="1:17" x14ac:dyDescent="0.3">
      <c r="A203" s="160">
        <v>2175</v>
      </c>
      <c r="B203" t="s">
        <v>15383</v>
      </c>
      <c r="C203" t="s">
        <v>253</v>
      </c>
      <c r="D203">
        <v>0.6</v>
      </c>
      <c r="E203">
        <v>0.1</v>
      </c>
      <c r="F203">
        <f t="shared" si="3"/>
        <v>0.7</v>
      </c>
      <c r="I203">
        <v>20230701</v>
      </c>
      <c r="J203" t="s">
        <v>291</v>
      </c>
    </row>
    <row r="204" spans="1:17" x14ac:dyDescent="0.3">
      <c r="A204" s="160">
        <v>2177</v>
      </c>
      <c r="B204" t="s">
        <v>15384</v>
      </c>
      <c r="C204" t="s">
        <v>293</v>
      </c>
      <c r="D204">
        <v>0.6</v>
      </c>
      <c r="E204">
        <v>0</v>
      </c>
      <c r="F204">
        <f t="shared" si="3"/>
        <v>0.6</v>
      </c>
      <c r="I204">
        <v>20190101</v>
      </c>
      <c r="J204" t="s">
        <v>267</v>
      </c>
    </row>
    <row r="205" spans="1:17" x14ac:dyDescent="0.3">
      <c r="A205" s="160">
        <v>2185</v>
      </c>
      <c r="B205" t="s">
        <v>15385</v>
      </c>
      <c r="C205" t="s">
        <v>265</v>
      </c>
      <c r="D205">
        <v>0.3</v>
      </c>
      <c r="E205">
        <v>0.1</v>
      </c>
      <c r="F205">
        <f t="shared" si="3"/>
        <v>0.4</v>
      </c>
      <c r="I205">
        <v>20230701</v>
      </c>
      <c r="J205" t="s">
        <v>292</v>
      </c>
    </row>
    <row r="206" spans="1:17" x14ac:dyDescent="0.3">
      <c r="A206" s="160">
        <v>2187</v>
      </c>
      <c r="B206" t="s">
        <v>15386</v>
      </c>
      <c r="C206" t="s">
        <v>265</v>
      </c>
      <c r="D206">
        <v>0.6</v>
      </c>
      <c r="E206">
        <v>0.1</v>
      </c>
      <c r="F206">
        <f t="shared" si="3"/>
        <v>0.7</v>
      </c>
      <c r="I206">
        <v>20230701</v>
      </c>
      <c r="J206" t="s">
        <v>272</v>
      </c>
      <c r="K206" t="s">
        <v>304</v>
      </c>
      <c r="L206" t="s">
        <v>288</v>
      </c>
    </row>
    <row r="207" spans="1:17" x14ac:dyDescent="0.3">
      <c r="A207" s="160">
        <v>2190</v>
      </c>
      <c r="B207" t="s">
        <v>15387</v>
      </c>
      <c r="C207" t="s">
        <v>253</v>
      </c>
      <c r="D207">
        <v>0.6</v>
      </c>
      <c r="E207">
        <v>0.1</v>
      </c>
      <c r="F207">
        <f t="shared" si="3"/>
        <v>0.7</v>
      </c>
      <c r="I207">
        <v>20230701</v>
      </c>
      <c r="J207" t="s">
        <v>291</v>
      </c>
    </row>
    <row r="208" spans="1:17" x14ac:dyDescent="0.3">
      <c r="A208" s="160">
        <v>2191</v>
      </c>
      <c r="B208" t="s">
        <v>15388</v>
      </c>
      <c r="C208" t="s">
        <v>293</v>
      </c>
      <c r="D208">
        <v>0.6</v>
      </c>
      <c r="E208">
        <v>0</v>
      </c>
      <c r="F208">
        <f t="shared" si="3"/>
        <v>0.6</v>
      </c>
      <c r="I208">
        <v>20190101</v>
      </c>
      <c r="J208" t="s">
        <v>271</v>
      </c>
    </row>
    <row r="209" spans="1:10" x14ac:dyDescent="0.3">
      <c r="A209" s="160">
        <v>2192</v>
      </c>
      <c r="B209" t="s">
        <v>15389</v>
      </c>
      <c r="C209" t="s">
        <v>259</v>
      </c>
      <c r="D209">
        <v>0.6</v>
      </c>
      <c r="E209">
        <v>0</v>
      </c>
      <c r="F209">
        <f t="shared" si="3"/>
        <v>0.6</v>
      </c>
      <c r="I209">
        <v>20200701</v>
      </c>
      <c r="J209" t="s">
        <v>266</v>
      </c>
    </row>
    <row r="210" spans="1:10" x14ac:dyDescent="0.3">
      <c r="A210" s="160">
        <v>2193</v>
      </c>
      <c r="B210" t="s">
        <v>15390</v>
      </c>
      <c r="C210" t="s">
        <v>265</v>
      </c>
      <c r="D210">
        <v>0.3</v>
      </c>
      <c r="E210">
        <v>0.1</v>
      </c>
      <c r="F210">
        <f t="shared" si="3"/>
        <v>0.4</v>
      </c>
      <c r="I210">
        <v>20230701</v>
      </c>
      <c r="J210" t="s">
        <v>285</v>
      </c>
    </row>
    <row r="211" spans="1:10" x14ac:dyDescent="0.3">
      <c r="A211" s="160">
        <v>2195</v>
      </c>
      <c r="B211" t="s">
        <v>15391</v>
      </c>
      <c r="C211" t="s">
        <v>253</v>
      </c>
      <c r="D211">
        <v>0.6</v>
      </c>
      <c r="E211">
        <v>0.1</v>
      </c>
      <c r="F211">
        <f t="shared" si="3"/>
        <v>0.7</v>
      </c>
      <c r="I211">
        <v>20230701</v>
      </c>
      <c r="J211" t="s">
        <v>307</v>
      </c>
    </row>
    <row r="212" spans="1:10" x14ac:dyDescent="0.3">
      <c r="A212" s="160">
        <v>2196</v>
      </c>
      <c r="B212" t="s">
        <v>15392</v>
      </c>
      <c r="C212" t="s">
        <v>293</v>
      </c>
      <c r="D212">
        <v>0.6</v>
      </c>
      <c r="E212">
        <v>0</v>
      </c>
      <c r="F212">
        <f t="shared" si="3"/>
        <v>0.6</v>
      </c>
      <c r="I212">
        <v>20190101</v>
      </c>
      <c r="J212" t="s">
        <v>271</v>
      </c>
    </row>
    <row r="213" spans="1:10" x14ac:dyDescent="0.3">
      <c r="A213" s="160">
        <v>2198</v>
      </c>
      <c r="B213" t="s">
        <v>15393</v>
      </c>
      <c r="C213" t="s">
        <v>253</v>
      </c>
      <c r="D213">
        <v>0.6</v>
      </c>
      <c r="E213">
        <v>0.1</v>
      </c>
      <c r="F213">
        <f t="shared" si="3"/>
        <v>0.7</v>
      </c>
      <c r="I213">
        <v>20230701</v>
      </c>
      <c r="J213" t="s">
        <v>291</v>
      </c>
    </row>
    <row r="214" spans="1:10" x14ac:dyDescent="0.3">
      <c r="A214" s="160">
        <v>2199</v>
      </c>
      <c r="B214" t="s">
        <v>15394</v>
      </c>
      <c r="C214" t="s">
        <v>263</v>
      </c>
      <c r="D214">
        <v>0.8</v>
      </c>
      <c r="E214">
        <v>0.1</v>
      </c>
      <c r="F214">
        <f t="shared" si="3"/>
        <v>0.9</v>
      </c>
      <c r="I214">
        <v>20230701</v>
      </c>
      <c r="J214" t="s">
        <v>281</v>
      </c>
    </row>
    <row r="215" spans="1:10" x14ac:dyDescent="0.3">
      <c r="A215" s="160">
        <v>2201</v>
      </c>
      <c r="B215" t="s">
        <v>15395</v>
      </c>
      <c r="C215" t="s">
        <v>259</v>
      </c>
      <c r="D215">
        <v>0.6</v>
      </c>
      <c r="E215">
        <v>0</v>
      </c>
      <c r="F215">
        <f t="shared" si="3"/>
        <v>0.6</v>
      </c>
      <c r="I215">
        <v>20200701</v>
      </c>
      <c r="J215" t="s">
        <v>262</v>
      </c>
    </row>
    <row r="216" spans="1:10" x14ac:dyDescent="0.3">
      <c r="A216" s="160">
        <v>2203</v>
      </c>
      <c r="B216" t="s">
        <v>15396</v>
      </c>
      <c r="C216" t="s">
        <v>265</v>
      </c>
      <c r="D216">
        <v>0.6</v>
      </c>
      <c r="E216">
        <v>0.1</v>
      </c>
      <c r="F216">
        <f t="shared" si="3"/>
        <v>0.7</v>
      </c>
      <c r="I216">
        <v>20230701</v>
      </c>
      <c r="J216" t="s">
        <v>266</v>
      </c>
    </row>
    <row r="217" spans="1:10" x14ac:dyDescent="0.3">
      <c r="A217" s="160">
        <v>2205</v>
      </c>
      <c r="B217" t="s">
        <v>15397</v>
      </c>
      <c r="C217" t="s">
        <v>293</v>
      </c>
      <c r="D217">
        <v>0.6</v>
      </c>
      <c r="E217">
        <v>0</v>
      </c>
      <c r="F217">
        <f t="shared" si="3"/>
        <v>0.6</v>
      </c>
      <c r="I217">
        <v>20240101</v>
      </c>
      <c r="J217" t="s">
        <v>267</v>
      </c>
    </row>
    <row r="218" spans="1:10" x14ac:dyDescent="0.3">
      <c r="A218" s="160">
        <v>2207</v>
      </c>
      <c r="B218" t="s">
        <v>15398</v>
      </c>
      <c r="C218" t="s">
        <v>249</v>
      </c>
      <c r="D218">
        <v>0.6</v>
      </c>
      <c r="E218">
        <v>0</v>
      </c>
      <c r="F218">
        <f t="shared" si="3"/>
        <v>0.6</v>
      </c>
      <c r="I218">
        <v>20230701</v>
      </c>
      <c r="J218" t="s">
        <v>250</v>
      </c>
    </row>
    <row r="219" spans="1:10" x14ac:dyDescent="0.3">
      <c r="A219" s="160">
        <v>2209</v>
      </c>
      <c r="B219" t="s">
        <v>15399</v>
      </c>
      <c r="C219" t="s">
        <v>265</v>
      </c>
      <c r="D219">
        <v>0.3</v>
      </c>
      <c r="E219">
        <v>0.1</v>
      </c>
      <c r="F219">
        <f t="shared" si="3"/>
        <v>0.4</v>
      </c>
      <c r="I219">
        <v>20230701</v>
      </c>
      <c r="J219" t="s">
        <v>275</v>
      </c>
    </row>
    <row r="220" spans="1:10" x14ac:dyDescent="0.3">
      <c r="A220" s="160">
        <v>2210</v>
      </c>
      <c r="B220" t="s">
        <v>15400</v>
      </c>
      <c r="C220" t="s">
        <v>256</v>
      </c>
      <c r="D220">
        <v>0</v>
      </c>
      <c r="E220">
        <v>0.1</v>
      </c>
      <c r="F220">
        <f t="shared" si="3"/>
        <v>0.1</v>
      </c>
      <c r="I220">
        <v>20180901</v>
      </c>
      <c r="J220" t="s">
        <v>296</v>
      </c>
    </row>
    <row r="221" spans="1:10" x14ac:dyDescent="0.3">
      <c r="A221" s="160">
        <v>2212</v>
      </c>
      <c r="B221" t="s">
        <v>15401</v>
      </c>
      <c r="C221" t="s">
        <v>249</v>
      </c>
      <c r="D221">
        <v>0.6</v>
      </c>
      <c r="E221">
        <v>0</v>
      </c>
      <c r="F221">
        <f t="shared" si="3"/>
        <v>0.6</v>
      </c>
      <c r="I221">
        <v>20230701</v>
      </c>
      <c r="J221" t="s">
        <v>261</v>
      </c>
    </row>
    <row r="222" spans="1:10" x14ac:dyDescent="0.3">
      <c r="A222" s="160">
        <v>2213</v>
      </c>
      <c r="B222" t="s">
        <v>15402</v>
      </c>
      <c r="C222" t="s">
        <v>265</v>
      </c>
      <c r="D222">
        <v>0.3</v>
      </c>
      <c r="E222">
        <v>0.1</v>
      </c>
      <c r="F222">
        <f t="shared" si="3"/>
        <v>0.4</v>
      </c>
      <c r="I222">
        <v>20230701</v>
      </c>
      <c r="J222" t="s">
        <v>275</v>
      </c>
    </row>
    <row r="223" spans="1:10" x14ac:dyDescent="0.3">
      <c r="A223" s="160">
        <v>2214</v>
      </c>
      <c r="B223" t="s">
        <v>15403</v>
      </c>
      <c r="C223" t="s">
        <v>263</v>
      </c>
      <c r="D223">
        <v>0.8</v>
      </c>
      <c r="E223">
        <v>0.1</v>
      </c>
      <c r="F223">
        <f t="shared" si="3"/>
        <v>0.9</v>
      </c>
      <c r="I223">
        <v>20230701</v>
      </c>
      <c r="J223" t="s">
        <v>295</v>
      </c>
    </row>
    <row r="224" spans="1:10" x14ac:dyDescent="0.3">
      <c r="A224" s="160">
        <v>2216</v>
      </c>
      <c r="B224" t="s">
        <v>15404</v>
      </c>
      <c r="C224" t="s">
        <v>259</v>
      </c>
      <c r="D224">
        <v>0.6</v>
      </c>
      <c r="E224">
        <v>0</v>
      </c>
      <c r="F224">
        <f t="shared" si="3"/>
        <v>0.6</v>
      </c>
      <c r="I224">
        <v>20120901</v>
      </c>
      <c r="J224" t="s">
        <v>262</v>
      </c>
    </row>
    <row r="225" spans="1:13" x14ac:dyDescent="0.3">
      <c r="A225" s="160">
        <v>2220</v>
      </c>
      <c r="B225" t="s">
        <v>15405</v>
      </c>
      <c r="C225" t="s">
        <v>265</v>
      </c>
      <c r="D225">
        <v>0.3</v>
      </c>
      <c r="E225">
        <v>0.1</v>
      </c>
      <c r="F225">
        <f t="shared" si="3"/>
        <v>0.4</v>
      </c>
      <c r="I225">
        <v>20230701</v>
      </c>
      <c r="J225" t="s">
        <v>285</v>
      </c>
    </row>
    <row r="226" spans="1:13" x14ac:dyDescent="0.3">
      <c r="A226" s="160">
        <v>2222</v>
      </c>
      <c r="B226" t="s">
        <v>15406</v>
      </c>
      <c r="C226" t="s">
        <v>249</v>
      </c>
      <c r="D226">
        <v>0.6</v>
      </c>
      <c r="E226">
        <v>0</v>
      </c>
      <c r="F226">
        <f t="shared" si="3"/>
        <v>0.6</v>
      </c>
      <c r="I226">
        <v>20230701</v>
      </c>
      <c r="J226" t="s">
        <v>252</v>
      </c>
    </row>
    <row r="227" spans="1:13" x14ac:dyDescent="0.3">
      <c r="A227" s="160">
        <v>2223</v>
      </c>
      <c r="B227" t="s">
        <v>15407</v>
      </c>
      <c r="C227" t="s">
        <v>265</v>
      </c>
      <c r="D227">
        <v>0.3</v>
      </c>
      <c r="E227">
        <v>0.1</v>
      </c>
      <c r="F227">
        <f t="shared" si="3"/>
        <v>0.4</v>
      </c>
      <c r="I227">
        <v>20230701</v>
      </c>
      <c r="J227" t="s">
        <v>275</v>
      </c>
    </row>
    <row r="228" spans="1:13" x14ac:dyDescent="0.3">
      <c r="A228" s="160">
        <v>2225</v>
      </c>
      <c r="B228" t="s">
        <v>15408</v>
      </c>
      <c r="C228" t="s">
        <v>265</v>
      </c>
      <c r="D228">
        <v>0.3</v>
      </c>
      <c r="E228">
        <v>0.1</v>
      </c>
      <c r="F228">
        <f t="shared" si="3"/>
        <v>0.4</v>
      </c>
      <c r="I228">
        <v>20230701</v>
      </c>
      <c r="J228" t="s">
        <v>292</v>
      </c>
    </row>
    <row r="229" spans="1:13" x14ac:dyDescent="0.3">
      <c r="A229" s="160">
        <v>2226</v>
      </c>
      <c r="B229" t="s">
        <v>15409</v>
      </c>
      <c r="C229" t="s">
        <v>253</v>
      </c>
      <c r="D229">
        <v>0.6</v>
      </c>
      <c r="E229">
        <v>0.1</v>
      </c>
      <c r="F229">
        <f t="shared" si="3"/>
        <v>0.7</v>
      </c>
      <c r="I229">
        <v>20230701</v>
      </c>
      <c r="J229" t="s">
        <v>254</v>
      </c>
      <c r="K229" t="s">
        <v>255</v>
      </c>
    </row>
    <row r="230" spans="1:13" x14ac:dyDescent="0.3">
      <c r="A230" s="160">
        <v>2227</v>
      </c>
      <c r="B230" t="s">
        <v>15410</v>
      </c>
      <c r="C230" t="s">
        <v>265</v>
      </c>
      <c r="D230">
        <v>0.3</v>
      </c>
      <c r="E230">
        <v>0.1</v>
      </c>
      <c r="F230">
        <f t="shared" si="3"/>
        <v>0.4</v>
      </c>
      <c r="I230">
        <v>20230701</v>
      </c>
      <c r="J230" t="s">
        <v>285</v>
      </c>
    </row>
    <row r="231" spans="1:13" x14ac:dyDescent="0.3">
      <c r="A231" s="160">
        <v>2228</v>
      </c>
      <c r="B231" t="s">
        <v>15411</v>
      </c>
      <c r="C231" t="s">
        <v>265</v>
      </c>
      <c r="D231">
        <v>0.3</v>
      </c>
      <c r="E231">
        <v>0.1</v>
      </c>
      <c r="F231">
        <f t="shared" si="3"/>
        <v>0.4</v>
      </c>
      <c r="I231">
        <v>20230701</v>
      </c>
      <c r="J231" t="s">
        <v>274</v>
      </c>
    </row>
    <row r="232" spans="1:13" x14ac:dyDescent="0.3">
      <c r="A232" s="160">
        <v>2230</v>
      </c>
      <c r="B232" t="s">
        <v>15412</v>
      </c>
      <c r="C232" t="s">
        <v>256</v>
      </c>
      <c r="D232">
        <v>0</v>
      </c>
      <c r="E232">
        <v>0.1</v>
      </c>
      <c r="F232">
        <f t="shared" si="3"/>
        <v>0.1</v>
      </c>
      <c r="I232">
        <v>20180901</v>
      </c>
      <c r="J232" t="s">
        <v>307</v>
      </c>
    </row>
    <row r="233" spans="1:13" x14ac:dyDescent="0.3">
      <c r="A233" s="160">
        <v>2232</v>
      </c>
      <c r="B233" t="s">
        <v>15413</v>
      </c>
      <c r="C233" t="s">
        <v>259</v>
      </c>
      <c r="D233">
        <v>0.6</v>
      </c>
      <c r="E233">
        <v>0</v>
      </c>
      <c r="F233">
        <f t="shared" si="3"/>
        <v>0.6</v>
      </c>
      <c r="I233">
        <v>20120901</v>
      </c>
      <c r="J233" t="s">
        <v>262</v>
      </c>
      <c r="K233" t="s">
        <v>308</v>
      </c>
      <c r="L233" t="s">
        <v>309</v>
      </c>
    </row>
    <row r="234" spans="1:13" x14ac:dyDescent="0.3">
      <c r="A234" s="160">
        <v>2238</v>
      </c>
      <c r="B234" t="s">
        <v>15414</v>
      </c>
      <c r="C234" t="s">
        <v>293</v>
      </c>
      <c r="D234">
        <v>0.6</v>
      </c>
      <c r="E234">
        <v>0</v>
      </c>
      <c r="F234">
        <f t="shared" si="3"/>
        <v>0.6</v>
      </c>
      <c r="I234">
        <v>20190101</v>
      </c>
      <c r="J234" t="s">
        <v>284</v>
      </c>
    </row>
    <row r="235" spans="1:13" x14ac:dyDescent="0.3">
      <c r="A235" s="160">
        <v>2239</v>
      </c>
      <c r="B235" t="s">
        <v>15415</v>
      </c>
      <c r="C235" t="s">
        <v>265</v>
      </c>
      <c r="D235">
        <v>0.3</v>
      </c>
      <c r="E235">
        <v>0.1</v>
      </c>
      <c r="F235">
        <f t="shared" si="3"/>
        <v>0.4</v>
      </c>
      <c r="I235">
        <v>20230701</v>
      </c>
      <c r="J235" t="s">
        <v>310</v>
      </c>
    </row>
    <row r="236" spans="1:13" x14ac:dyDescent="0.3">
      <c r="A236" s="160">
        <v>2240</v>
      </c>
      <c r="B236" t="s">
        <v>15416</v>
      </c>
      <c r="C236" t="s">
        <v>256</v>
      </c>
      <c r="D236">
        <v>0</v>
      </c>
      <c r="E236">
        <v>0.1</v>
      </c>
      <c r="F236">
        <f t="shared" si="3"/>
        <v>0.1</v>
      </c>
      <c r="I236">
        <v>20180901</v>
      </c>
      <c r="J236" t="s">
        <v>311</v>
      </c>
    </row>
    <row r="237" spans="1:13" x14ac:dyDescent="0.3">
      <c r="A237" s="160">
        <v>2241</v>
      </c>
      <c r="B237" t="s">
        <v>15417</v>
      </c>
      <c r="C237" t="s">
        <v>265</v>
      </c>
      <c r="D237">
        <v>0.3</v>
      </c>
      <c r="E237">
        <v>0.1</v>
      </c>
      <c r="F237">
        <f t="shared" si="3"/>
        <v>0.4</v>
      </c>
      <c r="I237">
        <v>20230701</v>
      </c>
      <c r="J237" t="s">
        <v>266</v>
      </c>
    </row>
    <row r="238" spans="1:13" x14ac:dyDescent="0.3">
      <c r="A238" s="160">
        <v>2243</v>
      </c>
      <c r="B238" t="s">
        <v>15418</v>
      </c>
      <c r="C238" t="s">
        <v>253</v>
      </c>
      <c r="D238">
        <v>0.6</v>
      </c>
      <c r="E238">
        <v>0.1</v>
      </c>
      <c r="F238">
        <f t="shared" si="3"/>
        <v>0.7</v>
      </c>
      <c r="I238">
        <v>20230701</v>
      </c>
      <c r="J238" t="s">
        <v>290</v>
      </c>
      <c r="K238" t="s">
        <v>279</v>
      </c>
      <c r="L238" t="s">
        <v>280</v>
      </c>
      <c r="M238" t="s">
        <v>291</v>
      </c>
    </row>
    <row r="239" spans="1:13" x14ac:dyDescent="0.3">
      <c r="A239" s="160">
        <v>2245</v>
      </c>
      <c r="B239" t="s">
        <v>15419</v>
      </c>
      <c r="C239" t="s">
        <v>253</v>
      </c>
      <c r="D239">
        <v>0.6</v>
      </c>
      <c r="E239">
        <v>0.1</v>
      </c>
      <c r="F239">
        <f t="shared" si="3"/>
        <v>0.7</v>
      </c>
      <c r="I239">
        <v>20230701</v>
      </c>
      <c r="J239" t="s">
        <v>277</v>
      </c>
      <c r="K239" t="s">
        <v>278</v>
      </c>
      <c r="L239" t="s">
        <v>291</v>
      </c>
    </row>
    <row r="240" spans="1:13" x14ac:dyDescent="0.3">
      <c r="A240" s="160">
        <v>2246</v>
      </c>
      <c r="B240" t="s">
        <v>15420</v>
      </c>
      <c r="C240" t="s">
        <v>263</v>
      </c>
      <c r="D240">
        <v>0.8</v>
      </c>
      <c r="E240">
        <v>0.1</v>
      </c>
      <c r="F240">
        <f t="shared" si="3"/>
        <v>0.9</v>
      </c>
      <c r="I240">
        <v>20230701</v>
      </c>
      <c r="J240" t="s">
        <v>264</v>
      </c>
    </row>
    <row r="241" spans="1:11" x14ac:dyDescent="0.3">
      <c r="A241" s="160">
        <v>2253</v>
      </c>
      <c r="B241" t="s">
        <v>15421</v>
      </c>
      <c r="C241" t="s">
        <v>253</v>
      </c>
      <c r="D241">
        <v>0.6</v>
      </c>
      <c r="E241">
        <v>0.1</v>
      </c>
      <c r="F241">
        <f t="shared" si="3"/>
        <v>0.7</v>
      </c>
      <c r="I241">
        <v>20230701</v>
      </c>
      <c r="J241" t="s">
        <v>254</v>
      </c>
    </row>
    <row r="242" spans="1:11" x14ac:dyDescent="0.3">
      <c r="A242" s="160">
        <v>2254</v>
      </c>
      <c r="B242" t="s">
        <v>15422</v>
      </c>
      <c r="C242" t="s">
        <v>259</v>
      </c>
      <c r="D242">
        <v>0.6</v>
      </c>
      <c r="E242">
        <v>0.1</v>
      </c>
      <c r="F242">
        <f t="shared" si="3"/>
        <v>0.7</v>
      </c>
      <c r="I242">
        <v>20230701</v>
      </c>
      <c r="J242" t="s">
        <v>262</v>
      </c>
    </row>
    <row r="243" spans="1:11" x14ac:dyDescent="0.3">
      <c r="A243" s="160">
        <v>2257</v>
      </c>
      <c r="B243" t="s">
        <v>15423</v>
      </c>
      <c r="C243" t="s">
        <v>263</v>
      </c>
      <c r="D243">
        <v>0.8</v>
      </c>
      <c r="E243">
        <v>0.1</v>
      </c>
      <c r="F243">
        <f t="shared" si="3"/>
        <v>0.9</v>
      </c>
      <c r="I243">
        <v>20230701</v>
      </c>
      <c r="J243" t="s">
        <v>295</v>
      </c>
    </row>
    <row r="244" spans="1:11" x14ac:dyDescent="0.3">
      <c r="A244" s="160">
        <v>2258</v>
      </c>
      <c r="B244" t="s">
        <v>15424</v>
      </c>
      <c r="C244" t="s">
        <v>259</v>
      </c>
      <c r="D244">
        <v>0.6</v>
      </c>
      <c r="E244">
        <v>0</v>
      </c>
      <c r="F244">
        <f t="shared" si="3"/>
        <v>0.6</v>
      </c>
      <c r="I244">
        <v>20200701</v>
      </c>
      <c r="J244" t="s">
        <v>312</v>
      </c>
    </row>
    <row r="245" spans="1:11" x14ac:dyDescent="0.3">
      <c r="A245" s="160">
        <v>2259</v>
      </c>
      <c r="B245" t="s">
        <v>15425</v>
      </c>
      <c r="C245" t="s">
        <v>259</v>
      </c>
      <c r="D245">
        <v>0.6</v>
      </c>
      <c r="E245">
        <v>0</v>
      </c>
      <c r="F245">
        <f t="shared" si="3"/>
        <v>0.6</v>
      </c>
      <c r="I245">
        <v>20120901</v>
      </c>
      <c r="J245" t="s">
        <v>262</v>
      </c>
      <c r="K245" t="s">
        <v>313</v>
      </c>
    </row>
    <row r="246" spans="1:11" x14ac:dyDescent="0.3">
      <c r="A246" s="160">
        <v>2260</v>
      </c>
      <c r="B246" t="s">
        <v>15426</v>
      </c>
      <c r="C246" t="s">
        <v>249</v>
      </c>
      <c r="D246">
        <v>0.6</v>
      </c>
      <c r="E246">
        <v>0</v>
      </c>
      <c r="F246">
        <f t="shared" si="3"/>
        <v>0.6</v>
      </c>
      <c r="I246">
        <v>20230701</v>
      </c>
      <c r="J246" t="s">
        <v>252</v>
      </c>
    </row>
    <row r="247" spans="1:11" x14ac:dyDescent="0.3">
      <c r="A247" s="160">
        <v>2262</v>
      </c>
      <c r="B247" t="s">
        <v>15427</v>
      </c>
      <c r="C247" t="s">
        <v>249</v>
      </c>
      <c r="D247">
        <v>0.6</v>
      </c>
      <c r="E247">
        <v>0</v>
      </c>
      <c r="F247">
        <f t="shared" si="3"/>
        <v>0.6</v>
      </c>
      <c r="I247">
        <v>20230701</v>
      </c>
      <c r="J247" t="s">
        <v>261</v>
      </c>
    </row>
    <row r="248" spans="1:11" x14ac:dyDescent="0.3">
      <c r="A248" s="160">
        <v>2267</v>
      </c>
      <c r="B248" t="s">
        <v>15428</v>
      </c>
      <c r="C248" t="s">
        <v>253</v>
      </c>
      <c r="D248">
        <v>0.6</v>
      </c>
      <c r="E248">
        <v>0.1</v>
      </c>
      <c r="F248">
        <f t="shared" si="3"/>
        <v>0.7</v>
      </c>
      <c r="I248">
        <v>20230701</v>
      </c>
      <c r="J248" t="s">
        <v>262</v>
      </c>
    </row>
    <row r="249" spans="1:11" x14ac:dyDescent="0.3">
      <c r="A249" s="160">
        <v>2270</v>
      </c>
      <c r="B249" t="s">
        <v>15429</v>
      </c>
      <c r="C249" t="s">
        <v>256</v>
      </c>
      <c r="D249">
        <v>0</v>
      </c>
      <c r="E249">
        <v>0.1</v>
      </c>
      <c r="F249">
        <f t="shared" si="3"/>
        <v>0.1</v>
      </c>
      <c r="I249">
        <v>20180901</v>
      </c>
      <c r="J249" t="s">
        <v>270</v>
      </c>
    </row>
    <row r="250" spans="1:11" x14ac:dyDescent="0.3">
      <c r="A250" s="160">
        <v>2271</v>
      </c>
      <c r="B250" t="s">
        <v>15430</v>
      </c>
      <c r="C250" t="s">
        <v>265</v>
      </c>
      <c r="D250">
        <v>0.3</v>
      </c>
      <c r="E250">
        <v>0.1</v>
      </c>
      <c r="F250">
        <f t="shared" si="3"/>
        <v>0.4</v>
      </c>
      <c r="I250">
        <v>20230701</v>
      </c>
      <c r="J250" t="s">
        <v>285</v>
      </c>
    </row>
    <row r="251" spans="1:11" x14ac:dyDescent="0.3">
      <c r="A251" s="160">
        <v>2272</v>
      </c>
      <c r="B251" t="s">
        <v>15431</v>
      </c>
      <c r="C251" t="s">
        <v>256</v>
      </c>
      <c r="D251">
        <v>0</v>
      </c>
      <c r="E251">
        <v>0.1</v>
      </c>
      <c r="F251">
        <f t="shared" si="3"/>
        <v>0.1</v>
      </c>
      <c r="I251">
        <v>20240101</v>
      </c>
      <c r="J251" t="s">
        <v>266</v>
      </c>
    </row>
    <row r="252" spans="1:11" x14ac:dyDescent="0.3">
      <c r="A252" s="160">
        <v>2273</v>
      </c>
      <c r="B252" t="s">
        <v>15432</v>
      </c>
      <c r="C252" t="s">
        <v>263</v>
      </c>
      <c r="D252">
        <v>0.8</v>
      </c>
      <c r="E252">
        <v>0.1</v>
      </c>
      <c r="F252">
        <f t="shared" si="3"/>
        <v>0.9</v>
      </c>
      <c r="I252">
        <v>20230701</v>
      </c>
      <c r="J252" t="s">
        <v>264</v>
      </c>
    </row>
    <row r="253" spans="1:11" x14ac:dyDescent="0.3">
      <c r="A253" s="160">
        <v>2277</v>
      </c>
      <c r="B253" t="s">
        <v>15433</v>
      </c>
      <c r="C253" t="s">
        <v>259</v>
      </c>
      <c r="D253">
        <v>0.6</v>
      </c>
      <c r="E253">
        <v>0.1</v>
      </c>
      <c r="F253">
        <f t="shared" si="3"/>
        <v>0.7</v>
      </c>
      <c r="I253">
        <v>20200701</v>
      </c>
      <c r="J253" t="s">
        <v>260</v>
      </c>
    </row>
    <row r="254" spans="1:11" x14ac:dyDescent="0.3">
      <c r="A254" s="160">
        <v>2279</v>
      </c>
      <c r="B254" t="s">
        <v>15434</v>
      </c>
      <c r="C254" t="s">
        <v>265</v>
      </c>
      <c r="D254">
        <v>0.6</v>
      </c>
      <c r="E254">
        <v>0.1</v>
      </c>
      <c r="F254">
        <f t="shared" si="3"/>
        <v>0.7</v>
      </c>
      <c r="I254">
        <v>20230701</v>
      </c>
      <c r="J254" t="s">
        <v>272</v>
      </c>
    </row>
    <row r="255" spans="1:11" x14ac:dyDescent="0.3">
      <c r="A255" s="160">
        <v>2280</v>
      </c>
      <c r="B255" t="s">
        <v>15435</v>
      </c>
      <c r="C255" t="s">
        <v>265</v>
      </c>
      <c r="D255">
        <v>0.6</v>
      </c>
      <c r="E255">
        <v>0.1</v>
      </c>
      <c r="F255">
        <f t="shared" si="3"/>
        <v>0.7</v>
      </c>
      <c r="I255">
        <v>20230701</v>
      </c>
      <c r="J255" t="s">
        <v>272</v>
      </c>
    </row>
    <row r="256" spans="1:11" x14ac:dyDescent="0.3">
      <c r="A256" s="160">
        <v>2282</v>
      </c>
      <c r="B256" t="s">
        <v>15436</v>
      </c>
      <c r="C256" t="s">
        <v>293</v>
      </c>
      <c r="D256">
        <v>0.6</v>
      </c>
      <c r="E256">
        <v>0</v>
      </c>
      <c r="F256">
        <f t="shared" si="3"/>
        <v>0.6</v>
      </c>
      <c r="I256">
        <v>20190101</v>
      </c>
      <c r="J256" t="s">
        <v>268</v>
      </c>
    </row>
    <row r="257" spans="1:12" x14ac:dyDescent="0.3">
      <c r="A257" s="160">
        <v>2287</v>
      </c>
      <c r="B257" t="s">
        <v>15437</v>
      </c>
      <c r="C257" t="s">
        <v>256</v>
      </c>
      <c r="D257">
        <v>0</v>
      </c>
      <c r="E257">
        <v>0.1</v>
      </c>
      <c r="F257">
        <f t="shared" si="3"/>
        <v>0.1</v>
      </c>
      <c r="I257">
        <v>20180901</v>
      </c>
      <c r="J257" t="s">
        <v>314</v>
      </c>
    </row>
    <row r="258" spans="1:12" x14ac:dyDescent="0.3">
      <c r="A258" s="160">
        <v>2288</v>
      </c>
      <c r="B258" t="s">
        <v>15438</v>
      </c>
      <c r="C258" t="s">
        <v>263</v>
      </c>
      <c r="D258">
        <v>0.8</v>
      </c>
      <c r="E258">
        <v>0.1</v>
      </c>
      <c r="F258">
        <f t="shared" si="3"/>
        <v>0.9</v>
      </c>
      <c r="I258">
        <v>20230701</v>
      </c>
      <c r="J258" t="s">
        <v>315</v>
      </c>
    </row>
    <row r="259" spans="1:12" x14ac:dyDescent="0.3">
      <c r="A259" s="160">
        <v>2290</v>
      </c>
      <c r="B259" t="s">
        <v>15439</v>
      </c>
      <c r="C259" t="s">
        <v>265</v>
      </c>
      <c r="D259">
        <v>0.6</v>
      </c>
      <c r="E259">
        <v>0.1</v>
      </c>
      <c r="F259">
        <f t="shared" si="3"/>
        <v>0.7</v>
      </c>
      <c r="I259">
        <v>20230701</v>
      </c>
      <c r="J259" t="s">
        <v>272</v>
      </c>
      <c r="K259" t="s">
        <v>288</v>
      </c>
    </row>
    <row r="260" spans="1:12" x14ac:dyDescent="0.3">
      <c r="A260" s="160">
        <v>2291</v>
      </c>
      <c r="B260" t="s">
        <v>15440</v>
      </c>
      <c r="C260" t="s">
        <v>256</v>
      </c>
      <c r="D260">
        <v>0</v>
      </c>
      <c r="E260">
        <v>0.1</v>
      </c>
      <c r="F260">
        <f t="shared" si="3"/>
        <v>0.1</v>
      </c>
      <c r="I260">
        <v>20180901</v>
      </c>
      <c r="J260" t="s">
        <v>276</v>
      </c>
    </row>
    <row r="261" spans="1:12" x14ac:dyDescent="0.3">
      <c r="A261" s="160">
        <v>2292</v>
      </c>
      <c r="B261" t="s">
        <v>15441</v>
      </c>
      <c r="C261" t="s">
        <v>265</v>
      </c>
      <c r="D261">
        <v>0.6</v>
      </c>
      <c r="E261">
        <v>0.1</v>
      </c>
      <c r="F261">
        <f t="shared" si="3"/>
        <v>0.7</v>
      </c>
      <c r="I261">
        <v>20230701</v>
      </c>
      <c r="J261" t="s">
        <v>272</v>
      </c>
      <c r="K261" t="s">
        <v>273</v>
      </c>
      <c r="L261" t="s">
        <v>288</v>
      </c>
    </row>
    <row r="262" spans="1:12" x14ac:dyDescent="0.3">
      <c r="A262" s="160">
        <v>2293</v>
      </c>
      <c r="B262" t="s">
        <v>15442</v>
      </c>
      <c r="C262" t="s">
        <v>256</v>
      </c>
      <c r="D262">
        <v>0</v>
      </c>
      <c r="E262">
        <v>0.1</v>
      </c>
      <c r="F262">
        <f t="shared" si="3"/>
        <v>0.1</v>
      </c>
      <c r="I262">
        <v>20180901</v>
      </c>
      <c r="J262" t="s">
        <v>311</v>
      </c>
    </row>
    <row r="263" spans="1:12" x14ac:dyDescent="0.3">
      <c r="A263" s="160">
        <v>2294</v>
      </c>
      <c r="B263" t="s">
        <v>15443</v>
      </c>
      <c r="C263" t="s">
        <v>293</v>
      </c>
      <c r="D263">
        <v>0.6</v>
      </c>
      <c r="E263">
        <v>0</v>
      </c>
      <c r="F263">
        <f t="shared" ref="F263:F326" si="4">D263+E263</f>
        <v>0.6</v>
      </c>
      <c r="I263">
        <v>20190101</v>
      </c>
      <c r="J263" t="s">
        <v>271</v>
      </c>
    </row>
    <row r="264" spans="1:12" x14ac:dyDescent="0.3">
      <c r="A264" s="160">
        <v>2296</v>
      </c>
      <c r="B264" t="s">
        <v>15444</v>
      </c>
      <c r="C264" t="s">
        <v>256</v>
      </c>
      <c r="D264">
        <v>0</v>
      </c>
      <c r="E264">
        <v>0.1</v>
      </c>
      <c r="F264">
        <f t="shared" si="4"/>
        <v>0.1</v>
      </c>
      <c r="I264">
        <v>20180901</v>
      </c>
      <c r="J264" t="s">
        <v>270</v>
      </c>
    </row>
    <row r="265" spans="1:12" x14ac:dyDescent="0.3">
      <c r="A265" s="160">
        <v>2297</v>
      </c>
      <c r="B265" t="s">
        <v>15445</v>
      </c>
      <c r="C265" t="s">
        <v>265</v>
      </c>
      <c r="D265">
        <v>0.6</v>
      </c>
      <c r="E265">
        <v>0.1</v>
      </c>
      <c r="F265">
        <f t="shared" si="4"/>
        <v>0.7</v>
      </c>
      <c r="I265">
        <v>20230701</v>
      </c>
      <c r="J265" t="s">
        <v>272</v>
      </c>
    </row>
    <row r="266" spans="1:12" x14ac:dyDescent="0.3">
      <c r="A266" s="160">
        <v>2302</v>
      </c>
      <c r="B266" t="s">
        <v>15446</v>
      </c>
      <c r="C266" t="s">
        <v>259</v>
      </c>
      <c r="D266">
        <v>0.6</v>
      </c>
      <c r="E266">
        <v>0</v>
      </c>
      <c r="F266">
        <f t="shared" si="4"/>
        <v>0.6</v>
      </c>
      <c r="I266">
        <v>20120901</v>
      </c>
      <c r="J266" t="s">
        <v>262</v>
      </c>
    </row>
    <row r="267" spans="1:12" x14ac:dyDescent="0.3">
      <c r="A267" s="160">
        <v>2303</v>
      </c>
      <c r="B267" t="s">
        <v>15447</v>
      </c>
      <c r="C267" t="s">
        <v>263</v>
      </c>
      <c r="D267">
        <v>0.8</v>
      </c>
      <c r="E267">
        <v>0.1</v>
      </c>
      <c r="F267">
        <f t="shared" si="4"/>
        <v>0.9</v>
      </c>
      <c r="I267">
        <v>20230701</v>
      </c>
      <c r="J267" t="s">
        <v>315</v>
      </c>
      <c r="K267" t="s">
        <v>316</v>
      </c>
    </row>
    <row r="268" spans="1:12" x14ac:dyDescent="0.3">
      <c r="A268" s="160">
        <v>2304</v>
      </c>
      <c r="B268" t="s">
        <v>15448</v>
      </c>
      <c r="C268" t="s">
        <v>249</v>
      </c>
      <c r="D268">
        <v>0.6</v>
      </c>
      <c r="E268">
        <v>0</v>
      </c>
      <c r="F268">
        <f t="shared" si="4"/>
        <v>0.6</v>
      </c>
      <c r="I268">
        <v>20230701</v>
      </c>
      <c r="J268" t="s">
        <v>252</v>
      </c>
    </row>
    <row r="269" spans="1:12" x14ac:dyDescent="0.3">
      <c r="A269" s="160">
        <v>2305</v>
      </c>
      <c r="B269" t="s">
        <v>15449</v>
      </c>
      <c r="C269" t="s">
        <v>265</v>
      </c>
      <c r="D269">
        <v>0.3</v>
      </c>
      <c r="E269">
        <v>0.1</v>
      </c>
      <c r="F269">
        <f t="shared" si="4"/>
        <v>0.4</v>
      </c>
      <c r="I269">
        <v>20230701</v>
      </c>
      <c r="J269" t="s">
        <v>285</v>
      </c>
    </row>
    <row r="270" spans="1:12" x14ac:dyDescent="0.3">
      <c r="A270" s="160">
        <v>2307</v>
      </c>
      <c r="B270" t="s">
        <v>15450</v>
      </c>
      <c r="C270" t="s">
        <v>259</v>
      </c>
      <c r="D270">
        <v>0.6</v>
      </c>
      <c r="E270">
        <v>0</v>
      </c>
      <c r="F270">
        <f t="shared" si="4"/>
        <v>0.6</v>
      </c>
      <c r="I270">
        <v>20200701</v>
      </c>
      <c r="J270" t="s">
        <v>317</v>
      </c>
      <c r="K270" t="s">
        <v>309</v>
      </c>
    </row>
    <row r="271" spans="1:12" x14ac:dyDescent="0.3">
      <c r="A271" s="160">
        <v>2309</v>
      </c>
      <c r="B271" t="s">
        <v>15451</v>
      </c>
      <c r="C271" t="s">
        <v>293</v>
      </c>
      <c r="D271">
        <v>0.6</v>
      </c>
      <c r="E271">
        <v>0</v>
      </c>
      <c r="F271">
        <f t="shared" si="4"/>
        <v>0.6</v>
      </c>
      <c r="I271">
        <v>20190101</v>
      </c>
      <c r="J271" t="s">
        <v>268</v>
      </c>
    </row>
    <row r="272" spans="1:12" x14ac:dyDescent="0.3">
      <c r="A272" s="160">
        <v>2310</v>
      </c>
      <c r="B272" t="s">
        <v>15452</v>
      </c>
      <c r="C272" t="s">
        <v>263</v>
      </c>
      <c r="D272">
        <v>0.8</v>
      </c>
      <c r="E272">
        <v>0.1</v>
      </c>
      <c r="F272">
        <f t="shared" si="4"/>
        <v>0.9</v>
      </c>
      <c r="I272">
        <v>20230701</v>
      </c>
      <c r="J272" t="s">
        <v>311</v>
      </c>
    </row>
    <row r="273" spans="1:13" x14ac:dyDescent="0.3">
      <c r="A273" s="160">
        <v>2315</v>
      </c>
      <c r="B273" t="s">
        <v>15453</v>
      </c>
      <c r="C273" t="s">
        <v>263</v>
      </c>
      <c r="D273">
        <v>0.8</v>
      </c>
      <c r="E273">
        <v>0.1</v>
      </c>
      <c r="F273">
        <f t="shared" si="4"/>
        <v>0.9</v>
      </c>
      <c r="I273">
        <v>20230701</v>
      </c>
      <c r="J273" t="s">
        <v>318</v>
      </c>
    </row>
    <row r="274" spans="1:13" x14ac:dyDescent="0.3">
      <c r="A274" s="160">
        <v>2316</v>
      </c>
      <c r="B274" t="s">
        <v>15454</v>
      </c>
      <c r="C274" t="s">
        <v>259</v>
      </c>
      <c r="D274">
        <v>0.6</v>
      </c>
      <c r="E274">
        <v>0</v>
      </c>
      <c r="F274">
        <f t="shared" si="4"/>
        <v>0.6</v>
      </c>
      <c r="I274">
        <v>20120901</v>
      </c>
      <c r="J274" t="s">
        <v>262</v>
      </c>
    </row>
    <row r="275" spans="1:13" x14ac:dyDescent="0.3">
      <c r="A275" s="160">
        <v>2317</v>
      </c>
      <c r="B275" t="s">
        <v>15455</v>
      </c>
      <c r="C275" t="s">
        <v>256</v>
      </c>
      <c r="D275">
        <v>0</v>
      </c>
      <c r="E275">
        <v>0.1</v>
      </c>
      <c r="F275">
        <f t="shared" si="4"/>
        <v>0.1</v>
      </c>
      <c r="I275">
        <v>20180901</v>
      </c>
      <c r="J275" t="s">
        <v>270</v>
      </c>
    </row>
    <row r="276" spans="1:13" x14ac:dyDescent="0.3">
      <c r="A276" s="160">
        <v>2319</v>
      </c>
      <c r="B276" t="s">
        <v>15456</v>
      </c>
      <c r="C276" t="s">
        <v>263</v>
      </c>
      <c r="D276">
        <v>0.8</v>
      </c>
      <c r="E276">
        <v>0.1</v>
      </c>
      <c r="F276">
        <f t="shared" si="4"/>
        <v>0.9</v>
      </c>
      <c r="I276">
        <v>20230701</v>
      </c>
      <c r="J276" t="s">
        <v>311</v>
      </c>
    </row>
    <row r="277" spans="1:13" x14ac:dyDescent="0.3">
      <c r="A277" s="160">
        <v>2320</v>
      </c>
      <c r="B277" t="s">
        <v>15457</v>
      </c>
      <c r="C277" t="s">
        <v>263</v>
      </c>
      <c r="D277">
        <v>0.8</v>
      </c>
      <c r="E277">
        <v>0.1</v>
      </c>
      <c r="F277">
        <f t="shared" si="4"/>
        <v>0.9</v>
      </c>
      <c r="I277">
        <v>20230701</v>
      </c>
      <c r="J277" t="s">
        <v>295</v>
      </c>
    </row>
    <row r="278" spans="1:13" x14ac:dyDescent="0.3">
      <c r="A278" s="160">
        <v>2322</v>
      </c>
      <c r="B278" t="s">
        <v>15458</v>
      </c>
      <c r="C278" t="s">
        <v>263</v>
      </c>
      <c r="D278">
        <v>0.8</v>
      </c>
      <c r="E278">
        <v>0.1</v>
      </c>
      <c r="F278">
        <f t="shared" si="4"/>
        <v>0.9</v>
      </c>
      <c r="I278">
        <v>20230701</v>
      </c>
      <c r="J278" t="s">
        <v>311</v>
      </c>
    </row>
    <row r="279" spans="1:13" x14ac:dyDescent="0.3">
      <c r="A279" s="160">
        <v>2323</v>
      </c>
      <c r="B279" t="s">
        <v>15459</v>
      </c>
      <c r="C279" t="s">
        <v>256</v>
      </c>
      <c r="D279">
        <v>0</v>
      </c>
      <c r="E279">
        <v>0.1</v>
      </c>
      <c r="F279">
        <f t="shared" si="4"/>
        <v>0.1</v>
      </c>
      <c r="I279">
        <v>20180901</v>
      </c>
      <c r="J279" t="s">
        <v>311</v>
      </c>
    </row>
    <row r="280" spans="1:13" x14ac:dyDescent="0.3">
      <c r="A280" s="160">
        <v>2326</v>
      </c>
      <c r="B280" t="s">
        <v>15460</v>
      </c>
      <c r="C280" t="s">
        <v>253</v>
      </c>
      <c r="D280">
        <v>0.6</v>
      </c>
      <c r="E280">
        <v>0.1</v>
      </c>
      <c r="F280">
        <f t="shared" si="4"/>
        <v>0.7</v>
      </c>
      <c r="I280">
        <v>20230701</v>
      </c>
      <c r="J280" t="s">
        <v>260</v>
      </c>
    </row>
    <row r="281" spans="1:13" x14ac:dyDescent="0.3">
      <c r="A281" s="160">
        <v>2328</v>
      </c>
      <c r="B281" t="s">
        <v>15461</v>
      </c>
      <c r="C281" t="s">
        <v>265</v>
      </c>
      <c r="D281">
        <v>0.6</v>
      </c>
      <c r="E281">
        <v>0.1</v>
      </c>
      <c r="F281">
        <f t="shared" si="4"/>
        <v>0.7</v>
      </c>
      <c r="I281">
        <v>20230701</v>
      </c>
      <c r="J281" t="s">
        <v>310</v>
      </c>
    </row>
    <row r="282" spans="1:13" x14ac:dyDescent="0.3">
      <c r="A282" s="160">
        <v>2329</v>
      </c>
      <c r="B282" t="s">
        <v>15462</v>
      </c>
      <c r="C282" t="s">
        <v>249</v>
      </c>
      <c r="D282">
        <v>0.6</v>
      </c>
      <c r="E282">
        <v>0</v>
      </c>
      <c r="F282">
        <f t="shared" si="4"/>
        <v>0.6</v>
      </c>
      <c r="I282">
        <v>20240701</v>
      </c>
      <c r="J282" t="s">
        <v>284</v>
      </c>
    </row>
    <row r="283" spans="1:13" x14ac:dyDescent="0.3">
      <c r="A283" s="160">
        <v>2330</v>
      </c>
      <c r="B283" t="s">
        <v>15463</v>
      </c>
      <c r="C283" t="s">
        <v>256</v>
      </c>
      <c r="D283">
        <v>0</v>
      </c>
      <c r="E283">
        <v>0.1</v>
      </c>
      <c r="F283">
        <f t="shared" si="4"/>
        <v>0.1</v>
      </c>
      <c r="I283">
        <v>20180901</v>
      </c>
      <c r="J283" t="s">
        <v>319</v>
      </c>
    </row>
    <row r="284" spans="1:13" x14ac:dyDescent="0.3">
      <c r="A284" s="160">
        <v>2332</v>
      </c>
      <c r="B284" t="s">
        <v>15464</v>
      </c>
      <c r="C284" t="s">
        <v>265</v>
      </c>
      <c r="D284">
        <v>0.3</v>
      </c>
      <c r="E284">
        <v>0.1</v>
      </c>
      <c r="F284">
        <f t="shared" si="4"/>
        <v>0.4</v>
      </c>
      <c r="I284">
        <v>20230701</v>
      </c>
      <c r="J284" t="s">
        <v>285</v>
      </c>
    </row>
    <row r="285" spans="1:13" x14ac:dyDescent="0.3">
      <c r="A285" s="160">
        <v>2335</v>
      </c>
      <c r="B285" t="s">
        <v>15465</v>
      </c>
      <c r="C285" t="s">
        <v>249</v>
      </c>
      <c r="D285">
        <v>0.6</v>
      </c>
      <c r="E285">
        <v>0</v>
      </c>
      <c r="F285">
        <f t="shared" si="4"/>
        <v>0.6</v>
      </c>
      <c r="I285">
        <v>20230701</v>
      </c>
      <c r="J285" t="s">
        <v>252</v>
      </c>
    </row>
    <row r="286" spans="1:13" x14ac:dyDescent="0.3">
      <c r="A286" s="160">
        <v>2336</v>
      </c>
      <c r="B286" t="s">
        <v>15466</v>
      </c>
      <c r="C286" t="s">
        <v>249</v>
      </c>
      <c r="D286">
        <v>0.6</v>
      </c>
      <c r="E286">
        <v>0</v>
      </c>
      <c r="F286">
        <f t="shared" si="4"/>
        <v>0.6</v>
      </c>
      <c r="I286">
        <v>20230701</v>
      </c>
      <c r="J286" t="s">
        <v>261</v>
      </c>
    </row>
    <row r="287" spans="1:13" x14ac:dyDescent="0.3">
      <c r="A287" s="160">
        <v>2339</v>
      </c>
      <c r="B287" t="s">
        <v>15467</v>
      </c>
      <c r="C287" t="s">
        <v>265</v>
      </c>
      <c r="D287">
        <v>0.3</v>
      </c>
      <c r="E287">
        <v>0.1</v>
      </c>
      <c r="F287">
        <f t="shared" si="4"/>
        <v>0.4</v>
      </c>
      <c r="I287">
        <v>20230701</v>
      </c>
      <c r="J287" t="s">
        <v>292</v>
      </c>
    </row>
    <row r="288" spans="1:13" x14ac:dyDescent="0.3">
      <c r="A288" s="160">
        <v>2340</v>
      </c>
      <c r="B288" t="s">
        <v>15468</v>
      </c>
      <c r="C288" t="s">
        <v>263</v>
      </c>
      <c r="D288">
        <v>0.8</v>
      </c>
      <c r="E288">
        <v>0.1</v>
      </c>
      <c r="F288">
        <f t="shared" si="4"/>
        <v>0.9</v>
      </c>
      <c r="I288">
        <v>20230701</v>
      </c>
      <c r="J288" t="s">
        <v>320</v>
      </c>
      <c r="K288" t="s">
        <v>321</v>
      </c>
      <c r="L288" t="s">
        <v>322</v>
      </c>
      <c r="M288" t="s">
        <v>323</v>
      </c>
    </row>
    <row r="289" spans="1:13" x14ac:dyDescent="0.3">
      <c r="A289" s="160">
        <v>2345</v>
      </c>
      <c r="B289" t="s">
        <v>15469</v>
      </c>
      <c r="C289" t="s">
        <v>256</v>
      </c>
      <c r="D289">
        <v>0</v>
      </c>
      <c r="E289">
        <v>0.1</v>
      </c>
      <c r="F289">
        <f t="shared" si="4"/>
        <v>0.1</v>
      </c>
      <c r="I289">
        <v>20180901</v>
      </c>
      <c r="J289" t="s">
        <v>281</v>
      </c>
    </row>
    <row r="290" spans="1:13" x14ac:dyDescent="0.3">
      <c r="A290" s="160">
        <v>2347</v>
      </c>
      <c r="B290" t="s">
        <v>15470</v>
      </c>
      <c r="C290" t="s">
        <v>265</v>
      </c>
      <c r="D290">
        <v>0.6</v>
      </c>
      <c r="E290">
        <v>0.1</v>
      </c>
      <c r="F290">
        <f t="shared" si="4"/>
        <v>0.7</v>
      </c>
      <c r="I290">
        <v>20230701</v>
      </c>
      <c r="J290" t="s">
        <v>272</v>
      </c>
      <c r="K290" t="s">
        <v>273</v>
      </c>
    </row>
    <row r="291" spans="1:13" x14ac:dyDescent="0.3">
      <c r="A291" s="160">
        <v>2351</v>
      </c>
      <c r="B291" t="s">
        <v>15471</v>
      </c>
      <c r="C291" t="s">
        <v>265</v>
      </c>
      <c r="D291">
        <v>0.3</v>
      </c>
      <c r="E291">
        <v>0.1</v>
      </c>
      <c r="F291">
        <f t="shared" si="4"/>
        <v>0.4</v>
      </c>
      <c r="I291">
        <v>20230701</v>
      </c>
      <c r="J291" t="s">
        <v>285</v>
      </c>
    </row>
    <row r="292" spans="1:13" x14ac:dyDescent="0.3">
      <c r="A292" s="160">
        <v>2355</v>
      </c>
      <c r="B292" t="s">
        <v>15472</v>
      </c>
      <c r="C292" t="s">
        <v>256</v>
      </c>
      <c r="D292">
        <v>0</v>
      </c>
      <c r="E292">
        <v>0.1</v>
      </c>
      <c r="F292">
        <f t="shared" si="4"/>
        <v>0.1</v>
      </c>
      <c r="I292">
        <v>20180901</v>
      </c>
      <c r="J292" t="s">
        <v>315</v>
      </c>
      <c r="K292" t="s">
        <v>316</v>
      </c>
    </row>
    <row r="293" spans="1:13" x14ac:dyDescent="0.3">
      <c r="A293" s="160">
        <v>2356</v>
      </c>
      <c r="B293" t="s">
        <v>15473</v>
      </c>
      <c r="C293" t="s">
        <v>265</v>
      </c>
      <c r="D293">
        <v>0.3</v>
      </c>
      <c r="E293">
        <v>0.1</v>
      </c>
      <c r="F293">
        <f t="shared" si="4"/>
        <v>0.4</v>
      </c>
      <c r="I293">
        <v>20230701</v>
      </c>
      <c r="J293" t="s">
        <v>266</v>
      </c>
    </row>
    <row r="294" spans="1:13" x14ac:dyDescent="0.3">
      <c r="A294" s="160">
        <v>2359</v>
      </c>
      <c r="B294" t="s">
        <v>15474</v>
      </c>
      <c r="C294" t="s">
        <v>263</v>
      </c>
      <c r="D294">
        <v>0.8</v>
      </c>
      <c r="E294">
        <v>0.1</v>
      </c>
      <c r="F294">
        <f t="shared" si="4"/>
        <v>0.9</v>
      </c>
      <c r="I294">
        <v>20230701</v>
      </c>
      <c r="J294" t="s">
        <v>295</v>
      </c>
    </row>
    <row r="295" spans="1:13" x14ac:dyDescent="0.3">
      <c r="A295" s="160">
        <v>2362</v>
      </c>
      <c r="B295" t="s">
        <v>15475</v>
      </c>
      <c r="C295" t="s">
        <v>249</v>
      </c>
      <c r="D295">
        <v>0.6</v>
      </c>
      <c r="E295">
        <v>0</v>
      </c>
      <c r="F295">
        <f t="shared" si="4"/>
        <v>0.6</v>
      </c>
      <c r="I295">
        <v>20230701</v>
      </c>
      <c r="J295" t="s">
        <v>250</v>
      </c>
    </row>
    <row r="296" spans="1:13" x14ac:dyDescent="0.3">
      <c r="A296" s="160">
        <v>2367</v>
      </c>
      <c r="B296" t="s">
        <v>15476</v>
      </c>
      <c r="C296" t="s">
        <v>263</v>
      </c>
      <c r="D296">
        <v>0.8</v>
      </c>
      <c r="E296">
        <v>0.1</v>
      </c>
      <c r="F296">
        <f t="shared" si="4"/>
        <v>0.9</v>
      </c>
      <c r="I296">
        <v>20230701</v>
      </c>
      <c r="J296" t="s">
        <v>264</v>
      </c>
    </row>
    <row r="297" spans="1:13" x14ac:dyDescent="0.3">
      <c r="A297" s="160">
        <v>2368</v>
      </c>
      <c r="B297" t="s">
        <v>15477</v>
      </c>
      <c r="C297" t="s">
        <v>259</v>
      </c>
      <c r="D297">
        <v>0.6</v>
      </c>
      <c r="E297">
        <v>0</v>
      </c>
      <c r="F297">
        <f t="shared" si="4"/>
        <v>0.6</v>
      </c>
      <c r="I297">
        <v>20170101</v>
      </c>
      <c r="J297" t="s">
        <v>262</v>
      </c>
      <c r="K297" t="s">
        <v>309</v>
      </c>
    </row>
    <row r="298" spans="1:13" x14ac:dyDescent="0.3">
      <c r="A298" s="160">
        <v>2370</v>
      </c>
      <c r="B298" t="s">
        <v>15478</v>
      </c>
      <c r="C298" t="s">
        <v>256</v>
      </c>
      <c r="D298">
        <v>0</v>
      </c>
      <c r="E298">
        <v>0.1</v>
      </c>
      <c r="F298">
        <f t="shared" si="4"/>
        <v>0.1</v>
      </c>
      <c r="I298">
        <v>20180901</v>
      </c>
      <c r="J298" t="s">
        <v>276</v>
      </c>
    </row>
    <row r="299" spans="1:13" x14ac:dyDescent="0.3">
      <c r="A299" s="160">
        <v>2371</v>
      </c>
      <c r="B299" t="s">
        <v>15479</v>
      </c>
      <c r="C299" t="s">
        <v>263</v>
      </c>
      <c r="D299">
        <v>0.8</v>
      </c>
      <c r="E299">
        <v>0.1</v>
      </c>
      <c r="F299">
        <f t="shared" si="4"/>
        <v>0.9</v>
      </c>
      <c r="I299">
        <v>20230701</v>
      </c>
      <c r="J299" t="s">
        <v>315</v>
      </c>
      <c r="K299" t="s">
        <v>324</v>
      </c>
      <c r="L299" t="s">
        <v>325</v>
      </c>
      <c r="M299" t="s">
        <v>322</v>
      </c>
    </row>
    <row r="300" spans="1:13" x14ac:dyDescent="0.3">
      <c r="A300" s="160">
        <v>2374</v>
      </c>
      <c r="B300" t="s">
        <v>15480</v>
      </c>
      <c r="C300" t="s">
        <v>256</v>
      </c>
      <c r="D300">
        <v>0</v>
      </c>
      <c r="E300">
        <v>0.1</v>
      </c>
      <c r="F300">
        <f t="shared" si="4"/>
        <v>0.1</v>
      </c>
      <c r="I300">
        <v>20180901</v>
      </c>
      <c r="J300" t="s">
        <v>276</v>
      </c>
    </row>
    <row r="301" spans="1:13" x14ac:dyDescent="0.3">
      <c r="A301" s="160">
        <v>2375</v>
      </c>
      <c r="B301" t="s">
        <v>15481</v>
      </c>
      <c r="C301" t="s">
        <v>265</v>
      </c>
      <c r="D301">
        <v>0.3</v>
      </c>
      <c r="E301">
        <v>0.1</v>
      </c>
      <c r="F301">
        <f t="shared" si="4"/>
        <v>0.4</v>
      </c>
      <c r="I301">
        <v>20230701</v>
      </c>
      <c r="J301" t="s">
        <v>292</v>
      </c>
    </row>
    <row r="302" spans="1:13" x14ac:dyDescent="0.3">
      <c r="A302" s="160">
        <v>2376</v>
      </c>
      <c r="B302" t="s">
        <v>15482</v>
      </c>
      <c r="C302" t="s">
        <v>256</v>
      </c>
      <c r="D302">
        <v>0</v>
      </c>
      <c r="E302">
        <v>0.1</v>
      </c>
      <c r="F302">
        <f t="shared" si="4"/>
        <v>0.1</v>
      </c>
      <c r="I302">
        <v>20180901</v>
      </c>
      <c r="J302" t="s">
        <v>282</v>
      </c>
    </row>
    <row r="303" spans="1:13" x14ac:dyDescent="0.3">
      <c r="A303" s="160">
        <v>2380</v>
      </c>
      <c r="B303" t="s">
        <v>15483</v>
      </c>
      <c r="C303" t="s">
        <v>256</v>
      </c>
      <c r="D303">
        <v>0</v>
      </c>
      <c r="E303">
        <v>0.1</v>
      </c>
      <c r="F303">
        <f t="shared" si="4"/>
        <v>0.1</v>
      </c>
      <c r="I303">
        <v>20180901</v>
      </c>
      <c r="J303" t="s">
        <v>281</v>
      </c>
    </row>
    <row r="304" spans="1:13" x14ac:dyDescent="0.3">
      <c r="A304" s="160">
        <v>2382</v>
      </c>
      <c r="B304" t="s">
        <v>15484</v>
      </c>
      <c r="C304" t="s">
        <v>256</v>
      </c>
      <c r="D304">
        <v>0</v>
      </c>
      <c r="E304">
        <v>0.1</v>
      </c>
      <c r="F304">
        <f t="shared" si="4"/>
        <v>0.1</v>
      </c>
      <c r="I304">
        <v>20180901</v>
      </c>
      <c r="J304" t="s">
        <v>319</v>
      </c>
    </row>
    <row r="305" spans="1:23" x14ac:dyDescent="0.3">
      <c r="A305" s="160">
        <v>2383</v>
      </c>
      <c r="B305" t="s">
        <v>15485</v>
      </c>
      <c r="C305" t="s">
        <v>263</v>
      </c>
      <c r="D305">
        <v>0.8</v>
      </c>
      <c r="E305">
        <v>0.1</v>
      </c>
      <c r="F305">
        <f t="shared" si="4"/>
        <v>0.9</v>
      </c>
      <c r="I305">
        <v>20230701</v>
      </c>
      <c r="J305" t="s">
        <v>326</v>
      </c>
      <c r="K305" t="s">
        <v>321</v>
      </c>
      <c r="L305" t="s">
        <v>327</v>
      </c>
    </row>
    <row r="306" spans="1:23" x14ac:dyDescent="0.3">
      <c r="A306" s="160">
        <v>2387</v>
      </c>
      <c r="B306" t="s">
        <v>15486</v>
      </c>
      <c r="C306" t="s">
        <v>256</v>
      </c>
      <c r="D306">
        <v>0</v>
      </c>
      <c r="E306">
        <v>0.1</v>
      </c>
      <c r="F306">
        <f t="shared" si="4"/>
        <v>0.1</v>
      </c>
      <c r="I306">
        <v>20180901</v>
      </c>
      <c r="J306" t="s">
        <v>326</v>
      </c>
      <c r="K306" t="s">
        <v>257</v>
      </c>
      <c r="L306" t="s">
        <v>321</v>
      </c>
      <c r="M306" t="s">
        <v>322</v>
      </c>
    </row>
    <row r="307" spans="1:23" x14ac:dyDescent="0.3">
      <c r="A307" s="160">
        <v>2389</v>
      </c>
      <c r="B307" t="s">
        <v>15487</v>
      </c>
      <c r="C307" t="s">
        <v>265</v>
      </c>
      <c r="D307">
        <v>0.3</v>
      </c>
      <c r="E307">
        <v>0.1</v>
      </c>
      <c r="F307">
        <f t="shared" si="4"/>
        <v>0.4</v>
      </c>
      <c r="I307">
        <v>20230701</v>
      </c>
      <c r="J307" t="s">
        <v>274</v>
      </c>
    </row>
    <row r="308" spans="1:23" x14ac:dyDescent="0.3">
      <c r="A308" s="160">
        <v>2390</v>
      </c>
      <c r="B308" t="s">
        <v>15488</v>
      </c>
      <c r="C308" t="s">
        <v>256</v>
      </c>
      <c r="D308">
        <v>0</v>
      </c>
      <c r="E308">
        <v>0.1</v>
      </c>
      <c r="F308">
        <f t="shared" si="4"/>
        <v>0.1</v>
      </c>
      <c r="I308">
        <v>20180901</v>
      </c>
      <c r="J308" t="s">
        <v>269</v>
      </c>
    </row>
    <row r="309" spans="1:23" x14ac:dyDescent="0.3">
      <c r="A309" s="160">
        <v>2392</v>
      </c>
      <c r="B309" t="s">
        <v>15489</v>
      </c>
      <c r="C309" t="s">
        <v>256</v>
      </c>
      <c r="D309">
        <v>0</v>
      </c>
      <c r="E309">
        <v>0.1</v>
      </c>
      <c r="F309">
        <f t="shared" si="4"/>
        <v>0.1</v>
      </c>
      <c r="I309">
        <v>20180901</v>
      </c>
      <c r="J309" t="s">
        <v>276</v>
      </c>
    </row>
    <row r="310" spans="1:23" x14ac:dyDescent="0.3">
      <c r="A310" s="160">
        <v>2397</v>
      </c>
      <c r="B310" t="s">
        <v>15490</v>
      </c>
      <c r="C310" t="s">
        <v>263</v>
      </c>
      <c r="D310">
        <v>0.8</v>
      </c>
      <c r="E310">
        <v>0.1</v>
      </c>
      <c r="F310">
        <f t="shared" si="4"/>
        <v>0.9</v>
      </c>
      <c r="I310">
        <v>20230701</v>
      </c>
      <c r="J310" t="s">
        <v>264</v>
      </c>
    </row>
    <row r="311" spans="1:23" x14ac:dyDescent="0.3">
      <c r="A311" s="160">
        <v>2398</v>
      </c>
      <c r="B311" t="s">
        <v>15491</v>
      </c>
      <c r="C311" t="s">
        <v>253</v>
      </c>
      <c r="D311">
        <v>0.6</v>
      </c>
      <c r="E311">
        <v>0.1</v>
      </c>
      <c r="F311">
        <f t="shared" si="4"/>
        <v>0.7</v>
      </c>
      <c r="I311">
        <v>20230701</v>
      </c>
      <c r="J311" t="s">
        <v>291</v>
      </c>
    </row>
    <row r="312" spans="1:23" x14ac:dyDescent="0.3">
      <c r="A312" s="160">
        <v>2400</v>
      </c>
      <c r="B312" t="s">
        <v>15492</v>
      </c>
      <c r="C312" t="s">
        <v>256</v>
      </c>
      <c r="D312">
        <v>0</v>
      </c>
      <c r="E312">
        <v>0.1</v>
      </c>
      <c r="F312">
        <f t="shared" si="4"/>
        <v>0.1</v>
      </c>
      <c r="I312">
        <v>20180901</v>
      </c>
      <c r="J312" t="s">
        <v>291</v>
      </c>
    </row>
    <row r="313" spans="1:23" x14ac:dyDescent="0.3">
      <c r="A313" s="160">
        <v>2407</v>
      </c>
      <c r="B313" t="s">
        <v>15493</v>
      </c>
      <c r="C313" t="s">
        <v>293</v>
      </c>
      <c r="D313">
        <v>0.6</v>
      </c>
      <c r="E313">
        <v>0</v>
      </c>
      <c r="F313">
        <f t="shared" si="4"/>
        <v>0.6</v>
      </c>
      <c r="I313">
        <v>20190101</v>
      </c>
      <c r="J313" t="s">
        <v>271</v>
      </c>
    </row>
    <row r="314" spans="1:23" x14ac:dyDescent="0.3">
      <c r="A314" s="160">
        <v>2408</v>
      </c>
      <c r="B314" t="s">
        <v>15494</v>
      </c>
      <c r="C314" t="s">
        <v>293</v>
      </c>
      <c r="D314">
        <v>0.6</v>
      </c>
      <c r="E314">
        <v>0</v>
      </c>
      <c r="F314">
        <f t="shared" si="4"/>
        <v>0.6</v>
      </c>
      <c r="I314">
        <v>20190101</v>
      </c>
      <c r="J314" t="s">
        <v>271</v>
      </c>
      <c r="K314" t="s">
        <v>328</v>
      </c>
      <c r="L314" t="s">
        <v>297</v>
      </c>
      <c r="M314" t="s">
        <v>298</v>
      </c>
      <c r="N314" t="s">
        <v>299</v>
      </c>
      <c r="O314" t="s">
        <v>329</v>
      </c>
      <c r="P314" t="s">
        <v>330</v>
      </c>
      <c r="Q314" t="s">
        <v>294</v>
      </c>
      <c r="R314" t="s">
        <v>331</v>
      </c>
      <c r="S314" t="s">
        <v>332</v>
      </c>
      <c r="T314" t="s">
        <v>300</v>
      </c>
      <c r="U314" t="s">
        <v>333</v>
      </c>
      <c r="V314" t="s">
        <v>334</v>
      </c>
      <c r="W314" t="s">
        <v>301</v>
      </c>
    </row>
    <row r="315" spans="1:23" x14ac:dyDescent="0.3">
      <c r="A315" s="160">
        <v>2410</v>
      </c>
      <c r="B315" t="s">
        <v>15495</v>
      </c>
      <c r="C315" t="s">
        <v>259</v>
      </c>
      <c r="D315">
        <v>0.6</v>
      </c>
      <c r="E315">
        <v>0</v>
      </c>
      <c r="F315">
        <f t="shared" si="4"/>
        <v>0.6</v>
      </c>
      <c r="I315">
        <v>20120901</v>
      </c>
      <c r="J315" t="s">
        <v>262</v>
      </c>
    </row>
    <row r="316" spans="1:23" x14ac:dyDescent="0.3">
      <c r="A316" s="160">
        <v>2411</v>
      </c>
      <c r="B316" t="s">
        <v>15496</v>
      </c>
      <c r="C316" t="s">
        <v>265</v>
      </c>
      <c r="D316">
        <v>0.3</v>
      </c>
      <c r="E316">
        <v>0.1</v>
      </c>
      <c r="F316">
        <f t="shared" si="4"/>
        <v>0.4</v>
      </c>
      <c r="I316">
        <v>20230701</v>
      </c>
      <c r="J316" t="s">
        <v>266</v>
      </c>
    </row>
    <row r="317" spans="1:23" x14ac:dyDescent="0.3">
      <c r="A317" s="160">
        <v>2413</v>
      </c>
      <c r="B317" t="s">
        <v>15497</v>
      </c>
      <c r="C317" t="s">
        <v>293</v>
      </c>
      <c r="D317">
        <v>0.6</v>
      </c>
      <c r="E317">
        <v>0</v>
      </c>
      <c r="F317">
        <f t="shared" si="4"/>
        <v>0.6</v>
      </c>
      <c r="I317">
        <v>20190101</v>
      </c>
      <c r="J317" t="s">
        <v>267</v>
      </c>
    </row>
    <row r="318" spans="1:23" x14ac:dyDescent="0.3">
      <c r="A318" s="160">
        <v>2415</v>
      </c>
      <c r="B318" t="s">
        <v>15498</v>
      </c>
      <c r="C318" t="s">
        <v>259</v>
      </c>
      <c r="D318">
        <v>0.6</v>
      </c>
      <c r="E318">
        <v>0.1</v>
      </c>
      <c r="F318">
        <f t="shared" si="4"/>
        <v>0.7</v>
      </c>
      <c r="I318">
        <v>20230701</v>
      </c>
      <c r="J318" t="s">
        <v>262</v>
      </c>
    </row>
    <row r="319" spans="1:23" x14ac:dyDescent="0.3">
      <c r="A319" s="160">
        <v>2420</v>
      </c>
      <c r="B319" t="s">
        <v>15499</v>
      </c>
      <c r="C319" t="s">
        <v>263</v>
      </c>
      <c r="D319">
        <v>0.8</v>
      </c>
      <c r="E319">
        <v>0.1</v>
      </c>
      <c r="F319">
        <f t="shared" si="4"/>
        <v>0.9</v>
      </c>
      <c r="I319">
        <v>20230701</v>
      </c>
      <c r="J319" t="s">
        <v>315</v>
      </c>
    </row>
    <row r="320" spans="1:23" x14ac:dyDescent="0.3">
      <c r="A320" s="160">
        <v>2421</v>
      </c>
      <c r="B320" t="s">
        <v>15500</v>
      </c>
      <c r="C320" t="s">
        <v>256</v>
      </c>
      <c r="D320">
        <v>0</v>
      </c>
      <c r="E320">
        <v>0.1</v>
      </c>
      <c r="F320">
        <f t="shared" si="4"/>
        <v>0.1</v>
      </c>
      <c r="I320">
        <v>20180901</v>
      </c>
      <c r="J320" t="s">
        <v>307</v>
      </c>
    </row>
    <row r="321" spans="1:11" x14ac:dyDescent="0.3">
      <c r="A321" s="160">
        <v>2423</v>
      </c>
      <c r="B321" t="s">
        <v>15501</v>
      </c>
      <c r="C321" t="s">
        <v>256</v>
      </c>
      <c r="D321">
        <v>0</v>
      </c>
      <c r="E321">
        <v>0.1</v>
      </c>
      <c r="F321">
        <f t="shared" si="4"/>
        <v>0.1</v>
      </c>
      <c r="I321">
        <v>20180901</v>
      </c>
      <c r="J321" t="s">
        <v>335</v>
      </c>
    </row>
    <row r="322" spans="1:11" x14ac:dyDescent="0.3">
      <c r="A322" s="160">
        <v>2424</v>
      </c>
      <c r="B322" t="s">
        <v>15502</v>
      </c>
      <c r="C322" t="s">
        <v>253</v>
      </c>
      <c r="D322">
        <v>0.6</v>
      </c>
      <c r="E322">
        <v>0.1</v>
      </c>
      <c r="F322">
        <f t="shared" si="4"/>
        <v>0.7</v>
      </c>
      <c r="I322">
        <v>20230701</v>
      </c>
      <c r="J322" t="s">
        <v>291</v>
      </c>
    </row>
    <row r="323" spans="1:11" x14ac:dyDescent="0.3">
      <c r="A323" s="160">
        <v>2426</v>
      </c>
      <c r="B323" t="s">
        <v>15503</v>
      </c>
      <c r="C323" t="s">
        <v>256</v>
      </c>
      <c r="D323">
        <v>0</v>
      </c>
      <c r="E323">
        <v>0.1</v>
      </c>
      <c r="F323">
        <f t="shared" si="4"/>
        <v>0.1</v>
      </c>
      <c r="I323">
        <v>20180901</v>
      </c>
      <c r="J323" t="s">
        <v>276</v>
      </c>
    </row>
    <row r="324" spans="1:11" x14ac:dyDescent="0.3">
      <c r="A324" s="160">
        <v>2428</v>
      </c>
      <c r="B324" t="s">
        <v>15504</v>
      </c>
      <c r="C324" t="s">
        <v>265</v>
      </c>
      <c r="D324">
        <v>0.3</v>
      </c>
      <c r="E324">
        <v>0.1</v>
      </c>
      <c r="F324">
        <f t="shared" si="4"/>
        <v>0.4</v>
      </c>
      <c r="I324">
        <v>20230701</v>
      </c>
      <c r="J324" t="s">
        <v>292</v>
      </c>
    </row>
    <row r="325" spans="1:11" x14ac:dyDescent="0.3">
      <c r="A325" s="160">
        <v>2429</v>
      </c>
      <c r="B325" t="s">
        <v>15505</v>
      </c>
      <c r="C325" t="s">
        <v>293</v>
      </c>
      <c r="D325">
        <v>0.6</v>
      </c>
      <c r="E325">
        <v>0</v>
      </c>
      <c r="F325">
        <f t="shared" si="4"/>
        <v>0.6</v>
      </c>
      <c r="I325">
        <v>20240101</v>
      </c>
      <c r="J325" t="s">
        <v>267</v>
      </c>
    </row>
    <row r="326" spans="1:11" x14ac:dyDescent="0.3">
      <c r="A326" s="160">
        <v>2431</v>
      </c>
      <c r="B326" t="s">
        <v>15506</v>
      </c>
      <c r="C326" t="s">
        <v>249</v>
      </c>
      <c r="D326">
        <v>0.6</v>
      </c>
      <c r="E326">
        <v>0</v>
      </c>
      <c r="F326">
        <f t="shared" si="4"/>
        <v>0.6</v>
      </c>
      <c r="I326">
        <v>20230701</v>
      </c>
      <c r="J326" t="s">
        <v>261</v>
      </c>
    </row>
    <row r="327" spans="1:11" x14ac:dyDescent="0.3">
      <c r="A327" s="160">
        <v>2438</v>
      </c>
      <c r="B327" t="s">
        <v>15507</v>
      </c>
      <c r="C327" t="s">
        <v>259</v>
      </c>
      <c r="D327">
        <v>0.6</v>
      </c>
      <c r="E327">
        <v>0</v>
      </c>
      <c r="F327">
        <f t="shared" ref="F327:F390" si="5">D327+E327</f>
        <v>0.6</v>
      </c>
      <c r="I327">
        <v>20120901</v>
      </c>
      <c r="J327" t="s">
        <v>262</v>
      </c>
    </row>
    <row r="328" spans="1:11" x14ac:dyDescent="0.3">
      <c r="A328" s="160">
        <v>2441</v>
      </c>
      <c r="B328" t="s">
        <v>15508</v>
      </c>
      <c r="C328" t="s">
        <v>259</v>
      </c>
      <c r="D328">
        <v>0.6</v>
      </c>
      <c r="E328">
        <v>0</v>
      </c>
      <c r="F328">
        <f t="shared" si="5"/>
        <v>0.6</v>
      </c>
      <c r="I328">
        <v>20120901</v>
      </c>
      <c r="J328" t="s">
        <v>262</v>
      </c>
    </row>
    <row r="329" spans="1:11" x14ac:dyDescent="0.3">
      <c r="A329" s="160">
        <v>2442</v>
      </c>
      <c r="B329" t="s">
        <v>15509</v>
      </c>
      <c r="C329" t="s">
        <v>265</v>
      </c>
      <c r="D329">
        <v>0.3</v>
      </c>
      <c r="E329">
        <v>0.1</v>
      </c>
      <c r="F329">
        <f t="shared" si="5"/>
        <v>0.4</v>
      </c>
      <c r="I329">
        <v>20230701</v>
      </c>
      <c r="J329" t="s">
        <v>285</v>
      </c>
    </row>
    <row r="330" spans="1:11" x14ac:dyDescent="0.3">
      <c r="A330" s="160">
        <v>2446</v>
      </c>
      <c r="B330" t="s">
        <v>15510</v>
      </c>
      <c r="C330" t="s">
        <v>256</v>
      </c>
      <c r="D330">
        <v>0</v>
      </c>
      <c r="E330">
        <v>0.1</v>
      </c>
      <c r="F330">
        <f t="shared" si="5"/>
        <v>0.1</v>
      </c>
      <c r="I330">
        <v>20180901</v>
      </c>
      <c r="J330" t="s">
        <v>281</v>
      </c>
    </row>
    <row r="331" spans="1:11" x14ac:dyDescent="0.3">
      <c r="A331" s="160">
        <v>2447</v>
      </c>
      <c r="B331" t="s">
        <v>15511</v>
      </c>
      <c r="C331" t="s">
        <v>256</v>
      </c>
      <c r="D331">
        <v>0</v>
      </c>
      <c r="E331">
        <v>0.1</v>
      </c>
      <c r="F331">
        <f t="shared" si="5"/>
        <v>0.1</v>
      </c>
      <c r="I331">
        <v>20240101</v>
      </c>
      <c r="J331" t="s">
        <v>307</v>
      </c>
    </row>
    <row r="332" spans="1:11" x14ac:dyDescent="0.3">
      <c r="A332" s="160">
        <v>2449</v>
      </c>
      <c r="B332" t="s">
        <v>15512</v>
      </c>
      <c r="C332" t="s">
        <v>259</v>
      </c>
      <c r="D332">
        <v>0.6</v>
      </c>
      <c r="E332">
        <v>0</v>
      </c>
      <c r="F332">
        <f t="shared" si="5"/>
        <v>0.6</v>
      </c>
      <c r="I332">
        <v>20200701</v>
      </c>
      <c r="J332" t="s">
        <v>312</v>
      </c>
    </row>
    <row r="333" spans="1:11" x14ac:dyDescent="0.3">
      <c r="A333" s="160">
        <v>2451</v>
      </c>
      <c r="B333" t="s">
        <v>15513</v>
      </c>
      <c r="C333" t="s">
        <v>256</v>
      </c>
      <c r="D333">
        <v>0</v>
      </c>
      <c r="E333">
        <v>0.1</v>
      </c>
      <c r="F333">
        <f t="shared" si="5"/>
        <v>0.1</v>
      </c>
      <c r="I333">
        <v>20180901</v>
      </c>
      <c r="J333" t="s">
        <v>276</v>
      </c>
    </row>
    <row r="334" spans="1:11" x14ac:dyDescent="0.3">
      <c r="A334" s="160">
        <v>2452</v>
      </c>
      <c r="B334" t="s">
        <v>15514</v>
      </c>
      <c r="C334" t="s">
        <v>256</v>
      </c>
      <c r="D334">
        <v>0</v>
      </c>
      <c r="E334">
        <v>0.1</v>
      </c>
      <c r="F334">
        <f t="shared" si="5"/>
        <v>0.1</v>
      </c>
      <c r="I334">
        <v>20180901</v>
      </c>
      <c r="J334" t="s">
        <v>269</v>
      </c>
    </row>
    <row r="335" spans="1:11" x14ac:dyDescent="0.3">
      <c r="A335" s="160">
        <v>2456</v>
      </c>
      <c r="B335" t="s">
        <v>15515</v>
      </c>
      <c r="C335" t="s">
        <v>249</v>
      </c>
      <c r="D335">
        <v>0.6</v>
      </c>
      <c r="E335">
        <v>0</v>
      </c>
      <c r="F335">
        <f t="shared" si="5"/>
        <v>0.6</v>
      </c>
      <c r="I335">
        <v>20230701</v>
      </c>
      <c r="J335" t="s">
        <v>250</v>
      </c>
    </row>
    <row r="336" spans="1:11" x14ac:dyDescent="0.3">
      <c r="A336" s="160">
        <v>2458</v>
      </c>
      <c r="B336" t="s">
        <v>15516</v>
      </c>
      <c r="C336" t="s">
        <v>265</v>
      </c>
      <c r="D336">
        <v>0.3</v>
      </c>
      <c r="E336">
        <v>0.1</v>
      </c>
      <c r="F336">
        <f t="shared" si="5"/>
        <v>0.4</v>
      </c>
      <c r="I336">
        <v>20230701</v>
      </c>
      <c r="J336" t="s">
        <v>275</v>
      </c>
      <c r="K336" t="s">
        <v>336</v>
      </c>
    </row>
    <row r="337" spans="1:11" x14ac:dyDescent="0.3">
      <c r="A337" s="160">
        <v>2459</v>
      </c>
      <c r="B337" t="s">
        <v>15517</v>
      </c>
      <c r="C337" t="s">
        <v>263</v>
      </c>
      <c r="D337">
        <v>0.8</v>
      </c>
      <c r="E337">
        <v>0.1</v>
      </c>
      <c r="F337">
        <f t="shared" si="5"/>
        <v>0.9</v>
      </c>
      <c r="I337">
        <v>20230701</v>
      </c>
      <c r="J337" t="s">
        <v>327</v>
      </c>
    </row>
    <row r="338" spans="1:11" x14ac:dyDescent="0.3">
      <c r="A338" s="160">
        <v>2461</v>
      </c>
      <c r="B338" t="s">
        <v>15518</v>
      </c>
      <c r="C338" t="s">
        <v>249</v>
      </c>
      <c r="D338">
        <v>0.6</v>
      </c>
      <c r="E338">
        <v>0</v>
      </c>
      <c r="F338">
        <f t="shared" si="5"/>
        <v>0.6</v>
      </c>
      <c r="I338">
        <v>20230701</v>
      </c>
      <c r="J338" t="s">
        <v>250</v>
      </c>
    </row>
    <row r="339" spans="1:11" x14ac:dyDescent="0.3">
      <c r="A339" s="160">
        <v>2462</v>
      </c>
      <c r="B339" t="s">
        <v>15519</v>
      </c>
      <c r="C339" t="s">
        <v>265</v>
      </c>
      <c r="D339">
        <v>0.3</v>
      </c>
      <c r="E339">
        <v>0.1</v>
      </c>
      <c r="F339">
        <f t="shared" si="5"/>
        <v>0.4</v>
      </c>
      <c r="I339">
        <v>20230701</v>
      </c>
      <c r="J339" t="s">
        <v>285</v>
      </c>
    </row>
    <row r="340" spans="1:11" x14ac:dyDescent="0.3">
      <c r="A340" s="160">
        <v>2464</v>
      </c>
      <c r="B340" t="s">
        <v>15520</v>
      </c>
      <c r="C340" t="s">
        <v>253</v>
      </c>
      <c r="D340">
        <v>0.6</v>
      </c>
      <c r="E340">
        <v>0.1</v>
      </c>
      <c r="F340">
        <f t="shared" si="5"/>
        <v>0.7</v>
      </c>
      <c r="I340">
        <v>20230701</v>
      </c>
      <c r="J340" t="s">
        <v>279</v>
      </c>
      <c r="K340" t="s">
        <v>291</v>
      </c>
    </row>
    <row r="341" spans="1:11" x14ac:dyDescent="0.3">
      <c r="A341" s="160">
        <v>2466</v>
      </c>
      <c r="B341" t="s">
        <v>15521</v>
      </c>
      <c r="C341" t="s">
        <v>259</v>
      </c>
      <c r="D341">
        <v>0.6</v>
      </c>
      <c r="E341">
        <v>0</v>
      </c>
      <c r="F341">
        <f t="shared" si="5"/>
        <v>0.6</v>
      </c>
      <c r="I341">
        <v>20200701</v>
      </c>
      <c r="J341" t="s">
        <v>312</v>
      </c>
    </row>
    <row r="342" spans="1:11" x14ac:dyDescent="0.3">
      <c r="A342" s="160">
        <v>2467</v>
      </c>
      <c r="B342" t="s">
        <v>15522</v>
      </c>
      <c r="C342" t="s">
        <v>259</v>
      </c>
      <c r="D342">
        <v>0.6</v>
      </c>
      <c r="E342">
        <v>0</v>
      </c>
      <c r="F342">
        <f t="shared" si="5"/>
        <v>0.6</v>
      </c>
      <c r="I342">
        <v>20200701</v>
      </c>
      <c r="J342" t="s">
        <v>312</v>
      </c>
    </row>
    <row r="343" spans="1:11" x14ac:dyDescent="0.3">
      <c r="A343" s="160">
        <v>2471</v>
      </c>
      <c r="B343" t="s">
        <v>15523</v>
      </c>
      <c r="C343" t="s">
        <v>293</v>
      </c>
      <c r="D343">
        <v>0.6</v>
      </c>
      <c r="E343">
        <v>0</v>
      </c>
      <c r="F343">
        <f t="shared" si="5"/>
        <v>0.6</v>
      </c>
      <c r="I343">
        <v>20240101</v>
      </c>
      <c r="J343" t="s">
        <v>267</v>
      </c>
    </row>
    <row r="344" spans="1:11" x14ac:dyDescent="0.3">
      <c r="A344" s="160">
        <v>2473</v>
      </c>
      <c r="B344" t="s">
        <v>15524</v>
      </c>
      <c r="C344" t="s">
        <v>249</v>
      </c>
      <c r="D344">
        <v>0.6</v>
      </c>
      <c r="E344">
        <v>0</v>
      </c>
      <c r="F344">
        <f t="shared" si="5"/>
        <v>0.6</v>
      </c>
      <c r="I344">
        <v>20230701</v>
      </c>
      <c r="J344" t="s">
        <v>252</v>
      </c>
    </row>
    <row r="345" spans="1:11" x14ac:dyDescent="0.3">
      <c r="A345" s="160">
        <v>2474</v>
      </c>
      <c r="B345" t="s">
        <v>15525</v>
      </c>
      <c r="C345" t="s">
        <v>249</v>
      </c>
      <c r="D345">
        <v>0.6</v>
      </c>
      <c r="E345">
        <v>0</v>
      </c>
      <c r="F345">
        <f t="shared" si="5"/>
        <v>0.6</v>
      </c>
      <c r="I345">
        <v>20230701</v>
      </c>
      <c r="J345" t="s">
        <v>261</v>
      </c>
    </row>
    <row r="346" spans="1:11" x14ac:dyDescent="0.3">
      <c r="A346" s="160">
        <v>2477</v>
      </c>
      <c r="B346" t="s">
        <v>15526</v>
      </c>
      <c r="C346" t="s">
        <v>253</v>
      </c>
      <c r="D346">
        <v>0.6</v>
      </c>
      <c r="E346">
        <v>0.1</v>
      </c>
      <c r="F346">
        <f t="shared" si="5"/>
        <v>0.7</v>
      </c>
      <c r="I346">
        <v>20230701</v>
      </c>
      <c r="J346" t="s">
        <v>254</v>
      </c>
    </row>
    <row r="347" spans="1:11" x14ac:dyDescent="0.3">
      <c r="A347" s="160">
        <v>2481</v>
      </c>
      <c r="B347" t="s">
        <v>15527</v>
      </c>
      <c r="C347" t="s">
        <v>263</v>
      </c>
      <c r="D347">
        <v>0.8</v>
      </c>
      <c r="E347">
        <v>0.1</v>
      </c>
      <c r="F347">
        <f t="shared" si="5"/>
        <v>0.9</v>
      </c>
      <c r="I347">
        <v>20230701</v>
      </c>
      <c r="J347" t="s">
        <v>327</v>
      </c>
    </row>
    <row r="348" spans="1:11" x14ac:dyDescent="0.3">
      <c r="A348" s="160">
        <v>2483</v>
      </c>
      <c r="B348" t="s">
        <v>15528</v>
      </c>
      <c r="C348" t="s">
        <v>256</v>
      </c>
      <c r="D348">
        <v>0</v>
      </c>
      <c r="E348">
        <v>0.1</v>
      </c>
      <c r="F348">
        <f t="shared" si="5"/>
        <v>0.1</v>
      </c>
      <c r="I348">
        <v>20180901</v>
      </c>
      <c r="J348" t="s">
        <v>257</v>
      </c>
    </row>
    <row r="349" spans="1:11" x14ac:dyDescent="0.3">
      <c r="A349" s="160">
        <v>2484</v>
      </c>
      <c r="B349" t="s">
        <v>15529</v>
      </c>
      <c r="C349" t="s">
        <v>265</v>
      </c>
      <c r="D349">
        <v>0.6</v>
      </c>
      <c r="E349">
        <v>0.1</v>
      </c>
      <c r="F349">
        <f t="shared" si="5"/>
        <v>0.7</v>
      </c>
      <c r="I349">
        <v>20230701</v>
      </c>
      <c r="J349" t="s">
        <v>310</v>
      </c>
    </row>
    <row r="350" spans="1:11" x14ac:dyDescent="0.3">
      <c r="A350" s="160">
        <v>2485</v>
      </c>
      <c r="B350" t="s">
        <v>15530</v>
      </c>
      <c r="C350" t="s">
        <v>253</v>
      </c>
      <c r="D350">
        <v>0.6</v>
      </c>
      <c r="E350">
        <v>0.1</v>
      </c>
      <c r="F350">
        <f t="shared" si="5"/>
        <v>0.7</v>
      </c>
      <c r="I350">
        <v>20230701</v>
      </c>
      <c r="J350" t="s">
        <v>254</v>
      </c>
    </row>
    <row r="351" spans="1:11" x14ac:dyDescent="0.3">
      <c r="A351" s="160">
        <v>2487</v>
      </c>
      <c r="B351" t="s">
        <v>15531</v>
      </c>
      <c r="C351" t="s">
        <v>253</v>
      </c>
      <c r="D351">
        <v>0.6</v>
      </c>
      <c r="E351">
        <v>0.1</v>
      </c>
      <c r="F351">
        <f t="shared" si="5"/>
        <v>0.7</v>
      </c>
      <c r="I351">
        <v>20230701</v>
      </c>
      <c r="J351" t="s">
        <v>291</v>
      </c>
    </row>
    <row r="352" spans="1:11" x14ac:dyDescent="0.3">
      <c r="A352" s="160">
        <v>2489</v>
      </c>
      <c r="B352" t="s">
        <v>15532</v>
      </c>
      <c r="C352" t="s">
        <v>293</v>
      </c>
      <c r="D352">
        <v>0.6</v>
      </c>
      <c r="E352">
        <v>0</v>
      </c>
      <c r="F352">
        <f t="shared" si="5"/>
        <v>0.6</v>
      </c>
      <c r="I352">
        <v>20190101</v>
      </c>
      <c r="J352" t="s">
        <v>271</v>
      </c>
    </row>
    <row r="353" spans="1:11" x14ac:dyDescent="0.3">
      <c r="A353" s="160">
        <v>2492</v>
      </c>
      <c r="B353" t="s">
        <v>15533</v>
      </c>
      <c r="C353" t="s">
        <v>249</v>
      </c>
      <c r="D353">
        <v>0.6</v>
      </c>
      <c r="E353">
        <v>0</v>
      </c>
      <c r="F353">
        <f t="shared" si="5"/>
        <v>0.6</v>
      </c>
      <c r="I353">
        <v>20240701</v>
      </c>
      <c r="J353" t="s">
        <v>337</v>
      </c>
    </row>
    <row r="354" spans="1:11" x14ac:dyDescent="0.3">
      <c r="A354" s="160">
        <v>2496</v>
      </c>
      <c r="B354" t="s">
        <v>15534</v>
      </c>
      <c r="C354" t="s">
        <v>259</v>
      </c>
      <c r="D354">
        <v>0.6</v>
      </c>
      <c r="E354">
        <v>0</v>
      </c>
      <c r="F354">
        <f t="shared" si="5"/>
        <v>0.6</v>
      </c>
      <c r="I354">
        <v>20200701</v>
      </c>
      <c r="J354" t="s">
        <v>312</v>
      </c>
    </row>
    <row r="355" spans="1:11" x14ac:dyDescent="0.3">
      <c r="A355" s="160">
        <v>2497</v>
      </c>
      <c r="B355" t="s">
        <v>15535</v>
      </c>
      <c r="C355" t="s">
        <v>293</v>
      </c>
      <c r="D355">
        <v>0.6</v>
      </c>
      <c r="E355">
        <v>0</v>
      </c>
      <c r="F355">
        <f t="shared" si="5"/>
        <v>0.6</v>
      </c>
      <c r="I355">
        <v>20190101</v>
      </c>
      <c r="J355" t="s">
        <v>271</v>
      </c>
    </row>
    <row r="356" spans="1:11" x14ac:dyDescent="0.3">
      <c r="A356" s="160">
        <v>2500</v>
      </c>
      <c r="B356" t="s">
        <v>15536</v>
      </c>
      <c r="C356" t="s">
        <v>256</v>
      </c>
      <c r="D356">
        <v>0</v>
      </c>
      <c r="E356">
        <v>0.1</v>
      </c>
      <c r="F356">
        <f t="shared" si="5"/>
        <v>0.1</v>
      </c>
      <c r="I356">
        <v>20180901</v>
      </c>
      <c r="J356" t="s">
        <v>311</v>
      </c>
    </row>
    <row r="357" spans="1:11" x14ac:dyDescent="0.3">
      <c r="A357" s="160">
        <v>2501</v>
      </c>
      <c r="B357" t="s">
        <v>15537</v>
      </c>
      <c r="C357" t="s">
        <v>293</v>
      </c>
      <c r="D357">
        <v>0.6</v>
      </c>
      <c r="E357">
        <v>0</v>
      </c>
      <c r="F357">
        <f t="shared" si="5"/>
        <v>0.6</v>
      </c>
      <c r="I357">
        <v>20190101</v>
      </c>
      <c r="J357" t="s">
        <v>267</v>
      </c>
    </row>
    <row r="358" spans="1:11" x14ac:dyDescent="0.3">
      <c r="A358" s="160">
        <v>2503</v>
      </c>
      <c r="B358" t="s">
        <v>15538</v>
      </c>
      <c r="C358" t="s">
        <v>256</v>
      </c>
      <c r="D358">
        <v>0</v>
      </c>
      <c r="E358">
        <v>0.1</v>
      </c>
      <c r="F358">
        <f t="shared" si="5"/>
        <v>0.1</v>
      </c>
      <c r="I358">
        <v>20180901</v>
      </c>
      <c r="J358" t="s">
        <v>338</v>
      </c>
    </row>
    <row r="359" spans="1:11" x14ac:dyDescent="0.3">
      <c r="A359" s="160">
        <v>2504</v>
      </c>
      <c r="B359" t="s">
        <v>15539</v>
      </c>
      <c r="C359" t="s">
        <v>263</v>
      </c>
      <c r="D359">
        <v>0.8</v>
      </c>
      <c r="E359">
        <v>0.1</v>
      </c>
      <c r="F359">
        <f t="shared" si="5"/>
        <v>0.9</v>
      </c>
      <c r="I359">
        <v>20230701</v>
      </c>
      <c r="J359" t="s">
        <v>281</v>
      </c>
    </row>
    <row r="360" spans="1:11" x14ac:dyDescent="0.3">
      <c r="A360" s="160">
        <v>2506</v>
      </c>
      <c r="B360" t="s">
        <v>15540</v>
      </c>
      <c r="C360" t="s">
        <v>259</v>
      </c>
      <c r="D360">
        <v>0.6</v>
      </c>
      <c r="E360">
        <v>0</v>
      </c>
      <c r="F360">
        <f t="shared" si="5"/>
        <v>0.6</v>
      </c>
      <c r="I360">
        <v>20120901</v>
      </c>
      <c r="J360" t="s">
        <v>262</v>
      </c>
    </row>
    <row r="361" spans="1:11" x14ac:dyDescent="0.3">
      <c r="A361" s="160">
        <v>2508</v>
      </c>
      <c r="B361" t="s">
        <v>15541</v>
      </c>
      <c r="C361" t="s">
        <v>293</v>
      </c>
      <c r="D361">
        <v>0.6</v>
      </c>
      <c r="E361">
        <v>0</v>
      </c>
      <c r="F361">
        <f t="shared" si="5"/>
        <v>0.6</v>
      </c>
      <c r="I361">
        <v>20240101</v>
      </c>
      <c r="J361" t="s">
        <v>267</v>
      </c>
    </row>
    <row r="362" spans="1:11" x14ac:dyDescent="0.3">
      <c r="A362" s="160">
        <v>2509</v>
      </c>
      <c r="B362" t="s">
        <v>15542</v>
      </c>
      <c r="C362" t="s">
        <v>265</v>
      </c>
      <c r="D362">
        <v>0.3</v>
      </c>
      <c r="E362">
        <v>0.1</v>
      </c>
      <c r="F362">
        <f t="shared" si="5"/>
        <v>0.4</v>
      </c>
      <c r="I362">
        <v>20230701</v>
      </c>
      <c r="J362" t="s">
        <v>272</v>
      </c>
      <c r="K362" t="s">
        <v>304</v>
      </c>
    </row>
    <row r="363" spans="1:11" x14ac:dyDescent="0.3">
      <c r="A363" s="160">
        <v>2510</v>
      </c>
      <c r="B363" t="s">
        <v>15543</v>
      </c>
      <c r="C363" t="s">
        <v>265</v>
      </c>
      <c r="D363">
        <v>0.3</v>
      </c>
      <c r="E363">
        <v>0.1</v>
      </c>
      <c r="F363">
        <f t="shared" si="5"/>
        <v>0.4</v>
      </c>
      <c r="I363">
        <v>20230701</v>
      </c>
      <c r="J363" t="s">
        <v>275</v>
      </c>
    </row>
    <row r="364" spans="1:11" x14ac:dyDescent="0.3">
      <c r="A364" s="160">
        <v>2511</v>
      </c>
      <c r="B364" t="s">
        <v>15544</v>
      </c>
      <c r="C364" t="s">
        <v>256</v>
      </c>
      <c r="D364">
        <v>0</v>
      </c>
      <c r="E364">
        <v>0.1</v>
      </c>
      <c r="F364">
        <f t="shared" si="5"/>
        <v>0.1</v>
      </c>
      <c r="I364">
        <v>20180901</v>
      </c>
      <c r="J364" t="s">
        <v>311</v>
      </c>
    </row>
    <row r="365" spans="1:11" x14ac:dyDescent="0.3">
      <c r="A365" s="160">
        <v>2512</v>
      </c>
      <c r="B365" t="s">
        <v>15545</v>
      </c>
      <c r="C365" t="s">
        <v>265</v>
      </c>
      <c r="D365">
        <v>0.3</v>
      </c>
      <c r="E365">
        <v>0.1</v>
      </c>
      <c r="F365">
        <f t="shared" si="5"/>
        <v>0.4</v>
      </c>
      <c r="I365">
        <v>20230701</v>
      </c>
      <c r="J365" t="s">
        <v>292</v>
      </c>
    </row>
    <row r="366" spans="1:11" x14ac:dyDescent="0.3">
      <c r="A366" s="160">
        <v>2514</v>
      </c>
      <c r="B366" t="s">
        <v>15546</v>
      </c>
      <c r="C366" t="s">
        <v>259</v>
      </c>
      <c r="D366">
        <v>0.6</v>
      </c>
      <c r="E366">
        <v>0</v>
      </c>
      <c r="F366">
        <f t="shared" si="5"/>
        <v>0.6</v>
      </c>
      <c r="I366">
        <v>20200701</v>
      </c>
      <c r="J366" t="s">
        <v>255</v>
      </c>
      <c r="K366" t="s">
        <v>260</v>
      </c>
    </row>
    <row r="367" spans="1:11" x14ac:dyDescent="0.3">
      <c r="A367" s="160">
        <v>2515</v>
      </c>
      <c r="B367" t="s">
        <v>15547</v>
      </c>
      <c r="C367" t="s">
        <v>265</v>
      </c>
      <c r="D367">
        <v>0.3</v>
      </c>
      <c r="E367">
        <v>0.1</v>
      </c>
      <c r="F367">
        <f t="shared" si="5"/>
        <v>0.4</v>
      </c>
      <c r="I367">
        <v>20230701</v>
      </c>
      <c r="J367" t="s">
        <v>275</v>
      </c>
    </row>
    <row r="368" spans="1:11" x14ac:dyDescent="0.3">
      <c r="A368" s="160">
        <v>2518</v>
      </c>
      <c r="B368" t="s">
        <v>15548</v>
      </c>
      <c r="C368" t="s">
        <v>265</v>
      </c>
      <c r="D368">
        <v>0.3</v>
      </c>
      <c r="E368">
        <v>0.1</v>
      </c>
      <c r="F368">
        <f t="shared" si="5"/>
        <v>0.4</v>
      </c>
      <c r="I368">
        <v>20230701</v>
      </c>
      <c r="J368" t="s">
        <v>275</v>
      </c>
    </row>
    <row r="369" spans="1:13" x14ac:dyDescent="0.3">
      <c r="A369" s="160">
        <v>2524</v>
      </c>
      <c r="B369" t="s">
        <v>15549</v>
      </c>
      <c r="C369" t="s">
        <v>265</v>
      </c>
      <c r="D369">
        <v>0.6</v>
      </c>
      <c r="E369">
        <v>0.1</v>
      </c>
      <c r="F369">
        <f t="shared" si="5"/>
        <v>0.7</v>
      </c>
      <c r="I369">
        <v>20230701</v>
      </c>
      <c r="J369" t="s">
        <v>272</v>
      </c>
    </row>
    <row r="370" spans="1:13" x14ac:dyDescent="0.3">
      <c r="A370" s="160">
        <v>2525</v>
      </c>
      <c r="B370" t="s">
        <v>15550</v>
      </c>
      <c r="C370" t="s">
        <v>263</v>
      </c>
      <c r="D370">
        <v>0.8</v>
      </c>
      <c r="E370">
        <v>0.1</v>
      </c>
      <c r="F370">
        <f t="shared" si="5"/>
        <v>0.9</v>
      </c>
      <c r="I370">
        <v>20230701</v>
      </c>
      <c r="J370" t="s">
        <v>315</v>
      </c>
    </row>
    <row r="371" spans="1:13" x14ac:dyDescent="0.3">
      <c r="A371" s="160">
        <v>2527</v>
      </c>
      <c r="B371" t="s">
        <v>15551</v>
      </c>
      <c r="C371" t="s">
        <v>259</v>
      </c>
      <c r="D371">
        <v>0.6</v>
      </c>
      <c r="E371">
        <v>0</v>
      </c>
      <c r="F371">
        <f t="shared" si="5"/>
        <v>0.6</v>
      </c>
      <c r="I371">
        <v>20200701</v>
      </c>
      <c r="J371" t="s">
        <v>260</v>
      </c>
    </row>
    <row r="372" spans="1:13" x14ac:dyDescent="0.3">
      <c r="A372" s="160">
        <v>2528</v>
      </c>
      <c r="B372" t="s">
        <v>15552</v>
      </c>
      <c r="C372" t="s">
        <v>259</v>
      </c>
      <c r="D372">
        <v>0.6</v>
      </c>
      <c r="E372">
        <v>0</v>
      </c>
      <c r="F372">
        <f t="shared" si="5"/>
        <v>0.6</v>
      </c>
      <c r="I372">
        <v>20200701</v>
      </c>
      <c r="J372" t="s">
        <v>262</v>
      </c>
    </row>
    <row r="373" spans="1:13" x14ac:dyDescent="0.3">
      <c r="A373" s="160">
        <v>2532</v>
      </c>
      <c r="B373" t="s">
        <v>15553</v>
      </c>
      <c r="C373" t="s">
        <v>256</v>
      </c>
      <c r="D373">
        <v>0</v>
      </c>
      <c r="E373">
        <v>0.1</v>
      </c>
      <c r="F373">
        <f t="shared" si="5"/>
        <v>0.1</v>
      </c>
      <c r="I373">
        <v>20180901</v>
      </c>
      <c r="J373" t="s">
        <v>339</v>
      </c>
    </row>
    <row r="374" spans="1:13" x14ac:dyDescent="0.3">
      <c r="A374" s="160">
        <v>2533</v>
      </c>
      <c r="B374" t="s">
        <v>15554</v>
      </c>
      <c r="C374" t="s">
        <v>256</v>
      </c>
      <c r="D374">
        <v>0</v>
      </c>
      <c r="E374">
        <v>0.1</v>
      </c>
      <c r="F374">
        <f t="shared" si="5"/>
        <v>0.1</v>
      </c>
      <c r="I374">
        <v>20240101</v>
      </c>
      <c r="J374" t="s">
        <v>266</v>
      </c>
    </row>
    <row r="375" spans="1:13" x14ac:dyDescent="0.3">
      <c r="A375" s="160">
        <v>2536</v>
      </c>
      <c r="B375" t="s">
        <v>15555</v>
      </c>
      <c r="C375" t="s">
        <v>256</v>
      </c>
      <c r="D375">
        <v>0</v>
      </c>
      <c r="E375">
        <v>0.1</v>
      </c>
      <c r="F375">
        <f t="shared" si="5"/>
        <v>0.1</v>
      </c>
      <c r="I375">
        <v>20240101</v>
      </c>
      <c r="J375" t="s">
        <v>254</v>
      </c>
    </row>
    <row r="376" spans="1:13" x14ac:dyDescent="0.3">
      <c r="A376" s="160">
        <v>2537</v>
      </c>
      <c r="B376" t="s">
        <v>15556</v>
      </c>
      <c r="C376" t="s">
        <v>256</v>
      </c>
      <c r="D376">
        <v>0</v>
      </c>
      <c r="E376">
        <v>0.1</v>
      </c>
      <c r="F376">
        <f t="shared" si="5"/>
        <v>0.1</v>
      </c>
      <c r="I376">
        <v>20180901</v>
      </c>
      <c r="J376" t="s">
        <v>291</v>
      </c>
    </row>
    <row r="377" spans="1:13" x14ac:dyDescent="0.3">
      <c r="A377" s="160">
        <v>2538</v>
      </c>
      <c r="B377" t="s">
        <v>15557</v>
      </c>
      <c r="C377" t="s">
        <v>265</v>
      </c>
      <c r="D377">
        <v>0.3</v>
      </c>
      <c r="E377">
        <v>0.1</v>
      </c>
      <c r="F377">
        <f t="shared" si="5"/>
        <v>0.4</v>
      </c>
      <c r="I377">
        <v>20230701</v>
      </c>
      <c r="J377" t="s">
        <v>266</v>
      </c>
    </row>
    <row r="378" spans="1:13" x14ac:dyDescent="0.3">
      <c r="A378" s="160">
        <v>2539</v>
      </c>
      <c r="B378" t="s">
        <v>15558</v>
      </c>
      <c r="C378" t="s">
        <v>256</v>
      </c>
      <c r="D378">
        <v>0</v>
      </c>
      <c r="E378">
        <v>0.1</v>
      </c>
      <c r="F378">
        <f t="shared" si="5"/>
        <v>0.1</v>
      </c>
      <c r="I378">
        <v>20180901</v>
      </c>
      <c r="J378" t="s">
        <v>316</v>
      </c>
      <c r="K378" t="s">
        <v>276</v>
      </c>
    </row>
    <row r="379" spans="1:13" x14ac:dyDescent="0.3">
      <c r="A379" s="160">
        <v>2540</v>
      </c>
      <c r="B379" t="s">
        <v>15559</v>
      </c>
      <c r="C379" t="s">
        <v>265</v>
      </c>
      <c r="D379">
        <v>0.6</v>
      </c>
      <c r="E379">
        <v>0.1</v>
      </c>
      <c r="F379">
        <f t="shared" si="5"/>
        <v>0.7</v>
      </c>
      <c r="I379">
        <v>20230701</v>
      </c>
      <c r="J379" t="s">
        <v>272</v>
      </c>
      <c r="K379" t="s">
        <v>286</v>
      </c>
    </row>
    <row r="380" spans="1:13" x14ac:dyDescent="0.3">
      <c r="A380" s="160">
        <v>2542</v>
      </c>
      <c r="B380" t="s">
        <v>15560</v>
      </c>
      <c r="C380" t="s">
        <v>249</v>
      </c>
      <c r="D380">
        <v>0.6</v>
      </c>
      <c r="E380">
        <v>0</v>
      </c>
      <c r="F380">
        <f t="shared" si="5"/>
        <v>0.6</v>
      </c>
      <c r="I380">
        <v>20230701</v>
      </c>
      <c r="J380" t="s">
        <v>250</v>
      </c>
    </row>
    <row r="381" spans="1:13" x14ac:dyDescent="0.3">
      <c r="A381" s="160">
        <v>2543</v>
      </c>
      <c r="B381" t="s">
        <v>15561</v>
      </c>
      <c r="C381" t="s">
        <v>265</v>
      </c>
      <c r="D381">
        <v>0.3</v>
      </c>
      <c r="E381">
        <v>0.1</v>
      </c>
      <c r="F381">
        <f t="shared" si="5"/>
        <v>0.4</v>
      </c>
      <c r="I381">
        <v>20230701</v>
      </c>
      <c r="J381" t="s">
        <v>312</v>
      </c>
    </row>
    <row r="382" spans="1:13" x14ac:dyDescent="0.3">
      <c r="A382" s="160">
        <v>2546</v>
      </c>
      <c r="B382" t="s">
        <v>15562</v>
      </c>
      <c r="C382" t="s">
        <v>249</v>
      </c>
      <c r="D382">
        <v>0.6</v>
      </c>
      <c r="E382">
        <v>0</v>
      </c>
      <c r="F382">
        <f t="shared" si="5"/>
        <v>0.6</v>
      </c>
      <c r="I382">
        <v>20230701</v>
      </c>
      <c r="J382" t="s">
        <v>250</v>
      </c>
    </row>
    <row r="383" spans="1:13" x14ac:dyDescent="0.3">
      <c r="A383" s="160">
        <v>2549</v>
      </c>
      <c r="B383" t="s">
        <v>15563</v>
      </c>
      <c r="C383" t="s">
        <v>263</v>
      </c>
      <c r="D383">
        <v>0.8</v>
      </c>
      <c r="E383">
        <v>0.1</v>
      </c>
      <c r="F383">
        <f t="shared" si="5"/>
        <v>0.9</v>
      </c>
      <c r="I383">
        <v>20230701</v>
      </c>
      <c r="J383" t="s">
        <v>315</v>
      </c>
      <c r="K383" t="s">
        <v>324</v>
      </c>
      <c r="L383" t="s">
        <v>340</v>
      </c>
      <c r="M383" t="s">
        <v>341</v>
      </c>
    </row>
    <row r="384" spans="1:13" x14ac:dyDescent="0.3">
      <c r="A384" s="160">
        <v>2551</v>
      </c>
      <c r="B384" t="s">
        <v>15564</v>
      </c>
      <c r="C384" t="s">
        <v>253</v>
      </c>
      <c r="D384">
        <v>0.6</v>
      </c>
      <c r="E384">
        <v>0.1</v>
      </c>
      <c r="F384">
        <f t="shared" si="5"/>
        <v>0.7</v>
      </c>
      <c r="I384">
        <v>20230701</v>
      </c>
      <c r="J384" t="s">
        <v>291</v>
      </c>
    </row>
    <row r="385" spans="1:12" x14ac:dyDescent="0.3">
      <c r="A385" s="160">
        <v>2552</v>
      </c>
      <c r="B385" t="s">
        <v>15565</v>
      </c>
      <c r="C385" t="s">
        <v>256</v>
      </c>
      <c r="D385">
        <v>0</v>
      </c>
      <c r="E385">
        <v>0.1</v>
      </c>
      <c r="F385">
        <f t="shared" si="5"/>
        <v>0.1</v>
      </c>
      <c r="I385">
        <v>20180901</v>
      </c>
      <c r="J385" t="s">
        <v>338</v>
      </c>
    </row>
    <row r="386" spans="1:12" x14ac:dyDescent="0.3">
      <c r="A386" s="160">
        <v>2554</v>
      </c>
      <c r="B386" t="s">
        <v>15566</v>
      </c>
      <c r="C386" t="s">
        <v>265</v>
      </c>
      <c r="D386">
        <v>0.6</v>
      </c>
      <c r="E386">
        <v>0.1</v>
      </c>
      <c r="F386">
        <f t="shared" si="5"/>
        <v>0.7</v>
      </c>
      <c r="I386">
        <v>20230701</v>
      </c>
      <c r="J386" t="s">
        <v>272</v>
      </c>
    </row>
    <row r="387" spans="1:12" x14ac:dyDescent="0.3">
      <c r="A387" s="160">
        <v>2557</v>
      </c>
      <c r="B387" t="s">
        <v>15567</v>
      </c>
      <c r="C387" t="s">
        <v>259</v>
      </c>
      <c r="D387">
        <v>0.6</v>
      </c>
      <c r="E387">
        <v>0</v>
      </c>
      <c r="F387">
        <f t="shared" si="5"/>
        <v>0.6</v>
      </c>
      <c r="I387">
        <v>20200701</v>
      </c>
      <c r="J387" t="s">
        <v>262</v>
      </c>
    </row>
    <row r="388" spans="1:12" x14ac:dyDescent="0.3">
      <c r="A388" s="160">
        <v>2561</v>
      </c>
      <c r="B388" t="s">
        <v>15568</v>
      </c>
      <c r="C388" t="s">
        <v>293</v>
      </c>
      <c r="D388">
        <v>0.6</v>
      </c>
      <c r="E388">
        <v>0</v>
      </c>
      <c r="F388">
        <f t="shared" si="5"/>
        <v>0.6</v>
      </c>
      <c r="I388">
        <v>20190101</v>
      </c>
      <c r="J388" t="s">
        <v>267</v>
      </c>
    </row>
    <row r="389" spans="1:12" x14ac:dyDescent="0.3">
      <c r="A389" s="160">
        <v>2562</v>
      </c>
      <c r="B389" t="s">
        <v>15569</v>
      </c>
      <c r="C389" t="s">
        <v>259</v>
      </c>
      <c r="D389">
        <v>0.6</v>
      </c>
      <c r="E389">
        <v>0.1</v>
      </c>
      <c r="F389">
        <f t="shared" si="5"/>
        <v>0.7</v>
      </c>
      <c r="I389">
        <v>20230701</v>
      </c>
      <c r="J389" t="s">
        <v>260</v>
      </c>
    </row>
    <row r="390" spans="1:12" x14ac:dyDescent="0.3">
      <c r="A390" s="160">
        <v>2564</v>
      </c>
      <c r="B390" t="s">
        <v>15570</v>
      </c>
      <c r="C390" t="s">
        <v>253</v>
      </c>
      <c r="D390">
        <v>0.6</v>
      </c>
      <c r="E390">
        <v>0.1</v>
      </c>
      <c r="F390">
        <f t="shared" si="5"/>
        <v>0.7</v>
      </c>
      <c r="I390">
        <v>20230701</v>
      </c>
      <c r="J390" t="s">
        <v>254</v>
      </c>
      <c r="K390" t="s">
        <v>255</v>
      </c>
    </row>
    <row r="391" spans="1:12" x14ac:dyDescent="0.3">
      <c r="A391" s="160">
        <v>2566</v>
      </c>
      <c r="B391" t="s">
        <v>15571</v>
      </c>
      <c r="C391" t="s">
        <v>249</v>
      </c>
      <c r="D391">
        <v>0.6</v>
      </c>
      <c r="E391">
        <v>0</v>
      </c>
      <c r="F391">
        <f t="shared" ref="F391:F454" si="6">D391+E391</f>
        <v>0.6</v>
      </c>
      <c r="I391">
        <v>20230701</v>
      </c>
      <c r="J391" t="s">
        <v>250</v>
      </c>
      <c r="K391" t="s">
        <v>305</v>
      </c>
    </row>
    <row r="392" spans="1:12" x14ac:dyDescent="0.3">
      <c r="A392" s="160">
        <v>2568</v>
      </c>
      <c r="B392" t="s">
        <v>15572</v>
      </c>
      <c r="C392" t="s">
        <v>259</v>
      </c>
      <c r="D392">
        <v>0.6</v>
      </c>
      <c r="E392">
        <v>0</v>
      </c>
      <c r="F392">
        <f t="shared" si="6"/>
        <v>0.6</v>
      </c>
      <c r="I392">
        <v>20120901</v>
      </c>
      <c r="J392" t="s">
        <v>262</v>
      </c>
    </row>
    <row r="393" spans="1:12" x14ac:dyDescent="0.3">
      <c r="A393" s="160">
        <v>2570</v>
      </c>
      <c r="B393" t="s">
        <v>15573</v>
      </c>
      <c r="C393" t="s">
        <v>263</v>
      </c>
      <c r="D393">
        <v>0.8</v>
      </c>
      <c r="E393">
        <v>0.1</v>
      </c>
      <c r="F393">
        <f t="shared" si="6"/>
        <v>0.9</v>
      </c>
      <c r="I393">
        <v>20230701</v>
      </c>
      <c r="J393" t="s">
        <v>264</v>
      </c>
    </row>
    <row r="394" spans="1:12" x14ac:dyDescent="0.3">
      <c r="A394" s="160">
        <v>2571</v>
      </c>
      <c r="B394" t="s">
        <v>15574</v>
      </c>
      <c r="C394" t="s">
        <v>263</v>
      </c>
      <c r="D394">
        <v>0.8</v>
      </c>
      <c r="E394">
        <v>0.1</v>
      </c>
      <c r="F394">
        <f t="shared" si="6"/>
        <v>0.9</v>
      </c>
      <c r="I394">
        <v>20230701</v>
      </c>
      <c r="J394" t="s">
        <v>315</v>
      </c>
    </row>
    <row r="395" spans="1:12" x14ac:dyDescent="0.3">
      <c r="A395" s="160">
        <v>2573</v>
      </c>
      <c r="B395" t="s">
        <v>15575</v>
      </c>
      <c r="C395" t="s">
        <v>293</v>
      </c>
      <c r="D395">
        <v>0.6</v>
      </c>
      <c r="E395">
        <v>0</v>
      </c>
      <c r="F395">
        <f t="shared" si="6"/>
        <v>0.6</v>
      </c>
      <c r="I395">
        <v>20190101</v>
      </c>
      <c r="J395" t="s">
        <v>267</v>
      </c>
    </row>
    <row r="396" spans="1:12" x14ac:dyDescent="0.3">
      <c r="A396" s="160">
        <v>2575</v>
      </c>
      <c r="B396" t="s">
        <v>15576</v>
      </c>
      <c r="C396" t="s">
        <v>256</v>
      </c>
      <c r="D396">
        <v>0</v>
      </c>
      <c r="E396">
        <v>0.1</v>
      </c>
      <c r="F396">
        <f t="shared" si="6"/>
        <v>0.1</v>
      </c>
      <c r="I396">
        <v>20180901</v>
      </c>
      <c r="J396" t="s">
        <v>338</v>
      </c>
    </row>
    <row r="397" spans="1:12" x14ac:dyDescent="0.3">
      <c r="A397" s="160">
        <v>2576</v>
      </c>
      <c r="B397" t="s">
        <v>15577</v>
      </c>
      <c r="C397" t="s">
        <v>253</v>
      </c>
      <c r="D397">
        <v>0.6</v>
      </c>
      <c r="E397">
        <v>0.1</v>
      </c>
      <c r="F397">
        <f t="shared" si="6"/>
        <v>0.7</v>
      </c>
      <c r="I397">
        <v>20230701</v>
      </c>
      <c r="J397" t="s">
        <v>260</v>
      </c>
    </row>
    <row r="398" spans="1:12" x14ac:dyDescent="0.3">
      <c r="A398" s="160">
        <v>2587</v>
      </c>
      <c r="B398" t="s">
        <v>15578</v>
      </c>
      <c r="C398" t="s">
        <v>293</v>
      </c>
      <c r="D398">
        <v>0.6</v>
      </c>
      <c r="E398">
        <v>0</v>
      </c>
      <c r="F398">
        <f t="shared" si="6"/>
        <v>0.6</v>
      </c>
      <c r="I398">
        <v>20190101</v>
      </c>
      <c r="J398" t="s">
        <v>268</v>
      </c>
    </row>
    <row r="399" spans="1:12" x14ac:dyDescent="0.3">
      <c r="A399" s="160">
        <v>2590</v>
      </c>
      <c r="B399" t="s">
        <v>15579</v>
      </c>
      <c r="C399" t="s">
        <v>265</v>
      </c>
      <c r="D399">
        <v>0.3</v>
      </c>
      <c r="E399">
        <v>0.1</v>
      </c>
      <c r="F399">
        <f t="shared" si="6"/>
        <v>0.4</v>
      </c>
      <c r="I399">
        <v>20230701</v>
      </c>
      <c r="J399" t="s">
        <v>275</v>
      </c>
    </row>
    <row r="400" spans="1:12" x14ac:dyDescent="0.3">
      <c r="A400" s="160">
        <v>2593</v>
      </c>
      <c r="B400" t="s">
        <v>15580</v>
      </c>
      <c r="C400" t="s">
        <v>253</v>
      </c>
      <c r="D400">
        <v>0.6</v>
      </c>
      <c r="E400">
        <v>0.1</v>
      </c>
      <c r="F400">
        <f t="shared" si="6"/>
        <v>0.7</v>
      </c>
      <c r="I400">
        <v>20230701</v>
      </c>
      <c r="J400" t="s">
        <v>254</v>
      </c>
      <c r="K400" t="s">
        <v>277</v>
      </c>
      <c r="L400" t="s">
        <v>289</v>
      </c>
    </row>
    <row r="401" spans="1:12" x14ac:dyDescent="0.3">
      <c r="A401" s="160">
        <v>2594</v>
      </c>
      <c r="B401" t="s">
        <v>15581</v>
      </c>
      <c r="C401" t="s">
        <v>259</v>
      </c>
      <c r="D401">
        <v>0.6</v>
      </c>
      <c r="E401">
        <v>0</v>
      </c>
      <c r="F401">
        <f t="shared" si="6"/>
        <v>0.6</v>
      </c>
      <c r="I401">
        <v>20200701</v>
      </c>
      <c r="J401" t="s">
        <v>312</v>
      </c>
    </row>
    <row r="402" spans="1:12" x14ac:dyDescent="0.3">
      <c r="A402" s="160">
        <v>2595</v>
      </c>
      <c r="B402" t="s">
        <v>15582</v>
      </c>
      <c r="C402" t="s">
        <v>265</v>
      </c>
      <c r="D402">
        <v>0.3</v>
      </c>
      <c r="E402">
        <v>0.1</v>
      </c>
      <c r="F402">
        <f t="shared" si="6"/>
        <v>0.4</v>
      </c>
      <c r="I402">
        <v>20230701</v>
      </c>
      <c r="J402" t="s">
        <v>274</v>
      </c>
    </row>
    <row r="403" spans="1:12" x14ac:dyDescent="0.3">
      <c r="A403" s="160">
        <v>2598</v>
      </c>
      <c r="B403" t="s">
        <v>15583</v>
      </c>
      <c r="C403" t="s">
        <v>253</v>
      </c>
      <c r="D403">
        <v>0.6</v>
      </c>
      <c r="E403">
        <v>0.1</v>
      </c>
      <c r="F403">
        <f t="shared" si="6"/>
        <v>0.7</v>
      </c>
      <c r="I403">
        <v>20230701</v>
      </c>
      <c r="J403" t="s">
        <v>254</v>
      </c>
      <c r="K403" t="s">
        <v>290</v>
      </c>
    </row>
    <row r="404" spans="1:12" x14ac:dyDescent="0.3">
      <c r="A404" s="160">
        <v>2599</v>
      </c>
      <c r="B404" t="s">
        <v>15584</v>
      </c>
      <c r="C404" t="s">
        <v>249</v>
      </c>
      <c r="D404">
        <v>0.6</v>
      </c>
      <c r="E404">
        <v>0</v>
      </c>
      <c r="F404">
        <f t="shared" si="6"/>
        <v>0.6</v>
      </c>
      <c r="I404">
        <v>20230701</v>
      </c>
      <c r="J404" t="s">
        <v>250</v>
      </c>
    </row>
    <row r="405" spans="1:12" x14ac:dyDescent="0.3">
      <c r="A405" s="160">
        <v>2605</v>
      </c>
      <c r="B405" t="s">
        <v>15585</v>
      </c>
      <c r="C405" t="s">
        <v>256</v>
      </c>
      <c r="D405">
        <v>0</v>
      </c>
      <c r="E405">
        <v>0.1</v>
      </c>
      <c r="F405">
        <f t="shared" si="6"/>
        <v>0.1</v>
      </c>
      <c r="I405">
        <v>20180901</v>
      </c>
      <c r="J405" t="s">
        <v>257</v>
      </c>
    </row>
    <row r="406" spans="1:12" x14ac:dyDescent="0.3">
      <c r="A406" s="160">
        <v>2607</v>
      </c>
      <c r="B406" t="s">
        <v>15586</v>
      </c>
      <c r="C406" t="s">
        <v>253</v>
      </c>
      <c r="D406">
        <v>0.6</v>
      </c>
      <c r="E406">
        <v>0.1</v>
      </c>
      <c r="F406">
        <f t="shared" si="6"/>
        <v>0.7</v>
      </c>
      <c r="I406">
        <v>20230701</v>
      </c>
      <c r="J406" t="s">
        <v>254</v>
      </c>
      <c r="K406" t="s">
        <v>290</v>
      </c>
      <c r="L406" t="s">
        <v>255</v>
      </c>
    </row>
    <row r="407" spans="1:12" x14ac:dyDescent="0.3">
      <c r="A407" s="160">
        <v>2610</v>
      </c>
      <c r="B407" t="s">
        <v>15587</v>
      </c>
      <c r="C407" t="s">
        <v>253</v>
      </c>
      <c r="D407">
        <v>0.6</v>
      </c>
      <c r="E407">
        <v>0.1</v>
      </c>
      <c r="F407">
        <f t="shared" si="6"/>
        <v>0.7</v>
      </c>
      <c r="I407">
        <v>20230701</v>
      </c>
      <c r="J407" t="s">
        <v>254</v>
      </c>
    </row>
    <row r="408" spans="1:12" x14ac:dyDescent="0.3">
      <c r="A408" s="160">
        <v>2614</v>
      </c>
      <c r="B408" t="s">
        <v>15588</v>
      </c>
      <c r="C408" t="s">
        <v>256</v>
      </c>
      <c r="D408">
        <v>0</v>
      </c>
      <c r="E408">
        <v>0.1</v>
      </c>
      <c r="F408">
        <f t="shared" si="6"/>
        <v>0.1</v>
      </c>
      <c r="I408">
        <v>20180901</v>
      </c>
      <c r="J408" t="s">
        <v>269</v>
      </c>
    </row>
    <row r="409" spans="1:12" x14ac:dyDescent="0.3">
      <c r="A409" s="160">
        <v>2615</v>
      </c>
      <c r="B409" t="s">
        <v>15589</v>
      </c>
      <c r="C409" t="s">
        <v>256</v>
      </c>
      <c r="D409">
        <v>0</v>
      </c>
      <c r="E409">
        <v>0.1</v>
      </c>
      <c r="F409">
        <f t="shared" si="6"/>
        <v>0.1</v>
      </c>
      <c r="I409">
        <v>20180901</v>
      </c>
      <c r="J409" t="s">
        <v>269</v>
      </c>
    </row>
    <row r="410" spans="1:12" x14ac:dyDescent="0.3">
      <c r="A410" s="160">
        <v>2617</v>
      </c>
      <c r="B410" t="s">
        <v>15590</v>
      </c>
      <c r="C410" t="s">
        <v>256</v>
      </c>
      <c r="D410">
        <v>0</v>
      </c>
      <c r="E410">
        <v>0.1</v>
      </c>
      <c r="F410">
        <f t="shared" si="6"/>
        <v>0.1</v>
      </c>
      <c r="I410">
        <v>20180901</v>
      </c>
      <c r="J410" t="s">
        <v>337</v>
      </c>
    </row>
    <row r="411" spans="1:12" x14ac:dyDescent="0.3">
      <c r="A411" s="160">
        <v>2621</v>
      </c>
      <c r="B411" t="s">
        <v>15591</v>
      </c>
      <c r="C411" t="s">
        <v>293</v>
      </c>
      <c r="D411">
        <v>0.6</v>
      </c>
      <c r="E411">
        <v>0</v>
      </c>
      <c r="F411">
        <f t="shared" si="6"/>
        <v>0.6</v>
      </c>
      <c r="I411">
        <v>20190101</v>
      </c>
      <c r="J411" t="s">
        <v>267</v>
      </c>
    </row>
    <row r="412" spans="1:12" x14ac:dyDescent="0.3">
      <c r="A412" s="160">
        <v>2622</v>
      </c>
      <c r="B412" t="s">
        <v>15592</v>
      </c>
      <c r="C412" t="s">
        <v>265</v>
      </c>
      <c r="D412">
        <v>0.3</v>
      </c>
      <c r="E412">
        <v>0.1</v>
      </c>
      <c r="F412">
        <f t="shared" si="6"/>
        <v>0.4</v>
      </c>
      <c r="I412">
        <v>20230701</v>
      </c>
      <c r="J412" t="s">
        <v>312</v>
      </c>
    </row>
    <row r="413" spans="1:12" x14ac:dyDescent="0.3">
      <c r="A413" s="160">
        <v>2628</v>
      </c>
      <c r="B413" t="s">
        <v>15593</v>
      </c>
      <c r="C413" t="s">
        <v>259</v>
      </c>
      <c r="D413">
        <v>0.6</v>
      </c>
      <c r="E413">
        <v>0</v>
      </c>
      <c r="F413">
        <f t="shared" si="6"/>
        <v>0.6</v>
      </c>
      <c r="I413">
        <v>20120901</v>
      </c>
      <c r="J413" t="s">
        <v>262</v>
      </c>
    </row>
    <row r="414" spans="1:12" x14ac:dyDescent="0.3">
      <c r="A414" s="160">
        <v>2631</v>
      </c>
      <c r="B414" t="s">
        <v>15594</v>
      </c>
      <c r="C414" t="s">
        <v>249</v>
      </c>
      <c r="D414">
        <v>0.6</v>
      </c>
      <c r="E414">
        <v>0</v>
      </c>
      <c r="F414">
        <f t="shared" si="6"/>
        <v>0.6</v>
      </c>
      <c r="I414">
        <v>20230701</v>
      </c>
      <c r="J414" t="s">
        <v>250</v>
      </c>
    </row>
    <row r="415" spans="1:12" x14ac:dyDescent="0.3">
      <c r="A415" s="160">
        <v>2635</v>
      </c>
      <c r="B415" t="s">
        <v>15595</v>
      </c>
      <c r="C415" t="s">
        <v>256</v>
      </c>
      <c r="D415">
        <v>0</v>
      </c>
      <c r="E415">
        <v>0.1</v>
      </c>
      <c r="F415">
        <f t="shared" si="6"/>
        <v>0.1</v>
      </c>
      <c r="I415">
        <v>20180901</v>
      </c>
      <c r="J415" t="s">
        <v>311</v>
      </c>
    </row>
    <row r="416" spans="1:12" x14ac:dyDescent="0.3">
      <c r="A416" s="160">
        <v>2636</v>
      </c>
      <c r="B416" t="s">
        <v>15596</v>
      </c>
      <c r="C416" t="s">
        <v>256</v>
      </c>
      <c r="D416">
        <v>0</v>
      </c>
      <c r="E416">
        <v>0.1</v>
      </c>
      <c r="F416">
        <f t="shared" si="6"/>
        <v>0.1</v>
      </c>
      <c r="I416">
        <v>20180901</v>
      </c>
      <c r="J416" t="s">
        <v>257</v>
      </c>
    </row>
    <row r="417" spans="1:14" x14ac:dyDescent="0.3">
      <c r="A417" s="160">
        <v>2637</v>
      </c>
      <c r="B417" t="s">
        <v>15597</v>
      </c>
      <c r="C417" t="s">
        <v>263</v>
      </c>
      <c r="D417">
        <v>0.8</v>
      </c>
      <c r="E417">
        <v>0.1</v>
      </c>
      <c r="F417">
        <f t="shared" si="6"/>
        <v>0.9</v>
      </c>
      <c r="I417">
        <v>20230701</v>
      </c>
      <c r="J417" t="s">
        <v>315</v>
      </c>
    </row>
    <row r="418" spans="1:14" x14ac:dyDescent="0.3">
      <c r="A418" s="160">
        <v>2639</v>
      </c>
      <c r="B418" t="s">
        <v>15598</v>
      </c>
      <c r="C418" t="s">
        <v>256</v>
      </c>
      <c r="D418">
        <v>0</v>
      </c>
      <c r="E418">
        <v>0.1</v>
      </c>
      <c r="F418">
        <f t="shared" si="6"/>
        <v>0.1</v>
      </c>
      <c r="I418">
        <v>20180901</v>
      </c>
      <c r="J418" t="s">
        <v>281</v>
      </c>
    </row>
    <row r="419" spans="1:14" x14ac:dyDescent="0.3">
      <c r="A419" s="160">
        <v>2640</v>
      </c>
      <c r="B419" t="s">
        <v>15599</v>
      </c>
      <c r="C419" t="s">
        <v>256</v>
      </c>
      <c r="D419">
        <v>0</v>
      </c>
      <c r="E419">
        <v>0.1</v>
      </c>
      <c r="F419">
        <f t="shared" si="6"/>
        <v>0.1</v>
      </c>
      <c r="I419">
        <v>20180901</v>
      </c>
      <c r="J419" t="s">
        <v>257</v>
      </c>
    </row>
    <row r="420" spans="1:14" x14ac:dyDescent="0.3">
      <c r="A420" s="160">
        <v>2643</v>
      </c>
      <c r="B420" t="s">
        <v>15600</v>
      </c>
      <c r="C420" t="s">
        <v>259</v>
      </c>
      <c r="D420">
        <v>0.6</v>
      </c>
      <c r="E420">
        <v>0</v>
      </c>
      <c r="F420">
        <f t="shared" si="6"/>
        <v>0.6</v>
      </c>
      <c r="I420">
        <v>20200701</v>
      </c>
      <c r="J420" t="s">
        <v>260</v>
      </c>
    </row>
    <row r="421" spans="1:14" x14ac:dyDescent="0.3">
      <c r="A421" s="160">
        <v>2644</v>
      </c>
      <c r="B421" t="s">
        <v>15601</v>
      </c>
      <c r="C421" t="s">
        <v>259</v>
      </c>
      <c r="D421">
        <v>0.6</v>
      </c>
      <c r="E421">
        <v>0</v>
      </c>
      <c r="F421">
        <f t="shared" si="6"/>
        <v>0.6</v>
      </c>
      <c r="I421">
        <v>20120901</v>
      </c>
      <c r="J421" t="s">
        <v>262</v>
      </c>
    </row>
    <row r="422" spans="1:14" x14ac:dyDescent="0.3">
      <c r="A422" s="160">
        <v>2645</v>
      </c>
      <c r="B422" t="s">
        <v>15602</v>
      </c>
      <c r="C422" t="s">
        <v>265</v>
      </c>
      <c r="D422">
        <v>0.3</v>
      </c>
      <c r="E422">
        <v>0.1</v>
      </c>
      <c r="F422">
        <f t="shared" si="6"/>
        <v>0.4</v>
      </c>
      <c r="I422">
        <v>20230701</v>
      </c>
      <c r="J422" t="s">
        <v>274</v>
      </c>
    </row>
    <row r="423" spans="1:14" x14ac:dyDescent="0.3">
      <c r="A423" s="160">
        <v>2648</v>
      </c>
      <c r="B423" t="s">
        <v>15603</v>
      </c>
      <c r="C423" t="s">
        <v>256</v>
      </c>
      <c r="D423">
        <v>0</v>
      </c>
      <c r="E423">
        <v>0.1</v>
      </c>
      <c r="F423">
        <f t="shared" si="6"/>
        <v>0.1</v>
      </c>
      <c r="I423">
        <v>20180901</v>
      </c>
      <c r="J423" t="s">
        <v>257</v>
      </c>
    </row>
    <row r="424" spans="1:14" x14ac:dyDescent="0.3">
      <c r="A424" s="160">
        <v>2649</v>
      </c>
      <c r="B424" t="s">
        <v>15604</v>
      </c>
      <c r="C424" t="s">
        <v>265</v>
      </c>
      <c r="D424">
        <v>0.6</v>
      </c>
      <c r="E424">
        <v>0.1</v>
      </c>
      <c r="F424">
        <f t="shared" si="6"/>
        <v>0.7</v>
      </c>
      <c r="I424">
        <v>20230701</v>
      </c>
      <c r="J424" t="s">
        <v>266</v>
      </c>
    </row>
    <row r="425" spans="1:14" x14ac:dyDescent="0.3">
      <c r="A425" s="160">
        <v>2651</v>
      </c>
      <c r="B425" t="s">
        <v>15605</v>
      </c>
      <c r="C425" t="s">
        <v>249</v>
      </c>
      <c r="D425">
        <v>0.6</v>
      </c>
      <c r="E425">
        <v>0</v>
      </c>
      <c r="F425">
        <f t="shared" si="6"/>
        <v>0.6</v>
      </c>
      <c r="I425">
        <v>20230701</v>
      </c>
      <c r="J425" t="s">
        <v>252</v>
      </c>
    </row>
    <row r="426" spans="1:14" x14ac:dyDescent="0.3">
      <c r="A426" s="160">
        <v>2655</v>
      </c>
      <c r="B426" t="s">
        <v>15606</v>
      </c>
      <c r="C426" t="s">
        <v>265</v>
      </c>
      <c r="D426">
        <v>0.3</v>
      </c>
      <c r="E426">
        <v>0.1</v>
      </c>
      <c r="F426">
        <f t="shared" si="6"/>
        <v>0.4</v>
      </c>
      <c r="I426">
        <v>20230701</v>
      </c>
      <c r="J426" t="s">
        <v>285</v>
      </c>
    </row>
    <row r="427" spans="1:14" x14ac:dyDescent="0.3">
      <c r="A427" s="160">
        <v>2658</v>
      </c>
      <c r="B427" t="s">
        <v>15607</v>
      </c>
      <c r="C427" t="s">
        <v>256</v>
      </c>
      <c r="D427">
        <v>0</v>
      </c>
      <c r="E427">
        <v>0.1</v>
      </c>
      <c r="F427">
        <f t="shared" si="6"/>
        <v>0.1</v>
      </c>
      <c r="I427">
        <v>20180901</v>
      </c>
      <c r="J427" t="s">
        <v>270</v>
      </c>
    </row>
    <row r="428" spans="1:14" x14ac:dyDescent="0.3">
      <c r="A428" s="160">
        <v>2659</v>
      </c>
      <c r="B428" t="s">
        <v>15608</v>
      </c>
      <c r="C428" t="s">
        <v>263</v>
      </c>
      <c r="D428">
        <v>0.8</v>
      </c>
      <c r="E428">
        <v>0.1</v>
      </c>
      <c r="F428">
        <f t="shared" si="6"/>
        <v>0.9</v>
      </c>
      <c r="I428">
        <v>20230701</v>
      </c>
      <c r="J428" t="s">
        <v>315</v>
      </c>
      <c r="K428" t="s">
        <v>326</v>
      </c>
      <c r="L428" t="s">
        <v>324</v>
      </c>
      <c r="M428" t="s">
        <v>316</v>
      </c>
      <c r="N428" t="s">
        <v>321</v>
      </c>
    </row>
    <row r="429" spans="1:14" x14ac:dyDescent="0.3">
      <c r="A429" s="160">
        <v>2662</v>
      </c>
      <c r="B429" t="s">
        <v>15609</v>
      </c>
      <c r="C429" t="s">
        <v>265</v>
      </c>
      <c r="D429">
        <v>0.3</v>
      </c>
      <c r="E429">
        <v>0.1</v>
      </c>
      <c r="F429">
        <f t="shared" si="6"/>
        <v>0.4</v>
      </c>
      <c r="I429">
        <v>20230701</v>
      </c>
      <c r="J429" t="s">
        <v>266</v>
      </c>
    </row>
    <row r="430" spans="1:14" x14ac:dyDescent="0.3">
      <c r="A430" s="160">
        <v>2663</v>
      </c>
      <c r="B430" t="s">
        <v>15610</v>
      </c>
      <c r="C430" t="s">
        <v>253</v>
      </c>
      <c r="D430">
        <v>0.6</v>
      </c>
      <c r="E430">
        <v>0.1</v>
      </c>
      <c r="F430">
        <f t="shared" si="6"/>
        <v>0.7</v>
      </c>
      <c r="I430">
        <v>20240101</v>
      </c>
      <c r="J430" t="s">
        <v>254</v>
      </c>
    </row>
    <row r="431" spans="1:14" x14ac:dyDescent="0.3">
      <c r="A431" s="160">
        <v>2664</v>
      </c>
      <c r="B431" t="s">
        <v>15611</v>
      </c>
      <c r="C431" t="s">
        <v>265</v>
      </c>
      <c r="D431">
        <v>0.3</v>
      </c>
      <c r="E431">
        <v>0.1</v>
      </c>
      <c r="F431">
        <f t="shared" si="6"/>
        <v>0.4</v>
      </c>
      <c r="I431">
        <v>20230701</v>
      </c>
      <c r="J431" t="s">
        <v>336</v>
      </c>
    </row>
    <row r="432" spans="1:14" x14ac:dyDescent="0.3">
      <c r="A432" s="160">
        <v>2667</v>
      </c>
      <c r="B432" t="s">
        <v>15612</v>
      </c>
      <c r="C432" t="s">
        <v>253</v>
      </c>
      <c r="D432">
        <v>0.6</v>
      </c>
      <c r="E432">
        <v>0.1</v>
      </c>
      <c r="F432">
        <f t="shared" si="6"/>
        <v>0.7</v>
      </c>
      <c r="I432">
        <v>20230701</v>
      </c>
      <c r="J432" t="s">
        <v>254</v>
      </c>
    </row>
    <row r="433" spans="1:23" x14ac:dyDescent="0.3">
      <c r="A433" s="160">
        <v>2672</v>
      </c>
      <c r="B433" t="s">
        <v>15613</v>
      </c>
      <c r="C433" t="s">
        <v>259</v>
      </c>
      <c r="D433">
        <v>0.6</v>
      </c>
      <c r="E433">
        <v>0</v>
      </c>
      <c r="F433">
        <f t="shared" si="6"/>
        <v>0.6</v>
      </c>
      <c r="I433">
        <v>20200701</v>
      </c>
      <c r="J433" t="s">
        <v>260</v>
      </c>
    </row>
    <row r="434" spans="1:23" x14ac:dyDescent="0.3">
      <c r="A434" s="160">
        <v>2673</v>
      </c>
      <c r="B434" t="s">
        <v>15614</v>
      </c>
      <c r="C434" t="s">
        <v>259</v>
      </c>
      <c r="D434">
        <v>0.6</v>
      </c>
      <c r="E434">
        <v>0</v>
      </c>
      <c r="F434">
        <f t="shared" si="6"/>
        <v>0.6</v>
      </c>
      <c r="I434">
        <v>20200701</v>
      </c>
      <c r="J434" t="s">
        <v>260</v>
      </c>
    </row>
    <row r="435" spans="1:23" x14ac:dyDescent="0.3">
      <c r="A435" s="160">
        <v>2677</v>
      </c>
      <c r="B435" t="s">
        <v>15615</v>
      </c>
      <c r="C435" t="s">
        <v>265</v>
      </c>
      <c r="D435">
        <v>0.3</v>
      </c>
      <c r="E435">
        <v>0.1</v>
      </c>
      <c r="F435">
        <f t="shared" si="6"/>
        <v>0.4</v>
      </c>
      <c r="I435">
        <v>20230701</v>
      </c>
      <c r="J435" t="s">
        <v>275</v>
      </c>
    </row>
    <row r="436" spans="1:23" x14ac:dyDescent="0.3">
      <c r="A436" s="160">
        <v>2679</v>
      </c>
      <c r="B436" t="s">
        <v>15616</v>
      </c>
      <c r="C436" t="s">
        <v>265</v>
      </c>
      <c r="D436">
        <v>0.3</v>
      </c>
      <c r="E436">
        <v>0.1</v>
      </c>
      <c r="F436">
        <f t="shared" si="6"/>
        <v>0.4</v>
      </c>
      <c r="I436">
        <v>20230701</v>
      </c>
      <c r="J436" t="s">
        <v>292</v>
      </c>
    </row>
    <row r="437" spans="1:23" x14ac:dyDescent="0.3">
      <c r="A437" s="160">
        <v>2680</v>
      </c>
      <c r="B437" t="s">
        <v>15617</v>
      </c>
      <c r="C437" t="s">
        <v>249</v>
      </c>
      <c r="D437">
        <v>0.6</v>
      </c>
      <c r="E437">
        <v>0</v>
      </c>
      <c r="F437">
        <f t="shared" si="6"/>
        <v>0.6</v>
      </c>
      <c r="I437">
        <v>20230701</v>
      </c>
      <c r="J437" t="s">
        <v>342</v>
      </c>
    </row>
    <row r="438" spans="1:23" x14ac:dyDescent="0.3">
      <c r="A438" s="160">
        <v>2685</v>
      </c>
      <c r="B438" t="s">
        <v>15618</v>
      </c>
      <c r="C438" t="s">
        <v>249</v>
      </c>
      <c r="D438">
        <v>0.6</v>
      </c>
      <c r="E438">
        <v>0</v>
      </c>
      <c r="F438">
        <f t="shared" si="6"/>
        <v>0.6</v>
      </c>
      <c r="I438">
        <v>20230701</v>
      </c>
      <c r="J438" t="s">
        <v>342</v>
      </c>
    </row>
    <row r="439" spans="1:23" x14ac:dyDescent="0.3">
      <c r="A439" s="160">
        <v>2687</v>
      </c>
      <c r="B439" t="s">
        <v>15619</v>
      </c>
      <c r="C439" t="s">
        <v>259</v>
      </c>
      <c r="D439">
        <v>0.6</v>
      </c>
      <c r="E439">
        <v>0</v>
      </c>
      <c r="F439">
        <f t="shared" si="6"/>
        <v>0.6</v>
      </c>
      <c r="I439">
        <v>20200701</v>
      </c>
      <c r="J439" t="s">
        <v>262</v>
      </c>
    </row>
    <row r="440" spans="1:23" x14ac:dyDescent="0.3">
      <c r="A440" s="160">
        <v>2691</v>
      </c>
      <c r="B440" t="s">
        <v>15620</v>
      </c>
      <c r="C440" t="s">
        <v>263</v>
      </c>
      <c r="D440">
        <v>0.8</v>
      </c>
      <c r="E440">
        <v>0.1</v>
      </c>
      <c r="F440">
        <f t="shared" si="6"/>
        <v>0.9</v>
      </c>
      <c r="I440">
        <v>20230701</v>
      </c>
      <c r="J440" t="s">
        <v>315</v>
      </c>
      <c r="K440" t="s">
        <v>326</v>
      </c>
      <c r="L440" t="s">
        <v>324</v>
      </c>
      <c r="M440" t="s">
        <v>340</v>
      </c>
      <c r="N440" t="s">
        <v>343</v>
      </c>
      <c r="O440" t="s">
        <v>316</v>
      </c>
      <c r="P440" t="s">
        <v>320</v>
      </c>
      <c r="Q440" t="s">
        <v>341</v>
      </c>
      <c r="R440" t="s">
        <v>344</v>
      </c>
      <c r="S440" t="s">
        <v>325</v>
      </c>
      <c r="T440" t="s">
        <v>345</v>
      </c>
      <c r="U440" t="s">
        <v>321</v>
      </c>
      <c r="V440" t="s">
        <v>322</v>
      </c>
      <c r="W440" t="s">
        <v>346</v>
      </c>
    </row>
    <row r="441" spans="1:23" x14ac:dyDescent="0.3">
      <c r="A441" s="160">
        <v>2694</v>
      </c>
      <c r="B441" t="s">
        <v>15621</v>
      </c>
      <c r="C441" t="s">
        <v>263</v>
      </c>
      <c r="D441">
        <v>0.8</v>
      </c>
      <c r="E441">
        <v>0.1</v>
      </c>
      <c r="F441">
        <f t="shared" si="6"/>
        <v>0.9</v>
      </c>
      <c r="I441">
        <v>20230701</v>
      </c>
      <c r="J441" t="s">
        <v>347</v>
      </c>
    </row>
    <row r="442" spans="1:23" x14ac:dyDescent="0.3">
      <c r="A442" s="160">
        <v>2697</v>
      </c>
      <c r="B442" t="s">
        <v>15622</v>
      </c>
      <c r="C442" t="s">
        <v>293</v>
      </c>
      <c r="D442">
        <v>0.6</v>
      </c>
      <c r="E442">
        <v>0</v>
      </c>
      <c r="F442">
        <f t="shared" si="6"/>
        <v>0.6</v>
      </c>
      <c r="I442">
        <v>20190101</v>
      </c>
      <c r="J442" t="s">
        <v>268</v>
      </c>
    </row>
    <row r="443" spans="1:23" x14ac:dyDescent="0.3">
      <c r="A443" s="160">
        <v>2698</v>
      </c>
      <c r="B443" t="s">
        <v>15623</v>
      </c>
      <c r="C443" t="s">
        <v>256</v>
      </c>
      <c r="D443">
        <v>0</v>
      </c>
      <c r="E443">
        <v>0.1</v>
      </c>
      <c r="F443">
        <f t="shared" si="6"/>
        <v>0.1</v>
      </c>
      <c r="I443">
        <v>20180901</v>
      </c>
      <c r="J443" t="s">
        <v>291</v>
      </c>
    </row>
    <row r="444" spans="1:23" x14ac:dyDescent="0.3">
      <c r="A444" s="160">
        <v>2699</v>
      </c>
      <c r="B444" t="s">
        <v>15624</v>
      </c>
      <c r="C444" t="s">
        <v>265</v>
      </c>
      <c r="D444">
        <v>0.3</v>
      </c>
      <c r="E444">
        <v>0.1</v>
      </c>
      <c r="F444">
        <f t="shared" si="6"/>
        <v>0.4</v>
      </c>
      <c r="I444">
        <v>20230701</v>
      </c>
      <c r="J444" t="s">
        <v>285</v>
      </c>
    </row>
    <row r="445" spans="1:23" x14ac:dyDescent="0.3">
      <c r="A445" s="160">
        <v>2702</v>
      </c>
      <c r="B445" t="s">
        <v>15625</v>
      </c>
      <c r="C445" t="s">
        <v>256</v>
      </c>
      <c r="D445">
        <v>0</v>
      </c>
      <c r="E445">
        <v>0.1</v>
      </c>
      <c r="F445">
        <f t="shared" si="6"/>
        <v>0.1</v>
      </c>
      <c r="I445">
        <v>20180901</v>
      </c>
      <c r="J445" t="s">
        <v>270</v>
      </c>
    </row>
    <row r="446" spans="1:23" x14ac:dyDescent="0.3">
      <c r="A446" s="160">
        <v>2706</v>
      </c>
      <c r="B446" t="s">
        <v>15626</v>
      </c>
      <c r="C446" t="s">
        <v>253</v>
      </c>
      <c r="D446">
        <v>0.6</v>
      </c>
      <c r="E446">
        <v>0.1</v>
      </c>
      <c r="F446">
        <f t="shared" si="6"/>
        <v>0.7</v>
      </c>
      <c r="I446">
        <v>20230701</v>
      </c>
      <c r="J446" t="s">
        <v>254</v>
      </c>
    </row>
    <row r="447" spans="1:23" x14ac:dyDescent="0.3">
      <c r="A447" s="160">
        <v>2708</v>
      </c>
      <c r="B447" t="s">
        <v>15627</v>
      </c>
      <c r="C447" t="s">
        <v>256</v>
      </c>
      <c r="D447">
        <v>0</v>
      </c>
      <c r="E447">
        <v>0.1</v>
      </c>
      <c r="F447">
        <f t="shared" si="6"/>
        <v>0.1</v>
      </c>
      <c r="I447">
        <v>20180901</v>
      </c>
      <c r="J447" t="s">
        <v>276</v>
      </c>
    </row>
    <row r="448" spans="1:23" x14ac:dyDescent="0.3">
      <c r="A448" s="160">
        <v>2710</v>
      </c>
      <c r="B448" t="s">
        <v>15628</v>
      </c>
      <c r="C448" t="s">
        <v>263</v>
      </c>
      <c r="D448">
        <v>0.8</v>
      </c>
      <c r="E448">
        <v>0.1</v>
      </c>
      <c r="F448">
        <f t="shared" si="6"/>
        <v>0.9</v>
      </c>
      <c r="I448">
        <v>20230701</v>
      </c>
      <c r="J448" t="s">
        <v>348</v>
      </c>
    </row>
    <row r="449" spans="1:20" x14ac:dyDescent="0.3">
      <c r="A449" s="160">
        <v>2711</v>
      </c>
      <c r="B449" t="s">
        <v>15629</v>
      </c>
      <c r="C449" t="s">
        <v>253</v>
      </c>
      <c r="D449">
        <v>0.6</v>
      </c>
      <c r="E449">
        <v>0.1</v>
      </c>
      <c r="F449">
        <f t="shared" si="6"/>
        <v>0.7</v>
      </c>
      <c r="I449">
        <v>20230701</v>
      </c>
      <c r="J449" t="s">
        <v>307</v>
      </c>
    </row>
    <row r="450" spans="1:20" x14ac:dyDescent="0.3">
      <c r="A450" s="160">
        <v>2712</v>
      </c>
      <c r="B450" t="s">
        <v>15630</v>
      </c>
      <c r="C450" t="s">
        <v>265</v>
      </c>
      <c r="D450">
        <v>0.3</v>
      </c>
      <c r="E450">
        <v>0.1</v>
      </c>
      <c r="F450">
        <f t="shared" si="6"/>
        <v>0.4</v>
      </c>
      <c r="I450">
        <v>20230701</v>
      </c>
      <c r="J450" t="s">
        <v>285</v>
      </c>
    </row>
    <row r="451" spans="1:20" x14ac:dyDescent="0.3">
      <c r="A451" s="160">
        <v>2713</v>
      </c>
      <c r="B451" t="s">
        <v>15631</v>
      </c>
      <c r="C451" t="s">
        <v>265</v>
      </c>
      <c r="D451">
        <v>0.3</v>
      </c>
      <c r="E451">
        <v>0.1</v>
      </c>
      <c r="F451">
        <f t="shared" si="6"/>
        <v>0.4</v>
      </c>
      <c r="I451">
        <v>20230701</v>
      </c>
      <c r="J451" t="s">
        <v>285</v>
      </c>
    </row>
    <row r="452" spans="1:20" x14ac:dyDescent="0.3">
      <c r="A452" s="160">
        <v>2714</v>
      </c>
      <c r="B452" t="s">
        <v>15632</v>
      </c>
      <c r="C452" t="s">
        <v>253</v>
      </c>
      <c r="D452">
        <v>0.6</v>
      </c>
      <c r="E452">
        <v>0.1</v>
      </c>
      <c r="F452">
        <f t="shared" si="6"/>
        <v>0.7</v>
      </c>
      <c r="I452">
        <v>20230701</v>
      </c>
      <c r="J452" t="s">
        <v>307</v>
      </c>
    </row>
    <row r="453" spans="1:20" x14ac:dyDescent="0.3">
      <c r="A453" s="160">
        <v>2716</v>
      </c>
      <c r="B453" t="s">
        <v>15633</v>
      </c>
      <c r="C453" t="s">
        <v>249</v>
      </c>
      <c r="D453">
        <v>0.6</v>
      </c>
      <c r="E453">
        <v>0</v>
      </c>
      <c r="F453">
        <f t="shared" si="6"/>
        <v>0.6</v>
      </c>
      <c r="I453">
        <v>20230701</v>
      </c>
      <c r="J453" t="s">
        <v>261</v>
      </c>
    </row>
    <row r="454" spans="1:20" x14ac:dyDescent="0.3">
      <c r="A454" s="160">
        <v>2717</v>
      </c>
      <c r="B454" t="s">
        <v>15634</v>
      </c>
      <c r="C454" t="s">
        <v>256</v>
      </c>
      <c r="D454">
        <v>0</v>
      </c>
      <c r="E454">
        <v>0.1</v>
      </c>
      <c r="F454">
        <f t="shared" si="6"/>
        <v>0.1</v>
      </c>
      <c r="I454">
        <v>20180901</v>
      </c>
      <c r="J454" t="s">
        <v>257</v>
      </c>
    </row>
    <row r="455" spans="1:20" x14ac:dyDescent="0.3">
      <c r="A455" s="160">
        <v>2718</v>
      </c>
      <c r="B455" t="s">
        <v>15635</v>
      </c>
      <c r="C455" t="s">
        <v>259</v>
      </c>
      <c r="D455">
        <v>0.6</v>
      </c>
      <c r="E455">
        <v>0</v>
      </c>
      <c r="F455">
        <f t="shared" ref="F455:F518" si="7">D455+E455</f>
        <v>0.6</v>
      </c>
      <c r="I455">
        <v>20200701</v>
      </c>
      <c r="J455" t="s">
        <v>317</v>
      </c>
    </row>
    <row r="456" spans="1:20" x14ac:dyDescent="0.3">
      <c r="A456" s="160">
        <v>2719</v>
      </c>
      <c r="B456" t="s">
        <v>15636</v>
      </c>
      <c r="C456" t="s">
        <v>249</v>
      </c>
      <c r="D456">
        <v>0.6</v>
      </c>
      <c r="E456">
        <v>0</v>
      </c>
      <c r="F456">
        <f t="shared" si="7"/>
        <v>0.6</v>
      </c>
      <c r="I456">
        <v>20230701</v>
      </c>
      <c r="J456" t="s">
        <v>250</v>
      </c>
    </row>
    <row r="457" spans="1:20" x14ac:dyDescent="0.3">
      <c r="A457" s="160">
        <v>2721</v>
      </c>
      <c r="B457" t="s">
        <v>15637</v>
      </c>
      <c r="C457" t="s">
        <v>256</v>
      </c>
      <c r="D457">
        <v>0</v>
      </c>
      <c r="E457">
        <v>0.1</v>
      </c>
      <c r="F457">
        <f t="shared" si="7"/>
        <v>0.1</v>
      </c>
      <c r="I457">
        <v>20180901</v>
      </c>
      <c r="J457" t="s">
        <v>257</v>
      </c>
    </row>
    <row r="458" spans="1:20" x14ac:dyDescent="0.3">
      <c r="A458" s="160">
        <v>2722</v>
      </c>
      <c r="B458" t="s">
        <v>15638</v>
      </c>
      <c r="C458" t="s">
        <v>253</v>
      </c>
      <c r="D458">
        <v>0.6</v>
      </c>
      <c r="E458">
        <v>0.1</v>
      </c>
      <c r="F458">
        <f t="shared" si="7"/>
        <v>0.7</v>
      </c>
      <c r="I458">
        <v>20230701</v>
      </c>
      <c r="J458" t="s">
        <v>254</v>
      </c>
      <c r="K458" t="s">
        <v>277</v>
      </c>
      <c r="L458" t="s">
        <v>289</v>
      </c>
      <c r="M458" t="s">
        <v>283</v>
      </c>
      <c r="N458" t="s">
        <v>278</v>
      </c>
      <c r="O458" t="s">
        <v>290</v>
      </c>
      <c r="P458" t="s">
        <v>279</v>
      </c>
      <c r="Q458" t="s">
        <v>255</v>
      </c>
      <c r="R458" t="s">
        <v>280</v>
      </c>
      <c r="S458" t="s">
        <v>349</v>
      </c>
      <c r="T458" t="s">
        <v>350</v>
      </c>
    </row>
    <row r="459" spans="1:20" x14ac:dyDescent="0.3">
      <c r="A459" s="160">
        <v>2724</v>
      </c>
      <c r="B459" t="s">
        <v>15639</v>
      </c>
      <c r="C459" t="s">
        <v>265</v>
      </c>
      <c r="D459">
        <v>0.3</v>
      </c>
      <c r="E459">
        <v>0.1</v>
      </c>
      <c r="F459">
        <f t="shared" si="7"/>
        <v>0.4</v>
      </c>
      <c r="I459">
        <v>20230701</v>
      </c>
      <c r="J459" t="s">
        <v>312</v>
      </c>
    </row>
    <row r="460" spans="1:20" x14ac:dyDescent="0.3">
      <c r="A460" s="160">
        <v>2726</v>
      </c>
      <c r="B460" t="s">
        <v>15640</v>
      </c>
      <c r="C460" t="s">
        <v>263</v>
      </c>
      <c r="D460">
        <v>0.8</v>
      </c>
      <c r="E460">
        <v>0.1</v>
      </c>
      <c r="F460">
        <f t="shared" si="7"/>
        <v>0.9</v>
      </c>
      <c r="I460">
        <v>20230701</v>
      </c>
      <c r="J460" t="s">
        <v>264</v>
      </c>
    </row>
    <row r="461" spans="1:20" x14ac:dyDescent="0.3">
      <c r="A461" s="160">
        <v>2729</v>
      </c>
      <c r="B461" t="s">
        <v>15641</v>
      </c>
      <c r="C461" t="s">
        <v>259</v>
      </c>
      <c r="D461">
        <v>0.6</v>
      </c>
      <c r="E461">
        <v>0</v>
      </c>
      <c r="F461">
        <f t="shared" si="7"/>
        <v>0.6</v>
      </c>
      <c r="I461">
        <v>20120901</v>
      </c>
      <c r="J461" t="s">
        <v>262</v>
      </c>
      <c r="K461" t="s">
        <v>313</v>
      </c>
    </row>
    <row r="462" spans="1:20" x14ac:dyDescent="0.3">
      <c r="A462" s="160">
        <v>2732</v>
      </c>
      <c r="B462" t="s">
        <v>15642</v>
      </c>
      <c r="C462" t="s">
        <v>256</v>
      </c>
      <c r="D462">
        <v>0</v>
      </c>
      <c r="E462">
        <v>0.1</v>
      </c>
      <c r="F462">
        <f t="shared" si="7"/>
        <v>0.1</v>
      </c>
      <c r="I462">
        <v>20180901</v>
      </c>
      <c r="J462" t="s">
        <v>257</v>
      </c>
    </row>
    <row r="463" spans="1:20" x14ac:dyDescent="0.3">
      <c r="A463" s="160">
        <v>2734</v>
      </c>
      <c r="B463" t="s">
        <v>15643</v>
      </c>
      <c r="C463" t="s">
        <v>259</v>
      </c>
      <c r="D463">
        <v>0.6</v>
      </c>
      <c r="E463">
        <v>0</v>
      </c>
      <c r="F463">
        <f t="shared" si="7"/>
        <v>0.6</v>
      </c>
      <c r="I463">
        <v>20120901</v>
      </c>
      <c r="J463" t="s">
        <v>262</v>
      </c>
    </row>
    <row r="464" spans="1:20" x14ac:dyDescent="0.3">
      <c r="A464" s="160">
        <v>2736</v>
      </c>
      <c r="B464" t="s">
        <v>15644</v>
      </c>
      <c r="C464" t="s">
        <v>253</v>
      </c>
      <c r="D464">
        <v>0.6</v>
      </c>
      <c r="E464">
        <v>0.1</v>
      </c>
      <c r="F464">
        <f t="shared" si="7"/>
        <v>0.7</v>
      </c>
      <c r="I464">
        <v>20230701</v>
      </c>
      <c r="J464" t="s">
        <v>260</v>
      </c>
    </row>
    <row r="465" spans="1:11" x14ac:dyDescent="0.3">
      <c r="A465" s="160">
        <v>2738</v>
      </c>
      <c r="B465" t="s">
        <v>15645</v>
      </c>
      <c r="C465" t="s">
        <v>249</v>
      </c>
      <c r="D465">
        <v>0.6</v>
      </c>
      <c r="E465">
        <v>0</v>
      </c>
      <c r="F465">
        <f t="shared" si="7"/>
        <v>0.6</v>
      </c>
      <c r="I465">
        <v>20230701</v>
      </c>
      <c r="J465" t="s">
        <v>261</v>
      </c>
    </row>
    <row r="466" spans="1:11" x14ac:dyDescent="0.3">
      <c r="A466" s="160">
        <v>2739</v>
      </c>
      <c r="B466" t="s">
        <v>15646</v>
      </c>
      <c r="C466" t="s">
        <v>253</v>
      </c>
      <c r="D466">
        <v>0.6</v>
      </c>
      <c r="E466">
        <v>0.1</v>
      </c>
      <c r="F466">
        <f t="shared" si="7"/>
        <v>0.7</v>
      </c>
      <c r="I466">
        <v>20230701</v>
      </c>
      <c r="J466" t="s">
        <v>291</v>
      </c>
    </row>
    <row r="467" spans="1:11" x14ac:dyDescent="0.3">
      <c r="A467" s="160">
        <v>2741</v>
      </c>
      <c r="B467" t="s">
        <v>15647</v>
      </c>
      <c r="C467" t="s">
        <v>256</v>
      </c>
      <c r="D467">
        <v>0</v>
      </c>
      <c r="E467">
        <v>0.1</v>
      </c>
      <c r="F467">
        <f t="shared" si="7"/>
        <v>0.1</v>
      </c>
      <c r="I467">
        <v>20180901</v>
      </c>
      <c r="J467" t="s">
        <v>338</v>
      </c>
    </row>
    <row r="468" spans="1:11" x14ac:dyDescent="0.3">
      <c r="A468" s="160">
        <v>2744</v>
      </c>
      <c r="B468" t="s">
        <v>15648</v>
      </c>
      <c r="C468" t="s">
        <v>265</v>
      </c>
      <c r="D468">
        <v>0.3</v>
      </c>
      <c r="E468">
        <v>0.1</v>
      </c>
      <c r="F468">
        <f t="shared" si="7"/>
        <v>0.4</v>
      </c>
      <c r="I468">
        <v>20230701</v>
      </c>
      <c r="J468" t="s">
        <v>292</v>
      </c>
    </row>
    <row r="469" spans="1:11" x14ac:dyDescent="0.3">
      <c r="A469" s="160">
        <v>2746</v>
      </c>
      <c r="B469" t="s">
        <v>15649</v>
      </c>
      <c r="C469" t="s">
        <v>249</v>
      </c>
      <c r="D469">
        <v>0.6</v>
      </c>
      <c r="E469">
        <v>0</v>
      </c>
      <c r="F469">
        <f t="shared" si="7"/>
        <v>0.6</v>
      </c>
      <c r="I469">
        <v>20230701</v>
      </c>
      <c r="J469" t="s">
        <v>252</v>
      </c>
    </row>
    <row r="470" spans="1:11" x14ac:dyDescent="0.3">
      <c r="A470" s="160">
        <v>2748</v>
      </c>
      <c r="B470" t="s">
        <v>15650</v>
      </c>
      <c r="C470" t="s">
        <v>265</v>
      </c>
      <c r="D470">
        <v>0.3</v>
      </c>
      <c r="E470">
        <v>0.1</v>
      </c>
      <c r="F470">
        <f t="shared" si="7"/>
        <v>0.4</v>
      </c>
      <c r="I470">
        <v>20230701</v>
      </c>
      <c r="J470" t="s">
        <v>274</v>
      </c>
    </row>
    <row r="471" spans="1:11" x14ac:dyDescent="0.3">
      <c r="A471" s="160">
        <v>2749</v>
      </c>
      <c r="B471" t="s">
        <v>15651</v>
      </c>
      <c r="C471" t="s">
        <v>259</v>
      </c>
      <c r="D471">
        <v>0.6</v>
      </c>
      <c r="E471">
        <v>0</v>
      </c>
      <c r="F471">
        <f t="shared" si="7"/>
        <v>0.6</v>
      </c>
      <c r="I471">
        <v>20200701</v>
      </c>
      <c r="J471" t="s">
        <v>317</v>
      </c>
      <c r="K471" t="s">
        <v>313</v>
      </c>
    </row>
    <row r="472" spans="1:11" x14ac:dyDescent="0.3">
      <c r="A472" s="160">
        <v>2752</v>
      </c>
      <c r="B472" t="s">
        <v>15652</v>
      </c>
      <c r="C472" t="s">
        <v>263</v>
      </c>
      <c r="D472">
        <v>0.8</v>
      </c>
      <c r="E472">
        <v>0.1</v>
      </c>
      <c r="F472">
        <f t="shared" si="7"/>
        <v>0.9</v>
      </c>
      <c r="I472">
        <v>20230701</v>
      </c>
      <c r="J472" t="s">
        <v>347</v>
      </c>
    </row>
    <row r="473" spans="1:11" x14ac:dyDescent="0.3">
      <c r="A473" s="160">
        <v>2754</v>
      </c>
      <c r="B473" t="s">
        <v>15653</v>
      </c>
      <c r="C473" t="s">
        <v>249</v>
      </c>
      <c r="D473">
        <v>0.6</v>
      </c>
      <c r="E473">
        <v>0</v>
      </c>
      <c r="F473">
        <f t="shared" si="7"/>
        <v>0.6</v>
      </c>
      <c r="I473">
        <v>20230701</v>
      </c>
      <c r="J473" t="s">
        <v>250</v>
      </c>
    </row>
    <row r="474" spans="1:11" x14ac:dyDescent="0.3">
      <c r="A474" s="160">
        <v>2756</v>
      </c>
      <c r="B474" t="s">
        <v>15654</v>
      </c>
      <c r="C474" t="s">
        <v>256</v>
      </c>
      <c r="D474">
        <v>0</v>
      </c>
      <c r="E474">
        <v>0.1</v>
      </c>
      <c r="F474">
        <f t="shared" si="7"/>
        <v>0.1</v>
      </c>
      <c r="I474">
        <v>20180901</v>
      </c>
      <c r="J474" t="s">
        <v>321</v>
      </c>
      <c r="K474" t="s">
        <v>314</v>
      </c>
    </row>
    <row r="475" spans="1:11" x14ac:dyDescent="0.3">
      <c r="A475" s="160">
        <v>2762</v>
      </c>
      <c r="B475" t="s">
        <v>15655</v>
      </c>
      <c r="C475" t="s">
        <v>259</v>
      </c>
      <c r="D475">
        <v>0.6</v>
      </c>
      <c r="E475">
        <v>0</v>
      </c>
      <c r="F475">
        <f t="shared" si="7"/>
        <v>0.6</v>
      </c>
      <c r="I475">
        <v>20200701</v>
      </c>
      <c r="J475" t="s">
        <v>260</v>
      </c>
    </row>
    <row r="476" spans="1:11" x14ac:dyDescent="0.3">
      <c r="A476" s="160">
        <v>2763</v>
      </c>
      <c r="B476" t="s">
        <v>15656</v>
      </c>
      <c r="C476" t="s">
        <v>256</v>
      </c>
      <c r="D476">
        <v>0</v>
      </c>
      <c r="E476">
        <v>0.1</v>
      </c>
      <c r="F476">
        <f t="shared" si="7"/>
        <v>0.1</v>
      </c>
      <c r="I476">
        <v>20180901</v>
      </c>
      <c r="J476" t="s">
        <v>307</v>
      </c>
    </row>
    <row r="477" spans="1:11" x14ac:dyDescent="0.3">
      <c r="A477" s="160">
        <v>2765</v>
      </c>
      <c r="B477" t="s">
        <v>15657</v>
      </c>
      <c r="C477" t="s">
        <v>293</v>
      </c>
      <c r="D477">
        <v>0.6</v>
      </c>
      <c r="E477">
        <v>0</v>
      </c>
      <c r="F477">
        <f t="shared" si="7"/>
        <v>0.6</v>
      </c>
      <c r="I477">
        <v>20190101</v>
      </c>
      <c r="J477" t="s">
        <v>271</v>
      </c>
    </row>
    <row r="478" spans="1:11" x14ac:dyDescent="0.3">
      <c r="A478" s="160">
        <v>2767</v>
      </c>
      <c r="B478" t="s">
        <v>15658</v>
      </c>
      <c r="C478" t="s">
        <v>253</v>
      </c>
      <c r="D478">
        <v>0.6</v>
      </c>
      <c r="E478">
        <v>0.1</v>
      </c>
      <c r="F478">
        <f t="shared" si="7"/>
        <v>0.7</v>
      </c>
      <c r="I478">
        <v>20230701</v>
      </c>
      <c r="J478" t="s">
        <v>254</v>
      </c>
    </row>
    <row r="479" spans="1:11" x14ac:dyDescent="0.3">
      <c r="A479" s="160">
        <v>2770</v>
      </c>
      <c r="B479" t="s">
        <v>15659</v>
      </c>
      <c r="C479" t="s">
        <v>253</v>
      </c>
      <c r="D479">
        <v>0.6</v>
      </c>
      <c r="E479">
        <v>0.1</v>
      </c>
      <c r="F479">
        <f t="shared" si="7"/>
        <v>0.7</v>
      </c>
      <c r="I479">
        <v>20230701</v>
      </c>
      <c r="J479" t="s">
        <v>254</v>
      </c>
      <c r="K479" t="s">
        <v>283</v>
      </c>
    </row>
    <row r="480" spans="1:11" x14ac:dyDescent="0.3">
      <c r="A480" s="160">
        <v>2772</v>
      </c>
      <c r="B480" t="s">
        <v>15660</v>
      </c>
      <c r="C480" t="s">
        <v>256</v>
      </c>
      <c r="D480">
        <v>0</v>
      </c>
      <c r="E480">
        <v>0.1</v>
      </c>
      <c r="F480">
        <f t="shared" si="7"/>
        <v>0.1</v>
      </c>
      <c r="I480">
        <v>20180901</v>
      </c>
      <c r="J480" t="s">
        <v>270</v>
      </c>
    </row>
    <row r="481" spans="1:16" x14ac:dyDescent="0.3">
      <c r="A481" s="160">
        <v>2774</v>
      </c>
      <c r="B481" t="s">
        <v>15661</v>
      </c>
      <c r="C481" t="s">
        <v>256</v>
      </c>
      <c r="D481">
        <v>0</v>
      </c>
      <c r="E481">
        <v>0.1</v>
      </c>
      <c r="F481">
        <f t="shared" si="7"/>
        <v>0.1</v>
      </c>
      <c r="I481">
        <v>20180901</v>
      </c>
      <c r="J481" t="s">
        <v>269</v>
      </c>
    </row>
    <row r="482" spans="1:16" x14ac:dyDescent="0.3">
      <c r="A482" s="160">
        <v>2775</v>
      </c>
      <c r="B482" t="s">
        <v>15662</v>
      </c>
      <c r="C482" t="s">
        <v>256</v>
      </c>
      <c r="D482">
        <v>0</v>
      </c>
      <c r="E482">
        <v>0.1</v>
      </c>
      <c r="F482">
        <f t="shared" si="7"/>
        <v>0.1</v>
      </c>
      <c r="I482">
        <v>20180901</v>
      </c>
      <c r="J482" t="s">
        <v>252</v>
      </c>
    </row>
    <row r="483" spans="1:16" x14ac:dyDescent="0.3">
      <c r="A483" s="160">
        <v>2780</v>
      </c>
      <c r="B483" t="s">
        <v>15663</v>
      </c>
      <c r="C483" t="s">
        <v>253</v>
      </c>
      <c r="D483">
        <v>0.6</v>
      </c>
      <c r="E483">
        <v>0.1</v>
      </c>
      <c r="F483">
        <f t="shared" si="7"/>
        <v>0.7</v>
      </c>
      <c r="I483">
        <v>20230701</v>
      </c>
      <c r="J483" t="s">
        <v>254</v>
      </c>
      <c r="K483" t="s">
        <v>255</v>
      </c>
    </row>
    <row r="484" spans="1:16" x14ac:dyDescent="0.3">
      <c r="A484" s="160">
        <v>2781</v>
      </c>
      <c r="B484" t="s">
        <v>15664</v>
      </c>
      <c r="C484" t="s">
        <v>265</v>
      </c>
      <c r="D484">
        <v>0.6</v>
      </c>
      <c r="E484">
        <v>0.1</v>
      </c>
      <c r="F484">
        <f t="shared" si="7"/>
        <v>0.7</v>
      </c>
      <c r="I484">
        <v>20230701</v>
      </c>
      <c r="J484" t="s">
        <v>272</v>
      </c>
      <c r="K484" t="s">
        <v>273</v>
      </c>
    </row>
    <row r="485" spans="1:16" x14ac:dyDescent="0.3">
      <c r="A485" s="160">
        <v>2782</v>
      </c>
      <c r="B485" t="s">
        <v>15665</v>
      </c>
      <c r="C485" t="s">
        <v>256</v>
      </c>
      <c r="D485">
        <v>0</v>
      </c>
      <c r="E485">
        <v>0.1</v>
      </c>
      <c r="F485">
        <f t="shared" si="7"/>
        <v>0.1</v>
      </c>
      <c r="I485">
        <v>20180901</v>
      </c>
      <c r="J485" t="s">
        <v>269</v>
      </c>
    </row>
    <row r="486" spans="1:16" x14ac:dyDescent="0.3">
      <c r="A486" s="160">
        <v>2785</v>
      </c>
      <c r="B486" t="s">
        <v>15666</v>
      </c>
      <c r="C486" t="s">
        <v>256</v>
      </c>
      <c r="D486">
        <v>0</v>
      </c>
      <c r="E486">
        <v>0.1</v>
      </c>
      <c r="F486">
        <f t="shared" si="7"/>
        <v>0.1</v>
      </c>
      <c r="I486">
        <v>20180901</v>
      </c>
      <c r="J486" t="s">
        <v>321</v>
      </c>
      <c r="K486" t="s">
        <v>269</v>
      </c>
    </row>
    <row r="487" spans="1:16" x14ac:dyDescent="0.3">
      <c r="A487" s="160">
        <v>2788</v>
      </c>
      <c r="B487" t="s">
        <v>15667</v>
      </c>
      <c r="C487" t="s">
        <v>249</v>
      </c>
      <c r="D487">
        <v>0.6</v>
      </c>
      <c r="E487">
        <v>0</v>
      </c>
      <c r="F487">
        <f t="shared" si="7"/>
        <v>0.6</v>
      </c>
      <c r="I487">
        <v>20230701</v>
      </c>
      <c r="J487" t="s">
        <v>252</v>
      </c>
    </row>
    <row r="488" spans="1:16" x14ac:dyDescent="0.3">
      <c r="A488" s="160">
        <v>2791</v>
      </c>
      <c r="B488" t="s">
        <v>15668</v>
      </c>
      <c r="C488" t="s">
        <v>293</v>
      </c>
      <c r="D488">
        <v>0.6</v>
      </c>
      <c r="E488">
        <v>0</v>
      </c>
      <c r="F488">
        <f t="shared" si="7"/>
        <v>0.6</v>
      </c>
      <c r="I488">
        <v>20190101</v>
      </c>
      <c r="J488" t="s">
        <v>268</v>
      </c>
    </row>
    <row r="489" spans="1:16" x14ac:dyDescent="0.3">
      <c r="A489" s="160">
        <v>2793</v>
      </c>
      <c r="B489" t="s">
        <v>15669</v>
      </c>
      <c r="C489" t="s">
        <v>259</v>
      </c>
      <c r="D489">
        <v>0.6</v>
      </c>
      <c r="E489">
        <v>0.1</v>
      </c>
      <c r="F489">
        <f t="shared" si="7"/>
        <v>0.7</v>
      </c>
      <c r="I489">
        <v>20200701</v>
      </c>
      <c r="J489" t="s">
        <v>260</v>
      </c>
    </row>
    <row r="490" spans="1:16" x14ac:dyDescent="0.3">
      <c r="A490" s="160">
        <v>2794</v>
      </c>
      <c r="B490" t="s">
        <v>15670</v>
      </c>
      <c r="C490" t="s">
        <v>265</v>
      </c>
      <c r="D490">
        <v>0.3</v>
      </c>
      <c r="E490">
        <v>0.1</v>
      </c>
      <c r="F490">
        <f t="shared" si="7"/>
        <v>0.4</v>
      </c>
      <c r="I490">
        <v>20230701</v>
      </c>
      <c r="J490" t="s">
        <v>285</v>
      </c>
    </row>
    <row r="491" spans="1:16" x14ac:dyDescent="0.3">
      <c r="A491" s="160">
        <v>2795</v>
      </c>
      <c r="B491" t="s">
        <v>15671</v>
      </c>
      <c r="C491" t="s">
        <v>259</v>
      </c>
      <c r="D491">
        <v>0.6</v>
      </c>
      <c r="E491">
        <v>0</v>
      </c>
      <c r="F491">
        <f t="shared" si="7"/>
        <v>0.6</v>
      </c>
      <c r="I491">
        <v>20200701</v>
      </c>
      <c r="J491" t="s">
        <v>260</v>
      </c>
    </row>
    <row r="492" spans="1:16" x14ac:dyDescent="0.3">
      <c r="A492" s="160">
        <v>2796</v>
      </c>
      <c r="B492" t="s">
        <v>15672</v>
      </c>
      <c r="C492" t="s">
        <v>265</v>
      </c>
      <c r="D492">
        <v>0.3</v>
      </c>
      <c r="E492">
        <v>0.1</v>
      </c>
      <c r="F492">
        <f t="shared" si="7"/>
        <v>0.4</v>
      </c>
      <c r="I492">
        <v>20230701</v>
      </c>
      <c r="J492" t="s">
        <v>266</v>
      </c>
    </row>
    <row r="493" spans="1:16" x14ac:dyDescent="0.3">
      <c r="A493" s="160">
        <v>2800</v>
      </c>
      <c r="B493" t="s">
        <v>15673</v>
      </c>
      <c r="C493" t="s">
        <v>265</v>
      </c>
      <c r="D493">
        <v>0.3</v>
      </c>
      <c r="E493">
        <v>0.1</v>
      </c>
      <c r="F493">
        <f t="shared" si="7"/>
        <v>0.4</v>
      </c>
      <c r="I493">
        <v>20230701</v>
      </c>
      <c r="J493" t="s">
        <v>336</v>
      </c>
    </row>
    <row r="494" spans="1:16" x14ac:dyDescent="0.3">
      <c r="A494" s="160">
        <v>2804</v>
      </c>
      <c r="B494" t="s">
        <v>15674</v>
      </c>
      <c r="C494" t="s">
        <v>256</v>
      </c>
      <c r="D494">
        <v>0</v>
      </c>
      <c r="E494">
        <v>0.1</v>
      </c>
      <c r="F494">
        <f t="shared" si="7"/>
        <v>0.1</v>
      </c>
      <c r="I494">
        <v>20240101</v>
      </c>
      <c r="J494" t="s">
        <v>266</v>
      </c>
    </row>
    <row r="495" spans="1:16" x14ac:dyDescent="0.3">
      <c r="A495" s="160">
        <v>2805</v>
      </c>
      <c r="B495" t="s">
        <v>15675</v>
      </c>
      <c r="C495" t="s">
        <v>253</v>
      </c>
      <c r="D495">
        <v>0.6</v>
      </c>
      <c r="E495">
        <v>0.1</v>
      </c>
      <c r="F495">
        <f t="shared" si="7"/>
        <v>0.7</v>
      </c>
      <c r="I495">
        <v>20230701</v>
      </c>
      <c r="J495" t="s">
        <v>254</v>
      </c>
      <c r="K495" t="s">
        <v>277</v>
      </c>
      <c r="L495" t="s">
        <v>289</v>
      </c>
      <c r="M495" t="s">
        <v>283</v>
      </c>
      <c r="N495" t="s">
        <v>278</v>
      </c>
      <c r="O495" t="s">
        <v>290</v>
      </c>
      <c r="P495" t="s">
        <v>255</v>
      </c>
    </row>
    <row r="496" spans="1:16" x14ac:dyDescent="0.3">
      <c r="A496" s="160">
        <v>2806</v>
      </c>
      <c r="B496" t="s">
        <v>15676</v>
      </c>
      <c r="C496" t="s">
        <v>265</v>
      </c>
      <c r="D496">
        <v>0.6</v>
      </c>
      <c r="E496">
        <v>0.1</v>
      </c>
      <c r="F496">
        <f t="shared" si="7"/>
        <v>0.7</v>
      </c>
      <c r="I496">
        <v>20230701</v>
      </c>
      <c r="J496" t="s">
        <v>285</v>
      </c>
    </row>
    <row r="497" spans="1:14" x14ac:dyDescent="0.3">
      <c r="A497" s="160">
        <v>2807</v>
      </c>
      <c r="B497" t="s">
        <v>15677</v>
      </c>
      <c r="C497" t="s">
        <v>249</v>
      </c>
      <c r="D497">
        <v>0.6</v>
      </c>
      <c r="E497">
        <v>0</v>
      </c>
      <c r="F497">
        <f t="shared" si="7"/>
        <v>0.6</v>
      </c>
      <c r="I497">
        <v>20230701</v>
      </c>
      <c r="J497" t="s">
        <v>250</v>
      </c>
    </row>
    <row r="498" spans="1:14" x14ac:dyDescent="0.3">
      <c r="A498" s="160">
        <v>2808</v>
      </c>
      <c r="B498" t="s">
        <v>15678</v>
      </c>
      <c r="C498" t="s">
        <v>256</v>
      </c>
      <c r="D498">
        <v>0</v>
      </c>
      <c r="E498">
        <v>0.1</v>
      </c>
      <c r="F498">
        <f t="shared" si="7"/>
        <v>0.1</v>
      </c>
      <c r="I498">
        <v>20180901</v>
      </c>
      <c r="J498" t="s">
        <v>276</v>
      </c>
    </row>
    <row r="499" spans="1:14" x14ac:dyDescent="0.3">
      <c r="A499" s="160">
        <v>2809</v>
      </c>
      <c r="B499" t="s">
        <v>15679</v>
      </c>
      <c r="C499" t="s">
        <v>265</v>
      </c>
      <c r="D499">
        <v>0.3</v>
      </c>
      <c r="E499">
        <v>0.1</v>
      </c>
      <c r="F499">
        <f t="shared" si="7"/>
        <v>0.4</v>
      </c>
      <c r="I499">
        <v>20230701</v>
      </c>
      <c r="J499" t="s">
        <v>285</v>
      </c>
    </row>
    <row r="500" spans="1:14" x14ac:dyDescent="0.3">
      <c r="A500" s="160">
        <v>2810</v>
      </c>
      <c r="B500" t="s">
        <v>15680</v>
      </c>
      <c r="C500" t="s">
        <v>259</v>
      </c>
      <c r="D500">
        <v>0.6</v>
      </c>
      <c r="E500">
        <v>0</v>
      </c>
      <c r="F500">
        <f t="shared" si="7"/>
        <v>0.6</v>
      </c>
      <c r="I500">
        <v>20120901</v>
      </c>
      <c r="J500" t="s">
        <v>262</v>
      </c>
      <c r="K500" t="s">
        <v>351</v>
      </c>
      <c r="L500" t="s">
        <v>308</v>
      </c>
      <c r="M500" t="s">
        <v>313</v>
      </c>
      <c r="N500" t="s">
        <v>309</v>
      </c>
    </row>
    <row r="501" spans="1:14" x14ac:dyDescent="0.3">
      <c r="A501" s="160">
        <v>2812</v>
      </c>
      <c r="B501" t="s">
        <v>15681</v>
      </c>
      <c r="C501" t="s">
        <v>259</v>
      </c>
      <c r="D501">
        <v>0.6</v>
      </c>
      <c r="E501">
        <v>0</v>
      </c>
      <c r="F501">
        <f t="shared" si="7"/>
        <v>0.6</v>
      </c>
      <c r="I501">
        <v>20120901</v>
      </c>
      <c r="J501" t="s">
        <v>262</v>
      </c>
    </row>
    <row r="502" spans="1:14" x14ac:dyDescent="0.3">
      <c r="A502" s="160">
        <v>2813</v>
      </c>
      <c r="B502" t="s">
        <v>15682</v>
      </c>
      <c r="C502" t="s">
        <v>256</v>
      </c>
      <c r="D502">
        <v>0</v>
      </c>
      <c r="E502">
        <v>0.1</v>
      </c>
      <c r="F502">
        <f t="shared" si="7"/>
        <v>0.1</v>
      </c>
      <c r="I502">
        <v>20180901</v>
      </c>
      <c r="J502" t="s">
        <v>257</v>
      </c>
    </row>
    <row r="503" spans="1:14" x14ac:dyDescent="0.3">
      <c r="A503" s="160">
        <v>2815</v>
      </c>
      <c r="B503" t="s">
        <v>15683</v>
      </c>
      <c r="C503" t="s">
        <v>263</v>
      </c>
      <c r="D503">
        <v>0.8</v>
      </c>
      <c r="E503">
        <v>0.1</v>
      </c>
      <c r="F503">
        <f t="shared" si="7"/>
        <v>0.9</v>
      </c>
      <c r="I503">
        <v>20230701</v>
      </c>
      <c r="J503" t="s">
        <v>270</v>
      </c>
    </row>
    <row r="504" spans="1:14" x14ac:dyDescent="0.3">
      <c r="A504" s="160">
        <v>2816</v>
      </c>
      <c r="B504" t="s">
        <v>15684</v>
      </c>
      <c r="C504" t="s">
        <v>265</v>
      </c>
      <c r="D504">
        <v>0.3</v>
      </c>
      <c r="E504">
        <v>0.1</v>
      </c>
      <c r="F504">
        <f t="shared" si="7"/>
        <v>0.4</v>
      </c>
      <c r="I504">
        <v>20230701</v>
      </c>
      <c r="J504" t="s">
        <v>285</v>
      </c>
    </row>
    <row r="505" spans="1:14" x14ac:dyDescent="0.3">
      <c r="A505" s="160">
        <v>2820</v>
      </c>
      <c r="B505" t="s">
        <v>15685</v>
      </c>
      <c r="C505" t="s">
        <v>249</v>
      </c>
      <c r="D505">
        <v>0.6</v>
      </c>
      <c r="E505">
        <v>0</v>
      </c>
      <c r="F505">
        <f t="shared" si="7"/>
        <v>0.6</v>
      </c>
      <c r="I505">
        <v>20230701</v>
      </c>
      <c r="J505" t="s">
        <v>250</v>
      </c>
      <c r="K505" t="s">
        <v>305</v>
      </c>
      <c r="L505" t="s">
        <v>306</v>
      </c>
    </row>
    <row r="506" spans="1:14" x14ac:dyDescent="0.3">
      <c r="A506" s="160">
        <v>2821</v>
      </c>
      <c r="B506" t="s">
        <v>15686</v>
      </c>
      <c r="C506" t="s">
        <v>293</v>
      </c>
      <c r="D506">
        <v>0.6</v>
      </c>
      <c r="E506">
        <v>0</v>
      </c>
      <c r="F506">
        <f t="shared" si="7"/>
        <v>0.6</v>
      </c>
      <c r="I506">
        <v>20190101</v>
      </c>
      <c r="J506" t="s">
        <v>284</v>
      </c>
    </row>
    <row r="507" spans="1:14" x14ac:dyDescent="0.3">
      <c r="A507" s="160">
        <v>2822</v>
      </c>
      <c r="B507" t="s">
        <v>15687</v>
      </c>
      <c r="C507" t="s">
        <v>259</v>
      </c>
      <c r="D507">
        <v>0.6</v>
      </c>
      <c r="E507">
        <v>0</v>
      </c>
      <c r="F507">
        <f t="shared" si="7"/>
        <v>0.6</v>
      </c>
      <c r="I507">
        <v>20120901</v>
      </c>
      <c r="J507" t="s">
        <v>262</v>
      </c>
      <c r="K507" t="s">
        <v>308</v>
      </c>
    </row>
    <row r="508" spans="1:14" x14ac:dyDescent="0.3">
      <c r="A508" s="160">
        <v>2824</v>
      </c>
      <c r="B508" t="s">
        <v>15688</v>
      </c>
      <c r="C508" t="s">
        <v>293</v>
      </c>
      <c r="D508">
        <v>0.6</v>
      </c>
      <c r="E508">
        <v>0</v>
      </c>
      <c r="F508">
        <f t="shared" si="7"/>
        <v>0.6</v>
      </c>
      <c r="I508">
        <v>20190101</v>
      </c>
      <c r="J508" t="s">
        <v>267</v>
      </c>
    </row>
    <row r="509" spans="1:14" x14ac:dyDescent="0.3">
      <c r="A509" s="160">
        <v>2828</v>
      </c>
      <c r="B509" t="s">
        <v>15689</v>
      </c>
      <c r="C509" t="s">
        <v>256</v>
      </c>
      <c r="D509">
        <v>0</v>
      </c>
      <c r="E509">
        <v>0.1</v>
      </c>
      <c r="F509">
        <f t="shared" si="7"/>
        <v>0.1</v>
      </c>
      <c r="I509">
        <v>20230701</v>
      </c>
      <c r="J509" t="s">
        <v>291</v>
      </c>
    </row>
    <row r="510" spans="1:14" x14ac:dyDescent="0.3">
      <c r="A510" s="160">
        <v>2829</v>
      </c>
      <c r="B510" t="s">
        <v>15690</v>
      </c>
      <c r="C510" t="s">
        <v>253</v>
      </c>
      <c r="D510">
        <v>0.6</v>
      </c>
      <c r="E510">
        <v>0.1</v>
      </c>
      <c r="F510">
        <f t="shared" si="7"/>
        <v>0.7</v>
      </c>
      <c r="I510">
        <v>20230701</v>
      </c>
      <c r="J510" t="s">
        <v>291</v>
      </c>
    </row>
    <row r="511" spans="1:14" x14ac:dyDescent="0.3">
      <c r="A511" s="160">
        <v>3001</v>
      </c>
      <c r="B511" t="s">
        <v>15691</v>
      </c>
      <c r="C511" t="s">
        <v>352</v>
      </c>
      <c r="D511">
        <v>0.7</v>
      </c>
      <c r="E511">
        <v>0</v>
      </c>
      <c r="F511">
        <f t="shared" si="7"/>
        <v>0.7</v>
      </c>
      <c r="I511">
        <v>20110101</v>
      </c>
      <c r="J511" t="s">
        <v>353</v>
      </c>
      <c r="K511" t="s">
        <v>354</v>
      </c>
      <c r="L511" t="s">
        <v>355</v>
      </c>
      <c r="M511" t="s">
        <v>356</v>
      </c>
    </row>
    <row r="512" spans="1:14" x14ac:dyDescent="0.3">
      <c r="A512" s="160">
        <v>3006</v>
      </c>
      <c r="B512" t="s">
        <v>15692</v>
      </c>
      <c r="C512" t="s">
        <v>27522</v>
      </c>
      <c r="D512">
        <v>0.4</v>
      </c>
      <c r="E512">
        <v>0</v>
      </c>
      <c r="F512">
        <f t="shared" si="7"/>
        <v>0.4</v>
      </c>
      <c r="I512">
        <v>20250101</v>
      </c>
      <c r="J512" t="s">
        <v>357</v>
      </c>
    </row>
    <row r="513" spans="1:17" x14ac:dyDescent="0.3">
      <c r="A513" s="160">
        <v>3008</v>
      </c>
      <c r="B513" t="s">
        <v>15693</v>
      </c>
      <c r="C513" t="s">
        <v>27522</v>
      </c>
      <c r="D513">
        <v>0.4</v>
      </c>
      <c r="E513">
        <v>0</v>
      </c>
      <c r="F513">
        <f t="shared" si="7"/>
        <v>0.4</v>
      </c>
      <c r="I513">
        <v>20250101</v>
      </c>
      <c r="J513" t="s">
        <v>358</v>
      </c>
    </row>
    <row r="514" spans="1:17" x14ac:dyDescent="0.3">
      <c r="A514" s="160">
        <v>3009</v>
      </c>
      <c r="B514" t="s">
        <v>15694</v>
      </c>
      <c r="C514" t="s">
        <v>359</v>
      </c>
      <c r="D514">
        <v>0.6</v>
      </c>
      <c r="E514">
        <v>0</v>
      </c>
      <c r="F514">
        <f t="shared" si="7"/>
        <v>0.6</v>
      </c>
      <c r="I514">
        <v>20240101</v>
      </c>
      <c r="J514" t="s">
        <v>360</v>
      </c>
    </row>
    <row r="515" spans="1:17" x14ac:dyDescent="0.3">
      <c r="A515" s="160">
        <v>3011</v>
      </c>
      <c r="B515" t="s">
        <v>15695</v>
      </c>
      <c r="C515" t="s">
        <v>359</v>
      </c>
      <c r="D515">
        <v>0.6</v>
      </c>
      <c r="E515">
        <v>0</v>
      </c>
      <c r="F515">
        <f t="shared" si="7"/>
        <v>0.6</v>
      </c>
      <c r="I515">
        <v>20240101</v>
      </c>
      <c r="J515" t="s">
        <v>361</v>
      </c>
      <c r="K515" t="s">
        <v>360</v>
      </c>
    </row>
    <row r="516" spans="1:17" x14ac:dyDescent="0.3">
      <c r="A516" s="160">
        <v>3013</v>
      </c>
      <c r="B516" t="s">
        <v>15696</v>
      </c>
      <c r="C516" t="s">
        <v>359</v>
      </c>
      <c r="D516">
        <v>0.6</v>
      </c>
      <c r="E516">
        <v>0</v>
      </c>
      <c r="F516">
        <f t="shared" si="7"/>
        <v>0.6</v>
      </c>
      <c r="I516">
        <v>20240101</v>
      </c>
      <c r="J516" t="s">
        <v>362</v>
      </c>
      <c r="K516" t="s">
        <v>363</v>
      </c>
      <c r="L516" t="s">
        <v>364</v>
      </c>
      <c r="M516" t="s">
        <v>361</v>
      </c>
      <c r="N516" t="s">
        <v>365</v>
      </c>
      <c r="O516" t="s">
        <v>366</v>
      </c>
      <c r="P516" t="s">
        <v>367</v>
      </c>
      <c r="Q516" t="s">
        <v>368</v>
      </c>
    </row>
    <row r="517" spans="1:17" x14ac:dyDescent="0.3">
      <c r="A517" s="160">
        <v>3015</v>
      </c>
      <c r="B517" t="s">
        <v>15320</v>
      </c>
      <c r="C517" t="s">
        <v>359</v>
      </c>
      <c r="D517">
        <v>0.6</v>
      </c>
      <c r="E517">
        <v>0</v>
      </c>
      <c r="F517">
        <f t="shared" si="7"/>
        <v>0.6</v>
      </c>
      <c r="I517">
        <v>20240101</v>
      </c>
      <c r="J517" t="s">
        <v>360</v>
      </c>
    </row>
    <row r="518" spans="1:17" x14ac:dyDescent="0.3">
      <c r="A518" s="160">
        <v>3023</v>
      </c>
      <c r="B518" t="s">
        <v>15697</v>
      </c>
      <c r="C518" t="s">
        <v>352</v>
      </c>
      <c r="D518">
        <v>0.7</v>
      </c>
      <c r="E518">
        <v>0</v>
      </c>
      <c r="F518">
        <f t="shared" si="7"/>
        <v>0.7</v>
      </c>
      <c r="I518">
        <v>20110101</v>
      </c>
      <c r="J518" t="s">
        <v>369</v>
      </c>
      <c r="K518" t="s">
        <v>354</v>
      </c>
      <c r="L518" t="s">
        <v>370</v>
      </c>
      <c r="M518" t="s">
        <v>371</v>
      </c>
      <c r="N518" t="s">
        <v>372</v>
      </c>
    </row>
    <row r="519" spans="1:17" x14ac:dyDescent="0.3">
      <c r="A519" s="160">
        <v>3025</v>
      </c>
      <c r="B519" t="s">
        <v>15698</v>
      </c>
      <c r="C519" t="s">
        <v>359</v>
      </c>
      <c r="D519">
        <v>0.6</v>
      </c>
      <c r="E519">
        <v>0</v>
      </c>
      <c r="F519">
        <f t="shared" ref="F519:F582" si="8">D519+E519</f>
        <v>0.6</v>
      </c>
      <c r="I519">
        <v>20240101</v>
      </c>
      <c r="J519" t="s">
        <v>373</v>
      </c>
    </row>
    <row r="520" spans="1:17" x14ac:dyDescent="0.3">
      <c r="A520" s="160">
        <v>3026</v>
      </c>
      <c r="B520" t="s">
        <v>15699</v>
      </c>
      <c r="C520" t="s">
        <v>359</v>
      </c>
      <c r="D520">
        <v>0.6</v>
      </c>
      <c r="E520">
        <v>0</v>
      </c>
      <c r="F520">
        <f t="shared" si="8"/>
        <v>0.6</v>
      </c>
      <c r="I520">
        <v>20240101</v>
      </c>
      <c r="J520" t="s">
        <v>374</v>
      </c>
    </row>
    <row r="521" spans="1:17" x14ac:dyDescent="0.3">
      <c r="A521" s="160">
        <v>3029</v>
      </c>
      <c r="B521" t="s">
        <v>15700</v>
      </c>
      <c r="C521" t="s">
        <v>352</v>
      </c>
      <c r="D521">
        <v>0.7</v>
      </c>
      <c r="E521">
        <v>0</v>
      </c>
      <c r="F521">
        <f t="shared" si="8"/>
        <v>0.7</v>
      </c>
      <c r="I521">
        <v>20110101</v>
      </c>
      <c r="J521" t="s">
        <v>375</v>
      </c>
    </row>
    <row r="522" spans="1:17" x14ac:dyDescent="0.3">
      <c r="A522" s="160">
        <v>3033</v>
      </c>
      <c r="B522" t="s">
        <v>15701</v>
      </c>
      <c r="C522" t="s">
        <v>352</v>
      </c>
      <c r="D522">
        <v>0.7</v>
      </c>
      <c r="E522">
        <v>0</v>
      </c>
      <c r="F522">
        <f t="shared" si="8"/>
        <v>0.7</v>
      </c>
      <c r="I522">
        <v>20110101</v>
      </c>
      <c r="J522" t="s">
        <v>376</v>
      </c>
    </row>
    <row r="523" spans="1:17" x14ac:dyDescent="0.3">
      <c r="A523" s="160">
        <v>3039</v>
      </c>
      <c r="B523" t="s">
        <v>15702</v>
      </c>
      <c r="C523" t="s">
        <v>359</v>
      </c>
      <c r="D523">
        <v>0.6</v>
      </c>
      <c r="E523">
        <v>0</v>
      </c>
      <c r="F523">
        <f t="shared" si="8"/>
        <v>0.6</v>
      </c>
      <c r="I523">
        <v>20240101</v>
      </c>
      <c r="J523" t="s">
        <v>374</v>
      </c>
    </row>
    <row r="524" spans="1:17" x14ac:dyDescent="0.3">
      <c r="A524" s="160">
        <v>3040</v>
      </c>
      <c r="B524" t="s">
        <v>15197</v>
      </c>
      <c r="C524" t="s">
        <v>359</v>
      </c>
      <c r="D524">
        <v>0.6</v>
      </c>
      <c r="E524">
        <v>0</v>
      </c>
      <c r="F524">
        <f t="shared" si="8"/>
        <v>0.6</v>
      </c>
      <c r="I524">
        <v>20240101</v>
      </c>
      <c r="J524" t="s">
        <v>362</v>
      </c>
    </row>
    <row r="525" spans="1:17" x14ac:dyDescent="0.3">
      <c r="A525" s="160">
        <v>3044</v>
      </c>
      <c r="B525" t="s">
        <v>15703</v>
      </c>
      <c r="C525" t="s">
        <v>352</v>
      </c>
      <c r="D525">
        <v>0.7</v>
      </c>
      <c r="E525">
        <v>0</v>
      </c>
      <c r="F525">
        <f t="shared" si="8"/>
        <v>0.7</v>
      </c>
      <c r="I525">
        <v>20110101</v>
      </c>
      <c r="J525" t="s">
        <v>371</v>
      </c>
      <c r="K525" t="s">
        <v>372</v>
      </c>
    </row>
    <row r="526" spans="1:17" x14ac:dyDescent="0.3">
      <c r="A526" s="160">
        <v>3045</v>
      </c>
      <c r="B526" t="s">
        <v>15704</v>
      </c>
      <c r="C526" t="s">
        <v>352</v>
      </c>
      <c r="D526">
        <v>0.7</v>
      </c>
      <c r="E526">
        <v>0</v>
      </c>
      <c r="F526">
        <f t="shared" si="8"/>
        <v>0.7</v>
      </c>
      <c r="I526">
        <v>20110101</v>
      </c>
      <c r="J526" t="s">
        <v>377</v>
      </c>
    </row>
    <row r="527" spans="1:17" x14ac:dyDescent="0.3">
      <c r="A527" s="160">
        <v>3050</v>
      </c>
      <c r="B527" t="s">
        <v>15705</v>
      </c>
      <c r="C527" t="s">
        <v>27522</v>
      </c>
      <c r="D527">
        <v>0.4</v>
      </c>
      <c r="E527">
        <v>0</v>
      </c>
      <c r="F527">
        <f t="shared" si="8"/>
        <v>0.4</v>
      </c>
      <c r="I527">
        <v>20250101</v>
      </c>
      <c r="J527" t="s">
        <v>358</v>
      </c>
    </row>
    <row r="528" spans="1:17" x14ac:dyDescent="0.3">
      <c r="A528" s="160">
        <v>3054</v>
      </c>
      <c r="B528" t="s">
        <v>15706</v>
      </c>
      <c r="C528" t="s">
        <v>359</v>
      </c>
      <c r="D528">
        <v>0.6</v>
      </c>
      <c r="E528">
        <v>0</v>
      </c>
      <c r="F528">
        <f t="shared" si="8"/>
        <v>0.6</v>
      </c>
      <c r="I528">
        <v>20240101</v>
      </c>
      <c r="J528" t="s">
        <v>373</v>
      </c>
    </row>
    <row r="529" spans="1:20" x14ac:dyDescent="0.3">
      <c r="A529" s="160">
        <v>3056</v>
      </c>
      <c r="B529" t="s">
        <v>15707</v>
      </c>
      <c r="C529" t="s">
        <v>27522</v>
      </c>
      <c r="D529">
        <v>0.4</v>
      </c>
      <c r="E529">
        <v>0</v>
      </c>
      <c r="F529">
        <f t="shared" si="8"/>
        <v>0.4</v>
      </c>
      <c r="I529">
        <v>20250101</v>
      </c>
      <c r="J529" t="s">
        <v>376</v>
      </c>
    </row>
    <row r="530" spans="1:20" x14ac:dyDescent="0.3">
      <c r="A530" s="160">
        <v>3060</v>
      </c>
      <c r="B530" t="s">
        <v>15708</v>
      </c>
      <c r="C530" t="s">
        <v>352</v>
      </c>
      <c r="D530">
        <v>0.7</v>
      </c>
      <c r="E530">
        <v>0</v>
      </c>
      <c r="F530">
        <f t="shared" si="8"/>
        <v>0.7</v>
      </c>
      <c r="I530">
        <v>20110101</v>
      </c>
      <c r="J530" t="s">
        <v>378</v>
      </c>
    </row>
    <row r="531" spans="1:20" x14ac:dyDescent="0.3">
      <c r="A531" s="160">
        <v>3066</v>
      </c>
      <c r="B531" t="s">
        <v>15709</v>
      </c>
      <c r="C531" t="s">
        <v>27522</v>
      </c>
      <c r="D531">
        <v>0.4</v>
      </c>
      <c r="E531">
        <v>0</v>
      </c>
      <c r="F531">
        <f t="shared" si="8"/>
        <v>0.4</v>
      </c>
      <c r="I531">
        <v>20250101</v>
      </c>
      <c r="J531" t="s">
        <v>358</v>
      </c>
    </row>
    <row r="532" spans="1:20" x14ac:dyDescent="0.3">
      <c r="A532" s="160">
        <v>3068</v>
      </c>
      <c r="B532" t="s">
        <v>15710</v>
      </c>
      <c r="C532" t="s">
        <v>27522</v>
      </c>
      <c r="D532">
        <v>0.4</v>
      </c>
      <c r="E532">
        <v>0</v>
      </c>
      <c r="F532">
        <f t="shared" si="8"/>
        <v>0.4</v>
      </c>
      <c r="I532">
        <v>20250101</v>
      </c>
      <c r="J532" t="s">
        <v>357</v>
      </c>
    </row>
    <row r="533" spans="1:20" x14ac:dyDescent="0.3">
      <c r="A533" s="160">
        <v>3073</v>
      </c>
      <c r="B533" t="s">
        <v>15711</v>
      </c>
      <c r="C533" t="s">
        <v>359</v>
      </c>
      <c r="D533">
        <v>0.6</v>
      </c>
      <c r="E533">
        <v>0</v>
      </c>
      <c r="F533">
        <f t="shared" si="8"/>
        <v>0.6</v>
      </c>
      <c r="I533">
        <v>20240101</v>
      </c>
      <c r="J533" t="s">
        <v>374</v>
      </c>
    </row>
    <row r="534" spans="1:20" x14ac:dyDescent="0.3">
      <c r="A534" s="160">
        <v>3076</v>
      </c>
      <c r="B534" t="s">
        <v>15712</v>
      </c>
      <c r="C534" t="s">
        <v>359</v>
      </c>
      <c r="D534">
        <v>0.6</v>
      </c>
      <c r="E534">
        <v>0</v>
      </c>
      <c r="F534">
        <f t="shared" si="8"/>
        <v>0.6</v>
      </c>
      <c r="I534">
        <v>20240101</v>
      </c>
      <c r="J534" t="s">
        <v>379</v>
      </c>
    </row>
    <row r="535" spans="1:20" x14ac:dyDescent="0.3">
      <c r="A535" s="160">
        <v>3080</v>
      </c>
      <c r="B535" t="s">
        <v>15713</v>
      </c>
      <c r="C535" t="s">
        <v>352</v>
      </c>
      <c r="D535">
        <v>0.7</v>
      </c>
      <c r="E535">
        <v>0</v>
      </c>
      <c r="F535">
        <f t="shared" si="8"/>
        <v>0.7</v>
      </c>
      <c r="I535">
        <v>20110101</v>
      </c>
      <c r="J535" t="s">
        <v>378</v>
      </c>
    </row>
    <row r="536" spans="1:20" x14ac:dyDescent="0.3">
      <c r="A536" s="160">
        <v>3085</v>
      </c>
      <c r="B536" t="s">
        <v>15714</v>
      </c>
      <c r="C536" t="s">
        <v>359</v>
      </c>
      <c r="D536">
        <v>0.6</v>
      </c>
      <c r="E536">
        <v>0</v>
      </c>
      <c r="F536">
        <f t="shared" si="8"/>
        <v>0.6</v>
      </c>
      <c r="I536">
        <v>20240101</v>
      </c>
      <c r="J536" t="s">
        <v>362</v>
      </c>
      <c r="K536" t="s">
        <v>363</v>
      </c>
    </row>
    <row r="537" spans="1:20" x14ac:dyDescent="0.3">
      <c r="A537" s="160">
        <v>3093</v>
      </c>
      <c r="B537" t="s">
        <v>15715</v>
      </c>
      <c r="C537" t="s">
        <v>352</v>
      </c>
      <c r="D537">
        <v>0.7</v>
      </c>
      <c r="E537">
        <v>0</v>
      </c>
      <c r="F537">
        <f t="shared" si="8"/>
        <v>0.7</v>
      </c>
      <c r="I537">
        <v>20110101</v>
      </c>
      <c r="J537" t="s">
        <v>380</v>
      </c>
      <c r="K537" t="s">
        <v>376</v>
      </c>
      <c r="L537" t="s">
        <v>381</v>
      </c>
    </row>
    <row r="538" spans="1:20" x14ac:dyDescent="0.3">
      <c r="A538" s="160">
        <v>3094</v>
      </c>
      <c r="B538" t="s">
        <v>15716</v>
      </c>
      <c r="C538" t="s">
        <v>352</v>
      </c>
      <c r="D538">
        <v>0.7</v>
      </c>
      <c r="E538">
        <v>0</v>
      </c>
      <c r="F538">
        <f t="shared" si="8"/>
        <v>0.7</v>
      </c>
      <c r="I538">
        <v>20110101</v>
      </c>
      <c r="J538" t="s">
        <v>382</v>
      </c>
      <c r="K538" t="s">
        <v>376</v>
      </c>
      <c r="L538" t="s">
        <v>383</v>
      </c>
      <c r="M538" t="s">
        <v>384</v>
      </c>
      <c r="N538" t="s">
        <v>381</v>
      </c>
    </row>
    <row r="539" spans="1:20" x14ac:dyDescent="0.3">
      <c r="A539" s="160">
        <v>3095</v>
      </c>
      <c r="B539" t="s">
        <v>15717</v>
      </c>
      <c r="C539" t="s">
        <v>352</v>
      </c>
      <c r="D539">
        <v>0.7</v>
      </c>
      <c r="E539">
        <v>0</v>
      </c>
      <c r="F539">
        <f t="shared" si="8"/>
        <v>0.7</v>
      </c>
      <c r="I539">
        <v>20110101</v>
      </c>
      <c r="J539" t="s">
        <v>354</v>
      </c>
      <c r="K539" t="s">
        <v>380</v>
      </c>
      <c r="L539" t="s">
        <v>376</v>
      </c>
      <c r="M539" t="s">
        <v>385</v>
      </c>
      <c r="N539" t="s">
        <v>383</v>
      </c>
      <c r="O539" t="s">
        <v>384</v>
      </c>
      <c r="P539" t="s">
        <v>386</v>
      </c>
      <c r="Q539" t="s">
        <v>381</v>
      </c>
      <c r="R539" t="s">
        <v>387</v>
      </c>
      <c r="S539" t="s">
        <v>388</v>
      </c>
      <c r="T539" t="s">
        <v>371</v>
      </c>
    </row>
    <row r="540" spans="1:20" x14ac:dyDescent="0.3">
      <c r="A540" s="160">
        <v>3098</v>
      </c>
      <c r="B540" t="s">
        <v>15718</v>
      </c>
      <c r="C540" t="s">
        <v>389</v>
      </c>
      <c r="D540">
        <v>0.6</v>
      </c>
      <c r="E540">
        <v>0</v>
      </c>
      <c r="F540">
        <f t="shared" si="8"/>
        <v>0.6</v>
      </c>
      <c r="I540">
        <v>20050501</v>
      </c>
      <c r="J540" t="s">
        <v>390</v>
      </c>
      <c r="K540" t="s">
        <v>391</v>
      </c>
      <c r="L540" t="s">
        <v>392</v>
      </c>
      <c r="M540" t="s">
        <v>393</v>
      </c>
      <c r="N540" t="s">
        <v>394</v>
      </c>
    </row>
    <row r="541" spans="1:20" x14ac:dyDescent="0.3">
      <c r="A541" s="160">
        <v>3101</v>
      </c>
      <c r="B541" t="s">
        <v>15719</v>
      </c>
      <c r="C541" t="s">
        <v>389</v>
      </c>
      <c r="D541">
        <v>0.6</v>
      </c>
      <c r="E541">
        <v>0</v>
      </c>
      <c r="F541">
        <f t="shared" si="8"/>
        <v>0.6</v>
      </c>
      <c r="I541">
        <v>20050501</v>
      </c>
      <c r="J541" t="s">
        <v>395</v>
      </c>
      <c r="K541" t="s">
        <v>391</v>
      </c>
      <c r="L541" t="s">
        <v>392</v>
      </c>
      <c r="M541" t="s">
        <v>396</v>
      </c>
    </row>
    <row r="542" spans="1:20" x14ac:dyDescent="0.3">
      <c r="A542" s="160">
        <v>3110</v>
      </c>
      <c r="B542" t="s">
        <v>15720</v>
      </c>
      <c r="C542" t="s">
        <v>352</v>
      </c>
      <c r="D542">
        <v>0.7</v>
      </c>
      <c r="E542">
        <v>0</v>
      </c>
      <c r="F542">
        <f t="shared" si="8"/>
        <v>0.7</v>
      </c>
      <c r="I542">
        <v>20110101</v>
      </c>
      <c r="J542" t="s">
        <v>378</v>
      </c>
    </row>
    <row r="543" spans="1:20" x14ac:dyDescent="0.3">
      <c r="A543" s="160">
        <v>3113</v>
      </c>
      <c r="B543" t="s">
        <v>15721</v>
      </c>
      <c r="C543" t="s">
        <v>27522</v>
      </c>
      <c r="D543">
        <v>0.4</v>
      </c>
      <c r="E543">
        <v>0</v>
      </c>
      <c r="F543">
        <f t="shared" si="8"/>
        <v>0.4</v>
      </c>
      <c r="I543">
        <v>20250101</v>
      </c>
      <c r="J543" t="s">
        <v>358</v>
      </c>
    </row>
    <row r="544" spans="1:20" x14ac:dyDescent="0.3">
      <c r="A544" s="160">
        <v>3121</v>
      </c>
      <c r="B544" t="s">
        <v>15722</v>
      </c>
      <c r="C544" t="s">
        <v>359</v>
      </c>
      <c r="D544">
        <v>0.6</v>
      </c>
      <c r="E544">
        <v>0</v>
      </c>
      <c r="F544">
        <f t="shared" si="8"/>
        <v>0.6</v>
      </c>
      <c r="I544">
        <v>20240101</v>
      </c>
      <c r="J544" t="s">
        <v>397</v>
      </c>
    </row>
    <row r="545" spans="1:24" x14ac:dyDescent="0.3">
      <c r="A545" s="160">
        <v>3124</v>
      </c>
      <c r="B545" t="s">
        <v>15723</v>
      </c>
      <c r="C545" t="s">
        <v>359</v>
      </c>
      <c r="D545">
        <v>0.6</v>
      </c>
      <c r="E545">
        <v>0</v>
      </c>
      <c r="F545">
        <f t="shared" si="8"/>
        <v>0.6</v>
      </c>
      <c r="I545">
        <v>20240101</v>
      </c>
      <c r="J545" t="s">
        <v>373</v>
      </c>
    </row>
    <row r="546" spans="1:24" x14ac:dyDescent="0.3">
      <c r="A546" s="160">
        <v>3125</v>
      </c>
      <c r="B546" t="s">
        <v>15724</v>
      </c>
      <c r="C546" t="s">
        <v>27522</v>
      </c>
      <c r="D546">
        <v>0.4</v>
      </c>
      <c r="E546">
        <v>0</v>
      </c>
      <c r="F546">
        <f t="shared" si="8"/>
        <v>0.4</v>
      </c>
      <c r="I546">
        <v>20250101</v>
      </c>
      <c r="J546" t="s">
        <v>358</v>
      </c>
    </row>
    <row r="547" spans="1:24" x14ac:dyDescent="0.3">
      <c r="A547" s="160">
        <v>3126</v>
      </c>
      <c r="B547" t="s">
        <v>15725</v>
      </c>
      <c r="C547" t="s">
        <v>352</v>
      </c>
      <c r="D547">
        <v>0.7</v>
      </c>
      <c r="E547">
        <v>0</v>
      </c>
      <c r="F547">
        <f t="shared" si="8"/>
        <v>0.7</v>
      </c>
      <c r="I547">
        <v>20110101</v>
      </c>
      <c r="J547" t="s">
        <v>377</v>
      </c>
    </row>
    <row r="548" spans="1:24" x14ac:dyDescent="0.3">
      <c r="A548" s="160">
        <v>3136</v>
      </c>
      <c r="B548" t="s">
        <v>15726</v>
      </c>
      <c r="C548" t="s">
        <v>389</v>
      </c>
      <c r="D548">
        <v>0.6</v>
      </c>
      <c r="E548">
        <v>0</v>
      </c>
      <c r="F548">
        <f t="shared" si="8"/>
        <v>0.6</v>
      </c>
      <c r="I548">
        <v>20060701</v>
      </c>
      <c r="J548" t="s">
        <v>398</v>
      </c>
    </row>
    <row r="549" spans="1:24" x14ac:dyDescent="0.3">
      <c r="A549" s="160">
        <v>3139</v>
      </c>
      <c r="B549" t="s">
        <v>15727</v>
      </c>
      <c r="C549" t="s">
        <v>27522</v>
      </c>
      <c r="D549">
        <v>0.4</v>
      </c>
      <c r="E549">
        <v>0</v>
      </c>
      <c r="F549">
        <f t="shared" si="8"/>
        <v>0.4</v>
      </c>
      <c r="I549">
        <v>20250101</v>
      </c>
      <c r="J549" t="s">
        <v>358</v>
      </c>
    </row>
    <row r="550" spans="1:24" x14ac:dyDescent="0.3">
      <c r="A550" s="160">
        <v>3140</v>
      </c>
      <c r="B550" t="s">
        <v>15728</v>
      </c>
      <c r="C550" t="s">
        <v>389</v>
      </c>
      <c r="D550">
        <v>0.6</v>
      </c>
      <c r="E550">
        <v>0</v>
      </c>
      <c r="F550">
        <f t="shared" si="8"/>
        <v>0.6</v>
      </c>
      <c r="I550">
        <v>20050501</v>
      </c>
      <c r="J550" t="s">
        <v>399</v>
      </c>
      <c r="K550" t="s">
        <v>400</v>
      </c>
      <c r="L550" t="s">
        <v>391</v>
      </c>
    </row>
    <row r="551" spans="1:24" x14ac:dyDescent="0.3">
      <c r="A551" s="160">
        <v>3141</v>
      </c>
      <c r="B551" t="s">
        <v>15729</v>
      </c>
      <c r="C551" t="s">
        <v>27522</v>
      </c>
      <c r="D551">
        <v>0.4</v>
      </c>
      <c r="E551">
        <v>0</v>
      </c>
      <c r="F551">
        <f t="shared" si="8"/>
        <v>0.4</v>
      </c>
      <c r="I551">
        <v>20250101</v>
      </c>
      <c r="J551" t="s">
        <v>358</v>
      </c>
    </row>
    <row r="552" spans="1:24" x14ac:dyDescent="0.3">
      <c r="A552" s="160">
        <v>3145</v>
      </c>
      <c r="B552" t="s">
        <v>15730</v>
      </c>
      <c r="C552" t="s">
        <v>389</v>
      </c>
      <c r="D552">
        <v>0.6</v>
      </c>
      <c r="E552">
        <v>0</v>
      </c>
      <c r="F552">
        <f t="shared" si="8"/>
        <v>0.6</v>
      </c>
      <c r="I552">
        <v>20050501</v>
      </c>
      <c r="J552" t="s">
        <v>396</v>
      </c>
    </row>
    <row r="553" spans="1:24" x14ac:dyDescent="0.3">
      <c r="A553" s="160">
        <v>3157</v>
      </c>
      <c r="B553" t="s">
        <v>15731</v>
      </c>
      <c r="C553" t="s">
        <v>352</v>
      </c>
      <c r="D553">
        <v>0.7</v>
      </c>
      <c r="E553">
        <v>0</v>
      </c>
      <c r="F553">
        <f t="shared" si="8"/>
        <v>0.7</v>
      </c>
      <c r="I553">
        <v>20110101</v>
      </c>
      <c r="J553" t="s">
        <v>375</v>
      </c>
    </row>
    <row r="554" spans="1:24" x14ac:dyDescent="0.3">
      <c r="A554" s="160">
        <v>3163</v>
      </c>
      <c r="B554" t="s">
        <v>15732</v>
      </c>
      <c r="C554" t="s">
        <v>352</v>
      </c>
      <c r="D554">
        <v>0.7</v>
      </c>
      <c r="E554">
        <v>0</v>
      </c>
      <c r="F554">
        <f t="shared" si="8"/>
        <v>0.7</v>
      </c>
      <c r="I554">
        <v>20110101</v>
      </c>
      <c r="J554" t="s">
        <v>377</v>
      </c>
    </row>
    <row r="555" spans="1:24" x14ac:dyDescent="0.3">
      <c r="A555" s="160">
        <v>3165</v>
      </c>
      <c r="B555" t="s">
        <v>15733</v>
      </c>
      <c r="C555" t="s">
        <v>27522</v>
      </c>
      <c r="D555">
        <v>0.4</v>
      </c>
      <c r="E555">
        <v>0</v>
      </c>
      <c r="F555">
        <f t="shared" si="8"/>
        <v>0.4</v>
      </c>
      <c r="I555">
        <v>20250101</v>
      </c>
      <c r="J555" t="s">
        <v>358</v>
      </c>
    </row>
    <row r="556" spans="1:24" x14ac:dyDescent="0.3">
      <c r="A556" s="160">
        <v>3174</v>
      </c>
      <c r="B556" t="s">
        <v>15734</v>
      </c>
      <c r="C556" t="s">
        <v>27522</v>
      </c>
      <c r="D556">
        <v>0.4</v>
      </c>
      <c r="E556">
        <v>0</v>
      </c>
      <c r="F556">
        <f t="shared" si="8"/>
        <v>0.4</v>
      </c>
      <c r="I556">
        <v>20250101</v>
      </c>
      <c r="J556" t="s">
        <v>376</v>
      </c>
      <c r="K556" t="s">
        <v>384</v>
      </c>
    </row>
    <row r="557" spans="1:24" x14ac:dyDescent="0.3">
      <c r="A557" s="160">
        <v>3180</v>
      </c>
      <c r="B557" t="s">
        <v>15735</v>
      </c>
      <c r="C557" t="s">
        <v>359</v>
      </c>
      <c r="D557">
        <v>0.6</v>
      </c>
      <c r="E557">
        <v>0</v>
      </c>
      <c r="F557">
        <f t="shared" si="8"/>
        <v>0.6</v>
      </c>
      <c r="I557">
        <v>20240101</v>
      </c>
      <c r="J557" t="s">
        <v>373</v>
      </c>
    </row>
    <row r="558" spans="1:24" x14ac:dyDescent="0.3">
      <c r="A558" s="160">
        <v>3184</v>
      </c>
      <c r="B558" t="s">
        <v>15736</v>
      </c>
      <c r="C558" t="s">
        <v>359</v>
      </c>
      <c r="D558">
        <v>0.6</v>
      </c>
      <c r="E558">
        <v>0</v>
      </c>
      <c r="F558">
        <f t="shared" si="8"/>
        <v>0.6</v>
      </c>
      <c r="I558">
        <v>20240101</v>
      </c>
      <c r="J558" t="s">
        <v>362</v>
      </c>
    </row>
    <row r="559" spans="1:24" x14ac:dyDescent="0.3">
      <c r="A559" s="160">
        <v>3185</v>
      </c>
      <c r="B559" t="s">
        <v>15737</v>
      </c>
      <c r="C559" t="s">
        <v>389</v>
      </c>
      <c r="D559">
        <v>0.6</v>
      </c>
      <c r="E559">
        <v>0</v>
      </c>
      <c r="F559">
        <f t="shared" si="8"/>
        <v>0.6</v>
      </c>
      <c r="I559">
        <v>20050501</v>
      </c>
      <c r="J559" t="s">
        <v>399</v>
      </c>
      <c r="K559" t="s">
        <v>395</v>
      </c>
      <c r="L559" t="s">
        <v>401</v>
      </c>
      <c r="M559" t="s">
        <v>390</v>
      </c>
      <c r="N559" t="s">
        <v>402</v>
      </c>
      <c r="O559" t="s">
        <v>400</v>
      </c>
      <c r="P559" t="s">
        <v>391</v>
      </c>
      <c r="Q559" t="s">
        <v>403</v>
      </c>
      <c r="R559" t="s">
        <v>392</v>
      </c>
      <c r="S559" t="s">
        <v>393</v>
      </c>
    </row>
    <row r="560" spans="1:24" x14ac:dyDescent="0.3">
      <c r="A560" s="160">
        <v>3190</v>
      </c>
      <c r="B560" t="s">
        <v>15738</v>
      </c>
      <c r="C560" t="s">
        <v>359</v>
      </c>
      <c r="D560">
        <v>0.6</v>
      </c>
      <c r="E560">
        <v>0</v>
      </c>
      <c r="F560">
        <f t="shared" si="8"/>
        <v>0.6</v>
      </c>
      <c r="I560">
        <v>20240101</v>
      </c>
      <c r="J560" t="s">
        <v>362</v>
      </c>
      <c r="K560" t="s">
        <v>363</v>
      </c>
      <c r="L560" t="s">
        <v>364</v>
      </c>
      <c r="M560" t="s">
        <v>361</v>
      </c>
      <c r="N560" t="s">
        <v>365</v>
      </c>
      <c r="O560" t="s">
        <v>366</v>
      </c>
      <c r="P560" t="s">
        <v>367</v>
      </c>
      <c r="Q560" t="s">
        <v>404</v>
      </c>
      <c r="R560" t="s">
        <v>405</v>
      </c>
      <c r="S560" t="s">
        <v>406</v>
      </c>
      <c r="T560" t="s">
        <v>407</v>
      </c>
      <c r="U560" t="s">
        <v>408</v>
      </c>
      <c r="V560" t="s">
        <v>409</v>
      </c>
      <c r="W560" t="s">
        <v>410</v>
      </c>
      <c r="X560" t="s">
        <v>411</v>
      </c>
    </row>
    <row r="561" spans="1:13" x14ac:dyDescent="0.3">
      <c r="A561" s="160">
        <v>3197</v>
      </c>
      <c r="B561" t="s">
        <v>15739</v>
      </c>
      <c r="C561" t="s">
        <v>359</v>
      </c>
      <c r="D561">
        <v>0.6</v>
      </c>
      <c r="E561">
        <v>0</v>
      </c>
      <c r="F561">
        <f t="shared" si="8"/>
        <v>0.6</v>
      </c>
      <c r="I561">
        <v>20240101</v>
      </c>
      <c r="J561" t="s">
        <v>373</v>
      </c>
    </row>
    <row r="562" spans="1:13" x14ac:dyDescent="0.3">
      <c r="A562" s="160">
        <v>3200</v>
      </c>
      <c r="B562" t="s">
        <v>15740</v>
      </c>
      <c r="C562" t="s">
        <v>359</v>
      </c>
      <c r="D562">
        <v>0.6</v>
      </c>
      <c r="E562">
        <v>0</v>
      </c>
      <c r="F562">
        <f t="shared" si="8"/>
        <v>0.6</v>
      </c>
      <c r="I562">
        <v>20240101</v>
      </c>
      <c r="J562" t="s">
        <v>362</v>
      </c>
      <c r="K562" t="s">
        <v>367</v>
      </c>
      <c r="L562" t="s">
        <v>409</v>
      </c>
    </row>
    <row r="563" spans="1:13" x14ac:dyDescent="0.3">
      <c r="A563" s="160">
        <v>3201</v>
      </c>
      <c r="B563" t="s">
        <v>15741</v>
      </c>
      <c r="C563" t="s">
        <v>27522</v>
      </c>
      <c r="D563">
        <v>0.4</v>
      </c>
      <c r="E563">
        <v>0</v>
      </c>
      <c r="F563">
        <f t="shared" si="8"/>
        <v>0.4</v>
      </c>
      <c r="I563">
        <v>20250101</v>
      </c>
      <c r="J563" t="s">
        <v>358</v>
      </c>
    </row>
    <row r="564" spans="1:13" x14ac:dyDescent="0.3">
      <c r="A564" s="160">
        <v>3211</v>
      </c>
      <c r="B564" t="s">
        <v>15742</v>
      </c>
      <c r="C564" t="s">
        <v>389</v>
      </c>
      <c r="D564">
        <v>0.6</v>
      </c>
      <c r="E564">
        <v>0</v>
      </c>
      <c r="F564">
        <f t="shared" si="8"/>
        <v>0.6</v>
      </c>
      <c r="I564">
        <v>20050501</v>
      </c>
      <c r="J564" t="s">
        <v>395</v>
      </c>
      <c r="K564" t="s">
        <v>400</v>
      </c>
      <c r="L564" t="s">
        <v>403</v>
      </c>
      <c r="M564" t="s">
        <v>396</v>
      </c>
    </row>
    <row r="565" spans="1:13" x14ac:dyDescent="0.3">
      <c r="A565" s="160">
        <v>3212</v>
      </c>
      <c r="B565" t="s">
        <v>15743</v>
      </c>
      <c r="C565" t="s">
        <v>389</v>
      </c>
      <c r="D565">
        <v>0.6</v>
      </c>
      <c r="E565">
        <v>0</v>
      </c>
      <c r="F565">
        <f t="shared" si="8"/>
        <v>0.6</v>
      </c>
      <c r="I565">
        <v>20060701</v>
      </c>
      <c r="J565" t="s">
        <v>395</v>
      </c>
      <c r="K565" t="s">
        <v>398</v>
      </c>
    </row>
    <row r="566" spans="1:13" x14ac:dyDescent="0.3">
      <c r="A566" s="160">
        <v>3224</v>
      </c>
      <c r="B566" t="s">
        <v>15744</v>
      </c>
      <c r="C566" t="s">
        <v>27522</v>
      </c>
      <c r="D566">
        <v>0.4</v>
      </c>
      <c r="E566">
        <v>0</v>
      </c>
      <c r="F566">
        <f t="shared" si="8"/>
        <v>0.4</v>
      </c>
      <c r="I566">
        <v>20250101</v>
      </c>
      <c r="J566" t="s">
        <v>358</v>
      </c>
    </row>
    <row r="567" spans="1:13" x14ac:dyDescent="0.3">
      <c r="A567" s="160">
        <v>3229</v>
      </c>
      <c r="B567" t="s">
        <v>15745</v>
      </c>
      <c r="C567" t="s">
        <v>359</v>
      </c>
      <c r="D567">
        <v>0.6</v>
      </c>
      <c r="E567">
        <v>0</v>
      </c>
      <c r="F567">
        <f t="shared" si="8"/>
        <v>0.6</v>
      </c>
      <c r="I567">
        <v>20240101</v>
      </c>
      <c r="J567" t="s">
        <v>397</v>
      </c>
    </row>
    <row r="568" spans="1:13" x14ac:dyDescent="0.3">
      <c r="A568" s="160">
        <v>3236</v>
      </c>
      <c r="B568" t="s">
        <v>15746</v>
      </c>
      <c r="C568" t="s">
        <v>352</v>
      </c>
      <c r="D568">
        <v>0.7</v>
      </c>
      <c r="E568">
        <v>0</v>
      </c>
      <c r="F568">
        <f t="shared" si="8"/>
        <v>0.7</v>
      </c>
      <c r="I568">
        <v>20110101</v>
      </c>
      <c r="J568" t="s">
        <v>375</v>
      </c>
    </row>
    <row r="569" spans="1:13" x14ac:dyDescent="0.3">
      <c r="A569" s="160">
        <v>3248</v>
      </c>
      <c r="B569" t="s">
        <v>15747</v>
      </c>
      <c r="C569" t="s">
        <v>27522</v>
      </c>
      <c r="D569">
        <v>0.4</v>
      </c>
      <c r="E569">
        <v>0</v>
      </c>
      <c r="F569">
        <f t="shared" si="8"/>
        <v>0.4</v>
      </c>
      <c r="I569">
        <v>20250101</v>
      </c>
      <c r="J569" t="s">
        <v>358</v>
      </c>
    </row>
    <row r="570" spans="1:13" x14ac:dyDescent="0.3">
      <c r="A570" s="160">
        <v>3258</v>
      </c>
      <c r="B570" t="s">
        <v>15748</v>
      </c>
      <c r="C570" t="s">
        <v>352</v>
      </c>
      <c r="D570">
        <v>0.7</v>
      </c>
      <c r="E570">
        <v>0</v>
      </c>
      <c r="F570">
        <f t="shared" si="8"/>
        <v>0.7</v>
      </c>
      <c r="I570">
        <v>20110101</v>
      </c>
      <c r="J570" t="s">
        <v>378</v>
      </c>
    </row>
    <row r="571" spans="1:13" x14ac:dyDescent="0.3">
      <c r="A571" s="160">
        <v>3262</v>
      </c>
      <c r="B571" t="s">
        <v>15749</v>
      </c>
      <c r="C571" t="s">
        <v>389</v>
      </c>
      <c r="D571">
        <v>0.6</v>
      </c>
      <c r="E571">
        <v>0</v>
      </c>
      <c r="F571">
        <f t="shared" si="8"/>
        <v>0.6</v>
      </c>
      <c r="I571">
        <v>20050501</v>
      </c>
      <c r="J571" t="s">
        <v>395</v>
      </c>
      <c r="K571" t="s">
        <v>400</v>
      </c>
      <c r="L571" t="s">
        <v>391</v>
      </c>
      <c r="M571" t="s">
        <v>396</v>
      </c>
    </row>
    <row r="572" spans="1:13" x14ac:dyDescent="0.3">
      <c r="A572" s="160">
        <v>3264</v>
      </c>
      <c r="B572" t="s">
        <v>15750</v>
      </c>
      <c r="C572" t="s">
        <v>352</v>
      </c>
      <c r="D572">
        <v>0.7</v>
      </c>
      <c r="E572">
        <v>0</v>
      </c>
      <c r="F572">
        <f t="shared" si="8"/>
        <v>0.7</v>
      </c>
      <c r="I572">
        <v>20110101</v>
      </c>
      <c r="J572" t="s">
        <v>377</v>
      </c>
    </row>
    <row r="573" spans="1:13" x14ac:dyDescent="0.3">
      <c r="A573" s="160">
        <v>3271</v>
      </c>
      <c r="B573" t="s">
        <v>15751</v>
      </c>
      <c r="C573" t="s">
        <v>352</v>
      </c>
      <c r="D573">
        <v>0.7</v>
      </c>
      <c r="E573">
        <v>0</v>
      </c>
      <c r="F573">
        <f t="shared" si="8"/>
        <v>0.7</v>
      </c>
      <c r="I573">
        <v>20110101</v>
      </c>
      <c r="J573" t="s">
        <v>372</v>
      </c>
    </row>
    <row r="574" spans="1:13" x14ac:dyDescent="0.3">
      <c r="A574" s="160">
        <v>3273</v>
      </c>
      <c r="B574" t="s">
        <v>15752</v>
      </c>
      <c r="C574" t="s">
        <v>352</v>
      </c>
      <c r="D574">
        <v>0.7</v>
      </c>
      <c r="E574">
        <v>0</v>
      </c>
      <c r="F574">
        <f t="shared" si="8"/>
        <v>0.7</v>
      </c>
      <c r="I574">
        <v>20110101</v>
      </c>
      <c r="J574" t="s">
        <v>375</v>
      </c>
    </row>
    <row r="575" spans="1:13" x14ac:dyDescent="0.3">
      <c r="A575" s="160">
        <v>3275</v>
      </c>
      <c r="B575" t="s">
        <v>15753</v>
      </c>
      <c r="C575" t="s">
        <v>359</v>
      </c>
      <c r="D575">
        <v>0.6</v>
      </c>
      <c r="E575">
        <v>0</v>
      </c>
      <c r="F575">
        <f t="shared" si="8"/>
        <v>0.6</v>
      </c>
      <c r="I575">
        <v>20240101</v>
      </c>
      <c r="J575" t="s">
        <v>374</v>
      </c>
    </row>
    <row r="576" spans="1:13" x14ac:dyDescent="0.3">
      <c r="A576" s="160">
        <v>3279</v>
      </c>
      <c r="B576" t="s">
        <v>15754</v>
      </c>
      <c r="C576" t="s">
        <v>389</v>
      </c>
      <c r="D576">
        <v>0.6</v>
      </c>
      <c r="E576">
        <v>0</v>
      </c>
      <c r="F576">
        <f t="shared" si="8"/>
        <v>0.6</v>
      </c>
      <c r="I576">
        <v>20060701</v>
      </c>
      <c r="J576" t="s">
        <v>396</v>
      </c>
    </row>
    <row r="577" spans="1:20" x14ac:dyDescent="0.3">
      <c r="A577" s="160">
        <v>3286</v>
      </c>
      <c r="B577" t="s">
        <v>15755</v>
      </c>
      <c r="C577" t="s">
        <v>359</v>
      </c>
      <c r="D577">
        <v>0.6</v>
      </c>
      <c r="E577">
        <v>0</v>
      </c>
      <c r="F577">
        <f t="shared" si="8"/>
        <v>0.6</v>
      </c>
      <c r="I577">
        <v>20240101</v>
      </c>
      <c r="J577" t="s">
        <v>363</v>
      </c>
      <c r="K577" t="s">
        <v>366</v>
      </c>
      <c r="L577" t="s">
        <v>408</v>
      </c>
      <c r="M577" t="s">
        <v>397</v>
      </c>
      <c r="N577" t="s">
        <v>412</v>
      </c>
      <c r="O577" t="s">
        <v>411</v>
      </c>
      <c r="P577" t="s">
        <v>413</v>
      </c>
    </row>
    <row r="578" spans="1:20" x14ac:dyDescent="0.3">
      <c r="A578" s="160">
        <v>3290</v>
      </c>
      <c r="B578" t="s">
        <v>15756</v>
      </c>
      <c r="C578" t="s">
        <v>359</v>
      </c>
      <c r="D578">
        <v>0.6</v>
      </c>
      <c r="E578">
        <v>0</v>
      </c>
      <c r="F578">
        <f t="shared" si="8"/>
        <v>0.6</v>
      </c>
      <c r="I578">
        <v>20240101</v>
      </c>
      <c r="J578" t="s">
        <v>360</v>
      </c>
    </row>
    <row r="579" spans="1:20" x14ac:dyDescent="0.3">
      <c r="A579" s="160">
        <v>3304</v>
      </c>
      <c r="B579" t="s">
        <v>15757</v>
      </c>
      <c r="C579" t="s">
        <v>352</v>
      </c>
      <c r="D579">
        <v>0.7</v>
      </c>
      <c r="E579">
        <v>0</v>
      </c>
      <c r="F579">
        <f t="shared" si="8"/>
        <v>0.7</v>
      </c>
      <c r="I579">
        <v>20110101</v>
      </c>
      <c r="J579" t="s">
        <v>378</v>
      </c>
    </row>
    <row r="580" spans="1:20" x14ac:dyDescent="0.3">
      <c r="A580" s="160">
        <v>3306</v>
      </c>
      <c r="B580" t="s">
        <v>15758</v>
      </c>
      <c r="C580" t="s">
        <v>352</v>
      </c>
      <c r="D580">
        <v>0.7</v>
      </c>
      <c r="E580">
        <v>0</v>
      </c>
      <c r="F580">
        <f t="shared" si="8"/>
        <v>0.7</v>
      </c>
      <c r="I580">
        <v>20110101</v>
      </c>
      <c r="J580" t="s">
        <v>353</v>
      </c>
    </row>
    <row r="581" spans="1:20" x14ac:dyDescent="0.3">
      <c r="A581" s="160">
        <v>3310</v>
      </c>
      <c r="B581" t="s">
        <v>15759</v>
      </c>
      <c r="C581" t="s">
        <v>352</v>
      </c>
      <c r="D581">
        <v>0.7</v>
      </c>
      <c r="E581">
        <v>0</v>
      </c>
      <c r="F581">
        <f t="shared" si="8"/>
        <v>0.7</v>
      </c>
      <c r="I581">
        <v>20110101</v>
      </c>
      <c r="J581" t="s">
        <v>353</v>
      </c>
      <c r="K581" t="s">
        <v>414</v>
      </c>
      <c r="L581" t="s">
        <v>369</v>
      </c>
      <c r="M581" t="s">
        <v>354</v>
      </c>
      <c r="N581" t="s">
        <v>355</v>
      </c>
      <c r="O581" t="s">
        <v>380</v>
      </c>
      <c r="P581" t="s">
        <v>370</v>
      </c>
      <c r="Q581" t="s">
        <v>382</v>
      </c>
      <c r="R581" t="s">
        <v>356</v>
      </c>
      <c r="S581" t="s">
        <v>415</v>
      </c>
      <c r="T581" t="s">
        <v>385</v>
      </c>
    </row>
    <row r="582" spans="1:20" x14ac:dyDescent="0.3">
      <c r="A582" s="160">
        <v>3316</v>
      </c>
      <c r="B582" t="s">
        <v>15760</v>
      </c>
      <c r="C582" t="s">
        <v>359</v>
      </c>
      <c r="D582">
        <v>0.6</v>
      </c>
      <c r="E582">
        <v>0</v>
      </c>
      <c r="F582">
        <f t="shared" si="8"/>
        <v>0.6</v>
      </c>
      <c r="I582">
        <v>20240101</v>
      </c>
      <c r="J582" t="s">
        <v>360</v>
      </c>
    </row>
    <row r="583" spans="1:20" x14ac:dyDescent="0.3">
      <c r="A583" s="160">
        <v>3321</v>
      </c>
      <c r="B583" t="s">
        <v>15761</v>
      </c>
      <c r="C583" t="s">
        <v>359</v>
      </c>
      <c r="D583">
        <v>0.6</v>
      </c>
      <c r="E583">
        <v>0</v>
      </c>
      <c r="F583">
        <f t="shared" ref="F583:F646" si="9">D583+E583</f>
        <v>0.6</v>
      </c>
      <c r="I583">
        <v>20240101</v>
      </c>
      <c r="J583" t="s">
        <v>416</v>
      </c>
      <c r="K583" t="s">
        <v>408</v>
      </c>
      <c r="L583" t="s">
        <v>410</v>
      </c>
      <c r="M583" t="s">
        <v>397</v>
      </c>
      <c r="N583" t="s">
        <v>412</v>
      </c>
      <c r="O583" t="s">
        <v>411</v>
      </c>
      <c r="P583" t="s">
        <v>413</v>
      </c>
      <c r="Q583" t="s">
        <v>417</v>
      </c>
      <c r="R583" t="s">
        <v>418</v>
      </c>
    </row>
    <row r="584" spans="1:20" x14ac:dyDescent="0.3">
      <c r="A584" s="160">
        <v>4001</v>
      </c>
      <c r="B584" t="s">
        <v>15762</v>
      </c>
      <c r="C584" t="s">
        <v>419</v>
      </c>
      <c r="D584">
        <v>0.15</v>
      </c>
      <c r="E584">
        <v>0</v>
      </c>
      <c r="F584">
        <f t="shared" si="9"/>
        <v>0.15</v>
      </c>
      <c r="I584">
        <v>20180101</v>
      </c>
      <c r="J584" t="s">
        <v>420</v>
      </c>
      <c r="K584" t="s">
        <v>421</v>
      </c>
    </row>
    <row r="585" spans="1:20" x14ac:dyDescent="0.3">
      <c r="A585" s="160">
        <v>4004</v>
      </c>
      <c r="B585" t="s">
        <v>15763</v>
      </c>
      <c r="C585" t="s">
        <v>422</v>
      </c>
      <c r="D585">
        <v>0.5</v>
      </c>
      <c r="E585">
        <v>0</v>
      </c>
      <c r="F585">
        <f t="shared" si="9"/>
        <v>0.5</v>
      </c>
      <c r="I585">
        <v>20240101</v>
      </c>
      <c r="J585" t="s">
        <v>423</v>
      </c>
    </row>
    <row r="586" spans="1:20" x14ac:dyDescent="0.3">
      <c r="A586" s="160">
        <v>4009</v>
      </c>
      <c r="B586" t="s">
        <v>15764</v>
      </c>
      <c r="C586" t="s">
        <v>419</v>
      </c>
      <c r="D586">
        <v>0.15</v>
      </c>
      <c r="E586">
        <v>0</v>
      </c>
      <c r="F586">
        <f t="shared" si="9"/>
        <v>0.15</v>
      </c>
      <c r="I586">
        <v>20180101</v>
      </c>
      <c r="J586" t="s">
        <v>424</v>
      </c>
    </row>
    <row r="587" spans="1:20" x14ac:dyDescent="0.3">
      <c r="A587" s="160">
        <v>4017</v>
      </c>
      <c r="B587" t="s">
        <v>15765</v>
      </c>
      <c r="C587" t="s">
        <v>419</v>
      </c>
      <c r="D587">
        <v>0.15</v>
      </c>
      <c r="E587">
        <v>0</v>
      </c>
      <c r="F587">
        <f t="shared" si="9"/>
        <v>0.15</v>
      </c>
      <c r="I587">
        <v>20180101</v>
      </c>
      <c r="J587" t="s">
        <v>425</v>
      </c>
      <c r="K587" t="s">
        <v>421</v>
      </c>
    </row>
    <row r="588" spans="1:20" x14ac:dyDescent="0.3">
      <c r="A588" s="160">
        <v>4020</v>
      </c>
      <c r="B588" t="s">
        <v>15766</v>
      </c>
      <c r="C588" t="s">
        <v>419</v>
      </c>
      <c r="D588">
        <v>0.15</v>
      </c>
      <c r="E588">
        <v>0</v>
      </c>
      <c r="F588">
        <f t="shared" si="9"/>
        <v>0.15</v>
      </c>
      <c r="I588">
        <v>20180101</v>
      </c>
      <c r="J588" t="s">
        <v>425</v>
      </c>
    </row>
    <row r="589" spans="1:20" x14ac:dyDescent="0.3">
      <c r="A589" s="160">
        <v>4021</v>
      </c>
      <c r="B589" t="s">
        <v>15767</v>
      </c>
      <c r="C589" t="s">
        <v>419</v>
      </c>
      <c r="D589">
        <v>0.15</v>
      </c>
      <c r="E589">
        <v>0</v>
      </c>
      <c r="F589">
        <f t="shared" si="9"/>
        <v>0.15</v>
      </c>
      <c r="I589">
        <v>20180101</v>
      </c>
      <c r="J589" t="s">
        <v>426</v>
      </c>
    </row>
    <row r="590" spans="1:20" x14ac:dyDescent="0.3">
      <c r="A590" s="160">
        <v>4024</v>
      </c>
      <c r="B590" t="s">
        <v>15768</v>
      </c>
      <c r="C590" t="s">
        <v>419</v>
      </c>
      <c r="D590">
        <v>0.15</v>
      </c>
      <c r="E590">
        <v>0</v>
      </c>
      <c r="F590">
        <f t="shared" si="9"/>
        <v>0.15</v>
      </c>
      <c r="I590">
        <v>20180101</v>
      </c>
      <c r="J590" t="s">
        <v>424</v>
      </c>
    </row>
    <row r="591" spans="1:20" x14ac:dyDescent="0.3">
      <c r="A591" s="160">
        <v>4028</v>
      </c>
      <c r="B591" t="s">
        <v>15769</v>
      </c>
      <c r="C591" t="s">
        <v>419</v>
      </c>
      <c r="D591">
        <v>0.15</v>
      </c>
      <c r="E591">
        <v>0</v>
      </c>
      <c r="F591">
        <f t="shared" si="9"/>
        <v>0.15</v>
      </c>
      <c r="I591">
        <v>20180101</v>
      </c>
      <c r="J591" t="s">
        <v>427</v>
      </c>
    </row>
    <row r="592" spans="1:20" x14ac:dyDescent="0.3">
      <c r="A592" s="160">
        <v>4031</v>
      </c>
      <c r="B592" t="s">
        <v>15770</v>
      </c>
      <c r="C592" t="s">
        <v>419</v>
      </c>
      <c r="D592">
        <v>0.15</v>
      </c>
      <c r="E592">
        <v>0</v>
      </c>
      <c r="F592">
        <f t="shared" si="9"/>
        <v>0.15</v>
      </c>
      <c r="I592">
        <v>20180101</v>
      </c>
      <c r="J592" t="s">
        <v>427</v>
      </c>
    </row>
    <row r="593" spans="1:25" x14ac:dyDescent="0.3">
      <c r="A593" s="160">
        <v>4034</v>
      </c>
      <c r="B593" t="s">
        <v>15771</v>
      </c>
      <c r="C593" t="s">
        <v>422</v>
      </c>
      <c r="D593">
        <v>0.5</v>
      </c>
      <c r="E593">
        <v>0</v>
      </c>
      <c r="F593">
        <f t="shared" si="9"/>
        <v>0.5</v>
      </c>
      <c r="I593">
        <v>20170101</v>
      </c>
      <c r="J593" t="s">
        <v>428</v>
      </c>
    </row>
    <row r="594" spans="1:25" x14ac:dyDescent="0.3">
      <c r="A594" s="160">
        <v>4035</v>
      </c>
      <c r="B594" t="s">
        <v>15772</v>
      </c>
      <c r="C594" t="s">
        <v>422</v>
      </c>
      <c r="D594">
        <v>0.5</v>
      </c>
      <c r="E594">
        <v>0</v>
      </c>
      <c r="F594">
        <f t="shared" si="9"/>
        <v>0.5</v>
      </c>
      <c r="I594">
        <v>20240101</v>
      </c>
      <c r="J594" t="s">
        <v>429</v>
      </c>
    </row>
    <row r="595" spans="1:25" x14ac:dyDescent="0.3">
      <c r="A595" s="160">
        <v>4036</v>
      </c>
      <c r="B595" t="s">
        <v>15773</v>
      </c>
      <c r="C595" t="s">
        <v>419</v>
      </c>
      <c r="D595">
        <v>0.15</v>
      </c>
      <c r="E595">
        <v>0</v>
      </c>
      <c r="F595">
        <f t="shared" si="9"/>
        <v>0.15</v>
      </c>
      <c r="I595">
        <v>20180101</v>
      </c>
      <c r="J595" t="s">
        <v>424</v>
      </c>
    </row>
    <row r="596" spans="1:25" x14ac:dyDescent="0.3">
      <c r="A596" s="160">
        <v>4040</v>
      </c>
      <c r="B596" t="s">
        <v>15774</v>
      </c>
      <c r="C596" t="s">
        <v>419</v>
      </c>
      <c r="D596">
        <v>0.15</v>
      </c>
      <c r="E596">
        <v>0</v>
      </c>
      <c r="F596">
        <f t="shared" si="9"/>
        <v>0.15</v>
      </c>
      <c r="I596">
        <v>20180101</v>
      </c>
      <c r="J596" t="s">
        <v>426</v>
      </c>
    </row>
    <row r="597" spans="1:25" x14ac:dyDescent="0.3">
      <c r="A597" s="160">
        <v>4041</v>
      </c>
      <c r="B597" t="s">
        <v>15775</v>
      </c>
      <c r="C597" t="s">
        <v>422</v>
      </c>
      <c r="D597">
        <v>0.5</v>
      </c>
      <c r="E597">
        <v>0</v>
      </c>
      <c r="F597">
        <f t="shared" si="9"/>
        <v>0.5</v>
      </c>
      <c r="I597">
        <v>20240101</v>
      </c>
      <c r="J597" t="s">
        <v>428</v>
      </c>
    </row>
    <row r="598" spans="1:25" x14ac:dyDescent="0.3">
      <c r="A598" s="160">
        <v>4046</v>
      </c>
      <c r="B598" t="s">
        <v>15776</v>
      </c>
      <c r="C598" t="s">
        <v>419</v>
      </c>
      <c r="D598">
        <v>0.15</v>
      </c>
      <c r="E598">
        <v>0</v>
      </c>
      <c r="F598">
        <f t="shared" si="9"/>
        <v>0.15</v>
      </c>
      <c r="I598">
        <v>20180101</v>
      </c>
      <c r="J598" t="s">
        <v>420</v>
      </c>
    </row>
    <row r="599" spans="1:25" x14ac:dyDescent="0.3">
      <c r="A599" s="160">
        <v>4047</v>
      </c>
      <c r="B599" t="s">
        <v>15777</v>
      </c>
      <c r="C599" t="s">
        <v>419</v>
      </c>
      <c r="D599">
        <v>0.15</v>
      </c>
      <c r="E599">
        <v>0</v>
      </c>
      <c r="F599">
        <f t="shared" si="9"/>
        <v>0.15</v>
      </c>
      <c r="I599">
        <v>20180101</v>
      </c>
      <c r="J599" t="s">
        <v>430</v>
      </c>
    </row>
    <row r="600" spans="1:25" x14ac:dyDescent="0.3">
      <c r="A600" s="160">
        <v>4049</v>
      </c>
      <c r="B600" t="s">
        <v>15778</v>
      </c>
      <c r="C600" t="s">
        <v>419</v>
      </c>
      <c r="D600">
        <v>0.15</v>
      </c>
      <c r="E600">
        <v>0</v>
      </c>
      <c r="F600">
        <f t="shared" si="9"/>
        <v>0.15</v>
      </c>
      <c r="I600">
        <v>20180101</v>
      </c>
      <c r="J600" t="s">
        <v>431</v>
      </c>
      <c r="K600" t="s">
        <v>432</v>
      </c>
    </row>
    <row r="601" spans="1:25" x14ac:dyDescent="0.3">
      <c r="A601" s="160">
        <v>4054</v>
      </c>
      <c r="B601" t="s">
        <v>15779</v>
      </c>
      <c r="C601" t="s">
        <v>419</v>
      </c>
      <c r="D601">
        <v>0.15</v>
      </c>
      <c r="E601">
        <v>0</v>
      </c>
      <c r="F601">
        <f t="shared" si="9"/>
        <v>0.15</v>
      </c>
      <c r="I601">
        <v>20180101</v>
      </c>
      <c r="J601" t="s">
        <v>427</v>
      </c>
    </row>
    <row r="602" spans="1:25" x14ac:dyDescent="0.3">
      <c r="A602" s="160">
        <v>4058</v>
      </c>
      <c r="B602" t="s">
        <v>15780</v>
      </c>
      <c r="C602" t="s">
        <v>433</v>
      </c>
      <c r="D602">
        <v>0.55000000000000004</v>
      </c>
      <c r="E602">
        <v>0</v>
      </c>
      <c r="F602">
        <f t="shared" si="9"/>
        <v>0.55000000000000004</v>
      </c>
      <c r="I602">
        <v>20240101</v>
      </c>
      <c r="J602" t="s">
        <v>434</v>
      </c>
    </row>
    <row r="603" spans="1:25" x14ac:dyDescent="0.3">
      <c r="A603" s="160">
        <v>4063</v>
      </c>
      <c r="B603" t="s">
        <v>15781</v>
      </c>
      <c r="C603" t="s">
        <v>422</v>
      </c>
      <c r="D603">
        <v>0.5</v>
      </c>
      <c r="E603">
        <v>0</v>
      </c>
      <c r="F603">
        <f t="shared" si="9"/>
        <v>0.5</v>
      </c>
      <c r="I603">
        <v>20170101</v>
      </c>
      <c r="J603" t="s">
        <v>435</v>
      </c>
    </row>
    <row r="604" spans="1:25" x14ac:dyDescent="0.3">
      <c r="A604" s="160">
        <v>4066</v>
      </c>
      <c r="B604" t="s">
        <v>15782</v>
      </c>
      <c r="C604" t="s">
        <v>433</v>
      </c>
      <c r="D604">
        <v>0.55000000000000004</v>
      </c>
      <c r="E604">
        <v>0</v>
      </c>
      <c r="F604">
        <f t="shared" si="9"/>
        <v>0.55000000000000004</v>
      </c>
      <c r="I604">
        <v>20240101</v>
      </c>
      <c r="J604" t="s">
        <v>434</v>
      </c>
    </row>
    <row r="605" spans="1:25" x14ac:dyDescent="0.3">
      <c r="A605" s="160">
        <v>4070</v>
      </c>
      <c r="B605" t="s">
        <v>15783</v>
      </c>
      <c r="C605" t="s">
        <v>419</v>
      </c>
      <c r="D605">
        <v>0.55000000000000004</v>
      </c>
      <c r="E605">
        <v>0</v>
      </c>
      <c r="F605">
        <f t="shared" si="9"/>
        <v>0.55000000000000004</v>
      </c>
      <c r="I605">
        <v>20170701</v>
      </c>
      <c r="J605" t="s">
        <v>436</v>
      </c>
      <c r="K605" t="s">
        <v>437</v>
      </c>
      <c r="L605" t="s">
        <v>438</v>
      </c>
      <c r="M605" t="s">
        <v>439</v>
      </c>
      <c r="N605" t="s">
        <v>440</v>
      </c>
      <c r="O605" t="s">
        <v>441</v>
      </c>
      <c r="P605" t="s">
        <v>442</v>
      </c>
      <c r="Q605" t="s">
        <v>443</v>
      </c>
      <c r="R605" t="s">
        <v>444</v>
      </c>
      <c r="S605" t="s">
        <v>445</v>
      </c>
      <c r="T605" t="s">
        <v>446</v>
      </c>
      <c r="U605" t="s">
        <v>447</v>
      </c>
      <c r="V605" t="s">
        <v>448</v>
      </c>
      <c r="W605" t="s">
        <v>449</v>
      </c>
      <c r="X605" t="s">
        <v>450</v>
      </c>
      <c r="Y605" t="s">
        <v>421</v>
      </c>
    </row>
    <row r="606" spans="1:25" x14ac:dyDescent="0.3">
      <c r="A606" s="160">
        <v>4072</v>
      </c>
      <c r="B606" t="s">
        <v>15784</v>
      </c>
      <c r="C606" t="s">
        <v>419</v>
      </c>
      <c r="D606">
        <v>0.15</v>
      </c>
      <c r="E606">
        <v>0</v>
      </c>
      <c r="F606">
        <f t="shared" si="9"/>
        <v>0.15</v>
      </c>
      <c r="I606">
        <v>20180101</v>
      </c>
      <c r="J606" t="s">
        <v>424</v>
      </c>
    </row>
    <row r="607" spans="1:25" x14ac:dyDescent="0.3">
      <c r="A607" s="160">
        <v>4074</v>
      </c>
      <c r="B607" t="s">
        <v>15785</v>
      </c>
      <c r="C607" t="s">
        <v>419</v>
      </c>
      <c r="D607">
        <v>0.15</v>
      </c>
      <c r="E607">
        <v>0</v>
      </c>
      <c r="F607">
        <f t="shared" si="9"/>
        <v>0.15</v>
      </c>
      <c r="I607">
        <v>20180101</v>
      </c>
      <c r="J607" t="s">
        <v>436</v>
      </c>
      <c r="K607" t="s">
        <v>427</v>
      </c>
    </row>
    <row r="608" spans="1:25" x14ac:dyDescent="0.3">
      <c r="A608" s="160">
        <v>4077</v>
      </c>
      <c r="B608" t="s">
        <v>15786</v>
      </c>
      <c r="C608" t="s">
        <v>422</v>
      </c>
      <c r="D608">
        <v>0.5</v>
      </c>
      <c r="E608">
        <v>0</v>
      </c>
      <c r="F608">
        <f t="shared" si="9"/>
        <v>0.5</v>
      </c>
      <c r="I608">
        <v>20240101</v>
      </c>
      <c r="J608" t="s">
        <v>428</v>
      </c>
    </row>
    <row r="609" spans="1:17" x14ac:dyDescent="0.3">
      <c r="A609" s="160">
        <v>4079</v>
      </c>
      <c r="B609" t="s">
        <v>15787</v>
      </c>
      <c r="C609" t="s">
        <v>419</v>
      </c>
      <c r="D609">
        <v>0.15</v>
      </c>
      <c r="E609">
        <v>0</v>
      </c>
      <c r="F609">
        <f t="shared" si="9"/>
        <v>0.15</v>
      </c>
      <c r="I609">
        <v>20180101</v>
      </c>
      <c r="J609" t="s">
        <v>431</v>
      </c>
    </row>
    <row r="610" spans="1:17" x14ac:dyDescent="0.3">
      <c r="A610" s="160">
        <v>4081</v>
      </c>
      <c r="B610" t="s">
        <v>15788</v>
      </c>
      <c r="C610" t="s">
        <v>422</v>
      </c>
      <c r="D610">
        <v>0.5</v>
      </c>
      <c r="E610">
        <v>0</v>
      </c>
      <c r="F610">
        <f t="shared" si="9"/>
        <v>0.5</v>
      </c>
      <c r="I610">
        <v>20240101</v>
      </c>
      <c r="J610" t="s">
        <v>451</v>
      </c>
    </row>
    <row r="611" spans="1:17" x14ac:dyDescent="0.3">
      <c r="A611" s="160">
        <v>4084</v>
      </c>
      <c r="B611" t="s">
        <v>15789</v>
      </c>
      <c r="C611" t="s">
        <v>419</v>
      </c>
      <c r="D611">
        <v>0.15</v>
      </c>
      <c r="E611">
        <v>0</v>
      </c>
      <c r="F611">
        <f t="shared" si="9"/>
        <v>0.15</v>
      </c>
      <c r="I611">
        <v>20180101</v>
      </c>
      <c r="J611" t="s">
        <v>427</v>
      </c>
    </row>
    <row r="612" spans="1:17" x14ac:dyDescent="0.3">
      <c r="A612" s="160">
        <v>4091</v>
      </c>
      <c r="B612" t="s">
        <v>15790</v>
      </c>
      <c r="C612" t="s">
        <v>419</v>
      </c>
      <c r="D612">
        <v>0.15</v>
      </c>
      <c r="E612">
        <v>0</v>
      </c>
      <c r="F612">
        <f t="shared" si="9"/>
        <v>0.15</v>
      </c>
      <c r="I612">
        <v>20180101</v>
      </c>
      <c r="J612" t="s">
        <v>452</v>
      </c>
    </row>
    <row r="613" spans="1:17" x14ac:dyDescent="0.3">
      <c r="A613" s="160">
        <v>4094</v>
      </c>
      <c r="B613" t="s">
        <v>15791</v>
      </c>
      <c r="C613" t="s">
        <v>422</v>
      </c>
      <c r="D613">
        <v>0.5</v>
      </c>
      <c r="E613">
        <v>0</v>
      </c>
      <c r="F613">
        <f t="shared" si="9"/>
        <v>0.5</v>
      </c>
      <c r="I613">
        <v>20240101</v>
      </c>
      <c r="J613" t="s">
        <v>451</v>
      </c>
    </row>
    <row r="614" spans="1:17" x14ac:dyDescent="0.3">
      <c r="A614" s="160">
        <v>4097</v>
      </c>
      <c r="B614" t="s">
        <v>15792</v>
      </c>
      <c r="C614" t="s">
        <v>419</v>
      </c>
      <c r="D614">
        <v>0.15</v>
      </c>
      <c r="E614">
        <v>0</v>
      </c>
      <c r="F614">
        <f t="shared" si="9"/>
        <v>0.15</v>
      </c>
      <c r="I614">
        <v>20180101</v>
      </c>
      <c r="J614" t="s">
        <v>436</v>
      </c>
      <c r="K614" t="s">
        <v>424</v>
      </c>
    </row>
    <row r="615" spans="1:17" x14ac:dyDescent="0.3">
      <c r="A615" s="160">
        <v>4107</v>
      </c>
      <c r="B615" t="s">
        <v>15793</v>
      </c>
      <c r="C615" t="s">
        <v>419</v>
      </c>
      <c r="D615">
        <v>0.15</v>
      </c>
      <c r="E615">
        <v>0</v>
      </c>
      <c r="F615">
        <f t="shared" si="9"/>
        <v>0.15</v>
      </c>
      <c r="I615">
        <v>20180101</v>
      </c>
      <c r="J615" t="s">
        <v>427</v>
      </c>
    </row>
    <row r="616" spans="1:17" x14ac:dyDescent="0.3">
      <c r="A616" s="160">
        <v>4108</v>
      </c>
      <c r="B616" t="s">
        <v>15794</v>
      </c>
      <c r="C616" t="s">
        <v>419</v>
      </c>
      <c r="D616">
        <v>0.15</v>
      </c>
      <c r="E616">
        <v>0</v>
      </c>
      <c r="F616">
        <f t="shared" si="9"/>
        <v>0.15</v>
      </c>
      <c r="I616">
        <v>20180101</v>
      </c>
      <c r="J616" t="s">
        <v>453</v>
      </c>
      <c r="K616" t="s">
        <v>420</v>
      </c>
    </row>
    <row r="617" spans="1:17" x14ac:dyDescent="0.3">
      <c r="A617" s="160">
        <v>4109</v>
      </c>
      <c r="B617" t="s">
        <v>15795</v>
      </c>
      <c r="C617" t="s">
        <v>419</v>
      </c>
      <c r="D617">
        <v>0.15</v>
      </c>
      <c r="E617">
        <v>0</v>
      </c>
      <c r="F617">
        <f t="shared" si="9"/>
        <v>0.15</v>
      </c>
      <c r="I617">
        <v>20180101</v>
      </c>
      <c r="J617" t="s">
        <v>454</v>
      </c>
    </row>
    <row r="618" spans="1:17" x14ac:dyDescent="0.3">
      <c r="A618" s="160">
        <v>4110</v>
      </c>
      <c r="B618" t="s">
        <v>15796</v>
      </c>
      <c r="C618" t="s">
        <v>419</v>
      </c>
      <c r="D618">
        <v>0.15</v>
      </c>
      <c r="E618">
        <v>0</v>
      </c>
      <c r="F618">
        <f t="shared" si="9"/>
        <v>0.15</v>
      </c>
      <c r="I618">
        <v>20180101</v>
      </c>
      <c r="J618" t="s">
        <v>420</v>
      </c>
    </row>
    <row r="619" spans="1:17" x14ac:dyDescent="0.3">
      <c r="A619" s="160">
        <v>4112</v>
      </c>
      <c r="B619" t="s">
        <v>15797</v>
      </c>
      <c r="C619" t="s">
        <v>422</v>
      </c>
      <c r="D619">
        <v>0.5</v>
      </c>
      <c r="E619">
        <v>0</v>
      </c>
      <c r="F619">
        <f t="shared" si="9"/>
        <v>0.5</v>
      </c>
      <c r="I619">
        <v>20120101</v>
      </c>
      <c r="J619" t="s">
        <v>455</v>
      </c>
      <c r="K619" t="s">
        <v>456</v>
      </c>
      <c r="L619" t="s">
        <v>457</v>
      </c>
      <c r="M619" t="s">
        <v>458</v>
      </c>
      <c r="N619" t="s">
        <v>459</v>
      </c>
      <c r="O619" t="s">
        <v>460</v>
      </c>
      <c r="P619" t="s">
        <v>461</v>
      </c>
      <c r="Q619" t="s">
        <v>462</v>
      </c>
    </row>
    <row r="620" spans="1:17" x14ac:dyDescent="0.3">
      <c r="A620" s="160">
        <v>4113</v>
      </c>
      <c r="B620" t="s">
        <v>15798</v>
      </c>
      <c r="C620" t="s">
        <v>419</v>
      </c>
      <c r="D620">
        <v>0.15</v>
      </c>
      <c r="E620">
        <v>0</v>
      </c>
      <c r="F620">
        <f t="shared" si="9"/>
        <v>0.15</v>
      </c>
      <c r="I620">
        <v>20180101</v>
      </c>
      <c r="J620" t="s">
        <v>424</v>
      </c>
    </row>
    <row r="621" spans="1:17" x14ac:dyDescent="0.3">
      <c r="A621" s="160">
        <v>4116</v>
      </c>
      <c r="B621" t="s">
        <v>15799</v>
      </c>
      <c r="C621" t="s">
        <v>419</v>
      </c>
      <c r="D621">
        <v>0.15</v>
      </c>
      <c r="E621">
        <v>0</v>
      </c>
      <c r="F621">
        <f t="shared" si="9"/>
        <v>0.15</v>
      </c>
      <c r="I621">
        <v>20180101</v>
      </c>
      <c r="J621" t="s">
        <v>463</v>
      </c>
    </row>
    <row r="622" spans="1:17" x14ac:dyDescent="0.3">
      <c r="A622" s="160">
        <v>4121</v>
      </c>
      <c r="B622" t="s">
        <v>15800</v>
      </c>
      <c r="C622" t="s">
        <v>419</v>
      </c>
      <c r="D622">
        <v>0.15</v>
      </c>
      <c r="E622">
        <v>0</v>
      </c>
      <c r="F622">
        <f t="shared" si="9"/>
        <v>0.15</v>
      </c>
      <c r="I622">
        <v>20180101</v>
      </c>
      <c r="J622" t="s">
        <v>427</v>
      </c>
    </row>
    <row r="623" spans="1:17" x14ac:dyDescent="0.3">
      <c r="A623" s="160">
        <v>4122</v>
      </c>
      <c r="B623" t="s">
        <v>15801</v>
      </c>
      <c r="C623" t="s">
        <v>419</v>
      </c>
      <c r="D623">
        <v>0.15</v>
      </c>
      <c r="E623">
        <v>0</v>
      </c>
      <c r="F623">
        <f t="shared" si="9"/>
        <v>0.15</v>
      </c>
      <c r="I623">
        <v>20180101</v>
      </c>
      <c r="J623" t="s">
        <v>420</v>
      </c>
    </row>
    <row r="624" spans="1:17" x14ac:dyDescent="0.3">
      <c r="A624" s="160">
        <v>4124</v>
      </c>
      <c r="B624" t="s">
        <v>15802</v>
      </c>
      <c r="C624" t="s">
        <v>422</v>
      </c>
      <c r="D624">
        <v>0.5</v>
      </c>
      <c r="E624">
        <v>0</v>
      </c>
      <c r="F624">
        <f t="shared" si="9"/>
        <v>0.5</v>
      </c>
      <c r="I624">
        <v>20240101</v>
      </c>
      <c r="J624" t="s">
        <v>423</v>
      </c>
    </row>
    <row r="625" spans="1:11" x14ac:dyDescent="0.3">
      <c r="A625" s="160">
        <v>4126</v>
      </c>
      <c r="B625" t="s">
        <v>15803</v>
      </c>
      <c r="C625" t="s">
        <v>419</v>
      </c>
      <c r="D625">
        <v>0.15</v>
      </c>
      <c r="E625">
        <v>0</v>
      </c>
      <c r="F625">
        <f t="shared" si="9"/>
        <v>0.15</v>
      </c>
      <c r="I625">
        <v>20180101</v>
      </c>
      <c r="J625" t="s">
        <v>425</v>
      </c>
    </row>
    <row r="626" spans="1:11" x14ac:dyDescent="0.3">
      <c r="A626" s="160">
        <v>4128</v>
      </c>
      <c r="B626" t="s">
        <v>15804</v>
      </c>
      <c r="C626" t="s">
        <v>422</v>
      </c>
      <c r="D626">
        <v>0.5</v>
      </c>
      <c r="E626">
        <v>0</v>
      </c>
      <c r="F626">
        <f t="shared" si="9"/>
        <v>0.5</v>
      </c>
      <c r="I626">
        <v>20170101</v>
      </c>
      <c r="J626" t="s">
        <v>464</v>
      </c>
    </row>
    <row r="627" spans="1:11" x14ac:dyDescent="0.3">
      <c r="A627" s="160">
        <v>4135</v>
      </c>
      <c r="B627" t="s">
        <v>15805</v>
      </c>
      <c r="C627" t="s">
        <v>419</v>
      </c>
      <c r="D627">
        <v>0.15</v>
      </c>
      <c r="E627">
        <v>0</v>
      </c>
      <c r="F627">
        <f t="shared" si="9"/>
        <v>0.15</v>
      </c>
      <c r="I627">
        <v>20180101</v>
      </c>
      <c r="J627" t="s">
        <v>465</v>
      </c>
    </row>
    <row r="628" spans="1:11" x14ac:dyDescent="0.3">
      <c r="A628" s="160">
        <v>4143</v>
      </c>
      <c r="B628" t="s">
        <v>15806</v>
      </c>
      <c r="C628" t="s">
        <v>422</v>
      </c>
      <c r="D628">
        <v>0.5</v>
      </c>
      <c r="E628">
        <v>0</v>
      </c>
      <c r="F628">
        <f t="shared" si="9"/>
        <v>0.5</v>
      </c>
      <c r="I628">
        <v>20170101</v>
      </c>
      <c r="J628" t="s">
        <v>428</v>
      </c>
    </row>
    <row r="629" spans="1:11" x14ac:dyDescent="0.3">
      <c r="A629" s="160">
        <v>4149</v>
      </c>
      <c r="B629" t="s">
        <v>15807</v>
      </c>
      <c r="C629" t="s">
        <v>419</v>
      </c>
      <c r="D629">
        <v>0.15</v>
      </c>
      <c r="E629">
        <v>0</v>
      </c>
      <c r="F629">
        <f t="shared" si="9"/>
        <v>0.15</v>
      </c>
      <c r="I629">
        <v>20180101</v>
      </c>
      <c r="J629" t="s">
        <v>452</v>
      </c>
    </row>
    <row r="630" spans="1:11" x14ac:dyDescent="0.3">
      <c r="A630" s="160">
        <v>4152</v>
      </c>
      <c r="B630" t="s">
        <v>15808</v>
      </c>
      <c r="C630" t="s">
        <v>422</v>
      </c>
      <c r="D630">
        <v>0.5</v>
      </c>
      <c r="E630">
        <v>0</v>
      </c>
      <c r="F630">
        <f t="shared" si="9"/>
        <v>0.5</v>
      </c>
      <c r="I630">
        <v>20170101</v>
      </c>
      <c r="J630" t="s">
        <v>466</v>
      </c>
    </row>
    <row r="631" spans="1:11" x14ac:dyDescent="0.3">
      <c r="A631" s="160">
        <v>4154</v>
      </c>
      <c r="B631" t="s">
        <v>15809</v>
      </c>
      <c r="C631" t="s">
        <v>15810</v>
      </c>
      <c r="D631">
        <v>0.8</v>
      </c>
      <c r="E631">
        <v>0</v>
      </c>
      <c r="F631">
        <f t="shared" si="9"/>
        <v>0.8</v>
      </c>
      <c r="I631">
        <v>20240101</v>
      </c>
      <c r="J631" t="s">
        <v>15811</v>
      </c>
    </row>
    <row r="632" spans="1:11" x14ac:dyDescent="0.3">
      <c r="A632" s="160">
        <v>4155</v>
      </c>
      <c r="B632" t="s">
        <v>15812</v>
      </c>
      <c r="C632" t="s">
        <v>419</v>
      </c>
      <c r="D632">
        <v>0.15</v>
      </c>
      <c r="E632">
        <v>0</v>
      </c>
      <c r="F632">
        <f t="shared" si="9"/>
        <v>0.15</v>
      </c>
      <c r="I632">
        <v>20180101</v>
      </c>
      <c r="J632" t="s">
        <v>424</v>
      </c>
    </row>
    <row r="633" spans="1:11" x14ac:dyDescent="0.3">
      <c r="A633" s="160">
        <v>4156</v>
      </c>
      <c r="B633" t="s">
        <v>15813</v>
      </c>
      <c r="C633" t="s">
        <v>422</v>
      </c>
      <c r="D633">
        <v>0.5</v>
      </c>
      <c r="E633">
        <v>0</v>
      </c>
      <c r="F633">
        <f t="shared" si="9"/>
        <v>0.5</v>
      </c>
      <c r="I633">
        <v>20240101</v>
      </c>
      <c r="J633" t="s">
        <v>428</v>
      </c>
    </row>
    <row r="634" spans="1:11" x14ac:dyDescent="0.3">
      <c r="A634" s="160">
        <v>4157</v>
      </c>
      <c r="B634" t="s">
        <v>15814</v>
      </c>
      <c r="C634" t="s">
        <v>422</v>
      </c>
      <c r="D634">
        <v>0.5</v>
      </c>
      <c r="E634">
        <v>0</v>
      </c>
      <c r="F634">
        <f t="shared" si="9"/>
        <v>0.5</v>
      </c>
      <c r="I634">
        <v>20240101</v>
      </c>
      <c r="J634" t="s">
        <v>467</v>
      </c>
    </row>
    <row r="635" spans="1:11" x14ac:dyDescent="0.3">
      <c r="A635" s="160">
        <v>4158</v>
      </c>
      <c r="B635" t="s">
        <v>15815</v>
      </c>
      <c r="C635" t="s">
        <v>422</v>
      </c>
      <c r="D635">
        <v>0.5</v>
      </c>
      <c r="E635">
        <v>0</v>
      </c>
      <c r="F635">
        <f t="shared" si="9"/>
        <v>0.5</v>
      </c>
      <c r="I635">
        <v>20240101</v>
      </c>
      <c r="J635" t="s">
        <v>423</v>
      </c>
    </row>
    <row r="636" spans="1:11" x14ac:dyDescent="0.3">
      <c r="A636" s="160">
        <v>4166</v>
      </c>
      <c r="B636" t="s">
        <v>15816</v>
      </c>
      <c r="C636" t="s">
        <v>422</v>
      </c>
      <c r="D636">
        <v>0.5</v>
      </c>
      <c r="E636">
        <v>0</v>
      </c>
      <c r="F636">
        <f t="shared" si="9"/>
        <v>0.5</v>
      </c>
      <c r="I636">
        <v>20240101</v>
      </c>
      <c r="J636" t="s">
        <v>423</v>
      </c>
    </row>
    <row r="637" spans="1:11" x14ac:dyDescent="0.3">
      <c r="A637" s="160">
        <v>4167</v>
      </c>
      <c r="B637" t="s">
        <v>15817</v>
      </c>
      <c r="C637" t="s">
        <v>419</v>
      </c>
      <c r="D637">
        <v>0.15</v>
      </c>
      <c r="E637">
        <v>0</v>
      </c>
      <c r="F637">
        <f t="shared" si="9"/>
        <v>0.15</v>
      </c>
      <c r="I637">
        <v>20180101</v>
      </c>
      <c r="J637" t="s">
        <v>436</v>
      </c>
      <c r="K637" t="s">
        <v>439</v>
      </c>
    </row>
    <row r="638" spans="1:11" x14ac:dyDescent="0.3">
      <c r="A638" s="160">
        <v>4172</v>
      </c>
      <c r="B638" t="s">
        <v>15818</v>
      </c>
      <c r="C638" t="s">
        <v>422</v>
      </c>
      <c r="D638">
        <v>0.5</v>
      </c>
      <c r="E638">
        <v>0</v>
      </c>
      <c r="F638">
        <f t="shared" si="9"/>
        <v>0.5</v>
      </c>
      <c r="I638">
        <v>20240101</v>
      </c>
      <c r="J638" t="s">
        <v>423</v>
      </c>
    </row>
    <row r="639" spans="1:11" x14ac:dyDescent="0.3">
      <c r="A639" s="160">
        <v>4176</v>
      </c>
      <c r="B639" t="s">
        <v>15819</v>
      </c>
      <c r="C639" t="s">
        <v>419</v>
      </c>
      <c r="D639">
        <v>0.15</v>
      </c>
      <c r="E639">
        <v>0</v>
      </c>
      <c r="F639">
        <f t="shared" si="9"/>
        <v>0.15</v>
      </c>
      <c r="I639">
        <v>20180101</v>
      </c>
      <c r="J639" t="s">
        <v>423</v>
      </c>
    </row>
    <row r="640" spans="1:11" x14ac:dyDescent="0.3">
      <c r="A640" s="160">
        <v>4177</v>
      </c>
      <c r="B640" t="s">
        <v>15820</v>
      </c>
      <c r="C640" t="s">
        <v>419</v>
      </c>
      <c r="D640">
        <v>0.15</v>
      </c>
      <c r="E640">
        <v>0</v>
      </c>
      <c r="F640">
        <f t="shared" si="9"/>
        <v>0.15</v>
      </c>
      <c r="I640">
        <v>20180101</v>
      </c>
      <c r="J640" t="s">
        <v>426</v>
      </c>
    </row>
    <row r="641" spans="1:10" x14ac:dyDescent="0.3">
      <c r="A641" s="160">
        <v>4181</v>
      </c>
      <c r="B641" t="s">
        <v>15821</v>
      </c>
      <c r="C641" t="s">
        <v>419</v>
      </c>
      <c r="D641">
        <v>0.15</v>
      </c>
      <c r="E641">
        <v>0</v>
      </c>
      <c r="F641">
        <f t="shared" si="9"/>
        <v>0.15</v>
      </c>
      <c r="I641">
        <v>20180101</v>
      </c>
      <c r="J641" t="s">
        <v>427</v>
      </c>
    </row>
    <row r="642" spans="1:10" x14ac:dyDescent="0.3">
      <c r="A642" s="160">
        <v>4182</v>
      </c>
      <c r="B642" t="s">
        <v>15822</v>
      </c>
      <c r="C642" t="s">
        <v>419</v>
      </c>
      <c r="D642">
        <v>0.15</v>
      </c>
      <c r="E642">
        <v>0</v>
      </c>
      <c r="F642">
        <f t="shared" si="9"/>
        <v>0.15</v>
      </c>
      <c r="I642">
        <v>20180101</v>
      </c>
      <c r="J642" t="s">
        <v>427</v>
      </c>
    </row>
    <row r="643" spans="1:10" x14ac:dyDescent="0.3">
      <c r="A643" s="160">
        <v>4184</v>
      </c>
      <c r="B643" t="s">
        <v>15823</v>
      </c>
      <c r="C643" t="s">
        <v>419</v>
      </c>
      <c r="D643">
        <v>0.15</v>
      </c>
      <c r="E643">
        <v>0</v>
      </c>
      <c r="F643">
        <f t="shared" si="9"/>
        <v>0.15</v>
      </c>
      <c r="I643">
        <v>20180101</v>
      </c>
      <c r="J643" t="s">
        <v>467</v>
      </c>
    </row>
    <row r="644" spans="1:10" x14ac:dyDescent="0.3">
      <c r="A644" s="160">
        <v>4186</v>
      </c>
      <c r="B644" t="s">
        <v>15824</v>
      </c>
      <c r="C644" t="s">
        <v>422</v>
      </c>
      <c r="D644">
        <v>0.5</v>
      </c>
      <c r="E644">
        <v>0</v>
      </c>
      <c r="F644">
        <f t="shared" si="9"/>
        <v>0.5</v>
      </c>
      <c r="I644">
        <v>20240101</v>
      </c>
      <c r="J644" t="s">
        <v>423</v>
      </c>
    </row>
    <row r="645" spans="1:10" x14ac:dyDescent="0.3">
      <c r="A645" s="160">
        <v>4188</v>
      </c>
      <c r="B645" t="s">
        <v>15825</v>
      </c>
      <c r="C645" t="s">
        <v>422</v>
      </c>
      <c r="D645">
        <v>0.5</v>
      </c>
      <c r="E645">
        <v>0</v>
      </c>
      <c r="F645">
        <f t="shared" si="9"/>
        <v>0.5</v>
      </c>
      <c r="I645">
        <v>20170701</v>
      </c>
      <c r="J645" t="s">
        <v>468</v>
      </c>
    </row>
    <row r="646" spans="1:10" x14ac:dyDescent="0.3">
      <c r="A646" s="160">
        <v>4189</v>
      </c>
      <c r="B646" t="s">
        <v>15826</v>
      </c>
      <c r="C646" t="s">
        <v>422</v>
      </c>
      <c r="D646">
        <v>0.5</v>
      </c>
      <c r="E646">
        <v>0</v>
      </c>
      <c r="F646">
        <f t="shared" si="9"/>
        <v>0.5</v>
      </c>
      <c r="I646">
        <v>20240101</v>
      </c>
      <c r="J646" t="s">
        <v>451</v>
      </c>
    </row>
    <row r="647" spans="1:10" x14ac:dyDescent="0.3">
      <c r="A647" s="160">
        <v>4191</v>
      </c>
      <c r="B647" t="s">
        <v>15827</v>
      </c>
      <c r="C647" t="s">
        <v>419</v>
      </c>
      <c r="D647">
        <v>0.15</v>
      </c>
      <c r="E647">
        <v>0</v>
      </c>
      <c r="F647">
        <f t="shared" ref="F647:F710" si="10">D647+E647</f>
        <v>0.15</v>
      </c>
      <c r="I647">
        <v>20180101</v>
      </c>
      <c r="J647" t="s">
        <v>425</v>
      </c>
    </row>
    <row r="648" spans="1:10" x14ac:dyDescent="0.3">
      <c r="A648" s="160">
        <v>4197</v>
      </c>
      <c r="B648" t="s">
        <v>15828</v>
      </c>
      <c r="C648" t="s">
        <v>422</v>
      </c>
      <c r="D648">
        <v>0.5</v>
      </c>
      <c r="E648">
        <v>0</v>
      </c>
      <c r="F648">
        <f t="shared" si="10"/>
        <v>0.5</v>
      </c>
      <c r="I648">
        <v>20170101</v>
      </c>
      <c r="J648" t="s">
        <v>435</v>
      </c>
    </row>
    <row r="649" spans="1:10" x14ac:dyDescent="0.3">
      <c r="A649" s="160">
        <v>4203</v>
      </c>
      <c r="B649" t="s">
        <v>15829</v>
      </c>
      <c r="C649" t="s">
        <v>419</v>
      </c>
      <c r="D649">
        <v>0.15</v>
      </c>
      <c r="E649">
        <v>0</v>
      </c>
      <c r="F649">
        <f t="shared" si="10"/>
        <v>0.15</v>
      </c>
      <c r="I649">
        <v>20180101</v>
      </c>
      <c r="J649" t="s">
        <v>425</v>
      </c>
    </row>
    <row r="650" spans="1:10" x14ac:dyDescent="0.3">
      <c r="A650" s="160">
        <v>4205</v>
      </c>
      <c r="B650" t="s">
        <v>15830</v>
      </c>
      <c r="C650" t="s">
        <v>419</v>
      </c>
      <c r="D650">
        <v>0.15</v>
      </c>
      <c r="E650">
        <v>0</v>
      </c>
      <c r="F650">
        <f t="shared" si="10"/>
        <v>0.15</v>
      </c>
      <c r="I650">
        <v>20180101</v>
      </c>
      <c r="J650" t="s">
        <v>425</v>
      </c>
    </row>
    <row r="651" spans="1:10" x14ac:dyDescent="0.3">
      <c r="A651" s="160">
        <v>4217</v>
      </c>
      <c r="B651" t="s">
        <v>15831</v>
      </c>
      <c r="C651" t="s">
        <v>419</v>
      </c>
      <c r="D651">
        <v>0.15</v>
      </c>
      <c r="E651">
        <v>0</v>
      </c>
      <c r="F651">
        <f t="shared" si="10"/>
        <v>0.15</v>
      </c>
      <c r="I651">
        <v>20180101</v>
      </c>
      <c r="J651" t="s">
        <v>426</v>
      </c>
    </row>
    <row r="652" spans="1:10" x14ac:dyDescent="0.3">
      <c r="A652" s="160">
        <v>4230</v>
      </c>
      <c r="B652" t="s">
        <v>15832</v>
      </c>
      <c r="C652" t="s">
        <v>422</v>
      </c>
      <c r="D652">
        <v>0.5</v>
      </c>
      <c r="E652">
        <v>0</v>
      </c>
      <c r="F652">
        <f t="shared" si="10"/>
        <v>0.5</v>
      </c>
      <c r="I652">
        <v>20240101</v>
      </c>
      <c r="J652" t="s">
        <v>429</v>
      </c>
    </row>
    <row r="653" spans="1:10" x14ac:dyDescent="0.3">
      <c r="A653" s="160">
        <v>4235</v>
      </c>
      <c r="B653" t="s">
        <v>15833</v>
      </c>
      <c r="C653" t="s">
        <v>419</v>
      </c>
      <c r="D653">
        <v>0.15</v>
      </c>
      <c r="E653">
        <v>0</v>
      </c>
      <c r="F653">
        <f t="shared" si="10"/>
        <v>0.15</v>
      </c>
      <c r="I653">
        <v>20180101</v>
      </c>
      <c r="J653" t="s">
        <v>425</v>
      </c>
    </row>
    <row r="654" spans="1:10" x14ac:dyDescent="0.3">
      <c r="A654" s="160">
        <v>4237</v>
      </c>
      <c r="B654" t="s">
        <v>15758</v>
      </c>
      <c r="C654" t="s">
        <v>419</v>
      </c>
      <c r="D654">
        <v>0.15</v>
      </c>
      <c r="E654">
        <v>0</v>
      </c>
      <c r="F654">
        <f t="shared" si="10"/>
        <v>0.15</v>
      </c>
      <c r="I654">
        <v>20180101</v>
      </c>
      <c r="J654" t="s">
        <v>425</v>
      </c>
    </row>
    <row r="655" spans="1:10" x14ac:dyDescent="0.3">
      <c r="A655" s="160">
        <v>4242</v>
      </c>
      <c r="B655" t="s">
        <v>15295</v>
      </c>
      <c r="C655" t="s">
        <v>422</v>
      </c>
      <c r="D655">
        <v>0.5</v>
      </c>
      <c r="E655">
        <v>0</v>
      </c>
      <c r="F655">
        <f t="shared" si="10"/>
        <v>0.5</v>
      </c>
      <c r="I655">
        <v>20170101</v>
      </c>
      <c r="J655" t="s">
        <v>469</v>
      </c>
    </row>
    <row r="656" spans="1:10" x14ac:dyDescent="0.3">
      <c r="A656" s="160">
        <v>4244</v>
      </c>
      <c r="B656" t="s">
        <v>15834</v>
      </c>
      <c r="C656" t="s">
        <v>419</v>
      </c>
      <c r="D656">
        <v>0.15</v>
      </c>
      <c r="E656">
        <v>0</v>
      </c>
      <c r="F656">
        <f t="shared" si="10"/>
        <v>0.15</v>
      </c>
      <c r="I656">
        <v>20180101</v>
      </c>
      <c r="J656" t="s">
        <v>470</v>
      </c>
    </row>
    <row r="657" spans="1:24" x14ac:dyDescent="0.3">
      <c r="A657" s="160">
        <v>4245</v>
      </c>
      <c r="B657" t="s">
        <v>15835</v>
      </c>
      <c r="C657" t="s">
        <v>422</v>
      </c>
      <c r="D657">
        <v>0.5</v>
      </c>
      <c r="E657">
        <v>0</v>
      </c>
      <c r="F657">
        <f t="shared" si="10"/>
        <v>0.5</v>
      </c>
      <c r="I657">
        <v>20170101</v>
      </c>
      <c r="J657" t="s">
        <v>471</v>
      </c>
    </row>
    <row r="658" spans="1:24" x14ac:dyDescent="0.3">
      <c r="A658" s="160">
        <v>5012</v>
      </c>
      <c r="B658" t="s">
        <v>15836</v>
      </c>
      <c r="C658" t="s">
        <v>15810</v>
      </c>
      <c r="D658">
        <v>0.8</v>
      </c>
      <c r="E658">
        <v>0</v>
      </c>
      <c r="F658">
        <f t="shared" si="10"/>
        <v>0.8</v>
      </c>
      <c r="I658">
        <v>20230701</v>
      </c>
      <c r="J658" t="s">
        <v>15837</v>
      </c>
    </row>
    <row r="659" spans="1:24" x14ac:dyDescent="0.3">
      <c r="A659" s="160">
        <v>5013</v>
      </c>
      <c r="B659" t="s">
        <v>15838</v>
      </c>
      <c r="C659" t="s">
        <v>433</v>
      </c>
      <c r="D659">
        <v>0.55000000000000004</v>
      </c>
      <c r="E659">
        <v>0</v>
      </c>
      <c r="F659">
        <f t="shared" si="10"/>
        <v>0.55000000000000004</v>
      </c>
      <c r="I659">
        <v>20240101</v>
      </c>
      <c r="J659" t="s">
        <v>434</v>
      </c>
    </row>
    <row r="660" spans="1:24" x14ac:dyDescent="0.3">
      <c r="A660" s="160">
        <v>5023</v>
      </c>
      <c r="B660" t="s">
        <v>15839</v>
      </c>
      <c r="C660" t="s">
        <v>472</v>
      </c>
      <c r="D660">
        <v>0.8</v>
      </c>
      <c r="E660">
        <v>0</v>
      </c>
      <c r="F660">
        <f t="shared" si="10"/>
        <v>0.8</v>
      </c>
      <c r="I660">
        <v>20240101</v>
      </c>
      <c r="J660" t="s">
        <v>473</v>
      </c>
      <c r="K660" t="s">
        <v>474</v>
      </c>
      <c r="L660" t="s">
        <v>475</v>
      </c>
      <c r="M660" t="s">
        <v>476</v>
      </c>
      <c r="N660" t="s">
        <v>477</v>
      </c>
      <c r="O660" t="s">
        <v>478</v>
      </c>
    </row>
    <row r="661" spans="1:24" x14ac:dyDescent="0.3">
      <c r="A661" s="160">
        <v>5027</v>
      </c>
      <c r="B661" t="s">
        <v>15840</v>
      </c>
      <c r="C661" t="s">
        <v>472</v>
      </c>
      <c r="D661">
        <v>0.8</v>
      </c>
      <c r="E661">
        <v>0</v>
      </c>
      <c r="F661">
        <f t="shared" si="10"/>
        <v>0.8</v>
      </c>
      <c r="I661">
        <v>20240101</v>
      </c>
      <c r="J661" t="s">
        <v>473</v>
      </c>
      <c r="K661" t="s">
        <v>474</v>
      </c>
    </row>
    <row r="662" spans="1:24" x14ac:dyDescent="0.3">
      <c r="A662" s="160">
        <v>5036</v>
      </c>
      <c r="B662" t="s">
        <v>15841</v>
      </c>
      <c r="C662" t="s">
        <v>15810</v>
      </c>
      <c r="D662">
        <v>0.8</v>
      </c>
      <c r="E662">
        <v>0</v>
      </c>
      <c r="F662">
        <f t="shared" si="10"/>
        <v>0.8</v>
      </c>
      <c r="I662">
        <v>20230701</v>
      </c>
      <c r="J662" t="s">
        <v>15842</v>
      </c>
    </row>
    <row r="663" spans="1:24" x14ac:dyDescent="0.3">
      <c r="A663" s="160">
        <v>5037</v>
      </c>
      <c r="B663" t="s">
        <v>15843</v>
      </c>
      <c r="C663" t="s">
        <v>433</v>
      </c>
      <c r="D663">
        <v>0.55000000000000004</v>
      </c>
      <c r="E663">
        <v>0</v>
      </c>
      <c r="F663">
        <f t="shared" si="10"/>
        <v>0.55000000000000004</v>
      </c>
      <c r="I663">
        <v>20240101</v>
      </c>
      <c r="J663" t="s">
        <v>479</v>
      </c>
      <c r="K663" t="s">
        <v>480</v>
      </c>
    </row>
    <row r="664" spans="1:24" x14ac:dyDescent="0.3">
      <c r="A664" s="160">
        <v>5040</v>
      </c>
      <c r="B664" t="s">
        <v>15844</v>
      </c>
      <c r="C664" t="s">
        <v>15810</v>
      </c>
      <c r="D664">
        <v>0.8</v>
      </c>
      <c r="E664">
        <v>0</v>
      </c>
      <c r="F664">
        <f t="shared" si="10"/>
        <v>0.8</v>
      </c>
      <c r="I664">
        <v>20240101</v>
      </c>
      <c r="J664" t="s">
        <v>483</v>
      </c>
      <c r="K664" t="s">
        <v>15845</v>
      </c>
    </row>
    <row r="665" spans="1:24" x14ac:dyDescent="0.3">
      <c r="A665" s="160">
        <v>5044</v>
      </c>
      <c r="B665" t="s">
        <v>15846</v>
      </c>
      <c r="C665" t="s">
        <v>15810</v>
      </c>
      <c r="D665">
        <v>0.8</v>
      </c>
      <c r="E665">
        <v>0</v>
      </c>
      <c r="F665">
        <f t="shared" si="10"/>
        <v>0.8</v>
      </c>
      <c r="I665">
        <v>20230701</v>
      </c>
      <c r="J665" t="s">
        <v>15837</v>
      </c>
    </row>
    <row r="666" spans="1:24" x14ac:dyDescent="0.3">
      <c r="A666" s="160">
        <v>5045</v>
      </c>
      <c r="B666" t="s">
        <v>15847</v>
      </c>
      <c r="C666" t="s">
        <v>15810</v>
      </c>
      <c r="D666">
        <v>0.8</v>
      </c>
      <c r="E666">
        <v>0</v>
      </c>
      <c r="F666">
        <f t="shared" si="10"/>
        <v>0.8</v>
      </c>
      <c r="I666">
        <v>20230701</v>
      </c>
      <c r="J666" t="s">
        <v>15837</v>
      </c>
    </row>
    <row r="667" spans="1:24" x14ac:dyDescent="0.3">
      <c r="A667" s="160">
        <v>5046</v>
      </c>
      <c r="B667" t="s">
        <v>15848</v>
      </c>
      <c r="C667" t="s">
        <v>15810</v>
      </c>
      <c r="D667">
        <v>0.8</v>
      </c>
      <c r="E667">
        <v>0</v>
      </c>
      <c r="F667">
        <f t="shared" si="10"/>
        <v>0.8</v>
      </c>
      <c r="I667">
        <v>20230701</v>
      </c>
      <c r="J667" t="s">
        <v>15837</v>
      </c>
      <c r="K667" t="s">
        <v>15849</v>
      </c>
      <c r="L667" t="s">
        <v>15850</v>
      </c>
      <c r="M667" t="s">
        <v>15851</v>
      </c>
    </row>
    <row r="668" spans="1:24" x14ac:dyDescent="0.3">
      <c r="A668" s="160">
        <v>5049</v>
      </c>
      <c r="B668" t="s">
        <v>15852</v>
      </c>
      <c r="C668" t="s">
        <v>433</v>
      </c>
      <c r="D668">
        <v>0.55000000000000004</v>
      </c>
      <c r="E668">
        <v>0</v>
      </c>
      <c r="F668">
        <f t="shared" si="10"/>
        <v>0.55000000000000004</v>
      </c>
      <c r="I668">
        <v>20240101</v>
      </c>
      <c r="J668" t="s">
        <v>434</v>
      </c>
    </row>
    <row r="669" spans="1:24" x14ac:dyDescent="0.3">
      <c r="A669" s="160">
        <v>5057</v>
      </c>
      <c r="B669" t="s">
        <v>15853</v>
      </c>
      <c r="C669" t="s">
        <v>433</v>
      </c>
      <c r="D669">
        <v>0.55000000000000004</v>
      </c>
      <c r="E669">
        <v>0</v>
      </c>
      <c r="F669">
        <f t="shared" si="10"/>
        <v>0.55000000000000004</v>
      </c>
      <c r="I669">
        <v>20240101</v>
      </c>
      <c r="J669" t="s">
        <v>481</v>
      </c>
    </row>
    <row r="670" spans="1:24" x14ac:dyDescent="0.3">
      <c r="A670" s="160">
        <v>5059</v>
      </c>
      <c r="B670" t="s">
        <v>15854</v>
      </c>
      <c r="C670" t="s">
        <v>433</v>
      </c>
      <c r="D670">
        <v>0.55000000000000004</v>
      </c>
      <c r="E670">
        <v>0</v>
      </c>
      <c r="F670">
        <f t="shared" si="10"/>
        <v>0.55000000000000004</v>
      </c>
      <c r="I670">
        <v>20240101</v>
      </c>
      <c r="J670" t="s">
        <v>479</v>
      </c>
    </row>
    <row r="671" spans="1:24" x14ac:dyDescent="0.3">
      <c r="A671" s="160">
        <v>5061</v>
      </c>
      <c r="B671" t="s">
        <v>15855</v>
      </c>
      <c r="C671" t="s">
        <v>433</v>
      </c>
      <c r="D671">
        <v>0.55000000000000004</v>
      </c>
      <c r="E671">
        <v>0</v>
      </c>
      <c r="F671">
        <f t="shared" si="10"/>
        <v>0.55000000000000004</v>
      </c>
      <c r="I671">
        <v>20090101</v>
      </c>
      <c r="J671" t="s">
        <v>479</v>
      </c>
      <c r="K671" t="s">
        <v>482</v>
      </c>
      <c r="L671" t="s">
        <v>483</v>
      </c>
      <c r="M671" t="s">
        <v>484</v>
      </c>
      <c r="N671" t="s">
        <v>485</v>
      </c>
      <c r="O671" t="s">
        <v>486</v>
      </c>
      <c r="P671" t="s">
        <v>480</v>
      </c>
      <c r="Q671" t="s">
        <v>487</v>
      </c>
      <c r="R671" t="s">
        <v>488</v>
      </c>
      <c r="S671" t="s">
        <v>489</v>
      </c>
      <c r="T671" t="s">
        <v>490</v>
      </c>
      <c r="U671" t="s">
        <v>491</v>
      </c>
      <c r="V671" t="s">
        <v>492</v>
      </c>
      <c r="W671" t="s">
        <v>493</v>
      </c>
      <c r="X671" t="s">
        <v>494</v>
      </c>
    </row>
    <row r="672" spans="1:24" x14ac:dyDescent="0.3">
      <c r="A672" s="160">
        <v>5063</v>
      </c>
      <c r="B672" t="s">
        <v>15856</v>
      </c>
      <c r="C672" t="s">
        <v>472</v>
      </c>
      <c r="D672">
        <v>0.8</v>
      </c>
      <c r="E672">
        <v>0</v>
      </c>
      <c r="F672">
        <f t="shared" si="10"/>
        <v>0.8</v>
      </c>
      <c r="I672">
        <v>20240101</v>
      </c>
      <c r="J672" t="s">
        <v>495</v>
      </c>
    </row>
    <row r="673" spans="1:11" x14ac:dyDescent="0.3">
      <c r="A673" s="160">
        <v>5068</v>
      </c>
      <c r="B673" t="s">
        <v>15857</v>
      </c>
      <c r="C673" t="s">
        <v>433</v>
      </c>
      <c r="D673">
        <v>0.55000000000000004</v>
      </c>
      <c r="E673">
        <v>0</v>
      </c>
      <c r="F673">
        <f t="shared" si="10"/>
        <v>0.55000000000000004</v>
      </c>
      <c r="I673">
        <v>20240101</v>
      </c>
      <c r="J673" t="s">
        <v>481</v>
      </c>
    </row>
    <row r="674" spans="1:11" x14ac:dyDescent="0.3">
      <c r="A674" s="160">
        <v>5071</v>
      </c>
      <c r="B674" t="s">
        <v>15858</v>
      </c>
      <c r="C674" t="s">
        <v>433</v>
      </c>
      <c r="D674">
        <v>0.55000000000000004</v>
      </c>
      <c r="E674">
        <v>0</v>
      </c>
      <c r="F674">
        <f t="shared" si="10"/>
        <v>0.55000000000000004</v>
      </c>
      <c r="I674">
        <v>20240101</v>
      </c>
      <c r="J674" t="s">
        <v>434</v>
      </c>
    </row>
    <row r="675" spans="1:11" x14ac:dyDescent="0.3">
      <c r="A675" s="160">
        <v>5074</v>
      </c>
      <c r="B675" t="s">
        <v>15859</v>
      </c>
      <c r="C675" t="s">
        <v>433</v>
      </c>
      <c r="D675">
        <v>0.55000000000000004</v>
      </c>
      <c r="E675">
        <v>0</v>
      </c>
      <c r="F675">
        <f t="shared" si="10"/>
        <v>0.55000000000000004</v>
      </c>
      <c r="I675">
        <v>20240101</v>
      </c>
      <c r="J675" t="s">
        <v>481</v>
      </c>
    </row>
    <row r="676" spans="1:11" x14ac:dyDescent="0.3">
      <c r="A676" s="160">
        <v>5079</v>
      </c>
      <c r="B676" t="s">
        <v>15860</v>
      </c>
      <c r="C676" t="s">
        <v>472</v>
      </c>
      <c r="D676">
        <v>0.8</v>
      </c>
      <c r="E676">
        <v>0</v>
      </c>
      <c r="F676">
        <f t="shared" si="10"/>
        <v>0.8</v>
      </c>
      <c r="I676">
        <v>20240101</v>
      </c>
      <c r="J676" t="s">
        <v>496</v>
      </c>
    </row>
    <row r="677" spans="1:11" x14ac:dyDescent="0.3">
      <c r="A677" s="160">
        <v>5085</v>
      </c>
      <c r="B677" t="s">
        <v>15861</v>
      </c>
      <c r="C677" t="s">
        <v>472</v>
      </c>
      <c r="D677">
        <v>0.8</v>
      </c>
      <c r="E677">
        <v>0</v>
      </c>
      <c r="F677">
        <f t="shared" si="10"/>
        <v>0.8</v>
      </c>
      <c r="I677">
        <v>20240101</v>
      </c>
      <c r="J677" t="s">
        <v>473</v>
      </c>
    </row>
    <row r="678" spans="1:11" x14ac:dyDescent="0.3">
      <c r="A678" s="160">
        <v>5092</v>
      </c>
      <c r="B678" t="s">
        <v>15862</v>
      </c>
      <c r="C678" t="s">
        <v>433</v>
      </c>
      <c r="D678">
        <v>0.55000000000000004</v>
      </c>
      <c r="E678">
        <v>0</v>
      </c>
      <c r="F678">
        <f t="shared" si="10"/>
        <v>0.55000000000000004</v>
      </c>
      <c r="I678">
        <v>20240101</v>
      </c>
      <c r="J678" t="s">
        <v>479</v>
      </c>
    </row>
    <row r="679" spans="1:11" x14ac:dyDescent="0.3">
      <c r="A679" s="160">
        <v>5093</v>
      </c>
      <c r="B679" t="s">
        <v>15863</v>
      </c>
      <c r="C679" t="s">
        <v>472</v>
      </c>
      <c r="D679">
        <v>0.8</v>
      </c>
      <c r="E679">
        <v>0</v>
      </c>
      <c r="F679">
        <f t="shared" si="10"/>
        <v>0.8</v>
      </c>
      <c r="I679">
        <v>20240101</v>
      </c>
      <c r="J679" t="s">
        <v>473</v>
      </c>
    </row>
    <row r="680" spans="1:11" x14ac:dyDescent="0.3">
      <c r="A680" s="160">
        <v>5098</v>
      </c>
      <c r="B680" t="s">
        <v>15864</v>
      </c>
      <c r="C680" t="s">
        <v>15810</v>
      </c>
      <c r="D680">
        <v>0.8</v>
      </c>
      <c r="E680">
        <v>0</v>
      </c>
      <c r="F680">
        <f t="shared" si="10"/>
        <v>0.8</v>
      </c>
      <c r="I680">
        <v>20230701</v>
      </c>
      <c r="J680" t="s">
        <v>15837</v>
      </c>
      <c r="K680" t="s">
        <v>15849</v>
      </c>
    </row>
    <row r="681" spans="1:11" x14ac:dyDescent="0.3">
      <c r="A681" s="160">
        <v>5100</v>
      </c>
      <c r="B681" t="s">
        <v>15865</v>
      </c>
      <c r="C681" t="s">
        <v>433</v>
      </c>
      <c r="D681">
        <v>0.55000000000000004</v>
      </c>
      <c r="E681">
        <v>0</v>
      </c>
      <c r="F681">
        <f t="shared" si="10"/>
        <v>0.55000000000000004</v>
      </c>
      <c r="I681">
        <v>20240101</v>
      </c>
      <c r="J681" t="s">
        <v>479</v>
      </c>
    </row>
    <row r="682" spans="1:11" x14ac:dyDescent="0.3">
      <c r="A682" s="160">
        <v>5106</v>
      </c>
      <c r="B682" t="s">
        <v>15866</v>
      </c>
      <c r="C682" t="s">
        <v>15810</v>
      </c>
      <c r="D682">
        <v>0.8</v>
      </c>
      <c r="E682">
        <v>0</v>
      </c>
      <c r="F682">
        <f t="shared" si="10"/>
        <v>0.8</v>
      </c>
      <c r="I682">
        <v>20240101</v>
      </c>
      <c r="J682" t="s">
        <v>15845</v>
      </c>
    </row>
    <row r="683" spans="1:11" x14ac:dyDescent="0.3">
      <c r="A683" s="160">
        <v>5107</v>
      </c>
      <c r="B683" t="s">
        <v>15867</v>
      </c>
      <c r="C683" t="s">
        <v>472</v>
      </c>
      <c r="D683">
        <v>0.8</v>
      </c>
      <c r="E683">
        <v>0</v>
      </c>
      <c r="F683">
        <f t="shared" si="10"/>
        <v>0.8</v>
      </c>
      <c r="I683">
        <v>20240101</v>
      </c>
      <c r="J683" t="s">
        <v>473</v>
      </c>
      <c r="K683" t="s">
        <v>477</v>
      </c>
    </row>
    <row r="684" spans="1:11" x14ac:dyDescent="0.3">
      <c r="A684" s="160">
        <v>5108</v>
      </c>
      <c r="B684" t="s">
        <v>15868</v>
      </c>
      <c r="C684" t="s">
        <v>15810</v>
      </c>
      <c r="D684">
        <v>0.8</v>
      </c>
      <c r="E684">
        <v>0</v>
      </c>
      <c r="F684">
        <f t="shared" si="10"/>
        <v>0.8</v>
      </c>
      <c r="I684">
        <v>20240101</v>
      </c>
      <c r="J684" t="s">
        <v>15837</v>
      </c>
    </row>
    <row r="685" spans="1:11" x14ac:dyDescent="0.3">
      <c r="A685" s="160">
        <v>5109</v>
      </c>
      <c r="B685" t="s">
        <v>15869</v>
      </c>
      <c r="C685" t="s">
        <v>472</v>
      </c>
      <c r="D685">
        <v>0.8</v>
      </c>
      <c r="E685">
        <v>0</v>
      </c>
      <c r="F685">
        <f t="shared" si="10"/>
        <v>0.8</v>
      </c>
      <c r="I685">
        <v>20230701</v>
      </c>
      <c r="J685" t="s">
        <v>473</v>
      </c>
    </row>
    <row r="686" spans="1:11" x14ac:dyDescent="0.3">
      <c r="A686" s="160">
        <v>5111</v>
      </c>
      <c r="B686" t="s">
        <v>15870</v>
      </c>
      <c r="C686" t="s">
        <v>15810</v>
      </c>
      <c r="D686">
        <v>0.8</v>
      </c>
      <c r="E686">
        <v>0</v>
      </c>
      <c r="F686">
        <f t="shared" si="10"/>
        <v>0.8</v>
      </c>
      <c r="I686">
        <v>20240101</v>
      </c>
      <c r="J686" t="s">
        <v>15837</v>
      </c>
    </row>
    <row r="687" spans="1:11" x14ac:dyDescent="0.3">
      <c r="A687" s="160">
        <v>5114</v>
      </c>
      <c r="B687" t="s">
        <v>15871</v>
      </c>
      <c r="C687" t="s">
        <v>15810</v>
      </c>
      <c r="D687">
        <v>0.8</v>
      </c>
      <c r="E687">
        <v>0</v>
      </c>
      <c r="F687">
        <f t="shared" si="10"/>
        <v>0.8</v>
      </c>
      <c r="I687">
        <v>20240101</v>
      </c>
      <c r="J687" t="s">
        <v>15811</v>
      </c>
    </row>
    <row r="688" spans="1:11" x14ac:dyDescent="0.3">
      <c r="A688" s="160">
        <v>5128</v>
      </c>
      <c r="B688" t="s">
        <v>15872</v>
      </c>
      <c r="C688" t="s">
        <v>15810</v>
      </c>
      <c r="D688">
        <v>0.8</v>
      </c>
      <c r="E688">
        <v>0</v>
      </c>
      <c r="F688">
        <f t="shared" si="10"/>
        <v>0.8</v>
      </c>
      <c r="I688">
        <v>20230701</v>
      </c>
      <c r="J688" t="s">
        <v>15837</v>
      </c>
    </row>
    <row r="689" spans="1:12" x14ac:dyDescent="0.3">
      <c r="A689" s="160">
        <v>5130</v>
      </c>
      <c r="B689" t="s">
        <v>15873</v>
      </c>
      <c r="C689" t="s">
        <v>15810</v>
      </c>
      <c r="D689">
        <v>0.8</v>
      </c>
      <c r="E689">
        <v>0</v>
      </c>
      <c r="F689">
        <f t="shared" si="10"/>
        <v>0.8</v>
      </c>
      <c r="I689">
        <v>20240101</v>
      </c>
      <c r="J689" t="s">
        <v>15811</v>
      </c>
      <c r="K689" t="s">
        <v>15850</v>
      </c>
    </row>
    <row r="690" spans="1:12" x14ac:dyDescent="0.3">
      <c r="A690" s="160">
        <v>5133</v>
      </c>
      <c r="B690" t="s">
        <v>15874</v>
      </c>
      <c r="C690" t="s">
        <v>472</v>
      </c>
      <c r="D690">
        <v>0.8</v>
      </c>
      <c r="E690">
        <v>0</v>
      </c>
      <c r="F690">
        <f t="shared" si="10"/>
        <v>0.8</v>
      </c>
      <c r="I690">
        <v>20240101</v>
      </c>
      <c r="J690" t="s">
        <v>477</v>
      </c>
      <c r="K690" t="s">
        <v>497</v>
      </c>
    </row>
    <row r="691" spans="1:12" x14ac:dyDescent="0.3">
      <c r="A691" s="160">
        <v>5156</v>
      </c>
      <c r="B691" t="s">
        <v>15875</v>
      </c>
      <c r="C691" t="s">
        <v>15810</v>
      </c>
      <c r="D691">
        <v>0.8</v>
      </c>
      <c r="E691">
        <v>0</v>
      </c>
      <c r="F691">
        <f t="shared" si="10"/>
        <v>0.8</v>
      </c>
      <c r="I691">
        <v>20230701</v>
      </c>
      <c r="J691" t="s">
        <v>15837</v>
      </c>
    </row>
    <row r="692" spans="1:12" x14ac:dyDescent="0.3">
      <c r="A692" s="160">
        <v>5161</v>
      </c>
      <c r="B692" t="s">
        <v>15876</v>
      </c>
      <c r="C692" t="s">
        <v>472</v>
      </c>
      <c r="D692">
        <v>0.8</v>
      </c>
      <c r="E692">
        <v>0</v>
      </c>
      <c r="F692">
        <f t="shared" si="10"/>
        <v>0.8</v>
      </c>
      <c r="I692">
        <v>20240101</v>
      </c>
      <c r="J692" t="s">
        <v>477</v>
      </c>
      <c r="K692" t="s">
        <v>498</v>
      </c>
    </row>
    <row r="693" spans="1:12" x14ac:dyDescent="0.3">
      <c r="A693" s="160">
        <v>5162</v>
      </c>
      <c r="B693" t="s">
        <v>15877</v>
      </c>
      <c r="C693" t="s">
        <v>433</v>
      </c>
      <c r="D693">
        <v>0.55000000000000004</v>
      </c>
      <c r="E693">
        <v>0</v>
      </c>
      <c r="F693">
        <f t="shared" si="10"/>
        <v>0.55000000000000004</v>
      </c>
      <c r="I693">
        <v>20240101</v>
      </c>
      <c r="J693" t="s">
        <v>434</v>
      </c>
    </row>
    <row r="694" spans="1:12" x14ac:dyDescent="0.3">
      <c r="A694" s="160">
        <v>5163</v>
      </c>
      <c r="B694" t="s">
        <v>15878</v>
      </c>
      <c r="C694" t="s">
        <v>15810</v>
      </c>
      <c r="D694">
        <v>0.8</v>
      </c>
      <c r="E694">
        <v>0</v>
      </c>
      <c r="F694">
        <f t="shared" si="10"/>
        <v>0.8</v>
      </c>
      <c r="I694">
        <v>20240101</v>
      </c>
      <c r="J694" t="s">
        <v>15811</v>
      </c>
    </row>
    <row r="695" spans="1:12" x14ac:dyDescent="0.3">
      <c r="A695" s="160">
        <v>5164</v>
      </c>
      <c r="B695" t="s">
        <v>15879</v>
      </c>
      <c r="C695" t="s">
        <v>15810</v>
      </c>
      <c r="D695">
        <v>0.8</v>
      </c>
      <c r="E695">
        <v>0</v>
      </c>
      <c r="F695">
        <f t="shared" si="10"/>
        <v>0.8</v>
      </c>
      <c r="I695">
        <v>20240101</v>
      </c>
      <c r="J695" t="s">
        <v>15811</v>
      </c>
    </row>
    <row r="696" spans="1:12" x14ac:dyDescent="0.3">
      <c r="A696" s="160">
        <v>5168</v>
      </c>
      <c r="B696" t="s">
        <v>15880</v>
      </c>
      <c r="C696" t="s">
        <v>433</v>
      </c>
      <c r="D696">
        <v>0.55000000000000004</v>
      </c>
      <c r="E696">
        <v>0</v>
      </c>
      <c r="F696">
        <f t="shared" si="10"/>
        <v>0.55000000000000004</v>
      </c>
      <c r="I696">
        <v>20240101</v>
      </c>
      <c r="J696" t="s">
        <v>481</v>
      </c>
    </row>
    <row r="697" spans="1:12" x14ac:dyDescent="0.3">
      <c r="A697" s="160">
        <v>5170</v>
      </c>
      <c r="B697" t="s">
        <v>15881</v>
      </c>
      <c r="C697" t="s">
        <v>433</v>
      </c>
      <c r="D697">
        <v>0.55000000000000004</v>
      </c>
      <c r="E697">
        <v>0</v>
      </c>
      <c r="F697">
        <f t="shared" si="10"/>
        <v>0.55000000000000004</v>
      </c>
      <c r="I697">
        <v>20240101</v>
      </c>
      <c r="J697" t="s">
        <v>481</v>
      </c>
    </row>
    <row r="698" spans="1:12" x14ac:dyDescent="0.3">
      <c r="A698" s="160">
        <v>5174</v>
      </c>
      <c r="B698" t="s">
        <v>15882</v>
      </c>
      <c r="C698" t="s">
        <v>472</v>
      </c>
      <c r="D698">
        <v>0.8</v>
      </c>
      <c r="E698">
        <v>0</v>
      </c>
      <c r="F698">
        <f t="shared" si="10"/>
        <v>0.8</v>
      </c>
      <c r="I698">
        <v>20240101</v>
      </c>
      <c r="J698" t="s">
        <v>473</v>
      </c>
    </row>
    <row r="699" spans="1:12" x14ac:dyDescent="0.3">
      <c r="A699" s="160">
        <v>5181</v>
      </c>
      <c r="B699" t="s">
        <v>15883</v>
      </c>
      <c r="C699" t="s">
        <v>472</v>
      </c>
      <c r="D699">
        <v>0.8</v>
      </c>
      <c r="E699">
        <v>0</v>
      </c>
      <c r="F699">
        <f t="shared" si="10"/>
        <v>0.8</v>
      </c>
      <c r="I699">
        <v>20240101</v>
      </c>
      <c r="J699" t="s">
        <v>499</v>
      </c>
    </row>
    <row r="700" spans="1:12" x14ac:dyDescent="0.3">
      <c r="A700" s="160">
        <v>5183</v>
      </c>
      <c r="B700" t="s">
        <v>15884</v>
      </c>
      <c r="C700" t="s">
        <v>472</v>
      </c>
      <c r="D700">
        <v>0.8</v>
      </c>
      <c r="E700">
        <v>0</v>
      </c>
      <c r="F700">
        <f t="shared" si="10"/>
        <v>0.8</v>
      </c>
      <c r="I700">
        <v>20240101</v>
      </c>
      <c r="J700" t="s">
        <v>473</v>
      </c>
      <c r="K700" t="s">
        <v>474</v>
      </c>
      <c r="L700" t="s">
        <v>477</v>
      </c>
    </row>
    <row r="701" spans="1:12" x14ac:dyDescent="0.3">
      <c r="A701" s="160">
        <v>5184</v>
      </c>
      <c r="B701" t="s">
        <v>15885</v>
      </c>
      <c r="C701" t="s">
        <v>433</v>
      </c>
      <c r="D701">
        <v>0.55000000000000004</v>
      </c>
      <c r="E701">
        <v>0</v>
      </c>
      <c r="F701">
        <f t="shared" si="10"/>
        <v>0.55000000000000004</v>
      </c>
      <c r="I701">
        <v>20240101</v>
      </c>
      <c r="J701" t="s">
        <v>434</v>
      </c>
    </row>
    <row r="702" spans="1:12" x14ac:dyDescent="0.3">
      <c r="A702" s="160">
        <v>6001</v>
      </c>
      <c r="B702" t="s">
        <v>15762</v>
      </c>
      <c r="C702" t="s">
        <v>500</v>
      </c>
      <c r="D702">
        <v>0</v>
      </c>
      <c r="E702">
        <v>0</v>
      </c>
      <c r="F702">
        <f t="shared" si="10"/>
        <v>0</v>
      </c>
      <c r="I702">
        <v>20140101</v>
      </c>
      <c r="J702" t="s">
        <v>501</v>
      </c>
    </row>
    <row r="703" spans="1:12" x14ac:dyDescent="0.3">
      <c r="A703" s="160">
        <v>6002</v>
      </c>
      <c r="B703" t="s">
        <v>15886</v>
      </c>
      <c r="C703" t="s">
        <v>502</v>
      </c>
      <c r="D703">
        <v>1.75</v>
      </c>
      <c r="E703">
        <v>0</v>
      </c>
      <c r="F703">
        <f t="shared" si="10"/>
        <v>1.75</v>
      </c>
      <c r="I703">
        <v>20240101</v>
      </c>
      <c r="J703" t="s">
        <v>501</v>
      </c>
    </row>
    <row r="704" spans="1:12" x14ac:dyDescent="0.3">
      <c r="A704" s="160">
        <v>6003</v>
      </c>
      <c r="B704" t="s">
        <v>15887</v>
      </c>
      <c r="C704" t="s">
        <v>502</v>
      </c>
      <c r="D704">
        <v>1.75</v>
      </c>
      <c r="E704">
        <v>0</v>
      </c>
      <c r="F704">
        <f t="shared" si="10"/>
        <v>1.75</v>
      </c>
      <c r="I704">
        <v>20240101</v>
      </c>
      <c r="J704" t="s">
        <v>503</v>
      </c>
    </row>
    <row r="705" spans="1:27" x14ac:dyDescent="0.3">
      <c r="A705" s="160">
        <v>6004</v>
      </c>
      <c r="B705" t="s">
        <v>15888</v>
      </c>
      <c r="C705" t="s">
        <v>504</v>
      </c>
      <c r="D705">
        <v>1.75</v>
      </c>
      <c r="E705">
        <v>0</v>
      </c>
      <c r="F705">
        <f t="shared" si="10"/>
        <v>1.75</v>
      </c>
      <c r="I705">
        <v>20240101</v>
      </c>
      <c r="J705" t="s">
        <v>505</v>
      </c>
      <c r="K705" t="s">
        <v>506</v>
      </c>
      <c r="L705" t="s">
        <v>507</v>
      </c>
      <c r="M705" t="s">
        <v>508</v>
      </c>
      <c r="N705" t="s">
        <v>509</v>
      </c>
      <c r="O705" t="s">
        <v>510</v>
      </c>
      <c r="P705" t="s">
        <v>511</v>
      </c>
      <c r="Q705" t="s">
        <v>512</v>
      </c>
      <c r="R705" t="s">
        <v>513</v>
      </c>
      <c r="S705" t="s">
        <v>514</v>
      </c>
      <c r="T705" t="s">
        <v>515</v>
      </c>
      <c r="U705" t="s">
        <v>516</v>
      </c>
      <c r="V705" t="s">
        <v>517</v>
      </c>
      <c r="W705" t="s">
        <v>518</v>
      </c>
      <c r="X705" t="s">
        <v>519</v>
      </c>
      <c r="Y705" t="s">
        <v>520</v>
      </c>
      <c r="Z705" t="s">
        <v>521</v>
      </c>
      <c r="AA705" t="s">
        <v>522</v>
      </c>
    </row>
    <row r="706" spans="1:27" x14ac:dyDescent="0.3">
      <c r="A706" s="160">
        <v>6006</v>
      </c>
      <c r="B706" t="s">
        <v>15889</v>
      </c>
      <c r="C706" t="s">
        <v>523</v>
      </c>
      <c r="D706">
        <v>2</v>
      </c>
      <c r="E706">
        <v>0</v>
      </c>
      <c r="F706">
        <f t="shared" si="10"/>
        <v>2</v>
      </c>
      <c r="I706">
        <v>20120101</v>
      </c>
      <c r="J706" t="s">
        <v>524</v>
      </c>
    </row>
    <row r="707" spans="1:27" x14ac:dyDescent="0.3">
      <c r="A707" s="160">
        <v>6007</v>
      </c>
      <c r="B707" t="s">
        <v>15890</v>
      </c>
      <c r="C707" t="s">
        <v>502</v>
      </c>
      <c r="D707">
        <v>1.75</v>
      </c>
      <c r="E707">
        <v>0</v>
      </c>
      <c r="F707">
        <f t="shared" si="10"/>
        <v>1.75</v>
      </c>
      <c r="I707">
        <v>20140101</v>
      </c>
      <c r="J707" t="s">
        <v>525</v>
      </c>
    </row>
    <row r="708" spans="1:27" x14ac:dyDescent="0.3">
      <c r="A708" s="160">
        <v>6009</v>
      </c>
      <c r="B708" t="s">
        <v>15891</v>
      </c>
      <c r="C708" t="s">
        <v>523</v>
      </c>
      <c r="D708">
        <v>2</v>
      </c>
      <c r="E708">
        <v>0</v>
      </c>
      <c r="F708">
        <f t="shared" si="10"/>
        <v>2</v>
      </c>
      <c r="I708">
        <v>20210701</v>
      </c>
      <c r="J708" t="s">
        <v>526</v>
      </c>
    </row>
    <row r="709" spans="1:27" x14ac:dyDescent="0.3">
      <c r="A709" s="160">
        <v>6010</v>
      </c>
      <c r="B709" t="s">
        <v>15892</v>
      </c>
      <c r="C709" t="s">
        <v>504</v>
      </c>
      <c r="D709">
        <v>1.75</v>
      </c>
      <c r="E709">
        <v>0</v>
      </c>
      <c r="F709">
        <f t="shared" si="10"/>
        <v>1.75</v>
      </c>
      <c r="I709">
        <v>20240101</v>
      </c>
      <c r="J709" t="s">
        <v>527</v>
      </c>
    </row>
    <row r="710" spans="1:27" x14ac:dyDescent="0.3">
      <c r="A710" s="160">
        <v>6011</v>
      </c>
      <c r="B710" t="s">
        <v>15893</v>
      </c>
      <c r="C710" t="s">
        <v>523</v>
      </c>
      <c r="D710">
        <v>2</v>
      </c>
      <c r="E710">
        <v>0</v>
      </c>
      <c r="F710">
        <f t="shared" si="10"/>
        <v>2</v>
      </c>
      <c r="I710">
        <v>20120101</v>
      </c>
      <c r="J710" t="s">
        <v>528</v>
      </c>
      <c r="K710" t="s">
        <v>529</v>
      </c>
    </row>
    <row r="711" spans="1:27" x14ac:dyDescent="0.3">
      <c r="A711" s="160">
        <v>6012</v>
      </c>
      <c r="B711" t="s">
        <v>15894</v>
      </c>
      <c r="C711" t="s">
        <v>530</v>
      </c>
      <c r="D711">
        <v>0.4</v>
      </c>
      <c r="E711">
        <v>0</v>
      </c>
      <c r="F711">
        <f t="shared" ref="F711:F774" si="11">D711+E711</f>
        <v>0.4</v>
      </c>
      <c r="I711">
        <v>20160701</v>
      </c>
      <c r="J711" t="s">
        <v>531</v>
      </c>
      <c r="K711" t="s">
        <v>532</v>
      </c>
    </row>
    <row r="712" spans="1:27" x14ac:dyDescent="0.3">
      <c r="A712" s="160">
        <v>6013</v>
      </c>
      <c r="B712" t="s">
        <v>15895</v>
      </c>
      <c r="C712" t="s">
        <v>523</v>
      </c>
      <c r="D712">
        <v>2</v>
      </c>
      <c r="E712">
        <v>0</v>
      </c>
      <c r="F712">
        <f t="shared" si="11"/>
        <v>2</v>
      </c>
      <c r="I712">
        <v>20240101</v>
      </c>
      <c r="J712" t="s">
        <v>533</v>
      </c>
    </row>
    <row r="713" spans="1:27" x14ac:dyDescent="0.3">
      <c r="A713" s="160">
        <v>6017</v>
      </c>
      <c r="B713" t="s">
        <v>15896</v>
      </c>
      <c r="C713" t="s">
        <v>504</v>
      </c>
      <c r="D713">
        <v>1.75</v>
      </c>
      <c r="E713">
        <v>0</v>
      </c>
      <c r="F713">
        <f t="shared" si="11"/>
        <v>1.75</v>
      </c>
      <c r="I713">
        <v>20240101</v>
      </c>
      <c r="J713" t="s">
        <v>534</v>
      </c>
    </row>
    <row r="714" spans="1:27" x14ac:dyDescent="0.3">
      <c r="A714" s="160">
        <v>6018</v>
      </c>
      <c r="B714" t="s">
        <v>15897</v>
      </c>
      <c r="C714" t="s">
        <v>504</v>
      </c>
      <c r="D714">
        <v>1.75</v>
      </c>
      <c r="E714">
        <v>0</v>
      </c>
      <c r="F714">
        <f t="shared" si="11"/>
        <v>1.75</v>
      </c>
      <c r="I714">
        <v>20240101</v>
      </c>
      <c r="J714" t="s">
        <v>535</v>
      </c>
      <c r="K714" t="s">
        <v>520</v>
      </c>
      <c r="L714" t="s">
        <v>536</v>
      </c>
      <c r="M714" t="s">
        <v>537</v>
      </c>
      <c r="N714" t="s">
        <v>521</v>
      </c>
      <c r="O714" t="s">
        <v>538</v>
      </c>
      <c r="P714" t="s">
        <v>522</v>
      </c>
    </row>
    <row r="715" spans="1:27" x14ac:dyDescent="0.3">
      <c r="A715" s="160">
        <v>6020</v>
      </c>
      <c r="B715" t="s">
        <v>15898</v>
      </c>
      <c r="C715" t="s">
        <v>523</v>
      </c>
      <c r="D715">
        <v>2</v>
      </c>
      <c r="E715">
        <v>0</v>
      </c>
      <c r="F715">
        <f t="shared" si="11"/>
        <v>2</v>
      </c>
      <c r="I715">
        <v>20240101</v>
      </c>
      <c r="J715" t="s">
        <v>533</v>
      </c>
    </row>
    <row r="716" spans="1:27" x14ac:dyDescent="0.3">
      <c r="A716" s="160">
        <v>6021</v>
      </c>
      <c r="B716" t="s">
        <v>15899</v>
      </c>
      <c r="C716" t="s">
        <v>523</v>
      </c>
      <c r="D716">
        <v>2</v>
      </c>
      <c r="E716">
        <v>0</v>
      </c>
      <c r="F716">
        <f t="shared" si="11"/>
        <v>2</v>
      </c>
      <c r="I716">
        <v>20210701</v>
      </c>
      <c r="J716" t="s">
        <v>539</v>
      </c>
    </row>
    <row r="717" spans="1:27" x14ac:dyDescent="0.3">
      <c r="A717" s="160">
        <v>6022</v>
      </c>
      <c r="B717" t="s">
        <v>15900</v>
      </c>
      <c r="C717" t="s">
        <v>504</v>
      </c>
      <c r="D717">
        <v>1.75</v>
      </c>
      <c r="E717">
        <v>0</v>
      </c>
      <c r="F717">
        <f t="shared" si="11"/>
        <v>1.75</v>
      </c>
      <c r="I717">
        <v>20240101</v>
      </c>
      <c r="J717" t="s">
        <v>534</v>
      </c>
    </row>
    <row r="718" spans="1:27" x14ac:dyDescent="0.3">
      <c r="A718" s="160">
        <v>6023</v>
      </c>
      <c r="B718" t="s">
        <v>15901</v>
      </c>
      <c r="C718" t="s">
        <v>530</v>
      </c>
      <c r="D718">
        <v>0.4</v>
      </c>
      <c r="E718">
        <v>0</v>
      </c>
      <c r="F718">
        <f t="shared" si="11"/>
        <v>0.4</v>
      </c>
      <c r="I718">
        <v>20160701</v>
      </c>
      <c r="J718" t="s">
        <v>540</v>
      </c>
    </row>
    <row r="719" spans="1:27" x14ac:dyDescent="0.3">
      <c r="A719" s="160">
        <v>6024</v>
      </c>
      <c r="B719" t="s">
        <v>15902</v>
      </c>
      <c r="C719" t="s">
        <v>502</v>
      </c>
      <c r="D719">
        <v>1.75</v>
      </c>
      <c r="E719">
        <v>0</v>
      </c>
      <c r="F719">
        <f t="shared" si="11"/>
        <v>1.75</v>
      </c>
      <c r="I719">
        <v>20240101</v>
      </c>
      <c r="J719" t="s">
        <v>541</v>
      </c>
    </row>
    <row r="720" spans="1:27" x14ac:dyDescent="0.3">
      <c r="A720" s="160">
        <v>6025</v>
      </c>
      <c r="B720" t="s">
        <v>15903</v>
      </c>
      <c r="C720" t="s">
        <v>523</v>
      </c>
      <c r="D720">
        <v>2</v>
      </c>
      <c r="E720">
        <v>0</v>
      </c>
      <c r="F720">
        <f t="shared" si="11"/>
        <v>2</v>
      </c>
      <c r="I720">
        <v>20210701</v>
      </c>
      <c r="J720" t="s">
        <v>534</v>
      </c>
      <c r="K720" t="s">
        <v>542</v>
      </c>
      <c r="L720" t="s">
        <v>543</v>
      </c>
      <c r="M720" t="s">
        <v>544</v>
      </c>
      <c r="N720" t="s">
        <v>545</v>
      </c>
      <c r="O720" t="s">
        <v>546</v>
      </c>
      <c r="P720" t="s">
        <v>547</v>
      </c>
    </row>
    <row r="721" spans="1:24" x14ac:dyDescent="0.3">
      <c r="A721" s="160">
        <v>6026</v>
      </c>
      <c r="B721" t="s">
        <v>15904</v>
      </c>
      <c r="C721" t="s">
        <v>502</v>
      </c>
      <c r="D721">
        <v>1.75</v>
      </c>
      <c r="E721">
        <v>0</v>
      </c>
      <c r="F721">
        <f t="shared" si="11"/>
        <v>1.75</v>
      </c>
      <c r="I721">
        <v>20140101</v>
      </c>
      <c r="J721" t="s">
        <v>548</v>
      </c>
      <c r="K721" t="s">
        <v>549</v>
      </c>
    </row>
    <row r="722" spans="1:24" x14ac:dyDescent="0.3">
      <c r="A722" s="160">
        <v>6027</v>
      </c>
      <c r="B722" t="s">
        <v>15905</v>
      </c>
      <c r="C722" t="s">
        <v>523</v>
      </c>
      <c r="D722">
        <v>2</v>
      </c>
      <c r="E722">
        <v>0</v>
      </c>
      <c r="F722">
        <f t="shared" si="11"/>
        <v>2</v>
      </c>
      <c r="I722">
        <v>20120101</v>
      </c>
      <c r="J722" t="s">
        <v>550</v>
      </c>
      <c r="K722" t="s">
        <v>551</v>
      </c>
      <c r="L722" t="s">
        <v>552</v>
      </c>
      <c r="M722" t="s">
        <v>553</v>
      </c>
      <c r="N722" t="s">
        <v>554</v>
      </c>
      <c r="O722" t="s">
        <v>555</v>
      </c>
      <c r="P722" t="s">
        <v>556</v>
      </c>
      <c r="Q722" t="s">
        <v>557</v>
      </c>
      <c r="R722" t="s">
        <v>558</v>
      </c>
    </row>
    <row r="723" spans="1:24" x14ac:dyDescent="0.3">
      <c r="A723" s="160">
        <v>6028</v>
      </c>
      <c r="B723" t="s">
        <v>15906</v>
      </c>
      <c r="C723" t="s">
        <v>502</v>
      </c>
      <c r="D723">
        <v>1.75</v>
      </c>
      <c r="E723">
        <v>0</v>
      </c>
      <c r="F723">
        <f t="shared" si="11"/>
        <v>1.75</v>
      </c>
      <c r="I723">
        <v>20240101</v>
      </c>
      <c r="J723" t="s">
        <v>503</v>
      </c>
    </row>
    <row r="724" spans="1:24" x14ac:dyDescent="0.3">
      <c r="A724" s="160">
        <v>6029</v>
      </c>
      <c r="B724" t="s">
        <v>15907</v>
      </c>
      <c r="C724" t="s">
        <v>559</v>
      </c>
      <c r="D724">
        <v>1.75</v>
      </c>
      <c r="E724">
        <v>0</v>
      </c>
      <c r="F724">
        <f t="shared" si="11"/>
        <v>1.75</v>
      </c>
      <c r="I724">
        <v>20100501</v>
      </c>
      <c r="J724" t="s">
        <v>560</v>
      </c>
      <c r="K724" t="s">
        <v>561</v>
      </c>
      <c r="L724" t="s">
        <v>562</v>
      </c>
      <c r="M724" t="s">
        <v>563</v>
      </c>
      <c r="N724" t="s">
        <v>564</v>
      </c>
      <c r="O724" t="s">
        <v>565</v>
      </c>
      <c r="P724" t="s">
        <v>566</v>
      </c>
      <c r="Q724" t="s">
        <v>567</v>
      </c>
      <c r="R724" t="s">
        <v>568</v>
      </c>
      <c r="S724" t="s">
        <v>569</v>
      </c>
      <c r="T724" t="s">
        <v>570</v>
      </c>
      <c r="U724" t="s">
        <v>571</v>
      </c>
      <c r="V724" t="s">
        <v>572</v>
      </c>
      <c r="W724" t="s">
        <v>573</v>
      </c>
      <c r="X724" t="s">
        <v>574</v>
      </c>
    </row>
    <row r="725" spans="1:24" x14ac:dyDescent="0.3">
      <c r="A725" s="160">
        <v>6030</v>
      </c>
      <c r="B725" t="s">
        <v>15908</v>
      </c>
      <c r="C725" t="s">
        <v>559</v>
      </c>
      <c r="D725">
        <v>1.75</v>
      </c>
      <c r="E725">
        <v>0</v>
      </c>
      <c r="F725">
        <f t="shared" si="11"/>
        <v>1.75</v>
      </c>
      <c r="I725">
        <v>20100501</v>
      </c>
      <c r="J725" t="s">
        <v>575</v>
      </c>
      <c r="K725" t="s">
        <v>576</v>
      </c>
      <c r="L725" t="s">
        <v>577</v>
      </c>
      <c r="M725" t="s">
        <v>578</v>
      </c>
      <c r="N725" t="s">
        <v>579</v>
      </c>
      <c r="O725" t="s">
        <v>580</v>
      </c>
      <c r="P725" t="s">
        <v>581</v>
      </c>
      <c r="Q725" t="s">
        <v>582</v>
      </c>
      <c r="R725" t="s">
        <v>583</v>
      </c>
    </row>
    <row r="726" spans="1:24" x14ac:dyDescent="0.3">
      <c r="A726" s="160">
        <v>6032</v>
      </c>
      <c r="B726" t="s">
        <v>15909</v>
      </c>
      <c r="C726" t="s">
        <v>523</v>
      </c>
      <c r="D726">
        <v>2</v>
      </c>
      <c r="E726">
        <v>0</v>
      </c>
      <c r="F726">
        <f t="shared" si="11"/>
        <v>2</v>
      </c>
      <c r="I726">
        <v>20120101</v>
      </c>
      <c r="J726" t="s">
        <v>584</v>
      </c>
    </row>
    <row r="727" spans="1:24" x14ac:dyDescent="0.3">
      <c r="A727" s="160">
        <v>6033</v>
      </c>
      <c r="B727" t="s">
        <v>15910</v>
      </c>
      <c r="C727" t="s">
        <v>523</v>
      </c>
      <c r="D727">
        <v>2</v>
      </c>
      <c r="E727">
        <v>0</v>
      </c>
      <c r="F727">
        <f t="shared" si="11"/>
        <v>2</v>
      </c>
      <c r="I727">
        <v>20210701</v>
      </c>
      <c r="J727" t="s">
        <v>534</v>
      </c>
      <c r="K727" t="s">
        <v>542</v>
      </c>
      <c r="L727" t="s">
        <v>543</v>
      </c>
      <c r="M727" t="s">
        <v>544</v>
      </c>
      <c r="N727" t="s">
        <v>545</v>
      </c>
      <c r="O727" t="s">
        <v>546</v>
      </c>
      <c r="P727" t="s">
        <v>547</v>
      </c>
      <c r="Q727" t="s">
        <v>585</v>
      </c>
    </row>
    <row r="728" spans="1:24" x14ac:dyDescent="0.3">
      <c r="A728" s="160">
        <v>6034</v>
      </c>
      <c r="B728" t="s">
        <v>15911</v>
      </c>
      <c r="C728" t="s">
        <v>523</v>
      </c>
      <c r="D728">
        <v>2</v>
      </c>
      <c r="E728">
        <v>0</v>
      </c>
      <c r="F728">
        <f t="shared" si="11"/>
        <v>2</v>
      </c>
      <c r="I728">
        <v>20120101</v>
      </c>
      <c r="J728" t="s">
        <v>586</v>
      </c>
    </row>
    <row r="729" spans="1:24" x14ac:dyDescent="0.3">
      <c r="A729" s="160">
        <v>6035</v>
      </c>
      <c r="B729" t="s">
        <v>15912</v>
      </c>
      <c r="C729" t="s">
        <v>530</v>
      </c>
      <c r="D729">
        <v>0.4</v>
      </c>
      <c r="E729">
        <v>0</v>
      </c>
      <c r="F729">
        <f t="shared" si="11"/>
        <v>0.4</v>
      </c>
      <c r="I729">
        <v>20160701</v>
      </c>
      <c r="J729" t="s">
        <v>587</v>
      </c>
      <c r="K729" t="s">
        <v>588</v>
      </c>
    </row>
    <row r="730" spans="1:24" x14ac:dyDescent="0.3">
      <c r="A730" s="160">
        <v>6036</v>
      </c>
      <c r="B730" t="s">
        <v>15913</v>
      </c>
      <c r="C730" t="s">
        <v>530</v>
      </c>
      <c r="D730">
        <v>0.4</v>
      </c>
      <c r="E730">
        <v>0</v>
      </c>
      <c r="F730">
        <f t="shared" si="11"/>
        <v>0.4</v>
      </c>
      <c r="I730">
        <v>20160701</v>
      </c>
      <c r="J730" t="s">
        <v>587</v>
      </c>
    </row>
    <row r="731" spans="1:24" x14ac:dyDescent="0.3">
      <c r="A731" s="160">
        <v>6037</v>
      </c>
      <c r="B731" t="s">
        <v>15914</v>
      </c>
      <c r="C731" t="s">
        <v>504</v>
      </c>
      <c r="D731">
        <v>1.75</v>
      </c>
      <c r="E731">
        <v>0</v>
      </c>
      <c r="F731">
        <f t="shared" si="11"/>
        <v>1.75</v>
      </c>
      <c r="I731">
        <v>20240101</v>
      </c>
      <c r="J731" t="s">
        <v>589</v>
      </c>
    </row>
    <row r="732" spans="1:24" x14ac:dyDescent="0.3">
      <c r="A732" s="160">
        <v>6038</v>
      </c>
      <c r="B732" t="s">
        <v>15915</v>
      </c>
      <c r="C732" t="s">
        <v>504</v>
      </c>
      <c r="D732">
        <v>1.75</v>
      </c>
      <c r="E732">
        <v>0</v>
      </c>
      <c r="F732">
        <f t="shared" si="11"/>
        <v>1.75</v>
      </c>
      <c r="I732">
        <v>20240101</v>
      </c>
      <c r="J732" t="s">
        <v>590</v>
      </c>
      <c r="K732" t="s">
        <v>521</v>
      </c>
    </row>
    <row r="733" spans="1:24" x14ac:dyDescent="0.3">
      <c r="A733" s="160">
        <v>6039</v>
      </c>
      <c r="B733" t="s">
        <v>15916</v>
      </c>
      <c r="C733" t="s">
        <v>523</v>
      </c>
      <c r="D733">
        <v>0.36</v>
      </c>
      <c r="E733">
        <v>0</v>
      </c>
      <c r="F733">
        <f t="shared" si="11"/>
        <v>0.36</v>
      </c>
      <c r="I733">
        <v>20240701</v>
      </c>
      <c r="J733" t="s">
        <v>15917</v>
      </c>
    </row>
    <row r="734" spans="1:24" x14ac:dyDescent="0.3">
      <c r="A734" s="160">
        <v>6041</v>
      </c>
      <c r="B734" t="s">
        <v>15918</v>
      </c>
      <c r="C734" t="s">
        <v>504</v>
      </c>
      <c r="D734">
        <v>1.75</v>
      </c>
      <c r="E734">
        <v>0</v>
      </c>
      <c r="F734">
        <f t="shared" si="11"/>
        <v>1.75</v>
      </c>
      <c r="I734">
        <v>20240101</v>
      </c>
      <c r="J734" t="s">
        <v>527</v>
      </c>
    </row>
    <row r="735" spans="1:24" x14ac:dyDescent="0.3">
      <c r="A735" s="160">
        <v>6042</v>
      </c>
      <c r="B735" t="s">
        <v>15919</v>
      </c>
      <c r="C735" t="s">
        <v>523</v>
      </c>
      <c r="D735">
        <v>2</v>
      </c>
      <c r="E735">
        <v>0</v>
      </c>
      <c r="F735">
        <f t="shared" si="11"/>
        <v>2</v>
      </c>
      <c r="I735">
        <v>20210701</v>
      </c>
      <c r="J735" t="s">
        <v>526</v>
      </c>
    </row>
    <row r="736" spans="1:24" x14ac:dyDescent="0.3">
      <c r="A736" s="160">
        <v>6044</v>
      </c>
      <c r="B736" t="s">
        <v>15920</v>
      </c>
      <c r="C736" t="s">
        <v>504</v>
      </c>
      <c r="D736">
        <v>1.75</v>
      </c>
      <c r="E736">
        <v>0</v>
      </c>
      <c r="F736">
        <f t="shared" si="11"/>
        <v>1.75</v>
      </c>
      <c r="I736">
        <v>20240101</v>
      </c>
      <c r="J736" t="s">
        <v>591</v>
      </c>
    </row>
    <row r="737" spans="1:11" x14ac:dyDescent="0.3">
      <c r="A737" s="160">
        <v>6045</v>
      </c>
      <c r="B737" t="s">
        <v>15921</v>
      </c>
      <c r="C737" t="s">
        <v>502</v>
      </c>
      <c r="D737">
        <v>1.75</v>
      </c>
      <c r="E737">
        <v>0</v>
      </c>
      <c r="F737">
        <f t="shared" si="11"/>
        <v>1.75</v>
      </c>
      <c r="I737">
        <v>20240101</v>
      </c>
      <c r="J737" t="s">
        <v>501</v>
      </c>
    </row>
    <row r="738" spans="1:11" x14ac:dyDescent="0.3">
      <c r="A738" s="160">
        <v>6046</v>
      </c>
      <c r="B738" t="s">
        <v>15922</v>
      </c>
      <c r="C738" t="s">
        <v>523</v>
      </c>
      <c r="D738">
        <v>2</v>
      </c>
      <c r="E738">
        <v>0</v>
      </c>
      <c r="F738">
        <f t="shared" si="11"/>
        <v>2</v>
      </c>
      <c r="I738">
        <v>20120101</v>
      </c>
      <c r="J738" t="s">
        <v>542</v>
      </c>
      <c r="K738" t="s">
        <v>586</v>
      </c>
    </row>
    <row r="739" spans="1:11" x14ac:dyDescent="0.3">
      <c r="A739" s="160">
        <v>6047</v>
      </c>
      <c r="B739" t="s">
        <v>15923</v>
      </c>
      <c r="C739" t="s">
        <v>504</v>
      </c>
      <c r="D739">
        <v>1.75</v>
      </c>
      <c r="E739">
        <v>0</v>
      </c>
      <c r="F739">
        <f t="shared" si="11"/>
        <v>1.75</v>
      </c>
      <c r="I739">
        <v>20240101</v>
      </c>
      <c r="J739" t="s">
        <v>534</v>
      </c>
    </row>
    <row r="740" spans="1:11" x14ac:dyDescent="0.3">
      <c r="A740" s="160">
        <v>6049</v>
      </c>
      <c r="B740" t="s">
        <v>15924</v>
      </c>
      <c r="C740" t="s">
        <v>504</v>
      </c>
      <c r="D740">
        <v>1.75</v>
      </c>
      <c r="E740">
        <v>0</v>
      </c>
      <c r="F740">
        <f t="shared" si="11"/>
        <v>1.75</v>
      </c>
      <c r="I740">
        <v>20240101</v>
      </c>
      <c r="J740" t="s">
        <v>527</v>
      </c>
    </row>
    <row r="741" spans="1:11" x14ac:dyDescent="0.3">
      <c r="A741" s="160">
        <v>6050</v>
      </c>
      <c r="B741" t="s">
        <v>15925</v>
      </c>
      <c r="C741" t="s">
        <v>504</v>
      </c>
      <c r="D741">
        <v>1.75</v>
      </c>
      <c r="E741">
        <v>0</v>
      </c>
      <c r="F741">
        <f t="shared" si="11"/>
        <v>1.75</v>
      </c>
      <c r="I741">
        <v>20240101</v>
      </c>
      <c r="J741" t="s">
        <v>592</v>
      </c>
    </row>
    <row r="742" spans="1:11" x14ac:dyDescent="0.3">
      <c r="A742" s="160">
        <v>6054</v>
      </c>
      <c r="B742" t="s">
        <v>15926</v>
      </c>
      <c r="C742" t="s">
        <v>523</v>
      </c>
      <c r="D742">
        <v>0.36</v>
      </c>
      <c r="E742">
        <v>0</v>
      </c>
      <c r="F742">
        <f t="shared" si="11"/>
        <v>0.36</v>
      </c>
      <c r="I742">
        <v>20240701</v>
      </c>
      <c r="J742" t="s">
        <v>744</v>
      </c>
      <c r="K742" t="s">
        <v>749</v>
      </c>
    </row>
    <row r="743" spans="1:11" x14ac:dyDescent="0.3">
      <c r="A743" s="160">
        <v>6055</v>
      </c>
      <c r="B743" t="s">
        <v>15927</v>
      </c>
      <c r="C743" t="s">
        <v>523</v>
      </c>
      <c r="D743">
        <v>2</v>
      </c>
      <c r="E743">
        <v>0</v>
      </c>
      <c r="F743">
        <f t="shared" si="11"/>
        <v>2</v>
      </c>
      <c r="I743">
        <v>20120101</v>
      </c>
      <c r="J743" t="s">
        <v>586</v>
      </c>
    </row>
    <row r="744" spans="1:11" x14ac:dyDescent="0.3">
      <c r="A744" s="160">
        <v>6058</v>
      </c>
      <c r="B744" t="s">
        <v>15928</v>
      </c>
      <c r="C744" t="s">
        <v>502</v>
      </c>
      <c r="D744">
        <v>1.75</v>
      </c>
      <c r="E744">
        <v>0</v>
      </c>
      <c r="F744">
        <f t="shared" si="11"/>
        <v>1.75</v>
      </c>
      <c r="I744">
        <v>20240101</v>
      </c>
      <c r="J744" t="s">
        <v>589</v>
      </c>
    </row>
    <row r="745" spans="1:11" x14ac:dyDescent="0.3">
      <c r="A745" s="160">
        <v>6059</v>
      </c>
      <c r="B745" t="s">
        <v>15929</v>
      </c>
      <c r="C745" t="s">
        <v>523</v>
      </c>
      <c r="D745">
        <v>2</v>
      </c>
      <c r="E745">
        <v>0</v>
      </c>
      <c r="F745">
        <f t="shared" si="11"/>
        <v>2</v>
      </c>
      <c r="I745">
        <v>20120101</v>
      </c>
      <c r="J745" t="s">
        <v>593</v>
      </c>
    </row>
    <row r="746" spans="1:11" x14ac:dyDescent="0.3">
      <c r="A746" s="160">
        <v>6060</v>
      </c>
      <c r="B746" t="s">
        <v>15930</v>
      </c>
      <c r="C746" t="s">
        <v>523</v>
      </c>
      <c r="D746">
        <v>2</v>
      </c>
      <c r="E746">
        <v>0</v>
      </c>
      <c r="F746">
        <f t="shared" si="11"/>
        <v>2</v>
      </c>
      <c r="I746">
        <v>20120101</v>
      </c>
      <c r="J746" t="s">
        <v>594</v>
      </c>
    </row>
    <row r="747" spans="1:11" x14ac:dyDescent="0.3">
      <c r="A747" s="160">
        <v>6061</v>
      </c>
      <c r="B747" t="s">
        <v>15931</v>
      </c>
      <c r="C747" t="s">
        <v>504</v>
      </c>
      <c r="D747">
        <v>1.75</v>
      </c>
      <c r="E747">
        <v>0</v>
      </c>
      <c r="F747">
        <f t="shared" si="11"/>
        <v>1.75</v>
      </c>
      <c r="I747">
        <v>20240101</v>
      </c>
      <c r="J747" t="s">
        <v>534</v>
      </c>
    </row>
    <row r="748" spans="1:11" x14ac:dyDescent="0.3">
      <c r="A748" s="160">
        <v>6062</v>
      </c>
      <c r="B748" t="s">
        <v>15932</v>
      </c>
      <c r="C748" t="s">
        <v>530</v>
      </c>
      <c r="D748">
        <v>0.4</v>
      </c>
      <c r="E748">
        <v>0</v>
      </c>
      <c r="F748">
        <f t="shared" si="11"/>
        <v>0.4</v>
      </c>
      <c r="I748">
        <v>20160701</v>
      </c>
      <c r="J748" t="s">
        <v>540</v>
      </c>
    </row>
    <row r="749" spans="1:11" x14ac:dyDescent="0.3">
      <c r="A749" s="160">
        <v>6063</v>
      </c>
      <c r="B749" t="s">
        <v>15933</v>
      </c>
      <c r="C749" t="s">
        <v>502</v>
      </c>
      <c r="D749">
        <v>1.75</v>
      </c>
      <c r="E749">
        <v>0</v>
      </c>
      <c r="F749">
        <f t="shared" si="11"/>
        <v>1.75</v>
      </c>
      <c r="I749">
        <v>20240101</v>
      </c>
      <c r="J749" t="s">
        <v>541</v>
      </c>
    </row>
    <row r="750" spans="1:11" x14ac:dyDescent="0.3">
      <c r="A750" s="160">
        <v>6064</v>
      </c>
      <c r="B750" t="s">
        <v>15934</v>
      </c>
      <c r="C750" t="s">
        <v>523</v>
      </c>
      <c r="D750">
        <v>2</v>
      </c>
      <c r="E750">
        <v>0</v>
      </c>
      <c r="F750">
        <f t="shared" si="11"/>
        <v>2</v>
      </c>
      <c r="I750">
        <v>20210701</v>
      </c>
      <c r="J750" t="s">
        <v>534</v>
      </c>
      <c r="K750" t="s">
        <v>544</v>
      </c>
    </row>
    <row r="751" spans="1:11" x14ac:dyDescent="0.3">
      <c r="A751" s="160">
        <v>6065</v>
      </c>
      <c r="B751" t="s">
        <v>15935</v>
      </c>
      <c r="C751" t="s">
        <v>523</v>
      </c>
      <c r="D751">
        <v>2</v>
      </c>
      <c r="E751">
        <v>0</v>
      </c>
      <c r="F751">
        <f t="shared" si="11"/>
        <v>2</v>
      </c>
      <c r="I751">
        <v>20120101</v>
      </c>
      <c r="J751" t="s">
        <v>595</v>
      </c>
    </row>
    <row r="752" spans="1:11" x14ac:dyDescent="0.3">
      <c r="A752" s="160">
        <v>6066</v>
      </c>
      <c r="B752" t="s">
        <v>15936</v>
      </c>
      <c r="C752" t="s">
        <v>523</v>
      </c>
      <c r="D752">
        <v>2</v>
      </c>
      <c r="E752">
        <v>0</v>
      </c>
      <c r="F752">
        <f t="shared" si="11"/>
        <v>2</v>
      </c>
      <c r="I752">
        <v>20210701</v>
      </c>
      <c r="J752" t="s">
        <v>539</v>
      </c>
    </row>
    <row r="753" spans="1:17" x14ac:dyDescent="0.3">
      <c r="A753" s="160">
        <v>6067</v>
      </c>
      <c r="B753" t="s">
        <v>15937</v>
      </c>
      <c r="C753" t="s">
        <v>530</v>
      </c>
      <c r="D753">
        <v>0.4</v>
      </c>
      <c r="E753">
        <v>0</v>
      </c>
      <c r="F753">
        <f t="shared" si="11"/>
        <v>0.4</v>
      </c>
      <c r="I753">
        <v>20160701</v>
      </c>
      <c r="J753" t="s">
        <v>587</v>
      </c>
      <c r="K753" t="s">
        <v>596</v>
      </c>
      <c r="L753" t="s">
        <v>597</v>
      </c>
    </row>
    <row r="754" spans="1:17" x14ac:dyDescent="0.3">
      <c r="A754" s="160">
        <v>6068</v>
      </c>
      <c r="B754" t="s">
        <v>15938</v>
      </c>
      <c r="C754" t="s">
        <v>504</v>
      </c>
      <c r="D754">
        <v>1.75</v>
      </c>
      <c r="E754">
        <v>0</v>
      </c>
      <c r="F754">
        <f t="shared" si="11"/>
        <v>1.75</v>
      </c>
      <c r="I754">
        <v>20240101</v>
      </c>
      <c r="J754" t="s">
        <v>527</v>
      </c>
    </row>
    <row r="755" spans="1:17" x14ac:dyDescent="0.3">
      <c r="A755" s="160">
        <v>6069</v>
      </c>
      <c r="B755" t="s">
        <v>15939</v>
      </c>
      <c r="C755" t="s">
        <v>502</v>
      </c>
      <c r="D755">
        <v>1.75</v>
      </c>
      <c r="E755">
        <v>0</v>
      </c>
      <c r="F755">
        <f t="shared" si="11"/>
        <v>1.75</v>
      </c>
      <c r="I755">
        <v>20140101</v>
      </c>
      <c r="J755" t="s">
        <v>598</v>
      </c>
      <c r="K755" t="s">
        <v>599</v>
      </c>
      <c r="L755" t="s">
        <v>600</v>
      </c>
      <c r="M755" t="s">
        <v>601</v>
      </c>
      <c r="N755" t="s">
        <v>602</v>
      </c>
      <c r="O755" t="s">
        <v>603</v>
      </c>
      <c r="P755" t="s">
        <v>604</v>
      </c>
      <c r="Q755" t="s">
        <v>605</v>
      </c>
    </row>
    <row r="756" spans="1:17" x14ac:dyDescent="0.3">
      <c r="A756" s="160">
        <v>6070</v>
      </c>
      <c r="B756" t="s">
        <v>15940</v>
      </c>
      <c r="C756" t="s">
        <v>504</v>
      </c>
      <c r="D756">
        <v>1.75</v>
      </c>
      <c r="E756">
        <v>0</v>
      </c>
      <c r="F756">
        <f t="shared" si="11"/>
        <v>1.75</v>
      </c>
      <c r="I756">
        <v>20240101</v>
      </c>
      <c r="J756" t="s">
        <v>527</v>
      </c>
    </row>
    <row r="757" spans="1:17" x14ac:dyDescent="0.3">
      <c r="A757" s="160">
        <v>6072</v>
      </c>
      <c r="B757" t="s">
        <v>15941</v>
      </c>
      <c r="C757" t="s">
        <v>523</v>
      </c>
      <c r="D757">
        <v>2</v>
      </c>
      <c r="E757">
        <v>0</v>
      </c>
      <c r="F757">
        <f t="shared" si="11"/>
        <v>2</v>
      </c>
      <c r="I757">
        <v>20210701</v>
      </c>
      <c r="J757" t="s">
        <v>526</v>
      </c>
    </row>
    <row r="758" spans="1:17" x14ac:dyDescent="0.3">
      <c r="A758" s="160">
        <v>6073</v>
      </c>
      <c r="B758" t="s">
        <v>15942</v>
      </c>
      <c r="C758" t="s">
        <v>523</v>
      </c>
      <c r="D758">
        <v>2</v>
      </c>
      <c r="E758">
        <v>0</v>
      </c>
      <c r="F758">
        <f t="shared" si="11"/>
        <v>2</v>
      </c>
      <c r="I758">
        <v>20240101</v>
      </c>
      <c r="J758" t="s">
        <v>526</v>
      </c>
    </row>
    <row r="759" spans="1:17" x14ac:dyDescent="0.3">
      <c r="A759" s="160">
        <v>6074</v>
      </c>
      <c r="B759" t="s">
        <v>15943</v>
      </c>
      <c r="C759" t="s">
        <v>523</v>
      </c>
      <c r="D759">
        <v>2</v>
      </c>
      <c r="E759">
        <v>0</v>
      </c>
      <c r="F759">
        <f t="shared" si="11"/>
        <v>2</v>
      </c>
      <c r="I759">
        <v>20210701</v>
      </c>
      <c r="J759" t="s">
        <v>533</v>
      </c>
    </row>
    <row r="760" spans="1:17" x14ac:dyDescent="0.3">
      <c r="A760" s="160">
        <v>6075</v>
      </c>
      <c r="B760" t="s">
        <v>15944</v>
      </c>
      <c r="C760" t="s">
        <v>523</v>
      </c>
      <c r="D760">
        <v>2</v>
      </c>
      <c r="E760">
        <v>0</v>
      </c>
      <c r="F760">
        <f t="shared" si="11"/>
        <v>2</v>
      </c>
      <c r="I760">
        <v>20120101</v>
      </c>
      <c r="J760" t="s">
        <v>586</v>
      </c>
    </row>
    <row r="761" spans="1:17" x14ac:dyDescent="0.3">
      <c r="A761" s="160">
        <v>6079</v>
      </c>
      <c r="B761" t="s">
        <v>15945</v>
      </c>
      <c r="C761" t="s">
        <v>559</v>
      </c>
      <c r="D761">
        <v>1.75</v>
      </c>
      <c r="E761">
        <v>0</v>
      </c>
      <c r="F761">
        <f t="shared" si="11"/>
        <v>1.75</v>
      </c>
      <c r="I761">
        <v>20100501</v>
      </c>
      <c r="J761" t="s">
        <v>606</v>
      </c>
      <c r="K761" t="s">
        <v>607</v>
      </c>
      <c r="L761" t="s">
        <v>608</v>
      </c>
      <c r="M761" t="s">
        <v>609</v>
      </c>
      <c r="N761" t="s">
        <v>610</v>
      </c>
    </row>
    <row r="762" spans="1:17" x14ac:dyDescent="0.3">
      <c r="A762" s="160">
        <v>6080</v>
      </c>
      <c r="B762" t="s">
        <v>15946</v>
      </c>
      <c r="C762" t="s">
        <v>523</v>
      </c>
      <c r="D762">
        <v>2</v>
      </c>
      <c r="E762">
        <v>0</v>
      </c>
      <c r="F762">
        <f t="shared" si="11"/>
        <v>2</v>
      </c>
      <c r="I762">
        <v>20210701</v>
      </c>
      <c r="J762" t="s">
        <v>526</v>
      </c>
    </row>
    <row r="763" spans="1:17" x14ac:dyDescent="0.3">
      <c r="A763" s="160">
        <v>6081</v>
      </c>
      <c r="B763" t="s">
        <v>15947</v>
      </c>
      <c r="C763" t="s">
        <v>502</v>
      </c>
      <c r="D763">
        <v>1.75</v>
      </c>
      <c r="E763">
        <v>0</v>
      </c>
      <c r="F763">
        <f t="shared" si="11"/>
        <v>1.75</v>
      </c>
      <c r="I763">
        <v>20240101</v>
      </c>
      <c r="J763" t="s">
        <v>501</v>
      </c>
    </row>
    <row r="764" spans="1:17" x14ac:dyDescent="0.3">
      <c r="A764" s="160">
        <v>6083</v>
      </c>
      <c r="B764" t="s">
        <v>15948</v>
      </c>
      <c r="C764" t="s">
        <v>530</v>
      </c>
      <c r="D764">
        <v>0.4</v>
      </c>
      <c r="E764">
        <v>0</v>
      </c>
      <c r="F764">
        <f t="shared" si="11"/>
        <v>0.4</v>
      </c>
      <c r="I764">
        <v>20160701</v>
      </c>
      <c r="J764" t="s">
        <v>587</v>
      </c>
      <c r="K764" t="s">
        <v>611</v>
      </c>
      <c r="L764" t="s">
        <v>596</v>
      </c>
      <c r="M764" t="s">
        <v>612</v>
      </c>
      <c r="N764" t="s">
        <v>597</v>
      </c>
      <c r="O764" t="s">
        <v>588</v>
      </c>
      <c r="P764" t="s">
        <v>613</v>
      </c>
      <c r="Q764" t="s">
        <v>614</v>
      </c>
    </row>
    <row r="765" spans="1:17" x14ac:dyDescent="0.3">
      <c r="A765" s="160">
        <v>6084</v>
      </c>
      <c r="B765" t="s">
        <v>15949</v>
      </c>
      <c r="C765" t="s">
        <v>502</v>
      </c>
      <c r="D765">
        <v>1.75</v>
      </c>
      <c r="E765">
        <v>0</v>
      </c>
      <c r="F765">
        <f t="shared" si="11"/>
        <v>1.75</v>
      </c>
      <c r="I765">
        <v>20140101</v>
      </c>
      <c r="J765" t="s">
        <v>615</v>
      </c>
      <c r="K765" t="s">
        <v>616</v>
      </c>
      <c r="L765" t="s">
        <v>617</v>
      </c>
    </row>
    <row r="766" spans="1:17" x14ac:dyDescent="0.3">
      <c r="A766" s="160">
        <v>6085</v>
      </c>
      <c r="B766" t="s">
        <v>15950</v>
      </c>
      <c r="C766" t="s">
        <v>559</v>
      </c>
      <c r="D766">
        <v>1.75</v>
      </c>
      <c r="E766">
        <v>0</v>
      </c>
      <c r="F766">
        <f t="shared" si="11"/>
        <v>1.75</v>
      </c>
      <c r="I766">
        <v>20140101</v>
      </c>
      <c r="J766" t="s">
        <v>576</v>
      </c>
      <c r="K766" t="s">
        <v>618</v>
      </c>
      <c r="L766" t="s">
        <v>619</v>
      </c>
      <c r="M766" t="s">
        <v>620</v>
      </c>
      <c r="N766" t="s">
        <v>621</v>
      </c>
      <c r="O766" t="s">
        <v>622</v>
      </c>
      <c r="P766" t="s">
        <v>623</v>
      </c>
      <c r="Q766" t="s">
        <v>616</v>
      </c>
    </row>
    <row r="767" spans="1:17" x14ac:dyDescent="0.3">
      <c r="A767" s="160">
        <v>6086</v>
      </c>
      <c r="B767" t="s">
        <v>15951</v>
      </c>
      <c r="C767" t="s">
        <v>530</v>
      </c>
      <c r="D767">
        <v>0.4</v>
      </c>
      <c r="E767">
        <v>0</v>
      </c>
      <c r="F767">
        <f t="shared" si="11"/>
        <v>0.4</v>
      </c>
      <c r="I767">
        <v>20160701</v>
      </c>
      <c r="J767" t="s">
        <v>624</v>
      </c>
    </row>
    <row r="768" spans="1:17" x14ac:dyDescent="0.3">
      <c r="A768" s="160">
        <v>6087</v>
      </c>
      <c r="B768" t="s">
        <v>15952</v>
      </c>
      <c r="C768" t="s">
        <v>502</v>
      </c>
      <c r="D768">
        <v>1.75</v>
      </c>
      <c r="E768">
        <v>0</v>
      </c>
      <c r="F768">
        <f t="shared" si="11"/>
        <v>1.75</v>
      </c>
      <c r="I768">
        <v>20240101</v>
      </c>
      <c r="J768" t="s">
        <v>501</v>
      </c>
    </row>
    <row r="769" spans="1:100" x14ac:dyDescent="0.3">
      <c r="A769" s="160">
        <v>6088</v>
      </c>
      <c r="B769" t="s">
        <v>15953</v>
      </c>
      <c r="C769" t="s">
        <v>523</v>
      </c>
      <c r="D769">
        <v>2</v>
      </c>
      <c r="E769">
        <v>0</v>
      </c>
      <c r="F769">
        <f t="shared" si="11"/>
        <v>2</v>
      </c>
      <c r="I769">
        <v>20120101</v>
      </c>
      <c r="J769" t="s">
        <v>625</v>
      </c>
      <c r="K769" t="s">
        <v>626</v>
      </c>
      <c r="L769" t="s">
        <v>627</v>
      </c>
      <c r="M769" t="s">
        <v>628</v>
      </c>
      <c r="N769" t="s">
        <v>629</v>
      </c>
      <c r="O769" t="s">
        <v>630</v>
      </c>
      <c r="P769" t="s">
        <v>631</v>
      </c>
      <c r="Q769" t="s">
        <v>632</v>
      </c>
      <c r="R769" t="s">
        <v>633</v>
      </c>
      <c r="S769" t="s">
        <v>634</v>
      </c>
      <c r="T769" t="s">
        <v>635</v>
      </c>
      <c r="U769" t="s">
        <v>636</v>
      </c>
      <c r="V769" t="s">
        <v>637</v>
      </c>
      <c r="W769" t="s">
        <v>638</v>
      </c>
      <c r="X769" t="s">
        <v>639</v>
      </c>
      <c r="Y769" t="s">
        <v>640</v>
      </c>
      <c r="Z769" t="s">
        <v>641</v>
      </c>
      <c r="AA769" t="s">
        <v>642</v>
      </c>
      <c r="AB769" t="s">
        <v>643</v>
      </c>
      <c r="AC769" t="s">
        <v>644</v>
      </c>
      <c r="AD769" t="s">
        <v>645</v>
      </c>
      <c r="AE769" t="s">
        <v>646</v>
      </c>
      <c r="AF769" t="s">
        <v>647</v>
      </c>
      <c r="AG769" t="s">
        <v>648</v>
      </c>
      <c r="AH769" t="s">
        <v>649</v>
      </c>
      <c r="AI769" t="s">
        <v>650</v>
      </c>
      <c r="AJ769" t="s">
        <v>651</v>
      </c>
      <c r="AK769" t="s">
        <v>652</v>
      </c>
      <c r="AL769" t="s">
        <v>653</v>
      </c>
      <c r="AM769" t="s">
        <v>654</v>
      </c>
      <c r="AN769" t="s">
        <v>655</v>
      </c>
      <c r="AO769" t="s">
        <v>656</v>
      </c>
      <c r="AP769" t="s">
        <v>657</v>
      </c>
      <c r="AQ769" t="s">
        <v>658</v>
      </c>
      <c r="AR769" t="s">
        <v>659</v>
      </c>
      <c r="AS769" t="s">
        <v>660</v>
      </c>
      <c r="AT769" t="s">
        <v>661</v>
      </c>
      <c r="AU769" t="s">
        <v>662</v>
      </c>
      <c r="AV769" t="s">
        <v>663</v>
      </c>
      <c r="AW769" t="s">
        <v>664</v>
      </c>
      <c r="AX769" t="s">
        <v>665</v>
      </c>
      <c r="AY769" t="s">
        <v>666</v>
      </c>
      <c r="AZ769" t="s">
        <v>667</v>
      </c>
      <c r="BA769" t="s">
        <v>668</v>
      </c>
      <c r="BB769" t="s">
        <v>669</v>
      </c>
      <c r="BC769" t="s">
        <v>670</v>
      </c>
      <c r="BD769" t="s">
        <v>671</v>
      </c>
      <c r="BE769" t="s">
        <v>672</v>
      </c>
      <c r="BF769" t="s">
        <v>673</v>
      </c>
      <c r="BG769" t="s">
        <v>674</v>
      </c>
      <c r="BH769" t="s">
        <v>675</v>
      </c>
      <c r="BI769" t="s">
        <v>676</v>
      </c>
      <c r="BJ769" t="s">
        <v>677</v>
      </c>
      <c r="BK769" t="s">
        <v>678</v>
      </c>
      <c r="BL769" t="s">
        <v>679</v>
      </c>
      <c r="BM769" t="s">
        <v>680</v>
      </c>
      <c r="BN769" t="s">
        <v>681</v>
      </c>
      <c r="BO769" t="s">
        <v>682</v>
      </c>
      <c r="BP769" t="s">
        <v>683</v>
      </c>
      <c r="BQ769" t="s">
        <v>684</v>
      </c>
      <c r="BR769" t="s">
        <v>685</v>
      </c>
      <c r="BS769" t="s">
        <v>686</v>
      </c>
      <c r="BT769" t="s">
        <v>687</v>
      </c>
      <c r="BU769" t="s">
        <v>688</v>
      </c>
      <c r="BV769" t="s">
        <v>689</v>
      </c>
      <c r="BW769" t="s">
        <v>690</v>
      </c>
      <c r="BX769" t="s">
        <v>691</v>
      </c>
      <c r="BY769" t="s">
        <v>692</v>
      </c>
      <c r="BZ769" t="s">
        <v>693</v>
      </c>
      <c r="CA769" t="s">
        <v>694</v>
      </c>
      <c r="CB769" t="s">
        <v>695</v>
      </c>
      <c r="CC769" t="s">
        <v>696</v>
      </c>
      <c r="CD769" t="s">
        <v>697</v>
      </c>
      <c r="CE769" t="s">
        <v>698</v>
      </c>
      <c r="CF769" t="s">
        <v>699</v>
      </c>
      <c r="CG769" t="s">
        <v>700</v>
      </c>
      <c r="CH769" t="s">
        <v>701</v>
      </c>
      <c r="CI769" t="s">
        <v>702</v>
      </c>
      <c r="CJ769" t="s">
        <v>703</v>
      </c>
      <c r="CK769" t="s">
        <v>704</v>
      </c>
      <c r="CL769" t="s">
        <v>705</v>
      </c>
      <c r="CM769" t="s">
        <v>706</v>
      </c>
      <c r="CN769" t="s">
        <v>707</v>
      </c>
      <c r="CO769" t="s">
        <v>708</v>
      </c>
      <c r="CP769" t="s">
        <v>709</v>
      </c>
      <c r="CQ769" t="s">
        <v>710</v>
      </c>
      <c r="CR769" t="s">
        <v>711</v>
      </c>
      <c r="CS769" t="s">
        <v>712</v>
      </c>
      <c r="CT769" t="s">
        <v>713</v>
      </c>
      <c r="CU769" t="s">
        <v>714</v>
      </c>
      <c r="CV769" t="s">
        <v>715</v>
      </c>
    </row>
    <row r="770" spans="1:100" x14ac:dyDescent="0.3">
      <c r="A770" s="160">
        <v>6089</v>
      </c>
      <c r="B770" t="s">
        <v>15954</v>
      </c>
      <c r="C770" t="s">
        <v>504</v>
      </c>
      <c r="D770">
        <v>1.75</v>
      </c>
      <c r="E770">
        <v>0</v>
      </c>
      <c r="F770">
        <f t="shared" si="11"/>
        <v>1.75</v>
      </c>
      <c r="I770">
        <v>20240101</v>
      </c>
      <c r="J770" t="s">
        <v>716</v>
      </c>
    </row>
    <row r="771" spans="1:100" x14ac:dyDescent="0.3">
      <c r="A771" s="160">
        <v>6090</v>
      </c>
      <c r="B771" t="s">
        <v>15955</v>
      </c>
      <c r="C771" t="s">
        <v>502</v>
      </c>
      <c r="D771">
        <v>1.75</v>
      </c>
      <c r="E771">
        <v>0</v>
      </c>
      <c r="F771">
        <f t="shared" si="11"/>
        <v>1.75</v>
      </c>
      <c r="I771">
        <v>20140101</v>
      </c>
      <c r="J771" t="s">
        <v>717</v>
      </c>
    </row>
    <row r="772" spans="1:100" x14ac:dyDescent="0.3">
      <c r="A772" s="160">
        <v>6095</v>
      </c>
      <c r="B772" t="s">
        <v>15956</v>
      </c>
      <c r="C772" t="s">
        <v>502</v>
      </c>
      <c r="D772">
        <v>1.75</v>
      </c>
      <c r="E772">
        <v>0</v>
      </c>
      <c r="F772">
        <f t="shared" si="11"/>
        <v>1.75</v>
      </c>
      <c r="I772">
        <v>20140101</v>
      </c>
      <c r="J772" t="s">
        <v>548</v>
      </c>
      <c r="K772" t="s">
        <v>718</v>
      </c>
      <c r="L772" t="s">
        <v>719</v>
      </c>
    </row>
    <row r="773" spans="1:100" x14ac:dyDescent="0.3">
      <c r="A773" s="160">
        <v>6102</v>
      </c>
      <c r="B773" t="s">
        <v>15957</v>
      </c>
      <c r="C773" t="s">
        <v>523</v>
      </c>
      <c r="D773">
        <v>2</v>
      </c>
      <c r="E773">
        <v>0</v>
      </c>
      <c r="F773">
        <f t="shared" si="11"/>
        <v>2</v>
      </c>
      <c r="I773">
        <v>20210701</v>
      </c>
      <c r="J773" t="s">
        <v>526</v>
      </c>
    </row>
    <row r="774" spans="1:100" x14ac:dyDescent="0.3">
      <c r="A774" s="160">
        <v>6103</v>
      </c>
      <c r="B774" t="s">
        <v>15958</v>
      </c>
      <c r="C774" t="s">
        <v>523</v>
      </c>
      <c r="D774">
        <v>2</v>
      </c>
      <c r="E774">
        <v>0</v>
      </c>
      <c r="F774">
        <f t="shared" si="11"/>
        <v>2</v>
      </c>
      <c r="I774">
        <v>20240101</v>
      </c>
      <c r="J774" t="s">
        <v>533</v>
      </c>
    </row>
    <row r="775" spans="1:100" x14ac:dyDescent="0.3">
      <c r="A775" s="160">
        <v>6104</v>
      </c>
      <c r="B775" t="s">
        <v>15959</v>
      </c>
      <c r="C775" t="s">
        <v>530</v>
      </c>
      <c r="D775">
        <v>0.4</v>
      </c>
      <c r="E775">
        <v>0</v>
      </c>
      <c r="F775">
        <f t="shared" ref="F775:F838" si="12">D775+E775</f>
        <v>0.4</v>
      </c>
      <c r="I775">
        <v>20160701</v>
      </c>
      <c r="J775" t="s">
        <v>720</v>
      </c>
    </row>
    <row r="776" spans="1:100" x14ac:dyDescent="0.3">
      <c r="A776" s="160">
        <v>6105</v>
      </c>
      <c r="B776" t="s">
        <v>15960</v>
      </c>
      <c r="C776" t="s">
        <v>504</v>
      </c>
      <c r="D776">
        <v>1.75</v>
      </c>
      <c r="E776">
        <v>0</v>
      </c>
      <c r="F776">
        <f t="shared" si="12"/>
        <v>1.75</v>
      </c>
      <c r="I776">
        <v>20240101</v>
      </c>
      <c r="J776" t="s">
        <v>721</v>
      </c>
    </row>
    <row r="777" spans="1:100" x14ac:dyDescent="0.3">
      <c r="A777" s="160">
        <v>6107</v>
      </c>
      <c r="B777" t="s">
        <v>15961</v>
      </c>
      <c r="C777" t="s">
        <v>504</v>
      </c>
      <c r="D777">
        <v>1.75</v>
      </c>
      <c r="E777">
        <v>0</v>
      </c>
      <c r="F777">
        <f t="shared" si="12"/>
        <v>1.75</v>
      </c>
      <c r="I777">
        <v>20240101</v>
      </c>
      <c r="J777" t="s">
        <v>501</v>
      </c>
    </row>
    <row r="778" spans="1:100" x14ac:dyDescent="0.3">
      <c r="A778" s="160">
        <v>6108</v>
      </c>
      <c r="B778" t="s">
        <v>15962</v>
      </c>
      <c r="C778" t="s">
        <v>502</v>
      </c>
      <c r="D778">
        <v>1.75</v>
      </c>
      <c r="E778">
        <v>0</v>
      </c>
      <c r="F778">
        <f t="shared" si="12"/>
        <v>1.75</v>
      </c>
      <c r="I778">
        <v>20140101</v>
      </c>
      <c r="J778" t="s">
        <v>562</v>
      </c>
      <c r="K778" t="s">
        <v>616</v>
      </c>
      <c r="L778" t="s">
        <v>722</v>
      </c>
      <c r="M778" t="s">
        <v>723</v>
      </c>
    </row>
    <row r="779" spans="1:100" x14ac:dyDescent="0.3">
      <c r="A779" s="160">
        <v>6109</v>
      </c>
      <c r="B779" t="s">
        <v>15963</v>
      </c>
      <c r="C779" t="s">
        <v>523</v>
      </c>
      <c r="D779">
        <v>2</v>
      </c>
      <c r="E779">
        <v>0</v>
      </c>
      <c r="F779">
        <f t="shared" si="12"/>
        <v>2</v>
      </c>
      <c r="I779">
        <v>20120101</v>
      </c>
      <c r="J779" t="s">
        <v>542</v>
      </c>
      <c r="K779" t="s">
        <v>586</v>
      </c>
    </row>
    <row r="780" spans="1:100" x14ac:dyDescent="0.3">
      <c r="A780" s="160">
        <v>6110</v>
      </c>
      <c r="B780" t="s">
        <v>15964</v>
      </c>
      <c r="C780" t="s">
        <v>523</v>
      </c>
      <c r="D780">
        <v>2</v>
      </c>
      <c r="E780">
        <v>0</v>
      </c>
      <c r="F780">
        <f t="shared" si="12"/>
        <v>2</v>
      </c>
      <c r="I780">
        <v>20210701</v>
      </c>
      <c r="J780" t="s">
        <v>526</v>
      </c>
    </row>
    <row r="781" spans="1:100" x14ac:dyDescent="0.3">
      <c r="A781" s="160">
        <v>6111</v>
      </c>
      <c r="B781" t="s">
        <v>15965</v>
      </c>
      <c r="C781" t="s">
        <v>523</v>
      </c>
      <c r="D781">
        <v>2</v>
      </c>
      <c r="E781">
        <v>0</v>
      </c>
      <c r="F781">
        <f t="shared" si="12"/>
        <v>2</v>
      </c>
      <c r="I781">
        <v>20210701</v>
      </c>
      <c r="J781" t="s">
        <v>526</v>
      </c>
    </row>
    <row r="782" spans="1:100" x14ac:dyDescent="0.3">
      <c r="A782" s="160">
        <v>6112</v>
      </c>
      <c r="B782" t="s">
        <v>15966</v>
      </c>
      <c r="C782" t="s">
        <v>504</v>
      </c>
      <c r="D782">
        <v>1.75</v>
      </c>
      <c r="E782">
        <v>0</v>
      </c>
      <c r="F782">
        <f t="shared" si="12"/>
        <v>1.75</v>
      </c>
      <c r="I782">
        <v>20240101</v>
      </c>
      <c r="J782" t="s">
        <v>716</v>
      </c>
    </row>
    <row r="783" spans="1:100" x14ac:dyDescent="0.3">
      <c r="A783" s="160">
        <v>6113</v>
      </c>
      <c r="B783" t="s">
        <v>15967</v>
      </c>
      <c r="C783" t="s">
        <v>530</v>
      </c>
      <c r="D783">
        <v>0.4</v>
      </c>
      <c r="E783">
        <v>0</v>
      </c>
      <c r="F783">
        <f t="shared" si="12"/>
        <v>0.4</v>
      </c>
      <c r="I783">
        <v>20160701</v>
      </c>
      <c r="J783" t="s">
        <v>587</v>
      </c>
    </row>
    <row r="784" spans="1:100" x14ac:dyDescent="0.3">
      <c r="A784" s="160">
        <v>6114</v>
      </c>
      <c r="B784" t="s">
        <v>15968</v>
      </c>
      <c r="C784" t="s">
        <v>523</v>
      </c>
      <c r="D784">
        <v>2</v>
      </c>
      <c r="E784">
        <v>0</v>
      </c>
      <c r="F784">
        <f t="shared" si="12"/>
        <v>2</v>
      </c>
      <c r="I784">
        <v>20120101</v>
      </c>
      <c r="J784" t="s">
        <v>724</v>
      </c>
    </row>
    <row r="785" spans="1:21" x14ac:dyDescent="0.3">
      <c r="A785" s="160">
        <v>6116</v>
      </c>
      <c r="B785" t="s">
        <v>15969</v>
      </c>
      <c r="C785" t="s">
        <v>502</v>
      </c>
      <c r="D785">
        <v>1.75</v>
      </c>
      <c r="E785">
        <v>0</v>
      </c>
      <c r="F785">
        <f t="shared" si="12"/>
        <v>1.75</v>
      </c>
      <c r="I785">
        <v>20240101</v>
      </c>
      <c r="J785" t="s">
        <v>541</v>
      </c>
    </row>
    <row r="786" spans="1:21" x14ac:dyDescent="0.3">
      <c r="A786" s="160">
        <v>6117</v>
      </c>
      <c r="B786" t="s">
        <v>15970</v>
      </c>
      <c r="C786" t="s">
        <v>523</v>
      </c>
      <c r="D786">
        <v>2</v>
      </c>
      <c r="E786">
        <v>0</v>
      </c>
      <c r="F786">
        <f t="shared" si="12"/>
        <v>2</v>
      </c>
      <c r="I786">
        <v>20120101</v>
      </c>
      <c r="J786" t="s">
        <v>586</v>
      </c>
    </row>
    <row r="787" spans="1:21" x14ac:dyDescent="0.3">
      <c r="A787" s="160">
        <v>6118</v>
      </c>
      <c r="B787" t="s">
        <v>15971</v>
      </c>
      <c r="C787" t="s">
        <v>502</v>
      </c>
      <c r="D787">
        <v>1.75</v>
      </c>
      <c r="E787">
        <v>0</v>
      </c>
      <c r="F787">
        <f t="shared" si="12"/>
        <v>1.75</v>
      </c>
      <c r="I787">
        <v>20140101</v>
      </c>
      <c r="J787" t="s">
        <v>548</v>
      </c>
      <c r="K787" t="s">
        <v>718</v>
      </c>
      <c r="L787" t="s">
        <v>719</v>
      </c>
      <c r="M787" t="s">
        <v>725</v>
      </c>
    </row>
    <row r="788" spans="1:21" x14ac:dyDescent="0.3">
      <c r="A788" s="160">
        <v>6119</v>
      </c>
      <c r="B788" t="s">
        <v>15972</v>
      </c>
      <c r="C788" t="s">
        <v>523</v>
      </c>
      <c r="D788">
        <v>2</v>
      </c>
      <c r="E788">
        <v>0</v>
      </c>
      <c r="F788">
        <f t="shared" si="12"/>
        <v>2</v>
      </c>
      <c r="I788">
        <v>20240101</v>
      </c>
      <c r="J788" t="s">
        <v>726</v>
      </c>
    </row>
    <row r="789" spans="1:21" x14ac:dyDescent="0.3">
      <c r="A789" s="160">
        <v>6120</v>
      </c>
      <c r="B789" t="s">
        <v>15973</v>
      </c>
      <c r="C789" t="s">
        <v>523</v>
      </c>
      <c r="D789">
        <v>2</v>
      </c>
      <c r="E789">
        <v>0</v>
      </c>
      <c r="F789">
        <f t="shared" si="12"/>
        <v>2</v>
      </c>
      <c r="I789">
        <v>20240101</v>
      </c>
      <c r="J789" t="s">
        <v>726</v>
      </c>
    </row>
    <row r="790" spans="1:21" x14ac:dyDescent="0.3">
      <c r="A790" s="160">
        <v>6121</v>
      </c>
      <c r="B790" t="s">
        <v>15974</v>
      </c>
      <c r="C790" t="s">
        <v>523</v>
      </c>
      <c r="D790">
        <v>2</v>
      </c>
      <c r="E790">
        <v>0</v>
      </c>
      <c r="F790">
        <f t="shared" si="12"/>
        <v>2</v>
      </c>
      <c r="I790">
        <v>20120101</v>
      </c>
      <c r="J790" t="s">
        <v>727</v>
      </c>
      <c r="K790" t="s">
        <v>728</v>
      </c>
    </row>
    <row r="791" spans="1:21" x14ac:dyDescent="0.3">
      <c r="A791" s="160">
        <v>6122</v>
      </c>
      <c r="B791" t="s">
        <v>15821</v>
      </c>
      <c r="C791" t="s">
        <v>523</v>
      </c>
      <c r="D791">
        <v>2</v>
      </c>
      <c r="E791">
        <v>0</v>
      </c>
      <c r="F791">
        <f t="shared" si="12"/>
        <v>2</v>
      </c>
      <c r="I791">
        <v>20120101</v>
      </c>
      <c r="J791" t="s">
        <v>542</v>
      </c>
      <c r="K791" t="s">
        <v>729</v>
      </c>
    </row>
    <row r="792" spans="1:21" x14ac:dyDescent="0.3">
      <c r="A792" s="160">
        <v>6123</v>
      </c>
      <c r="B792" t="s">
        <v>15975</v>
      </c>
      <c r="C792" t="s">
        <v>523</v>
      </c>
      <c r="D792">
        <v>2</v>
      </c>
      <c r="E792">
        <v>0</v>
      </c>
      <c r="F792">
        <f t="shared" si="12"/>
        <v>2</v>
      </c>
      <c r="I792">
        <v>20120101</v>
      </c>
      <c r="J792" t="s">
        <v>730</v>
      </c>
      <c r="K792" t="s">
        <v>731</v>
      </c>
      <c r="L792" t="s">
        <v>732</v>
      </c>
      <c r="M792" t="s">
        <v>733</v>
      </c>
      <c r="N792" t="s">
        <v>734</v>
      </c>
      <c r="O792" t="s">
        <v>735</v>
      </c>
      <c r="P792" t="s">
        <v>736</v>
      </c>
      <c r="Q792" t="s">
        <v>737</v>
      </c>
      <c r="R792" t="s">
        <v>738</v>
      </c>
      <c r="S792" t="s">
        <v>739</v>
      </c>
      <c r="T792" t="s">
        <v>740</v>
      </c>
      <c r="U792" t="s">
        <v>554</v>
      </c>
    </row>
    <row r="793" spans="1:21" x14ac:dyDescent="0.3">
      <c r="A793" s="160">
        <v>6126</v>
      </c>
      <c r="B793" t="s">
        <v>15976</v>
      </c>
      <c r="C793" t="s">
        <v>523</v>
      </c>
      <c r="D793">
        <v>2</v>
      </c>
      <c r="E793">
        <v>0</v>
      </c>
      <c r="F793">
        <f t="shared" si="12"/>
        <v>2</v>
      </c>
      <c r="I793">
        <v>20120101</v>
      </c>
      <c r="J793" t="s">
        <v>586</v>
      </c>
    </row>
    <row r="794" spans="1:21" x14ac:dyDescent="0.3">
      <c r="A794" s="160">
        <v>6127</v>
      </c>
      <c r="B794" t="s">
        <v>15977</v>
      </c>
      <c r="C794" t="s">
        <v>523</v>
      </c>
      <c r="D794">
        <v>2</v>
      </c>
      <c r="E794">
        <v>0</v>
      </c>
      <c r="F794">
        <f t="shared" si="12"/>
        <v>2</v>
      </c>
      <c r="I794">
        <v>20240101</v>
      </c>
      <c r="J794" t="s">
        <v>533</v>
      </c>
    </row>
    <row r="795" spans="1:21" x14ac:dyDescent="0.3">
      <c r="A795" s="160">
        <v>6128</v>
      </c>
      <c r="B795" t="s">
        <v>15978</v>
      </c>
      <c r="C795" t="s">
        <v>504</v>
      </c>
      <c r="D795">
        <v>1.75</v>
      </c>
      <c r="E795">
        <v>0</v>
      </c>
      <c r="F795">
        <f t="shared" si="12"/>
        <v>1.75</v>
      </c>
      <c r="I795">
        <v>20240101</v>
      </c>
      <c r="J795" t="s">
        <v>741</v>
      </c>
    </row>
    <row r="796" spans="1:21" x14ac:dyDescent="0.3">
      <c r="A796" s="160">
        <v>6129</v>
      </c>
      <c r="B796" t="s">
        <v>15979</v>
      </c>
      <c r="C796" t="s">
        <v>523</v>
      </c>
      <c r="D796">
        <v>2</v>
      </c>
      <c r="E796">
        <v>0</v>
      </c>
      <c r="F796">
        <f t="shared" si="12"/>
        <v>2</v>
      </c>
      <c r="I796">
        <v>20210701</v>
      </c>
      <c r="J796" t="s">
        <v>526</v>
      </c>
    </row>
    <row r="797" spans="1:21" x14ac:dyDescent="0.3">
      <c r="A797" s="160">
        <v>6130</v>
      </c>
      <c r="B797" t="s">
        <v>15980</v>
      </c>
      <c r="C797" t="s">
        <v>502</v>
      </c>
      <c r="D797">
        <v>1.75</v>
      </c>
      <c r="E797">
        <v>0</v>
      </c>
      <c r="F797">
        <f t="shared" si="12"/>
        <v>1.75</v>
      </c>
      <c r="I797">
        <v>20140101</v>
      </c>
      <c r="J797" t="s">
        <v>589</v>
      </c>
    </row>
    <row r="798" spans="1:21" x14ac:dyDescent="0.3">
      <c r="A798" s="160">
        <v>6131</v>
      </c>
      <c r="B798" t="s">
        <v>15981</v>
      </c>
      <c r="C798" t="s">
        <v>500</v>
      </c>
      <c r="D798">
        <v>0</v>
      </c>
      <c r="E798">
        <v>0</v>
      </c>
      <c r="F798">
        <f t="shared" si="12"/>
        <v>0</v>
      </c>
      <c r="I798">
        <v>20140101</v>
      </c>
      <c r="J798" t="s">
        <v>501</v>
      </c>
    </row>
    <row r="799" spans="1:21" x14ac:dyDescent="0.3">
      <c r="A799" s="160">
        <v>6132</v>
      </c>
      <c r="B799" t="s">
        <v>15982</v>
      </c>
      <c r="C799" t="s">
        <v>530</v>
      </c>
      <c r="D799">
        <v>0.4</v>
      </c>
      <c r="E799">
        <v>0</v>
      </c>
      <c r="F799">
        <f t="shared" si="12"/>
        <v>0.4</v>
      </c>
      <c r="I799">
        <v>20160701</v>
      </c>
      <c r="J799" t="s">
        <v>540</v>
      </c>
    </row>
    <row r="800" spans="1:21" x14ac:dyDescent="0.3">
      <c r="A800" s="160">
        <v>6134</v>
      </c>
      <c r="B800" t="s">
        <v>15983</v>
      </c>
      <c r="C800" t="s">
        <v>502</v>
      </c>
      <c r="D800">
        <v>1.75</v>
      </c>
      <c r="E800">
        <v>0</v>
      </c>
      <c r="F800">
        <f t="shared" si="12"/>
        <v>1.75</v>
      </c>
      <c r="I800">
        <v>20240101</v>
      </c>
      <c r="J800" t="s">
        <v>503</v>
      </c>
    </row>
    <row r="801" spans="1:22" x14ac:dyDescent="0.3">
      <c r="A801" s="160">
        <v>6136</v>
      </c>
      <c r="B801" t="s">
        <v>15984</v>
      </c>
      <c r="C801" t="s">
        <v>530</v>
      </c>
      <c r="D801">
        <v>0.4</v>
      </c>
      <c r="E801">
        <v>0</v>
      </c>
      <c r="F801">
        <f t="shared" si="12"/>
        <v>0.4</v>
      </c>
      <c r="I801">
        <v>20160701</v>
      </c>
      <c r="J801" t="s">
        <v>624</v>
      </c>
      <c r="K801" t="s">
        <v>611</v>
      </c>
    </row>
    <row r="802" spans="1:22" x14ac:dyDescent="0.3">
      <c r="A802" s="160">
        <v>6137</v>
      </c>
      <c r="B802" t="s">
        <v>15985</v>
      </c>
      <c r="C802" t="s">
        <v>502</v>
      </c>
      <c r="D802">
        <v>1.75</v>
      </c>
      <c r="E802">
        <v>0</v>
      </c>
      <c r="F802">
        <f t="shared" si="12"/>
        <v>1.75</v>
      </c>
      <c r="I802">
        <v>20140101</v>
      </c>
      <c r="J802" t="s">
        <v>548</v>
      </c>
    </row>
    <row r="803" spans="1:22" x14ac:dyDescent="0.3">
      <c r="A803" s="160">
        <v>6138</v>
      </c>
      <c r="B803" t="s">
        <v>15986</v>
      </c>
      <c r="C803" t="s">
        <v>559</v>
      </c>
      <c r="D803">
        <v>1.75</v>
      </c>
      <c r="E803">
        <v>0</v>
      </c>
      <c r="F803">
        <f t="shared" si="12"/>
        <v>1.75</v>
      </c>
      <c r="I803">
        <v>20140501</v>
      </c>
      <c r="J803" t="s">
        <v>608</v>
      </c>
      <c r="K803" t="s">
        <v>742</v>
      </c>
    </row>
    <row r="804" spans="1:22" x14ac:dyDescent="0.3">
      <c r="A804" s="160">
        <v>6140</v>
      </c>
      <c r="B804" t="s">
        <v>15987</v>
      </c>
      <c r="C804" t="s">
        <v>502</v>
      </c>
      <c r="D804">
        <v>1.75</v>
      </c>
      <c r="E804">
        <v>0</v>
      </c>
      <c r="F804">
        <f t="shared" si="12"/>
        <v>1.75</v>
      </c>
      <c r="I804">
        <v>20140101</v>
      </c>
      <c r="J804" t="s">
        <v>548</v>
      </c>
      <c r="K804" t="s">
        <v>718</v>
      </c>
      <c r="L804" t="s">
        <v>719</v>
      </c>
    </row>
    <row r="805" spans="1:22" x14ac:dyDescent="0.3">
      <c r="A805" s="160">
        <v>6144</v>
      </c>
      <c r="B805" t="s">
        <v>15988</v>
      </c>
      <c r="C805" t="s">
        <v>523</v>
      </c>
      <c r="D805">
        <v>2</v>
      </c>
      <c r="E805">
        <v>0</v>
      </c>
      <c r="F805">
        <f t="shared" si="12"/>
        <v>2</v>
      </c>
      <c r="I805">
        <v>20210701</v>
      </c>
      <c r="J805" t="s">
        <v>526</v>
      </c>
    </row>
    <row r="806" spans="1:22" x14ac:dyDescent="0.3">
      <c r="A806" s="160">
        <v>6146</v>
      </c>
      <c r="B806" t="s">
        <v>15989</v>
      </c>
      <c r="C806" t="s">
        <v>523</v>
      </c>
      <c r="D806">
        <v>2</v>
      </c>
      <c r="E806">
        <v>0</v>
      </c>
      <c r="F806">
        <f t="shared" si="12"/>
        <v>2</v>
      </c>
      <c r="I806">
        <v>20210701</v>
      </c>
      <c r="J806" t="s">
        <v>526</v>
      </c>
    </row>
    <row r="807" spans="1:22" x14ac:dyDescent="0.3">
      <c r="A807" s="160">
        <v>6147</v>
      </c>
      <c r="B807" t="s">
        <v>15990</v>
      </c>
      <c r="C807" t="s">
        <v>523</v>
      </c>
      <c r="D807">
        <v>2</v>
      </c>
      <c r="E807">
        <v>0</v>
      </c>
      <c r="F807">
        <f t="shared" si="12"/>
        <v>2</v>
      </c>
      <c r="I807">
        <v>20120101</v>
      </c>
      <c r="J807" t="s">
        <v>743</v>
      </c>
    </row>
    <row r="808" spans="1:22" x14ac:dyDescent="0.3">
      <c r="A808" s="160">
        <v>6148</v>
      </c>
      <c r="B808" t="s">
        <v>15991</v>
      </c>
      <c r="C808" t="s">
        <v>504</v>
      </c>
      <c r="D808">
        <v>1.75</v>
      </c>
      <c r="E808">
        <v>0</v>
      </c>
      <c r="F808">
        <f t="shared" si="12"/>
        <v>1.75</v>
      </c>
      <c r="I808">
        <v>20240101</v>
      </c>
      <c r="J808" t="s">
        <v>592</v>
      </c>
    </row>
    <row r="809" spans="1:22" x14ac:dyDescent="0.3">
      <c r="A809" s="160">
        <v>6149</v>
      </c>
      <c r="B809" t="s">
        <v>15992</v>
      </c>
      <c r="C809" t="s">
        <v>523</v>
      </c>
      <c r="D809">
        <v>2</v>
      </c>
      <c r="E809">
        <v>0</v>
      </c>
      <c r="F809">
        <f t="shared" si="12"/>
        <v>2</v>
      </c>
      <c r="I809">
        <v>20120101</v>
      </c>
      <c r="J809" t="s">
        <v>744</v>
      </c>
      <c r="K809" t="s">
        <v>745</v>
      </c>
      <c r="L809" t="s">
        <v>746</v>
      </c>
      <c r="M809" t="s">
        <v>747</v>
      </c>
      <c r="N809" t="s">
        <v>748</v>
      </c>
      <c r="O809" t="s">
        <v>749</v>
      </c>
    </row>
    <row r="810" spans="1:22" x14ac:dyDescent="0.3">
      <c r="A810" s="160">
        <v>6150</v>
      </c>
      <c r="B810" t="s">
        <v>15993</v>
      </c>
      <c r="C810" t="s">
        <v>530</v>
      </c>
      <c r="D810">
        <v>0.4</v>
      </c>
      <c r="E810">
        <v>0</v>
      </c>
      <c r="F810">
        <f t="shared" si="12"/>
        <v>0.4</v>
      </c>
      <c r="I810">
        <v>20160701</v>
      </c>
      <c r="J810" t="s">
        <v>584</v>
      </c>
    </row>
    <row r="811" spans="1:22" x14ac:dyDescent="0.3">
      <c r="A811" s="160">
        <v>6151</v>
      </c>
      <c r="B811" t="s">
        <v>15994</v>
      </c>
      <c r="C811" t="s">
        <v>523</v>
      </c>
      <c r="D811">
        <v>2</v>
      </c>
      <c r="E811">
        <v>0</v>
      </c>
      <c r="F811">
        <f t="shared" si="12"/>
        <v>2</v>
      </c>
      <c r="I811">
        <v>20210701</v>
      </c>
      <c r="J811" t="s">
        <v>533</v>
      </c>
    </row>
    <row r="812" spans="1:22" x14ac:dyDescent="0.3">
      <c r="A812" s="160">
        <v>6152</v>
      </c>
      <c r="B812" t="s">
        <v>15995</v>
      </c>
      <c r="C812" t="s">
        <v>504</v>
      </c>
      <c r="D812">
        <v>1.75</v>
      </c>
      <c r="E812">
        <v>0</v>
      </c>
      <c r="F812">
        <f t="shared" si="12"/>
        <v>1.75</v>
      </c>
      <c r="I812">
        <v>20240101</v>
      </c>
      <c r="J812" t="s">
        <v>750</v>
      </c>
      <c r="K812" t="s">
        <v>520</v>
      </c>
      <c r="L812" t="s">
        <v>536</v>
      </c>
      <c r="M812" t="s">
        <v>537</v>
      </c>
      <c r="N812" t="s">
        <v>521</v>
      </c>
      <c r="O812" t="s">
        <v>538</v>
      </c>
      <c r="P812" t="s">
        <v>522</v>
      </c>
      <c r="Q812" t="s">
        <v>751</v>
      </c>
      <c r="R812" t="s">
        <v>752</v>
      </c>
      <c r="S812" t="s">
        <v>753</v>
      </c>
      <c r="T812" t="s">
        <v>754</v>
      </c>
      <c r="U812" t="s">
        <v>755</v>
      </c>
      <c r="V812" t="s">
        <v>756</v>
      </c>
    </row>
    <row r="813" spans="1:22" x14ac:dyDescent="0.3">
      <c r="A813" s="160">
        <v>6153</v>
      </c>
      <c r="B813" t="s">
        <v>15996</v>
      </c>
      <c r="C813" t="s">
        <v>523</v>
      </c>
      <c r="D813">
        <v>2</v>
      </c>
      <c r="E813">
        <v>0</v>
      </c>
      <c r="F813">
        <f t="shared" si="12"/>
        <v>2</v>
      </c>
      <c r="I813">
        <v>20210701</v>
      </c>
      <c r="J813" t="s">
        <v>526</v>
      </c>
    </row>
    <row r="814" spans="1:22" x14ac:dyDescent="0.3">
      <c r="A814" s="160">
        <v>6154</v>
      </c>
      <c r="B814" t="s">
        <v>15997</v>
      </c>
      <c r="C814" t="s">
        <v>502</v>
      </c>
      <c r="D814">
        <v>1.75</v>
      </c>
      <c r="E814">
        <v>0</v>
      </c>
      <c r="F814">
        <f t="shared" si="12"/>
        <v>1.75</v>
      </c>
      <c r="I814">
        <v>20240101</v>
      </c>
      <c r="J814" t="s">
        <v>503</v>
      </c>
    </row>
    <row r="815" spans="1:22" x14ac:dyDescent="0.3">
      <c r="A815" s="160">
        <v>6155</v>
      </c>
      <c r="B815" t="s">
        <v>15998</v>
      </c>
      <c r="C815" t="s">
        <v>504</v>
      </c>
      <c r="D815">
        <v>1.75</v>
      </c>
      <c r="E815">
        <v>0</v>
      </c>
      <c r="F815">
        <f t="shared" si="12"/>
        <v>1.75</v>
      </c>
      <c r="I815">
        <v>20240101</v>
      </c>
      <c r="J815" t="s">
        <v>757</v>
      </c>
      <c r="K815" t="s">
        <v>758</v>
      </c>
      <c r="L815" t="s">
        <v>759</v>
      </c>
      <c r="M815" t="s">
        <v>760</v>
      </c>
      <c r="N815" t="s">
        <v>761</v>
      </c>
      <c r="O815" t="s">
        <v>762</v>
      </c>
      <c r="P815" t="s">
        <v>763</v>
      </c>
      <c r="Q815" t="s">
        <v>764</v>
      </c>
      <c r="R815" t="s">
        <v>536</v>
      </c>
      <c r="S815" t="s">
        <v>538</v>
      </c>
    </row>
    <row r="816" spans="1:22" x14ac:dyDescent="0.3">
      <c r="A816" s="160">
        <v>6156</v>
      </c>
      <c r="B816" t="s">
        <v>15999</v>
      </c>
      <c r="C816" t="s">
        <v>523</v>
      </c>
      <c r="D816">
        <v>2</v>
      </c>
      <c r="E816">
        <v>0</v>
      </c>
      <c r="F816">
        <f t="shared" si="12"/>
        <v>2</v>
      </c>
      <c r="I816">
        <v>20240101</v>
      </c>
      <c r="J816" t="s">
        <v>533</v>
      </c>
    </row>
    <row r="817" spans="1:17" x14ac:dyDescent="0.3">
      <c r="A817" s="160">
        <v>6157</v>
      </c>
      <c r="B817" t="s">
        <v>16000</v>
      </c>
      <c r="C817" t="s">
        <v>523</v>
      </c>
      <c r="D817">
        <v>2</v>
      </c>
      <c r="E817">
        <v>0</v>
      </c>
      <c r="F817">
        <f t="shared" si="12"/>
        <v>2</v>
      </c>
      <c r="I817">
        <v>20120101</v>
      </c>
      <c r="J817" t="s">
        <v>592</v>
      </c>
      <c r="K817" t="s">
        <v>663</v>
      </c>
      <c r="L817" t="s">
        <v>765</v>
      </c>
      <c r="M817" t="s">
        <v>766</v>
      </c>
    </row>
    <row r="818" spans="1:17" x14ac:dyDescent="0.3">
      <c r="A818" s="160">
        <v>6159</v>
      </c>
      <c r="B818" t="s">
        <v>16001</v>
      </c>
      <c r="C818" t="s">
        <v>523</v>
      </c>
      <c r="D818">
        <v>2</v>
      </c>
      <c r="E818">
        <v>0</v>
      </c>
      <c r="F818">
        <f t="shared" si="12"/>
        <v>2</v>
      </c>
      <c r="I818">
        <v>20120101</v>
      </c>
      <c r="J818" t="s">
        <v>727</v>
      </c>
      <c r="K818" t="s">
        <v>767</v>
      </c>
      <c r="L818" t="s">
        <v>768</v>
      </c>
      <c r="M818" t="s">
        <v>769</v>
      </c>
      <c r="N818" t="s">
        <v>770</v>
      </c>
      <c r="O818" t="s">
        <v>771</v>
      </c>
      <c r="P818" t="s">
        <v>772</v>
      </c>
      <c r="Q818" t="s">
        <v>773</v>
      </c>
    </row>
    <row r="819" spans="1:17" x14ac:dyDescent="0.3">
      <c r="A819" s="160">
        <v>6161</v>
      </c>
      <c r="B819" t="s">
        <v>16002</v>
      </c>
      <c r="C819" t="s">
        <v>504</v>
      </c>
      <c r="D819">
        <v>1.75</v>
      </c>
      <c r="E819">
        <v>0</v>
      </c>
      <c r="F819">
        <f t="shared" si="12"/>
        <v>1.75</v>
      </c>
      <c r="I819">
        <v>20240101</v>
      </c>
      <c r="J819" t="s">
        <v>774</v>
      </c>
      <c r="K819" t="s">
        <v>775</v>
      </c>
      <c r="L819" t="s">
        <v>776</v>
      </c>
      <c r="M819" t="s">
        <v>777</v>
      </c>
      <c r="N819" t="s">
        <v>778</v>
      </c>
    </row>
    <row r="820" spans="1:17" x14ac:dyDescent="0.3">
      <c r="A820" s="160">
        <v>6162</v>
      </c>
      <c r="B820" t="s">
        <v>16003</v>
      </c>
      <c r="C820" t="s">
        <v>530</v>
      </c>
      <c r="D820">
        <v>0.4</v>
      </c>
      <c r="E820">
        <v>0</v>
      </c>
      <c r="F820">
        <f t="shared" si="12"/>
        <v>0.4</v>
      </c>
      <c r="I820">
        <v>20160701</v>
      </c>
      <c r="J820" t="s">
        <v>779</v>
      </c>
    </row>
    <row r="821" spans="1:17" x14ac:dyDescent="0.3">
      <c r="A821" s="160">
        <v>6163</v>
      </c>
      <c r="B821" t="s">
        <v>16004</v>
      </c>
      <c r="C821" t="s">
        <v>530</v>
      </c>
      <c r="D821">
        <v>0.4</v>
      </c>
      <c r="E821">
        <v>0</v>
      </c>
      <c r="F821">
        <f t="shared" si="12"/>
        <v>0.4</v>
      </c>
      <c r="I821">
        <v>20160701</v>
      </c>
      <c r="J821" t="s">
        <v>779</v>
      </c>
    </row>
    <row r="822" spans="1:17" x14ac:dyDescent="0.3">
      <c r="A822" s="160">
        <v>7004</v>
      </c>
      <c r="B822" t="s">
        <v>16005</v>
      </c>
      <c r="C822" t="s">
        <v>780</v>
      </c>
      <c r="D822">
        <v>0.6</v>
      </c>
      <c r="E822">
        <v>0</v>
      </c>
      <c r="F822">
        <f t="shared" si="12"/>
        <v>0.6</v>
      </c>
      <c r="I822">
        <v>20240101</v>
      </c>
      <c r="J822" t="s">
        <v>781</v>
      </c>
    </row>
    <row r="823" spans="1:17" x14ac:dyDescent="0.3">
      <c r="A823" s="160">
        <v>7005</v>
      </c>
      <c r="C823" t="s">
        <v>27523</v>
      </c>
      <c r="D823">
        <v>0.6</v>
      </c>
      <c r="E823">
        <v>0</v>
      </c>
      <c r="F823">
        <f t="shared" si="12"/>
        <v>0.6</v>
      </c>
      <c r="I823">
        <v>20250101</v>
      </c>
      <c r="J823" t="s">
        <v>27524</v>
      </c>
    </row>
    <row r="824" spans="1:17" x14ac:dyDescent="0.3">
      <c r="A824" s="160">
        <v>7007</v>
      </c>
      <c r="B824" t="s">
        <v>16006</v>
      </c>
      <c r="C824" t="s">
        <v>16007</v>
      </c>
      <c r="D824">
        <v>1.5</v>
      </c>
      <c r="E824">
        <v>0</v>
      </c>
      <c r="F824">
        <f t="shared" si="12"/>
        <v>1.5</v>
      </c>
      <c r="I824">
        <v>20240101</v>
      </c>
      <c r="J824" t="s">
        <v>782</v>
      </c>
    </row>
    <row r="825" spans="1:17" x14ac:dyDescent="0.3">
      <c r="A825" s="160">
        <v>7008</v>
      </c>
      <c r="B825" t="s">
        <v>16008</v>
      </c>
      <c r="C825" t="s">
        <v>780</v>
      </c>
      <c r="D825">
        <v>0.6</v>
      </c>
      <c r="E825">
        <v>0</v>
      </c>
      <c r="F825">
        <f t="shared" si="12"/>
        <v>0.6</v>
      </c>
      <c r="I825">
        <v>20180101</v>
      </c>
      <c r="J825" t="s">
        <v>783</v>
      </c>
      <c r="K825" t="s">
        <v>784</v>
      </c>
    </row>
    <row r="826" spans="1:17" x14ac:dyDescent="0.3">
      <c r="A826" s="160">
        <v>7010</v>
      </c>
      <c r="B826" t="s">
        <v>16009</v>
      </c>
      <c r="C826" t="s">
        <v>785</v>
      </c>
      <c r="D826">
        <v>0.55000000000000004</v>
      </c>
      <c r="E826">
        <v>0</v>
      </c>
      <c r="F826">
        <f t="shared" si="12"/>
        <v>0.55000000000000004</v>
      </c>
      <c r="I826">
        <v>20140101</v>
      </c>
      <c r="J826" t="s">
        <v>786</v>
      </c>
      <c r="K826" t="s">
        <v>787</v>
      </c>
      <c r="L826" t="s">
        <v>788</v>
      </c>
      <c r="M826" t="s">
        <v>789</v>
      </c>
      <c r="N826" t="s">
        <v>790</v>
      </c>
      <c r="O826" t="s">
        <v>791</v>
      </c>
      <c r="P826" t="s">
        <v>792</v>
      </c>
    </row>
    <row r="827" spans="1:17" x14ac:dyDescent="0.3">
      <c r="A827" s="160">
        <v>7013</v>
      </c>
      <c r="B827" t="s">
        <v>16010</v>
      </c>
      <c r="C827" t="s">
        <v>785</v>
      </c>
      <c r="D827">
        <v>0</v>
      </c>
      <c r="E827">
        <v>0</v>
      </c>
      <c r="F827">
        <f t="shared" si="12"/>
        <v>0</v>
      </c>
      <c r="I827">
        <v>20180101</v>
      </c>
      <c r="J827" t="s">
        <v>793</v>
      </c>
    </row>
    <row r="828" spans="1:17" x14ac:dyDescent="0.3">
      <c r="A828" s="160">
        <v>7014</v>
      </c>
      <c r="B828" t="s">
        <v>16011</v>
      </c>
      <c r="C828" t="s">
        <v>794</v>
      </c>
      <c r="D828">
        <v>0.5</v>
      </c>
      <c r="E828">
        <v>0</v>
      </c>
      <c r="F828">
        <f t="shared" si="12"/>
        <v>0.5</v>
      </c>
      <c r="I828">
        <v>20240101</v>
      </c>
      <c r="J828" t="s">
        <v>795</v>
      </c>
    </row>
    <row r="829" spans="1:17" x14ac:dyDescent="0.3">
      <c r="A829" s="160">
        <v>7020</v>
      </c>
      <c r="C829" t="s">
        <v>27523</v>
      </c>
      <c r="D829">
        <v>0.6</v>
      </c>
      <c r="E829">
        <v>0</v>
      </c>
      <c r="F829">
        <f t="shared" si="12"/>
        <v>0.6</v>
      </c>
      <c r="I829">
        <v>20250101</v>
      </c>
      <c r="J829" t="s">
        <v>27524</v>
      </c>
    </row>
    <row r="830" spans="1:17" x14ac:dyDescent="0.3">
      <c r="A830" s="160">
        <v>7022</v>
      </c>
      <c r="C830" t="s">
        <v>27523</v>
      </c>
      <c r="D830">
        <v>0.6</v>
      </c>
      <c r="E830">
        <v>0</v>
      </c>
      <c r="F830">
        <f t="shared" si="12"/>
        <v>0.6</v>
      </c>
      <c r="I830">
        <v>20250101</v>
      </c>
      <c r="J830" t="s">
        <v>784</v>
      </c>
    </row>
    <row r="831" spans="1:17" x14ac:dyDescent="0.3">
      <c r="A831" s="160">
        <v>7027</v>
      </c>
      <c r="B831" t="s">
        <v>16012</v>
      </c>
      <c r="C831" t="s">
        <v>780</v>
      </c>
      <c r="D831">
        <v>0.6</v>
      </c>
      <c r="E831">
        <v>0</v>
      </c>
      <c r="F831">
        <f t="shared" si="12"/>
        <v>0.6</v>
      </c>
      <c r="I831">
        <v>20180101</v>
      </c>
      <c r="J831" t="s">
        <v>796</v>
      </c>
    </row>
    <row r="832" spans="1:17" x14ac:dyDescent="0.3">
      <c r="A832" s="160">
        <v>7030</v>
      </c>
      <c r="B832" t="s">
        <v>16013</v>
      </c>
      <c r="C832" t="s">
        <v>780</v>
      </c>
      <c r="D832">
        <v>0.6</v>
      </c>
      <c r="E832">
        <v>0</v>
      </c>
      <c r="F832">
        <f t="shared" si="12"/>
        <v>0.6</v>
      </c>
      <c r="I832">
        <v>20240101</v>
      </c>
      <c r="J832" t="s">
        <v>797</v>
      </c>
    </row>
    <row r="833" spans="1:11" x14ac:dyDescent="0.3">
      <c r="A833" s="160">
        <v>7035</v>
      </c>
      <c r="B833" t="s">
        <v>16014</v>
      </c>
      <c r="C833" t="s">
        <v>16007</v>
      </c>
      <c r="D833">
        <v>1.5</v>
      </c>
      <c r="E833">
        <v>0</v>
      </c>
      <c r="F833">
        <f t="shared" si="12"/>
        <v>1.5</v>
      </c>
      <c r="I833">
        <v>20240101</v>
      </c>
      <c r="J833" t="s">
        <v>782</v>
      </c>
    </row>
    <row r="834" spans="1:11" x14ac:dyDescent="0.3">
      <c r="A834" s="160">
        <v>7036</v>
      </c>
      <c r="B834" t="s">
        <v>16015</v>
      </c>
      <c r="C834" t="s">
        <v>785</v>
      </c>
      <c r="D834">
        <v>0</v>
      </c>
      <c r="E834">
        <v>0</v>
      </c>
      <c r="F834">
        <f t="shared" si="12"/>
        <v>0</v>
      </c>
      <c r="I834">
        <v>20180101</v>
      </c>
      <c r="J834" t="s">
        <v>798</v>
      </c>
    </row>
    <row r="835" spans="1:11" x14ac:dyDescent="0.3">
      <c r="A835" s="160">
        <v>7039</v>
      </c>
      <c r="B835" t="s">
        <v>16016</v>
      </c>
      <c r="C835" t="s">
        <v>794</v>
      </c>
      <c r="D835">
        <v>0.5</v>
      </c>
      <c r="E835">
        <v>0</v>
      </c>
      <c r="F835">
        <f t="shared" si="12"/>
        <v>0.5</v>
      </c>
      <c r="I835">
        <v>20240101</v>
      </c>
      <c r="J835" t="s">
        <v>795</v>
      </c>
    </row>
    <row r="836" spans="1:11" x14ac:dyDescent="0.3">
      <c r="A836" s="160">
        <v>7040</v>
      </c>
      <c r="B836" t="s">
        <v>16017</v>
      </c>
      <c r="C836" t="s">
        <v>794</v>
      </c>
      <c r="D836">
        <v>0.5</v>
      </c>
      <c r="E836">
        <v>0</v>
      </c>
      <c r="F836">
        <f t="shared" si="12"/>
        <v>0.5</v>
      </c>
      <c r="I836">
        <v>20230701</v>
      </c>
      <c r="J836" t="s">
        <v>799</v>
      </c>
    </row>
    <row r="837" spans="1:11" x14ac:dyDescent="0.3">
      <c r="A837" s="160">
        <v>7041</v>
      </c>
      <c r="B837" t="s">
        <v>16018</v>
      </c>
      <c r="C837" t="s">
        <v>785</v>
      </c>
      <c r="D837">
        <v>0.55000000000000004</v>
      </c>
      <c r="E837">
        <v>0</v>
      </c>
      <c r="F837">
        <f t="shared" si="12"/>
        <v>0.55000000000000004</v>
      </c>
      <c r="I837">
        <v>20160701</v>
      </c>
      <c r="J837" t="s">
        <v>786</v>
      </c>
    </row>
    <row r="838" spans="1:11" x14ac:dyDescent="0.3">
      <c r="A838" s="160">
        <v>7044</v>
      </c>
      <c r="B838" t="s">
        <v>16019</v>
      </c>
      <c r="C838" t="s">
        <v>785</v>
      </c>
      <c r="D838">
        <v>0</v>
      </c>
      <c r="E838">
        <v>0</v>
      </c>
      <c r="F838">
        <f t="shared" si="12"/>
        <v>0</v>
      </c>
      <c r="I838">
        <v>20180101</v>
      </c>
      <c r="J838" t="s">
        <v>798</v>
      </c>
    </row>
    <row r="839" spans="1:11" x14ac:dyDescent="0.3">
      <c r="A839" s="160">
        <v>7048</v>
      </c>
      <c r="B839" t="s">
        <v>16020</v>
      </c>
      <c r="C839" t="s">
        <v>780</v>
      </c>
      <c r="D839">
        <v>0.6</v>
      </c>
      <c r="E839">
        <v>0</v>
      </c>
      <c r="F839">
        <f t="shared" ref="F839:F902" si="13">D839+E839</f>
        <v>0.6</v>
      </c>
      <c r="I839">
        <v>20240101</v>
      </c>
      <c r="J839" t="s">
        <v>800</v>
      </c>
    </row>
    <row r="840" spans="1:11" x14ac:dyDescent="0.3">
      <c r="A840" s="160">
        <v>7052</v>
      </c>
      <c r="B840" t="s">
        <v>16021</v>
      </c>
      <c r="C840" t="s">
        <v>16007</v>
      </c>
      <c r="D840">
        <v>1.5</v>
      </c>
      <c r="E840">
        <v>0</v>
      </c>
      <c r="F840">
        <f t="shared" si="13"/>
        <v>1.5</v>
      </c>
      <c r="I840">
        <v>20240101</v>
      </c>
      <c r="J840" t="s">
        <v>782</v>
      </c>
    </row>
    <row r="841" spans="1:11" x14ac:dyDescent="0.3">
      <c r="A841" s="160">
        <v>7055</v>
      </c>
      <c r="B841" t="s">
        <v>16022</v>
      </c>
      <c r="C841" t="s">
        <v>16007</v>
      </c>
      <c r="D841">
        <v>1.5</v>
      </c>
      <c r="E841">
        <v>0</v>
      </c>
      <c r="F841">
        <f t="shared" si="13"/>
        <v>1.5</v>
      </c>
      <c r="I841">
        <v>20240101</v>
      </c>
      <c r="J841" t="s">
        <v>796</v>
      </c>
    </row>
    <row r="842" spans="1:11" x14ac:dyDescent="0.3">
      <c r="A842" s="160">
        <v>7056</v>
      </c>
      <c r="B842" t="s">
        <v>16023</v>
      </c>
      <c r="C842" t="s">
        <v>785</v>
      </c>
      <c r="D842">
        <v>0</v>
      </c>
      <c r="E842">
        <v>0</v>
      </c>
      <c r="F842">
        <f t="shared" si="13"/>
        <v>0</v>
      </c>
      <c r="I842">
        <v>20180101</v>
      </c>
      <c r="J842" t="s">
        <v>798</v>
      </c>
    </row>
    <row r="843" spans="1:11" x14ac:dyDescent="0.3">
      <c r="A843" s="160">
        <v>7059</v>
      </c>
      <c r="B843" t="s">
        <v>16024</v>
      </c>
      <c r="C843" t="s">
        <v>16007</v>
      </c>
      <c r="D843">
        <v>1.5</v>
      </c>
      <c r="E843">
        <v>0</v>
      </c>
      <c r="F843">
        <f t="shared" si="13"/>
        <v>1.5</v>
      </c>
      <c r="I843">
        <v>20240101</v>
      </c>
      <c r="J843" t="s">
        <v>801</v>
      </c>
    </row>
    <row r="844" spans="1:11" x14ac:dyDescent="0.3">
      <c r="A844" s="160">
        <v>7060</v>
      </c>
      <c r="B844" t="s">
        <v>16025</v>
      </c>
      <c r="C844" t="s">
        <v>780</v>
      </c>
      <c r="D844">
        <v>0.6</v>
      </c>
      <c r="E844">
        <v>0</v>
      </c>
      <c r="F844">
        <f t="shared" si="13"/>
        <v>0.6</v>
      </c>
      <c r="I844">
        <v>20240101</v>
      </c>
      <c r="J844" t="s">
        <v>800</v>
      </c>
    </row>
    <row r="845" spans="1:11" x14ac:dyDescent="0.3">
      <c r="A845" s="160">
        <v>7063</v>
      </c>
      <c r="B845" t="s">
        <v>16026</v>
      </c>
      <c r="C845" t="s">
        <v>794</v>
      </c>
      <c r="D845">
        <v>0.5</v>
      </c>
      <c r="E845">
        <v>0</v>
      </c>
      <c r="F845">
        <f t="shared" si="13"/>
        <v>0.5</v>
      </c>
      <c r="I845">
        <v>20230701</v>
      </c>
      <c r="J845" t="s">
        <v>802</v>
      </c>
    </row>
    <row r="846" spans="1:11" x14ac:dyDescent="0.3">
      <c r="A846" s="160">
        <v>7066</v>
      </c>
      <c r="B846" t="s">
        <v>16027</v>
      </c>
      <c r="C846" t="s">
        <v>780</v>
      </c>
      <c r="D846">
        <v>0.6</v>
      </c>
      <c r="E846">
        <v>0</v>
      </c>
      <c r="F846">
        <f t="shared" si="13"/>
        <v>0.6</v>
      </c>
      <c r="I846">
        <v>20180101</v>
      </c>
      <c r="J846" t="s">
        <v>803</v>
      </c>
      <c r="K846" t="s">
        <v>784</v>
      </c>
    </row>
    <row r="847" spans="1:11" x14ac:dyDescent="0.3">
      <c r="A847" s="160">
        <v>7067</v>
      </c>
      <c r="B847" t="s">
        <v>16028</v>
      </c>
      <c r="C847" t="s">
        <v>785</v>
      </c>
      <c r="D847">
        <v>0</v>
      </c>
      <c r="E847">
        <v>0</v>
      </c>
      <c r="F847">
        <f t="shared" si="13"/>
        <v>0</v>
      </c>
      <c r="I847">
        <v>20180101</v>
      </c>
      <c r="J847" t="s">
        <v>804</v>
      </c>
    </row>
    <row r="848" spans="1:11" x14ac:dyDescent="0.3">
      <c r="A848" s="160">
        <v>7068</v>
      </c>
      <c r="B848" t="s">
        <v>16029</v>
      </c>
      <c r="C848" t="s">
        <v>794</v>
      </c>
      <c r="D848">
        <v>0.5</v>
      </c>
      <c r="E848">
        <v>0</v>
      </c>
      <c r="F848">
        <f t="shared" si="13"/>
        <v>0.5</v>
      </c>
      <c r="I848">
        <v>20230701</v>
      </c>
      <c r="J848" t="s">
        <v>799</v>
      </c>
    </row>
    <row r="849" spans="1:14" x14ac:dyDescent="0.3">
      <c r="A849" s="160">
        <v>7069</v>
      </c>
      <c r="B849" t="s">
        <v>16030</v>
      </c>
      <c r="C849" t="s">
        <v>794</v>
      </c>
      <c r="D849">
        <v>0.5</v>
      </c>
      <c r="E849">
        <v>0</v>
      </c>
      <c r="F849">
        <f t="shared" si="13"/>
        <v>0.5</v>
      </c>
      <c r="I849">
        <v>20240101</v>
      </c>
      <c r="J849" t="s">
        <v>795</v>
      </c>
    </row>
    <row r="850" spans="1:14" x14ac:dyDescent="0.3">
      <c r="A850" s="160">
        <v>7070</v>
      </c>
      <c r="B850" t="s">
        <v>16031</v>
      </c>
      <c r="C850" t="s">
        <v>16007</v>
      </c>
      <c r="D850">
        <v>1.5</v>
      </c>
      <c r="E850">
        <v>0</v>
      </c>
      <c r="F850">
        <f t="shared" si="13"/>
        <v>1.5</v>
      </c>
      <c r="I850">
        <v>20240101</v>
      </c>
      <c r="J850" t="s">
        <v>801</v>
      </c>
      <c r="K850" t="s">
        <v>805</v>
      </c>
    </row>
    <row r="851" spans="1:14" x14ac:dyDescent="0.3">
      <c r="A851" s="160">
        <v>7072</v>
      </c>
      <c r="B851" t="s">
        <v>16032</v>
      </c>
      <c r="C851" t="s">
        <v>780</v>
      </c>
      <c r="D851">
        <v>0.6</v>
      </c>
      <c r="E851">
        <v>0</v>
      </c>
      <c r="F851">
        <f t="shared" si="13"/>
        <v>0.6</v>
      </c>
      <c r="I851">
        <v>20180101</v>
      </c>
      <c r="J851" t="s">
        <v>781</v>
      </c>
      <c r="K851" t="s">
        <v>783</v>
      </c>
      <c r="L851" t="s">
        <v>806</v>
      </c>
      <c r="M851" t="s">
        <v>803</v>
      </c>
      <c r="N851" t="s">
        <v>807</v>
      </c>
    </row>
    <row r="852" spans="1:14" x14ac:dyDescent="0.3">
      <c r="A852" s="160">
        <v>7074</v>
      </c>
      <c r="B852" t="s">
        <v>16033</v>
      </c>
      <c r="C852" t="s">
        <v>780</v>
      </c>
      <c r="D852">
        <v>0.6</v>
      </c>
      <c r="E852">
        <v>0</v>
      </c>
      <c r="F852">
        <f t="shared" si="13"/>
        <v>0.6</v>
      </c>
      <c r="I852">
        <v>20180101</v>
      </c>
      <c r="J852" t="s">
        <v>781</v>
      </c>
    </row>
    <row r="853" spans="1:14" x14ac:dyDescent="0.3">
      <c r="A853" s="160">
        <v>7076</v>
      </c>
      <c r="C853" t="s">
        <v>27523</v>
      </c>
      <c r="D853">
        <v>0.6</v>
      </c>
      <c r="E853">
        <v>0</v>
      </c>
      <c r="F853">
        <f t="shared" si="13"/>
        <v>0.6</v>
      </c>
      <c r="I853">
        <v>20250101</v>
      </c>
      <c r="J853" t="s">
        <v>27525</v>
      </c>
      <c r="K853" t="s">
        <v>27526</v>
      </c>
    </row>
    <row r="854" spans="1:14" x14ac:dyDescent="0.3">
      <c r="A854" s="160">
        <v>7078</v>
      </c>
      <c r="B854" t="s">
        <v>16034</v>
      </c>
      <c r="C854" t="s">
        <v>785</v>
      </c>
      <c r="D854">
        <v>0.55000000000000004</v>
      </c>
      <c r="E854">
        <v>0</v>
      </c>
      <c r="F854">
        <f t="shared" si="13"/>
        <v>0.55000000000000004</v>
      </c>
      <c r="I854">
        <v>20140101</v>
      </c>
      <c r="J854" t="s">
        <v>804</v>
      </c>
    </row>
    <row r="855" spans="1:14" x14ac:dyDescent="0.3">
      <c r="A855" s="160">
        <v>7083</v>
      </c>
      <c r="B855" t="s">
        <v>16035</v>
      </c>
      <c r="C855" t="s">
        <v>780</v>
      </c>
      <c r="D855">
        <v>0.6</v>
      </c>
      <c r="E855">
        <v>0</v>
      </c>
      <c r="F855">
        <f t="shared" si="13"/>
        <v>0.6</v>
      </c>
      <c r="I855">
        <v>20240101</v>
      </c>
      <c r="J855" t="s">
        <v>808</v>
      </c>
    </row>
    <row r="856" spans="1:14" x14ac:dyDescent="0.3">
      <c r="A856" s="160">
        <v>7086</v>
      </c>
      <c r="B856" t="s">
        <v>16036</v>
      </c>
      <c r="C856" t="s">
        <v>794</v>
      </c>
      <c r="D856">
        <v>0.5</v>
      </c>
      <c r="E856">
        <v>0</v>
      </c>
      <c r="F856">
        <f t="shared" si="13"/>
        <v>0.5</v>
      </c>
      <c r="I856">
        <v>20230701</v>
      </c>
      <c r="J856" t="s">
        <v>802</v>
      </c>
    </row>
    <row r="857" spans="1:14" x14ac:dyDescent="0.3">
      <c r="A857" s="160">
        <v>7089</v>
      </c>
      <c r="B857" t="s">
        <v>16037</v>
      </c>
      <c r="C857" t="s">
        <v>785</v>
      </c>
      <c r="D857">
        <v>0</v>
      </c>
      <c r="E857">
        <v>0</v>
      </c>
      <c r="F857">
        <f t="shared" si="13"/>
        <v>0</v>
      </c>
      <c r="I857">
        <v>20180101</v>
      </c>
      <c r="J857" t="s">
        <v>798</v>
      </c>
    </row>
    <row r="858" spans="1:14" x14ac:dyDescent="0.3">
      <c r="A858" s="160">
        <v>7090</v>
      </c>
      <c r="B858" t="s">
        <v>16038</v>
      </c>
      <c r="C858" t="s">
        <v>780</v>
      </c>
      <c r="D858">
        <v>0.6</v>
      </c>
      <c r="E858">
        <v>0</v>
      </c>
      <c r="F858">
        <f t="shared" si="13"/>
        <v>0.6</v>
      </c>
      <c r="I858">
        <v>20180101</v>
      </c>
      <c r="J858" t="s">
        <v>781</v>
      </c>
    </row>
    <row r="859" spans="1:14" x14ac:dyDescent="0.3">
      <c r="A859" s="160">
        <v>7092</v>
      </c>
      <c r="B859" t="s">
        <v>16039</v>
      </c>
      <c r="C859" t="s">
        <v>780</v>
      </c>
      <c r="D859">
        <v>0.6</v>
      </c>
      <c r="E859">
        <v>0</v>
      </c>
      <c r="F859">
        <f t="shared" si="13"/>
        <v>0.6</v>
      </c>
      <c r="I859">
        <v>20180101</v>
      </c>
      <c r="J859" t="s">
        <v>781</v>
      </c>
    </row>
    <row r="860" spans="1:14" x14ac:dyDescent="0.3">
      <c r="A860" s="160">
        <v>7094</v>
      </c>
      <c r="B860" t="s">
        <v>16040</v>
      </c>
      <c r="C860" t="s">
        <v>780</v>
      </c>
      <c r="D860">
        <v>0.6</v>
      </c>
      <c r="E860">
        <v>0</v>
      </c>
      <c r="F860">
        <f t="shared" si="13"/>
        <v>0.6</v>
      </c>
      <c r="I860">
        <v>20240101</v>
      </c>
      <c r="J860" t="s">
        <v>796</v>
      </c>
    </row>
    <row r="861" spans="1:14" x14ac:dyDescent="0.3">
      <c r="A861" s="160">
        <v>7096</v>
      </c>
      <c r="B861" t="s">
        <v>16041</v>
      </c>
      <c r="C861" t="s">
        <v>780</v>
      </c>
      <c r="D861">
        <v>0.6</v>
      </c>
      <c r="E861">
        <v>0</v>
      </c>
      <c r="F861">
        <f t="shared" si="13"/>
        <v>0.6</v>
      </c>
      <c r="I861">
        <v>20240101</v>
      </c>
      <c r="J861" t="s">
        <v>797</v>
      </c>
    </row>
    <row r="862" spans="1:14" x14ac:dyDescent="0.3">
      <c r="A862" s="160">
        <v>7097</v>
      </c>
      <c r="B862" t="s">
        <v>16042</v>
      </c>
      <c r="C862" t="s">
        <v>794</v>
      </c>
      <c r="D862">
        <v>0.5</v>
      </c>
      <c r="E862">
        <v>0</v>
      </c>
      <c r="F862">
        <f t="shared" si="13"/>
        <v>0.5</v>
      </c>
      <c r="I862">
        <v>20230701</v>
      </c>
      <c r="J862" t="s">
        <v>802</v>
      </c>
    </row>
    <row r="863" spans="1:14" x14ac:dyDescent="0.3">
      <c r="A863" s="160">
        <v>7098</v>
      </c>
      <c r="B863" t="s">
        <v>15938</v>
      </c>
      <c r="C863" t="s">
        <v>780</v>
      </c>
      <c r="D863">
        <v>0.6</v>
      </c>
      <c r="E863">
        <v>0</v>
      </c>
      <c r="F863">
        <f t="shared" si="13"/>
        <v>0.6</v>
      </c>
      <c r="I863">
        <v>20240101</v>
      </c>
      <c r="J863" t="s">
        <v>781</v>
      </c>
    </row>
    <row r="864" spans="1:14" x14ac:dyDescent="0.3">
      <c r="A864" s="160">
        <v>7102</v>
      </c>
      <c r="B864" t="s">
        <v>16043</v>
      </c>
      <c r="C864" t="s">
        <v>16007</v>
      </c>
      <c r="D864">
        <v>1.5</v>
      </c>
      <c r="E864">
        <v>0</v>
      </c>
      <c r="F864">
        <f t="shared" si="13"/>
        <v>1.5</v>
      </c>
      <c r="I864">
        <v>20240101</v>
      </c>
      <c r="J864" t="s">
        <v>809</v>
      </c>
    </row>
    <row r="865" spans="1:17" x14ac:dyDescent="0.3">
      <c r="A865" s="160">
        <v>7138</v>
      </c>
      <c r="B865" t="s">
        <v>16044</v>
      </c>
      <c r="C865" t="s">
        <v>810</v>
      </c>
      <c r="D865">
        <v>0</v>
      </c>
      <c r="E865">
        <v>0</v>
      </c>
      <c r="F865">
        <f t="shared" si="13"/>
        <v>0</v>
      </c>
      <c r="I865">
        <v>20210701</v>
      </c>
      <c r="J865" t="s">
        <v>811</v>
      </c>
    </row>
    <row r="866" spans="1:17" x14ac:dyDescent="0.3">
      <c r="A866" s="160">
        <v>7140</v>
      </c>
      <c r="B866" t="s">
        <v>16045</v>
      </c>
      <c r="C866" t="s">
        <v>794</v>
      </c>
      <c r="D866">
        <v>0.5</v>
      </c>
      <c r="E866">
        <v>0</v>
      </c>
      <c r="F866">
        <f t="shared" si="13"/>
        <v>0.5</v>
      </c>
      <c r="I866">
        <v>20230701</v>
      </c>
      <c r="J866" t="s">
        <v>812</v>
      </c>
    </row>
    <row r="867" spans="1:17" x14ac:dyDescent="0.3">
      <c r="A867" s="160">
        <v>7143</v>
      </c>
      <c r="B867" t="s">
        <v>16046</v>
      </c>
      <c r="C867" t="s">
        <v>785</v>
      </c>
      <c r="D867">
        <v>0</v>
      </c>
      <c r="E867">
        <v>0</v>
      </c>
      <c r="F867">
        <f t="shared" si="13"/>
        <v>0</v>
      </c>
      <c r="I867">
        <v>20180101</v>
      </c>
      <c r="J867" t="s">
        <v>798</v>
      </c>
    </row>
    <row r="868" spans="1:17" x14ac:dyDescent="0.3">
      <c r="A868" s="160">
        <v>7146</v>
      </c>
      <c r="B868" t="s">
        <v>16047</v>
      </c>
      <c r="C868" t="s">
        <v>780</v>
      </c>
      <c r="D868">
        <v>0.6</v>
      </c>
      <c r="E868">
        <v>0</v>
      </c>
      <c r="F868">
        <f t="shared" si="13"/>
        <v>0.6</v>
      </c>
      <c r="I868">
        <v>20180101</v>
      </c>
      <c r="J868" t="s">
        <v>781</v>
      </c>
    </row>
    <row r="869" spans="1:17" x14ac:dyDescent="0.3">
      <c r="A869" s="160">
        <v>7149</v>
      </c>
      <c r="B869" t="s">
        <v>16048</v>
      </c>
      <c r="C869" t="s">
        <v>780</v>
      </c>
      <c r="D869">
        <v>0.6</v>
      </c>
      <c r="E869">
        <v>0</v>
      </c>
      <c r="F869">
        <f t="shared" si="13"/>
        <v>0.6</v>
      </c>
      <c r="I869">
        <v>20240101</v>
      </c>
      <c r="J869" t="s">
        <v>797</v>
      </c>
    </row>
    <row r="870" spans="1:17" x14ac:dyDescent="0.3">
      <c r="A870" s="160">
        <v>7152</v>
      </c>
      <c r="B870" t="s">
        <v>16049</v>
      </c>
      <c r="C870" t="s">
        <v>794</v>
      </c>
      <c r="D870">
        <v>0.5</v>
      </c>
      <c r="E870">
        <v>0</v>
      </c>
      <c r="F870">
        <f t="shared" si="13"/>
        <v>0.5</v>
      </c>
      <c r="I870">
        <v>20230701</v>
      </c>
      <c r="J870" t="s">
        <v>802</v>
      </c>
      <c r="K870" t="s">
        <v>813</v>
      </c>
    </row>
    <row r="871" spans="1:17" x14ac:dyDescent="0.3">
      <c r="A871" s="160">
        <v>7157</v>
      </c>
      <c r="C871" t="s">
        <v>27523</v>
      </c>
      <c r="D871">
        <v>0.6</v>
      </c>
      <c r="E871">
        <v>0</v>
      </c>
      <c r="F871">
        <f t="shared" si="13"/>
        <v>0.6</v>
      </c>
      <c r="I871">
        <v>20250101</v>
      </c>
      <c r="J871" t="s">
        <v>27524</v>
      </c>
    </row>
    <row r="872" spans="1:17" x14ac:dyDescent="0.3">
      <c r="A872" s="160">
        <v>7160</v>
      </c>
      <c r="B872" t="s">
        <v>16050</v>
      </c>
      <c r="C872" t="s">
        <v>785</v>
      </c>
      <c r="D872">
        <v>0.55000000000000004</v>
      </c>
      <c r="E872">
        <v>0</v>
      </c>
      <c r="F872">
        <f t="shared" si="13"/>
        <v>0.55000000000000004</v>
      </c>
      <c r="I872">
        <v>20160701</v>
      </c>
      <c r="J872" t="s">
        <v>814</v>
      </c>
    </row>
    <row r="873" spans="1:17" x14ac:dyDescent="0.3">
      <c r="A873" s="160">
        <v>7167</v>
      </c>
      <c r="B873" t="s">
        <v>16051</v>
      </c>
      <c r="C873" t="s">
        <v>780</v>
      </c>
      <c r="D873">
        <v>0.6</v>
      </c>
      <c r="E873">
        <v>0</v>
      </c>
      <c r="F873">
        <f t="shared" si="13"/>
        <v>0.6</v>
      </c>
      <c r="I873">
        <v>20240101</v>
      </c>
      <c r="J873" t="s">
        <v>808</v>
      </c>
    </row>
    <row r="874" spans="1:17" x14ac:dyDescent="0.3">
      <c r="A874" s="160">
        <v>7170</v>
      </c>
      <c r="B874" t="s">
        <v>16052</v>
      </c>
      <c r="C874" t="s">
        <v>794</v>
      </c>
      <c r="D874">
        <v>0.5</v>
      </c>
      <c r="E874">
        <v>0</v>
      </c>
      <c r="F874">
        <f t="shared" si="13"/>
        <v>0.5</v>
      </c>
      <c r="I874">
        <v>20240101</v>
      </c>
      <c r="J874" t="s">
        <v>795</v>
      </c>
    </row>
    <row r="875" spans="1:17" x14ac:dyDescent="0.3">
      <c r="A875" s="160">
        <v>7172</v>
      </c>
      <c r="B875" t="s">
        <v>16053</v>
      </c>
      <c r="C875" t="s">
        <v>785</v>
      </c>
      <c r="D875">
        <v>0</v>
      </c>
      <c r="E875">
        <v>0</v>
      </c>
      <c r="F875">
        <f t="shared" si="13"/>
        <v>0</v>
      </c>
      <c r="I875">
        <v>20180101</v>
      </c>
      <c r="J875" t="s">
        <v>798</v>
      </c>
    </row>
    <row r="876" spans="1:17" x14ac:dyDescent="0.3">
      <c r="A876" s="160">
        <v>7177</v>
      </c>
      <c r="B876" t="s">
        <v>16054</v>
      </c>
      <c r="C876" t="s">
        <v>794</v>
      </c>
      <c r="D876">
        <v>0.5</v>
      </c>
      <c r="E876">
        <v>0</v>
      </c>
      <c r="F876">
        <f t="shared" si="13"/>
        <v>0.5</v>
      </c>
      <c r="I876">
        <v>20230701</v>
      </c>
      <c r="J876" t="s">
        <v>802</v>
      </c>
      <c r="K876" t="s">
        <v>815</v>
      </c>
    </row>
    <row r="877" spans="1:17" x14ac:dyDescent="0.3">
      <c r="A877" s="160">
        <v>7179</v>
      </c>
      <c r="B877" t="s">
        <v>16055</v>
      </c>
      <c r="C877" t="s">
        <v>780</v>
      </c>
      <c r="D877">
        <v>0.6</v>
      </c>
      <c r="E877">
        <v>0</v>
      </c>
      <c r="F877">
        <f t="shared" si="13"/>
        <v>0.6</v>
      </c>
      <c r="I877">
        <v>20180101</v>
      </c>
      <c r="J877" t="s">
        <v>781</v>
      </c>
    </row>
    <row r="878" spans="1:17" x14ac:dyDescent="0.3">
      <c r="A878" s="160">
        <v>7181</v>
      </c>
      <c r="B878" t="s">
        <v>16056</v>
      </c>
      <c r="C878" t="s">
        <v>780</v>
      </c>
      <c r="D878">
        <v>0.6</v>
      </c>
      <c r="E878">
        <v>0</v>
      </c>
      <c r="F878">
        <f t="shared" si="13"/>
        <v>0.6</v>
      </c>
      <c r="I878">
        <v>20180101</v>
      </c>
      <c r="J878" t="s">
        <v>803</v>
      </c>
      <c r="K878" t="s">
        <v>816</v>
      </c>
    </row>
    <row r="879" spans="1:17" x14ac:dyDescent="0.3">
      <c r="A879" s="160">
        <v>7184</v>
      </c>
      <c r="B879" t="s">
        <v>16057</v>
      </c>
      <c r="C879" t="s">
        <v>780</v>
      </c>
      <c r="D879">
        <v>0.6</v>
      </c>
      <c r="E879">
        <v>0</v>
      </c>
      <c r="F879">
        <f t="shared" si="13"/>
        <v>0.6</v>
      </c>
      <c r="I879">
        <v>20240101</v>
      </c>
      <c r="J879" t="s">
        <v>781</v>
      </c>
      <c r="K879" t="s">
        <v>806</v>
      </c>
    </row>
    <row r="880" spans="1:17" x14ac:dyDescent="0.3">
      <c r="A880" s="160">
        <v>7186</v>
      </c>
      <c r="B880" t="s">
        <v>16058</v>
      </c>
      <c r="C880" t="s">
        <v>780</v>
      </c>
      <c r="D880">
        <v>0.6</v>
      </c>
      <c r="E880">
        <v>0</v>
      </c>
      <c r="F880">
        <f t="shared" si="13"/>
        <v>0.6</v>
      </c>
      <c r="I880">
        <v>20180101</v>
      </c>
      <c r="J880" t="s">
        <v>781</v>
      </c>
      <c r="K880" t="s">
        <v>817</v>
      </c>
      <c r="L880" t="s">
        <v>783</v>
      </c>
      <c r="M880" t="s">
        <v>806</v>
      </c>
      <c r="N880" t="s">
        <v>803</v>
      </c>
      <c r="O880" t="s">
        <v>818</v>
      </c>
      <c r="P880" t="s">
        <v>807</v>
      </c>
      <c r="Q880" t="s">
        <v>819</v>
      </c>
    </row>
    <row r="881" spans="1:13" x14ac:dyDescent="0.3">
      <c r="A881" s="160">
        <v>7188</v>
      </c>
      <c r="B881" t="s">
        <v>16059</v>
      </c>
      <c r="C881" t="s">
        <v>785</v>
      </c>
      <c r="D881">
        <v>0</v>
      </c>
      <c r="E881">
        <v>0</v>
      </c>
      <c r="F881">
        <f t="shared" si="13"/>
        <v>0</v>
      </c>
      <c r="I881">
        <v>20180101</v>
      </c>
      <c r="J881" t="s">
        <v>793</v>
      </c>
    </row>
    <row r="882" spans="1:13" x14ac:dyDescent="0.3">
      <c r="A882" s="160">
        <v>7191</v>
      </c>
      <c r="C882" t="s">
        <v>27523</v>
      </c>
      <c r="D882">
        <v>0.6</v>
      </c>
      <c r="E882">
        <v>0</v>
      </c>
      <c r="F882">
        <f t="shared" si="13"/>
        <v>0.6</v>
      </c>
      <c r="I882">
        <v>20250101</v>
      </c>
      <c r="J882" t="s">
        <v>27524</v>
      </c>
      <c r="K882" t="s">
        <v>27526</v>
      </c>
    </row>
    <row r="883" spans="1:13" x14ac:dyDescent="0.3">
      <c r="A883" s="160">
        <v>7194</v>
      </c>
      <c r="B883" t="s">
        <v>16060</v>
      </c>
      <c r="C883" t="s">
        <v>780</v>
      </c>
      <c r="D883">
        <v>0.6</v>
      </c>
      <c r="E883">
        <v>0</v>
      </c>
      <c r="F883">
        <f t="shared" si="13"/>
        <v>0.6</v>
      </c>
      <c r="I883">
        <v>20180101</v>
      </c>
      <c r="J883" t="s">
        <v>784</v>
      </c>
    </row>
    <row r="884" spans="1:13" x14ac:dyDescent="0.3">
      <c r="A884" s="160">
        <v>7197</v>
      </c>
      <c r="B884" t="s">
        <v>16061</v>
      </c>
      <c r="C884" t="s">
        <v>785</v>
      </c>
      <c r="D884">
        <v>0.55000000000000004</v>
      </c>
      <c r="E884">
        <v>0</v>
      </c>
      <c r="F884">
        <f t="shared" si="13"/>
        <v>0.55000000000000004</v>
      </c>
      <c r="I884">
        <v>20160701</v>
      </c>
      <c r="J884" t="s">
        <v>786</v>
      </c>
      <c r="K884" t="s">
        <v>787</v>
      </c>
      <c r="L884" t="s">
        <v>792</v>
      </c>
      <c r="M884" t="s">
        <v>820</v>
      </c>
    </row>
    <row r="885" spans="1:13" x14ac:dyDescent="0.3">
      <c r="A885" s="160">
        <v>7198</v>
      </c>
      <c r="B885" t="s">
        <v>16062</v>
      </c>
      <c r="C885" t="s">
        <v>780</v>
      </c>
      <c r="D885">
        <v>0.6</v>
      </c>
      <c r="E885">
        <v>0</v>
      </c>
      <c r="F885">
        <f t="shared" si="13"/>
        <v>0.6</v>
      </c>
      <c r="I885">
        <v>20180101</v>
      </c>
      <c r="J885" t="s">
        <v>816</v>
      </c>
      <c r="K885" t="s">
        <v>796</v>
      </c>
    </row>
    <row r="886" spans="1:13" x14ac:dyDescent="0.3">
      <c r="A886" s="160">
        <v>7214</v>
      </c>
      <c r="B886" t="s">
        <v>16063</v>
      </c>
      <c r="C886" t="s">
        <v>780</v>
      </c>
      <c r="D886">
        <v>0.6</v>
      </c>
      <c r="E886">
        <v>0</v>
      </c>
      <c r="F886">
        <f t="shared" si="13"/>
        <v>0.6</v>
      </c>
      <c r="I886">
        <v>20240101</v>
      </c>
      <c r="J886" t="s">
        <v>800</v>
      </c>
    </row>
    <row r="887" spans="1:13" x14ac:dyDescent="0.3">
      <c r="A887" s="160">
        <v>7217</v>
      </c>
      <c r="B887" t="s">
        <v>16064</v>
      </c>
      <c r="C887" t="s">
        <v>794</v>
      </c>
      <c r="D887">
        <v>0.5</v>
      </c>
      <c r="E887">
        <v>0</v>
      </c>
      <c r="F887">
        <f t="shared" si="13"/>
        <v>0.5</v>
      </c>
      <c r="I887">
        <v>20230701</v>
      </c>
      <c r="J887" t="s">
        <v>802</v>
      </c>
    </row>
    <row r="888" spans="1:13" x14ac:dyDescent="0.3">
      <c r="A888" s="160">
        <v>7219</v>
      </c>
      <c r="C888" t="s">
        <v>27523</v>
      </c>
      <c r="D888">
        <v>0.6</v>
      </c>
      <c r="E888">
        <v>0</v>
      </c>
      <c r="F888">
        <f t="shared" si="13"/>
        <v>0.6</v>
      </c>
      <c r="I888">
        <v>20250101</v>
      </c>
      <c r="J888" t="s">
        <v>807</v>
      </c>
      <c r="K888" t="s">
        <v>784</v>
      </c>
    </row>
    <row r="889" spans="1:13" x14ac:dyDescent="0.3">
      <c r="A889" s="160">
        <v>7221</v>
      </c>
      <c r="B889" t="s">
        <v>16065</v>
      </c>
      <c r="C889" t="s">
        <v>780</v>
      </c>
      <c r="D889">
        <v>0.6</v>
      </c>
      <c r="E889">
        <v>0</v>
      </c>
      <c r="F889">
        <f t="shared" si="13"/>
        <v>0.6</v>
      </c>
      <c r="I889">
        <v>20180101</v>
      </c>
      <c r="J889" t="s">
        <v>796</v>
      </c>
    </row>
    <row r="890" spans="1:13" x14ac:dyDescent="0.3">
      <c r="A890" s="160">
        <v>7225</v>
      </c>
      <c r="B890" t="s">
        <v>16066</v>
      </c>
      <c r="C890" t="s">
        <v>785</v>
      </c>
      <c r="D890">
        <v>0.55000000000000004</v>
      </c>
      <c r="E890">
        <v>0</v>
      </c>
      <c r="F890">
        <f t="shared" si="13"/>
        <v>0.55000000000000004</v>
      </c>
      <c r="I890">
        <v>20160701</v>
      </c>
      <c r="J890" t="s">
        <v>804</v>
      </c>
    </row>
    <row r="891" spans="1:13" x14ac:dyDescent="0.3">
      <c r="A891" s="160">
        <v>7227</v>
      </c>
      <c r="B891" t="s">
        <v>16067</v>
      </c>
      <c r="C891" t="s">
        <v>785</v>
      </c>
      <c r="D891">
        <v>0.55000000000000004</v>
      </c>
      <c r="E891">
        <v>0</v>
      </c>
      <c r="F891">
        <f t="shared" si="13"/>
        <v>0.55000000000000004</v>
      </c>
      <c r="I891">
        <v>20160701</v>
      </c>
      <c r="J891" t="s">
        <v>791</v>
      </c>
      <c r="K891" t="s">
        <v>804</v>
      </c>
    </row>
    <row r="892" spans="1:13" x14ac:dyDescent="0.3">
      <c r="A892" s="160">
        <v>7228</v>
      </c>
      <c r="B892" t="s">
        <v>16068</v>
      </c>
      <c r="C892" t="s">
        <v>785</v>
      </c>
      <c r="D892">
        <v>0</v>
      </c>
      <c r="E892">
        <v>0</v>
      </c>
      <c r="F892">
        <f t="shared" si="13"/>
        <v>0</v>
      </c>
      <c r="I892">
        <v>20180101</v>
      </c>
      <c r="J892" t="s">
        <v>820</v>
      </c>
      <c r="K892" t="s">
        <v>798</v>
      </c>
    </row>
    <row r="893" spans="1:13" x14ac:dyDescent="0.3">
      <c r="A893" s="160">
        <v>7233</v>
      </c>
      <c r="B893" t="s">
        <v>16069</v>
      </c>
      <c r="C893" t="s">
        <v>780</v>
      </c>
      <c r="D893">
        <v>0.6</v>
      </c>
      <c r="E893">
        <v>0</v>
      </c>
      <c r="F893">
        <f t="shared" si="13"/>
        <v>0.6</v>
      </c>
      <c r="I893">
        <v>20240101</v>
      </c>
      <c r="J893" t="s">
        <v>797</v>
      </c>
    </row>
    <row r="894" spans="1:13" x14ac:dyDescent="0.3">
      <c r="A894" s="160">
        <v>7236</v>
      </c>
      <c r="B894" t="s">
        <v>16070</v>
      </c>
      <c r="C894" t="s">
        <v>794</v>
      </c>
      <c r="D894">
        <v>0.5</v>
      </c>
      <c r="E894">
        <v>0</v>
      </c>
      <c r="F894">
        <f t="shared" si="13"/>
        <v>0.5</v>
      </c>
      <c r="I894">
        <v>20240101</v>
      </c>
      <c r="J894" t="s">
        <v>795</v>
      </c>
    </row>
    <row r="895" spans="1:13" x14ac:dyDescent="0.3">
      <c r="A895" s="160">
        <v>7237</v>
      </c>
      <c r="B895" t="s">
        <v>16071</v>
      </c>
      <c r="C895" t="s">
        <v>780</v>
      </c>
      <c r="D895">
        <v>0.6</v>
      </c>
      <c r="E895">
        <v>0</v>
      </c>
      <c r="F895">
        <f t="shared" si="13"/>
        <v>0.6</v>
      </c>
      <c r="I895">
        <v>20180101</v>
      </c>
      <c r="J895" t="s">
        <v>808</v>
      </c>
    </row>
    <row r="896" spans="1:13" x14ac:dyDescent="0.3">
      <c r="A896" s="160">
        <v>7240</v>
      </c>
      <c r="B896" t="s">
        <v>16072</v>
      </c>
      <c r="C896" t="s">
        <v>16007</v>
      </c>
      <c r="D896">
        <v>1.5</v>
      </c>
      <c r="E896">
        <v>0</v>
      </c>
      <c r="F896">
        <f t="shared" si="13"/>
        <v>1.5</v>
      </c>
      <c r="I896">
        <v>20240101</v>
      </c>
      <c r="J896" t="s">
        <v>796</v>
      </c>
    </row>
    <row r="897" spans="1:14" x14ac:dyDescent="0.3">
      <c r="A897" s="160">
        <v>7243</v>
      </c>
      <c r="B897" t="s">
        <v>16073</v>
      </c>
      <c r="C897" t="s">
        <v>785</v>
      </c>
      <c r="D897">
        <v>0</v>
      </c>
      <c r="E897">
        <v>0</v>
      </c>
      <c r="F897">
        <f t="shared" si="13"/>
        <v>0</v>
      </c>
      <c r="I897">
        <v>20180101</v>
      </c>
      <c r="J897" t="s">
        <v>798</v>
      </c>
    </row>
    <row r="898" spans="1:14" x14ac:dyDescent="0.3">
      <c r="A898" s="160">
        <v>7244</v>
      </c>
      <c r="B898" t="s">
        <v>16074</v>
      </c>
      <c r="C898" t="s">
        <v>780</v>
      </c>
      <c r="D898">
        <v>0.6</v>
      </c>
      <c r="E898">
        <v>0</v>
      </c>
      <c r="F898">
        <f t="shared" si="13"/>
        <v>0.6</v>
      </c>
      <c r="I898">
        <v>20240101</v>
      </c>
      <c r="J898" t="s">
        <v>800</v>
      </c>
    </row>
    <row r="899" spans="1:14" x14ac:dyDescent="0.3">
      <c r="A899" s="160">
        <v>7245</v>
      </c>
      <c r="B899" t="s">
        <v>16075</v>
      </c>
      <c r="C899" t="s">
        <v>794</v>
      </c>
      <c r="D899">
        <v>0.5</v>
      </c>
      <c r="E899">
        <v>0</v>
      </c>
      <c r="F899">
        <f t="shared" si="13"/>
        <v>0.5</v>
      </c>
      <c r="I899">
        <v>20230701</v>
      </c>
      <c r="J899" t="s">
        <v>802</v>
      </c>
      <c r="K899" t="s">
        <v>813</v>
      </c>
    </row>
    <row r="900" spans="1:14" x14ac:dyDescent="0.3">
      <c r="A900" s="160">
        <v>7253</v>
      </c>
      <c r="B900" t="s">
        <v>16076</v>
      </c>
      <c r="C900" t="s">
        <v>780</v>
      </c>
      <c r="D900">
        <v>0.6</v>
      </c>
      <c r="E900">
        <v>0</v>
      </c>
      <c r="F900">
        <f t="shared" si="13"/>
        <v>0.6</v>
      </c>
      <c r="I900">
        <v>20240101</v>
      </c>
      <c r="J900" t="s">
        <v>797</v>
      </c>
    </row>
    <row r="901" spans="1:14" x14ac:dyDescent="0.3">
      <c r="A901" s="160">
        <v>7255</v>
      </c>
      <c r="B901" t="s">
        <v>16077</v>
      </c>
      <c r="C901" t="s">
        <v>780</v>
      </c>
      <c r="D901">
        <v>0.6</v>
      </c>
      <c r="E901">
        <v>0</v>
      </c>
      <c r="F901">
        <f t="shared" si="13"/>
        <v>0.6</v>
      </c>
      <c r="I901">
        <v>20180101</v>
      </c>
      <c r="J901" t="s">
        <v>781</v>
      </c>
    </row>
    <row r="902" spans="1:14" x14ac:dyDescent="0.3">
      <c r="A902" s="160">
        <v>7257</v>
      </c>
      <c r="B902" t="s">
        <v>16078</v>
      </c>
      <c r="C902" t="s">
        <v>780</v>
      </c>
      <c r="D902">
        <v>0.6</v>
      </c>
      <c r="E902">
        <v>0</v>
      </c>
      <c r="F902">
        <f t="shared" si="13"/>
        <v>0.6</v>
      </c>
      <c r="I902">
        <v>20240101</v>
      </c>
      <c r="J902" t="s">
        <v>800</v>
      </c>
    </row>
    <row r="903" spans="1:14" x14ac:dyDescent="0.3">
      <c r="A903" s="160">
        <v>7258</v>
      </c>
      <c r="B903" t="s">
        <v>16079</v>
      </c>
      <c r="C903" t="s">
        <v>785</v>
      </c>
      <c r="D903">
        <v>0.55000000000000004</v>
      </c>
      <c r="E903">
        <v>0</v>
      </c>
      <c r="F903">
        <f t="shared" ref="F903:F966" si="14">D903+E903</f>
        <v>0.55000000000000004</v>
      </c>
      <c r="I903">
        <v>20160701</v>
      </c>
      <c r="J903" t="s">
        <v>814</v>
      </c>
    </row>
    <row r="904" spans="1:14" x14ac:dyDescent="0.3">
      <c r="A904" s="160">
        <v>7260</v>
      </c>
      <c r="C904" t="s">
        <v>27523</v>
      </c>
      <c r="D904">
        <v>0.6</v>
      </c>
      <c r="E904">
        <v>0</v>
      </c>
      <c r="F904">
        <f t="shared" si="14"/>
        <v>0.6</v>
      </c>
      <c r="I904">
        <v>20250101</v>
      </c>
      <c r="J904" t="s">
        <v>784</v>
      </c>
    </row>
    <row r="905" spans="1:14" x14ac:dyDescent="0.3">
      <c r="A905" s="160">
        <v>7261</v>
      </c>
      <c r="B905" t="s">
        <v>16080</v>
      </c>
      <c r="C905" t="s">
        <v>780</v>
      </c>
      <c r="D905">
        <v>0.6</v>
      </c>
      <c r="E905">
        <v>0</v>
      </c>
      <c r="F905">
        <f t="shared" si="14"/>
        <v>0.6</v>
      </c>
      <c r="I905">
        <v>20180101</v>
      </c>
      <c r="J905" t="s">
        <v>796</v>
      </c>
    </row>
    <row r="906" spans="1:14" x14ac:dyDescent="0.3">
      <c r="A906" s="160">
        <v>7265</v>
      </c>
      <c r="B906" t="s">
        <v>16081</v>
      </c>
      <c r="C906" t="s">
        <v>785</v>
      </c>
      <c r="D906">
        <v>0.55000000000000004</v>
      </c>
      <c r="E906">
        <v>0</v>
      </c>
      <c r="F906">
        <f t="shared" si="14"/>
        <v>0.55000000000000004</v>
      </c>
      <c r="I906">
        <v>20160701</v>
      </c>
      <c r="J906" t="s">
        <v>786</v>
      </c>
    </row>
    <row r="907" spans="1:14" x14ac:dyDescent="0.3">
      <c r="A907" s="160">
        <v>7270</v>
      </c>
      <c r="C907" t="s">
        <v>27523</v>
      </c>
      <c r="D907">
        <v>0.6</v>
      </c>
      <c r="E907">
        <v>0</v>
      </c>
      <c r="F907">
        <f t="shared" si="14"/>
        <v>0.6</v>
      </c>
      <c r="I907">
        <v>20250101</v>
      </c>
      <c r="J907" t="s">
        <v>27524</v>
      </c>
    </row>
    <row r="908" spans="1:14" x14ac:dyDescent="0.3">
      <c r="A908" s="160">
        <v>7274</v>
      </c>
      <c r="B908" t="s">
        <v>16082</v>
      </c>
      <c r="C908" t="s">
        <v>780</v>
      </c>
      <c r="D908">
        <v>0.6</v>
      </c>
      <c r="E908">
        <v>0</v>
      </c>
      <c r="F908">
        <f t="shared" si="14"/>
        <v>0.6</v>
      </c>
      <c r="I908">
        <v>20240101</v>
      </c>
      <c r="J908" t="s">
        <v>797</v>
      </c>
    </row>
    <row r="909" spans="1:14" x14ac:dyDescent="0.3">
      <c r="A909" s="160">
        <v>7278</v>
      </c>
      <c r="B909" t="s">
        <v>16083</v>
      </c>
      <c r="C909" t="s">
        <v>780</v>
      </c>
      <c r="D909">
        <v>0.6</v>
      </c>
      <c r="E909">
        <v>0</v>
      </c>
      <c r="F909">
        <f t="shared" si="14"/>
        <v>0.6</v>
      </c>
      <c r="I909">
        <v>20240101</v>
      </c>
      <c r="J909" t="s">
        <v>808</v>
      </c>
    </row>
    <row r="910" spans="1:14" x14ac:dyDescent="0.3">
      <c r="A910" s="160">
        <v>7281</v>
      </c>
      <c r="B910" t="s">
        <v>16084</v>
      </c>
      <c r="C910" t="s">
        <v>16007</v>
      </c>
      <c r="D910">
        <v>1.5</v>
      </c>
      <c r="E910">
        <v>0</v>
      </c>
      <c r="F910">
        <f t="shared" si="14"/>
        <v>1.5</v>
      </c>
      <c r="I910">
        <v>20240101</v>
      </c>
      <c r="J910" t="s">
        <v>801</v>
      </c>
      <c r="K910" t="s">
        <v>821</v>
      </c>
      <c r="L910" t="s">
        <v>805</v>
      </c>
      <c r="M910" t="s">
        <v>822</v>
      </c>
      <c r="N910" t="s">
        <v>823</v>
      </c>
    </row>
    <row r="911" spans="1:14" x14ac:dyDescent="0.3">
      <c r="A911" s="160">
        <v>7283</v>
      </c>
      <c r="C911" t="s">
        <v>27523</v>
      </c>
      <c r="D911">
        <v>0.6</v>
      </c>
      <c r="E911">
        <v>0</v>
      </c>
      <c r="F911">
        <f t="shared" si="14"/>
        <v>0.6</v>
      </c>
      <c r="I911">
        <v>20250101</v>
      </c>
      <c r="J911" t="s">
        <v>27524</v>
      </c>
    </row>
    <row r="912" spans="1:14" x14ac:dyDescent="0.3">
      <c r="A912" s="160">
        <v>7288</v>
      </c>
      <c r="B912" t="s">
        <v>16085</v>
      </c>
      <c r="C912" t="s">
        <v>780</v>
      </c>
      <c r="D912">
        <v>0.6</v>
      </c>
      <c r="E912">
        <v>0</v>
      </c>
      <c r="F912">
        <f t="shared" si="14"/>
        <v>0.6</v>
      </c>
      <c r="I912">
        <v>20180101</v>
      </c>
      <c r="J912" t="s">
        <v>781</v>
      </c>
      <c r="K912" t="s">
        <v>806</v>
      </c>
    </row>
    <row r="913" spans="1:17" x14ac:dyDescent="0.3">
      <c r="A913" s="160">
        <v>7293</v>
      </c>
      <c r="B913" t="s">
        <v>16086</v>
      </c>
      <c r="C913" t="s">
        <v>16007</v>
      </c>
      <c r="D913">
        <v>1.5</v>
      </c>
      <c r="E913">
        <v>0</v>
      </c>
      <c r="F913">
        <f t="shared" si="14"/>
        <v>1.5</v>
      </c>
      <c r="I913">
        <v>20240101</v>
      </c>
      <c r="J913" t="s">
        <v>801</v>
      </c>
    </row>
    <row r="914" spans="1:17" x14ac:dyDescent="0.3">
      <c r="A914" s="160">
        <v>7295</v>
      </c>
      <c r="B914" t="s">
        <v>16087</v>
      </c>
      <c r="C914" t="s">
        <v>780</v>
      </c>
      <c r="D914">
        <v>0.6</v>
      </c>
      <c r="E914">
        <v>0</v>
      </c>
      <c r="F914">
        <f t="shared" si="14"/>
        <v>0.6</v>
      </c>
      <c r="I914">
        <v>20240101</v>
      </c>
      <c r="J914" t="s">
        <v>797</v>
      </c>
    </row>
    <row r="915" spans="1:17" x14ac:dyDescent="0.3">
      <c r="A915" s="160">
        <v>7297</v>
      </c>
      <c r="B915" t="s">
        <v>16088</v>
      </c>
      <c r="C915" t="s">
        <v>16007</v>
      </c>
      <c r="D915">
        <v>1.5</v>
      </c>
      <c r="E915">
        <v>0</v>
      </c>
      <c r="F915">
        <f t="shared" si="14"/>
        <v>1.5</v>
      </c>
      <c r="I915">
        <v>20240101</v>
      </c>
      <c r="J915" t="s">
        <v>782</v>
      </c>
    </row>
    <row r="916" spans="1:17" x14ac:dyDescent="0.3">
      <c r="A916" s="160">
        <v>7298</v>
      </c>
      <c r="C916" t="s">
        <v>27523</v>
      </c>
      <c r="D916">
        <v>0.6</v>
      </c>
      <c r="E916">
        <v>0</v>
      </c>
      <c r="F916">
        <f t="shared" si="14"/>
        <v>0.6</v>
      </c>
      <c r="I916">
        <v>20250101</v>
      </c>
      <c r="J916" t="s">
        <v>807</v>
      </c>
      <c r="K916" t="s">
        <v>784</v>
      </c>
    </row>
    <row r="917" spans="1:17" x14ac:dyDescent="0.3">
      <c r="A917" s="160">
        <v>7300</v>
      </c>
      <c r="C917" t="s">
        <v>27523</v>
      </c>
      <c r="D917">
        <v>0.6</v>
      </c>
      <c r="E917">
        <v>0</v>
      </c>
      <c r="F917">
        <f t="shared" si="14"/>
        <v>0.6</v>
      </c>
      <c r="I917">
        <v>20250101</v>
      </c>
      <c r="J917" t="s">
        <v>27527</v>
      </c>
    </row>
    <row r="918" spans="1:17" x14ac:dyDescent="0.3">
      <c r="A918" s="160">
        <v>7301</v>
      </c>
      <c r="B918" t="s">
        <v>15749</v>
      </c>
      <c r="C918" t="s">
        <v>794</v>
      </c>
      <c r="D918">
        <v>0.5</v>
      </c>
      <c r="E918">
        <v>0</v>
      </c>
      <c r="F918">
        <f t="shared" si="14"/>
        <v>0.5</v>
      </c>
      <c r="I918">
        <v>20240101</v>
      </c>
      <c r="J918" t="s">
        <v>795</v>
      </c>
    </row>
    <row r="919" spans="1:17" x14ac:dyDescent="0.3">
      <c r="A919" s="160">
        <v>7302</v>
      </c>
      <c r="C919" t="s">
        <v>27523</v>
      </c>
      <c r="D919">
        <v>0.6</v>
      </c>
      <c r="E919">
        <v>0</v>
      </c>
      <c r="F919">
        <f t="shared" si="14"/>
        <v>0.6</v>
      </c>
      <c r="I919">
        <v>20250101</v>
      </c>
      <c r="J919" t="s">
        <v>784</v>
      </c>
    </row>
    <row r="920" spans="1:17" x14ac:dyDescent="0.3">
      <c r="A920" s="160">
        <v>7303</v>
      </c>
      <c r="B920" t="s">
        <v>16089</v>
      </c>
      <c r="C920" t="s">
        <v>780</v>
      </c>
      <c r="D920">
        <v>0.6</v>
      </c>
      <c r="E920">
        <v>0</v>
      </c>
      <c r="F920">
        <f t="shared" si="14"/>
        <v>0.6</v>
      </c>
      <c r="I920">
        <v>20240101</v>
      </c>
      <c r="J920" t="s">
        <v>808</v>
      </c>
    </row>
    <row r="921" spans="1:17" x14ac:dyDescent="0.3">
      <c r="A921" s="160">
        <v>7310</v>
      </c>
      <c r="B921" t="s">
        <v>16090</v>
      </c>
      <c r="C921" t="s">
        <v>785</v>
      </c>
      <c r="D921">
        <v>0.55000000000000004</v>
      </c>
      <c r="E921">
        <v>0</v>
      </c>
      <c r="F921">
        <f t="shared" si="14"/>
        <v>0.55000000000000004</v>
      </c>
      <c r="I921">
        <v>20160701</v>
      </c>
      <c r="J921" t="s">
        <v>791</v>
      </c>
      <c r="K921" t="s">
        <v>804</v>
      </c>
    </row>
    <row r="922" spans="1:17" x14ac:dyDescent="0.3">
      <c r="A922" s="160">
        <v>7312</v>
      </c>
      <c r="B922" t="s">
        <v>16091</v>
      </c>
      <c r="C922" t="s">
        <v>794</v>
      </c>
      <c r="D922">
        <v>0.5</v>
      </c>
      <c r="E922">
        <v>0</v>
      </c>
      <c r="F922">
        <f t="shared" si="14"/>
        <v>0.5</v>
      </c>
      <c r="I922">
        <v>20230701</v>
      </c>
      <c r="J922" t="s">
        <v>812</v>
      </c>
    </row>
    <row r="923" spans="1:17" x14ac:dyDescent="0.3">
      <c r="A923" s="160">
        <v>7313</v>
      </c>
      <c r="B923" t="s">
        <v>16092</v>
      </c>
      <c r="C923" t="s">
        <v>785</v>
      </c>
      <c r="D923">
        <v>0</v>
      </c>
      <c r="E923">
        <v>0</v>
      </c>
      <c r="F923">
        <f t="shared" si="14"/>
        <v>0</v>
      </c>
      <c r="I923">
        <v>20180101</v>
      </c>
      <c r="J923" t="s">
        <v>820</v>
      </c>
      <c r="K923" t="s">
        <v>798</v>
      </c>
    </row>
    <row r="924" spans="1:17" x14ac:dyDescent="0.3">
      <c r="A924" s="160">
        <v>7314</v>
      </c>
      <c r="B924" t="s">
        <v>16093</v>
      </c>
      <c r="C924" t="s">
        <v>780</v>
      </c>
      <c r="D924">
        <v>0.6</v>
      </c>
      <c r="E924">
        <v>0</v>
      </c>
      <c r="F924">
        <f t="shared" si="14"/>
        <v>0.6</v>
      </c>
      <c r="I924">
        <v>20240101</v>
      </c>
      <c r="J924" t="s">
        <v>800</v>
      </c>
    </row>
    <row r="925" spans="1:17" x14ac:dyDescent="0.3">
      <c r="A925" s="160">
        <v>7316</v>
      </c>
      <c r="B925" t="s">
        <v>16094</v>
      </c>
      <c r="C925" t="s">
        <v>16007</v>
      </c>
      <c r="D925">
        <v>1.5</v>
      </c>
      <c r="E925">
        <v>0</v>
      </c>
      <c r="F925">
        <f t="shared" si="14"/>
        <v>1.5</v>
      </c>
      <c r="I925">
        <v>20240101</v>
      </c>
      <c r="J925" t="s">
        <v>801</v>
      </c>
      <c r="K925" t="s">
        <v>805</v>
      </c>
    </row>
    <row r="926" spans="1:17" x14ac:dyDescent="0.3">
      <c r="A926" s="160">
        <v>7317</v>
      </c>
      <c r="B926" t="s">
        <v>16095</v>
      </c>
      <c r="C926" t="s">
        <v>785</v>
      </c>
      <c r="D926">
        <v>0.55000000000000004</v>
      </c>
      <c r="E926">
        <v>0</v>
      </c>
      <c r="F926">
        <f t="shared" si="14"/>
        <v>0.55000000000000004</v>
      </c>
      <c r="I926">
        <v>20160701</v>
      </c>
      <c r="J926" t="s">
        <v>798</v>
      </c>
    </row>
    <row r="927" spans="1:17" x14ac:dyDescent="0.3">
      <c r="A927" s="160">
        <v>7319</v>
      </c>
      <c r="C927" t="s">
        <v>27523</v>
      </c>
      <c r="D927">
        <v>0.6</v>
      </c>
      <c r="E927">
        <v>0</v>
      </c>
      <c r="F927">
        <f t="shared" si="14"/>
        <v>0.6</v>
      </c>
      <c r="I927">
        <v>20250101</v>
      </c>
      <c r="J927" t="s">
        <v>27524</v>
      </c>
      <c r="K927" t="s">
        <v>27526</v>
      </c>
      <c r="L927" t="s">
        <v>27528</v>
      </c>
      <c r="M927" t="s">
        <v>27529</v>
      </c>
      <c r="N927" t="s">
        <v>27530</v>
      </c>
      <c r="O927" t="s">
        <v>27531</v>
      </c>
      <c r="P927" t="s">
        <v>27532</v>
      </c>
      <c r="Q927" t="s">
        <v>27533</v>
      </c>
    </row>
    <row r="928" spans="1:17" x14ac:dyDescent="0.3">
      <c r="A928" s="160">
        <v>7321</v>
      </c>
      <c r="B928" t="s">
        <v>16096</v>
      </c>
      <c r="C928" t="s">
        <v>785</v>
      </c>
      <c r="D928">
        <v>0.55000000000000004</v>
      </c>
      <c r="E928">
        <v>0</v>
      </c>
      <c r="F928">
        <f t="shared" si="14"/>
        <v>0.55000000000000004</v>
      </c>
      <c r="I928">
        <v>20160701</v>
      </c>
      <c r="J928" t="s">
        <v>798</v>
      </c>
    </row>
    <row r="929" spans="1:15" x14ac:dyDescent="0.3">
      <c r="A929" s="160">
        <v>7323</v>
      </c>
      <c r="B929" t="s">
        <v>16097</v>
      </c>
      <c r="C929" t="s">
        <v>16007</v>
      </c>
      <c r="D929">
        <v>1.5</v>
      </c>
      <c r="E929">
        <v>0</v>
      </c>
      <c r="F929">
        <f t="shared" si="14"/>
        <v>1.5</v>
      </c>
      <c r="I929">
        <v>20240101</v>
      </c>
      <c r="J929" t="s">
        <v>801</v>
      </c>
      <c r="K929" t="s">
        <v>821</v>
      </c>
    </row>
    <row r="930" spans="1:15" x14ac:dyDescent="0.3">
      <c r="A930" s="160">
        <v>7324</v>
      </c>
      <c r="B930" t="s">
        <v>16098</v>
      </c>
      <c r="C930" t="s">
        <v>794</v>
      </c>
      <c r="D930">
        <v>0.5</v>
      </c>
      <c r="E930">
        <v>0</v>
      </c>
      <c r="F930">
        <f t="shared" si="14"/>
        <v>0.5</v>
      </c>
      <c r="I930">
        <v>20230701</v>
      </c>
      <c r="J930" t="s">
        <v>802</v>
      </c>
      <c r="K930" t="s">
        <v>824</v>
      </c>
      <c r="L930" t="s">
        <v>813</v>
      </c>
      <c r="M930" t="s">
        <v>825</v>
      </c>
      <c r="N930" t="s">
        <v>815</v>
      </c>
      <c r="O930" t="s">
        <v>826</v>
      </c>
    </row>
    <row r="931" spans="1:15" x14ac:dyDescent="0.3">
      <c r="A931" s="160">
        <v>7332</v>
      </c>
      <c r="C931" t="s">
        <v>27523</v>
      </c>
      <c r="D931">
        <v>0.6</v>
      </c>
      <c r="E931">
        <v>0</v>
      </c>
      <c r="F931">
        <f t="shared" si="14"/>
        <v>0.6</v>
      </c>
      <c r="I931">
        <v>20250101</v>
      </c>
      <c r="J931" t="s">
        <v>27524</v>
      </c>
    </row>
    <row r="932" spans="1:15" x14ac:dyDescent="0.3">
      <c r="A932" s="160">
        <v>7333</v>
      </c>
      <c r="B932" t="s">
        <v>16099</v>
      </c>
      <c r="C932" t="s">
        <v>785</v>
      </c>
      <c r="D932">
        <v>0.55000000000000004</v>
      </c>
      <c r="E932">
        <v>0</v>
      </c>
      <c r="F932">
        <f t="shared" si="14"/>
        <v>0.55000000000000004</v>
      </c>
      <c r="I932">
        <v>20160701</v>
      </c>
      <c r="J932" t="s">
        <v>789</v>
      </c>
      <c r="K932" t="s">
        <v>814</v>
      </c>
    </row>
    <row r="933" spans="1:15" x14ac:dyDescent="0.3">
      <c r="A933" s="160">
        <v>7335</v>
      </c>
      <c r="B933" t="s">
        <v>16100</v>
      </c>
      <c r="C933" t="s">
        <v>794</v>
      </c>
      <c r="D933">
        <v>0.5</v>
      </c>
      <c r="E933">
        <v>0</v>
      </c>
      <c r="F933">
        <f t="shared" si="14"/>
        <v>0.5</v>
      </c>
      <c r="I933">
        <v>20240101</v>
      </c>
      <c r="J933" t="s">
        <v>795</v>
      </c>
    </row>
    <row r="934" spans="1:15" x14ac:dyDescent="0.3">
      <c r="A934" s="160">
        <v>7337</v>
      </c>
      <c r="B934" t="s">
        <v>16101</v>
      </c>
      <c r="C934" t="s">
        <v>785</v>
      </c>
      <c r="D934">
        <v>0.55000000000000004</v>
      </c>
      <c r="E934">
        <v>0</v>
      </c>
      <c r="F934">
        <f t="shared" si="14"/>
        <v>0.55000000000000004</v>
      </c>
      <c r="I934">
        <v>20160701</v>
      </c>
      <c r="J934" t="s">
        <v>804</v>
      </c>
    </row>
    <row r="935" spans="1:15" x14ac:dyDescent="0.3">
      <c r="A935" s="160">
        <v>7338</v>
      </c>
      <c r="B935" t="s">
        <v>16102</v>
      </c>
      <c r="C935" t="s">
        <v>780</v>
      </c>
      <c r="D935">
        <v>0.6</v>
      </c>
      <c r="E935">
        <v>0</v>
      </c>
      <c r="F935">
        <f t="shared" si="14"/>
        <v>0.6</v>
      </c>
      <c r="I935">
        <v>20240101</v>
      </c>
      <c r="J935" t="s">
        <v>800</v>
      </c>
    </row>
    <row r="936" spans="1:15" x14ac:dyDescent="0.3">
      <c r="A936" s="160">
        <v>7340</v>
      </c>
      <c r="B936" t="s">
        <v>16103</v>
      </c>
      <c r="C936" t="s">
        <v>780</v>
      </c>
      <c r="D936">
        <v>0.6</v>
      </c>
      <c r="E936">
        <v>0</v>
      </c>
      <c r="F936">
        <f t="shared" si="14"/>
        <v>0.6</v>
      </c>
      <c r="I936">
        <v>20180101</v>
      </c>
      <c r="J936" t="s">
        <v>781</v>
      </c>
      <c r="K936" t="s">
        <v>817</v>
      </c>
      <c r="L936" t="s">
        <v>806</v>
      </c>
    </row>
    <row r="937" spans="1:15" x14ac:dyDescent="0.3">
      <c r="A937" s="160">
        <v>7342</v>
      </c>
      <c r="B937" t="s">
        <v>16104</v>
      </c>
      <c r="C937" t="s">
        <v>785</v>
      </c>
      <c r="D937">
        <v>0.55000000000000004</v>
      </c>
      <c r="E937">
        <v>0</v>
      </c>
      <c r="F937">
        <f t="shared" si="14"/>
        <v>0.55000000000000004</v>
      </c>
      <c r="I937">
        <v>20160701</v>
      </c>
      <c r="J937" t="s">
        <v>814</v>
      </c>
    </row>
    <row r="938" spans="1:15" x14ac:dyDescent="0.3">
      <c r="A938" s="160">
        <v>7344</v>
      </c>
      <c r="B938" t="s">
        <v>16105</v>
      </c>
      <c r="C938" t="s">
        <v>785</v>
      </c>
      <c r="D938">
        <v>0</v>
      </c>
      <c r="E938">
        <v>0</v>
      </c>
      <c r="F938">
        <f t="shared" si="14"/>
        <v>0</v>
      </c>
      <c r="I938">
        <v>20180101</v>
      </c>
      <c r="J938" t="s">
        <v>798</v>
      </c>
    </row>
    <row r="939" spans="1:15" x14ac:dyDescent="0.3">
      <c r="A939" s="160">
        <v>7345</v>
      </c>
      <c r="B939" t="s">
        <v>16106</v>
      </c>
      <c r="C939" t="s">
        <v>794</v>
      </c>
      <c r="D939">
        <v>0.5</v>
      </c>
      <c r="E939">
        <v>0</v>
      </c>
      <c r="F939">
        <f t="shared" si="14"/>
        <v>0.5</v>
      </c>
      <c r="I939">
        <v>20230701</v>
      </c>
      <c r="J939" t="s">
        <v>812</v>
      </c>
    </row>
    <row r="940" spans="1:15" x14ac:dyDescent="0.3">
      <c r="A940" s="160">
        <v>7347</v>
      </c>
      <c r="B940" t="s">
        <v>16107</v>
      </c>
      <c r="C940" t="s">
        <v>785</v>
      </c>
      <c r="D940">
        <v>0.55000000000000004</v>
      </c>
      <c r="E940">
        <v>0</v>
      </c>
      <c r="F940">
        <f t="shared" si="14"/>
        <v>0.55000000000000004</v>
      </c>
      <c r="I940">
        <v>20160701</v>
      </c>
      <c r="J940" t="s">
        <v>814</v>
      </c>
    </row>
    <row r="941" spans="1:15" x14ac:dyDescent="0.3">
      <c r="A941" s="160">
        <v>7349</v>
      </c>
      <c r="B941" t="s">
        <v>16108</v>
      </c>
      <c r="C941" t="s">
        <v>780</v>
      </c>
      <c r="D941">
        <v>0.6</v>
      </c>
      <c r="E941">
        <v>0</v>
      </c>
      <c r="F941">
        <f t="shared" si="14"/>
        <v>0.6</v>
      </c>
      <c r="I941">
        <v>20180101</v>
      </c>
      <c r="J941" t="s">
        <v>796</v>
      </c>
    </row>
    <row r="942" spans="1:15" x14ac:dyDescent="0.3">
      <c r="A942" s="160">
        <v>8003</v>
      </c>
      <c r="B942" t="s">
        <v>16109</v>
      </c>
      <c r="C942" t="s">
        <v>827</v>
      </c>
      <c r="D942">
        <v>0.8</v>
      </c>
      <c r="E942">
        <v>0</v>
      </c>
      <c r="F942">
        <f t="shared" si="14"/>
        <v>0.8</v>
      </c>
      <c r="I942">
        <v>20230101</v>
      </c>
      <c r="J942" t="s">
        <v>828</v>
      </c>
    </row>
    <row r="943" spans="1:15" x14ac:dyDescent="0.3">
      <c r="A943" s="160">
        <v>8022</v>
      </c>
      <c r="B943" t="s">
        <v>16110</v>
      </c>
      <c r="C943" t="s">
        <v>827</v>
      </c>
      <c r="D943">
        <v>0.8</v>
      </c>
      <c r="E943">
        <v>0</v>
      </c>
      <c r="F943">
        <f t="shared" si="14"/>
        <v>0.8</v>
      </c>
      <c r="I943">
        <v>20230101</v>
      </c>
      <c r="J943" t="s">
        <v>828</v>
      </c>
    </row>
    <row r="944" spans="1:15" x14ac:dyDescent="0.3">
      <c r="A944" s="160">
        <v>8040</v>
      </c>
      <c r="B944" t="s">
        <v>16111</v>
      </c>
      <c r="C944" t="s">
        <v>827</v>
      </c>
      <c r="D944">
        <v>0.8</v>
      </c>
      <c r="E944">
        <v>0</v>
      </c>
      <c r="F944">
        <f t="shared" si="14"/>
        <v>0.8</v>
      </c>
      <c r="I944">
        <v>20230101</v>
      </c>
      <c r="J944" t="s">
        <v>829</v>
      </c>
    </row>
    <row r="945" spans="1:30" x14ac:dyDescent="0.3">
      <c r="A945" s="160">
        <v>8042</v>
      </c>
      <c r="B945" t="s">
        <v>16112</v>
      </c>
      <c r="C945" t="s">
        <v>827</v>
      </c>
      <c r="D945">
        <v>0.8</v>
      </c>
      <c r="E945">
        <v>0</v>
      </c>
      <c r="F945">
        <f t="shared" si="14"/>
        <v>0.8</v>
      </c>
      <c r="I945">
        <v>20230101</v>
      </c>
      <c r="J945" t="s">
        <v>830</v>
      </c>
    </row>
    <row r="946" spans="1:30" x14ac:dyDescent="0.3">
      <c r="A946" s="160">
        <v>8043</v>
      </c>
      <c r="B946" t="s">
        <v>15179</v>
      </c>
      <c r="C946" t="s">
        <v>827</v>
      </c>
      <c r="D946">
        <v>0.8</v>
      </c>
      <c r="E946">
        <v>0</v>
      </c>
      <c r="F946">
        <f t="shared" si="14"/>
        <v>0.8</v>
      </c>
      <c r="I946">
        <v>20230101</v>
      </c>
      <c r="J946" t="s">
        <v>831</v>
      </c>
      <c r="K946" t="s">
        <v>832</v>
      </c>
      <c r="L946" t="s">
        <v>833</v>
      </c>
      <c r="M946" t="s">
        <v>834</v>
      </c>
    </row>
    <row r="947" spans="1:30" x14ac:dyDescent="0.3">
      <c r="A947" s="160">
        <v>8053</v>
      </c>
      <c r="B947" t="s">
        <v>16113</v>
      </c>
      <c r="C947" t="s">
        <v>827</v>
      </c>
      <c r="D947">
        <v>0.8</v>
      </c>
      <c r="E947">
        <v>0</v>
      </c>
      <c r="F947">
        <f t="shared" si="14"/>
        <v>0.8</v>
      </c>
      <c r="I947">
        <v>20230101</v>
      </c>
      <c r="J947" t="s">
        <v>835</v>
      </c>
      <c r="K947" t="s">
        <v>836</v>
      </c>
      <c r="L947" t="s">
        <v>837</v>
      </c>
      <c r="M947" t="s">
        <v>833</v>
      </c>
      <c r="N947" t="s">
        <v>834</v>
      </c>
    </row>
    <row r="948" spans="1:30" x14ac:dyDescent="0.3">
      <c r="A948" s="160">
        <v>8058</v>
      </c>
      <c r="B948" t="s">
        <v>16114</v>
      </c>
      <c r="C948" t="s">
        <v>827</v>
      </c>
      <c r="D948">
        <v>0.8</v>
      </c>
      <c r="E948">
        <v>0</v>
      </c>
      <c r="F948">
        <f t="shared" si="14"/>
        <v>0.8</v>
      </c>
      <c r="I948">
        <v>20230101</v>
      </c>
      <c r="J948" t="s">
        <v>828</v>
      </c>
    </row>
    <row r="949" spans="1:30" x14ac:dyDescent="0.3">
      <c r="A949" s="160">
        <v>8072</v>
      </c>
      <c r="B949" t="s">
        <v>16115</v>
      </c>
      <c r="C949" t="s">
        <v>827</v>
      </c>
      <c r="D949">
        <v>0.8</v>
      </c>
      <c r="E949">
        <v>0</v>
      </c>
      <c r="F949">
        <f t="shared" si="14"/>
        <v>0.8</v>
      </c>
      <c r="I949">
        <v>20230101</v>
      </c>
      <c r="J949" t="s">
        <v>838</v>
      </c>
    </row>
    <row r="950" spans="1:30" x14ac:dyDescent="0.3">
      <c r="A950" s="160">
        <v>8079</v>
      </c>
      <c r="B950" t="s">
        <v>16116</v>
      </c>
      <c r="C950" t="s">
        <v>827</v>
      </c>
      <c r="D950">
        <v>0.8</v>
      </c>
      <c r="E950">
        <v>0</v>
      </c>
      <c r="F950">
        <f t="shared" si="14"/>
        <v>0.8</v>
      </c>
      <c r="I950">
        <v>20230101</v>
      </c>
      <c r="J950" t="s">
        <v>830</v>
      </c>
    </row>
    <row r="951" spans="1:30" x14ac:dyDescent="0.3">
      <c r="A951" s="160">
        <v>8096</v>
      </c>
      <c r="B951" t="s">
        <v>16117</v>
      </c>
      <c r="C951" t="s">
        <v>827</v>
      </c>
      <c r="D951">
        <v>0.8</v>
      </c>
      <c r="E951">
        <v>0</v>
      </c>
      <c r="F951">
        <f t="shared" si="14"/>
        <v>0.8</v>
      </c>
      <c r="I951">
        <v>20230101</v>
      </c>
      <c r="J951" t="s">
        <v>830</v>
      </c>
    </row>
    <row r="952" spans="1:30" x14ac:dyDescent="0.3">
      <c r="A952" s="160">
        <v>8101</v>
      </c>
      <c r="B952" t="s">
        <v>15707</v>
      </c>
      <c r="C952" t="s">
        <v>827</v>
      </c>
      <c r="D952">
        <v>0.8</v>
      </c>
      <c r="E952">
        <v>0</v>
      </c>
      <c r="F952">
        <f t="shared" si="14"/>
        <v>0.8</v>
      </c>
      <c r="I952">
        <v>20230101</v>
      </c>
      <c r="J952" t="s">
        <v>831</v>
      </c>
    </row>
    <row r="953" spans="1:30" x14ac:dyDescent="0.3">
      <c r="A953" s="160">
        <v>8105</v>
      </c>
      <c r="B953" t="s">
        <v>16118</v>
      </c>
      <c r="C953" t="s">
        <v>827</v>
      </c>
      <c r="D953">
        <v>0.8</v>
      </c>
      <c r="E953">
        <v>0</v>
      </c>
      <c r="F953">
        <f t="shared" si="14"/>
        <v>0.8</v>
      </c>
      <c r="I953">
        <v>20230101</v>
      </c>
      <c r="J953" t="s">
        <v>829</v>
      </c>
      <c r="K953" t="s">
        <v>839</v>
      </c>
      <c r="L953" t="s">
        <v>840</v>
      </c>
      <c r="M953" t="s">
        <v>841</v>
      </c>
      <c r="N953" t="s">
        <v>842</v>
      </c>
      <c r="O953" t="s">
        <v>843</v>
      </c>
      <c r="P953" t="s">
        <v>844</v>
      </c>
      <c r="Q953" t="s">
        <v>845</v>
      </c>
      <c r="R953" t="s">
        <v>846</v>
      </c>
      <c r="S953" t="s">
        <v>847</v>
      </c>
      <c r="T953" t="s">
        <v>848</v>
      </c>
      <c r="U953" t="s">
        <v>849</v>
      </c>
      <c r="V953" t="s">
        <v>850</v>
      </c>
      <c r="W953" t="s">
        <v>851</v>
      </c>
      <c r="X953" t="s">
        <v>852</v>
      </c>
      <c r="Y953" t="s">
        <v>853</v>
      </c>
      <c r="Z953" t="s">
        <v>854</v>
      </c>
      <c r="AA953" t="s">
        <v>855</v>
      </c>
      <c r="AB953" t="s">
        <v>856</v>
      </c>
      <c r="AC953" t="s">
        <v>857</v>
      </c>
      <c r="AD953" t="s">
        <v>858</v>
      </c>
    </row>
    <row r="954" spans="1:30" x14ac:dyDescent="0.3">
      <c r="A954" s="160">
        <v>8119</v>
      </c>
      <c r="B954" t="s">
        <v>16119</v>
      </c>
      <c r="C954" t="s">
        <v>827</v>
      </c>
      <c r="D954">
        <v>0.8</v>
      </c>
      <c r="E954">
        <v>0</v>
      </c>
      <c r="F954">
        <f t="shared" si="14"/>
        <v>0.8</v>
      </c>
      <c r="I954">
        <v>20230101</v>
      </c>
      <c r="J954" t="s">
        <v>838</v>
      </c>
    </row>
    <row r="955" spans="1:30" x14ac:dyDescent="0.3">
      <c r="A955" s="160">
        <v>8125</v>
      </c>
      <c r="B955" t="s">
        <v>16120</v>
      </c>
      <c r="C955" t="s">
        <v>827</v>
      </c>
      <c r="D955">
        <v>0.8</v>
      </c>
      <c r="E955">
        <v>0</v>
      </c>
      <c r="F955">
        <f t="shared" si="14"/>
        <v>0.8</v>
      </c>
      <c r="I955">
        <v>20230101</v>
      </c>
      <c r="J955" t="s">
        <v>846</v>
      </c>
      <c r="K955" t="s">
        <v>828</v>
      </c>
    </row>
    <row r="956" spans="1:30" x14ac:dyDescent="0.3">
      <c r="A956" s="160">
        <v>8136</v>
      </c>
      <c r="B956" t="s">
        <v>16121</v>
      </c>
      <c r="C956" t="s">
        <v>827</v>
      </c>
      <c r="D956">
        <v>0.8</v>
      </c>
      <c r="E956">
        <v>0</v>
      </c>
      <c r="F956">
        <f t="shared" si="14"/>
        <v>0.8</v>
      </c>
      <c r="I956">
        <v>20230101</v>
      </c>
      <c r="J956" t="s">
        <v>835</v>
      </c>
    </row>
    <row r="957" spans="1:30" x14ac:dyDescent="0.3">
      <c r="A957" s="160">
        <v>8137</v>
      </c>
      <c r="B957" t="s">
        <v>16122</v>
      </c>
      <c r="C957" t="s">
        <v>827</v>
      </c>
      <c r="D957">
        <v>0.8</v>
      </c>
      <c r="E957">
        <v>0</v>
      </c>
      <c r="F957">
        <f t="shared" si="14"/>
        <v>0.8</v>
      </c>
      <c r="I957">
        <v>20230101</v>
      </c>
      <c r="J957" t="s">
        <v>846</v>
      </c>
      <c r="K957" t="s">
        <v>828</v>
      </c>
    </row>
    <row r="958" spans="1:30" x14ac:dyDescent="0.3">
      <c r="A958" s="160">
        <v>8140</v>
      </c>
      <c r="B958" t="s">
        <v>16123</v>
      </c>
      <c r="C958" t="s">
        <v>827</v>
      </c>
      <c r="D958">
        <v>0.8</v>
      </c>
      <c r="E958">
        <v>0</v>
      </c>
      <c r="F958">
        <f t="shared" si="14"/>
        <v>0.8</v>
      </c>
      <c r="I958">
        <v>20230101</v>
      </c>
      <c r="J958" t="s">
        <v>830</v>
      </c>
      <c r="K958" t="s">
        <v>834</v>
      </c>
    </row>
    <row r="959" spans="1:30" x14ac:dyDescent="0.3">
      <c r="A959" s="160">
        <v>8142</v>
      </c>
      <c r="B959" t="s">
        <v>16124</v>
      </c>
      <c r="C959" t="s">
        <v>827</v>
      </c>
      <c r="D959">
        <v>0.8</v>
      </c>
      <c r="E959">
        <v>0</v>
      </c>
      <c r="F959">
        <f t="shared" si="14"/>
        <v>0.8</v>
      </c>
      <c r="I959">
        <v>20230101</v>
      </c>
      <c r="J959" t="s">
        <v>832</v>
      </c>
      <c r="K959" t="s">
        <v>837</v>
      </c>
      <c r="L959" t="s">
        <v>833</v>
      </c>
      <c r="M959" t="s">
        <v>834</v>
      </c>
      <c r="N959" t="s">
        <v>838</v>
      </c>
    </row>
    <row r="960" spans="1:30" x14ac:dyDescent="0.3">
      <c r="A960" s="160">
        <v>8152</v>
      </c>
      <c r="B960" t="s">
        <v>16125</v>
      </c>
      <c r="C960" t="s">
        <v>827</v>
      </c>
      <c r="D960">
        <v>0.8</v>
      </c>
      <c r="E960">
        <v>0</v>
      </c>
      <c r="F960">
        <f t="shared" si="14"/>
        <v>0.8</v>
      </c>
      <c r="I960">
        <v>20230101</v>
      </c>
      <c r="J960" t="s">
        <v>830</v>
      </c>
    </row>
    <row r="961" spans="1:15" x14ac:dyDescent="0.3">
      <c r="A961" s="160">
        <v>8158</v>
      </c>
      <c r="B961" t="s">
        <v>16126</v>
      </c>
      <c r="C961" t="s">
        <v>827</v>
      </c>
      <c r="D961">
        <v>0.8</v>
      </c>
      <c r="E961">
        <v>0</v>
      </c>
      <c r="F961">
        <f t="shared" si="14"/>
        <v>0.8</v>
      </c>
      <c r="I961">
        <v>20230101</v>
      </c>
      <c r="J961" t="s">
        <v>830</v>
      </c>
    </row>
    <row r="962" spans="1:15" x14ac:dyDescent="0.3">
      <c r="A962" s="160">
        <v>8162</v>
      </c>
      <c r="B962" t="s">
        <v>16127</v>
      </c>
      <c r="C962" t="s">
        <v>827</v>
      </c>
      <c r="D962">
        <v>0.8</v>
      </c>
      <c r="E962">
        <v>0</v>
      </c>
      <c r="F962">
        <f t="shared" si="14"/>
        <v>0.8</v>
      </c>
      <c r="I962">
        <v>20240101</v>
      </c>
      <c r="J962" t="s">
        <v>839</v>
      </c>
      <c r="K962" t="s">
        <v>842</v>
      </c>
      <c r="L962" t="s">
        <v>828</v>
      </c>
    </row>
    <row r="963" spans="1:15" x14ac:dyDescent="0.3">
      <c r="A963" s="160">
        <v>8170</v>
      </c>
      <c r="B963" t="s">
        <v>16128</v>
      </c>
      <c r="C963" t="s">
        <v>827</v>
      </c>
      <c r="D963">
        <v>0.8</v>
      </c>
      <c r="E963">
        <v>0</v>
      </c>
      <c r="F963">
        <f t="shared" si="14"/>
        <v>0.8</v>
      </c>
      <c r="I963">
        <v>20230101</v>
      </c>
      <c r="J963" t="s">
        <v>831</v>
      </c>
    </row>
    <row r="964" spans="1:15" x14ac:dyDescent="0.3">
      <c r="A964" s="160">
        <v>8173</v>
      </c>
      <c r="B964" t="s">
        <v>16129</v>
      </c>
      <c r="C964" t="s">
        <v>827</v>
      </c>
      <c r="D964">
        <v>0.8</v>
      </c>
      <c r="E964">
        <v>0</v>
      </c>
      <c r="F964">
        <f t="shared" si="14"/>
        <v>0.8</v>
      </c>
      <c r="I964">
        <v>20230101</v>
      </c>
      <c r="J964" t="s">
        <v>830</v>
      </c>
      <c r="K964" t="s">
        <v>834</v>
      </c>
    </row>
    <row r="965" spans="1:15" x14ac:dyDescent="0.3">
      <c r="A965" s="160">
        <v>8174</v>
      </c>
      <c r="B965" t="s">
        <v>16130</v>
      </c>
      <c r="C965" t="s">
        <v>827</v>
      </c>
      <c r="D965">
        <v>0.8</v>
      </c>
      <c r="E965">
        <v>0</v>
      </c>
      <c r="F965">
        <f t="shared" si="14"/>
        <v>0.8</v>
      </c>
      <c r="I965">
        <v>20230101</v>
      </c>
      <c r="J965" t="s">
        <v>831</v>
      </c>
      <c r="K965" t="s">
        <v>832</v>
      </c>
      <c r="L965" t="s">
        <v>836</v>
      </c>
      <c r="M965" t="s">
        <v>837</v>
      </c>
      <c r="N965" t="s">
        <v>834</v>
      </c>
    </row>
    <row r="966" spans="1:15" x14ac:dyDescent="0.3">
      <c r="A966" s="160">
        <v>8179</v>
      </c>
      <c r="B966" t="s">
        <v>16131</v>
      </c>
      <c r="C966" t="s">
        <v>827</v>
      </c>
      <c r="D966">
        <v>0.8</v>
      </c>
      <c r="E966">
        <v>0</v>
      </c>
      <c r="F966">
        <f t="shared" si="14"/>
        <v>0.8</v>
      </c>
      <c r="I966">
        <v>20230101</v>
      </c>
      <c r="J966" t="s">
        <v>835</v>
      </c>
      <c r="K966" t="s">
        <v>834</v>
      </c>
    </row>
    <row r="967" spans="1:15" x14ac:dyDescent="0.3">
      <c r="A967" s="160">
        <v>8180</v>
      </c>
      <c r="B967" t="s">
        <v>16132</v>
      </c>
      <c r="C967" t="s">
        <v>827</v>
      </c>
      <c r="D967">
        <v>0.8</v>
      </c>
      <c r="E967">
        <v>0</v>
      </c>
      <c r="F967">
        <f t="shared" ref="F967:F1030" si="15">D967+E967</f>
        <v>0.8</v>
      </c>
      <c r="I967">
        <v>20230101</v>
      </c>
      <c r="J967" t="s">
        <v>829</v>
      </c>
      <c r="K967" t="s">
        <v>840</v>
      </c>
      <c r="L967" t="s">
        <v>843</v>
      </c>
      <c r="M967" t="s">
        <v>846</v>
      </c>
    </row>
    <row r="968" spans="1:15" x14ac:dyDescent="0.3">
      <c r="A968" s="160">
        <v>8187</v>
      </c>
      <c r="B968" t="s">
        <v>16133</v>
      </c>
      <c r="C968" t="s">
        <v>827</v>
      </c>
      <c r="D968">
        <v>0.8</v>
      </c>
      <c r="E968">
        <v>0</v>
      </c>
      <c r="F968">
        <f t="shared" si="15"/>
        <v>0.8</v>
      </c>
      <c r="I968">
        <v>20230101</v>
      </c>
      <c r="J968" t="s">
        <v>859</v>
      </c>
    </row>
    <row r="969" spans="1:15" x14ac:dyDescent="0.3">
      <c r="A969" s="160">
        <v>8188</v>
      </c>
      <c r="B969" t="s">
        <v>16134</v>
      </c>
      <c r="C969" t="s">
        <v>827</v>
      </c>
      <c r="D969">
        <v>0.8</v>
      </c>
      <c r="E969">
        <v>0</v>
      </c>
      <c r="F969">
        <f t="shared" si="15"/>
        <v>0.8</v>
      </c>
      <c r="I969">
        <v>20230101</v>
      </c>
      <c r="J969" t="s">
        <v>860</v>
      </c>
    </row>
    <row r="970" spans="1:15" x14ac:dyDescent="0.3">
      <c r="A970" s="160">
        <v>8191</v>
      </c>
      <c r="B970" t="s">
        <v>16135</v>
      </c>
      <c r="C970" t="s">
        <v>827</v>
      </c>
      <c r="D970">
        <v>0.8</v>
      </c>
      <c r="E970">
        <v>0</v>
      </c>
      <c r="F970">
        <f t="shared" si="15"/>
        <v>0.8</v>
      </c>
      <c r="I970">
        <v>20230101</v>
      </c>
      <c r="J970" t="s">
        <v>831</v>
      </c>
      <c r="K970" t="s">
        <v>833</v>
      </c>
      <c r="L970" t="s">
        <v>834</v>
      </c>
    </row>
    <row r="971" spans="1:15" x14ac:dyDescent="0.3">
      <c r="A971" s="160">
        <v>8194</v>
      </c>
      <c r="B971" t="s">
        <v>16136</v>
      </c>
      <c r="C971" t="s">
        <v>827</v>
      </c>
      <c r="D971">
        <v>0.8</v>
      </c>
      <c r="E971">
        <v>0</v>
      </c>
      <c r="F971">
        <f t="shared" si="15"/>
        <v>0.8</v>
      </c>
      <c r="I971">
        <v>20230101</v>
      </c>
      <c r="J971" t="s">
        <v>831</v>
      </c>
      <c r="K971" t="s">
        <v>832</v>
      </c>
      <c r="L971" t="s">
        <v>861</v>
      </c>
      <c r="M971" t="s">
        <v>836</v>
      </c>
      <c r="N971" t="s">
        <v>862</v>
      </c>
      <c r="O971" t="s">
        <v>863</v>
      </c>
    </row>
    <row r="972" spans="1:15" x14ac:dyDescent="0.3">
      <c r="A972" s="160">
        <v>8199</v>
      </c>
      <c r="B972" t="s">
        <v>16137</v>
      </c>
      <c r="C972" t="s">
        <v>827</v>
      </c>
      <c r="D972">
        <v>0.8</v>
      </c>
      <c r="E972">
        <v>0</v>
      </c>
      <c r="F972">
        <f t="shared" si="15"/>
        <v>0.8</v>
      </c>
      <c r="I972">
        <v>20230101</v>
      </c>
      <c r="J972" t="s">
        <v>860</v>
      </c>
    </row>
    <row r="973" spans="1:15" x14ac:dyDescent="0.3">
      <c r="A973" s="160">
        <v>8209</v>
      </c>
      <c r="B973" t="s">
        <v>16138</v>
      </c>
      <c r="C973" t="s">
        <v>827</v>
      </c>
      <c r="D973">
        <v>0.8</v>
      </c>
      <c r="E973">
        <v>0</v>
      </c>
      <c r="F973">
        <f t="shared" si="15"/>
        <v>0.8</v>
      </c>
      <c r="I973">
        <v>20230101</v>
      </c>
      <c r="J973" t="s">
        <v>830</v>
      </c>
    </row>
    <row r="974" spans="1:15" x14ac:dyDescent="0.3">
      <c r="A974" s="160">
        <v>8216</v>
      </c>
      <c r="B974" t="s">
        <v>16139</v>
      </c>
      <c r="C974" t="s">
        <v>827</v>
      </c>
      <c r="D974">
        <v>0.8</v>
      </c>
      <c r="E974">
        <v>0</v>
      </c>
      <c r="F974">
        <f t="shared" si="15"/>
        <v>0.8</v>
      </c>
      <c r="I974">
        <v>20230101</v>
      </c>
      <c r="J974" t="s">
        <v>828</v>
      </c>
    </row>
    <row r="975" spans="1:15" x14ac:dyDescent="0.3">
      <c r="A975" s="160">
        <v>8230</v>
      </c>
      <c r="B975" t="s">
        <v>16140</v>
      </c>
      <c r="C975" t="s">
        <v>827</v>
      </c>
      <c r="D975">
        <v>0.8</v>
      </c>
      <c r="E975">
        <v>0</v>
      </c>
      <c r="F975">
        <f t="shared" si="15"/>
        <v>0.8</v>
      </c>
      <c r="I975">
        <v>20230101</v>
      </c>
      <c r="J975" t="s">
        <v>828</v>
      </c>
    </row>
    <row r="976" spans="1:15" x14ac:dyDescent="0.3">
      <c r="A976" s="160">
        <v>8232</v>
      </c>
      <c r="B976" t="s">
        <v>16141</v>
      </c>
      <c r="C976" t="s">
        <v>827</v>
      </c>
      <c r="D976">
        <v>0.8</v>
      </c>
      <c r="E976">
        <v>0</v>
      </c>
      <c r="F976">
        <f t="shared" si="15"/>
        <v>0.8</v>
      </c>
      <c r="I976">
        <v>20230101</v>
      </c>
      <c r="J976" t="s">
        <v>831</v>
      </c>
    </row>
    <row r="977" spans="1:16" x14ac:dyDescent="0.3">
      <c r="A977" s="160">
        <v>8235</v>
      </c>
      <c r="B977" t="s">
        <v>16142</v>
      </c>
      <c r="C977" t="s">
        <v>827</v>
      </c>
      <c r="D977">
        <v>0.8</v>
      </c>
      <c r="E977">
        <v>0</v>
      </c>
      <c r="F977">
        <f t="shared" si="15"/>
        <v>0.8</v>
      </c>
      <c r="I977">
        <v>20230101</v>
      </c>
      <c r="J977" t="s">
        <v>833</v>
      </c>
      <c r="K977" t="s">
        <v>859</v>
      </c>
    </row>
    <row r="978" spans="1:16" x14ac:dyDescent="0.3">
      <c r="A978" s="160">
        <v>8263</v>
      </c>
      <c r="B978" t="s">
        <v>16143</v>
      </c>
      <c r="C978" t="s">
        <v>827</v>
      </c>
      <c r="D978">
        <v>0.8</v>
      </c>
      <c r="E978">
        <v>0</v>
      </c>
      <c r="F978">
        <f t="shared" si="15"/>
        <v>0.8</v>
      </c>
      <c r="I978">
        <v>20230101</v>
      </c>
      <c r="J978" t="s">
        <v>834</v>
      </c>
      <c r="K978" t="s">
        <v>859</v>
      </c>
    </row>
    <row r="979" spans="1:16" x14ac:dyDescent="0.3">
      <c r="A979" s="160">
        <v>8294</v>
      </c>
      <c r="B979" t="s">
        <v>16144</v>
      </c>
      <c r="C979" t="s">
        <v>827</v>
      </c>
      <c r="D979">
        <v>0.8</v>
      </c>
      <c r="E979">
        <v>0</v>
      </c>
      <c r="F979">
        <f t="shared" si="15"/>
        <v>0.8</v>
      </c>
      <c r="I979">
        <v>20230101</v>
      </c>
      <c r="J979" t="s">
        <v>835</v>
      </c>
    </row>
    <row r="980" spans="1:16" x14ac:dyDescent="0.3">
      <c r="A980" s="160">
        <v>8298</v>
      </c>
      <c r="B980" t="s">
        <v>16145</v>
      </c>
      <c r="C980" t="s">
        <v>827</v>
      </c>
      <c r="D980">
        <v>0.8</v>
      </c>
      <c r="E980">
        <v>0</v>
      </c>
      <c r="F980">
        <f t="shared" si="15"/>
        <v>0.8</v>
      </c>
      <c r="I980">
        <v>20230101</v>
      </c>
      <c r="J980" t="s">
        <v>848</v>
      </c>
      <c r="K980" t="s">
        <v>828</v>
      </c>
      <c r="L980" t="s">
        <v>853</v>
      </c>
      <c r="M980" t="s">
        <v>856</v>
      </c>
    </row>
    <row r="981" spans="1:16" x14ac:dyDescent="0.3">
      <c r="A981" s="160">
        <v>8316</v>
      </c>
      <c r="B981" t="s">
        <v>16146</v>
      </c>
      <c r="C981" t="s">
        <v>827</v>
      </c>
      <c r="D981">
        <v>0.8</v>
      </c>
      <c r="E981">
        <v>0</v>
      </c>
      <c r="F981">
        <f t="shared" si="15"/>
        <v>0.8</v>
      </c>
      <c r="I981">
        <v>20230101</v>
      </c>
      <c r="J981" t="s">
        <v>860</v>
      </c>
    </row>
    <row r="982" spans="1:16" x14ac:dyDescent="0.3">
      <c r="A982" s="160">
        <v>8327</v>
      </c>
      <c r="B982" t="s">
        <v>16147</v>
      </c>
      <c r="C982" t="s">
        <v>827</v>
      </c>
      <c r="D982">
        <v>0.8</v>
      </c>
      <c r="E982">
        <v>0</v>
      </c>
      <c r="F982">
        <f t="shared" si="15"/>
        <v>0.8</v>
      </c>
      <c r="I982">
        <v>20230101</v>
      </c>
      <c r="J982" t="s">
        <v>830</v>
      </c>
      <c r="K982" t="s">
        <v>834</v>
      </c>
    </row>
    <row r="983" spans="1:16" x14ac:dyDescent="0.3">
      <c r="A983" s="160">
        <v>8328</v>
      </c>
      <c r="B983" t="s">
        <v>16148</v>
      </c>
      <c r="C983" t="s">
        <v>827</v>
      </c>
      <c r="D983">
        <v>0.8</v>
      </c>
      <c r="E983">
        <v>0</v>
      </c>
      <c r="F983">
        <f t="shared" si="15"/>
        <v>0.8</v>
      </c>
      <c r="I983">
        <v>20230101</v>
      </c>
      <c r="J983" t="s">
        <v>860</v>
      </c>
    </row>
    <row r="984" spans="1:16" x14ac:dyDescent="0.3">
      <c r="A984" s="160">
        <v>8331</v>
      </c>
      <c r="B984" t="s">
        <v>16149</v>
      </c>
      <c r="C984" t="s">
        <v>827</v>
      </c>
      <c r="D984">
        <v>0.8</v>
      </c>
      <c r="E984">
        <v>0</v>
      </c>
      <c r="F984">
        <f t="shared" si="15"/>
        <v>0.8</v>
      </c>
      <c r="I984">
        <v>20230101</v>
      </c>
      <c r="J984" t="s">
        <v>834</v>
      </c>
      <c r="K984" t="s">
        <v>838</v>
      </c>
    </row>
    <row r="985" spans="1:16" x14ac:dyDescent="0.3">
      <c r="A985" s="160">
        <v>8342</v>
      </c>
      <c r="B985" t="s">
        <v>16150</v>
      </c>
      <c r="C985" t="s">
        <v>827</v>
      </c>
      <c r="D985">
        <v>0.8</v>
      </c>
      <c r="E985">
        <v>0</v>
      </c>
      <c r="F985">
        <f t="shared" si="15"/>
        <v>0.8</v>
      </c>
      <c r="I985">
        <v>20230101</v>
      </c>
      <c r="J985" t="s">
        <v>835</v>
      </c>
    </row>
    <row r="986" spans="1:16" x14ac:dyDescent="0.3">
      <c r="A986" s="160">
        <v>8343</v>
      </c>
      <c r="B986" t="s">
        <v>16151</v>
      </c>
      <c r="C986" t="s">
        <v>827</v>
      </c>
      <c r="D986">
        <v>0.8</v>
      </c>
      <c r="E986">
        <v>0</v>
      </c>
      <c r="F986">
        <f t="shared" si="15"/>
        <v>0.8</v>
      </c>
      <c r="I986">
        <v>20230101</v>
      </c>
      <c r="J986" t="s">
        <v>835</v>
      </c>
      <c r="K986" t="s">
        <v>834</v>
      </c>
    </row>
    <row r="987" spans="1:16" x14ac:dyDescent="0.3">
      <c r="A987" s="160">
        <v>8346</v>
      </c>
      <c r="B987" t="s">
        <v>16152</v>
      </c>
      <c r="C987" t="s">
        <v>827</v>
      </c>
      <c r="D987">
        <v>0.8</v>
      </c>
      <c r="E987">
        <v>0</v>
      </c>
      <c r="F987">
        <f t="shared" si="15"/>
        <v>0.8</v>
      </c>
      <c r="I987">
        <v>20230101</v>
      </c>
      <c r="J987" t="s">
        <v>829</v>
      </c>
      <c r="K987" t="s">
        <v>839</v>
      </c>
      <c r="L987" t="s">
        <v>840</v>
      </c>
      <c r="M987" t="s">
        <v>841</v>
      </c>
      <c r="N987" t="s">
        <v>842</v>
      </c>
      <c r="O987" t="s">
        <v>843</v>
      </c>
      <c r="P987" t="s">
        <v>856</v>
      </c>
    </row>
    <row r="988" spans="1:16" x14ac:dyDescent="0.3">
      <c r="A988" s="160">
        <v>8371</v>
      </c>
      <c r="B988" t="s">
        <v>16153</v>
      </c>
      <c r="C988" t="s">
        <v>827</v>
      </c>
      <c r="D988">
        <v>0.8</v>
      </c>
      <c r="E988">
        <v>0</v>
      </c>
      <c r="F988">
        <f t="shared" si="15"/>
        <v>0.8</v>
      </c>
      <c r="I988">
        <v>20230101</v>
      </c>
      <c r="J988" t="s">
        <v>835</v>
      </c>
    </row>
    <row r="989" spans="1:16" x14ac:dyDescent="0.3">
      <c r="A989" s="160">
        <v>8377</v>
      </c>
      <c r="B989" t="s">
        <v>16154</v>
      </c>
      <c r="C989" t="s">
        <v>827</v>
      </c>
      <c r="D989">
        <v>0.8</v>
      </c>
      <c r="E989">
        <v>0</v>
      </c>
      <c r="F989">
        <f t="shared" si="15"/>
        <v>0.8</v>
      </c>
      <c r="I989">
        <v>20230101</v>
      </c>
      <c r="J989" t="s">
        <v>838</v>
      </c>
    </row>
    <row r="990" spans="1:16" x14ac:dyDescent="0.3">
      <c r="A990" s="160">
        <v>8385</v>
      </c>
      <c r="B990" t="s">
        <v>16155</v>
      </c>
      <c r="C990" t="s">
        <v>827</v>
      </c>
      <c r="D990">
        <v>0.8</v>
      </c>
      <c r="E990">
        <v>0</v>
      </c>
      <c r="F990">
        <f t="shared" si="15"/>
        <v>0.8</v>
      </c>
      <c r="I990">
        <v>20230101</v>
      </c>
      <c r="J990" t="s">
        <v>828</v>
      </c>
    </row>
    <row r="991" spans="1:16" x14ac:dyDescent="0.3">
      <c r="A991" s="160">
        <v>8391</v>
      </c>
      <c r="B991" t="s">
        <v>16156</v>
      </c>
      <c r="C991" t="s">
        <v>827</v>
      </c>
      <c r="D991">
        <v>0.8</v>
      </c>
      <c r="E991">
        <v>0</v>
      </c>
      <c r="F991">
        <f t="shared" si="15"/>
        <v>0.8</v>
      </c>
      <c r="I991">
        <v>20230101</v>
      </c>
      <c r="J991" t="s">
        <v>831</v>
      </c>
      <c r="K991" t="s">
        <v>834</v>
      </c>
    </row>
    <row r="992" spans="1:16" x14ac:dyDescent="0.3">
      <c r="A992" s="160">
        <v>8400</v>
      </c>
      <c r="B992" t="s">
        <v>16157</v>
      </c>
      <c r="C992" t="s">
        <v>827</v>
      </c>
      <c r="D992">
        <v>0.8</v>
      </c>
      <c r="E992">
        <v>0</v>
      </c>
      <c r="F992">
        <f t="shared" si="15"/>
        <v>0.8</v>
      </c>
      <c r="I992">
        <v>20230101</v>
      </c>
      <c r="J992" t="s">
        <v>830</v>
      </c>
    </row>
    <row r="993" spans="1:18" x14ac:dyDescent="0.3">
      <c r="A993" s="160">
        <v>8408</v>
      </c>
      <c r="B993" t="s">
        <v>16158</v>
      </c>
      <c r="C993" t="s">
        <v>827</v>
      </c>
      <c r="D993">
        <v>0.8</v>
      </c>
      <c r="E993">
        <v>0</v>
      </c>
      <c r="F993">
        <f t="shared" si="15"/>
        <v>0.8</v>
      </c>
      <c r="I993">
        <v>20230101</v>
      </c>
      <c r="J993" t="s">
        <v>864</v>
      </c>
    </row>
    <row r="994" spans="1:18" x14ac:dyDescent="0.3">
      <c r="A994" s="160">
        <v>8409</v>
      </c>
      <c r="B994" t="s">
        <v>16159</v>
      </c>
      <c r="C994" t="s">
        <v>827</v>
      </c>
      <c r="D994">
        <v>0.8</v>
      </c>
      <c r="E994">
        <v>0</v>
      </c>
      <c r="F994">
        <f t="shared" si="15"/>
        <v>0.8</v>
      </c>
      <c r="I994">
        <v>20230101</v>
      </c>
      <c r="J994" t="s">
        <v>831</v>
      </c>
      <c r="K994" t="s">
        <v>832</v>
      </c>
      <c r="L994" t="s">
        <v>861</v>
      </c>
      <c r="M994" t="s">
        <v>836</v>
      </c>
      <c r="N994" t="s">
        <v>862</v>
      </c>
      <c r="O994" t="s">
        <v>863</v>
      </c>
      <c r="P994" t="s">
        <v>837</v>
      </c>
      <c r="Q994" t="s">
        <v>865</v>
      </c>
      <c r="R994" t="s">
        <v>834</v>
      </c>
    </row>
    <row r="995" spans="1:18" x14ac:dyDescent="0.3">
      <c r="A995" s="160">
        <v>8445</v>
      </c>
      <c r="B995" t="s">
        <v>16160</v>
      </c>
      <c r="C995" t="s">
        <v>827</v>
      </c>
      <c r="D995">
        <v>0.8</v>
      </c>
      <c r="E995">
        <v>0</v>
      </c>
      <c r="F995">
        <f t="shared" si="15"/>
        <v>0.8</v>
      </c>
      <c r="I995">
        <v>20230101</v>
      </c>
      <c r="J995" t="s">
        <v>837</v>
      </c>
      <c r="K995" t="s">
        <v>838</v>
      </c>
    </row>
    <row r="996" spans="1:18" x14ac:dyDescent="0.3">
      <c r="A996" s="160">
        <v>8457</v>
      </c>
      <c r="B996" t="s">
        <v>16161</v>
      </c>
      <c r="C996" t="s">
        <v>827</v>
      </c>
      <c r="D996">
        <v>0.8</v>
      </c>
      <c r="E996">
        <v>0</v>
      </c>
      <c r="F996">
        <f t="shared" si="15"/>
        <v>0.8</v>
      </c>
      <c r="I996">
        <v>20230101</v>
      </c>
      <c r="J996" t="s">
        <v>846</v>
      </c>
      <c r="K996" t="s">
        <v>848</v>
      </c>
      <c r="L996" t="s">
        <v>828</v>
      </c>
    </row>
    <row r="997" spans="1:18" x14ac:dyDescent="0.3">
      <c r="A997" s="160">
        <v>8475</v>
      </c>
      <c r="B997" t="s">
        <v>16162</v>
      </c>
      <c r="C997" t="s">
        <v>827</v>
      </c>
      <c r="D997">
        <v>0.8</v>
      </c>
      <c r="E997">
        <v>0</v>
      </c>
      <c r="F997">
        <f t="shared" si="15"/>
        <v>0.8</v>
      </c>
      <c r="I997">
        <v>20230101</v>
      </c>
      <c r="J997" t="s">
        <v>835</v>
      </c>
    </row>
    <row r="998" spans="1:18" x14ac:dyDescent="0.3">
      <c r="A998" s="160">
        <v>8480</v>
      </c>
      <c r="B998" t="s">
        <v>16163</v>
      </c>
      <c r="C998" t="s">
        <v>827</v>
      </c>
      <c r="D998">
        <v>0.8</v>
      </c>
      <c r="E998">
        <v>0</v>
      </c>
      <c r="F998">
        <f t="shared" si="15"/>
        <v>0.8</v>
      </c>
      <c r="I998">
        <v>20230101</v>
      </c>
      <c r="J998" t="s">
        <v>829</v>
      </c>
      <c r="K998" t="s">
        <v>839</v>
      </c>
      <c r="L998" t="s">
        <v>840</v>
      </c>
      <c r="M998" t="s">
        <v>841</v>
      </c>
      <c r="N998" t="s">
        <v>842</v>
      </c>
      <c r="O998" t="s">
        <v>843</v>
      </c>
      <c r="P998" t="s">
        <v>845</v>
      </c>
      <c r="Q998" t="s">
        <v>846</v>
      </c>
      <c r="R998" t="s">
        <v>848</v>
      </c>
    </row>
    <row r="999" spans="1:18" x14ac:dyDescent="0.3">
      <c r="A999" s="160">
        <v>8481</v>
      </c>
      <c r="B999" t="s">
        <v>16164</v>
      </c>
      <c r="C999" t="s">
        <v>827</v>
      </c>
      <c r="D999">
        <v>0.8</v>
      </c>
      <c r="E999">
        <v>0</v>
      </c>
      <c r="F999">
        <f t="shared" si="15"/>
        <v>0.8</v>
      </c>
      <c r="I999">
        <v>20230101</v>
      </c>
      <c r="J999" t="s">
        <v>838</v>
      </c>
    </row>
    <row r="1000" spans="1:18" x14ac:dyDescent="0.3">
      <c r="A1000" s="160">
        <v>8483</v>
      </c>
      <c r="B1000" t="s">
        <v>16165</v>
      </c>
      <c r="C1000" t="s">
        <v>827</v>
      </c>
      <c r="D1000">
        <v>0.8</v>
      </c>
      <c r="E1000">
        <v>0</v>
      </c>
      <c r="F1000">
        <f t="shared" si="15"/>
        <v>0.8</v>
      </c>
      <c r="I1000">
        <v>20230101</v>
      </c>
      <c r="J1000" t="s">
        <v>859</v>
      </c>
    </row>
    <row r="1001" spans="1:18" x14ac:dyDescent="0.3">
      <c r="A1001" s="160">
        <v>8488</v>
      </c>
      <c r="B1001" t="s">
        <v>16166</v>
      </c>
      <c r="C1001" t="s">
        <v>827</v>
      </c>
      <c r="D1001">
        <v>0.8</v>
      </c>
      <c r="E1001">
        <v>0</v>
      </c>
      <c r="F1001">
        <f t="shared" si="15"/>
        <v>0.8</v>
      </c>
      <c r="I1001">
        <v>20230101</v>
      </c>
      <c r="J1001" t="s">
        <v>832</v>
      </c>
      <c r="K1001" t="s">
        <v>833</v>
      </c>
      <c r="L1001" t="s">
        <v>834</v>
      </c>
      <c r="M1001" t="s">
        <v>859</v>
      </c>
    </row>
    <row r="1002" spans="1:18" x14ac:dyDescent="0.3">
      <c r="A1002" s="160">
        <v>8491</v>
      </c>
      <c r="B1002" t="s">
        <v>16167</v>
      </c>
      <c r="C1002" t="s">
        <v>827</v>
      </c>
      <c r="D1002">
        <v>0.8</v>
      </c>
      <c r="E1002">
        <v>0</v>
      </c>
      <c r="F1002">
        <f t="shared" si="15"/>
        <v>0.8</v>
      </c>
      <c r="I1002">
        <v>20230101</v>
      </c>
      <c r="J1002" t="s">
        <v>832</v>
      </c>
      <c r="K1002" t="s">
        <v>833</v>
      </c>
      <c r="L1002" t="s">
        <v>834</v>
      </c>
      <c r="M1002" t="s">
        <v>866</v>
      </c>
      <c r="N1002" t="s">
        <v>838</v>
      </c>
    </row>
    <row r="1003" spans="1:18" x14ac:dyDescent="0.3">
      <c r="A1003" s="160">
        <v>8492</v>
      </c>
      <c r="B1003" t="s">
        <v>16168</v>
      </c>
      <c r="C1003" t="s">
        <v>827</v>
      </c>
      <c r="D1003">
        <v>0.8</v>
      </c>
      <c r="E1003">
        <v>0</v>
      </c>
      <c r="F1003">
        <f t="shared" si="15"/>
        <v>0.8</v>
      </c>
      <c r="I1003">
        <v>20230101</v>
      </c>
      <c r="J1003" t="s">
        <v>861</v>
      </c>
      <c r="K1003" t="s">
        <v>833</v>
      </c>
      <c r="L1003" t="s">
        <v>838</v>
      </c>
    </row>
    <row r="1004" spans="1:18" x14ac:dyDescent="0.3">
      <c r="A1004" s="160">
        <v>8494</v>
      </c>
      <c r="B1004" t="s">
        <v>16169</v>
      </c>
      <c r="C1004" t="s">
        <v>827</v>
      </c>
      <c r="D1004">
        <v>0.8</v>
      </c>
      <c r="E1004">
        <v>0</v>
      </c>
      <c r="F1004">
        <f t="shared" si="15"/>
        <v>0.8</v>
      </c>
      <c r="I1004">
        <v>20230101</v>
      </c>
      <c r="J1004" t="s">
        <v>831</v>
      </c>
      <c r="K1004" t="s">
        <v>836</v>
      </c>
      <c r="L1004" t="s">
        <v>863</v>
      </c>
      <c r="M1004" t="s">
        <v>837</v>
      </c>
    </row>
    <row r="1005" spans="1:18" x14ac:dyDescent="0.3">
      <c r="A1005" s="160">
        <v>8497</v>
      </c>
      <c r="B1005" t="s">
        <v>16170</v>
      </c>
      <c r="C1005" t="s">
        <v>827</v>
      </c>
      <c r="D1005">
        <v>0.8</v>
      </c>
      <c r="E1005">
        <v>0</v>
      </c>
      <c r="F1005">
        <f t="shared" si="15"/>
        <v>0.8</v>
      </c>
      <c r="I1005">
        <v>20230101</v>
      </c>
      <c r="J1005" t="s">
        <v>829</v>
      </c>
      <c r="K1005" t="s">
        <v>840</v>
      </c>
      <c r="L1005" t="s">
        <v>841</v>
      </c>
      <c r="M1005" t="s">
        <v>846</v>
      </c>
      <c r="N1005" t="s">
        <v>848</v>
      </c>
      <c r="O1005" t="s">
        <v>854</v>
      </c>
      <c r="P1005" t="s">
        <v>857</v>
      </c>
    </row>
    <row r="1006" spans="1:18" x14ac:dyDescent="0.3">
      <c r="A1006" s="160">
        <v>9013</v>
      </c>
      <c r="B1006" t="s">
        <v>16171</v>
      </c>
      <c r="C1006" t="s">
        <v>867</v>
      </c>
      <c r="D1006">
        <v>0.6</v>
      </c>
      <c r="E1006">
        <v>0</v>
      </c>
      <c r="F1006">
        <f t="shared" si="15"/>
        <v>0.6</v>
      </c>
      <c r="I1006">
        <v>20240101</v>
      </c>
      <c r="J1006" t="s">
        <v>868</v>
      </c>
    </row>
    <row r="1007" spans="1:18" x14ac:dyDescent="0.3">
      <c r="A1007" s="160">
        <v>9021</v>
      </c>
      <c r="B1007" t="s">
        <v>16172</v>
      </c>
      <c r="C1007" t="s">
        <v>867</v>
      </c>
      <c r="D1007">
        <v>0.6</v>
      </c>
      <c r="E1007">
        <v>0</v>
      </c>
      <c r="F1007">
        <f t="shared" si="15"/>
        <v>0.6</v>
      </c>
      <c r="I1007">
        <v>20220701</v>
      </c>
      <c r="J1007" t="s">
        <v>869</v>
      </c>
    </row>
    <row r="1008" spans="1:18" x14ac:dyDescent="0.3">
      <c r="A1008" s="160">
        <v>9044</v>
      </c>
      <c r="B1008" t="s">
        <v>16173</v>
      </c>
      <c r="C1008" t="s">
        <v>867</v>
      </c>
      <c r="D1008">
        <v>0.6</v>
      </c>
      <c r="E1008">
        <v>0</v>
      </c>
      <c r="F1008">
        <f t="shared" si="15"/>
        <v>0.6</v>
      </c>
      <c r="I1008">
        <v>20240101</v>
      </c>
      <c r="J1008" t="s">
        <v>868</v>
      </c>
    </row>
    <row r="1009" spans="1:19" x14ac:dyDescent="0.3">
      <c r="A1009" s="160">
        <v>9049</v>
      </c>
      <c r="B1009" t="s">
        <v>16174</v>
      </c>
      <c r="C1009" t="s">
        <v>867</v>
      </c>
      <c r="D1009">
        <v>0.6</v>
      </c>
      <c r="E1009">
        <v>0</v>
      </c>
      <c r="F1009">
        <f t="shared" si="15"/>
        <v>0.6</v>
      </c>
      <c r="I1009">
        <v>20240101</v>
      </c>
      <c r="J1009" t="s">
        <v>868</v>
      </c>
    </row>
    <row r="1010" spans="1:19" x14ac:dyDescent="0.3">
      <c r="A1010" s="160">
        <v>9063</v>
      </c>
      <c r="B1010" t="s">
        <v>16175</v>
      </c>
      <c r="C1010" t="s">
        <v>867</v>
      </c>
      <c r="D1010">
        <v>0.6</v>
      </c>
      <c r="E1010">
        <v>0</v>
      </c>
      <c r="F1010">
        <f t="shared" si="15"/>
        <v>0.6</v>
      </c>
      <c r="I1010">
        <v>20240101</v>
      </c>
      <c r="J1010" t="s">
        <v>868</v>
      </c>
    </row>
    <row r="1011" spans="1:19" x14ac:dyDescent="0.3">
      <c r="A1011" s="160">
        <v>9066</v>
      </c>
      <c r="B1011" t="s">
        <v>16176</v>
      </c>
      <c r="C1011" t="s">
        <v>867</v>
      </c>
      <c r="D1011">
        <v>0.6</v>
      </c>
      <c r="E1011">
        <v>0</v>
      </c>
      <c r="F1011">
        <f t="shared" si="15"/>
        <v>0.6</v>
      </c>
      <c r="I1011">
        <v>20240101</v>
      </c>
      <c r="J1011" t="s">
        <v>868</v>
      </c>
    </row>
    <row r="1012" spans="1:19" x14ac:dyDescent="0.3">
      <c r="A1012" s="160">
        <v>9068</v>
      </c>
      <c r="B1012" t="s">
        <v>16177</v>
      </c>
      <c r="C1012" t="s">
        <v>867</v>
      </c>
      <c r="D1012">
        <v>0.6</v>
      </c>
      <c r="E1012">
        <v>0</v>
      </c>
      <c r="F1012">
        <f t="shared" si="15"/>
        <v>0.6</v>
      </c>
      <c r="I1012">
        <v>20240101</v>
      </c>
      <c r="J1012" t="s">
        <v>868</v>
      </c>
    </row>
    <row r="1013" spans="1:19" x14ac:dyDescent="0.3">
      <c r="A1013" s="160">
        <v>9072</v>
      </c>
      <c r="B1013" t="s">
        <v>16178</v>
      </c>
      <c r="C1013" t="s">
        <v>867</v>
      </c>
      <c r="D1013">
        <v>0.6</v>
      </c>
      <c r="E1013">
        <v>0</v>
      </c>
      <c r="F1013">
        <f t="shared" si="15"/>
        <v>0.6</v>
      </c>
      <c r="I1013">
        <v>20220701</v>
      </c>
      <c r="J1013" t="s">
        <v>869</v>
      </c>
    </row>
    <row r="1014" spans="1:19" x14ac:dyDescent="0.3">
      <c r="A1014" s="160">
        <v>9090</v>
      </c>
      <c r="B1014" t="s">
        <v>16179</v>
      </c>
      <c r="C1014" t="s">
        <v>867</v>
      </c>
      <c r="D1014">
        <v>0.6</v>
      </c>
      <c r="E1014">
        <v>0</v>
      </c>
      <c r="F1014">
        <f t="shared" si="15"/>
        <v>0.6</v>
      </c>
      <c r="I1014">
        <v>20220701</v>
      </c>
      <c r="J1014" t="s">
        <v>869</v>
      </c>
    </row>
    <row r="1015" spans="1:19" x14ac:dyDescent="0.3">
      <c r="A1015" s="160">
        <v>9093</v>
      </c>
      <c r="B1015" t="s">
        <v>16180</v>
      </c>
      <c r="C1015" t="s">
        <v>867</v>
      </c>
      <c r="D1015">
        <v>0.6</v>
      </c>
      <c r="E1015">
        <v>0</v>
      </c>
      <c r="F1015">
        <f t="shared" si="15"/>
        <v>0.6</v>
      </c>
      <c r="I1015">
        <v>20240101</v>
      </c>
      <c r="J1015" t="s">
        <v>868</v>
      </c>
    </row>
    <row r="1016" spans="1:19" x14ac:dyDescent="0.3">
      <c r="A1016" s="160">
        <v>9099</v>
      </c>
      <c r="B1016" t="s">
        <v>16181</v>
      </c>
      <c r="C1016" t="s">
        <v>867</v>
      </c>
      <c r="D1016">
        <v>0.6</v>
      </c>
      <c r="E1016">
        <v>0</v>
      </c>
      <c r="F1016">
        <f t="shared" si="15"/>
        <v>0.6</v>
      </c>
      <c r="I1016">
        <v>20240101</v>
      </c>
      <c r="J1016" t="s">
        <v>868</v>
      </c>
    </row>
    <row r="1017" spans="1:19" x14ac:dyDescent="0.3">
      <c r="A1017" s="160">
        <v>9101</v>
      </c>
      <c r="B1017" t="s">
        <v>16182</v>
      </c>
      <c r="C1017" t="s">
        <v>867</v>
      </c>
      <c r="D1017">
        <v>0.6</v>
      </c>
      <c r="E1017">
        <v>0</v>
      </c>
      <c r="F1017">
        <f t="shared" si="15"/>
        <v>0.6</v>
      </c>
      <c r="I1017">
        <v>20220701</v>
      </c>
      <c r="J1017" t="s">
        <v>870</v>
      </c>
      <c r="K1017" t="s">
        <v>869</v>
      </c>
    </row>
    <row r="1018" spans="1:19" x14ac:dyDescent="0.3">
      <c r="A1018" s="160">
        <v>9103</v>
      </c>
      <c r="B1018" t="s">
        <v>16183</v>
      </c>
      <c r="C1018" t="s">
        <v>867</v>
      </c>
      <c r="D1018">
        <v>0.6</v>
      </c>
      <c r="E1018">
        <v>0</v>
      </c>
      <c r="F1018">
        <f t="shared" si="15"/>
        <v>0.6</v>
      </c>
      <c r="I1018">
        <v>20220701</v>
      </c>
      <c r="J1018" t="s">
        <v>869</v>
      </c>
    </row>
    <row r="1019" spans="1:19" x14ac:dyDescent="0.3">
      <c r="A1019" s="160">
        <v>9104</v>
      </c>
      <c r="B1019" t="s">
        <v>16184</v>
      </c>
      <c r="C1019" t="s">
        <v>867</v>
      </c>
      <c r="D1019">
        <v>0.6</v>
      </c>
      <c r="E1019">
        <v>0</v>
      </c>
      <c r="F1019">
        <f t="shared" si="15"/>
        <v>0.6</v>
      </c>
      <c r="I1019">
        <v>20220701</v>
      </c>
      <c r="J1019" t="s">
        <v>869</v>
      </c>
    </row>
    <row r="1020" spans="1:19" x14ac:dyDescent="0.3">
      <c r="A1020" s="160">
        <v>9121</v>
      </c>
      <c r="B1020" t="s">
        <v>16185</v>
      </c>
      <c r="C1020" t="s">
        <v>867</v>
      </c>
      <c r="D1020">
        <v>0.6</v>
      </c>
      <c r="E1020">
        <v>0</v>
      </c>
      <c r="F1020">
        <f t="shared" si="15"/>
        <v>0.6</v>
      </c>
      <c r="I1020">
        <v>20240101</v>
      </c>
      <c r="J1020" t="s">
        <v>868</v>
      </c>
    </row>
    <row r="1021" spans="1:19" x14ac:dyDescent="0.3">
      <c r="A1021" s="160">
        <v>9122</v>
      </c>
      <c r="B1021" t="s">
        <v>16186</v>
      </c>
      <c r="C1021" t="s">
        <v>867</v>
      </c>
      <c r="D1021">
        <v>0.6</v>
      </c>
      <c r="E1021">
        <v>0</v>
      </c>
      <c r="F1021">
        <f t="shared" si="15"/>
        <v>0.6</v>
      </c>
      <c r="I1021">
        <v>20240101</v>
      </c>
      <c r="J1021" t="s">
        <v>868</v>
      </c>
      <c r="K1021" t="s">
        <v>871</v>
      </c>
      <c r="L1021" t="s">
        <v>872</v>
      </c>
      <c r="M1021" t="s">
        <v>870</v>
      </c>
      <c r="N1021" t="s">
        <v>873</v>
      </c>
      <c r="O1021" t="s">
        <v>874</v>
      </c>
      <c r="P1021" t="s">
        <v>875</v>
      </c>
      <c r="Q1021" t="s">
        <v>876</v>
      </c>
      <c r="R1021" t="s">
        <v>877</v>
      </c>
      <c r="S1021" t="s">
        <v>878</v>
      </c>
    </row>
    <row r="1022" spans="1:19" x14ac:dyDescent="0.3">
      <c r="A1022" s="160">
        <v>9130</v>
      </c>
      <c r="B1022" t="s">
        <v>16187</v>
      </c>
      <c r="C1022" t="s">
        <v>867</v>
      </c>
      <c r="D1022">
        <v>0.6</v>
      </c>
      <c r="E1022">
        <v>0</v>
      </c>
      <c r="F1022">
        <f t="shared" si="15"/>
        <v>0.6</v>
      </c>
      <c r="I1022">
        <v>20240101</v>
      </c>
      <c r="J1022" t="s">
        <v>868</v>
      </c>
    </row>
    <row r="1023" spans="1:19" x14ac:dyDescent="0.3">
      <c r="A1023" s="160">
        <v>9137</v>
      </c>
      <c r="B1023" t="s">
        <v>16188</v>
      </c>
      <c r="C1023" t="s">
        <v>867</v>
      </c>
      <c r="D1023">
        <v>0.6</v>
      </c>
      <c r="E1023">
        <v>0</v>
      </c>
      <c r="F1023">
        <f t="shared" si="15"/>
        <v>0.6</v>
      </c>
      <c r="I1023">
        <v>20220701</v>
      </c>
      <c r="J1023" t="s">
        <v>869</v>
      </c>
    </row>
    <row r="1024" spans="1:19" x14ac:dyDescent="0.3">
      <c r="A1024" s="160">
        <v>9138</v>
      </c>
      <c r="B1024" t="s">
        <v>16189</v>
      </c>
      <c r="C1024" t="s">
        <v>867</v>
      </c>
      <c r="D1024">
        <v>0.6</v>
      </c>
      <c r="E1024">
        <v>0</v>
      </c>
      <c r="F1024">
        <f t="shared" si="15"/>
        <v>0.6</v>
      </c>
      <c r="I1024">
        <v>20240101</v>
      </c>
      <c r="J1024" t="s">
        <v>868</v>
      </c>
      <c r="K1024" t="s">
        <v>873</v>
      </c>
    </row>
    <row r="1025" spans="1:14" x14ac:dyDescent="0.3">
      <c r="A1025" s="160">
        <v>9173</v>
      </c>
      <c r="B1025" t="s">
        <v>16190</v>
      </c>
      <c r="C1025" t="s">
        <v>867</v>
      </c>
      <c r="D1025">
        <v>0.6</v>
      </c>
      <c r="E1025">
        <v>0</v>
      </c>
      <c r="F1025">
        <f t="shared" si="15"/>
        <v>0.6</v>
      </c>
      <c r="I1025">
        <v>20220701</v>
      </c>
      <c r="J1025" t="s">
        <v>869</v>
      </c>
    </row>
    <row r="1026" spans="1:14" x14ac:dyDescent="0.3">
      <c r="A1026" s="160">
        <v>9174</v>
      </c>
      <c r="B1026" t="s">
        <v>16191</v>
      </c>
      <c r="C1026" t="s">
        <v>867</v>
      </c>
      <c r="D1026">
        <v>0.6</v>
      </c>
      <c r="E1026">
        <v>0</v>
      </c>
      <c r="F1026">
        <f t="shared" si="15"/>
        <v>0.6</v>
      </c>
      <c r="I1026">
        <v>20240101</v>
      </c>
      <c r="J1026" t="s">
        <v>868</v>
      </c>
      <c r="K1026" t="s">
        <v>873</v>
      </c>
    </row>
    <row r="1027" spans="1:14" x14ac:dyDescent="0.3">
      <c r="A1027" s="160">
        <v>9179</v>
      </c>
      <c r="B1027" t="s">
        <v>16192</v>
      </c>
      <c r="C1027" t="s">
        <v>867</v>
      </c>
      <c r="D1027">
        <v>0.6</v>
      </c>
      <c r="E1027">
        <v>0</v>
      </c>
      <c r="F1027">
        <f t="shared" si="15"/>
        <v>0.6</v>
      </c>
      <c r="I1027">
        <v>20220701</v>
      </c>
      <c r="J1027" t="s">
        <v>869</v>
      </c>
    </row>
    <row r="1028" spans="1:14" x14ac:dyDescent="0.3">
      <c r="A1028" s="160">
        <v>9202</v>
      </c>
      <c r="B1028" t="s">
        <v>16193</v>
      </c>
      <c r="C1028" t="s">
        <v>867</v>
      </c>
      <c r="D1028">
        <v>0.6</v>
      </c>
      <c r="E1028">
        <v>0</v>
      </c>
      <c r="F1028">
        <f t="shared" si="15"/>
        <v>0.6</v>
      </c>
      <c r="I1028">
        <v>20220701</v>
      </c>
      <c r="J1028" t="s">
        <v>869</v>
      </c>
    </row>
    <row r="1029" spans="1:14" x14ac:dyDescent="0.3">
      <c r="A1029" s="160">
        <v>9207</v>
      </c>
      <c r="B1029" t="s">
        <v>16194</v>
      </c>
      <c r="C1029" t="s">
        <v>867</v>
      </c>
      <c r="D1029">
        <v>0.6</v>
      </c>
      <c r="E1029">
        <v>0</v>
      </c>
      <c r="F1029">
        <f t="shared" si="15"/>
        <v>0.6</v>
      </c>
      <c r="I1029">
        <v>20240101</v>
      </c>
      <c r="J1029" t="s">
        <v>879</v>
      </c>
    </row>
    <row r="1030" spans="1:14" x14ac:dyDescent="0.3">
      <c r="A1030" s="160">
        <v>9210</v>
      </c>
      <c r="B1030" t="s">
        <v>16195</v>
      </c>
      <c r="C1030" t="s">
        <v>867</v>
      </c>
      <c r="D1030">
        <v>0.6</v>
      </c>
      <c r="E1030">
        <v>0</v>
      </c>
      <c r="F1030">
        <f t="shared" si="15"/>
        <v>0.6</v>
      </c>
      <c r="I1030">
        <v>20240101</v>
      </c>
      <c r="J1030" t="s">
        <v>868</v>
      </c>
      <c r="K1030" t="s">
        <v>871</v>
      </c>
      <c r="L1030" t="s">
        <v>872</v>
      </c>
    </row>
    <row r="1031" spans="1:14" x14ac:dyDescent="0.3">
      <c r="A1031" s="160">
        <v>9234</v>
      </c>
      <c r="B1031" t="s">
        <v>16196</v>
      </c>
      <c r="C1031" t="s">
        <v>867</v>
      </c>
      <c r="D1031">
        <v>0.6</v>
      </c>
      <c r="E1031">
        <v>0</v>
      </c>
      <c r="F1031">
        <f t="shared" ref="F1031:F1094" si="16">D1031+E1031</f>
        <v>0.6</v>
      </c>
      <c r="I1031">
        <v>20240101</v>
      </c>
      <c r="J1031" t="s">
        <v>868</v>
      </c>
    </row>
    <row r="1032" spans="1:14" x14ac:dyDescent="0.3">
      <c r="A1032" s="160">
        <v>9236</v>
      </c>
      <c r="B1032" t="s">
        <v>16197</v>
      </c>
      <c r="C1032" t="s">
        <v>867</v>
      </c>
      <c r="D1032">
        <v>0.6</v>
      </c>
      <c r="E1032">
        <v>0</v>
      </c>
      <c r="F1032">
        <f t="shared" si="16"/>
        <v>0.6</v>
      </c>
      <c r="I1032">
        <v>20240101</v>
      </c>
      <c r="J1032" t="s">
        <v>868</v>
      </c>
      <c r="K1032" t="s">
        <v>874</v>
      </c>
    </row>
    <row r="1033" spans="1:14" x14ac:dyDescent="0.3">
      <c r="A1033" s="160">
        <v>9245</v>
      </c>
      <c r="B1033" t="s">
        <v>16198</v>
      </c>
      <c r="C1033" t="s">
        <v>867</v>
      </c>
      <c r="D1033">
        <v>0.6</v>
      </c>
      <c r="E1033">
        <v>0</v>
      </c>
      <c r="F1033">
        <f t="shared" si="16"/>
        <v>0.6</v>
      </c>
      <c r="I1033">
        <v>20220701</v>
      </c>
      <c r="J1033" t="s">
        <v>869</v>
      </c>
    </row>
    <row r="1034" spans="1:14" x14ac:dyDescent="0.3">
      <c r="A1034" s="160">
        <v>9256</v>
      </c>
      <c r="B1034" t="s">
        <v>16199</v>
      </c>
      <c r="C1034" t="s">
        <v>867</v>
      </c>
      <c r="D1034">
        <v>0.6</v>
      </c>
      <c r="E1034">
        <v>0</v>
      </c>
      <c r="F1034">
        <f t="shared" si="16"/>
        <v>0.6</v>
      </c>
      <c r="I1034">
        <v>20220701</v>
      </c>
      <c r="J1034" t="s">
        <v>869</v>
      </c>
    </row>
    <row r="1035" spans="1:14" x14ac:dyDescent="0.3">
      <c r="A1035" s="160">
        <v>9258</v>
      </c>
      <c r="B1035" t="s">
        <v>16200</v>
      </c>
      <c r="C1035" t="s">
        <v>867</v>
      </c>
      <c r="D1035">
        <v>0.6</v>
      </c>
      <c r="E1035">
        <v>0</v>
      </c>
      <c r="F1035">
        <f t="shared" si="16"/>
        <v>0.6</v>
      </c>
      <c r="I1035">
        <v>20220701</v>
      </c>
      <c r="J1035" t="s">
        <v>869</v>
      </c>
    </row>
    <row r="1036" spans="1:14" x14ac:dyDescent="0.3">
      <c r="A1036" s="160">
        <v>9264</v>
      </c>
      <c r="B1036" t="s">
        <v>16201</v>
      </c>
      <c r="C1036" t="s">
        <v>867</v>
      </c>
      <c r="D1036">
        <v>0.6</v>
      </c>
      <c r="E1036">
        <v>0</v>
      </c>
      <c r="F1036">
        <f t="shared" si="16"/>
        <v>0.6</v>
      </c>
      <c r="I1036">
        <v>20240101</v>
      </c>
      <c r="J1036" t="s">
        <v>868</v>
      </c>
      <c r="K1036" t="s">
        <v>870</v>
      </c>
      <c r="L1036" t="s">
        <v>873</v>
      </c>
      <c r="M1036" t="s">
        <v>875</v>
      </c>
      <c r="N1036" t="s">
        <v>880</v>
      </c>
    </row>
    <row r="1037" spans="1:14" x14ac:dyDescent="0.3">
      <c r="A1037" s="160">
        <v>9269</v>
      </c>
      <c r="B1037" t="s">
        <v>16202</v>
      </c>
      <c r="C1037" t="s">
        <v>867</v>
      </c>
      <c r="D1037">
        <v>0.6</v>
      </c>
      <c r="E1037">
        <v>0</v>
      </c>
      <c r="F1037">
        <f t="shared" si="16"/>
        <v>0.6</v>
      </c>
      <c r="I1037">
        <v>20240101</v>
      </c>
      <c r="J1037" t="s">
        <v>868</v>
      </c>
    </row>
    <row r="1038" spans="1:14" x14ac:dyDescent="0.3">
      <c r="A1038" s="160">
        <v>9272</v>
      </c>
      <c r="B1038" t="s">
        <v>16203</v>
      </c>
      <c r="C1038" t="s">
        <v>867</v>
      </c>
      <c r="D1038">
        <v>0.6</v>
      </c>
      <c r="E1038">
        <v>0</v>
      </c>
      <c r="F1038">
        <f t="shared" si="16"/>
        <v>0.6</v>
      </c>
      <c r="I1038">
        <v>20240101</v>
      </c>
      <c r="J1038" t="s">
        <v>868</v>
      </c>
      <c r="K1038" t="s">
        <v>871</v>
      </c>
    </row>
    <row r="1039" spans="1:14" x14ac:dyDescent="0.3">
      <c r="A1039" s="160">
        <v>9273</v>
      </c>
      <c r="B1039" t="s">
        <v>16204</v>
      </c>
      <c r="C1039" t="s">
        <v>867</v>
      </c>
      <c r="D1039">
        <v>0.6</v>
      </c>
      <c r="E1039">
        <v>0</v>
      </c>
      <c r="F1039">
        <f t="shared" si="16"/>
        <v>0.6</v>
      </c>
      <c r="I1039">
        <v>20240101</v>
      </c>
      <c r="J1039" t="s">
        <v>868</v>
      </c>
    </row>
    <row r="1040" spans="1:14" x14ac:dyDescent="0.3">
      <c r="A1040" s="160">
        <v>9284</v>
      </c>
      <c r="B1040" t="s">
        <v>16205</v>
      </c>
      <c r="C1040" t="s">
        <v>867</v>
      </c>
      <c r="D1040">
        <v>0.6</v>
      </c>
      <c r="E1040">
        <v>0</v>
      </c>
      <c r="F1040">
        <f t="shared" si="16"/>
        <v>0.6</v>
      </c>
      <c r="I1040">
        <v>20220701</v>
      </c>
      <c r="J1040" t="s">
        <v>869</v>
      </c>
    </row>
    <row r="1041" spans="1:15" x14ac:dyDescent="0.3">
      <c r="A1041" s="160">
        <v>9293</v>
      </c>
      <c r="B1041" t="s">
        <v>16206</v>
      </c>
      <c r="C1041" t="s">
        <v>867</v>
      </c>
      <c r="D1041">
        <v>0.6</v>
      </c>
      <c r="E1041">
        <v>0</v>
      </c>
      <c r="F1041">
        <f t="shared" si="16"/>
        <v>0.6</v>
      </c>
      <c r="I1041">
        <v>20240101</v>
      </c>
      <c r="J1041" t="s">
        <v>868</v>
      </c>
    </row>
    <row r="1042" spans="1:15" x14ac:dyDescent="0.3">
      <c r="A1042" s="160">
        <v>9300</v>
      </c>
      <c r="B1042" t="s">
        <v>16207</v>
      </c>
      <c r="C1042" t="s">
        <v>867</v>
      </c>
      <c r="D1042">
        <v>0.6</v>
      </c>
      <c r="E1042">
        <v>0</v>
      </c>
      <c r="F1042">
        <f t="shared" si="16"/>
        <v>0.6</v>
      </c>
      <c r="I1042">
        <v>20240101</v>
      </c>
      <c r="J1042" t="s">
        <v>868</v>
      </c>
    </row>
    <row r="1043" spans="1:15" x14ac:dyDescent="0.3">
      <c r="A1043" s="160">
        <v>9324</v>
      </c>
      <c r="B1043" t="s">
        <v>16208</v>
      </c>
      <c r="C1043" t="s">
        <v>867</v>
      </c>
      <c r="D1043">
        <v>0.6</v>
      </c>
      <c r="E1043">
        <v>0</v>
      </c>
      <c r="F1043">
        <f t="shared" si="16"/>
        <v>0.6</v>
      </c>
      <c r="I1043">
        <v>20220701</v>
      </c>
      <c r="J1043" t="s">
        <v>871</v>
      </c>
      <c r="K1043" t="s">
        <v>872</v>
      </c>
      <c r="L1043" t="s">
        <v>870</v>
      </c>
      <c r="M1043" t="s">
        <v>874</v>
      </c>
      <c r="N1043" t="s">
        <v>875</v>
      </c>
      <c r="O1043" t="s">
        <v>869</v>
      </c>
    </row>
    <row r="1044" spans="1:15" x14ac:dyDescent="0.3">
      <c r="A1044" s="160">
        <v>9327</v>
      </c>
      <c r="B1044" t="s">
        <v>16209</v>
      </c>
      <c r="C1044" t="s">
        <v>867</v>
      </c>
      <c r="D1044">
        <v>0.6</v>
      </c>
      <c r="E1044">
        <v>0</v>
      </c>
      <c r="F1044">
        <f t="shared" si="16"/>
        <v>0.6</v>
      </c>
      <c r="I1044">
        <v>20220701</v>
      </c>
      <c r="J1044" t="s">
        <v>869</v>
      </c>
    </row>
    <row r="1045" spans="1:15" x14ac:dyDescent="0.3">
      <c r="A1045" s="160">
        <v>9329</v>
      </c>
      <c r="B1045" t="s">
        <v>16210</v>
      </c>
      <c r="C1045" t="s">
        <v>867</v>
      </c>
      <c r="D1045">
        <v>0.6</v>
      </c>
      <c r="E1045">
        <v>0</v>
      </c>
      <c r="F1045">
        <f t="shared" si="16"/>
        <v>0.6</v>
      </c>
      <c r="I1045">
        <v>20240101</v>
      </c>
      <c r="J1045" t="s">
        <v>868</v>
      </c>
      <c r="K1045" t="s">
        <v>872</v>
      </c>
      <c r="L1045" t="s">
        <v>873</v>
      </c>
    </row>
    <row r="1046" spans="1:15" x14ac:dyDescent="0.3">
      <c r="A1046" s="160">
        <v>9332</v>
      </c>
      <c r="B1046" t="s">
        <v>16211</v>
      </c>
      <c r="C1046" t="s">
        <v>867</v>
      </c>
      <c r="D1046">
        <v>0.6</v>
      </c>
      <c r="E1046">
        <v>0</v>
      </c>
      <c r="F1046">
        <f t="shared" si="16"/>
        <v>0.6</v>
      </c>
      <c r="I1046">
        <v>20220701</v>
      </c>
      <c r="J1046" t="s">
        <v>881</v>
      </c>
      <c r="K1046" t="s">
        <v>882</v>
      </c>
    </row>
    <row r="1047" spans="1:15" x14ac:dyDescent="0.3">
      <c r="A1047" s="160">
        <v>9340</v>
      </c>
      <c r="B1047" t="s">
        <v>16212</v>
      </c>
      <c r="C1047" t="s">
        <v>867</v>
      </c>
      <c r="D1047">
        <v>0.6</v>
      </c>
      <c r="E1047">
        <v>0</v>
      </c>
      <c r="F1047">
        <f t="shared" si="16"/>
        <v>0.6</v>
      </c>
      <c r="I1047">
        <v>20220701</v>
      </c>
      <c r="J1047" t="s">
        <v>869</v>
      </c>
    </row>
    <row r="1048" spans="1:15" x14ac:dyDescent="0.3">
      <c r="A1048" s="160">
        <v>10013</v>
      </c>
      <c r="B1048" t="s">
        <v>16213</v>
      </c>
      <c r="C1048" t="s">
        <v>883</v>
      </c>
      <c r="D1048">
        <v>1.25</v>
      </c>
      <c r="E1048">
        <v>0</v>
      </c>
      <c r="F1048">
        <f t="shared" si="16"/>
        <v>1.25</v>
      </c>
      <c r="I1048">
        <v>20220701</v>
      </c>
      <c r="J1048" t="s">
        <v>884</v>
      </c>
    </row>
    <row r="1049" spans="1:15" x14ac:dyDescent="0.3">
      <c r="A1049" s="160">
        <v>10015</v>
      </c>
      <c r="B1049" t="s">
        <v>16214</v>
      </c>
      <c r="C1049" t="s">
        <v>883</v>
      </c>
      <c r="D1049">
        <v>1.25</v>
      </c>
      <c r="E1049">
        <v>0</v>
      </c>
      <c r="F1049">
        <f t="shared" si="16"/>
        <v>1.25</v>
      </c>
      <c r="I1049">
        <v>20240101</v>
      </c>
      <c r="J1049" t="s">
        <v>885</v>
      </c>
    </row>
    <row r="1050" spans="1:15" x14ac:dyDescent="0.3">
      <c r="A1050" s="160">
        <v>10030</v>
      </c>
      <c r="B1050" t="s">
        <v>16215</v>
      </c>
      <c r="C1050" t="s">
        <v>883</v>
      </c>
      <c r="D1050">
        <v>1.25</v>
      </c>
      <c r="E1050">
        <v>0</v>
      </c>
      <c r="F1050">
        <f t="shared" si="16"/>
        <v>1.25</v>
      </c>
      <c r="I1050">
        <v>20220701</v>
      </c>
      <c r="J1050" t="s">
        <v>886</v>
      </c>
      <c r="K1050" t="s">
        <v>887</v>
      </c>
      <c r="L1050" t="s">
        <v>888</v>
      </c>
      <c r="M1050" t="s">
        <v>889</v>
      </c>
      <c r="N1050" t="s">
        <v>890</v>
      </c>
    </row>
    <row r="1051" spans="1:15" x14ac:dyDescent="0.3">
      <c r="A1051" s="160">
        <v>10049</v>
      </c>
      <c r="B1051" t="s">
        <v>16216</v>
      </c>
      <c r="C1051" t="s">
        <v>883</v>
      </c>
      <c r="D1051">
        <v>1.25</v>
      </c>
      <c r="E1051">
        <v>0</v>
      </c>
      <c r="F1051">
        <f t="shared" si="16"/>
        <v>1.25</v>
      </c>
      <c r="I1051">
        <v>20220701</v>
      </c>
      <c r="J1051" t="s">
        <v>891</v>
      </c>
    </row>
    <row r="1052" spans="1:15" x14ac:dyDescent="0.3">
      <c r="A1052" s="160">
        <v>10051</v>
      </c>
      <c r="B1052" t="s">
        <v>16217</v>
      </c>
      <c r="C1052" t="s">
        <v>883</v>
      </c>
      <c r="D1052">
        <v>1.25</v>
      </c>
      <c r="E1052">
        <v>0</v>
      </c>
      <c r="F1052">
        <f t="shared" si="16"/>
        <v>1.25</v>
      </c>
      <c r="I1052">
        <v>20220701</v>
      </c>
      <c r="J1052" t="s">
        <v>884</v>
      </c>
    </row>
    <row r="1053" spans="1:15" x14ac:dyDescent="0.3">
      <c r="A1053" s="160">
        <v>10053</v>
      </c>
      <c r="B1053" t="s">
        <v>16218</v>
      </c>
      <c r="C1053" t="s">
        <v>883</v>
      </c>
      <c r="D1053">
        <v>1.25</v>
      </c>
      <c r="E1053">
        <v>0</v>
      </c>
      <c r="F1053">
        <f t="shared" si="16"/>
        <v>1.25</v>
      </c>
      <c r="I1053">
        <v>20220701</v>
      </c>
      <c r="J1053" t="s">
        <v>892</v>
      </c>
    </row>
    <row r="1054" spans="1:15" x14ac:dyDescent="0.3">
      <c r="A1054" s="160">
        <v>10060</v>
      </c>
      <c r="B1054" t="s">
        <v>16219</v>
      </c>
      <c r="C1054" t="s">
        <v>883</v>
      </c>
      <c r="D1054">
        <v>1.25</v>
      </c>
      <c r="E1054">
        <v>0</v>
      </c>
      <c r="F1054">
        <f t="shared" si="16"/>
        <v>1.25</v>
      </c>
      <c r="I1054">
        <v>20220701</v>
      </c>
      <c r="J1054" t="s">
        <v>893</v>
      </c>
      <c r="K1054" t="s">
        <v>894</v>
      </c>
      <c r="L1054" t="s">
        <v>895</v>
      </c>
      <c r="M1054" t="s">
        <v>896</v>
      </c>
      <c r="N1054" t="s">
        <v>897</v>
      </c>
    </row>
    <row r="1055" spans="1:15" x14ac:dyDescent="0.3">
      <c r="A1055" s="160">
        <v>10066</v>
      </c>
      <c r="B1055" t="s">
        <v>16220</v>
      </c>
      <c r="C1055" t="s">
        <v>883</v>
      </c>
      <c r="D1055">
        <v>1.25</v>
      </c>
      <c r="E1055">
        <v>0</v>
      </c>
      <c r="F1055">
        <f t="shared" si="16"/>
        <v>1.25</v>
      </c>
      <c r="I1055">
        <v>20220701</v>
      </c>
      <c r="J1055" t="s">
        <v>898</v>
      </c>
    </row>
    <row r="1056" spans="1:15" x14ac:dyDescent="0.3">
      <c r="A1056" s="160">
        <v>10067</v>
      </c>
      <c r="B1056" t="s">
        <v>16221</v>
      </c>
      <c r="C1056" t="s">
        <v>883</v>
      </c>
      <c r="D1056">
        <v>1.25</v>
      </c>
      <c r="E1056">
        <v>0</v>
      </c>
      <c r="F1056">
        <f t="shared" si="16"/>
        <v>1.25</v>
      </c>
      <c r="I1056">
        <v>20220701</v>
      </c>
      <c r="J1056" t="s">
        <v>893</v>
      </c>
      <c r="K1056" t="s">
        <v>896</v>
      </c>
      <c r="L1056" t="s">
        <v>891</v>
      </c>
    </row>
    <row r="1057" spans="1:17" x14ac:dyDescent="0.3">
      <c r="A1057" s="160">
        <v>10081</v>
      </c>
      <c r="B1057" t="s">
        <v>16222</v>
      </c>
      <c r="C1057" t="s">
        <v>883</v>
      </c>
      <c r="D1057">
        <v>1.25</v>
      </c>
      <c r="E1057">
        <v>0</v>
      </c>
      <c r="F1057">
        <f t="shared" si="16"/>
        <v>1.25</v>
      </c>
      <c r="I1057">
        <v>20220701</v>
      </c>
      <c r="J1057" t="s">
        <v>899</v>
      </c>
      <c r="K1057" t="s">
        <v>886</v>
      </c>
      <c r="L1057" t="s">
        <v>887</v>
      </c>
      <c r="M1057" t="s">
        <v>888</v>
      </c>
      <c r="N1057" t="s">
        <v>889</v>
      </c>
      <c r="O1057" t="s">
        <v>890</v>
      </c>
      <c r="P1057" t="s">
        <v>900</v>
      </c>
      <c r="Q1057" t="s">
        <v>901</v>
      </c>
    </row>
    <row r="1058" spans="1:17" x14ac:dyDescent="0.3">
      <c r="A1058" s="160">
        <v>10100</v>
      </c>
      <c r="B1058" t="s">
        <v>16223</v>
      </c>
      <c r="C1058" t="s">
        <v>883</v>
      </c>
      <c r="D1058">
        <v>1.25</v>
      </c>
      <c r="E1058">
        <v>0</v>
      </c>
      <c r="F1058">
        <f t="shared" si="16"/>
        <v>1.25</v>
      </c>
      <c r="I1058">
        <v>20220701</v>
      </c>
      <c r="J1058" t="s">
        <v>902</v>
      </c>
    </row>
    <row r="1059" spans="1:17" x14ac:dyDescent="0.3">
      <c r="A1059" s="160">
        <v>10104</v>
      </c>
      <c r="B1059" t="s">
        <v>16224</v>
      </c>
      <c r="C1059" t="s">
        <v>883</v>
      </c>
      <c r="D1059">
        <v>1.25</v>
      </c>
      <c r="E1059">
        <v>0</v>
      </c>
      <c r="F1059">
        <f t="shared" si="16"/>
        <v>1.25</v>
      </c>
      <c r="I1059">
        <v>20220701</v>
      </c>
      <c r="J1059" t="s">
        <v>903</v>
      </c>
      <c r="K1059" t="s">
        <v>891</v>
      </c>
    </row>
    <row r="1060" spans="1:17" x14ac:dyDescent="0.3">
      <c r="A1060" s="160">
        <v>10110</v>
      </c>
      <c r="B1060" t="s">
        <v>16225</v>
      </c>
      <c r="C1060" t="s">
        <v>883</v>
      </c>
      <c r="D1060">
        <v>1.25</v>
      </c>
      <c r="E1060">
        <v>0</v>
      </c>
      <c r="F1060">
        <f t="shared" si="16"/>
        <v>1.25</v>
      </c>
      <c r="I1060">
        <v>20220701</v>
      </c>
      <c r="J1060" t="s">
        <v>892</v>
      </c>
    </row>
    <row r="1061" spans="1:17" x14ac:dyDescent="0.3">
      <c r="A1061" s="160">
        <v>10115</v>
      </c>
      <c r="B1061" t="s">
        <v>16226</v>
      </c>
      <c r="C1061" t="s">
        <v>883</v>
      </c>
      <c r="D1061">
        <v>1.25</v>
      </c>
      <c r="E1061">
        <v>0</v>
      </c>
      <c r="F1061">
        <f t="shared" si="16"/>
        <v>1.25</v>
      </c>
      <c r="I1061">
        <v>20220701</v>
      </c>
      <c r="J1061" t="s">
        <v>903</v>
      </c>
      <c r="K1061" t="s">
        <v>885</v>
      </c>
      <c r="L1061" t="s">
        <v>904</v>
      </c>
      <c r="M1061" t="s">
        <v>905</v>
      </c>
      <c r="N1061" t="s">
        <v>906</v>
      </c>
      <c r="O1061" t="s">
        <v>901</v>
      </c>
    </row>
    <row r="1062" spans="1:17" x14ac:dyDescent="0.3">
      <c r="A1062" s="160">
        <v>10116</v>
      </c>
      <c r="B1062" t="s">
        <v>16227</v>
      </c>
      <c r="C1062" t="s">
        <v>883</v>
      </c>
      <c r="D1062">
        <v>1.25</v>
      </c>
      <c r="E1062">
        <v>0</v>
      </c>
      <c r="F1062">
        <f t="shared" si="16"/>
        <v>1.25</v>
      </c>
      <c r="I1062">
        <v>20220701</v>
      </c>
      <c r="J1062" t="s">
        <v>884</v>
      </c>
    </row>
    <row r="1063" spans="1:17" x14ac:dyDescent="0.3">
      <c r="A1063" s="160">
        <v>10125</v>
      </c>
      <c r="B1063" t="s">
        <v>16228</v>
      </c>
      <c r="C1063" t="s">
        <v>883</v>
      </c>
      <c r="D1063">
        <v>1.25</v>
      </c>
      <c r="E1063">
        <v>0</v>
      </c>
      <c r="F1063">
        <f t="shared" si="16"/>
        <v>1.25</v>
      </c>
      <c r="I1063">
        <v>20240101</v>
      </c>
      <c r="J1063" t="s">
        <v>898</v>
      </c>
    </row>
    <row r="1064" spans="1:17" x14ac:dyDescent="0.3">
      <c r="A1064" s="160">
        <v>10142</v>
      </c>
      <c r="B1064" t="s">
        <v>16229</v>
      </c>
      <c r="C1064" t="s">
        <v>883</v>
      </c>
      <c r="D1064">
        <v>1.25</v>
      </c>
      <c r="E1064">
        <v>0</v>
      </c>
      <c r="F1064">
        <f t="shared" si="16"/>
        <v>1.25</v>
      </c>
      <c r="I1064">
        <v>20220701</v>
      </c>
      <c r="J1064" t="s">
        <v>898</v>
      </c>
    </row>
    <row r="1065" spans="1:17" x14ac:dyDescent="0.3">
      <c r="A1065" s="160">
        <v>10147</v>
      </c>
      <c r="B1065" t="s">
        <v>16230</v>
      </c>
      <c r="C1065" t="s">
        <v>883</v>
      </c>
      <c r="D1065">
        <v>1.25</v>
      </c>
      <c r="E1065">
        <v>0</v>
      </c>
      <c r="F1065">
        <f t="shared" si="16"/>
        <v>1.25</v>
      </c>
      <c r="I1065">
        <v>20220701</v>
      </c>
      <c r="J1065" t="s">
        <v>884</v>
      </c>
    </row>
    <row r="1066" spans="1:17" x14ac:dyDescent="0.3">
      <c r="A1066" s="160">
        <v>10149</v>
      </c>
      <c r="B1066" t="s">
        <v>16231</v>
      </c>
      <c r="C1066" t="s">
        <v>883</v>
      </c>
      <c r="D1066">
        <v>1.25</v>
      </c>
      <c r="E1066">
        <v>0</v>
      </c>
      <c r="F1066">
        <f t="shared" si="16"/>
        <v>1.25</v>
      </c>
      <c r="I1066">
        <v>20240101</v>
      </c>
      <c r="J1066" t="s">
        <v>885</v>
      </c>
      <c r="K1066" t="s">
        <v>905</v>
      </c>
    </row>
    <row r="1067" spans="1:17" x14ac:dyDescent="0.3">
      <c r="A1067" s="160">
        <v>10156</v>
      </c>
      <c r="B1067" t="s">
        <v>16232</v>
      </c>
      <c r="C1067" t="s">
        <v>883</v>
      </c>
      <c r="D1067">
        <v>1.25</v>
      </c>
      <c r="E1067">
        <v>0</v>
      </c>
      <c r="F1067">
        <f t="shared" si="16"/>
        <v>1.25</v>
      </c>
      <c r="I1067">
        <v>20220701</v>
      </c>
      <c r="J1067" t="s">
        <v>898</v>
      </c>
    </row>
    <row r="1068" spans="1:17" x14ac:dyDescent="0.3">
      <c r="A1068" s="160">
        <v>10162</v>
      </c>
      <c r="B1068" t="s">
        <v>16233</v>
      </c>
      <c r="C1068" t="s">
        <v>883</v>
      </c>
      <c r="D1068">
        <v>1.25</v>
      </c>
      <c r="E1068">
        <v>0</v>
      </c>
      <c r="F1068">
        <f t="shared" si="16"/>
        <v>1.25</v>
      </c>
      <c r="I1068">
        <v>20220701</v>
      </c>
      <c r="J1068" t="s">
        <v>892</v>
      </c>
    </row>
    <row r="1069" spans="1:17" x14ac:dyDescent="0.3">
      <c r="A1069" s="160">
        <v>10173</v>
      </c>
      <c r="B1069" t="s">
        <v>16234</v>
      </c>
      <c r="C1069" t="s">
        <v>883</v>
      </c>
      <c r="D1069">
        <v>1.25</v>
      </c>
      <c r="E1069">
        <v>0</v>
      </c>
      <c r="F1069">
        <f t="shared" si="16"/>
        <v>1.25</v>
      </c>
      <c r="I1069">
        <v>20220701</v>
      </c>
      <c r="J1069" t="s">
        <v>891</v>
      </c>
    </row>
    <row r="1070" spans="1:17" x14ac:dyDescent="0.3">
      <c r="A1070" s="160">
        <v>10177</v>
      </c>
      <c r="B1070" t="s">
        <v>16235</v>
      </c>
      <c r="C1070" t="s">
        <v>883</v>
      </c>
      <c r="D1070">
        <v>1.25</v>
      </c>
      <c r="E1070">
        <v>0</v>
      </c>
      <c r="F1070">
        <f t="shared" si="16"/>
        <v>1.25</v>
      </c>
      <c r="I1070">
        <v>20220701</v>
      </c>
      <c r="J1070" t="s">
        <v>884</v>
      </c>
    </row>
    <row r="1071" spans="1:17" x14ac:dyDescent="0.3">
      <c r="A1071" s="160">
        <v>10179</v>
      </c>
      <c r="B1071" t="s">
        <v>16236</v>
      </c>
      <c r="C1071" t="s">
        <v>883</v>
      </c>
      <c r="D1071">
        <v>1.25</v>
      </c>
      <c r="E1071">
        <v>0</v>
      </c>
      <c r="F1071">
        <f t="shared" si="16"/>
        <v>1.25</v>
      </c>
      <c r="I1071">
        <v>20220701</v>
      </c>
      <c r="J1071" t="s">
        <v>884</v>
      </c>
    </row>
    <row r="1072" spans="1:17" x14ac:dyDescent="0.3">
      <c r="A1072" s="160">
        <v>10186</v>
      </c>
      <c r="B1072" t="s">
        <v>16237</v>
      </c>
      <c r="C1072" t="s">
        <v>883</v>
      </c>
      <c r="D1072">
        <v>1.25</v>
      </c>
      <c r="E1072">
        <v>0</v>
      </c>
      <c r="F1072">
        <f t="shared" si="16"/>
        <v>1.25</v>
      </c>
      <c r="I1072">
        <v>20220701</v>
      </c>
      <c r="J1072" t="s">
        <v>899</v>
      </c>
      <c r="K1072" t="s">
        <v>907</v>
      </c>
    </row>
    <row r="1073" spans="1:14" x14ac:dyDescent="0.3">
      <c r="A1073" s="160">
        <v>10190</v>
      </c>
      <c r="B1073" t="s">
        <v>16238</v>
      </c>
      <c r="C1073" t="s">
        <v>883</v>
      </c>
      <c r="D1073">
        <v>1.25</v>
      </c>
      <c r="E1073">
        <v>0</v>
      </c>
      <c r="F1073">
        <f t="shared" si="16"/>
        <v>1.25</v>
      </c>
      <c r="I1073">
        <v>20220701</v>
      </c>
      <c r="J1073" t="s">
        <v>892</v>
      </c>
    </row>
    <row r="1074" spans="1:14" x14ac:dyDescent="0.3">
      <c r="A1074" s="160">
        <v>10191</v>
      </c>
      <c r="B1074" t="s">
        <v>16239</v>
      </c>
      <c r="C1074" t="s">
        <v>883</v>
      </c>
      <c r="D1074">
        <v>1.25</v>
      </c>
      <c r="E1074">
        <v>0</v>
      </c>
      <c r="F1074">
        <f t="shared" si="16"/>
        <v>1.25</v>
      </c>
      <c r="I1074">
        <v>20220701</v>
      </c>
      <c r="J1074" t="s">
        <v>885</v>
      </c>
      <c r="K1074" t="s">
        <v>904</v>
      </c>
      <c r="L1074" t="s">
        <v>905</v>
      </c>
      <c r="M1074" t="s">
        <v>906</v>
      </c>
      <c r="N1074" t="s">
        <v>901</v>
      </c>
    </row>
    <row r="1075" spans="1:14" x14ac:dyDescent="0.3">
      <c r="A1075" s="160">
        <v>10198</v>
      </c>
      <c r="B1075" t="s">
        <v>16240</v>
      </c>
      <c r="C1075" t="s">
        <v>883</v>
      </c>
      <c r="D1075">
        <v>1.25</v>
      </c>
      <c r="E1075">
        <v>0</v>
      </c>
      <c r="F1075">
        <f t="shared" si="16"/>
        <v>1.25</v>
      </c>
      <c r="I1075">
        <v>20220701</v>
      </c>
      <c r="J1075" t="s">
        <v>884</v>
      </c>
    </row>
    <row r="1076" spans="1:14" x14ac:dyDescent="0.3">
      <c r="A1076" s="160">
        <v>10204</v>
      </c>
      <c r="B1076" t="s">
        <v>16241</v>
      </c>
      <c r="C1076" t="s">
        <v>883</v>
      </c>
      <c r="D1076">
        <v>1.25</v>
      </c>
      <c r="E1076">
        <v>0</v>
      </c>
      <c r="F1076">
        <f t="shared" si="16"/>
        <v>1.25</v>
      </c>
      <c r="I1076">
        <v>20220701</v>
      </c>
      <c r="J1076" t="s">
        <v>884</v>
      </c>
    </row>
    <row r="1077" spans="1:14" x14ac:dyDescent="0.3">
      <c r="A1077" s="160">
        <v>10209</v>
      </c>
      <c r="B1077" t="s">
        <v>16242</v>
      </c>
      <c r="C1077" t="s">
        <v>883</v>
      </c>
      <c r="D1077">
        <v>1.25</v>
      </c>
      <c r="E1077">
        <v>0</v>
      </c>
      <c r="F1077">
        <f t="shared" si="16"/>
        <v>1.25</v>
      </c>
      <c r="I1077">
        <v>20220701</v>
      </c>
      <c r="J1077" t="s">
        <v>908</v>
      </c>
      <c r="K1077" t="s">
        <v>909</v>
      </c>
      <c r="L1077" t="s">
        <v>892</v>
      </c>
    </row>
    <row r="1078" spans="1:14" x14ac:dyDescent="0.3">
      <c r="A1078" s="160">
        <v>10211</v>
      </c>
      <c r="B1078" t="s">
        <v>16243</v>
      </c>
      <c r="C1078" t="s">
        <v>883</v>
      </c>
      <c r="D1078">
        <v>1.25</v>
      </c>
      <c r="E1078">
        <v>0</v>
      </c>
      <c r="F1078">
        <f t="shared" si="16"/>
        <v>1.25</v>
      </c>
      <c r="I1078">
        <v>20220701</v>
      </c>
      <c r="J1078" t="s">
        <v>910</v>
      </c>
      <c r="K1078" t="s">
        <v>888</v>
      </c>
    </row>
    <row r="1079" spans="1:14" x14ac:dyDescent="0.3">
      <c r="A1079" s="160">
        <v>10212</v>
      </c>
      <c r="B1079" t="s">
        <v>16244</v>
      </c>
      <c r="C1079" t="s">
        <v>883</v>
      </c>
      <c r="D1079">
        <v>1.25</v>
      </c>
      <c r="E1079">
        <v>0</v>
      </c>
      <c r="F1079">
        <f t="shared" si="16"/>
        <v>1.25</v>
      </c>
      <c r="I1079">
        <v>20220701</v>
      </c>
      <c r="J1079" t="s">
        <v>884</v>
      </c>
    </row>
    <row r="1080" spans="1:14" x14ac:dyDescent="0.3">
      <c r="A1080" s="160">
        <v>10229</v>
      </c>
      <c r="B1080" t="s">
        <v>16245</v>
      </c>
      <c r="C1080" t="s">
        <v>883</v>
      </c>
      <c r="D1080">
        <v>1.25</v>
      </c>
      <c r="E1080">
        <v>0</v>
      </c>
      <c r="F1080">
        <f t="shared" si="16"/>
        <v>1.25</v>
      </c>
      <c r="I1080">
        <v>20220701</v>
      </c>
      <c r="J1080" t="s">
        <v>884</v>
      </c>
    </row>
    <row r="1081" spans="1:14" x14ac:dyDescent="0.3">
      <c r="A1081" s="160">
        <v>10230</v>
      </c>
      <c r="B1081" t="s">
        <v>16246</v>
      </c>
      <c r="C1081" t="s">
        <v>883</v>
      </c>
      <c r="D1081">
        <v>1.25</v>
      </c>
      <c r="E1081">
        <v>0</v>
      </c>
      <c r="F1081">
        <f t="shared" si="16"/>
        <v>1.25</v>
      </c>
      <c r="I1081">
        <v>20220701</v>
      </c>
      <c r="J1081" t="s">
        <v>886</v>
      </c>
    </row>
    <row r="1082" spans="1:14" x14ac:dyDescent="0.3">
      <c r="A1082" s="160">
        <v>10238</v>
      </c>
      <c r="B1082" t="s">
        <v>16247</v>
      </c>
      <c r="C1082" t="s">
        <v>883</v>
      </c>
      <c r="D1082">
        <v>1.25</v>
      </c>
      <c r="E1082">
        <v>0</v>
      </c>
      <c r="F1082">
        <f t="shared" si="16"/>
        <v>1.25</v>
      </c>
      <c r="I1082">
        <v>20220701</v>
      </c>
      <c r="J1082" t="s">
        <v>911</v>
      </c>
    </row>
    <row r="1083" spans="1:14" x14ac:dyDescent="0.3">
      <c r="A1083" s="160">
        <v>10240</v>
      </c>
      <c r="B1083" t="s">
        <v>16248</v>
      </c>
      <c r="C1083" t="s">
        <v>883</v>
      </c>
      <c r="D1083">
        <v>1.25</v>
      </c>
      <c r="E1083">
        <v>0</v>
      </c>
      <c r="F1083">
        <f t="shared" si="16"/>
        <v>1.25</v>
      </c>
      <c r="I1083">
        <v>20220701</v>
      </c>
      <c r="J1083" t="s">
        <v>898</v>
      </c>
    </row>
    <row r="1084" spans="1:14" x14ac:dyDescent="0.3">
      <c r="A1084" s="160">
        <v>10245</v>
      </c>
      <c r="B1084" t="s">
        <v>16249</v>
      </c>
      <c r="C1084" t="s">
        <v>883</v>
      </c>
      <c r="D1084">
        <v>1.25</v>
      </c>
      <c r="E1084">
        <v>0</v>
      </c>
      <c r="F1084">
        <f t="shared" si="16"/>
        <v>1.25</v>
      </c>
      <c r="I1084">
        <v>20220701</v>
      </c>
      <c r="J1084" t="s">
        <v>892</v>
      </c>
    </row>
    <row r="1085" spans="1:14" x14ac:dyDescent="0.3">
      <c r="A1085" s="160">
        <v>10246</v>
      </c>
      <c r="B1085" t="s">
        <v>16250</v>
      </c>
      <c r="C1085" t="s">
        <v>883</v>
      </c>
      <c r="D1085">
        <v>1.25</v>
      </c>
      <c r="E1085">
        <v>0</v>
      </c>
      <c r="F1085">
        <f t="shared" si="16"/>
        <v>1.25</v>
      </c>
      <c r="I1085">
        <v>20220701</v>
      </c>
      <c r="J1085" t="s">
        <v>912</v>
      </c>
    </row>
    <row r="1086" spans="1:14" x14ac:dyDescent="0.3">
      <c r="A1086" s="160">
        <v>10248</v>
      </c>
      <c r="B1086" t="s">
        <v>16251</v>
      </c>
      <c r="C1086" t="s">
        <v>883</v>
      </c>
      <c r="D1086">
        <v>1.25</v>
      </c>
      <c r="E1086">
        <v>0</v>
      </c>
      <c r="F1086">
        <f t="shared" si="16"/>
        <v>1.25</v>
      </c>
      <c r="I1086">
        <v>20220701</v>
      </c>
      <c r="J1086" t="s">
        <v>910</v>
      </c>
    </row>
    <row r="1087" spans="1:14" x14ac:dyDescent="0.3">
      <c r="A1087" s="160">
        <v>10249</v>
      </c>
      <c r="B1087" t="s">
        <v>16252</v>
      </c>
      <c r="C1087" t="s">
        <v>883</v>
      </c>
      <c r="D1087">
        <v>1.25</v>
      </c>
      <c r="E1087">
        <v>0</v>
      </c>
      <c r="F1087">
        <f t="shared" si="16"/>
        <v>1.25</v>
      </c>
      <c r="I1087">
        <v>20220701</v>
      </c>
      <c r="J1087" t="s">
        <v>892</v>
      </c>
    </row>
    <row r="1088" spans="1:14" x14ac:dyDescent="0.3">
      <c r="A1088" s="160">
        <v>10255</v>
      </c>
      <c r="B1088" t="s">
        <v>16253</v>
      </c>
      <c r="C1088" t="s">
        <v>883</v>
      </c>
      <c r="D1088">
        <v>1.25</v>
      </c>
      <c r="E1088">
        <v>0</v>
      </c>
      <c r="F1088">
        <f t="shared" si="16"/>
        <v>1.25</v>
      </c>
      <c r="I1088">
        <v>20220701</v>
      </c>
      <c r="J1088" t="s">
        <v>892</v>
      </c>
    </row>
    <row r="1089" spans="1:18" x14ac:dyDescent="0.3">
      <c r="A1089" s="160">
        <v>10256</v>
      </c>
      <c r="B1089" t="s">
        <v>16254</v>
      </c>
      <c r="C1089" t="s">
        <v>883</v>
      </c>
      <c r="D1089">
        <v>1.25</v>
      </c>
      <c r="E1089">
        <v>0</v>
      </c>
      <c r="F1089">
        <f t="shared" si="16"/>
        <v>1.25</v>
      </c>
      <c r="I1089">
        <v>20240101</v>
      </c>
      <c r="J1089" t="s">
        <v>885</v>
      </c>
    </row>
    <row r="1090" spans="1:18" x14ac:dyDescent="0.3">
      <c r="A1090" s="160">
        <v>10260</v>
      </c>
      <c r="B1090" t="s">
        <v>16255</v>
      </c>
      <c r="C1090" t="s">
        <v>883</v>
      </c>
      <c r="D1090">
        <v>1.25</v>
      </c>
      <c r="E1090">
        <v>0</v>
      </c>
      <c r="F1090">
        <f t="shared" si="16"/>
        <v>1.25</v>
      </c>
      <c r="I1090">
        <v>20220701</v>
      </c>
      <c r="J1090" t="s">
        <v>891</v>
      </c>
    </row>
    <row r="1091" spans="1:18" x14ac:dyDescent="0.3">
      <c r="A1091" s="160">
        <v>10265</v>
      </c>
      <c r="B1091" t="s">
        <v>16256</v>
      </c>
      <c r="C1091" t="s">
        <v>883</v>
      </c>
      <c r="D1091">
        <v>1.25</v>
      </c>
      <c r="E1091">
        <v>0</v>
      </c>
      <c r="F1091">
        <f t="shared" si="16"/>
        <v>1.25</v>
      </c>
      <c r="I1091">
        <v>20220701</v>
      </c>
      <c r="J1091" t="s">
        <v>913</v>
      </c>
      <c r="K1091" t="s">
        <v>887</v>
      </c>
      <c r="L1091" t="s">
        <v>888</v>
      </c>
      <c r="M1091" t="s">
        <v>889</v>
      </c>
      <c r="N1091" t="s">
        <v>900</v>
      </c>
    </row>
    <row r="1092" spans="1:18" x14ac:dyDescent="0.3">
      <c r="A1092" s="160">
        <v>10281</v>
      </c>
      <c r="B1092" t="s">
        <v>16257</v>
      </c>
      <c r="C1092" t="s">
        <v>883</v>
      </c>
      <c r="D1092">
        <v>1.25</v>
      </c>
      <c r="E1092">
        <v>0</v>
      </c>
      <c r="F1092">
        <f t="shared" si="16"/>
        <v>1.25</v>
      </c>
      <c r="I1092">
        <v>20220701</v>
      </c>
      <c r="J1092" t="s">
        <v>914</v>
      </c>
    </row>
    <row r="1093" spans="1:18" x14ac:dyDescent="0.3">
      <c r="A1093" s="160">
        <v>10282</v>
      </c>
      <c r="B1093" t="s">
        <v>16258</v>
      </c>
      <c r="C1093" t="s">
        <v>883</v>
      </c>
      <c r="D1093">
        <v>1.25</v>
      </c>
      <c r="E1093">
        <v>0</v>
      </c>
      <c r="F1093">
        <f t="shared" si="16"/>
        <v>1.25</v>
      </c>
      <c r="I1093">
        <v>20220701</v>
      </c>
      <c r="J1093" t="s">
        <v>886</v>
      </c>
    </row>
    <row r="1094" spans="1:18" x14ac:dyDescent="0.3">
      <c r="A1094" s="160">
        <v>10297</v>
      </c>
      <c r="B1094" t="s">
        <v>16259</v>
      </c>
      <c r="C1094" t="s">
        <v>883</v>
      </c>
      <c r="D1094">
        <v>1.25</v>
      </c>
      <c r="E1094">
        <v>0</v>
      </c>
      <c r="F1094">
        <f t="shared" si="16"/>
        <v>1.25</v>
      </c>
      <c r="I1094">
        <v>20220701</v>
      </c>
      <c r="J1094" t="s">
        <v>915</v>
      </c>
      <c r="K1094" t="s">
        <v>903</v>
      </c>
      <c r="L1094" t="s">
        <v>885</v>
      </c>
      <c r="M1094" t="s">
        <v>904</v>
      </c>
      <c r="N1094" t="s">
        <v>905</v>
      </c>
      <c r="O1094" t="s">
        <v>916</v>
      </c>
      <c r="P1094" t="s">
        <v>906</v>
      </c>
      <c r="Q1094" t="s">
        <v>901</v>
      </c>
    </row>
    <row r="1095" spans="1:18" x14ac:dyDescent="0.3">
      <c r="A1095" s="160">
        <v>10307</v>
      </c>
      <c r="B1095" t="s">
        <v>16260</v>
      </c>
      <c r="C1095" t="s">
        <v>883</v>
      </c>
      <c r="D1095">
        <v>1.25</v>
      </c>
      <c r="E1095">
        <v>0</v>
      </c>
      <c r="F1095">
        <f t="shared" ref="F1095:F1158" si="17">D1095+E1095</f>
        <v>1.25</v>
      </c>
      <c r="I1095">
        <v>20220701</v>
      </c>
      <c r="J1095" t="s">
        <v>898</v>
      </c>
    </row>
    <row r="1096" spans="1:18" x14ac:dyDescent="0.3">
      <c r="A1096" s="160">
        <v>10321</v>
      </c>
      <c r="B1096" t="s">
        <v>16261</v>
      </c>
      <c r="C1096" t="s">
        <v>883</v>
      </c>
      <c r="D1096">
        <v>1.25</v>
      </c>
      <c r="E1096">
        <v>0</v>
      </c>
      <c r="F1096">
        <f t="shared" si="17"/>
        <v>1.25</v>
      </c>
      <c r="I1096">
        <v>20220701</v>
      </c>
      <c r="J1096" t="s">
        <v>894</v>
      </c>
      <c r="K1096" t="s">
        <v>917</v>
      </c>
      <c r="L1096" t="s">
        <v>888</v>
      </c>
      <c r="M1096" t="s">
        <v>890</v>
      </c>
      <c r="N1096" t="s">
        <v>900</v>
      </c>
      <c r="O1096" t="s">
        <v>918</v>
      </c>
    </row>
    <row r="1097" spans="1:18" x14ac:dyDescent="0.3">
      <c r="A1097" s="160">
        <v>10324</v>
      </c>
      <c r="B1097" t="s">
        <v>16262</v>
      </c>
      <c r="C1097" t="s">
        <v>883</v>
      </c>
      <c r="D1097">
        <v>1.25</v>
      </c>
      <c r="E1097">
        <v>0</v>
      </c>
      <c r="F1097">
        <f t="shared" si="17"/>
        <v>1.25</v>
      </c>
      <c r="I1097">
        <v>20220701</v>
      </c>
      <c r="J1097" t="s">
        <v>884</v>
      </c>
    </row>
    <row r="1098" spans="1:18" x14ac:dyDescent="0.3">
      <c r="A1098" s="160">
        <v>10325</v>
      </c>
      <c r="B1098" t="s">
        <v>16263</v>
      </c>
      <c r="C1098" t="s">
        <v>883</v>
      </c>
      <c r="D1098">
        <v>1.25</v>
      </c>
      <c r="E1098">
        <v>0</v>
      </c>
      <c r="F1098">
        <f t="shared" si="17"/>
        <v>1.25</v>
      </c>
      <c r="I1098">
        <v>20220701</v>
      </c>
      <c r="J1098" t="s">
        <v>899</v>
      </c>
      <c r="K1098" t="s">
        <v>903</v>
      </c>
      <c r="L1098" t="s">
        <v>919</v>
      </c>
      <c r="M1098" t="s">
        <v>920</v>
      </c>
      <c r="N1098" t="s">
        <v>894</v>
      </c>
      <c r="O1098" t="s">
        <v>895</v>
      </c>
      <c r="P1098" t="s">
        <v>896</v>
      </c>
      <c r="Q1098" t="s">
        <v>901</v>
      </c>
      <c r="R1098" t="s">
        <v>921</v>
      </c>
    </row>
    <row r="1099" spans="1:18" x14ac:dyDescent="0.3">
      <c r="A1099" s="160">
        <v>10329</v>
      </c>
      <c r="B1099" t="s">
        <v>16264</v>
      </c>
      <c r="C1099" t="s">
        <v>883</v>
      </c>
      <c r="D1099">
        <v>1.25</v>
      </c>
      <c r="E1099">
        <v>0</v>
      </c>
      <c r="F1099">
        <f t="shared" si="17"/>
        <v>1.25</v>
      </c>
      <c r="I1099">
        <v>20220701</v>
      </c>
      <c r="J1099" t="s">
        <v>891</v>
      </c>
    </row>
    <row r="1100" spans="1:18" x14ac:dyDescent="0.3">
      <c r="A1100" s="160">
        <v>10332</v>
      </c>
      <c r="B1100" t="s">
        <v>16265</v>
      </c>
      <c r="C1100" t="s">
        <v>883</v>
      </c>
      <c r="D1100">
        <v>1.25</v>
      </c>
      <c r="E1100">
        <v>0</v>
      </c>
      <c r="F1100">
        <f t="shared" si="17"/>
        <v>1.25</v>
      </c>
      <c r="I1100">
        <v>20220701</v>
      </c>
      <c r="J1100" t="s">
        <v>922</v>
      </c>
    </row>
    <row r="1101" spans="1:18" x14ac:dyDescent="0.3">
      <c r="A1101" s="160">
        <v>10333</v>
      </c>
      <c r="B1101" t="s">
        <v>16266</v>
      </c>
      <c r="C1101" t="s">
        <v>883</v>
      </c>
      <c r="D1101">
        <v>1.25</v>
      </c>
      <c r="E1101">
        <v>0</v>
      </c>
      <c r="F1101">
        <f t="shared" si="17"/>
        <v>1.25</v>
      </c>
      <c r="I1101">
        <v>20220701</v>
      </c>
      <c r="J1101" t="s">
        <v>899</v>
      </c>
      <c r="K1101" t="s">
        <v>903</v>
      </c>
      <c r="L1101" t="s">
        <v>907</v>
      </c>
      <c r="M1101" t="s">
        <v>923</v>
      </c>
      <c r="N1101" t="s">
        <v>924</v>
      </c>
      <c r="O1101" t="s">
        <v>925</v>
      </c>
      <c r="P1101" t="s">
        <v>894</v>
      </c>
      <c r="Q1101" t="s">
        <v>895</v>
      </c>
      <c r="R1101" t="s">
        <v>896</v>
      </c>
    </row>
    <row r="1102" spans="1:18" x14ac:dyDescent="0.3">
      <c r="A1102" s="160">
        <v>10336</v>
      </c>
      <c r="B1102" t="s">
        <v>16267</v>
      </c>
      <c r="C1102" t="s">
        <v>883</v>
      </c>
      <c r="D1102">
        <v>1.25</v>
      </c>
      <c r="E1102">
        <v>0</v>
      </c>
      <c r="F1102">
        <f t="shared" si="17"/>
        <v>1.25</v>
      </c>
      <c r="I1102">
        <v>20220701</v>
      </c>
      <c r="J1102" t="s">
        <v>926</v>
      </c>
      <c r="K1102" t="s">
        <v>918</v>
      </c>
    </row>
    <row r="1103" spans="1:18" x14ac:dyDescent="0.3">
      <c r="A1103" s="160">
        <v>10340</v>
      </c>
      <c r="B1103" t="s">
        <v>16268</v>
      </c>
      <c r="C1103" t="s">
        <v>883</v>
      </c>
      <c r="D1103">
        <v>1.25</v>
      </c>
      <c r="E1103">
        <v>0</v>
      </c>
      <c r="F1103">
        <f t="shared" si="17"/>
        <v>1.25</v>
      </c>
      <c r="I1103">
        <v>20220701</v>
      </c>
      <c r="J1103" t="s">
        <v>907</v>
      </c>
      <c r="K1103" t="s">
        <v>894</v>
      </c>
    </row>
    <row r="1104" spans="1:18" x14ac:dyDescent="0.3">
      <c r="A1104" s="160">
        <v>10342</v>
      </c>
      <c r="B1104" t="s">
        <v>16269</v>
      </c>
      <c r="C1104" t="s">
        <v>883</v>
      </c>
      <c r="D1104">
        <v>1.25</v>
      </c>
      <c r="E1104">
        <v>0</v>
      </c>
      <c r="F1104">
        <f t="shared" si="17"/>
        <v>1.25</v>
      </c>
      <c r="I1104">
        <v>20220701</v>
      </c>
      <c r="J1104" t="s">
        <v>884</v>
      </c>
    </row>
    <row r="1105" spans="1:37" x14ac:dyDescent="0.3">
      <c r="A1105" s="160">
        <v>10343</v>
      </c>
      <c r="B1105" t="s">
        <v>16270</v>
      </c>
      <c r="C1105" t="s">
        <v>883</v>
      </c>
      <c r="D1105">
        <v>1.25</v>
      </c>
      <c r="E1105">
        <v>0</v>
      </c>
      <c r="F1105">
        <f t="shared" si="17"/>
        <v>1.25</v>
      </c>
      <c r="I1105">
        <v>20220701</v>
      </c>
      <c r="J1105" t="s">
        <v>915</v>
      </c>
      <c r="K1105" t="s">
        <v>927</v>
      </c>
      <c r="L1105" t="s">
        <v>893</v>
      </c>
      <c r="M1105" t="s">
        <v>894</v>
      </c>
      <c r="N1105" t="s">
        <v>895</v>
      </c>
      <c r="O1105" t="s">
        <v>896</v>
      </c>
      <c r="P1105" t="s">
        <v>891</v>
      </c>
    </row>
    <row r="1106" spans="1:37" x14ac:dyDescent="0.3">
      <c r="A1106" s="160">
        <v>10344</v>
      </c>
      <c r="B1106" t="s">
        <v>16271</v>
      </c>
      <c r="C1106" t="s">
        <v>883</v>
      </c>
      <c r="D1106">
        <v>1.25</v>
      </c>
      <c r="E1106">
        <v>0</v>
      </c>
      <c r="F1106">
        <f t="shared" si="17"/>
        <v>1.25</v>
      </c>
      <c r="I1106">
        <v>20220701</v>
      </c>
      <c r="J1106" t="s">
        <v>893</v>
      </c>
      <c r="K1106" t="s">
        <v>891</v>
      </c>
    </row>
    <row r="1107" spans="1:37" x14ac:dyDescent="0.3">
      <c r="A1107" s="160">
        <v>10349</v>
      </c>
      <c r="B1107" t="s">
        <v>16272</v>
      </c>
      <c r="C1107" t="s">
        <v>883</v>
      </c>
      <c r="D1107">
        <v>1.25</v>
      </c>
      <c r="E1107">
        <v>0</v>
      </c>
      <c r="F1107">
        <f t="shared" si="17"/>
        <v>1.25</v>
      </c>
      <c r="I1107">
        <v>20220701</v>
      </c>
      <c r="J1107" t="s">
        <v>926</v>
      </c>
      <c r="K1107" t="s">
        <v>887</v>
      </c>
      <c r="L1107" t="s">
        <v>918</v>
      </c>
    </row>
    <row r="1108" spans="1:37" x14ac:dyDescent="0.3">
      <c r="A1108" s="160">
        <v>10352</v>
      </c>
      <c r="B1108" t="s">
        <v>16273</v>
      </c>
      <c r="C1108" t="s">
        <v>883</v>
      </c>
      <c r="D1108">
        <v>1.25</v>
      </c>
      <c r="E1108">
        <v>0</v>
      </c>
      <c r="F1108">
        <f t="shared" si="17"/>
        <v>1.25</v>
      </c>
      <c r="I1108">
        <v>20220701</v>
      </c>
      <c r="J1108" t="s">
        <v>885</v>
      </c>
      <c r="K1108" t="s">
        <v>904</v>
      </c>
      <c r="L1108" t="s">
        <v>901</v>
      </c>
    </row>
    <row r="1109" spans="1:37" x14ac:dyDescent="0.3">
      <c r="A1109" s="160">
        <v>10357</v>
      </c>
      <c r="B1109" t="s">
        <v>16274</v>
      </c>
      <c r="C1109" t="s">
        <v>883</v>
      </c>
      <c r="D1109">
        <v>1.25</v>
      </c>
      <c r="E1109">
        <v>0</v>
      </c>
      <c r="F1109">
        <f t="shared" si="17"/>
        <v>1.25</v>
      </c>
      <c r="I1109">
        <v>20220701</v>
      </c>
      <c r="J1109" t="s">
        <v>903</v>
      </c>
      <c r="K1109" t="s">
        <v>928</v>
      </c>
      <c r="L1109" t="s">
        <v>922</v>
      </c>
      <c r="M1109" t="s">
        <v>901</v>
      </c>
    </row>
    <row r="1110" spans="1:37" x14ac:dyDescent="0.3">
      <c r="A1110" s="160">
        <v>10360</v>
      </c>
      <c r="B1110" t="s">
        <v>16275</v>
      </c>
      <c r="C1110" t="s">
        <v>883</v>
      </c>
      <c r="D1110">
        <v>1.25</v>
      </c>
      <c r="E1110">
        <v>0</v>
      </c>
      <c r="F1110">
        <f t="shared" si="17"/>
        <v>1.25</v>
      </c>
      <c r="I1110">
        <v>20220701</v>
      </c>
      <c r="J1110" t="s">
        <v>907</v>
      </c>
    </row>
    <row r="1111" spans="1:37" x14ac:dyDescent="0.3">
      <c r="A1111" s="160">
        <v>10362</v>
      </c>
      <c r="B1111" t="s">
        <v>16276</v>
      </c>
      <c r="C1111" t="s">
        <v>883</v>
      </c>
      <c r="D1111">
        <v>1.25</v>
      </c>
      <c r="E1111">
        <v>0</v>
      </c>
      <c r="F1111">
        <f t="shared" si="17"/>
        <v>1.25</v>
      </c>
      <c r="I1111">
        <v>20220701</v>
      </c>
      <c r="J1111" t="s">
        <v>929</v>
      </c>
      <c r="K1111" t="s">
        <v>915</v>
      </c>
      <c r="L1111" t="s">
        <v>930</v>
      </c>
      <c r="M1111" t="s">
        <v>931</v>
      </c>
      <c r="N1111" t="s">
        <v>932</v>
      </c>
      <c r="O1111" t="s">
        <v>910</v>
      </c>
      <c r="P1111" t="s">
        <v>933</v>
      </c>
      <c r="Q1111" t="s">
        <v>934</v>
      </c>
      <c r="R1111" t="s">
        <v>935</v>
      </c>
      <c r="S1111" t="s">
        <v>887</v>
      </c>
      <c r="T1111" t="s">
        <v>888</v>
      </c>
      <c r="U1111" t="s">
        <v>889</v>
      </c>
      <c r="V1111" t="s">
        <v>900</v>
      </c>
      <c r="W1111" t="s">
        <v>918</v>
      </c>
    </row>
    <row r="1112" spans="1:37" x14ac:dyDescent="0.3">
      <c r="A1112" s="160">
        <v>10363</v>
      </c>
      <c r="B1112" t="s">
        <v>16277</v>
      </c>
      <c r="C1112" t="s">
        <v>883</v>
      </c>
      <c r="D1112">
        <v>1.25</v>
      </c>
      <c r="E1112">
        <v>0</v>
      </c>
      <c r="F1112">
        <f t="shared" si="17"/>
        <v>1.25</v>
      </c>
      <c r="I1112">
        <v>20220701</v>
      </c>
      <c r="J1112" t="s">
        <v>893</v>
      </c>
      <c r="K1112" t="s">
        <v>891</v>
      </c>
    </row>
    <row r="1113" spans="1:37" x14ac:dyDescent="0.3">
      <c r="A1113" s="160">
        <v>10371</v>
      </c>
      <c r="B1113" t="s">
        <v>16278</v>
      </c>
      <c r="C1113" t="s">
        <v>883</v>
      </c>
      <c r="D1113">
        <v>1.25</v>
      </c>
      <c r="E1113">
        <v>0</v>
      </c>
      <c r="F1113">
        <f t="shared" si="17"/>
        <v>1.25</v>
      </c>
      <c r="I1113">
        <v>20220701</v>
      </c>
      <c r="J1113" t="s">
        <v>884</v>
      </c>
    </row>
    <row r="1114" spans="1:37" x14ac:dyDescent="0.3">
      <c r="A1114" s="160">
        <v>10373</v>
      </c>
      <c r="B1114" t="s">
        <v>16279</v>
      </c>
      <c r="C1114" t="s">
        <v>883</v>
      </c>
      <c r="D1114">
        <v>1.25</v>
      </c>
      <c r="E1114">
        <v>0</v>
      </c>
      <c r="F1114">
        <f t="shared" si="17"/>
        <v>1.25</v>
      </c>
      <c r="I1114">
        <v>20220701</v>
      </c>
      <c r="J1114" t="s">
        <v>884</v>
      </c>
    </row>
    <row r="1115" spans="1:37" x14ac:dyDescent="0.3">
      <c r="A1115" s="160">
        <v>10375</v>
      </c>
      <c r="B1115" t="s">
        <v>16280</v>
      </c>
      <c r="C1115" t="s">
        <v>883</v>
      </c>
      <c r="D1115">
        <v>1.25</v>
      </c>
      <c r="E1115">
        <v>0</v>
      </c>
      <c r="F1115">
        <f t="shared" si="17"/>
        <v>1.25</v>
      </c>
      <c r="I1115">
        <v>20220701</v>
      </c>
      <c r="J1115" t="s">
        <v>922</v>
      </c>
    </row>
    <row r="1116" spans="1:37" x14ac:dyDescent="0.3">
      <c r="A1116" s="160">
        <v>10381</v>
      </c>
      <c r="B1116" t="s">
        <v>16281</v>
      </c>
      <c r="C1116" t="s">
        <v>883</v>
      </c>
      <c r="D1116">
        <v>1.25</v>
      </c>
      <c r="E1116">
        <v>0</v>
      </c>
      <c r="F1116">
        <f t="shared" si="17"/>
        <v>1.25</v>
      </c>
      <c r="I1116">
        <v>20220701</v>
      </c>
      <c r="J1116" t="s">
        <v>894</v>
      </c>
      <c r="K1116" t="s">
        <v>917</v>
      </c>
      <c r="L1116" t="s">
        <v>890</v>
      </c>
      <c r="M1116" t="s">
        <v>900</v>
      </c>
    </row>
    <row r="1117" spans="1:37" x14ac:dyDescent="0.3">
      <c r="A1117" s="160">
        <v>10387</v>
      </c>
      <c r="B1117" t="s">
        <v>16282</v>
      </c>
      <c r="C1117" t="s">
        <v>883</v>
      </c>
      <c r="D1117">
        <v>1.25</v>
      </c>
      <c r="E1117">
        <v>0</v>
      </c>
      <c r="F1117">
        <f t="shared" si="17"/>
        <v>1.25</v>
      </c>
      <c r="I1117">
        <v>20220701</v>
      </c>
      <c r="J1117" t="s">
        <v>936</v>
      </c>
      <c r="K1117" t="s">
        <v>929</v>
      </c>
      <c r="L1117" t="s">
        <v>908</v>
      </c>
      <c r="M1117" t="s">
        <v>899</v>
      </c>
      <c r="N1117" t="s">
        <v>915</v>
      </c>
      <c r="O1117" t="s">
        <v>937</v>
      </c>
      <c r="P1117" t="s">
        <v>927</v>
      </c>
      <c r="Q1117" t="s">
        <v>903</v>
      </c>
      <c r="R1117" t="s">
        <v>938</v>
      </c>
      <c r="S1117" t="s">
        <v>939</v>
      </c>
      <c r="T1117" t="s">
        <v>940</v>
      </c>
      <c r="U1117" t="s">
        <v>941</v>
      </c>
      <c r="V1117" t="s">
        <v>942</v>
      </c>
      <c r="W1117" t="s">
        <v>943</v>
      </c>
      <c r="X1117" t="s">
        <v>930</v>
      </c>
      <c r="Y1117" t="s">
        <v>944</v>
      </c>
      <c r="Z1117" t="s">
        <v>945</v>
      </c>
      <c r="AA1117" t="s">
        <v>946</v>
      </c>
      <c r="AB1117" t="s">
        <v>947</v>
      </c>
      <c r="AC1117" t="s">
        <v>948</v>
      </c>
      <c r="AD1117" t="s">
        <v>949</v>
      </c>
      <c r="AE1117" t="s">
        <v>931</v>
      </c>
      <c r="AF1117" t="s">
        <v>919</v>
      </c>
      <c r="AG1117" t="s">
        <v>932</v>
      </c>
      <c r="AH1117" t="s">
        <v>887</v>
      </c>
      <c r="AI1117" t="s">
        <v>888</v>
      </c>
      <c r="AJ1117" t="s">
        <v>901</v>
      </c>
      <c r="AK1117" t="s">
        <v>921</v>
      </c>
    </row>
    <row r="1118" spans="1:37" x14ac:dyDescent="0.3">
      <c r="A1118" s="160">
        <v>10391</v>
      </c>
      <c r="B1118" t="s">
        <v>16283</v>
      </c>
      <c r="C1118" t="s">
        <v>883</v>
      </c>
      <c r="D1118">
        <v>1.25</v>
      </c>
      <c r="E1118">
        <v>0</v>
      </c>
      <c r="F1118">
        <f t="shared" si="17"/>
        <v>1.25</v>
      </c>
      <c r="I1118">
        <v>20220701</v>
      </c>
      <c r="J1118" t="s">
        <v>885</v>
      </c>
    </row>
    <row r="1119" spans="1:37" x14ac:dyDescent="0.3">
      <c r="A1119" s="160">
        <v>10396</v>
      </c>
      <c r="B1119" t="s">
        <v>16284</v>
      </c>
      <c r="C1119" t="s">
        <v>883</v>
      </c>
      <c r="D1119">
        <v>1.25</v>
      </c>
      <c r="E1119">
        <v>0</v>
      </c>
      <c r="F1119">
        <f t="shared" si="17"/>
        <v>1.25</v>
      </c>
      <c r="I1119">
        <v>20220701</v>
      </c>
      <c r="J1119" t="s">
        <v>898</v>
      </c>
    </row>
    <row r="1120" spans="1:37" x14ac:dyDescent="0.3">
      <c r="A1120" s="160">
        <v>10402</v>
      </c>
      <c r="B1120" t="s">
        <v>16285</v>
      </c>
      <c r="C1120" t="s">
        <v>883</v>
      </c>
      <c r="D1120">
        <v>1.25</v>
      </c>
      <c r="E1120">
        <v>0</v>
      </c>
      <c r="F1120">
        <f t="shared" si="17"/>
        <v>1.25</v>
      </c>
      <c r="I1120">
        <v>20220701</v>
      </c>
      <c r="J1120" t="s">
        <v>891</v>
      </c>
    </row>
    <row r="1121" spans="1:12" x14ac:dyDescent="0.3">
      <c r="A1121" s="160">
        <v>10406</v>
      </c>
      <c r="B1121" t="s">
        <v>16286</v>
      </c>
      <c r="C1121" t="s">
        <v>883</v>
      </c>
      <c r="D1121">
        <v>1.25</v>
      </c>
      <c r="E1121">
        <v>0</v>
      </c>
      <c r="F1121">
        <f t="shared" si="17"/>
        <v>1.25</v>
      </c>
      <c r="I1121">
        <v>20220701</v>
      </c>
      <c r="J1121" t="s">
        <v>903</v>
      </c>
      <c r="K1121" t="s">
        <v>902</v>
      </c>
      <c r="L1121" t="s">
        <v>895</v>
      </c>
    </row>
    <row r="1122" spans="1:12" x14ac:dyDescent="0.3">
      <c r="A1122" s="160">
        <v>10409</v>
      </c>
      <c r="B1122" t="s">
        <v>16287</v>
      </c>
      <c r="C1122" t="s">
        <v>883</v>
      </c>
      <c r="D1122">
        <v>1.25</v>
      </c>
      <c r="E1122">
        <v>0</v>
      </c>
      <c r="F1122">
        <f t="shared" si="17"/>
        <v>1.25</v>
      </c>
      <c r="I1122">
        <v>20220701</v>
      </c>
      <c r="J1122" t="s">
        <v>886</v>
      </c>
    </row>
    <row r="1123" spans="1:12" x14ac:dyDescent="0.3">
      <c r="A1123" s="160">
        <v>10412</v>
      </c>
      <c r="B1123" t="s">
        <v>16288</v>
      </c>
      <c r="C1123" t="s">
        <v>883</v>
      </c>
      <c r="D1123">
        <v>1.25</v>
      </c>
      <c r="E1123">
        <v>0</v>
      </c>
      <c r="F1123">
        <f t="shared" si="17"/>
        <v>1.25</v>
      </c>
      <c r="I1123">
        <v>20220701</v>
      </c>
      <c r="J1123" t="s">
        <v>928</v>
      </c>
      <c r="K1123" t="s">
        <v>922</v>
      </c>
      <c r="L1123" t="s">
        <v>901</v>
      </c>
    </row>
    <row r="1124" spans="1:12" x14ac:dyDescent="0.3">
      <c r="A1124" s="160">
        <v>10414</v>
      </c>
      <c r="B1124" t="s">
        <v>16289</v>
      </c>
      <c r="C1124" t="s">
        <v>883</v>
      </c>
      <c r="D1124">
        <v>1.25</v>
      </c>
      <c r="E1124">
        <v>0</v>
      </c>
      <c r="F1124">
        <f t="shared" si="17"/>
        <v>1.25</v>
      </c>
      <c r="I1124">
        <v>20220701</v>
      </c>
      <c r="J1124" t="s">
        <v>914</v>
      </c>
    </row>
    <row r="1125" spans="1:12" x14ac:dyDescent="0.3">
      <c r="A1125" s="160">
        <v>10416</v>
      </c>
      <c r="B1125" t="s">
        <v>16290</v>
      </c>
      <c r="C1125" t="s">
        <v>883</v>
      </c>
      <c r="D1125">
        <v>1.25</v>
      </c>
      <c r="E1125">
        <v>0</v>
      </c>
      <c r="F1125">
        <f t="shared" si="17"/>
        <v>1.25</v>
      </c>
      <c r="I1125">
        <v>20220701</v>
      </c>
      <c r="J1125" t="s">
        <v>891</v>
      </c>
    </row>
    <row r="1126" spans="1:12" x14ac:dyDescent="0.3">
      <c r="A1126" s="160">
        <v>10425</v>
      </c>
      <c r="B1126" t="s">
        <v>16291</v>
      </c>
      <c r="C1126" t="s">
        <v>883</v>
      </c>
      <c r="D1126">
        <v>1.25</v>
      </c>
      <c r="E1126">
        <v>0</v>
      </c>
      <c r="F1126">
        <f t="shared" si="17"/>
        <v>1.25</v>
      </c>
      <c r="I1126">
        <v>20220701</v>
      </c>
      <c r="J1126" t="s">
        <v>884</v>
      </c>
    </row>
    <row r="1127" spans="1:12" x14ac:dyDescent="0.3">
      <c r="A1127" s="160">
        <v>10434</v>
      </c>
      <c r="B1127" t="s">
        <v>16292</v>
      </c>
      <c r="C1127" t="s">
        <v>883</v>
      </c>
      <c r="D1127">
        <v>1.25</v>
      </c>
      <c r="E1127">
        <v>0</v>
      </c>
      <c r="F1127">
        <f t="shared" si="17"/>
        <v>1.25</v>
      </c>
      <c r="I1127">
        <v>20220701</v>
      </c>
      <c r="J1127" t="s">
        <v>891</v>
      </c>
    </row>
    <row r="1128" spans="1:12" x14ac:dyDescent="0.3">
      <c r="A1128" s="160">
        <v>10435</v>
      </c>
      <c r="B1128" t="s">
        <v>16293</v>
      </c>
      <c r="C1128" t="s">
        <v>883</v>
      </c>
      <c r="D1128">
        <v>1.25</v>
      </c>
      <c r="E1128">
        <v>0</v>
      </c>
      <c r="F1128">
        <f t="shared" si="17"/>
        <v>1.25</v>
      </c>
      <c r="I1128">
        <v>20220701</v>
      </c>
      <c r="J1128" t="s">
        <v>891</v>
      </c>
    </row>
    <row r="1129" spans="1:12" x14ac:dyDescent="0.3">
      <c r="A1129" s="160">
        <v>11001</v>
      </c>
      <c r="B1129" t="s">
        <v>16294</v>
      </c>
      <c r="C1129" t="s">
        <v>950</v>
      </c>
      <c r="D1129">
        <v>1.1499999999999999</v>
      </c>
      <c r="E1129">
        <v>0</v>
      </c>
      <c r="F1129">
        <f t="shared" si="17"/>
        <v>1.1499999999999999</v>
      </c>
      <c r="I1129">
        <v>20210101</v>
      </c>
      <c r="J1129" t="s">
        <v>951</v>
      </c>
    </row>
    <row r="1130" spans="1:12" x14ac:dyDescent="0.3">
      <c r="A1130" s="160">
        <v>11005</v>
      </c>
      <c r="B1130" t="s">
        <v>16295</v>
      </c>
      <c r="C1130" t="s">
        <v>950</v>
      </c>
      <c r="D1130">
        <v>1.1499999999999999</v>
      </c>
      <c r="E1130">
        <v>0</v>
      </c>
      <c r="F1130">
        <f t="shared" si="17"/>
        <v>1.1499999999999999</v>
      </c>
      <c r="I1130">
        <v>20210101</v>
      </c>
      <c r="J1130" t="s">
        <v>952</v>
      </c>
      <c r="K1130" t="s">
        <v>953</v>
      </c>
    </row>
    <row r="1131" spans="1:12" x14ac:dyDescent="0.3">
      <c r="A1131" s="160">
        <v>11009</v>
      </c>
      <c r="B1131" t="s">
        <v>16296</v>
      </c>
      <c r="C1131" t="s">
        <v>950</v>
      </c>
      <c r="D1131">
        <v>1.1499999999999999</v>
      </c>
      <c r="E1131">
        <v>0</v>
      </c>
      <c r="F1131">
        <f t="shared" si="17"/>
        <v>1.1499999999999999</v>
      </c>
      <c r="I1131">
        <v>20210101</v>
      </c>
      <c r="J1131" t="s">
        <v>954</v>
      </c>
    </row>
    <row r="1132" spans="1:12" x14ac:dyDescent="0.3">
      <c r="A1132" s="160">
        <v>11011</v>
      </c>
      <c r="B1132" t="s">
        <v>16297</v>
      </c>
      <c r="C1132" t="s">
        <v>950</v>
      </c>
      <c r="D1132">
        <v>1.1499999999999999</v>
      </c>
      <c r="E1132">
        <v>0</v>
      </c>
      <c r="F1132">
        <f t="shared" si="17"/>
        <v>1.1499999999999999</v>
      </c>
      <c r="I1132">
        <v>20210101</v>
      </c>
      <c r="J1132" t="s">
        <v>955</v>
      </c>
    </row>
    <row r="1133" spans="1:12" x14ac:dyDescent="0.3">
      <c r="A1133" s="160">
        <v>11012</v>
      </c>
      <c r="B1133" t="s">
        <v>16298</v>
      </c>
      <c r="C1133" t="s">
        <v>956</v>
      </c>
      <c r="D1133">
        <v>1.25</v>
      </c>
      <c r="E1133">
        <v>0</v>
      </c>
      <c r="F1133">
        <f t="shared" si="17"/>
        <v>1.25</v>
      </c>
      <c r="I1133">
        <v>20110301</v>
      </c>
      <c r="J1133" t="s">
        <v>957</v>
      </c>
    </row>
    <row r="1134" spans="1:12" x14ac:dyDescent="0.3">
      <c r="A1134" s="160">
        <v>11014</v>
      </c>
      <c r="B1134" t="s">
        <v>16299</v>
      </c>
      <c r="C1134" t="s">
        <v>956</v>
      </c>
      <c r="D1134">
        <v>1.25</v>
      </c>
      <c r="E1134">
        <v>0</v>
      </c>
      <c r="F1134">
        <f t="shared" si="17"/>
        <v>1.25</v>
      </c>
      <c r="I1134">
        <v>20110301</v>
      </c>
      <c r="J1134" t="s">
        <v>958</v>
      </c>
    </row>
    <row r="1135" spans="1:12" x14ac:dyDescent="0.3">
      <c r="A1135" s="160">
        <v>11016</v>
      </c>
      <c r="B1135" t="s">
        <v>16300</v>
      </c>
      <c r="C1135" t="s">
        <v>950</v>
      </c>
      <c r="D1135">
        <v>1.1499999999999999</v>
      </c>
      <c r="E1135">
        <v>0</v>
      </c>
      <c r="F1135">
        <f t="shared" si="17"/>
        <v>1.1499999999999999</v>
      </c>
      <c r="I1135">
        <v>20240101</v>
      </c>
      <c r="J1135" t="s">
        <v>959</v>
      </c>
    </row>
    <row r="1136" spans="1:12" x14ac:dyDescent="0.3">
      <c r="A1136" s="160">
        <v>11018</v>
      </c>
      <c r="B1136" t="s">
        <v>16301</v>
      </c>
      <c r="C1136" t="s">
        <v>950</v>
      </c>
      <c r="D1136">
        <v>1.1499999999999999</v>
      </c>
      <c r="E1136">
        <v>0</v>
      </c>
      <c r="F1136">
        <f t="shared" si="17"/>
        <v>1.1499999999999999</v>
      </c>
      <c r="I1136">
        <v>20210101</v>
      </c>
      <c r="J1136" t="s">
        <v>952</v>
      </c>
    </row>
    <row r="1137" spans="1:45" x14ac:dyDescent="0.3">
      <c r="A1137" s="160">
        <v>11022</v>
      </c>
      <c r="B1137" t="s">
        <v>16302</v>
      </c>
      <c r="C1137" t="s">
        <v>950</v>
      </c>
      <c r="D1137">
        <v>1.1499999999999999</v>
      </c>
      <c r="E1137">
        <v>0</v>
      </c>
      <c r="F1137">
        <f t="shared" si="17"/>
        <v>1.1499999999999999</v>
      </c>
      <c r="I1137">
        <v>20210101</v>
      </c>
      <c r="J1137" t="s">
        <v>960</v>
      </c>
    </row>
    <row r="1138" spans="1:45" x14ac:dyDescent="0.3">
      <c r="A1138" s="160">
        <v>11023</v>
      </c>
      <c r="B1138" t="s">
        <v>16303</v>
      </c>
      <c r="C1138" t="s">
        <v>950</v>
      </c>
      <c r="D1138">
        <v>1.1499999999999999</v>
      </c>
      <c r="E1138">
        <v>0</v>
      </c>
      <c r="F1138">
        <f t="shared" si="17"/>
        <v>1.1499999999999999</v>
      </c>
      <c r="I1138">
        <v>20210101</v>
      </c>
      <c r="J1138" t="s">
        <v>951</v>
      </c>
      <c r="K1138" t="s">
        <v>961</v>
      </c>
    </row>
    <row r="1139" spans="1:45" x14ac:dyDescent="0.3">
      <c r="A1139" s="160">
        <v>11024</v>
      </c>
      <c r="B1139" t="s">
        <v>16304</v>
      </c>
      <c r="C1139" t="s">
        <v>956</v>
      </c>
      <c r="D1139">
        <v>1.25</v>
      </c>
      <c r="E1139">
        <v>0</v>
      </c>
      <c r="F1139">
        <f t="shared" si="17"/>
        <v>1.25</v>
      </c>
      <c r="I1139">
        <v>20110301</v>
      </c>
      <c r="J1139" t="s">
        <v>962</v>
      </c>
    </row>
    <row r="1140" spans="1:45" x14ac:dyDescent="0.3">
      <c r="A1140" s="160">
        <v>11025</v>
      </c>
      <c r="B1140" t="s">
        <v>16305</v>
      </c>
      <c r="C1140" t="s">
        <v>950</v>
      </c>
      <c r="D1140">
        <v>1.1499999999999999</v>
      </c>
      <c r="E1140">
        <v>0</v>
      </c>
      <c r="F1140">
        <f t="shared" si="17"/>
        <v>1.1499999999999999</v>
      </c>
      <c r="I1140">
        <v>20210101</v>
      </c>
      <c r="J1140" t="s">
        <v>955</v>
      </c>
    </row>
    <row r="1141" spans="1:45" x14ac:dyDescent="0.3">
      <c r="A1141" s="160">
        <v>11027</v>
      </c>
      <c r="B1141" t="s">
        <v>16306</v>
      </c>
      <c r="C1141" t="s">
        <v>950</v>
      </c>
      <c r="D1141">
        <v>1.1499999999999999</v>
      </c>
      <c r="E1141">
        <v>0</v>
      </c>
      <c r="F1141">
        <f t="shared" si="17"/>
        <v>1.1499999999999999</v>
      </c>
      <c r="I1141">
        <v>20210101</v>
      </c>
      <c r="J1141" t="s">
        <v>951</v>
      </c>
    </row>
    <row r="1142" spans="1:45" x14ac:dyDescent="0.3">
      <c r="A1142" s="160">
        <v>11037</v>
      </c>
      <c r="B1142" t="s">
        <v>16307</v>
      </c>
      <c r="C1142" t="s">
        <v>950</v>
      </c>
      <c r="D1142">
        <v>1.1499999999999999</v>
      </c>
      <c r="E1142">
        <v>0</v>
      </c>
      <c r="F1142">
        <f t="shared" si="17"/>
        <v>1.1499999999999999</v>
      </c>
      <c r="I1142">
        <v>20210101</v>
      </c>
      <c r="J1142" t="s">
        <v>963</v>
      </c>
      <c r="K1142" t="s">
        <v>961</v>
      </c>
    </row>
    <row r="1143" spans="1:45" x14ac:dyDescent="0.3">
      <c r="A1143" s="160">
        <v>11040</v>
      </c>
      <c r="B1143" t="s">
        <v>16308</v>
      </c>
      <c r="C1143" t="s">
        <v>956</v>
      </c>
      <c r="D1143">
        <v>1.25</v>
      </c>
      <c r="E1143">
        <v>0</v>
      </c>
      <c r="F1143">
        <f t="shared" si="17"/>
        <v>1.25</v>
      </c>
      <c r="I1143">
        <v>20110301</v>
      </c>
      <c r="J1143" t="s">
        <v>964</v>
      </c>
    </row>
    <row r="1144" spans="1:45" x14ac:dyDescent="0.3">
      <c r="A1144" s="160">
        <v>11041</v>
      </c>
      <c r="B1144" t="s">
        <v>16309</v>
      </c>
      <c r="C1144" t="s">
        <v>956</v>
      </c>
      <c r="D1144">
        <v>1.25</v>
      </c>
      <c r="E1144">
        <v>0</v>
      </c>
      <c r="F1144">
        <f t="shared" si="17"/>
        <v>1.25</v>
      </c>
      <c r="I1144">
        <v>20110301</v>
      </c>
      <c r="J1144" t="s">
        <v>957</v>
      </c>
    </row>
    <row r="1145" spans="1:45" x14ac:dyDescent="0.3">
      <c r="A1145" s="160">
        <v>11042</v>
      </c>
      <c r="B1145" t="s">
        <v>16310</v>
      </c>
      <c r="C1145" t="s">
        <v>950</v>
      </c>
      <c r="D1145">
        <v>1.1499999999999999</v>
      </c>
      <c r="E1145">
        <v>0</v>
      </c>
      <c r="F1145">
        <f t="shared" si="17"/>
        <v>1.1499999999999999</v>
      </c>
      <c r="I1145">
        <v>20210101</v>
      </c>
      <c r="J1145" t="s">
        <v>960</v>
      </c>
    </row>
    <row r="1146" spans="1:45" x14ac:dyDescent="0.3">
      <c r="A1146" s="160">
        <v>11043</v>
      </c>
      <c r="B1146" t="s">
        <v>16311</v>
      </c>
      <c r="C1146" t="s">
        <v>950</v>
      </c>
      <c r="D1146">
        <v>1.1499999999999999</v>
      </c>
      <c r="E1146">
        <v>0</v>
      </c>
      <c r="F1146">
        <f t="shared" si="17"/>
        <v>1.1499999999999999</v>
      </c>
      <c r="I1146">
        <v>20210101</v>
      </c>
      <c r="J1146" t="s">
        <v>951</v>
      </c>
    </row>
    <row r="1147" spans="1:45" x14ac:dyDescent="0.3">
      <c r="A1147" s="160">
        <v>11056</v>
      </c>
      <c r="B1147" t="s">
        <v>16312</v>
      </c>
      <c r="C1147" t="s">
        <v>950</v>
      </c>
      <c r="D1147">
        <v>1.1499999999999999</v>
      </c>
      <c r="E1147">
        <v>0</v>
      </c>
      <c r="F1147">
        <f t="shared" si="17"/>
        <v>1.1499999999999999</v>
      </c>
      <c r="I1147">
        <v>20210101</v>
      </c>
      <c r="J1147" t="s">
        <v>965</v>
      </c>
    </row>
    <row r="1148" spans="1:45" x14ac:dyDescent="0.3">
      <c r="A1148" s="160">
        <v>11068</v>
      </c>
      <c r="B1148" t="s">
        <v>16313</v>
      </c>
      <c r="C1148" t="s">
        <v>950</v>
      </c>
      <c r="D1148">
        <v>1.1499999999999999</v>
      </c>
      <c r="E1148">
        <v>0</v>
      </c>
      <c r="F1148">
        <f t="shared" si="17"/>
        <v>1.1499999999999999</v>
      </c>
      <c r="I1148">
        <v>20210101</v>
      </c>
      <c r="J1148" t="s">
        <v>960</v>
      </c>
    </row>
    <row r="1149" spans="1:45" x14ac:dyDescent="0.3">
      <c r="A1149" s="160">
        <v>11069</v>
      </c>
      <c r="B1149" t="s">
        <v>16314</v>
      </c>
      <c r="C1149" t="s">
        <v>950</v>
      </c>
      <c r="D1149">
        <v>1.1499999999999999</v>
      </c>
      <c r="E1149">
        <v>0</v>
      </c>
      <c r="F1149">
        <f t="shared" si="17"/>
        <v>1.1499999999999999</v>
      </c>
      <c r="I1149">
        <v>20210101</v>
      </c>
      <c r="J1149" t="s">
        <v>963</v>
      </c>
      <c r="K1149" t="s">
        <v>966</v>
      </c>
      <c r="L1149" t="s">
        <v>967</v>
      </c>
      <c r="M1149" t="s">
        <v>968</v>
      </c>
      <c r="N1149" t="s">
        <v>969</v>
      </c>
      <c r="O1149" t="s">
        <v>970</v>
      </c>
      <c r="P1149" t="s">
        <v>971</v>
      </c>
      <c r="Q1149" t="s">
        <v>972</v>
      </c>
      <c r="R1149" t="s">
        <v>973</v>
      </c>
      <c r="S1149" t="s">
        <v>974</v>
      </c>
      <c r="T1149" t="s">
        <v>975</v>
      </c>
      <c r="U1149" t="s">
        <v>976</v>
      </c>
      <c r="V1149" t="s">
        <v>977</v>
      </c>
      <c r="W1149" t="s">
        <v>978</v>
      </c>
      <c r="X1149" t="s">
        <v>979</v>
      </c>
      <c r="Y1149" t="s">
        <v>980</v>
      </c>
      <c r="Z1149" t="s">
        <v>981</v>
      </c>
      <c r="AA1149" t="s">
        <v>982</v>
      </c>
      <c r="AB1149" t="s">
        <v>983</v>
      </c>
      <c r="AC1149" t="s">
        <v>984</v>
      </c>
      <c r="AD1149" t="s">
        <v>985</v>
      </c>
      <c r="AE1149" t="s">
        <v>986</v>
      </c>
      <c r="AF1149" t="s">
        <v>987</v>
      </c>
      <c r="AG1149" t="s">
        <v>988</v>
      </c>
      <c r="AH1149" t="s">
        <v>989</v>
      </c>
      <c r="AI1149" t="s">
        <v>990</v>
      </c>
      <c r="AJ1149" t="s">
        <v>991</v>
      </c>
      <c r="AK1149" t="s">
        <v>992</v>
      </c>
      <c r="AL1149" t="s">
        <v>953</v>
      </c>
      <c r="AM1149" t="s">
        <v>993</v>
      </c>
      <c r="AN1149" t="s">
        <v>994</v>
      </c>
      <c r="AO1149" t="s">
        <v>995</v>
      </c>
      <c r="AP1149" t="s">
        <v>996</v>
      </c>
      <c r="AQ1149" t="s">
        <v>997</v>
      </c>
      <c r="AR1149" t="s">
        <v>998</v>
      </c>
      <c r="AS1149" t="s">
        <v>961</v>
      </c>
    </row>
    <row r="1150" spans="1:45" x14ac:dyDescent="0.3">
      <c r="A1150" s="160">
        <v>11075</v>
      </c>
      <c r="B1150" t="s">
        <v>16315</v>
      </c>
      <c r="C1150" t="s">
        <v>950</v>
      </c>
      <c r="D1150">
        <v>1.1499999999999999</v>
      </c>
      <c r="E1150">
        <v>0</v>
      </c>
      <c r="F1150">
        <f t="shared" si="17"/>
        <v>1.1499999999999999</v>
      </c>
      <c r="I1150">
        <v>20210101</v>
      </c>
      <c r="J1150" t="s">
        <v>965</v>
      </c>
    </row>
    <row r="1151" spans="1:45" x14ac:dyDescent="0.3">
      <c r="A1151" s="160">
        <v>11081</v>
      </c>
      <c r="B1151" t="s">
        <v>16316</v>
      </c>
      <c r="C1151" t="s">
        <v>950</v>
      </c>
      <c r="D1151">
        <v>1.1499999999999999</v>
      </c>
      <c r="E1151">
        <v>0</v>
      </c>
      <c r="F1151">
        <f t="shared" si="17"/>
        <v>1.1499999999999999</v>
      </c>
      <c r="I1151">
        <v>20210101</v>
      </c>
      <c r="J1151" t="s">
        <v>965</v>
      </c>
    </row>
    <row r="1152" spans="1:45" x14ac:dyDescent="0.3">
      <c r="A1152" s="160">
        <v>11083</v>
      </c>
      <c r="B1152" t="s">
        <v>16317</v>
      </c>
      <c r="C1152" t="s">
        <v>950</v>
      </c>
      <c r="D1152">
        <v>1.1499999999999999</v>
      </c>
      <c r="E1152">
        <v>0</v>
      </c>
      <c r="F1152">
        <f t="shared" si="17"/>
        <v>1.1499999999999999</v>
      </c>
      <c r="I1152">
        <v>20240101</v>
      </c>
      <c r="J1152" t="s">
        <v>959</v>
      </c>
    </row>
    <row r="1153" spans="1:11" x14ac:dyDescent="0.3">
      <c r="A1153" s="160">
        <v>11084</v>
      </c>
      <c r="B1153" t="s">
        <v>16318</v>
      </c>
      <c r="C1153" t="s">
        <v>950</v>
      </c>
      <c r="D1153">
        <v>1.1499999999999999</v>
      </c>
      <c r="E1153">
        <v>0</v>
      </c>
      <c r="F1153">
        <f t="shared" si="17"/>
        <v>1.1499999999999999</v>
      </c>
      <c r="I1153">
        <v>20210101</v>
      </c>
      <c r="J1153" t="s">
        <v>954</v>
      </c>
    </row>
    <row r="1154" spans="1:11" x14ac:dyDescent="0.3">
      <c r="A1154" s="160">
        <v>11085</v>
      </c>
      <c r="B1154" t="s">
        <v>16319</v>
      </c>
      <c r="C1154" t="s">
        <v>950</v>
      </c>
      <c r="D1154">
        <v>1.1499999999999999</v>
      </c>
      <c r="E1154">
        <v>0</v>
      </c>
      <c r="F1154">
        <f t="shared" si="17"/>
        <v>1.1499999999999999</v>
      </c>
      <c r="I1154">
        <v>20210101</v>
      </c>
      <c r="J1154" t="s">
        <v>999</v>
      </c>
    </row>
    <row r="1155" spans="1:11" x14ac:dyDescent="0.3">
      <c r="A1155" s="160">
        <v>11086</v>
      </c>
      <c r="B1155" t="s">
        <v>16320</v>
      </c>
      <c r="C1155" t="s">
        <v>956</v>
      </c>
      <c r="D1155">
        <v>1.25</v>
      </c>
      <c r="E1155">
        <v>0</v>
      </c>
      <c r="F1155">
        <f t="shared" si="17"/>
        <v>1.25</v>
      </c>
      <c r="I1155">
        <v>20120101</v>
      </c>
      <c r="J1155" t="s">
        <v>1000</v>
      </c>
    </row>
    <row r="1156" spans="1:11" x14ac:dyDescent="0.3">
      <c r="A1156" s="160">
        <v>11088</v>
      </c>
      <c r="B1156" t="s">
        <v>16321</v>
      </c>
      <c r="C1156" t="s">
        <v>950</v>
      </c>
      <c r="D1156">
        <v>1.1499999999999999</v>
      </c>
      <c r="E1156">
        <v>0</v>
      </c>
      <c r="F1156">
        <f t="shared" si="17"/>
        <v>1.1499999999999999</v>
      </c>
      <c r="I1156">
        <v>20210101</v>
      </c>
      <c r="J1156" t="s">
        <v>999</v>
      </c>
      <c r="K1156" t="s">
        <v>997</v>
      </c>
    </row>
    <row r="1157" spans="1:11" x14ac:dyDescent="0.3">
      <c r="A1157" s="160">
        <v>11092</v>
      </c>
      <c r="B1157" t="s">
        <v>16322</v>
      </c>
      <c r="C1157" t="s">
        <v>950</v>
      </c>
      <c r="D1157">
        <v>1.1499999999999999</v>
      </c>
      <c r="E1157">
        <v>0</v>
      </c>
      <c r="F1157">
        <f t="shared" si="17"/>
        <v>1.1499999999999999</v>
      </c>
      <c r="I1157">
        <v>20210101</v>
      </c>
      <c r="J1157" t="s">
        <v>965</v>
      </c>
    </row>
    <row r="1158" spans="1:11" x14ac:dyDescent="0.3">
      <c r="A1158" s="160">
        <v>11095</v>
      </c>
      <c r="B1158" t="s">
        <v>16323</v>
      </c>
      <c r="C1158" t="s">
        <v>950</v>
      </c>
      <c r="D1158">
        <v>1.1499999999999999</v>
      </c>
      <c r="E1158">
        <v>0</v>
      </c>
      <c r="F1158">
        <f t="shared" si="17"/>
        <v>1.1499999999999999</v>
      </c>
      <c r="I1158">
        <v>20210101</v>
      </c>
      <c r="J1158" t="s">
        <v>960</v>
      </c>
    </row>
    <row r="1159" spans="1:11" x14ac:dyDescent="0.3">
      <c r="A1159" s="160">
        <v>11099</v>
      </c>
      <c r="B1159" t="s">
        <v>16324</v>
      </c>
      <c r="C1159" t="s">
        <v>950</v>
      </c>
      <c r="D1159">
        <v>1.1499999999999999</v>
      </c>
      <c r="E1159">
        <v>0</v>
      </c>
      <c r="F1159">
        <f t="shared" ref="F1159:F1222" si="18">D1159+E1159</f>
        <v>1.1499999999999999</v>
      </c>
      <c r="I1159">
        <v>20210101</v>
      </c>
      <c r="J1159" t="s">
        <v>955</v>
      </c>
    </row>
    <row r="1160" spans="1:11" x14ac:dyDescent="0.3">
      <c r="A1160" s="160">
        <v>11102</v>
      </c>
      <c r="B1160" t="s">
        <v>16325</v>
      </c>
      <c r="C1160" t="s">
        <v>950</v>
      </c>
      <c r="D1160">
        <v>1.1499999999999999</v>
      </c>
      <c r="E1160">
        <v>0</v>
      </c>
      <c r="F1160">
        <f t="shared" si="18"/>
        <v>1.1499999999999999</v>
      </c>
      <c r="I1160">
        <v>20210101</v>
      </c>
      <c r="J1160" t="s">
        <v>1001</v>
      </c>
    </row>
    <row r="1161" spans="1:11" x14ac:dyDescent="0.3">
      <c r="A1161" s="160">
        <v>11106</v>
      </c>
      <c r="B1161" t="s">
        <v>16326</v>
      </c>
      <c r="C1161" t="s">
        <v>956</v>
      </c>
      <c r="D1161">
        <v>1.25</v>
      </c>
      <c r="E1161">
        <v>0</v>
      </c>
      <c r="F1161">
        <f t="shared" si="18"/>
        <v>1.25</v>
      </c>
      <c r="I1161">
        <v>20110301</v>
      </c>
      <c r="J1161" t="s">
        <v>958</v>
      </c>
    </row>
    <row r="1162" spans="1:11" x14ac:dyDescent="0.3">
      <c r="A1162" s="160">
        <v>11116</v>
      </c>
      <c r="B1162" t="s">
        <v>16327</v>
      </c>
      <c r="C1162" t="s">
        <v>956</v>
      </c>
      <c r="D1162">
        <v>1.25</v>
      </c>
      <c r="E1162">
        <v>0</v>
      </c>
      <c r="F1162">
        <f t="shared" si="18"/>
        <v>1.25</v>
      </c>
      <c r="I1162">
        <v>20110301</v>
      </c>
      <c r="J1162" t="s">
        <v>1002</v>
      </c>
    </row>
    <row r="1163" spans="1:11" x14ac:dyDescent="0.3">
      <c r="A1163" s="160">
        <v>11122</v>
      </c>
      <c r="B1163" t="s">
        <v>16328</v>
      </c>
      <c r="C1163" t="s">
        <v>950</v>
      </c>
      <c r="D1163">
        <v>1.1499999999999999</v>
      </c>
      <c r="E1163">
        <v>0</v>
      </c>
      <c r="F1163">
        <f t="shared" si="18"/>
        <v>1.1499999999999999</v>
      </c>
      <c r="I1163">
        <v>20210101</v>
      </c>
      <c r="J1163" t="s">
        <v>960</v>
      </c>
    </row>
    <row r="1164" spans="1:11" x14ac:dyDescent="0.3">
      <c r="A1164" s="160">
        <v>11133</v>
      </c>
      <c r="B1164" t="s">
        <v>16329</v>
      </c>
      <c r="C1164" t="s">
        <v>950</v>
      </c>
      <c r="D1164">
        <v>1.1499999999999999</v>
      </c>
      <c r="E1164">
        <v>0</v>
      </c>
      <c r="F1164">
        <f t="shared" si="18"/>
        <v>1.1499999999999999</v>
      </c>
      <c r="I1164">
        <v>20240101</v>
      </c>
      <c r="J1164" t="s">
        <v>959</v>
      </c>
    </row>
    <row r="1165" spans="1:11" x14ac:dyDescent="0.3">
      <c r="A1165" s="160">
        <v>11143</v>
      </c>
      <c r="B1165" t="s">
        <v>16330</v>
      </c>
      <c r="C1165" t="s">
        <v>956</v>
      </c>
      <c r="D1165">
        <v>1.25</v>
      </c>
      <c r="E1165">
        <v>0</v>
      </c>
      <c r="F1165">
        <f t="shared" si="18"/>
        <v>1.25</v>
      </c>
      <c r="I1165">
        <v>20170701</v>
      </c>
      <c r="J1165" t="s">
        <v>1000</v>
      </c>
    </row>
    <row r="1166" spans="1:11" x14ac:dyDescent="0.3">
      <c r="A1166" s="160">
        <v>11145</v>
      </c>
      <c r="B1166" t="s">
        <v>15454</v>
      </c>
      <c r="C1166" t="s">
        <v>956</v>
      </c>
      <c r="D1166">
        <v>1.25</v>
      </c>
      <c r="E1166">
        <v>0</v>
      </c>
      <c r="F1166">
        <f t="shared" si="18"/>
        <v>1.25</v>
      </c>
      <c r="I1166">
        <v>20110301</v>
      </c>
      <c r="J1166" t="s">
        <v>1003</v>
      </c>
    </row>
    <row r="1167" spans="1:11" x14ac:dyDescent="0.3">
      <c r="A1167" s="160">
        <v>11146</v>
      </c>
      <c r="B1167" t="s">
        <v>16331</v>
      </c>
      <c r="C1167" t="s">
        <v>950</v>
      </c>
      <c r="D1167">
        <v>1.1499999999999999</v>
      </c>
      <c r="E1167">
        <v>0</v>
      </c>
      <c r="F1167">
        <f t="shared" si="18"/>
        <v>1.1499999999999999</v>
      </c>
      <c r="I1167">
        <v>20210101</v>
      </c>
      <c r="J1167" t="s">
        <v>951</v>
      </c>
    </row>
    <row r="1168" spans="1:11" x14ac:dyDescent="0.3">
      <c r="A1168" s="160">
        <v>11151</v>
      </c>
      <c r="B1168" t="s">
        <v>16332</v>
      </c>
      <c r="C1168" t="s">
        <v>950</v>
      </c>
      <c r="D1168">
        <v>1.1499999999999999</v>
      </c>
      <c r="E1168">
        <v>0</v>
      </c>
      <c r="F1168">
        <f t="shared" si="18"/>
        <v>1.1499999999999999</v>
      </c>
      <c r="I1168">
        <v>20210101</v>
      </c>
      <c r="J1168" t="s">
        <v>951</v>
      </c>
    </row>
    <row r="1169" spans="1:10" x14ac:dyDescent="0.3">
      <c r="A1169" s="160">
        <v>11164</v>
      </c>
      <c r="B1169" t="s">
        <v>16333</v>
      </c>
      <c r="C1169" t="s">
        <v>956</v>
      </c>
      <c r="D1169">
        <v>1.25</v>
      </c>
      <c r="E1169">
        <v>0</v>
      </c>
      <c r="F1169">
        <f t="shared" si="18"/>
        <v>1.25</v>
      </c>
      <c r="I1169">
        <v>20110301</v>
      </c>
      <c r="J1169" t="s">
        <v>957</v>
      </c>
    </row>
    <row r="1170" spans="1:10" x14ac:dyDescent="0.3">
      <c r="A1170" s="160">
        <v>11170</v>
      </c>
      <c r="B1170" t="s">
        <v>16334</v>
      </c>
      <c r="C1170" t="s">
        <v>956</v>
      </c>
      <c r="D1170">
        <v>1.25</v>
      </c>
      <c r="E1170">
        <v>0</v>
      </c>
      <c r="F1170">
        <f t="shared" si="18"/>
        <v>1.25</v>
      </c>
      <c r="I1170">
        <v>20110301</v>
      </c>
      <c r="J1170" t="s">
        <v>1004</v>
      </c>
    </row>
    <row r="1171" spans="1:10" x14ac:dyDescent="0.3">
      <c r="A1171" s="160">
        <v>11179</v>
      </c>
      <c r="B1171" t="s">
        <v>16335</v>
      </c>
      <c r="C1171" t="s">
        <v>950</v>
      </c>
      <c r="D1171">
        <v>1.1499999999999999</v>
      </c>
      <c r="E1171">
        <v>0</v>
      </c>
      <c r="F1171">
        <f t="shared" si="18"/>
        <v>1.1499999999999999</v>
      </c>
      <c r="I1171">
        <v>20240101</v>
      </c>
      <c r="J1171" t="s">
        <v>959</v>
      </c>
    </row>
    <row r="1172" spans="1:10" x14ac:dyDescent="0.3">
      <c r="A1172" s="160">
        <v>11188</v>
      </c>
      <c r="B1172" t="s">
        <v>16336</v>
      </c>
      <c r="C1172" t="s">
        <v>956</v>
      </c>
      <c r="D1172">
        <v>1.25</v>
      </c>
      <c r="E1172">
        <v>0</v>
      </c>
      <c r="F1172">
        <f t="shared" si="18"/>
        <v>1.25</v>
      </c>
      <c r="I1172">
        <v>20120101</v>
      </c>
      <c r="J1172" t="s">
        <v>1005</v>
      </c>
    </row>
    <row r="1173" spans="1:10" x14ac:dyDescent="0.3">
      <c r="A1173" s="160">
        <v>11190</v>
      </c>
      <c r="B1173" t="s">
        <v>16337</v>
      </c>
      <c r="C1173" t="s">
        <v>950</v>
      </c>
      <c r="D1173">
        <v>1.1499999999999999</v>
      </c>
      <c r="E1173">
        <v>0</v>
      </c>
      <c r="F1173">
        <f t="shared" si="18"/>
        <v>1.1499999999999999</v>
      </c>
      <c r="I1173">
        <v>20210101</v>
      </c>
      <c r="J1173" t="s">
        <v>960</v>
      </c>
    </row>
    <row r="1174" spans="1:10" x14ac:dyDescent="0.3">
      <c r="A1174" s="160">
        <v>11198</v>
      </c>
      <c r="B1174" t="s">
        <v>16338</v>
      </c>
      <c r="C1174" t="s">
        <v>950</v>
      </c>
      <c r="D1174">
        <v>1.1499999999999999</v>
      </c>
      <c r="E1174">
        <v>0</v>
      </c>
      <c r="F1174">
        <f t="shared" si="18"/>
        <v>1.1499999999999999</v>
      </c>
      <c r="I1174">
        <v>20210101</v>
      </c>
      <c r="J1174" t="s">
        <v>951</v>
      </c>
    </row>
    <row r="1175" spans="1:10" x14ac:dyDescent="0.3">
      <c r="A1175" s="160">
        <v>11199</v>
      </c>
      <c r="B1175" t="s">
        <v>16339</v>
      </c>
      <c r="C1175" t="s">
        <v>950</v>
      </c>
      <c r="D1175">
        <v>1.1499999999999999</v>
      </c>
      <c r="E1175">
        <v>0</v>
      </c>
      <c r="F1175">
        <f t="shared" si="18"/>
        <v>1.1499999999999999</v>
      </c>
      <c r="I1175">
        <v>20210101</v>
      </c>
      <c r="J1175" t="s">
        <v>952</v>
      </c>
    </row>
    <row r="1176" spans="1:10" x14ac:dyDescent="0.3">
      <c r="A1176" s="160">
        <v>11200</v>
      </c>
      <c r="B1176" t="s">
        <v>16340</v>
      </c>
      <c r="C1176" t="s">
        <v>950</v>
      </c>
      <c r="D1176">
        <v>1.1499999999999999</v>
      </c>
      <c r="E1176">
        <v>0</v>
      </c>
      <c r="F1176">
        <f t="shared" si="18"/>
        <v>1.1499999999999999</v>
      </c>
      <c r="I1176">
        <v>20210101</v>
      </c>
      <c r="J1176" t="s">
        <v>965</v>
      </c>
    </row>
    <row r="1177" spans="1:10" x14ac:dyDescent="0.3">
      <c r="A1177" s="160">
        <v>11201</v>
      </c>
      <c r="B1177" t="s">
        <v>16341</v>
      </c>
      <c r="C1177" t="s">
        <v>950</v>
      </c>
      <c r="D1177">
        <v>1.1499999999999999</v>
      </c>
      <c r="E1177">
        <v>0</v>
      </c>
      <c r="F1177">
        <f t="shared" si="18"/>
        <v>1.1499999999999999</v>
      </c>
      <c r="I1177">
        <v>20210101</v>
      </c>
      <c r="J1177" t="s">
        <v>1001</v>
      </c>
    </row>
    <row r="1178" spans="1:10" x14ac:dyDescent="0.3">
      <c r="A1178" s="160">
        <v>11202</v>
      </c>
      <c r="B1178" t="s">
        <v>16342</v>
      </c>
      <c r="C1178" t="s">
        <v>956</v>
      </c>
      <c r="D1178">
        <v>1.25</v>
      </c>
      <c r="E1178">
        <v>0</v>
      </c>
      <c r="F1178">
        <f t="shared" si="18"/>
        <v>1.25</v>
      </c>
      <c r="I1178">
        <v>20120101</v>
      </c>
      <c r="J1178" t="s">
        <v>1006</v>
      </c>
    </row>
    <row r="1179" spans="1:10" x14ac:dyDescent="0.3">
      <c r="A1179" s="160">
        <v>11205</v>
      </c>
      <c r="B1179" t="s">
        <v>16343</v>
      </c>
      <c r="C1179" t="s">
        <v>950</v>
      </c>
      <c r="D1179">
        <v>1.1499999999999999</v>
      </c>
      <c r="E1179">
        <v>0</v>
      </c>
      <c r="F1179">
        <f t="shared" si="18"/>
        <v>1.1499999999999999</v>
      </c>
      <c r="I1179">
        <v>20210101</v>
      </c>
      <c r="J1179" t="s">
        <v>955</v>
      </c>
    </row>
    <row r="1180" spans="1:10" x14ac:dyDescent="0.3">
      <c r="A1180" s="160">
        <v>11215</v>
      </c>
      <c r="B1180" t="s">
        <v>16344</v>
      </c>
      <c r="C1180" t="s">
        <v>950</v>
      </c>
      <c r="D1180">
        <v>1.1499999999999999</v>
      </c>
      <c r="E1180">
        <v>0</v>
      </c>
      <c r="F1180">
        <f t="shared" si="18"/>
        <v>1.1499999999999999</v>
      </c>
      <c r="I1180">
        <v>20210101</v>
      </c>
      <c r="J1180" t="s">
        <v>955</v>
      </c>
    </row>
    <row r="1181" spans="1:10" x14ac:dyDescent="0.3">
      <c r="A1181" s="160">
        <v>11217</v>
      </c>
      <c r="B1181" t="s">
        <v>16345</v>
      </c>
      <c r="C1181" t="s">
        <v>956</v>
      </c>
      <c r="D1181">
        <v>1.25</v>
      </c>
      <c r="E1181">
        <v>0</v>
      </c>
      <c r="F1181">
        <f t="shared" si="18"/>
        <v>1.25</v>
      </c>
      <c r="I1181">
        <v>20110301</v>
      </c>
      <c r="J1181" t="s">
        <v>957</v>
      </c>
    </row>
    <row r="1182" spans="1:10" x14ac:dyDescent="0.3">
      <c r="A1182" s="160">
        <v>11220</v>
      </c>
      <c r="B1182" t="s">
        <v>16346</v>
      </c>
      <c r="C1182" t="s">
        <v>950</v>
      </c>
      <c r="D1182">
        <v>1.1499999999999999</v>
      </c>
      <c r="E1182">
        <v>0</v>
      </c>
      <c r="F1182">
        <f t="shared" si="18"/>
        <v>1.1499999999999999</v>
      </c>
      <c r="I1182">
        <v>20210101</v>
      </c>
      <c r="J1182" t="s">
        <v>951</v>
      </c>
    </row>
    <row r="1183" spans="1:10" x14ac:dyDescent="0.3">
      <c r="A1183" s="160">
        <v>11223</v>
      </c>
      <c r="B1183" t="s">
        <v>16347</v>
      </c>
      <c r="C1183" t="s">
        <v>950</v>
      </c>
      <c r="D1183">
        <v>1.1499999999999999</v>
      </c>
      <c r="E1183">
        <v>0</v>
      </c>
      <c r="F1183">
        <f t="shared" si="18"/>
        <v>1.1499999999999999</v>
      </c>
      <c r="I1183">
        <v>20210101</v>
      </c>
      <c r="J1183" t="s">
        <v>999</v>
      </c>
    </row>
    <row r="1184" spans="1:10" x14ac:dyDescent="0.3">
      <c r="A1184" s="160">
        <v>11227</v>
      </c>
      <c r="B1184" t="s">
        <v>16348</v>
      </c>
      <c r="C1184" t="s">
        <v>950</v>
      </c>
      <c r="D1184">
        <v>1.1499999999999999</v>
      </c>
      <c r="E1184">
        <v>0</v>
      </c>
      <c r="F1184">
        <f t="shared" si="18"/>
        <v>1.1499999999999999</v>
      </c>
      <c r="I1184">
        <v>20240101</v>
      </c>
      <c r="J1184" t="s">
        <v>959</v>
      </c>
    </row>
    <row r="1185" spans="1:23" x14ac:dyDescent="0.3">
      <c r="A1185" s="160">
        <v>11233</v>
      </c>
      <c r="B1185" t="s">
        <v>16349</v>
      </c>
      <c r="C1185" t="s">
        <v>956</v>
      </c>
      <c r="D1185">
        <v>1.25</v>
      </c>
      <c r="E1185">
        <v>0</v>
      </c>
      <c r="F1185">
        <f t="shared" si="18"/>
        <v>1.25</v>
      </c>
      <c r="I1185">
        <v>20110301</v>
      </c>
      <c r="J1185" t="s">
        <v>957</v>
      </c>
    </row>
    <row r="1186" spans="1:23" x14ac:dyDescent="0.3">
      <c r="A1186" s="160">
        <v>11242</v>
      </c>
      <c r="B1186" t="s">
        <v>15803</v>
      </c>
      <c r="C1186" t="s">
        <v>950</v>
      </c>
      <c r="D1186">
        <v>1.1499999999999999</v>
      </c>
      <c r="E1186">
        <v>0</v>
      </c>
      <c r="F1186">
        <f t="shared" si="18"/>
        <v>1.1499999999999999</v>
      </c>
      <c r="I1186">
        <v>20210101</v>
      </c>
      <c r="J1186" t="s">
        <v>1001</v>
      </c>
      <c r="K1186" t="s">
        <v>1007</v>
      </c>
    </row>
    <row r="1187" spans="1:23" x14ac:dyDescent="0.3">
      <c r="A1187" s="160">
        <v>11248</v>
      </c>
      <c r="B1187" t="s">
        <v>16350</v>
      </c>
      <c r="C1187" t="s">
        <v>950</v>
      </c>
      <c r="D1187">
        <v>1.1499999999999999</v>
      </c>
      <c r="E1187">
        <v>0</v>
      </c>
      <c r="F1187">
        <f t="shared" si="18"/>
        <v>1.1499999999999999</v>
      </c>
      <c r="I1187">
        <v>20210101</v>
      </c>
      <c r="J1187" t="s">
        <v>951</v>
      </c>
    </row>
    <row r="1188" spans="1:23" x14ac:dyDescent="0.3">
      <c r="A1188" s="160">
        <v>11251</v>
      </c>
      <c r="B1188" t="s">
        <v>16351</v>
      </c>
      <c r="C1188" t="s">
        <v>950</v>
      </c>
      <c r="D1188">
        <v>1.1499999999999999</v>
      </c>
      <c r="E1188">
        <v>0</v>
      </c>
      <c r="F1188">
        <f t="shared" si="18"/>
        <v>1.1499999999999999</v>
      </c>
      <c r="I1188">
        <v>20240101</v>
      </c>
      <c r="J1188" t="s">
        <v>959</v>
      </c>
    </row>
    <row r="1189" spans="1:23" x14ac:dyDescent="0.3">
      <c r="A1189" s="160">
        <v>11253</v>
      </c>
      <c r="B1189" t="s">
        <v>16352</v>
      </c>
      <c r="C1189" t="s">
        <v>950</v>
      </c>
      <c r="D1189">
        <v>1.1499999999999999</v>
      </c>
      <c r="E1189">
        <v>0</v>
      </c>
      <c r="F1189">
        <f t="shared" si="18"/>
        <v>1.1499999999999999</v>
      </c>
      <c r="I1189">
        <v>20210101</v>
      </c>
      <c r="J1189" t="s">
        <v>954</v>
      </c>
    </row>
    <row r="1190" spans="1:23" x14ac:dyDescent="0.3">
      <c r="A1190" s="160">
        <v>11255</v>
      </c>
      <c r="B1190" t="s">
        <v>16353</v>
      </c>
      <c r="C1190" t="s">
        <v>956</v>
      </c>
      <c r="D1190">
        <v>1.25</v>
      </c>
      <c r="E1190">
        <v>0</v>
      </c>
      <c r="F1190">
        <f t="shared" si="18"/>
        <v>1.25</v>
      </c>
      <c r="I1190">
        <v>20110301</v>
      </c>
      <c r="J1190" t="s">
        <v>962</v>
      </c>
      <c r="K1190" t="s">
        <v>1008</v>
      </c>
      <c r="L1190" t="s">
        <v>1009</v>
      </c>
    </row>
    <row r="1191" spans="1:23" x14ac:dyDescent="0.3">
      <c r="A1191" s="160">
        <v>11257</v>
      </c>
      <c r="B1191" t="s">
        <v>16354</v>
      </c>
      <c r="C1191" t="s">
        <v>950</v>
      </c>
      <c r="D1191">
        <v>1.1499999999999999</v>
      </c>
      <c r="E1191">
        <v>0</v>
      </c>
      <c r="F1191">
        <f t="shared" si="18"/>
        <v>1.1499999999999999</v>
      </c>
      <c r="I1191">
        <v>20210101</v>
      </c>
      <c r="J1191" t="s">
        <v>951</v>
      </c>
    </row>
    <row r="1192" spans="1:23" x14ac:dyDescent="0.3">
      <c r="A1192" s="160">
        <v>11258</v>
      </c>
      <c r="B1192" t="s">
        <v>16355</v>
      </c>
      <c r="C1192" t="s">
        <v>956</v>
      </c>
      <c r="D1192">
        <v>1.25</v>
      </c>
      <c r="E1192">
        <v>0</v>
      </c>
      <c r="F1192">
        <f t="shared" si="18"/>
        <v>1.25</v>
      </c>
      <c r="I1192">
        <v>20110301</v>
      </c>
      <c r="J1192" t="s">
        <v>957</v>
      </c>
    </row>
    <row r="1193" spans="1:23" x14ac:dyDescent="0.3">
      <c r="A1193" s="160">
        <v>11259</v>
      </c>
      <c r="B1193" t="s">
        <v>16356</v>
      </c>
      <c r="C1193" t="s">
        <v>950</v>
      </c>
      <c r="D1193">
        <v>1.1499999999999999</v>
      </c>
      <c r="E1193">
        <v>0</v>
      </c>
      <c r="F1193">
        <f t="shared" si="18"/>
        <v>1.1499999999999999</v>
      </c>
      <c r="I1193">
        <v>20210101</v>
      </c>
      <c r="J1193" t="s">
        <v>954</v>
      </c>
    </row>
    <row r="1194" spans="1:23" x14ac:dyDescent="0.3">
      <c r="A1194" s="160">
        <v>11262</v>
      </c>
      <c r="B1194" t="s">
        <v>16357</v>
      </c>
      <c r="C1194" t="s">
        <v>956</v>
      </c>
      <c r="D1194">
        <v>1.25</v>
      </c>
      <c r="E1194">
        <v>0</v>
      </c>
      <c r="F1194">
        <f t="shared" si="18"/>
        <v>1.25</v>
      </c>
      <c r="I1194">
        <v>20110301</v>
      </c>
      <c r="J1194" t="s">
        <v>962</v>
      </c>
      <c r="K1194" t="s">
        <v>1010</v>
      </c>
      <c r="L1194" t="s">
        <v>1008</v>
      </c>
      <c r="M1194" t="s">
        <v>1011</v>
      </c>
      <c r="N1194" t="s">
        <v>1012</v>
      </c>
      <c r="O1194" t="s">
        <v>1013</v>
      </c>
      <c r="P1194" t="s">
        <v>1014</v>
      </c>
      <c r="Q1194" t="s">
        <v>1015</v>
      </c>
      <c r="R1194" t="s">
        <v>1016</v>
      </c>
      <c r="S1194" t="s">
        <v>1017</v>
      </c>
      <c r="T1194" t="s">
        <v>1018</v>
      </c>
      <c r="U1194" t="s">
        <v>1009</v>
      </c>
      <c r="V1194" t="s">
        <v>1019</v>
      </c>
      <c r="W1194" t="s">
        <v>1020</v>
      </c>
    </row>
    <row r="1195" spans="1:23" x14ac:dyDescent="0.3">
      <c r="A1195" s="160">
        <v>11264</v>
      </c>
      <c r="B1195" t="s">
        <v>16358</v>
      </c>
      <c r="C1195" t="s">
        <v>956</v>
      </c>
      <c r="D1195">
        <v>1.25</v>
      </c>
      <c r="E1195">
        <v>0</v>
      </c>
      <c r="F1195">
        <f t="shared" si="18"/>
        <v>1.25</v>
      </c>
      <c r="I1195">
        <v>20110301</v>
      </c>
      <c r="J1195" t="s">
        <v>964</v>
      </c>
    </row>
    <row r="1196" spans="1:23" x14ac:dyDescent="0.3">
      <c r="A1196" s="160">
        <v>11266</v>
      </c>
      <c r="B1196" t="s">
        <v>16359</v>
      </c>
      <c r="C1196" t="s">
        <v>956</v>
      </c>
      <c r="D1196">
        <v>1.25</v>
      </c>
      <c r="E1196">
        <v>0</v>
      </c>
      <c r="F1196">
        <f t="shared" si="18"/>
        <v>1.25</v>
      </c>
      <c r="I1196">
        <v>20110301</v>
      </c>
      <c r="J1196" t="s">
        <v>1021</v>
      </c>
    </row>
    <row r="1197" spans="1:23" x14ac:dyDescent="0.3">
      <c r="A1197" s="160">
        <v>11269</v>
      </c>
      <c r="B1197" t="s">
        <v>16360</v>
      </c>
      <c r="C1197" t="s">
        <v>956</v>
      </c>
      <c r="D1197">
        <v>1.25</v>
      </c>
      <c r="E1197">
        <v>0</v>
      </c>
      <c r="F1197">
        <f t="shared" si="18"/>
        <v>1.25</v>
      </c>
      <c r="I1197">
        <v>20110301</v>
      </c>
      <c r="J1197" t="s">
        <v>1002</v>
      </c>
    </row>
    <row r="1198" spans="1:23" x14ac:dyDescent="0.3">
      <c r="A1198" s="160">
        <v>11272</v>
      </c>
      <c r="B1198" t="s">
        <v>16361</v>
      </c>
      <c r="C1198" t="s">
        <v>950</v>
      </c>
      <c r="D1198">
        <v>1.1499999999999999</v>
      </c>
      <c r="E1198">
        <v>0</v>
      </c>
      <c r="F1198">
        <f t="shared" si="18"/>
        <v>1.1499999999999999</v>
      </c>
      <c r="I1198">
        <v>20210101</v>
      </c>
      <c r="J1198" t="s">
        <v>999</v>
      </c>
    </row>
    <row r="1199" spans="1:23" x14ac:dyDescent="0.3">
      <c r="A1199" s="160">
        <v>11279</v>
      </c>
      <c r="B1199" t="s">
        <v>16362</v>
      </c>
      <c r="C1199" t="s">
        <v>950</v>
      </c>
      <c r="D1199">
        <v>1.1499999999999999</v>
      </c>
      <c r="E1199">
        <v>0</v>
      </c>
      <c r="F1199">
        <f t="shared" si="18"/>
        <v>1.1499999999999999</v>
      </c>
      <c r="I1199">
        <v>20210101</v>
      </c>
      <c r="J1199" t="s">
        <v>1022</v>
      </c>
    </row>
    <row r="1200" spans="1:23" x14ac:dyDescent="0.3">
      <c r="A1200" s="160">
        <v>11280</v>
      </c>
      <c r="B1200" t="s">
        <v>16363</v>
      </c>
      <c r="C1200" t="s">
        <v>950</v>
      </c>
      <c r="D1200">
        <v>1.1499999999999999</v>
      </c>
      <c r="E1200">
        <v>0</v>
      </c>
      <c r="F1200">
        <f t="shared" si="18"/>
        <v>1.1499999999999999</v>
      </c>
      <c r="I1200">
        <v>20210101</v>
      </c>
      <c r="J1200" t="s">
        <v>960</v>
      </c>
    </row>
    <row r="1201" spans="1:11" x14ac:dyDescent="0.3">
      <c r="A1201" s="160">
        <v>11285</v>
      </c>
      <c r="B1201" t="s">
        <v>16364</v>
      </c>
      <c r="C1201" t="s">
        <v>956</v>
      </c>
      <c r="D1201">
        <v>1.25</v>
      </c>
      <c r="E1201">
        <v>0</v>
      </c>
      <c r="F1201">
        <f t="shared" si="18"/>
        <v>1.25</v>
      </c>
      <c r="I1201">
        <v>20110301</v>
      </c>
      <c r="J1201" t="s">
        <v>1023</v>
      </c>
    </row>
    <row r="1202" spans="1:11" x14ac:dyDescent="0.3">
      <c r="A1202" s="160">
        <v>11286</v>
      </c>
      <c r="B1202" t="s">
        <v>16365</v>
      </c>
      <c r="C1202" t="s">
        <v>950</v>
      </c>
      <c r="D1202">
        <v>1.1499999999999999</v>
      </c>
      <c r="E1202">
        <v>0</v>
      </c>
      <c r="F1202">
        <f t="shared" si="18"/>
        <v>1.1499999999999999</v>
      </c>
      <c r="I1202">
        <v>20210101</v>
      </c>
      <c r="J1202" t="s">
        <v>965</v>
      </c>
    </row>
    <row r="1203" spans="1:11" x14ac:dyDescent="0.3">
      <c r="A1203" s="160">
        <v>11288</v>
      </c>
      <c r="B1203" t="s">
        <v>16366</v>
      </c>
      <c r="C1203" t="s">
        <v>950</v>
      </c>
      <c r="D1203">
        <v>1.1499999999999999</v>
      </c>
      <c r="E1203">
        <v>0</v>
      </c>
      <c r="F1203">
        <f t="shared" si="18"/>
        <v>1.1499999999999999</v>
      </c>
      <c r="I1203">
        <v>20210101</v>
      </c>
      <c r="J1203" t="s">
        <v>954</v>
      </c>
    </row>
    <row r="1204" spans="1:11" x14ac:dyDescent="0.3">
      <c r="A1204" s="160">
        <v>11295</v>
      </c>
      <c r="B1204" t="s">
        <v>16367</v>
      </c>
      <c r="C1204" t="s">
        <v>956</v>
      </c>
      <c r="D1204">
        <v>1.25</v>
      </c>
      <c r="E1204">
        <v>0</v>
      </c>
      <c r="F1204">
        <f t="shared" si="18"/>
        <v>1.25</v>
      </c>
      <c r="I1204">
        <v>20120101</v>
      </c>
      <c r="J1204" t="s">
        <v>1024</v>
      </c>
    </row>
    <row r="1205" spans="1:11" x14ac:dyDescent="0.3">
      <c r="A1205" s="160">
        <v>11296</v>
      </c>
      <c r="B1205" t="s">
        <v>16368</v>
      </c>
      <c r="C1205" t="s">
        <v>956</v>
      </c>
      <c r="D1205">
        <v>1.25</v>
      </c>
      <c r="E1205">
        <v>0</v>
      </c>
      <c r="F1205">
        <f t="shared" si="18"/>
        <v>1.25</v>
      </c>
      <c r="I1205">
        <v>20110301</v>
      </c>
      <c r="J1205" t="s">
        <v>957</v>
      </c>
    </row>
    <row r="1206" spans="1:11" x14ac:dyDescent="0.3">
      <c r="A1206" s="160">
        <v>11298</v>
      </c>
      <c r="B1206" t="s">
        <v>16369</v>
      </c>
      <c r="C1206" t="s">
        <v>950</v>
      </c>
      <c r="D1206">
        <v>1.1499999999999999</v>
      </c>
      <c r="E1206">
        <v>0</v>
      </c>
      <c r="F1206">
        <f t="shared" si="18"/>
        <v>1.1499999999999999</v>
      </c>
      <c r="I1206">
        <v>20240101</v>
      </c>
      <c r="J1206" t="s">
        <v>959</v>
      </c>
    </row>
    <row r="1207" spans="1:11" x14ac:dyDescent="0.3">
      <c r="A1207" s="160">
        <v>11299</v>
      </c>
      <c r="B1207" t="s">
        <v>16370</v>
      </c>
      <c r="C1207" t="s">
        <v>950</v>
      </c>
      <c r="D1207">
        <v>1.1499999999999999</v>
      </c>
      <c r="E1207">
        <v>0</v>
      </c>
      <c r="F1207">
        <f t="shared" si="18"/>
        <v>1.1499999999999999</v>
      </c>
      <c r="I1207">
        <v>20210101</v>
      </c>
      <c r="J1207" t="s">
        <v>1001</v>
      </c>
    </row>
    <row r="1208" spans="1:11" x14ac:dyDescent="0.3">
      <c r="A1208" s="160">
        <v>11301</v>
      </c>
      <c r="B1208" t="s">
        <v>16371</v>
      </c>
      <c r="C1208" t="s">
        <v>950</v>
      </c>
      <c r="D1208">
        <v>1.1499999999999999</v>
      </c>
      <c r="E1208">
        <v>0</v>
      </c>
      <c r="F1208">
        <f t="shared" si="18"/>
        <v>1.1499999999999999</v>
      </c>
      <c r="I1208">
        <v>20210101</v>
      </c>
      <c r="J1208" t="s">
        <v>960</v>
      </c>
    </row>
    <row r="1209" spans="1:11" x14ac:dyDescent="0.3">
      <c r="A1209" s="160">
        <v>11307</v>
      </c>
      <c r="B1209" t="s">
        <v>16372</v>
      </c>
      <c r="C1209" t="s">
        <v>956</v>
      </c>
      <c r="D1209">
        <v>1.25</v>
      </c>
      <c r="E1209">
        <v>0</v>
      </c>
      <c r="F1209">
        <f t="shared" si="18"/>
        <v>1.25</v>
      </c>
      <c r="I1209">
        <v>20110301</v>
      </c>
      <c r="J1209" t="s">
        <v>964</v>
      </c>
    </row>
    <row r="1210" spans="1:11" x14ac:dyDescent="0.3">
      <c r="A1210" s="160">
        <v>11308</v>
      </c>
      <c r="B1210" t="s">
        <v>16373</v>
      </c>
      <c r="C1210" t="s">
        <v>950</v>
      </c>
      <c r="D1210">
        <v>1.1499999999999999</v>
      </c>
      <c r="E1210">
        <v>0</v>
      </c>
      <c r="F1210">
        <f t="shared" si="18"/>
        <v>1.1499999999999999</v>
      </c>
      <c r="I1210">
        <v>20210101</v>
      </c>
      <c r="J1210" t="s">
        <v>954</v>
      </c>
    </row>
    <row r="1211" spans="1:11" x14ac:dyDescent="0.3">
      <c r="A1211" s="160">
        <v>11314</v>
      </c>
      <c r="B1211" t="s">
        <v>16374</v>
      </c>
      <c r="C1211" t="s">
        <v>950</v>
      </c>
      <c r="D1211">
        <v>1.1499999999999999</v>
      </c>
      <c r="E1211">
        <v>0</v>
      </c>
      <c r="F1211">
        <f t="shared" si="18"/>
        <v>1.1499999999999999</v>
      </c>
      <c r="I1211">
        <v>20240101</v>
      </c>
      <c r="J1211" t="s">
        <v>959</v>
      </c>
    </row>
    <row r="1212" spans="1:11" x14ac:dyDescent="0.3">
      <c r="A1212" s="160">
        <v>11315</v>
      </c>
      <c r="B1212" t="s">
        <v>16375</v>
      </c>
      <c r="C1212" t="s">
        <v>950</v>
      </c>
      <c r="D1212">
        <v>1.1499999999999999</v>
      </c>
      <c r="E1212">
        <v>0</v>
      </c>
      <c r="F1212">
        <f t="shared" si="18"/>
        <v>1.1499999999999999</v>
      </c>
      <c r="I1212">
        <v>20210101</v>
      </c>
      <c r="J1212" t="s">
        <v>965</v>
      </c>
    </row>
    <row r="1213" spans="1:11" x14ac:dyDescent="0.3">
      <c r="A1213" s="160">
        <v>11322</v>
      </c>
      <c r="B1213" t="s">
        <v>16376</v>
      </c>
      <c r="C1213" t="s">
        <v>956</v>
      </c>
      <c r="D1213">
        <v>1.25</v>
      </c>
      <c r="E1213">
        <v>0</v>
      </c>
      <c r="F1213">
        <f t="shared" si="18"/>
        <v>1.25</v>
      </c>
      <c r="I1213">
        <v>20120101</v>
      </c>
      <c r="J1213" t="s">
        <v>1025</v>
      </c>
    </row>
    <row r="1214" spans="1:11" x14ac:dyDescent="0.3">
      <c r="A1214" s="160">
        <v>11325</v>
      </c>
      <c r="B1214" t="s">
        <v>16377</v>
      </c>
      <c r="C1214" t="s">
        <v>950</v>
      </c>
      <c r="D1214">
        <v>1.1499999999999999</v>
      </c>
      <c r="E1214">
        <v>0</v>
      </c>
      <c r="F1214">
        <f t="shared" si="18"/>
        <v>1.1499999999999999</v>
      </c>
      <c r="I1214">
        <v>20210101</v>
      </c>
      <c r="J1214" t="s">
        <v>1001</v>
      </c>
    </row>
    <row r="1215" spans="1:11" x14ac:dyDescent="0.3">
      <c r="A1215" s="160">
        <v>11327</v>
      </c>
      <c r="B1215" t="s">
        <v>16378</v>
      </c>
      <c r="C1215" t="s">
        <v>950</v>
      </c>
      <c r="D1215">
        <v>1.1499999999999999</v>
      </c>
      <c r="E1215">
        <v>0</v>
      </c>
      <c r="F1215">
        <f t="shared" si="18"/>
        <v>1.1499999999999999</v>
      </c>
      <c r="I1215">
        <v>20210101</v>
      </c>
      <c r="J1215" t="s">
        <v>952</v>
      </c>
      <c r="K1215" t="s">
        <v>991</v>
      </c>
    </row>
    <row r="1216" spans="1:11" x14ac:dyDescent="0.3">
      <c r="A1216" s="160">
        <v>11330</v>
      </c>
      <c r="B1216" t="s">
        <v>16379</v>
      </c>
      <c r="C1216" t="s">
        <v>950</v>
      </c>
      <c r="D1216">
        <v>1.1499999999999999</v>
      </c>
      <c r="E1216">
        <v>0</v>
      </c>
      <c r="F1216">
        <f t="shared" si="18"/>
        <v>1.1499999999999999</v>
      </c>
      <c r="I1216">
        <v>20210101</v>
      </c>
      <c r="J1216" t="s">
        <v>951</v>
      </c>
    </row>
    <row r="1217" spans="1:12" x14ac:dyDescent="0.3">
      <c r="A1217" s="160">
        <v>11340</v>
      </c>
      <c r="B1217" t="s">
        <v>16380</v>
      </c>
      <c r="C1217" t="s">
        <v>950</v>
      </c>
      <c r="D1217">
        <v>1.1499999999999999</v>
      </c>
      <c r="E1217">
        <v>0</v>
      </c>
      <c r="F1217">
        <f t="shared" si="18"/>
        <v>1.1499999999999999</v>
      </c>
      <c r="I1217">
        <v>20210101</v>
      </c>
      <c r="J1217" t="s">
        <v>954</v>
      </c>
    </row>
    <row r="1218" spans="1:12" x14ac:dyDescent="0.3">
      <c r="A1218" s="160">
        <v>11342</v>
      </c>
      <c r="B1218" t="s">
        <v>16381</v>
      </c>
      <c r="C1218" t="s">
        <v>950</v>
      </c>
      <c r="D1218">
        <v>1.1499999999999999</v>
      </c>
      <c r="E1218">
        <v>0</v>
      </c>
      <c r="F1218">
        <f t="shared" si="18"/>
        <v>1.1499999999999999</v>
      </c>
      <c r="I1218">
        <v>20210101</v>
      </c>
      <c r="J1218" t="s">
        <v>951</v>
      </c>
    </row>
    <row r="1219" spans="1:12" x14ac:dyDescent="0.3">
      <c r="A1219" s="160">
        <v>11353</v>
      </c>
      <c r="B1219" t="s">
        <v>16382</v>
      </c>
      <c r="C1219" t="s">
        <v>956</v>
      </c>
      <c r="D1219">
        <v>1.25</v>
      </c>
      <c r="E1219">
        <v>0</v>
      </c>
      <c r="F1219">
        <f t="shared" si="18"/>
        <v>1.25</v>
      </c>
      <c r="I1219">
        <v>20110301</v>
      </c>
      <c r="J1219" t="s">
        <v>957</v>
      </c>
    </row>
    <row r="1220" spans="1:12" x14ac:dyDescent="0.3">
      <c r="A1220" s="160">
        <v>11357</v>
      </c>
      <c r="B1220" t="s">
        <v>16383</v>
      </c>
      <c r="C1220" t="s">
        <v>950</v>
      </c>
      <c r="D1220">
        <v>1.1499999999999999</v>
      </c>
      <c r="E1220">
        <v>0</v>
      </c>
      <c r="F1220">
        <f t="shared" si="18"/>
        <v>1.1499999999999999</v>
      </c>
      <c r="I1220">
        <v>20210101</v>
      </c>
      <c r="J1220" t="s">
        <v>954</v>
      </c>
    </row>
    <row r="1221" spans="1:12" x14ac:dyDescent="0.3">
      <c r="A1221" s="160">
        <v>11360</v>
      </c>
      <c r="B1221" t="s">
        <v>16384</v>
      </c>
      <c r="C1221" t="s">
        <v>956</v>
      </c>
      <c r="D1221">
        <v>1.25</v>
      </c>
      <c r="E1221">
        <v>0</v>
      </c>
      <c r="F1221">
        <f t="shared" si="18"/>
        <v>1.25</v>
      </c>
      <c r="I1221">
        <v>20110301</v>
      </c>
      <c r="J1221" t="s">
        <v>957</v>
      </c>
    </row>
    <row r="1222" spans="1:12" x14ac:dyDescent="0.3">
      <c r="A1222" s="160">
        <v>11366</v>
      </c>
      <c r="B1222" t="s">
        <v>16385</v>
      </c>
      <c r="C1222" t="s">
        <v>956</v>
      </c>
      <c r="D1222">
        <v>1.25</v>
      </c>
      <c r="E1222">
        <v>0</v>
      </c>
      <c r="F1222">
        <f t="shared" si="18"/>
        <v>1.25</v>
      </c>
      <c r="I1222">
        <v>20110301</v>
      </c>
      <c r="J1222" t="s">
        <v>957</v>
      </c>
    </row>
    <row r="1223" spans="1:12" x14ac:dyDescent="0.3">
      <c r="A1223" s="160">
        <v>11368</v>
      </c>
      <c r="B1223" t="s">
        <v>16386</v>
      </c>
      <c r="C1223" t="s">
        <v>950</v>
      </c>
      <c r="D1223">
        <v>1.1499999999999999</v>
      </c>
      <c r="E1223">
        <v>0</v>
      </c>
      <c r="F1223">
        <f t="shared" ref="F1223:F1286" si="19">D1223+E1223</f>
        <v>1.1499999999999999</v>
      </c>
      <c r="I1223">
        <v>20210101</v>
      </c>
      <c r="J1223" t="s">
        <v>955</v>
      </c>
    </row>
    <row r="1224" spans="1:12" x14ac:dyDescent="0.3">
      <c r="A1224" s="160">
        <v>11369</v>
      </c>
      <c r="B1224" t="s">
        <v>16387</v>
      </c>
      <c r="C1224" t="s">
        <v>956</v>
      </c>
      <c r="D1224">
        <v>1.25</v>
      </c>
      <c r="E1224">
        <v>0</v>
      </c>
      <c r="F1224">
        <f t="shared" si="19"/>
        <v>1.25</v>
      </c>
      <c r="I1224">
        <v>20110301</v>
      </c>
      <c r="J1224" t="s">
        <v>1002</v>
      </c>
    </row>
    <row r="1225" spans="1:12" x14ac:dyDescent="0.3">
      <c r="A1225" s="160">
        <v>11370</v>
      </c>
      <c r="B1225" t="s">
        <v>16388</v>
      </c>
      <c r="C1225" t="s">
        <v>956</v>
      </c>
      <c r="D1225">
        <v>1.25</v>
      </c>
      <c r="E1225">
        <v>0</v>
      </c>
      <c r="F1225">
        <f t="shared" si="19"/>
        <v>1.25</v>
      </c>
      <c r="I1225">
        <v>20110301</v>
      </c>
      <c r="J1225" t="s">
        <v>958</v>
      </c>
    </row>
    <row r="1226" spans="1:12" x14ac:dyDescent="0.3">
      <c r="A1226" s="160">
        <v>11378</v>
      </c>
      <c r="B1226" t="s">
        <v>16389</v>
      </c>
      <c r="C1226" t="s">
        <v>950</v>
      </c>
      <c r="D1226">
        <v>1.1499999999999999</v>
      </c>
      <c r="E1226">
        <v>0</v>
      </c>
      <c r="F1226">
        <f t="shared" si="19"/>
        <v>1.1499999999999999</v>
      </c>
      <c r="I1226">
        <v>20240101</v>
      </c>
      <c r="J1226" t="s">
        <v>959</v>
      </c>
    </row>
    <row r="1227" spans="1:12" x14ac:dyDescent="0.3">
      <c r="A1227" s="160">
        <v>11379</v>
      </c>
      <c r="B1227" t="s">
        <v>16390</v>
      </c>
      <c r="C1227" t="s">
        <v>956</v>
      </c>
      <c r="D1227">
        <v>1.25</v>
      </c>
      <c r="E1227">
        <v>0</v>
      </c>
      <c r="F1227">
        <f t="shared" si="19"/>
        <v>1.25</v>
      </c>
      <c r="I1227">
        <v>20120101</v>
      </c>
      <c r="J1227" t="s">
        <v>1026</v>
      </c>
    </row>
    <row r="1228" spans="1:12" x14ac:dyDescent="0.3">
      <c r="A1228" s="160">
        <v>11387</v>
      </c>
      <c r="B1228" t="s">
        <v>16391</v>
      </c>
      <c r="C1228" t="s">
        <v>950</v>
      </c>
      <c r="D1228">
        <v>1.1499999999999999</v>
      </c>
      <c r="E1228">
        <v>0</v>
      </c>
      <c r="F1228">
        <f t="shared" si="19"/>
        <v>1.1499999999999999</v>
      </c>
      <c r="I1228">
        <v>20240101</v>
      </c>
      <c r="J1228" t="s">
        <v>959</v>
      </c>
    </row>
    <row r="1229" spans="1:12" x14ac:dyDescent="0.3">
      <c r="A1229" s="160">
        <v>11396</v>
      </c>
      <c r="B1229" t="s">
        <v>16392</v>
      </c>
      <c r="C1229" t="s">
        <v>950</v>
      </c>
      <c r="D1229">
        <v>1.1499999999999999</v>
      </c>
      <c r="E1229">
        <v>0</v>
      </c>
      <c r="F1229">
        <f t="shared" si="19"/>
        <v>1.1499999999999999</v>
      </c>
      <c r="I1229">
        <v>20210101</v>
      </c>
      <c r="J1229" t="s">
        <v>965</v>
      </c>
    </row>
    <row r="1230" spans="1:12" x14ac:dyDescent="0.3">
      <c r="A1230" s="160">
        <v>11397</v>
      </c>
      <c r="B1230" t="s">
        <v>16393</v>
      </c>
      <c r="C1230" t="s">
        <v>950</v>
      </c>
      <c r="D1230">
        <v>1.1499999999999999</v>
      </c>
      <c r="E1230">
        <v>0</v>
      </c>
      <c r="F1230">
        <f t="shared" si="19"/>
        <v>1.1499999999999999</v>
      </c>
      <c r="I1230">
        <v>20210101</v>
      </c>
      <c r="J1230" t="s">
        <v>951</v>
      </c>
      <c r="K1230" t="s">
        <v>1027</v>
      </c>
      <c r="L1230" t="s">
        <v>961</v>
      </c>
    </row>
    <row r="1231" spans="1:12" x14ac:dyDescent="0.3">
      <c r="A1231" s="160">
        <v>11398</v>
      </c>
      <c r="B1231" t="s">
        <v>16394</v>
      </c>
      <c r="C1231" t="s">
        <v>956</v>
      </c>
      <c r="D1231">
        <v>1.25</v>
      </c>
      <c r="E1231">
        <v>0</v>
      </c>
      <c r="F1231">
        <f t="shared" si="19"/>
        <v>1.25</v>
      </c>
      <c r="I1231">
        <v>20120101</v>
      </c>
      <c r="J1231" t="s">
        <v>1000</v>
      </c>
    </row>
    <row r="1232" spans="1:12" x14ac:dyDescent="0.3">
      <c r="A1232" s="160">
        <v>11404</v>
      </c>
      <c r="B1232" t="s">
        <v>16395</v>
      </c>
      <c r="C1232" t="s">
        <v>950</v>
      </c>
      <c r="D1232">
        <v>1.1499999999999999</v>
      </c>
      <c r="E1232">
        <v>0</v>
      </c>
      <c r="F1232">
        <f t="shared" si="19"/>
        <v>1.1499999999999999</v>
      </c>
      <c r="I1232">
        <v>20210101</v>
      </c>
      <c r="J1232" t="s">
        <v>1022</v>
      </c>
    </row>
    <row r="1233" spans="1:10" x14ac:dyDescent="0.3">
      <c r="A1233" s="160">
        <v>11405</v>
      </c>
      <c r="B1233" t="s">
        <v>16396</v>
      </c>
      <c r="C1233" t="s">
        <v>956</v>
      </c>
      <c r="D1233">
        <v>1.25</v>
      </c>
      <c r="E1233">
        <v>0</v>
      </c>
      <c r="F1233">
        <f t="shared" si="19"/>
        <v>1.25</v>
      </c>
      <c r="I1233">
        <v>20110301</v>
      </c>
      <c r="J1233" t="s">
        <v>957</v>
      </c>
    </row>
    <row r="1234" spans="1:10" x14ac:dyDescent="0.3">
      <c r="A1234" s="160">
        <v>11408</v>
      </c>
      <c r="B1234" t="s">
        <v>16397</v>
      </c>
      <c r="C1234" t="s">
        <v>950</v>
      </c>
      <c r="D1234">
        <v>1.1499999999999999</v>
      </c>
      <c r="E1234">
        <v>0</v>
      </c>
      <c r="F1234">
        <f t="shared" si="19"/>
        <v>1.1499999999999999</v>
      </c>
      <c r="I1234">
        <v>20240101</v>
      </c>
      <c r="J1234" t="s">
        <v>1001</v>
      </c>
    </row>
    <row r="1235" spans="1:10" x14ac:dyDescent="0.3">
      <c r="A1235" s="160">
        <v>11410</v>
      </c>
      <c r="B1235" t="s">
        <v>16398</v>
      </c>
      <c r="C1235" t="s">
        <v>950</v>
      </c>
      <c r="D1235">
        <v>1.1499999999999999</v>
      </c>
      <c r="E1235">
        <v>0</v>
      </c>
      <c r="F1235">
        <f t="shared" si="19"/>
        <v>1.1499999999999999</v>
      </c>
      <c r="I1235">
        <v>20210101</v>
      </c>
      <c r="J1235" t="s">
        <v>955</v>
      </c>
    </row>
    <row r="1236" spans="1:10" x14ac:dyDescent="0.3">
      <c r="A1236" s="160">
        <v>11414</v>
      </c>
      <c r="B1236" t="s">
        <v>16399</v>
      </c>
      <c r="C1236" t="s">
        <v>950</v>
      </c>
      <c r="D1236">
        <v>1.1499999999999999</v>
      </c>
      <c r="E1236">
        <v>0</v>
      </c>
      <c r="F1236">
        <f t="shared" si="19"/>
        <v>1.1499999999999999</v>
      </c>
      <c r="I1236">
        <v>20240101</v>
      </c>
      <c r="J1236" t="s">
        <v>959</v>
      </c>
    </row>
    <row r="1237" spans="1:10" x14ac:dyDescent="0.3">
      <c r="A1237" s="160">
        <v>11416</v>
      </c>
      <c r="B1237" t="s">
        <v>16400</v>
      </c>
      <c r="C1237" t="s">
        <v>950</v>
      </c>
      <c r="D1237">
        <v>1.1499999999999999</v>
      </c>
      <c r="E1237">
        <v>0</v>
      </c>
      <c r="F1237">
        <f t="shared" si="19"/>
        <v>1.1499999999999999</v>
      </c>
      <c r="I1237">
        <v>20210101</v>
      </c>
      <c r="J1237" t="s">
        <v>955</v>
      </c>
    </row>
    <row r="1238" spans="1:10" x14ac:dyDescent="0.3">
      <c r="A1238" s="160">
        <v>11421</v>
      </c>
      <c r="B1238" t="s">
        <v>16401</v>
      </c>
      <c r="C1238" t="s">
        <v>956</v>
      </c>
      <c r="D1238">
        <v>1.25</v>
      </c>
      <c r="E1238">
        <v>0</v>
      </c>
      <c r="F1238">
        <f t="shared" si="19"/>
        <v>1.25</v>
      </c>
      <c r="I1238">
        <v>20110301</v>
      </c>
      <c r="J1238" t="s">
        <v>964</v>
      </c>
    </row>
    <row r="1239" spans="1:10" x14ac:dyDescent="0.3">
      <c r="A1239" s="160">
        <v>11422</v>
      </c>
      <c r="B1239" t="s">
        <v>16402</v>
      </c>
      <c r="C1239" t="s">
        <v>950</v>
      </c>
      <c r="D1239">
        <v>1.1499999999999999</v>
      </c>
      <c r="E1239">
        <v>0</v>
      </c>
      <c r="F1239">
        <f t="shared" si="19"/>
        <v>1.1499999999999999</v>
      </c>
      <c r="I1239">
        <v>20210101</v>
      </c>
      <c r="J1239" t="s">
        <v>951</v>
      </c>
    </row>
    <row r="1240" spans="1:10" x14ac:dyDescent="0.3">
      <c r="A1240" s="160">
        <v>11423</v>
      </c>
      <c r="B1240" t="s">
        <v>16403</v>
      </c>
      <c r="C1240" t="s">
        <v>950</v>
      </c>
      <c r="D1240">
        <v>1.1499999999999999</v>
      </c>
      <c r="E1240">
        <v>0</v>
      </c>
      <c r="F1240">
        <f t="shared" si="19"/>
        <v>1.1499999999999999</v>
      </c>
      <c r="I1240">
        <v>20240101</v>
      </c>
      <c r="J1240" t="s">
        <v>999</v>
      </c>
    </row>
    <row r="1241" spans="1:10" x14ac:dyDescent="0.3">
      <c r="A1241" s="160">
        <v>11425</v>
      </c>
      <c r="B1241" t="s">
        <v>16404</v>
      </c>
      <c r="C1241" t="s">
        <v>950</v>
      </c>
      <c r="D1241">
        <v>1.1499999999999999</v>
      </c>
      <c r="E1241">
        <v>0</v>
      </c>
      <c r="F1241">
        <f t="shared" si="19"/>
        <v>1.1499999999999999</v>
      </c>
      <c r="I1241">
        <v>20210101</v>
      </c>
      <c r="J1241" t="s">
        <v>955</v>
      </c>
    </row>
    <row r="1242" spans="1:10" x14ac:dyDescent="0.3">
      <c r="A1242" s="160">
        <v>11426</v>
      </c>
      <c r="B1242" t="s">
        <v>16405</v>
      </c>
      <c r="C1242" t="s">
        <v>950</v>
      </c>
      <c r="D1242">
        <v>1.1499999999999999</v>
      </c>
      <c r="E1242">
        <v>0</v>
      </c>
      <c r="F1242">
        <f t="shared" si="19"/>
        <v>1.1499999999999999</v>
      </c>
      <c r="I1242">
        <v>20210101</v>
      </c>
      <c r="J1242" t="s">
        <v>955</v>
      </c>
    </row>
    <row r="1243" spans="1:10" x14ac:dyDescent="0.3">
      <c r="A1243" s="160">
        <v>11429</v>
      </c>
      <c r="B1243" t="s">
        <v>16406</v>
      </c>
      <c r="C1243" t="s">
        <v>950</v>
      </c>
      <c r="D1243">
        <v>1.1499999999999999</v>
      </c>
      <c r="E1243">
        <v>0</v>
      </c>
      <c r="F1243">
        <f t="shared" si="19"/>
        <v>1.1499999999999999</v>
      </c>
      <c r="I1243">
        <v>20210101</v>
      </c>
      <c r="J1243" t="s">
        <v>1028</v>
      </c>
    </row>
    <row r="1244" spans="1:10" x14ac:dyDescent="0.3">
      <c r="A1244" s="160">
        <v>11433</v>
      </c>
      <c r="B1244" t="s">
        <v>16407</v>
      </c>
      <c r="C1244" t="s">
        <v>950</v>
      </c>
      <c r="D1244">
        <v>1.1499999999999999</v>
      </c>
      <c r="E1244">
        <v>0</v>
      </c>
      <c r="F1244">
        <f t="shared" si="19"/>
        <v>1.1499999999999999</v>
      </c>
      <c r="I1244">
        <v>20210101</v>
      </c>
      <c r="J1244" t="s">
        <v>965</v>
      </c>
    </row>
    <row r="1245" spans="1:10" x14ac:dyDescent="0.3">
      <c r="A1245" s="160">
        <v>11437</v>
      </c>
      <c r="B1245" t="s">
        <v>16408</v>
      </c>
      <c r="C1245" t="s">
        <v>950</v>
      </c>
      <c r="D1245">
        <v>1.1499999999999999</v>
      </c>
      <c r="E1245">
        <v>0</v>
      </c>
      <c r="F1245">
        <f t="shared" si="19"/>
        <v>1.1499999999999999</v>
      </c>
      <c r="I1245">
        <v>20210101</v>
      </c>
      <c r="J1245" t="s">
        <v>954</v>
      </c>
    </row>
    <row r="1246" spans="1:10" x14ac:dyDescent="0.3">
      <c r="A1246" s="160">
        <v>11440</v>
      </c>
      <c r="B1246" t="s">
        <v>16409</v>
      </c>
      <c r="C1246" t="s">
        <v>950</v>
      </c>
      <c r="D1246">
        <v>1.1499999999999999</v>
      </c>
      <c r="E1246">
        <v>0</v>
      </c>
      <c r="F1246">
        <f t="shared" si="19"/>
        <v>1.1499999999999999</v>
      </c>
      <c r="I1246">
        <v>20240101</v>
      </c>
      <c r="J1246" t="s">
        <v>959</v>
      </c>
    </row>
    <row r="1247" spans="1:10" x14ac:dyDescent="0.3">
      <c r="A1247" s="160">
        <v>11441</v>
      </c>
      <c r="B1247" t="s">
        <v>16410</v>
      </c>
      <c r="C1247" t="s">
        <v>956</v>
      </c>
      <c r="D1247">
        <v>1.25</v>
      </c>
      <c r="E1247">
        <v>0</v>
      </c>
      <c r="F1247">
        <f t="shared" si="19"/>
        <v>1.25</v>
      </c>
      <c r="I1247">
        <v>20110301</v>
      </c>
      <c r="J1247" t="s">
        <v>958</v>
      </c>
    </row>
    <row r="1248" spans="1:10" x14ac:dyDescent="0.3">
      <c r="A1248" s="160">
        <v>12004</v>
      </c>
      <c r="B1248" t="s">
        <v>16411</v>
      </c>
      <c r="C1248" t="s">
        <v>1029</v>
      </c>
      <c r="D1248">
        <v>0.7</v>
      </c>
      <c r="E1248">
        <v>0</v>
      </c>
      <c r="F1248">
        <f t="shared" si="19"/>
        <v>0.7</v>
      </c>
      <c r="I1248">
        <v>20220701</v>
      </c>
      <c r="J1248" t="s">
        <v>1030</v>
      </c>
    </row>
    <row r="1249" spans="1:74" x14ac:dyDescent="0.3">
      <c r="A1249" s="160">
        <v>12013</v>
      </c>
      <c r="B1249" t="s">
        <v>16412</v>
      </c>
      <c r="C1249" t="s">
        <v>1029</v>
      </c>
      <c r="D1249">
        <v>0.7</v>
      </c>
      <c r="E1249">
        <v>0</v>
      </c>
      <c r="F1249">
        <f t="shared" si="19"/>
        <v>0.7</v>
      </c>
      <c r="I1249">
        <v>20220701</v>
      </c>
      <c r="J1249" t="s">
        <v>1031</v>
      </c>
    </row>
    <row r="1250" spans="1:74" x14ac:dyDescent="0.3">
      <c r="A1250" s="160">
        <v>12028</v>
      </c>
      <c r="B1250" t="s">
        <v>16413</v>
      </c>
      <c r="C1250" t="s">
        <v>1029</v>
      </c>
      <c r="D1250">
        <v>0.7</v>
      </c>
      <c r="E1250">
        <v>0</v>
      </c>
      <c r="F1250">
        <f t="shared" si="19"/>
        <v>0.7</v>
      </c>
      <c r="I1250">
        <v>20220701</v>
      </c>
      <c r="J1250" t="s">
        <v>1030</v>
      </c>
    </row>
    <row r="1251" spans="1:74" x14ac:dyDescent="0.3">
      <c r="A1251" s="160">
        <v>12030</v>
      </c>
      <c r="B1251" t="s">
        <v>16414</v>
      </c>
      <c r="C1251" t="s">
        <v>1029</v>
      </c>
      <c r="D1251">
        <v>0.7</v>
      </c>
      <c r="E1251">
        <v>0</v>
      </c>
      <c r="F1251">
        <f t="shared" si="19"/>
        <v>0.7</v>
      </c>
      <c r="I1251">
        <v>20220701</v>
      </c>
      <c r="J1251" t="s">
        <v>1030</v>
      </c>
    </row>
    <row r="1252" spans="1:74" x14ac:dyDescent="0.3">
      <c r="A1252" s="160">
        <v>12045</v>
      </c>
      <c r="B1252" t="s">
        <v>16415</v>
      </c>
      <c r="C1252" t="s">
        <v>1032</v>
      </c>
      <c r="D1252">
        <v>0</v>
      </c>
      <c r="E1252">
        <v>0</v>
      </c>
      <c r="F1252">
        <f t="shared" si="19"/>
        <v>0</v>
      </c>
      <c r="I1252">
        <v>20160101</v>
      </c>
      <c r="J1252" t="s">
        <v>1033</v>
      </c>
    </row>
    <row r="1253" spans="1:74" x14ac:dyDescent="0.3">
      <c r="A1253" s="160">
        <v>12056</v>
      </c>
      <c r="B1253" t="s">
        <v>16416</v>
      </c>
      <c r="C1253" t="s">
        <v>1032</v>
      </c>
      <c r="D1253">
        <v>0</v>
      </c>
      <c r="E1253">
        <v>0</v>
      </c>
      <c r="F1253">
        <f t="shared" si="19"/>
        <v>0</v>
      </c>
      <c r="I1253">
        <v>20160101</v>
      </c>
      <c r="J1253" t="s">
        <v>1033</v>
      </c>
    </row>
    <row r="1254" spans="1:74" x14ac:dyDescent="0.3">
      <c r="A1254" s="160">
        <v>12083</v>
      </c>
      <c r="B1254" t="s">
        <v>16417</v>
      </c>
      <c r="C1254" t="s">
        <v>1029</v>
      </c>
      <c r="D1254">
        <v>0.7</v>
      </c>
      <c r="E1254">
        <v>0</v>
      </c>
      <c r="F1254">
        <f t="shared" si="19"/>
        <v>0.7</v>
      </c>
      <c r="I1254">
        <v>20220701</v>
      </c>
      <c r="J1254" t="s">
        <v>1031</v>
      </c>
    </row>
    <row r="1255" spans="1:74" x14ac:dyDescent="0.3">
      <c r="A1255" s="160">
        <v>12084</v>
      </c>
      <c r="B1255" t="s">
        <v>16418</v>
      </c>
      <c r="C1255" t="s">
        <v>1034</v>
      </c>
      <c r="D1255">
        <v>0.55000000000000004</v>
      </c>
      <c r="E1255">
        <v>0</v>
      </c>
      <c r="F1255">
        <f t="shared" si="19"/>
        <v>0.55000000000000004</v>
      </c>
      <c r="I1255">
        <v>20010901</v>
      </c>
      <c r="J1255" t="s">
        <v>1035</v>
      </c>
      <c r="K1255" t="s">
        <v>1036</v>
      </c>
      <c r="L1255" t="s">
        <v>1037</v>
      </c>
      <c r="M1255" t="s">
        <v>1038</v>
      </c>
    </row>
    <row r="1256" spans="1:74" x14ac:dyDescent="0.3">
      <c r="A1256" s="160">
        <v>12089</v>
      </c>
      <c r="B1256" t="s">
        <v>16419</v>
      </c>
      <c r="C1256" t="s">
        <v>1029</v>
      </c>
      <c r="D1256">
        <v>0.7</v>
      </c>
      <c r="E1256">
        <v>0</v>
      </c>
      <c r="F1256">
        <f t="shared" si="19"/>
        <v>0.7</v>
      </c>
      <c r="I1256">
        <v>20220701</v>
      </c>
      <c r="J1256" t="s">
        <v>1030</v>
      </c>
    </row>
    <row r="1257" spans="1:74" x14ac:dyDescent="0.3">
      <c r="A1257" s="160">
        <v>12090</v>
      </c>
      <c r="B1257" t="s">
        <v>16420</v>
      </c>
      <c r="C1257" t="s">
        <v>1032</v>
      </c>
      <c r="D1257">
        <v>0.8</v>
      </c>
      <c r="E1257">
        <v>0</v>
      </c>
      <c r="F1257">
        <f t="shared" si="19"/>
        <v>0.8</v>
      </c>
      <c r="I1257">
        <v>20240101</v>
      </c>
      <c r="J1257" t="s">
        <v>1039</v>
      </c>
      <c r="K1257" t="s">
        <v>1040</v>
      </c>
      <c r="L1257" t="s">
        <v>1041</v>
      </c>
      <c r="M1257" t="s">
        <v>1042</v>
      </c>
      <c r="N1257" t="s">
        <v>1043</v>
      </c>
    </row>
    <row r="1258" spans="1:74" x14ac:dyDescent="0.3">
      <c r="A1258" s="160">
        <v>12100</v>
      </c>
      <c r="B1258" t="s">
        <v>16421</v>
      </c>
      <c r="C1258" t="s">
        <v>1029</v>
      </c>
      <c r="D1258">
        <v>0.7</v>
      </c>
      <c r="E1258">
        <v>0</v>
      </c>
      <c r="F1258">
        <f t="shared" si="19"/>
        <v>0.7</v>
      </c>
      <c r="I1258">
        <v>20220701</v>
      </c>
      <c r="J1258" t="s">
        <v>1030</v>
      </c>
    </row>
    <row r="1259" spans="1:74" x14ac:dyDescent="0.3">
      <c r="A1259" s="160">
        <v>12101</v>
      </c>
      <c r="B1259" t="s">
        <v>16422</v>
      </c>
      <c r="C1259" t="s">
        <v>1029</v>
      </c>
      <c r="D1259">
        <v>0.7</v>
      </c>
      <c r="E1259">
        <v>0</v>
      </c>
      <c r="F1259">
        <f t="shared" si="19"/>
        <v>0.7</v>
      </c>
      <c r="I1259">
        <v>20220701</v>
      </c>
      <c r="J1259" t="s">
        <v>1030</v>
      </c>
      <c r="BP1259" t="s">
        <v>1132</v>
      </c>
      <c r="BQ1259" t="s">
        <v>1133</v>
      </c>
      <c r="BR1259" t="s">
        <v>1134</v>
      </c>
      <c r="BS1259" t="s">
        <v>1135</v>
      </c>
      <c r="BT1259" t="s">
        <v>1136</v>
      </c>
      <c r="BU1259" t="s">
        <v>1137</v>
      </c>
      <c r="BV1259" t="s">
        <v>1138</v>
      </c>
    </row>
    <row r="1260" spans="1:74" x14ac:dyDescent="0.3">
      <c r="A1260" s="160">
        <v>12130</v>
      </c>
      <c r="B1260" t="s">
        <v>16423</v>
      </c>
      <c r="C1260" t="s">
        <v>1029</v>
      </c>
      <c r="D1260">
        <v>0.7</v>
      </c>
      <c r="E1260">
        <v>0</v>
      </c>
      <c r="F1260">
        <f t="shared" si="19"/>
        <v>0.7</v>
      </c>
      <c r="I1260">
        <v>20220701</v>
      </c>
      <c r="J1260" t="s">
        <v>1030</v>
      </c>
    </row>
    <row r="1261" spans="1:74" x14ac:dyDescent="0.3">
      <c r="A1261" s="160">
        <v>12133</v>
      </c>
      <c r="B1261" t="s">
        <v>16424</v>
      </c>
      <c r="C1261" t="s">
        <v>1032</v>
      </c>
      <c r="D1261">
        <v>0.8</v>
      </c>
      <c r="E1261">
        <v>0</v>
      </c>
      <c r="F1261">
        <f t="shared" si="19"/>
        <v>0.8</v>
      </c>
      <c r="I1261">
        <v>20240101</v>
      </c>
      <c r="J1261" t="s">
        <v>1044</v>
      </c>
    </row>
    <row r="1262" spans="1:74" x14ac:dyDescent="0.3">
      <c r="A1262" s="160">
        <v>12137</v>
      </c>
      <c r="B1262" t="s">
        <v>16425</v>
      </c>
      <c r="C1262" t="s">
        <v>1032</v>
      </c>
      <c r="D1262">
        <v>0</v>
      </c>
      <c r="E1262">
        <v>0</v>
      </c>
      <c r="F1262">
        <f t="shared" si="19"/>
        <v>0</v>
      </c>
      <c r="I1262">
        <v>20160101</v>
      </c>
      <c r="J1262" t="s">
        <v>1033</v>
      </c>
    </row>
    <row r="1263" spans="1:74" x14ac:dyDescent="0.3">
      <c r="A1263" s="160">
        <v>12145</v>
      </c>
      <c r="B1263" t="s">
        <v>16426</v>
      </c>
      <c r="C1263" t="s">
        <v>1034</v>
      </c>
      <c r="D1263">
        <v>0.55000000000000004</v>
      </c>
      <c r="E1263">
        <v>0</v>
      </c>
      <c r="F1263">
        <f t="shared" si="19"/>
        <v>0.55000000000000004</v>
      </c>
      <c r="I1263">
        <v>20010901</v>
      </c>
      <c r="J1263" t="s">
        <v>1035</v>
      </c>
      <c r="K1263" t="s">
        <v>1045</v>
      </c>
      <c r="L1263" t="s">
        <v>1036</v>
      </c>
      <c r="M1263" t="s">
        <v>1037</v>
      </c>
      <c r="N1263" t="s">
        <v>1038</v>
      </c>
      <c r="O1263" t="s">
        <v>1046</v>
      </c>
      <c r="P1263" t="s">
        <v>1047</v>
      </c>
    </row>
    <row r="1264" spans="1:74" x14ac:dyDescent="0.3">
      <c r="A1264" s="160">
        <v>12146</v>
      </c>
      <c r="B1264" t="s">
        <v>16427</v>
      </c>
      <c r="C1264" t="s">
        <v>1032</v>
      </c>
      <c r="D1264">
        <v>0.8</v>
      </c>
      <c r="E1264">
        <v>0</v>
      </c>
      <c r="F1264">
        <f t="shared" si="19"/>
        <v>0.8</v>
      </c>
      <c r="I1264">
        <v>20240101</v>
      </c>
      <c r="J1264" t="s">
        <v>1039</v>
      </c>
      <c r="K1264" t="s">
        <v>1048</v>
      </c>
      <c r="L1264" t="s">
        <v>1049</v>
      </c>
    </row>
    <row r="1265" spans="1:67" x14ac:dyDescent="0.3">
      <c r="A1265" s="160">
        <v>12174</v>
      </c>
      <c r="B1265" t="s">
        <v>16428</v>
      </c>
      <c r="C1265" t="s">
        <v>1032</v>
      </c>
      <c r="D1265">
        <v>0.8</v>
      </c>
      <c r="E1265">
        <v>0</v>
      </c>
      <c r="F1265">
        <f t="shared" si="19"/>
        <v>0.8</v>
      </c>
      <c r="I1265">
        <v>20240101</v>
      </c>
      <c r="J1265" t="s">
        <v>1041</v>
      </c>
      <c r="K1265" t="s">
        <v>1043</v>
      </c>
    </row>
    <row r="1266" spans="1:67" x14ac:dyDescent="0.3">
      <c r="A1266" s="160">
        <v>12176</v>
      </c>
      <c r="B1266" t="s">
        <v>16429</v>
      </c>
      <c r="C1266" t="s">
        <v>1032</v>
      </c>
      <c r="D1266">
        <v>0.8</v>
      </c>
      <c r="E1266">
        <v>0</v>
      </c>
      <c r="F1266">
        <f t="shared" si="19"/>
        <v>0.8</v>
      </c>
      <c r="I1266">
        <v>20240101</v>
      </c>
      <c r="J1266" t="s">
        <v>1039</v>
      </c>
      <c r="K1266" t="s">
        <v>1050</v>
      </c>
      <c r="L1266" t="s">
        <v>1051</v>
      </c>
      <c r="M1266" t="s">
        <v>1041</v>
      </c>
      <c r="N1266" t="s">
        <v>1042</v>
      </c>
      <c r="O1266" t="s">
        <v>1049</v>
      </c>
      <c r="P1266" t="s">
        <v>1052</v>
      </c>
      <c r="Q1266" t="s">
        <v>1053</v>
      </c>
    </row>
    <row r="1267" spans="1:67" x14ac:dyDescent="0.3">
      <c r="A1267" s="160">
        <v>12202</v>
      </c>
      <c r="B1267" t="s">
        <v>16430</v>
      </c>
      <c r="C1267" t="s">
        <v>1032</v>
      </c>
      <c r="D1267">
        <v>0.8</v>
      </c>
      <c r="E1267">
        <v>0</v>
      </c>
      <c r="F1267">
        <f t="shared" si="19"/>
        <v>0.8</v>
      </c>
      <c r="I1267">
        <v>20240101</v>
      </c>
      <c r="J1267" t="s">
        <v>1039</v>
      </c>
      <c r="K1267" t="s">
        <v>1054</v>
      </c>
      <c r="L1267" t="s">
        <v>1040</v>
      </c>
      <c r="M1267" t="s">
        <v>1050</v>
      </c>
      <c r="N1267" t="s">
        <v>1051</v>
      </c>
      <c r="O1267" t="s">
        <v>1048</v>
      </c>
      <c r="P1267" t="s">
        <v>1055</v>
      </c>
      <c r="Q1267" t="s">
        <v>1056</v>
      </c>
      <c r="R1267" t="s">
        <v>1057</v>
      </c>
      <c r="S1267" t="s">
        <v>1058</v>
      </c>
      <c r="T1267" t="s">
        <v>1059</v>
      </c>
      <c r="U1267" t="s">
        <v>1060</v>
      </c>
      <c r="V1267" t="s">
        <v>1061</v>
      </c>
      <c r="W1267" t="s">
        <v>1062</v>
      </c>
      <c r="X1267" t="s">
        <v>1063</v>
      </c>
      <c r="Y1267" t="s">
        <v>1064</v>
      </c>
      <c r="Z1267" t="s">
        <v>1065</v>
      </c>
      <c r="AA1267" t="s">
        <v>1041</v>
      </c>
      <c r="AB1267" t="s">
        <v>1042</v>
      </c>
      <c r="AC1267" t="s">
        <v>1049</v>
      </c>
      <c r="AD1267" t="s">
        <v>1052</v>
      </c>
    </row>
    <row r="1268" spans="1:67" x14ac:dyDescent="0.3">
      <c r="A1268" s="160">
        <v>12240</v>
      </c>
      <c r="B1268" t="s">
        <v>16431</v>
      </c>
      <c r="C1268" t="s">
        <v>1029</v>
      </c>
      <c r="D1268">
        <v>0.7</v>
      </c>
      <c r="E1268">
        <v>0</v>
      </c>
      <c r="F1268">
        <f t="shared" si="19"/>
        <v>0.7</v>
      </c>
      <c r="I1268">
        <v>20220701</v>
      </c>
      <c r="J1268" t="s">
        <v>1030</v>
      </c>
    </row>
    <row r="1269" spans="1:67" x14ac:dyDescent="0.3">
      <c r="A1269" s="160">
        <v>12241</v>
      </c>
      <c r="B1269" t="s">
        <v>16432</v>
      </c>
      <c r="C1269" t="s">
        <v>1032</v>
      </c>
      <c r="D1269">
        <v>0.8</v>
      </c>
      <c r="E1269">
        <v>0</v>
      </c>
      <c r="F1269">
        <f t="shared" si="19"/>
        <v>0.8</v>
      </c>
      <c r="I1269">
        <v>20240101</v>
      </c>
      <c r="J1269" t="s">
        <v>1040</v>
      </c>
      <c r="K1269" t="s">
        <v>1041</v>
      </c>
      <c r="L1269" t="s">
        <v>1053</v>
      </c>
    </row>
    <row r="1270" spans="1:67" x14ac:dyDescent="0.3">
      <c r="A1270" s="160">
        <v>12246</v>
      </c>
      <c r="B1270" t="s">
        <v>16433</v>
      </c>
      <c r="C1270" t="s">
        <v>1029</v>
      </c>
      <c r="D1270">
        <v>0.7</v>
      </c>
      <c r="E1270">
        <v>0</v>
      </c>
      <c r="F1270">
        <f t="shared" si="19"/>
        <v>0.7</v>
      </c>
      <c r="I1270">
        <v>20220701</v>
      </c>
      <c r="J1270" t="s">
        <v>1030</v>
      </c>
    </row>
    <row r="1271" spans="1:67" x14ac:dyDescent="0.3">
      <c r="A1271" s="160">
        <v>12264</v>
      </c>
      <c r="B1271" t="s">
        <v>16434</v>
      </c>
      <c r="C1271" t="s">
        <v>1032</v>
      </c>
      <c r="D1271">
        <v>0.8</v>
      </c>
      <c r="E1271">
        <v>0</v>
      </c>
      <c r="F1271">
        <f t="shared" si="19"/>
        <v>0.8</v>
      </c>
      <c r="I1271">
        <v>20240101</v>
      </c>
      <c r="J1271" t="s">
        <v>1041</v>
      </c>
      <c r="K1271" t="s">
        <v>1049</v>
      </c>
      <c r="L1271" t="s">
        <v>1066</v>
      </c>
    </row>
    <row r="1272" spans="1:67" x14ac:dyDescent="0.3">
      <c r="A1272" s="160">
        <v>12300</v>
      </c>
      <c r="B1272" t="s">
        <v>16435</v>
      </c>
      <c r="C1272" t="s">
        <v>1067</v>
      </c>
      <c r="D1272">
        <v>0.35</v>
      </c>
      <c r="E1272">
        <v>0</v>
      </c>
      <c r="F1272">
        <f t="shared" si="19"/>
        <v>0.35</v>
      </c>
      <c r="I1272">
        <v>20220701</v>
      </c>
      <c r="J1272" t="s">
        <v>1068</v>
      </c>
      <c r="K1272" t="s">
        <v>1069</v>
      </c>
      <c r="L1272" t="s">
        <v>1070</v>
      </c>
      <c r="M1272" t="s">
        <v>1071</v>
      </c>
      <c r="N1272" t="s">
        <v>1072</v>
      </c>
    </row>
    <row r="1273" spans="1:67" x14ac:dyDescent="0.3">
      <c r="A1273" s="160">
        <v>12305</v>
      </c>
      <c r="B1273" t="s">
        <v>16436</v>
      </c>
      <c r="C1273" t="s">
        <v>1029</v>
      </c>
      <c r="D1273">
        <v>0.7</v>
      </c>
      <c r="E1273">
        <v>0</v>
      </c>
      <c r="F1273">
        <f t="shared" si="19"/>
        <v>0.7</v>
      </c>
      <c r="I1273">
        <v>20220701</v>
      </c>
      <c r="J1273" t="s">
        <v>1031</v>
      </c>
    </row>
    <row r="1274" spans="1:67" x14ac:dyDescent="0.3">
      <c r="A1274" s="160">
        <v>13001</v>
      </c>
      <c r="B1274" t="s">
        <v>16437</v>
      </c>
      <c r="C1274" t="s">
        <v>1073</v>
      </c>
      <c r="D1274">
        <v>2</v>
      </c>
      <c r="E1274">
        <v>0</v>
      </c>
      <c r="F1274">
        <f t="shared" si="19"/>
        <v>2</v>
      </c>
      <c r="I1274">
        <v>20201101</v>
      </c>
      <c r="J1274" t="s">
        <v>1074</v>
      </c>
      <c r="K1274" t="s">
        <v>1075</v>
      </c>
      <c r="L1274" t="s">
        <v>1076</v>
      </c>
      <c r="M1274" t="s">
        <v>1077</v>
      </c>
      <c r="N1274" t="s">
        <v>1078</v>
      </c>
      <c r="O1274" t="s">
        <v>1079</v>
      </c>
      <c r="P1274" t="s">
        <v>1080</v>
      </c>
      <c r="Q1274" t="s">
        <v>1081</v>
      </c>
      <c r="R1274" t="s">
        <v>1082</v>
      </c>
      <c r="S1274" t="s">
        <v>1083</v>
      </c>
      <c r="T1274" t="s">
        <v>1084</v>
      </c>
      <c r="U1274" t="s">
        <v>1085</v>
      </c>
      <c r="V1274" t="s">
        <v>1086</v>
      </c>
      <c r="W1274" t="s">
        <v>1087</v>
      </c>
      <c r="X1274" t="s">
        <v>1088</v>
      </c>
      <c r="Y1274" t="s">
        <v>1089</v>
      </c>
      <c r="Z1274" t="s">
        <v>1090</v>
      </c>
      <c r="AA1274" t="s">
        <v>1091</v>
      </c>
      <c r="AB1274" t="s">
        <v>1092</v>
      </c>
      <c r="AC1274" t="s">
        <v>1093</v>
      </c>
      <c r="AD1274" t="s">
        <v>1094</v>
      </c>
      <c r="AE1274" t="s">
        <v>1095</v>
      </c>
      <c r="AF1274" t="s">
        <v>1096</v>
      </c>
      <c r="AG1274" t="s">
        <v>1097</v>
      </c>
      <c r="AH1274" t="s">
        <v>1098</v>
      </c>
      <c r="AI1274" t="s">
        <v>1099</v>
      </c>
      <c r="AJ1274" t="s">
        <v>1100</v>
      </c>
      <c r="AK1274" t="s">
        <v>1101</v>
      </c>
      <c r="AL1274" t="s">
        <v>1102</v>
      </c>
      <c r="AM1274" t="s">
        <v>1103</v>
      </c>
      <c r="AN1274" t="s">
        <v>1104</v>
      </c>
      <c r="AO1274" t="s">
        <v>1105</v>
      </c>
      <c r="AP1274" t="s">
        <v>1106</v>
      </c>
      <c r="AQ1274" t="s">
        <v>1107</v>
      </c>
      <c r="AR1274" t="s">
        <v>1108</v>
      </c>
      <c r="AS1274" t="s">
        <v>1109</v>
      </c>
      <c r="AT1274" t="s">
        <v>1110</v>
      </c>
      <c r="AU1274" t="s">
        <v>1111</v>
      </c>
      <c r="AV1274" t="s">
        <v>1112</v>
      </c>
      <c r="AW1274" t="s">
        <v>1113</v>
      </c>
      <c r="AX1274" t="s">
        <v>1114</v>
      </c>
      <c r="AY1274" t="s">
        <v>1115</v>
      </c>
      <c r="AZ1274" t="s">
        <v>1116</v>
      </c>
      <c r="BA1274" t="s">
        <v>1117</v>
      </c>
      <c r="BB1274" t="s">
        <v>1118</v>
      </c>
      <c r="BC1274" t="s">
        <v>1119</v>
      </c>
      <c r="BD1274" t="s">
        <v>1120</v>
      </c>
      <c r="BE1274" t="s">
        <v>1121</v>
      </c>
      <c r="BF1274" t="s">
        <v>1122</v>
      </c>
      <c r="BG1274" t="s">
        <v>1123</v>
      </c>
      <c r="BH1274" t="s">
        <v>1124</v>
      </c>
      <c r="BI1274" t="s">
        <v>1125</v>
      </c>
      <c r="BJ1274" t="s">
        <v>1126</v>
      </c>
      <c r="BK1274" t="s">
        <v>1127</v>
      </c>
      <c r="BL1274" t="s">
        <v>1128</v>
      </c>
      <c r="BM1274" t="s">
        <v>1129</v>
      </c>
      <c r="BN1274" t="s">
        <v>1130</v>
      </c>
      <c r="BO1274" t="s">
        <v>1131</v>
      </c>
    </row>
    <row r="1275" spans="1:67" x14ac:dyDescent="0.3">
      <c r="A1275" s="160">
        <v>13002</v>
      </c>
      <c r="B1275" t="s">
        <v>16438</v>
      </c>
      <c r="C1275" t="s">
        <v>1073</v>
      </c>
      <c r="D1275">
        <v>2</v>
      </c>
      <c r="E1275">
        <v>0</v>
      </c>
      <c r="F1275">
        <f t="shared" si="19"/>
        <v>2</v>
      </c>
      <c r="I1275">
        <v>20201101</v>
      </c>
      <c r="J1275" t="s">
        <v>1139</v>
      </c>
      <c r="K1275" t="s">
        <v>1140</v>
      </c>
    </row>
    <row r="1276" spans="1:67" x14ac:dyDescent="0.3">
      <c r="A1276" s="160">
        <v>13003</v>
      </c>
      <c r="B1276" t="s">
        <v>16439</v>
      </c>
      <c r="C1276" t="s">
        <v>1073</v>
      </c>
      <c r="D1276">
        <v>2</v>
      </c>
      <c r="E1276">
        <v>0</v>
      </c>
      <c r="F1276">
        <f t="shared" si="19"/>
        <v>2</v>
      </c>
      <c r="I1276">
        <v>20201101</v>
      </c>
      <c r="J1276" t="s">
        <v>1141</v>
      </c>
    </row>
    <row r="1277" spans="1:67" x14ac:dyDescent="0.3">
      <c r="A1277" s="160">
        <v>13004</v>
      </c>
      <c r="B1277" t="s">
        <v>16440</v>
      </c>
      <c r="C1277" t="s">
        <v>1142</v>
      </c>
      <c r="D1277">
        <v>0.8</v>
      </c>
      <c r="E1277">
        <v>0</v>
      </c>
      <c r="F1277">
        <f t="shared" si="19"/>
        <v>0.8</v>
      </c>
      <c r="I1277">
        <v>20240701</v>
      </c>
      <c r="J1277" t="s">
        <v>1143</v>
      </c>
      <c r="K1277" t="s">
        <v>1144</v>
      </c>
      <c r="L1277" t="s">
        <v>1145</v>
      </c>
      <c r="M1277" t="s">
        <v>1146</v>
      </c>
      <c r="N1277" t="s">
        <v>1147</v>
      </c>
      <c r="O1277" t="s">
        <v>1148</v>
      </c>
      <c r="P1277" t="s">
        <v>1149</v>
      </c>
      <c r="Q1277" t="s">
        <v>1150</v>
      </c>
      <c r="R1277" t="s">
        <v>1151</v>
      </c>
      <c r="S1277" t="s">
        <v>1152</v>
      </c>
    </row>
    <row r="1278" spans="1:67" x14ac:dyDescent="0.3">
      <c r="A1278" s="160">
        <v>13005</v>
      </c>
      <c r="B1278" t="s">
        <v>16441</v>
      </c>
      <c r="C1278" t="s">
        <v>1073</v>
      </c>
      <c r="D1278">
        <v>2</v>
      </c>
      <c r="E1278">
        <v>0</v>
      </c>
      <c r="F1278">
        <f t="shared" si="19"/>
        <v>2</v>
      </c>
      <c r="I1278">
        <v>20170101</v>
      </c>
      <c r="J1278" t="s">
        <v>1153</v>
      </c>
      <c r="K1278" t="s">
        <v>1154</v>
      </c>
      <c r="L1278" t="s">
        <v>1155</v>
      </c>
      <c r="M1278" t="s">
        <v>1156</v>
      </c>
      <c r="N1278" t="s">
        <v>1157</v>
      </c>
      <c r="O1278" t="s">
        <v>1158</v>
      </c>
      <c r="P1278" t="s">
        <v>1159</v>
      </c>
      <c r="Q1278" t="s">
        <v>1160</v>
      </c>
      <c r="R1278" t="s">
        <v>1161</v>
      </c>
      <c r="S1278" t="s">
        <v>1162</v>
      </c>
      <c r="T1278" t="s">
        <v>1163</v>
      </c>
      <c r="U1278" t="s">
        <v>1164</v>
      </c>
      <c r="V1278" t="s">
        <v>1165</v>
      </c>
      <c r="W1278" t="s">
        <v>1166</v>
      </c>
      <c r="X1278" t="s">
        <v>1167</v>
      </c>
      <c r="Y1278" t="s">
        <v>1168</v>
      </c>
      <c r="Z1278" t="s">
        <v>1169</v>
      </c>
      <c r="AA1278" t="s">
        <v>1170</v>
      </c>
      <c r="AB1278" t="s">
        <v>1171</v>
      </c>
      <c r="AC1278" t="s">
        <v>1172</v>
      </c>
      <c r="AD1278" t="s">
        <v>1125</v>
      </c>
    </row>
    <row r="1279" spans="1:67" x14ac:dyDescent="0.3">
      <c r="A1279" s="160">
        <v>13007</v>
      </c>
      <c r="B1279" t="s">
        <v>16442</v>
      </c>
      <c r="C1279" t="s">
        <v>1073</v>
      </c>
      <c r="D1279">
        <v>2</v>
      </c>
      <c r="E1279">
        <v>0</v>
      </c>
      <c r="F1279">
        <f t="shared" si="19"/>
        <v>2</v>
      </c>
      <c r="I1279">
        <v>20170101</v>
      </c>
      <c r="J1279" t="s">
        <v>1173</v>
      </c>
      <c r="K1279" t="s">
        <v>1165</v>
      </c>
    </row>
    <row r="1280" spans="1:67" x14ac:dyDescent="0.3">
      <c r="A1280" s="160">
        <v>13008</v>
      </c>
      <c r="B1280" t="s">
        <v>16443</v>
      </c>
      <c r="C1280" t="s">
        <v>1073</v>
      </c>
      <c r="D1280">
        <v>2</v>
      </c>
      <c r="E1280">
        <v>0</v>
      </c>
      <c r="F1280">
        <f t="shared" si="19"/>
        <v>2</v>
      </c>
      <c r="I1280">
        <v>20201101</v>
      </c>
      <c r="J1280" t="s">
        <v>1174</v>
      </c>
    </row>
    <row r="1281" spans="1:16" x14ac:dyDescent="0.3">
      <c r="A1281" s="160">
        <v>13009</v>
      </c>
      <c r="B1281" t="s">
        <v>16444</v>
      </c>
      <c r="C1281" t="s">
        <v>1073</v>
      </c>
      <c r="D1281">
        <v>2</v>
      </c>
      <c r="E1281">
        <v>0</v>
      </c>
      <c r="F1281">
        <f t="shared" si="19"/>
        <v>2</v>
      </c>
      <c r="I1281">
        <v>20201101</v>
      </c>
      <c r="J1281" t="s">
        <v>1175</v>
      </c>
    </row>
    <row r="1282" spans="1:16" x14ac:dyDescent="0.3">
      <c r="A1282" s="160">
        <v>13012</v>
      </c>
      <c r="B1282" t="s">
        <v>16445</v>
      </c>
      <c r="C1282" t="s">
        <v>1073</v>
      </c>
      <c r="D1282">
        <v>2</v>
      </c>
      <c r="E1282">
        <v>0</v>
      </c>
      <c r="F1282">
        <f t="shared" si="19"/>
        <v>2</v>
      </c>
      <c r="I1282">
        <v>20201101</v>
      </c>
      <c r="J1282" t="s">
        <v>1088</v>
      </c>
    </row>
    <row r="1283" spans="1:16" x14ac:dyDescent="0.3">
      <c r="A1283" s="160">
        <v>13013</v>
      </c>
      <c r="B1283" t="s">
        <v>16446</v>
      </c>
      <c r="C1283" t="s">
        <v>1073</v>
      </c>
      <c r="D1283">
        <v>2</v>
      </c>
      <c r="E1283">
        <v>0</v>
      </c>
      <c r="F1283">
        <f t="shared" si="19"/>
        <v>2</v>
      </c>
      <c r="I1283">
        <v>20170101</v>
      </c>
      <c r="J1283" t="s">
        <v>1176</v>
      </c>
    </row>
    <row r="1284" spans="1:16" x14ac:dyDescent="0.3">
      <c r="A1284" s="160">
        <v>13014</v>
      </c>
      <c r="B1284" t="s">
        <v>16447</v>
      </c>
      <c r="C1284" t="s">
        <v>1073</v>
      </c>
      <c r="D1284">
        <v>2</v>
      </c>
      <c r="E1284">
        <v>0</v>
      </c>
      <c r="F1284">
        <f t="shared" si="19"/>
        <v>2</v>
      </c>
      <c r="I1284">
        <v>20201101</v>
      </c>
      <c r="J1284" t="s">
        <v>1177</v>
      </c>
      <c r="K1284" t="s">
        <v>1178</v>
      </c>
      <c r="L1284" t="s">
        <v>1179</v>
      </c>
      <c r="M1284" t="s">
        <v>1180</v>
      </c>
      <c r="N1284" t="s">
        <v>1181</v>
      </c>
    </row>
    <row r="1285" spans="1:16" x14ac:dyDescent="0.3">
      <c r="A1285" s="160">
        <v>13015</v>
      </c>
      <c r="B1285" t="s">
        <v>16448</v>
      </c>
      <c r="C1285" t="s">
        <v>1073</v>
      </c>
      <c r="D1285">
        <v>2</v>
      </c>
      <c r="E1285">
        <v>0</v>
      </c>
      <c r="F1285">
        <f t="shared" si="19"/>
        <v>2</v>
      </c>
      <c r="I1285">
        <v>20201101</v>
      </c>
      <c r="J1285" t="s">
        <v>1182</v>
      </c>
    </row>
    <row r="1286" spans="1:16" x14ac:dyDescent="0.3">
      <c r="A1286" s="160">
        <v>13016</v>
      </c>
      <c r="B1286" t="s">
        <v>16449</v>
      </c>
      <c r="C1286" t="s">
        <v>1073</v>
      </c>
      <c r="D1286">
        <v>2</v>
      </c>
      <c r="E1286">
        <v>0</v>
      </c>
      <c r="F1286">
        <f t="shared" si="19"/>
        <v>2</v>
      </c>
      <c r="I1286">
        <v>20170101</v>
      </c>
      <c r="J1286" t="s">
        <v>1176</v>
      </c>
    </row>
    <row r="1287" spans="1:16" x14ac:dyDescent="0.3">
      <c r="A1287" s="160">
        <v>13017</v>
      </c>
      <c r="B1287" t="s">
        <v>16450</v>
      </c>
      <c r="C1287" t="s">
        <v>1142</v>
      </c>
      <c r="D1287">
        <v>0.8</v>
      </c>
      <c r="E1287">
        <v>0</v>
      </c>
      <c r="F1287">
        <f t="shared" ref="F1287:F1350" si="20">D1287+E1287</f>
        <v>0.8</v>
      </c>
      <c r="I1287">
        <v>20240701</v>
      </c>
      <c r="J1287" t="s">
        <v>1183</v>
      </c>
    </row>
    <row r="1288" spans="1:16" x14ac:dyDescent="0.3">
      <c r="A1288" s="160">
        <v>13019</v>
      </c>
      <c r="B1288" t="s">
        <v>16451</v>
      </c>
      <c r="C1288" t="s">
        <v>1073</v>
      </c>
      <c r="D1288">
        <v>2</v>
      </c>
      <c r="E1288">
        <v>0</v>
      </c>
      <c r="F1288">
        <f t="shared" si="20"/>
        <v>2</v>
      </c>
      <c r="I1288">
        <v>20201101</v>
      </c>
      <c r="J1288" t="s">
        <v>1184</v>
      </c>
      <c r="K1288" t="s">
        <v>1185</v>
      </c>
      <c r="L1288" t="s">
        <v>1186</v>
      </c>
      <c r="M1288" t="s">
        <v>1187</v>
      </c>
      <c r="N1288" t="s">
        <v>1188</v>
      </c>
      <c r="O1288" t="s">
        <v>1189</v>
      </c>
    </row>
    <row r="1289" spans="1:16" x14ac:dyDescent="0.3">
      <c r="A1289" s="160">
        <v>13020</v>
      </c>
      <c r="B1289" t="s">
        <v>16452</v>
      </c>
      <c r="C1289" t="s">
        <v>1073</v>
      </c>
      <c r="D1289">
        <v>2</v>
      </c>
      <c r="E1289">
        <v>0</v>
      </c>
      <c r="F1289">
        <f t="shared" si="20"/>
        <v>2</v>
      </c>
      <c r="I1289">
        <v>20170101</v>
      </c>
      <c r="J1289" t="s">
        <v>1190</v>
      </c>
    </row>
    <row r="1290" spans="1:16" x14ac:dyDescent="0.3">
      <c r="A1290" s="160">
        <v>13021</v>
      </c>
      <c r="B1290" t="s">
        <v>16453</v>
      </c>
      <c r="C1290" t="s">
        <v>1073</v>
      </c>
      <c r="D1290">
        <v>2</v>
      </c>
      <c r="E1290">
        <v>0</v>
      </c>
      <c r="F1290">
        <f t="shared" si="20"/>
        <v>2</v>
      </c>
      <c r="I1290">
        <v>20201101</v>
      </c>
      <c r="J1290" t="s">
        <v>1191</v>
      </c>
    </row>
    <row r="1291" spans="1:16" x14ac:dyDescent="0.3">
      <c r="A1291" s="160">
        <v>13022</v>
      </c>
      <c r="B1291" t="s">
        <v>16454</v>
      </c>
      <c r="C1291" t="s">
        <v>1073</v>
      </c>
      <c r="D1291">
        <v>2</v>
      </c>
      <c r="E1291">
        <v>0</v>
      </c>
      <c r="F1291">
        <f t="shared" si="20"/>
        <v>2</v>
      </c>
      <c r="I1291">
        <v>20201101</v>
      </c>
      <c r="J1291" t="s">
        <v>1192</v>
      </c>
      <c r="K1291" t="s">
        <v>1193</v>
      </c>
      <c r="L1291" t="s">
        <v>1194</v>
      </c>
      <c r="M1291" t="s">
        <v>1195</v>
      </c>
    </row>
    <row r="1292" spans="1:16" x14ac:dyDescent="0.3">
      <c r="A1292" s="160">
        <v>13023</v>
      </c>
      <c r="B1292" t="s">
        <v>16455</v>
      </c>
      <c r="C1292" t="s">
        <v>1073</v>
      </c>
      <c r="D1292">
        <v>2</v>
      </c>
      <c r="E1292">
        <v>0</v>
      </c>
      <c r="F1292">
        <f t="shared" si="20"/>
        <v>2</v>
      </c>
      <c r="I1292">
        <v>20201101</v>
      </c>
      <c r="J1292" t="s">
        <v>1196</v>
      </c>
      <c r="K1292" t="s">
        <v>1197</v>
      </c>
      <c r="L1292" t="s">
        <v>1198</v>
      </c>
    </row>
    <row r="1293" spans="1:16" x14ac:dyDescent="0.3">
      <c r="A1293" s="160">
        <v>13024</v>
      </c>
      <c r="B1293" t="s">
        <v>16456</v>
      </c>
      <c r="C1293" t="s">
        <v>1073</v>
      </c>
      <c r="D1293">
        <v>2</v>
      </c>
      <c r="E1293">
        <v>0</v>
      </c>
      <c r="F1293">
        <f t="shared" si="20"/>
        <v>2</v>
      </c>
      <c r="I1293">
        <v>20201101</v>
      </c>
      <c r="J1293" t="s">
        <v>1199</v>
      </c>
    </row>
    <row r="1294" spans="1:16" x14ac:dyDescent="0.3">
      <c r="A1294" s="160">
        <v>13025</v>
      </c>
      <c r="B1294" t="s">
        <v>16457</v>
      </c>
      <c r="C1294" t="s">
        <v>1073</v>
      </c>
      <c r="D1294">
        <v>2</v>
      </c>
      <c r="E1294">
        <v>0</v>
      </c>
      <c r="F1294">
        <f t="shared" si="20"/>
        <v>2</v>
      </c>
      <c r="I1294">
        <v>20201101</v>
      </c>
      <c r="J1294" t="s">
        <v>1200</v>
      </c>
      <c r="K1294" t="s">
        <v>1201</v>
      </c>
    </row>
    <row r="1295" spans="1:16" x14ac:dyDescent="0.3">
      <c r="A1295" s="160">
        <v>13026</v>
      </c>
      <c r="B1295" t="s">
        <v>16458</v>
      </c>
      <c r="C1295" t="s">
        <v>1073</v>
      </c>
      <c r="D1295">
        <v>2</v>
      </c>
      <c r="E1295">
        <v>0</v>
      </c>
      <c r="F1295">
        <f t="shared" si="20"/>
        <v>2</v>
      </c>
      <c r="I1295">
        <v>20201101</v>
      </c>
      <c r="J1295" t="s">
        <v>1202</v>
      </c>
      <c r="K1295" t="s">
        <v>1203</v>
      </c>
      <c r="L1295" t="s">
        <v>1204</v>
      </c>
      <c r="M1295" t="s">
        <v>1205</v>
      </c>
      <c r="N1295" t="s">
        <v>1206</v>
      </c>
      <c r="O1295" t="s">
        <v>1207</v>
      </c>
    </row>
    <row r="1296" spans="1:16" x14ac:dyDescent="0.3">
      <c r="A1296" s="160">
        <v>13028</v>
      </c>
      <c r="B1296" t="s">
        <v>16459</v>
      </c>
      <c r="C1296" t="s">
        <v>1073</v>
      </c>
      <c r="D1296">
        <v>2</v>
      </c>
      <c r="E1296">
        <v>0</v>
      </c>
      <c r="F1296">
        <f t="shared" si="20"/>
        <v>2</v>
      </c>
      <c r="I1296">
        <v>20201101</v>
      </c>
      <c r="J1296" t="s">
        <v>1196</v>
      </c>
      <c r="K1296" t="s">
        <v>1197</v>
      </c>
      <c r="L1296" t="s">
        <v>1198</v>
      </c>
      <c r="M1296" t="s">
        <v>1208</v>
      </c>
      <c r="N1296" t="s">
        <v>1209</v>
      </c>
      <c r="O1296" t="s">
        <v>1210</v>
      </c>
      <c r="P1296" t="s">
        <v>1211</v>
      </c>
    </row>
    <row r="1297" spans="1:20" x14ac:dyDescent="0.3">
      <c r="A1297" s="160">
        <v>13029</v>
      </c>
      <c r="B1297" t="s">
        <v>16460</v>
      </c>
      <c r="C1297" t="s">
        <v>1073</v>
      </c>
      <c r="D1297">
        <v>2</v>
      </c>
      <c r="E1297">
        <v>0</v>
      </c>
      <c r="F1297">
        <f t="shared" si="20"/>
        <v>2</v>
      </c>
      <c r="I1297">
        <v>20201101</v>
      </c>
      <c r="J1297" t="s">
        <v>1212</v>
      </c>
      <c r="K1297" t="s">
        <v>1213</v>
      </c>
    </row>
    <row r="1298" spans="1:20" x14ac:dyDescent="0.3">
      <c r="A1298" s="160">
        <v>13030</v>
      </c>
      <c r="B1298" t="s">
        <v>16461</v>
      </c>
      <c r="C1298" t="s">
        <v>1073</v>
      </c>
      <c r="D1298">
        <v>2</v>
      </c>
      <c r="E1298">
        <v>0</v>
      </c>
      <c r="F1298">
        <f t="shared" si="20"/>
        <v>2</v>
      </c>
      <c r="I1298">
        <v>20170101</v>
      </c>
      <c r="J1298" t="s">
        <v>1214</v>
      </c>
    </row>
    <row r="1299" spans="1:20" x14ac:dyDescent="0.3">
      <c r="A1299" s="160">
        <v>13031</v>
      </c>
      <c r="B1299" t="s">
        <v>16462</v>
      </c>
      <c r="C1299" t="s">
        <v>1073</v>
      </c>
      <c r="D1299">
        <v>2</v>
      </c>
      <c r="E1299">
        <v>0</v>
      </c>
      <c r="F1299">
        <f t="shared" si="20"/>
        <v>2</v>
      </c>
      <c r="I1299">
        <v>20170101</v>
      </c>
      <c r="J1299" t="s">
        <v>1215</v>
      </c>
    </row>
    <row r="1300" spans="1:20" x14ac:dyDescent="0.3">
      <c r="A1300" s="160">
        <v>13032</v>
      </c>
      <c r="B1300" t="s">
        <v>16463</v>
      </c>
      <c r="C1300" t="s">
        <v>1073</v>
      </c>
      <c r="D1300">
        <v>2</v>
      </c>
      <c r="E1300">
        <v>0</v>
      </c>
      <c r="F1300">
        <f t="shared" si="20"/>
        <v>2</v>
      </c>
      <c r="I1300">
        <v>20201101</v>
      </c>
      <c r="J1300" t="s">
        <v>1216</v>
      </c>
    </row>
    <row r="1301" spans="1:20" x14ac:dyDescent="0.3">
      <c r="A1301" s="160">
        <v>13033</v>
      </c>
      <c r="B1301" t="s">
        <v>16464</v>
      </c>
      <c r="C1301" t="s">
        <v>1073</v>
      </c>
      <c r="D1301">
        <v>2</v>
      </c>
      <c r="E1301">
        <v>0</v>
      </c>
      <c r="F1301">
        <f t="shared" si="20"/>
        <v>2</v>
      </c>
      <c r="I1301">
        <v>20201101</v>
      </c>
      <c r="J1301" t="s">
        <v>1217</v>
      </c>
    </row>
    <row r="1302" spans="1:20" x14ac:dyDescent="0.3">
      <c r="A1302" s="160">
        <v>13035</v>
      </c>
      <c r="B1302" t="s">
        <v>16465</v>
      </c>
      <c r="C1302" t="s">
        <v>1073</v>
      </c>
      <c r="D1302">
        <v>2</v>
      </c>
      <c r="E1302">
        <v>0</v>
      </c>
      <c r="F1302">
        <f t="shared" si="20"/>
        <v>2</v>
      </c>
      <c r="I1302">
        <v>20201101</v>
      </c>
      <c r="J1302" t="s">
        <v>1218</v>
      </c>
    </row>
    <row r="1303" spans="1:20" x14ac:dyDescent="0.3">
      <c r="A1303" s="160">
        <v>13037</v>
      </c>
      <c r="B1303" t="s">
        <v>16466</v>
      </c>
      <c r="C1303" t="s">
        <v>1073</v>
      </c>
      <c r="D1303">
        <v>2</v>
      </c>
      <c r="E1303">
        <v>0</v>
      </c>
      <c r="F1303">
        <f t="shared" si="20"/>
        <v>2</v>
      </c>
      <c r="I1303">
        <v>20201101</v>
      </c>
      <c r="J1303" t="s">
        <v>1219</v>
      </c>
    </row>
    <row r="1304" spans="1:20" x14ac:dyDescent="0.3">
      <c r="A1304" s="160">
        <v>13039</v>
      </c>
      <c r="B1304" t="s">
        <v>16467</v>
      </c>
      <c r="C1304" t="s">
        <v>1073</v>
      </c>
      <c r="D1304">
        <v>2</v>
      </c>
      <c r="E1304">
        <v>0</v>
      </c>
      <c r="F1304">
        <f t="shared" si="20"/>
        <v>2</v>
      </c>
      <c r="I1304">
        <v>20201101</v>
      </c>
      <c r="J1304" t="s">
        <v>1220</v>
      </c>
      <c r="K1304" t="s">
        <v>1221</v>
      </c>
      <c r="L1304" t="s">
        <v>1222</v>
      </c>
      <c r="M1304" t="s">
        <v>1223</v>
      </c>
      <c r="N1304" t="s">
        <v>1224</v>
      </c>
      <c r="O1304" t="s">
        <v>1225</v>
      </c>
      <c r="P1304" t="s">
        <v>1226</v>
      </c>
      <c r="Q1304" t="s">
        <v>1227</v>
      </c>
      <c r="R1304" t="s">
        <v>1228</v>
      </c>
      <c r="S1304" t="s">
        <v>1229</v>
      </c>
    </row>
    <row r="1305" spans="1:20" x14ac:dyDescent="0.3">
      <c r="A1305" s="160">
        <v>13040</v>
      </c>
      <c r="B1305" t="s">
        <v>16468</v>
      </c>
      <c r="C1305" t="s">
        <v>1073</v>
      </c>
      <c r="D1305">
        <v>2</v>
      </c>
      <c r="E1305">
        <v>0</v>
      </c>
      <c r="F1305">
        <f t="shared" si="20"/>
        <v>2</v>
      </c>
      <c r="I1305">
        <v>20201101</v>
      </c>
      <c r="J1305" t="s">
        <v>1230</v>
      </c>
    </row>
    <row r="1306" spans="1:20" x14ac:dyDescent="0.3">
      <c r="A1306" s="160">
        <v>13041</v>
      </c>
      <c r="B1306" t="s">
        <v>16469</v>
      </c>
      <c r="C1306" t="s">
        <v>1073</v>
      </c>
      <c r="D1306">
        <v>2</v>
      </c>
      <c r="E1306">
        <v>0</v>
      </c>
      <c r="F1306">
        <f t="shared" si="20"/>
        <v>2</v>
      </c>
      <c r="I1306">
        <v>20201101</v>
      </c>
      <c r="J1306" t="s">
        <v>1231</v>
      </c>
      <c r="K1306" t="s">
        <v>1232</v>
      </c>
      <c r="L1306" t="s">
        <v>1233</v>
      </c>
      <c r="M1306" t="s">
        <v>1234</v>
      </c>
      <c r="N1306" t="s">
        <v>1235</v>
      </c>
      <c r="O1306" t="s">
        <v>1236</v>
      </c>
    </row>
    <row r="1307" spans="1:20" x14ac:dyDescent="0.3">
      <c r="A1307" s="160">
        <v>13042</v>
      </c>
      <c r="B1307" t="s">
        <v>16470</v>
      </c>
      <c r="C1307" t="s">
        <v>1073</v>
      </c>
      <c r="D1307">
        <v>2</v>
      </c>
      <c r="E1307">
        <v>0</v>
      </c>
      <c r="F1307">
        <f t="shared" si="20"/>
        <v>2</v>
      </c>
      <c r="I1307">
        <v>20201101</v>
      </c>
      <c r="J1307" t="s">
        <v>1237</v>
      </c>
      <c r="K1307" t="s">
        <v>1167</v>
      </c>
      <c r="L1307" t="s">
        <v>1168</v>
      </c>
      <c r="M1307" t="s">
        <v>1169</v>
      </c>
      <c r="N1307" t="s">
        <v>1170</v>
      </c>
      <c r="O1307" t="s">
        <v>1171</v>
      </c>
      <c r="P1307" t="s">
        <v>1238</v>
      </c>
      <c r="Q1307" t="s">
        <v>1239</v>
      </c>
      <c r="R1307" t="s">
        <v>1240</v>
      </c>
    </row>
    <row r="1308" spans="1:20" x14ac:dyDescent="0.3">
      <c r="A1308" s="160">
        <v>13043</v>
      </c>
      <c r="B1308" t="s">
        <v>16471</v>
      </c>
      <c r="C1308" t="s">
        <v>1073</v>
      </c>
      <c r="D1308">
        <v>2</v>
      </c>
      <c r="E1308">
        <v>0</v>
      </c>
      <c r="F1308">
        <f t="shared" si="20"/>
        <v>2</v>
      </c>
      <c r="I1308">
        <v>20201101</v>
      </c>
      <c r="J1308" t="s">
        <v>1241</v>
      </c>
      <c r="K1308" t="s">
        <v>1242</v>
      </c>
      <c r="L1308" t="s">
        <v>1243</v>
      </c>
      <c r="M1308" t="s">
        <v>1244</v>
      </c>
      <c r="N1308" t="s">
        <v>1245</v>
      </c>
    </row>
    <row r="1309" spans="1:20" x14ac:dyDescent="0.3">
      <c r="A1309" s="160">
        <v>13044</v>
      </c>
      <c r="B1309" t="s">
        <v>16472</v>
      </c>
      <c r="C1309" t="s">
        <v>1073</v>
      </c>
      <c r="D1309">
        <v>2</v>
      </c>
      <c r="E1309">
        <v>0</v>
      </c>
      <c r="F1309">
        <f t="shared" si="20"/>
        <v>2</v>
      </c>
      <c r="I1309">
        <v>20201101</v>
      </c>
      <c r="J1309" t="s">
        <v>1246</v>
      </c>
      <c r="K1309" t="s">
        <v>1247</v>
      </c>
      <c r="L1309" t="s">
        <v>1248</v>
      </c>
      <c r="M1309" t="s">
        <v>1249</v>
      </c>
      <c r="N1309" t="s">
        <v>1213</v>
      </c>
    </row>
    <row r="1310" spans="1:20" x14ac:dyDescent="0.3">
      <c r="A1310" s="160">
        <v>13046</v>
      </c>
      <c r="B1310" t="s">
        <v>16473</v>
      </c>
      <c r="C1310" t="s">
        <v>1073</v>
      </c>
      <c r="D1310">
        <v>2</v>
      </c>
      <c r="E1310">
        <v>0</v>
      </c>
      <c r="F1310">
        <f t="shared" si="20"/>
        <v>2</v>
      </c>
      <c r="I1310">
        <v>20201101</v>
      </c>
      <c r="J1310" t="s">
        <v>1250</v>
      </c>
    </row>
    <row r="1311" spans="1:20" x14ac:dyDescent="0.3">
      <c r="A1311" s="160">
        <v>13047</v>
      </c>
      <c r="B1311" t="s">
        <v>16474</v>
      </c>
      <c r="C1311" t="s">
        <v>1073</v>
      </c>
      <c r="D1311">
        <v>2</v>
      </c>
      <c r="E1311">
        <v>0</v>
      </c>
      <c r="F1311">
        <f t="shared" si="20"/>
        <v>2</v>
      </c>
      <c r="I1311">
        <v>20201101</v>
      </c>
      <c r="J1311" t="s">
        <v>1251</v>
      </c>
      <c r="K1311" t="s">
        <v>1252</v>
      </c>
      <c r="L1311" t="s">
        <v>1253</v>
      </c>
      <c r="M1311" t="s">
        <v>1254</v>
      </c>
      <c r="N1311" t="s">
        <v>1255</v>
      </c>
      <c r="O1311" t="s">
        <v>1256</v>
      </c>
      <c r="P1311" t="s">
        <v>1257</v>
      </c>
      <c r="Q1311" t="s">
        <v>1258</v>
      </c>
      <c r="R1311" t="s">
        <v>1259</v>
      </c>
      <c r="S1311" t="s">
        <v>1260</v>
      </c>
      <c r="T1311" t="s">
        <v>1261</v>
      </c>
    </row>
    <row r="1312" spans="1:20" x14ac:dyDescent="0.3">
      <c r="A1312" s="160">
        <v>13048</v>
      </c>
      <c r="B1312" t="s">
        <v>16475</v>
      </c>
      <c r="C1312" t="s">
        <v>1073</v>
      </c>
      <c r="D1312">
        <v>2</v>
      </c>
      <c r="E1312">
        <v>0</v>
      </c>
      <c r="F1312">
        <f t="shared" si="20"/>
        <v>2</v>
      </c>
      <c r="I1312">
        <v>20201101</v>
      </c>
      <c r="J1312" t="s">
        <v>1262</v>
      </c>
    </row>
    <row r="1313" spans="1:19" x14ac:dyDescent="0.3">
      <c r="A1313" s="160">
        <v>13049</v>
      </c>
      <c r="B1313" t="s">
        <v>16476</v>
      </c>
      <c r="C1313" t="s">
        <v>1073</v>
      </c>
      <c r="D1313">
        <v>2</v>
      </c>
      <c r="E1313">
        <v>0</v>
      </c>
      <c r="F1313">
        <f t="shared" si="20"/>
        <v>2</v>
      </c>
      <c r="I1313">
        <v>20201101</v>
      </c>
      <c r="J1313" t="s">
        <v>1263</v>
      </c>
    </row>
    <row r="1314" spans="1:19" x14ac:dyDescent="0.3">
      <c r="A1314" s="160">
        <v>13050</v>
      </c>
      <c r="B1314" t="s">
        <v>16477</v>
      </c>
      <c r="C1314" t="s">
        <v>1073</v>
      </c>
      <c r="D1314">
        <v>2</v>
      </c>
      <c r="E1314">
        <v>0</v>
      </c>
      <c r="F1314">
        <f t="shared" si="20"/>
        <v>2</v>
      </c>
      <c r="I1314">
        <v>20201101</v>
      </c>
      <c r="J1314" t="s">
        <v>1264</v>
      </c>
    </row>
    <row r="1315" spans="1:19" x14ac:dyDescent="0.3">
      <c r="A1315" s="160">
        <v>13051</v>
      </c>
      <c r="B1315" t="s">
        <v>16478</v>
      </c>
      <c r="C1315" t="s">
        <v>1073</v>
      </c>
      <c r="D1315">
        <v>2</v>
      </c>
      <c r="E1315">
        <v>0</v>
      </c>
      <c r="F1315">
        <f t="shared" si="20"/>
        <v>2</v>
      </c>
      <c r="I1315">
        <v>20201101</v>
      </c>
      <c r="J1315" t="s">
        <v>1265</v>
      </c>
      <c r="K1315" t="s">
        <v>1266</v>
      </c>
      <c r="L1315" t="s">
        <v>1213</v>
      </c>
      <c r="M1315" t="s">
        <v>1267</v>
      </c>
    </row>
    <row r="1316" spans="1:19" x14ac:dyDescent="0.3">
      <c r="A1316" s="160">
        <v>13053</v>
      </c>
      <c r="B1316" t="s">
        <v>16479</v>
      </c>
      <c r="C1316" t="s">
        <v>1073</v>
      </c>
      <c r="D1316">
        <v>2</v>
      </c>
      <c r="E1316">
        <v>0</v>
      </c>
      <c r="F1316">
        <f t="shared" si="20"/>
        <v>2</v>
      </c>
      <c r="I1316">
        <v>20201101</v>
      </c>
      <c r="J1316" t="s">
        <v>1268</v>
      </c>
    </row>
    <row r="1317" spans="1:19" x14ac:dyDescent="0.3">
      <c r="A1317" s="160">
        <v>13054</v>
      </c>
      <c r="B1317" t="s">
        <v>16480</v>
      </c>
      <c r="C1317" t="s">
        <v>1073</v>
      </c>
      <c r="D1317">
        <v>2</v>
      </c>
      <c r="E1317">
        <v>0</v>
      </c>
      <c r="F1317">
        <f t="shared" si="20"/>
        <v>2</v>
      </c>
      <c r="I1317">
        <v>20201101</v>
      </c>
      <c r="J1317" t="s">
        <v>1269</v>
      </c>
      <c r="K1317" t="s">
        <v>1242</v>
      </c>
      <c r="L1317" t="s">
        <v>1243</v>
      </c>
      <c r="M1317" t="s">
        <v>1270</v>
      </c>
      <c r="N1317" t="s">
        <v>1244</v>
      </c>
      <c r="O1317" t="s">
        <v>1271</v>
      </c>
      <c r="P1317" t="s">
        <v>1272</v>
      </c>
      <c r="Q1317" t="s">
        <v>1273</v>
      </c>
      <c r="R1317" t="s">
        <v>1274</v>
      </c>
      <c r="S1317" t="s">
        <v>1245</v>
      </c>
    </row>
    <row r="1318" spans="1:19" x14ac:dyDescent="0.3">
      <c r="A1318" s="160">
        <v>13056</v>
      </c>
      <c r="B1318" t="s">
        <v>16481</v>
      </c>
      <c r="C1318" t="s">
        <v>1073</v>
      </c>
      <c r="D1318">
        <v>2</v>
      </c>
      <c r="E1318">
        <v>0</v>
      </c>
      <c r="F1318">
        <f t="shared" si="20"/>
        <v>2</v>
      </c>
      <c r="I1318">
        <v>20201101</v>
      </c>
      <c r="J1318" t="s">
        <v>1275</v>
      </c>
      <c r="K1318" t="s">
        <v>1276</v>
      </c>
      <c r="L1318" t="s">
        <v>1277</v>
      </c>
      <c r="M1318" t="s">
        <v>1278</v>
      </c>
      <c r="N1318" t="s">
        <v>1279</v>
      </c>
      <c r="O1318" t="s">
        <v>1280</v>
      </c>
      <c r="P1318" t="s">
        <v>1281</v>
      </c>
      <c r="Q1318" t="s">
        <v>1282</v>
      </c>
      <c r="R1318" t="s">
        <v>1283</v>
      </c>
      <c r="S1318" t="s">
        <v>1284</v>
      </c>
    </row>
    <row r="1319" spans="1:19" x14ac:dyDescent="0.3">
      <c r="A1319" s="160">
        <v>13059</v>
      </c>
      <c r="B1319" t="s">
        <v>16482</v>
      </c>
      <c r="C1319" t="s">
        <v>1073</v>
      </c>
      <c r="D1319">
        <v>2</v>
      </c>
      <c r="E1319">
        <v>0</v>
      </c>
      <c r="F1319">
        <f t="shared" si="20"/>
        <v>2</v>
      </c>
      <c r="I1319">
        <v>20201101</v>
      </c>
      <c r="J1319" t="s">
        <v>1285</v>
      </c>
    </row>
    <row r="1320" spans="1:19" x14ac:dyDescent="0.3">
      <c r="A1320" s="160">
        <v>13060</v>
      </c>
      <c r="B1320" t="s">
        <v>16483</v>
      </c>
      <c r="C1320" t="s">
        <v>1073</v>
      </c>
      <c r="D1320">
        <v>2</v>
      </c>
      <c r="E1320">
        <v>0</v>
      </c>
      <c r="F1320">
        <f t="shared" si="20"/>
        <v>2</v>
      </c>
      <c r="I1320">
        <v>20201101</v>
      </c>
      <c r="J1320" t="s">
        <v>1234</v>
      </c>
      <c r="K1320" t="s">
        <v>1286</v>
      </c>
    </row>
    <row r="1321" spans="1:19" x14ac:dyDescent="0.3">
      <c r="A1321" s="160">
        <v>13061</v>
      </c>
      <c r="B1321" t="s">
        <v>16484</v>
      </c>
      <c r="C1321" t="s">
        <v>1142</v>
      </c>
      <c r="D1321">
        <v>0.8</v>
      </c>
      <c r="E1321">
        <v>0</v>
      </c>
      <c r="F1321">
        <f t="shared" si="20"/>
        <v>0.8</v>
      </c>
      <c r="I1321">
        <v>20240701</v>
      </c>
      <c r="J1321" t="s">
        <v>1183</v>
      </c>
    </row>
    <row r="1322" spans="1:19" x14ac:dyDescent="0.3">
      <c r="A1322" s="160">
        <v>13062</v>
      </c>
      <c r="B1322" t="s">
        <v>16485</v>
      </c>
      <c r="C1322" t="s">
        <v>1073</v>
      </c>
      <c r="D1322">
        <v>2</v>
      </c>
      <c r="E1322">
        <v>0</v>
      </c>
      <c r="F1322">
        <f t="shared" si="20"/>
        <v>2</v>
      </c>
      <c r="I1322">
        <v>20201101</v>
      </c>
      <c r="J1322" t="s">
        <v>1287</v>
      </c>
      <c r="K1322" t="s">
        <v>1233</v>
      </c>
      <c r="L1322" t="s">
        <v>1234</v>
      </c>
      <c r="M1322" t="s">
        <v>1236</v>
      </c>
    </row>
    <row r="1323" spans="1:19" x14ac:dyDescent="0.3">
      <c r="A1323" s="160">
        <v>13063</v>
      </c>
      <c r="B1323" t="s">
        <v>16486</v>
      </c>
      <c r="C1323" t="s">
        <v>1073</v>
      </c>
      <c r="D1323">
        <v>2</v>
      </c>
      <c r="E1323">
        <v>0</v>
      </c>
      <c r="F1323">
        <f t="shared" si="20"/>
        <v>2</v>
      </c>
      <c r="I1323">
        <v>20201101</v>
      </c>
      <c r="J1323" t="s">
        <v>1288</v>
      </c>
      <c r="K1323" t="s">
        <v>1289</v>
      </c>
      <c r="L1323" t="s">
        <v>1290</v>
      </c>
      <c r="M1323" t="s">
        <v>1291</v>
      </c>
    </row>
    <row r="1324" spans="1:19" x14ac:dyDescent="0.3">
      <c r="A1324" s="160">
        <v>13069</v>
      </c>
      <c r="B1324" t="s">
        <v>16487</v>
      </c>
      <c r="C1324" t="s">
        <v>1073</v>
      </c>
      <c r="D1324">
        <v>2</v>
      </c>
      <c r="E1324">
        <v>0</v>
      </c>
      <c r="F1324">
        <f t="shared" si="20"/>
        <v>2</v>
      </c>
      <c r="I1324">
        <v>20201101</v>
      </c>
      <c r="J1324" t="s">
        <v>1175</v>
      </c>
    </row>
    <row r="1325" spans="1:19" x14ac:dyDescent="0.3">
      <c r="A1325" s="160">
        <v>13070</v>
      </c>
      <c r="B1325" t="s">
        <v>16488</v>
      </c>
      <c r="C1325" t="s">
        <v>1073</v>
      </c>
      <c r="D1325">
        <v>2</v>
      </c>
      <c r="E1325">
        <v>0</v>
      </c>
      <c r="F1325">
        <f t="shared" si="20"/>
        <v>2</v>
      </c>
      <c r="I1325">
        <v>20170101</v>
      </c>
      <c r="J1325" t="s">
        <v>1292</v>
      </c>
      <c r="K1325" t="s">
        <v>1293</v>
      </c>
    </row>
    <row r="1326" spans="1:19" x14ac:dyDescent="0.3">
      <c r="A1326" s="160">
        <v>13071</v>
      </c>
      <c r="B1326" t="s">
        <v>16489</v>
      </c>
      <c r="C1326" t="s">
        <v>1073</v>
      </c>
      <c r="D1326">
        <v>2</v>
      </c>
      <c r="E1326">
        <v>0</v>
      </c>
      <c r="F1326">
        <f t="shared" si="20"/>
        <v>2</v>
      </c>
      <c r="I1326">
        <v>20201101</v>
      </c>
      <c r="J1326" t="s">
        <v>1294</v>
      </c>
      <c r="K1326" t="s">
        <v>1295</v>
      </c>
      <c r="L1326" t="s">
        <v>1296</v>
      </c>
      <c r="M1326" t="s">
        <v>1297</v>
      </c>
      <c r="N1326" t="s">
        <v>1298</v>
      </c>
    </row>
    <row r="1327" spans="1:19" x14ac:dyDescent="0.3">
      <c r="A1327" s="160">
        <v>13072</v>
      </c>
      <c r="B1327" t="s">
        <v>16490</v>
      </c>
      <c r="C1327" t="s">
        <v>1073</v>
      </c>
      <c r="D1327">
        <v>2</v>
      </c>
      <c r="E1327">
        <v>0</v>
      </c>
      <c r="F1327">
        <f t="shared" si="20"/>
        <v>2</v>
      </c>
      <c r="I1327">
        <v>20201101</v>
      </c>
      <c r="J1327" t="s">
        <v>1201</v>
      </c>
    </row>
    <row r="1328" spans="1:19" x14ac:dyDescent="0.3">
      <c r="A1328" s="160">
        <v>13073</v>
      </c>
      <c r="B1328" t="s">
        <v>16491</v>
      </c>
      <c r="C1328" t="s">
        <v>1073</v>
      </c>
      <c r="D1328">
        <v>2</v>
      </c>
      <c r="E1328">
        <v>0</v>
      </c>
      <c r="F1328">
        <f t="shared" si="20"/>
        <v>2</v>
      </c>
      <c r="I1328">
        <v>20170101</v>
      </c>
      <c r="J1328" t="s">
        <v>1299</v>
      </c>
    </row>
    <row r="1329" spans="1:16" x14ac:dyDescent="0.3">
      <c r="A1329" s="160">
        <v>13074</v>
      </c>
      <c r="B1329" t="s">
        <v>16492</v>
      </c>
      <c r="C1329" t="s">
        <v>1073</v>
      </c>
      <c r="D1329">
        <v>2</v>
      </c>
      <c r="E1329">
        <v>0</v>
      </c>
      <c r="F1329">
        <f t="shared" si="20"/>
        <v>2</v>
      </c>
      <c r="I1329">
        <v>20201101</v>
      </c>
      <c r="J1329" t="s">
        <v>1300</v>
      </c>
    </row>
    <row r="1330" spans="1:16" x14ac:dyDescent="0.3">
      <c r="A1330" s="160">
        <v>13075</v>
      </c>
      <c r="B1330" t="s">
        <v>16493</v>
      </c>
      <c r="C1330" t="s">
        <v>1073</v>
      </c>
      <c r="D1330">
        <v>2</v>
      </c>
      <c r="E1330">
        <v>0</v>
      </c>
      <c r="F1330">
        <f t="shared" si="20"/>
        <v>2</v>
      </c>
      <c r="I1330">
        <v>20201101</v>
      </c>
      <c r="J1330" t="s">
        <v>1301</v>
      </c>
      <c r="K1330" t="s">
        <v>1302</v>
      </c>
    </row>
    <row r="1331" spans="1:16" x14ac:dyDescent="0.3">
      <c r="A1331" s="160">
        <v>13077</v>
      </c>
      <c r="B1331" t="s">
        <v>16494</v>
      </c>
      <c r="C1331" t="s">
        <v>1073</v>
      </c>
      <c r="D1331">
        <v>2</v>
      </c>
      <c r="E1331">
        <v>0</v>
      </c>
      <c r="F1331">
        <f t="shared" si="20"/>
        <v>2</v>
      </c>
      <c r="I1331">
        <v>20201101</v>
      </c>
      <c r="J1331" t="s">
        <v>1303</v>
      </c>
      <c r="K1331" t="s">
        <v>1304</v>
      </c>
      <c r="L1331" t="s">
        <v>1305</v>
      </c>
      <c r="M1331" t="s">
        <v>1306</v>
      </c>
      <c r="N1331" t="s">
        <v>1307</v>
      </c>
      <c r="O1331" t="s">
        <v>1308</v>
      </c>
    </row>
    <row r="1332" spans="1:16" x14ac:dyDescent="0.3">
      <c r="A1332" s="160">
        <v>13078</v>
      </c>
      <c r="B1332" t="s">
        <v>16495</v>
      </c>
      <c r="C1332" t="s">
        <v>1073</v>
      </c>
      <c r="D1332">
        <v>2</v>
      </c>
      <c r="E1332">
        <v>0</v>
      </c>
      <c r="F1332">
        <f t="shared" si="20"/>
        <v>2</v>
      </c>
      <c r="I1332">
        <v>20201101</v>
      </c>
      <c r="J1332" t="s">
        <v>1309</v>
      </c>
      <c r="K1332" t="s">
        <v>1310</v>
      </c>
      <c r="L1332" t="s">
        <v>1311</v>
      </c>
      <c r="M1332" t="s">
        <v>1312</v>
      </c>
      <c r="N1332" t="s">
        <v>1313</v>
      </c>
      <c r="O1332" t="s">
        <v>1314</v>
      </c>
      <c r="P1332" t="s">
        <v>1315</v>
      </c>
    </row>
    <row r="1333" spans="1:16" x14ac:dyDescent="0.3">
      <c r="A1333" s="160">
        <v>13079</v>
      </c>
      <c r="B1333" t="s">
        <v>16496</v>
      </c>
      <c r="C1333" t="s">
        <v>1073</v>
      </c>
      <c r="D1333">
        <v>2</v>
      </c>
      <c r="E1333">
        <v>0</v>
      </c>
      <c r="F1333">
        <f t="shared" si="20"/>
        <v>2</v>
      </c>
      <c r="I1333">
        <v>20201101</v>
      </c>
      <c r="J1333" t="s">
        <v>1200</v>
      </c>
      <c r="K1333" t="s">
        <v>1316</v>
      </c>
    </row>
    <row r="1334" spans="1:16" x14ac:dyDescent="0.3">
      <c r="A1334" s="160">
        <v>13080</v>
      </c>
      <c r="B1334" t="s">
        <v>16497</v>
      </c>
      <c r="C1334" t="s">
        <v>1073</v>
      </c>
      <c r="D1334">
        <v>2</v>
      </c>
      <c r="E1334">
        <v>0</v>
      </c>
      <c r="F1334">
        <f t="shared" si="20"/>
        <v>2</v>
      </c>
      <c r="I1334">
        <v>20201101</v>
      </c>
      <c r="J1334" t="s">
        <v>1317</v>
      </c>
    </row>
    <row r="1335" spans="1:16" x14ac:dyDescent="0.3">
      <c r="A1335" s="160">
        <v>13081</v>
      </c>
      <c r="B1335" t="s">
        <v>16498</v>
      </c>
      <c r="C1335" t="s">
        <v>1073</v>
      </c>
      <c r="D1335">
        <v>2</v>
      </c>
      <c r="E1335">
        <v>0</v>
      </c>
      <c r="F1335">
        <f t="shared" si="20"/>
        <v>2</v>
      </c>
      <c r="I1335">
        <v>20201101</v>
      </c>
      <c r="J1335" t="s">
        <v>1318</v>
      </c>
      <c r="K1335" t="s">
        <v>1319</v>
      </c>
    </row>
    <row r="1336" spans="1:16" x14ac:dyDescent="0.3">
      <c r="A1336" s="160">
        <v>13082</v>
      </c>
      <c r="B1336" t="s">
        <v>16499</v>
      </c>
      <c r="C1336" t="s">
        <v>1073</v>
      </c>
      <c r="D1336">
        <v>2</v>
      </c>
      <c r="E1336">
        <v>0</v>
      </c>
      <c r="F1336">
        <f t="shared" si="20"/>
        <v>2</v>
      </c>
      <c r="I1336">
        <v>20201101</v>
      </c>
      <c r="J1336" t="s">
        <v>1320</v>
      </c>
    </row>
    <row r="1337" spans="1:16" x14ac:dyDescent="0.3">
      <c r="A1337" s="160">
        <v>13084</v>
      </c>
      <c r="B1337" t="s">
        <v>16500</v>
      </c>
      <c r="C1337" t="s">
        <v>1073</v>
      </c>
      <c r="D1337">
        <v>2</v>
      </c>
      <c r="E1337">
        <v>0</v>
      </c>
      <c r="F1337">
        <f t="shared" si="20"/>
        <v>2</v>
      </c>
      <c r="I1337">
        <v>20201101</v>
      </c>
      <c r="J1337" t="s">
        <v>1321</v>
      </c>
    </row>
    <row r="1338" spans="1:16" x14ac:dyDescent="0.3">
      <c r="A1338" s="160">
        <v>13085</v>
      </c>
      <c r="B1338" t="s">
        <v>16501</v>
      </c>
      <c r="C1338" t="s">
        <v>1073</v>
      </c>
      <c r="D1338">
        <v>2</v>
      </c>
      <c r="E1338">
        <v>0</v>
      </c>
      <c r="F1338">
        <f t="shared" si="20"/>
        <v>2</v>
      </c>
      <c r="I1338">
        <v>20201101</v>
      </c>
      <c r="J1338" t="s">
        <v>1322</v>
      </c>
    </row>
    <row r="1339" spans="1:16" x14ac:dyDescent="0.3">
      <c r="A1339" s="160">
        <v>13086</v>
      </c>
      <c r="B1339" t="s">
        <v>16502</v>
      </c>
      <c r="C1339" t="s">
        <v>1073</v>
      </c>
      <c r="D1339">
        <v>2</v>
      </c>
      <c r="E1339">
        <v>0</v>
      </c>
      <c r="F1339">
        <f t="shared" si="20"/>
        <v>2</v>
      </c>
      <c r="I1339">
        <v>20170101</v>
      </c>
      <c r="J1339" t="s">
        <v>1323</v>
      </c>
      <c r="K1339" t="s">
        <v>1324</v>
      </c>
    </row>
    <row r="1340" spans="1:16" x14ac:dyDescent="0.3">
      <c r="A1340" s="160">
        <v>13087</v>
      </c>
      <c r="B1340" t="s">
        <v>16503</v>
      </c>
      <c r="C1340" t="s">
        <v>1073</v>
      </c>
      <c r="D1340">
        <v>2</v>
      </c>
      <c r="E1340">
        <v>0</v>
      </c>
      <c r="F1340">
        <f t="shared" si="20"/>
        <v>2</v>
      </c>
      <c r="I1340">
        <v>20201101</v>
      </c>
      <c r="J1340" t="s">
        <v>1325</v>
      </c>
      <c r="K1340" t="s">
        <v>1200</v>
      </c>
      <c r="L1340" t="s">
        <v>1201</v>
      </c>
    </row>
    <row r="1341" spans="1:16" x14ac:dyDescent="0.3">
      <c r="A1341" s="160">
        <v>13088</v>
      </c>
      <c r="B1341" t="s">
        <v>16504</v>
      </c>
      <c r="C1341" t="s">
        <v>1073</v>
      </c>
      <c r="D1341">
        <v>2</v>
      </c>
      <c r="E1341">
        <v>0</v>
      </c>
      <c r="F1341">
        <f t="shared" si="20"/>
        <v>2</v>
      </c>
      <c r="I1341">
        <v>20201101</v>
      </c>
      <c r="J1341" t="s">
        <v>1326</v>
      </c>
      <c r="K1341" t="s">
        <v>1136</v>
      </c>
    </row>
    <row r="1342" spans="1:16" x14ac:dyDescent="0.3">
      <c r="A1342" s="160">
        <v>13090</v>
      </c>
      <c r="B1342" t="s">
        <v>16505</v>
      </c>
      <c r="C1342" t="s">
        <v>1073</v>
      </c>
      <c r="D1342">
        <v>2</v>
      </c>
      <c r="E1342">
        <v>0</v>
      </c>
      <c r="F1342">
        <f t="shared" si="20"/>
        <v>2</v>
      </c>
      <c r="I1342">
        <v>20201101</v>
      </c>
      <c r="J1342" t="s">
        <v>1088</v>
      </c>
    </row>
    <row r="1343" spans="1:16" x14ac:dyDescent="0.3">
      <c r="A1343" s="160">
        <v>13091</v>
      </c>
      <c r="B1343" t="s">
        <v>16506</v>
      </c>
      <c r="C1343" t="s">
        <v>1073</v>
      </c>
      <c r="D1343">
        <v>2</v>
      </c>
      <c r="E1343">
        <v>0</v>
      </c>
      <c r="F1343">
        <f t="shared" si="20"/>
        <v>2</v>
      </c>
      <c r="I1343">
        <v>20201101</v>
      </c>
      <c r="J1343" t="s">
        <v>1327</v>
      </c>
    </row>
    <row r="1344" spans="1:16" x14ac:dyDescent="0.3">
      <c r="A1344" s="160">
        <v>13092</v>
      </c>
      <c r="B1344" t="s">
        <v>16507</v>
      </c>
      <c r="C1344" t="s">
        <v>1073</v>
      </c>
      <c r="D1344">
        <v>2</v>
      </c>
      <c r="E1344">
        <v>0</v>
      </c>
      <c r="F1344">
        <f t="shared" si="20"/>
        <v>2</v>
      </c>
      <c r="I1344">
        <v>20201101</v>
      </c>
      <c r="J1344" t="s">
        <v>1212</v>
      </c>
    </row>
    <row r="1345" spans="1:24" x14ac:dyDescent="0.3">
      <c r="A1345" s="160">
        <v>13093</v>
      </c>
      <c r="B1345" t="s">
        <v>16508</v>
      </c>
      <c r="C1345" t="s">
        <v>1073</v>
      </c>
      <c r="D1345">
        <v>2</v>
      </c>
      <c r="E1345">
        <v>0</v>
      </c>
      <c r="F1345">
        <f t="shared" si="20"/>
        <v>2</v>
      </c>
      <c r="I1345">
        <v>20201101</v>
      </c>
      <c r="J1345" t="s">
        <v>1317</v>
      </c>
    </row>
    <row r="1346" spans="1:24" x14ac:dyDescent="0.3">
      <c r="A1346" s="160">
        <v>13095</v>
      </c>
      <c r="B1346" t="s">
        <v>16509</v>
      </c>
      <c r="C1346" t="s">
        <v>1073</v>
      </c>
      <c r="D1346">
        <v>2</v>
      </c>
      <c r="E1346">
        <v>0</v>
      </c>
      <c r="F1346">
        <f t="shared" si="20"/>
        <v>2</v>
      </c>
      <c r="I1346">
        <v>20201101</v>
      </c>
      <c r="J1346" t="s">
        <v>1088</v>
      </c>
      <c r="K1346" t="s">
        <v>1090</v>
      </c>
      <c r="L1346" t="s">
        <v>1137</v>
      </c>
    </row>
    <row r="1347" spans="1:24" x14ac:dyDescent="0.3">
      <c r="A1347" s="160">
        <v>13096</v>
      </c>
      <c r="B1347" t="s">
        <v>16510</v>
      </c>
      <c r="C1347" t="s">
        <v>1142</v>
      </c>
      <c r="D1347">
        <v>0.8</v>
      </c>
      <c r="E1347">
        <v>0</v>
      </c>
      <c r="F1347">
        <f t="shared" si="20"/>
        <v>0.8</v>
      </c>
      <c r="I1347">
        <v>20240701</v>
      </c>
      <c r="J1347" t="s">
        <v>1328</v>
      </c>
      <c r="K1347" t="s">
        <v>1329</v>
      </c>
      <c r="L1347" t="s">
        <v>1330</v>
      </c>
    </row>
    <row r="1348" spans="1:24" x14ac:dyDescent="0.3">
      <c r="A1348" s="160">
        <v>13097</v>
      </c>
      <c r="B1348" t="s">
        <v>16511</v>
      </c>
      <c r="C1348" t="s">
        <v>1142</v>
      </c>
      <c r="D1348">
        <v>0.8</v>
      </c>
      <c r="E1348">
        <v>0</v>
      </c>
      <c r="F1348">
        <f t="shared" si="20"/>
        <v>0.8</v>
      </c>
      <c r="I1348">
        <v>20240701</v>
      </c>
      <c r="J1348" t="s">
        <v>1331</v>
      </c>
      <c r="K1348" t="s">
        <v>1332</v>
      </c>
      <c r="L1348" t="s">
        <v>1333</v>
      </c>
      <c r="M1348" t="s">
        <v>1334</v>
      </c>
    </row>
    <row r="1349" spans="1:24" x14ac:dyDescent="0.3">
      <c r="A1349" s="160">
        <v>13098</v>
      </c>
      <c r="B1349" t="s">
        <v>16512</v>
      </c>
      <c r="C1349" t="s">
        <v>1073</v>
      </c>
      <c r="D1349">
        <v>2</v>
      </c>
      <c r="E1349">
        <v>0</v>
      </c>
      <c r="F1349">
        <f t="shared" si="20"/>
        <v>2</v>
      </c>
      <c r="I1349">
        <v>20201101</v>
      </c>
      <c r="J1349" t="s">
        <v>1335</v>
      </c>
    </row>
    <row r="1350" spans="1:24" x14ac:dyDescent="0.3">
      <c r="A1350" s="160">
        <v>13099</v>
      </c>
      <c r="B1350" t="s">
        <v>16513</v>
      </c>
      <c r="C1350" t="s">
        <v>1073</v>
      </c>
      <c r="D1350">
        <v>2</v>
      </c>
      <c r="E1350">
        <v>0</v>
      </c>
      <c r="F1350">
        <f t="shared" si="20"/>
        <v>2</v>
      </c>
      <c r="I1350">
        <v>20201101</v>
      </c>
      <c r="J1350" t="s">
        <v>1336</v>
      </c>
      <c r="K1350" t="s">
        <v>1337</v>
      </c>
      <c r="L1350" t="s">
        <v>1338</v>
      </c>
    </row>
    <row r="1351" spans="1:24" x14ac:dyDescent="0.3">
      <c r="A1351" s="160">
        <v>13101</v>
      </c>
      <c r="B1351" t="s">
        <v>16514</v>
      </c>
      <c r="C1351" t="s">
        <v>1073</v>
      </c>
      <c r="D1351">
        <v>2</v>
      </c>
      <c r="E1351">
        <v>0</v>
      </c>
      <c r="F1351">
        <f t="shared" ref="F1351:F1414" si="21">D1351+E1351</f>
        <v>2</v>
      </c>
      <c r="I1351">
        <v>20170101</v>
      </c>
      <c r="J1351" t="s">
        <v>1339</v>
      </c>
    </row>
    <row r="1352" spans="1:24" x14ac:dyDescent="0.3">
      <c r="A1352" s="160">
        <v>13102</v>
      </c>
      <c r="B1352" t="s">
        <v>16515</v>
      </c>
      <c r="C1352" t="s">
        <v>1073</v>
      </c>
      <c r="D1352">
        <v>2</v>
      </c>
      <c r="E1352">
        <v>0</v>
      </c>
      <c r="F1352">
        <f t="shared" si="21"/>
        <v>2</v>
      </c>
      <c r="I1352">
        <v>20201101</v>
      </c>
      <c r="J1352" t="s">
        <v>1269</v>
      </c>
      <c r="K1352" t="s">
        <v>1242</v>
      </c>
      <c r="L1352" t="s">
        <v>1270</v>
      </c>
      <c r="M1352" t="s">
        <v>1271</v>
      </c>
      <c r="N1352" t="s">
        <v>1245</v>
      </c>
      <c r="O1352" t="s">
        <v>1340</v>
      </c>
    </row>
    <row r="1353" spans="1:24" x14ac:dyDescent="0.3">
      <c r="A1353" s="160">
        <v>13103</v>
      </c>
      <c r="B1353" t="s">
        <v>16516</v>
      </c>
      <c r="C1353" t="s">
        <v>1073</v>
      </c>
      <c r="D1353">
        <v>2</v>
      </c>
      <c r="E1353">
        <v>0</v>
      </c>
      <c r="F1353">
        <f t="shared" si="21"/>
        <v>2</v>
      </c>
      <c r="I1353">
        <v>20201101</v>
      </c>
      <c r="J1353" t="s">
        <v>1341</v>
      </c>
      <c r="K1353" t="s">
        <v>1342</v>
      </c>
      <c r="L1353" t="s">
        <v>1343</v>
      </c>
      <c r="M1353" t="s">
        <v>1344</v>
      </c>
      <c r="N1353" t="s">
        <v>1345</v>
      </c>
      <c r="O1353" t="s">
        <v>1265</v>
      </c>
      <c r="P1353" t="s">
        <v>1266</v>
      </c>
      <c r="Q1353" t="s">
        <v>1346</v>
      </c>
      <c r="R1353" t="s">
        <v>1347</v>
      </c>
      <c r="S1353" t="s">
        <v>1348</v>
      </c>
      <c r="T1353" t="s">
        <v>1349</v>
      </c>
      <c r="U1353" t="s">
        <v>1247</v>
      </c>
      <c r="V1353" t="s">
        <v>1248</v>
      </c>
      <c r="W1353" t="s">
        <v>1249</v>
      </c>
      <c r="X1353" t="s">
        <v>1213</v>
      </c>
    </row>
    <row r="1354" spans="1:24" x14ac:dyDescent="0.3">
      <c r="A1354" s="160">
        <v>13104</v>
      </c>
      <c r="B1354" t="s">
        <v>16517</v>
      </c>
      <c r="C1354" t="s">
        <v>1073</v>
      </c>
      <c r="D1354">
        <v>2</v>
      </c>
      <c r="E1354">
        <v>0</v>
      </c>
      <c r="F1354">
        <f t="shared" si="21"/>
        <v>2</v>
      </c>
      <c r="I1354">
        <v>20201101</v>
      </c>
      <c r="J1354" t="s">
        <v>1350</v>
      </c>
    </row>
    <row r="1355" spans="1:24" x14ac:dyDescent="0.3">
      <c r="A1355" s="160">
        <v>13105</v>
      </c>
      <c r="B1355" t="s">
        <v>16518</v>
      </c>
      <c r="C1355" t="s">
        <v>1073</v>
      </c>
      <c r="D1355">
        <v>2</v>
      </c>
      <c r="E1355">
        <v>0</v>
      </c>
      <c r="F1355">
        <f t="shared" si="21"/>
        <v>2</v>
      </c>
      <c r="I1355">
        <v>20201101</v>
      </c>
      <c r="J1355" t="s">
        <v>1351</v>
      </c>
    </row>
    <row r="1356" spans="1:24" x14ac:dyDescent="0.3">
      <c r="A1356" s="160">
        <v>13106</v>
      </c>
      <c r="B1356" t="s">
        <v>16519</v>
      </c>
      <c r="C1356" t="s">
        <v>1073</v>
      </c>
      <c r="D1356">
        <v>2</v>
      </c>
      <c r="E1356">
        <v>0</v>
      </c>
      <c r="F1356">
        <f t="shared" si="21"/>
        <v>2</v>
      </c>
      <c r="I1356">
        <v>20201101</v>
      </c>
      <c r="J1356" t="s">
        <v>1352</v>
      </c>
    </row>
    <row r="1357" spans="1:24" x14ac:dyDescent="0.3">
      <c r="A1357" s="160">
        <v>13107</v>
      </c>
      <c r="B1357" t="s">
        <v>16520</v>
      </c>
      <c r="C1357" t="s">
        <v>1073</v>
      </c>
      <c r="D1357">
        <v>2</v>
      </c>
      <c r="E1357">
        <v>0</v>
      </c>
      <c r="F1357">
        <f t="shared" si="21"/>
        <v>2</v>
      </c>
      <c r="I1357">
        <v>20201101</v>
      </c>
      <c r="J1357" t="s">
        <v>1353</v>
      </c>
    </row>
    <row r="1358" spans="1:24" x14ac:dyDescent="0.3">
      <c r="A1358" s="160">
        <v>13108</v>
      </c>
      <c r="B1358" t="s">
        <v>16521</v>
      </c>
      <c r="C1358" t="s">
        <v>1142</v>
      </c>
      <c r="D1358">
        <v>0.8</v>
      </c>
      <c r="E1358">
        <v>0</v>
      </c>
      <c r="F1358">
        <f t="shared" si="21"/>
        <v>0.8</v>
      </c>
      <c r="I1358">
        <v>20240701</v>
      </c>
      <c r="J1358" t="s">
        <v>1183</v>
      </c>
      <c r="K1358" t="s">
        <v>1354</v>
      </c>
      <c r="L1358" t="s">
        <v>1355</v>
      </c>
      <c r="M1358" t="s">
        <v>1356</v>
      </c>
      <c r="N1358" t="s">
        <v>1357</v>
      </c>
      <c r="O1358" t="s">
        <v>1358</v>
      </c>
      <c r="P1358" t="s">
        <v>1359</v>
      </c>
      <c r="Q1358" t="s">
        <v>1360</v>
      </c>
    </row>
    <row r="1359" spans="1:24" x14ac:dyDescent="0.3">
      <c r="A1359" s="160">
        <v>13109</v>
      </c>
      <c r="B1359" t="s">
        <v>16522</v>
      </c>
      <c r="C1359" t="s">
        <v>1073</v>
      </c>
      <c r="D1359">
        <v>2</v>
      </c>
      <c r="E1359">
        <v>0</v>
      </c>
      <c r="F1359">
        <f t="shared" si="21"/>
        <v>2</v>
      </c>
      <c r="I1359">
        <v>20201101</v>
      </c>
      <c r="J1359" t="s">
        <v>1088</v>
      </c>
      <c r="K1359" t="s">
        <v>1090</v>
      </c>
      <c r="L1359" t="s">
        <v>1091</v>
      </c>
      <c r="M1359" t="s">
        <v>1361</v>
      </c>
    </row>
    <row r="1360" spans="1:24" x14ac:dyDescent="0.3">
      <c r="A1360" s="160">
        <v>13110</v>
      </c>
      <c r="B1360" t="s">
        <v>16523</v>
      </c>
      <c r="C1360" t="s">
        <v>1073</v>
      </c>
      <c r="D1360">
        <v>2</v>
      </c>
      <c r="E1360">
        <v>0</v>
      </c>
      <c r="F1360">
        <f t="shared" si="21"/>
        <v>2</v>
      </c>
      <c r="I1360">
        <v>20201101</v>
      </c>
      <c r="J1360" t="s">
        <v>1362</v>
      </c>
    </row>
    <row r="1361" spans="1:45" x14ac:dyDescent="0.3">
      <c r="A1361" s="160">
        <v>13111</v>
      </c>
      <c r="B1361" t="s">
        <v>16524</v>
      </c>
      <c r="C1361" t="s">
        <v>1073</v>
      </c>
      <c r="D1361">
        <v>2</v>
      </c>
      <c r="E1361">
        <v>0</v>
      </c>
      <c r="F1361">
        <f t="shared" si="21"/>
        <v>2</v>
      </c>
      <c r="I1361">
        <v>20201101</v>
      </c>
      <c r="J1361" t="s">
        <v>1363</v>
      </c>
    </row>
    <row r="1362" spans="1:45" x14ac:dyDescent="0.3">
      <c r="A1362" s="160">
        <v>13112</v>
      </c>
      <c r="B1362" t="s">
        <v>16525</v>
      </c>
      <c r="C1362" t="s">
        <v>1073</v>
      </c>
      <c r="D1362">
        <v>2</v>
      </c>
      <c r="E1362">
        <v>0</v>
      </c>
      <c r="F1362">
        <f t="shared" si="21"/>
        <v>2</v>
      </c>
      <c r="I1362">
        <v>20201101</v>
      </c>
      <c r="J1362" t="s">
        <v>1364</v>
      </c>
    </row>
    <row r="1363" spans="1:45" x14ac:dyDescent="0.3">
      <c r="A1363" s="160">
        <v>13113</v>
      </c>
      <c r="B1363" t="s">
        <v>16526</v>
      </c>
      <c r="C1363" t="s">
        <v>1073</v>
      </c>
      <c r="D1363">
        <v>2</v>
      </c>
      <c r="E1363">
        <v>0</v>
      </c>
      <c r="F1363">
        <f t="shared" si="21"/>
        <v>2</v>
      </c>
      <c r="I1363">
        <v>20201101</v>
      </c>
      <c r="J1363" t="s">
        <v>1365</v>
      </c>
    </row>
    <row r="1364" spans="1:45" x14ac:dyDescent="0.3">
      <c r="A1364" s="160">
        <v>13114</v>
      </c>
      <c r="B1364" t="s">
        <v>16527</v>
      </c>
      <c r="C1364" t="s">
        <v>1073</v>
      </c>
      <c r="D1364">
        <v>2</v>
      </c>
      <c r="E1364">
        <v>0</v>
      </c>
      <c r="F1364">
        <f t="shared" si="21"/>
        <v>2</v>
      </c>
      <c r="I1364">
        <v>20201101</v>
      </c>
      <c r="J1364" t="s">
        <v>1366</v>
      </c>
    </row>
    <row r="1365" spans="1:45" x14ac:dyDescent="0.3">
      <c r="A1365" s="160">
        <v>13115</v>
      </c>
      <c r="B1365" t="s">
        <v>16528</v>
      </c>
      <c r="C1365" t="s">
        <v>1073</v>
      </c>
      <c r="D1365">
        <v>2</v>
      </c>
      <c r="E1365">
        <v>0</v>
      </c>
      <c r="F1365">
        <f t="shared" si="21"/>
        <v>2</v>
      </c>
      <c r="I1365">
        <v>20201101</v>
      </c>
      <c r="J1365" t="s">
        <v>1367</v>
      </c>
    </row>
    <row r="1366" spans="1:45" x14ac:dyDescent="0.3">
      <c r="A1366" s="160">
        <v>13117</v>
      </c>
      <c r="B1366" t="s">
        <v>15885</v>
      </c>
      <c r="C1366" t="s">
        <v>1073</v>
      </c>
      <c r="D1366">
        <v>2</v>
      </c>
      <c r="E1366">
        <v>0</v>
      </c>
      <c r="F1366">
        <f t="shared" si="21"/>
        <v>2</v>
      </c>
      <c r="I1366">
        <v>20201101</v>
      </c>
      <c r="J1366" t="s">
        <v>1368</v>
      </c>
      <c r="K1366" t="s">
        <v>1369</v>
      </c>
      <c r="L1366" t="s">
        <v>1370</v>
      </c>
      <c r="M1366" t="s">
        <v>1371</v>
      </c>
      <c r="N1366" t="s">
        <v>1372</v>
      </c>
      <c r="O1366" t="s">
        <v>1373</v>
      </c>
      <c r="P1366" t="s">
        <v>1374</v>
      </c>
      <c r="Q1366" t="s">
        <v>1375</v>
      </c>
      <c r="R1366" t="s">
        <v>1376</v>
      </c>
      <c r="S1366" t="s">
        <v>1377</v>
      </c>
      <c r="T1366" t="s">
        <v>1378</v>
      </c>
      <c r="U1366" t="s">
        <v>1379</v>
      </c>
      <c r="V1366" t="s">
        <v>1380</v>
      </c>
      <c r="W1366" t="s">
        <v>1381</v>
      </c>
      <c r="X1366" t="s">
        <v>1382</v>
      </c>
      <c r="Y1366" t="s">
        <v>1383</v>
      </c>
      <c r="Z1366" t="s">
        <v>1384</v>
      </c>
    </row>
    <row r="1367" spans="1:45" x14ac:dyDescent="0.3">
      <c r="A1367" s="160">
        <v>13118</v>
      </c>
      <c r="B1367" t="s">
        <v>16529</v>
      </c>
      <c r="C1367" t="s">
        <v>1073</v>
      </c>
      <c r="D1367">
        <v>2</v>
      </c>
      <c r="E1367">
        <v>0</v>
      </c>
      <c r="F1367">
        <f t="shared" si="21"/>
        <v>2</v>
      </c>
      <c r="I1367">
        <v>20201101</v>
      </c>
      <c r="J1367" t="s">
        <v>1385</v>
      </c>
    </row>
    <row r="1368" spans="1:45" x14ac:dyDescent="0.3">
      <c r="A1368" s="160">
        <v>13119</v>
      </c>
      <c r="B1368" t="s">
        <v>16530</v>
      </c>
      <c r="C1368" t="s">
        <v>1073</v>
      </c>
      <c r="D1368">
        <v>2</v>
      </c>
      <c r="E1368">
        <v>0</v>
      </c>
      <c r="F1368">
        <f t="shared" si="21"/>
        <v>2</v>
      </c>
      <c r="I1368">
        <v>20201101</v>
      </c>
      <c r="J1368" t="s">
        <v>1386</v>
      </c>
      <c r="K1368" t="s">
        <v>1387</v>
      </c>
      <c r="L1368" t="s">
        <v>1195</v>
      </c>
    </row>
    <row r="1369" spans="1:45" x14ac:dyDescent="0.3">
      <c r="A1369" s="160">
        <v>13201</v>
      </c>
      <c r="B1369" t="s">
        <v>16531</v>
      </c>
      <c r="C1369" t="s">
        <v>1073</v>
      </c>
      <c r="D1369">
        <v>2</v>
      </c>
      <c r="E1369">
        <v>0</v>
      </c>
      <c r="F1369">
        <f t="shared" si="21"/>
        <v>2</v>
      </c>
      <c r="I1369">
        <v>20201101</v>
      </c>
      <c r="J1369" t="s">
        <v>1388</v>
      </c>
      <c r="K1369" t="s">
        <v>1389</v>
      </c>
      <c r="L1369" t="s">
        <v>1390</v>
      </c>
      <c r="M1369" t="s">
        <v>1391</v>
      </c>
      <c r="N1369" t="s">
        <v>1392</v>
      </c>
      <c r="O1369" t="s">
        <v>1393</v>
      </c>
      <c r="P1369" t="s">
        <v>1394</v>
      </c>
      <c r="Q1369" t="s">
        <v>1395</v>
      </c>
      <c r="R1369" t="s">
        <v>1396</v>
      </c>
      <c r="S1369" t="s">
        <v>1397</v>
      </c>
      <c r="T1369" t="s">
        <v>1398</v>
      </c>
      <c r="U1369" t="s">
        <v>1399</v>
      </c>
      <c r="V1369" t="s">
        <v>1400</v>
      </c>
      <c r="W1369" t="s">
        <v>1401</v>
      </c>
      <c r="X1369" t="s">
        <v>1402</v>
      </c>
      <c r="Y1369" t="s">
        <v>1403</v>
      </c>
      <c r="Z1369" t="s">
        <v>1404</v>
      </c>
      <c r="AA1369" t="s">
        <v>1405</v>
      </c>
      <c r="AB1369" t="s">
        <v>1406</v>
      </c>
      <c r="AC1369" t="s">
        <v>1407</v>
      </c>
      <c r="AD1369" t="s">
        <v>1408</v>
      </c>
      <c r="AE1369" t="s">
        <v>1409</v>
      </c>
      <c r="AF1369" t="s">
        <v>1410</v>
      </c>
      <c r="AG1369" t="s">
        <v>1411</v>
      </c>
      <c r="AH1369" t="s">
        <v>1412</v>
      </c>
      <c r="AI1369" t="s">
        <v>1413</v>
      </c>
      <c r="AJ1369" t="s">
        <v>1414</v>
      </c>
      <c r="AK1369" t="s">
        <v>1415</v>
      </c>
      <c r="AL1369" t="s">
        <v>1416</v>
      </c>
      <c r="AM1369" t="s">
        <v>1417</v>
      </c>
      <c r="AN1369" t="s">
        <v>1418</v>
      </c>
    </row>
    <row r="1370" spans="1:45" x14ac:dyDescent="0.3">
      <c r="A1370" s="160">
        <v>13202</v>
      </c>
      <c r="B1370" t="s">
        <v>16532</v>
      </c>
      <c r="C1370" t="s">
        <v>1073</v>
      </c>
      <c r="D1370">
        <v>2</v>
      </c>
      <c r="E1370">
        <v>0</v>
      </c>
      <c r="F1370">
        <f t="shared" si="21"/>
        <v>2</v>
      </c>
      <c r="I1370">
        <v>20201101</v>
      </c>
      <c r="J1370" t="s">
        <v>1419</v>
      </c>
      <c r="K1370" t="s">
        <v>1391</v>
      </c>
      <c r="L1370" t="s">
        <v>1420</v>
      </c>
      <c r="M1370" t="s">
        <v>1394</v>
      </c>
      <c r="N1370" t="s">
        <v>1395</v>
      </c>
      <c r="O1370" t="s">
        <v>1396</v>
      </c>
      <c r="P1370" t="s">
        <v>1399</v>
      </c>
      <c r="Q1370" t="s">
        <v>1421</v>
      </c>
      <c r="R1370" t="s">
        <v>1422</v>
      </c>
      <c r="S1370" t="s">
        <v>1423</v>
      </c>
      <c r="T1370" t="s">
        <v>1424</v>
      </c>
      <c r="U1370" t="s">
        <v>1400</v>
      </c>
      <c r="V1370" t="s">
        <v>1425</v>
      </c>
      <c r="W1370" t="s">
        <v>1426</v>
      </c>
      <c r="X1370" t="s">
        <v>1427</v>
      </c>
      <c r="Y1370" t="s">
        <v>1428</v>
      </c>
      <c r="Z1370" t="s">
        <v>1405</v>
      </c>
      <c r="AA1370" t="s">
        <v>1429</v>
      </c>
      <c r="AB1370" t="s">
        <v>1430</v>
      </c>
      <c r="AC1370" t="s">
        <v>1407</v>
      </c>
      <c r="AD1370" t="s">
        <v>1431</v>
      </c>
      <c r="AE1370" t="s">
        <v>1432</v>
      </c>
      <c r="AF1370" t="s">
        <v>1433</v>
      </c>
      <c r="AG1370" t="s">
        <v>1434</v>
      </c>
      <c r="AH1370" t="s">
        <v>1435</v>
      </c>
      <c r="AI1370" t="s">
        <v>1436</v>
      </c>
      <c r="AJ1370" t="s">
        <v>1417</v>
      </c>
      <c r="AK1370" t="s">
        <v>1437</v>
      </c>
      <c r="AL1370" t="s">
        <v>1438</v>
      </c>
      <c r="AM1370" t="s">
        <v>1439</v>
      </c>
      <c r="AN1370" t="s">
        <v>1440</v>
      </c>
      <c r="AO1370" t="s">
        <v>1441</v>
      </c>
      <c r="AP1370" t="s">
        <v>1442</v>
      </c>
      <c r="AQ1370" t="s">
        <v>1443</v>
      </c>
      <c r="AR1370" t="s">
        <v>1444</v>
      </c>
      <c r="AS1370" t="s">
        <v>1445</v>
      </c>
    </row>
    <row r="1371" spans="1:45" x14ac:dyDescent="0.3">
      <c r="A1371" s="160">
        <v>13203</v>
      </c>
      <c r="B1371" t="s">
        <v>16533</v>
      </c>
      <c r="C1371" t="s">
        <v>1073</v>
      </c>
      <c r="D1371">
        <v>2</v>
      </c>
      <c r="E1371">
        <v>0</v>
      </c>
      <c r="F1371">
        <f t="shared" si="21"/>
        <v>2</v>
      </c>
      <c r="I1371">
        <v>20201101</v>
      </c>
      <c r="J1371" t="s">
        <v>1446</v>
      </c>
      <c r="K1371" t="s">
        <v>1395</v>
      </c>
      <c r="L1371" t="s">
        <v>1396</v>
      </c>
      <c r="M1371" t="s">
        <v>1421</v>
      </c>
      <c r="N1371" t="s">
        <v>1447</v>
      </c>
      <c r="O1371" t="s">
        <v>1448</v>
      </c>
      <c r="P1371" t="s">
        <v>1449</v>
      </c>
      <c r="Q1371" t="s">
        <v>1450</v>
      </c>
      <c r="R1371" t="s">
        <v>1451</v>
      </c>
      <c r="S1371" t="s">
        <v>1452</v>
      </c>
      <c r="T1371" t="s">
        <v>1453</v>
      </c>
      <c r="U1371" t="s">
        <v>1454</v>
      </c>
      <c r="V1371" t="s">
        <v>1455</v>
      </c>
      <c r="W1371" t="s">
        <v>1456</v>
      </c>
      <c r="X1371" t="s">
        <v>1457</v>
      </c>
      <c r="Y1371" t="s">
        <v>1458</v>
      </c>
      <c r="Z1371" t="s">
        <v>1417</v>
      </c>
      <c r="AA1371" t="s">
        <v>1443</v>
      </c>
      <c r="AB1371" t="s">
        <v>1459</v>
      </c>
    </row>
    <row r="1372" spans="1:45" x14ac:dyDescent="0.3">
      <c r="A1372" s="160">
        <v>13204</v>
      </c>
      <c r="B1372" t="s">
        <v>16534</v>
      </c>
      <c r="C1372" t="s">
        <v>1073</v>
      </c>
      <c r="D1372">
        <v>2</v>
      </c>
      <c r="E1372">
        <v>0</v>
      </c>
      <c r="F1372">
        <f t="shared" si="21"/>
        <v>2</v>
      </c>
      <c r="I1372">
        <v>20201101</v>
      </c>
      <c r="J1372" t="s">
        <v>1460</v>
      </c>
      <c r="K1372" t="s">
        <v>1461</v>
      </c>
      <c r="L1372" t="s">
        <v>1462</v>
      </c>
      <c r="M1372" t="s">
        <v>1463</v>
      </c>
      <c r="N1372" t="s">
        <v>1410</v>
      </c>
      <c r="O1372" t="s">
        <v>1431</v>
      </c>
      <c r="P1372" t="s">
        <v>1464</v>
      </c>
    </row>
    <row r="1373" spans="1:45" x14ac:dyDescent="0.3">
      <c r="A1373" s="160">
        <v>13205</v>
      </c>
      <c r="B1373" t="s">
        <v>16535</v>
      </c>
      <c r="C1373" t="s">
        <v>1073</v>
      </c>
      <c r="D1373">
        <v>2</v>
      </c>
      <c r="E1373">
        <v>0</v>
      </c>
      <c r="F1373">
        <f t="shared" si="21"/>
        <v>2</v>
      </c>
      <c r="I1373">
        <v>20201101</v>
      </c>
      <c r="J1373" t="s">
        <v>1465</v>
      </c>
      <c r="K1373" t="s">
        <v>1409</v>
      </c>
      <c r="L1373" t="s">
        <v>1466</v>
      </c>
      <c r="M1373" t="s">
        <v>1467</v>
      </c>
      <c r="N1373" t="s">
        <v>1468</v>
      </c>
      <c r="O1373" t="s">
        <v>1469</v>
      </c>
      <c r="P1373" t="s">
        <v>1470</v>
      </c>
      <c r="Q1373" t="s">
        <v>1471</v>
      </c>
      <c r="R1373" t="s">
        <v>1472</v>
      </c>
      <c r="S1373" t="s">
        <v>1473</v>
      </c>
      <c r="T1373" t="s">
        <v>1474</v>
      </c>
    </row>
    <row r="1374" spans="1:45" x14ac:dyDescent="0.3">
      <c r="A1374" s="160">
        <v>13206</v>
      </c>
      <c r="B1374" t="s">
        <v>16536</v>
      </c>
      <c r="C1374" t="s">
        <v>1073</v>
      </c>
      <c r="D1374">
        <v>2</v>
      </c>
      <c r="E1374">
        <v>0</v>
      </c>
      <c r="F1374">
        <f t="shared" si="21"/>
        <v>2</v>
      </c>
      <c r="I1374">
        <v>20201101</v>
      </c>
      <c r="J1374" t="s">
        <v>1475</v>
      </c>
      <c r="K1374" t="s">
        <v>1390</v>
      </c>
      <c r="L1374" t="s">
        <v>1391</v>
      </c>
      <c r="M1374" t="s">
        <v>1408</v>
      </c>
      <c r="N1374" t="s">
        <v>1409</v>
      </c>
      <c r="O1374" t="s">
        <v>1411</v>
      </c>
      <c r="P1374" t="s">
        <v>1476</v>
      </c>
      <c r="Q1374" t="s">
        <v>1477</v>
      </c>
      <c r="R1374" t="s">
        <v>1412</v>
      </c>
      <c r="S1374" t="s">
        <v>1478</v>
      </c>
      <c r="T1374" t="s">
        <v>1431</v>
      </c>
      <c r="U1374" t="s">
        <v>1479</v>
      </c>
      <c r="V1374" t="s">
        <v>1480</v>
      </c>
      <c r="W1374" t="s">
        <v>1481</v>
      </c>
      <c r="X1374" t="s">
        <v>1482</v>
      </c>
      <c r="Y1374" t="s">
        <v>1447</v>
      </c>
      <c r="Z1374" t="s">
        <v>1414</v>
      </c>
      <c r="AA1374" t="s">
        <v>1483</v>
      </c>
      <c r="AB1374" t="s">
        <v>1484</v>
      </c>
      <c r="AC1374" t="s">
        <v>1485</v>
      </c>
      <c r="AD1374" t="s">
        <v>1486</v>
      </c>
      <c r="AE1374" t="s">
        <v>1487</v>
      </c>
      <c r="AF1374" t="s">
        <v>1488</v>
      </c>
      <c r="AG1374" t="s">
        <v>1489</v>
      </c>
      <c r="AH1374" t="s">
        <v>1490</v>
      </c>
      <c r="AI1374" t="s">
        <v>1491</v>
      </c>
      <c r="AJ1374" t="s">
        <v>1415</v>
      </c>
      <c r="AK1374" t="s">
        <v>1492</v>
      </c>
      <c r="AL1374" t="s">
        <v>1473</v>
      </c>
      <c r="AM1374" t="s">
        <v>1416</v>
      </c>
      <c r="AN1374" t="s">
        <v>1474</v>
      </c>
      <c r="AO1374" t="s">
        <v>1493</v>
      </c>
      <c r="AP1374" t="s">
        <v>1494</v>
      </c>
      <c r="AQ1374" t="s">
        <v>1495</v>
      </c>
      <c r="AR1374" t="s">
        <v>1418</v>
      </c>
      <c r="AS1374" t="s">
        <v>1496</v>
      </c>
    </row>
    <row r="1375" spans="1:45" x14ac:dyDescent="0.3">
      <c r="A1375" s="160">
        <v>13207</v>
      </c>
      <c r="B1375" t="s">
        <v>16537</v>
      </c>
      <c r="C1375" t="s">
        <v>1073</v>
      </c>
      <c r="D1375">
        <v>2</v>
      </c>
      <c r="E1375">
        <v>0</v>
      </c>
      <c r="F1375">
        <f t="shared" si="21"/>
        <v>2</v>
      </c>
      <c r="I1375">
        <v>20201101</v>
      </c>
      <c r="J1375" t="s">
        <v>1497</v>
      </c>
      <c r="K1375" t="s">
        <v>1390</v>
      </c>
      <c r="L1375" t="s">
        <v>1391</v>
      </c>
      <c r="M1375" t="s">
        <v>1411</v>
      </c>
      <c r="N1375" t="s">
        <v>1412</v>
      </c>
      <c r="O1375" t="s">
        <v>1498</v>
      </c>
      <c r="P1375" t="s">
        <v>1480</v>
      </c>
      <c r="Q1375" t="s">
        <v>1499</v>
      </c>
      <c r="R1375" t="s">
        <v>1500</v>
      </c>
      <c r="S1375" t="s">
        <v>1413</v>
      </c>
      <c r="T1375" t="s">
        <v>1444</v>
      </c>
    </row>
    <row r="1376" spans="1:45" x14ac:dyDescent="0.3">
      <c r="A1376" s="160">
        <v>13208</v>
      </c>
      <c r="B1376" t="s">
        <v>16538</v>
      </c>
      <c r="C1376" t="s">
        <v>1073</v>
      </c>
      <c r="D1376">
        <v>2</v>
      </c>
      <c r="E1376">
        <v>0</v>
      </c>
      <c r="F1376">
        <f t="shared" si="21"/>
        <v>2</v>
      </c>
      <c r="I1376">
        <v>20201101</v>
      </c>
      <c r="J1376" t="s">
        <v>1501</v>
      </c>
      <c r="K1376" t="s">
        <v>1476</v>
      </c>
      <c r="L1376" t="s">
        <v>1502</v>
      </c>
      <c r="M1376" t="s">
        <v>1503</v>
      </c>
      <c r="N1376" t="s">
        <v>1504</v>
      </c>
      <c r="O1376" t="s">
        <v>1505</v>
      </c>
      <c r="P1376" t="s">
        <v>1506</v>
      </c>
      <c r="Q1376" t="s">
        <v>1507</v>
      </c>
      <c r="R1376" t="s">
        <v>1508</v>
      </c>
      <c r="S1376" t="s">
        <v>1509</v>
      </c>
      <c r="T1376" t="s">
        <v>1510</v>
      </c>
      <c r="U1376" t="s">
        <v>1511</v>
      </c>
      <c r="V1376" t="s">
        <v>1512</v>
      </c>
      <c r="W1376" t="s">
        <v>1414</v>
      </c>
      <c r="X1376" t="s">
        <v>1513</v>
      </c>
      <c r="Y1376" t="s">
        <v>1514</v>
      </c>
      <c r="Z1376" t="s">
        <v>1436</v>
      </c>
      <c r="AA1376" t="s">
        <v>1515</v>
      </c>
      <c r="AB1376" t="s">
        <v>1516</v>
      </c>
      <c r="AC1376" t="s">
        <v>1517</v>
      </c>
      <c r="AD1376" t="s">
        <v>1518</v>
      </c>
      <c r="AE1376" t="s">
        <v>1415</v>
      </c>
      <c r="AF1376" t="s">
        <v>1492</v>
      </c>
      <c r="AG1376" t="s">
        <v>1473</v>
      </c>
      <c r="AH1376" t="s">
        <v>1416</v>
      </c>
      <c r="AI1376" t="s">
        <v>1474</v>
      </c>
      <c r="AJ1376" t="s">
        <v>1494</v>
      </c>
      <c r="AK1376" t="s">
        <v>1519</v>
      </c>
      <c r="AL1376" t="s">
        <v>1520</v>
      </c>
      <c r="AM1376" t="s">
        <v>1521</v>
      </c>
    </row>
    <row r="1377" spans="1:95" x14ac:dyDescent="0.3">
      <c r="A1377" s="160">
        <v>13209</v>
      </c>
      <c r="B1377" t="s">
        <v>16539</v>
      </c>
      <c r="C1377" t="s">
        <v>1073</v>
      </c>
      <c r="D1377">
        <v>2</v>
      </c>
      <c r="E1377">
        <v>0</v>
      </c>
      <c r="F1377">
        <f t="shared" si="21"/>
        <v>2</v>
      </c>
      <c r="I1377">
        <v>20201101</v>
      </c>
      <c r="J1377" t="s">
        <v>1522</v>
      </c>
      <c r="K1377" t="s">
        <v>1523</v>
      </c>
      <c r="L1377" t="s">
        <v>1505</v>
      </c>
      <c r="M1377" t="s">
        <v>1506</v>
      </c>
      <c r="N1377" t="s">
        <v>1507</v>
      </c>
      <c r="O1377" t="s">
        <v>1508</v>
      </c>
      <c r="P1377" t="s">
        <v>1510</v>
      </c>
      <c r="Q1377" t="s">
        <v>1524</v>
      </c>
      <c r="R1377" t="s">
        <v>1525</v>
      </c>
      <c r="S1377" t="s">
        <v>1526</v>
      </c>
      <c r="T1377" t="s">
        <v>1527</v>
      </c>
      <c r="U1377" t="s">
        <v>1528</v>
      </c>
      <c r="V1377" t="s">
        <v>1529</v>
      </c>
      <c r="W1377" t="s">
        <v>1530</v>
      </c>
      <c r="X1377" t="s">
        <v>1531</v>
      </c>
      <c r="Y1377" t="s">
        <v>1532</v>
      </c>
      <c r="Z1377" t="s">
        <v>1533</v>
      </c>
      <c r="AA1377" t="s">
        <v>1473</v>
      </c>
      <c r="AB1377" t="s">
        <v>1534</v>
      </c>
      <c r="BP1377" t="s">
        <v>1687</v>
      </c>
      <c r="BQ1377" t="s">
        <v>1688</v>
      </c>
      <c r="BR1377" t="s">
        <v>1689</v>
      </c>
      <c r="BS1377" t="s">
        <v>1690</v>
      </c>
      <c r="BT1377" t="s">
        <v>1691</v>
      </c>
      <c r="BU1377" t="s">
        <v>1692</v>
      </c>
      <c r="BV1377" t="s">
        <v>1693</v>
      </c>
      <c r="BW1377" t="s">
        <v>1694</v>
      </c>
      <c r="BX1377" t="s">
        <v>1695</v>
      </c>
      <c r="BY1377" t="s">
        <v>1696</v>
      </c>
      <c r="BZ1377" t="s">
        <v>1697</v>
      </c>
      <c r="CA1377" t="s">
        <v>1698</v>
      </c>
      <c r="CB1377" t="s">
        <v>1699</v>
      </c>
      <c r="CC1377" t="s">
        <v>1700</v>
      </c>
      <c r="CD1377" t="s">
        <v>1701</v>
      </c>
      <c r="CE1377" t="s">
        <v>1702</v>
      </c>
      <c r="CF1377" t="s">
        <v>1703</v>
      </c>
      <c r="CG1377" t="s">
        <v>1704</v>
      </c>
      <c r="CH1377" t="s">
        <v>1705</v>
      </c>
      <c r="CI1377" t="s">
        <v>1706</v>
      </c>
      <c r="CJ1377" t="s">
        <v>1707</v>
      </c>
      <c r="CK1377" t="s">
        <v>1708</v>
      </c>
      <c r="CL1377" t="s">
        <v>1709</v>
      </c>
      <c r="CM1377" t="s">
        <v>1710</v>
      </c>
      <c r="CN1377" t="s">
        <v>1711</v>
      </c>
      <c r="CO1377" t="s">
        <v>1712</v>
      </c>
      <c r="CP1377" t="s">
        <v>1713</v>
      </c>
      <c r="CQ1377" t="s">
        <v>1714</v>
      </c>
    </row>
    <row r="1378" spans="1:95" x14ac:dyDescent="0.3">
      <c r="A1378" s="160">
        <v>13210</v>
      </c>
      <c r="B1378" t="s">
        <v>16540</v>
      </c>
      <c r="C1378" t="s">
        <v>1073</v>
      </c>
      <c r="D1378">
        <v>2</v>
      </c>
      <c r="E1378">
        <v>0</v>
      </c>
      <c r="F1378">
        <f t="shared" si="21"/>
        <v>2</v>
      </c>
      <c r="I1378">
        <v>20201101</v>
      </c>
      <c r="J1378" t="s">
        <v>1535</v>
      </c>
      <c r="K1378" t="s">
        <v>1536</v>
      </c>
      <c r="L1378" t="s">
        <v>1537</v>
      </c>
      <c r="M1378" t="s">
        <v>1538</v>
      </c>
      <c r="N1378" t="s">
        <v>1539</v>
      </c>
      <c r="O1378" t="s">
        <v>1540</v>
      </c>
      <c r="P1378" t="s">
        <v>1541</v>
      </c>
      <c r="Q1378" t="s">
        <v>1542</v>
      </c>
      <c r="R1378" t="s">
        <v>1543</v>
      </c>
      <c r="S1378" t="s">
        <v>1473</v>
      </c>
      <c r="T1378" t="s">
        <v>1544</v>
      </c>
    </row>
    <row r="1379" spans="1:95" x14ac:dyDescent="0.3">
      <c r="A1379" s="160">
        <v>13211</v>
      </c>
      <c r="B1379" t="s">
        <v>16541</v>
      </c>
      <c r="C1379" t="s">
        <v>1073</v>
      </c>
      <c r="D1379">
        <v>2</v>
      </c>
      <c r="E1379">
        <v>0</v>
      </c>
      <c r="F1379">
        <f t="shared" si="21"/>
        <v>2</v>
      </c>
      <c r="I1379">
        <v>20201101</v>
      </c>
      <c r="J1379" t="s">
        <v>1545</v>
      </c>
      <c r="K1379" t="s">
        <v>1504</v>
      </c>
      <c r="L1379" t="s">
        <v>1546</v>
      </c>
      <c r="M1379" t="s">
        <v>1547</v>
      </c>
      <c r="N1379" t="s">
        <v>1548</v>
      </c>
      <c r="O1379" t="s">
        <v>1549</v>
      </c>
      <c r="P1379" t="s">
        <v>1550</v>
      </c>
      <c r="Q1379" t="s">
        <v>1551</v>
      </c>
      <c r="R1379" t="s">
        <v>1552</v>
      </c>
      <c r="S1379" t="s">
        <v>1553</v>
      </c>
      <c r="T1379" t="s">
        <v>1554</v>
      </c>
      <c r="U1379" t="s">
        <v>1555</v>
      </c>
      <c r="V1379" t="s">
        <v>1194</v>
      </c>
      <c r="W1379" t="s">
        <v>1556</v>
      </c>
      <c r="X1379" t="s">
        <v>1557</v>
      </c>
      <c r="Y1379" t="s">
        <v>1558</v>
      </c>
      <c r="Z1379" t="s">
        <v>1559</v>
      </c>
    </row>
    <row r="1380" spans="1:95" x14ac:dyDescent="0.3">
      <c r="A1380" s="160">
        <v>13212</v>
      </c>
      <c r="B1380" t="s">
        <v>16542</v>
      </c>
      <c r="C1380" t="s">
        <v>1073</v>
      </c>
      <c r="D1380">
        <v>2</v>
      </c>
      <c r="E1380">
        <v>0</v>
      </c>
      <c r="F1380">
        <f t="shared" si="21"/>
        <v>2</v>
      </c>
      <c r="I1380">
        <v>20201101</v>
      </c>
      <c r="J1380" t="s">
        <v>1560</v>
      </c>
      <c r="K1380" t="s">
        <v>1561</v>
      </c>
      <c r="L1380" t="s">
        <v>1562</v>
      </c>
      <c r="M1380" t="s">
        <v>1563</v>
      </c>
      <c r="N1380" t="s">
        <v>1564</v>
      </c>
      <c r="O1380" t="s">
        <v>1565</v>
      </c>
      <c r="P1380" t="s">
        <v>1566</v>
      </c>
      <c r="Q1380" t="s">
        <v>1555</v>
      </c>
      <c r="R1380" t="s">
        <v>1567</v>
      </c>
      <c r="S1380" t="s">
        <v>1568</v>
      </c>
      <c r="T1380" t="s">
        <v>1569</v>
      </c>
      <c r="U1380" t="s">
        <v>1570</v>
      </c>
    </row>
    <row r="1381" spans="1:95" x14ac:dyDescent="0.3">
      <c r="A1381" s="160">
        <v>13213</v>
      </c>
      <c r="B1381" t="s">
        <v>16543</v>
      </c>
      <c r="C1381" t="s">
        <v>1073</v>
      </c>
      <c r="D1381">
        <v>2</v>
      </c>
      <c r="E1381">
        <v>0</v>
      </c>
      <c r="F1381">
        <f t="shared" si="21"/>
        <v>2</v>
      </c>
      <c r="I1381">
        <v>20201101</v>
      </c>
      <c r="J1381" t="s">
        <v>1571</v>
      </c>
      <c r="K1381" t="s">
        <v>1395</v>
      </c>
      <c r="L1381" t="s">
        <v>1464</v>
      </c>
      <c r="M1381" t="s">
        <v>1565</v>
      </c>
      <c r="N1381" t="s">
        <v>1572</v>
      </c>
      <c r="O1381" t="s">
        <v>1573</v>
      </c>
      <c r="P1381" t="s">
        <v>1574</v>
      </c>
      <c r="Q1381" t="s">
        <v>1472</v>
      </c>
      <c r="R1381" t="s">
        <v>1575</v>
      </c>
      <c r="S1381" t="s">
        <v>1576</v>
      </c>
      <c r="T1381" t="s">
        <v>1577</v>
      </c>
      <c r="U1381" t="s">
        <v>1578</v>
      </c>
      <c r="V1381" t="s">
        <v>1579</v>
      </c>
      <c r="W1381" t="s">
        <v>1580</v>
      </c>
      <c r="X1381" t="s">
        <v>1581</v>
      </c>
      <c r="Y1381" t="s">
        <v>1582</v>
      </c>
      <c r="Z1381" t="s">
        <v>1583</v>
      </c>
      <c r="AA1381" t="s">
        <v>1584</v>
      </c>
      <c r="AB1381" t="s">
        <v>1585</v>
      </c>
    </row>
    <row r="1382" spans="1:95" x14ac:dyDescent="0.3">
      <c r="A1382" s="160">
        <v>13214</v>
      </c>
      <c r="B1382" t="s">
        <v>16544</v>
      </c>
      <c r="C1382" t="s">
        <v>1073</v>
      </c>
      <c r="D1382">
        <v>2</v>
      </c>
      <c r="E1382">
        <v>0</v>
      </c>
      <c r="F1382">
        <f t="shared" si="21"/>
        <v>2</v>
      </c>
      <c r="I1382">
        <v>20201101</v>
      </c>
      <c r="J1382" t="s">
        <v>1586</v>
      </c>
      <c r="K1382" t="s">
        <v>1587</v>
      </c>
      <c r="L1382" t="s">
        <v>1588</v>
      </c>
      <c r="M1382" t="s">
        <v>1451</v>
      </c>
      <c r="N1382" t="s">
        <v>1589</v>
      </c>
      <c r="O1382" t="s">
        <v>1590</v>
      </c>
      <c r="P1382" t="s">
        <v>1591</v>
      </c>
      <c r="Q1382" t="s">
        <v>1592</v>
      </c>
      <c r="R1382" t="s">
        <v>1593</v>
      </c>
      <c r="S1382" t="s">
        <v>1594</v>
      </c>
      <c r="T1382" t="s">
        <v>1595</v>
      </c>
      <c r="U1382" t="s">
        <v>1596</v>
      </c>
    </row>
    <row r="1383" spans="1:95" x14ac:dyDescent="0.3">
      <c r="A1383" s="160">
        <v>13215</v>
      </c>
      <c r="B1383" t="s">
        <v>16545</v>
      </c>
      <c r="C1383" t="s">
        <v>1073</v>
      </c>
      <c r="D1383">
        <v>2</v>
      </c>
      <c r="E1383">
        <v>0</v>
      </c>
      <c r="F1383">
        <f t="shared" si="21"/>
        <v>2</v>
      </c>
      <c r="I1383">
        <v>20201101</v>
      </c>
      <c r="J1383" t="s">
        <v>1597</v>
      </c>
      <c r="K1383" t="s">
        <v>1395</v>
      </c>
      <c r="L1383" t="s">
        <v>1449</v>
      </c>
      <c r="M1383" t="s">
        <v>1598</v>
      </c>
      <c r="N1383" t="s">
        <v>1433</v>
      </c>
      <c r="O1383" t="s">
        <v>1434</v>
      </c>
      <c r="P1383" t="s">
        <v>1599</v>
      </c>
      <c r="Q1383" t="s">
        <v>1600</v>
      </c>
      <c r="R1383" t="s">
        <v>1601</v>
      </c>
      <c r="S1383" t="s">
        <v>1602</v>
      </c>
      <c r="T1383" t="s">
        <v>1603</v>
      </c>
      <c r="U1383" t="s">
        <v>1604</v>
      </c>
      <c r="V1383" t="s">
        <v>1487</v>
      </c>
      <c r="W1383" t="s">
        <v>1605</v>
      </c>
      <c r="X1383" t="s">
        <v>1606</v>
      </c>
      <c r="Y1383" t="s">
        <v>1607</v>
      </c>
      <c r="Z1383" t="s">
        <v>1608</v>
      </c>
      <c r="AA1383" t="s">
        <v>1609</v>
      </c>
    </row>
    <row r="1384" spans="1:95" x14ac:dyDescent="0.3">
      <c r="A1384" s="160">
        <v>13216</v>
      </c>
      <c r="B1384" t="s">
        <v>16546</v>
      </c>
      <c r="C1384" t="s">
        <v>1073</v>
      </c>
      <c r="D1384">
        <v>2</v>
      </c>
      <c r="E1384">
        <v>0</v>
      </c>
      <c r="F1384">
        <f t="shared" si="21"/>
        <v>2</v>
      </c>
      <c r="I1384">
        <v>20201101</v>
      </c>
      <c r="J1384" t="s">
        <v>1610</v>
      </c>
      <c r="K1384" t="s">
        <v>1611</v>
      </c>
      <c r="L1384" t="s">
        <v>1612</v>
      </c>
      <c r="M1384" t="s">
        <v>1605</v>
      </c>
      <c r="N1384" t="s">
        <v>1606</v>
      </c>
      <c r="O1384" t="s">
        <v>1613</v>
      </c>
    </row>
    <row r="1385" spans="1:95" x14ac:dyDescent="0.3">
      <c r="A1385" s="160">
        <v>14030</v>
      </c>
      <c r="B1385" t="s">
        <v>16547</v>
      </c>
      <c r="C1385" t="s">
        <v>1614</v>
      </c>
      <c r="D1385">
        <v>2</v>
      </c>
      <c r="E1385">
        <v>0</v>
      </c>
      <c r="F1385">
        <f t="shared" si="21"/>
        <v>2</v>
      </c>
      <c r="I1385">
        <v>20120101</v>
      </c>
      <c r="J1385" t="s">
        <v>1615</v>
      </c>
    </row>
    <row r="1386" spans="1:95" x14ac:dyDescent="0.3">
      <c r="A1386" s="160">
        <v>14060</v>
      </c>
      <c r="B1386" t="s">
        <v>16548</v>
      </c>
      <c r="C1386" t="s">
        <v>1614</v>
      </c>
      <c r="D1386">
        <v>2</v>
      </c>
      <c r="E1386">
        <v>0</v>
      </c>
      <c r="F1386">
        <f t="shared" si="21"/>
        <v>2</v>
      </c>
      <c r="I1386">
        <v>20120101</v>
      </c>
      <c r="J1386" t="s">
        <v>1616</v>
      </c>
    </row>
    <row r="1387" spans="1:95" x14ac:dyDescent="0.3">
      <c r="A1387" s="160">
        <v>14068</v>
      </c>
      <c r="B1387" t="s">
        <v>16549</v>
      </c>
      <c r="C1387" t="s">
        <v>1614</v>
      </c>
      <c r="D1387">
        <v>2</v>
      </c>
      <c r="E1387">
        <v>0</v>
      </c>
      <c r="F1387">
        <f t="shared" si="21"/>
        <v>2</v>
      </c>
      <c r="I1387">
        <v>20120101</v>
      </c>
      <c r="J1387" t="s">
        <v>1617</v>
      </c>
      <c r="K1387" t="s">
        <v>1618</v>
      </c>
    </row>
    <row r="1388" spans="1:95" x14ac:dyDescent="0.3">
      <c r="A1388" s="160">
        <v>14076</v>
      </c>
      <c r="B1388" t="s">
        <v>16550</v>
      </c>
      <c r="C1388" t="s">
        <v>1614</v>
      </c>
      <c r="D1388">
        <v>2</v>
      </c>
      <c r="E1388">
        <v>0</v>
      </c>
      <c r="F1388">
        <f t="shared" si="21"/>
        <v>2</v>
      </c>
      <c r="I1388">
        <v>20120101</v>
      </c>
      <c r="J1388" t="s">
        <v>1619</v>
      </c>
      <c r="K1388" t="s">
        <v>1620</v>
      </c>
    </row>
    <row r="1389" spans="1:95" x14ac:dyDescent="0.3">
      <c r="A1389" s="160">
        <v>14092</v>
      </c>
      <c r="B1389" t="s">
        <v>16551</v>
      </c>
      <c r="C1389" t="s">
        <v>1614</v>
      </c>
      <c r="D1389">
        <v>2</v>
      </c>
      <c r="E1389">
        <v>0</v>
      </c>
      <c r="F1389">
        <f t="shared" si="21"/>
        <v>2</v>
      </c>
      <c r="I1389">
        <v>20210101</v>
      </c>
      <c r="J1389" t="s">
        <v>1621</v>
      </c>
    </row>
    <row r="1390" spans="1:95" x14ac:dyDescent="0.3">
      <c r="A1390" s="160">
        <v>14098</v>
      </c>
      <c r="B1390" t="s">
        <v>16552</v>
      </c>
      <c r="C1390" t="s">
        <v>1614</v>
      </c>
      <c r="D1390">
        <v>2</v>
      </c>
      <c r="E1390">
        <v>0</v>
      </c>
      <c r="F1390">
        <f t="shared" si="21"/>
        <v>2</v>
      </c>
      <c r="I1390">
        <v>20210101</v>
      </c>
      <c r="J1390" t="s">
        <v>1622</v>
      </c>
      <c r="K1390" t="s">
        <v>1623</v>
      </c>
      <c r="L1390" t="s">
        <v>1624</v>
      </c>
      <c r="M1390" t="s">
        <v>1625</v>
      </c>
    </row>
    <row r="1391" spans="1:95" x14ac:dyDescent="0.3">
      <c r="A1391" s="160">
        <v>14101</v>
      </c>
      <c r="B1391" t="s">
        <v>16553</v>
      </c>
      <c r="C1391" t="s">
        <v>1614</v>
      </c>
      <c r="D1391">
        <v>2</v>
      </c>
      <c r="E1391">
        <v>0</v>
      </c>
      <c r="F1391">
        <f t="shared" si="21"/>
        <v>2</v>
      </c>
      <c r="I1391">
        <v>20120101</v>
      </c>
      <c r="J1391" t="s">
        <v>1626</v>
      </c>
      <c r="K1391" t="s">
        <v>1627</v>
      </c>
      <c r="L1391" t="s">
        <v>1624</v>
      </c>
      <c r="M1391" t="s">
        <v>1628</v>
      </c>
      <c r="N1391" t="s">
        <v>1629</v>
      </c>
    </row>
    <row r="1392" spans="1:95" x14ac:dyDescent="0.3">
      <c r="A1392" s="160">
        <v>14118</v>
      </c>
      <c r="B1392" t="s">
        <v>16554</v>
      </c>
      <c r="C1392" t="s">
        <v>1614</v>
      </c>
      <c r="D1392">
        <v>2</v>
      </c>
      <c r="E1392">
        <v>0</v>
      </c>
      <c r="F1392">
        <f t="shared" si="21"/>
        <v>2</v>
      </c>
      <c r="I1392">
        <v>20120101</v>
      </c>
      <c r="J1392" t="s">
        <v>1630</v>
      </c>
      <c r="K1392" t="s">
        <v>1631</v>
      </c>
      <c r="L1392" t="s">
        <v>1632</v>
      </c>
      <c r="M1392" t="s">
        <v>1633</v>
      </c>
      <c r="N1392" t="s">
        <v>1634</v>
      </c>
      <c r="O1392" t="s">
        <v>1635</v>
      </c>
      <c r="P1392" t="s">
        <v>1636</v>
      </c>
      <c r="Q1392" t="s">
        <v>1637</v>
      </c>
      <c r="R1392" t="s">
        <v>1619</v>
      </c>
      <c r="S1392" t="s">
        <v>1638</v>
      </c>
      <c r="T1392" t="s">
        <v>1639</v>
      </c>
      <c r="U1392" t="s">
        <v>1640</v>
      </c>
      <c r="V1392" t="s">
        <v>1641</v>
      </c>
      <c r="W1392" t="s">
        <v>1642</v>
      </c>
      <c r="X1392" t="s">
        <v>1643</v>
      </c>
      <c r="Y1392" t="s">
        <v>1644</v>
      </c>
      <c r="Z1392" t="s">
        <v>1645</v>
      </c>
      <c r="AA1392" t="s">
        <v>1646</v>
      </c>
      <c r="AB1392" t="s">
        <v>1647</v>
      </c>
      <c r="AC1392" t="s">
        <v>1648</v>
      </c>
      <c r="AD1392" t="s">
        <v>1649</v>
      </c>
      <c r="AE1392" t="s">
        <v>1650</v>
      </c>
      <c r="AF1392" t="s">
        <v>1651</v>
      </c>
      <c r="AG1392" t="s">
        <v>1652</v>
      </c>
      <c r="AH1392" t="s">
        <v>1653</v>
      </c>
      <c r="AI1392" t="s">
        <v>1654</v>
      </c>
      <c r="AJ1392" t="s">
        <v>1655</v>
      </c>
      <c r="AK1392" t="s">
        <v>1656</v>
      </c>
      <c r="AL1392" t="s">
        <v>1657</v>
      </c>
      <c r="AM1392" t="s">
        <v>1658</v>
      </c>
      <c r="AN1392" t="s">
        <v>1659</v>
      </c>
      <c r="AO1392" t="s">
        <v>1660</v>
      </c>
      <c r="AP1392" t="s">
        <v>1661</v>
      </c>
      <c r="AQ1392" t="s">
        <v>1662</v>
      </c>
      <c r="AR1392" t="s">
        <v>1663</v>
      </c>
      <c r="AS1392" t="s">
        <v>1664</v>
      </c>
      <c r="AT1392" t="s">
        <v>1665</v>
      </c>
      <c r="AU1392" t="s">
        <v>1666</v>
      </c>
      <c r="AV1392" t="s">
        <v>1667</v>
      </c>
      <c r="AW1392" t="s">
        <v>1668</v>
      </c>
      <c r="AX1392" t="s">
        <v>1669</v>
      </c>
      <c r="AY1392" t="s">
        <v>1670</v>
      </c>
      <c r="AZ1392" t="s">
        <v>1671</v>
      </c>
      <c r="BA1392" t="s">
        <v>1672</v>
      </c>
      <c r="BB1392" t="s">
        <v>1673</v>
      </c>
      <c r="BC1392" t="s">
        <v>1674</v>
      </c>
      <c r="BD1392" t="s">
        <v>1675</v>
      </c>
      <c r="BE1392" t="s">
        <v>1676</v>
      </c>
      <c r="BF1392" t="s">
        <v>1677</v>
      </c>
      <c r="BG1392" t="s">
        <v>1678</v>
      </c>
      <c r="BH1392" t="s">
        <v>1679</v>
      </c>
      <c r="BI1392" t="s">
        <v>1680</v>
      </c>
      <c r="BJ1392" t="s">
        <v>1681</v>
      </c>
      <c r="BK1392" t="s">
        <v>1682</v>
      </c>
      <c r="BL1392" t="s">
        <v>1683</v>
      </c>
      <c r="BM1392" t="s">
        <v>1684</v>
      </c>
      <c r="BN1392" t="s">
        <v>1685</v>
      </c>
      <c r="BO1392" t="s">
        <v>1686</v>
      </c>
    </row>
    <row r="1393" spans="1:16" x14ac:dyDescent="0.3">
      <c r="A1393" s="160">
        <v>14123</v>
      </c>
      <c r="B1393" t="s">
        <v>16555</v>
      </c>
      <c r="C1393" t="s">
        <v>1614</v>
      </c>
      <c r="D1393">
        <v>2</v>
      </c>
      <c r="E1393">
        <v>0</v>
      </c>
      <c r="F1393">
        <f t="shared" si="21"/>
        <v>2</v>
      </c>
      <c r="I1393">
        <v>20210101</v>
      </c>
      <c r="J1393" t="s">
        <v>1715</v>
      </c>
    </row>
    <row r="1394" spans="1:16" x14ac:dyDescent="0.3">
      <c r="A1394" s="160">
        <v>14125</v>
      </c>
      <c r="B1394" t="s">
        <v>16556</v>
      </c>
      <c r="C1394" t="s">
        <v>1614</v>
      </c>
      <c r="D1394">
        <v>2</v>
      </c>
      <c r="E1394">
        <v>0</v>
      </c>
      <c r="F1394">
        <f t="shared" si="21"/>
        <v>2</v>
      </c>
      <c r="I1394">
        <v>20120101</v>
      </c>
      <c r="J1394" t="s">
        <v>1715</v>
      </c>
    </row>
    <row r="1395" spans="1:16" x14ac:dyDescent="0.3">
      <c r="A1395" s="160">
        <v>14137</v>
      </c>
      <c r="B1395" t="s">
        <v>16557</v>
      </c>
      <c r="C1395" t="s">
        <v>1614</v>
      </c>
      <c r="D1395">
        <v>2</v>
      </c>
      <c r="E1395">
        <v>0</v>
      </c>
      <c r="F1395">
        <f t="shared" si="21"/>
        <v>2</v>
      </c>
      <c r="I1395">
        <v>20120101</v>
      </c>
      <c r="J1395" t="s">
        <v>1716</v>
      </c>
      <c r="K1395" t="s">
        <v>1626</v>
      </c>
      <c r="L1395" t="s">
        <v>1627</v>
      </c>
      <c r="M1395" t="s">
        <v>1624</v>
      </c>
    </row>
    <row r="1396" spans="1:16" x14ac:dyDescent="0.3">
      <c r="A1396" s="160">
        <v>14166</v>
      </c>
      <c r="B1396" t="s">
        <v>16558</v>
      </c>
      <c r="C1396" t="s">
        <v>1614</v>
      </c>
      <c r="D1396">
        <v>2</v>
      </c>
      <c r="E1396">
        <v>0</v>
      </c>
      <c r="F1396">
        <f t="shared" si="21"/>
        <v>2</v>
      </c>
      <c r="I1396">
        <v>20130101</v>
      </c>
      <c r="J1396" t="s">
        <v>1717</v>
      </c>
    </row>
    <row r="1397" spans="1:16" x14ac:dyDescent="0.3">
      <c r="A1397" s="160">
        <v>14167</v>
      </c>
      <c r="B1397" t="s">
        <v>16559</v>
      </c>
      <c r="C1397" t="s">
        <v>1614</v>
      </c>
      <c r="D1397">
        <v>2</v>
      </c>
      <c r="E1397">
        <v>0</v>
      </c>
      <c r="F1397">
        <f t="shared" si="21"/>
        <v>2</v>
      </c>
      <c r="I1397">
        <v>20120101</v>
      </c>
      <c r="J1397" t="s">
        <v>1718</v>
      </c>
      <c r="K1397" t="s">
        <v>1719</v>
      </c>
      <c r="L1397" t="s">
        <v>1698</v>
      </c>
      <c r="M1397" t="s">
        <v>1720</v>
      </c>
      <c r="N1397" t="s">
        <v>1721</v>
      </c>
      <c r="O1397" t="s">
        <v>1722</v>
      </c>
    </row>
    <row r="1398" spans="1:16" x14ac:dyDescent="0.3">
      <c r="A1398" s="160">
        <v>14181</v>
      </c>
      <c r="B1398" t="s">
        <v>16560</v>
      </c>
      <c r="C1398" t="s">
        <v>1614</v>
      </c>
      <c r="D1398">
        <v>2</v>
      </c>
      <c r="E1398">
        <v>0</v>
      </c>
      <c r="F1398">
        <f t="shared" si="21"/>
        <v>2</v>
      </c>
      <c r="I1398">
        <v>20120101</v>
      </c>
      <c r="J1398" t="s">
        <v>1646</v>
      </c>
      <c r="K1398" t="s">
        <v>1723</v>
      </c>
      <c r="L1398" t="s">
        <v>1724</v>
      </c>
    </row>
    <row r="1399" spans="1:16" x14ac:dyDescent="0.3">
      <c r="A1399" s="160">
        <v>14215</v>
      </c>
      <c r="B1399" t="s">
        <v>16561</v>
      </c>
      <c r="C1399" t="s">
        <v>1614</v>
      </c>
      <c r="D1399">
        <v>2</v>
      </c>
      <c r="E1399">
        <v>0</v>
      </c>
      <c r="F1399">
        <f t="shared" si="21"/>
        <v>2</v>
      </c>
      <c r="I1399">
        <v>20120101</v>
      </c>
      <c r="J1399" t="s">
        <v>1725</v>
      </c>
    </row>
    <row r="1400" spans="1:16" x14ac:dyDescent="0.3">
      <c r="A1400" s="160">
        <v>14221</v>
      </c>
      <c r="B1400" t="s">
        <v>16562</v>
      </c>
      <c r="C1400" t="s">
        <v>1614</v>
      </c>
      <c r="D1400">
        <v>2</v>
      </c>
      <c r="E1400">
        <v>0</v>
      </c>
      <c r="F1400">
        <f t="shared" si="21"/>
        <v>2</v>
      </c>
      <c r="I1400">
        <v>20120101</v>
      </c>
      <c r="J1400" t="s">
        <v>1725</v>
      </c>
    </row>
    <row r="1401" spans="1:16" x14ac:dyDescent="0.3">
      <c r="A1401" s="160">
        <v>14242</v>
      </c>
      <c r="B1401" t="s">
        <v>16563</v>
      </c>
      <c r="C1401" t="s">
        <v>1614</v>
      </c>
      <c r="D1401">
        <v>2</v>
      </c>
      <c r="E1401">
        <v>0</v>
      </c>
      <c r="F1401">
        <f t="shared" si="21"/>
        <v>2</v>
      </c>
      <c r="I1401">
        <v>20120101</v>
      </c>
      <c r="J1401" t="s">
        <v>1673</v>
      </c>
      <c r="K1401" t="s">
        <v>1715</v>
      </c>
    </row>
    <row r="1402" spans="1:16" x14ac:dyDescent="0.3">
      <c r="A1402" s="160">
        <v>14254</v>
      </c>
      <c r="B1402" t="s">
        <v>16564</v>
      </c>
      <c r="C1402" t="s">
        <v>1614</v>
      </c>
      <c r="D1402">
        <v>2</v>
      </c>
      <c r="E1402">
        <v>0</v>
      </c>
      <c r="F1402">
        <f t="shared" si="21"/>
        <v>2</v>
      </c>
      <c r="I1402">
        <v>20120101</v>
      </c>
      <c r="J1402" t="s">
        <v>1726</v>
      </c>
      <c r="K1402" t="s">
        <v>1727</v>
      </c>
    </row>
    <row r="1403" spans="1:16" x14ac:dyDescent="0.3">
      <c r="A1403" s="160">
        <v>14271</v>
      </c>
      <c r="B1403" t="s">
        <v>16565</v>
      </c>
      <c r="C1403" t="s">
        <v>1614</v>
      </c>
      <c r="D1403">
        <v>2</v>
      </c>
      <c r="E1403">
        <v>0</v>
      </c>
      <c r="F1403">
        <f t="shared" si="21"/>
        <v>2</v>
      </c>
      <c r="I1403">
        <v>20120101</v>
      </c>
      <c r="J1403" t="s">
        <v>1723</v>
      </c>
    </row>
    <row r="1404" spans="1:16" x14ac:dyDescent="0.3">
      <c r="A1404" s="160">
        <v>14288</v>
      </c>
      <c r="B1404" t="s">
        <v>16566</v>
      </c>
      <c r="C1404" t="s">
        <v>1614</v>
      </c>
      <c r="D1404">
        <v>2</v>
      </c>
      <c r="E1404">
        <v>0</v>
      </c>
      <c r="F1404">
        <f t="shared" si="21"/>
        <v>2</v>
      </c>
      <c r="I1404">
        <v>20210101</v>
      </c>
      <c r="J1404" t="s">
        <v>1728</v>
      </c>
    </row>
    <row r="1405" spans="1:16" x14ac:dyDescent="0.3">
      <c r="A1405" s="160">
        <v>14301</v>
      </c>
      <c r="B1405" t="s">
        <v>16567</v>
      </c>
      <c r="C1405" t="s">
        <v>1614</v>
      </c>
      <c r="D1405">
        <v>2</v>
      </c>
      <c r="E1405">
        <v>0</v>
      </c>
      <c r="F1405">
        <f t="shared" si="21"/>
        <v>2</v>
      </c>
      <c r="I1405">
        <v>20120101</v>
      </c>
      <c r="J1405" t="s">
        <v>1729</v>
      </c>
    </row>
    <row r="1406" spans="1:16" x14ac:dyDescent="0.3">
      <c r="A1406" s="160">
        <v>14319</v>
      </c>
      <c r="B1406" t="s">
        <v>16568</v>
      </c>
      <c r="C1406" t="s">
        <v>1614</v>
      </c>
      <c r="D1406">
        <v>2</v>
      </c>
      <c r="E1406">
        <v>0</v>
      </c>
      <c r="F1406">
        <f t="shared" si="21"/>
        <v>2</v>
      </c>
      <c r="I1406">
        <v>20210101</v>
      </c>
      <c r="J1406" t="s">
        <v>1621</v>
      </c>
    </row>
    <row r="1407" spans="1:16" x14ac:dyDescent="0.3">
      <c r="A1407" s="160">
        <v>14325</v>
      </c>
      <c r="B1407" t="s">
        <v>16569</v>
      </c>
      <c r="C1407" t="s">
        <v>1614</v>
      </c>
      <c r="D1407">
        <v>2</v>
      </c>
      <c r="E1407">
        <v>0</v>
      </c>
      <c r="F1407">
        <f t="shared" si="21"/>
        <v>2</v>
      </c>
      <c r="I1407">
        <v>20120101</v>
      </c>
      <c r="J1407" t="s">
        <v>1717</v>
      </c>
    </row>
    <row r="1408" spans="1:16" x14ac:dyDescent="0.3">
      <c r="A1408" s="160">
        <v>14327</v>
      </c>
      <c r="B1408" t="s">
        <v>16570</v>
      </c>
      <c r="C1408" t="s">
        <v>1614</v>
      </c>
      <c r="D1408">
        <v>2</v>
      </c>
      <c r="E1408">
        <v>0</v>
      </c>
      <c r="F1408">
        <f t="shared" si="21"/>
        <v>2</v>
      </c>
      <c r="I1408">
        <v>20120101</v>
      </c>
      <c r="J1408" t="s">
        <v>1730</v>
      </c>
      <c r="K1408" t="s">
        <v>1618</v>
      </c>
      <c r="L1408" t="s">
        <v>1731</v>
      </c>
      <c r="M1408" t="s">
        <v>1732</v>
      </c>
      <c r="N1408" t="s">
        <v>1733</v>
      </c>
      <c r="O1408" t="s">
        <v>1734</v>
      </c>
      <c r="P1408" t="s">
        <v>1735</v>
      </c>
    </row>
    <row r="1409" spans="1:18" x14ac:dyDescent="0.3">
      <c r="A1409" s="160">
        <v>14339</v>
      </c>
      <c r="B1409" t="s">
        <v>16571</v>
      </c>
      <c r="C1409" t="s">
        <v>1614</v>
      </c>
      <c r="D1409">
        <v>2</v>
      </c>
      <c r="E1409">
        <v>0</v>
      </c>
      <c r="F1409">
        <f t="shared" si="21"/>
        <v>2</v>
      </c>
      <c r="I1409">
        <v>20210101</v>
      </c>
      <c r="J1409" t="s">
        <v>1621</v>
      </c>
    </row>
    <row r="1410" spans="1:18" x14ac:dyDescent="0.3">
      <c r="A1410" s="160">
        <v>14341</v>
      </c>
      <c r="B1410" t="s">
        <v>16572</v>
      </c>
      <c r="C1410" t="s">
        <v>1614</v>
      </c>
      <c r="D1410">
        <v>2</v>
      </c>
      <c r="E1410">
        <v>0</v>
      </c>
      <c r="F1410">
        <f t="shared" si="21"/>
        <v>2</v>
      </c>
      <c r="I1410">
        <v>20120101</v>
      </c>
      <c r="J1410" t="s">
        <v>1723</v>
      </c>
    </row>
    <row r="1411" spans="1:18" x14ac:dyDescent="0.3">
      <c r="A1411" s="160">
        <v>14365</v>
      </c>
      <c r="B1411" t="s">
        <v>16573</v>
      </c>
      <c r="C1411" t="s">
        <v>1614</v>
      </c>
      <c r="D1411">
        <v>2</v>
      </c>
      <c r="E1411">
        <v>0</v>
      </c>
      <c r="F1411">
        <f t="shared" si="21"/>
        <v>2</v>
      </c>
      <c r="I1411">
        <v>20120101</v>
      </c>
      <c r="J1411" t="s">
        <v>1736</v>
      </c>
    </row>
    <row r="1412" spans="1:18" x14ac:dyDescent="0.3">
      <c r="A1412" s="160">
        <v>14383</v>
      </c>
      <c r="B1412" t="s">
        <v>16574</v>
      </c>
      <c r="C1412" t="s">
        <v>1614</v>
      </c>
      <c r="D1412">
        <v>2</v>
      </c>
      <c r="E1412">
        <v>0</v>
      </c>
      <c r="F1412">
        <f t="shared" si="21"/>
        <v>2</v>
      </c>
      <c r="I1412">
        <v>20120101</v>
      </c>
      <c r="J1412" t="s">
        <v>1737</v>
      </c>
      <c r="K1412" t="s">
        <v>1629</v>
      </c>
    </row>
    <row r="1413" spans="1:18" x14ac:dyDescent="0.3">
      <c r="A1413" s="160">
        <v>14407</v>
      </c>
      <c r="B1413" t="s">
        <v>16575</v>
      </c>
      <c r="C1413" t="s">
        <v>1614</v>
      </c>
      <c r="D1413">
        <v>2</v>
      </c>
      <c r="E1413">
        <v>0</v>
      </c>
      <c r="F1413">
        <f t="shared" si="21"/>
        <v>2</v>
      </c>
      <c r="I1413">
        <v>20120101</v>
      </c>
      <c r="J1413" t="s">
        <v>1738</v>
      </c>
    </row>
    <row r="1414" spans="1:18" x14ac:dyDescent="0.3">
      <c r="A1414" s="160">
        <v>14437</v>
      </c>
      <c r="B1414" t="s">
        <v>16576</v>
      </c>
      <c r="C1414" t="s">
        <v>1614</v>
      </c>
      <c r="D1414">
        <v>2</v>
      </c>
      <c r="E1414">
        <v>0</v>
      </c>
      <c r="F1414">
        <f t="shared" si="21"/>
        <v>2</v>
      </c>
      <c r="I1414">
        <v>20120101</v>
      </c>
      <c r="J1414" t="s">
        <v>1645</v>
      </c>
      <c r="K1414" t="s">
        <v>1675</v>
      </c>
      <c r="L1414" t="s">
        <v>1739</v>
      </c>
      <c r="M1414" t="s">
        <v>1740</v>
      </c>
      <c r="N1414" t="s">
        <v>1741</v>
      </c>
      <c r="O1414" t="s">
        <v>1742</v>
      </c>
      <c r="P1414" t="s">
        <v>1743</v>
      </c>
      <c r="Q1414" t="s">
        <v>1744</v>
      </c>
      <c r="R1414" t="s">
        <v>1745</v>
      </c>
    </row>
    <row r="1415" spans="1:18" x14ac:dyDescent="0.3">
      <c r="A1415" s="160">
        <v>14454</v>
      </c>
      <c r="B1415" t="s">
        <v>16577</v>
      </c>
      <c r="C1415" t="s">
        <v>1614</v>
      </c>
      <c r="D1415">
        <v>2</v>
      </c>
      <c r="E1415">
        <v>0</v>
      </c>
      <c r="F1415">
        <f t="shared" ref="F1415:F1478" si="22">D1415+E1415</f>
        <v>2</v>
      </c>
      <c r="I1415">
        <v>20130101</v>
      </c>
      <c r="J1415" t="s">
        <v>1746</v>
      </c>
      <c r="K1415" t="s">
        <v>1726</v>
      </c>
    </row>
    <row r="1416" spans="1:18" x14ac:dyDescent="0.3">
      <c r="A1416" s="160">
        <v>14488</v>
      </c>
      <c r="B1416" t="s">
        <v>16578</v>
      </c>
      <c r="C1416" t="s">
        <v>1614</v>
      </c>
      <c r="D1416">
        <v>2</v>
      </c>
      <c r="E1416">
        <v>0</v>
      </c>
      <c r="F1416">
        <f t="shared" si="22"/>
        <v>2</v>
      </c>
      <c r="I1416">
        <v>20130101</v>
      </c>
      <c r="J1416" t="s">
        <v>1747</v>
      </c>
    </row>
    <row r="1417" spans="1:18" x14ac:dyDescent="0.3">
      <c r="A1417" s="160">
        <v>14495</v>
      </c>
      <c r="B1417" t="s">
        <v>16579</v>
      </c>
      <c r="C1417" t="s">
        <v>1614</v>
      </c>
      <c r="D1417">
        <v>2</v>
      </c>
      <c r="E1417">
        <v>0</v>
      </c>
      <c r="F1417">
        <f t="shared" si="22"/>
        <v>2</v>
      </c>
      <c r="I1417">
        <v>20120101</v>
      </c>
      <c r="J1417" t="s">
        <v>1617</v>
      </c>
      <c r="K1417" t="s">
        <v>1618</v>
      </c>
    </row>
    <row r="1418" spans="1:18" x14ac:dyDescent="0.3">
      <c r="A1418" s="160">
        <v>14538</v>
      </c>
      <c r="B1418" t="s">
        <v>16580</v>
      </c>
      <c r="C1418" t="s">
        <v>1614</v>
      </c>
      <c r="D1418">
        <v>2</v>
      </c>
      <c r="E1418">
        <v>0</v>
      </c>
      <c r="F1418">
        <f t="shared" si="22"/>
        <v>2</v>
      </c>
      <c r="I1418">
        <v>20210101</v>
      </c>
      <c r="J1418" t="s">
        <v>1621</v>
      </c>
    </row>
    <row r="1419" spans="1:18" x14ac:dyDescent="0.3">
      <c r="A1419" s="160">
        <v>14542</v>
      </c>
      <c r="B1419" t="s">
        <v>16581</v>
      </c>
      <c r="C1419" t="s">
        <v>1614</v>
      </c>
      <c r="D1419">
        <v>2</v>
      </c>
      <c r="E1419">
        <v>0</v>
      </c>
      <c r="F1419">
        <f t="shared" si="22"/>
        <v>2</v>
      </c>
      <c r="I1419">
        <v>20210101</v>
      </c>
      <c r="J1419" t="s">
        <v>1625</v>
      </c>
    </row>
    <row r="1420" spans="1:18" x14ac:dyDescent="0.3">
      <c r="A1420" s="160">
        <v>14543</v>
      </c>
      <c r="B1420" t="s">
        <v>16582</v>
      </c>
      <c r="C1420" t="s">
        <v>1614</v>
      </c>
      <c r="D1420">
        <v>2</v>
      </c>
      <c r="E1420">
        <v>0</v>
      </c>
      <c r="F1420">
        <f t="shared" si="22"/>
        <v>2</v>
      </c>
      <c r="I1420">
        <v>20210101</v>
      </c>
      <c r="J1420" t="s">
        <v>1627</v>
      </c>
      <c r="K1420" t="s">
        <v>1624</v>
      </c>
      <c r="L1420" t="s">
        <v>1625</v>
      </c>
      <c r="M1420" t="s">
        <v>1629</v>
      </c>
      <c r="N1420" t="s">
        <v>1748</v>
      </c>
    </row>
    <row r="1421" spans="1:18" x14ac:dyDescent="0.3">
      <c r="A1421" s="160">
        <v>14554</v>
      </c>
      <c r="B1421" t="s">
        <v>16583</v>
      </c>
      <c r="C1421" t="s">
        <v>1614</v>
      </c>
      <c r="D1421">
        <v>2</v>
      </c>
      <c r="E1421">
        <v>0</v>
      </c>
      <c r="F1421">
        <f t="shared" si="22"/>
        <v>2</v>
      </c>
      <c r="I1421">
        <v>20210101</v>
      </c>
      <c r="J1421" t="s">
        <v>1621</v>
      </c>
    </row>
    <row r="1422" spans="1:18" x14ac:dyDescent="0.3">
      <c r="A1422" s="160">
        <v>14556</v>
      </c>
      <c r="B1422" t="s">
        <v>16584</v>
      </c>
      <c r="C1422" t="s">
        <v>1614</v>
      </c>
      <c r="D1422">
        <v>2</v>
      </c>
      <c r="E1422">
        <v>0</v>
      </c>
      <c r="F1422">
        <f t="shared" si="22"/>
        <v>2</v>
      </c>
      <c r="I1422">
        <v>20130101</v>
      </c>
      <c r="J1422" t="s">
        <v>1749</v>
      </c>
      <c r="K1422" t="s">
        <v>1750</v>
      </c>
    </row>
    <row r="1423" spans="1:18" x14ac:dyDescent="0.3">
      <c r="A1423" s="160">
        <v>14558</v>
      </c>
      <c r="B1423" t="s">
        <v>16585</v>
      </c>
      <c r="C1423" t="s">
        <v>1614</v>
      </c>
      <c r="D1423">
        <v>2</v>
      </c>
      <c r="E1423">
        <v>0</v>
      </c>
      <c r="F1423">
        <f t="shared" si="22"/>
        <v>2</v>
      </c>
      <c r="I1423">
        <v>20120101</v>
      </c>
      <c r="J1423" t="s">
        <v>1616</v>
      </c>
    </row>
    <row r="1424" spans="1:18" x14ac:dyDescent="0.3">
      <c r="A1424" s="160">
        <v>14566</v>
      </c>
      <c r="B1424" t="s">
        <v>16586</v>
      </c>
      <c r="C1424" t="s">
        <v>1614</v>
      </c>
      <c r="D1424">
        <v>2</v>
      </c>
      <c r="E1424">
        <v>0</v>
      </c>
      <c r="F1424">
        <f t="shared" si="22"/>
        <v>2</v>
      </c>
      <c r="I1424">
        <v>20120101</v>
      </c>
      <c r="J1424" t="s">
        <v>1751</v>
      </c>
      <c r="K1424" t="s">
        <v>1615</v>
      </c>
      <c r="L1424" t="s">
        <v>1626</v>
      </c>
      <c r="M1424" t="s">
        <v>1627</v>
      </c>
      <c r="N1424" t="s">
        <v>1752</v>
      </c>
      <c r="O1424" t="s">
        <v>1753</v>
      </c>
      <c r="P1424" t="s">
        <v>1629</v>
      </c>
      <c r="Q1424" t="s">
        <v>1754</v>
      </c>
    </row>
    <row r="1425" spans="1:26" x14ac:dyDescent="0.3">
      <c r="A1425" s="160">
        <v>14587</v>
      </c>
      <c r="B1425" t="s">
        <v>16587</v>
      </c>
      <c r="C1425" t="s">
        <v>1614</v>
      </c>
      <c r="D1425">
        <v>2</v>
      </c>
      <c r="E1425">
        <v>0</v>
      </c>
      <c r="F1425">
        <f t="shared" si="22"/>
        <v>2</v>
      </c>
      <c r="I1425">
        <v>20120101</v>
      </c>
      <c r="J1425" t="s">
        <v>1615</v>
      </c>
      <c r="K1425" t="s">
        <v>1626</v>
      </c>
    </row>
    <row r="1426" spans="1:26" x14ac:dyDescent="0.3">
      <c r="A1426" s="160">
        <v>14610</v>
      </c>
      <c r="B1426" t="s">
        <v>16588</v>
      </c>
      <c r="C1426" t="s">
        <v>1614</v>
      </c>
      <c r="D1426">
        <v>2</v>
      </c>
      <c r="E1426">
        <v>0</v>
      </c>
      <c r="F1426">
        <f t="shared" si="22"/>
        <v>2</v>
      </c>
      <c r="I1426">
        <v>20210101</v>
      </c>
      <c r="J1426" t="s">
        <v>1627</v>
      </c>
      <c r="K1426" t="s">
        <v>1624</v>
      </c>
      <c r="L1426" t="s">
        <v>1752</v>
      </c>
      <c r="M1426" t="s">
        <v>1625</v>
      </c>
    </row>
    <row r="1427" spans="1:26" x14ac:dyDescent="0.3">
      <c r="A1427" s="160">
        <v>14666</v>
      </c>
      <c r="B1427" t="s">
        <v>16589</v>
      </c>
      <c r="C1427" t="s">
        <v>1614</v>
      </c>
      <c r="D1427">
        <v>2</v>
      </c>
      <c r="E1427">
        <v>0</v>
      </c>
      <c r="F1427">
        <f t="shared" si="22"/>
        <v>2</v>
      </c>
      <c r="I1427">
        <v>20120101</v>
      </c>
      <c r="J1427" t="s">
        <v>1755</v>
      </c>
    </row>
    <row r="1428" spans="1:26" x14ac:dyDescent="0.3">
      <c r="A1428" s="160">
        <v>14675</v>
      </c>
      <c r="B1428" t="s">
        <v>16590</v>
      </c>
      <c r="C1428" t="s">
        <v>1614</v>
      </c>
      <c r="D1428">
        <v>2</v>
      </c>
      <c r="E1428">
        <v>0</v>
      </c>
      <c r="F1428">
        <f t="shared" si="22"/>
        <v>2</v>
      </c>
      <c r="I1428">
        <v>20210101</v>
      </c>
      <c r="J1428" t="s">
        <v>1621</v>
      </c>
    </row>
    <row r="1429" spans="1:26" x14ac:dyDescent="0.3">
      <c r="A1429" s="160">
        <v>14685</v>
      </c>
      <c r="B1429" t="s">
        <v>16591</v>
      </c>
      <c r="C1429" t="s">
        <v>1614</v>
      </c>
      <c r="D1429">
        <v>2</v>
      </c>
      <c r="E1429">
        <v>0</v>
      </c>
      <c r="F1429">
        <f t="shared" si="22"/>
        <v>2</v>
      </c>
      <c r="I1429">
        <v>20210101</v>
      </c>
      <c r="J1429" t="s">
        <v>1715</v>
      </c>
    </row>
    <row r="1430" spans="1:26" x14ac:dyDescent="0.3">
      <c r="A1430" s="160">
        <v>14691</v>
      </c>
      <c r="B1430" t="s">
        <v>16592</v>
      </c>
      <c r="C1430" t="s">
        <v>1614</v>
      </c>
      <c r="D1430">
        <v>2</v>
      </c>
      <c r="E1430">
        <v>0</v>
      </c>
      <c r="F1430">
        <f t="shared" si="22"/>
        <v>2</v>
      </c>
      <c r="I1430">
        <v>20210101</v>
      </c>
      <c r="J1430" t="s">
        <v>1621</v>
      </c>
    </row>
    <row r="1431" spans="1:26" x14ac:dyDescent="0.3">
      <c r="A1431" s="160">
        <v>14707</v>
      </c>
      <c r="B1431" t="s">
        <v>16593</v>
      </c>
      <c r="C1431" t="s">
        <v>1614</v>
      </c>
      <c r="D1431">
        <v>2</v>
      </c>
      <c r="E1431">
        <v>0</v>
      </c>
      <c r="F1431">
        <f t="shared" si="22"/>
        <v>2</v>
      </c>
      <c r="I1431">
        <v>20130101</v>
      </c>
      <c r="J1431" t="s">
        <v>1622</v>
      </c>
    </row>
    <row r="1432" spans="1:26" x14ac:dyDescent="0.3">
      <c r="A1432" s="160">
        <v>14712</v>
      </c>
      <c r="B1432" t="s">
        <v>16594</v>
      </c>
      <c r="C1432" t="s">
        <v>1614</v>
      </c>
      <c r="D1432">
        <v>2</v>
      </c>
      <c r="E1432">
        <v>0</v>
      </c>
      <c r="F1432">
        <f t="shared" si="22"/>
        <v>2</v>
      </c>
      <c r="I1432">
        <v>20210101</v>
      </c>
      <c r="J1432" t="s">
        <v>1756</v>
      </c>
      <c r="K1432" t="s">
        <v>1755</v>
      </c>
    </row>
    <row r="1433" spans="1:26" x14ac:dyDescent="0.3">
      <c r="A1433" s="160">
        <v>14738</v>
      </c>
      <c r="B1433" t="s">
        <v>16595</v>
      </c>
      <c r="C1433" t="s">
        <v>1614</v>
      </c>
      <c r="D1433">
        <v>2</v>
      </c>
      <c r="E1433">
        <v>0</v>
      </c>
      <c r="F1433">
        <f t="shared" si="22"/>
        <v>2</v>
      </c>
      <c r="I1433">
        <v>20130101</v>
      </c>
      <c r="J1433" t="s">
        <v>1624</v>
      </c>
      <c r="K1433" t="s">
        <v>1746</v>
      </c>
      <c r="L1433" t="s">
        <v>1726</v>
      </c>
      <c r="M1433" t="s">
        <v>1629</v>
      </c>
    </row>
    <row r="1434" spans="1:26" x14ac:dyDescent="0.3">
      <c r="A1434" s="160">
        <v>14758</v>
      </c>
      <c r="B1434" t="s">
        <v>16596</v>
      </c>
      <c r="C1434" t="s">
        <v>1614</v>
      </c>
      <c r="D1434">
        <v>2</v>
      </c>
      <c r="E1434">
        <v>0</v>
      </c>
      <c r="F1434">
        <f t="shared" si="22"/>
        <v>2</v>
      </c>
      <c r="I1434">
        <v>20120101</v>
      </c>
      <c r="J1434" t="s">
        <v>1715</v>
      </c>
    </row>
    <row r="1435" spans="1:26" x14ac:dyDescent="0.3">
      <c r="A1435" s="160">
        <v>15012</v>
      </c>
      <c r="B1435" t="s">
        <v>16597</v>
      </c>
      <c r="C1435" t="s">
        <v>1757</v>
      </c>
      <c r="D1435">
        <v>0.6</v>
      </c>
      <c r="E1435">
        <v>0</v>
      </c>
      <c r="F1435">
        <f t="shared" si="22"/>
        <v>0.6</v>
      </c>
      <c r="I1435">
        <v>20040401</v>
      </c>
      <c r="J1435" t="s">
        <v>1758</v>
      </c>
    </row>
    <row r="1436" spans="1:26" x14ac:dyDescent="0.3">
      <c r="A1436" s="160">
        <v>15014</v>
      </c>
      <c r="B1436" t="s">
        <v>16598</v>
      </c>
      <c r="C1436" t="s">
        <v>1757</v>
      </c>
      <c r="D1436">
        <v>0.6</v>
      </c>
      <c r="E1436">
        <v>0</v>
      </c>
      <c r="F1436">
        <f t="shared" si="22"/>
        <v>0.6</v>
      </c>
      <c r="I1436">
        <v>20040401</v>
      </c>
      <c r="J1436" t="s">
        <v>1759</v>
      </c>
      <c r="K1436" t="s">
        <v>1760</v>
      </c>
      <c r="L1436" t="s">
        <v>1761</v>
      </c>
      <c r="M1436" t="s">
        <v>1762</v>
      </c>
      <c r="N1436" t="s">
        <v>1763</v>
      </c>
      <c r="O1436" t="s">
        <v>1764</v>
      </c>
      <c r="P1436" t="s">
        <v>1765</v>
      </c>
      <c r="Q1436" t="s">
        <v>1766</v>
      </c>
      <c r="R1436" t="s">
        <v>1767</v>
      </c>
      <c r="S1436" t="s">
        <v>1768</v>
      </c>
      <c r="T1436" t="s">
        <v>1769</v>
      </c>
      <c r="U1436" t="s">
        <v>1770</v>
      </c>
      <c r="V1436" t="s">
        <v>1771</v>
      </c>
      <c r="W1436" t="s">
        <v>1772</v>
      </c>
      <c r="X1436" t="s">
        <v>1773</v>
      </c>
      <c r="Y1436" t="s">
        <v>1774</v>
      </c>
      <c r="Z1436" t="s">
        <v>1775</v>
      </c>
    </row>
    <row r="1437" spans="1:26" x14ac:dyDescent="0.3">
      <c r="A1437" s="160">
        <v>15016</v>
      </c>
      <c r="B1437" t="s">
        <v>16599</v>
      </c>
      <c r="C1437" t="s">
        <v>1757</v>
      </c>
      <c r="D1437">
        <v>0.6</v>
      </c>
      <c r="E1437">
        <v>0</v>
      </c>
      <c r="F1437">
        <f t="shared" si="22"/>
        <v>0.6</v>
      </c>
      <c r="I1437">
        <v>20240101</v>
      </c>
      <c r="J1437" t="s">
        <v>1776</v>
      </c>
    </row>
    <row r="1438" spans="1:26" x14ac:dyDescent="0.3">
      <c r="A1438" s="160">
        <v>15056</v>
      </c>
      <c r="B1438" t="s">
        <v>16600</v>
      </c>
      <c r="C1438" t="s">
        <v>1757</v>
      </c>
      <c r="D1438">
        <v>0.6</v>
      </c>
      <c r="E1438">
        <v>0</v>
      </c>
      <c r="F1438">
        <f t="shared" si="22"/>
        <v>0.6</v>
      </c>
      <c r="I1438">
        <v>20040401</v>
      </c>
      <c r="J1438" t="s">
        <v>1776</v>
      </c>
    </row>
    <row r="1439" spans="1:26" x14ac:dyDescent="0.3">
      <c r="A1439" s="160">
        <v>15074</v>
      </c>
      <c r="B1439" t="s">
        <v>16601</v>
      </c>
      <c r="C1439" t="s">
        <v>1757</v>
      </c>
      <c r="D1439">
        <v>0.6</v>
      </c>
      <c r="E1439">
        <v>0</v>
      </c>
      <c r="F1439">
        <f t="shared" si="22"/>
        <v>0.6</v>
      </c>
      <c r="I1439">
        <v>20240101</v>
      </c>
      <c r="J1439" t="s">
        <v>1758</v>
      </c>
    </row>
    <row r="1440" spans="1:26" x14ac:dyDescent="0.3">
      <c r="A1440" s="160">
        <v>15083</v>
      </c>
      <c r="B1440" t="s">
        <v>16602</v>
      </c>
      <c r="C1440" t="s">
        <v>1757</v>
      </c>
      <c r="D1440">
        <v>0.6</v>
      </c>
      <c r="E1440">
        <v>0</v>
      </c>
      <c r="F1440">
        <f t="shared" si="22"/>
        <v>0.6</v>
      </c>
      <c r="I1440">
        <v>20040401</v>
      </c>
      <c r="J1440" t="s">
        <v>1776</v>
      </c>
    </row>
    <row r="1441" spans="1:11" x14ac:dyDescent="0.3">
      <c r="A1441" s="160">
        <v>15088</v>
      </c>
      <c r="B1441" t="s">
        <v>16603</v>
      </c>
      <c r="C1441" t="s">
        <v>1757</v>
      </c>
      <c r="D1441">
        <v>0.6</v>
      </c>
      <c r="E1441">
        <v>0</v>
      </c>
      <c r="F1441">
        <f t="shared" si="22"/>
        <v>0.6</v>
      </c>
      <c r="I1441">
        <v>20240101</v>
      </c>
      <c r="J1441" t="s">
        <v>1777</v>
      </c>
    </row>
    <row r="1442" spans="1:11" x14ac:dyDescent="0.3">
      <c r="A1442" s="160">
        <v>15095</v>
      </c>
      <c r="B1442" t="s">
        <v>16604</v>
      </c>
      <c r="C1442" t="s">
        <v>1757</v>
      </c>
      <c r="D1442">
        <v>0.6</v>
      </c>
      <c r="E1442">
        <v>0</v>
      </c>
      <c r="F1442">
        <f t="shared" si="22"/>
        <v>0.6</v>
      </c>
      <c r="I1442">
        <v>20240101</v>
      </c>
      <c r="J1442" t="s">
        <v>1776</v>
      </c>
    </row>
    <row r="1443" spans="1:11" x14ac:dyDescent="0.3">
      <c r="A1443" s="160">
        <v>15096</v>
      </c>
      <c r="B1443" t="s">
        <v>16605</v>
      </c>
      <c r="C1443" t="s">
        <v>1757</v>
      </c>
      <c r="D1443">
        <v>0.6</v>
      </c>
      <c r="E1443">
        <v>0</v>
      </c>
      <c r="F1443">
        <f t="shared" si="22"/>
        <v>0.6</v>
      </c>
      <c r="I1443">
        <v>20240101</v>
      </c>
      <c r="J1443" t="s">
        <v>1778</v>
      </c>
    </row>
    <row r="1444" spans="1:11" x14ac:dyDescent="0.3">
      <c r="A1444" s="160">
        <v>15113</v>
      </c>
      <c r="B1444" t="s">
        <v>16606</v>
      </c>
      <c r="C1444" t="s">
        <v>1757</v>
      </c>
      <c r="D1444">
        <v>0.6</v>
      </c>
      <c r="E1444">
        <v>0</v>
      </c>
      <c r="F1444">
        <f t="shared" si="22"/>
        <v>0.6</v>
      </c>
      <c r="I1444">
        <v>20240101</v>
      </c>
      <c r="J1444" t="s">
        <v>1778</v>
      </c>
    </row>
    <row r="1445" spans="1:11" x14ac:dyDescent="0.3">
      <c r="A1445" s="160">
        <v>15118</v>
      </c>
      <c r="B1445" t="s">
        <v>16607</v>
      </c>
      <c r="C1445" t="s">
        <v>1757</v>
      </c>
      <c r="D1445">
        <v>0.6</v>
      </c>
      <c r="E1445">
        <v>0</v>
      </c>
      <c r="F1445">
        <f t="shared" si="22"/>
        <v>0.6</v>
      </c>
      <c r="I1445">
        <v>20240101</v>
      </c>
      <c r="J1445" t="s">
        <v>1776</v>
      </c>
    </row>
    <row r="1446" spans="1:11" x14ac:dyDescent="0.3">
      <c r="A1446" s="160">
        <v>15140</v>
      </c>
      <c r="B1446" t="s">
        <v>16608</v>
      </c>
      <c r="C1446" t="s">
        <v>1757</v>
      </c>
      <c r="D1446">
        <v>0.6</v>
      </c>
      <c r="E1446">
        <v>0</v>
      </c>
      <c r="F1446">
        <f t="shared" si="22"/>
        <v>0.6</v>
      </c>
      <c r="I1446">
        <v>20040401</v>
      </c>
      <c r="J1446" t="s">
        <v>1776</v>
      </c>
    </row>
    <row r="1447" spans="1:11" x14ac:dyDescent="0.3">
      <c r="A1447" s="160">
        <v>15160</v>
      </c>
      <c r="B1447" t="s">
        <v>16609</v>
      </c>
      <c r="C1447" t="s">
        <v>1757</v>
      </c>
      <c r="D1447">
        <v>0.6</v>
      </c>
      <c r="E1447">
        <v>0</v>
      </c>
      <c r="F1447">
        <f t="shared" si="22"/>
        <v>0.6</v>
      </c>
      <c r="I1447">
        <v>20040401</v>
      </c>
      <c r="J1447" t="s">
        <v>1776</v>
      </c>
    </row>
    <row r="1448" spans="1:11" x14ac:dyDescent="0.3">
      <c r="A1448" s="160">
        <v>15178</v>
      </c>
      <c r="B1448" t="s">
        <v>16610</v>
      </c>
      <c r="C1448" t="s">
        <v>1757</v>
      </c>
      <c r="D1448">
        <v>0.6</v>
      </c>
      <c r="E1448">
        <v>0</v>
      </c>
      <c r="F1448">
        <f t="shared" si="22"/>
        <v>0.6</v>
      </c>
      <c r="I1448">
        <v>20240101</v>
      </c>
      <c r="J1448" t="s">
        <v>1778</v>
      </c>
    </row>
    <row r="1449" spans="1:11" x14ac:dyDescent="0.3">
      <c r="A1449" s="160">
        <v>15204</v>
      </c>
      <c r="B1449" t="s">
        <v>16611</v>
      </c>
      <c r="C1449" t="s">
        <v>1757</v>
      </c>
      <c r="D1449">
        <v>0.6</v>
      </c>
      <c r="E1449">
        <v>0</v>
      </c>
      <c r="F1449">
        <f t="shared" si="22"/>
        <v>0.6</v>
      </c>
      <c r="I1449">
        <v>20040401</v>
      </c>
      <c r="J1449" t="s">
        <v>1776</v>
      </c>
    </row>
    <row r="1450" spans="1:11" x14ac:dyDescent="0.3">
      <c r="A1450" s="160">
        <v>15215</v>
      </c>
      <c r="B1450" t="s">
        <v>15621</v>
      </c>
      <c r="C1450" t="s">
        <v>1757</v>
      </c>
      <c r="D1450">
        <v>0.6</v>
      </c>
      <c r="E1450">
        <v>0</v>
      </c>
      <c r="F1450">
        <f t="shared" si="22"/>
        <v>0.6</v>
      </c>
      <c r="I1450">
        <v>20240101</v>
      </c>
      <c r="J1450" t="s">
        <v>1758</v>
      </c>
    </row>
    <row r="1451" spans="1:11" x14ac:dyDescent="0.3">
      <c r="A1451" s="160">
        <v>15221</v>
      </c>
      <c r="B1451" t="s">
        <v>16612</v>
      </c>
      <c r="C1451" t="s">
        <v>1757</v>
      </c>
      <c r="D1451">
        <v>0.6</v>
      </c>
      <c r="E1451">
        <v>0</v>
      </c>
      <c r="F1451">
        <f t="shared" si="22"/>
        <v>0.6</v>
      </c>
      <c r="I1451">
        <v>20040401</v>
      </c>
      <c r="J1451" t="s">
        <v>1758</v>
      </c>
    </row>
    <row r="1452" spans="1:11" x14ac:dyDescent="0.3">
      <c r="A1452" s="160">
        <v>15233</v>
      </c>
      <c r="B1452" t="s">
        <v>16613</v>
      </c>
      <c r="C1452" t="s">
        <v>1757</v>
      </c>
      <c r="D1452">
        <v>0.6</v>
      </c>
      <c r="E1452">
        <v>0</v>
      </c>
      <c r="F1452">
        <f t="shared" si="22"/>
        <v>0.6</v>
      </c>
      <c r="I1452">
        <v>20040401</v>
      </c>
      <c r="J1452" t="s">
        <v>1776</v>
      </c>
    </row>
    <row r="1453" spans="1:11" x14ac:dyDescent="0.3">
      <c r="A1453" s="160">
        <v>15252</v>
      </c>
      <c r="B1453" t="s">
        <v>16614</v>
      </c>
      <c r="C1453" t="s">
        <v>1757</v>
      </c>
      <c r="D1453">
        <v>0.6</v>
      </c>
      <c r="E1453">
        <v>0</v>
      </c>
      <c r="F1453">
        <f t="shared" si="22"/>
        <v>0.6</v>
      </c>
      <c r="I1453">
        <v>20240101</v>
      </c>
      <c r="J1453" t="s">
        <v>1778</v>
      </c>
    </row>
    <row r="1454" spans="1:11" x14ac:dyDescent="0.3">
      <c r="A1454" s="160">
        <v>15255</v>
      </c>
      <c r="B1454" t="s">
        <v>16615</v>
      </c>
      <c r="C1454" t="s">
        <v>1757</v>
      </c>
      <c r="D1454">
        <v>0.6</v>
      </c>
      <c r="E1454">
        <v>0</v>
      </c>
      <c r="F1454">
        <f t="shared" si="22"/>
        <v>0.6</v>
      </c>
      <c r="I1454">
        <v>20040401</v>
      </c>
      <c r="J1454" t="s">
        <v>1758</v>
      </c>
    </row>
    <row r="1455" spans="1:11" x14ac:dyDescent="0.3">
      <c r="A1455" s="160">
        <v>15266</v>
      </c>
      <c r="B1455" t="s">
        <v>16616</v>
      </c>
      <c r="C1455" t="s">
        <v>1757</v>
      </c>
      <c r="D1455">
        <v>0.6</v>
      </c>
      <c r="E1455">
        <v>0</v>
      </c>
      <c r="F1455">
        <f t="shared" si="22"/>
        <v>0.6</v>
      </c>
      <c r="I1455">
        <v>20240101</v>
      </c>
      <c r="J1455" t="s">
        <v>1758</v>
      </c>
    </row>
    <row r="1456" spans="1:11" x14ac:dyDescent="0.3">
      <c r="A1456" s="160">
        <v>15267</v>
      </c>
      <c r="B1456" t="s">
        <v>16617</v>
      </c>
      <c r="C1456" t="s">
        <v>1757</v>
      </c>
      <c r="D1456">
        <v>0.6</v>
      </c>
      <c r="E1456">
        <v>0</v>
      </c>
      <c r="F1456">
        <f t="shared" si="22"/>
        <v>0.6</v>
      </c>
      <c r="I1456">
        <v>20040401</v>
      </c>
      <c r="J1456" t="s">
        <v>1759</v>
      </c>
      <c r="K1456" t="s">
        <v>1758</v>
      </c>
    </row>
    <row r="1457" spans="1:36" x14ac:dyDescent="0.3">
      <c r="A1457" s="160">
        <v>16010</v>
      </c>
      <c r="B1457" t="s">
        <v>16618</v>
      </c>
      <c r="C1457" t="s">
        <v>1779</v>
      </c>
      <c r="D1457">
        <v>0.3</v>
      </c>
      <c r="E1457">
        <v>0</v>
      </c>
      <c r="F1457">
        <f t="shared" si="22"/>
        <v>0.3</v>
      </c>
      <c r="I1457">
        <v>20230701</v>
      </c>
      <c r="J1457" t="s">
        <v>1780</v>
      </c>
    </row>
    <row r="1458" spans="1:36" x14ac:dyDescent="0.3">
      <c r="A1458" s="160">
        <v>16012</v>
      </c>
      <c r="B1458" t="s">
        <v>16619</v>
      </c>
      <c r="C1458" t="s">
        <v>1779</v>
      </c>
      <c r="D1458">
        <v>0.3</v>
      </c>
      <c r="E1458">
        <v>0</v>
      </c>
      <c r="F1458">
        <f t="shared" si="22"/>
        <v>0.3</v>
      </c>
      <c r="I1458">
        <v>20230701</v>
      </c>
      <c r="J1458" t="s">
        <v>1781</v>
      </c>
    </row>
    <row r="1459" spans="1:36" x14ac:dyDescent="0.3">
      <c r="A1459" s="160">
        <v>16013</v>
      </c>
      <c r="B1459" t="s">
        <v>16620</v>
      </c>
      <c r="C1459" t="s">
        <v>1779</v>
      </c>
      <c r="D1459">
        <v>0.3</v>
      </c>
      <c r="E1459">
        <v>0</v>
      </c>
      <c r="F1459">
        <f t="shared" si="22"/>
        <v>0.3</v>
      </c>
      <c r="I1459">
        <v>20230701</v>
      </c>
      <c r="J1459" t="s">
        <v>1782</v>
      </c>
    </row>
    <row r="1460" spans="1:36" x14ac:dyDescent="0.3">
      <c r="A1460" s="160">
        <v>16015</v>
      </c>
      <c r="B1460" t="s">
        <v>16621</v>
      </c>
      <c r="C1460" t="s">
        <v>1783</v>
      </c>
      <c r="D1460">
        <v>1.7</v>
      </c>
      <c r="E1460">
        <v>0</v>
      </c>
      <c r="F1460">
        <f t="shared" si="22"/>
        <v>1.7</v>
      </c>
      <c r="I1460">
        <v>20180101</v>
      </c>
      <c r="J1460" t="s">
        <v>1784</v>
      </c>
      <c r="K1460" t="s">
        <v>1785</v>
      </c>
      <c r="L1460" t="s">
        <v>1786</v>
      </c>
      <c r="M1460" t="s">
        <v>1787</v>
      </c>
      <c r="N1460" t="s">
        <v>1788</v>
      </c>
      <c r="O1460" t="s">
        <v>1789</v>
      </c>
      <c r="P1460" t="s">
        <v>1790</v>
      </c>
      <c r="Q1460" t="s">
        <v>1791</v>
      </c>
      <c r="R1460" t="s">
        <v>1792</v>
      </c>
      <c r="S1460" t="s">
        <v>1793</v>
      </c>
      <c r="T1460" t="s">
        <v>1794</v>
      </c>
      <c r="U1460" t="s">
        <v>1795</v>
      </c>
      <c r="V1460" t="s">
        <v>1796</v>
      </c>
      <c r="W1460" t="s">
        <v>1797</v>
      </c>
      <c r="X1460" t="s">
        <v>1798</v>
      </c>
      <c r="Y1460" t="s">
        <v>1799</v>
      </c>
      <c r="Z1460" t="s">
        <v>1800</v>
      </c>
      <c r="AA1460" t="s">
        <v>1801</v>
      </c>
      <c r="AB1460" t="s">
        <v>1802</v>
      </c>
      <c r="AC1460" t="s">
        <v>1803</v>
      </c>
      <c r="AD1460" t="s">
        <v>1804</v>
      </c>
      <c r="AE1460" t="s">
        <v>1805</v>
      </c>
      <c r="AF1460" t="s">
        <v>1806</v>
      </c>
      <c r="AG1460" t="s">
        <v>1807</v>
      </c>
      <c r="AH1460" t="s">
        <v>1808</v>
      </c>
      <c r="AI1460" t="s">
        <v>1809</v>
      </c>
      <c r="AJ1460" t="s">
        <v>1810</v>
      </c>
    </row>
    <row r="1461" spans="1:36" x14ac:dyDescent="0.3">
      <c r="A1461" s="160">
        <v>16018</v>
      </c>
      <c r="B1461" t="s">
        <v>16622</v>
      </c>
      <c r="C1461" t="s">
        <v>1779</v>
      </c>
      <c r="D1461">
        <v>0.3</v>
      </c>
      <c r="E1461">
        <v>0</v>
      </c>
      <c r="F1461">
        <f t="shared" si="22"/>
        <v>0.3</v>
      </c>
      <c r="I1461">
        <v>20120101</v>
      </c>
      <c r="J1461" t="s">
        <v>1781</v>
      </c>
    </row>
    <row r="1462" spans="1:36" x14ac:dyDescent="0.3">
      <c r="A1462" s="160">
        <v>16019</v>
      </c>
      <c r="B1462" t="s">
        <v>16623</v>
      </c>
      <c r="C1462" t="s">
        <v>1783</v>
      </c>
      <c r="D1462">
        <v>1.7</v>
      </c>
      <c r="E1462">
        <v>0</v>
      </c>
      <c r="F1462">
        <f t="shared" si="22"/>
        <v>1.7</v>
      </c>
      <c r="I1462">
        <v>20220101</v>
      </c>
      <c r="J1462" t="s">
        <v>1811</v>
      </c>
    </row>
    <row r="1463" spans="1:36" x14ac:dyDescent="0.3">
      <c r="A1463" s="160">
        <v>16026</v>
      </c>
      <c r="B1463" t="s">
        <v>16624</v>
      </c>
      <c r="C1463" t="s">
        <v>1783</v>
      </c>
      <c r="D1463">
        <v>1.7</v>
      </c>
      <c r="E1463">
        <v>0</v>
      </c>
      <c r="F1463">
        <f t="shared" si="22"/>
        <v>1.7</v>
      </c>
      <c r="I1463">
        <v>20220101</v>
      </c>
      <c r="J1463" t="s">
        <v>1812</v>
      </c>
    </row>
    <row r="1464" spans="1:36" x14ac:dyDescent="0.3">
      <c r="A1464" s="160">
        <v>16032</v>
      </c>
      <c r="B1464" t="s">
        <v>16625</v>
      </c>
      <c r="C1464" t="s">
        <v>1779</v>
      </c>
      <c r="D1464">
        <v>0.3</v>
      </c>
      <c r="E1464">
        <v>0</v>
      </c>
      <c r="F1464">
        <f t="shared" si="22"/>
        <v>0.3</v>
      </c>
      <c r="I1464">
        <v>20230701</v>
      </c>
      <c r="J1464" t="s">
        <v>1782</v>
      </c>
    </row>
    <row r="1465" spans="1:36" x14ac:dyDescent="0.3">
      <c r="A1465" s="160">
        <v>16045</v>
      </c>
      <c r="B1465" t="s">
        <v>16626</v>
      </c>
      <c r="C1465" t="s">
        <v>1779</v>
      </c>
      <c r="D1465">
        <v>0.3</v>
      </c>
      <c r="E1465">
        <v>0</v>
      </c>
      <c r="F1465">
        <f t="shared" si="22"/>
        <v>0.3</v>
      </c>
      <c r="I1465">
        <v>20230701</v>
      </c>
      <c r="J1465" t="s">
        <v>1782</v>
      </c>
    </row>
    <row r="1466" spans="1:36" x14ac:dyDescent="0.3">
      <c r="A1466" s="160">
        <v>16050</v>
      </c>
      <c r="B1466" t="s">
        <v>16627</v>
      </c>
      <c r="C1466" t="s">
        <v>1779</v>
      </c>
      <c r="D1466">
        <v>0.3</v>
      </c>
      <c r="E1466">
        <v>0</v>
      </c>
      <c r="F1466">
        <f t="shared" si="22"/>
        <v>0.3</v>
      </c>
      <c r="I1466">
        <v>20230701</v>
      </c>
      <c r="J1466" t="s">
        <v>1782</v>
      </c>
    </row>
    <row r="1467" spans="1:36" x14ac:dyDescent="0.3">
      <c r="A1467" s="160">
        <v>16055</v>
      </c>
      <c r="B1467" t="s">
        <v>16628</v>
      </c>
      <c r="C1467" t="s">
        <v>1783</v>
      </c>
      <c r="D1467">
        <v>1.7</v>
      </c>
      <c r="E1467">
        <v>0</v>
      </c>
      <c r="F1467">
        <f t="shared" si="22"/>
        <v>1.7</v>
      </c>
      <c r="I1467">
        <v>20220101</v>
      </c>
      <c r="J1467" t="s">
        <v>1813</v>
      </c>
    </row>
    <row r="1468" spans="1:36" x14ac:dyDescent="0.3">
      <c r="A1468" s="160">
        <v>16056</v>
      </c>
      <c r="B1468" t="s">
        <v>16629</v>
      </c>
      <c r="C1468" t="s">
        <v>1779</v>
      </c>
      <c r="D1468">
        <v>0.3</v>
      </c>
      <c r="E1468">
        <v>0</v>
      </c>
      <c r="F1468">
        <f t="shared" si="22"/>
        <v>0.3</v>
      </c>
      <c r="I1468">
        <v>20230701</v>
      </c>
      <c r="J1468" t="s">
        <v>1814</v>
      </c>
      <c r="K1468" t="s">
        <v>1815</v>
      </c>
    </row>
    <row r="1469" spans="1:36" x14ac:dyDescent="0.3">
      <c r="A1469" s="160">
        <v>16057</v>
      </c>
      <c r="B1469" t="s">
        <v>16630</v>
      </c>
      <c r="C1469" t="s">
        <v>1779</v>
      </c>
      <c r="D1469">
        <v>0.3</v>
      </c>
      <c r="E1469">
        <v>0</v>
      </c>
      <c r="F1469">
        <f t="shared" si="22"/>
        <v>0.3</v>
      </c>
      <c r="I1469">
        <v>20230701</v>
      </c>
      <c r="J1469" t="s">
        <v>1782</v>
      </c>
    </row>
    <row r="1470" spans="1:36" x14ac:dyDescent="0.3">
      <c r="A1470" s="160">
        <v>16058</v>
      </c>
      <c r="B1470" t="s">
        <v>16631</v>
      </c>
      <c r="C1470" t="s">
        <v>1779</v>
      </c>
      <c r="D1470">
        <v>0.3</v>
      </c>
      <c r="E1470">
        <v>0</v>
      </c>
      <c r="F1470">
        <f t="shared" si="22"/>
        <v>0.3</v>
      </c>
      <c r="I1470">
        <v>20120101</v>
      </c>
      <c r="J1470" t="s">
        <v>1816</v>
      </c>
      <c r="K1470" t="s">
        <v>1817</v>
      </c>
    </row>
    <row r="1471" spans="1:36" x14ac:dyDescent="0.3">
      <c r="A1471" s="160">
        <v>16060</v>
      </c>
      <c r="B1471" t="s">
        <v>16632</v>
      </c>
      <c r="C1471" t="s">
        <v>1779</v>
      </c>
      <c r="D1471">
        <v>0.3</v>
      </c>
      <c r="E1471">
        <v>0</v>
      </c>
      <c r="F1471">
        <f t="shared" si="22"/>
        <v>0.3</v>
      </c>
      <c r="I1471">
        <v>20120101</v>
      </c>
      <c r="J1471" t="s">
        <v>1818</v>
      </c>
    </row>
    <row r="1472" spans="1:36" x14ac:dyDescent="0.3">
      <c r="A1472" s="160">
        <v>16061</v>
      </c>
      <c r="B1472" t="s">
        <v>15352</v>
      </c>
      <c r="C1472" t="s">
        <v>1783</v>
      </c>
      <c r="D1472">
        <v>1.7</v>
      </c>
      <c r="E1472">
        <v>0</v>
      </c>
      <c r="F1472">
        <f t="shared" si="22"/>
        <v>1.7</v>
      </c>
      <c r="I1472">
        <v>20220101</v>
      </c>
      <c r="J1472" t="s">
        <v>1819</v>
      </c>
    </row>
    <row r="1473" spans="1:22" x14ac:dyDescent="0.3">
      <c r="A1473" s="160">
        <v>16077</v>
      </c>
      <c r="B1473" t="s">
        <v>16633</v>
      </c>
      <c r="C1473" t="s">
        <v>1779</v>
      </c>
      <c r="D1473">
        <v>0.3</v>
      </c>
      <c r="E1473">
        <v>0</v>
      </c>
      <c r="F1473">
        <f t="shared" si="22"/>
        <v>0.3</v>
      </c>
      <c r="I1473">
        <v>20230701</v>
      </c>
      <c r="J1473" t="s">
        <v>1811</v>
      </c>
    </row>
    <row r="1474" spans="1:22" x14ac:dyDescent="0.3">
      <c r="A1474" s="160">
        <v>16078</v>
      </c>
      <c r="B1474" t="s">
        <v>16634</v>
      </c>
      <c r="C1474" t="s">
        <v>1783</v>
      </c>
      <c r="D1474">
        <v>1.7</v>
      </c>
      <c r="E1474">
        <v>0</v>
      </c>
      <c r="F1474">
        <f t="shared" si="22"/>
        <v>1.7</v>
      </c>
      <c r="I1474">
        <v>20220101</v>
      </c>
      <c r="J1474" t="s">
        <v>1812</v>
      </c>
    </row>
    <row r="1475" spans="1:22" x14ac:dyDescent="0.3">
      <c r="A1475" s="160">
        <v>16088</v>
      </c>
      <c r="B1475" t="s">
        <v>16635</v>
      </c>
      <c r="C1475" t="s">
        <v>1779</v>
      </c>
      <c r="D1475">
        <v>0.3</v>
      </c>
      <c r="E1475">
        <v>0</v>
      </c>
      <c r="F1475">
        <f t="shared" si="22"/>
        <v>0.3</v>
      </c>
      <c r="I1475">
        <v>20230701</v>
      </c>
      <c r="J1475" t="s">
        <v>1815</v>
      </c>
    </row>
    <row r="1476" spans="1:22" x14ac:dyDescent="0.3">
      <c r="A1476" s="160">
        <v>16089</v>
      </c>
      <c r="B1476" t="s">
        <v>16636</v>
      </c>
      <c r="C1476" t="s">
        <v>1779</v>
      </c>
      <c r="D1476">
        <v>0.3</v>
      </c>
      <c r="E1476">
        <v>0</v>
      </c>
      <c r="F1476">
        <f t="shared" si="22"/>
        <v>0.3</v>
      </c>
      <c r="I1476">
        <v>20120101</v>
      </c>
      <c r="J1476" t="s">
        <v>1816</v>
      </c>
      <c r="K1476" t="s">
        <v>1820</v>
      </c>
      <c r="L1476" t="s">
        <v>1817</v>
      </c>
      <c r="M1476" t="s">
        <v>1821</v>
      </c>
      <c r="N1476" t="s">
        <v>1822</v>
      </c>
      <c r="O1476" t="s">
        <v>1823</v>
      </c>
      <c r="P1476" t="s">
        <v>1824</v>
      </c>
      <c r="Q1476" t="s">
        <v>1825</v>
      </c>
      <c r="R1476" t="s">
        <v>1826</v>
      </c>
      <c r="S1476" t="s">
        <v>1827</v>
      </c>
      <c r="T1476" t="s">
        <v>1828</v>
      </c>
    </row>
    <row r="1477" spans="1:22" x14ac:dyDescent="0.3">
      <c r="A1477" s="160">
        <v>16090</v>
      </c>
      <c r="B1477" t="s">
        <v>16637</v>
      </c>
      <c r="C1477" t="s">
        <v>1779</v>
      </c>
      <c r="D1477">
        <v>0.3</v>
      </c>
      <c r="E1477">
        <v>0</v>
      </c>
      <c r="F1477">
        <f t="shared" si="22"/>
        <v>0.3</v>
      </c>
      <c r="I1477">
        <v>20230701</v>
      </c>
      <c r="J1477" t="s">
        <v>1782</v>
      </c>
    </row>
    <row r="1478" spans="1:22" x14ac:dyDescent="0.3">
      <c r="A1478" s="160">
        <v>16097</v>
      </c>
      <c r="B1478" t="s">
        <v>16638</v>
      </c>
      <c r="C1478" t="s">
        <v>1779</v>
      </c>
      <c r="D1478">
        <v>0.3</v>
      </c>
      <c r="E1478">
        <v>0</v>
      </c>
      <c r="F1478">
        <f t="shared" si="22"/>
        <v>0.3</v>
      </c>
      <c r="I1478">
        <v>20120101</v>
      </c>
      <c r="J1478" t="s">
        <v>1820</v>
      </c>
      <c r="K1478" t="s">
        <v>1821</v>
      </c>
      <c r="L1478" t="s">
        <v>1829</v>
      </c>
      <c r="M1478" t="s">
        <v>1828</v>
      </c>
      <c r="N1478" t="s">
        <v>1818</v>
      </c>
    </row>
    <row r="1479" spans="1:22" x14ac:dyDescent="0.3">
      <c r="A1479" s="160">
        <v>16101</v>
      </c>
      <c r="B1479" t="s">
        <v>16639</v>
      </c>
      <c r="C1479" t="s">
        <v>1783</v>
      </c>
      <c r="D1479">
        <v>1.7</v>
      </c>
      <c r="E1479">
        <v>0</v>
      </c>
      <c r="F1479">
        <f t="shared" ref="F1479:F1542" si="23">D1479+E1479</f>
        <v>1.7</v>
      </c>
      <c r="I1479">
        <v>20240101</v>
      </c>
      <c r="J1479" t="s">
        <v>1830</v>
      </c>
    </row>
    <row r="1480" spans="1:22" x14ac:dyDescent="0.3">
      <c r="A1480" s="160">
        <v>16102</v>
      </c>
      <c r="B1480" t="s">
        <v>16640</v>
      </c>
      <c r="C1480" t="s">
        <v>1779</v>
      </c>
      <c r="D1480">
        <v>0.3</v>
      </c>
      <c r="E1480">
        <v>0</v>
      </c>
      <c r="F1480">
        <f t="shared" si="23"/>
        <v>0.3</v>
      </c>
      <c r="I1480">
        <v>20120101</v>
      </c>
      <c r="J1480" t="s">
        <v>1816</v>
      </c>
      <c r="K1480" t="s">
        <v>1820</v>
      </c>
      <c r="L1480" t="s">
        <v>1817</v>
      </c>
      <c r="M1480" t="s">
        <v>1821</v>
      </c>
      <c r="N1480" t="s">
        <v>1822</v>
      </c>
      <c r="O1480" t="s">
        <v>1829</v>
      </c>
      <c r="P1480" t="s">
        <v>1823</v>
      </c>
      <c r="Q1480" t="s">
        <v>1831</v>
      </c>
      <c r="R1480" t="s">
        <v>1824</v>
      </c>
      <c r="S1480" t="s">
        <v>1826</v>
      </c>
      <c r="T1480" t="s">
        <v>1827</v>
      </c>
      <c r="U1480" t="s">
        <v>1828</v>
      </c>
      <c r="V1480" t="s">
        <v>1832</v>
      </c>
    </row>
    <row r="1481" spans="1:22" x14ac:dyDescent="0.3">
      <c r="A1481" s="160">
        <v>16113</v>
      </c>
      <c r="B1481" t="s">
        <v>16641</v>
      </c>
      <c r="C1481" t="s">
        <v>1783</v>
      </c>
      <c r="D1481">
        <v>1.7</v>
      </c>
      <c r="E1481">
        <v>0</v>
      </c>
      <c r="F1481">
        <f t="shared" si="23"/>
        <v>1.7</v>
      </c>
      <c r="I1481">
        <v>20180101</v>
      </c>
      <c r="J1481" t="s">
        <v>1833</v>
      </c>
    </row>
    <row r="1482" spans="1:22" x14ac:dyDescent="0.3">
      <c r="A1482" s="160">
        <v>16116</v>
      </c>
      <c r="B1482" t="s">
        <v>16642</v>
      </c>
      <c r="C1482" t="s">
        <v>1779</v>
      </c>
      <c r="D1482">
        <v>0.3</v>
      </c>
      <c r="E1482">
        <v>0</v>
      </c>
      <c r="F1482">
        <f t="shared" si="23"/>
        <v>0.3</v>
      </c>
      <c r="I1482">
        <v>20230701</v>
      </c>
      <c r="J1482" t="s">
        <v>1780</v>
      </c>
    </row>
    <row r="1483" spans="1:22" x14ac:dyDescent="0.3">
      <c r="A1483" s="160">
        <v>16119</v>
      </c>
      <c r="B1483" t="s">
        <v>16643</v>
      </c>
      <c r="C1483" t="s">
        <v>1783</v>
      </c>
      <c r="D1483">
        <v>1.7</v>
      </c>
      <c r="E1483">
        <v>0</v>
      </c>
      <c r="F1483">
        <f t="shared" si="23"/>
        <v>1.7</v>
      </c>
      <c r="I1483">
        <v>20240101</v>
      </c>
      <c r="J1483" t="s">
        <v>1813</v>
      </c>
    </row>
    <row r="1484" spans="1:22" x14ac:dyDescent="0.3">
      <c r="A1484" s="160">
        <v>16120</v>
      </c>
      <c r="B1484" t="s">
        <v>16644</v>
      </c>
      <c r="C1484" t="s">
        <v>1783</v>
      </c>
      <c r="D1484">
        <v>1.7</v>
      </c>
      <c r="E1484">
        <v>0</v>
      </c>
      <c r="F1484">
        <f t="shared" si="23"/>
        <v>1.7</v>
      </c>
      <c r="I1484">
        <v>20220101</v>
      </c>
      <c r="J1484" t="s">
        <v>1813</v>
      </c>
    </row>
    <row r="1485" spans="1:22" x14ac:dyDescent="0.3">
      <c r="A1485" s="160">
        <v>16129</v>
      </c>
      <c r="B1485" t="s">
        <v>16645</v>
      </c>
      <c r="C1485" t="s">
        <v>1779</v>
      </c>
      <c r="D1485">
        <v>0.3</v>
      </c>
      <c r="E1485">
        <v>0</v>
      </c>
      <c r="F1485">
        <f t="shared" si="23"/>
        <v>0.3</v>
      </c>
      <c r="I1485">
        <v>20230701</v>
      </c>
      <c r="J1485" t="s">
        <v>1782</v>
      </c>
    </row>
    <row r="1486" spans="1:22" x14ac:dyDescent="0.3">
      <c r="A1486" s="160">
        <v>16138</v>
      </c>
      <c r="B1486" t="s">
        <v>16646</v>
      </c>
      <c r="C1486" t="s">
        <v>1783</v>
      </c>
      <c r="D1486">
        <v>1.7</v>
      </c>
      <c r="E1486">
        <v>0</v>
      </c>
      <c r="F1486">
        <f t="shared" si="23"/>
        <v>1.7</v>
      </c>
      <c r="I1486">
        <v>20180101</v>
      </c>
      <c r="J1486" t="s">
        <v>1834</v>
      </c>
    </row>
    <row r="1487" spans="1:22" x14ac:dyDescent="0.3">
      <c r="A1487" s="160">
        <v>16139</v>
      </c>
      <c r="B1487" t="s">
        <v>16647</v>
      </c>
      <c r="C1487" t="s">
        <v>1779</v>
      </c>
      <c r="D1487">
        <v>0.3</v>
      </c>
      <c r="E1487">
        <v>0</v>
      </c>
      <c r="F1487">
        <f t="shared" si="23"/>
        <v>0.3</v>
      </c>
      <c r="I1487">
        <v>20230701</v>
      </c>
      <c r="J1487" t="s">
        <v>1815</v>
      </c>
    </row>
    <row r="1488" spans="1:22" x14ac:dyDescent="0.3">
      <c r="A1488" s="160">
        <v>16145</v>
      </c>
      <c r="B1488" t="s">
        <v>16648</v>
      </c>
      <c r="C1488" t="s">
        <v>1779</v>
      </c>
      <c r="D1488">
        <v>0.3</v>
      </c>
      <c r="E1488">
        <v>0</v>
      </c>
      <c r="F1488">
        <f t="shared" si="23"/>
        <v>0.3</v>
      </c>
      <c r="I1488">
        <v>20230701</v>
      </c>
      <c r="J1488" t="s">
        <v>1815</v>
      </c>
    </row>
    <row r="1489" spans="1:14" x14ac:dyDescent="0.3">
      <c r="A1489" s="160">
        <v>16146</v>
      </c>
      <c r="B1489" t="s">
        <v>16649</v>
      </c>
      <c r="C1489" t="s">
        <v>1783</v>
      </c>
      <c r="D1489">
        <v>1.7</v>
      </c>
      <c r="E1489">
        <v>0</v>
      </c>
      <c r="F1489">
        <f t="shared" si="23"/>
        <v>1.7</v>
      </c>
      <c r="I1489">
        <v>20220101</v>
      </c>
      <c r="J1489" t="s">
        <v>1813</v>
      </c>
    </row>
    <row r="1490" spans="1:14" x14ac:dyDescent="0.3">
      <c r="A1490" s="160">
        <v>16150</v>
      </c>
      <c r="B1490" t="s">
        <v>16650</v>
      </c>
      <c r="C1490" t="s">
        <v>1779</v>
      </c>
      <c r="D1490">
        <v>0.3</v>
      </c>
      <c r="E1490">
        <v>0</v>
      </c>
      <c r="F1490">
        <f t="shared" si="23"/>
        <v>0.3</v>
      </c>
      <c r="I1490">
        <v>20230701</v>
      </c>
      <c r="J1490" t="s">
        <v>1820</v>
      </c>
      <c r="K1490" t="s">
        <v>1827</v>
      </c>
      <c r="L1490" t="s">
        <v>1814</v>
      </c>
      <c r="M1490" t="s">
        <v>1781</v>
      </c>
    </row>
    <row r="1491" spans="1:14" x14ac:dyDescent="0.3">
      <c r="A1491" s="160">
        <v>16151</v>
      </c>
      <c r="B1491" t="s">
        <v>16651</v>
      </c>
      <c r="C1491" t="s">
        <v>1779</v>
      </c>
      <c r="D1491">
        <v>0.3</v>
      </c>
      <c r="E1491">
        <v>0</v>
      </c>
      <c r="F1491">
        <f t="shared" si="23"/>
        <v>0.3</v>
      </c>
      <c r="I1491">
        <v>20230701</v>
      </c>
      <c r="J1491" t="s">
        <v>1781</v>
      </c>
    </row>
    <row r="1492" spans="1:14" x14ac:dyDescent="0.3">
      <c r="A1492" s="160">
        <v>16152</v>
      </c>
      <c r="B1492" t="s">
        <v>16652</v>
      </c>
      <c r="C1492" t="s">
        <v>1779</v>
      </c>
      <c r="D1492">
        <v>0.3</v>
      </c>
      <c r="E1492">
        <v>0</v>
      </c>
      <c r="F1492">
        <f t="shared" si="23"/>
        <v>0.3</v>
      </c>
      <c r="I1492">
        <v>20120101</v>
      </c>
      <c r="J1492" t="s">
        <v>1817</v>
      </c>
      <c r="K1492" t="s">
        <v>1781</v>
      </c>
    </row>
    <row r="1493" spans="1:14" x14ac:dyDescent="0.3">
      <c r="A1493" s="160">
        <v>16153</v>
      </c>
      <c r="B1493" t="s">
        <v>16653</v>
      </c>
      <c r="C1493" t="s">
        <v>1779</v>
      </c>
      <c r="D1493">
        <v>0.3</v>
      </c>
      <c r="E1493">
        <v>0</v>
      </c>
      <c r="F1493">
        <f t="shared" si="23"/>
        <v>0.3</v>
      </c>
      <c r="I1493">
        <v>20230701</v>
      </c>
      <c r="J1493" t="s">
        <v>1815</v>
      </c>
    </row>
    <row r="1494" spans="1:14" x14ac:dyDescent="0.3">
      <c r="A1494" s="160">
        <v>16154</v>
      </c>
      <c r="B1494" t="s">
        <v>16654</v>
      </c>
      <c r="C1494" t="s">
        <v>1783</v>
      </c>
      <c r="D1494">
        <v>1.7</v>
      </c>
      <c r="E1494">
        <v>0</v>
      </c>
      <c r="F1494">
        <f t="shared" si="23"/>
        <v>1.7</v>
      </c>
      <c r="I1494">
        <v>20180101</v>
      </c>
      <c r="J1494" t="s">
        <v>1785</v>
      </c>
      <c r="K1494" t="s">
        <v>1791</v>
      </c>
      <c r="L1494" t="s">
        <v>1835</v>
      </c>
      <c r="M1494" t="s">
        <v>1836</v>
      </c>
      <c r="N1494" t="s">
        <v>1837</v>
      </c>
    </row>
    <row r="1495" spans="1:14" x14ac:dyDescent="0.3">
      <c r="A1495" s="160">
        <v>16163</v>
      </c>
      <c r="B1495" t="s">
        <v>16655</v>
      </c>
      <c r="C1495" t="s">
        <v>1779</v>
      </c>
      <c r="D1495">
        <v>0.3</v>
      </c>
      <c r="E1495">
        <v>0</v>
      </c>
      <c r="F1495">
        <f t="shared" si="23"/>
        <v>0.3</v>
      </c>
      <c r="I1495">
        <v>20230701</v>
      </c>
      <c r="J1495" t="s">
        <v>1811</v>
      </c>
    </row>
    <row r="1496" spans="1:14" x14ac:dyDescent="0.3">
      <c r="A1496" s="160">
        <v>16165</v>
      </c>
      <c r="B1496" t="s">
        <v>16656</v>
      </c>
      <c r="C1496" t="s">
        <v>1779</v>
      </c>
      <c r="D1496">
        <v>0.3</v>
      </c>
      <c r="E1496">
        <v>0</v>
      </c>
      <c r="F1496">
        <f t="shared" si="23"/>
        <v>0.3</v>
      </c>
      <c r="I1496">
        <v>20230701</v>
      </c>
      <c r="J1496" t="s">
        <v>1815</v>
      </c>
    </row>
    <row r="1497" spans="1:14" x14ac:dyDescent="0.3">
      <c r="A1497" s="160">
        <v>16166</v>
      </c>
      <c r="B1497" t="s">
        <v>16657</v>
      </c>
      <c r="C1497" t="s">
        <v>1783</v>
      </c>
      <c r="D1497">
        <v>1.7</v>
      </c>
      <c r="E1497">
        <v>0</v>
      </c>
      <c r="F1497">
        <f t="shared" si="23"/>
        <v>1.7</v>
      </c>
      <c r="I1497">
        <v>20180101</v>
      </c>
      <c r="J1497" t="s">
        <v>1838</v>
      </c>
      <c r="K1497" t="s">
        <v>1839</v>
      </c>
      <c r="L1497" t="s">
        <v>1840</v>
      </c>
    </row>
    <row r="1498" spans="1:14" x14ac:dyDescent="0.3">
      <c r="A1498" s="160">
        <v>16167</v>
      </c>
      <c r="B1498" t="s">
        <v>16658</v>
      </c>
      <c r="C1498" t="s">
        <v>1779</v>
      </c>
      <c r="D1498">
        <v>0.3</v>
      </c>
      <c r="E1498">
        <v>0</v>
      </c>
      <c r="F1498">
        <f t="shared" si="23"/>
        <v>0.3</v>
      </c>
      <c r="I1498">
        <v>20230701</v>
      </c>
      <c r="J1498" t="s">
        <v>1814</v>
      </c>
      <c r="K1498" t="s">
        <v>1815</v>
      </c>
    </row>
    <row r="1499" spans="1:14" x14ac:dyDescent="0.3">
      <c r="A1499" s="160">
        <v>16168</v>
      </c>
      <c r="B1499" t="s">
        <v>16659</v>
      </c>
      <c r="C1499" t="s">
        <v>1783</v>
      </c>
      <c r="D1499">
        <v>1.7</v>
      </c>
      <c r="E1499">
        <v>0</v>
      </c>
      <c r="F1499">
        <f t="shared" si="23"/>
        <v>1.7</v>
      </c>
      <c r="I1499">
        <v>20220101</v>
      </c>
      <c r="J1499" t="s">
        <v>1841</v>
      </c>
    </row>
    <row r="1500" spans="1:14" x14ac:dyDescent="0.3">
      <c r="A1500" s="160">
        <v>16169</v>
      </c>
      <c r="B1500" t="s">
        <v>16660</v>
      </c>
      <c r="C1500" t="s">
        <v>1779</v>
      </c>
      <c r="D1500">
        <v>0.3</v>
      </c>
      <c r="E1500">
        <v>0</v>
      </c>
      <c r="F1500">
        <f t="shared" si="23"/>
        <v>0.3</v>
      </c>
      <c r="I1500">
        <v>20120101</v>
      </c>
      <c r="J1500" t="s">
        <v>1816</v>
      </c>
      <c r="K1500" t="s">
        <v>1820</v>
      </c>
      <c r="L1500" t="s">
        <v>1817</v>
      </c>
      <c r="M1500" t="s">
        <v>1823</v>
      </c>
    </row>
    <row r="1501" spans="1:14" x14ac:dyDescent="0.3">
      <c r="A1501" s="160">
        <v>16171</v>
      </c>
      <c r="B1501" t="s">
        <v>16661</v>
      </c>
      <c r="C1501" t="s">
        <v>1779</v>
      </c>
      <c r="D1501">
        <v>0.3</v>
      </c>
      <c r="E1501">
        <v>0</v>
      </c>
      <c r="F1501">
        <f t="shared" si="23"/>
        <v>0.3</v>
      </c>
      <c r="I1501">
        <v>20230701</v>
      </c>
      <c r="J1501" t="s">
        <v>1781</v>
      </c>
    </row>
    <row r="1502" spans="1:14" x14ac:dyDescent="0.3">
      <c r="A1502" s="160">
        <v>16174</v>
      </c>
      <c r="B1502" t="s">
        <v>16662</v>
      </c>
      <c r="C1502" t="s">
        <v>1779</v>
      </c>
      <c r="D1502">
        <v>0.3</v>
      </c>
      <c r="E1502">
        <v>0</v>
      </c>
      <c r="F1502">
        <f t="shared" si="23"/>
        <v>0.3</v>
      </c>
      <c r="I1502">
        <v>20230701</v>
      </c>
      <c r="J1502" t="s">
        <v>1815</v>
      </c>
    </row>
    <row r="1503" spans="1:14" x14ac:dyDescent="0.3">
      <c r="A1503" s="160">
        <v>16186</v>
      </c>
      <c r="B1503" t="s">
        <v>16663</v>
      </c>
      <c r="C1503" t="s">
        <v>1779</v>
      </c>
      <c r="D1503">
        <v>0.3</v>
      </c>
      <c r="E1503">
        <v>0</v>
      </c>
      <c r="F1503">
        <f t="shared" si="23"/>
        <v>0.3</v>
      </c>
      <c r="I1503">
        <v>20230701</v>
      </c>
      <c r="J1503" t="s">
        <v>1781</v>
      </c>
    </row>
    <row r="1504" spans="1:14" x14ac:dyDescent="0.3">
      <c r="A1504" s="160">
        <v>16187</v>
      </c>
      <c r="B1504" t="s">
        <v>16664</v>
      </c>
      <c r="C1504" t="s">
        <v>1783</v>
      </c>
      <c r="D1504">
        <v>1.7</v>
      </c>
      <c r="E1504">
        <v>0</v>
      </c>
      <c r="F1504">
        <f t="shared" si="23"/>
        <v>1.7</v>
      </c>
      <c r="I1504">
        <v>20180101</v>
      </c>
      <c r="J1504" t="s">
        <v>1834</v>
      </c>
    </row>
    <row r="1505" spans="1:16" x14ac:dyDescent="0.3">
      <c r="A1505" s="160">
        <v>16193</v>
      </c>
      <c r="B1505" t="s">
        <v>16665</v>
      </c>
      <c r="C1505" t="s">
        <v>1779</v>
      </c>
      <c r="D1505">
        <v>0.3</v>
      </c>
      <c r="E1505">
        <v>0</v>
      </c>
      <c r="F1505">
        <f t="shared" si="23"/>
        <v>0.3</v>
      </c>
      <c r="I1505">
        <v>20120101</v>
      </c>
      <c r="J1505" t="s">
        <v>1816</v>
      </c>
    </row>
    <row r="1506" spans="1:16" x14ac:dyDescent="0.3">
      <c r="A1506" s="160">
        <v>16199</v>
      </c>
      <c r="B1506" t="s">
        <v>16666</v>
      </c>
      <c r="C1506" t="s">
        <v>1783</v>
      </c>
      <c r="D1506">
        <v>1.7</v>
      </c>
      <c r="E1506">
        <v>0</v>
      </c>
      <c r="F1506">
        <f t="shared" si="23"/>
        <v>1.7</v>
      </c>
      <c r="I1506">
        <v>20180101</v>
      </c>
      <c r="J1506" t="s">
        <v>1842</v>
      </c>
    </row>
    <row r="1507" spans="1:16" x14ac:dyDescent="0.3">
      <c r="A1507" s="160">
        <v>16202</v>
      </c>
      <c r="B1507" t="s">
        <v>16667</v>
      </c>
      <c r="C1507" t="s">
        <v>1779</v>
      </c>
      <c r="D1507">
        <v>0.3</v>
      </c>
      <c r="E1507">
        <v>0</v>
      </c>
      <c r="F1507">
        <f t="shared" si="23"/>
        <v>0.3</v>
      </c>
      <c r="I1507">
        <v>20230701</v>
      </c>
      <c r="J1507" t="s">
        <v>1815</v>
      </c>
    </row>
    <row r="1508" spans="1:16" x14ac:dyDescent="0.3">
      <c r="A1508" s="160">
        <v>16204</v>
      </c>
      <c r="B1508" t="s">
        <v>16668</v>
      </c>
      <c r="C1508" t="s">
        <v>1779</v>
      </c>
      <c r="D1508">
        <v>0.3</v>
      </c>
      <c r="E1508">
        <v>0</v>
      </c>
      <c r="F1508">
        <f t="shared" si="23"/>
        <v>0.3</v>
      </c>
      <c r="I1508">
        <v>20230701</v>
      </c>
      <c r="J1508" t="s">
        <v>1782</v>
      </c>
    </row>
    <row r="1509" spans="1:16" x14ac:dyDescent="0.3">
      <c r="A1509" s="160">
        <v>16210</v>
      </c>
      <c r="B1509" t="s">
        <v>16669</v>
      </c>
      <c r="C1509" t="s">
        <v>1783</v>
      </c>
      <c r="D1509">
        <v>1.7</v>
      </c>
      <c r="E1509">
        <v>0</v>
      </c>
      <c r="F1509">
        <f t="shared" si="23"/>
        <v>1.7</v>
      </c>
      <c r="I1509">
        <v>20220101</v>
      </c>
      <c r="J1509" t="s">
        <v>1843</v>
      </c>
    </row>
    <row r="1510" spans="1:16" x14ac:dyDescent="0.3">
      <c r="A1510" s="160">
        <v>16216</v>
      </c>
      <c r="B1510" t="s">
        <v>16670</v>
      </c>
      <c r="C1510" t="s">
        <v>1779</v>
      </c>
      <c r="D1510">
        <v>0.3</v>
      </c>
      <c r="E1510">
        <v>0</v>
      </c>
      <c r="F1510">
        <f t="shared" si="23"/>
        <v>0.3</v>
      </c>
      <c r="I1510">
        <v>20230701</v>
      </c>
      <c r="J1510" t="s">
        <v>1815</v>
      </c>
    </row>
    <row r="1511" spans="1:16" x14ac:dyDescent="0.3">
      <c r="A1511" s="160">
        <v>16217</v>
      </c>
      <c r="B1511" t="s">
        <v>16671</v>
      </c>
      <c r="C1511" t="s">
        <v>1779</v>
      </c>
      <c r="D1511">
        <v>0.3</v>
      </c>
      <c r="E1511">
        <v>0</v>
      </c>
      <c r="F1511">
        <f t="shared" si="23"/>
        <v>0.3</v>
      </c>
      <c r="I1511">
        <v>20120101</v>
      </c>
      <c r="J1511" t="s">
        <v>1816</v>
      </c>
      <c r="K1511" t="s">
        <v>1820</v>
      </c>
      <c r="L1511" t="s">
        <v>1821</v>
      </c>
      <c r="M1511" t="s">
        <v>1823</v>
      </c>
      <c r="N1511" t="s">
        <v>1824</v>
      </c>
      <c r="O1511" t="s">
        <v>1826</v>
      </c>
      <c r="P1511" t="s">
        <v>1827</v>
      </c>
    </row>
    <row r="1512" spans="1:16" x14ac:dyDescent="0.3">
      <c r="A1512" s="160">
        <v>16218</v>
      </c>
      <c r="B1512" t="s">
        <v>16672</v>
      </c>
      <c r="C1512" t="s">
        <v>1779</v>
      </c>
      <c r="D1512">
        <v>0.3</v>
      </c>
      <c r="E1512">
        <v>0</v>
      </c>
      <c r="F1512">
        <f t="shared" si="23"/>
        <v>0.3</v>
      </c>
      <c r="I1512">
        <v>20120101</v>
      </c>
      <c r="J1512" t="s">
        <v>1818</v>
      </c>
    </row>
    <row r="1513" spans="1:16" x14ac:dyDescent="0.3">
      <c r="A1513" s="160">
        <v>16220</v>
      </c>
      <c r="B1513" t="s">
        <v>16673</v>
      </c>
      <c r="C1513" t="s">
        <v>1779</v>
      </c>
      <c r="D1513">
        <v>0.3</v>
      </c>
      <c r="E1513">
        <v>0</v>
      </c>
      <c r="F1513">
        <f t="shared" si="23"/>
        <v>0.3</v>
      </c>
      <c r="I1513">
        <v>20230701</v>
      </c>
      <c r="J1513" t="s">
        <v>1815</v>
      </c>
    </row>
    <row r="1514" spans="1:16" x14ac:dyDescent="0.3">
      <c r="A1514" s="160">
        <v>16232</v>
      </c>
      <c r="B1514" t="s">
        <v>16674</v>
      </c>
      <c r="C1514" t="s">
        <v>1783</v>
      </c>
      <c r="D1514">
        <v>1.7</v>
      </c>
      <c r="E1514">
        <v>0</v>
      </c>
      <c r="F1514">
        <f t="shared" si="23"/>
        <v>1.7</v>
      </c>
      <c r="I1514">
        <v>20180101</v>
      </c>
      <c r="J1514" t="s">
        <v>1842</v>
      </c>
    </row>
    <row r="1515" spans="1:16" x14ac:dyDescent="0.3">
      <c r="A1515" s="160">
        <v>16233</v>
      </c>
      <c r="B1515" t="s">
        <v>16675</v>
      </c>
      <c r="C1515" t="s">
        <v>1779</v>
      </c>
      <c r="D1515">
        <v>0.3</v>
      </c>
      <c r="E1515">
        <v>0</v>
      </c>
      <c r="F1515">
        <f t="shared" si="23"/>
        <v>0.3</v>
      </c>
      <c r="I1515">
        <v>20230701</v>
      </c>
      <c r="J1515" t="s">
        <v>1782</v>
      </c>
    </row>
    <row r="1516" spans="1:16" x14ac:dyDescent="0.3">
      <c r="A1516" s="160">
        <v>16234</v>
      </c>
      <c r="B1516" t="s">
        <v>16676</v>
      </c>
      <c r="C1516" t="s">
        <v>1779</v>
      </c>
      <c r="D1516">
        <v>0.3</v>
      </c>
      <c r="E1516">
        <v>0</v>
      </c>
      <c r="F1516">
        <f t="shared" si="23"/>
        <v>0.3</v>
      </c>
      <c r="I1516">
        <v>20230701</v>
      </c>
      <c r="J1516" t="s">
        <v>1811</v>
      </c>
    </row>
    <row r="1517" spans="1:16" x14ac:dyDescent="0.3">
      <c r="A1517" s="160">
        <v>16236</v>
      </c>
      <c r="B1517" t="s">
        <v>16677</v>
      </c>
      <c r="C1517" t="s">
        <v>1783</v>
      </c>
      <c r="D1517">
        <v>1.7</v>
      </c>
      <c r="E1517">
        <v>0</v>
      </c>
      <c r="F1517">
        <f t="shared" si="23"/>
        <v>1.7</v>
      </c>
      <c r="I1517">
        <v>20220101</v>
      </c>
      <c r="J1517" t="s">
        <v>1830</v>
      </c>
    </row>
    <row r="1518" spans="1:16" x14ac:dyDescent="0.3">
      <c r="A1518" s="160">
        <v>16243</v>
      </c>
      <c r="B1518" t="s">
        <v>16678</v>
      </c>
      <c r="C1518" t="s">
        <v>1779</v>
      </c>
      <c r="D1518">
        <v>0.3</v>
      </c>
      <c r="E1518">
        <v>0</v>
      </c>
      <c r="F1518">
        <f t="shared" si="23"/>
        <v>0.3</v>
      </c>
      <c r="I1518">
        <v>20230701</v>
      </c>
      <c r="J1518" t="s">
        <v>1817</v>
      </c>
      <c r="K1518" t="s">
        <v>1815</v>
      </c>
    </row>
    <row r="1519" spans="1:16" x14ac:dyDescent="0.3">
      <c r="A1519" s="160">
        <v>16244</v>
      </c>
      <c r="B1519" t="s">
        <v>16679</v>
      </c>
      <c r="C1519" t="s">
        <v>1783</v>
      </c>
      <c r="D1519">
        <v>1.7</v>
      </c>
      <c r="E1519">
        <v>0</v>
      </c>
      <c r="F1519">
        <f t="shared" si="23"/>
        <v>1.7</v>
      </c>
      <c r="I1519">
        <v>20180101</v>
      </c>
      <c r="J1519" t="s">
        <v>1830</v>
      </c>
    </row>
    <row r="1520" spans="1:16" x14ac:dyDescent="0.3">
      <c r="A1520" s="160">
        <v>16247</v>
      </c>
      <c r="B1520" t="s">
        <v>16680</v>
      </c>
      <c r="C1520" t="s">
        <v>1779</v>
      </c>
      <c r="D1520">
        <v>0.3</v>
      </c>
      <c r="E1520">
        <v>0</v>
      </c>
      <c r="F1520">
        <f t="shared" si="23"/>
        <v>0.3</v>
      </c>
      <c r="I1520">
        <v>20230701</v>
      </c>
      <c r="J1520" t="s">
        <v>1782</v>
      </c>
    </row>
    <row r="1521" spans="1:12" x14ac:dyDescent="0.3">
      <c r="A1521" s="160">
        <v>16263</v>
      </c>
      <c r="B1521" t="s">
        <v>16681</v>
      </c>
      <c r="C1521" t="s">
        <v>1783</v>
      </c>
      <c r="D1521">
        <v>1.7</v>
      </c>
      <c r="E1521">
        <v>0</v>
      </c>
      <c r="F1521">
        <f t="shared" si="23"/>
        <v>1.7</v>
      </c>
      <c r="I1521">
        <v>20220101</v>
      </c>
      <c r="J1521" t="s">
        <v>1844</v>
      </c>
    </row>
    <row r="1522" spans="1:12" x14ac:dyDescent="0.3">
      <c r="A1522" s="160">
        <v>16271</v>
      </c>
      <c r="B1522" t="s">
        <v>16682</v>
      </c>
      <c r="C1522" t="s">
        <v>1783</v>
      </c>
      <c r="D1522">
        <v>1.7</v>
      </c>
      <c r="E1522">
        <v>0</v>
      </c>
      <c r="F1522">
        <f t="shared" si="23"/>
        <v>1.7</v>
      </c>
      <c r="I1522">
        <v>20180101</v>
      </c>
      <c r="J1522" t="s">
        <v>1791</v>
      </c>
      <c r="K1522" t="s">
        <v>1833</v>
      </c>
    </row>
    <row r="1523" spans="1:12" x14ac:dyDescent="0.3">
      <c r="A1523" s="160">
        <v>16277</v>
      </c>
      <c r="B1523" t="s">
        <v>16683</v>
      </c>
      <c r="C1523" t="s">
        <v>1779</v>
      </c>
      <c r="D1523">
        <v>0.3</v>
      </c>
      <c r="E1523">
        <v>0</v>
      </c>
      <c r="F1523">
        <f t="shared" si="23"/>
        <v>0.3</v>
      </c>
      <c r="I1523">
        <v>20230701</v>
      </c>
      <c r="J1523" t="s">
        <v>1814</v>
      </c>
      <c r="K1523" t="s">
        <v>1815</v>
      </c>
    </row>
    <row r="1524" spans="1:12" x14ac:dyDescent="0.3">
      <c r="A1524" s="160">
        <v>16287</v>
      </c>
      <c r="B1524" t="s">
        <v>16684</v>
      </c>
      <c r="C1524" t="s">
        <v>1783</v>
      </c>
      <c r="D1524">
        <v>1.7</v>
      </c>
      <c r="E1524">
        <v>0</v>
      </c>
      <c r="F1524">
        <f t="shared" si="23"/>
        <v>1.7</v>
      </c>
      <c r="I1524">
        <v>20220101</v>
      </c>
      <c r="J1524" t="s">
        <v>1830</v>
      </c>
    </row>
    <row r="1525" spans="1:12" x14ac:dyDescent="0.3">
      <c r="A1525" s="160">
        <v>16291</v>
      </c>
      <c r="B1525" t="s">
        <v>16685</v>
      </c>
      <c r="C1525" t="s">
        <v>1783</v>
      </c>
      <c r="D1525">
        <v>1.7</v>
      </c>
      <c r="E1525">
        <v>0</v>
      </c>
      <c r="F1525">
        <f t="shared" si="23"/>
        <v>1.7</v>
      </c>
      <c r="I1525">
        <v>20180101</v>
      </c>
      <c r="J1525" t="s">
        <v>1842</v>
      </c>
    </row>
    <row r="1526" spans="1:12" x14ac:dyDescent="0.3">
      <c r="A1526" s="160">
        <v>16297</v>
      </c>
      <c r="B1526" t="s">
        <v>16686</v>
      </c>
      <c r="C1526" t="s">
        <v>1779</v>
      </c>
      <c r="D1526">
        <v>0.3</v>
      </c>
      <c r="E1526">
        <v>0</v>
      </c>
      <c r="F1526">
        <f t="shared" si="23"/>
        <v>0.3</v>
      </c>
      <c r="I1526">
        <v>20230701</v>
      </c>
      <c r="J1526" t="s">
        <v>1782</v>
      </c>
    </row>
    <row r="1527" spans="1:12" x14ac:dyDescent="0.3">
      <c r="A1527" s="160">
        <v>16304</v>
      </c>
      <c r="B1527" t="s">
        <v>16687</v>
      </c>
      <c r="C1527" t="s">
        <v>1779</v>
      </c>
      <c r="D1527">
        <v>0.3</v>
      </c>
      <c r="E1527">
        <v>0</v>
      </c>
      <c r="F1527">
        <f t="shared" si="23"/>
        <v>0.3</v>
      </c>
      <c r="I1527">
        <v>20120101</v>
      </c>
      <c r="J1527" t="s">
        <v>1816</v>
      </c>
    </row>
    <row r="1528" spans="1:12" x14ac:dyDescent="0.3">
      <c r="A1528" s="160">
        <v>16316</v>
      </c>
      <c r="B1528" t="s">
        <v>16688</v>
      </c>
      <c r="C1528" t="s">
        <v>1779</v>
      </c>
      <c r="D1528">
        <v>0.3</v>
      </c>
      <c r="E1528">
        <v>0</v>
      </c>
      <c r="F1528">
        <f t="shared" si="23"/>
        <v>0.3</v>
      </c>
      <c r="I1528">
        <v>20230701</v>
      </c>
      <c r="J1528" t="s">
        <v>1781</v>
      </c>
    </row>
    <row r="1529" spans="1:12" x14ac:dyDescent="0.3">
      <c r="A1529" s="160">
        <v>16330</v>
      </c>
      <c r="B1529" t="s">
        <v>16689</v>
      </c>
      <c r="C1529" t="s">
        <v>1779</v>
      </c>
      <c r="D1529">
        <v>0.3</v>
      </c>
      <c r="E1529">
        <v>0</v>
      </c>
      <c r="F1529">
        <f t="shared" si="23"/>
        <v>0.3</v>
      </c>
      <c r="I1529">
        <v>20120101</v>
      </c>
      <c r="J1529" t="s">
        <v>1816</v>
      </c>
      <c r="K1529" t="s">
        <v>1817</v>
      </c>
      <c r="L1529" t="s">
        <v>1823</v>
      </c>
    </row>
    <row r="1530" spans="1:12" x14ac:dyDescent="0.3">
      <c r="A1530" s="160">
        <v>16340</v>
      </c>
      <c r="B1530" t="s">
        <v>16690</v>
      </c>
      <c r="C1530" t="s">
        <v>1779</v>
      </c>
      <c r="D1530">
        <v>0.3</v>
      </c>
      <c r="E1530">
        <v>0</v>
      </c>
      <c r="F1530">
        <f t="shared" si="23"/>
        <v>0.3</v>
      </c>
      <c r="I1530">
        <v>20230701</v>
      </c>
      <c r="J1530" t="s">
        <v>1845</v>
      </c>
    </row>
    <row r="1531" spans="1:12" x14ac:dyDescent="0.3">
      <c r="A1531" s="160">
        <v>16341</v>
      </c>
      <c r="B1531" t="s">
        <v>16691</v>
      </c>
      <c r="C1531" t="s">
        <v>1783</v>
      </c>
      <c r="D1531">
        <v>1.7</v>
      </c>
      <c r="E1531">
        <v>0</v>
      </c>
      <c r="F1531">
        <f t="shared" si="23"/>
        <v>1.7</v>
      </c>
      <c r="I1531">
        <v>20180101</v>
      </c>
      <c r="J1531" t="s">
        <v>1846</v>
      </c>
      <c r="K1531" t="s">
        <v>1847</v>
      </c>
    </row>
    <row r="1532" spans="1:12" x14ac:dyDescent="0.3">
      <c r="A1532" s="160">
        <v>16343</v>
      </c>
      <c r="B1532" t="s">
        <v>16692</v>
      </c>
      <c r="C1532" t="s">
        <v>1779</v>
      </c>
      <c r="D1532">
        <v>0.3</v>
      </c>
      <c r="E1532">
        <v>0</v>
      </c>
      <c r="F1532">
        <f t="shared" si="23"/>
        <v>0.3</v>
      </c>
      <c r="I1532">
        <v>20230701</v>
      </c>
      <c r="J1532" t="s">
        <v>1781</v>
      </c>
    </row>
    <row r="1533" spans="1:12" x14ac:dyDescent="0.3">
      <c r="A1533" s="160">
        <v>16348</v>
      </c>
      <c r="B1533" t="s">
        <v>16693</v>
      </c>
      <c r="C1533" t="s">
        <v>1783</v>
      </c>
      <c r="D1533">
        <v>1.7</v>
      </c>
      <c r="E1533">
        <v>0</v>
      </c>
      <c r="F1533">
        <f t="shared" si="23"/>
        <v>1.7</v>
      </c>
      <c r="I1533">
        <v>20180101</v>
      </c>
      <c r="J1533" t="s">
        <v>1811</v>
      </c>
    </row>
    <row r="1534" spans="1:12" x14ac:dyDescent="0.3">
      <c r="A1534" s="160">
        <v>16349</v>
      </c>
      <c r="B1534" t="s">
        <v>16694</v>
      </c>
      <c r="C1534" t="s">
        <v>1779</v>
      </c>
      <c r="D1534">
        <v>0.3</v>
      </c>
      <c r="E1534">
        <v>0</v>
      </c>
      <c r="F1534">
        <f t="shared" si="23"/>
        <v>0.3</v>
      </c>
      <c r="I1534">
        <v>20230701</v>
      </c>
      <c r="J1534" t="s">
        <v>1815</v>
      </c>
    </row>
    <row r="1535" spans="1:12" x14ac:dyDescent="0.3">
      <c r="A1535" s="160">
        <v>16351</v>
      </c>
      <c r="B1535" t="s">
        <v>16695</v>
      </c>
      <c r="C1535" t="s">
        <v>1779</v>
      </c>
      <c r="D1535">
        <v>0.3</v>
      </c>
      <c r="E1535">
        <v>0</v>
      </c>
      <c r="F1535">
        <f t="shared" si="23"/>
        <v>0.3</v>
      </c>
      <c r="I1535">
        <v>20230701</v>
      </c>
      <c r="J1535" t="s">
        <v>1782</v>
      </c>
    </row>
    <row r="1536" spans="1:12" x14ac:dyDescent="0.3">
      <c r="A1536" s="160">
        <v>16352</v>
      </c>
      <c r="B1536" t="s">
        <v>15621</v>
      </c>
      <c r="C1536" t="s">
        <v>1779</v>
      </c>
      <c r="D1536">
        <v>0.3</v>
      </c>
      <c r="E1536">
        <v>0</v>
      </c>
      <c r="F1536">
        <f t="shared" si="23"/>
        <v>0.3</v>
      </c>
      <c r="I1536">
        <v>20230701</v>
      </c>
      <c r="J1536" t="s">
        <v>1782</v>
      </c>
    </row>
    <row r="1537" spans="1:14" x14ac:dyDescent="0.3">
      <c r="A1537" s="160">
        <v>16355</v>
      </c>
      <c r="B1537" t="s">
        <v>16696</v>
      </c>
      <c r="C1537" t="s">
        <v>1779</v>
      </c>
      <c r="D1537">
        <v>0.3</v>
      </c>
      <c r="E1537">
        <v>0</v>
      </c>
      <c r="F1537">
        <f t="shared" si="23"/>
        <v>0.3</v>
      </c>
      <c r="I1537">
        <v>20120101</v>
      </c>
      <c r="J1537" t="s">
        <v>1817</v>
      </c>
      <c r="K1537" t="s">
        <v>1823</v>
      </c>
      <c r="L1537" t="s">
        <v>1818</v>
      </c>
    </row>
    <row r="1538" spans="1:14" x14ac:dyDescent="0.3">
      <c r="A1538" s="160">
        <v>16358</v>
      </c>
      <c r="B1538" t="s">
        <v>16697</v>
      </c>
      <c r="C1538" t="s">
        <v>1783</v>
      </c>
      <c r="D1538">
        <v>1.7</v>
      </c>
      <c r="E1538">
        <v>0</v>
      </c>
      <c r="F1538">
        <f t="shared" si="23"/>
        <v>1.7</v>
      </c>
      <c r="I1538">
        <v>20180101</v>
      </c>
      <c r="J1538" t="s">
        <v>1848</v>
      </c>
    </row>
    <row r="1539" spans="1:14" x14ac:dyDescent="0.3">
      <c r="A1539" s="160">
        <v>16359</v>
      </c>
      <c r="B1539" t="s">
        <v>16698</v>
      </c>
      <c r="C1539" t="s">
        <v>1779</v>
      </c>
      <c r="D1539">
        <v>0.3</v>
      </c>
      <c r="E1539">
        <v>0</v>
      </c>
      <c r="F1539">
        <f t="shared" si="23"/>
        <v>0.3</v>
      </c>
      <c r="I1539">
        <v>20230701</v>
      </c>
      <c r="J1539" t="s">
        <v>1827</v>
      </c>
      <c r="K1539" t="s">
        <v>1828</v>
      </c>
      <c r="L1539" t="s">
        <v>1781</v>
      </c>
    </row>
    <row r="1540" spans="1:14" x14ac:dyDescent="0.3">
      <c r="A1540" s="160">
        <v>16366</v>
      </c>
      <c r="B1540" t="s">
        <v>16699</v>
      </c>
      <c r="C1540" t="s">
        <v>1779</v>
      </c>
      <c r="D1540">
        <v>0.3</v>
      </c>
      <c r="E1540">
        <v>0</v>
      </c>
      <c r="F1540">
        <f t="shared" si="23"/>
        <v>0.3</v>
      </c>
      <c r="I1540">
        <v>20230701</v>
      </c>
      <c r="J1540" t="s">
        <v>1814</v>
      </c>
      <c r="K1540" t="s">
        <v>1781</v>
      </c>
    </row>
    <row r="1541" spans="1:14" x14ac:dyDescent="0.3">
      <c r="A1541" s="160">
        <v>16368</v>
      </c>
      <c r="B1541" t="s">
        <v>16700</v>
      </c>
      <c r="C1541" t="s">
        <v>1783</v>
      </c>
      <c r="D1541">
        <v>1.7</v>
      </c>
      <c r="E1541">
        <v>0</v>
      </c>
      <c r="F1541">
        <f t="shared" si="23"/>
        <v>1.7</v>
      </c>
      <c r="I1541">
        <v>20240101</v>
      </c>
      <c r="J1541" t="s">
        <v>1813</v>
      </c>
    </row>
    <row r="1542" spans="1:14" x14ac:dyDescent="0.3">
      <c r="A1542" s="160">
        <v>16369</v>
      </c>
      <c r="B1542" t="s">
        <v>16701</v>
      </c>
      <c r="C1542" t="s">
        <v>1779</v>
      </c>
      <c r="D1542">
        <v>0.3</v>
      </c>
      <c r="E1542">
        <v>0</v>
      </c>
      <c r="F1542">
        <f t="shared" si="23"/>
        <v>0.3</v>
      </c>
      <c r="I1542">
        <v>20230701</v>
      </c>
      <c r="J1542" t="s">
        <v>1821</v>
      </c>
      <c r="K1542" t="s">
        <v>1815</v>
      </c>
    </row>
    <row r="1543" spans="1:14" x14ac:dyDescent="0.3">
      <c r="A1543" s="160">
        <v>16370</v>
      </c>
      <c r="B1543" t="s">
        <v>16702</v>
      </c>
      <c r="C1543" t="s">
        <v>1783</v>
      </c>
      <c r="D1543">
        <v>1.7</v>
      </c>
      <c r="E1543">
        <v>0</v>
      </c>
      <c r="F1543">
        <f t="shared" ref="F1543:F1606" si="24">D1543+E1543</f>
        <v>1.7</v>
      </c>
      <c r="I1543">
        <v>20220101</v>
      </c>
      <c r="J1543" t="s">
        <v>1830</v>
      </c>
    </row>
    <row r="1544" spans="1:14" x14ac:dyDescent="0.3">
      <c r="A1544" s="160">
        <v>16374</v>
      </c>
      <c r="B1544" t="s">
        <v>16703</v>
      </c>
      <c r="C1544" t="s">
        <v>1783</v>
      </c>
      <c r="D1544">
        <v>1.7</v>
      </c>
      <c r="E1544">
        <v>0</v>
      </c>
      <c r="F1544">
        <f t="shared" si="24"/>
        <v>1.7</v>
      </c>
      <c r="I1544">
        <v>20180101</v>
      </c>
      <c r="J1544" t="s">
        <v>1786</v>
      </c>
      <c r="K1544" t="s">
        <v>1800</v>
      </c>
      <c r="L1544" t="s">
        <v>1801</v>
      </c>
      <c r="M1544" t="s">
        <v>1802</v>
      </c>
      <c r="N1544" t="s">
        <v>1849</v>
      </c>
    </row>
    <row r="1545" spans="1:14" x14ac:dyDescent="0.3">
      <c r="A1545" s="160">
        <v>16382</v>
      </c>
      <c r="B1545" t="s">
        <v>16704</v>
      </c>
      <c r="C1545" t="s">
        <v>1783</v>
      </c>
      <c r="D1545">
        <v>1.7</v>
      </c>
      <c r="E1545">
        <v>0</v>
      </c>
      <c r="F1545">
        <f t="shared" si="24"/>
        <v>1.7</v>
      </c>
      <c r="I1545">
        <v>20240101</v>
      </c>
      <c r="J1545" t="s">
        <v>1813</v>
      </c>
    </row>
    <row r="1546" spans="1:14" x14ac:dyDescent="0.3">
      <c r="A1546" s="160">
        <v>16385</v>
      </c>
      <c r="B1546" t="s">
        <v>16705</v>
      </c>
      <c r="C1546" t="s">
        <v>1783</v>
      </c>
      <c r="D1546">
        <v>1.7</v>
      </c>
      <c r="E1546">
        <v>0</v>
      </c>
      <c r="F1546">
        <f t="shared" si="24"/>
        <v>1.7</v>
      </c>
      <c r="I1546">
        <v>20180101</v>
      </c>
      <c r="J1546" t="s">
        <v>1842</v>
      </c>
    </row>
    <row r="1547" spans="1:14" x14ac:dyDescent="0.3">
      <c r="A1547" s="160">
        <v>16386</v>
      </c>
      <c r="B1547" t="s">
        <v>16706</v>
      </c>
      <c r="C1547" t="s">
        <v>1779</v>
      </c>
      <c r="D1547">
        <v>0.3</v>
      </c>
      <c r="E1547">
        <v>0</v>
      </c>
      <c r="F1547">
        <f t="shared" si="24"/>
        <v>0.3</v>
      </c>
      <c r="I1547">
        <v>20230701</v>
      </c>
      <c r="J1547" t="s">
        <v>1782</v>
      </c>
    </row>
    <row r="1548" spans="1:14" x14ac:dyDescent="0.3">
      <c r="A1548" s="160">
        <v>16387</v>
      </c>
      <c r="B1548" t="s">
        <v>16707</v>
      </c>
      <c r="C1548" t="s">
        <v>1779</v>
      </c>
      <c r="D1548">
        <v>0.3</v>
      </c>
      <c r="E1548">
        <v>0</v>
      </c>
      <c r="F1548">
        <f t="shared" si="24"/>
        <v>0.3</v>
      </c>
      <c r="I1548">
        <v>20230701</v>
      </c>
      <c r="J1548" t="s">
        <v>1815</v>
      </c>
    </row>
    <row r="1549" spans="1:14" x14ac:dyDescent="0.3">
      <c r="A1549" s="160">
        <v>16388</v>
      </c>
      <c r="B1549" t="s">
        <v>16708</v>
      </c>
      <c r="C1549" t="s">
        <v>1783</v>
      </c>
      <c r="D1549">
        <v>1.7</v>
      </c>
      <c r="E1549">
        <v>0</v>
      </c>
      <c r="F1549">
        <f t="shared" si="24"/>
        <v>1.7</v>
      </c>
      <c r="I1549">
        <v>20220101</v>
      </c>
      <c r="J1549" t="s">
        <v>1834</v>
      </c>
    </row>
    <row r="1550" spans="1:14" x14ac:dyDescent="0.3">
      <c r="A1550" s="160">
        <v>16399</v>
      </c>
      <c r="B1550" t="s">
        <v>16286</v>
      </c>
      <c r="C1550" t="s">
        <v>1779</v>
      </c>
      <c r="D1550">
        <v>0.3</v>
      </c>
      <c r="E1550">
        <v>0</v>
      </c>
      <c r="F1550">
        <f t="shared" si="24"/>
        <v>0.3</v>
      </c>
      <c r="I1550">
        <v>20230701</v>
      </c>
      <c r="J1550" t="s">
        <v>1781</v>
      </c>
    </row>
    <row r="1551" spans="1:14" x14ac:dyDescent="0.3">
      <c r="A1551" s="160">
        <v>16402</v>
      </c>
      <c r="B1551" t="s">
        <v>16709</v>
      </c>
      <c r="C1551" t="s">
        <v>1779</v>
      </c>
      <c r="D1551">
        <v>0.3</v>
      </c>
      <c r="E1551">
        <v>0</v>
      </c>
      <c r="F1551">
        <f t="shared" si="24"/>
        <v>0.3</v>
      </c>
      <c r="I1551">
        <v>20230701</v>
      </c>
      <c r="J1551" t="s">
        <v>1782</v>
      </c>
    </row>
    <row r="1552" spans="1:14" x14ac:dyDescent="0.3">
      <c r="A1552" s="160">
        <v>16415</v>
      </c>
      <c r="B1552" t="s">
        <v>16710</v>
      </c>
      <c r="C1552" t="s">
        <v>1783</v>
      </c>
      <c r="D1552">
        <v>1.7</v>
      </c>
      <c r="E1552">
        <v>0</v>
      </c>
      <c r="F1552">
        <f t="shared" si="24"/>
        <v>1.7</v>
      </c>
      <c r="I1552">
        <v>20220101</v>
      </c>
      <c r="J1552" t="s">
        <v>1812</v>
      </c>
    </row>
    <row r="1553" spans="1:17" x14ac:dyDescent="0.3">
      <c r="A1553" s="160">
        <v>16417</v>
      </c>
      <c r="B1553" t="s">
        <v>16711</v>
      </c>
      <c r="C1553" t="s">
        <v>1779</v>
      </c>
      <c r="D1553">
        <v>0.3</v>
      </c>
      <c r="E1553">
        <v>0</v>
      </c>
      <c r="F1553">
        <f t="shared" si="24"/>
        <v>0.3</v>
      </c>
      <c r="I1553">
        <v>20230701</v>
      </c>
      <c r="J1553" t="s">
        <v>1782</v>
      </c>
    </row>
    <row r="1554" spans="1:17" x14ac:dyDescent="0.3">
      <c r="A1554" s="160">
        <v>16418</v>
      </c>
      <c r="B1554" t="s">
        <v>16712</v>
      </c>
      <c r="C1554" t="s">
        <v>1783</v>
      </c>
      <c r="D1554">
        <v>1.7</v>
      </c>
      <c r="E1554">
        <v>0</v>
      </c>
      <c r="F1554">
        <f t="shared" si="24"/>
        <v>1.7</v>
      </c>
      <c r="I1554">
        <v>20220101</v>
      </c>
      <c r="J1554" t="s">
        <v>1833</v>
      </c>
    </row>
    <row r="1555" spans="1:17" x14ac:dyDescent="0.3">
      <c r="A1555" s="160">
        <v>16420</v>
      </c>
      <c r="B1555" t="s">
        <v>16713</v>
      </c>
      <c r="C1555" t="s">
        <v>1783</v>
      </c>
      <c r="D1555">
        <v>1.7</v>
      </c>
      <c r="E1555">
        <v>0</v>
      </c>
      <c r="F1555">
        <f t="shared" si="24"/>
        <v>1.7</v>
      </c>
      <c r="I1555">
        <v>20240101</v>
      </c>
      <c r="J1555" t="s">
        <v>1844</v>
      </c>
    </row>
    <row r="1556" spans="1:17" x14ac:dyDescent="0.3">
      <c r="A1556" s="160">
        <v>16422</v>
      </c>
      <c r="B1556" t="s">
        <v>16714</v>
      </c>
      <c r="C1556" t="s">
        <v>1783</v>
      </c>
      <c r="D1556">
        <v>1.7</v>
      </c>
      <c r="E1556">
        <v>0</v>
      </c>
      <c r="F1556">
        <f t="shared" si="24"/>
        <v>1.7</v>
      </c>
      <c r="I1556">
        <v>20220101</v>
      </c>
      <c r="J1556" t="s">
        <v>1813</v>
      </c>
    </row>
    <row r="1557" spans="1:17" x14ac:dyDescent="0.3">
      <c r="A1557" s="160">
        <v>17004</v>
      </c>
      <c r="B1557" t="s">
        <v>16715</v>
      </c>
      <c r="C1557" t="s">
        <v>1850</v>
      </c>
      <c r="D1557">
        <v>0.8</v>
      </c>
      <c r="E1557">
        <v>0</v>
      </c>
      <c r="F1557">
        <f t="shared" si="24"/>
        <v>0.8</v>
      </c>
      <c r="I1557">
        <v>20160701</v>
      </c>
      <c r="J1557" t="s">
        <v>1851</v>
      </c>
    </row>
    <row r="1558" spans="1:17" x14ac:dyDescent="0.3">
      <c r="A1558" s="160">
        <v>17010</v>
      </c>
      <c r="B1558" t="s">
        <v>16716</v>
      </c>
      <c r="C1558" t="s">
        <v>1852</v>
      </c>
      <c r="D1558">
        <v>1.8</v>
      </c>
      <c r="E1558">
        <v>0</v>
      </c>
      <c r="F1558">
        <f t="shared" si="24"/>
        <v>1.8</v>
      </c>
      <c r="I1558">
        <v>20250101</v>
      </c>
      <c r="J1558" t="s">
        <v>1853</v>
      </c>
    </row>
    <row r="1559" spans="1:17" x14ac:dyDescent="0.3">
      <c r="A1559" s="160">
        <v>17015</v>
      </c>
      <c r="B1559" t="s">
        <v>16717</v>
      </c>
      <c r="C1559" t="s">
        <v>1854</v>
      </c>
      <c r="D1559">
        <v>0.8</v>
      </c>
      <c r="E1559">
        <v>0</v>
      </c>
      <c r="F1559">
        <f t="shared" si="24"/>
        <v>0.8</v>
      </c>
      <c r="I1559">
        <v>20130101</v>
      </c>
      <c r="J1559" t="s">
        <v>1855</v>
      </c>
    </row>
    <row r="1560" spans="1:17" x14ac:dyDescent="0.3">
      <c r="A1560" s="160">
        <v>17021</v>
      </c>
      <c r="B1560" t="s">
        <v>16718</v>
      </c>
      <c r="C1560" t="s">
        <v>1854</v>
      </c>
      <c r="D1560">
        <v>0.8</v>
      </c>
      <c r="E1560">
        <v>0</v>
      </c>
      <c r="F1560">
        <f t="shared" si="24"/>
        <v>0.8</v>
      </c>
      <c r="I1560">
        <v>20130101</v>
      </c>
      <c r="J1560" t="s">
        <v>1856</v>
      </c>
    </row>
    <row r="1561" spans="1:17" x14ac:dyDescent="0.3">
      <c r="A1561" s="160">
        <v>17028</v>
      </c>
      <c r="B1561" t="s">
        <v>16719</v>
      </c>
      <c r="C1561" t="s">
        <v>1852</v>
      </c>
      <c r="D1561">
        <v>1.8</v>
      </c>
      <c r="E1561">
        <v>0</v>
      </c>
      <c r="F1561">
        <f t="shared" si="24"/>
        <v>1.8</v>
      </c>
      <c r="I1561">
        <v>20250101</v>
      </c>
      <c r="J1561" t="s">
        <v>1857</v>
      </c>
      <c r="K1561" t="s">
        <v>1858</v>
      </c>
      <c r="L1561" t="s">
        <v>1859</v>
      </c>
      <c r="M1561" t="s">
        <v>1860</v>
      </c>
      <c r="N1561" t="s">
        <v>1861</v>
      </c>
      <c r="O1561" t="s">
        <v>1862</v>
      </c>
      <c r="P1561" t="s">
        <v>1863</v>
      </c>
      <c r="Q1561" t="s">
        <v>1864</v>
      </c>
    </row>
    <row r="1562" spans="1:17" x14ac:dyDescent="0.3">
      <c r="A1562" s="160">
        <v>17034</v>
      </c>
      <c r="B1562" t="s">
        <v>16720</v>
      </c>
      <c r="C1562" t="s">
        <v>1854</v>
      </c>
      <c r="D1562">
        <v>0.8</v>
      </c>
      <c r="E1562">
        <v>0</v>
      </c>
      <c r="F1562">
        <f t="shared" si="24"/>
        <v>0.8</v>
      </c>
      <c r="I1562">
        <v>20130101</v>
      </c>
      <c r="J1562" t="s">
        <v>1855</v>
      </c>
    </row>
    <row r="1563" spans="1:17" x14ac:dyDescent="0.3">
      <c r="A1563" s="160">
        <v>17036</v>
      </c>
      <c r="B1563" t="s">
        <v>16721</v>
      </c>
      <c r="C1563" t="s">
        <v>1850</v>
      </c>
      <c r="D1563">
        <v>0.8</v>
      </c>
      <c r="E1563">
        <v>0</v>
      </c>
      <c r="F1563">
        <f t="shared" si="24"/>
        <v>0.8</v>
      </c>
      <c r="I1563">
        <v>20160701</v>
      </c>
      <c r="J1563" t="s">
        <v>1865</v>
      </c>
    </row>
    <row r="1564" spans="1:17" x14ac:dyDescent="0.3">
      <c r="A1564" s="160">
        <v>17059</v>
      </c>
      <c r="B1564" t="s">
        <v>16722</v>
      </c>
      <c r="C1564" t="s">
        <v>1852</v>
      </c>
      <c r="D1564">
        <v>1.8</v>
      </c>
      <c r="E1564">
        <v>0</v>
      </c>
      <c r="F1564">
        <f t="shared" si="24"/>
        <v>1.8</v>
      </c>
      <c r="I1564">
        <v>20250101</v>
      </c>
      <c r="J1564" t="s">
        <v>1866</v>
      </c>
    </row>
    <row r="1565" spans="1:17" x14ac:dyDescent="0.3">
      <c r="A1565" s="160">
        <v>17060</v>
      </c>
      <c r="B1565" t="s">
        <v>16723</v>
      </c>
      <c r="C1565" t="s">
        <v>1854</v>
      </c>
      <c r="D1565">
        <v>0.8</v>
      </c>
      <c r="E1565">
        <v>0</v>
      </c>
      <c r="F1565">
        <f t="shared" si="24"/>
        <v>0.8</v>
      </c>
      <c r="I1565">
        <v>20130101</v>
      </c>
      <c r="J1565" t="s">
        <v>1855</v>
      </c>
    </row>
    <row r="1566" spans="1:17" x14ac:dyDescent="0.3">
      <c r="A1566" s="160">
        <v>17064</v>
      </c>
      <c r="B1566" t="s">
        <v>16724</v>
      </c>
      <c r="C1566" t="s">
        <v>1854</v>
      </c>
      <c r="D1566">
        <v>0.8</v>
      </c>
      <c r="E1566">
        <v>0</v>
      </c>
      <c r="F1566">
        <f t="shared" si="24"/>
        <v>0.8</v>
      </c>
      <c r="I1566">
        <v>20130101</v>
      </c>
      <c r="J1566" t="s">
        <v>1867</v>
      </c>
      <c r="K1566" t="s">
        <v>1868</v>
      </c>
    </row>
    <row r="1567" spans="1:17" x14ac:dyDescent="0.3">
      <c r="A1567" s="160">
        <v>17065</v>
      </c>
      <c r="B1567" t="s">
        <v>16725</v>
      </c>
      <c r="C1567" t="s">
        <v>1850</v>
      </c>
      <c r="D1567">
        <v>0.8</v>
      </c>
      <c r="E1567">
        <v>0</v>
      </c>
      <c r="F1567">
        <f t="shared" si="24"/>
        <v>0.8</v>
      </c>
      <c r="I1567">
        <v>20160701</v>
      </c>
      <c r="J1567" t="s">
        <v>1869</v>
      </c>
      <c r="K1567" t="s">
        <v>1870</v>
      </c>
      <c r="L1567" t="s">
        <v>1871</v>
      </c>
    </row>
    <row r="1568" spans="1:17" x14ac:dyDescent="0.3">
      <c r="A1568" s="160">
        <v>17068</v>
      </c>
      <c r="B1568" t="s">
        <v>16726</v>
      </c>
      <c r="C1568" t="s">
        <v>1854</v>
      </c>
      <c r="D1568">
        <v>0.8</v>
      </c>
      <c r="E1568">
        <v>0</v>
      </c>
      <c r="F1568">
        <f t="shared" si="24"/>
        <v>0.8</v>
      </c>
      <c r="I1568">
        <v>20130101</v>
      </c>
      <c r="J1568" t="s">
        <v>1855</v>
      </c>
    </row>
    <row r="1569" spans="1:11" x14ac:dyDescent="0.3">
      <c r="A1569" s="160">
        <v>17072</v>
      </c>
      <c r="B1569" t="s">
        <v>16727</v>
      </c>
      <c r="C1569" t="s">
        <v>1872</v>
      </c>
      <c r="D1569">
        <v>0.8</v>
      </c>
      <c r="E1569">
        <v>0</v>
      </c>
      <c r="F1569">
        <f t="shared" si="24"/>
        <v>0.8</v>
      </c>
      <c r="I1569">
        <v>20230701</v>
      </c>
      <c r="J1569" t="s">
        <v>1873</v>
      </c>
    </row>
    <row r="1570" spans="1:11" x14ac:dyDescent="0.3">
      <c r="A1570" s="160">
        <v>17073</v>
      </c>
      <c r="B1570" t="s">
        <v>16728</v>
      </c>
      <c r="C1570" t="s">
        <v>1872</v>
      </c>
      <c r="D1570">
        <v>0.8</v>
      </c>
      <c r="E1570">
        <v>0</v>
      </c>
      <c r="F1570">
        <f t="shared" si="24"/>
        <v>0.8</v>
      </c>
      <c r="I1570">
        <v>20230701</v>
      </c>
      <c r="J1570" t="s">
        <v>1874</v>
      </c>
    </row>
    <row r="1571" spans="1:11" x14ac:dyDescent="0.3">
      <c r="A1571" s="160">
        <v>17075</v>
      </c>
      <c r="B1571" t="s">
        <v>16729</v>
      </c>
      <c r="C1571" t="s">
        <v>1850</v>
      </c>
      <c r="D1571">
        <v>0.8</v>
      </c>
      <c r="E1571">
        <v>0</v>
      </c>
      <c r="F1571">
        <f t="shared" si="24"/>
        <v>0.8</v>
      </c>
      <c r="I1571">
        <v>20160701</v>
      </c>
      <c r="J1571" t="s">
        <v>1875</v>
      </c>
    </row>
    <row r="1572" spans="1:11" x14ac:dyDescent="0.3">
      <c r="A1572" s="160">
        <v>17079</v>
      </c>
      <c r="B1572" t="s">
        <v>16730</v>
      </c>
      <c r="C1572" t="s">
        <v>1854</v>
      </c>
      <c r="D1572">
        <v>0.8</v>
      </c>
      <c r="E1572">
        <v>0</v>
      </c>
      <c r="F1572">
        <f t="shared" si="24"/>
        <v>0.8</v>
      </c>
      <c r="I1572">
        <v>20130101</v>
      </c>
      <c r="J1572" t="s">
        <v>1867</v>
      </c>
      <c r="K1572" t="s">
        <v>1876</v>
      </c>
    </row>
    <row r="1573" spans="1:11" x14ac:dyDescent="0.3">
      <c r="A1573" s="160">
        <v>17083</v>
      </c>
      <c r="B1573" t="s">
        <v>16731</v>
      </c>
      <c r="C1573" t="s">
        <v>1850</v>
      </c>
      <c r="D1573">
        <v>0.8</v>
      </c>
      <c r="E1573">
        <v>0</v>
      </c>
      <c r="F1573">
        <f t="shared" si="24"/>
        <v>0.8</v>
      </c>
      <c r="I1573">
        <v>20160701</v>
      </c>
      <c r="J1573" t="s">
        <v>1865</v>
      </c>
    </row>
    <row r="1574" spans="1:11" x14ac:dyDescent="0.3">
      <c r="A1574" s="160">
        <v>17086</v>
      </c>
      <c r="B1574" t="s">
        <v>16732</v>
      </c>
      <c r="C1574" t="s">
        <v>1872</v>
      </c>
      <c r="D1574">
        <v>0.8</v>
      </c>
      <c r="E1574">
        <v>0</v>
      </c>
      <c r="F1574">
        <f t="shared" si="24"/>
        <v>0.8</v>
      </c>
      <c r="I1574">
        <v>20230701</v>
      </c>
      <c r="J1574" t="s">
        <v>1877</v>
      </c>
      <c r="K1574" t="s">
        <v>1878</v>
      </c>
    </row>
    <row r="1575" spans="1:11" x14ac:dyDescent="0.3">
      <c r="A1575" s="160">
        <v>17089</v>
      </c>
      <c r="B1575" t="s">
        <v>16733</v>
      </c>
      <c r="C1575" t="s">
        <v>1872</v>
      </c>
      <c r="D1575">
        <v>0.8</v>
      </c>
      <c r="E1575">
        <v>0</v>
      </c>
      <c r="F1575">
        <f t="shared" si="24"/>
        <v>0.8</v>
      </c>
      <c r="I1575">
        <v>20230701</v>
      </c>
      <c r="J1575" t="s">
        <v>1874</v>
      </c>
    </row>
    <row r="1576" spans="1:11" x14ac:dyDescent="0.3">
      <c r="A1576" s="160">
        <v>17094</v>
      </c>
      <c r="B1576" t="s">
        <v>16734</v>
      </c>
      <c r="C1576" t="s">
        <v>1852</v>
      </c>
      <c r="D1576">
        <v>1.8</v>
      </c>
      <c r="E1576">
        <v>0</v>
      </c>
      <c r="F1576">
        <f t="shared" si="24"/>
        <v>1.8</v>
      </c>
      <c r="I1576">
        <v>20250101</v>
      </c>
      <c r="J1576" t="s">
        <v>1879</v>
      </c>
    </row>
    <row r="1577" spans="1:11" x14ac:dyDescent="0.3">
      <c r="A1577" s="160">
        <v>17097</v>
      </c>
      <c r="B1577" t="s">
        <v>16735</v>
      </c>
      <c r="C1577" t="s">
        <v>1854</v>
      </c>
      <c r="D1577">
        <v>0.8</v>
      </c>
      <c r="E1577">
        <v>0</v>
      </c>
      <c r="F1577">
        <f t="shared" si="24"/>
        <v>0.8</v>
      </c>
      <c r="I1577">
        <v>20130101</v>
      </c>
      <c r="J1577" t="s">
        <v>1880</v>
      </c>
    </row>
    <row r="1578" spans="1:11" x14ac:dyDescent="0.3">
      <c r="A1578" s="160">
        <v>17098</v>
      </c>
      <c r="B1578" t="s">
        <v>16736</v>
      </c>
      <c r="C1578" t="s">
        <v>1854</v>
      </c>
      <c r="D1578">
        <v>0.8</v>
      </c>
      <c r="E1578">
        <v>0</v>
      </c>
      <c r="F1578">
        <f t="shared" si="24"/>
        <v>0.8</v>
      </c>
      <c r="I1578">
        <v>20130101</v>
      </c>
      <c r="J1578" t="s">
        <v>1855</v>
      </c>
    </row>
    <row r="1579" spans="1:11" x14ac:dyDescent="0.3">
      <c r="A1579" s="160">
        <v>17100</v>
      </c>
      <c r="B1579" t="s">
        <v>16737</v>
      </c>
      <c r="C1579" t="s">
        <v>1872</v>
      </c>
      <c r="D1579">
        <v>0.8</v>
      </c>
      <c r="E1579">
        <v>0</v>
      </c>
      <c r="F1579">
        <f t="shared" si="24"/>
        <v>0.8</v>
      </c>
      <c r="I1579">
        <v>20230701</v>
      </c>
      <c r="J1579" t="s">
        <v>1878</v>
      </c>
    </row>
    <row r="1580" spans="1:11" x14ac:dyDescent="0.3">
      <c r="A1580" s="160">
        <v>17102</v>
      </c>
      <c r="B1580" t="s">
        <v>16738</v>
      </c>
      <c r="C1580" t="s">
        <v>1872</v>
      </c>
      <c r="D1580">
        <v>0.8</v>
      </c>
      <c r="E1580">
        <v>0</v>
      </c>
      <c r="F1580">
        <f t="shared" si="24"/>
        <v>0.8</v>
      </c>
      <c r="I1580">
        <v>20230701</v>
      </c>
      <c r="J1580" t="s">
        <v>1881</v>
      </c>
    </row>
    <row r="1581" spans="1:11" x14ac:dyDescent="0.3">
      <c r="A1581" s="160">
        <v>17109</v>
      </c>
      <c r="B1581" t="s">
        <v>16739</v>
      </c>
      <c r="C1581" t="s">
        <v>1852</v>
      </c>
      <c r="D1581">
        <v>1.8</v>
      </c>
      <c r="E1581">
        <v>0</v>
      </c>
      <c r="F1581">
        <f t="shared" si="24"/>
        <v>1.8</v>
      </c>
      <c r="I1581">
        <v>20250101</v>
      </c>
      <c r="J1581" t="s">
        <v>1866</v>
      </c>
    </row>
    <row r="1582" spans="1:11" x14ac:dyDescent="0.3">
      <c r="A1582" s="160">
        <v>17112</v>
      </c>
      <c r="B1582" t="s">
        <v>16740</v>
      </c>
      <c r="C1582" t="s">
        <v>1872</v>
      </c>
      <c r="D1582">
        <v>0.8</v>
      </c>
      <c r="E1582">
        <v>0</v>
      </c>
      <c r="F1582">
        <f t="shared" si="24"/>
        <v>0.8</v>
      </c>
      <c r="I1582">
        <v>20230701</v>
      </c>
      <c r="J1582" t="s">
        <v>1880</v>
      </c>
    </row>
    <row r="1583" spans="1:11" x14ac:dyDescent="0.3">
      <c r="A1583" s="160">
        <v>17115</v>
      </c>
      <c r="B1583" t="s">
        <v>16741</v>
      </c>
      <c r="C1583" t="s">
        <v>1872</v>
      </c>
      <c r="D1583">
        <v>0.8</v>
      </c>
      <c r="E1583">
        <v>0</v>
      </c>
      <c r="F1583">
        <f t="shared" si="24"/>
        <v>0.8</v>
      </c>
      <c r="I1583">
        <v>20230701</v>
      </c>
      <c r="J1583" t="s">
        <v>1881</v>
      </c>
    </row>
    <row r="1584" spans="1:11" x14ac:dyDescent="0.3">
      <c r="A1584" s="160">
        <v>17119</v>
      </c>
      <c r="B1584" t="s">
        <v>16742</v>
      </c>
      <c r="C1584" t="s">
        <v>1854</v>
      </c>
      <c r="D1584">
        <v>0.8</v>
      </c>
      <c r="E1584">
        <v>0</v>
      </c>
      <c r="F1584">
        <f t="shared" si="24"/>
        <v>0.8</v>
      </c>
      <c r="I1584">
        <v>20150701</v>
      </c>
      <c r="J1584" t="s">
        <v>1880</v>
      </c>
    </row>
    <row r="1585" spans="1:12" x14ac:dyDescent="0.3">
      <c r="A1585" s="160">
        <v>17120</v>
      </c>
      <c r="B1585" t="s">
        <v>16743</v>
      </c>
      <c r="C1585" t="s">
        <v>1872</v>
      </c>
      <c r="D1585">
        <v>0.8</v>
      </c>
      <c r="E1585">
        <v>0</v>
      </c>
      <c r="F1585">
        <f t="shared" si="24"/>
        <v>0.8</v>
      </c>
      <c r="I1585">
        <v>20230701</v>
      </c>
      <c r="J1585" t="s">
        <v>1880</v>
      </c>
    </row>
    <row r="1586" spans="1:12" x14ac:dyDescent="0.3">
      <c r="A1586" s="160">
        <v>17128</v>
      </c>
      <c r="B1586" t="s">
        <v>16744</v>
      </c>
      <c r="C1586" t="s">
        <v>1872</v>
      </c>
      <c r="D1586">
        <v>0.8</v>
      </c>
      <c r="E1586">
        <v>0</v>
      </c>
      <c r="F1586">
        <f t="shared" si="24"/>
        <v>0.8</v>
      </c>
      <c r="I1586">
        <v>20230701</v>
      </c>
      <c r="J1586" t="s">
        <v>1874</v>
      </c>
    </row>
    <row r="1587" spans="1:12" x14ac:dyDescent="0.3">
      <c r="A1587" s="160">
        <v>17131</v>
      </c>
      <c r="B1587" t="s">
        <v>16745</v>
      </c>
      <c r="C1587" t="s">
        <v>1854</v>
      </c>
      <c r="D1587">
        <v>0.8</v>
      </c>
      <c r="E1587">
        <v>0</v>
      </c>
      <c r="F1587">
        <f t="shared" si="24"/>
        <v>0.8</v>
      </c>
      <c r="I1587">
        <v>20130101</v>
      </c>
      <c r="J1587" t="s">
        <v>1855</v>
      </c>
    </row>
    <row r="1588" spans="1:12" x14ac:dyDescent="0.3">
      <c r="A1588" s="160">
        <v>17136</v>
      </c>
      <c r="B1588" t="s">
        <v>16746</v>
      </c>
      <c r="C1588" t="s">
        <v>1852</v>
      </c>
      <c r="D1588">
        <v>1.8</v>
      </c>
      <c r="E1588">
        <v>0</v>
      </c>
      <c r="F1588">
        <f t="shared" si="24"/>
        <v>1.8</v>
      </c>
      <c r="I1588">
        <v>20250101</v>
      </c>
      <c r="J1588" t="s">
        <v>1866</v>
      </c>
    </row>
    <row r="1589" spans="1:12" x14ac:dyDescent="0.3">
      <c r="A1589" s="160">
        <v>17141</v>
      </c>
      <c r="B1589" t="s">
        <v>16747</v>
      </c>
      <c r="C1589" t="s">
        <v>1872</v>
      </c>
      <c r="D1589">
        <v>0.8</v>
      </c>
      <c r="E1589">
        <v>0</v>
      </c>
      <c r="F1589">
        <f t="shared" si="24"/>
        <v>0.8</v>
      </c>
      <c r="I1589">
        <v>20230701</v>
      </c>
      <c r="J1589" t="s">
        <v>1878</v>
      </c>
    </row>
    <row r="1590" spans="1:12" x14ac:dyDescent="0.3">
      <c r="A1590" s="160">
        <v>17142</v>
      </c>
      <c r="B1590" t="s">
        <v>16748</v>
      </c>
      <c r="C1590" t="s">
        <v>1852</v>
      </c>
      <c r="D1590">
        <v>1.8</v>
      </c>
      <c r="E1590">
        <v>0</v>
      </c>
      <c r="F1590">
        <f t="shared" si="24"/>
        <v>1.8</v>
      </c>
      <c r="I1590">
        <v>20250101</v>
      </c>
      <c r="J1590" t="s">
        <v>1882</v>
      </c>
    </row>
    <row r="1591" spans="1:12" x14ac:dyDescent="0.3">
      <c r="A1591" s="160">
        <v>17143</v>
      </c>
      <c r="B1591" t="s">
        <v>16749</v>
      </c>
      <c r="C1591" t="s">
        <v>1872</v>
      </c>
      <c r="D1591">
        <v>0.8</v>
      </c>
      <c r="E1591">
        <v>0</v>
      </c>
      <c r="F1591">
        <f t="shared" si="24"/>
        <v>0.8</v>
      </c>
      <c r="I1591">
        <v>20230701</v>
      </c>
      <c r="J1591" t="s">
        <v>1874</v>
      </c>
    </row>
    <row r="1592" spans="1:12" x14ac:dyDescent="0.3">
      <c r="A1592" s="160">
        <v>17146</v>
      </c>
      <c r="B1592" t="s">
        <v>16750</v>
      </c>
      <c r="C1592" t="s">
        <v>1850</v>
      </c>
      <c r="D1592">
        <v>0.8</v>
      </c>
      <c r="E1592">
        <v>0</v>
      </c>
      <c r="F1592">
        <f t="shared" si="24"/>
        <v>0.8</v>
      </c>
      <c r="I1592">
        <v>20160701</v>
      </c>
      <c r="J1592" t="s">
        <v>1883</v>
      </c>
      <c r="K1592" t="s">
        <v>1865</v>
      </c>
    </row>
    <row r="1593" spans="1:12" x14ac:dyDescent="0.3">
      <c r="A1593" s="160">
        <v>17147</v>
      </c>
      <c r="B1593" t="s">
        <v>16751</v>
      </c>
      <c r="C1593" t="s">
        <v>1872</v>
      </c>
      <c r="D1593">
        <v>0.8</v>
      </c>
      <c r="E1593">
        <v>0</v>
      </c>
      <c r="F1593">
        <f t="shared" si="24"/>
        <v>0.8</v>
      </c>
      <c r="I1593">
        <v>20230701</v>
      </c>
      <c r="J1593" t="s">
        <v>1873</v>
      </c>
    </row>
    <row r="1594" spans="1:12" x14ac:dyDescent="0.3">
      <c r="A1594" s="160">
        <v>17148</v>
      </c>
      <c r="B1594" t="s">
        <v>16752</v>
      </c>
      <c r="C1594" t="s">
        <v>1872</v>
      </c>
      <c r="D1594">
        <v>0.8</v>
      </c>
      <c r="E1594">
        <v>0</v>
      </c>
      <c r="F1594">
        <f t="shared" si="24"/>
        <v>0.8</v>
      </c>
      <c r="I1594">
        <v>20230701</v>
      </c>
      <c r="J1594" t="s">
        <v>1884</v>
      </c>
    </row>
    <row r="1595" spans="1:12" x14ac:dyDescent="0.3">
      <c r="A1595" s="160">
        <v>17151</v>
      </c>
      <c r="B1595" t="s">
        <v>16753</v>
      </c>
      <c r="C1595" t="s">
        <v>1854</v>
      </c>
      <c r="D1595">
        <v>0.8</v>
      </c>
      <c r="E1595">
        <v>0</v>
      </c>
      <c r="F1595">
        <f t="shared" si="24"/>
        <v>0.8</v>
      </c>
      <c r="I1595">
        <v>20130101</v>
      </c>
      <c r="J1595" t="s">
        <v>1880</v>
      </c>
    </row>
    <row r="1596" spans="1:12" x14ac:dyDescent="0.3">
      <c r="A1596" s="160">
        <v>17152</v>
      </c>
      <c r="B1596" t="s">
        <v>16754</v>
      </c>
      <c r="C1596" t="s">
        <v>1854</v>
      </c>
      <c r="D1596">
        <v>0.8</v>
      </c>
      <c r="E1596">
        <v>0</v>
      </c>
      <c r="F1596">
        <f t="shared" si="24"/>
        <v>0.8</v>
      </c>
      <c r="I1596">
        <v>20130101</v>
      </c>
      <c r="J1596" t="s">
        <v>1855</v>
      </c>
    </row>
    <row r="1597" spans="1:12" x14ac:dyDescent="0.3">
      <c r="A1597" s="160">
        <v>17153</v>
      </c>
      <c r="B1597" t="s">
        <v>16755</v>
      </c>
      <c r="C1597" t="s">
        <v>1852</v>
      </c>
      <c r="D1597">
        <v>1.8</v>
      </c>
      <c r="E1597">
        <v>0</v>
      </c>
      <c r="F1597">
        <f t="shared" si="24"/>
        <v>1.8</v>
      </c>
      <c r="I1597">
        <v>20250101</v>
      </c>
      <c r="J1597" t="s">
        <v>1885</v>
      </c>
    </row>
    <row r="1598" spans="1:12" x14ac:dyDescent="0.3">
      <c r="A1598" s="160">
        <v>17155</v>
      </c>
      <c r="B1598" t="s">
        <v>16756</v>
      </c>
      <c r="C1598" t="s">
        <v>1854</v>
      </c>
      <c r="D1598">
        <v>0.8</v>
      </c>
      <c r="E1598">
        <v>0</v>
      </c>
      <c r="F1598">
        <f t="shared" si="24"/>
        <v>0.8</v>
      </c>
      <c r="I1598">
        <v>20130101</v>
      </c>
      <c r="J1598" t="s">
        <v>1886</v>
      </c>
    </row>
    <row r="1599" spans="1:12" x14ac:dyDescent="0.3">
      <c r="A1599" s="160">
        <v>17160</v>
      </c>
      <c r="B1599" t="s">
        <v>16757</v>
      </c>
      <c r="C1599" t="s">
        <v>1854</v>
      </c>
      <c r="D1599">
        <v>0.8</v>
      </c>
      <c r="E1599">
        <v>0</v>
      </c>
      <c r="F1599">
        <f t="shared" si="24"/>
        <v>0.8</v>
      </c>
      <c r="I1599">
        <v>20130101</v>
      </c>
      <c r="J1599" t="s">
        <v>1855</v>
      </c>
      <c r="K1599" t="s">
        <v>1887</v>
      </c>
    </row>
    <row r="1600" spans="1:12" x14ac:dyDescent="0.3">
      <c r="A1600" s="160">
        <v>17164</v>
      </c>
      <c r="B1600" t="s">
        <v>16758</v>
      </c>
      <c r="C1600" t="s">
        <v>1872</v>
      </c>
      <c r="D1600">
        <v>0.8</v>
      </c>
      <c r="E1600">
        <v>0</v>
      </c>
      <c r="F1600">
        <f t="shared" si="24"/>
        <v>0.8</v>
      </c>
      <c r="I1600">
        <v>20230701</v>
      </c>
      <c r="J1600" t="s">
        <v>1874</v>
      </c>
      <c r="K1600" t="s">
        <v>1888</v>
      </c>
      <c r="L1600" t="s">
        <v>1889</v>
      </c>
    </row>
    <row r="1601" spans="1:17" x14ac:dyDescent="0.3">
      <c r="A1601" s="160">
        <v>17168</v>
      </c>
      <c r="B1601" t="s">
        <v>16759</v>
      </c>
      <c r="C1601" t="s">
        <v>1850</v>
      </c>
      <c r="D1601">
        <v>0.8</v>
      </c>
      <c r="E1601">
        <v>0</v>
      </c>
      <c r="F1601">
        <f t="shared" si="24"/>
        <v>0.8</v>
      </c>
      <c r="I1601">
        <v>20160701</v>
      </c>
      <c r="J1601" t="s">
        <v>1890</v>
      </c>
    </row>
    <row r="1602" spans="1:17" x14ac:dyDescent="0.3">
      <c r="A1602" s="160">
        <v>17179</v>
      </c>
      <c r="B1602" t="s">
        <v>16760</v>
      </c>
      <c r="C1602" t="s">
        <v>1872</v>
      </c>
      <c r="D1602">
        <v>0.8</v>
      </c>
      <c r="E1602">
        <v>0</v>
      </c>
      <c r="F1602">
        <f t="shared" si="24"/>
        <v>0.8</v>
      </c>
      <c r="I1602">
        <v>20230701</v>
      </c>
      <c r="J1602" t="s">
        <v>1874</v>
      </c>
      <c r="K1602" t="s">
        <v>1891</v>
      </c>
      <c r="L1602" t="s">
        <v>1892</v>
      </c>
    </row>
    <row r="1603" spans="1:17" x14ac:dyDescent="0.3">
      <c r="A1603" s="160">
        <v>17183</v>
      </c>
      <c r="B1603" t="s">
        <v>16761</v>
      </c>
      <c r="C1603" t="s">
        <v>1854</v>
      </c>
      <c r="D1603">
        <v>0.8</v>
      </c>
      <c r="E1603">
        <v>0</v>
      </c>
      <c r="F1603">
        <f t="shared" si="24"/>
        <v>0.8</v>
      </c>
      <c r="I1603">
        <v>20130101</v>
      </c>
      <c r="J1603" t="s">
        <v>1855</v>
      </c>
    </row>
    <row r="1604" spans="1:17" x14ac:dyDescent="0.3">
      <c r="A1604" s="160">
        <v>17184</v>
      </c>
      <c r="B1604" t="s">
        <v>16762</v>
      </c>
      <c r="C1604" t="s">
        <v>1850</v>
      </c>
      <c r="D1604">
        <v>0.8</v>
      </c>
      <c r="E1604">
        <v>0</v>
      </c>
      <c r="F1604">
        <f t="shared" si="24"/>
        <v>0.8</v>
      </c>
      <c r="I1604">
        <v>20160701</v>
      </c>
      <c r="J1604" t="s">
        <v>1865</v>
      </c>
    </row>
    <row r="1605" spans="1:17" x14ac:dyDescent="0.3">
      <c r="A1605" s="160">
        <v>17190</v>
      </c>
      <c r="B1605" t="s">
        <v>16763</v>
      </c>
      <c r="C1605" t="s">
        <v>1852</v>
      </c>
      <c r="D1605">
        <v>1.8</v>
      </c>
      <c r="E1605">
        <v>0</v>
      </c>
      <c r="F1605">
        <f t="shared" si="24"/>
        <v>1.8</v>
      </c>
      <c r="I1605">
        <v>20250101</v>
      </c>
      <c r="J1605" t="s">
        <v>1885</v>
      </c>
    </row>
    <row r="1606" spans="1:17" x14ac:dyDescent="0.3">
      <c r="A1606" s="160">
        <v>17191</v>
      </c>
      <c r="B1606" t="s">
        <v>16764</v>
      </c>
      <c r="C1606" t="s">
        <v>1872</v>
      </c>
      <c r="D1606">
        <v>0.8</v>
      </c>
      <c r="E1606">
        <v>0</v>
      </c>
      <c r="F1606">
        <f t="shared" si="24"/>
        <v>0.8</v>
      </c>
      <c r="I1606">
        <v>20230701</v>
      </c>
      <c r="J1606" t="s">
        <v>1881</v>
      </c>
    </row>
    <row r="1607" spans="1:17" x14ac:dyDescent="0.3">
      <c r="A1607" s="160">
        <v>17193</v>
      </c>
      <c r="B1607" t="s">
        <v>16765</v>
      </c>
      <c r="C1607" t="s">
        <v>1852</v>
      </c>
      <c r="D1607">
        <v>1.8</v>
      </c>
      <c r="E1607">
        <v>0</v>
      </c>
      <c r="F1607">
        <f t="shared" ref="F1607:F1670" si="25">D1607+E1607</f>
        <v>1.8</v>
      </c>
      <c r="I1607">
        <v>20250101</v>
      </c>
      <c r="J1607" t="s">
        <v>1866</v>
      </c>
    </row>
    <row r="1608" spans="1:17" x14ac:dyDescent="0.3">
      <c r="A1608" s="160">
        <v>17194</v>
      </c>
      <c r="B1608" t="s">
        <v>16766</v>
      </c>
      <c r="C1608" t="s">
        <v>1852</v>
      </c>
      <c r="D1608">
        <v>1.8</v>
      </c>
      <c r="E1608">
        <v>0</v>
      </c>
      <c r="F1608">
        <f t="shared" si="25"/>
        <v>1.8</v>
      </c>
      <c r="I1608">
        <v>20250101</v>
      </c>
      <c r="J1608" t="s">
        <v>1866</v>
      </c>
    </row>
    <row r="1609" spans="1:17" x14ac:dyDescent="0.3">
      <c r="A1609" s="160">
        <v>17200</v>
      </c>
      <c r="B1609" t="s">
        <v>16767</v>
      </c>
      <c r="C1609" t="s">
        <v>1852</v>
      </c>
      <c r="D1609">
        <v>1.8</v>
      </c>
      <c r="E1609">
        <v>0</v>
      </c>
      <c r="F1609">
        <f t="shared" si="25"/>
        <v>1.8</v>
      </c>
      <c r="I1609">
        <v>20250101</v>
      </c>
      <c r="J1609" t="s">
        <v>1893</v>
      </c>
      <c r="K1609" t="s">
        <v>1894</v>
      </c>
      <c r="L1609" t="s">
        <v>1895</v>
      </c>
      <c r="M1609" t="s">
        <v>1896</v>
      </c>
      <c r="N1609" t="s">
        <v>1897</v>
      </c>
      <c r="O1609" t="s">
        <v>1898</v>
      </c>
      <c r="P1609" t="s">
        <v>1899</v>
      </c>
      <c r="Q1609" t="s">
        <v>1900</v>
      </c>
    </row>
    <row r="1610" spans="1:17" x14ac:dyDescent="0.3">
      <c r="A1610" s="160">
        <v>17205</v>
      </c>
      <c r="B1610" t="s">
        <v>16768</v>
      </c>
      <c r="C1610" t="s">
        <v>1850</v>
      </c>
      <c r="D1610">
        <v>0.8</v>
      </c>
      <c r="E1610">
        <v>0</v>
      </c>
      <c r="F1610">
        <f t="shared" si="25"/>
        <v>0.8</v>
      </c>
      <c r="I1610">
        <v>20160701</v>
      </c>
      <c r="J1610" t="s">
        <v>1871</v>
      </c>
    </row>
    <row r="1611" spans="1:17" x14ac:dyDescent="0.3">
      <c r="A1611" s="160">
        <v>17214</v>
      </c>
      <c r="B1611" t="s">
        <v>16769</v>
      </c>
      <c r="C1611" t="s">
        <v>1872</v>
      </c>
      <c r="D1611">
        <v>0.8</v>
      </c>
      <c r="E1611">
        <v>0</v>
      </c>
      <c r="F1611">
        <f t="shared" si="25"/>
        <v>0.8</v>
      </c>
      <c r="I1611">
        <v>20230701</v>
      </c>
      <c r="J1611" t="s">
        <v>1880</v>
      </c>
    </row>
    <row r="1612" spans="1:17" x14ac:dyDescent="0.3">
      <c r="A1612" s="160">
        <v>17216</v>
      </c>
      <c r="B1612" t="s">
        <v>16770</v>
      </c>
      <c r="C1612" t="s">
        <v>1850</v>
      </c>
      <c r="D1612">
        <v>0.8</v>
      </c>
      <c r="E1612">
        <v>0</v>
      </c>
      <c r="F1612">
        <f t="shared" si="25"/>
        <v>0.8</v>
      </c>
      <c r="I1612">
        <v>20160701</v>
      </c>
      <c r="J1612" t="s">
        <v>1875</v>
      </c>
    </row>
    <row r="1613" spans="1:17" x14ac:dyDescent="0.3">
      <c r="A1613" s="160">
        <v>17222</v>
      </c>
      <c r="B1613" t="s">
        <v>16771</v>
      </c>
      <c r="C1613" t="s">
        <v>1852</v>
      </c>
      <c r="D1613">
        <v>1.8</v>
      </c>
      <c r="E1613">
        <v>0</v>
      </c>
      <c r="F1613">
        <f t="shared" si="25"/>
        <v>1.8</v>
      </c>
      <c r="I1613">
        <v>20250101</v>
      </c>
      <c r="J1613" t="s">
        <v>1885</v>
      </c>
    </row>
    <row r="1614" spans="1:17" x14ac:dyDescent="0.3">
      <c r="A1614" s="160">
        <v>17225</v>
      </c>
      <c r="B1614" t="s">
        <v>16772</v>
      </c>
      <c r="C1614" t="s">
        <v>1854</v>
      </c>
      <c r="D1614">
        <v>0.8</v>
      </c>
      <c r="E1614">
        <v>0</v>
      </c>
      <c r="F1614">
        <f t="shared" si="25"/>
        <v>0.8</v>
      </c>
      <c r="I1614">
        <v>20130101</v>
      </c>
      <c r="J1614" t="s">
        <v>1901</v>
      </c>
    </row>
    <row r="1615" spans="1:17" x14ac:dyDescent="0.3">
      <c r="A1615" s="160">
        <v>17228</v>
      </c>
      <c r="B1615" t="s">
        <v>16773</v>
      </c>
      <c r="C1615" t="s">
        <v>1854</v>
      </c>
      <c r="D1615">
        <v>0.8</v>
      </c>
      <c r="E1615">
        <v>0</v>
      </c>
      <c r="F1615">
        <f t="shared" si="25"/>
        <v>0.8</v>
      </c>
      <c r="I1615">
        <v>20130101</v>
      </c>
      <c r="J1615" t="s">
        <v>1902</v>
      </c>
      <c r="K1615" t="s">
        <v>1903</v>
      </c>
      <c r="L1615" t="s">
        <v>1904</v>
      </c>
      <c r="M1615" t="s">
        <v>1880</v>
      </c>
    </row>
    <row r="1616" spans="1:17" x14ac:dyDescent="0.3">
      <c r="A1616" s="160">
        <v>17230</v>
      </c>
      <c r="B1616" t="s">
        <v>16774</v>
      </c>
      <c r="C1616" t="s">
        <v>1854</v>
      </c>
      <c r="D1616">
        <v>0.8</v>
      </c>
      <c r="E1616">
        <v>0</v>
      </c>
      <c r="F1616">
        <f t="shared" si="25"/>
        <v>0.8</v>
      </c>
      <c r="I1616">
        <v>20130101</v>
      </c>
      <c r="J1616" t="s">
        <v>1905</v>
      </c>
    </row>
    <row r="1617" spans="1:52" x14ac:dyDescent="0.3">
      <c r="A1617" s="160">
        <v>17235</v>
      </c>
      <c r="B1617" t="s">
        <v>16775</v>
      </c>
      <c r="C1617" t="s">
        <v>1872</v>
      </c>
      <c r="D1617">
        <v>0.8</v>
      </c>
      <c r="E1617">
        <v>0</v>
      </c>
      <c r="F1617">
        <f t="shared" si="25"/>
        <v>0.8</v>
      </c>
      <c r="I1617">
        <v>20230701</v>
      </c>
      <c r="J1617" t="s">
        <v>1873</v>
      </c>
    </row>
    <row r="1618" spans="1:52" x14ac:dyDescent="0.3">
      <c r="A1618" s="160">
        <v>17237</v>
      </c>
      <c r="B1618" t="s">
        <v>16776</v>
      </c>
      <c r="C1618" t="s">
        <v>1850</v>
      </c>
      <c r="D1618">
        <v>0.8</v>
      </c>
      <c r="E1618">
        <v>0</v>
      </c>
      <c r="F1618">
        <f t="shared" si="25"/>
        <v>0.8</v>
      </c>
      <c r="I1618">
        <v>20160701</v>
      </c>
      <c r="J1618" t="s">
        <v>1906</v>
      </c>
    </row>
    <row r="1619" spans="1:52" x14ac:dyDescent="0.3">
      <c r="A1619" s="160">
        <v>17242</v>
      </c>
      <c r="B1619" t="s">
        <v>16777</v>
      </c>
      <c r="C1619" t="s">
        <v>1872</v>
      </c>
      <c r="D1619">
        <v>0.8</v>
      </c>
      <c r="E1619">
        <v>0</v>
      </c>
      <c r="F1619">
        <f t="shared" si="25"/>
        <v>0.8</v>
      </c>
      <c r="I1619">
        <v>20230701</v>
      </c>
      <c r="J1619" t="s">
        <v>1907</v>
      </c>
    </row>
    <row r="1620" spans="1:52" x14ac:dyDescent="0.3">
      <c r="A1620" s="160">
        <v>17245</v>
      </c>
      <c r="B1620" t="s">
        <v>16778</v>
      </c>
      <c r="C1620" t="s">
        <v>1852</v>
      </c>
      <c r="D1620">
        <v>1.8</v>
      </c>
      <c r="E1620">
        <v>0</v>
      </c>
      <c r="F1620">
        <f t="shared" si="25"/>
        <v>1.8</v>
      </c>
      <c r="I1620">
        <v>20250101</v>
      </c>
      <c r="J1620" t="s">
        <v>1866</v>
      </c>
    </row>
    <row r="1621" spans="1:52" x14ac:dyDescent="0.3">
      <c r="A1621" s="160">
        <v>17246</v>
      </c>
      <c r="B1621" t="s">
        <v>16779</v>
      </c>
      <c r="C1621" t="s">
        <v>1850</v>
      </c>
      <c r="D1621">
        <v>0.8</v>
      </c>
      <c r="E1621">
        <v>0</v>
      </c>
      <c r="F1621">
        <f t="shared" si="25"/>
        <v>0.8</v>
      </c>
      <c r="I1621">
        <v>20160701</v>
      </c>
      <c r="J1621" t="s">
        <v>1875</v>
      </c>
    </row>
    <row r="1622" spans="1:52" x14ac:dyDescent="0.3">
      <c r="A1622" s="160">
        <v>17247</v>
      </c>
      <c r="B1622" t="s">
        <v>16780</v>
      </c>
      <c r="C1622" t="s">
        <v>1854</v>
      </c>
      <c r="D1622">
        <v>0.8</v>
      </c>
      <c r="E1622">
        <v>0</v>
      </c>
      <c r="F1622">
        <f t="shared" si="25"/>
        <v>0.8</v>
      </c>
      <c r="I1622">
        <v>20130101</v>
      </c>
      <c r="J1622" t="s">
        <v>1908</v>
      </c>
    </row>
    <row r="1623" spans="1:52" x14ac:dyDescent="0.3">
      <c r="A1623" s="160">
        <v>17248</v>
      </c>
      <c r="B1623" t="s">
        <v>16781</v>
      </c>
      <c r="C1623" t="s">
        <v>1854</v>
      </c>
      <c r="D1623">
        <v>0.8</v>
      </c>
      <c r="E1623">
        <v>0</v>
      </c>
      <c r="F1623">
        <f t="shared" si="25"/>
        <v>0.8</v>
      </c>
      <c r="I1623">
        <v>20130101</v>
      </c>
      <c r="J1623" t="s">
        <v>1855</v>
      </c>
    </row>
    <row r="1624" spans="1:52" x14ac:dyDescent="0.3">
      <c r="A1624" s="160">
        <v>17253</v>
      </c>
      <c r="B1624" t="s">
        <v>16782</v>
      </c>
      <c r="C1624" t="s">
        <v>1850</v>
      </c>
      <c r="D1624">
        <v>0.8</v>
      </c>
      <c r="E1624">
        <v>0</v>
      </c>
      <c r="F1624">
        <f t="shared" si="25"/>
        <v>0.8</v>
      </c>
      <c r="I1624">
        <v>20160701</v>
      </c>
      <c r="J1624" t="s">
        <v>1875</v>
      </c>
    </row>
    <row r="1625" spans="1:52" x14ac:dyDescent="0.3">
      <c r="A1625" s="160">
        <v>17264</v>
      </c>
      <c r="B1625" t="s">
        <v>16783</v>
      </c>
      <c r="C1625" t="s">
        <v>1852</v>
      </c>
      <c r="D1625">
        <v>1.8</v>
      </c>
      <c r="E1625">
        <v>0</v>
      </c>
      <c r="F1625">
        <f t="shared" si="25"/>
        <v>1.8</v>
      </c>
      <c r="I1625">
        <v>20250101</v>
      </c>
      <c r="J1625" t="s">
        <v>1885</v>
      </c>
    </row>
    <row r="1626" spans="1:52" x14ac:dyDescent="0.3">
      <c r="A1626" s="160">
        <v>17274</v>
      </c>
      <c r="B1626" t="s">
        <v>16784</v>
      </c>
      <c r="C1626" t="s">
        <v>1852</v>
      </c>
      <c r="D1626">
        <v>1.8</v>
      </c>
      <c r="E1626">
        <v>0</v>
      </c>
      <c r="F1626">
        <f t="shared" si="25"/>
        <v>1.8</v>
      </c>
      <c r="I1626">
        <v>20250101</v>
      </c>
      <c r="J1626" t="s">
        <v>1909</v>
      </c>
      <c r="K1626" t="s">
        <v>1910</v>
      </c>
      <c r="L1626" t="s">
        <v>1911</v>
      </c>
      <c r="M1626" t="s">
        <v>1912</v>
      </c>
      <c r="N1626" t="s">
        <v>1913</v>
      </c>
      <c r="O1626" t="s">
        <v>1914</v>
      </c>
      <c r="P1626" t="s">
        <v>1900</v>
      </c>
      <c r="Q1626" t="s">
        <v>1915</v>
      </c>
      <c r="R1626" t="s">
        <v>1916</v>
      </c>
      <c r="S1626" t="s">
        <v>1917</v>
      </c>
      <c r="T1626" t="s">
        <v>1918</v>
      </c>
      <c r="U1626" t="s">
        <v>1919</v>
      </c>
    </row>
    <row r="1627" spans="1:52" x14ac:dyDescent="0.3">
      <c r="A1627" s="160">
        <v>17275</v>
      </c>
      <c r="B1627" t="s">
        <v>16785</v>
      </c>
      <c r="C1627" t="s">
        <v>1872</v>
      </c>
      <c r="D1627">
        <v>0.8</v>
      </c>
      <c r="E1627">
        <v>0</v>
      </c>
      <c r="F1627">
        <f t="shared" si="25"/>
        <v>0.8</v>
      </c>
      <c r="I1627">
        <v>20230701</v>
      </c>
      <c r="J1627" t="s">
        <v>1884</v>
      </c>
    </row>
    <row r="1628" spans="1:52" x14ac:dyDescent="0.3">
      <c r="A1628" s="160">
        <v>17278</v>
      </c>
      <c r="B1628" t="s">
        <v>16786</v>
      </c>
      <c r="C1628" t="s">
        <v>1872</v>
      </c>
      <c r="D1628">
        <v>0.8</v>
      </c>
      <c r="E1628">
        <v>0</v>
      </c>
      <c r="F1628">
        <f t="shared" si="25"/>
        <v>0.8</v>
      </c>
      <c r="I1628">
        <v>20230701</v>
      </c>
      <c r="J1628" t="s">
        <v>1880</v>
      </c>
    </row>
    <row r="1629" spans="1:52" x14ac:dyDescent="0.3">
      <c r="A1629" s="160">
        <v>17289</v>
      </c>
      <c r="B1629" t="s">
        <v>16787</v>
      </c>
      <c r="C1629" t="s">
        <v>1872</v>
      </c>
      <c r="D1629">
        <v>0.8</v>
      </c>
      <c r="E1629">
        <v>0</v>
      </c>
      <c r="F1629">
        <f t="shared" si="25"/>
        <v>0.8</v>
      </c>
      <c r="I1629">
        <v>20230701</v>
      </c>
      <c r="J1629" t="s">
        <v>1881</v>
      </c>
    </row>
    <row r="1630" spans="1:52" x14ac:dyDescent="0.3">
      <c r="A1630" s="160">
        <v>17291</v>
      </c>
      <c r="B1630" t="s">
        <v>16788</v>
      </c>
      <c r="C1630" t="s">
        <v>1852</v>
      </c>
      <c r="D1630">
        <v>1.8</v>
      </c>
      <c r="E1630">
        <v>0</v>
      </c>
      <c r="F1630">
        <f t="shared" si="25"/>
        <v>1.8</v>
      </c>
      <c r="I1630">
        <v>20250101</v>
      </c>
      <c r="J1630" t="s">
        <v>1920</v>
      </c>
      <c r="K1630" t="s">
        <v>1900</v>
      </c>
      <c r="L1630" t="s">
        <v>1921</v>
      </c>
      <c r="M1630" t="s">
        <v>1922</v>
      </c>
      <c r="N1630" t="s">
        <v>1919</v>
      </c>
      <c r="O1630" t="s">
        <v>1923</v>
      </c>
    </row>
    <row r="1631" spans="1:52" x14ac:dyDescent="0.3">
      <c r="A1631" s="160">
        <v>17299</v>
      </c>
      <c r="B1631" t="s">
        <v>16789</v>
      </c>
      <c r="C1631" t="s">
        <v>1850</v>
      </c>
      <c r="D1631">
        <v>0.8</v>
      </c>
      <c r="E1631">
        <v>0</v>
      </c>
      <c r="F1631">
        <f t="shared" si="25"/>
        <v>0.8</v>
      </c>
      <c r="I1631">
        <v>20160701</v>
      </c>
      <c r="J1631" t="s">
        <v>1924</v>
      </c>
      <c r="K1631" t="s">
        <v>1925</v>
      </c>
      <c r="L1631" t="s">
        <v>1926</v>
      </c>
      <c r="M1631" t="s">
        <v>1869</v>
      </c>
      <c r="N1631" t="s">
        <v>1927</v>
      </c>
      <c r="O1631" t="s">
        <v>1870</v>
      </c>
      <c r="P1631" t="s">
        <v>1928</v>
      </c>
      <c r="Q1631" t="s">
        <v>1929</v>
      </c>
      <c r="R1631" t="s">
        <v>1930</v>
      </c>
      <c r="S1631" t="s">
        <v>1931</v>
      </c>
      <c r="T1631" t="s">
        <v>1932</v>
      </c>
      <c r="U1631" t="s">
        <v>1933</v>
      </c>
      <c r="V1631" t="s">
        <v>1934</v>
      </c>
    </row>
    <row r="1632" spans="1:52" x14ac:dyDescent="0.3">
      <c r="A1632" s="160">
        <v>17300</v>
      </c>
      <c r="B1632" t="s">
        <v>16790</v>
      </c>
      <c r="C1632" t="s">
        <v>1852</v>
      </c>
      <c r="D1632">
        <v>1.8</v>
      </c>
      <c r="E1632">
        <v>0</v>
      </c>
      <c r="F1632">
        <f t="shared" si="25"/>
        <v>1.8</v>
      </c>
      <c r="I1632">
        <v>20250101</v>
      </c>
      <c r="J1632" t="s">
        <v>1935</v>
      </c>
      <c r="K1632" t="s">
        <v>1857</v>
      </c>
      <c r="L1632" t="s">
        <v>1909</v>
      </c>
      <c r="M1632" t="s">
        <v>1936</v>
      </c>
      <c r="N1632" t="s">
        <v>1893</v>
      </c>
      <c r="O1632" t="s">
        <v>1937</v>
      </c>
      <c r="P1632" t="s">
        <v>1938</v>
      </c>
      <c r="Q1632" t="s">
        <v>1894</v>
      </c>
      <c r="R1632" t="s">
        <v>1939</v>
      </c>
      <c r="S1632" t="s">
        <v>1940</v>
      </c>
      <c r="T1632" t="s">
        <v>1941</v>
      </c>
      <c r="U1632" t="s">
        <v>1942</v>
      </c>
      <c r="V1632" t="s">
        <v>1943</v>
      </c>
      <c r="W1632" t="s">
        <v>1944</v>
      </c>
      <c r="X1632" t="s">
        <v>1945</v>
      </c>
      <c r="Y1632" t="s">
        <v>1946</v>
      </c>
      <c r="Z1632" t="s">
        <v>1947</v>
      </c>
      <c r="AA1632" t="s">
        <v>1948</v>
      </c>
      <c r="AB1632" t="s">
        <v>1949</v>
      </c>
      <c r="AC1632" t="s">
        <v>1950</v>
      </c>
      <c r="AD1632" t="s">
        <v>1951</v>
      </c>
      <c r="AE1632" t="s">
        <v>1952</v>
      </c>
      <c r="AF1632" t="s">
        <v>1895</v>
      </c>
      <c r="AG1632" t="s">
        <v>1896</v>
      </c>
      <c r="AH1632" t="s">
        <v>1953</v>
      </c>
      <c r="AI1632" t="s">
        <v>1954</v>
      </c>
      <c r="AJ1632" t="s">
        <v>1955</v>
      </c>
      <c r="AK1632" t="s">
        <v>1956</v>
      </c>
      <c r="AL1632" t="s">
        <v>1957</v>
      </c>
      <c r="AM1632" t="s">
        <v>1958</v>
      </c>
      <c r="AN1632" t="s">
        <v>1959</v>
      </c>
      <c r="AO1632" t="s">
        <v>1960</v>
      </c>
      <c r="AP1632" t="s">
        <v>1961</v>
      </c>
      <c r="AQ1632" t="s">
        <v>1962</v>
      </c>
      <c r="AR1632" t="s">
        <v>1963</v>
      </c>
      <c r="AS1632" t="s">
        <v>1910</v>
      </c>
      <c r="AT1632" t="s">
        <v>1898</v>
      </c>
      <c r="AU1632" t="s">
        <v>1964</v>
      </c>
      <c r="AV1632" t="s">
        <v>1965</v>
      </c>
      <c r="AW1632" t="s">
        <v>1966</v>
      </c>
      <c r="AX1632" t="s">
        <v>1967</v>
      </c>
      <c r="AY1632" t="s">
        <v>1968</v>
      </c>
      <c r="AZ1632" t="s">
        <v>1969</v>
      </c>
    </row>
    <row r="1633" spans="1:17" x14ac:dyDescent="0.3">
      <c r="A1633" s="160">
        <v>17304</v>
      </c>
      <c r="B1633" t="s">
        <v>16791</v>
      </c>
      <c r="C1633" t="s">
        <v>1872</v>
      </c>
      <c r="D1633">
        <v>0.8</v>
      </c>
      <c r="E1633">
        <v>0</v>
      </c>
      <c r="F1633">
        <f t="shared" si="25"/>
        <v>0.8</v>
      </c>
      <c r="I1633">
        <v>20240101</v>
      </c>
      <c r="J1633" t="s">
        <v>1907</v>
      </c>
    </row>
    <row r="1634" spans="1:17" x14ac:dyDescent="0.3">
      <c r="A1634" s="160">
        <v>17306</v>
      </c>
      <c r="B1634" t="s">
        <v>16792</v>
      </c>
      <c r="C1634" t="s">
        <v>1854</v>
      </c>
      <c r="D1634">
        <v>0.8</v>
      </c>
      <c r="E1634">
        <v>0</v>
      </c>
      <c r="F1634">
        <f t="shared" si="25"/>
        <v>0.8</v>
      </c>
      <c r="I1634">
        <v>20130101</v>
      </c>
      <c r="J1634" t="s">
        <v>1970</v>
      </c>
      <c r="K1634" t="s">
        <v>1971</v>
      </c>
      <c r="L1634" t="s">
        <v>1902</v>
      </c>
      <c r="M1634" t="s">
        <v>1903</v>
      </c>
      <c r="N1634" t="s">
        <v>1972</v>
      </c>
      <c r="O1634" t="s">
        <v>1973</v>
      </c>
      <c r="P1634" t="s">
        <v>1904</v>
      </c>
      <c r="Q1634" t="s">
        <v>1974</v>
      </c>
    </row>
    <row r="1635" spans="1:17" x14ac:dyDescent="0.3">
      <c r="A1635" s="160">
        <v>17307</v>
      </c>
      <c r="B1635" t="s">
        <v>16793</v>
      </c>
      <c r="C1635" t="s">
        <v>1854</v>
      </c>
      <c r="D1635">
        <v>0.8</v>
      </c>
      <c r="E1635">
        <v>0</v>
      </c>
      <c r="F1635">
        <f t="shared" si="25"/>
        <v>0.8</v>
      </c>
      <c r="I1635">
        <v>20150701</v>
      </c>
      <c r="J1635" t="s">
        <v>1880</v>
      </c>
    </row>
    <row r="1636" spans="1:17" x14ac:dyDescent="0.3">
      <c r="A1636" s="160">
        <v>17308</v>
      </c>
      <c r="B1636" t="s">
        <v>16794</v>
      </c>
      <c r="C1636" t="s">
        <v>1850</v>
      </c>
      <c r="D1636">
        <v>0.8</v>
      </c>
      <c r="E1636">
        <v>0</v>
      </c>
      <c r="F1636">
        <f t="shared" si="25"/>
        <v>0.8</v>
      </c>
      <c r="I1636">
        <v>20160701</v>
      </c>
      <c r="J1636" t="s">
        <v>1865</v>
      </c>
    </row>
    <row r="1637" spans="1:17" x14ac:dyDescent="0.3">
      <c r="A1637" s="160">
        <v>17311</v>
      </c>
      <c r="B1637" t="s">
        <v>16795</v>
      </c>
      <c r="C1637" t="s">
        <v>1854</v>
      </c>
      <c r="D1637">
        <v>0.8</v>
      </c>
      <c r="E1637">
        <v>0</v>
      </c>
      <c r="F1637">
        <f t="shared" si="25"/>
        <v>0.8</v>
      </c>
      <c r="I1637">
        <v>20130101</v>
      </c>
      <c r="J1637" t="s">
        <v>1901</v>
      </c>
    </row>
    <row r="1638" spans="1:17" x14ac:dyDescent="0.3">
      <c r="A1638" s="160">
        <v>17313</v>
      </c>
      <c r="B1638" t="s">
        <v>16796</v>
      </c>
      <c r="C1638" t="s">
        <v>1872</v>
      </c>
      <c r="D1638">
        <v>0.8</v>
      </c>
      <c r="E1638">
        <v>0</v>
      </c>
      <c r="F1638">
        <f t="shared" si="25"/>
        <v>0.8</v>
      </c>
      <c r="I1638">
        <v>20230701</v>
      </c>
      <c r="J1638" t="s">
        <v>1873</v>
      </c>
    </row>
    <row r="1639" spans="1:17" x14ac:dyDescent="0.3">
      <c r="A1639" s="160">
        <v>17314</v>
      </c>
      <c r="B1639" t="s">
        <v>16797</v>
      </c>
      <c r="C1639" t="s">
        <v>1872</v>
      </c>
      <c r="D1639">
        <v>0.8</v>
      </c>
      <c r="E1639">
        <v>0</v>
      </c>
      <c r="F1639">
        <f t="shared" si="25"/>
        <v>0.8</v>
      </c>
      <c r="I1639">
        <v>20230701</v>
      </c>
      <c r="J1639" t="s">
        <v>1873</v>
      </c>
    </row>
    <row r="1640" spans="1:17" x14ac:dyDescent="0.3">
      <c r="A1640" s="160">
        <v>17315</v>
      </c>
      <c r="B1640" t="s">
        <v>16798</v>
      </c>
      <c r="C1640" t="s">
        <v>1852</v>
      </c>
      <c r="D1640">
        <v>1.8</v>
      </c>
      <c r="E1640">
        <v>0</v>
      </c>
      <c r="F1640">
        <f t="shared" si="25"/>
        <v>1.8</v>
      </c>
      <c r="I1640">
        <v>20250101</v>
      </c>
      <c r="J1640" t="s">
        <v>1866</v>
      </c>
    </row>
    <row r="1641" spans="1:17" x14ac:dyDescent="0.3">
      <c r="A1641" s="160">
        <v>17320</v>
      </c>
      <c r="B1641" t="s">
        <v>16799</v>
      </c>
      <c r="C1641" t="s">
        <v>1850</v>
      </c>
      <c r="D1641">
        <v>0.8</v>
      </c>
      <c r="E1641">
        <v>0</v>
      </c>
      <c r="F1641">
        <f t="shared" si="25"/>
        <v>0.8</v>
      </c>
      <c r="I1641">
        <v>20160701</v>
      </c>
      <c r="J1641" t="s">
        <v>1875</v>
      </c>
    </row>
    <row r="1642" spans="1:17" x14ac:dyDescent="0.3">
      <c r="A1642" s="160">
        <v>17329</v>
      </c>
      <c r="B1642" t="s">
        <v>16800</v>
      </c>
      <c r="C1642" t="s">
        <v>1850</v>
      </c>
      <c r="D1642">
        <v>0.8</v>
      </c>
      <c r="E1642">
        <v>0</v>
      </c>
      <c r="F1642">
        <f t="shared" si="25"/>
        <v>0.8</v>
      </c>
      <c r="I1642">
        <v>20160701</v>
      </c>
      <c r="J1642" t="s">
        <v>1906</v>
      </c>
    </row>
    <row r="1643" spans="1:17" x14ac:dyDescent="0.3">
      <c r="A1643" s="160">
        <v>17333</v>
      </c>
      <c r="B1643" t="s">
        <v>16801</v>
      </c>
      <c r="C1643" t="s">
        <v>1854</v>
      </c>
      <c r="D1643">
        <v>0.8</v>
      </c>
      <c r="E1643">
        <v>0</v>
      </c>
      <c r="F1643">
        <f t="shared" si="25"/>
        <v>0.8</v>
      </c>
      <c r="I1643">
        <v>20130101</v>
      </c>
      <c r="J1643" t="s">
        <v>1975</v>
      </c>
      <c r="K1643" t="s">
        <v>1902</v>
      </c>
      <c r="L1643" t="s">
        <v>1867</v>
      </c>
      <c r="M1643" t="s">
        <v>1903</v>
      </c>
      <c r="N1643" t="s">
        <v>1973</v>
      </c>
      <c r="O1643" t="s">
        <v>1904</v>
      </c>
    </row>
    <row r="1644" spans="1:17" x14ac:dyDescent="0.3">
      <c r="A1644" s="160">
        <v>17336</v>
      </c>
      <c r="B1644" t="s">
        <v>16802</v>
      </c>
      <c r="C1644" t="s">
        <v>1872</v>
      </c>
      <c r="D1644">
        <v>0.8</v>
      </c>
      <c r="E1644">
        <v>0</v>
      </c>
      <c r="F1644">
        <f t="shared" si="25"/>
        <v>0.8</v>
      </c>
      <c r="I1644">
        <v>20230701</v>
      </c>
      <c r="J1644" t="s">
        <v>1888</v>
      </c>
      <c r="K1644" t="s">
        <v>1877</v>
      </c>
      <c r="L1644" t="s">
        <v>1976</v>
      </c>
      <c r="M1644" t="s">
        <v>1891</v>
      </c>
      <c r="N1644" t="s">
        <v>1977</v>
      </c>
      <c r="O1644" t="s">
        <v>1892</v>
      </c>
      <c r="P1644" t="s">
        <v>1978</v>
      </c>
      <c r="Q1644" t="s">
        <v>1884</v>
      </c>
    </row>
    <row r="1645" spans="1:17" x14ac:dyDescent="0.3">
      <c r="A1645" s="160">
        <v>17346</v>
      </c>
      <c r="B1645" t="s">
        <v>16803</v>
      </c>
      <c r="C1645" t="s">
        <v>1850</v>
      </c>
      <c r="D1645">
        <v>0.8</v>
      </c>
      <c r="E1645">
        <v>0</v>
      </c>
      <c r="F1645">
        <f t="shared" si="25"/>
        <v>0.8</v>
      </c>
      <c r="I1645">
        <v>20160701</v>
      </c>
      <c r="J1645" t="s">
        <v>1875</v>
      </c>
    </row>
    <row r="1646" spans="1:17" x14ac:dyDescent="0.3">
      <c r="A1646" s="160">
        <v>17348</v>
      </c>
      <c r="B1646" t="s">
        <v>16804</v>
      </c>
      <c r="C1646" t="s">
        <v>1850</v>
      </c>
      <c r="D1646">
        <v>0.8</v>
      </c>
      <c r="E1646">
        <v>0</v>
      </c>
      <c r="F1646">
        <f t="shared" si="25"/>
        <v>0.8</v>
      </c>
      <c r="I1646">
        <v>20160701</v>
      </c>
      <c r="J1646" t="s">
        <v>1865</v>
      </c>
    </row>
    <row r="1647" spans="1:17" x14ac:dyDescent="0.3">
      <c r="A1647" s="160">
        <v>17353</v>
      </c>
      <c r="B1647" t="s">
        <v>16805</v>
      </c>
      <c r="C1647" t="s">
        <v>1850</v>
      </c>
      <c r="D1647">
        <v>0.8</v>
      </c>
      <c r="E1647">
        <v>0</v>
      </c>
      <c r="F1647">
        <f t="shared" si="25"/>
        <v>0.8</v>
      </c>
      <c r="I1647">
        <v>20160701</v>
      </c>
      <c r="J1647" t="s">
        <v>1926</v>
      </c>
      <c r="K1647" t="s">
        <v>1870</v>
      </c>
      <c r="L1647" t="s">
        <v>1890</v>
      </c>
    </row>
    <row r="1648" spans="1:17" x14ac:dyDescent="0.3">
      <c r="A1648" s="160">
        <v>17373</v>
      </c>
      <c r="B1648" t="s">
        <v>16806</v>
      </c>
      <c r="C1648" t="s">
        <v>1852</v>
      </c>
      <c r="D1648">
        <v>1.8</v>
      </c>
      <c r="E1648">
        <v>0</v>
      </c>
      <c r="F1648">
        <f t="shared" si="25"/>
        <v>1.8</v>
      </c>
      <c r="I1648">
        <v>20250101</v>
      </c>
      <c r="J1648" t="s">
        <v>1866</v>
      </c>
    </row>
    <row r="1649" spans="1:25" x14ac:dyDescent="0.3">
      <c r="A1649" s="160">
        <v>17375</v>
      </c>
      <c r="B1649" t="s">
        <v>16807</v>
      </c>
      <c r="C1649" t="s">
        <v>1850</v>
      </c>
      <c r="D1649">
        <v>0.8</v>
      </c>
      <c r="E1649">
        <v>0</v>
      </c>
      <c r="F1649">
        <f t="shared" si="25"/>
        <v>0.8</v>
      </c>
      <c r="I1649">
        <v>20160701</v>
      </c>
      <c r="J1649" t="s">
        <v>1906</v>
      </c>
    </row>
    <row r="1650" spans="1:25" x14ac:dyDescent="0.3">
      <c r="A1650" s="160">
        <v>17380</v>
      </c>
      <c r="B1650" t="s">
        <v>16808</v>
      </c>
      <c r="C1650" t="s">
        <v>1854</v>
      </c>
      <c r="D1650">
        <v>0.8</v>
      </c>
      <c r="E1650">
        <v>0</v>
      </c>
      <c r="F1650">
        <f t="shared" si="25"/>
        <v>0.8</v>
      </c>
      <c r="I1650">
        <v>20130101</v>
      </c>
      <c r="J1650" t="s">
        <v>1973</v>
      </c>
      <c r="K1650" t="s">
        <v>1979</v>
      </c>
      <c r="L1650" t="s">
        <v>1974</v>
      </c>
      <c r="M1650" t="s">
        <v>1980</v>
      </c>
    </row>
    <row r="1651" spans="1:25" x14ac:dyDescent="0.3">
      <c r="A1651" s="160">
        <v>17391</v>
      </c>
      <c r="B1651" t="s">
        <v>16809</v>
      </c>
      <c r="C1651" t="s">
        <v>1852</v>
      </c>
      <c r="D1651">
        <v>1.8</v>
      </c>
      <c r="E1651">
        <v>0</v>
      </c>
      <c r="F1651">
        <f t="shared" si="25"/>
        <v>1.8</v>
      </c>
      <c r="I1651">
        <v>20250101</v>
      </c>
      <c r="J1651" t="s">
        <v>1866</v>
      </c>
    </row>
    <row r="1652" spans="1:25" x14ac:dyDescent="0.3">
      <c r="A1652" s="160">
        <v>17392</v>
      </c>
      <c r="B1652" t="s">
        <v>16810</v>
      </c>
      <c r="C1652" t="s">
        <v>1854</v>
      </c>
      <c r="D1652">
        <v>0.8</v>
      </c>
      <c r="E1652">
        <v>0</v>
      </c>
      <c r="F1652">
        <f t="shared" si="25"/>
        <v>0.8</v>
      </c>
      <c r="I1652">
        <v>20130101</v>
      </c>
      <c r="J1652" t="s">
        <v>1887</v>
      </c>
    </row>
    <row r="1653" spans="1:25" x14ac:dyDescent="0.3">
      <c r="A1653" s="160">
        <v>17393</v>
      </c>
      <c r="B1653" t="s">
        <v>16811</v>
      </c>
      <c r="C1653" t="s">
        <v>1854</v>
      </c>
      <c r="D1653">
        <v>0.8</v>
      </c>
      <c r="E1653">
        <v>0</v>
      </c>
      <c r="F1653">
        <f t="shared" si="25"/>
        <v>0.8</v>
      </c>
      <c r="I1653">
        <v>20150701</v>
      </c>
      <c r="J1653" t="s">
        <v>1880</v>
      </c>
    </row>
    <row r="1654" spans="1:25" x14ac:dyDescent="0.3">
      <c r="A1654" s="160">
        <v>17395</v>
      </c>
      <c r="B1654" t="s">
        <v>16812</v>
      </c>
      <c r="C1654" t="s">
        <v>1872</v>
      </c>
      <c r="D1654">
        <v>0.8</v>
      </c>
      <c r="E1654">
        <v>0</v>
      </c>
      <c r="F1654">
        <f t="shared" si="25"/>
        <v>0.8</v>
      </c>
      <c r="I1654">
        <v>20230701</v>
      </c>
      <c r="J1654" t="s">
        <v>1878</v>
      </c>
    </row>
    <row r="1655" spans="1:25" x14ac:dyDescent="0.3">
      <c r="A1655" s="160">
        <v>17400</v>
      </c>
      <c r="B1655" t="s">
        <v>16813</v>
      </c>
      <c r="C1655" t="s">
        <v>1872</v>
      </c>
      <c r="D1655">
        <v>0.8</v>
      </c>
      <c r="E1655">
        <v>0</v>
      </c>
      <c r="F1655">
        <f t="shared" si="25"/>
        <v>0.8</v>
      </c>
      <c r="I1655">
        <v>20230701</v>
      </c>
      <c r="J1655" t="s">
        <v>1907</v>
      </c>
    </row>
    <row r="1656" spans="1:25" x14ac:dyDescent="0.3">
      <c r="A1656" s="160">
        <v>17407</v>
      </c>
      <c r="B1656" t="s">
        <v>16814</v>
      </c>
      <c r="C1656" t="s">
        <v>1852</v>
      </c>
      <c r="D1656">
        <v>1.8</v>
      </c>
      <c r="E1656">
        <v>0</v>
      </c>
      <c r="F1656">
        <f t="shared" si="25"/>
        <v>1.8</v>
      </c>
      <c r="I1656">
        <v>20250101</v>
      </c>
      <c r="J1656" t="s">
        <v>1866</v>
      </c>
    </row>
    <row r="1657" spans="1:25" x14ac:dyDescent="0.3">
      <c r="A1657" s="160">
        <v>17409</v>
      </c>
      <c r="B1657" t="s">
        <v>16815</v>
      </c>
      <c r="C1657" t="s">
        <v>1854</v>
      </c>
      <c r="D1657">
        <v>0.8</v>
      </c>
      <c r="E1657">
        <v>0</v>
      </c>
      <c r="F1657">
        <f t="shared" si="25"/>
        <v>0.8</v>
      </c>
      <c r="I1657">
        <v>20130101</v>
      </c>
      <c r="J1657" t="s">
        <v>1970</v>
      </c>
      <c r="K1657" t="s">
        <v>1971</v>
      </c>
      <c r="L1657" t="s">
        <v>1902</v>
      </c>
      <c r="M1657" t="s">
        <v>1973</v>
      </c>
      <c r="N1657" t="s">
        <v>1979</v>
      </c>
    </row>
    <row r="1658" spans="1:25" x14ac:dyDescent="0.3">
      <c r="A1658" s="160">
        <v>17412</v>
      </c>
      <c r="B1658" t="s">
        <v>16816</v>
      </c>
      <c r="C1658" t="s">
        <v>1872</v>
      </c>
      <c r="D1658">
        <v>0.8</v>
      </c>
      <c r="E1658">
        <v>0</v>
      </c>
      <c r="F1658">
        <f t="shared" si="25"/>
        <v>0.8</v>
      </c>
      <c r="I1658">
        <v>20230701</v>
      </c>
      <c r="J1658" t="s">
        <v>1874</v>
      </c>
    </row>
    <row r="1659" spans="1:25" x14ac:dyDescent="0.3">
      <c r="A1659" s="160">
        <v>17413</v>
      </c>
      <c r="B1659" t="s">
        <v>16817</v>
      </c>
      <c r="C1659" t="s">
        <v>1852</v>
      </c>
      <c r="D1659">
        <v>1.8</v>
      </c>
      <c r="E1659">
        <v>0</v>
      </c>
      <c r="F1659">
        <f t="shared" si="25"/>
        <v>1.8</v>
      </c>
      <c r="I1659">
        <v>20250101</v>
      </c>
      <c r="J1659" t="s">
        <v>1866</v>
      </c>
    </row>
    <row r="1660" spans="1:25" x14ac:dyDescent="0.3">
      <c r="A1660" s="160">
        <v>17414</v>
      </c>
      <c r="B1660" t="s">
        <v>16818</v>
      </c>
      <c r="C1660" t="s">
        <v>1852</v>
      </c>
      <c r="D1660">
        <v>1.8</v>
      </c>
      <c r="E1660">
        <v>0</v>
      </c>
      <c r="F1660">
        <f t="shared" si="25"/>
        <v>1.8</v>
      </c>
      <c r="I1660">
        <v>20250101</v>
      </c>
      <c r="J1660" t="s">
        <v>1920</v>
      </c>
    </row>
    <row r="1661" spans="1:25" x14ac:dyDescent="0.3">
      <c r="A1661" s="160">
        <v>17415</v>
      </c>
      <c r="B1661" t="s">
        <v>16819</v>
      </c>
      <c r="C1661" t="s">
        <v>1872</v>
      </c>
      <c r="D1661">
        <v>0.8</v>
      </c>
      <c r="E1661">
        <v>0</v>
      </c>
      <c r="F1661">
        <f t="shared" si="25"/>
        <v>0.8</v>
      </c>
      <c r="I1661">
        <v>20230701</v>
      </c>
      <c r="J1661" t="s">
        <v>1874</v>
      </c>
      <c r="K1661" t="s">
        <v>1888</v>
      </c>
      <c r="L1661" t="s">
        <v>1981</v>
      </c>
      <c r="M1661" t="s">
        <v>1877</v>
      </c>
      <c r="N1661" t="s">
        <v>1976</v>
      </c>
      <c r="O1661" t="s">
        <v>1891</v>
      </c>
      <c r="P1661" t="s">
        <v>1982</v>
      </c>
      <c r="Q1661" t="s">
        <v>1977</v>
      </c>
      <c r="R1661" t="s">
        <v>1983</v>
      </c>
      <c r="S1661" t="s">
        <v>1892</v>
      </c>
      <c r="T1661" t="s">
        <v>1984</v>
      </c>
      <c r="U1661" t="s">
        <v>1889</v>
      </c>
      <c r="V1661" t="s">
        <v>1985</v>
      </c>
      <c r="W1661" t="s">
        <v>1986</v>
      </c>
      <c r="X1661" t="s">
        <v>1987</v>
      </c>
      <c r="Y1661" t="s">
        <v>1978</v>
      </c>
    </row>
    <row r="1662" spans="1:25" x14ac:dyDescent="0.3">
      <c r="A1662" s="160">
        <v>17420</v>
      </c>
      <c r="B1662" t="s">
        <v>16820</v>
      </c>
      <c r="C1662" t="s">
        <v>1852</v>
      </c>
      <c r="D1662">
        <v>1.8</v>
      </c>
      <c r="E1662">
        <v>0</v>
      </c>
      <c r="F1662">
        <f t="shared" si="25"/>
        <v>1.8</v>
      </c>
      <c r="I1662">
        <v>20250101</v>
      </c>
      <c r="J1662" t="s">
        <v>1866</v>
      </c>
    </row>
    <row r="1663" spans="1:25" x14ac:dyDescent="0.3">
      <c r="A1663" s="160">
        <v>17421</v>
      </c>
      <c r="B1663" t="s">
        <v>16821</v>
      </c>
      <c r="C1663" t="s">
        <v>1854</v>
      </c>
      <c r="D1663">
        <v>0.8</v>
      </c>
      <c r="E1663">
        <v>0</v>
      </c>
      <c r="F1663">
        <f t="shared" si="25"/>
        <v>0.8</v>
      </c>
      <c r="I1663">
        <v>20130101</v>
      </c>
      <c r="J1663" t="s">
        <v>1880</v>
      </c>
    </row>
    <row r="1664" spans="1:25" x14ac:dyDescent="0.3">
      <c r="A1664" s="160">
        <v>17425</v>
      </c>
      <c r="B1664" t="s">
        <v>16822</v>
      </c>
      <c r="C1664" t="s">
        <v>1854</v>
      </c>
      <c r="D1664">
        <v>0.8</v>
      </c>
      <c r="E1664">
        <v>0</v>
      </c>
      <c r="F1664">
        <f t="shared" si="25"/>
        <v>0.8</v>
      </c>
      <c r="I1664">
        <v>20130101</v>
      </c>
      <c r="J1664" t="s">
        <v>1855</v>
      </c>
    </row>
    <row r="1665" spans="1:16" x14ac:dyDescent="0.3">
      <c r="A1665" s="160">
        <v>17426</v>
      </c>
      <c r="B1665" t="s">
        <v>16823</v>
      </c>
      <c r="C1665" t="s">
        <v>1872</v>
      </c>
      <c r="D1665">
        <v>0.8</v>
      </c>
      <c r="E1665">
        <v>0</v>
      </c>
      <c r="F1665">
        <f t="shared" si="25"/>
        <v>0.8</v>
      </c>
      <c r="I1665">
        <v>20230701</v>
      </c>
      <c r="J1665" t="s">
        <v>1873</v>
      </c>
    </row>
    <row r="1666" spans="1:16" x14ac:dyDescent="0.3">
      <c r="A1666" s="160">
        <v>17429</v>
      </c>
      <c r="B1666" t="s">
        <v>16824</v>
      </c>
      <c r="C1666" t="s">
        <v>1850</v>
      </c>
      <c r="D1666">
        <v>0.8</v>
      </c>
      <c r="E1666">
        <v>0</v>
      </c>
      <c r="F1666">
        <f t="shared" si="25"/>
        <v>0.8</v>
      </c>
      <c r="I1666">
        <v>20160701</v>
      </c>
      <c r="J1666" t="s">
        <v>1906</v>
      </c>
    </row>
    <row r="1667" spans="1:16" x14ac:dyDescent="0.3">
      <c r="A1667" s="160">
        <v>17437</v>
      </c>
      <c r="B1667" t="s">
        <v>16825</v>
      </c>
      <c r="C1667" t="s">
        <v>1854</v>
      </c>
      <c r="D1667">
        <v>0.8</v>
      </c>
      <c r="E1667">
        <v>0</v>
      </c>
      <c r="F1667">
        <f t="shared" si="25"/>
        <v>0.8</v>
      </c>
      <c r="I1667">
        <v>20130101</v>
      </c>
      <c r="J1667" t="s">
        <v>1855</v>
      </c>
    </row>
    <row r="1668" spans="1:16" x14ac:dyDescent="0.3">
      <c r="A1668" s="160">
        <v>17443</v>
      </c>
      <c r="B1668" t="s">
        <v>16826</v>
      </c>
      <c r="C1668" t="s">
        <v>1852</v>
      </c>
      <c r="D1668">
        <v>1.8</v>
      </c>
      <c r="E1668">
        <v>0</v>
      </c>
      <c r="F1668">
        <f t="shared" si="25"/>
        <v>1.8</v>
      </c>
      <c r="I1668">
        <v>20250101</v>
      </c>
      <c r="J1668" t="s">
        <v>1988</v>
      </c>
    </row>
    <row r="1669" spans="1:16" x14ac:dyDescent="0.3">
      <c r="A1669" s="160">
        <v>17444</v>
      </c>
      <c r="B1669" t="s">
        <v>16827</v>
      </c>
      <c r="C1669" t="s">
        <v>1872</v>
      </c>
      <c r="D1669">
        <v>0.8</v>
      </c>
      <c r="E1669">
        <v>0</v>
      </c>
      <c r="F1669">
        <f t="shared" si="25"/>
        <v>0.8</v>
      </c>
      <c r="I1669">
        <v>20230701</v>
      </c>
      <c r="J1669" t="s">
        <v>1888</v>
      </c>
      <c r="K1669" t="s">
        <v>1891</v>
      </c>
      <c r="L1669" t="s">
        <v>1881</v>
      </c>
    </row>
    <row r="1670" spans="1:16" x14ac:dyDescent="0.3">
      <c r="A1670" s="160">
        <v>17449</v>
      </c>
      <c r="B1670" t="s">
        <v>16828</v>
      </c>
      <c r="C1670" t="s">
        <v>1850</v>
      </c>
      <c r="D1670">
        <v>0.8</v>
      </c>
      <c r="E1670">
        <v>0</v>
      </c>
      <c r="F1670">
        <f t="shared" si="25"/>
        <v>0.8</v>
      </c>
      <c r="I1670">
        <v>20160701</v>
      </c>
      <c r="J1670" t="s">
        <v>1926</v>
      </c>
      <c r="K1670" t="s">
        <v>1927</v>
      </c>
      <c r="L1670" t="s">
        <v>1870</v>
      </c>
      <c r="M1670" t="s">
        <v>1928</v>
      </c>
      <c r="N1670" t="s">
        <v>1930</v>
      </c>
      <c r="O1670" t="s">
        <v>1933</v>
      </c>
      <c r="P1670" t="s">
        <v>1875</v>
      </c>
    </row>
    <row r="1671" spans="1:16" x14ac:dyDescent="0.3">
      <c r="A1671" s="160">
        <v>17452</v>
      </c>
      <c r="B1671" t="s">
        <v>16829</v>
      </c>
      <c r="C1671" t="s">
        <v>1854</v>
      </c>
      <c r="D1671">
        <v>0.8</v>
      </c>
      <c r="E1671">
        <v>0</v>
      </c>
      <c r="F1671">
        <f t="shared" ref="F1671:F1734" si="26">D1671+E1671</f>
        <v>0.8</v>
      </c>
      <c r="I1671">
        <v>20130101</v>
      </c>
      <c r="J1671" t="s">
        <v>1989</v>
      </c>
    </row>
    <row r="1672" spans="1:16" x14ac:dyDescent="0.3">
      <c r="A1672" s="160">
        <v>17460</v>
      </c>
      <c r="B1672" t="s">
        <v>16830</v>
      </c>
      <c r="C1672" t="s">
        <v>1872</v>
      </c>
      <c r="D1672">
        <v>0.8</v>
      </c>
      <c r="E1672">
        <v>0</v>
      </c>
      <c r="F1672">
        <f t="shared" si="26"/>
        <v>0.8</v>
      </c>
      <c r="I1672">
        <v>20230701</v>
      </c>
      <c r="J1672" t="s">
        <v>1881</v>
      </c>
    </row>
    <row r="1673" spans="1:16" x14ac:dyDescent="0.3">
      <c r="A1673" s="160">
        <v>17461</v>
      </c>
      <c r="B1673" t="s">
        <v>16831</v>
      </c>
      <c r="C1673" t="s">
        <v>1854</v>
      </c>
      <c r="D1673">
        <v>0.8</v>
      </c>
      <c r="E1673">
        <v>0</v>
      </c>
      <c r="F1673">
        <f t="shared" si="26"/>
        <v>0.8</v>
      </c>
      <c r="I1673">
        <v>20130101</v>
      </c>
      <c r="J1673" t="s">
        <v>1971</v>
      </c>
      <c r="K1673" t="s">
        <v>1972</v>
      </c>
      <c r="L1673" t="s">
        <v>1973</v>
      </c>
      <c r="M1673" t="s">
        <v>1979</v>
      </c>
      <c r="N1673" t="s">
        <v>1904</v>
      </c>
      <c r="O1673" t="s">
        <v>1974</v>
      </c>
      <c r="P1673" t="s">
        <v>1990</v>
      </c>
    </row>
    <row r="1674" spans="1:16" x14ac:dyDescent="0.3">
      <c r="A1674" s="160">
        <v>17462</v>
      </c>
      <c r="B1674" t="s">
        <v>16832</v>
      </c>
      <c r="C1674" t="s">
        <v>1872</v>
      </c>
      <c r="D1674">
        <v>0.8</v>
      </c>
      <c r="E1674">
        <v>0</v>
      </c>
      <c r="F1674">
        <f t="shared" si="26"/>
        <v>0.8</v>
      </c>
      <c r="I1674">
        <v>20230701</v>
      </c>
      <c r="J1674" t="s">
        <v>1874</v>
      </c>
    </row>
    <row r="1675" spans="1:16" x14ac:dyDescent="0.3">
      <c r="A1675" s="160">
        <v>17463</v>
      </c>
      <c r="B1675" t="s">
        <v>16833</v>
      </c>
      <c r="C1675" t="s">
        <v>1850</v>
      </c>
      <c r="D1675">
        <v>0.8</v>
      </c>
      <c r="E1675">
        <v>0</v>
      </c>
      <c r="F1675">
        <f t="shared" si="26"/>
        <v>0.8</v>
      </c>
      <c r="I1675">
        <v>20160701</v>
      </c>
      <c r="J1675" t="s">
        <v>1924</v>
      </c>
      <c r="K1675" t="s">
        <v>1928</v>
      </c>
      <c r="L1675" t="s">
        <v>1930</v>
      </c>
    </row>
    <row r="1676" spans="1:16" x14ac:dyDescent="0.3">
      <c r="A1676" s="160">
        <v>17466</v>
      </c>
      <c r="B1676" t="s">
        <v>16834</v>
      </c>
      <c r="C1676" t="s">
        <v>1852</v>
      </c>
      <c r="D1676">
        <v>1.8</v>
      </c>
      <c r="E1676">
        <v>0</v>
      </c>
      <c r="F1676">
        <f t="shared" si="26"/>
        <v>1.8</v>
      </c>
      <c r="I1676">
        <v>20250101</v>
      </c>
      <c r="J1676" t="s">
        <v>1991</v>
      </c>
    </row>
    <row r="1677" spans="1:16" x14ac:dyDescent="0.3">
      <c r="A1677" s="160">
        <v>17470</v>
      </c>
      <c r="B1677" t="s">
        <v>16835</v>
      </c>
      <c r="C1677" t="s">
        <v>1872</v>
      </c>
      <c r="D1677">
        <v>0.8</v>
      </c>
      <c r="E1677">
        <v>0</v>
      </c>
      <c r="F1677">
        <f t="shared" si="26"/>
        <v>0.8</v>
      </c>
      <c r="I1677">
        <v>20230701</v>
      </c>
      <c r="J1677" t="s">
        <v>1873</v>
      </c>
    </row>
    <row r="1678" spans="1:16" x14ac:dyDescent="0.3">
      <c r="A1678" s="160">
        <v>17483</v>
      </c>
      <c r="B1678" t="s">
        <v>16836</v>
      </c>
      <c r="C1678" t="s">
        <v>1852</v>
      </c>
      <c r="D1678">
        <v>1.8</v>
      </c>
      <c r="E1678">
        <v>0</v>
      </c>
      <c r="F1678">
        <f t="shared" si="26"/>
        <v>1.8</v>
      </c>
      <c r="I1678">
        <v>20250101</v>
      </c>
      <c r="J1678" t="s">
        <v>1879</v>
      </c>
    </row>
    <row r="1679" spans="1:16" x14ac:dyDescent="0.3">
      <c r="A1679" s="160">
        <v>17484</v>
      </c>
      <c r="B1679" t="s">
        <v>16837</v>
      </c>
      <c r="C1679" t="s">
        <v>1850</v>
      </c>
      <c r="D1679">
        <v>0.8</v>
      </c>
      <c r="E1679">
        <v>0</v>
      </c>
      <c r="F1679">
        <f t="shared" si="26"/>
        <v>0.8</v>
      </c>
      <c r="I1679">
        <v>20160701</v>
      </c>
      <c r="J1679" t="s">
        <v>1992</v>
      </c>
    </row>
    <row r="1680" spans="1:16" x14ac:dyDescent="0.3">
      <c r="A1680" s="160">
        <v>18006</v>
      </c>
      <c r="B1680" t="s">
        <v>16838</v>
      </c>
      <c r="C1680" t="s">
        <v>1993</v>
      </c>
      <c r="D1680">
        <v>1.75</v>
      </c>
      <c r="E1680">
        <v>0</v>
      </c>
      <c r="F1680">
        <f t="shared" si="26"/>
        <v>1.75</v>
      </c>
      <c r="I1680">
        <v>20230701</v>
      </c>
      <c r="J1680" t="s">
        <v>1994</v>
      </c>
    </row>
    <row r="1681" spans="1:45" x14ac:dyDescent="0.3">
      <c r="A1681" s="160">
        <v>18008</v>
      </c>
      <c r="B1681" t="s">
        <v>16839</v>
      </c>
      <c r="C1681" t="s">
        <v>1993</v>
      </c>
      <c r="D1681">
        <v>1.75</v>
      </c>
      <c r="E1681">
        <v>0</v>
      </c>
      <c r="F1681">
        <f t="shared" si="26"/>
        <v>1.75</v>
      </c>
      <c r="I1681">
        <v>20230701</v>
      </c>
      <c r="J1681" t="s">
        <v>1994</v>
      </c>
    </row>
    <row r="1682" spans="1:45" x14ac:dyDescent="0.3">
      <c r="A1682" s="160">
        <v>18028</v>
      </c>
      <c r="B1682" t="s">
        <v>16840</v>
      </c>
      <c r="C1682" t="s">
        <v>1993</v>
      </c>
      <c r="D1682">
        <v>1.75</v>
      </c>
      <c r="E1682">
        <v>0</v>
      </c>
      <c r="F1682">
        <f t="shared" si="26"/>
        <v>1.75</v>
      </c>
      <c r="I1682">
        <v>20230701</v>
      </c>
      <c r="J1682" t="s">
        <v>1995</v>
      </c>
    </row>
    <row r="1683" spans="1:45" x14ac:dyDescent="0.3">
      <c r="A1683" s="160">
        <v>18033</v>
      </c>
      <c r="B1683" t="s">
        <v>16841</v>
      </c>
      <c r="C1683" t="s">
        <v>1993</v>
      </c>
      <c r="D1683">
        <v>1.75</v>
      </c>
      <c r="E1683">
        <v>0</v>
      </c>
      <c r="F1683">
        <f t="shared" si="26"/>
        <v>1.75</v>
      </c>
      <c r="I1683">
        <v>20230701</v>
      </c>
      <c r="J1683" t="s">
        <v>1996</v>
      </c>
      <c r="K1683" t="s">
        <v>1997</v>
      </c>
      <c r="L1683" t="s">
        <v>1998</v>
      </c>
      <c r="M1683" t="s">
        <v>1999</v>
      </c>
      <c r="N1683" t="s">
        <v>2000</v>
      </c>
      <c r="O1683" t="s">
        <v>2001</v>
      </c>
      <c r="P1683" t="s">
        <v>2002</v>
      </c>
      <c r="Q1683" t="s">
        <v>2003</v>
      </c>
      <c r="R1683" t="s">
        <v>2004</v>
      </c>
      <c r="S1683" t="s">
        <v>2005</v>
      </c>
      <c r="T1683" t="s">
        <v>2006</v>
      </c>
      <c r="U1683" t="s">
        <v>2007</v>
      </c>
      <c r="V1683" t="s">
        <v>2008</v>
      </c>
      <c r="W1683" t="s">
        <v>2009</v>
      </c>
      <c r="X1683" t="s">
        <v>2010</v>
      </c>
      <c r="Y1683" t="s">
        <v>2011</v>
      </c>
      <c r="Z1683" t="s">
        <v>2012</v>
      </c>
      <c r="AA1683" t="s">
        <v>2013</v>
      </c>
      <c r="AB1683" t="s">
        <v>2014</v>
      </c>
      <c r="AC1683" t="s">
        <v>2015</v>
      </c>
      <c r="AD1683" t="s">
        <v>2016</v>
      </c>
      <c r="AE1683" t="s">
        <v>2017</v>
      </c>
      <c r="AF1683" t="s">
        <v>2018</v>
      </c>
      <c r="AG1683" t="s">
        <v>2019</v>
      </c>
      <c r="AH1683" t="s">
        <v>2020</v>
      </c>
      <c r="AI1683" t="s">
        <v>2021</v>
      </c>
      <c r="AJ1683" t="s">
        <v>2022</v>
      </c>
      <c r="AK1683" t="s">
        <v>2023</v>
      </c>
      <c r="AL1683" t="s">
        <v>2024</v>
      </c>
      <c r="AM1683" t="s">
        <v>2025</v>
      </c>
      <c r="AN1683" t="s">
        <v>2026</v>
      </c>
      <c r="AO1683" t="s">
        <v>2027</v>
      </c>
      <c r="AP1683" t="s">
        <v>2028</v>
      </c>
      <c r="AQ1683" t="s">
        <v>2029</v>
      </c>
      <c r="AR1683" t="s">
        <v>2030</v>
      </c>
      <c r="AS1683" t="s">
        <v>2031</v>
      </c>
    </row>
    <row r="1684" spans="1:45" x14ac:dyDescent="0.3">
      <c r="A1684" s="160">
        <v>18050</v>
      </c>
      <c r="B1684" t="s">
        <v>16842</v>
      </c>
      <c r="C1684" t="s">
        <v>1993</v>
      </c>
      <c r="D1684">
        <v>1.75</v>
      </c>
      <c r="E1684">
        <v>0</v>
      </c>
      <c r="F1684">
        <f t="shared" si="26"/>
        <v>1.75</v>
      </c>
      <c r="I1684">
        <v>20230701</v>
      </c>
      <c r="J1684" t="s">
        <v>2032</v>
      </c>
    </row>
    <row r="1685" spans="1:45" x14ac:dyDescent="0.3">
      <c r="A1685" s="160">
        <v>18097</v>
      </c>
      <c r="B1685" t="s">
        <v>16843</v>
      </c>
      <c r="C1685" t="s">
        <v>1993</v>
      </c>
      <c r="D1685">
        <v>1.75</v>
      </c>
      <c r="E1685">
        <v>0</v>
      </c>
      <c r="F1685">
        <f t="shared" si="26"/>
        <v>1.75</v>
      </c>
      <c r="I1685">
        <v>20230701</v>
      </c>
      <c r="J1685" t="s">
        <v>2013</v>
      </c>
      <c r="K1685" t="s">
        <v>2033</v>
      </c>
    </row>
    <row r="1686" spans="1:45" x14ac:dyDescent="0.3">
      <c r="A1686" s="160">
        <v>18129</v>
      </c>
      <c r="B1686" t="s">
        <v>16844</v>
      </c>
      <c r="C1686" t="s">
        <v>1993</v>
      </c>
      <c r="D1686">
        <v>1.75</v>
      </c>
      <c r="E1686">
        <v>0</v>
      </c>
      <c r="F1686">
        <f t="shared" si="26"/>
        <v>1.75</v>
      </c>
      <c r="I1686">
        <v>20240101</v>
      </c>
      <c r="J1686" t="s">
        <v>1994</v>
      </c>
    </row>
    <row r="1687" spans="1:45" x14ac:dyDescent="0.3">
      <c r="A1687" s="160">
        <v>18138</v>
      </c>
      <c r="B1687" t="s">
        <v>16845</v>
      </c>
      <c r="C1687" t="s">
        <v>1993</v>
      </c>
      <c r="D1687">
        <v>1.75</v>
      </c>
      <c r="E1687">
        <v>0</v>
      </c>
      <c r="F1687">
        <f t="shared" si="26"/>
        <v>1.75</v>
      </c>
      <c r="I1687">
        <v>20230701</v>
      </c>
      <c r="J1687" t="s">
        <v>1995</v>
      </c>
    </row>
    <row r="1688" spans="1:45" x14ac:dyDescent="0.3">
      <c r="A1688" s="160">
        <v>18141</v>
      </c>
      <c r="B1688" t="s">
        <v>16846</v>
      </c>
      <c r="C1688" t="s">
        <v>1993</v>
      </c>
      <c r="D1688">
        <v>1.4</v>
      </c>
      <c r="E1688">
        <v>0</v>
      </c>
      <c r="F1688">
        <f t="shared" si="26"/>
        <v>1.4</v>
      </c>
      <c r="I1688">
        <v>20230701</v>
      </c>
      <c r="J1688" t="s">
        <v>1995</v>
      </c>
    </row>
    <row r="1689" spans="1:45" x14ac:dyDescent="0.3">
      <c r="A1689" s="160">
        <v>18157</v>
      </c>
      <c r="B1689" t="s">
        <v>16847</v>
      </c>
      <c r="C1689" t="s">
        <v>1993</v>
      </c>
      <c r="D1689">
        <v>1.75</v>
      </c>
      <c r="E1689">
        <v>0</v>
      </c>
      <c r="F1689">
        <f t="shared" si="26"/>
        <v>1.75</v>
      </c>
      <c r="I1689">
        <v>20230701</v>
      </c>
      <c r="J1689" t="s">
        <v>2032</v>
      </c>
    </row>
    <row r="1690" spans="1:45" x14ac:dyDescent="0.3">
      <c r="A1690" s="160">
        <v>18179</v>
      </c>
      <c r="B1690" t="s">
        <v>16848</v>
      </c>
      <c r="C1690" t="s">
        <v>1993</v>
      </c>
      <c r="D1690">
        <v>1.75</v>
      </c>
      <c r="E1690">
        <v>0</v>
      </c>
      <c r="F1690">
        <f t="shared" si="26"/>
        <v>1.75</v>
      </c>
      <c r="I1690">
        <v>20230701</v>
      </c>
      <c r="J1690" t="s">
        <v>2033</v>
      </c>
    </row>
    <row r="1691" spans="1:45" x14ac:dyDescent="0.3">
      <c r="A1691" s="160">
        <v>18180</v>
      </c>
      <c r="B1691" t="s">
        <v>16849</v>
      </c>
      <c r="C1691" t="s">
        <v>1993</v>
      </c>
      <c r="D1691">
        <v>1.75</v>
      </c>
      <c r="E1691">
        <v>0</v>
      </c>
      <c r="F1691">
        <f t="shared" si="26"/>
        <v>1.75</v>
      </c>
      <c r="I1691">
        <v>20230701</v>
      </c>
      <c r="J1691" t="s">
        <v>1994</v>
      </c>
    </row>
    <row r="1692" spans="1:45" x14ac:dyDescent="0.3">
      <c r="A1692" s="160">
        <v>18205</v>
      </c>
      <c r="B1692" t="s">
        <v>16850</v>
      </c>
      <c r="C1692" t="s">
        <v>1993</v>
      </c>
      <c r="D1692">
        <v>1.75</v>
      </c>
      <c r="E1692">
        <v>0</v>
      </c>
      <c r="F1692">
        <f t="shared" si="26"/>
        <v>1.75</v>
      </c>
      <c r="I1692">
        <v>20230701</v>
      </c>
      <c r="J1692" t="s">
        <v>1998</v>
      </c>
      <c r="K1692" t="s">
        <v>2034</v>
      </c>
    </row>
    <row r="1693" spans="1:45" x14ac:dyDescent="0.3">
      <c r="A1693" s="160">
        <v>18207</v>
      </c>
      <c r="B1693" t="s">
        <v>16851</v>
      </c>
      <c r="C1693" t="s">
        <v>1993</v>
      </c>
      <c r="D1693">
        <v>1.75</v>
      </c>
      <c r="E1693">
        <v>0</v>
      </c>
      <c r="F1693">
        <f t="shared" si="26"/>
        <v>1.75</v>
      </c>
      <c r="I1693">
        <v>20230701</v>
      </c>
      <c r="J1693" t="s">
        <v>2035</v>
      </c>
    </row>
    <row r="1694" spans="1:45" x14ac:dyDescent="0.3">
      <c r="A1694" s="160">
        <v>18213</v>
      </c>
      <c r="B1694" t="s">
        <v>16852</v>
      </c>
      <c r="C1694" t="s">
        <v>1993</v>
      </c>
      <c r="D1694">
        <v>1.75</v>
      </c>
      <c r="E1694">
        <v>0</v>
      </c>
      <c r="F1694">
        <f t="shared" si="26"/>
        <v>1.75</v>
      </c>
      <c r="I1694">
        <v>20230701</v>
      </c>
      <c r="J1694" t="s">
        <v>2036</v>
      </c>
    </row>
    <row r="1695" spans="1:45" x14ac:dyDescent="0.3">
      <c r="A1695" s="160">
        <v>18218</v>
      </c>
      <c r="B1695" t="s">
        <v>15269</v>
      </c>
      <c r="C1695" t="s">
        <v>1993</v>
      </c>
      <c r="D1695">
        <v>1.75</v>
      </c>
      <c r="E1695">
        <v>0</v>
      </c>
      <c r="F1695">
        <f t="shared" si="26"/>
        <v>1.75</v>
      </c>
      <c r="I1695">
        <v>20230701</v>
      </c>
      <c r="J1695" t="s">
        <v>1994</v>
      </c>
    </row>
    <row r="1696" spans="1:45" x14ac:dyDescent="0.3">
      <c r="A1696" s="160">
        <v>18226</v>
      </c>
      <c r="B1696" t="s">
        <v>16853</v>
      </c>
      <c r="C1696" t="s">
        <v>1993</v>
      </c>
      <c r="D1696">
        <v>1.75</v>
      </c>
      <c r="E1696">
        <v>0</v>
      </c>
      <c r="F1696">
        <f t="shared" si="26"/>
        <v>1.75</v>
      </c>
      <c r="I1696">
        <v>20230701</v>
      </c>
      <c r="J1696" t="s">
        <v>2036</v>
      </c>
    </row>
    <row r="1697" spans="1:33" x14ac:dyDescent="0.3">
      <c r="A1697" s="160">
        <v>18255</v>
      </c>
      <c r="B1697" t="s">
        <v>16854</v>
      </c>
      <c r="C1697" t="s">
        <v>1993</v>
      </c>
      <c r="D1697">
        <v>1.75</v>
      </c>
      <c r="E1697">
        <v>0</v>
      </c>
      <c r="F1697">
        <f t="shared" si="26"/>
        <v>1.75</v>
      </c>
      <c r="I1697">
        <v>20230701</v>
      </c>
      <c r="J1697" t="s">
        <v>2032</v>
      </c>
    </row>
    <row r="1698" spans="1:33" x14ac:dyDescent="0.3">
      <c r="A1698" s="160">
        <v>18267</v>
      </c>
      <c r="B1698" t="s">
        <v>16855</v>
      </c>
      <c r="C1698" t="s">
        <v>1993</v>
      </c>
      <c r="D1698">
        <v>1.75</v>
      </c>
      <c r="E1698">
        <v>0</v>
      </c>
      <c r="F1698">
        <f t="shared" si="26"/>
        <v>1.75</v>
      </c>
      <c r="I1698">
        <v>20230701</v>
      </c>
      <c r="J1698" t="s">
        <v>2011</v>
      </c>
      <c r="K1698" t="s">
        <v>2032</v>
      </c>
    </row>
    <row r="1699" spans="1:33" x14ac:dyDescent="0.3">
      <c r="A1699" s="160">
        <v>18279</v>
      </c>
      <c r="B1699" t="s">
        <v>16856</v>
      </c>
      <c r="C1699" t="s">
        <v>2037</v>
      </c>
      <c r="D1699">
        <v>0.55000000000000004</v>
      </c>
      <c r="E1699">
        <v>0</v>
      </c>
      <c r="F1699">
        <f t="shared" si="26"/>
        <v>0.55000000000000004</v>
      </c>
      <c r="I1699">
        <v>19930101</v>
      </c>
      <c r="J1699" t="s">
        <v>2038</v>
      </c>
      <c r="K1699" t="s">
        <v>2039</v>
      </c>
      <c r="L1699" t="s">
        <v>2040</v>
      </c>
      <c r="M1699" t="s">
        <v>2041</v>
      </c>
      <c r="N1699" t="s">
        <v>2042</v>
      </c>
      <c r="O1699" t="s">
        <v>2043</v>
      </c>
      <c r="P1699" t="s">
        <v>2044</v>
      </c>
      <c r="Q1699" t="s">
        <v>2045</v>
      </c>
      <c r="R1699" t="s">
        <v>2046</v>
      </c>
    </row>
    <row r="1700" spans="1:33" x14ac:dyDescent="0.3">
      <c r="A1700" s="160">
        <v>18288</v>
      </c>
      <c r="B1700" t="s">
        <v>16857</v>
      </c>
      <c r="C1700" t="s">
        <v>1993</v>
      </c>
      <c r="D1700">
        <v>1.75</v>
      </c>
      <c r="E1700">
        <v>0</v>
      </c>
      <c r="F1700">
        <f t="shared" si="26"/>
        <v>1.75</v>
      </c>
      <c r="I1700">
        <v>20240101</v>
      </c>
      <c r="J1700" t="s">
        <v>1994</v>
      </c>
    </row>
    <row r="1701" spans="1:33" x14ac:dyDescent="0.3">
      <c r="A1701" s="160">
        <v>19005</v>
      </c>
      <c r="B1701" t="s">
        <v>16858</v>
      </c>
      <c r="C1701" t="s">
        <v>2047</v>
      </c>
      <c r="D1701">
        <v>0.9</v>
      </c>
      <c r="E1701">
        <v>0</v>
      </c>
      <c r="F1701">
        <f t="shared" si="26"/>
        <v>0.9</v>
      </c>
      <c r="I1701">
        <v>20160701</v>
      </c>
      <c r="J1701" t="s">
        <v>2048</v>
      </c>
    </row>
    <row r="1702" spans="1:33" x14ac:dyDescent="0.3">
      <c r="A1702" s="160">
        <v>19009</v>
      </c>
      <c r="B1702" t="s">
        <v>16859</v>
      </c>
      <c r="C1702" t="s">
        <v>2049</v>
      </c>
      <c r="D1702">
        <v>0.45</v>
      </c>
      <c r="E1702">
        <v>0</v>
      </c>
      <c r="F1702">
        <f t="shared" si="26"/>
        <v>0.45</v>
      </c>
      <c r="I1702">
        <v>20240101</v>
      </c>
      <c r="J1702" t="s">
        <v>2050</v>
      </c>
    </row>
    <row r="1703" spans="1:33" x14ac:dyDescent="0.3">
      <c r="A1703" s="160">
        <v>19015</v>
      </c>
      <c r="B1703" t="s">
        <v>16860</v>
      </c>
      <c r="C1703" t="s">
        <v>2047</v>
      </c>
      <c r="D1703">
        <v>0.9</v>
      </c>
      <c r="E1703">
        <v>0</v>
      </c>
      <c r="F1703">
        <f t="shared" si="26"/>
        <v>0.9</v>
      </c>
      <c r="I1703">
        <v>20160701</v>
      </c>
      <c r="J1703" t="s">
        <v>2051</v>
      </c>
    </row>
    <row r="1704" spans="1:33" x14ac:dyDescent="0.3">
      <c r="A1704" s="160">
        <v>19016</v>
      </c>
      <c r="B1704" t="s">
        <v>16861</v>
      </c>
      <c r="C1704" t="s">
        <v>2049</v>
      </c>
      <c r="D1704">
        <v>0.45</v>
      </c>
      <c r="E1704">
        <v>0</v>
      </c>
      <c r="F1704">
        <f t="shared" si="26"/>
        <v>0.45</v>
      </c>
      <c r="I1704">
        <v>20240101</v>
      </c>
      <c r="J1704" t="s">
        <v>2052</v>
      </c>
    </row>
    <row r="1705" spans="1:33" x14ac:dyDescent="0.3">
      <c r="A1705" s="160">
        <v>19020</v>
      </c>
      <c r="B1705" t="s">
        <v>16862</v>
      </c>
      <c r="C1705" t="s">
        <v>2049</v>
      </c>
      <c r="D1705">
        <v>0.45</v>
      </c>
      <c r="E1705">
        <v>0</v>
      </c>
      <c r="F1705">
        <f t="shared" si="26"/>
        <v>0.45</v>
      </c>
      <c r="I1705">
        <v>20240101</v>
      </c>
      <c r="J1705" t="s">
        <v>2053</v>
      </c>
    </row>
    <row r="1706" spans="1:33" x14ac:dyDescent="0.3">
      <c r="A1706" s="160">
        <v>19030</v>
      </c>
      <c r="B1706" t="s">
        <v>16863</v>
      </c>
      <c r="C1706" t="s">
        <v>2047</v>
      </c>
      <c r="D1706">
        <v>0.9</v>
      </c>
      <c r="E1706">
        <v>0</v>
      </c>
      <c r="F1706">
        <f t="shared" si="26"/>
        <v>0.9</v>
      </c>
      <c r="I1706">
        <v>20160701</v>
      </c>
      <c r="J1706" t="s">
        <v>2051</v>
      </c>
    </row>
    <row r="1707" spans="1:33" x14ac:dyDescent="0.3">
      <c r="A1707" s="160">
        <v>19031</v>
      </c>
      <c r="B1707" t="s">
        <v>16864</v>
      </c>
      <c r="C1707" t="s">
        <v>2047</v>
      </c>
      <c r="D1707">
        <v>0.9</v>
      </c>
      <c r="E1707">
        <v>0</v>
      </c>
      <c r="F1707">
        <f t="shared" si="26"/>
        <v>0.9</v>
      </c>
      <c r="I1707">
        <v>20160701</v>
      </c>
      <c r="J1707" t="s">
        <v>2054</v>
      </c>
      <c r="K1707" t="s">
        <v>2055</v>
      </c>
      <c r="L1707" t="s">
        <v>2056</v>
      </c>
      <c r="M1707" t="s">
        <v>2057</v>
      </c>
      <c r="N1707" t="s">
        <v>2058</v>
      </c>
      <c r="O1707" t="s">
        <v>2059</v>
      </c>
      <c r="P1707" t="s">
        <v>2060</v>
      </c>
      <c r="Q1707" t="s">
        <v>2061</v>
      </c>
      <c r="R1707" t="s">
        <v>2062</v>
      </c>
      <c r="S1707" t="s">
        <v>2063</v>
      </c>
      <c r="T1707" t="s">
        <v>2064</v>
      </c>
      <c r="U1707" t="s">
        <v>2065</v>
      </c>
      <c r="V1707" t="s">
        <v>2066</v>
      </c>
      <c r="W1707" t="s">
        <v>2067</v>
      </c>
      <c r="X1707" t="s">
        <v>2068</v>
      </c>
      <c r="Y1707" t="s">
        <v>2069</v>
      </c>
      <c r="Z1707" t="s">
        <v>2070</v>
      </c>
      <c r="AA1707" t="s">
        <v>2071</v>
      </c>
      <c r="AB1707" t="s">
        <v>2072</v>
      </c>
      <c r="AC1707" t="s">
        <v>2073</v>
      </c>
      <c r="AD1707" t="s">
        <v>2074</v>
      </c>
      <c r="AE1707" t="s">
        <v>2075</v>
      </c>
      <c r="AF1707" t="s">
        <v>2076</v>
      </c>
      <c r="AG1707" t="s">
        <v>2077</v>
      </c>
    </row>
    <row r="1708" spans="1:33" x14ac:dyDescent="0.3">
      <c r="A1708" s="160">
        <v>19035</v>
      </c>
      <c r="B1708" t="s">
        <v>16865</v>
      </c>
      <c r="C1708" t="s">
        <v>2047</v>
      </c>
      <c r="D1708">
        <v>0.9</v>
      </c>
      <c r="E1708">
        <v>0</v>
      </c>
      <c r="F1708">
        <f t="shared" si="26"/>
        <v>0.9</v>
      </c>
      <c r="I1708">
        <v>20160701</v>
      </c>
      <c r="J1708" t="s">
        <v>2078</v>
      </c>
    </row>
    <row r="1709" spans="1:33" x14ac:dyDescent="0.3">
      <c r="A1709" s="160">
        <v>19037</v>
      </c>
      <c r="B1709" t="s">
        <v>16866</v>
      </c>
      <c r="C1709" t="s">
        <v>2049</v>
      </c>
      <c r="D1709">
        <v>0.45</v>
      </c>
      <c r="E1709">
        <v>0</v>
      </c>
      <c r="F1709">
        <f t="shared" si="26"/>
        <v>0.45</v>
      </c>
      <c r="I1709">
        <v>20240101</v>
      </c>
      <c r="J1709" t="s">
        <v>2079</v>
      </c>
    </row>
    <row r="1710" spans="1:33" x14ac:dyDescent="0.3">
      <c r="A1710" s="160">
        <v>19038</v>
      </c>
      <c r="B1710" t="s">
        <v>16867</v>
      </c>
      <c r="C1710" t="s">
        <v>2049</v>
      </c>
      <c r="D1710">
        <v>0.45</v>
      </c>
      <c r="E1710">
        <v>0</v>
      </c>
      <c r="F1710">
        <f t="shared" si="26"/>
        <v>0.45</v>
      </c>
      <c r="I1710">
        <v>20240101</v>
      </c>
      <c r="J1710" t="s">
        <v>2080</v>
      </c>
    </row>
    <row r="1711" spans="1:33" x14ac:dyDescent="0.3">
      <c r="A1711" s="160">
        <v>19041</v>
      </c>
      <c r="B1711" t="s">
        <v>16868</v>
      </c>
      <c r="C1711" t="s">
        <v>2049</v>
      </c>
      <c r="D1711">
        <v>0.45</v>
      </c>
      <c r="E1711">
        <v>0</v>
      </c>
      <c r="F1711">
        <f t="shared" si="26"/>
        <v>0.45</v>
      </c>
      <c r="I1711">
        <v>20240101</v>
      </c>
      <c r="J1711" t="s">
        <v>2081</v>
      </c>
    </row>
    <row r="1712" spans="1:33" x14ac:dyDescent="0.3">
      <c r="A1712" s="160">
        <v>19042</v>
      </c>
      <c r="B1712" t="s">
        <v>16869</v>
      </c>
      <c r="C1712" t="s">
        <v>2049</v>
      </c>
      <c r="D1712">
        <v>0.45</v>
      </c>
      <c r="E1712">
        <v>0</v>
      </c>
      <c r="F1712">
        <f t="shared" si="26"/>
        <v>0.45</v>
      </c>
      <c r="I1712">
        <v>20240101</v>
      </c>
      <c r="J1712" t="s">
        <v>2080</v>
      </c>
    </row>
    <row r="1713" spans="1:12" x14ac:dyDescent="0.3">
      <c r="A1713" s="160">
        <v>19043</v>
      </c>
      <c r="B1713" t="s">
        <v>16870</v>
      </c>
      <c r="C1713" t="s">
        <v>2047</v>
      </c>
      <c r="D1713">
        <v>0.9</v>
      </c>
      <c r="E1713">
        <v>0</v>
      </c>
      <c r="F1713">
        <f t="shared" si="26"/>
        <v>0.9</v>
      </c>
      <c r="I1713">
        <v>20160701</v>
      </c>
      <c r="J1713" t="s">
        <v>2082</v>
      </c>
      <c r="K1713" t="s">
        <v>2083</v>
      </c>
    </row>
    <row r="1714" spans="1:12" x14ac:dyDescent="0.3">
      <c r="A1714" s="160">
        <v>19047</v>
      </c>
      <c r="B1714" t="s">
        <v>16871</v>
      </c>
      <c r="C1714" t="s">
        <v>2047</v>
      </c>
      <c r="D1714">
        <v>0.9</v>
      </c>
      <c r="E1714">
        <v>0</v>
      </c>
      <c r="F1714">
        <f t="shared" si="26"/>
        <v>0.9</v>
      </c>
      <c r="I1714">
        <v>20160701</v>
      </c>
      <c r="J1714" t="s">
        <v>2084</v>
      </c>
    </row>
    <row r="1715" spans="1:12" x14ac:dyDescent="0.3">
      <c r="A1715" s="160">
        <v>19048</v>
      </c>
      <c r="B1715" t="s">
        <v>16872</v>
      </c>
      <c r="C1715" t="s">
        <v>2049</v>
      </c>
      <c r="D1715">
        <v>0.45</v>
      </c>
      <c r="E1715">
        <v>0</v>
      </c>
      <c r="F1715">
        <f t="shared" si="26"/>
        <v>0.45</v>
      </c>
      <c r="I1715">
        <v>20240101</v>
      </c>
      <c r="J1715" t="s">
        <v>2085</v>
      </c>
    </row>
    <row r="1716" spans="1:12" x14ac:dyDescent="0.3">
      <c r="A1716" s="160">
        <v>19049</v>
      </c>
      <c r="B1716" t="s">
        <v>16873</v>
      </c>
      <c r="C1716" t="s">
        <v>2047</v>
      </c>
      <c r="D1716">
        <v>0.9</v>
      </c>
      <c r="E1716">
        <v>0</v>
      </c>
      <c r="F1716">
        <f t="shared" si="26"/>
        <v>0.9</v>
      </c>
      <c r="I1716">
        <v>20160701</v>
      </c>
      <c r="J1716" t="s">
        <v>2084</v>
      </c>
    </row>
    <row r="1717" spans="1:12" x14ac:dyDescent="0.3">
      <c r="A1717" s="160">
        <v>19061</v>
      </c>
      <c r="B1717" t="s">
        <v>16874</v>
      </c>
      <c r="C1717" t="s">
        <v>2049</v>
      </c>
      <c r="D1717">
        <v>0.45</v>
      </c>
      <c r="E1717">
        <v>0</v>
      </c>
      <c r="F1717">
        <f t="shared" si="26"/>
        <v>0.45</v>
      </c>
      <c r="I1717">
        <v>20240101</v>
      </c>
      <c r="J1717" t="s">
        <v>2081</v>
      </c>
    </row>
    <row r="1718" spans="1:12" x14ac:dyDescent="0.3">
      <c r="A1718" s="160">
        <v>19062</v>
      </c>
      <c r="B1718" t="s">
        <v>16875</v>
      </c>
      <c r="C1718" t="s">
        <v>2049</v>
      </c>
      <c r="D1718">
        <v>0.45</v>
      </c>
      <c r="E1718">
        <v>0</v>
      </c>
      <c r="F1718">
        <f t="shared" si="26"/>
        <v>0.45</v>
      </c>
      <c r="I1718">
        <v>20240101</v>
      </c>
      <c r="J1718" t="s">
        <v>2052</v>
      </c>
    </row>
    <row r="1719" spans="1:12" x14ac:dyDescent="0.3">
      <c r="A1719" s="160">
        <v>19063</v>
      </c>
      <c r="B1719" t="s">
        <v>16876</v>
      </c>
      <c r="C1719" t="s">
        <v>2047</v>
      </c>
      <c r="D1719">
        <v>0.9</v>
      </c>
      <c r="E1719">
        <v>0</v>
      </c>
      <c r="F1719">
        <f t="shared" si="26"/>
        <v>0.9</v>
      </c>
      <c r="I1719">
        <v>20160701</v>
      </c>
      <c r="J1719" t="s">
        <v>2082</v>
      </c>
    </row>
    <row r="1720" spans="1:12" x14ac:dyDescent="0.3">
      <c r="A1720" s="160">
        <v>19066</v>
      </c>
      <c r="B1720" t="s">
        <v>16877</v>
      </c>
      <c r="C1720" t="s">
        <v>2047</v>
      </c>
      <c r="D1720">
        <v>0.9</v>
      </c>
      <c r="E1720">
        <v>0</v>
      </c>
      <c r="F1720">
        <f t="shared" si="26"/>
        <v>0.9</v>
      </c>
      <c r="I1720">
        <v>20160701</v>
      </c>
      <c r="J1720" t="s">
        <v>2086</v>
      </c>
    </row>
    <row r="1721" spans="1:12" x14ac:dyDescent="0.3">
      <c r="A1721" s="160">
        <v>19068</v>
      </c>
      <c r="B1721" t="s">
        <v>16878</v>
      </c>
      <c r="C1721" t="s">
        <v>2047</v>
      </c>
      <c r="D1721">
        <v>0.9</v>
      </c>
      <c r="E1721">
        <v>0</v>
      </c>
      <c r="F1721">
        <f t="shared" si="26"/>
        <v>0.9</v>
      </c>
      <c r="I1721">
        <v>20160701</v>
      </c>
      <c r="J1721" t="s">
        <v>2082</v>
      </c>
    </row>
    <row r="1722" spans="1:12" x14ac:dyDescent="0.3">
      <c r="A1722" s="160">
        <v>19072</v>
      </c>
      <c r="B1722" t="s">
        <v>16879</v>
      </c>
      <c r="C1722" t="s">
        <v>2047</v>
      </c>
      <c r="D1722">
        <v>0.9</v>
      </c>
      <c r="E1722">
        <v>0</v>
      </c>
      <c r="F1722">
        <f t="shared" si="26"/>
        <v>0.9</v>
      </c>
      <c r="I1722">
        <v>20160701</v>
      </c>
      <c r="J1722" t="s">
        <v>2087</v>
      </c>
      <c r="K1722" t="s">
        <v>2073</v>
      </c>
    </row>
    <row r="1723" spans="1:12" x14ac:dyDescent="0.3">
      <c r="A1723" s="160">
        <v>19075</v>
      </c>
      <c r="B1723" t="s">
        <v>16880</v>
      </c>
      <c r="C1723" t="s">
        <v>2049</v>
      </c>
      <c r="D1723">
        <v>0.45</v>
      </c>
      <c r="E1723">
        <v>0</v>
      </c>
      <c r="F1723">
        <f t="shared" si="26"/>
        <v>0.45</v>
      </c>
      <c r="I1723">
        <v>20240101</v>
      </c>
      <c r="J1723" t="s">
        <v>2081</v>
      </c>
    </row>
    <row r="1724" spans="1:12" x14ac:dyDescent="0.3">
      <c r="A1724" s="160">
        <v>19077</v>
      </c>
      <c r="B1724" t="s">
        <v>16881</v>
      </c>
      <c r="C1724" t="s">
        <v>2047</v>
      </c>
      <c r="D1724">
        <v>0.9</v>
      </c>
      <c r="E1724">
        <v>0</v>
      </c>
      <c r="F1724">
        <f t="shared" si="26"/>
        <v>0.9</v>
      </c>
      <c r="I1724">
        <v>20160701</v>
      </c>
      <c r="J1724" t="s">
        <v>2084</v>
      </c>
    </row>
    <row r="1725" spans="1:12" x14ac:dyDescent="0.3">
      <c r="A1725" s="160">
        <v>19078</v>
      </c>
      <c r="B1725" t="s">
        <v>16882</v>
      </c>
      <c r="C1725" t="s">
        <v>2047</v>
      </c>
      <c r="D1725">
        <v>0.9</v>
      </c>
      <c r="E1725">
        <v>0</v>
      </c>
      <c r="F1725">
        <f t="shared" si="26"/>
        <v>0.9</v>
      </c>
      <c r="I1725">
        <v>20240101</v>
      </c>
      <c r="J1725" t="s">
        <v>2088</v>
      </c>
    </row>
    <row r="1726" spans="1:12" x14ac:dyDescent="0.3">
      <c r="A1726" s="160">
        <v>19081</v>
      </c>
      <c r="B1726" t="s">
        <v>16883</v>
      </c>
      <c r="C1726" t="s">
        <v>2049</v>
      </c>
      <c r="D1726">
        <v>0.45</v>
      </c>
      <c r="E1726">
        <v>0</v>
      </c>
      <c r="F1726">
        <f t="shared" si="26"/>
        <v>0.45</v>
      </c>
      <c r="I1726">
        <v>20240101</v>
      </c>
      <c r="J1726" t="s">
        <v>2052</v>
      </c>
    </row>
    <row r="1727" spans="1:12" x14ac:dyDescent="0.3">
      <c r="A1727" s="160">
        <v>19082</v>
      </c>
      <c r="B1727" t="s">
        <v>16884</v>
      </c>
      <c r="C1727" t="s">
        <v>2049</v>
      </c>
      <c r="D1727">
        <v>0.45</v>
      </c>
      <c r="E1727">
        <v>0</v>
      </c>
      <c r="F1727">
        <f t="shared" si="26"/>
        <v>0.45</v>
      </c>
      <c r="I1727">
        <v>20240101</v>
      </c>
      <c r="J1727" t="s">
        <v>2089</v>
      </c>
      <c r="K1727" t="s">
        <v>2090</v>
      </c>
      <c r="L1727" t="s">
        <v>2080</v>
      </c>
    </row>
    <row r="1728" spans="1:12" x14ac:dyDescent="0.3">
      <c r="A1728" s="160">
        <v>19085</v>
      </c>
      <c r="B1728" t="s">
        <v>16885</v>
      </c>
      <c r="C1728" t="s">
        <v>2049</v>
      </c>
      <c r="D1728">
        <v>0.45</v>
      </c>
      <c r="E1728">
        <v>0</v>
      </c>
      <c r="F1728">
        <f t="shared" si="26"/>
        <v>0.45</v>
      </c>
      <c r="I1728">
        <v>20140101</v>
      </c>
      <c r="J1728" t="s">
        <v>2052</v>
      </c>
    </row>
    <row r="1729" spans="1:13" x14ac:dyDescent="0.3">
      <c r="A1729" s="160">
        <v>19093</v>
      </c>
      <c r="B1729" t="s">
        <v>16886</v>
      </c>
      <c r="C1729" t="s">
        <v>2047</v>
      </c>
      <c r="D1729">
        <v>0.9</v>
      </c>
      <c r="E1729">
        <v>0</v>
      </c>
      <c r="F1729">
        <f t="shared" si="26"/>
        <v>0.9</v>
      </c>
      <c r="I1729">
        <v>20160701</v>
      </c>
      <c r="J1729" t="s">
        <v>2091</v>
      </c>
    </row>
    <row r="1730" spans="1:13" x14ac:dyDescent="0.3">
      <c r="A1730" s="160">
        <v>19094</v>
      </c>
      <c r="B1730" t="s">
        <v>16887</v>
      </c>
      <c r="C1730" t="s">
        <v>2047</v>
      </c>
      <c r="D1730">
        <v>0.9</v>
      </c>
      <c r="E1730">
        <v>0</v>
      </c>
      <c r="F1730">
        <f t="shared" si="26"/>
        <v>0.9</v>
      </c>
      <c r="I1730">
        <v>20160701</v>
      </c>
      <c r="J1730" t="s">
        <v>2078</v>
      </c>
    </row>
    <row r="1731" spans="1:13" x14ac:dyDescent="0.3">
      <c r="A1731" s="160">
        <v>19096</v>
      </c>
      <c r="B1731" t="s">
        <v>16888</v>
      </c>
      <c r="C1731" t="s">
        <v>2049</v>
      </c>
      <c r="D1731">
        <v>0.45</v>
      </c>
      <c r="E1731">
        <v>0</v>
      </c>
      <c r="F1731">
        <f t="shared" si="26"/>
        <v>0.45</v>
      </c>
      <c r="I1731">
        <v>20240101</v>
      </c>
      <c r="J1731" t="s">
        <v>2081</v>
      </c>
    </row>
    <row r="1732" spans="1:13" x14ac:dyDescent="0.3">
      <c r="A1732" s="160">
        <v>19098</v>
      </c>
      <c r="B1732" t="s">
        <v>16889</v>
      </c>
      <c r="C1732" t="s">
        <v>2049</v>
      </c>
      <c r="D1732">
        <v>0.45</v>
      </c>
      <c r="E1732">
        <v>0</v>
      </c>
      <c r="F1732">
        <f t="shared" si="26"/>
        <v>0.45</v>
      </c>
      <c r="I1732">
        <v>20240101</v>
      </c>
      <c r="J1732" t="s">
        <v>2081</v>
      </c>
    </row>
    <row r="1733" spans="1:13" x14ac:dyDescent="0.3">
      <c r="A1733" s="160">
        <v>19100</v>
      </c>
      <c r="B1733" t="s">
        <v>16890</v>
      </c>
      <c r="C1733" t="s">
        <v>2049</v>
      </c>
      <c r="D1733">
        <v>0.45</v>
      </c>
      <c r="E1733">
        <v>0</v>
      </c>
      <c r="F1733">
        <f t="shared" si="26"/>
        <v>0.45</v>
      </c>
      <c r="I1733">
        <v>20240101</v>
      </c>
      <c r="J1733" t="s">
        <v>2092</v>
      </c>
    </row>
    <row r="1734" spans="1:13" x14ac:dyDescent="0.3">
      <c r="A1734" s="160">
        <v>19101</v>
      </c>
      <c r="B1734" t="s">
        <v>16891</v>
      </c>
      <c r="C1734" t="s">
        <v>2049</v>
      </c>
      <c r="D1734">
        <v>0.45</v>
      </c>
      <c r="E1734">
        <v>0</v>
      </c>
      <c r="F1734">
        <f t="shared" si="26"/>
        <v>0.45</v>
      </c>
      <c r="I1734">
        <v>20240101</v>
      </c>
      <c r="J1734" t="s">
        <v>2090</v>
      </c>
      <c r="K1734" t="s">
        <v>2081</v>
      </c>
    </row>
    <row r="1735" spans="1:13" x14ac:dyDescent="0.3">
      <c r="A1735" s="160">
        <v>19107</v>
      </c>
      <c r="B1735" t="s">
        <v>16892</v>
      </c>
      <c r="C1735" t="s">
        <v>2047</v>
      </c>
      <c r="D1735">
        <v>0.9</v>
      </c>
      <c r="E1735">
        <v>0</v>
      </c>
      <c r="F1735">
        <f t="shared" ref="F1735:F1798" si="27">D1735+E1735</f>
        <v>0.9</v>
      </c>
      <c r="I1735">
        <v>20160701</v>
      </c>
      <c r="J1735" t="s">
        <v>2084</v>
      </c>
    </row>
    <row r="1736" spans="1:13" x14ac:dyDescent="0.3">
      <c r="A1736" s="160">
        <v>19109</v>
      </c>
      <c r="B1736" t="s">
        <v>16893</v>
      </c>
      <c r="C1736" t="s">
        <v>2047</v>
      </c>
      <c r="D1736">
        <v>0.9</v>
      </c>
      <c r="E1736">
        <v>0</v>
      </c>
      <c r="F1736">
        <f t="shared" si="27"/>
        <v>0.9</v>
      </c>
      <c r="I1736">
        <v>20160701</v>
      </c>
      <c r="J1736" t="s">
        <v>2093</v>
      </c>
    </row>
    <row r="1737" spans="1:13" x14ac:dyDescent="0.3">
      <c r="A1737" s="160">
        <v>19117</v>
      </c>
      <c r="B1737" t="s">
        <v>16894</v>
      </c>
      <c r="C1737" t="s">
        <v>2047</v>
      </c>
      <c r="D1737">
        <v>0.9</v>
      </c>
      <c r="E1737">
        <v>0</v>
      </c>
      <c r="F1737">
        <f t="shared" si="27"/>
        <v>0.9</v>
      </c>
      <c r="I1737">
        <v>20160701</v>
      </c>
      <c r="J1737" t="s">
        <v>2084</v>
      </c>
    </row>
    <row r="1738" spans="1:13" x14ac:dyDescent="0.3">
      <c r="A1738" s="160">
        <v>19120</v>
      </c>
      <c r="B1738" t="s">
        <v>16895</v>
      </c>
      <c r="C1738" t="s">
        <v>2047</v>
      </c>
      <c r="D1738">
        <v>0.9</v>
      </c>
      <c r="E1738">
        <v>0</v>
      </c>
      <c r="F1738">
        <f t="shared" si="27"/>
        <v>0.9</v>
      </c>
      <c r="I1738">
        <v>20160701</v>
      </c>
      <c r="J1738" t="s">
        <v>2051</v>
      </c>
    </row>
    <row r="1739" spans="1:13" x14ac:dyDescent="0.3">
      <c r="A1739" s="160">
        <v>19123</v>
      </c>
      <c r="B1739" t="s">
        <v>16896</v>
      </c>
      <c r="C1739" t="s">
        <v>2047</v>
      </c>
      <c r="D1739">
        <v>0.9</v>
      </c>
      <c r="E1739">
        <v>0</v>
      </c>
      <c r="F1739">
        <f t="shared" si="27"/>
        <v>0.9</v>
      </c>
      <c r="I1739">
        <v>20160701</v>
      </c>
      <c r="J1739" t="s">
        <v>2057</v>
      </c>
      <c r="K1739" t="s">
        <v>2061</v>
      </c>
      <c r="L1739" t="s">
        <v>2082</v>
      </c>
      <c r="M1739" t="s">
        <v>2083</v>
      </c>
    </row>
    <row r="1740" spans="1:13" x14ac:dyDescent="0.3">
      <c r="A1740" s="160">
        <v>19124</v>
      </c>
      <c r="B1740" t="s">
        <v>16897</v>
      </c>
      <c r="C1740" t="s">
        <v>2047</v>
      </c>
      <c r="D1740">
        <v>0.9</v>
      </c>
      <c r="E1740">
        <v>0</v>
      </c>
      <c r="F1740">
        <f t="shared" si="27"/>
        <v>0.9</v>
      </c>
      <c r="I1740">
        <v>20160701</v>
      </c>
      <c r="J1740" t="s">
        <v>2086</v>
      </c>
    </row>
    <row r="1741" spans="1:13" x14ac:dyDescent="0.3">
      <c r="A1741" s="160">
        <v>19127</v>
      </c>
      <c r="B1741" t="s">
        <v>16898</v>
      </c>
      <c r="C1741" t="s">
        <v>2049</v>
      </c>
      <c r="D1741">
        <v>0.45</v>
      </c>
      <c r="E1741">
        <v>0</v>
      </c>
      <c r="F1741">
        <f t="shared" si="27"/>
        <v>0.45</v>
      </c>
      <c r="I1741">
        <v>20240101</v>
      </c>
      <c r="J1741" t="s">
        <v>2081</v>
      </c>
    </row>
    <row r="1742" spans="1:13" x14ac:dyDescent="0.3">
      <c r="A1742" s="160">
        <v>19146</v>
      </c>
      <c r="B1742" t="s">
        <v>16899</v>
      </c>
      <c r="C1742" t="s">
        <v>2049</v>
      </c>
      <c r="D1742">
        <v>0.45</v>
      </c>
      <c r="E1742">
        <v>0</v>
      </c>
      <c r="F1742">
        <f t="shared" si="27"/>
        <v>0.45</v>
      </c>
      <c r="I1742">
        <v>20240101</v>
      </c>
      <c r="J1742" t="s">
        <v>2094</v>
      </c>
      <c r="K1742" t="s">
        <v>2095</v>
      </c>
      <c r="L1742" t="s">
        <v>2096</v>
      </c>
    </row>
    <row r="1743" spans="1:13" x14ac:dyDescent="0.3">
      <c r="A1743" s="160">
        <v>19147</v>
      </c>
      <c r="B1743" t="s">
        <v>16900</v>
      </c>
      <c r="C1743" t="s">
        <v>2047</v>
      </c>
      <c r="D1743">
        <v>0.9</v>
      </c>
      <c r="E1743">
        <v>0</v>
      </c>
      <c r="F1743">
        <f t="shared" si="27"/>
        <v>0.9</v>
      </c>
      <c r="I1743">
        <v>20160701</v>
      </c>
      <c r="J1743" t="s">
        <v>2084</v>
      </c>
    </row>
    <row r="1744" spans="1:13" x14ac:dyDescent="0.3">
      <c r="A1744" s="160">
        <v>19151</v>
      </c>
      <c r="B1744" t="s">
        <v>16901</v>
      </c>
      <c r="C1744" t="s">
        <v>2047</v>
      </c>
      <c r="D1744">
        <v>0.9</v>
      </c>
      <c r="E1744">
        <v>0</v>
      </c>
      <c r="F1744">
        <f t="shared" si="27"/>
        <v>0.9</v>
      </c>
      <c r="I1744">
        <v>20160701</v>
      </c>
      <c r="J1744" t="s">
        <v>2075</v>
      </c>
      <c r="K1744" t="s">
        <v>2084</v>
      </c>
    </row>
    <row r="1745" spans="1:10" x14ac:dyDescent="0.3">
      <c r="A1745" s="160">
        <v>19153</v>
      </c>
      <c r="B1745" t="s">
        <v>16902</v>
      </c>
      <c r="C1745" t="s">
        <v>2047</v>
      </c>
      <c r="D1745">
        <v>0.9</v>
      </c>
      <c r="E1745">
        <v>0</v>
      </c>
      <c r="F1745">
        <f t="shared" si="27"/>
        <v>0.9</v>
      </c>
      <c r="I1745">
        <v>20160701</v>
      </c>
      <c r="J1745" t="s">
        <v>2093</v>
      </c>
    </row>
    <row r="1746" spans="1:10" x14ac:dyDescent="0.3">
      <c r="A1746" s="160">
        <v>19155</v>
      </c>
      <c r="B1746" t="s">
        <v>16903</v>
      </c>
      <c r="C1746" t="s">
        <v>2049</v>
      </c>
      <c r="D1746">
        <v>0.45</v>
      </c>
      <c r="E1746">
        <v>0</v>
      </c>
      <c r="F1746">
        <f t="shared" si="27"/>
        <v>0.45</v>
      </c>
      <c r="I1746">
        <v>20240101</v>
      </c>
      <c r="J1746" t="s">
        <v>2053</v>
      </c>
    </row>
    <row r="1747" spans="1:10" x14ac:dyDescent="0.3">
      <c r="A1747" s="160">
        <v>19158</v>
      </c>
      <c r="B1747" t="s">
        <v>16904</v>
      </c>
      <c r="C1747" t="s">
        <v>2049</v>
      </c>
      <c r="D1747">
        <v>0.45</v>
      </c>
      <c r="E1747">
        <v>0</v>
      </c>
      <c r="F1747">
        <f t="shared" si="27"/>
        <v>0.45</v>
      </c>
      <c r="I1747">
        <v>20240101</v>
      </c>
      <c r="J1747" t="s">
        <v>2081</v>
      </c>
    </row>
    <row r="1748" spans="1:10" x14ac:dyDescent="0.3">
      <c r="A1748" s="160">
        <v>19161</v>
      </c>
      <c r="B1748" t="s">
        <v>16905</v>
      </c>
      <c r="C1748" t="s">
        <v>2047</v>
      </c>
      <c r="D1748">
        <v>0.9</v>
      </c>
      <c r="E1748">
        <v>0</v>
      </c>
      <c r="F1748">
        <f t="shared" si="27"/>
        <v>0.9</v>
      </c>
      <c r="I1748">
        <v>20160701</v>
      </c>
      <c r="J1748" t="s">
        <v>2051</v>
      </c>
    </row>
    <row r="1749" spans="1:10" x14ac:dyDescent="0.3">
      <c r="A1749" s="160">
        <v>19166</v>
      </c>
      <c r="B1749" t="s">
        <v>16906</v>
      </c>
      <c r="C1749" t="s">
        <v>2049</v>
      </c>
      <c r="D1749">
        <v>0.45</v>
      </c>
      <c r="E1749">
        <v>0</v>
      </c>
      <c r="F1749">
        <f t="shared" si="27"/>
        <v>0.45</v>
      </c>
      <c r="I1749">
        <v>20240101</v>
      </c>
      <c r="J1749" t="s">
        <v>2079</v>
      </c>
    </row>
    <row r="1750" spans="1:10" x14ac:dyDescent="0.3">
      <c r="A1750" s="160">
        <v>19177</v>
      </c>
      <c r="B1750" t="s">
        <v>16907</v>
      </c>
      <c r="C1750" t="s">
        <v>2047</v>
      </c>
      <c r="D1750">
        <v>0.9</v>
      </c>
      <c r="E1750">
        <v>0</v>
      </c>
      <c r="F1750">
        <f t="shared" si="27"/>
        <v>0.9</v>
      </c>
      <c r="I1750">
        <v>20160701</v>
      </c>
      <c r="J1750" t="s">
        <v>2078</v>
      </c>
    </row>
    <row r="1751" spans="1:10" x14ac:dyDescent="0.3">
      <c r="A1751" s="160">
        <v>19178</v>
      </c>
      <c r="B1751" t="s">
        <v>16908</v>
      </c>
      <c r="C1751" t="s">
        <v>2047</v>
      </c>
      <c r="D1751">
        <v>0.9</v>
      </c>
      <c r="E1751">
        <v>0</v>
      </c>
      <c r="F1751">
        <f t="shared" si="27"/>
        <v>0.9</v>
      </c>
      <c r="I1751">
        <v>20160701</v>
      </c>
      <c r="J1751" t="s">
        <v>2087</v>
      </c>
    </row>
    <row r="1752" spans="1:10" x14ac:dyDescent="0.3">
      <c r="A1752" s="160">
        <v>19182</v>
      </c>
      <c r="B1752" t="s">
        <v>16909</v>
      </c>
      <c r="C1752" t="s">
        <v>2047</v>
      </c>
      <c r="D1752">
        <v>0.9</v>
      </c>
      <c r="E1752">
        <v>0</v>
      </c>
      <c r="F1752">
        <f t="shared" si="27"/>
        <v>0.9</v>
      </c>
      <c r="I1752">
        <v>20160701</v>
      </c>
      <c r="J1752" t="s">
        <v>2093</v>
      </c>
    </row>
    <row r="1753" spans="1:10" x14ac:dyDescent="0.3">
      <c r="A1753" s="160">
        <v>19185</v>
      </c>
      <c r="B1753" t="s">
        <v>16910</v>
      </c>
      <c r="C1753" t="s">
        <v>2049</v>
      </c>
      <c r="D1753">
        <v>0.45</v>
      </c>
      <c r="E1753">
        <v>0</v>
      </c>
      <c r="F1753">
        <f t="shared" si="27"/>
        <v>0.45</v>
      </c>
      <c r="I1753">
        <v>20240101</v>
      </c>
      <c r="J1753" t="s">
        <v>2081</v>
      </c>
    </row>
    <row r="1754" spans="1:10" x14ac:dyDescent="0.3">
      <c r="A1754" s="160">
        <v>19187</v>
      </c>
      <c r="B1754" t="s">
        <v>16911</v>
      </c>
      <c r="C1754" t="s">
        <v>2047</v>
      </c>
      <c r="D1754">
        <v>0.9</v>
      </c>
      <c r="E1754">
        <v>0</v>
      </c>
      <c r="F1754">
        <f t="shared" si="27"/>
        <v>0.9</v>
      </c>
      <c r="I1754">
        <v>20160701</v>
      </c>
      <c r="J1754" t="s">
        <v>2093</v>
      </c>
    </row>
    <row r="1755" spans="1:10" x14ac:dyDescent="0.3">
      <c r="A1755" s="160">
        <v>19188</v>
      </c>
      <c r="B1755" t="s">
        <v>16912</v>
      </c>
      <c r="C1755" t="s">
        <v>2047</v>
      </c>
      <c r="D1755">
        <v>0.9</v>
      </c>
      <c r="E1755">
        <v>0</v>
      </c>
      <c r="F1755">
        <f t="shared" si="27"/>
        <v>0.9</v>
      </c>
      <c r="I1755">
        <v>20240101</v>
      </c>
      <c r="J1755" t="s">
        <v>2088</v>
      </c>
    </row>
    <row r="1756" spans="1:10" x14ac:dyDescent="0.3">
      <c r="A1756" s="160">
        <v>19191</v>
      </c>
      <c r="B1756" t="s">
        <v>16913</v>
      </c>
      <c r="C1756" t="s">
        <v>2047</v>
      </c>
      <c r="D1756">
        <v>0.9</v>
      </c>
      <c r="E1756">
        <v>0</v>
      </c>
      <c r="F1756">
        <f t="shared" si="27"/>
        <v>0.9</v>
      </c>
      <c r="I1756">
        <v>20160701</v>
      </c>
      <c r="J1756" t="s">
        <v>2084</v>
      </c>
    </row>
    <row r="1757" spans="1:10" x14ac:dyDescent="0.3">
      <c r="A1757" s="160">
        <v>19194</v>
      </c>
      <c r="B1757" t="s">
        <v>15744</v>
      </c>
      <c r="C1757" t="s">
        <v>2049</v>
      </c>
      <c r="D1757">
        <v>0.45</v>
      </c>
      <c r="E1757">
        <v>0</v>
      </c>
      <c r="F1757">
        <f t="shared" si="27"/>
        <v>0.45</v>
      </c>
      <c r="I1757">
        <v>20240101</v>
      </c>
      <c r="J1757" t="s">
        <v>2092</v>
      </c>
    </row>
    <row r="1758" spans="1:10" x14ac:dyDescent="0.3">
      <c r="A1758" s="160">
        <v>19195</v>
      </c>
      <c r="B1758" t="s">
        <v>16914</v>
      </c>
      <c r="C1758" t="s">
        <v>2047</v>
      </c>
      <c r="D1758">
        <v>0.9</v>
      </c>
      <c r="E1758">
        <v>0</v>
      </c>
      <c r="F1758">
        <f t="shared" si="27"/>
        <v>0.9</v>
      </c>
      <c r="I1758">
        <v>20160701</v>
      </c>
      <c r="J1758" t="s">
        <v>2093</v>
      </c>
    </row>
    <row r="1759" spans="1:10" x14ac:dyDescent="0.3">
      <c r="A1759" s="160">
        <v>19196</v>
      </c>
      <c r="B1759" t="s">
        <v>16915</v>
      </c>
      <c r="C1759" t="s">
        <v>2047</v>
      </c>
      <c r="D1759">
        <v>0.9</v>
      </c>
      <c r="E1759">
        <v>0</v>
      </c>
      <c r="F1759">
        <f t="shared" si="27"/>
        <v>0.9</v>
      </c>
      <c r="I1759">
        <v>20160701</v>
      </c>
      <c r="J1759" t="s">
        <v>2093</v>
      </c>
    </row>
    <row r="1760" spans="1:10" x14ac:dyDescent="0.3">
      <c r="A1760" s="160">
        <v>19202</v>
      </c>
      <c r="B1760" t="s">
        <v>16916</v>
      </c>
      <c r="C1760" t="s">
        <v>2047</v>
      </c>
      <c r="D1760">
        <v>0.9</v>
      </c>
      <c r="E1760">
        <v>0</v>
      </c>
      <c r="F1760">
        <f t="shared" si="27"/>
        <v>0.9</v>
      </c>
      <c r="I1760">
        <v>20160701</v>
      </c>
      <c r="J1760" t="s">
        <v>2087</v>
      </c>
    </row>
    <row r="1761" spans="1:13" x14ac:dyDescent="0.3">
      <c r="A1761" s="160">
        <v>19203</v>
      </c>
      <c r="B1761" t="s">
        <v>16917</v>
      </c>
      <c r="C1761" t="s">
        <v>2049</v>
      </c>
      <c r="D1761">
        <v>0.45</v>
      </c>
      <c r="E1761">
        <v>0</v>
      </c>
      <c r="F1761">
        <f t="shared" si="27"/>
        <v>0.45</v>
      </c>
      <c r="I1761">
        <v>20240101</v>
      </c>
      <c r="J1761" t="s">
        <v>2097</v>
      </c>
    </row>
    <row r="1762" spans="1:13" x14ac:dyDescent="0.3">
      <c r="A1762" s="160">
        <v>19207</v>
      </c>
      <c r="B1762" t="s">
        <v>16918</v>
      </c>
      <c r="C1762" t="s">
        <v>2049</v>
      </c>
      <c r="D1762">
        <v>0.45</v>
      </c>
      <c r="E1762">
        <v>0</v>
      </c>
      <c r="F1762">
        <f t="shared" si="27"/>
        <v>0.45</v>
      </c>
      <c r="I1762">
        <v>20240101</v>
      </c>
      <c r="J1762" t="s">
        <v>2080</v>
      </c>
    </row>
    <row r="1763" spans="1:13" x14ac:dyDescent="0.3">
      <c r="A1763" s="160">
        <v>19211</v>
      </c>
      <c r="B1763" t="s">
        <v>16919</v>
      </c>
      <c r="C1763" t="s">
        <v>2049</v>
      </c>
      <c r="D1763">
        <v>0.45</v>
      </c>
      <c r="E1763">
        <v>0</v>
      </c>
      <c r="F1763">
        <f t="shared" si="27"/>
        <v>0.45</v>
      </c>
      <c r="I1763">
        <v>20240101</v>
      </c>
      <c r="J1763" t="s">
        <v>2098</v>
      </c>
    </row>
    <row r="1764" spans="1:13" x14ac:dyDescent="0.3">
      <c r="A1764" s="160">
        <v>19213</v>
      </c>
      <c r="B1764" t="s">
        <v>16920</v>
      </c>
      <c r="C1764" t="s">
        <v>2049</v>
      </c>
      <c r="D1764">
        <v>0.45</v>
      </c>
      <c r="E1764">
        <v>0</v>
      </c>
      <c r="F1764">
        <f t="shared" si="27"/>
        <v>0.45</v>
      </c>
      <c r="I1764">
        <v>20240101</v>
      </c>
      <c r="J1764" t="s">
        <v>2092</v>
      </c>
    </row>
    <row r="1765" spans="1:13" x14ac:dyDescent="0.3">
      <c r="A1765" s="160">
        <v>19220</v>
      </c>
      <c r="B1765" t="s">
        <v>16921</v>
      </c>
      <c r="C1765" t="s">
        <v>2049</v>
      </c>
      <c r="D1765">
        <v>0.45</v>
      </c>
      <c r="E1765">
        <v>0</v>
      </c>
      <c r="F1765">
        <f t="shared" si="27"/>
        <v>0.45</v>
      </c>
      <c r="I1765">
        <v>20240101</v>
      </c>
      <c r="J1765" t="s">
        <v>2081</v>
      </c>
    </row>
    <row r="1766" spans="1:13" x14ac:dyDescent="0.3">
      <c r="A1766" s="160">
        <v>19227</v>
      </c>
      <c r="B1766" t="s">
        <v>16922</v>
      </c>
      <c r="C1766" t="s">
        <v>2049</v>
      </c>
      <c r="D1766">
        <v>0.45</v>
      </c>
      <c r="E1766">
        <v>0</v>
      </c>
      <c r="F1766">
        <f t="shared" si="27"/>
        <v>0.45</v>
      </c>
      <c r="I1766">
        <v>20240101</v>
      </c>
      <c r="J1766" t="s">
        <v>2094</v>
      </c>
      <c r="K1766" t="s">
        <v>2080</v>
      </c>
    </row>
    <row r="1767" spans="1:13" x14ac:dyDescent="0.3">
      <c r="A1767" s="160">
        <v>19229</v>
      </c>
      <c r="B1767" t="s">
        <v>16923</v>
      </c>
      <c r="C1767" t="s">
        <v>2047</v>
      </c>
      <c r="D1767">
        <v>0.9</v>
      </c>
      <c r="E1767">
        <v>0</v>
      </c>
      <c r="F1767">
        <f t="shared" si="27"/>
        <v>0.9</v>
      </c>
      <c r="I1767">
        <v>20160701</v>
      </c>
      <c r="J1767" t="s">
        <v>2056</v>
      </c>
      <c r="K1767" t="s">
        <v>2084</v>
      </c>
    </row>
    <row r="1768" spans="1:13" x14ac:dyDescent="0.3">
      <c r="A1768" s="160">
        <v>19234</v>
      </c>
      <c r="B1768" t="s">
        <v>16924</v>
      </c>
      <c r="C1768" t="s">
        <v>2047</v>
      </c>
      <c r="D1768">
        <v>0.9</v>
      </c>
      <c r="E1768">
        <v>0</v>
      </c>
      <c r="F1768">
        <f t="shared" si="27"/>
        <v>0.9</v>
      </c>
      <c r="I1768">
        <v>20160701</v>
      </c>
      <c r="J1768" t="s">
        <v>2087</v>
      </c>
    </row>
    <row r="1769" spans="1:13" x14ac:dyDescent="0.3">
      <c r="A1769" s="160">
        <v>19235</v>
      </c>
      <c r="B1769" t="s">
        <v>16925</v>
      </c>
      <c r="C1769" t="s">
        <v>2049</v>
      </c>
      <c r="D1769">
        <v>0.45</v>
      </c>
      <c r="E1769">
        <v>0</v>
      </c>
      <c r="F1769">
        <f t="shared" si="27"/>
        <v>0.45</v>
      </c>
      <c r="I1769">
        <v>20240101</v>
      </c>
      <c r="J1769" t="s">
        <v>2081</v>
      </c>
    </row>
    <row r="1770" spans="1:13" x14ac:dyDescent="0.3">
      <c r="A1770" s="160">
        <v>19236</v>
      </c>
      <c r="B1770" t="s">
        <v>16926</v>
      </c>
      <c r="C1770" t="s">
        <v>2049</v>
      </c>
      <c r="D1770">
        <v>0.45</v>
      </c>
      <c r="E1770">
        <v>0</v>
      </c>
      <c r="F1770">
        <f t="shared" si="27"/>
        <v>0.45</v>
      </c>
      <c r="I1770">
        <v>20240101</v>
      </c>
      <c r="J1770" t="s">
        <v>2052</v>
      </c>
    </row>
    <row r="1771" spans="1:13" x14ac:dyDescent="0.3">
      <c r="A1771" s="160">
        <v>19239</v>
      </c>
      <c r="B1771" t="s">
        <v>16927</v>
      </c>
      <c r="C1771" t="s">
        <v>2047</v>
      </c>
      <c r="D1771">
        <v>0.9</v>
      </c>
      <c r="E1771">
        <v>0</v>
      </c>
      <c r="F1771">
        <f t="shared" si="27"/>
        <v>0.9</v>
      </c>
      <c r="I1771">
        <v>20160701</v>
      </c>
      <c r="J1771" t="s">
        <v>2051</v>
      </c>
    </row>
    <row r="1772" spans="1:13" x14ac:dyDescent="0.3">
      <c r="A1772" s="160">
        <v>19240</v>
      </c>
      <c r="B1772" t="s">
        <v>16928</v>
      </c>
      <c r="C1772" t="s">
        <v>2049</v>
      </c>
      <c r="D1772">
        <v>0.45</v>
      </c>
      <c r="E1772">
        <v>0</v>
      </c>
      <c r="F1772">
        <f t="shared" si="27"/>
        <v>0.45</v>
      </c>
      <c r="I1772">
        <v>20240101</v>
      </c>
      <c r="J1772" t="s">
        <v>2092</v>
      </c>
    </row>
    <row r="1773" spans="1:13" x14ac:dyDescent="0.3">
      <c r="A1773" s="160">
        <v>19242</v>
      </c>
      <c r="B1773" t="s">
        <v>16929</v>
      </c>
      <c r="C1773" t="s">
        <v>2047</v>
      </c>
      <c r="D1773">
        <v>0.9</v>
      </c>
      <c r="E1773">
        <v>0</v>
      </c>
      <c r="F1773">
        <f t="shared" si="27"/>
        <v>0.9</v>
      </c>
      <c r="I1773">
        <v>20160701</v>
      </c>
      <c r="J1773" t="s">
        <v>2093</v>
      </c>
    </row>
    <row r="1774" spans="1:13" x14ac:dyDescent="0.3">
      <c r="A1774" s="160">
        <v>19246</v>
      </c>
      <c r="B1774" t="s">
        <v>16930</v>
      </c>
      <c r="C1774" t="s">
        <v>2047</v>
      </c>
      <c r="D1774">
        <v>0.9</v>
      </c>
      <c r="E1774">
        <v>0</v>
      </c>
      <c r="F1774">
        <f t="shared" si="27"/>
        <v>0.9</v>
      </c>
      <c r="I1774">
        <v>20160701</v>
      </c>
      <c r="J1774" t="s">
        <v>2062</v>
      </c>
      <c r="K1774" t="s">
        <v>2048</v>
      </c>
      <c r="L1774" t="s">
        <v>2073</v>
      </c>
      <c r="M1774" t="s">
        <v>2076</v>
      </c>
    </row>
    <row r="1775" spans="1:13" x14ac:dyDescent="0.3">
      <c r="A1775" s="160">
        <v>19253</v>
      </c>
      <c r="B1775" t="s">
        <v>16699</v>
      </c>
      <c r="C1775" t="s">
        <v>2047</v>
      </c>
      <c r="D1775">
        <v>0.9</v>
      </c>
      <c r="E1775">
        <v>0</v>
      </c>
      <c r="F1775">
        <f t="shared" si="27"/>
        <v>0.9</v>
      </c>
      <c r="I1775">
        <v>20160701</v>
      </c>
      <c r="J1775" t="s">
        <v>2051</v>
      </c>
    </row>
    <row r="1776" spans="1:13" x14ac:dyDescent="0.3">
      <c r="A1776" s="160">
        <v>19255</v>
      </c>
      <c r="B1776" t="s">
        <v>16931</v>
      </c>
      <c r="C1776" t="s">
        <v>2049</v>
      </c>
      <c r="D1776">
        <v>0.45</v>
      </c>
      <c r="E1776">
        <v>0</v>
      </c>
      <c r="F1776">
        <f t="shared" si="27"/>
        <v>0.45</v>
      </c>
      <c r="I1776">
        <v>20240101</v>
      </c>
      <c r="J1776" t="s">
        <v>2092</v>
      </c>
    </row>
    <row r="1777" spans="1:24" x14ac:dyDescent="0.3">
      <c r="A1777" s="160">
        <v>19272</v>
      </c>
      <c r="B1777" t="s">
        <v>16932</v>
      </c>
      <c r="C1777" t="s">
        <v>2049</v>
      </c>
      <c r="D1777">
        <v>0.45</v>
      </c>
      <c r="E1777">
        <v>0</v>
      </c>
      <c r="F1777">
        <f t="shared" si="27"/>
        <v>0.45</v>
      </c>
      <c r="I1777">
        <v>20240101</v>
      </c>
      <c r="J1777" t="s">
        <v>2050</v>
      </c>
      <c r="K1777" t="s">
        <v>2094</v>
      </c>
      <c r="L1777" t="s">
        <v>2099</v>
      </c>
      <c r="M1777" t="s">
        <v>2095</v>
      </c>
      <c r="N1777" t="s">
        <v>2100</v>
      </c>
      <c r="O1777" t="s">
        <v>2101</v>
      </c>
      <c r="P1777" t="s">
        <v>2102</v>
      </c>
      <c r="Q1777" t="s">
        <v>2089</v>
      </c>
      <c r="R1777" t="s">
        <v>2103</v>
      </c>
      <c r="S1777" t="s">
        <v>2104</v>
      </c>
      <c r="T1777" t="s">
        <v>2090</v>
      </c>
      <c r="U1777" t="s">
        <v>2105</v>
      </c>
      <c r="V1777" t="s">
        <v>2106</v>
      </c>
      <c r="W1777" t="s">
        <v>2107</v>
      </c>
      <c r="X1777" t="s">
        <v>2108</v>
      </c>
    </row>
    <row r="1778" spans="1:24" x14ac:dyDescent="0.3">
      <c r="A1778" s="160">
        <v>19273</v>
      </c>
      <c r="B1778" t="s">
        <v>16933</v>
      </c>
      <c r="C1778" t="s">
        <v>2047</v>
      </c>
      <c r="D1778">
        <v>0.9</v>
      </c>
      <c r="E1778">
        <v>0</v>
      </c>
      <c r="F1778">
        <f t="shared" si="27"/>
        <v>0.9</v>
      </c>
      <c r="I1778">
        <v>20240101</v>
      </c>
      <c r="J1778" t="s">
        <v>2091</v>
      </c>
    </row>
    <row r="1779" spans="1:24" x14ac:dyDescent="0.3">
      <c r="A1779" s="160">
        <v>19274</v>
      </c>
      <c r="B1779" t="s">
        <v>16934</v>
      </c>
      <c r="C1779" t="s">
        <v>2047</v>
      </c>
      <c r="D1779">
        <v>0.9</v>
      </c>
      <c r="E1779">
        <v>0</v>
      </c>
      <c r="F1779">
        <f t="shared" si="27"/>
        <v>0.9</v>
      </c>
      <c r="I1779">
        <v>20160701</v>
      </c>
      <c r="J1779" t="s">
        <v>2087</v>
      </c>
      <c r="K1779" t="s">
        <v>2070</v>
      </c>
      <c r="L1779" t="s">
        <v>2073</v>
      </c>
      <c r="M1779" t="s">
        <v>2075</v>
      </c>
      <c r="N1779" t="s">
        <v>2076</v>
      </c>
    </row>
    <row r="1780" spans="1:24" x14ac:dyDescent="0.3">
      <c r="A1780" s="160">
        <v>19278</v>
      </c>
      <c r="B1780" t="s">
        <v>16935</v>
      </c>
      <c r="C1780" t="s">
        <v>2047</v>
      </c>
      <c r="D1780">
        <v>0.9</v>
      </c>
      <c r="E1780">
        <v>0</v>
      </c>
      <c r="F1780">
        <f t="shared" si="27"/>
        <v>0.9</v>
      </c>
      <c r="I1780">
        <v>20160701</v>
      </c>
      <c r="J1780" t="s">
        <v>2048</v>
      </c>
    </row>
    <row r="1781" spans="1:24" x14ac:dyDescent="0.3">
      <c r="A1781" s="160">
        <v>19279</v>
      </c>
      <c r="B1781" t="s">
        <v>16936</v>
      </c>
      <c r="C1781" t="s">
        <v>2047</v>
      </c>
      <c r="D1781">
        <v>0.9</v>
      </c>
      <c r="E1781">
        <v>0</v>
      </c>
      <c r="F1781">
        <f t="shared" si="27"/>
        <v>0.9</v>
      </c>
      <c r="I1781">
        <v>20160701</v>
      </c>
      <c r="J1781" t="s">
        <v>2093</v>
      </c>
    </row>
    <row r="1782" spans="1:24" x14ac:dyDescent="0.3">
      <c r="A1782" s="160">
        <v>19282</v>
      </c>
      <c r="B1782" t="s">
        <v>16937</v>
      </c>
      <c r="C1782" t="s">
        <v>2047</v>
      </c>
      <c r="D1782">
        <v>0.9</v>
      </c>
      <c r="E1782">
        <v>0</v>
      </c>
      <c r="F1782">
        <f t="shared" si="27"/>
        <v>0.9</v>
      </c>
      <c r="I1782">
        <v>20160701</v>
      </c>
      <c r="J1782" t="s">
        <v>2082</v>
      </c>
    </row>
    <row r="1783" spans="1:24" x14ac:dyDescent="0.3">
      <c r="A1783" s="160">
        <v>19286</v>
      </c>
      <c r="B1783" t="s">
        <v>16938</v>
      </c>
      <c r="C1783" t="s">
        <v>2047</v>
      </c>
      <c r="D1783">
        <v>0.9</v>
      </c>
      <c r="E1783">
        <v>0</v>
      </c>
      <c r="F1783">
        <f t="shared" si="27"/>
        <v>0.9</v>
      </c>
      <c r="I1783">
        <v>20160701</v>
      </c>
      <c r="J1783" t="s">
        <v>2093</v>
      </c>
    </row>
    <row r="1784" spans="1:24" x14ac:dyDescent="0.3">
      <c r="A1784" s="160">
        <v>19287</v>
      </c>
      <c r="B1784" t="s">
        <v>16939</v>
      </c>
      <c r="C1784" t="s">
        <v>2049</v>
      </c>
      <c r="D1784">
        <v>0.45</v>
      </c>
      <c r="E1784">
        <v>0</v>
      </c>
      <c r="F1784">
        <f t="shared" si="27"/>
        <v>0.45</v>
      </c>
      <c r="I1784">
        <v>20240101</v>
      </c>
      <c r="J1784" t="s">
        <v>2052</v>
      </c>
    </row>
    <row r="1785" spans="1:24" x14ac:dyDescent="0.3">
      <c r="A1785" s="160">
        <v>19288</v>
      </c>
      <c r="B1785" t="s">
        <v>16940</v>
      </c>
      <c r="C1785" t="s">
        <v>2047</v>
      </c>
      <c r="D1785">
        <v>0.9</v>
      </c>
      <c r="E1785">
        <v>0</v>
      </c>
      <c r="F1785">
        <f t="shared" si="27"/>
        <v>0.9</v>
      </c>
      <c r="I1785">
        <v>20160701</v>
      </c>
      <c r="J1785" t="s">
        <v>2093</v>
      </c>
    </row>
    <row r="1786" spans="1:24" x14ac:dyDescent="0.3">
      <c r="A1786" s="160">
        <v>19289</v>
      </c>
      <c r="B1786" t="s">
        <v>16941</v>
      </c>
      <c r="C1786" t="s">
        <v>2047</v>
      </c>
      <c r="D1786">
        <v>0.9</v>
      </c>
      <c r="E1786">
        <v>0</v>
      </c>
      <c r="F1786">
        <f t="shared" si="27"/>
        <v>0.9</v>
      </c>
      <c r="I1786">
        <v>20160701</v>
      </c>
      <c r="J1786" t="s">
        <v>2051</v>
      </c>
    </row>
    <row r="1787" spans="1:24" x14ac:dyDescent="0.3">
      <c r="A1787" s="160">
        <v>21003</v>
      </c>
      <c r="B1787" t="s">
        <v>16942</v>
      </c>
      <c r="C1787" t="s">
        <v>2109</v>
      </c>
      <c r="D1787">
        <v>2</v>
      </c>
      <c r="E1787">
        <v>0</v>
      </c>
      <c r="F1787">
        <f t="shared" si="27"/>
        <v>2</v>
      </c>
      <c r="I1787">
        <v>20111001</v>
      </c>
      <c r="J1787" t="s">
        <v>2110</v>
      </c>
    </row>
    <row r="1788" spans="1:24" x14ac:dyDescent="0.3">
      <c r="A1788" s="160">
        <v>21010</v>
      </c>
      <c r="B1788" t="s">
        <v>16943</v>
      </c>
      <c r="C1788" t="s">
        <v>2111</v>
      </c>
      <c r="D1788">
        <v>0.6</v>
      </c>
      <c r="E1788">
        <v>0</v>
      </c>
      <c r="F1788">
        <f t="shared" si="27"/>
        <v>0.6</v>
      </c>
      <c r="I1788">
        <v>20170101</v>
      </c>
      <c r="J1788" t="s">
        <v>2112</v>
      </c>
    </row>
    <row r="1789" spans="1:24" x14ac:dyDescent="0.3">
      <c r="A1789" s="160">
        <v>21032</v>
      </c>
      <c r="B1789" t="s">
        <v>16944</v>
      </c>
      <c r="C1789" t="s">
        <v>2111</v>
      </c>
      <c r="D1789">
        <v>0.6</v>
      </c>
      <c r="E1789">
        <v>0</v>
      </c>
      <c r="F1789">
        <f t="shared" si="27"/>
        <v>0.6</v>
      </c>
      <c r="I1789">
        <v>20170101</v>
      </c>
      <c r="J1789" t="s">
        <v>2113</v>
      </c>
    </row>
    <row r="1790" spans="1:24" x14ac:dyDescent="0.3">
      <c r="A1790" s="160">
        <v>21037</v>
      </c>
      <c r="B1790" t="s">
        <v>16945</v>
      </c>
      <c r="C1790" t="s">
        <v>2111</v>
      </c>
      <c r="D1790">
        <v>0.6</v>
      </c>
      <c r="E1790">
        <v>0</v>
      </c>
      <c r="F1790">
        <f t="shared" si="27"/>
        <v>0.6</v>
      </c>
      <c r="I1790">
        <v>20170101</v>
      </c>
      <c r="J1790" t="s">
        <v>2114</v>
      </c>
    </row>
    <row r="1791" spans="1:24" x14ac:dyDescent="0.3">
      <c r="A1791" s="160">
        <v>21050</v>
      </c>
      <c r="B1791" t="s">
        <v>16946</v>
      </c>
      <c r="C1791" t="s">
        <v>2111</v>
      </c>
      <c r="D1791">
        <v>0.6</v>
      </c>
      <c r="E1791">
        <v>0</v>
      </c>
      <c r="F1791">
        <f t="shared" si="27"/>
        <v>0.6</v>
      </c>
      <c r="I1791">
        <v>20170101</v>
      </c>
      <c r="J1791" t="s">
        <v>2113</v>
      </c>
    </row>
    <row r="1792" spans="1:24" x14ac:dyDescent="0.3">
      <c r="A1792" s="160">
        <v>21054</v>
      </c>
      <c r="B1792" t="s">
        <v>16947</v>
      </c>
      <c r="C1792" t="s">
        <v>2111</v>
      </c>
      <c r="D1792">
        <v>0.6</v>
      </c>
      <c r="E1792">
        <v>0</v>
      </c>
      <c r="F1792">
        <f t="shared" si="27"/>
        <v>0.6</v>
      </c>
      <c r="I1792">
        <v>20170101</v>
      </c>
      <c r="J1792" t="s">
        <v>2115</v>
      </c>
      <c r="K1792" t="s">
        <v>2116</v>
      </c>
      <c r="L1792" t="s">
        <v>2117</v>
      </c>
      <c r="M1792" t="s">
        <v>2118</v>
      </c>
      <c r="N1792" t="s">
        <v>2119</v>
      </c>
      <c r="O1792" t="s">
        <v>2120</v>
      </c>
      <c r="P1792" t="s">
        <v>2121</v>
      </c>
      <c r="Q1792" t="s">
        <v>2122</v>
      </c>
      <c r="R1792" t="s">
        <v>2123</v>
      </c>
      <c r="S1792" t="s">
        <v>2124</v>
      </c>
    </row>
    <row r="1793" spans="1:84" x14ac:dyDescent="0.3">
      <c r="A1793" s="160">
        <v>21086</v>
      </c>
      <c r="B1793" t="s">
        <v>16948</v>
      </c>
      <c r="C1793" t="s">
        <v>2111</v>
      </c>
      <c r="D1793">
        <v>0.6</v>
      </c>
      <c r="E1793">
        <v>0</v>
      </c>
      <c r="F1793">
        <f t="shared" si="27"/>
        <v>0.6</v>
      </c>
      <c r="I1793">
        <v>20170101</v>
      </c>
      <c r="J1793" t="s">
        <v>2115</v>
      </c>
      <c r="K1793" t="s">
        <v>2116</v>
      </c>
    </row>
    <row r="1794" spans="1:84" x14ac:dyDescent="0.3">
      <c r="A1794" s="160">
        <v>21092</v>
      </c>
      <c r="B1794" t="s">
        <v>16949</v>
      </c>
      <c r="C1794" t="s">
        <v>2111</v>
      </c>
      <c r="D1794">
        <v>0.6</v>
      </c>
      <c r="E1794">
        <v>0</v>
      </c>
      <c r="F1794">
        <f t="shared" si="27"/>
        <v>0.6</v>
      </c>
      <c r="I1794">
        <v>20170101</v>
      </c>
      <c r="J1794" t="s">
        <v>2112</v>
      </c>
    </row>
    <row r="1795" spans="1:84" x14ac:dyDescent="0.3">
      <c r="A1795" s="160">
        <v>21099</v>
      </c>
      <c r="B1795" t="s">
        <v>16950</v>
      </c>
      <c r="C1795" t="s">
        <v>2111</v>
      </c>
      <c r="D1795">
        <v>0.6</v>
      </c>
      <c r="E1795">
        <v>0</v>
      </c>
      <c r="F1795">
        <f t="shared" si="27"/>
        <v>0.6</v>
      </c>
      <c r="I1795">
        <v>20170101</v>
      </c>
      <c r="J1795" t="s">
        <v>2115</v>
      </c>
      <c r="K1795" t="s">
        <v>2120</v>
      </c>
    </row>
    <row r="1796" spans="1:84" x14ac:dyDescent="0.3">
      <c r="A1796" s="160">
        <v>21105</v>
      </c>
      <c r="B1796" t="s">
        <v>16951</v>
      </c>
      <c r="C1796" t="s">
        <v>2109</v>
      </c>
      <c r="D1796">
        <v>2</v>
      </c>
      <c r="E1796">
        <v>0</v>
      </c>
      <c r="F1796">
        <f t="shared" si="27"/>
        <v>2</v>
      </c>
      <c r="I1796">
        <v>20111001</v>
      </c>
      <c r="J1796" t="s">
        <v>2125</v>
      </c>
      <c r="BP1796" t="s">
        <v>2196</v>
      </c>
      <c r="BQ1796" t="s">
        <v>2197</v>
      </c>
      <c r="BR1796" t="s">
        <v>2198</v>
      </c>
      <c r="BS1796" t="s">
        <v>2199</v>
      </c>
      <c r="BT1796" t="s">
        <v>2200</v>
      </c>
      <c r="BU1796" t="s">
        <v>2201</v>
      </c>
      <c r="BV1796" t="s">
        <v>2202</v>
      </c>
      <c r="BW1796" t="s">
        <v>2203</v>
      </c>
      <c r="BX1796" t="s">
        <v>2204</v>
      </c>
      <c r="BY1796" t="s">
        <v>2205</v>
      </c>
      <c r="BZ1796" t="s">
        <v>2206</v>
      </c>
      <c r="CA1796" t="s">
        <v>2207</v>
      </c>
      <c r="CB1796" t="s">
        <v>2208</v>
      </c>
      <c r="CC1796" t="s">
        <v>2209</v>
      </c>
      <c r="CD1796" t="s">
        <v>2210</v>
      </c>
      <c r="CE1796" t="s">
        <v>2211</v>
      </c>
      <c r="CF1796" t="s">
        <v>2212</v>
      </c>
    </row>
    <row r="1797" spans="1:84" x14ac:dyDescent="0.3">
      <c r="A1797" s="160">
        <v>21106</v>
      </c>
      <c r="B1797" t="s">
        <v>16952</v>
      </c>
      <c r="C1797" t="s">
        <v>2109</v>
      </c>
      <c r="D1797">
        <v>2</v>
      </c>
      <c r="E1797">
        <v>0</v>
      </c>
      <c r="F1797">
        <f t="shared" si="27"/>
        <v>2</v>
      </c>
      <c r="I1797">
        <v>20111001</v>
      </c>
      <c r="J1797" t="s">
        <v>2126</v>
      </c>
    </row>
    <row r="1798" spans="1:84" x14ac:dyDescent="0.3">
      <c r="A1798" s="160">
        <v>21150</v>
      </c>
      <c r="B1798" t="s">
        <v>16953</v>
      </c>
      <c r="C1798" t="s">
        <v>2111</v>
      </c>
      <c r="D1798">
        <v>0.6</v>
      </c>
      <c r="E1798">
        <v>0</v>
      </c>
      <c r="F1798">
        <f t="shared" si="27"/>
        <v>0.6</v>
      </c>
      <c r="I1798">
        <v>20170101</v>
      </c>
      <c r="J1798" t="s">
        <v>2114</v>
      </c>
    </row>
    <row r="1799" spans="1:84" x14ac:dyDescent="0.3">
      <c r="A1799" s="160">
        <v>21166</v>
      </c>
      <c r="B1799" t="s">
        <v>16954</v>
      </c>
      <c r="C1799" t="s">
        <v>2109</v>
      </c>
      <c r="D1799">
        <v>2</v>
      </c>
      <c r="E1799">
        <v>0</v>
      </c>
      <c r="F1799">
        <f t="shared" ref="F1799:F1862" si="28">D1799+E1799</f>
        <v>2</v>
      </c>
      <c r="I1799">
        <v>20111001</v>
      </c>
      <c r="J1799" t="s">
        <v>2127</v>
      </c>
      <c r="K1799" t="s">
        <v>2128</v>
      </c>
      <c r="L1799" t="s">
        <v>2129</v>
      </c>
      <c r="M1799" t="s">
        <v>2130</v>
      </c>
      <c r="N1799" t="s">
        <v>2131</v>
      </c>
    </row>
    <row r="1800" spans="1:84" x14ac:dyDescent="0.3">
      <c r="A1800" s="160">
        <v>21170</v>
      </c>
      <c r="B1800" t="s">
        <v>16955</v>
      </c>
      <c r="C1800" t="s">
        <v>2111</v>
      </c>
      <c r="D1800">
        <v>0.6</v>
      </c>
      <c r="E1800">
        <v>0</v>
      </c>
      <c r="F1800">
        <f t="shared" si="28"/>
        <v>0.6</v>
      </c>
      <c r="I1800">
        <v>20170101</v>
      </c>
      <c r="J1800" t="s">
        <v>2115</v>
      </c>
    </row>
    <row r="1801" spans="1:84" x14ac:dyDescent="0.3">
      <c r="A1801" s="160">
        <v>21171</v>
      </c>
      <c r="B1801" t="s">
        <v>16956</v>
      </c>
      <c r="C1801" t="s">
        <v>2109</v>
      </c>
      <c r="D1801">
        <v>2</v>
      </c>
      <c r="E1801">
        <v>0</v>
      </c>
      <c r="F1801">
        <f t="shared" si="28"/>
        <v>2</v>
      </c>
      <c r="I1801">
        <v>20111001</v>
      </c>
      <c r="J1801" t="s">
        <v>2132</v>
      </c>
      <c r="K1801" t="s">
        <v>2133</v>
      </c>
      <c r="L1801" t="s">
        <v>2134</v>
      </c>
      <c r="M1801" t="s">
        <v>2135</v>
      </c>
      <c r="N1801" t="s">
        <v>2136</v>
      </c>
    </row>
    <row r="1802" spans="1:84" x14ac:dyDescent="0.3">
      <c r="A1802" s="160">
        <v>21173</v>
      </c>
      <c r="B1802" t="s">
        <v>16957</v>
      </c>
      <c r="C1802" t="s">
        <v>2111</v>
      </c>
      <c r="D1802">
        <v>0.6</v>
      </c>
      <c r="E1802">
        <v>0</v>
      </c>
      <c r="F1802">
        <f t="shared" si="28"/>
        <v>0.6</v>
      </c>
      <c r="I1802">
        <v>20170101</v>
      </c>
      <c r="J1802" t="s">
        <v>2115</v>
      </c>
    </row>
    <row r="1803" spans="1:84" x14ac:dyDescent="0.3">
      <c r="A1803" s="160">
        <v>21185</v>
      </c>
      <c r="B1803" t="s">
        <v>16958</v>
      </c>
      <c r="C1803" t="s">
        <v>2111</v>
      </c>
      <c r="D1803">
        <v>0.6</v>
      </c>
      <c r="E1803">
        <v>0</v>
      </c>
      <c r="F1803">
        <f t="shared" si="28"/>
        <v>0.6</v>
      </c>
      <c r="I1803">
        <v>20170101</v>
      </c>
      <c r="J1803" t="s">
        <v>2115</v>
      </c>
    </row>
    <row r="1804" spans="1:84" x14ac:dyDescent="0.3">
      <c r="A1804" s="160">
        <v>21189</v>
      </c>
      <c r="B1804" t="s">
        <v>16959</v>
      </c>
      <c r="C1804" t="s">
        <v>2111</v>
      </c>
      <c r="D1804">
        <v>0.6</v>
      </c>
      <c r="E1804">
        <v>0</v>
      </c>
      <c r="F1804">
        <f t="shared" si="28"/>
        <v>0.6</v>
      </c>
      <c r="I1804">
        <v>20170101</v>
      </c>
      <c r="J1804" t="s">
        <v>2122</v>
      </c>
      <c r="K1804" t="s">
        <v>2137</v>
      </c>
    </row>
    <row r="1805" spans="1:84" x14ac:dyDescent="0.3">
      <c r="A1805" s="160">
        <v>21190</v>
      </c>
      <c r="B1805" t="s">
        <v>16960</v>
      </c>
      <c r="C1805" t="s">
        <v>2111</v>
      </c>
      <c r="D1805">
        <v>0.6</v>
      </c>
      <c r="E1805">
        <v>0</v>
      </c>
      <c r="F1805">
        <f t="shared" si="28"/>
        <v>0.6</v>
      </c>
      <c r="I1805">
        <v>20170101</v>
      </c>
      <c r="J1805" t="s">
        <v>2114</v>
      </c>
    </row>
    <row r="1806" spans="1:84" x14ac:dyDescent="0.3">
      <c r="A1806" s="160">
        <v>21193</v>
      </c>
      <c r="B1806" t="s">
        <v>16961</v>
      </c>
      <c r="C1806" t="s">
        <v>2111</v>
      </c>
      <c r="D1806">
        <v>0.6</v>
      </c>
      <c r="E1806">
        <v>0</v>
      </c>
      <c r="F1806">
        <f t="shared" si="28"/>
        <v>0.6</v>
      </c>
      <c r="I1806">
        <v>20170101</v>
      </c>
      <c r="J1806" t="s">
        <v>2137</v>
      </c>
    </row>
    <row r="1807" spans="1:84" x14ac:dyDescent="0.3">
      <c r="A1807" s="160">
        <v>21195</v>
      </c>
      <c r="B1807" t="s">
        <v>16962</v>
      </c>
      <c r="C1807" t="s">
        <v>2111</v>
      </c>
      <c r="D1807">
        <v>0.6</v>
      </c>
      <c r="E1807">
        <v>0</v>
      </c>
      <c r="F1807">
        <f t="shared" si="28"/>
        <v>0.6</v>
      </c>
      <c r="I1807">
        <v>20170101</v>
      </c>
      <c r="J1807" t="s">
        <v>2113</v>
      </c>
    </row>
    <row r="1808" spans="1:84" x14ac:dyDescent="0.3">
      <c r="A1808" s="160">
        <v>21196</v>
      </c>
      <c r="B1808" t="s">
        <v>16963</v>
      </c>
      <c r="C1808" t="s">
        <v>2111</v>
      </c>
      <c r="D1808">
        <v>0.6</v>
      </c>
      <c r="E1808">
        <v>0</v>
      </c>
      <c r="F1808">
        <f t="shared" si="28"/>
        <v>0.6</v>
      </c>
      <c r="I1808">
        <v>20170101</v>
      </c>
      <c r="J1808" t="s">
        <v>2114</v>
      </c>
    </row>
    <row r="1809" spans="1:67" x14ac:dyDescent="0.3">
      <c r="A1809" s="160">
        <v>21213</v>
      </c>
      <c r="B1809" t="s">
        <v>16964</v>
      </c>
      <c r="C1809" t="s">
        <v>2109</v>
      </c>
      <c r="D1809">
        <v>2</v>
      </c>
      <c r="E1809">
        <v>0</v>
      </c>
      <c r="F1809">
        <f t="shared" si="28"/>
        <v>2</v>
      </c>
      <c r="I1809">
        <v>20111001</v>
      </c>
      <c r="J1809" t="s">
        <v>2132</v>
      </c>
    </row>
    <row r="1810" spans="1:67" x14ac:dyDescent="0.3">
      <c r="A1810" s="160">
        <v>21223</v>
      </c>
      <c r="B1810" t="s">
        <v>16965</v>
      </c>
      <c r="C1810" t="s">
        <v>2109</v>
      </c>
      <c r="D1810">
        <v>2</v>
      </c>
      <c r="E1810">
        <v>0</v>
      </c>
      <c r="F1810">
        <f t="shared" si="28"/>
        <v>2</v>
      </c>
      <c r="I1810">
        <v>20111001</v>
      </c>
      <c r="J1810" t="s">
        <v>2110</v>
      </c>
    </row>
    <row r="1811" spans="1:67" x14ac:dyDescent="0.3">
      <c r="A1811" s="160">
        <v>21231</v>
      </c>
      <c r="B1811" t="s">
        <v>16966</v>
      </c>
      <c r="C1811" t="s">
        <v>2109</v>
      </c>
      <c r="D1811">
        <v>2</v>
      </c>
      <c r="E1811">
        <v>0</v>
      </c>
      <c r="F1811">
        <f t="shared" si="28"/>
        <v>2</v>
      </c>
      <c r="I1811">
        <v>20111001</v>
      </c>
      <c r="J1811" t="s">
        <v>2139</v>
      </c>
      <c r="K1811" t="s">
        <v>2140</v>
      </c>
      <c r="L1811" t="s">
        <v>2141</v>
      </c>
      <c r="M1811" t="s">
        <v>2142</v>
      </c>
      <c r="N1811" t="s">
        <v>2143</v>
      </c>
      <c r="O1811" t="s">
        <v>2144</v>
      </c>
      <c r="P1811" t="s">
        <v>2145</v>
      </c>
      <c r="Q1811" t="s">
        <v>2146</v>
      </c>
      <c r="R1811" t="s">
        <v>2147</v>
      </c>
      <c r="S1811" t="s">
        <v>2148</v>
      </c>
      <c r="T1811" t="s">
        <v>2149</v>
      </c>
      <c r="U1811" t="s">
        <v>2150</v>
      </c>
      <c r="V1811" t="s">
        <v>2151</v>
      </c>
      <c r="W1811" t="s">
        <v>2152</v>
      </c>
      <c r="X1811" t="s">
        <v>2153</v>
      </c>
      <c r="Y1811" t="s">
        <v>2154</v>
      </c>
      <c r="Z1811" t="s">
        <v>2155</v>
      </c>
      <c r="AA1811" t="s">
        <v>2156</v>
      </c>
      <c r="AB1811" t="s">
        <v>2157</v>
      </c>
      <c r="AC1811" t="s">
        <v>2158</v>
      </c>
      <c r="AD1811" t="s">
        <v>2159</v>
      </c>
      <c r="AE1811" t="s">
        <v>2160</v>
      </c>
      <c r="AF1811" t="s">
        <v>2161</v>
      </c>
      <c r="AG1811" t="s">
        <v>2162</v>
      </c>
      <c r="AH1811" t="s">
        <v>2163</v>
      </c>
      <c r="AI1811" t="s">
        <v>2164</v>
      </c>
      <c r="AJ1811" t="s">
        <v>2165</v>
      </c>
      <c r="AK1811" t="s">
        <v>2166</v>
      </c>
      <c r="AL1811" t="s">
        <v>2167</v>
      </c>
      <c r="AM1811" t="s">
        <v>2168</v>
      </c>
      <c r="AN1811" t="s">
        <v>2169</v>
      </c>
      <c r="AO1811" t="s">
        <v>2170</v>
      </c>
      <c r="AP1811" t="s">
        <v>2171</v>
      </c>
      <c r="AQ1811" t="s">
        <v>2172</v>
      </c>
      <c r="AR1811" t="s">
        <v>2173</v>
      </c>
      <c r="AS1811" t="s">
        <v>2174</v>
      </c>
      <c r="AT1811" t="s">
        <v>2175</v>
      </c>
      <c r="AU1811" t="s">
        <v>2176</v>
      </c>
      <c r="AV1811" t="s">
        <v>2177</v>
      </c>
      <c r="AW1811" t="s">
        <v>2178</v>
      </c>
      <c r="AX1811" t="s">
        <v>2179</v>
      </c>
      <c r="AY1811" t="s">
        <v>2180</v>
      </c>
      <c r="AZ1811" t="s">
        <v>2181</v>
      </c>
      <c r="BA1811" t="s">
        <v>2182</v>
      </c>
      <c r="BB1811" t="s">
        <v>2183</v>
      </c>
      <c r="BC1811" t="s">
        <v>2184</v>
      </c>
      <c r="BD1811" t="s">
        <v>2185</v>
      </c>
      <c r="BE1811" t="s">
        <v>2186</v>
      </c>
      <c r="BF1811" t="s">
        <v>2187</v>
      </c>
      <c r="BG1811" t="s">
        <v>2188</v>
      </c>
      <c r="BH1811" t="s">
        <v>2189</v>
      </c>
      <c r="BI1811" t="s">
        <v>2190</v>
      </c>
      <c r="BJ1811" t="s">
        <v>2191</v>
      </c>
      <c r="BK1811" t="s">
        <v>2192</v>
      </c>
      <c r="BL1811" t="s">
        <v>2193</v>
      </c>
      <c r="BM1811" t="s">
        <v>2194</v>
      </c>
      <c r="BN1811" t="s">
        <v>2138</v>
      </c>
      <c r="BO1811" t="s">
        <v>2195</v>
      </c>
    </row>
    <row r="1812" spans="1:67" x14ac:dyDescent="0.3">
      <c r="A1812" s="160">
        <v>21236</v>
      </c>
      <c r="B1812" t="s">
        <v>16967</v>
      </c>
      <c r="C1812" t="s">
        <v>2111</v>
      </c>
      <c r="D1812">
        <v>0.6</v>
      </c>
      <c r="E1812">
        <v>0</v>
      </c>
      <c r="F1812">
        <f t="shared" si="28"/>
        <v>0.6</v>
      </c>
      <c r="I1812">
        <v>20170101</v>
      </c>
      <c r="J1812" t="s">
        <v>2114</v>
      </c>
    </row>
    <row r="1813" spans="1:67" x14ac:dyDescent="0.3">
      <c r="A1813" s="160">
        <v>21241</v>
      </c>
      <c r="B1813" t="s">
        <v>16968</v>
      </c>
      <c r="C1813" t="s">
        <v>2111</v>
      </c>
      <c r="D1813">
        <v>0.6</v>
      </c>
      <c r="E1813">
        <v>0</v>
      </c>
      <c r="F1813">
        <f t="shared" si="28"/>
        <v>0.6</v>
      </c>
      <c r="I1813">
        <v>20170101</v>
      </c>
      <c r="J1813" t="s">
        <v>2112</v>
      </c>
    </row>
    <row r="1814" spans="1:67" x14ac:dyDescent="0.3">
      <c r="A1814" s="160">
        <v>21263</v>
      </c>
      <c r="B1814" t="s">
        <v>16969</v>
      </c>
      <c r="C1814" t="s">
        <v>2109</v>
      </c>
      <c r="D1814">
        <v>2</v>
      </c>
      <c r="E1814">
        <v>0</v>
      </c>
      <c r="F1814">
        <f t="shared" si="28"/>
        <v>2</v>
      </c>
      <c r="I1814">
        <v>20111001</v>
      </c>
      <c r="J1814" t="s">
        <v>2213</v>
      </c>
      <c r="K1814" t="s">
        <v>2214</v>
      </c>
    </row>
    <row r="1815" spans="1:67" x14ac:dyDescent="0.3">
      <c r="A1815" s="160">
        <v>21278</v>
      </c>
      <c r="B1815" t="s">
        <v>16970</v>
      </c>
      <c r="C1815" t="s">
        <v>2109</v>
      </c>
      <c r="D1815">
        <v>2</v>
      </c>
      <c r="E1815">
        <v>0</v>
      </c>
      <c r="F1815">
        <f t="shared" si="28"/>
        <v>2</v>
      </c>
      <c r="I1815">
        <v>20111001</v>
      </c>
      <c r="J1815" t="s">
        <v>2110</v>
      </c>
    </row>
    <row r="1816" spans="1:67" x14ac:dyDescent="0.3">
      <c r="A1816" s="160">
        <v>21315</v>
      </c>
      <c r="B1816" t="s">
        <v>16971</v>
      </c>
      <c r="C1816" t="s">
        <v>2109</v>
      </c>
      <c r="D1816">
        <v>2</v>
      </c>
      <c r="E1816">
        <v>0</v>
      </c>
      <c r="F1816">
        <f t="shared" si="28"/>
        <v>2</v>
      </c>
      <c r="I1816">
        <v>20111001</v>
      </c>
      <c r="J1816" t="s">
        <v>2110</v>
      </c>
    </row>
    <row r="1817" spans="1:67" x14ac:dyDescent="0.3">
      <c r="A1817" s="160">
        <v>21318</v>
      </c>
      <c r="B1817" t="s">
        <v>16972</v>
      </c>
      <c r="C1817" t="s">
        <v>2111</v>
      </c>
      <c r="D1817">
        <v>0.6</v>
      </c>
      <c r="E1817">
        <v>0</v>
      </c>
      <c r="F1817">
        <f t="shared" si="28"/>
        <v>0.6</v>
      </c>
      <c r="I1817">
        <v>20170101</v>
      </c>
      <c r="J1817" t="s">
        <v>2113</v>
      </c>
    </row>
    <row r="1818" spans="1:67" x14ac:dyDescent="0.3">
      <c r="A1818" s="160">
        <v>21327</v>
      </c>
      <c r="B1818" t="s">
        <v>16973</v>
      </c>
      <c r="C1818" t="s">
        <v>2111</v>
      </c>
      <c r="D1818">
        <v>0.6</v>
      </c>
      <c r="E1818">
        <v>0</v>
      </c>
      <c r="F1818">
        <f t="shared" si="28"/>
        <v>0.6</v>
      </c>
      <c r="I1818">
        <v>20170101</v>
      </c>
      <c r="J1818" t="s">
        <v>2113</v>
      </c>
    </row>
    <row r="1819" spans="1:67" x14ac:dyDescent="0.3">
      <c r="A1819" s="160">
        <v>21347</v>
      </c>
      <c r="B1819" t="s">
        <v>16974</v>
      </c>
      <c r="C1819" t="s">
        <v>2111</v>
      </c>
      <c r="D1819">
        <v>0.6</v>
      </c>
      <c r="E1819">
        <v>0</v>
      </c>
      <c r="F1819">
        <f t="shared" si="28"/>
        <v>0.6</v>
      </c>
      <c r="I1819">
        <v>20170101</v>
      </c>
      <c r="J1819" t="s">
        <v>2115</v>
      </c>
      <c r="K1819" t="s">
        <v>2119</v>
      </c>
      <c r="L1819" t="s">
        <v>2124</v>
      </c>
    </row>
    <row r="1820" spans="1:67" x14ac:dyDescent="0.3">
      <c r="A1820" s="160">
        <v>21355</v>
      </c>
      <c r="B1820" t="s">
        <v>16975</v>
      </c>
      <c r="C1820" t="s">
        <v>2109</v>
      </c>
      <c r="D1820">
        <v>2</v>
      </c>
      <c r="E1820">
        <v>0</v>
      </c>
      <c r="F1820">
        <f t="shared" si="28"/>
        <v>2</v>
      </c>
      <c r="I1820">
        <v>20111001</v>
      </c>
      <c r="J1820" t="s">
        <v>2213</v>
      </c>
      <c r="K1820" t="s">
        <v>2214</v>
      </c>
      <c r="L1820" t="s">
        <v>2215</v>
      </c>
      <c r="M1820" t="s">
        <v>2216</v>
      </c>
      <c r="N1820" t="s">
        <v>2217</v>
      </c>
    </row>
    <row r="1821" spans="1:67" x14ac:dyDescent="0.3">
      <c r="A1821" s="160">
        <v>21370</v>
      </c>
      <c r="B1821" t="s">
        <v>16976</v>
      </c>
      <c r="C1821" t="s">
        <v>2109</v>
      </c>
      <c r="D1821">
        <v>2</v>
      </c>
      <c r="E1821">
        <v>0</v>
      </c>
      <c r="F1821">
        <f t="shared" si="28"/>
        <v>2</v>
      </c>
      <c r="I1821">
        <v>20111001</v>
      </c>
      <c r="J1821" t="s">
        <v>2126</v>
      </c>
    </row>
    <row r="1822" spans="1:67" x14ac:dyDescent="0.3">
      <c r="A1822" s="160">
        <v>21387</v>
      </c>
      <c r="B1822" t="s">
        <v>16977</v>
      </c>
      <c r="C1822" t="s">
        <v>2111</v>
      </c>
      <c r="D1822">
        <v>0.6</v>
      </c>
      <c r="E1822">
        <v>0</v>
      </c>
      <c r="F1822">
        <f t="shared" si="28"/>
        <v>0.6</v>
      </c>
      <c r="I1822">
        <v>20170101</v>
      </c>
      <c r="J1822" t="s">
        <v>2115</v>
      </c>
    </row>
    <row r="1823" spans="1:67" x14ac:dyDescent="0.3">
      <c r="A1823" s="160">
        <v>21390</v>
      </c>
      <c r="B1823" t="s">
        <v>16978</v>
      </c>
      <c r="C1823" t="s">
        <v>2109</v>
      </c>
      <c r="D1823">
        <v>2</v>
      </c>
      <c r="E1823">
        <v>0</v>
      </c>
      <c r="F1823">
        <f t="shared" si="28"/>
        <v>2</v>
      </c>
      <c r="I1823">
        <v>20111001</v>
      </c>
      <c r="J1823" t="s">
        <v>2218</v>
      </c>
    </row>
    <row r="1824" spans="1:67" x14ac:dyDescent="0.3">
      <c r="A1824" s="160">
        <v>21397</v>
      </c>
      <c r="B1824" t="s">
        <v>16979</v>
      </c>
      <c r="C1824" t="s">
        <v>2111</v>
      </c>
      <c r="D1824">
        <v>0.6</v>
      </c>
      <c r="E1824">
        <v>0</v>
      </c>
      <c r="F1824">
        <f t="shared" si="28"/>
        <v>0.6</v>
      </c>
      <c r="I1824">
        <v>20170101</v>
      </c>
      <c r="J1824" t="s">
        <v>2114</v>
      </c>
    </row>
    <row r="1825" spans="1:13" x14ac:dyDescent="0.3">
      <c r="A1825" s="160">
        <v>21401</v>
      </c>
      <c r="B1825" t="s">
        <v>16980</v>
      </c>
      <c r="C1825" t="s">
        <v>2111</v>
      </c>
      <c r="D1825">
        <v>0.6</v>
      </c>
      <c r="E1825">
        <v>0</v>
      </c>
      <c r="F1825">
        <f t="shared" si="28"/>
        <v>0.6</v>
      </c>
      <c r="I1825">
        <v>20170101</v>
      </c>
      <c r="J1825" t="s">
        <v>2114</v>
      </c>
    </row>
    <row r="1826" spans="1:13" x14ac:dyDescent="0.3">
      <c r="A1826" s="160">
        <v>21405</v>
      </c>
      <c r="B1826" t="s">
        <v>16981</v>
      </c>
      <c r="C1826" t="s">
        <v>2111</v>
      </c>
      <c r="D1826">
        <v>0.6</v>
      </c>
      <c r="E1826">
        <v>0</v>
      </c>
      <c r="F1826">
        <f t="shared" si="28"/>
        <v>0.6</v>
      </c>
      <c r="I1826">
        <v>20170101</v>
      </c>
      <c r="J1826" t="s">
        <v>2114</v>
      </c>
    </row>
    <row r="1827" spans="1:13" x14ac:dyDescent="0.3">
      <c r="A1827" s="160">
        <v>21411</v>
      </c>
      <c r="B1827" t="s">
        <v>16982</v>
      </c>
      <c r="C1827" t="s">
        <v>2111</v>
      </c>
      <c r="D1827">
        <v>0.6</v>
      </c>
      <c r="E1827">
        <v>0</v>
      </c>
      <c r="F1827">
        <f t="shared" si="28"/>
        <v>0.6</v>
      </c>
      <c r="I1827">
        <v>20170101</v>
      </c>
      <c r="J1827" t="s">
        <v>2115</v>
      </c>
    </row>
    <row r="1828" spans="1:13" x14ac:dyDescent="0.3">
      <c r="A1828" s="160">
        <v>21412</v>
      </c>
      <c r="B1828" t="s">
        <v>16983</v>
      </c>
      <c r="C1828" t="s">
        <v>2111</v>
      </c>
      <c r="D1828">
        <v>0.6</v>
      </c>
      <c r="E1828">
        <v>0</v>
      </c>
      <c r="F1828">
        <f t="shared" si="28"/>
        <v>0.6</v>
      </c>
      <c r="I1828">
        <v>20170101</v>
      </c>
      <c r="J1828" t="s">
        <v>2114</v>
      </c>
    </row>
    <row r="1829" spans="1:13" x14ac:dyDescent="0.3">
      <c r="A1829" s="160">
        <v>21420</v>
      </c>
      <c r="B1829" t="s">
        <v>16984</v>
      </c>
      <c r="C1829" t="s">
        <v>2111</v>
      </c>
      <c r="D1829">
        <v>0.6</v>
      </c>
      <c r="E1829">
        <v>0</v>
      </c>
      <c r="F1829">
        <f t="shared" si="28"/>
        <v>0.6</v>
      </c>
      <c r="I1829">
        <v>20170101</v>
      </c>
      <c r="J1829" t="s">
        <v>2113</v>
      </c>
    </row>
    <row r="1830" spans="1:13" x14ac:dyDescent="0.3">
      <c r="A1830" s="160">
        <v>21423</v>
      </c>
      <c r="B1830" t="s">
        <v>16985</v>
      </c>
      <c r="C1830" t="s">
        <v>2111</v>
      </c>
      <c r="D1830">
        <v>0.6</v>
      </c>
      <c r="E1830">
        <v>0</v>
      </c>
      <c r="F1830">
        <f t="shared" si="28"/>
        <v>0.6</v>
      </c>
      <c r="I1830">
        <v>20170101</v>
      </c>
      <c r="J1830" t="s">
        <v>2115</v>
      </c>
      <c r="K1830" t="s">
        <v>2120</v>
      </c>
      <c r="L1830" t="s">
        <v>2124</v>
      </c>
    </row>
    <row r="1831" spans="1:13" x14ac:dyDescent="0.3">
      <c r="A1831" s="160">
        <v>21428</v>
      </c>
      <c r="B1831" t="s">
        <v>16986</v>
      </c>
      <c r="C1831" t="s">
        <v>2111</v>
      </c>
      <c r="D1831">
        <v>0.6</v>
      </c>
      <c r="E1831">
        <v>0</v>
      </c>
      <c r="F1831">
        <f t="shared" si="28"/>
        <v>0.6</v>
      </c>
      <c r="I1831">
        <v>20170101</v>
      </c>
      <c r="J1831" t="s">
        <v>2114</v>
      </c>
    </row>
    <row r="1832" spans="1:13" x14ac:dyDescent="0.3">
      <c r="A1832" s="160">
        <v>21450</v>
      </c>
      <c r="B1832" t="s">
        <v>16987</v>
      </c>
      <c r="C1832" t="s">
        <v>2111</v>
      </c>
      <c r="D1832">
        <v>0.6</v>
      </c>
      <c r="E1832">
        <v>0</v>
      </c>
      <c r="F1832">
        <f t="shared" si="28"/>
        <v>0.6</v>
      </c>
      <c r="I1832">
        <v>20170101</v>
      </c>
      <c r="J1832" t="s">
        <v>2114</v>
      </c>
    </row>
    <row r="1833" spans="1:13" x14ac:dyDescent="0.3">
      <c r="A1833" s="160">
        <v>21452</v>
      </c>
      <c r="B1833" t="s">
        <v>16988</v>
      </c>
      <c r="C1833" t="s">
        <v>2109</v>
      </c>
      <c r="D1833">
        <v>2</v>
      </c>
      <c r="E1833">
        <v>0</v>
      </c>
      <c r="F1833">
        <f t="shared" si="28"/>
        <v>2</v>
      </c>
      <c r="I1833">
        <v>20111001</v>
      </c>
      <c r="J1833" t="s">
        <v>2132</v>
      </c>
    </row>
    <row r="1834" spans="1:13" x14ac:dyDescent="0.3">
      <c r="A1834" s="160">
        <v>21461</v>
      </c>
      <c r="B1834" t="s">
        <v>16989</v>
      </c>
      <c r="C1834" t="s">
        <v>2111</v>
      </c>
      <c r="D1834">
        <v>0.6</v>
      </c>
      <c r="E1834">
        <v>0</v>
      </c>
      <c r="F1834">
        <f t="shared" si="28"/>
        <v>0.6</v>
      </c>
      <c r="I1834">
        <v>20170101</v>
      </c>
      <c r="J1834" t="s">
        <v>2113</v>
      </c>
    </row>
    <row r="1835" spans="1:13" x14ac:dyDescent="0.3">
      <c r="A1835" s="160">
        <v>21473</v>
      </c>
      <c r="B1835" t="s">
        <v>16990</v>
      </c>
      <c r="C1835" t="s">
        <v>2109</v>
      </c>
      <c r="D1835">
        <v>2</v>
      </c>
      <c r="E1835">
        <v>0</v>
      </c>
      <c r="F1835">
        <f t="shared" si="28"/>
        <v>2</v>
      </c>
      <c r="I1835">
        <v>20111001</v>
      </c>
      <c r="J1835" t="s">
        <v>2219</v>
      </c>
      <c r="K1835" t="s">
        <v>2220</v>
      </c>
      <c r="L1835" t="s">
        <v>2213</v>
      </c>
      <c r="M1835" t="s">
        <v>2214</v>
      </c>
    </row>
    <row r="1836" spans="1:13" x14ac:dyDescent="0.3">
      <c r="A1836" s="160">
        <v>21480</v>
      </c>
      <c r="B1836" t="s">
        <v>16991</v>
      </c>
      <c r="C1836" t="s">
        <v>2111</v>
      </c>
      <c r="D1836">
        <v>0.6</v>
      </c>
      <c r="E1836">
        <v>0</v>
      </c>
      <c r="F1836">
        <f t="shared" si="28"/>
        <v>0.6</v>
      </c>
      <c r="I1836">
        <v>20170101</v>
      </c>
      <c r="J1836" t="s">
        <v>2112</v>
      </c>
    </row>
    <row r="1837" spans="1:13" x14ac:dyDescent="0.3">
      <c r="A1837" s="160">
        <v>21481</v>
      </c>
      <c r="B1837" t="s">
        <v>16992</v>
      </c>
      <c r="C1837" t="s">
        <v>2109</v>
      </c>
      <c r="D1837">
        <v>2</v>
      </c>
      <c r="E1837">
        <v>0</v>
      </c>
      <c r="F1837">
        <f t="shared" si="28"/>
        <v>2</v>
      </c>
      <c r="I1837">
        <v>20111001</v>
      </c>
      <c r="J1837" t="s">
        <v>2218</v>
      </c>
    </row>
    <row r="1838" spans="1:13" x14ac:dyDescent="0.3">
      <c r="A1838" s="160">
        <v>21485</v>
      </c>
      <c r="B1838" t="s">
        <v>16993</v>
      </c>
      <c r="C1838" t="s">
        <v>2109</v>
      </c>
      <c r="D1838">
        <v>2</v>
      </c>
      <c r="E1838">
        <v>0</v>
      </c>
      <c r="F1838">
        <f t="shared" si="28"/>
        <v>2</v>
      </c>
      <c r="I1838">
        <v>20111001</v>
      </c>
      <c r="J1838" t="s">
        <v>2221</v>
      </c>
    </row>
    <row r="1839" spans="1:13" x14ac:dyDescent="0.3">
      <c r="A1839" s="160">
        <v>21492</v>
      </c>
      <c r="B1839" t="s">
        <v>16994</v>
      </c>
      <c r="C1839" t="s">
        <v>2111</v>
      </c>
      <c r="D1839">
        <v>0.6</v>
      </c>
      <c r="E1839">
        <v>0</v>
      </c>
      <c r="F1839">
        <f t="shared" si="28"/>
        <v>0.6</v>
      </c>
      <c r="I1839">
        <v>20170101</v>
      </c>
      <c r="J1839" t="s">
        <v>2222</v>
      </c>
    </row>
    <row r="1840" spans="1:13" x14ac:dyDescent="0.3">
      <c r="A1840" s="160">
        <v>21512</v>
      </c>
      <c r="B1840" t="s">
        <v>16995</v>
      </c>
      <c r="C1840" t="s">
        <v>2111</v>
      </c>
      <c r="D1840">
        <v>0.6</v>
      </c>
      <c r="E1840">
        <v>0</v>
      </c>
      <c r="F1840">
        <f t="shared" si="28"/>
        <v>0.6</v>
      </c>
      <c r="I1840">
        <v>20170101</v>
      </c>
      <c r="J1840" t="s">
        <v>2114</v>
      </c>
    </row>
    <row r="1841" spans="1:20" x14ac:dyDescent="0.3">
      <c r="A1841" s="160">
        <v>21515</v>
      </c>
      <c r="B1841" t="s">
        <v>16996</v>
      </c>
      <c r="C1841" t="s">
        <v>2109</v>
      </c>
      <c r="D1841">
        <v>2</v>
      </c>
      <c r="E1841">
        <v>0</v>
      </c>
      <c r="F1841">
        <f t="shared" si="28"/>
        <v>2</v>
      </c>
      <c r="I1841">
        <v>20111001</v>
      </c>
      <c r="J1841" t="s">
        <v>2205</v>
      </c>
      <c r="K1841" t="s">
        <v>2132</v>
      </c>
      <c r="L1841" t="s">
        <v>2133</v>
      </c>
      <c r="M1841" t="s">
        <v>2134</v>
      </c>
      <c r="N1841" t="s">
        <v>2135</v>
      </c>
    </row>
    <row r="1842" spans="1:20" x14ac:dyDescent="0.3">
      <c r="A1842" s="160">
        <v>21527</v>
      </c>
      <c r="B1842" t="s">
        <v>16997</v>
      </c>
      <c r="C1842" t="s">
        <v>2111</v>
      </c>
      <c r="D1842">
        <v>0.6</v>
      </c>
      <c r="E1842">
        <v>0</v>
      </c>
      <c r="F1842">
        <f t="shared" si="28"/>
        <v>0.6</v>
      </c>
      <c r="I1842">
        <v>20170101</v>
      </c>
      <c r="J1842" t="s">
        <v>2113</v>
      </c>
    </row>
    <row r="1843" spans="1:20" x14ac:dyDescent="0.3">
      <c r="A1843" s="160">
        <v>21534</v>
      </c>
      <c r="B1843" t="s">
        <v>16998</v>
      </c>
      <c r="C1843" t="s">
        <v>2111</v>
      </c>
      <c r="D1843">
        <v>0.6</v>
      </c>
      <c r="E1843">
        <v>0</v>
      </c>
      <c r="F1843">
        <f t="shared" si="28"/>
        <v>0.6</v>
      </c>
      <c r="I1843">
        <v>20170101</v>
      </c>
      <c r="J1843" t="s">
        <v>2115</v>
      </c>
      <c r="K1843" t="s">
        <v>2120</v>
      </c>
    </row>
    <row r="1844" spans="1:20" x14ac:dyDescent="0.3">
      <c r="A1844" s="160">
        <v>21540</v>
      </c>
      <c r="B1844" t="s">
        <v>15873</v>
      </c>
      <c r="C1844" t="s">
        <v>2109</v>
      </c>
      <c r="D1844">
        <v>2</v>
      </c>
      <c r="E1844">
        <v>0</v>
      </c>
      <c r="F1844">
        <f t="shared" si="28"/>
        <v>2</v>
      </c>
      <c r="I1844">
        <v>20111001</v>
      </c>
      <c r="J1844" t="s">
        <v>2179</v>
      </c>
      <c r="K1844" t="s">
        <v>2190</v>
      </c>
      <c r="L1844" t="s">
        <v>2191</v>
      </c>
      <c r="M1844" t="s">
        <v>2195</v>
      </c>
      <c r="N1844" t="s">
        <v>2198</v>
      </c>
      <c r="O1844" t="s">
        <v>2199</v>
      </c>
      <c r="P1844" t="s">
        <v>2201</v>
      </c>
      <c r="Q1844" t="s">
        <v>2202</v>
      </c>
      <c r="R1844" t="s">
        <v>2203</v>
      </c>
      <c r="S1844" t="s">
        <v>2135</v>
      </c>
      <c r="T1844" t="s">
        <v>2223</v>
      </c>
    </row>
    <row r="1845" spans="1:20" x14ac:dyDescent="0.3">
      <c r="A1845" s="160">
        <v>21541</v>
      </c>
      <c r="B1845" t="s">
        <v>16999</v>
      </c>
      <c r="C1845" t="s">
        <v>2111</v>
      </c>
      <c r="D1845">
        <v>0.6</v>
      </c>
      <c r="E1845">
        <v>0</v>
      </c>
      <c r="F1845">
        <f t="shared" si="28"/>
        <v>0.6</v>
      </c>
      <c r="I1845">
        <v>20170101</v>
      </c>
      <c r="J1845" t="s">
        <v>2114</v>
      </c>
    </row>
    <row r="1846" spans="1:20" x14ac:dyDescent="0.3">
      <c r="A1846" s="160">
        <v>21558</v>
      </c>
      <c r="B1846" t="s">
        <v>17000</v>
      </c>
      <c r="C1846" t="s">
        <v>2111</v>
      </c>
      <c r="D1846">
        <v>0.6</v>
      </c>
      <c r="E1846">
        <v>0</v>
      </c>
      <c r="F1846">
        <f t="shared" si="28"/>
        <v>0.6</v>
      </c>
      <c r="I1846">
        <v>20170101</v>
      </c>
      <c r="J1846" t="s">
        <v>2115</v>
      </c>
    </row>
    <row r="1847" spans="1:20" x14ac:dyDescent="0.3">
      <c r="A1847" s="160">
        <v>21569</v>
      </c>
      <c r="B1847" t="s">
        <v>17001</v>
      </c>
      <c r="C1847" t="s">
        <v>2111</v>
      </c>
      <c r="D1847">
        <v>0.6</v>
      </c>
      <c r="E1847">
        <v>0</v>
      </c>
      <c r="F1847">
        <f t="shared" si="28"/>
        <v>0.6</v>
      </c>
      <c r="I1847">
        <v>20170101</v>
      </c>
      <c r="J1847" t="s">
        <v>2114</v>
      </c>
    </row>
    <row r="1848" spans="1:20" x14ac:dyDescent="0.3">
      <c r="A1848" s="160">
        <v>21582</v>
      </c>
      <c r="B1848" t="s">
        <v>17002</v>
      </c>
      <c r="C1848" t="s">
        <v>2111</v>
      </c>
      <c r="D1848">
        <v>0.6</v>
      </c>
      <c r="E1848">
        <v>0</v>
      </c>
      <c r="F1848">
        <f t="shared" si="28"/>
        <v>0.6</v>
      </c>
      <c r="I1848">
        <v>20170101</v>
      </c>
      <c r="J1848" t="s">
        <v>2224</v>
      </c>
    </row>
    <row r="1849" spans="1:20" x14ac:dyDescent="0.3">
      <c r="A1849" s="160">
        <v>21583</v>
      </c>
      <c r="B1849" t="s">
        <v>17003</v>
      </c>
      <c r="C1849" t="s">
        <v>2111</v>
      </c>
      <c r="D1849">
        <v>0.6</v>
      </c>
      <c r="E1849">
        <v>0</v>
      </c>
      <c r="F1849">
        <f t="shared" si="28"/>
        <v>0.6</v>
      </c>
      <c r="I1849">
        <v>20170101</v>
      </c>
      <c r="J1849" t="s">
        <v>2113</v>
      </c>
    </row>
    <row r="1850" spans="1:20" x14ac:dyDescent="0.3">
      <c r="A1850" s="160">
        <v>21590</v>
      </c>
      <c r="B1850" t="s">
        <v>17004</v>
      </c>
      <c r="C1850" t="s">
        <v>2111</v>
      </c>
      <c r="D1850">
        <v>0.6</v>
      </c>
      <c r="E1850">
        <v>0</v>
      </c>
      <c r="F1850">
        <f t="shared" si="28"/>
        <v>0.6</v>
      </c>
      <c r="I1850">
        <v>20170101</v>
      </c>
      <c r="J1850" t="s">
        <v>2119</v>
      </c>
      <c r="K1850" t="s">
        <v>2124</v>
      </c>
      <c r="L1850" t="s">
        <v>2225</v>
      </c>
      <c r="M1850" t="s">
        <v>2112</v>
      </c>
    </row>
    <row r="1851" spans="1:20" x14ac:dyDescent="0.3">
      <c r="A1851" s="160">
        <v>21605</v>
      </c>
      <c r="B1851" t="s">
        <v>17005</v>
      </c>
      <c r="C1851" t="s">
        <v>2109</v>
      </c>
      <c r="D1851">
        <v>2</v>
      </c>
      <c r="E1851">
        <v>0</v>
      </c>
      <c r="F1851">
        <f t="shared" si="28"/>
        <v>2</v>
      </c>
      <c r="I1851">
        <v>20111001</v>
      </c>
      <c r="J1851" t="s">
        <v>2132</v>
      </c>
    </row>
    <row r="1852" spans="1:20" x14ac:dyDescent="0.3">
      <c r="A1852" s="160">
        <v>21606</v>
      </c>
      <c r="B1852" t="s">
        <v>17006</v>
      </c>
      <c r="C1852" t="s">
        <v>2111</v>
      </c>
      <c r="D1852">
        <v>0.6</v>
      </c>
      <c r="E1852">
        <v>0</v>
      </c>
      <c r="F1852">
        <f t="shared" si="28"/>
        <v>0.6</v>
      </c>
      <c r="I1852">
        <v>20170101</v>
      </c>
      <c r="J1852" t="s">
        <v>2226</v>
      </c>
    </row>
    <row r="1853" spans="1:20" x14ac:dyDescent="0.3">
      <c r="A1853" s="160">
        <v>21616</v>
      </c>
      <c r="B1853" t="s">
        <v>17007</v>
      </c>
      <c r="C1853" t="s">
        <v>2111</v>
      </c>
      <c r="D1853">
        <v>0.6</v>
      </c>
      <c r="E1853">
        <v>0</v>
      </c>
      <c r="F1853">
        <f t="shared" si="28"/>
        <v>0.6</v>
      </c>
      <c r="I1853">
        <v>20170101</v>
      </c>
      <c r="J1853" t="s">
        <v>2114</v>
      </c>
    </row>
    <row r="1854" spans="1:20" x14ac:dyDescent="0.3">
      <c r="A1854" s="160">
        <v>21617</v>
      </c>
      <c r="B1854" t="s">
        <v>17008</v>
      </c>
      <c r="C1854" t="s">
        <v>2109</v>
      </c>
      <c r="D1854">
        <v>2</v>
      </c>
      <c r="E1854">
        <v>0</v>
      </c>
      <c r="F1854">
        <f t="shared" si="28"/>
        <v>2</v>
      </c>
      <c r="I1854">
        <v>20111001</v>
      </c>
      <c r="J1854" t="s">
        <v>2227</v>
      </c>
    </row>
    <row r="1855" spans="1:20" x14ac:dyDescent="0.3">
      <c r="A1855" s="160">
        <v>21636</v>
      </c>
      <c r="B1855" t="s">
        <v>17009</v>
      </c>
      <c r="C1855" t="s">
        <v>2111</v>
      </c>
      <c r="D1855">
        <v>0.6</v>
      </c>
      <c r="E1855">
        <v>0</v>
      </c>
      <c r="F1855">
        <f t="shared" si="28"/>
        <v>0.6</v>
      </c>
      <c r="I1855">
        <v>20170101</v>
      </c>
      <c r="J1855" t="s">
        <v>2113</v>
      </c>
    </row>
    <row r="1856" spans="1:20" x14ac:dyDescent="0.3">
      <c r="A1856" s="160">
        <v>21658</v>
      </c>
      <c r="B1856" t="s">
        <v>17010</v>
      </c>
      <c r="C1856" t="s">
        <v>2111</v>
      </c>
      <c r="D1856">
        <v>0.6</v>
      </c>
      <c r="E1856">
        <v>0</v>
      </c>
      <c r="F1856">
        <f t="shared" si="28"/>
        <v>0.6</v>
      </c>
      <c r="I1856">
        <v>20170101</v>
      </c>
      <c r="J1856" t="s">
        <v>2113</v>
      </c>
    </row>
    <row r="1857" spans="1:15" x14ac:dyDescent="0.3">
      <c r="A1857" s="160">
        <v>21684</v>
      </c>
      <c r="B1857" t="s">
        <v>17011</v>
      </c>
      <c r="C1857" t="s">
        <v>2111</v>
      </c>
      <c r="D1857">
        <v>0.6</v>
      </c>
      <c r="E1857">
        <v>0</v>
      </c>
      <c r="F1857">
        <f t="shared" si="28"/>
        <v>0.6</v>
      </c>
      <c r="I1857">
        <v>20170101</v>
      </c>
      <c r="J1857" t="s">
        <v>2115</v>
      </c>
      <c r="K1857" t="s">
        <v>2117</v>
      </c>
      <c r="L1857" t="s">
        <v>2119</v>
      </c>
      <c r="M1857" t="s">
        <v>2120</v>
      </c>
      <c r="N1857" t="s">
        <v>2121</v>
      </c>
      <c r="O1857" t="s">
        <v>2124</v>
      </c>
    </row>
    <row r="1858" spans="1:15" x14ac:dyDescent="0.3">
      <c r="A1858" s="160">
        <v>21712</v>
      </c>
      <c r="B1858" t="s">
        <v>17012</v>
      </c>
      <c r="C1858" t="s">
        <v>2111</v>
      </c>
      <c r="D1858">
        <v>0.6</v>
      </c>
      <c r="E1858">
        <v>0</v>
      </c>
      <c r="F1858">
        <f t="shared" si="28"/>
        <v>0.6</v>
      </c>
      <c r="I1858">
        <v>20170101</v>
      </c>
      <c r="J1858" t="s">
        <v>2114</v>
      </c>
    </row>
    <row r="1859" spans="1:15" x14ac:dyDescent="0.3">
      <c r="A1859" s="160">
        <v>22002</v>
      </c>
      <c r="B1859" t="s">
        <v>17013</v>
      </c>
      <c r="C1859" t="s">
        <v>2228</v>
      </c>
      <c r="D1859">
        <v>0.6</v>
      </c>
      <c r="E1859">
        <v>0</v>
      </c>
      <c r="F1859">
        <f t="shared" si="28"/>
        <v>0.6</v>
      </c>
      <c r="I1859">
        <v>20200101</v>
      </c>
      <c r="J1859" t="s">
        <v>2229</v>
      </c>
    </row>
    <row r="1860" spans="1:15" x14ac:dyDescent="0.3">
      <c r="A1860" s="160">
        <v>22003</v>
      </c>
      <c r="B1860" t="s">
        <v>17014</v>
      </c>
      <c r="C1860" t="s">
        <v>2230</v>
      </c>
      <c r="D1860">
        <v>0.4</v>
      </c>
      <c r="E1860">
        <v>0</v>
      </c>
      <c r="F1860">
        <f t="shared" si="28"/>
        <v>0.4</v>
      </c>
      <c r="I1860">
        <v>20190101</v>
      </c>
      <c r="J1860" t="s">
        <v>2231</v>
      </c>
      <c r="K1860" t="s">
        <v>2232</v>
      </c>
      <c r="L1860" t="s">
        <v>2233</v>
      </c>
    </row>
    <row r="1861" spans="1:15" x14ac:dyDescent="0.3">
      <c r="A1861" s="160">
        <v>22004</v>
      </c>
      <c r="B1861" t="s">
        <v>17015</v>
      </c>
      <c r="C1861" t="s">
        <v>2234</v>
      </c>
      <c r="D1861">
        <v>0.5</v>
      </c>
      <c r="E1861">
        <v>0</v>
      </c>
      <c r="F1861">
        <f t="shared" si="28"/>
        <v>0.5</v>
      </c>
      <c r="I1861">
        <v>20210701</v>
      </c>
      <c r="J1861" t="s">
        <v>2235</v>
      </c>
    </row>
    <row r="1862" spans="1:15" x14ac:dyDescent="0.3">
      <c r="A1862" s="160">
        <v>22005</v>
      </c>
      <c r="B1862" t="s">
        <v>17016</v>
      </c>
      <c r="C1862" t="s">
        <v>2234</v>
      </c>
      <c r="D1862">
        <v>0.5</v>
      </c>
      <c r="E1862">
        <v>0</v>
      </c>
      <c r="F1862">
        <f t="shared" si="28"/>
        <v>0.5</v>
      </c>
      <c r="I1862">
        <v>20240101</v>
      </c>
      <c r="J1862" t="s">
        <v>2236</v>
      </c>
    </row>
    <row r="1863" spans="1:15" x14ac:dyDescent="0.3">
      <c r="A1863" s="160">
        <v>22006</v>
      </c>
      <c r="B1863" t="s">
        <v>17017</v>
      </c>
      <c r="C1863" t="s">
        <v>2237</v>
      </c>
      <c r="D1863">
        <v>0.55000000000000004</v>
      </c>
      <c r="E1863">
        <v>0</v>
      </c>
      <c r="F1863">
        <f t="shared" ref="F1863:F1926" si="29">D1863+E1863</f>
        <v>0.55000000000000004</v>
      </c>
      <c r="I1863">
        <v>20160701</v>
      </c>
      <c r="J1863" t="s">
        <v>2235</v>
      </c>
    </row>
    <row r="1864" spans="1:15" x14ac:dyDescent="0.3">
      <c r="A1864" s="160">
        <v>22008</v>
      </c>
      <c r="B1864" t="s">
        <v>17018</v>
      </c>
      <c r="C1864" t="s">
        <v>2230</v>
      </c>
      <c r="D1864">
        <v>0.4</v>
      </c>
      <c r="E1864">
        <v>0</v>
      </c>
      <c r="F1864">
        <f t="shared" si="29"/>
        <v>0.4</v>
      </c>
      <c r="I1864">
        <v>20190101</v>
      </c>
      <c r="J1864" t="s">
        <v>2231</v>
      </c>
    </row>
    <row r="1865" spans="1:15" x14ac:dyDescent="0.3">
      <c r="A1865" s="160">
        <v>22009</v>
      </c>
      <c r="B1865" t="s">
        <v>17019</v>
      </c>
      <c r="C1865" t="s">
        <v>2238</v>
      </c>
      <c r="D1865">
        <v>1.6</v>
      </c>
      <c r="E1865">
        <v>0</v>
      </c>
      <c r="F1865">
        <f t="shared" si="29"/>
        <v>1.6</v>
      </c>
      <c r="I1865">
        <v>20220101</v>
      </c>
      <c r="J1865" t="s">
        <v>2239</v>
      </c>
    </row>
    <row r="1866" spans="1:15" x14ac:dyDescent="0.3">
      <c r="A1866" s="160">
        <v>22012</v>
      </c>
      <c r="B1866" t="s">
        <v>17020</v>
      </c>
      <c r="C1866" t="s">
        <v>2228</v>
      </c>
      <c r="D1866">
        <v>0.6</v>
      </c>
      <c r="E1866">
        <v>0</v>
      </c>
      <c r="F1866">
        <f t="shared" si="29"/>
        <v>0.6</v>
      </c>
      <c r="I1866">
        <v>20200101</v>
      </c>
      <c r="J1866" t="s">
        <v>2240</v>
      </c>
    </row>
    <row r="1867" spans="1:15" x14ac:dyDescent="0.3">
      <c r="A1867" s="160">
        <v>22013</v>
      </c>
      <c r="B1867" t="s">
        <v>17021</v>
      </c>
      <c r="C1867" t="s">
        <v>2234</v>
      </c>
      <c r="D1867">
        <v>0.5</v>
      </c>
      <c r="E1867">
        <v>0</v>
      </c>
      <c r="F1867">
        <f t="shared" si="29"/>
        <v>0.5</v>
      </c>
      <c r="I1867">
        <v>20240101</v>
      </c>
      <c r="J1867" t="s">
        <v>2241</v>
      </c>
    </row>
    <row r="1868" spans="1:15" x14ac:dyDescent="0.3">
      <c r="A1868" s="160">
        <v>22014</v>
      </c>
      <c r="B1868" t="s">
        <v>17022</v>
      </c>
      <c r="C1868" t="s">
        <v>2230</v>
      </c>
      <c r="D1868">
        <v>0.4</v>
      </c>
      <c r="E1868">
        <v>0</v>
      </c>
      <c r="F1868">
        <f t="shared" si="29"/>
        <v>0.4</v>
      </c>
      <c r="I1868">
        <v>20190101</v>
      </c>
      <c r="J1868" t="s">
        <v>2242</v>
      </c>
    </row>
    <row r="1869" spans="1:15" x14ac:dyDescent="0.3">
      <c r="A1869" s="160">
        <v>22015</v>
      </c>
      <c r="B1869" t="s">
        <v>17023</v>
      </c>
      <c r="C1869" t="s">
        <v>2228</v>
      </c>
      <c r="D1869">
        <v>0.6</v>
      </c>
      <c r="E1869">
        <v>0</v>
      </c>
      <c r="F1869">
        <f t="shared" si="29"/>
        <v>0.6</v>
      </c>
      <c r="I1869">
        <v>20200101</v>
      </c>
      <c r="J1869" t="s">
        <v>2243</v>
      </c>
    </row>
    <row r="1870" spans="1:15" x14ac:dyDescent="0.3">
      <c r="A1870" s="160">
        <v>22018</v>
      </c>
      <c r="B1870" t="s">
        <v>17024</v>
      </c>
      <c r="C1870" t="s">
        <v>2234</v>
      </c>
      <c r="D1870">
        <v>0.5</v>
      </c>
      <c r="E1870">
        <v>0</v>
      </c>
      <c r="F1870">
        <f t="shared" si="29"/>
        <v>0.5</v>
      </c>
      <c r="I1870">
        <v>20210701</v>
      </c>
      <c r="J1870" t="s">
        <v>2235</v>
      </c>
    </row>
    <row r="1871" spans="1:15" x14ac:dyDescent="0.3">
      <c r="A1871" s="160">
        <v>22020</v>
      </c>
      <c r="B1871" t="s">
        <v>17025</v>
      </c>
      <c r="C1871" t="s">
        <v>2230</v>
      </c>
      <c r="D1871">
        <v>0.4</v>
      </c>
      <c r="E1871">
        <v>0</v>
      </c>
      <c r="F1871">
        <f t="shared" si="29"/>
        <v>0.4</v>
      </c>
      <c r="I1871">
        <v>20190101</v>
      </c>
      <c r="J1871" t="s">
        <v>2244</v>
      </c>
    </row>
    <row r="1872" spans="1:15" x14ac:dyDescent="0.3">
      <c r="A1872" s="160">
        <v>22021</v>
      </c>
      <c r="B1872" t="s">
        <v>17026</v>
      </c>
      <c r="C1872" t="s">
        <v>2230</v>
      </c>
      <c r="D1872">
        <v>0.4</v>
      </c>
      <c r="E1872">
        <v>0</v>
      </c>
      <c r="F1872">
        <f t="shared" si="29"/>
        <v>0.4</v>
      </c>
      <c r="I1872">
        <v>20190101</v>
      </c>
      <c r="J1872" t="s">
        <v>2231</v>
      </c>
    </row>
    <row r="1873" spans="1:12" x14ac:dyDescent="0.3">
      <c r="A1873" s="160">
        <v>22023</v>
      </c>
      <c r="B1873" t="s">
        <v>17027</v>
      </c>
      <c r="C1873" t="s">
        <v>2234</v>
      </c>
      <c r="D1873">
        <v>0.5</v>
      </c>
      <c r="E1873">
        <v>0</v>
      </c>
      <c r="F1873">
        <f t="shared" si="29"/>
        <v>0.5</v>
      </c>
      <c r="I1873">
        <v>20240101</v>
      </c>
      <c r="J1873" t="s">
        <v>2245</v>
      </c>
    </row>
    <row r="1874" spans="1:12" x14ac:dyDescent="0.3">
      <c r="A1874" s="160">
        <v>22024</v>
      </c>
      <c r="B1874" t="s">
        <v>17028</v>
      </c>
      <c r="C1874" t="s">
        <v>2234</v>
      </c>
      <c r="D1874">
        <v>0.5</v>
      </c>
      <c r="E1874">
        <v>0</v>
      </c>
      <c r="F1874">
        <f t="shared" si="29"/>
        <v>0.5</v>
      </c>
      <c r="I1874">
        <v>20240101</v>
      </c>
      <c r="J1874" t="s">
        <v>2245</v>
      </c>
    </row>
    <row r="1875" spans="1:12" x14ac:dyDescent="0.3">
      <c r="A1875" s="160">
        <v>22025</v>
      </c>
      <c r="B1875" t="s">
        <v>17029</v>
      </c>
      <c r="C1875" t="s">
        <v>2234</v>
      </c>
      <c r="D1875">
        <v>0.5</v>
      </c>
      <c r="E1875">
        <v>0</v>
      </c>
      <c r="F1875">
        <f t="shared" si="29"/>
        <v>0.5</v>
      </c>
      <c r="I1875">
        <v>20240101</v>
      </c>
      <c r="J1875" t="s">
        <v>2245</v>
      </c>
    </row>
    <row r="1876" spans="1:12" x14ac:dyDescent="0.3">
      <c r="A1876" s="160">
        <v>22026</v>
      </c>
      <c r="B1876" t="s">
        <v>17030</v>
      </c>
      <c r="C1876" t="s">
        <v>2230</v>
      </c>
      <c r="D1876">
        <v>0.4</v>
      </c>
      <c r="E1876">
        <v>0</v>
      </c>
      <c r="F1876">
        <f t="shared" si="29"/>
        <v>0.4</v>
      </c>
      <c r="I1876">
        <v>20190101</v>
      </c>
      <c r="J1876" t="s">
        <v>2231</v>
      </c>
    </row>
    <row r="1877" spans="1:12" x14ac:dyDescent="0.3">
      <c r="A1877" s="160">
        <v>22028</v>
      </c>
      <c r="B1877" t="s">
        <v>17031</v>
      </c>
      <c r="C1877" t="s">
        <v>2237</v>
      </c>
      <c r="D1877">
        <v>0.55000000000000004</v>
      </c>
      <c r="E1877">
        <v>0</v>
      </c>
      <c r="F1877">
        <f t="shared" si="29"/>
        <v>0.55000000000000004</v>
      </c>
      <c r="I1877">
        <v>20170401</v>
      </c>
      <c r="J1877" t="s">
        <v>2246</v>
      </c>
    </row>
    <row r="1878" spans="1:12" x14ac:dyDescent="0.3">
      <c r="A1878" s="160">
        <v>22030</v>
      </c>
      <c r="B1878" t="s">
        <v>17032</v>
      </c>
      <c r="C1878" t="s">
        <v>2237</v>
      </c>
      <c r="D1878">
        <v>0.55000000000000004</v>
      </c>
      <c r="E1878">
        <v>0</v>
      </c>
      <c r="F1878">
        <f t="shared" si="29"/>
        <v>0.55000000000000004</v>
      </c>
      <c r="I1878">
        <v>20160701</v>
      </c>
      <c r="J1878" t="s">
        <v>2247</v>
      </c>
    </row>
    <row r="1879" spans="1:12" x14ac:dyDescent="0.3">
      <c r="A1879" s="160">
        <v>22031</v>
      </c>
      <c r="B1879" t="s">
        <v>17033</v>
      </c>
      <c r="C1879" t="s">
        <v>2234</v>
      </c>
      <c r="D1879">
        <v>0.5</v>
      </c>
      <c r="E1879">
        <v>0</v>
      </c>
      <c r="F1879">
        <f t="shared" si="29"/>
        <v>0.5</v>
      </c>
      <c r="I1879">
        <v>20240101</v>
      </c>
      <c r="J1879" t="s">
        <v>2245</v>
      </c>
    </row>
    <row r="1880" spans="1:12" x14ac:dyDescent="0.3">
      <c r="A1880" s="160">
        <v>22032</v>
      </c>
      <c r="B1880" t="s">
        <v>17034</v>
      </c>
      <c r="C1880" t="s">
        <v>2230</v>
      </c>
      <c r="D1880">
        <v>0.4</v>
      </c>
      <c r="E1880">
        <v>0</v>
      </c>
      <c r="F1880">
        <f t="shared" si="29"/>
        <v>0.4</v>
      </c>
      <c r="I1880">
        <v>20190101</v>
      </c>
      <c r="J1880" t="s">
        <v>2248</v>
      </c>
    </row>
    <row r="1881" spans="1:12" x14ac:dyDescent="0.3">
      <c r="A1881" s="160">
        <v>22034</v>
      </c>
      <c r="B1881" t="s">
        <v>17035</v>
      </c>
      <c r="C1881" t="s">
        <v>2237</v>
      </c>
      <c r="D1881">
        <v>0.55000000000000004</v>
      </c>
      <c r="E1881">
        <v>0</v>
      </c>
      <c r="F1881">
        <f t="shared" si="29"/>
        <v>0.55000000000000004</v>
      </c>
      <c r="I1881">
        <v>20160701</v>
      </c>
      <c r="J1881" t="s">
        <v>2235</v>
      </c>
    </row>
    <row r="1882" spans="1:12" x14ac:dyDescent="0.3">
      <c r="A1882" s="160">
        <v>22035</v>
      </c>
      <c r="B1882" t="s">
        <v>17036</v>
      </c>
      <c r="C1882" t="s">
        <v>2230</v>
      </c>
      <c r="D1882">
        <v>0.4</v>
      </c>
      <c r="E1882">
        <v>0</v>
      </c>
      <c r="F1882">
        <f t="shared" si="29"/>
        <v>0.4</v>
      </c>
      <c r="I1882">
        <v>20190101</v>
      </c>
      <c r="J1882" t="s">
        <v>2249</v>
      </c>
    </row>
    <row r="1883" spans="1:12" x14ac:dyDescent="0.3">
      <c r="A1883" s="160">
        <v>22036</v>
      </c>
      <c r="B1883" t="s">
        <v>17037</v>
      </c>
      <c r="C1883" t="s">
        <v>2230</v>
      </c>
      <c r="D1883">
        <v>0.4</v>
      </c>
      <c r="E1883">
        <v>0</v>
      </c>
      <c r="F1883">
        <f t="shared" si="29"/>
        <v>0.4</v>
      </c>
      <c r="I1883">
        <v>20190101</v>
      </c>
      <c r="J1883" t="s">
        <v>2248</v>
      </c>
    </row>
    <row r="1884" spans="1:12" x14ac:dyDescent="0.3">
      <c r="A1884" s="160">
        <v>22037</v>
      </c>
      <c r="B1884" t="s">
        <v>17038</v>
      </c>
      <c r="C1884" t="s">
        <v>2234</v>
      </c>
      <c r="D1884">
        <v>0.5</v>
      </c>
      <c r="E1884">
        <v>0</v>
      </c>
      <c r="F1884">
        <f t="shared" si="29"/>
        <v>0.5</v>
      </c>
      <c r="I1884">
        <v>20240101</v>
      </c>
      <c r="J1884" t="s">
        <v>2245</v>
      </c>
    </row>
    <row r="1885" spans="1:12" x14ac:dyDescent="0.3">
      <c r="A1885" s="160">
        <v>22040</v>
      </c>
      <c r="B1885" t="s">
        <v>17039</v>
      </c>
      <c r="C1885" t="s">
        <v>2234</v>
      </c>
      <c r="D1885">
        <v>0.5</v>
      </c>
      <c r="E1885">
        <v>0</v>
      </c>
      <c r="F1885">
        <f t="shared" si="29"/>
        <v>0.5</v>
      </c>
      <c r="I1885">
        <v>20240101</v>
      </c>
      <c r="J1885" t="s">
        <v>2250</v>
      </c>
      <c r="K1885" t="s">
        <v>2251</v>
      </c>
      <c r="L1885" t="s">
        <v>2252</v>
      </c>
    </row>
    <row r="1886" spans="1:12" x14ac:dyDescent="0.3">
      <c r="A1886" s="160">
        <v>22041</v>
      </c>
      <c r="B1886" t="s">
        <v>17040</v>
      </c>
      <c r="C1886" t="s">
        <v>2237</v>
      </c>
      <c r="D1886">
        <v>0.55000000000000004</v>
      </c>
      <c r="E1886">
        <v>0</v>
      </c>
      <c r="F1886">
        <f t="shared" si="29"/>
        <v>0.55000000000000004</v>
      </c>
      <c r="I1886">
        <v>20160701</v>
      </c>
      <c r="J1886" t="s">
        <v>2235</v>
      </c>
    </row>
    <row r="1887" spans="1:12" x14ac:dyDescent="0.3">
      <c r="A1887" s="160">
        <v>22042</v>
      </c>
      <c r="B1887" t="s">
        <v>17041</v>
      </c>
      <c r="C1887" t="s">
        <v>2237</v>
      </c>
      <c r="D1887">
        <v>0.55000000000000004</v>
      </c>
      <c r="E1887">
        <v>0</v>
      </c>
      <c r="F1887">
        <f t="shared" si="29"/>
        <v>0.55000000000000004</v>
      </c>
      <c r="I1887">
        <v>20170401</v>
      </c>
      <c r="J1887" t="s">
        <v>2246</v>
      </c>
    </row>
    <row r="1888" spans="1:12" x14ac:dyDescent="0.3">
      <c r="A1888" s="160">
        <v>22044</v>
      </c>
      <c r="B1888" t="s">
        <v>17042</v>
      </c>
      <c r="C1888" t="s">
        <v>2228</v>
      </c>
      <c r="D1888">
        <v>0.6</v>
      </c>
      <c r="E1888">
        <v>0</v>
      </c>
      <c r="F1888">
        <f t="shared" si="29"/>
        <v>0.6</v>
      </c>
      <c r="I1888">
        <v>20200101</v>
      </c>
      <c r="J1888" t="s">
        <v>2229</v>
      </c>
      <c r="K1888" t="s">
        <v>2253</v>
      </c>
    </row>
    <row r="1889" spans="1:18" x14ac:dyDescent="0.3">
      <c r="A1889" s="160">
        <v>22048</v>
      </c>
      <c r="B1889" t="s">
        <v>17043</v>
      </c>
      <c r="C1889" t="s">
        <v>2230</v>
      </c>
      <c r="D1889">
        <v>0.4</v>
      </c>
      <c r="E1889">
        <v>0</v>
      </c>
      <c r="F1889">
        <f t="shared" si="29"/>
        <v>0.4</v>
      </c>
      <c r="I1889">
        <v>20190101</v>
      </c>
      <c r="J1889" t="s">
        <v>2242</v>
      </c>
    </row>
    <row r="1890" spans="1:18" x14ac:dyDescent="0.3">
      <c r="A1890" s="160">
        <v>22049</v>
      </c>
      <c r="B1890" t="s">
        <v>17044</v>
      </c>
      <c r="C1890" t="s">
        <v>2230</v>
      </c>
      <c r="D1890">
        <v>0.4</v>
      </c>
      <c r="E1890">
        <v>0</v>
      </c>
      <c r="F1890">
        <f t="shared" si="29"/>
        <v>0.4</v>
      </c>
      <c r="I1890">
        <v>20190101</v>
      </c>
      <c r="J1890" t="s">
        <v>2242</v>
      </c>
    </row>
    <row r="1891" spans="1:18" x14ac:dyDescent="0.3">
      <c r="A1891" s="160">
        <v>22050</v>
      </c>
      <c r="B1891" t="s">
        <v>17045</v>
      </c>
      <c r="C1891" t="s">
        <v>2230</v>
      </c>
      <c r="D1891">
        <v>0.4</v>
      </c>
      <c r="E1891">
        <v>0</v>
      </c>
      <c r="F1891">
        <f t="shared" si="29"/>
        <v>0.4</v>
      </c>
      <c r="I1891">
        <v>20190101</v>
      </c>
      <c r="J1891" t="s">
        <v>2231</v>
      </c>
      <c r="K1891" t="s">
        <v>2254</v>
      </c>
      <c r="L1891" t="s">
        <v>2255</v>
      </c>
      <c r="M1891" t="s">
        <v>2232</v>
      </c>
      <c r="N1891" t="s">
        <v>2256</v>
      </c>
      <c r="O1891" t="s">
        <v>2257</v>
      </c>
      <c r="P1891" t="s">
        <v>2233</v>
      </c>
      <c r="Q1891" t="s">
        <v>2258</v>
      </c>
      <c r="R1891" t="s">
        <v>2259</v>
      </c>
    </row>
    <row r="1892" spans="1:18" x14ac:dyDescent="0.3">
      <c r="A1892" s="160">
        <v>22052</v>
      </c>
      <c r="B1892" t="s">
        <v>17046</v>
      </c>
      <c r="C1892" t="s">
        <v>2234</v>
      </c>
      <c r="D1892">
        <v>0.5</v>
      </c>
      <c r="E1892">
        <v>0</v>
      </c>
      <c r="F1892">
        <f t="shared" si="29"/>
        <v>0.5</v>
      </c>
      <c r="I1892">
        <v>20240101</v>
      </c>
      <c r="J1892" t="s">
        <v>2245</v>
      </c>
    </row>
    <row r="1893" spans="1:18" x14ac:dyDescent="0.3">
      <c r="A1893" s="160">
        <v>22053</v>
      </c>
      <c r="B1893" t="s">
        <v>17047</v>
      </c>
      <c r="C1893" t="s">
        <v>2228</v>
      </c>
      <c r="D1893">
        <v>0.6</v>
      </c>
      <c r="E1893">
        <v>0</v>
      </c>
      <c r="F1893">
        <f t="shared" si="29"/>
        <v>0.6</v>
      </c>
      <c r="I1893">
        <v>20200101</v>
      </c>
      <c r="J1893" t="s">
        <v>2244</v>
      </c>
    </row>
    <row r="1894" spans="1:18" x14ac:dyDescent="0.3">
      <c r="A1894" s="160">
        <v>22054</v>
      </c>
      <c r="B1894" t="s">
        <v>17048</v>
      </c>
      <c r="C1894" t="s">
        <v>2228</v>
      </c>
      <c r="D1894">
        <v>0.6</v>
      </c>
      <c r="E1894">
        <v>0</v>
      </c>
      <c r="F1894">
        <f t="shared" si="29"/>
        <v>0.6</v>
      </c>
      <c r="I1894">
        <v>20200101</v>
      </c>
      <c r="J1894" t="s">
        <v>2260</v>
      </c>
    </row>
    <row r="1895" spans="1:18" x14ac:dyDescent="0.3">
      <c r="A1895" s="160">
        <v>22055</v>
      </c>
      <c r="B1895" t="s">
        <v>17049</v>
      </c>
      <c r="C1895" t="s">
        <v>2238</v>
      </c>
      <c r="D1895">
        <v>1.6</v>
      </c>
      <c r="E1895">
        <v>0</v>
      </c>
      <c r="F1895">
        <f t="shared" si="29"/>
        <v>1.6</v>
      </c>
      <c r="I1895">
        <v>20220101</v>
      </c>
      <c r="J1895" t="s">
        <v>2261</v>
      </c>
      <c r="K1895" t="s">
        <v>2262</v>
      </c>
    </row>
    <row r="1896" spans="1:18" x14ac:dyDescent="0.3">
      <c r="A1896" s="160">
        <v>22056</v>
      </c>
      <c r="B1896" t="s">
        <v>17050</v>
      </c>
      <c r="C1896" t="s">
        <v>2230</v>
      </c>
      <c r="D1896">
        <v>0.4</v>
      </c>
      <c r="E1896">
        <v>0</v>
      </c>
      <c r="F1896">
        <f t="shared" si="29"/>
        <v>0.4</v>
      </c>
      <c r="I1896">
        <v>20190101</v>
      </c>
      <c r="J1896" t="s">
        <v>2249</v>
      </c>
    </row>
    <row r="1897" spans="1:18" x14ac:dyDescent="0.3">
      <c r="A1897" s="160">
        <v>22059</v>
      </c>
      <c r="B1897" t="s">
        <v>17051</v>
      </c>
      <c r="C1897" t="s">
        <v>2238</v>
      </c>
      <c r="D1897">
        <v>1.6</v>
      </c>
      <c r="E1897">
        <v>0</v>
      </c>
      <c r="F1897">
        <f t="shared" si="29"/>
        <v>1.6</v>
      </c>
      <c r="I1897">
        <v>20220101</v>
      </c>
      <c r="J1897" t="s">
        <v>2263</v>
      </c>
    </row>
    <row r="1898" spans="1:18" x14ac:dyDescent="0.3">
      <c r="A1898" s="160">
        <v>22067</v>
      </c>
      <c r="B1898" t="s">
        <v>17052</v>
      </c>
      <c r="C1898" t="s">
        <v>2234</v>
      </c>
      <c r="D1898">
        <v>0.5</v>
      </c>
      <c r="E1898">
        <v>0</v>
      </c>
      <c r="F1898">
        <f t="shared" si="29"/>
        <v>0.5</v>
      </c>
      <c r="I1898">
        <v>20210701</v>
      </c>
      <c r="J1898" t="s">
        <v>2264</v>
      </c>
      <c r="K1898" t="s">
        <v>2250</v>
      </c>
      <c r="L1898" t="s">
        <v>2265</v>
      </c>
      <c r="M1898" t="s">
        <v>2266</v>
      </c>
      <c r="N1898" t="s">
        <v>2267</v>
      </c>
    </row>
    <row r="1899" spans="1:18" x14ac:dyDescent="0.3">
      <c r="A1899" s="160">
        <v>22069</v>
      </c>
      <c r="B1899" t="s">
        <v>17053</v>
      </c>
      <c r="C1899" t="s">
        <v>2230</v>
      </c>
      <c r="D1899">
        <v>0.4</v>
      </c>
      <c r="E1899">
        <v>0</v>
      </c>
      <c r="F1899">
        <f t="shared" si="29"/>
        <v>0.4</v>
      </c>
      <c r="I1899">
        <v>20190101</v>
      </c>
      <c r="J1899" t="s">
        <v>2248</v>
      </c>
    </row>
    <row r="1900" spans="1:18" x14ac:dyDescent="0.3">
      <c r="A1900" s="160">
        <v>22070</v>
      </c>
      <c r="B1900" t="s">
        <v>17054</v>
      </c>
      <c r="C1900" t="s">
        <v>2234</v>
      </c>
      <c r="D1900">
        <v>0.5</v>
      </c>
      <c r="E1900">
        <v>0</v>
      </c>
      <c r="F1900">
        <f t="shared" si="29"/>
        <v>0.5</v>
      </c>
      <c r="I1900">
        <v>20210701</v>
      </c>
      <c r="J1900" t="s">
        <v>2264</v>
      </c>
      <c r="K1900" t="s">
        <v>2250</v>
      </c>
      <c r="L1900" t="s">
        <v>2251</v>
      </c>
      <c r="M1900" t="s">
        <v>2265</v>
      </c>
      <c r="N1900" t="s">
        <v>2266</v>
      </c>
      <c r="O1900" t="s">
        <v>2267</v>
      </c>
    </row>
    <row r="1901" spans="1:18" x14ac:dyDescent="0.3">
      <c r="A1901" s="160">
        <v>22071</v>
      </c>
      <c r="B1901" t="s">
        <v>17055</v>
      </c>
      <c r="C1901" t="s">
        <v>2230</v>
      </c>
      <c r="D1901">
        <v>0.4</v>
      </c>
      <c r="E1901">
        <v>0</v>
      </c>
      <c r="F1901">
        <f t="shared" si="29"/>
        <v>0.4</v>
      </c>
      <c r="I1901">
        <v>20190101</v>
      </c>
      <c r="J1901" t="s">
        <v>2248</v>
      </c>
    </row>
    <row r="1902" spans="1:18" x14ac:dyDescent="0.3">
      <c r="A1902" s="160">
        <v>22072</v>
      </c>
      <c r="B1902" t="s">
        <v>17056</v>
      </c>
      <c r="C1902" t="s">
        <v>2234</v>
      </c>
      <c r="D1902">
        <v>0.5</v>
      </c>
      <c r="E1902">
        <v>0</v>
      </c>
      <c r="F1902">
        <f t="shared" si="29"/>
        <v>0.5</v>
      </c>
      <c r="I1902">
        <v>20240101</v>
      </c>
      <c r="J1902" t="s">
        <v>2241</v>
      </c>
    </row>
    <row r="1903" spans="1:18" x14ac:dyDescent="0.3">
      <c r="A1903" s="160">
        <v>22073</v>
      </c>
      <c r="B1903" t="s">
        <v>17057</v>
      </c>
      <c r="C1903" t="s">
        <v>2238</v>
      </c>
      <c r="D1903">
        <v>1.6</v>
      </c>
      <c r="E1903">
        <v>0</v>
      </c>
      <c r="F1903">
        <f t="shared" si="29"/>
        <v>1.6</v>
      </c>
      <c r="I1903">
        <v>20220101</v>
      </c>
      <c r="J1903" t="s">
        <v>2239</v>
      </c>
    </row>
    <row r="1904" spans="1:18" x14ac:dyDescent="0.3">
      <c r="A1904" s="160">
        <v>22076</v>
      </c>
      <c r="B1904" t="s">
        <v>17058</v>
      </c>
      <c r="C1904" t="s">
        <v>2228</v>
      </c>
      <c r="D1904">
        <v>0.6</v>
      </c>
      <c r="E1904">
        <v>0</v>
      </c>
      <c r="F1904">
        <f t="shared" si="29"/>
        <v>0.6</v>
      </c>
      <c r="I1904">
        <v>20200101</v>
      </c>
      <c r="J1904" t="s">
        <v>2268</v>
      </c>
    </row>
    <row r="1905" spans="1:14" x14ac:dyDescent="0.3">
      <c r="A1905" s="160">
        <v>22077</v>
      </c>
      <c r="B1905" t="s">
        <v>17059</v>
      </c>
      <c r="C1905" t="s">
        <v>2228</v>
      </c>
      <c r="D1905">
        <v>0.6</v>
      </c>
      <c r="E1905">
        <v>0</v>
      </c>
      <c r="F1905">
        <f t="shared" si="29"/>
        <v>0.6</v>
      </c>
      <c r="I1905">
        <v>20200101</v>
      </c>
      <c r="J1905" t="s">
        <v>2229</v>
      </c>
      <c r="K1905" t="s">
        <v>2253</v>
      </c>
    </row>
    <row r="1906" spans="1:14" x14ac:dyDescent="0.3">
      <c r="A1906" s="160">
        <v>22078</v>
      </c>
      <c r="B1906" t="s">
        <v>17060</v>
      </c>
      <c r="C1906" t="s">
        <v>2237</v>
      </c>
      <c r="D1906">
        <v>0.55000000000000004</v>
      </c>
      <c r="E1906">
        <v>0</v>
      </c>
      <c r="F1906">
        <f t="shared" si="29"/>
        <v>0.55000000000000004</v>
      </c>
      <c r="I1906">
        <v>20170401</v>
      </c>
      <c r="J1906" t="s">
        <v>2246</v>
      </c>
    </row>
    <row r="1907" spans="1:14" x14ac:dyDescent="0.3">
      <c r="A1907" s="160">
        <v>22079</v>
      </c>
      <c r="B1907" t="s">
        <v>17061</v>
      </c>
      <c r="C1907" t="s">
        <v>2228</v>
      </c>
      <c r="D1907">
        <v>0.6</v>
      </c>
      <c r="E1907">
        <v>0</v>
      </c>
      <c r="F1907">
        <f t="shared" si="29"/>
        <v>0.6</v>
      </c>
      <c r="I1907">
        <v>20200101</v>
      </c>
      <c r="J1907" t="s">
        <v>2269</v>
      </c>
    </row>
    <row r="1908" spans="1:14" x14ac:dyDescent="0.3">
      <c r="A1908" s="160">
        <v>22081</v>
      </c>
      <c r="B1908" t="s">
        <v>17062</v>
      </c>
      <c r="C1908" t="s">
        <v>2238</v>
      </c>
      <c r="D1908">
        <v>1.6</v>
      </c>
      <c r="E1908">
        <v>0</v>
      </c>
      <c r="F1908">
        <f t="shared" si="29"/>
        <v>1.6</v>
      </c>
      <c r="I1908">
        <v>20160701</v>
      </c>
      <c r="J1908" t="s">
        <v>2270</v>
      </c>
    </row>
    <row r="1909" spans="1:14" x14ac:dyDescent="0.3">
      <c r="A1909" s="160">
        <v>22082</v>
      </c>
      <c r="B1909" t="s">
        <v>17063</v>
      </c>
      <c r="C1909" t="s">
        <v>2230</v>
      </c>
      <c r="D1909">
        <v>0.4</v>
      </c>
      <c r="E1909">
        <v>0</v>
      </c>
      <c r="F1909">
        <f t="shared" si="29"/>
        <v>0.4</v>
      </c>
      <c r="I1909">
        <v>20190101</v>
      </c>
      <c r="J1909" t="s">
        <v>2231</v>
      </c>
      <c r="K1909" t="s">
        <v>2233</v>
      </c>
    </row>
    <row r="1910" spans="1:14" x14ac:dyDescent="0.3">
      <c r="A1910" s="160">
        <v>22084</v>
      </c>
      <c r="B1910" t="s">
        <v>17064</v>
      </c>
      <c r="C1910" t="s">
        <v>2228</v>
      </c>
      <c r="D1910">
        <v>0.6</v>
      </c>
      <c r="E1910">
        <v>0</v>
      </c>
      <c r="F1910">
        <f t="shared" si="29"/>
        <v>0.6</v>
      </c>
      <c r="I1910">
        <v>20200101</v>
      </c>
      <c r="J1910" t="s">
        <v>2271</v>
      </c>
    </row>
    <row r="1911" spans="1:14" x14ac:dyDescent="0.3">
      <c r="A1911" s="160">
        <v>22085</v>
      </c>
      <c r="B1911" t="s">
        <v>17065</v>
      </c>
      <c r="C1911" t="s">
        <v>2237</v>
      </c>
      <c r="D1911">
        <v>0.55000000000000004</v>
      </c>
      <c r="E1911">
        <v>0</v>
      </c>
      <c r="F1911">
        <f t="shared" si="29"/>
        <v>0.55000000000000004</v>
      </c>
      <c r="I1911">
        <v>20170401</v>
      </c>
      <c r="J1911" t="s">
        <v>2272</v>
      </c>
    </row>
    <row r="1912" spans="1:14" x14ac:dyDescent="0.3">
      <c r="A1912" s="160">
        <v>22086</v>
      </c>
      <c r="B1912" t="s">
        <v>17066</v>
      </c>
      <c r="C1912" t="s">
        <v>2234</v>
      </c>
      <c r="D1912">
        <v>0.5</v>
      </c>
      <c r="E1912">
        <v>0</v>
      </c>
      <c r="F1912">
        <f t="shared" si="29"/>
        <v>0.5</v>
      </c>
      <c r="I1912">
        <v>20210701</v>
      </c>
      <c r="J1912" t="s">
        <v>2273</v>
      </c>
      <c r="K1912" t="s">
        <v>2274</v>
      </c>
      <c r="L1912" t="s">
        <v>2275</v>
      </c>
    </row>
    <row r="1913" spans="1:14" x14ac:dyDescent="0.3">
      <c r="A1913" s="160">
        <v>22088</v>
      </c>
      <c r="B1913" t="s">
        <v>17067</v>
      </c>
      <c r="C1913" t="s">
        <v>2234</v>
      </c>
      <c r="D1913">
        <v>0.5</v>
      </c>
      <c r="E1913">
        <v>0</v>
      </c>
      <c r="F1913">
        <f t="shared" si="29"/>
        <v>0.5</v>
      </c>
      <c r="I1913">
        <v>20240101</v>
      </c>
      <c r="J1913" t="s">
        <v>2276</v>
      </c>
    </row>
    <row r="1914" spans="1:14" x14ac:dyDescent="0.3">
      <c r="A1914" s="160">
        <v>22090</v>
      </c>
      <c r="B1914" t="s">
        <v>17068</v>
      </c>
      <c r="C1914" t="s">
        <v>2237</v>
      </c>
      <c r="D1914">
        <v>0.55000000000000004</v>
      </c>
      <c r="E1914">
        <v>0</v>
      </c>
      <c r="F1914">
        <f t="shared" si="29"/>
        <v>0.55000000000000004</v>
      </c>
      <c r="I1914">
        <v>20160701</v>
      </c>
      <c r="J1914" t="s">
        <v>2246</v>
      </c>
    </row>
    <row r="1915" spans="1:14" x14ac:dyDescent="0.3">
      <c r="A1915" s="160">
        <v>22091</v>
      </c>
      <c r="B1915" t="s">
        <v>17069</v>
      </c>
      <c r="C1915" t="s">
        <v>2234</v>
      </c>
      <c r="D1915">
        <v>0.5</v>
      </c>
      <c r="E1915">
        <v>0</v>
      </c>
      <c r="F1915">
        <f t="shared" si="29"/>
        <v>0.5</v>
      </c>
      <c r="I1915">
        <v>20210701</v>
      </c>
      <c r="J1915" t="s">
        <v>2235</v>
      </c>
    </row>
    <row r="1916" spans="1:14" x14ac:dyDescent="0.3">
      <c r="A1916" s="160">
        <v>22092</v>
      </c>
      <c r="B1916" t="s">
        <v>17070</v>
      </c>
      <c r="C1916" t="s">
        <v>2234</v>
      </c>
      <c r="D1916">
        <v>0.5</v>
      </c>
      <c r="E1916">
        <v>0</v>
      </c>
      <c r="F1916">
        <f t="shared" si="29"/>
        <v>0.5</v>
      </c>
      <c r="I1916">
        <v>20240101</v>
      </c>
      <c r="J1916" t="s">
        <v>2276</v>
      </c>
    </row>
    <row r="1917" spans="1:14" x14ac:dyDescent="0.3">
      <c r="A1917" s="160">
        <v>22093</v>
      </c>
      <c r="B1917" t="s">
        <v>17071</v>
      </c>
      <c r="C1917" t="s">
        <v>2228</v>
      </c>
      <c r="D1917">
        <v>0.6</v>
      </c>
      <c r="E1917">
        <v>0</v>
      </c>
      <c r="F1917">
        <f t="shared" si="29"/>
        <v>0.6</v>
      </c>
      <c r="I1917">
        <v>20200101</v>
      </c>
      <c r="J1917" t="s">
        <v>2229</v>
      </c>
      <c r="K1917" t="s">
        <v>2277</v>
      </c>
      <c r="L1917" t="s">
        <v>2253</v>
      </c>
      <c r="M1917" t="s">
        <v>2278</v>
      </c>
      <c r="N1917" t="s">
        <v>2279</v>
      </c>
    </row>
    <row r="1918" spans="1:14" x14ac:dyDescent="0.3">
      <c r="A1918" s="160">
        <v>22095</v>
      </c>
      <c r="B1918" t="s">
        <v>17072</v>
      </c>
      <c r="C1918" t="s">
        <v>2234</v>
      </c>
      <c r="D1918">
        <v>0.5</v>
      </c>
      <c r="E1918">
        <v>0</v>
      </c>
      <c r="F1918">
        <f t="shared" si="29"/>
        <v>0.5</v>
      </c>
      <c r="I1918">
        <v>20210701</v>
      </c>
      <c r="J1918" t="s">
        <v>2235</v>
      </c>
    </row>
    <row r="1919" spans="1:14" x14ac:dyDescent="0.3">
      <c r="A1919" s="160">
        <v>22096</v>
      </c>
      <c r="B1919" t="s">
        <v>17073</v>
      </c>
      <c r="C1919" t="s">
        <v>2230</v>
      </c>
      <c r="D1919">
        <v>0.4</v>
      </c>
      <c r="E1919">
        <v>0</v>
      </c>
      <c r="F1919">
        <f t="shared" si="29"/>
        <v>0.4</v>
      </c>
      <c r="I1919">
        <v>20190101</v>
      </c>
      <c r="J1919" t="s">
        <v>2242</v>
      </c>
    </row>
    <row r="1920" spans="1:14" x14ac:dyDescent="0.3">
      <c r="A1920" s="160">
        <v>22097</v>
      </c>
      <c r="B1920" t="s">
        <v>17074</v>
      </c>
      <c r="C1920" t="s">
        <v>2230</v>
      </c>
      <c r="D1920">
        <v>0.4</v>
      </c>
      <c r="E1920">
        <v>0</v>
      </c>
      <c r="F1920">
        <f t="shared" si="29"/>
        <v>0.4</v>
      </c>
      <c r="I1920">
        <v>20190101</v>
      </c>
      <c r="J1920" t="s">
        <v>2280</v>
      </c>
    </row>
    <row r="1921" spans="1:17" x14ac:dyDescent="0.3">
      <c r="A1921" s="160">
        <v>22098</v>
      </c>
      <c r="B1921" t="s">
        <v>17075</v>
      </c>
      <c r="C1921" t="s">
        <v>2228</v>
      </c>
      <c r="D1921">
        <v>0.6</v>
      </c>
      <c r="E1921">
        <v>0</v>
      </c>
      <c r="F1921">
        <f t="shared" si="29"/>
        <v>0.6</v>
      </c>
      <c r="I1921">
        <v>20200101</v>
      </c>
      <c r="J1921" t="s">
        <v>2229</v>
      </c>
      <c r="K1921" t="s">
        <v>2253</v>
      </c>
    </row>
    <row r="1922" spans="1:17" x14ac:dyDescent="0.3">
      <c r="A1922" s="160">
        <v>22099</v>
      </c>
      <c r="B1922" t="s">
        <v>17076</v>
      </c>
      <c r="C1922" t="s">
        <v>2238</v>
      </c>
      <c r="D1922">
        <v>1.6</v>
      </c>
      <c r="E1922">
        <v>0</v>
      </c>
      <c r="F1922">
        <f t="shared" si="29"/>
        <v>1.6</v>
      </c>
      <c r="I1922">
        <v>20220101</v>
      </c>
      <c r="J1922" t="s">
        <v>2263</v>
      </c>
    </row>
    <row r="1923" spans="1:17" x14ac:dyDescent="0.3">
      <c r="A1923" s="160">
        <v>22101</v>
      </c>
      <c r="B1923" t="s">
        <v>17077</v>
      </c>
      <c r="C1923" t="s">
        <v>2237</v>
      </c>
      <c r="D1923">
        <v>0.55000000000000004</v>
      </c>
      <c r="E1923">
        <v>0</v>
      </c>
      <c r="F1923">
        <f t="shared" si="29"/>
        <v>0.55000000000000004</v>
      </c>
      <c r="I1923">
        <v>20170401</v>
      </c>
      <c r="J1923" t="s">
        <v>2246</v>
      </c>
    </row>
    <row r="1924" spans="1:17" x14ac:dyDescent="0.3">
      <c r="A1924" s="160">
        <v>22103</v>
      </c>
      <c r="B1924" t="s">
        <v>17078</v>
      </c>
      <c r="C1924" t="s">
        <v>2230</v>
      </c>
      <c r="D1924">
        <v>0.4</v>
      </c>
      <c r="E1924">
        <v>0</v>
      </c>
      <c r="F1924">
        <f t="shared" si="29"/>
        <v>0.4</v>
      </c>
      <c r="I1924">
        <v>20190101</v>
      </c>
      <c r="J1924" t="s">
        <v>2281</v>
      </c>
    </row>
    <row r="1925" spans="1:17" x14ac:dyDescent="0.3">
      <c r="A1925" s="160">
        <v>22104</v>
      </c>
      <c r="B1925" t="s">
        <v>17079</v>
      </c>
      <c r="C1925" t="s">
        <v>2230</v>
      </c>
      <c r="D1925">
        <v>0.4</v>
      </c>
      <c r="E1925">
        <v>0</v>
      </c>
      <c r="F1925">
        <f t="shared" si="29"/>
        <v>0.4</v>
      </c>
      <c r="I1925">
        <v>20190101</v>
      </c>
      <c r="J1925" t="s">
        <v>2280</v>
      </c>
    </row>
    <row r="1926" spans="1:17" x14ac:dyDescent="0.3">
      <c r="A1926" s="160">
        <v>22105</v>
      </c>
      <c r="B1926" t="s">
        <v>17080</v>
      </c>
      <c r="C1926" t="s">
        <v>2230</v>
      </c>
      <c r="D1926">
        <v>0.4</v>
      </c>
      <c r="E1926">
        <v>0</v>
      </c>
      <c r="F1926">
        <f t="shared" si="29"/>
        <v>0.4</v>
      </c>
      <c r="I1926">
        <v>20190101</v>
      </c>
      <c r="J1926" t="s">
        <v>2242</v>
      </c>
    </row>
    <row r="1927" spans="1:17" x14ac:dyDescent="0.3">
      <c r="A1927" s="160">
        <v>22106</v>
      </c>
      <c r="B1927" t="s">
        <v>17081</v>
      </c>
      <c r="C1927" t="s">
        <v>2238</v>
      </c>
      <c r="D1927">
        <v>1.6</v>
      </c>
      <c r="E1927">
        <v>0</v>
      </c>
      <c r="F1927">
        <f t="shared" ref="F1927:F1990" si="30">D1927+E1927</f>
        <v>1.6</v>
      </c>
      <c r="I1927">
        <v>20160701</v>
      </c>
      <c r="J1927" t="s">
        <v>2282</v>
      </c>
    </row>
    <row r="1928" spans="1:17" x14ac:dyDescent="0.3">
      <c r="A1928" s="160">
        <v>22108</v>
      </c>
      <c r="B1928" t="s">
        <v>17082</v>
      </c>
      <c r="C1928" t="s">
        <v>2234</v>
      </c>
      <c r="D1928">
        <v>0.5</v>
      </c>
      <c r="E1928">
        <v>0</v>
      </c>
      <c r="F1928">
        <f t="shared" si="30"/>
        <v>0.5</v>
      </c>
      <c r="I1928">
        <v>20210701</v>
      </c>
      <c r="J1928" t="s">
        <v>2283</v>
      </c>
    </row>
    <row r="1929" spans="1:17" x14ac:dyDescent="0.3">
      <c r="A1929" s="160">
        <v>22109</v>
      </c>
      <c r="B1929" t="s">
        <v>17083</v>
      </c>
      <c r="C1929" t="s">
        <v>2234</v>
      </c>
      <c r="D1929">
        <v>0.5</v>
      </c>
      <c r="E1929">
        <v>0</v>
      </c>
      <c r="F1929">
        <f t="shared" si="30"/>
        <v>0.5</v>
      </c>
      <c r="I1929">
        <v>20210701</v>
      </c>
      <c r="J1929" t="s">
        <v>2284</v>
      </c>
    </row>
    <row r="1930" spans="1:17" x14ac:dyDescent="0.3">
      <c r="A1930" s="160">
        <v>22110</v>
      </c>
      <c r="B1930" t="s">
        <v>17084</v>
      </c>
      <c r="C1930" t="s">
        <v>2237</v>
      </c>
      <c r="D1930">
        <v>0.55000000000000004</v>
      </c>
      <c r="E1930">
        <v>0</v>
      </c>
      <c r="F1930">
        <f t="shared" si="30"/>
        <v>0.55000000000000004</v>
      </c>
      <c r="I1930">
        <v>20170401</v>
      </c>
      <c r="J1930" t="s">
        <v>2247</v>
      </c>
    </row>
    <row r="1931" spans="1:17" x14ac:dyDescent="0.3">
      <c r="A1931" s="160">
        <v>22111</v>
      </c>
      <c r="B1931" t="s">
        <v>17085</v>
      </c>
      <c r="C1931" t="s">
        <v>2237</v>
      </c>
      <c r="D1931">
        <v>0.55000000000000004</v>
      </c>
      <c r="E1931">
        <v>0</v>
      </c>
      <c r="F1931">
        <f t="shared" si="30"/>
        <v>0.55000000000000004</v>
      </c>
      <c r="I1931">
        <v>20170401</v>
      </c>
      <c r="J1931" t="s">
        <v>2272</v>
      </c>
    </row>
    <row r="1932" spans="1:17" x14ac:dyDescent="0.3">
      <c r="A1932" s="160">
        <v>22113</v>
      </c>
      <c r="B1932" t="s">
        <v>17086</v>
      </c>
      <c r="C1932" t="s">
        <v>2237</v>
      </c>
      <c r="D1932">
        <v>0.55000000000000004</v>
      </c>
      <c r="E1932">
        <v>0</v>
      </c>
      <c r="F1932">
        <f t="shared" si="30"/>
        <v>0.55000000000000004</v>
      </c>
      <c r="I1932">
        <v>20160701</v>
      </c>
      <c r="J1932" t="s">
        <v>2250</v>
      </c>
      <c r="K1932" t="s">
        <v>2247</v>
      </c>
      <c r="L1932" t="s">
        <v>2285</v>
      </c>
      <c r="M1932" t="s">
        <v>2286</v>
      </c>
      <c r="N1932" t="s">
        <v>2287</v>
      </c>
      <c r="O1932" t="s">
        <v>2288</v>
      </c>
      <c r="P1932" t="s">
        <v>2289</v>
      </c>
      <c r="Q1932" t="s">
        <v>2290</v>
      </c>
    </row>
    <row r="1933" spans="1:17" x14ac:dyDescent="0.3">
      <c r="A1933" s="160">
        <v>22114</v>
      </c>
      <c r="B1933" t="s">
        <v>17087</v>
      </c>
      <c r="C1933" t="s">
        <v>2228</v>
      </c>
      <c r="D1933">
        <v>0.6</v>
      </c>
      <c r="E1933">
        <v>0</v>
      </c>
      <c r="F1933">
        <f t="shared" si="30"/>
        <v>0.6</v>
      </c>
      <c r="I1933">
        <v>20200101</v>
      </c>
      <c r="J1933" t="s">
        <v>2244</v>
      </c>
    </row>
    <row r="1934" spans="1:17" x14ac:dyDescent="0.3">
      <c r="A1934" s="160">
        <v>22117</v>
      </c>
      <c r="B1934" t="s">
        <v>17088</v>
      </c>
      <c r="C1934" t="s">
        <v>2238</v>
      </c>
      <c r="D1934">
        <v>1.6</v>
      </c>
      <c r="E1934">
        <v>0</v>
      </c>
      <c r="F1934">
        <f t="shared" si="30"/>
        <v>1.6</v>
      </c>
      <c r="I1934">
        <v>20220101</v>
      </c>
      <c r="J1934" t="s">
        <v>2291</v>
      </c>
    </row>
    <row r="1935" spans="1:17" x14ac:dyDescent="0.3">
      <c r="A1935" s="160">
        <v>22118</v>
      </c>
      <c r="B1935" t="s">
        <v>17089</v>
      </c>
      <c r="C1935" t="s">
        <v>2230</v>
      </c>
      <c r="D1935">
        <v>0.4</v>
      </c>
      <c r="E1935">
        <v>0</v>
      </c>
      <c r="F1935">
        <f t="shared" si="30"/>
        <v>0.4</v>
      </c>
      <c r="I1935">
        <v>20190101</v>
      </c>
      <c r="J1935" t="s">
        <v>2231</v>
      </c>
      <c r="K1935" t="s">
        <v>2256</v>
      </c>
      <c r="L1935" t="s">
        <v>2233</v>
      </c>
    </row>
    <row r="1936" spans="1:17" x14ac:dyDescent="0.3">
      <c r="A1936" s="160">
        <v>22119</v>
      </c>
      <c r="B1936" t="s">
        <v>17090</v>
      </c>
      <c r="C1936" t="s">
        <v>2237</v>
      </c>
      <c r="D1936">
        <v>0.55000000000000004</v>
      </c>
      <c r="E1936">
        <v>0</v>
      </c>
      <c r="F1936">
        <f t="shared" si="30"/>
        <v>0.55000000000000004</v>
      </c>
      <c r="I1936">
        <v>20240101</v>
      </c>
      <c r="J1936" t="s">
        <v>2292</v>
      </c>
    </row>
    <row r="1937" spans="1:17" x14ac:dyDescent="0.3">
      <c r="A1937" s="160">
        <v>22123</v>
      </c>
      <c r="B1937" t="s">
        <v>17091</v>
      </c>
      <c r="C1937" t="s">
        <v>2230</v>
      </c>
      <c r="D1937">
        <v>0.4</v>
      </c>
      <c r="E1937">
        <v>0</v>
      </c>
      <c r="F1937">
        <f t="shared" si="30"/>
        <v>0.4</v>
      </c>
      <c r="I1937">
        <v>20190101</v>
      </c>
      <c r="J1937" t="s">
        <v>2231</v>
      </c>
      <c r="K1937" t="s">
        <v>2254</v>
      </c>
      <c r="L1937" t="s">
        <v>2256</v>
      </c>
      <c r="M1937" t="s">
        <v>2257</v>
      </c>
      <c r="N1937" t="s">
        <v>2233</v>
      </c>
      <c r="O1937" t="s">
        <v>2258</v>
      </c>
      <c r="P1937" t="s">
        <v>2259</v>
      </c>
      <c r="Q1937" t="s">
        <v>2293</v>
      </c>
    </row>
    <row r="1938" spans="1:17" x14ac:dyDescent="0.3">
      <c r="A1938" s="160">
        <v>22126</v>
      </c>
      <c r="B1938" t="s">
        <v>17092</v>
      </c>
      <c r="C1938" t="s">
        <v>2238</v>
      </c>
      <c r="D1938">
        <v>1.6</v>
      </c>
      <c r="E1938">
        <v>0</v>
      </c>
      <c r="F1938">
        <f t="shared" si="30"/>
        <v>1.6</v>
      </c>
      <c r="I1938">
        <v>20220101</v>
      </c>
      <c r="J1938" t="s">
        <v>2263</v>
      </c>
    </row>
    <row r="1939" spans="1:17" x14ac:dyDescent="0.3">
      <c r="A1939" s="160">
        <v>22127</v>
      </c>
      <c r="B1939" t="s">
        <v>17093</v>
      </c>
      <c r="C1939" t="s">
        <v>2237</v>
      </c>
      <c r="D1939">
        <v>0.55000000000000004</v>
      </c>
      <c r="E1939">
        <v>0</v>
      </c>
      <c r="F1939">
        <f t="shared" si="30"/>
        <v>0.55000000000000004</v>
      </c>
      <c r="I1939">
        <v>20170401</v>
      </c>
      <c r="J1939" t="s">
        <v>2275</v>
      </c>
      <c r="K1939" t="s">
        <v>2294</v>
      </c>
    </row>
    <row r="1940" spans="1:17" x14ac:dyDescent="0.3">
      <c r="A1940" s="160">
        <v>22129</v>
      </c>
      <c r="B1940" t="s">
        <v>17094</v>
      </c>
      <c r="C1940" t="s">
        <v>2234</v>
      </c>
      <c r="D1940">
        <v>0.5</v>
      </c>
      <c r="E1940">
        <v>0</v>
      </c>
      <c r="F1940">
        <f t="shared" si="30"/>
        <v>0.5</v>
      </c>
      <c r="I1940">
        <v>20240101</v>
      </c>
      <c r="J1940" t="s">
        <v>2236</v>
      </c>
    </row>
    <row r="1941" spans="1:17" x14ac:dyDescent="0.3">
      <c r="A1941" s="160">
        <v>22131</v>
      </c>
      <c r="B1941" t="s">
        <v>17095</v>
      </c>
      <c r="C1941" t="s">
        <v>2237</v>
      </c>
      <c r="D1941">
        <v>0.55000000000000004</v>
      </c>
      <c r="E1941">
        <v>0</v>
      </c>
      <c r="F1941">
        <f t="shared" si="30"/>
        <v>0.55000000000000004</v>
      </c>
      <c r="I1941">
        <v>20240101</v>
      </c>
      <c r="J1941" t="s">
        <v>2295</v>
      </c>
    </row>
    <row r="1942" spans="1:17" x14ac:dyDescent="0.3">
      <c r="A1942" s="160">
        <v>22132</v>
      </c>
      <c r="B1942" t="s">
        <v>17096</v>
      </c>
      <c r="C1942" t="s">
        <v>2234</v>
      </c>
      <c r="D1942">
        <v>0.5</v>
      </c>
      <c r="E1942">
        <v>0</v>
      </c>
      <c r="F1942">
        <f t="shared" si="30"/>
        <v>0.5</v>
      </c>
      <c r="I1942">
        <v>20240101</v>
      </c>
      <c r="J1942" t="s">
        <v>2245</v>
      </c>
    </row>
    <row r="1943" spans="1:17" x14ac:dyDescent="0.3">
      <c r="A1943" s="160">
        <v>22134</v>
      </c>
      <c r="B1943" t="s">
        <v>17097</v>
      </c>
      <c r="C1943" t="s">
        <v>2237</v>
      </c>
      <c r="D1943">
        <v>0.55000000000000004</v>
      </c>
      <c r="E1943">
        <v>0</v>
      </c>
      <c r="F1943">
        <f t="shared" si="30"/>
        <v>0.55000000000000004</v>
      </c>
      <c r="I1943">
        <v>20160701</v>
      </c>
      <c r="J1943" t="s">
        <v>2296</v>
      </c>
    </row>
    <row r="1944" spans="1:17" x14ac:dyDescent="0.3">
      <c r="A1944" s="160">
        <v>22135</v>
      </c>
      <c r="B1944" t="s">
        <v>17098</v>
      </c>
      <c r="C1944" t="s">
        <v>2234</v>
      </c>
      <c r="D1944">
        <v>0.5</v>
      </c>
      <c r="E1944">
        <v>0</v>
      </c>
      <c r="F1944">
        <f t="shared" si="30"/>
        <v>0.5</v>
      </c>
      <c r="I1944">
        <v>20240101</v>
      </c>
      <c r="J1944" t="s">
        <v>2250</v>
      </c>
      <c r="K1944" t="s">
        <v>2265</v>
      </c>
      <c r="L1944" t="s">
        <v>2297</v>
      </c>
    </row>
    <row r="1945" spans="1:17" x14ac:dyDescent="0.3">
      <c r="A1945" s="160">
        <v>22138</v>
      </c>
      <c r="B1945" t="s">
        <v>17099</v>
      </c>
      <c r="C1945" t="s">
        <v>2234</v>
      </c>
      <c r="D1945">
        <v>0.5</v>
      </c>
      <c r="E1945">
        <v>0</v>
      </c>
      <c r="F1945">
        <f t="shared" si="30"/>
        <v>0.5</v>
      </c>
      <c r="I1945">
        <v>20240101</v>
      </c>
      <c r="J1945" t="s">
        <v>2245</v>
      </c>
    </row>
    <row r="1946" spans="1:17" x14ac:dyDescent="0.3">
      <c r="A1946" s="160">
        <v>22139</v>
      </c>
      <c r="B1946" t="s">
        <v>17100</v>
      </c>
      <c r="C1946" t="s">
        <v>2234</v>
      </c>
      <c r="D1946">
        <v>0.5</v>
      </c>
      <c r="E1946">
        <v>0</v>
      </c>
      <c r="F1946">
        <f t="shared" si="30"/>
        <v>0.5</v>
      </c>
      <c r="I1946">
        <v>20240101</v>
      </c>
      <c r="J1946" t="s">
        <v>2276</v>
      </c>
    </row>
    <row r="1947" spans="1:17" x14ac:dyDescent="0.3">
      <c r="A1947" s="160">
        <v>22140</v>
      </c>
      <c r="B1947" t="s">
        <v>17101</v>
      </c>
      <c r="C1947" t="s">
        <v>2228</v>
      </c>
      <c r="D1947">
        <v>0.6</v>
      </c>
      <c r="E1947">
        <v>0</v>
      </c>
      <c r="F1947">
        <f t="shared" si="30"/>
        <v>0.6</v>
      </c>
      <c r="I1947">
        <v>20200101</v>
      </c>
      <c r="J1947" t="s">
        <v>2298</v>
      </c>
    </row>
    <row r="1948" spans="1:17" x14ac:dyDescent="0.3">
      <c r="A1948" s="160">
        <v>22141</v>
      </c>
      <c r="B1948" t="s">
        <v>17102</v>
      </c>
      <c r="C1948" t="s">
        <v>2237</v>
      </c>
      <c r="D1948">
        <v>0.55000000000000004</v>
      </c>
      <c r="E1948">
        <v>0</v>
      </c>
      <c r="F1948">
        <f t="shared" si="30"/>
        <v>0.55000000000000004</v>
      </c>
      <c r="I1948">
        <v>20160701</v>
      </c>
      <c r="J1948" t="s">
        <v>2246</v>
      </c>
    </row>
    <row r="1949" spans="1:17" x14ac:dyDescent="0.3">
      <c r="A1949" s="160">
        <v>22143</v>
      </c>
      <c r="B1949" t="s">
        <v>17103</v>
      </c>
      <c r="C1949" t="s">
        <v>2230</v>
      </c>
      <c r="D1949">
        <v>0.4</v>
      </c>
      <c r="E1949">
        <v>0</v>
      </c>
      <c r="F1949">
        <f t="shared" si="30"/>
        <v>0.4</v>
      </c>
      <c r="I1949">
        <v>20190101</v>
      </c>
      <c r="J1949" t="s">
        <v>2268</v>
      </c>
    </row>
    <row r="1950" spans="1:17" x14ac:dyDescent="0.3">
      <c r="A1950" s="160">
        <v>22144</v>
      </c>
      <c r="B1950" t="s">
        <v>17104</v>
      </c>
      <c r="C1950" t="s">
        <v>2238</v>
      </c>
      <c r="D1950">
        <v>1.6</v>
      </c>
      <c r="E1950">
        <v>0</v>
      </c>
      <c r="F1950">
        <f t="shared" si="30"/>
        <v>1.6</v>
      </c>
      <c r="I1950">
        <v>20160701</v>
      </c>
      <c r="J1950" t="s">
        <v>2299</v>
      </c>
    </row>
    <row r="1951" spans="1:17" x14ac:dyDescent="0.3">
      <c r="A1951" s="160">
        <v>22145</v>
      </c>
      <c r="B1951" t="s">
        <v>17105</v>
      </c>
      <c r="C1951" t="s">
        <v>2230</v>
      </c>
      <c r="D1951">
        <v>0.4</v>
      </c>
      <c r="E1951">
        <v>0</v>
      </c>
      <c r="F1951">
        <f t="shared" si="30"/>
        <v>0.4</v>
      </c>
      <c r="I1951">
        <v>20190101</v>
      </c>
      <c r="J1951" t="s">
        <v>2271</v>
      </c>
    </row>
    <row r="1952" spans="1:17" x14ac:dyDescent="0.3">
      <c r="A1952" s="160">
        <v>22151</v>
      </c>
      <c r="B1952" t="s">
        <v>17106</v>
      </c>
      <c r="C1952" t="s">
        <v>2228</v>
      </c>
      <c r="D1952">
        <v>0.6</v>
      </c>
      <c r="E1952">
        <v>0</v>
      </c>
      <c r="F1952">
        <f t="shared" si="30"/>
        <v>0.6</v>
      </c>
      <c r="I1952">
        <v>20200101</v>
      </c>
      <c r="J1952" t="s">
        <v>2229</v>
      </c>
    </row>
    <row r="1953" spans="1:15" x14ac:dyDescent="0.3">
      <c r="A1953" s="160">
        <v>22152</v>
      </c>
      <c r="B1953" t="s">
        <v>17107</v>
      </c>
      <c r="C1953" t="s">
        <v>2237</v>
      </c>
      <c r="D1953">
        <v>0.55000000000000004</v>
      </c>
      <c r="E1953">
        <v>0</v>
      </c>
      <c r="F1953">
        <f t="shared" si="30"/>
        <v>0.55000000000000004</v>
      </c>
      <c r="I1953">
        <v>20170401</v>
      </c>
      <c r="J1953" t="s">
        <v>2300</v>
      </c>
    </row>
    <row r="1954" spans="1:15" x14ac:dyDescent="0.3">
      <c r="A1954" s="160">
        <v>22153</v>
      </c>
      <c r="B1954" t="s">
        <v>17108</v>
      </c>
      <c r="C1954" t="s">
        <v>2228</v>
      </c>
      <c r="D1954">
        <v>0.6</v>
      </c>
      <c r="E1954">
        <v>0</v>
      </c>
      <c r="F1954">
        <f t="shared" si="30"/>
        <v>0.6</v>
      </c>
      <c r="I1954">
        <v>20200101</v>
      </c>
      <c r="J1954" t="s">
        <v>2243</v>
      </c>
    </row>
    <row r="1955" spans="1:15" x14ac:dyDescent="0.3">
      <c r="A1955" s="160">
        <v>22154</v>
      </c>
      <c r="B1955" t="s">
        <v>17109</v>
      </c>
      <c r="C1955" t="s">
        <v>2228</v>
      </c>
      <c r="D1955">
        <v>0.6</v>
      </c>
      <c r="E1955">
        <v>0</v>
      </c>
      <c r="F1955">
        <f t="shared" si="30"/>
        <v>0.6</v>
      </c>
      <c r="I1955">
        <v>20200101</v>
      </c>
      <c r="J1955" t="s">
        <v>2229</v>
      </c>
    </row>
    <row r="1956" spans="1:15" x14ac:dyDescent="0.3">
      <c r="A1956" s="160">
        <v>22156</v>
      </c>
      <c r="B1956" t="s">
        <v>17110</v>
      </c>
      <c r="C1956" t="s">
        <v>2234</v>
      </c>
      <c r="D1956">
        <v>0.5</v>
      </c>
      <c r="E1956">
        <v>0</v>
      </c>
      <c r="F1956">
        <f t="shared" si="30"/>
        <v>0.5</v>
      </c>
      <c r="I1956">
        <v>20240101</v>
      </c>
      <c r="J1956" t="s">
        <v>2264</v>
      </c>
      <c r="K1956" t="s">
        <v>2266</v>
      </c>
      <c r="L1956" t="s">
        <v>2301</v>
      </c>
    </row>
    <row r="1957" spans="1:15" x14ac:dyDescent="0.3">
      <c r="A1957" s="160">
        <v>22157</v>
      </c>
      <c r="B1957" t="s">
        <v>17111</v>
      </c>
      <c r="C1957" t="s">
        <v>2302</v>
      </c>
      <c r="D1957">
        <v>0</v>
      </c>
      <c r="E1957">
        <v>0</v>
      </c>
      <c r="F1957">
        <f t="shared" si="30"/>
        <v>0</v>
      </c>
      <c r="I1957">
        <v>20160101</v>
      </c>
      <c r="J1957" t="s">
        <v>2303</v>
      </c>
    </row>
    <row r="1958" spans="1:15" x14ac:dyDescent="0.3">
      <c r="A1958" s="160">
        <v>22160</v>
      </c>
      <c r="B1958" t="s">
        <v>17112</v>
      </c>
      <c r="C1958" t="s">
        <v>2228</v>
      </c>
      <c r="D1958">
        <v>0.6</v>
      </c>
      <c r="E1958">
        <v>0</v>
      </c>
      <c r="F1958">
        <f t="shared" si="30"/>
        <v>0.6</v>
      </c>
      <c r="I1958">
        <v>20200101</v>
      </c>
      <c r="J1958" t="s">
        <v>2229</v>
      </c>
      <c r="K1958" t="s">
        <v>2253</v>
      </c>
      <c r="L1958" t="s">
        <v>2278</v>
      </c>
      <c r="M1958" t="s">
        <v>2279</v>
      </c>
    </row>
    <row r="1959" spans="1:15" x14ac:dyDescent="0.3">
      <c r="A1959" s="160">
        <v>22161</v>
      </c>
      <c r="B1959" t="s">
        <v>17113</v>
      </c>
      <c r="C1959" t="s">
        <v>2234</v>
      </c>
      <c r="D1959">
        <v>0.5</v>
      </c>
      <c r="E1959">
        <v>0</v>
      </c>
      <c r="F1959">
        <f t="shared" si="30"/>
        <v>0.5</v>
      </c>
      <c r="I1959">
        <v>20210701</v>
      </c>
      <c r="J1959" t="s">
        <v>2264</v>
      </c>
      <c r="K1959" t="s">
        <v>2251</v>
      </c>
      <c r="L1959" t="s">
        <v>2265</v>
      </c>
      <c r="M1959" t="s">
        <v>2267</v>
      </c>
      <c r="N1959" t="s">
        <v>2301</v>
      </c>
    </row>
    <row r="1960" spans="1:15" x14ac:dyDescent="0.3">
      <c r="A1960" s="160">
        <v>22162</v>
      </c>
      <c r="B1960" t="s">
        <v>17114</v>
      </c>
      <c r="C1960" t="s">
        <v>2234</v>
      </c>
      <c r="D1960">
        <v>0.5</v>
      </c>
      <c r="E1960">
        <v>0</v>
      </c>
      <c r="F1960">
        <f t="shared" si="30"/>
        <v>0.5</v>
      </c>
      <c r="I1960">
        <v>20210701</v>
      </c>
      <c r="J1960" t="s">
        <v>2273</v>
      </c>
      <c r="K1960" t="s">
        <v>2304</v>
      </c>
      <c r="L1960" t="s">
        <v>2274</v>
      </c>
      <c r="M1960" t="s">
        <v>2305</v>
      </c>
      <c r="N1960" t="s">
        <v>2275</v>
      </c>
      <c r="O1960" t="s">
        <v>2306</v>
      </c>
    </row>
    <row r="1961" spans="1:15" x14ac:dyDescent="0.3">
      <c r="A1961" s="160">
        <v>22164</v>
      </c>
      <c r="B1961" t="s">
        <v>17115</v>
      </c>
      <c r="C1961" t="s">
        <v>2234</v>
      </c>
      <c r="D1961">
        <v>0.5</v>
      </c>
      <c r="E1961">
        <v>0</v>
      </c>
      <c r="F1961">
        <f t="shared" si="30"/>
        <v>0.5</v>
      </c>
      <c r="I1961">
        <v>20210701</v>
      </c>
      <c r="J1961" t="s">
        <v>2297</v>
      </c>
    </row>
    <row r="1962" spans="1:15" x14ac:dyDescent="0.3">
      <c r="A1962" s="160">
        <v>22165</v>
      </c>
      <c r="B1962" t="s">
        <v>17116</v>
      </c>
      <c r="C1962" t="s">
        <v>2228</v>
      </c>
      <c r="D1962">
        <v>0.6</v>
      </c>
      <c r="E1962">
        <v>0</v>
      </c>
      <c r="F1962">
        <f t="shared" si="30"/>
        <v>0.6</v>
      </c>
      <c r="I1962">
        <v>20200101</v>
      </c>
      <c r="J1962" t="s">
        <v>2243</v>
      </c>
    </row>
    <row r="1963" spans="1:15" x14ac:dyDescent="0.3">
      <c r="A1963" s="160">
        <v>22166</v>
      </c>
      <c r="B1963" t="s">
        <v>17117</v>
      </c>
      <c r="C1963" t="s">
        <v>2237</v>
      </c>
      <c r="D1963">
        <v>0.55000000000000004</v>
      </c>
      <c r="E1963">
        <v>0</v>
      </c>
      <c r="F1963">
        <f t="shared" si="30"/>
        <v>0.55000000000000004</v>
      </c>
      <c r="I1963">
        <v>20170401</v>
      </c>
      <c r="J1963" t="s">
        <v>2307</v>
      </c>
    </row>
    <row r="1964" spans="1:15" x14ac:dyDescent="0.3">
      <c r="A1964" s="160">
        <v>22168</v>
      </c>
      <c r="B1964" t="s">
        <v>17118</v>
      </c>
      <c r="C1964" t="s">
        <v>2237</v>
      </c>
      <c r="D1964">
        <v>0.55000000000000004</v>
      </c>
      <c r="E1964">
        <v>0</v>
      </c>
      <c r="F1964">
        <f t="shared" si="30"/>
        <v>0.55000000000000004</v>
      </c>
      <c r="I1964">
        <v>20160701</v>
      </c>
      <c r="J1964" t="s">
        <v>2296</v>
      </c>
    </row>
    <row r="1965" spans="1:15" x14ac:dyDescent="0.3">
      <c r="A1965" s="160">
        <v>22170</v>
      </c>
      <c r="B1965" t="s">
        <v>17119</v>
      </c>
      <c r="C1965" t="s">
        <v>2238</v>
      </c>
      <c r="D1965">
        <v>1.6</v>
      </c>
      <c r="E1965">
        <v>0</v>
      </c>
      <c r="F1965">
        <f t="shared" si="30"/>
        <v>1.6</v>
      </c>
      <c r="I1965">
        <v>20220101</v>
      </c>
      <c r="J1965" t="s">
        <v>2263</v>
      </c>
    </row>
    <row r="1966" spans="1:15" x14ac:dyDescent="0.3">
      <c r="A1966" s="160">
        <v>22171</v>
      </c>
      <c r="B1966" t="s">
        <v>17120</v>
      </c>
      <c r="C1966" t="s">
        <v>2238</v>
      </c>
      <c r="D1966">
        <v>1.6</v>
      </c>
      <c r="E1966">
        <v>0</v>
      </c>
      <c r="F1966">
        <f t="shared" si="30"/>
        <v>1.6</v>
      </c>
      <c r="I1966">
        <v>20220101</v>
      </c>
      <c r="J1966" t="s">
        <v>2308</v>
      </c>
    </row>
    <row r="1967" spans="1:15" x14ac:dyDescent="0.3">
      <c r="A1967" s="160">
        <v>22172</v>
      </c>
      <c r="B1967" t="s">
        <v>17121</v>
      </c>
      <c r="C1967" t="s">
        <v>2230</v>
      </c>
      <c r="D1967">
        <v>0.4</v>
      </c>
      <c r="E1967">
        <v>0</v>
      </c>
      <c r="F1967">
        <f t="shared" si="30"/>
        <v>0.4</v>
      </c>
      <c r="I1967">
        <v>20190101</v>
      </c>
      <c r="J1967" t="s">
        <v>2242</v>
      </c>
    </row>
    <row r="1968" spans="1:15" x14ac:dyDescent="0.3">
      <c r="A1968" s="160">
        <v>22173</v>
      </c>
      <c r="B1968" t="s">
        <v>17122</v>
      </c>
      <c r="C1968" t="s">
        <v>2228</v>
      </c>
      <c r="D1968">
        <v>0.6</v>
      </c>
      <c r="E1968">
        <v>0</v>
      </c>
      <c r="F1968">
        <f t="shared" si="30"/>
        <v>0.6</v>
      </c>
      <c r="I1968">
        <v>20200101</v>
      </c>
      <c r="J1968" t="s">
        <v>2229</v>
      </c>
    </row>
    <row r="1969" spans="1:20" x14ac:dyDescent="0.3">
      <c r="A1969" s="160">
        <v>22174</v>
      </c>
      <c r="B1969" t="s">
        <v>17123</v>
      </c>
      <c r="C1969" t="s">
        <v>2230</v>
      </c>
      <c r="D1969">
        <v>0.4</v>
      </c>
      <c r="E1969">
        <v>0</v>
      </c>
      <c r="F1969">
        <f t="shared" si="30"/>
        <v>0.4</v>
      </c>
      <c r="I1969">
        <v>20190101</v>
      </c>
      <c r="J1969" t="s">
        <v>2268</v>
      </c>
    </row>
    <row r="1970" spans="1:20" x14ac:dyDescent="0.3">
      <c r="A1970" s="160">
        <v>22175</v>
      </c>
      <c r="B1970" t="s">
        <v>17124</v>
      </c>
      <c r="C1970" t="s">
        <v>2228</v>
      </c>
      <c r="D1970">
        <v>0.6</v>
      </c>
      <c r="E1970">
        <v>0</v>
      </c>
      <c r="F1970">
        <f t="shared" si="30"/>
        <v>0.6</v>
      </c>
      <c r="I1970">
        <v>20200101</v>
      </c>
      <c r="J1970" t="s">
        <v>2271</v>
      </c>
    </row>
    <row r="1971" spans="1:20" x14ac:dyDescent="0.3">
      <c r="A1971" s="160">
        <v>22176</v>
      </c>
      <c r="B1971" t="s">
        <v>17125</v>
      </c>
      <c r="C1971" t="s">
        <v>2238</v>
      </c>
      <c r="D1971">
        <v>1.6</v>
      </c>
      <c r="E1971">
        <v>0</v>
      </c>
      <c r="F1971">
        <f t="shared" si="30"/>
        <v>1.6</v>
      </c>
      <c r="I1971">
        <v>20160701</v>
      </c>
      <c r="J1971" t="s">
        <v>2309</v>
      </c>
    </row>
    <row r="1972" spans="1:20" x14ac:dyDescent="0.3">
      <c r="A1972" s="160">
        <v>22178</v>
      </c>
      <c r="B1972" t="s">
        <v>17126</v>
      </c>
      <c r="C1972" t="s">
        <v>2234</v>
      </c>
      <c r="D1972">
        <v>0.5</v>
      </c>
      <c r="E1972">
        <v>0</v>
      </c>
      <c r="F1972">
        <f t="shared" si="30"/>
        <v>0.5</v>
      </c>
      <c r="I1972">
        <v>20210701</v>
      </c>
      <c r="J1972" t="s">
        <v>2283</v>
      </c>
    </row>
    <row r="1973" spans="1:20" x14ac:dyDescent="0.3">
      <c r="A1973" s="160">
        <v>22179</v>
      </c>
      <c r="B1973" t="s">
        <v>17127</v>
      </c>
      <c r="C1973" t="s">
        <v>2230</v>
      </c>
      <c r="D1973">
        <v>0.4</v>
      </c>
      <c r="E1973">
        <v>0</v>
      </c>
      <c r="F1973">
        <f t="shared" si="30"/>
        <v>0.4</v>
      </c>
      <c r="I1973">
        <v>20190101</v>
      </c>
      <c r="J1973" t="s">
        <v>2240</v>
      </c>
    </row>
    <row r="1974" spans="1:20" x14ac:dyDescent="0.3">
      <c r="A1974" s="160">
        <v>22180</v>
      </c>
      <c r="B1974" t="s">
        <v>17128</v>
      </c>
      <c r="C1974" t="s">
        <v>2230</v>
      </c>
      <c r="D1974">
        <v>0.4</v>
      </c>
      <c r="E1974">
        <v>0</v>
      </c>
      <c r="F1974">
        <f t="shared" si="30"/>
        <v>0.4</v>
      </c>
      <c r="I1974">
        <v>20190101</v>
      </c>
      <c r="J1974" t="s">
        <v>2280</v>
      </c>
    </row>
    <row r="1975" spans="1:20" x14ac:dyDescent="0.3">
      <c r="A1975" s="160">
        <v>22184</v>
      </c>
      <c r="B1975" t="s">
        <v>17129</v>
      </c>
      <c r="C1975" t="s">
        <v>2228</v>
      </c>
      <c r="D1975">
        <v>0.6</v>
      </c>
      <c r="E1975">
        <v>0</v>
      </c>
      <c r="F1975">
        <f t="shared" si="30"/>
        <v>0.6</v>
      </c>
      <c r="I1975">
        <v>20200101</v>
      </c>
      <c r="J1975" t="s">
        <v>2269</v>
      </c>
    </row>
    <row r="1976" spans="1:20" x14ac:dyDescent="0.3">
      <c r="A1976" s="160">
        <v>22185</v>
      </c>
      <c r="B1976" t="s">
        <v>17130</v>
      </c>
      <c r="C1976" t="s">
        <v>2228</v>
      </c>
      <c r="D1976">
        <v>0.6</v>
      </c>
      <c r="E1976">
        <v>0</v>
      </c>
      <c r="F1976">
        <f t="shared" si="30"/>
        <v>0.6</v>
      </c>
      <c r="I1976">
        <v>20200101</v>
      </c>
      <c r="J1976" t="s">
        <v>2279</v>
      </c>
      <c r="K1976" t="s">
        <v>2298</v>
      </c>
    </row>
    <row r="1977" spans="1:20" x14ac:dyDescent="0.3">
      <c r="A1977" s="160">
        <v>22186</v>
      </c>
      <c r="B1977" t="s">
        <v>17131</v>
      </c>
      <c r="C1977" t="s">
        <v>2228</v>
      </c>
      <c r="D1977">
        <v>0.6</v>
      </c>
      <c r="E1977">
        <v>0</v>
      </c>
      <c r="F1977">
        <f t="shared" si="30"/>
        <v>0.6</v>
      </c>
      <c r="I1977">
        <v>20200101</v>
      </c>
      <c r="J1977" t="s">
        <v>2310</v>
      </c>
    </row>
    <row r="1978" spans="1:20" x14ac:dyDescent="0.3">
      <c r="A1978" s="160">
        <v>22187</v>
      </c>
      <c r="B1978" t="s">
        <v>17132</v>
      </c>
      <c r="C1978" t="s">
        <v>2238</v>
      </c>
      <c r="D1978">
        <v>1.6</v>
      </c>
      <c r="E1978">
        <v>0</v>
      </c>
      <c r="F1978">
        <f t="shared" si="30"/>
        <v>1.6</v>
      </c>
      <c r="I1978">
        <v>20160701</v>
      </c>
      <c r="J1978" t="s">
        <v>2311</v>
      </c>
      <c r="K1978" t="s">
        <v>2312</v>
      </c>
      <c r="L1978" t="s">
        <v>2313</v>
      </c>
      <c r="M1978" t="s">
        <v>2314</v>
      </c>
      <c r="N1978" t="s">
        <v>2315</v>
      </c>
      <c r="O1978" t="s">
        <v>2316</v>
      </c>
      <c r="P1978" t="s">
        <v>2317</v>
      </c>
      <c r="Q1978" t="s">
        <v>2318</v>
      </c>
      <c r="R1978" t="s">
        <v>2319</v>
      </c>
      <c r="S1978" t="s">
        <v>2320</v>
      </c>
      <c r="T1978" t="s">
        <v>2321</v>
      </c>
    </row>
    <row r="1979" spans="1:20" x14ac:dyDescent="0.3">
      <c r="A1979" s="160">
        <v>22189</v>
      </c>
      <c r="B1979" t="s">
        <v>17133</v>
      </c>
      <c r="C1979" t="s">
        <v>2234</v>
      </c>
      <c r="D1979">
        <v>0.5</v>
      </c>
      <c r="E1979">
        <v>0</v>
      </c>
      <c r="F1979">
        <f t="shared" si="30"/>
        <v>0.5</v>
      </c>
      <c r="I1979">
        <v>20240101</v>
      </c>
      <c r="J1979" t="s">
        <v>2322</v>
      </c>
    </row>
    <row r="1980" spans="1:20" x14ac:dyDescent="0.3">
      <c r="A1980" s="160">
        <v>22190</v>
      </c>
      <c r="B1980" t="s">
        <v>17134</v>
      </c>
      <c r="C1980" t="s">
        <v>2230</v>
      </c>
      <c r="D1980">
        <v>0.4</v>
      </c>
      <c r="E1980">
        <v>0</v>
      </c>
      <c r="F1980">
        <f t="shared" si="30"/>
        <v>0.4</v>
      </c>
      <c r="I1980">
        <v>20190101</v>
      </c>
      <c r="J1980" t="s">
        <v>2254</v>
      </c>
      <c r="K1980" t="s">
        <v>2255</v>
      </c>
      <c r="L1980" t="s">
        <v>2281</v>
      </c>
    </row>
    <row r="1981" spans="1:20" x14ac:dyDescent="0.3">
      <c r="A1981" s="160">
        <v>22193</v>
      </c>
      <c r="B1981" t="s">
        <v>17135</v>
      </c>
      <c r="C1981" t="s">
        <v>2228</v>
      </c>
      <c r="D1981">
        <v>0.6</v>
      </c>
      <c r="E1981">
        <v>0</v>
      </c>
      <c r="F1981">
        <f t="shared" si="30"/>
        <v>0.6</v>
      </c>
      <c r="I1981">
        <v>20200101</v>
      </c>
      <c r="J1981" t="s">
        <v>2253</v>
      </c>
      <c r="K1981" t="s">
        <v>2298</v>
      </c>
    </row>
    <row r="1982" spans="1:20" x14ac:dyDescent="0.3">
      <c r="A1982" s="160">
        <v>22194</v>
      </c>
      <c r="B1982" t="s">
        <v>17136</v>
      </c>
      <c r="C1982" t="s">
        <v>2237</v>
      </c>
      <c r="D1982">
        <v>0.55000000000000004</v>
      </c>
      <c r="E1982">
        <v>0</v>
      </c>
      <c r="F1982">
        <f t="shared" si="30"/>
        <v>0.55000000000000004</v>
      </c>
      <c r="I1982">
        <v>20160701</v>
      </c>
      <c r="J1982" t="s">
        <v>2323</v>
      </c>
    </row>
    <row r="1983" spans="1:20" x14ac:dyDescent="0.3">
      <c r="A1983" s="160">
        <v>22195</v>
      </c>
      <c r="B1983" t="s">
        <v>17137</v>
      </c>
      <c r="C1983" t="s">
        <v>2237</v>
      </c>
      <c r="D1983">
        <v>0.55000000000000004</v>
      </c>
      <c r="E1983">
        <v>0</v>
      </c>
      <c r="F1983">
        <f t="shared" si="30"/>
        <v>0.55000000000000004</v>
      </c>
      <c r="I1983">
        <v>20170401</v>
      </c>
      <c r="J1983" t="s">
        <v>2306</v>
      </c>
      <c r="K1983" t="s">
        <v>2272</v>
      </c>
    </row>
    <row r="1984" spans="1:20" x14ac:dyDescent="0.3">
      <c r="A1984" s="160">
        <v>22196</v>
      </c>
      <c r="B1984" t="s">
        <v>17138</v>
      </c>
      <c r="C1984" t="s">
        <v>2237</v>
      </c>
      <c r="D1984">
        <v>0.55000000000000004</v>
      </c>
      <c r="E1984">
        <v>0</v>
      </c>
      <c r="F1984">
        <f t="shared" si="30"/>
        <v>0.55000000000000004</v>
      </c>
      <c r="I1984">
        <v>20170401</v>
      </c>
      <c r="J1984" t="s">
        <v>2305</v>
      </c>
      <c r="K1984" t="s">
        <v>2275</v>
      </c>
      <c r="L1984" t="s">
        <v>2294</v>
      </c>
    </row>
    <row r="1985" spans="1:13" x14ac:dyDescent="0.3">
      <c r="A1985" s="160">
        <v>22197</v>
      </c>
      <c r="B1985" t="s">
        <v>17139</v>
      </c>
      <c r="C1985" t="s">
        <v>2230</v>
      </c>
      <c r="D1985">
        <v>0.4</v>
      </c>
      <c r="E1985">
        <v>0</v>
      </c>
      <c r="F1985">
        <f t="shared" si="30"/>
        <v>0.4</v>
      </c>
      <c r="I1985">
        <v>20190101</v>
      </c>
      <c r="J1985" t="s">
        <v>2232</v>
      </c>
      <c r="K1985" t="s">
        <v>2256</v>
      </c>
      <c r="L1985" t="s">
        <v>2233</v>
      </c>
      <c r="M1985" t="s">
        <v>2324</v>
      </c>
    </row>
    <row r="1986" spans="1:13" x14ac:dyDescent="0.3">
      <c r="A1986" s="160">
        <v>22198</v>
      </c>
      <c r="B1986" t="s">
        <v>17140</v>
      </c>
      <c r="C1986" t="s">
        <v>2237</v>
      </c>
      <c r="D1986">
        <v>0.55000000000000004</v>
      </c>
      <c r="E1986">
        <v>0</v>
      </c>
      <c r="F1986">
        <f t="shared" si="30"/>
        <v>0.55000000000000004</v>
      </c>
      <c r="I1986">
        <v>20160701</v>
      </c>
      <c r="J1986" t="s">
        <v>2325</v>
      </c>
    </row>
    <row r="1987" spans="1:13" x14ac:dyDescent="0.3">
      <c r="A1987" s="160">
        <v>22199</v>
      </c>
      <c r="B1987" t="s">
        <v>17141</v>
      </c>
      <c r="C1987" t="s">
        <v>2237</v>
      </c>
      <c r="D1987">
        <v>0.55000000000000004</v>
      </c>
      <c r="E1987">
        <v>0</v>
      </c>
      <c r="F1987">
        <f t="shared" si="30"/>
        <v>0.55000000000000004</v>
      </c>
      <c r="I1987">
        <v>20170401</v>
      </c>
      <c r="J1987" t="s">
        <v>2294</v>
      </c>
    </row>
    <row r="1988" spans="1:13" x14ac:dyDescent="0.3">
      <c r="A1988" s="160">
        <v>22200</v>
      </c>
      <c r="B1988" t="s">
        <v>17142</v>
      </c>
      <c r="C1988" t="s">
        <v>2230</v>
      </c>
      <c r="D1988">
        <v>0.4</v>
      </c>
      <c r="E1988">
        <v>0</v>
      </c>
      <c r="F1988">
        <f t="shared" si="30"/>
        <v>0.4</v>
      </c>
      <c r="I1988">
        <v>20190101</v>
      </c>
      <c r="J1988" t="s">
        <v>2242</v>
      </c>
    </row>
    <row r="1989" spans="1:13" x14ac:dyDescent="0.3">
      <c r="A1989" s="160">
        <v>22201</v>
      </c>
      <c r="B1989" t="s">
        <v>17143</v>
      </c>
      <c r="C1989" t="s">
        <v>2230</v>
      </c>
      <c r="D1989">
        <v>0.4</v>
      </c>
      <c r="E1989">
        <v>0</v>
      </c>
      <c r="F1989">
        <f t="shared" si="30"/>
        <v>0.4</v>
      </c>
      <c r="I1989">
        <v>20190101</v>
      </c>
      <c r="J1989" t="s">
        <v>2240</v>
      </c>
    </row>
    <row r="1990" spans="1:13" x14ac:dyDescent="0.3">
      <c r="A1990" s="160">
        <v>22202</v>
      </c>
      <c r="B1990" t="s">
        <v>17144</v>
      </c>
      <c r="C1990" t="s">
        <v>2302</v>
      </c>
      <c r="D1990">
        <v>0</v>
      </c>
      <c r="E1990">
        <v>0</v>
      </c>
      <c r="F1990">
        <f t="shared" si="30"/>
        <v>0</v>
      </c>
      <c r="I1990">
        <v>20160101</v>
      </c>
      <c r="J1990" t="s">
        <v>2303</v>
      </c>
    </row>
    <row r="1991" spans="1:13" x14ac:dyDescent="0.3">
      <c r="A1991" s="160">
        <v>22203</v>
      </c>
      <c r="B1991" t="s">
        <v>17145</v>
      </c>
      <c r="C1991" t="s">
        <v>2238</v>
      </c>
      <c r="D1991">
        <v>1.6</v>
      </c>
      <c r="E1991">
        <v>0</v>
      </c>
      <c r="F1991">
        <f t="shared" ref="F1991:F2054" si="31">D1991+E1991</f>
        <v>1.6</v>
      </c>
      <c r="I1991">
        <v>20220101</v>
      </c>
      <c r="J1991" t="s">
        <v>2269</v>
      </c>
    </row>
    <row r="1992" spans="1:13" x14ac:dyDescent="0.3">
      <c r="A1992" s="160">
        <v>22204</v>
      </c>
      <c r="B1992" t="s">
        <v>17146</v>
      </c>
      <c r="C1992" t="s">
        <v>2234</v>
      </c>
      <c r="D1992">
        <v>0.5</v>
      </c>
      <c r="E1992">
        <v>0</v>
      </c>
      <c r="F1992">
        <f t="shared" si="31"/>
        <v>0.5</v>
      </c>
      <c r="I1992">
        <v>20210701</v>
      </c>
      <c r="J1992" t="s">
        <v>2326</v>
      </c>
    </row>
    <row r="1993" spans="1:13" x14ac:dyDescent="0.3">
      <c r="A1993" s="160">
        <v>22205</v>
      </c>
      <c r="B1993" t="s">
        <v>17147</v>
      </c>
      <c r="C1993" t="s">
        <v>2230</v>
      </c>
      <c r="D1993">
        <v>0.4</v>
      </c>
      <c r="E1993">
        <v>0</v>
      </c>
      <c r="F1993">
        <f t="shared" si="31"/>
        <v>0.4</v>
      </c>
      <c r="I1993">
        <v>20190101</v>
      </c>
      <c r="J1993" t="s">
        <v>2242</v>
      </c>
    </row>
    <row r="1994" spans="1:13" x14ac:dyDescent="0.3">
      <c r="A1994" s="160">
        <v>22207</v>
      </c>
      <c r="B1994" t="s">
        <v>17148</v>
      </c>
      <c r="C1994" t="s">
        <v>2237</v>
      </c>
      <c r="D1994">
        <v>0.55000000000000004</v>
      </c>
      <c r="E1994">
        <v>0</v>
      </c>
      <c r="F1994">
        <f t="shared" si="31"/>
        <v>0.55000000000000004</v>
      </c>
      <c r="I1994">
        <v>20240101</v>
      </c>
      <c r="J1994" t="s">
        <v>2292</v>
      </c>
    </row>
    <row r="1995" spans="1:13" x14ac:dyDescent="0.3">
      <c r="A1995" s="160">
        <v>22208</v>
      </c>
      <c r="B1995" t="s">
        <v>17149</v>
      </c>
      <c r="C1995" t="s">
        <v>2230</v>
      </c>
      <c r="D1995">
        <v>0.4</v>
      </c>
      <c r="E1995">
        <v>0</v>
      </c>
      <c r="F1995">
        <f t="shared" si="31"/>
        <v>0.4</v>
      </c>
      <c r="I1995">
        <v>20190101</v>
      </c>
      <c r="J1995" t="s">
        <v>2327</v>
      </c>
    </row>
    <row r="1996" spans="1:13" x14ac:dyDescent="0.3">
      <c r="A1996" s="160">
        <v>22209</v>
      </c>
      <c r="B1996" t="s">
        <v>17150</v>
      </c>
      <c r="C1996" t="s">
        <v>2230</v>
      </c>
      <c r="D1996">
        <v>0.4</v>
      </c>
      <c r="E1996">
        <v>0</v>
      </c>
      <c r="F1996">
        <f t="shared" si="31"/>
        <v>0.4</v>
      </c>
      <c r="I1996">
        <v>20230101</v>
      </c>
      <c r="J1996" t="s">
        <v>2328</v>
      </c>
    </row>
    <row r="1997" spans="1:13" x14ac:dyDescent="0.3">
      <c r="A1997" s="160">
        <v>22210</v>
      </c>
      <c r="B1997" t="s">
        <v>17151</v>
      </c>
      <c r="C1997" t="s">
        <v>2234</v>
      </c>
      <c r="D1997">
        <v>0.5</v>
      </c>
      <c r="E1997">
        <v>0</v>
      </c>
      <c r="F1997">
        <f t="shared" si="31"/>
        <v>0.5</v>
      </c>
      <c r="I1997">
        <v>20210701</v>
      </c>
      <c r="J1997" t="s">
        <v>2275</v>
      </c>
      <c r="K1997" t="s">
        <v>2306</v>
      </c>
      <c r="L1997" t="s">
        <v>2329</v>
      </c>
    </row>
    <row r="1998" spans="1:13" x14ac:dyDescent="0.3">
      <c r="A1998" s="160">
        <v>22211</v>
      </c>
      <c r="B1998" t="s">
        <v>17152</v>
      </c>
      <c r="C1998" t="s">
        <v>2237</v>
      </c>
      <c r="D1998">
        <v>0.55000000000000004</v>
      </c>
      <c r="E1998">
        <v>0</v>
      </c>
      <c r="F1998">
        <f t="shared" si="31"/>
        <v>0.55000000000000004</v>
      </c>
      <c r="I1998">
        <v>20160701</v>
      </c>
      <c r="J1998" t="s">
        <v>2247</v>
      </c>
      <c r="K1998" t="s">
        <v>2289</v>
      </c>
    </row>
    <row r="1999" spans="1:13" x14ac:dyDescent="0.3">
      <c r="A1999" s="160">
        <v>22212</v>
      </c>
      <c r="B1999" t="s">
        <v>17153</v>
      </c>
      <c r="C1999" t="s">
        <v>2234</v>
      </c>
      <c r="D1999">
        <v>0.5</v>
      </c>
      <c r="E1999">
        <v>0</v>
      </c>
      <c r="F1999">
        <f t="shared" si="31"/>
        <v>0.5</v>
      </c>
      <c r="I1999">
        <v>20210701</v>
      </c>
      <c r="J1999" t="s">
        <v>2326</v>
      </c>
    </row>
    <row r="2000" spans="1:13" x14ac:dyDescent="0.3">
      <c r="A2000" s="160">
        <v>22213</v>
      </c>
      <c r="B2000" t="s">
        <v>17154</v>
      </c>
      <c r="C2000" t="s">
        <v>2230</v>
      </c>
      <c r="D2000">
        <v>0.4</v>
      </c>
      <c r="E2000">
        <v>0</v>
      </c>
      <c r="F2000">
        <f t="shared" si="31"/>
        <v>0.4</v>
      </c>
      <c r="I2000">
        <v>20190101</v>
      </c>
      <c r="J2000" t="s">
        <v>2254</v>
      </c>
      <c r="K2000" t="s">
        <v>2233</v>
      </c>
      <c r="L2000" t="s">
        <v>2281</v>
      </c>
    </row>
    <row r="2001" spans="1:16" x14ac:dyDescent="0.3">
      <c r="A2001" s="160">
        <v>22214</v>
      </c>
      <c r="B2001" t="s">
        <v>17155</v>
      </c>
      <c r="C2001" t="s">
        <v>2234</v>
      </c>
      <c r="D2001">
        <v>0.5</v>
      </c>
      <c r="E2001">
        <v>0</v>
      </c>
      <c r="F2001">
        <f t="shared" si="31"/>
        <v>0.5</v>
      </c>
      <c r="I2001">
        <v>20210701</v>
      </c>
      <c r="J2001" t="s">
        <v>2330</v>
      </c>
    </row>
    <row r="2002" spans="1:16" x14ac:dyDescent="0.3">
      <c r="A2002" s="160">
        <v>22215</v>
      </c>
      <c r="B2002" t="s">
        <v>17156</v>
      </c>
      <c r="C2002" t="s">
        <v>2238</v>
      </c>
      <c r="D2002">
        <v>1.6</v>
      </c>
      <c r="E2002">
        <v>0</v>
      </c>
      <c r="F2002">
        <f t="shared" si="31"/>
        <v>1.6</v>
      </c>
      <c r="I2002">
        <v>20160701</v>
      </c>
      <c r="J2002" t="s">
        <v>2331</v>
      </c>
      <c r="K2002" t="s">
        <v>2312</v>
      </c>
      <c r="L2002" t="s">
        <v>2332</v>
      </c>
      <c r="M2002" t="s">
        <v>2333</v>
      </c>
      <c r="N2002" t="s">
        <v>2334</v>
      </c>
      <c r="O2002" t="s">
        <v>2335</v>
      </c>
      <c r="P2002" t="s">
        <v>2299</v>
      </c>
    </row>
    <row r="2003" spans="1:16" x14ac:dyDescent="0.3">
      <c r="A2003" s="160">
        <v>22216</v>
      </c>
      <c r="B2003" t="s">
        <v>17157</v>
      </c>
      <c r="C2003" t="s">
        <v>2234</v>
      </c>
      <c r="D2003">
        <v>0.5</v>
      </c>
      <c r="E2003">
        <v>0</v>
      </c>
      <c r="F2003">
        <f t="shared" si="31"/>
        <v>0.5</v>
      </c>
      <c r="I2003">
        <v>20240101</v>
      </c>
      <c r="J2003" t="s">
        <v>2236</v>
      </c>
    </row>
    <row r="2004" spans="1:16" x14ac:dyDescent="0.3">
      <c r="A2004" s="160">
        <v>22217</v>
      </c>
      <c r="B2004" t="s">
        <v>17158</v>
      </c>
      <c r="C2004" t="s">
        <v>2237</v>
      </c>
      <c r="D2004">
        <v>0.55000000000000004</v>
      </c>
      <c r="E2004">
        <v>0</v>
      </c>
      <c r="F2004">
        <f t="shared" si="31"/>
        <v>0.55000000000000004</v>
      </c>
      <c r="I2004">
        <v>20240101</v>
      </c>
      <c r="J2004" t="s">
        <v>2295</v>
      </c>
    </row>
    <row r="2005" spans="1:16" x14ac:dyDescent="0.3">
      <c r="A2005" s="160">
        <v>22218</v>
      </c>
      <c r="B2005" t="s">
        <v>17159</v>
      </c>
      <c r="C2005" t="s">
        <v>2237</v>
      </c>
      <c r="D2005">
        <v>0.55000000000000004</v>
      </c>
      <c r="E2005">
        <v>0</v>
      </c>
      <c r="F2005">
        <f t="shared" si="31"/>
        <v>0.55000000000000004</v>
      </c>
      <c r="I2005">
        <v>20170401</v>
      </c>
      <c r="J2005" t="s">
        <v>2336</v>
      </c>
    </row>
    <row r="2006" spans="1:16" x14ac:dyDescent="0.3">
      <c r="A2006" s="160">
        <v>22221</v>
      </c>
      <c r="B2006" t="s">
        <v>17160</v>
      </c>
      <c r="C2006" t="s">
        <v>2237</v>
      </c>
      <c r="D2006">
        <v>0.55000000000000004</v>
      </c>
      <c r="E2006">
        <v>0</v>
      </c>
      <c r="F2006">
        <f t="shared" si="31"/>
        <v>0.55000000000000004</v>
      </c>
      <c r="I2006">
        <v>20170401</v>
      </c>
      <c r="J2006" t="s">
        <v>2300</v>
      </c>
    </row>
    <row r="2007" spans="1:16" x14ac:dyDescent="0.3">
      <c r="A2007" s="160">
        <v>22223</v>
      </c>
      <c r="B2007" t="s">
        <v>17161</v>
      </c>
      <c r="C2007" t="s">
        <v>2234</v>
      </c>
      <c r="D2007">
        <v>0.5</v>
      </c>
      <c r="E2007">
        <v>0</v>
      </c>
      <c r="F2007">
        <f t="shared" si="31"/>
        <v>0.5</v>
      </c>
      <c r="I2007">
        <v>20210701</v>
      </c>
      <c r="J2007" t="s">
        <v>2264</v>
      </c>
      <c r="K2007" t="s">
        <v>2250</v>
      </c>
      <c r="L2007" t="s">
        <v>2251</v>
      </c>
      <c r="M2007" t="s">
        <v>2265</v>
      </c>
      <c r="N2007" t="s">
        <v>2266</v>
      </c>
      <c r="O2007" t="s">
        <v>2301</v>
      </c>
    </row>
    <row r="2008" spans="1:16" x14ac:dyDescent="0.3">
      <c r="A2008" s="160">
        <v>22224</v>
      </c>
      <c r="B2008" t="s">
        <v>17162</v>
      </c>
      <c r="C2008" t="s">
        <v>2237</v>
      </c>
      <c r="D2008">
        <v>0.55000000000000004</v>
      </c>
      <c r="E2008">
        <v>0</v>
      </c>
      <c r="F2008">
        <f t="shared" si="31"/>
        <v>0.55000000000000004</v>
      </c>
      <c r="I2008">
        <v>20160701</v>
      </c>
      <c r="J2008" t="s">
        <v>2247</v>
      </c>
      <c r="K2008" t="s">
        <v>2289</v>
      </c>
    </row>
    <row r="2009" spans="1:16" x14ac:dyDescent="0.3">
      <c r="A2009" s="160">
        <v>22225</v>
      </c>
      <c r="B2009" t="s">
        <v>17163</v>
      </c>
      <c r="C2009" t="s">
        <v>2234</v>
      </c>
      <c r="D2009">
        <v>0.5</v>
      </c>
      <c r="E2009">
        <v>0</v>
      </c>
      <c r="F2009">
        <f t="shared" si="31"/>
        <v>0.5</v>
      </c>
      <c r="I2009">
        <v>20210701</v>
      </c>
      <c r="J2009" t="s">
        <v>2250</v>
      </c>
      <c r="K2009" t="s">
        <v>2251</v>
      </c>
      <c r="L2009" t="s">
        <v>2265</v>
      </c>
      <c r="M2009" t="s">
        <v>2266</v>
      </c>
      <c r="N2009" t="s">
        <v>2267</v>
      </c>
      <c r="O2009" t="s">
        <v>2301</v>
      </c>
      <c r="P2009" t="s">
        <v>2252</v>
      </c>
    </row>
    <row r="2010" spans="1:16" x14ac:dyDescent="0.3">
      <c r="A2010" s="160">
        <v>22226</v>
      </c>
      <c r="B2010" t="s">
        <v>17164</v>
      </c>
      <c r="C2010" t="s">
        <v>2237</v>
      </c>
      <c r="D2010">
        <v>0.55000000000000004</v>
      </c>
      <c r="E2010">
        <v>0</v>
      </c>
      <c r="F2010">
        <f t="shared" si="31"/>
        <v>0.55000000000000004</v>
      </c>
      <c r="I2010">
        <v>20160701</v>
      </c>
      <c r="J2010" t="s">
        <v>2247</v>
      </c>
    </row>
    <row r="2011" spans="1:16" x14ac:dyDescent="0.3">
      <c r="A2011" s="160">
        <v>22227</v>
      </c>
      <c r="B2011" t="s">
        <v>17165</v>
      </c>
      <c r="C2011" t="s">
        <v>2237</v>
      </c>
      <c r="D2011">
        <v>0.55000000000000004</v>
      </c>
      <c r="E2011">
        <v>0</v>
      </c>
      <c r="F2011">
        <f t="shared" si="31"/>
        <v>0.55000000000000004</v>
      </c>
      <c r="I2011">
        <v>20240101</v>
      </c>
      <c r="J2011" t="s">
        <v>2295</v>
      </c>
    </row>
    <row r="2012" spans="1:16" x14ac:dyDescent="0.3">
      <c r="A2012" s="160">
        <v>22228</v>
      </c>
      <c r="B2012" t="s">
        <v>17166</v>
      </c>
      <c r="C2012" t="s">
        <v>2237</v>
      </c>
      <c r="D2012">
        <v>0.55000000000000004</v>
      </c>
      <c r="E2012">
        <v>0</v>
      </c>
      <c r="F2012">
        <f t="shared" si="31"/>
        <v>0.55000000000000004</v>
      </c>
      <c r="I2012">
        <v>20240101</v>
      </c>
      <c r="J2012" t="s">
        <v>2236</v>
      </c>
    </row>
    <row r="2013" spans="1:16" x14ac:dyDescent="0.3">
      <c r="A2013" s="160">
        <v>22231</v>
      </c>
      <c r="B2013" t="s">
        <v>17167</v>
      </c>
      <c r="C2013" t="s">
        <v>2234</v>
      </c>
      <c r="D2013">
        <v>0.5</v>
      </c>
      <c r="E2013">
        <v>0</v>
      </c>
      <c r="F2013">
        <f t="shared" si="31"/>
        <v>0.5</v>
      </c>
      <c r="I2013">
        <v>20240101</v>
      </c>
      <c r="J2013" t="s">
        <v>2245</v>
      </c>
    </row>
    <row r="2014" spans="1:16" x14ac:dyDescent="0.3">
      <c r="A2014" s="160">
        <v>22232</v>
      </c>
      <c r="B2014" t="s">
        <v>17168</v>
      </c>
      <c r="C2014" t="s">
        <v>2238</v>
      </c>
      <c r="D2014">
        <v>1.6</v>
      </c>
      <c r="E2014">
        <v>0</v>
      </c>
      <c r="F2014">
        <f t="shared" si="31"/>
        <v>1.6</v>
      </c>
      <c r="I2014">
        <v>20220101</v>
      </c>
      <c r="J2014" t="s">
        <v>2291</v>
      </c>
    </row>
    <row r="2015" spans="1:16" x14ac:dyDescent="0.3">
      <c r="A2015" s="160">
        <v>22233</v>
      </c>
      <c r="B2015" t="s">
        <v>17169</v>
      </c>
      <c r="C2015" t="s">
        <v>2234</v>
      </c>
      <c r="D2015">
        <v>0.5</v>
      </c>
      <c r="E2015">
        <v>0</v>
      </c>
      <c r="F2015">
        <f t="shared" si="31"/>
        <v>0.5</v>
      </c>
      <c r="I2015">
        <v>20210701</v>
      </c>
      <c r="J2015" t="s">
        <v>2337</v>
      </c>
    </row>
    <row r="2016" spans="1:16" x14ac:dyDescent="0.3">
      <c r="A2016" s="160">
        <v>22235</v>
      </c>
      <c r="B2016" t="s">
        <v>17170</v>
      </c>
      <c r="C2016" t="s">
        <v>2237</v>
      </c>
      <c r="D2016">
        <v>0.55000000000000004</v>
      </c>
      <c r="E2016">
        <v>0</v>
      </c>
      <c r="F2016">
        <f t="shared" si="31"/>
        <v>0.55000000000000004</v>
      </c>
      <c r="I2016">
        <v>20160701</v>
      </c>
      <c r="J2016" t="s">
        <v>2292</v>
      </c>
    </row>
    <row r="2017" spans="1:10" x14ac:dyDescent="0.3">
      <c r="A2017" s="160">
        <v>22237</v>
      </c>
      <c r="B2017" t="s">
        <v>17171</v>
      </c>
      <c r="C2017" t="s">
        <v>2230</v>
      </c>
      <c r="D2017">
        <v>0.4</v>
      </c>
      <c r="E2017">
        <v>0</v>
      </c>
      <c r="F2017">
        <f t="shared" si="31"/>
        <v>0.4</v>
      </c>
      <c r="I2017">
        <v>20190101</v>
      </c>
      <c r="J2017" t="s">
        <v>2242</v>
      </c>
    </row>
    <row r="2018" spans="1:10" x14ac:dyDescent="0.3">
      <c r="A2018" s="160">
        <v>22238</v>
      </c>
      <c r="B2018" t="s">
        <v>17172</v>
      </c>
      <c r="C2018" t="s">
        <v>2237</v>
      </c>
      <c r="D2018">
        <v>0.55000000000000004</v>
      </c>
      <c r="E2018">
        <v>0</v>
      </c>
      <c r="F2018">
        <f t="shared" si="31"/>
        <v>0.55000000000000004</v>
      </c>
      <c r="I2018">
        <v>20160701</v>
      </c>
      <c r="J2018" t="s">
        <v>2323</v>
      </c>
    </row>
    <row r="2019" spans="1:10" x14ac:dyDescent="0.3">
      <c r="A2019" s="160">
        <v>22239</v>
      </c>
      <c r="B2019" t="s">
        <v>17173</v>
      </c>
      <c r="C2019" t="s">
        <v>2230</v>
      </c>
      <c r="D2019">
        <v>0.4</v>
      </c>
      <c r="E2019">
        <v>0</v>
      </c>
      <c r="F2019">
        <f t="shared" si="31"/>
        <v>0.4</v>
      </c>
      <c r="I2019">
        <v>20190101</v>
      </c>
      <c r="J2019" t="s">
        <v>2248</v>
      </c>
    </row>
    <row r="2020" spans="1:10" x14ac:dyDescent="0.3">
      <c r="A2020" s="160">
        <v>22240</v>
      </c>
      <c r="B2020" t="s">
        <v>17174</v>
      </c>
      <c r="C2020" t="s">
        <v>2230</v>
      </c>
      <c r="D2020">
        <v>0.4</v>
      </c>
      <c r="E2020">
        <v>0</v>
      </c>
      <c r="F2020">
        <f t="shared" si="31"/>
        <v>0.4</v>
      </c>
      <c r="I2020">
        <v>20190101</v>
      </c>
      <c r="J2020" t="s">
        <v>2244</v>
      </c>
    </row>
    <row r="2021" spans="1:10" x14ac:dyDescent="0.3">
      <c r="A2021" s="160">
        <v>22242</v>
      </c>
      <c r="B2021" t="s">
        <v>17175</v>
      </c>
      <c r="C2021" t="s">
        <v>2228</v>
      </c>
      <c r="D2021">
        <v>0.6</v>
      </c>
      <c r="E2021">
        <v>0</v>
      </c>
      <c r="F2021">
        <f t="shared" si="31"/>
        <v>0.6</v>
      </c>
      <c r="I2021">
        <v>20200101</v>
      </c>
      <c r="J2021" t="s">
        <v>2240</v>
      </c>
    </row>
    <row r="2022" spans="1:10" x14ac:dyDescent="0.3">
      <c r="A2022" s="160">
        <v>22243</v>
      </c>
      <c r="B2022" t="s">
        <v>17176</v>
      </c>
      <c r="C2022" t="s">
        <v>2234</v>
      </c>
      <c r="D2022">
        <v>0.5</v>
      </c>
      <c r="E2022">
        <v>0</v>
      </c>
      <c r="F2022">
        <f t="shared" si="31"/>
        <v>0.5</v>
      </c>
      <c r="I2022">
        <v>20240101</v>
      </c>
      <c r="J2022" t="s">
        <v>2245</v>
      </c>
    </row>
    <row r="2023" spans="1:10" x14ac:dyDescent="0.3">
      <c r="A2023" s="160">
        <v>22245</v>
      </c>
      <c r="B2023" t="s">
        <v>17177</v>
      </c>
      <c r="C2023" t="s">
        <v>2237</v>
      </c>
      <c r="D2023">
        <v>0.55000000000000004</v>
      </c>
      <c r="E2023">
        <v>0</v>
      </c>
      <c r="F2023">
        <f t="shared" si="31"/>
        <v>0.55000000000000004</v>
      </c>
      <c r="I2023">
        <v>20160701</v>
      </c>
      <c r="J2023" t="s">
        <v>2235</v>
      </c>
    </row>
    <row r="2024" spans="1:10" x14ac:dyDescent="0.3">
      <c r="A2024" s="160">
        <v>22246</v>
      </c>
      <c r="B2024" t="s">
        <v>17178</v>
      </c>
      <c r="C2024" t="s">
        <v>2228</v>
      </c>
      <c r="D2024">
        <v>0.6</v>
      </c>
      <c r="E2024">
        <v>0</v>
      </c>
      <c r="F2024">
        <f t="shared" si="31"/>
        <v>0.6</v>
      </c>
      <c r="I2024">
        <v>20200101</v>
      </c>
      <c r="J2024" t="s">
        <v>2270</v>
      </c>
    </row>
    <row r="2025" spans="1:10" x14ac:dyDescent="0.3">
      <c r="A2025" s="160">
        <v>22247</v>
      </c>
      <c r="B2025" t="s">
        <v>17179</v>
      </c>
      <c r="C2025" t="s">
        <v>2237</v>
      </c>
      <c r="D2025">
        <v>0.55000000000000004</v>
      </c>
      <c r="E2025">
        <v>0</v>
      </c>
      <c r="F2025">
        <f t="shared" si="31"/>
        <v>0.55000000000000004</v>
      </c>
      <c r="I2025">
        <v>20170401</v>
      </c>
      <c r="J2025" t="s">
        <v>2246</v>
      </c>
    </row>
    <row r="2026" spans="1:10" x14ac:dyDescent="0.3">
      <c r="A2026" s="160">
        <v>22249</v>
      </c>
      <c r="B2026" t="s">
        <v>17180</v>
      </c>
      <c r="C2026" t="s">
        <v>2234</v>
      </c>
      <c r="D2026">
        <v>0.5</v>
      </c>
      <c r="E2026">
        <v>0</v>
      </c>
      <c r="F2026">
        <f t="shared" si="31"/>
        <v>0.5</v>
      </c>
      <c r="I2026">
        <v>20240101</v>
      </c>
      <c r="J2026" t="s">
        <v>2241</v>
      </c>
    </row>
    <row r="2027" spans="1:10" x14ac:dyDescent="0.3">
      <c r="A2027" s="160">
        <v>22250</v>
      </c>
      <c r="B2027" t="s">
        <v>17181</v>
      </c>
      <c r="C2027" t="s">
        <v>2234</v>
      </c>
      <c r="D2027">
        <v>0.5</v>
      </c>
      <c r="E2027">
        <v>0</v>
      </c>
      <c r="F2027">
        <f t="shared" si="31"/>
        <v>0.5</v>
      </c>
      <c r="I2027">
        <v>20210701</v>
      </c>
      <c r="J2027" t="s">
        <v>2326</v>
      </c>
    </row>
    <row r="2028" spans="1:10" x14ac:dyDescent="0.3">
      <c r="A2028" s="160">
        <v>22251</v>
      </c>
      <c r="B2028" t="s">
        <v>17182</v>
      </c>
      <c r="C2028" t="s">
        <v>2238</v>
      </c>
      <c r="D2028">
        <v>1.6</v>
      </c>
      <c r="E2028">
        <v>0</v>
      </c>
      <c r="F2028">
        <f t="shared" si="31"/>
        <v>1.6</v>
      </c>
      <c r="I2028">
        <v>20160701</v>
      </c>
      <c r="J2028" t="s">
        <v>2338</v>
      </c>
    </row>
    <row r="2029" spans="1:10" x14ac:dyDescent="0.3">
      <c r="A2029" s="160">
        <v>22253</v>
      </c>
      <c r="B2029" t="s">
        <v>17183</v>
      </c>
      <c r="C2029" t="s">
        <v>2237</v>
      </c>
      <c r="D2029">
        <v>0.55000000000000004</v>
      </c>
      <c r="E2029">
        <v>0</v>
      </c>
      <c r="F2029">
        <f t="shared" si="31"/>
        <v>0.55000000000000004</v>
      </c>
      <c r="I2029">
        <v>20170401</v>
      </c>
      <c r="J2029" t="s">
        <v>2246</v>
      </c>
    </row>
    <row r="2030" spans="1:10" x14ac:dyDescent="0.3">
      <c r="A2030" s="160">
        <v>22254</v>
      </c>
      <c r="B2030" t="s">
        <v>17184</v>
      </c>
      <c r="C2030" t="s">
        <v>2237</v>
      </c>
      <c r="D2030">
        <v>0.55000000000000004</v>
      </c>
      <c r="E2030">
        <v>0</v>
      </c>
      <c r="F2030">
        <f t="shared" si="31"/>
        <v>0.55000000000000004</v>
      </c>
      <c r="I2030">
        <v>20160701</v>
      </c>
      <c r="J2030" t="s">
        <v>2235</v>
      </c>
    </row>
    <row r="2031" spans="1:10" x14ac:dyDescent="0.3">
      <c r="A2031" s="160">
        <v>22256</v>
      </c>
      <c r="B2031" t="s">
        <v>17185</v>
      </c>
      <c r="C2031" t="s">
        <v>2234</v>
      </c>
      <c r="D2031">
        <v>0.5</v>
      </c>
      <c r="E2031">
        <v>0</v>
      </c>
      <c r="F2031">
        <f t="shared" si="31"/>
        <v>0.5</v>
      </c>
      <c r="I2031">
        <v>20210701</v>
      </c>
      <c r="J2031" t="s">
        <v>2326</v>
      </c>
    </row>
    <row r="2032" spans="1:10" x14ac:dyDescent="0.3">
      <c r="A2032" s="160">
        <v>22257</v>
      </c>
      <c r="B2032" t="s">
        <v>17186</v>
      </c>
      <c r="C2032" t="s">
        <v>2237</v>
      </c>
      <c r="D2032">
        <v>0.55000000000000004</v>
      </c>
      <c r="E2032">
        <v>0</v>
      </c>
      <c r="F2032">
        <f t="shared" si="31"/>
        <v>0.55000000000000004</v>
      </c>
      <c r="I2032">
        <v>20160701</v>
      </c>
      <c r="J2032" t="s">
        <v>2246</v>
      </c>
    </row>
    <row r="2033" spans="1:18" x14ac:dyDescent="0.3">
      <c r="A2033" s="160">
        <v>22258</v>
      </c>
      <c r="B2033" t="s">
        <v>17187</v>
      </c>
      <c r="C2033" t="s">
        <v>2228</v>
      </c>
      <c r="D2033">
        <v>0.6</v>
      </c>
      <c r="E2033">
        <v>0</v>
      </c>
      <c r="F2033">
        <f t="shared" si="31"/>
        <v>0.6</v>
      </c>
      <c r="I2033">
        <v>20200101</v>
      </c>
      <c r="J2033" t="s">
        <v>2270</v>
      </c>
    </row>
    <row r="2034" spans="1:18" x14ac:dyDescent="0.3">
      <c r="A2034" s="160">
        <v>22259</v>
      </c>
      <c r="B2034" t="s">
        <v>17188</v>
      </c>
      <c r="C2034" t="s">
        <v>2230</v>
      </c>
      <c r="D2034">
        <v>0.4</v>
      </c>
      <c r="E2034">
        <v>0</v>
      </c>
      <c r="F2034">
        <f t="shared" si="31"/>
        <v>0.4</v>
      </c>
      <c r="I2034">
        <v>20190101</v>
      </c>
      <c r="J2034" t="s">
        <v>2231</v>
      </c>
      <c r="K2034" t="s">
        <v>2254</v>
      </c>
      <c r="L2034" t="s">
        <v>2255</v>
      </c>
      <c r="M2034" t="s">
        <v>2232</v>
      </c>
      <c r="N2034" t="s">
        <v>2256</v>
      </c>
      <c r="O2034" t="s">
        <v>2257</v>
      </c>
      <c r="P2034" t="s">
        <v>2233</v>
      </c>
      <c r="Q2034" t="s">
        <v>2258</v>
      </c>
      <c r="R2034" t="s">
        <v>2259</v>
      </c>
    </row>
    <row r="2035" spans="1:18" x14ac:dyDescent="0.3">
      <c r="A2035" s="160">
        <v>22261</v>
      </c>
      <c r="B2035" t="s">
        <v>17189</v>
      </c>
      <c r="C2035" t="s">
        <v>2228</v>
      </c>
      <c r="D2035">
        <v>0.6</v>
      </c>
      <c r="E2035">
        <v>0</v>
      </c>
      <c r="F2035">
        <f t="shared" si="31"/>
        <v>0.6</v>
      </c>
      <c r="I2035">
        <v>20200101</v>
      </c>
      <c r="J2035" t="s">
        <v>2229</v>
      </c>
    </row>
    <row r="2036" spans="1:18" x14ac:dyDescent="0.3">
      <c r="A2036" s="160">
        <v>22262</v>
      </c>
      <c r="B2036" t="s">
        <v>17190</v>
      </c>
      <c r="C2036" t="s">
        <v>2238</v>
      </c>
      <c r="D2036">
        <v>1.6</v>
      </c>
      <c r="E2036">
        <v>0</v>
      </c>
      <c r="F2036">
        <f t="shared" si="31"/>
        <v>1.6</v>
      </c>
      <c r="I2036">
        <v>20220101</v>
      </c>
      <c r="J2036" t="s">
        <v>2263</v>
      </c>
    </row>
    <row r="2037" spans="1:18" x14ac:dyDescent="0.3">
      <c r="A2037" s="160">
        <v>22263</v>
      </c>
      <c r="B2037" t="s">
        <v>17191</v>
      </c>
      <c r="C2037" t="s">
        <v>2230</v>
      </c>
      <c r="D2037">
        <v>0.4</v>
      </c>
      <c r="E2037">
        <v>0</v>
      </c>
      <c r="F2037">
        <f t="shared" si="31"/>
        <v>0.4</v>
      </c>
      <c r="I2037">
        <v>20190101</v>
      </c>
      <c r="J2037" t="s">
        <v>2249</v>
      </c>
    </row>
    <row r="2038" spans="1:18" x14ac:dyDescent="0.3">
      <c r="A2038" s="160">
        <v>22264</v>
      </c>
      <c r="B2038" t="s">
        <v>17192</v>
      </c>
      <c r="C2038" t="s">
        <v>2237</v>
      </c>
      <c r="D2038">
        <v>0.55000000000000004</v>
      </c>
      <c r="E2038">
        <v>0</v>
      </c>
      <c r="F2038">
        <f t="shared" si="31"/>
        <v>0.55000000000000004</v>
      </c>
      <c r="I2038">
        <v>20170401</v>
      </c>
      <c r="J2038" t="s">
        <v>2246</v>
      </c>
    </row>
    <row r="2039" spans="1:18" x14ac:dyDescent="0.3">
      <c r="A2039" s="160">
        <v>22265</v>
      </c>
      <c r="B2039" t="s">
        <v>17193</v>
      </c>
      <c r="C2039" t="s">
        <v>2237</v>
      </c>
      <c r="D2039">
        <v>0.55000000000000004</v>
      </c>
      <c r="E2039">
        <v>0</v>
      </c>
      <c r="F2039">
        <f t="shared" si="31"/>
        <v>0.55000000000000004</v>
      </c>
      <c r="I2039">
        <v>20160701</v>
      </c>
      <c r="J2039" t="s">
        <v>2247</v>
      </c>
    </row>
    <row r="2040" spans="1:18" x14ac:dyDescent="0.3">
      <c r="A2040" s="160">
        <v>22267</v>
      </c>
      <c r="B2040" t="s">
        <v>17194</v>
      </c>
      <c r="C2040" t="s">
        <v>2228</v>
      </c>
      <c r="D2040">
        <v>0.6</v>
      </c>
      <c r="E2040">
        <v>0</v>
      </c>
      <c r="F2040">
        <f t="shared" si="31"/>
        <v>0.6</v>
      </c>
      <c r="I2040">
        <v>20200101</v>
      </c>
      <c r="J2040" t="s">
        <v>2244</v>
      </c>
    </row>
    <row r="2041" spans="1:18" x14ac:dyDescent="0.3">
      <c r="A2041" s="160">
        <v>22268</v>
      </c>
      <c r="B2041" t="s">
        <v>17195</v>
      </c>
      <c r="C2041" t="s">
        <v>2230</v>
      </c>
      <c r="D2041">
        <v>0.4</v>
      </c>
      <c r="E2041">
        <v>0</v>
      </c>
      <c r="F2041">
        <f t="shared" si="31"/>
        <v>0.4</v>
      </c>
      <c r="I2041">
        <v>20190101</v>
      </c>
      <c r="J2041" t="s">
        <v>2268</v>
      </c>
    </row>
    <row r="2042" spans="1:18" x14ac:dyDescent="0.3">
      <c r="A2042" s="160">
        <v>22269</v>
      </c>
      <c r="B2042" t="s">
        <v>17196</v>
      </c>
      <c r="C2042" t="s">
        <v>2234</v>
      </c>
      <c r="D2042">
        <v>0.5</v>
      </c>
      <c r="E2042">
        <v>0</v>
      </c>
      <c r="F2042">
        <f t="shared" si="31"/>
        <v>0.5</v>
      </c>
      <c r="I2042">
        <v>20210701</v>
      </c>
      <c r="J2042" t="s">
        <v>2326</v>
      </c>
    </row>
    <row r="2043" spans="1:18" x14ac:dyDescent="0.3">
      <c r="A2043" s="160">
        <v>22271</v>
      </c>
      <c r="B2043" t="s">
        <v>17197</v>
      </c>
      <c r="C2043" t="s">
        <v>2234</v>
      </c>
      <c r="D2043">
        <v>0.5</v>
      </c>
      <c r="E2043">
        <v>0</v>
      </c>
      <c r="F2043">
        <f t="shared" si="31"/>
        <v>0.5</v>
      </c>
      <c r="I2043">
        <v>20240101</v>
      </c>
      <c r="J2043" t="s">
        <v>2241</v>
      </c>
    </row>
    <row r="2044" spans="1:18" x14ac:dyDescent="0.3">
      <c r="A2044" s="160">
        <v>22272</v>
      </c>
      <c r="B2044" t="s">
        <v>17198</v>
      </c>
      <c r="C2044" t="s">
        <v>2234</v>
      </c>
      <c r="D2044">
        <v>0.5</v>
      </c>
      <c r="E2044">
        <v>0</v>
      </c>
      <c r="F2044">
        <f t="shared" si="31"/>
        <v>0.5</v>
      </c>
      <c r="I2044">
        <v>20210701</v>
      </c>
      <c r="J2044" t="s">
        <v>2264</v>
      </c>
      <c r="K2044" t="s">
        <v>2250</v>
      </c>
      <c r="L2044" t="s">
        <v>2251</v>
      </c>
      <c r="M2044" t="s">
        <v>2265</v>
      </c>
      <c r="N2044" t="s">
        <v>2266</v>
      </c>
      <c r="O2044" t="s">
        <v>2267</v>
      </c>
    </row>
    <row r="2045" spans="1:18" x14ac:dyDescent="0.3">
      <c r="A2045" s="160">
        <v>22273</v>
      </c>
      <c r="B2045" t="s">
        <v>17199</v>
      </c>
      <c r="C2045" t="s">
        <v>2228</v>
      </c>
      <c r="D2045">
        <v>0.6</v>
      </c>
      <c r="E2045">
        <v>0</v>
      </c>
      <c r="F2045">
        <f t="shared" si="31"/>
        <v>0.6</v>
      </c>
      <c r="I2045">
        <v>20200101</v>
      </c>
      <c r="J2045" t="s">
        <v>2229</v>
      </c>
      <c r="K2045" t="s">
        <v>2277</v>
      </c>
    </row>
    <row r="2046" spans="1:18" x14ac:dyDescent="0.3">
      <c r="A2046" s="160">
        <v>22274</v>
      </c>
      <c r="B2046" t="s">
        <v>17200</v>
      </c>
      <c r="C2046" t="s">
        <v>2230</v>
      </c>
      <c r="D2046">
        <v>0.4</v>
      </c>
      <c r="E2046">
        <v>0</v>
      </c>
      <c r="F2046">
        <f t="shared" si="31"/>
        <v>0.4</v>
      </c>
      <c r="I2046">
        <v>20190101</v>
      </c>
      <c r="J2046" t="s">
        <v>2249</v>
      </c>
    </row>
    <row r="2047" spans="1:18" x14ac:dyDescent="0.3">
      <c r="A2047" s="160">
        <v>22276</v>
      </c>
      <c r="B2047" t="s">
        <v>17201</v>
      </c>
      <c r="C2047" t="s">
        <v>2238</v>
      </c>
      <c r="D2047">
        <v>1.6</v>
      </c>
      <c r="E2047">
        <v>0</v>
      </c>
      <c r="F2047">
        <f t="shared" si="31"/>
        <v>1.6</v>
      </c>
      <c r="I2047">
        <v>20220101</v>
      </c>
      <c r="J2047" t="s">
        <v>2263</v>
      </c>
    </row>
    <row r="2048" spans="1:18" x14ac:dyDescent="0.3">
      <c r="A2048" s="160">
        <v>22277</v>
      </c>
      <c r="B2048" t="s">
        <v>17202</v>
      </c>
      <c r="C2048" t="s">
        <v>2238</v>
      </c>
      <c r="D2048">
        <v>1.6</v>
      </c>
      <c r="E2048">
        <v>0</v>
      </c>
      <c r="F2048">
        <f t="shared" si="31"/>
        <v>1.6</v>
      </c>
      <c r="I2048">
        <v>20220101</v>
      </c>
      <c r="J2048" t="s">
        <v>2263</v>
      </c>
    </row>
    <row r="2049" spans="1:37" x14ac:dyDescent="0.3">
      <c r="A2049" s="160">
        <v>22278</v>
      </c>
      <c r="B2049" t="s">
        <v>17203</v>
      </c>
      <c r="C2049" t="s">
        <v>2238</v>
      </c>
      <c r="D2049">
        <v>1.6</v>
      </c>
      <c r="E2049">
        <v>0</v>
      </c>
      <c r="F2049">
        <f t="shared" si="31"/>
        <v>1.6</v>
      </c>
      <c r="I2049">
        <v>20160701</v>
      </c>
      <c r="J2049" t="s">
        <v>2339</v>
      </c>
      <c r="K2049" t="s">
        <v>2340</v>
      </c>
      <c r="L2049" t="s">
        <v>2341</v>
      </c>
      <c r="M2049" t="s">
        <v>2311</v>
      </c>
      <c r="N2049" t="s">
        <v>2331</v>
      </c>
      <c r="O2049" t="s">
        <v>2312</v>
      </c>
      <c r="P2049" t="s">
        <v>2342</v>
      </c>
      <c r="Q2049" t="s">
        <v>2343</v>
      </c>
      <c r="R2049" t="s">
        <v>2344</v>
      </c>
      <c r="S2049" t="s">
        <v>2345</v>
      </c>
      <c r="T2049" t="s">
        <v>2346</v>
      </c>
      <c r="U2049" t="s">
        <v>2347</v>
      </c>
      <c r="V2049" t="s">
        <v>2348</v>
      </c>
      <c r="W2049" t="s">
        <v>2349</v>
      </c>
      <c r="X2049" t="s">
        <v>2350</v>
      </c>
      <c r="Y2049" t="s">
        <v>2351</v>
      </c>
      <c r="Z2049" t="s">
        <v>2352</v>
      </c>
      <c r="AA2049" t="s">
        <v>2353</v>
      </c>
      <c r="AB2049" t="s">
        <v>2354</v>
      </c>
      <c r="AC2049" t="s">
        <v>2355</v>
      </c>
      <c r="AD2049" t="s">
        <v>2356</v>
      </c>
      <c r="AE2049" t="s">
        <v>2357</v>
      </c>
      <c r="AF2049" t="s">
        <v>2358</v>
      </c>
      <c r="AG2049" t="s">
        <v>2359</v>
      </c>
      <c r="AH2049" t="s">
        <v>2360</v>
      </c>
      <c r="AI2049" t="s">
        <v>2361</v>
      </c>
      <c r="AJ2049" t="s">
        <v>2362</v>
      </c>
      <c r="AK2049" t="s">
        <v>2335</v>
      </c>
    </row>
    <row r="2050" spans="1:37" x14ac:dyDescent="0.3">
      <c r="A2050" s="160">
        <v>22280</v>
      </c>
      <c r="B2050" t="s">
        <v>17204</v>
      </c>
      <c r="C2050" t="s">
        <v>2230</v>
      </c>
      <c r="D2050">
        <v>0.4</v>
      </c>
      <c r="E2050">
        <v>0</v>
      </c>
      <c r="F2050">
        <f t="shared" si="31"/>
        <v>0.4</v>
      </c>
      <c r="I2050">
        <v>20190101</v>
      </c>
      <c r="J2050" t="s">
        <v>2231</v>
      </c>
    </row>
    <row r="2051" spans="1:37" x14ac:dyDescent="0.3">
      <c r="A2051" s="160">
        <v>22281</v>
      </c>
      <c r="B2051" t="s">
        <v>17205</v>
      </c>
      <c r="C2051" t="s">
        <v>2238</v>
      </c>
      <c r="D2051">
        <v>1.6</v>
      </c>
      <c r="E2051">
        <v>0</v>
      </c>
      <c r="F2051">
        <f t="shared" si="31"/>
        <v>1.6</v>
      </c>
      <c r="I2051">
        <v>20220101</v>
      </c>
      <c r="J2051" t="s">
        <v>2269</v>
      </c>
    </row>
    <row r="2052" spans="1:37" x14ac:dyDescent="0.3">
      <c r="A2052" s="160">
        <v>22282</v>
      </c>
      <c r="B2052" t="s">
        <v>17206</v>
      </c>
      <c r="C2052" t="s">
        <v>2230</v>
      </c>
      <c r="D2052">
        <v>0.4</v>
      </c>
      <c r="E2052">
        <v>0</v>
      </c>
      <c r="F2052">
        <f t="shared" si="31"/>
        <v>0.4</v>
      </c>
      <c r="I2052">
        <v>20190101</v>
      </c>
      <c r="J2052" t="s">
        <v>2363</v>
      </c>
    </row>
    <row r="2053" spans="1:37" x14ac:dyDescent="0.3">
      <c r="A2053" s="160">
        <v>22283</v>
      </c>
      <c r="B2053" t="s">
        <v>17207</v>
      </c>
      <c r="C2053" t="s">
        <v>2234</v>
      </c>
      <c r="D2053">
        <v>0.5</v>
      </c>
      <c r="E2053">
        <v>0</v>
      </c>
      <c r="F2053">
        <f t="shared" si="31"/>
        <v>0.5</v>
      </c>
      <c r="I2053">
        <v>20210701</v>
      </c>
      <c r="J2053" t="s">
        <v>2326</v>
      </c>
    </row>
    <row r="2054" spans="1:37" x14ac:dyDescent="0.3">
      <c r="A2054" s="160">
        <v>22286</v>
      </c>
      <c r="B2054" t="s">
        <v>17208</v>
      </c>
      <c r="C2054" t="s">
        <v>2228</v>
      </c>
      <c r="D2054">
        <v>0.6</v>
      </c>
      <c r="E2054">
        <v>0</v>
      </c>
      <c r="F2054">
        <f t="shared" si="31"/>
        <v>0.6</v>
      </c>
      <c r="I2054">
        <v>20200101</v>
      </c>
      <c r="J2054" t="s">
        <v>2229</v>
      </c>
      <c r="K2054" t="s">
        <v>2277</v>
      </c>
    </row>
    <row r="2055" spans="1:37" x14ac:dyDescent="0.3">
      <c r="A2055" s="160">
        <v>22287</v>
      </c>
      <c r="B2055" t="s">
        <v>17209</v>
      </c>
      <c r="C2055" t="s">
        <v>2238</v>
      </c>
      <c r="D2055">
        <v>1.6</v>
      </c>
      <c r="E2055">
        <v>0</v>
      </c>
      <c r="F2055">
        <f t="shared" ref="F2055:F2118" si="32">D2055+E2055</f>
        <v>1.6</v>
      </c>
      <c r="I2055">
        <v>20160701</v>
      </c>
      <c r="J2055" t="s">
        <v>2263</v>
      </c>
    </row>
    <row r="2056" spans="1:37" x14ac:dyDescent="0.3">
      <c r="A2056" s="160">
        <v>22291</v>
      </c>
      <c r="B2056" t="s">
        <v>17210</v>
      </c>
      <c r="C2056" t="s">
        <v>2238</v>
      </c>
      <c r="D2056">
        <v>1.6</v>
      </c>
      <c r="E2056">
        <v>0</v>
      </c>
      <c r="F2056">
        <f t="shared" si="32"/>
        <v>1.6</v>
      </c>
      <c r="I2056">
        <v>20220101</v>
      </c>
      <c r="J2056" t="s">
        <v>2263</v>
      </c>
    </row>
    <row r="2057" spans="1:37" x14ac:dyDescent="0.3">
      <c r="A2057" s="160">
        <v>22296</v>
      </c>
      <c r="B2057" t="s">
        <v>17211</v>
      </c>
      <c r="C2057" t="s">
        <v>2228</v>
      </c>
      <c r="D2057">
        <v>0.6</v>
      </c>
      <c r="E2057">
        <v>0</v>
      </c>
      <c r="F2057">
        <f t="shared" si="32"/>
        <v>0.6</v>
      </c>
      <c r="I2057">
        <v>20200101</v>
      </c>
      <c r="J2057" t="s">
        <v>2243</v>
      </c>
    </row>
    <row r="2058" spans="1:37" x14ac:dyDescent="0.3">
      <c r="A2058" s="160">
        <v>22299</v>
      </c>
      <c r="B2058" t="s">
        <v>17212</v>
      </c>
      <c r="C2058" t="s">
        <v>2230</v>
      </c>
      <c r="D2058">
        <v>0.4</v>
      </c>
      <c r="E2058">
        <v>0</v>
      </c>
      <c r="F2058">
        <f t="shared" si="32"/>
        <v>0.4</v>
      </c>
      <c r="I2058">
        <v>20190101</v>
      </c>
      <c r="J2058" t="s">
        <v>2231</v>
      </c>
    </row>
    <row r="2059" spans="1:37" x14ac:dyDescent="0.3">
      <c r="A2059" s="160">
        <v>22302</v>
      </c>
      <c r="B2059" t="s">
        <v>17213</v>
      </c>
      <c r="C2059" t="s">
        <v>2230</v>
      </c>
      <c r="D2059">
        <v>0.4</v>
      </c>
      <c r="E2059">
        <v>0</v>
      </c>
      <c r="F2059">
        <f t="shared" si="32"/>
        <v>0.4</v>
      </c>
      <c r="I2059">
        <v>20190101</v>
      </c>
      <c r="J2059" t="s">
        <v>2364</v>
      </c>
    </row>
    <row r="2060" spans="1:37" x14ac:dyDescent="0.3">
      <c r="A2060" s="160">
        <v>22305</v>
      </c>
      <c r="B2060" t="s">
        <v>17214</v>
      </c>
      <c r="C2060" t="s">
        <v>2230</v>
      </c>
      <c r="D2060">
        <v>0.4</v>
      </c>
      <c r="E2060">
        <v>0</v>
      </c>
      <c r="F2060">
        <f t="shared" si="32"/>
        <v>0.4</v>
      </c>
      <c r="I2060">
        <v>20190101</v>
      </c>
      <c r="J2060" t="s">
        <v>2248</v>
      </c>
    </row>
    <row r="2061" spans="1:37" x14ac:dyDescent="0.3">
      <c r="A2061" s="160">
        <v>22306</v>
      </c>
      <c r="B2061" t="s">
        <v>17215</v>
      </c>
      <c r="C2061" t="s">
        <v>2230</v>
      </c>
      <c r="D2061">
        <v>0.4</v>
      </c>
      <c r="E2061">
        <v>0</v>
      </c>
      <c r="F2061">
        <f t="shared" si="32"/>
        <v>0.4</v>
      </c>
      <c r="I2061">
        <v>20190101</v>
      </c>
      <c r="J2061" t="s">
        <v>2249</v>
      </c>
    </row>
    <row r="2062" spans="1:37" x14ac:dyDescent="0.3">
      <c r="A2062" s="160">
        <v>22307</v>
      </c>
      <c r="B2062" t="s">
        <v>17216</v>
      </c>
      <c r="C2062" t="s">
        <v>2238</v>
      </c>
      <c r="D2062">
        <v>1.6</v>
      </c>
      <c r="E2062">
        <v>0</v>
      </c>
      <c r="F2062">
        <f t="shared" si="32"/>
        <v>1.6</v>
      </c>
      <c r="I2062">
        <v>20160701</v>
      </c>
      <c r="J2062" t="s">
        <v>2308</v>
      </c>
    </row>
    <row r="2063" spans="1:37" x14ac:dyDescent="0.3">
      <c r="A2063" s="160">
        <v>22308</v>
      </c>
      <c r="B2063" t="s">
        <v>17217</v>
      </c>
      <c r="C2063" t="s">
        <v>2230</v>
      </c>
      <c r="D2063">
        <v>0.4</v>
      </c>
      <c r="E2063">
        <v>0</v>
      </c>
      <c r="F2063">
        <f t="shared" si="32"/>
        <v>0.4</v>
      </c>
      <c r="I2063">
        <v>20190101</v>
      </c>
      <c r="J2063" t="s">
        <v>2249</v>
      </c>
    </row>
    <row r="2064" spans="1:37" x14ac:dyDescent="0.3">
      <c r="A2064" s="160">
        <v>22310</v>
      </c>
      <c r="B2064" t="s">
        <v>16155</v>
      </c>
      <c r="C2064" t="s">
        <v>2234</v>
      </c>
      <c r="D2064">
        <v>0.5</v>
      </c>
      <c r="E2064">
        <v>0</v>
      </c>
      <c r="F2064">
        <f t="shared" si="32"/>
        <v>0.5</v>
      </c>
      <c r="I2064">
        <v>20210701</v>
      </c>
      <c r="J2064" t="s">
        <v>2235</v>
      </c>
    </row>
    <row r="2065" spans="1:12" x14ac:dyDescent="0.3">
      <c r="A2065" s="160">
        <v>22311</v>
      </c>
      <c r="B2065" t="s">
        <v>17218</v>
      </c>
      <c r="C2065" t="s">
        <v>2230</v>
      </c>
      <c r="D2065">
        <v>0.4</v>
      </c>
      <c r="E2065">
        <v>0</v>
      </c>
      <c r="F2065">
        <f t="shared" si="32"/>
        <v>0.4</v>
      </c>
      <c r="I2065">
        <v>20190101</v>
      </c>
      <c r="J2065" t="s">
        <v>2242</v>
      </c>
    </row>
    <row r="2066" spans="1:12" x14ac:dyDescent="0.3">
      <c r="A2066" s="160">
        <v>22312</v>
      </c>
      <c r="B2066" t="s">
        <v>17219</v>
      </c>
      <c r="C2066" t="s">
        <v>2230</v>
      </c>
      <c r="D2066">
        <v>0.4</v>
      </c>
      <c r="E2066">
        <v>0</v>
      </c>
      <c r="F2066">
        <f t="shared" si="32"/>
        <v>0.4</v>
      </c>
      <c r="I2066">
        <v>20190101</v>
      </c>
      <c r="J2066" t="s">
        <v>2248</v>
      </c>
    </row>
    <row r="2067" spans="1:12" x14ac:dyDescent="0.3">
      <c r="A2067" s="160">
        <v>22315</v>
      </c>
      <c r="B2067" t="s">
        <v>17220</v>
      </c>
      <c r="C2067" t="s">
        <v>2230</v>
      </c>
      <c r="D2067">
        <v>0.4</v>
      </c>
      <c r="E2067">
        <v>0</v>
      </c>
      <c r="F2067">
        <f t="shared" si="32"/>
        <v>0.4</v>
      </c>
      <c r="I2067">
        <v>20190101</v>
      </c>
      <c r="J2067" t="s">
        <v>2280</v>
      </c>
    </row>
    <row r="2068" spans="1:12" x14ac:dyDescent="0.3">
      <c r="A2068" s="160">
        <v>22317</v>
      </c>
      <c r="B2068" t="s">
        <v>17221</v>
      </c>
      <c r="C2068" t="s">
        <v>2230</v>
      </c>
      <c r="D2068">
        <v>0.4</v>
      </c>
      <c r="E2068">
        <v>0</v>
      </c>
      <c r="F2068">
        <f t="shared" si="32"/>
        <v>0.4</v>
      </c>
      <c r="I2068">
        <v>20190101</v>
      </c>
      <c r="J2068" t="s">
        <v>2280</v>
      </c>
    </row>
    <row r="2069" spans="1:12" x14ac:dyDescent="0.3">
      <c r="A2069" s="160">
        <v>22318</v>
      </c>
      <c r="B2069" t="s">
        <v>17222</v>
      </c>
      <c r="C2069" t="s">
        <v>2230</v>
      </c>
      <c r="D2069">
        <v>0.4</v>
      </c>
      <c r="E2069">
        <v>0</v>
      </c>
      <c r="F2069">
        <f t="shared" si="32"/>
        <v>0.4</v>
      </c>
      <c r="I2069">
        <v>20190101</v>
      </c>
      <c r="J2069" t="s">
        <v>2280</v>
      </c>
    </row>
    <row r="2070" spans="1:12" x14ac:dyDescent="0.3">
      <c r="A2070" s="160">
        <v>22319</v>
      </c>
      <c r="B2070" t="s">
        <v>17223</v>
      </c>
      <c r="C2070" t="s">
        <v>2237</v>
      </c>
      <c r="D2070">
        <v>0.55000000000000004</v>
      </c>
      <c r="E2070">
        <v>0</v>
      </c>
      <c r="F2070">
        <f t="shared" si="32"/>
        <v>0.55000000000000004</v>
      </c>
      <c r="I2070">
        <v>20160701</v>
      </c>
      <c r="J2070" t="s">
        <v>2247</v>
      </c>
    </row>
    <row r="2071" spans="1:12" x14ac:dyDescent="0.3">
      <c r="A2071" s="160">
        <v>22320</v>
      </c>
      <c r="B2071" t="s">
        <v>17224</v>
      </c>
      <c r="C2071" t="s">
        <v>2234</v>
      </c>
      <c r="D2071">
        <v>0.5</v>
      </c>
      <c r="E2071">
        <v>0</v>
      </c>
      <c r="F2071">
        <f t="shared" si="32"/>
        <v>0.5</v>
      </c>
      <c r="I2071">
        <v>20240101</v>
      </c>
      <c r="J2071" t="s">
        <v>2245</v>
      </c>
    </row>
    <row r="2072" spans="1:12" x14ac:dyDescent="0.3">
      <c r="A2072" s="160">
        <v>22323</v>
      </c>
      <c r="B2072" t="s">
        <v>17225</v>
      </c>
      <c r="C2072" t="s">
        <v>2230</v>
      </c>
      <c r="D2072">
        <v>0.4</v>
      </c>
      <c r="E2072">
        <v>0</v>
      </c>
      <c r="F2072">
        <f t="shared" si="32"/>
        <v>0.4</v>
      </c>
      <c r="I2072">
        <v>20190101</v>
      </c>
      <c r="J2072" t="s">
        <v>2268</v>
      </c>
    </row>
    <row r="2073" spans="1:12" x14ac:dyDescent="0.3">
      <c r="A2073" s="160">
        <v>22324</v>
      </c>
      <c r="B2073" t="s">
        <v>17226</v>
      </c>
      <c r="C2073" t="s">
        <v>2237</v>
      </c>
      <c r="D2073">
        <v>0.55000000000000004</v>
      </c>
      <c r="E2073">
        <v>0</v>
      </c>
      <c r="F2073">
        <f t="shared" si="32"/>
        <v>0.55000000000000004</v>
      </c>
      <c r="I2073">
        <v>20160701</v>
      </c>
      <c r="J2073" t="s">
        <v>2287</v>
      </c>
      <c r="K2073" t="s">
        <v>2289</v>
      </c>
      <c r="L2073" t="s">
        <v>2296</v>
      </c>
    </row>
    <row r="2074" spans="1:12" x14ac:dyDescent="0.3">
      <c r="A2074" s="160">
        <v>22325</v>
      </c>
      <c r="B2074" t="s">
        <v>17227</v>
      </c>
      <c r="C2074" t="s">
        <v>2238</v>
      </c>
      <c r="D2074">
        <v>1.6</v>
      </c>
      <c r="E2074">
        <v>0</v>
      </c>
      <c r="F2074">
        <f t="shared" si="32"/>
        <v>1.6</v>
      </c>
      <c r="I2074">
        <v>20220101</v>
      </c>
      <c r="J2074" t="s">
        <v>2291</v>
      </c>
    </row>
    <row r="2075" spans="1:12" x14ac:dyDescent="0.3">
      <c r="A2075" s="160">
        <v>22326</v>
      </c>
      <c r="B2075" t="s">
        <v>17228</v>
      </c>
      <c r="C2075" t="s">
        <v>2228</v>
      </c>
      <c r="D2075">
        <v>0.6</v>
      </c>
      <c r="E2075">
        <v>0</v>
      </c>
      <c r="F2075">
        <f t="shared" si="32"/>
        <v>0.6</v>
      </c>
      <c r="I2075">
        <v>20200101</v>
      </c>
      <c r="J2075" t="s">
        <v>2271</v>
      </c>
    </row>
    <row r="2076" spans="1:12" x14ac:dyDescent="0.3">
      <c r="A2076" s="160">
        <v>22327</v>
      </c>
      <c r="B2076" t="s">
        <v>17229</v>
      </c>
      <c r="C2076" t="s">
        <v>2230</v>
      </c>
      <c r="D2076">
        <v>0.4</v>
      </c>
      <c r="E2076">
        <v>0</v>
      </c>
      <c r="F2076">
        <f t="shared" si="32"/>
        <v>0.4</v>
      </c>
      <c r="I2076">
        <v>20190101</v>
      </c>
      <c r="J2076" t="s">
        <v>2231</v>
      </c>
      <c r="K2076" t="s">
        <v>2255</v>
      </c>
    </row>
    <row r="2077" spans="1:12" x14ac:dyDescent="0.3">
      <c r="A2077" s="160">
        <v>22328</v>
      </c>
      <c r="B2077" t="s">
        <v>17230</v>
      </c>
      <c r="C2077" t="s">
        <v>2234</v>
      </c>
      <c r="D2077">
        <v>0.5</v>
      </c>
      <c r="E2077">
        <v>0</v>
      </c>
      <c r="F2077">
        <f t="shared" si="32"/>
        <v>0.5</v>
      </c>
      <c r="I2077">
        <v>20240101</v>
      </c>
      <c r="J2077" t="s">
        <v>2245</v>
      </c>
    </row>
    <row r="2078" spans="1:12" x14ac:dyDescent="0.3">
      <c r="A2078" s="160">
        <v>22332</v>
      </c>
      <c r="B2078" t="s">
        <v>17231</v>
      </c>
      <c r="C2078" t="s">
        <v>2228</v>
      </c>
      <c r="D2078">
        <v>0.6</v>
      </c>
      <c r="E2078">
        <v>0</v>
      </c>
      <c r="F2078">
        <f t="shared" si="32"/>
        <v>0.6</v>
      </c>
      <c r="I2078">
        <v>20200101</v>
      </c>
      <c r="J2078" t="s">
        <v>2243</v>
      </c>
    </row>
    <row r="2079" spans="1:12" x14ac:dyDescent="0.3">
      <c r="A2079" s="160">
        <v>22335</v>
      </c>
      <c r="B2079" t="s">
        <v>17232</v>
      </c>
      <c r="C2079" t="s">
        <v>2234</v>
      </c>
      <c r="D2079">
        <v>0.5</v>
      </c>
      <c r="E2079">
        <v>0</v>
      </c>
      <c r="F2079">
        <f t="shared" si="32"/>
        <v>0.5</v>
      </c>
      <c r="I2079">
        <v>20240101</v>
      </c>
      <c r="J2079" t="s">
        <v>2322</v>
      </c>
    </row>
    <row r="2080" spans="1:12" x14ac:dyDescent="0.3">
      <c r="A2080" s="160">
        <v>22337</v>
      </c>
      <c r="B2080" t="s">
        <v>17233</v>
      </c>
      <c r="C2080" t="s">
        <v>2228</v>
      </c>
      <c r="D2080">
        <v>0.6</v>
      </c>
      <c r="E2080">
        <v>0</v>
      </c>
      <c r="F2080">
        <f t="shared" si="32"/>
        <v>0.6</v>
      </c>
      <c r="I2080">
        <v>20200101</v>
      </c>
      <c r="J2080" t="s">
        <v>2244</v>
      </c>
    </row>
    <row r="2081" spans="1:17" x14ac:dyDescent="0.3">
      <c r="A2081" s="160">
        <v>22338</v>
      </c>
      <c r="B2081" t="s">
        <v>17234</v>
      </c>
      <c r="C2081" t="s">
        <v>2234</v>
      </c>
      <c r="D2081">
        <v>0.5</v>
      </c>
      <c r="E2081">
        <v>0</v>
      </c>
      <c r="F2081">
        <f t="shared" si="32"/>
        <v>0.5</v>
      </c>
      <c r="I2081">
        <v>20210701</v>
      </c>
      <c r="J2081" t="s">
        <v>2264</v>
      </c>
    </row>
    <row r="2082" spans="1:17" x14ac:dyDescent="0.3">
      <c r="A2082" s="160">
        <v>22339</v>
      </c>
      <c r="B2082" t="s">
        <v>17235</v>
      </c>
      <c r="C2082" t="s">
        <v>2230</v>
      </c>
      <c r="D2082">
        <v>0.4</v>
      </c>
      <c r="E2082">
        <v>0</v>
      </c>
      <c r="F2082">
        <f t="shared" si="32"/>
        <v>0.4</v>
      </c>
      <c r="I2082">
        <v>20190101</v>
      </c>
      <c r="J2082" t="s">
        <v>2231</v>
      </c>
      <c r="K2082" t="s">
        <v>2254</v>
      </c>
      <c r="L2082" t="s">
        <v>2255</v>
      </c>
      <c r="M2082" t="s">
        <v>2232</v>
      </c>
      <c r="N2082" t="s">
        <v>2257</v>
      </c>
      <c r="O2082" t="s">
        <v>2233</v>
      </c>
      <c r="P2082" t="s">
        <v>2258</v>
      </c>
      <c r="Q2082" t="s">
        <v>2259</v>
      </c>
    </row>
    <row r="2083" spans="1:17" x14ac:dyDescent="0.3">
      <c r="A2083" s="160">
        <v>22340</v>
      </c>
      <c r="B2083" t="s">
        <v>17236</v>
      </c>
      <c r="C2083" t="s">
        <v>2237</v>
      </c>
      <c r="D2083">
        <v>0.55000000000000004</v>
      </c>
      <c r="E2083">
        <v>0</v>
      </c>
      <c r="F2083">
        <f t="shared" si="32"/>
        <v>0.55000000000000004</v>
      </c>
      <c r="I2083">
        <v>20160701</v>
      </c>
      <c r="J2083" t="s">
        <v>2235</v>
      </c>
    </row>
    <row r="2084" spans="1:17" x14ac:dyDescent="0.3">
      <c r="A2084" s="160">
        <v>22341</v>
      </c>
      <c r="B2084" t="s">
        <v>17237</v>
      </c>
      <c r="C2084" t="s">
        <v>2228</v>
      </c>
      <c r="D2084">
        <v>0.6</v>
      </c>
      <c r="E2084">
        <v>0</v>
      </c>
      <c r="F2084">
        <f t="shared" si="32"/>
        <v>0.6</v>
      </c>
      <c r="I2084">
        <v>20200101</v>
      </c>
      <c r="J2084" t="s">
        <v>2298</v>
      </c>
    </row>
    <row r="2085" spans="1:17" x14ac:dyDescent="0.3">
      <c r="A2085" s="160">
        <v>22342</v>
      </c>
      <c r="B2085" t="s">
        <v>17238</v>
      </c>
      <c r="C2085" t="s">
        <v>2230</v>
      </c>
      <c r="D2085">
        <v>0.4</v>
      </c>
      <c r="E2085">
        <v>0</v>
      </c>
      <c r="F2085">
        <f t="shared" si="32"/>
        <v>0.4</v>
      </c>
      <c r="I2085">
        <v>20190101</v>
      </c>
      <c r="J2085" t="s">
        <v>2280</v>
      </c>
    </row>
    <row r="2086" spans="1:17" x14ac:dyDescent="0.3">
      <c r="A2086" s="160">
        <v>22343</v>
      </c>
      <c r="B2086" t="s">
        <v>17239</v>
      </c>
      <c r="C2086" t="s">
        <v>2237</v>
      </c>
      <c r="D2086">
        <v>0.55000000000000004</v>
      </c>
      <c r="E2086">
        <v>0</v>
      </c>
      <c r="F2086">
        <f t="shared" si="32"/>
        <v>0.55000000000000004</v>
      </c>
      <c r="I2086">
        <v>20160701</v>
      </c>
      <c r="J2086" t="s">
        <v>2288</v>
      </c>
      <c r="K2086" t="s">
        <v>2325</v>
      </c>
    </row>
    <row r="2087" spans="1:17" x14ac:dyDescent="0.3">
      <c r="A2087" s="160">
        <v>22345</v>
      </c>
      <c r="B2087" t="s">
        <v>17240</v>
      </c>
      <c r="C2087" t="s">
        <v>2228</v>
      </c>
      <c r="D2087">
        <v>0.6</v>
      </c>
      <c r="E2087">
        <v>0</v>
      </c>
      <c r="F2087">
        <f t="shared" si="32"/>
        <v>0.6</v>
      </c>
      <c r="I2087">
        <v>20200101</v>
      </c>
      <c r="J2087" t="s">
        <v>2243</v>
      </c>
    </row>
    <row r="2088" spans="1:17" x14ac:dyDescent="0.3">
      <c r="A2088" s="160">
        <v>22346</v>
      </c>
      <c r="B2088" t="s">
        <v>17241</v>
      </c>
      <c r="C2088" t="s">
        <v>2228</v>
      </c>
      <c r="D2088">
        <v>0.6</v>
      </c>
      <c r="E2088">
        <v>0</v>
      </c>
      <c r="F2088">
        <f t="shared" si="32"/>
        <v>0.6</v>
      </c>
      <c r="I2088">
        <v>20200101</v>
      </c>
      <c r="J2088" t="s">
        <v>2243</v>
      </c>
    </row>
    <row r="2089" spans="1:17" x14ac:dyDescent="0.3">
      <c r="A2089" s="160">
        <v>22347</v>
      </c>
      <c r="B2089" t="s">
        <v>17242</v>
      </c>
      <c r="C2089" t="s">
        <v>2237</v>
      </c>
      <c r="D2089">
        <v>0.55000000000000004</v>
      </c>
      <c r="E2089">
        <v>0</v>
      </c>
      <c r="F2089">
        <f t="shared" si="32"/>
        <v>0.55000000000000004</v>
      </c>
      <c r="I2089">
        <v>20170401</v>
      </c>
      <c r="J2089" t="s">
        <v>2300</v>
      </c>
    </row>
    <row r="2090" spans="1:17" x14ac:dyDescent="0.3">
      <c r="A2090" s="160">
        <v>22348</v>
      </c>
      <c r="B2090" t="s">
        <v>17243</v>
      </c>
      <c r="C2090" t="s">
        <v>2228</v>
      </c>
      <c r="D2090">
        <v>0.6</v>
      </c>
      <c r="E2090">
        <v>0</v>
      </c>
      <c r="F2090">
        <f t="shared" si="32"/>
        <v>0.6</v>
      </c>
      <c r="I2090">
        <v>20200101</v>
      </c>
      <c r="J2090" t="s">
        <v>2244</v>
      </c>
    </row>
    <row r="2091" spans="1:17" x14ac:dyDescent="0.3">
      <c r="A2091" s="160">
        <v>22349</v>
      </c>
      <c r="B2091" t="s">
        <v>17244</v>
      </c>
      <c r="C2091" t="s">
        <v>2237</v>
      </c>
      <c r="D2091">
        <v>0.55000000000000004</v>
      </c>
      <c r="E2091">
        <v>0</v>
      </c>
      <c r="F2091">
        <f t="shared" si="32"/>
        <v>0.55000000000000004</v>
      </c>
      <c r="I2091">
        <v>20160701</v>
      </c>
      <c r="J2091" t="s">
        <v>2247</v>
      </c>
    </row>
    <row r="2092" spans="1:17" x14ac:dyDescent="0.3">
      <c r="A2092" s="160">
        <v>22350</v>
      </c>
      <c r="B2092" t="s">
        <v>17245</v>
      </c>
      <c r="C2092" t="s">
        <v>2237</v>
      </c>
      <c r="D2092">
        <v>0.55000000000000004</v>
      </c>
      <c r="E2092">
        <v>0</v>
      </c>
      <c r="F2092">
        <f t="shared" si="32"/>
        <v>0.55000000000000004</v>
      </c>
      <c r="I2092">
        <v>20160701</v>
      </c>
      <c r="J2092" t="s">
        <v>2323</v>
      </c>
    </row>
    <row r="2093" spans="1:17" x14ac:dyDescent="0.3">
      <c r="A2093" s="160">
        <v>22351</v>
      </c>
      <c r="B2093" t="s">
        <v>17246</v>
      </c>
      <c r="C2093" t="s">
        <v>2302</v>
      </c>
      <c r="D2093">
        <v>0</v>
      </c>
      <c r="E2093">
        <v>0</v>
      </c>
      <c r="F2093">
        <f t="shared" si="32"/>
        <v>0</v>
      </c>
      <c r="I2093">
        <v>20160101</v>
      </c>
      <c r="J2093" t="s">
        <v>2303</v>
      </c>
    </row>
    <row r="2094" spans="1:17" x14ac:dyDescent="0.3">
      <c r="A2094" s="160">
        <v>22352</v>
      </c>
      <c r="B2094" t="s">
        <v>17247</v>
      </c>
      <c r="C2094" t="s">
        <v>2230</v>
      </c>
      <c r="D2094">
        <v>0.4</v>
      </c>
      <c r="E2094">
        <v>0</v>
      </c>
      <c r="F2094">
        <f t="shared" si="32"/>
        <v>0.4</v>
      </c>
      <c r="I2094">
        <v>20190101</v>
      </c>
      <c r="J2094" t="s">
        <v>2249</v>
      </c>
    </row>
    <row r="2095" spans="1:17" x14ac:dyDescent="0.3">
      <c r="A2095" s="160">
        <v>22353</v>
      </c>
      <c r="B2095" t="s">
        <v>17248</v>
      </c>
      <c r="C2095" t="s">
        <v>2237</v>
      </c>
      <c r="D2095">
        <v>0.55000000000000004</v>
      </c>
      <c r="E2095">
        <v>0</v>
      </c>
      <c r="F2095">
        <f t="shared" si="32"/>
        <v>0.55000000000000004</v>
      </c>
      <c r="I2095">
        <v>20160701</v>
      </c>
      <c r="J2095" t="s">
        <v>2365</v>
      </c>
    </row>
    <row r="2096" spans="1:17" x14ac:dyDescent="0.3">
      <c r="A2096" s="160">
        <v>22354</v>
      </c>
      <c r="B2096" t="s">
        <v>17249</v>
      </c>
      <c r="C2096" t="s">
        <v>2234</v>
      </c>
      <c r="D2096">
        <v>0.5</v>
      </c>
      <c r="E2096">
        <v>0</v>
      </c>
      <c r="F2096">
        <f t="shared" si="32"/>
        <v>0.5</v>
      </c>
      <c r="I2096">
        <v>20240101</v>
      </c>
      <c r="J2096" t="s">
        <v>2250</v>
      </c>
      <c r="K2096" t="s">
        <v>2251</v>
      </c>
      <c r="L2096" t="s">
        <v>2297</v>
      </c>
    </row>
    <row r="2097" spans="1:11" x14ac:dyDescent="0.3">
      <c r="A2097" s="160">
        <v>22358</v>
      </c>
      <c r="B2097" t="s">
        <v>17250</v>
      </c>
      <c r="C2097" t="s">
        <v>2234</v>
      </c>
      <c r="D2097">
        <v>0.5</v>
      </c>
      <c r="E2097">
        <v>0</v>
      </c>
      <c r="F2097">
        <f t="shared" si="32"/>
        <v>0.5</v>
      </c>
      <c r="I2097">
        <v>20210701</v>
      </c>
      <c r="J2097" t="s">
        <v>2264</v>
      </c>
    </row>
    <row r="2098" spans="1:11" x14ac:dyDescent="0.3">
      <c r="A2098" s="160">
        <v>22359</v>
      </c>
      <c r="B2098" t="s">
        <v>17251</v>
      </c>
      <c r="C2098" t="s">
        <v>2237</v>
      </c>
      <c r="D2098">
        <v>0.55000000000000004</v>
      </c>
      <c r="E2098">
        <v>0</v>
      </c>
      <c r="F2098">
        <f t="shared" si="32"/>
        <v>0.55000000000000004</v>
      </c>
      <c r="I2098">
        <v>20240101</v>
      </c>
      <c r="J2098" t="s">
        <v>2292</v>
      </c>
    </row>
    <row r="2099" spans="1:11" x14ac:dyDescent="0.3">
      <c r="A2099" s="160">
        <v>22360</v>
      </c>
      <c r="B2099" t="s">
        <v>17252</v>
      </c>
      <c r="C2099" t="s">
        <v>2238</v>
      </c>
      <c r="D2099">
        <v>1.6</v>
      </c>
      <c r="E2099">
        <v>0</v>
      </c>
      <c r="F2099">
        <f t="shared" si="32"/>
        <v>1.6</v>
      </c>
      <c r="I2099">
        <v>20160701</v>
      </c>
      <c r="J2099" t="s">
        <v>2332</v>
      </c>
      <c r="K2099" t="s">
        <v>2366</v>
      </c>
    </row>
    <row r="2100" spans="1:11" x14ac:dyDescent="0.3">
      <c r="A2100" s="160">
        <v>22362</v>
      </c>
      <c r="B2100" t="s">
        <v>17253</v>
      </c>
      <c r="C2100" t="s">
        <v>2237</v>
      </c>
      <c r="D2100">
        <v>0.55000000000000004</v>
      </c>
      <c r="E2100">
        <v>0</v>
      </c>
      <c r="F2100">
        <f t="shared" si="32"/>
        <v>0.55000000000000004</v>
      </c>
      <c r="I2100">
        <v>20170401</v>
      </c>
      <c r="J2100" t="s">
        <v>2300</v>
      </c>
    </row>
    <row r="2101" spans="1:11" x14ac:dyDescent="0.3">
      <c r="A2101" s="160">
        <v>22363</v>
      </c>
      <c r="B2101" t="s">
        <v>17254</v>
      </c>
      <c r="C2101" t="s">
        <v>2237</v>
      </c>
      <c r="D2101">
        <v>0.55000000000000004</v>
      </c>
      <c r="E2101">
        <v>0</v>
      </c>
      <c r="F2101">
        <f t="shared" si="32"/>
        <v>0.55000000000000004</v>
      </c>
      <c r="I2101">
        <v>20160701</v>
      </c>
      <c r="J2101" t="s">
        <v>2367</v>
      </c>
    </row>
    <row r="2102" spans="1:11" x14ac:dyDescent="0.3">
      <c r="A2102" s="160">
        <v>22364</v>
      </c>
      <c r="B2102" t="s">
        <v>17255</v>
      </c>
      <c r="C2102" t="s">
        <v>2230</v>
      </c>
      <c r="D2102">
        <v>0.4</v>
      </c>
      <c r="E2102">
        <v>0</v>
      </c>
      <c r="F2102">
        <f t="shared" si="32"/>
        <v>0.4</v>
      </c>
      <c r="I2102">
        <v>20190101</v>
      </c>
      <c r="J2102" t="s">
        <v>2231</v>
      </c>
      <c r="K2102" t="s">
        <v>2258</v>
      </c>
    </row>
    <row r="2103" spans="1:11" x14ac:dyDescent="0.3">
      <c r="A2103" s="160">
        <v>22366</v>
      </c>
      <c r="B2103" t="s">
        <v>17256</v>
      </c>
      <c r="C2103" t="s">
        <v>2237</v>
      </c>
      <c r="D2103">
        <v>0.55000000000000004</v>
      </c>
      <c r="E2103">
        <v>0</v>
      </c>
      <c r="F2103">
        <f t="shared" si="32"/>
        <v>0.55000000000000004</v>
      </c>
      <c r="I2103">
        <v>20160701</v>
      </c>
      <c r="J2103" t="s">
        <v>2323</v>
      </c>
    </row>
    <row r="2104" spans="1:11" x14ac:dyDescent="0.3">
      <c r="A2104" s="160">
        <v>22367</v>
      </c>
      <c r="B2104" t="s">
        <v>17257</v>
      </c>
      <c r="C2104" t="s">
        <v>2238</v>
      </c>
      <c r="D2104">
        <v>1.6</v>
      </c>
      <c r="E2104">
        <v>0</v>
      </c>
      <c r="F2104">
        <f t="shared" si="32"/>
        <v>1.6</v>
      </c>
      <c r="I2104">
        <v>20160701</v>
      </c>
      <c r="J2104" t="s">
        <v>2338</v>
      </c>
    </row>
    <row r="2105" spans="1:11" x14ac:dyDescent="0.3">
      <c r="A2105" s="160">
        <v>22369</v>
      </c>
      <c r="B2105" t="s">
        <v>17258</v>
      </c>
      <c r="C2105" t="s">
        <v>2228</v>
      </c>
      <c r="D2105">
        <v>0.6</v>
      </c>
      <c r="E2105">
        <v>0</v>
      </c>
      <c r="F2105">
        <f t="shared" si="32"/>
        <v>0.6</v>
      </c>
      <c r="I2105">
        <v>20200101</v>
      </c>
      <c r="J2105" t="s">
        <v>2244</v>
      </c>
    </row>
    <row r="2106" spans="1:11" x14ac:dyDescent="0.3">
      <c r="A2106" s="160">
        <v>22372</v>
      </c>
      <c r="B2106" t="s">
        <v>17259</v>
      </c>
      <c r="C2106" t="s">
        <v>2238</v>
      </c>
      <c r="D2106">
        <v>1.6</v>
      </c>
      <c r="E2106">
        <v>0</v>
      </c>
      <c r="F2106">
        <f t="shared" si="32"/>
        <v>1.6</v>
      </c>
      <c r="I2106">
        <v>20160701</v>
      </c>
      <c r="J2106" t="s">
        <v>2299</v>
      </c>
    </row>
    <row r="2107" spans="1:11" x14ac:dyDescent="0.3">
      <c r="A2107" s="160">
        <v>22373</v>
      </c>
      <c r="B2107" t="s">
        <v>17260</v>
      </c>
      <c r="C2107" t="s">
        <v>2302</v>
      </c>
      <c r="D2107">
        <v>0</v>
      </c>
      <c r="E2107">
        <v>0</v>
      </c>
      <c r="F2107">
        <f t="shared" si="32"/>
        <v>0</v>
      </c>
      <c r="I2107">
        <v>20160101</v>
      </c>
      <c r="J2107" t="s">
        <v>2303</v>
      </c>
    </row>
    <row r="2108" spans="1:11" x14ac:dyDescent="0.3">
      <c r="A2108" s="160">
        <v>22377</v>
      </c>
      <c r="B2108" t="s">
        <v>17261</v>
      </c>
      <c r="C2108" t="s">
        <v>2238</v>
      </c>
      <c r="D2108">
        <v>1.6</v>
      </c>
      <c r="E2108">
        <v>0</v>
      </c>
      <c r="F2108">
        <f t="shared" si="32"/>
        <v>1.6</v>
      </c>
      <c r="I2108">
        <v>20220101</v>
      </c>
      <c r="J2108" t="s">
        <v>2291</v>
      </c>
    </row>
    <row r="2109" spans="1:11" x14ac:dyDescent="0.3">
      <c r="A2109" s="160">
        <v>22379</v>
      </c>
      <c r="B2109" t="s">
        <v>17262</v>
      </c>
      <c r="C2109" t="s">
        <v>2237</v>
      </c>
      <c r="D2109">
        <v>0.55000000000000004</v>
      </c>
      <c r="E2109">
        <v>0</v>
      </c>
      <c r="F2109">
        <f t="shared" si="32"/>
        <v>0.55000000000000004</v>
      </c>
      <c r="I2109">
        <v>20160701</v>
      </c>
      <c r="J2109" t="s">
        <v>2367</v>
      </c>
    </row>
    <row r="2110" spans="1:11" x14ac:dyDescent="0.3">
      <c r="A2110" s="160">
        <v>22380</v>
      </c>
      <c r="B2110" t="s">
        <v>17263</v>
      </c>
      <c r="C2110" t="s">
        <v>2230</v>
      </c>
      <c r="D2110">
        <v>0.4</v>
      </c>
      <c r="E2110">
        <v>0</v>
      </c>
      <c r="F2110">
        <f t="shared" si="32"/>
        <v>0.4</v>
      </c>
      <c r="I2110">
        <v>20190101</v>
      </c>
      <c r="J2110" t="s">
        <v>2231</v>
      </c>
    </row>
    <row r="2111" spans="1:11" x14ac:dyDescent="0.3">
      <c r="A2111" s="160">
        <v>22381</v>
      </c>
      <c r="B2111" t="s">
        <v>17264</v>
      </c>
      <c r="C2111" t="s">
        <v>2237</v>
      </c>
      <c r="D2111">
        <v>0.55000000000000004</v>
      </c>
      <c r="E2111">
        <v>0</v>
      </c>
      <c r="F2111">
        <f t="shared" si="32"/>
        <v>0.55000000000000004</v>
      </c>
      <c r="I2111">
        <v>20170401</v>
      </c>
      <c r="J2111" t="s">
        <v>2246</v>
      </c>
    </row>
    <row r="2112" spans="1:11" x14ac:dyDescent="0.3">
      <c r="A2112" s="160">
        <v>22383</v>
      </c>
      <c r="B2112" t="s">
        <v>17265</v>
      </c>
      <c r="C2112" t="s">
        <v>2237</v>
      </c>
      <c r="D2112">
        <v>0.55000000000000004</v>
      </c>
      <c r="E2112">
        <v>0</v>
      </c>
      <c r="F2112">
        <f t="shared" si="32"/>
        <v>0.55000000000000004</v>
      </c>
      <c r="I2112">
        <v>20170401</v>
      </c>
      <c r="J2112" t="s">
        <v>2246</v>
      </c>
    </row>
    <row r="2113" spans="1:24" x14ac:dyDescent="0.3">
      <c r="A2113" s="160">
        <v>22385</v>
      </c>
      <c r="B2113" t="s">
        <v>17266</v>
      </c>
      <c r="C2113" t="s">
        <v>2230</v>
      </c>
      <c r="D2113">
        <v>0.4</v>
      </c>
      <c r="E2113">
        <v>0</v>
      </c>
      <c r="F2113">
        <f t="shared" si="32"/>
        <v>0.4</v>
      </c>
      <c r="I2113">
        <v>20190101</v>
      </c>
      <c r="J2113" t="s">
        <v>2324</v>
      </c>
    </row>
    <row r="2114" spans="1:24" x14ac:dyDescent="0.3">
      <c r="A2114" s="160">
        <v>22386</v>
      </c>
      <c r="B2114" t="s">
        <v>17267</v>
      </c>
      <c r="C2114" t="s">
        <v>2238</v>
      </c>
      <c r="D2114">
        <v>1.6</v>
      </c>
      <c r="E2114">
        <v>0</v>
      </c>
      <c r="F2114">
        <f t="shared" si="32"/>
        <v>1.6</v>
      </c>
      <c r="I2114">
        <v>20220101</v>
      </c>
      <c r="J2114" t="s">
        <v>2263</v>
      </c>
    </row>
    <row r="2115" spans="1:24" x14ac:dyDescent="0.3">
      <c r="A2115" s="160">
        <v>22387</v>
      </c>
      <c r="B2115" t="s">
        <v>17268</v>
      </c>
      <c r="C2115" t="s">
        <v>2237</v>
      </c>
      <c r="D2115">
        <v>0.55000000000000004</v>
      </c>
      <c r="E2115">
        <v>0</v>
      </c>
      <c r="F2115">
        <f t="shared" si="32"/>
        <v>0.55000000000000004</v>
      </c>
      <c r="I2115">
        <v>20240101</v>
      </c>
      <c r="J2115" t="s">
        <v>2292</v>
      </c>
    </row>
    <row r="2116" spans="1:24" x14ac:dyDescent="0.3">
      <c r="A2116" s="160">
        <v>22388</v>
      </c>
      <c r="B2116" t="s">
        <v>17269</v>
      </c>
      <c r="C2116" t="s">
        <v>2230</v>
      </c>
      <c r="D2116">
        <v>0.4</v>
      </c>
      <c r="E2116">
        <v>0</v>
      </c>
      <c r="F2116">
        <f t="shared" si="32"/>
        <v>0.4</v>
      </c>
      <c r="I2116">
        <v>20190101</v>
      </c>
      <c r="J2116" t="s">
        <v>2254</v>
      </c>
      <c r="K2116" t="s">
        <v>2280</v>
      </c>
    </row>
    <row r="2117" spans="1:24" x14ac:dyDescent="0.3">
      <c r="A2117" s="160">
        <v>22389</v>
      </c>
      <c r="B2117" t="s">
        <v>17270</v>
      </c>
      <c r="C2117" t="s">
        <v>2238</v>
      </c>
      <c r="D2117">
        <v>1.6</v>
      </c>
      <c r="E2117">
        <v>0</v>
      </c>
      <c r="F2117">
        <f t="shared" si="32"/>
        <v>1.6</v>
      </c>
      <c r="I2117">
        <v>20160701</v>
      </c>
      <c r="J2117" t="s">
        <v>2270</v>
      </c>
    </row>
    <row r="2118" spans="1:24" x14ac:dyDescent="0.3">
      <c r="A2118" s="160">
        <v>22390</v>
      </c>
      <c r="B2118" t="s">
        <v>17271</v>
      </c>
      <c r="C2118" t="s">
        <v>2234</v>
      </c>
      <c r="D2118">
        <v>0.5</v>
      </c>
      <c r="E2118">
        <v>0</v>
      </c>
      <c r="F2118">
        <f t="shared" si="32"/>
        <v>0.5</v>
      </c>
      <c r="I2118">
        <v>20210701</v>
      </c>
      <c r="J2118" t="s">
        <v>2304</v>
      </c>
      <c r="K2118" t="s">
        <v>2368</v>
      </c>
    </row>
    <row r="2119" spans="1:24" x14ac:dyDescent="0.3">
      <c r="A2119" s="160">
        <v>22391</v>
      </c>
      <c r="B2119" t="s">
        <v>17272</v>
      </c>
      <c r="C2119" t="s">
        <v>2230</v>
      </c>
      <c r="D2119">
        <v>0.4</v>
      </c>
      <c r="E2119">
        <v>0</v>
      </c>
      <c r="F2119">
        <f t="shared" ref="F2119:F2182" si="33">D2119+E2119</f>
        <v>0.4</v>
      </c>
      <c r="I2119">
        <v>20190101</v>
      </c>
      <c r="J2119" t="s">
        <v>2248</v>
      </c>
    </row>
    <row r="2120" spans="1:24" x14ac:dyDescent="0.3">
      <c r="A2120" s="160">
        <v>23002</v>
      </c>
      <c r="B2120" t="s">
        <v>17273</v>
      </c>
      <c r="C2120" t="s">
        <v>2369</v>
      </c>
      <c r="D2120">
        <v>0.55000000000000004</v>
      </c>
      <c r="E2120">
        <v>0</v>
      </c>
      <c r="F2120">
        <f t="shared" si="33"/>
        <v>0.55000000000000004</v>
      </c>
      <c r="I2120">
        <v>20240101</v>
      </c>
      <c r="J2120" t="s">
        <v>2370</v>
      </c>
    </row>
    <row r="2121" spans="1:24" x14ac:dyDescent="0.3">
      <c r="A2121" s="160">
        <v>23004</v>
      </c>
      <c r="B2121" t="s">
        <v>17274</v>
      </c>
      <c r="C2121" t="s">
        <v>2369</v>
      </c>
      <c r="D2121">
        <v>0.55000000000000004</v>
      </c>
      <c r="E2121">
        <v>0</v>
      </c>
      <c r="F2121">
        <f t="shared" si="33"/>
        <v>0.55000000000000004</v>
      </c>
      <c r="I2121">
        <v>20240101</v>
      </c>
      <c r="J2121" t="s">
        <v>2371</v>
      </c>
    </row>
    <row r="2122" spans="1:24" x14ac:dyDescent="0.3">
      <c r="A2122" s="160">
        <v>23033</v>
      </c>
      <c r="B2122" t="s">
        <v>17275</v>
      </c>
      <c r="C2122" t="s">
        <v>2369</v>
      </c>
      <c r="D2122">
        <v>0.55000000000000004</v>
      </c>
      <c r="E2122">
        <v>0</v>
      </c>
      <c r="F2122">
        <f t="shared" si="33"/>
        <v>0.55000000000000004</v>
      </c>
      <c r="I2122">
        <v>20240101</v>
      </c>
      <c r="J2122" t="s">
        <v>2371</v>
      </c>
    </row>
    <row r="2123" spans="1:24" x14ac:dyDescent="0.3">
      <c r="A2123" s="160">
        <v>23036</v>
      </c>
      <c r="B2123" t="s">
        <v>17276</v>
      </c>
      <c r="C2123" t="s">
        <v>2369</v>
      </c>
      <c r="D2123">
        <v>0.55000000000000004</v>
      </c>
      <c r="E2123">
        <v>0</v>
      </c>
      <c r="F2123">
        <f t="shared" si="33"/>
        <v>0.55000000000000004</v>
      </c>
      <c r="I2123">
        <v>20240101</v>
      </c>
      <c r="J2123" t="s">
        <v>2372</v>
      </c>
    </row>
    <row r="2124" spans="1:24" x14ac:dyDescent="0.3">
      <c r="A2124" s="160">
        <v>23052</v>
      </c>
      <c r="B2124" t="s">
        <v>17277</v>
      </c>
      <c r="C2124" t="s">
        <v>2369</v>
      </c>
      <c r="D2124">
        <v>0.55000000000000004</v>
      </c>
      <c r="E2124">
        <v>0</v>
      </c>
      <c r="F2124">
        <f t="shared" si="33"/>
        <v>0.55000000000000004</v>
      </c>
      <c r="I2124">
        <v>20240101</v>
      </c>
      <c r="J2124" t="s">
        <v>2371</v>
      </c>
    </row>
    <row r="2125" spans="1:24" x14ac:dyDescent="0.3">
      <c r="A2125" s="160">
        <v>23088</v>
      </c>
      <c r="B2125" t="s">
        <v>17278</v>
      </c>
      <c r="C2125" t="s">
        <v>2369</v>
      </c>
      <c r="D2125">
        <v>0.55000000000000004</v>
      </c>
      <c r="E2125">
        <v>0</v>
      </c>
      <c r="F2125">
        <f t="shared" si="33"/>
        <v>0.55000000000000004</v>
      </c>
      <c r="I2125">
        <v>20240101</v>
      </c>
      <c r="J2125" t="s">
        <v>2372</v>
      </c>
    </row>
    <row r="2126" spans="1:24" x14ac:dyDescent="0.3">
      <c r="A2126" s="160">
        <v>23092</v>
      </c>
      <c r="B2126" t="s">
        <v>17279</v>
      </c>
      <c r="C2126" t="s">
        <v>2369</v>
      </c>
      <c r="D2126">
        <v>0.55000000000000004</v>
      </c>
      <c r="E2126">
        <v>0</v>
      </c>
      <c r="F2126">
        <f t="shared" si="33"/>
        <v>0.55000000000000004</v>
      </c>
      <c r="I2126">
        <v>20240101</v>
      </c>
      <c r="J2126" t="s">
        <v>2373</v>
      </c>
      <c r="K2126" t="s">
        <v>2370</v>
      </c>
    </row>
    <row r="2127" spans="1:24" x14ac:dyDescent="0.3">
      <c r="A2127" s="160">
        <v>23096</v>
      </c>
      <c r="B2127" t="s">
        <v>17280</v>
      </c>
      <c r="C2127" t="s">
        <v>2369</v>
      </c>
      <c r="D2127">
        <v>0.55000000000000004</v>
      </c>
      <c r="E2127">
        <v>0</v>
      </c>
      <c r="F2127">
        <f t="shared" si="33"/>
        <v>0.55000000000000004</v>
      </c>
      <c r="I2127">
        <v>20240101</v>
      </c>
      <c r="J2127" t="s">
        <v>2371</v>
      </c>
      <c r="K2127" t="s">
        <v>2374</v>
      </c>
      <c r="L2127" t="s">
        <v>2375</v>
      </c>
      <c r="M2127" t="s">
        <v>2376</v>
      </c>
      <c r="N2127" t="s">
        <v>2377</v>
      </c>
      <c r="O2127" t="s">
        <v>2373</v>
      </c>
      <c r="P2127" t="s">
        <v>2378</v>
      </c>
      <c r="Q2127" t="s">
        <v>2379</v>
      </c>
      <c r="R2127" t="s">
        <v>2380</v>
      </c>
      <c r="S2127" t="s">
        <v>2381</v>
      </c>
      <c r="T2127" t="s">
        <v>2382</v>
      </c>
      <c r="U2127" t="s">
        <v>2383</v>
      </c>
      <c r="V2127" t="s">
        <v>2384</v>
      </c>
      <c r="W2127" t="s">
        <v>2385</v>
      </c>
      <c r="X2127" t="s">
        <v>2386</v>
      </c>
    </row>
    <row r="2128" spans="1:24" x14ac:dyDescent="0.3">
      <c r="A2128" s="160">
        <v>23101</v>
      </c>
      <c r="B2128" t="s">
        <v>17281</v>
      </c>
      <c r="C2128" t="s">
        <v>2369</v>
      </c>
      <c r="D2128">
        <v>0.55000000000000004</v>
      </c>
      <c r="E2128">
        <v>0</v>
      </c>
      <c r="F2128">
        <f t="shared" si="33"/>
        <v>0.55000000000000004</v>
      </c>
      <c r="I2128">
        <v>20240101</v>
      </c>
      <c r="J2128" t="s">
        <v>2387</v>
      </c>
    </row>
    <row r="2129" spans="1:14" x14ac:dyDescent="0.3">
      <c r="A2129" s="160">
        <v>23128</v>
      </c>
      <c r="B2129" t="s">
        <v>17282</v>
      </c>
      <c r="C2129" t="s">
        <v>2369</v>
      </c>
      <c r="D2129">
        <v>0.55000000000000004</v>
      </c>
      <c r="E2129">
        <v>0</v>
      </c>
      <c r="F2129">
        <f t="shared" si="33"/>
        <v>0.55000000000000004</v>
      </c>
      <c r="I2129">
        <v>20230701</v>
      </c>
      <c r="J2129" t="s">
        <v>2377</v>
      </c>
      <c r="K2129" t="s">
        <v>17283</v>
      </c>
    </row>
    <row r="2130" spans="1:14" x14ac:dyDescent="0.3">
      <c r="A2130" s="160">
        <v>23132</v>
      </c>
      <c r="B2130" t="s">
        <v>17284</v>
      </c>
      <c r="C2130" t="s">
        <v>2369</v>
      </c>
      <c r="D2130">
        <v>0.55000000000000004</v>
      </c>
      <c r="E2130">
        <v>0</v>
      </c>
      <c r="F2130">
        <f t="shared" si="33"/>
        <v>0.55000000000000004</v>
      </c>
      <c r="I2130">
        <v>20240101</v>
      </c>
      <c r="J2130" t="s">
        <v>2372</v>
      </c>
    </row>
    <row r="2131" spans="1:14" x14ac:dyDescent="0.3">
      <c r="A2131" s="160">
        <v>23150</v>
      </c>
      <c r="B2131" t="s">
        <v>17285</v>
      </c>
      <c r="C2131" t="s">
        <v>2369</v>
      </c>
      <c r="D2131">
        <v>0.55000000000000004</v>
      </c>
      <c r="E2131">
        <v>0</v>
      </c>
      <c r="F2131">
        <f t="shared" si="33"/>
        <v>0.55000000000000004</v>
      </c>
      <c r="I2131">
        <v>20230701</v>
      </c>
      <c r="J2131" t="s">
        <v>2371</v>
      </c>
    </row>
    <row r="2132" spans="1:14" x14ac:dyDescent="0.3">
      <c r="A2132" s="160">
        <v>23169</v>
      </c>
      <c r="B2132" t="s">
        <v>17286</v>
      </c>
      <c r="C2132" t="s">
        <v>2369</v>
      </c>
      <c r="D2132">
        <v>0.55000000000000004</v>
      </c>
      <c r="E2132">
        <v>0</v>
      </c>
      <c r="F2132">
        <f t="shared" si="33"/>
        <v>0.55000000000000004</v>
      </c>
      <c r="I2132">
        <v>20240101</v>
      </c>
      <c r="J2132" t="s">
        <v>2371</v>
      </c>
    </row>
    <row r="2133" spans="1:14" x14ac:dyDescent="0.3">
      <c r="A2133" s="160">
        <v>23170</v>
      </c>
      <c r="B2133" t="s">
        <v>17287</v>
      </c>
      <c r="C2133" t="s">
        <v>2369</v>
      </c>
      <c r="D2133">
        <v>0.55000000000000004</v>
      </c>
      <c r="E2133">
        <v>0</v>
      </c>
      <c r="F2133">
        <f t="shared" si="33"/>
        <v>0.55000000000000004</v>
      </c>
      <c r="I2133">
        <v>20240101</v>
      </c>
      <c r="J2133" t="s">
        <v>2371</v>
      </c>
    </row>
    <row r="2134" spans="1:14" x14ac:dyDescent="0.3">
      <c r="A2134" s="160">
        <v>23186</v>
      </c>
      <c r="B2134" t="s">
        <v>16798</v>
      </c>
      <c r="C2134" t="s">
        <v>2369</v>
      </c>
      <c r="D2134">
        <v>0.55000000000000004</v>
      </c>
      <c r="E2134">
        <v>0</v>
      </c>
      <c r="F2134">
        <f t="shared" si="33"/>
        <v>0.55000000000000004</v>
      </c>
      <c r="I2134">
        <v>20240101</v>
      </c>
      <c r="J2134" t="s">
        <v>2371</v>
      </c>
    </row>
    <row r="2135" spans="1:14" x14ac:dyDescent="0.3">
      <c r="A2135" s="160">
        <v>23191</v>
      </c>
      <c r="B2135" t="s">
        <v>17288</v>
      </c>
      <c r="C2135" t="s">
        <v>2369</v>
      </c>
      <c r="D2135">
        <v>0.55000000000000004</v>
      </c>
      <c r="E2135">
        <v>0</v>
      </c>
      <c r="F2135">
        <f t="shared" si="33"/>
        <v>0.55000000000000004</v>
      </c>
      <c r="I2135">
        <v>20240101</v>
      </c>
      <c r="J2135" t="s">
        <v>2371</v>
      </c>
    </row>
    <row r="2136" spans="1:14" x14ac:dyDescent="0.3">
      <c r="A2136" s="160">
        <v>23193</v>
      </c>
      <c r="B2136" t="s">
        <v>17289</v>
      </c>
      <c r="C2136" t="s">
        <v>2369</v>
      </c>
      <c r="D2136">
        <v>0.55000000000000004</v>
      </c>
      <c r="E2136">
        <v>0</v>
      </c>
      <c r="F2136">
        <f t="shared" si="33"/>
        <v>0.55000000000000004</v>
      </c>
      <c r="I2136">
        <v>20240101</v>
      </c>
      <c r="J2136" t="s">
        <v>2371</v>
      </c>
      <c r="K2136" t="s">
        <v>2374</v>
      </c>
      <c r="L2136" t="s">
        <v>2375</v>
      </c>
      <c r="M2136" t="s">
        <v>2377</v>
      </c>
      <c r="N2136" t="s">
        <v>2378</v>
      </c>
    </row>
    <row r="2137" spans="1:14" x14ac:dyDescent="0.3">
      <c r="A2137" s="160">
        <v>23195</v>
      </c>
      <c r="B2137" t="s">
        <v>17290</v>
      </c>
      <c r="C2137" t="s">
        <v>2369</v>
      </c>
      <c r="D2137">
        <v>0.55000000000000004</v>
      </c>
      <c r="E2137">
        <v>0</v>
      </c>
      <c r="F2137">
        <f t="shared" si="33"/>
        <v>0.55000000000000004</v>
      </c>
      <c r="I2137">
        <v>20240101</v>
      </c>
      <c r="J2137" t="s">
        <v>2371</v>
      </c>
      <c r="K2137" t="s">
        <v>2379</v>
      </c>
    </row>
    <row r="2138" spans="1:14" x14ac:dyDescent="0.3">
      <c r="A2138" s="160">
        <v>23206</v>
      </c>
      <c r="B2138" t="s">
        <v>16155</v>
      </c>
      <c r="C2138" t="s">
        <v>2369</v>
      </c>
      <c r="D2138">
        <v>0.55000000000000004</v>
      </c>
      <c r="E2138">
        <v>0</v>
      </c>
      <c r="F2138">
        <f t="shared" si="33"/>
        <v>0.55000000000000004</v>
      </c>
      <c r="I2138">
        <v>20240101</v>
      </c>
      <c r="J2138" t="s">
        <v>2371</v>
      </c>
      <c r="K2138" t="s">
        <v>2374</v>
      </c>
    </row>
    <row r="2139" spans="1:14" x14ac:dyDescent="0.3">
      <c r="A2139" s="160">
        <v>23208</v>
      </c>
      <c r="B2139" t="s">
        <v>17291</v>
      </c>
      <c r="C2139" t="s">
        <v>2369</v>
      </c>
      <c r="D2139">
        <v>0.55000000000000004</v>
      </c>
      <c r="E2139">
        <v>0</v>
      </c>
      <c r="F2139">
        <f t="shared" si="33"/>
        <v>0.55000000000000004</v>
      </c>
      <c r="I2139">
        <v>20240101</v>
      </c>
      <c r="J2139" t="s">
        <v>2371</v>
      </c>
      <c r="K2139" t="s">
        <v>2377</v>
      </c>
    </row>
    <row r="2140" spans="1:14" x14ac:dyDescent="0.3">
      <c r="A2140" s="160">
        <v>23242</v>
      </c>
      <c r="B2140" t="s">
        <v>17292</v>
      </c>
      <c r="C2140" t="s">
        <v>2369</v>
      </c>
      <c r="D2140">
        <v>0.55000000000000004</v>
      </c>
      <c r="E2140">
        <v>0</v>
      </c>
      <c r="F2140">
        <f t="shared" si="33"/>
        <v>0.55000000000000004</v>
      </c>
      <c r="I2140">
        <v>20240101</v>
      </c>
      <c r="J2140" t="s">
        <v>2372</v>
      </c>
    </row>
    <row r="2141" spans="1:14" x14ac:dyDescent="0.3">
      <c r="A2141" s="160">
        <v>23245</v>
      </c>
      <c r="B2141" t="s">
        <v>17293</v>
      </c>
      <c r="C2141" t="s">
        <v>2369</v>
      </c>
      <c r="D2141">
        <v>0.55000000000000004</v>
      </c>
      <c r="E2141">
        <v>0</v>
      </c>
      <c r="F2141">
        <f t="shared" si="33"/>
        <v>0.55000000000000004</v>
      </c>
      <c r="I2141">
        <v>20240101</v>
      </c>
      <c r="J2141" t="s">
        <v>2371</v>
      </c>
      <c r="K2141" t="s">
        <v>2375</v>
      </c>
      <c r="L2141" t="s">
        <v>2376</v>
      </c>
      <c r="M2141" t="s">
        <v>2378</v>
      </c>
    </row>
    <row r="2142" spans="1:14" x14ac:dyDescent="0.3">
      <c r="A2142" s="160">
        <v>23247</v>
      </c>
      <c r="B2142" t="s">
        <v>17294</v>
      </c>
      <c r="C2142" t="s">
        <v>2369</v>
      </c>
      <c r="D2142">
        <v>0.55000000000000004</v>
      </c>
      <c r="E2142">
        <v>0</v>
      </c>
      <c r="F2142">
        <f t="shared" si="33"/>
        <v>0.55000000000000004</v>
      </c>
      <c r="I2142">
        <v>20240101</v>
      </c>
      <c r="J2142" t="s">
        <v>2373</v>
      </c>
      <c r="K2142" t="s">
        <v>2372</v>
      </c>
    </row>
    <row r="2143" spans="1:14" x14ac:dyDescent="0.3">
      <c r="A2143" s="160">
        <v>23248</v>
      </c>
      <c r="B2143" t="s">
        <v>17295</v>
      </c>
      <c r="C2143" t="s">
        <v>2369</v>
      </c>
      <c r="D2143">
        <v>0.55000000000000004</v>
      </c>
      <c r="E2143">
        <v>0</v>
      </c>
      <c r="F2143">
        <f t="shared" si="33"/>
        <v>0.55000000000000004</v>
      </c>
      <c r="I2143">
        <v>20240101</v>
      </c>
      <c r="J2143" t="s">
        <v>2371</v>
      </c>
    </row>
    <row r="2144" spans="1:14" x14ac:dyDescent="0.3">
      <c r="A2144" s="160">
        <v>23250</v>
      </c>
      <c r="B2144" t="s">
        <v>17296</v>
      </c>
      <c r="C2144" t="s">
        <v>2369</v>
      </c>
      <c r="D2144">
        <v>0.55000000000000004</v>
      </c>
      <c r="E2144">
        <v>0</v>
      </c>
      <c r="F2144">
        <f t="shared" si="33"/>
        <v>0.55000000000000004</v>
      </c>
      <c r="I2144">
        <v>20230701</v>
      </c>
      <c r="J2144" t="s">
        <v>17283</v>
      </c>
    </row>
    <row r="2145" spans="1:22" x14ac:dyDescent="0.3">
      <c r="A2145" s="160">
        <v>24002</v>
      </c>
      <c r="B2145" t="s">
        <v>17297</v>
      </c>
      <c r="C2145" t="s">
        <v>2388</v>
      </c>
      <c r="D2145">
        <v>1.55</v>
      </c>
      <c r="E2145">
        <v>0</v>
      </c>
      <c r="F2145">
        <f t="shared" si="33"/>
        <v>1.55</v>
      </c>
      <c r="I2145">
        <v>20230701</v>
      </c>
      <c r="J2145" t="s">
        <v>2389</v>
      </c>
    </row>
    <row r="2146" spans="1:22" x14ac:dyDescent="0.3">
      <c r="A2146" s="160">
        <v>24010</v>
      </c>
      <c r="B2146" t="s">
        <v>17298</v>
      </c>
      <c r="C2146" t="s">
        <v>2388</v>
      </c>
      <c r="D2146">
        <v>1.55</v>
      </c>
      <c r="E2146">
        <v>0</v>
      </c>
      <c r="F2146">
        <f t="shared" si="33"/>
        <v>1.55</v>
      </c>
      <c r="I2146">
        <v>20230701</v>
      </c>
      <c r="J2146" t="s">
        <v>2390</v>
      </c>
    </row>
    <row r="2147" spans="1:22" x14ac:dyDescent="0.3">
      <c r="A2147" s="160">
        <v>24011</v>
      </c>
      <c r="B2147" t="s">
        <v>17299</v>
      </c>
      <c r="C2147" t="s">
        <v>2388</v>
      </c>
      <c r="D2147">
        <v>1.55</v>
      </c>
      <c r="E2147">
        <v>0</v>
      </c>
      <c r="F2147">
        <f t="shared" si="33"/>
        <v>1.55</v>
      </c>
      <c r="I2147">
        <v>20230701</v>
      </c>
      <c r="J2147" t="s">
        <v>2391</v>
      </c>
    </row>
    <row r="2148" spans="1:22" x14ac:dyDescent="0.3">
      <c r="A2148" s="160">
        <v>24013</v>
      </c>
      <c r="B2148" t="s">
        <v>17300</v>
      </c>
      <c r="C2148" t="s">
        <v>2388</v>
      </c>
      <c r="D2148">
        <v>1.55</v>
      </c>
      <c r="E2148">
        <v>0</v>
      </c>
      <c r="F2148">
        <f t="shared" si="33"/>
        <v>1.55</v>
      </c>
      <c r="I2148">
        <v>20230701</v>
      </c>
      <c r="J2148" t="s">
        <v>2392</v>
      </c>
      <c r="K2148" t="s">
        <v>2393</v>
      </c>
    </row>
    <row r="2149" spans="1:22" x14ac:dyDescent="0.3">
      <c r="A2149" s="160">
        <v>24026</v>
      </c>
      <c r="B2149" t="s">
        <v>17301</v>
      </c>
      <c r="C2149" t="s">
        <v>2388</v>
      </c>
      <c r="D2149">
        <v>1.55</v>
      </c>
      <c r="E2149">
        <v>0</v>
      </c>
      <c r="F2149">
        <f t="shared" si="33"/>
        <v>1.55</v>
      </c>
      <c r="I2149">
        <v>20230701</v>
      </c>
      <c r="J2149" t="s">
        <v>2394</v>
      </c>
      <c r="K2149" t="s">
        <v>2395</v>
      </c>
    </row>
    <row r="2150" spans="1:22" x14ac:dyDescent="0.3">
      <c r="A2150" s="160">
        <v>24037</v>
      </c>
      <c r="B2150" t="s">
        <v>17302</v>
      </c>
      <c r="C2150" t="s">
        <v>2396</v>
      </c>
      <c r="D2150">
        <v>0.6</v>
      </c>
      <c r="E2150">
        <v>0</v>
      </c>
      <c r="F2150">
        <f t="shared" si="33"/>
        <v>0.6</v>
      </c>
      <c r="I2150">
        <v>20220101</v>
      </c>
      <c r="J2150" t="s">
        <v>2397</v>
      </c>
      <c r="K2150" t="s">
        <v>2398</v>
      </c>
      <c r="L2150" t="s">
        <v>2399</v>
      </c>
      <c r="M2150" t="s">
        <v>2400</v>
      </c>
      <c r="N2150" t="s">
        <v>2401</v>
      </c>
      <c r="O2150" t="s">
        <v>2402</v>
      </c>
      <c r="P2150" t="s">
        <v>2403</v>
      </c>
      <c r="Q2150" t="s">
        <v>2404</v>
      </c>
      <c r="R2150" t="s">
        <v>2405</v>
      </c>
      <c r="S2150" t="s">
        <v>2406</v>
      </c>
      <c r="T2150" t="s">
        <v>2407</v>
      </c>
      <c r="U2150" t="s">
        <v>2408</v>
      </c>
      <c r="V2150" t="s">
        <v>2409</v>
      </c>
    </row>
    <row r="2151" spans="1:22" x14ac:dyDescent="0.3">
      <c r="A2151">
        <v>24040</v>
      </c>
      <c r="C2151" t="s">
        <v>2446</v>
      </c>
      <c r="D2151">
        <v>0.55000000000000004</v>
      </c>
      <c r="E2151">
        <v>0</v>
      </c>
      <c r="F2151">
        <f t="shared" si="33"/>
        <v>0.55000000000000004</v>
      </c>
      <c r="I2151">
        <v>20250101</v>
      </c>
      <c r="J2151" t="s">
        <v>27534</v>
      </c>
    </row>
    <row r="2152" spans="1:22" x14ac:dyDescent="0.3">
      <c r="A2152" s="160">
        <v>24044</v>
      </c>
      <c r="B2152" t="s">
        <v>17303</v>
      </c>
      <c r="C2152" t="s">
        <v>2388</v>
      </c>
      <c r="D2152">
        <v>1.55</v>
      </c>
      <c r="E2152">
        <v>0</v>
      </c>
      <c r="F2152">
        <f t="shared" si="33"/>
        <v>1.55</v>
      </c>
      <c r="I2152">
        <v>20230701</v>
      </c>
      <c r="J2152" t="s">
        <v>2394</v>
      </c>
    </row>
    <row r="2153" spans="1:22" x14ac:dyDescent="0.3">
      <c r="A2153" s="160">
        <v>24051</v>
      </c>
      <c r="B2153" t="s">
        <v>17304</v>
      </c>
      <c r="C2153" t="s">
        <v>2396</v>
      </c>
      <c r="D2153">
        <v>0.6</v>
      </c>
      <c r="E2153">
        <v>0</v>
      </c>
      <c r="F2153">
        <f t="shared" si="33"/>
        <v>0.6</v>
      </c>
      <c r="I2153">
        <v>20220101</v>
      </c>
      <c r="J2153" t="s">
        <v>2410</v>
      </c>
    </row>
    <row r="2154" spans="1:22" x14ac:dyDescent="0.3">
      <c r="A2154" s="160">
        <v>24053</v>
      </c>
      <c r="B2154" t="s">
        <v>17305</v>
      </c>
      <c r="C2154" t="s">
        <v>2388</v>
      </c>
      <c r="D2154">
        <v>1.55</v>
      </c>
      <c r="E2154">
        <v>0</v>
      </c>
      <c r="F2154">
        <f t="shared" si="33"/>
        <v>1.55</v>
      </c>
      <c r="I2154">
        <v>20230701</v>
      </c>
      <c r="J2154" t="s">
        <v>2394</v>
      </c>
      <c r="K2154" t="s">
        <v>2392</v>
      </c>
    </row>
    <row r="2155" spans="1:22" x14ac:dyDescent="0.3">
      <c r="A2155" s="160">
        <v>24054</v>
      </c>
      <c r="B2155" t="s">
        <v>17306</v>
      </c>
      <c r="C2155" t="s">
        <v>2396</v>
      </c>
      <c r="D2155">
        <v>0.6</v>
      </c>
      <c r="E2155">
        <v>0</v>
      </c>
      <c r="F2155">
        <f t="shared" si="33"/>
        <v>0.6</v>
      </c>
      <c r="I2155">
        <v>20240101</v>
      </c>
      <c r="J2155" t="s">
        <v>2411</v>
      </c>
    </row>
    <row r="2156" spans="1:22" x14ac:dyDescent="0.3">
      <c r="A2156" s="160">
        <v>24061</v>
      </c>
      <c r="B2156" t="s">
        <v>17307</v>
      </c>
      <c r="C2156" t="s">
        <v>2388</v>
      </c>
      <c r="D2156">
        <v>1.55</v>
      </c>
      <c r="E2156">
        <v>0</v>
      </c>
      <c r="F2156">
        <f t="shared" si="33"/>
        <v>1.55</v>
      </c>
      <c r="I2156">
        <v>20240101</v>
      </c>
      <c r="J2156" t="s">
        <v>2412</v>
      </c>
    </row>
    <row r="2157" spans="1:22" x14ac:dyDescent="0.3">
      <c r="A2157" s="160">
        <v>24065</v>
      </c>
      <c r="B2157" t="s">
        <v>17308</v>
      </c>
      <c r="C2157" t="s">
        <v>2388</v>
      </c>
      <c r="D2157">
        <v>1.55</v>
      </c>
      <c r="E2157">
        <v>0</v>
      </c>
      <c r="F2157">
        <f t="shared" si="33"/>
        <v>1.55</v>
      </c>
      <c r="I2157">
        <v>20230701</v>
      </c>
      <c r="J2157" t="s">
        <v>2413</v>
      </c>
    </row>
    <row r="2158" spans="1:22" x14ac:dyDescent="0.3">
      <c r="A2158" s="160">
        <v>24092</v>
      </c>
      <c r="B2158" t="s">
        <v>17309</v>
      </c>
      <c r="C2158" t="s">
        <v>2388</v>
      </c>
      <c r="D2158">
        <v>1.55</v>
      </c>
      <c r="E2158">
        <v>0</v>
      </c>
      <c r="F2158">
        <f t="shared" si="33"/>
        <v>1.55</v>
      </c>
      <c r="I2158">
        <v>20230701</v>
      </c>
      <c r="J2158" t="s">
        <v>2413</v>
      </c>
    </row>
    <row r="2159" spans="1:22" x14ac:dyDescent="0.3">
      <c r="A2159" s="160">
        <v>24094</v>
      </c>
      <c r="B2159" t="s">
        <v>17310</v>
      </c>
      <c r="C2159" t="s">
        <v>2388</v>
      </c>
      <c r="D2159">
        <v>1.55</v>
      </c>
      <c r="E2159">
        <v>0</v>
      </c>
      <c r="F2159">
        <f t="shared" si="33"/>
        <v>1.55</v>
      </c>
      <c r="I2159">
        <v>20240101</v>
      </c>
      <c r="J2159" t="s">
        <v>2413</v>
      </c>
    </row>
    <row r="2160" spans="1:22" x14ac:dyDescent="0.3">
      <c r="A2160" s="160">
        <v>24098</v>
      </c>
      <c r="B2160" t="s">
        <v>17311</v>
      </c>
      <c r="C2160" t="s">
        <v>2388</v>
      </c>
      <c r="D2160">
        <v>1.55</v>
      </c>
      <c r="E2160">
        <v>0</v>
      </c>
      <c r="F2160">
        <f t="shared" si="33"/>
        <v>1.55</v>
      </c>
      <c r="I2160">
        <v>20230701</v>
      </c>
      <c r="J2160" t="s">
        <v>2392</v>
      </c>
    </row>
    <row r="2161" spans="1:11" x14ac:dyDescent="0.3">
      <c r="A2161" s="160">
        <v>24102</v>
      </c>
      <c r="B2161" t="s">
        <v>17312</v>
      </c>
      <c r="C2161" t="s">
        <v>2388</v>
      </c>
      <c r="D2161">
        <v>1.55</v>
      </c>
      <c r="E2161">
        <v>0</v>
      </c>
      <c r="F2161">
        <f t="shared" si="33"/>
        <v>1.55</v>
      </c>
      <c r="I2161">
        <v>20230701</v>
      </c>
      <c r="J2161" t="s">
        <v>2414</v>
      </c>
    </row>
    <row r="2162" spans="1:11" x14ac:dyDescent="0.3">
      <c r="A2162" s="160">
        <v>24103</v>
      </c>
      <c r="B2162" t="s">
        <v>17313</v>
      </c>
      <c r="C2162" t="s">
        <v>2388</v>
      </c>
      <c r="D2162">
        <v>1.55</v>
      </c>
      <c r="E2162">
        <v>0</v>
      </c>
      <c r="F2162">
        <f t="shared" si="33"/>
        <v>1.55</v>
      </c>
      <c r="I2162">
        <v>20230701</v>
      </c>
      <c r="J2162" t="s">
        <v>2395</v>
      </c>
    </row>
    <row r="2163" spans="1:11" x14ac:dyDescent="0.3">
      <c r="A2163" s="160">
        <v>24108</v>
      </c>
      <c r="B2163" t="s">
        <v>17314</v>
      </c>
      <c r="C2163" t="s">
        <v>2388</v>
      </c>
      <c r="D2163">
        <v>1.55</v>
      </c>
      <c r="E2163">
        <v>0</v>
      </c>
      <c r="F2163">
        <f t="shared" si="33"/>
        <v>1.55</v>
      </c>
      <c r="I2163">
        <v>20230701</v>
      </c>
      <c r="J2163" t="s">
        <v>2415</v>
      </c>
    </row>
    <row r="2164" spans="1:11" x14ac:dyDescent="0.3">
      <c r="A2164" s="160">
        <v>24115</v>
      </c>
      <c r="B2164" t="s">
        <v>17315</v>
      </c>
      <c r="C2164" t="s">
        <v>2388</v>
      </c>
      <c r="D2164">
        <v>1.55</v>
      </c>
      <c r="E2164">
        <v>0</v>
      </c>
      <c r="F2164">
        <f t="shared" si="33"/>
        <v>1.55</v>
      </c>
      <c r="I2164">
        <v>20230701</v>
      </c>
      <c r="J2164" t="s">
        <v>2389</v>
      </c>
    </row>
    <row r="2165" spans="1:11" x14ac:dyDescent="0.3">
      <c r="A2165" s="160">
        <v>24126</v>
      </c>
      <c r="B2165" t="s">
        <v>17316</v>
      </c>
      <c r="C2165" t="s">
        <v>2396</v>
      </c>
      <c r="D2165">
        <v>0.6</v>
      </c>
      <c r="E2165">
        <v>0</v>
      </c>
      <c r="F2165">
        <f t="shared" si="33"/>
        <v>0.6</v>
      </c>
      <c r="I2165">
        <v>20240101</v>
      </c>
      <c r="J2165" t="s">
        <v>2411</v>
      </c>
    </row>
    <row r="2166" spans="1:11" x14ac:dyDescent="0.3">
      <c r="A2166" s="160">
        <v>24135</v>
      </c>
      <c r="B2166" t="s">
        <v>17317</v>
      </c>
      <c r="C2166" t="s">
        <v>2388</v>
      </c>
      <c r="D2166">
        <v>1.55</v>
      </c>
      <c r="E2166">
        <v>0</v>
      </c>
      <c r="F2166">
        <f t="shared" si="33"/>
        <v>1.55</v>
      </c>
      <c r="I2166">
        <v>20230701</v>
      </c>
      <c r="J2166" t="s">
        <v>2392</v>
      </c>
    </row>
    <row r="2167" spans="1:11" x14ac:dyDescent="0.3">
      <c r="A2167" s="160">
        <v>24138</v>
      </c>
      <c r="B2167" t="s">
        <v>17318</v>
      </c>
      <c r="C2167" t="s">
        <v>2388</v>
      </c>
      <c r="D2167">
        <v>1.55</v>
      </c>
      <c r="E2167">
        <v>0</v>
      </c>
      <c r="F2167">
        <f t="shared" si="33"/>
        <v>1.55</v>
      </c>
      <c r="I2167">
        <v>20230701</v>
      </c>
      <c r="J2167" t="s">
        <v>2416</v>
      </c>
    </row>
    <row r="2168" spans="1:11" x14ac:dyDescent="0.3">
      <c r="A2168" s="160">
        <v>24139</v>
      </c>
      <c r="B2168" t="s">
        <v>17319</v>
      </c>
      <c r="C2168" t="s">
        <v>2388</v>
      </c>
      <c r="D2168">
        <v>1.55</v>
      </c>
      <c r="E2168">
        <v>0</v>
      </c>
      <c r="F2168">
        <f t="shared" si="33"/>
        <v>1.55</v>
      </c>
      <c r="I2168">
        <v>20230701</v>
      </c>
      <c r="J2168" t="s">
        <v>2390</v>
      </c>
    </row>
    <row r="2169" spans="1:11" x14ac:dyDescent="0.3">
      <c r="A2169" s="160">
        <v>24140</v>
      </c>
      <c r="B2169" t="s">
        <v>17320</v>
      </c>
      <c r="C2169" t="s">
        <v>2396</v>
      </c>
      <c r="D2169">
        <v>0.6</v>
      </c>
      <c r="E2169">
        <v>0</v>
      </c>
      <c r="F2169">
        <f t="shared" si="33"/>
        <v>0.6</v>
      </c>
      <c r="I2169">
        <v>20220101</v>
      </c>
      <c r="J2169" t="s">
        <v>2417</v>
      </c>
    </row>
    <row r="2170" spans="1:11" x14ac:dyDescent="0.3">
      <c r="A2170" s="160">
        <v>24145</v>
      </c>
      <c r="B2170" t="s">
        <v>17321</v>
      </c>
      <c r="C2170" t="s">
        <v>2396</v>
      </c>
      <c r="D2170">
        <v>0.6</v>
      </c>
      <c r="E2170">
        <v>0</v>
      </c>
      <c r="F2170">
        <f t="shared" si="33"/>
        <v>0.6</v>
      </c>
      <c r="I2170">
        <v>20220101</v>
      </c>
      <c r="J2170" t="s">
        <v>2397</v>
      </c>
      <c r="K2170" t="s">
        <v>2406</v>
      </c>
    </row>
    <row r="2171" spans="1:11" x14ac:dyDescent="0.3">
      <c r="A2171" s="160">
        <v>24146</v>
      </c>
      <c r="B2171" t="s">
        <v>17322</v>
      </c>
      <c r="C2171" t="s">
        <v>2388</v>
      </c>
      <c r="D2171">
        <v>1.55</v>
      </c>
      <c r="E2171">
        <v>0</v>
      </c>
      <c r="F2171">
        <f t="shared" si="33"/>
        <v>1.55</v>
      </c>
      <c r="I2171">
        <v>20240101</v>
      </c>
      <c r="J2171" t="s">
        <v>2413</v>
      </c>
    </row>
    <row r="2172" spans="1:11" x14ac:dyDescent="0.3">
      <c r="A2172" s="160">
        <v>24148</v>
      </c>
      <c r="B2172" t="s">
        <v>17323</v>
      </c>
      <c r="C2172" t="s">
        <v>2396</v>
      </c>
      <c r="D2172">
        <v>0.6</v>
      </c>
      <c r="E2172">
        <v>0</v>
      </c>
      <c r="F2172">
        <f t="shared" si="33"/>
        <v>0.6</v>
      </c>
      <c r="I2172">
        <v>20220101</v>
      </c>
      <c r="J2172" t="s">
        <v>2418</v>
      </c>
    </row>
    <row r="2173" spans="1:11" x14ac:dyDescent="0.3">
      <c r="A2173" s="160">
        <v>24156</v>
      </c>
      <c r="B2173" t="s">
        <v>17324</v>
      </c>
      <c r="C2173" t="s">
        <v>2388</v>
      </c>
      <c r="D2173">
        <v>1.55</v>
      </c>
      <c r="E2173">
        <v>0</v>
      </c>
      <c r="F2173">
        <f t="shared" si="33"/>
        <v>1.55</v>
      </c>
      <c r="I2173">
        <v>20230701</v>
      </c>
      <c r="J2173" t="s">
        <v>2394</v>
      </c>
    </row>
    <row r="2174" spans="1:11" x14ac:dyDescent="0.3">
      <c r="A2174" s="160">
        <v>24160</v>
      </c>
      <c r="B2174" t="s">
        <v>17325</v>
      </c>
      <c r="C2174" t="s">
        <v>2388</v>
      </c>
      <c r="D2174">
        <v>1.55</v>
      </c>
      <c r="E2174">
        <v>0</v>
      </c>
      <c r="F2174">
        <f t="shared" si="33"/>
        <v>1.55</v>
      </c>
      <c r="I2174">
        <v>20240101</v>
      </c>
      <c r="J2174" t="s">
        <v>2413</v>
      </c>
    </row>
    <row r="2175" spans="1:11" x14ac:dyDescent="0.3">
      <c r="A2175" s="160">
        <v>24162</v>
      </c>
      <c r="B2175" t="s">
        <v>17326</v>
      </c>
      <c r="C2175" t="s">
        <v>2388</v>
      </c>
      <c r="D2175">
        <v>1.55</v>
      </c>
      <c r="E2175">
        <v>0</v>
      </c>
      <c r="F2175">
        <f t="shared" si="33"/>
        <v>1.55</v>
      </c>
      <c r="I2175">
        <v>20230701</v>
      </c>
      <c r="J2175" t="s">
        <v>2391</v>
      </c>
    </row>
    <row r="2176" spans="1:11" x14ac:dyDescent="0.3">
      <c r="A2176" s="160">
        <v>24166</v>
      </c>
      <c r="B2176" t="s">
        <v>17327</v>
      </c>
      <c r="C2176" t="s">
        <v>2388</v>
      </c>
      <c r="D2176">
        <v>1.55</v>
      </c>
      <c r="E2176">
        <v>0</v>
      </c>
      <c r="F2176">
        <f t="shared" si="33"/>
        <v>1.55</v>
      </c>
      <c r="I2176">
        <v>20230701</v>
      </c>
      <c r="J2176" t="s">
        <v>2394</v>
      </c>
    </row>
    <row r="2177" spans="1:13" x14ac:dyDescent="0.3">
      <c r="A2177" s="160">
        <v>24182</v>
      </c>
      <c r="B2177" t="s">
        <v>17328</v>
      </c>
      <c r="C2177" t="s">
        <v>2396</v>
      </c>
      <c r="D2177">
        <v>0.6</v>
      </c>
      <c r="E2177">
        <v>0</v>
      </c>
      <c r="F2177">
        <f t="shared" si="33"/>
        <v>0.6</v>
      </c>
      <c r="I2177">
        <v>20220101</v>
      </c>
      <c r="J2177" t="s">
        <v>2410</v>
      </c>
    </row>
    <row r="2178" spans="1:13" x14ac:dyDescent="0.3">
      <c r="A2178" s="160">
        <v>24190</v>
      </c>
      <c r="B2178" t="s">
        <v>17329</v>
      </c>
      <c r="C2178" t="s">
        <v>2388</v>
      </c>
      <c r="D2178">
        <v>1.55</v>
      </c>
      <c r="E2178">
        <v>0</v>
      </c>
      <c r="F2178">
        <f t="shared" si="33"/>
        <v>1.55</v>
      </c>
      <c r="I2178">
        <v>20240101</v>
      </c>
      <c r="J2178" t="s">
        <v>2413</v>
      </c>
    </row>
    <row r="2179" spans="1:13" x14ac:dyDescent="0.3">
      <c r="A2179" s="160">
        <v>24191</v>
      </c>
      <c r="B2179" t="s">
        <v>17330</v>
      </c>
      <c r="C2179" t="s">
        <v>2396</v>
      </c>
      <c r="D2179">
        <v>0.6</v>
      </c>
      <c r="E2179">
        <v>0</v>
      </c>
      <c r="F2179">
        <f t="shared" si="33"/>
        <v>0.6</v>
      </c>
      <c r="I2179">
        <v>20220101</v>
      </c>
      <c r="J2179" t="s">
        <v>2410</v>
      </c>
    </row>
    <row r="2180" spans="1:13" x14ac:dyDescent="0.3">
      <c r="A2180" s="160">
        <v>24193</v>
      </c>
      <c r="B2180" t="s">
        <v>17331</v>
      </c>
      <c r="C2180" t="s">
        <v>2396</v>
      </c>
      <c r="D2180">
        <v>0.6</v>
      </c>
      <c r="E2180">
        <v>0</v>
      </c>
      <c r="F2180">
        <f t="shared" si="33"/>
        <v>0.6</v>
      </c>
      <c r="I2180">
        <v>20220101</v>
      </c>
      <c r="J2180" t="s">
        <v>2418</v>
      </c>
    </row>
    <row r="2181" spans="1:13" x14ac:dyDescent="0.3">
      <c r="A2181" s="160">
        <v>24194</v>
      </c>
      <c r="B2181" t="s">
        <v>17332</v>
      </c>
      <c r="C2181" t="s">
        <v>2396</v>
      </c>
      <c r="D2181">
        <v>0.6</v>
      </c>
      <c r="E2181">
        <v>0</v>
      </c>
      <c r="F2181">
        <f t="shared" si="33"/>
        <v>0.6</v>
      </c>
      <c r="I2181">
        <v>20220101</v>
      </c>
      <c r="J2181" t="s">
        <v>2419</v>
      </c>
    </row>
    <row r="2182" spans="1:13" x14ac:dyDescent="0.3">
      <c r="A2182" s="160">
        <v>24197</v>
      </c>
      <c r="B2182" t="s">
        <v>17333</v>
      </c>
      <c r="C2182" t="s">
        <v>2396</v>
      </c>
      <c r="D2182">
        <v>0.6</v>
      </c>
      <c r="E2182">
        <v>0</v>
      </c>
      <c r="F2182">
        <f t="shared" si="33"/>
        <v>0.6</v>
      </c>
      <c r="I2182">
        <v>20220101</v>
      </c>
      <c r="J2182" t="s">
        <v>2410</v>
      </c>
    </row>
    <row r="2183" spans="1:13" x14ac:dyDescent="0.3">
      <c r="A2183" s="160">
        <v>24208</v>
      </c>
      <c r="B2183" t="s">
        <v>17334</v>
      </c>
      <c r="C2183" t="s">
        <v>2388</v>
      </c>
      <c r="D2183">
        <v>1.55</v>
      </c>
      <c r="E2183">
        <v>0</v>
      </c>
      <c r="F2183">
        <f t="shared" ref="F2183:F2246" si="34">D2183+E2183</f>
        <v>1.55</v>
      </c>
      <c r="I2183">
        <v>20240101</v>
      </c>
      <c r="J2183" t="s">
        <v>2413</v>
      </c>
    </row>
    <row r="2184" spans="1:13" x14ac:dyDescent="0.3">
      <c r="A2184" s="160">
        <v>24220</v>
      </c>
      <c r="B2184" t="s">
        <v>17335</v>
      </c>
      <c r="C2184" t="s">
        <v>2388</v>
      </c>
      <c r="D2184">
        <v>1.55</v>
      </c>
      <c r="E2184">
        <v>0</v>
      </c>
      <c r="F2184">
        <f t="shared" si="34"/>
        <v>1.55</v>
      </c>
      <c r="I2184">
        <v>20240101</v>
      </c>
      <c r="J2184" t="s">
        <v>2413</v>
      </c>
    </row>
    <row r="2185" spans="1:13" x14ac:dyDescent="0.3">
      <c r="A2185" s="160">
        <v>24222</v>
      </c>
      <c r="B2185" t="s">
        <v>17336</v>
      </c>
      <c r="C2185" t="s">
        <v>2396</v>
      </c>
      <c r="D2185">
        <v>0.6</v>
      </c>
      <c r="E2185">
        <v>0</v>
      </c>
      <c r="F2185">
        <f t="shared" si="34"/>
        <v>0.6</v>
      </c>
      <c r="I2185">
        <v>20220101</v>
      </c>
      <c r="J2185" t="s">
        <v>2410</v>
      </c>
    </row>
    <row r="2186" spans="1:13" x14ac:dyDescent="0.3">
      <c r="A2186" s="160">
        <v>24224</v>
      </c>
      <c r="B2186" t="s">
        <v>17337</v>
      </c>
      <c r="C2186" t="s">
        <v>2396</v>
      </c>
      <c r="D2186">
        <v>0.6</v>
      </c>
      <c r="E2186">
        <v>0</v>
      </c>
      <c r="F2186">
        <f t="shared" si="34"/>
        <v>0.6</v>
      </c>
      <c r="I2186">
        <v>20220101</v>
      </c>
      <c r="J2186" t="s">
        <v>2417</v>
      </c>
    </row>
    <row r="2187" spans="1:13" x14ac:dyDescent="0.3">
      <c r="A2187" s="160">
        <v>24225</v>
      </c>
      <c r="B2187" t="s">
        <v>17338</v>
      </c>
      <c r="C2187" t="s">
        <v>2396</v>
      </c>
      <c r="D2187">
        <v>0.6</v>
      </c>
      <c r="E2187">
        <v>0</v>
      </c>
      <c r="F2187">
        <f t="shared" si="34"/>
        <v>0.6</v>
      </c>
      <c r="I2187">
        <v>20220101</v>
      </c>
      <c r="J2187" t="s">
        <v>2419</v>
      </c>
    </row>
    <row r="2188" spans="1:13" x14ac:dyDescent="0.3">
      <c r="A2188" s="160">
        <v>24237</v>
      </c>
      <c r="B2188" t="s">
        <v>17339</v>
      </c>
      <c r="C2188" t="s">
        <v>2396</v>
      </c>
      <c r="D2188">
        <v>0.6</v>
      </c>
      <c r="E2188">
        <v>0</v>
      </c>
      <c r="F2188">
        <f t="shared" si="34"/>
        <v>0.6</v>
      </c>
      <c r="I2188">
        <v>20220101</v>
      </c>
      <c r="J2188" t="s">
        <v>2397</v>
      </c>
      <c r="K2188" t="s">
        <v>2399</v>
      </c>
      <c r="L2188" t="s">
        <v>2402</v>
      </c>
      <c r="M2188" t="s">
        <v>2403</v>
      </c>
    </row>
    <row r="2189" spans="1:13" x14ac:dyDescent="0.3">
      <c r="A2189" s="160">
        <v>24239</v>
      </c>
      <c r="B2189" t="s">
        <v>17340</v>
      </c>
      <c r="C2189" t="s">
        <v>2388</v>
      </c>
      <c r="D2189">
        <v>1.55</v>
      </c>
      <c r="E2189">
        <v>0</v>
      </c>
      <c r="F2189">
        <f t="shared" si="34"/>
        <v>1.55</v>
      </c>
      <c r="I2189">
        <v>20230701</v>
      </c>
      <c r="J2189" t="s">
        <v>2389</v>
      </c>
    </row>
    <row r="2190" spans="1:13" x14ac:dyDescent="0.3">
      <c r="A2190" s="160">
        <v>24246</v>
      </c>
      <c r="B2190" t="s">
        <v>17341</v>
      </c>
      <c r="C2190" t="s">
        <v>2396</v>
      </c>
      <c r="D2190">
        <v>0.6</v>
      </c>
      <c r="E2190">
        <v>0</v>
      </c>
      <c r="F2190">
        <f t="shared" si="34"/>
        <v>0.6</v>
      </c>
      <c r="I2190">
        <v>20220101</v>
      </c>
      <c r="J2190" t="s">
        <v>2410</v>
      </c>
    </row>
    <row r="2191" spans="1:13" x14ac:dyDescent="0.3">
      <c r="A2191" s="160">
        <v>24251</v>
      </c>
      <c r="B2191" t="s">
        <v>17342</v>
      </c>
      <c r="C2191" t="s">
        <v>2388</v>
      </c>
      <c r="D2191">
        <v>1.55</v>
      </c>
      <c r="E2191">
        <v>0</v>
      </c>
      <c r="F2191">
        <f t="shared" si="34"/>
        <v>1.55</v>
      </c>
      <c r="I2191">
        <v>20230701</v>
      </c>
      <c r="J2191" t="s">
        <v>2412</v>
      </c>
    </row>
    <row r="2192" spans="1:13" x14ac:dyDescent="0.3">
      <c r="A2192">
        <v>24252</v>
      </c>
      <c r="C2192" t="s">
        <v>2446</v>
      </c>
      <c r="D2192">
        <v>0.55000000000000004</v>
      </c>
      <c r="E2192">
        <v>0</v>
      </c>
      <c r="F2192">
        <f t="shared" si="34"/>
        <v>0.55000000000000004</v>
      </c>
      <c r="I2192">
        <v>20250101</v>
      </c>
      <c r="J2192" t="s">
        <v>2447</v>
      </c>
    </row>
    <row r="2193" spans="1:31" x14ac:dyDescent="0.3">
      <c r="A2193">
        <v>24255</v>
      </c>
      <c r="C2193" t="s">
        <v>2446</v>
      </c>
      <c r="D2193">
        <v>0.55000000000000004</v>
      </c>
      <c r="E2193">
        <v>0</v>
      </c>
      <c r="F2193">
        <f t="shared" si="34"/>
        <v>0.55000000000000004</v>
      </c>
      <c r="I2193">
        <v>20250101</v>
      </c>
      <c r="J2193" t="s">
        <v>27535</v>
      </c>
    </row>
    <row r="2194" spans="1:31" x14ac:dyDescent="0.3">
      <c r="A2194" s="160">
        <v>24256</v>
      </c>
      <c r="B2194" t="s">
        <v>17343</v>
      </c>
      <c r="C2194" t="s">
        <v>2388</v>
      </c>
      <c r="D2194">
        <v>1.55</v>
      </c>
      <c r="E2194">
        <v>0</v>
      </c>
      <c r="F2194">
        <f t="shared" si="34"/>
        <v>1.55</v>
      </c>
      <c r="I2194">
        <v>20230701</v>
      </c>
      <c r="J2194" t="s">
        <v>2390</v>
      </c>
    </row>
    <row r="2195" spans="1:31" x14ac:dyDescent="0.3">
      <c r="A2195" s="160">
        <v>24258</v>
      </c>
      <c r="B2195" t="s">
        <v>17344</v>
      </c>
      <c r="C2195" t="s">
        <v>2388</v>
      </c>
      <c r="D2195">
        <v>1.55</v>
      </c>
      <c r="E2195">
        <v>0</v>
      </c>
      <c r="F2195">
        <f t="shared" si="34"/>
        <v>1.55</v>
      </c>
      <c r="I2195">
        <v>20230701</v>
      </c>
      <c r="J2195" t="s">
        <v>2392</v>
      </c>
      <c r="K2195" t="s">
        <v>2420</v>
      </c>
    </row>
    <row r="2196" spans="1:31" x14ac:dyDescent="0.3">
      <c r="A2196" s="160">
        <v>24266</v>
      </c>
      <c r="B2196" t="s">
        <v>17345</v>
      </c>
      <c r="C2196" t="s">
        <v>2388</v>
      </c>
      <c r="D2196">
        <v>1.55</v>
      </c>
      <c r="E2196">
        <v>0</v>
      </c>
      <c r="F2196">
        <f t="shared" si="34"/>
        <v>1.55</v>
      </c>
      <c r="I2196">
        <v>20230701</v>
      </c>
      <c r="J2196" t="s">
        <v>2415</v>
      </c>
    </row>
    <row r="2197" spans="1:31" x14ac:dyDescent="0.3">
      <c r="A2197" s="160">
        <v>24267</v>
      </c>
      <c r="B2197" t="s">
        <v>17346</v>
      </c>
      <c r="C2197" t="s">
        <v>2396</v>
      </c>
      <c r="D2197">
        <v>0.6</v>
      </c>
      <c r="E2197">
        <v>0</v>
      </c>
      <c r="F2197">
        <f t="shared" si="34"/>
        <v>0.6</v>
      </c>
      <c r="I2197">
        <v>20220101</v>
      </c>
      <c r="J2197" t="s">
        <v>2418</v>
      </c>
    </row>
    <row r="2198" spans="1:31" x14ac:dyDescent="0.3">
      <c r="A2198" s="160">
        <v>24270</v>
      </c>
      <c r="B2198" t="s">
        <v>17347</v>
      </c>
      <c r="C2198" t="s">
        <v>2388</v>
      </c>
      <c r="D2198">
        <v>1.55</v>
      </c>
      <c r="E2198">
        <v>0</v>
      </c>
      <c r="F2198">
        <f t="shared" si="34"/>
        <v>1.55</v>
      </c>
      <c r="I2198">
        <v>20230701</v>
      </c>
      <c r="J2198" t="s">
        <v>2394</v>
      </c>
    </row>
    <row r="2199" spans="1:31" x14ac:dyDescent="0.3">
      <c r="A2199" s="160">
        <v>24274</v>
      </c>
      <c r="B2199" t="s">
        <v>17348</v>
      </c>
      <c r="C2199" t="s">
        <v>2396</v>
      </c>
      <c r="D2199">
        <v>0.6</v>
      </c>
      <c r="E2199">
        <v>0</v>
      </c>
      <c r="F2199">
        <f t="shared" si="34"/>
        <v>0.6</v>
      </c>
      <c r="I2199">
        <v>20220101</v>
      </c>
      <c r="J2199" t="s">
        <v>2418</v>
      </c>
    </row>
    <row r="2200" spans="1:31" x14ac:dyDescent="0.3">
      <c r="A2200" s="160">
        <v>24276</v>
      </c>
      <c r="B2200" t="s">
        <v>16050</v>
      </c>
      <c r="C2200" t="s">
        <v>2396</v>
      </c>
      <c r="D2200">
        <v>0.6</v>
      </c>
      <c r="E2200">
        <v>0</v>
      </c>
      <c r="F2200">
        <f t="shared" si="34"/>
        <v>0.6</v>
      </c>
      <c r="I2200">
        <v>20220101</v>
      </c>
      <c r="J2200" t="s">
        <v>2418</v>
      </c>
    </row>
    <row r="2201" spans="1:31" x14ac:dyDescent="0.3">
      <c r="A2201" s="160">
        <v>24277</v>
      </c>
      <c r="B2201" t="s">
        <v>17349</v>
      </c>
      <c r="C2201" t="s">
        <v>2396</v>
      </c>
      <c r="D2201">
        <v>0.6</v>
      </c>
      <c r="E2201">
        <v>0</v>
      </c>
      <c r="F2201">
        <f t="shared" si="34"/>
        <v>0.6</v>
      </c>
      <c r="I2201">
        <v>20220101</v>
      </c>
      <c r="J2201" t="s">
        <v>2410</v>
      </c>
    </row>
    <row r="2202" spans="1:31" x14ac:dyDescent="0.3">
      <c r="A2202" s="160">
        <v>24296</v>
      </c>
      <c r="B2202" t="s">
        <v>17350</v>
      </c>
      <c r="C2202" t="s">
        <v>2396</v>
      </c>
      <c r="D2202">
        <v>0.6</v>
      </c>
      <c r="E2202">
        <v>0</v>
      </c>
      <c r="F2202">
        <f t="shared" si="34"/>
        <v>0.6</v>
      </c>
      <c r="I2202">
        <v>20220101</v>
      </c>
      <c r="J2202" t="s">
        <v>2417</v>
      </c>
    </row>
    <row r="2203" spans="1:31" x14ac:dyDescent="0.3">
      <c r="A2203" s="160">
        <v>24312</v>
      </c>
      <c r="B2203" t="s">
        <v>17351</v>
      </c>
      <c r="C2203" t="s">
        <v>2388</v>
      </c>
      <c r="D2203">
        <v>1.55</v>
      </c>
      <c r="E2203">
        <v>0</v>
      </c>
      <c r="F2203">
        <f t="shared" si="34"/>
        <v>1.55</v>
      </c>
      <c r="I2203">
        <v>20230701</v>
      </c>
      <c r="J2203" t="s">
        <v>2413</v>
      </c>
      <c r="K2203" t="s">
        <v>2416</v>
      </c>
      <c r="L2203" t="s">
        <v>2392</v>
      </c>
    </row>
    <row r="2204" spans="1:31" x14ac:dyDescent="0.3">
      <c r="A2204" s="160">
        <v>24318</v>
      </c>
      <c r="B2204" t="s">
        <v>17352</v>
      </c>
      <c r="C2204" t="s">
        <v>2388</v>
      </c>
      <c r="D2204">
        <v>1.55</v>
      </c>
      <c r="E2204">
        <v>0</v>
      </c>
      <c r="F2204">
        <f t="shared" si="34"/>
        <v>1.55</v>
      </c>
      <c r="I2204">
        <v>20240101</v>
      </c>
      <c r="J2204" t="s">
        <v>2421</v>
      </c>
    </row>
    <row r="2205" spans="1:31" x14ac:dyDescent="0.3">
      <c r="A2205" s="160">
        <v>24322</v>
      </c>
      <c r="B2205" t="s">
        <v>17353</v>
      </c>
      <c r="C2205" t="s">
        <v>2388</v>
      </c>
      <c r="D2205">
        <v>1.55</v>
      </c>
      <c r="E2205">
        <v>0</v>
      </c>
      <c r="F2205">
        <f t="shared" si="34"/>
        <v>1.55</v>
      </c>
      <c r="I2205">
        <v>20230701</v>
      </c>
      <c r="J2205" t="s">
        <v>2422</v>
      </c>
      <c r="K2205" t="s">
        <v>2423</v>
      </c>
      <c r="L2205" t="s">
        <v>2424</v>
      </c>
      <c r="M2205" t="s">
        <v>2425</v>
      </c>
      <c r="N2205" t="s">
        <v>2426</v>
      </c>
      <c r="O2205" t="s">
        <v>2427</v>
      </c>
      <c r="P2205" t="s">
        <v>2428</v>
      </c>
      <c r="Q2205" t="s">
        <v>2429</v>
      </c>
      <c r="R2205" t="s">
        <v>2430</v>
      </c>
      <c r="S2205" t="s">
        <v>2431</v>
      </c>
      <c r="T2205" t="s">
        <v>2432</v>
      </c>
      <c r="U2205" t="s">
        <v>2433</v>
      </c>
      <c r="V2205" t="s">
        <v>2434</v>
      </c>
      <c r="W2205" t="s">
        <v>2435</v>
      </c>
      <c r="X2205" t="s">
        <v>2436</v>
      </c>
      <c r="Y2205" t="s">
        <v>2437</v>
      </c>
      <c r="Z2205" t="s">
        <v>2438</v>
      </c>
      <c r="AA2205" t="s">
        <v>2439</v>
      </c>
      <c r="AB2205" t="s">
        <v>2440</v>
      </c>
      <c r="AC2205" t="s">
        <v>2441</v>
      </c>
      <c r="AD2205" t="s">
        <v>2442</v>
      </c>
      <c r="AE2205" t="s">
        <v>2443</v>
      </c>
    </row>
    <row r="2206" spans="1:31" x14ac:dyDescent="0.3">
      <c r="A2206" s="160">
        <v>24331</v>
      </c>
      <c r="B2206" t="s">
        <v>17354</v>
      </c>
      <c r="C2206" t="s">
        <v>2396</v>
      </c>
      <c r="D2206">
        <v>0.6</v>
      </c>
      <c r="E2206">
        <v>0</v>
      </c>
      <c r="F2206">
        <f t="shared" si="34"/>
        <v>0.6</v>
      </c>
      <c r="I2206">
        <v>20220101</v>
      </c>
      <c r="J2206" t="s">
        <v>2418</v>
      </c>
    </row>
    <row r="2207" spans="1:31" x14ac:dyDescent="0.3">
      <c r="A2207" s="160">
        <v>24340</v>
      </c>
      <c r="B2207" t="s">
        <v>17355</v>
      </c>
      <c r="C2207" t="s">
        <v>2396</v>
      </c>
      <c r="D2207">
        <v>0.6</v>
      </c>
      <c r="E2207">
        <v>0</v>
      </c>
      <c r="F2207">
        <f t="shared" si="34"/>
        <v>0.6</v>
      </c>
      <c r="I2207">
        <v>20220101</v>
      </c>
      <c r="J2207" t="s">
        <v>2410</v>
      </c>
    </row>
    <row r="2208" spans="1:31" x14ac:dyDescent="0.3">
      <c r="A2208">
        <v>24341</v>
      </c>
      <c r="C2208" t="s">
        <v>2446</v>
      </c>
      <c r="D2208">
        <v>0.55000000000000004</v>
      </c>
      <c r="E2208">
        <v>0</v>
      </c>
      <c r="F2208">
        <f t="shared" si="34"/>
        <v>0.55000000000000004</v>
      </c>
      <c r="I2208">
        <v>20250101</v>
      </c>
      <c r="J2208" t="s">
        <v>2447</v>
      </c>
    </row>
    <row r="2209" spans="1:11" x14ac:dyDescent="0.3">
      <c r="A2209" s="160">
        <v>24345</v>
      </c>
      <c r="B2209" t="s">
        <v>17356</v>
      </c>
      <c r="C2209" t="s">
        <v>2396</v>
      </c>
      <c r="D2209">
        <v>0.6</v>
      </c>
      <c r="E2209">
        <v>0</v>
      </c>
      <c r="F2209">
        <f t="shared" si="34"/>
        <v>0.6</v>
      </c>
      <c r="I2209">
        <v>20220101</v>
      </c>
      <c r="J2209" t="s">
        <v>2444</v>
      </c>
    </row>
    <row r="2210" spans="1:11" x14ac:dyDescent="0.3">
      <c r="A2210" s="160">
        <v>24349</v>
      </c>
      <c r="B2210" t="s">
        <v>17357</v>
      </c>
      <c r="C2210" t="s">
        <v>2396</v>
      </c>
      <c r="D2210">
        <v>0.6</v>
      </c>
      <c r="E2210">
        <v>0</v>
      </c>
      <c r="F2210">
        <f t="shared" si="34"/>
        <v>0.6</v>
      </c>
      <c r="I2210">
        <v>20220101</v>
      </c>
      <c r="J2210" t="s">
        <v>2418</v>
      </c>
    </row>
    <row r="2211" spans="1:11" x14ac:dyDescent="0.3">
      <c r="A2211" s="160">
        <v>24350</v>
      </c>
      <c r="B2211" t="s">
        <v>17358</v>
      </c>
      <c r="C2211" t="s">
        <v>2388</v>
      </c>
      <c r="D2211">
        <v>1.55</v>
      </c>
      <c r="E2211">
        <v>0</v>
      </c>
      <c r="F2211">
        <f t="shared" si="34"/>
        <v>1.55</v>
      </c>
      <c r="I2211">
        <v>20230701</v>
      </c>
      <c r="J2211" t="s">
        <v>2390</v>
      </c>
    </row>
    <row r="2212" spans="1:11" x14ac:dyDescent="0.3">
      <c r="A2212" s="160">
        <v>24351</v>
      </c>
      <c r="B2212" t="s">
        <v>17359</v>
      </c>
      <c r="C2212" t="s">
        <v>2396</v>
      </c>
      <c r="D2212">
        <v>0.6</v>
      </c>
      <c r="E2212">
        <v>0</v>
      </c>
      <c r="F2212">
        <f t="shared" si="34"/>
        <v>0.6</v>
      </c>
      <c r="I2212">
        <v>20220101</v>
      </c>
      <c r="J2212" t="s">
        <v>2418</v>
      </c>
    </row>
    <row r="2213" spans="1:11" x14ac:dyDescent="0.3">
      <c r="A2213">
        <v>24355</v>
      </c>
      <c r="C2213" t="s">
        <v>2446</v>
      </c>
      <c r="D2213">
        <v>0.55000000000000004</v>
      </c>
      <c r="E2213">
        <v>0</v>
      </c>
      <c r="F2213">
        <f t="shared" si="34"/>
        <v>0.55000000000000004</v>
      </c>
      <c r="I2213">
        <v>20250101</v>
      </c>
      <c r="J2213" t="s">
        <v>27536</v>
      </c>
    </row>
    <row r="2214" spans="1:11" x14ac:dyDescent="0.3">
      <c r="A2214" s="160">
        <v>24357</v>
      </c>
      <c r="B2214" t="s">
        <v>17360</v>
      </c>
      <c r="C2214" t="s">
        <v>2396</v>
      </c>
      <c r="D2214">
        <v>0.6</v>
      </c>
      <c r="E2214">
        <v>0</v>
      </c>
      <c r="F2214">
        <f t="shared" si="34"/>
        <v>0.6</v>
      </c>
      <c r="I2214">
        <v>20220101</v>
      </c>
      <c r="J2214" t="s">
        <v>2418</v>
      </c>
    </row>
    <row r="2215" spans="1:11" x14ac:dyDescent="0.3">
      <c r="A2215" s="160">
        <v>24362</v>
      </c>
      <c r="B2215" t="s">
        <v>17361</v>
      </c>
      <c r="C2215" t="s">
        <v>2388</v>
      </c>
      <c r="D2215">
        <v>1.55</v>
      </c>
      <c r="E2215">
        <v>0</v>
      </c>
      <c r="F2215">
        <f t="shared" si="34"/>
        <v>1.55</v>
      </c>
      <c r="I2215">
        <v>20240101</v>
      </c>
      <c r="J2215" t="s">
        <v>2413</v>
      </c>
      <c r="K2215" t="s">
        <v>2421</v>
      </c>
    </row>
    <row r="2216" spans="1:11" x14ac:dyDescent="0.3">
      <c r="A2216" s="160">
        <v>24365</v>
      </c>
      <c r="B2216" t="s">
        <v>17362</v>
      </c>
      <c r="C2216" t="s">
        <v>2388</v>
      </c>
      <c r="D2216">
        <v>1.55</v>
      </c>
      <c r="E2216">
        <v>0</v>
      </c>
      <c r="F2216">
        <f t="shared" si="34"/>
        <v>1.55</v>
      </c>
      <c r="I2216">
        <v>20240101</v>
      </c>
      <c r="J2216" t="s">
        <v>2413</v>
      </c>
    </row>
    <row r="2217" spans="1:11" x14ac:dyDescent="0.3">
      <c r="A2217">
        <v>24366</v>
      </c>
      <c r="C2217" t="s">
        <v>2446</v>
      </c>
      <c r="D2217">
        <v>0.55000000000000004</v>
      </c>
      <c r="E2217">
        <v>0</v>
      </c>
      <c r="F2217">
        <f t="shared" si="34"/>
        <v>0.55000000000000004</v>
      </c>
      <c r="I2217">
        <v>20250101</v>
      </c>
      <c r="J2217" t="s">
        <v>2447</v>
      </c>
    </row>
    <row r="2218" spans="1:11" x14ac:dyDescent="0.3">
      <c r="A2218" s="160">
        <v>24369</v>
      </c>
      <c r="B2218" t="s">
        <v>17363</v>
      </c>
      <c r="C2218" t="s">
        <v>2388</v>
      </c>
      <c r="D2218">
        <v>1.55</v>
      </c>
      <c r="E2218">
        <v>0</v>
      </c>
      <c r="F2218">
        <f t="shared" si="34"/>
        <v>1.55</v>
      </c>
      <c r="I2218">
        <v>20230701</v>
      </c>
      <c r="J2218" t="s">
        <v>2394</v>
      </c>
    </row>
    <row r="2219" spans="1:11" x14ac:dyDescent="0.3">
      <c r="A2219" s="160">
        <v>24390</v>
      </c>
      <c r="B2219" t="s">
        <v>17364</v>
      </c>
      <c r="C2219" t="s">
        <v>2388</v>
      </c>
      <c r="D2219">
        <v>1.55</v>
      </c>
      <c r="E2219">
        <v>0</v>
      </c>
      <c r="F2219">
        <f t="shared" si="34"/>
        <v>1.55</v>
      </c>
      <c r="I2219">
        <v>20230701</v>
      </c>
      <c r="J2219" t="s">
        <v>2394</v>
      </c>
    </row>
    <row r="2220" spans="1:11" x14ac:dyDescent="0.3">
      <c r="A2220" s="160">
        <v>24413</v>
      </c>
      <c r="B2220" t="s">
        <v>17365</v>
      </c>
      <c r="C2220" t="s">
        <v>2396</v>
      </c>
      <c r="D2220">
        <v>0.6</v>
      </c>
      <c r="E2220">
        <v>0</v>
      </c>
      <c r="F2220">
        <f t="shared" si="34"/>
        <v>0.6</v>
      </c>
      <c r="I2220">
        <v>20220101</v>
      </c>
      <c r="J2220" t="s">
        <v>2410</v>
      </c>
    </row>
    <row r="2221" spans="1:11" x14ac:dyDescent="0.3">
      <c r="A2221" s="160">
        <v>24419</v>
      </c>
      <c r="B2221" t="s">
        <v>17366</v>
      </c>
      <c r="C2221" t="s">
        <v>2396</v>
      </c>
      <c r="D2221">
        <v>0.6</v>
      </c>
      <c r="E2221">
        <v>0</v>
      </c>
      <c r="F2221">
        <f t="shared" si="34"/>
        <v>0.6</v>
      </c>
      <c r="I2221">
        <v>20220101</v>
      </c>
      <c r="J2221" t="s">
        <v>2417</v>
      </c>
    </row>
    <row r="2222" spans="1:11" x14ac:dyDescent="0.3">
      <c r="A2222" s="160">
        <v>24420</v>
      </c>
      <c r="B2222" t="s">
        <v>17367</v>
      </c>
      <c r="C2222" t="s">
        <v>2396</v>
      </c>
      <c r="D2222">
        <v>0.6</v>
      </c>
      <c r="E2222">
        <v>0</v>
      </c>
      <c r="F2222">
        <f t="shared" si="34"/>
        <v>0.6</v>
      </c>
      <c r="I2222">
        <v>20220101</v>
      </c>
      <c r="J2222" t="s">
        <v>2445</v>
      </c>
    </row>
    <row r="2223" spans="1:11" x14ac:dyDescent="0.3">
      <c r="A2223" s="160">
        <v>24421</v>
      </c>
      <c r="B2223" t="s">
        <v>17368</v>
      </c>
      <c r="C2223" t="s">
        <v>2388</v>
      </c>
      <c r="D2223">
        <v>1.55</v>
      </c>
      <c r="E2223">
        <v>0</v>
      </c>
      <c r="F2223">
        <f t="shared" si="34"/>
        <v>1.55</v>
      </c>
      <c r="I2223">
        <v>20230701</v>
      </c>
      <c r="J2223" t="s">
        <v>2394</v>
      </c>
    </row>
    <row r="2224" spans="1:11" x14ac:dyDescent="0.3">
      <c r="A2224" s="160">
        <v>24435</v>
      </c>
      <c r="B2224" t="s">
        <v>15269</v>
      </c>
      <c r="C2224" t="s">
        <v>2388</v>
      </c>
      <c r="D2224">
        <v>1.55</v>
      </c>
      <c r="E2224">
        <v>0</v>
      </c>
      <c r="F2224">
        <f t="shared" si="34"/>
        <v>1.55</v>
      </c>
      <c r="I2224">
        <v>20230701</v>
      </c>
      <c r="J2224" t="s">
        <v>2421</v>
      </c>
    </row>
    <row r="2225" spans="1:17" x14ac:dyDescent="0.3">
      <c r="A2225" s="160">
        <v>24437</v>
      </c>
      <c r="B2225" t="s">
        <v>17369</v>
      </c>
      <c r="C2225" t="s">
        <v>2396</v>
      </c>
      <c r="D2225">
        <v>0.6</v>
      </c>
      <c r="E2225">
        <v>0</v>
      </c>
      <c r="F2225">
        <f t="shared" si="34"/>
        <v>0.6</v>
      </c>
      <c r="I2225">
        <v>20220101</v>
      </c>
      <c r="J2225" t="s">
        <v>2397</v>
      </c>
      <c r="K2225" t="s">
        <v>2400</v>
      </c>
    </row>
    <row r="2226" spans="1:17" x14ac:dyDescent="0.3">
      <c r="A2226" s="160">
        <v>24439</v>
      </c>
      <c r="B2226" t="s">
        <v>17370</v>
      </c>
      <c r="C2226" t="s">
        <v>2388</v>
      </c>
      <c r="D2226">
        <v>1.55</v>
      </c>
      <c r="E2226">
        <v>0</v>
      </c>
      <c r="F2226">
        <f t="shared" si="34"/>
        <v>1.55</v>
      </c>
      <c r="I2226">
        <v>20230701</v>
      </c>
      <c r="J2226" t="s">
        <v>2394</v>
      </c>
    </row>
    <row r="2227" spans="1:17" x14ac:dyDescent="0.3">
      <c r="A2227" s="160">
        <v>24447</v>
      </c>
      <c r="B2227" t="s">
        <v>17371</v>
      </c>
      <c r="C2227" t="s">
        <v>2388</v>
      </c>
      <c r="D2227">
        <v>1.55</v>
      </c>
      <c r="E2227">
        <v>0</v>
      </c>
      <c r="F2227">
        <f t="shared" si="34"/>
        <v>1.55</v>
      </c>
      <c r="I2227">
        <v>20230701</v>
      </c>
      <c r="J2227" t="s">
        <v>2394</v>
      </c>
    </row>
    <row r="2228" spans="1:17" x14ac:dyDescent="0.3">
      <c r="A2228" s="160">
        <v>24459</v>
      </c>
      <c r="B2228" t="s">
        <v>17372</v>
      </c>
      <c r="C2228" t="s">
        <v>2388</v>
      </c>
      <c r="D2228">
        <v>1.55</v>
      </c>
      <c r="E2228">
        <v>0</v>
      </c>
      <c r="F2228">
        <f t="shared" si="34"/>
        <v>1.55</v>
      </c>
      <c r="I2228">
        <v>20240101</v>
      </c>
      <c r="J2228" t="s">
        <v>2413</v>
      </c>
    </row>
    <row r="2229" spans="1:17" x14ac:dyDescent="0.3">
      <c r="A2229" s="160">
        <v>24468</v>
      </c>
      <c r="B2229" t="s">
        <v>17373</v>
      </c>
      <c r="C2229" t="s">
        <v>2388</v>
      </c>
      <c r="D2229">
        <v>1.55</v>
      </c>
      <c r="E2229">
        <v>0</v>
      </c>
      <c r="F2229">
        <f t="shared" si="34"/>
        <v>1.55</v>
      </c>
      <c r="I2229">
        <v>20240101</v>
      </c>
      <c r="J2229" t="s">
        <v>2413</v>
      </c>
    </row>
    <row r="2230" spans="1:17" x14ac:dyDescent="0.3">
      <c r="A2230">
        <v>24471</v>
      </c>
      <c r="C2230" t="s">
        <v>2446</v>
      </c>
      <c r="D2230">
        <v>0.55000000000000004</v>
      </c>
      <c r="E2230">
        <v>0</v>
      </c>
      <c r="F2230">
        <f t="shared" si="34"/>
        <v>0.55000000000000004</v>
      </c>
      <c r="I2230">
        <v>20250101</v>
      </c>
      <c r="J2230" t="s">
        <v>2447</v>
      </c>
    </row>
    <row r="2231" spans="1:17" x14ac:dyDescent="0.3">
      <c r="A2231" s="160">
        <v>24472</v>
      </c>
      <c r="B2231" t="s">
        <v>17374</v>
      </c>
      <c r="C2231" t="s">
        <v>2396</v>
      </c>
      <c r="D2231">
        <v>0.6</v>
      </c>
      <c r="E2231">
        <v>0</v>
      </c>
      <c r="F2231">
        <f t="shared" si="34"/>
        <v>0.6</v>
      </c>
      <c r="I2231">
        <v>20220101</v>
      </c>
      <c r="J2231" t="s">
        <v>2417</v>
      </c>
    </row>
    <row r="2232" spans="1:17" x14ac:dyDescent="0.3">
      <c r="A2232" s="160">
        <v>24480</v>
      </c>
      <c r="B2232" t="s">
        <v>17375</v>
      </c>
      <c r="C2232" t="s">
        <v>2388</v>
      </c>
      <c r="D2232">
        <v>1.55</v>
      </c>
      <c r="E2232">
        <v>0</v>
      </c>
      <c r="F2232">
        <f t="shared" si="34"/>
        <v>1.55</v>
      </c>
      <c r="I2232">
        <v>20240101</v>
      </c>
      <c r="J2232" t="s">
        <v>2413</v>
      </c>
    </row>
    <row r="2233" spans="1:17" x14ac:dyDescent="0.3">
      <c r="A2233" s="160">
        <v>24484</v>
      </c>
      <c r="B2233" t="s">
        <v>17376</v>
      </c>
      <c r="C2233" t="s">
        <v>2388</v>
      </c>
      <c r="D2233">
        <v>1.55</v>
      </c>
      <c r="E2233">
        <v>0</v>
      </c>
      <c r="F2233">
        <f t="shared" si="34"/>
        <v>1.55</v>
      </c>
      <c r="I2233">
        <v>20230701</v>
      </c>
      <c r="J2233" t="s">
        <v>2394</v>
      </c>
    </row>
    <row r="2234" spans="1:17" x14ac:dyDescent="0.3">
      <c r="A2234" s="160">
        <v>24487</v>
      </c>
      <c r="B2234" t="s">
        <v>17377</v>
      </c>
      <c r="C2234" t="s">
        <v>2396</v>
      </c>
      <c r="D2234">
        <v>0.6</v>
      </c>
      <c r="E2234">
        <v>0</v>
      </c>
      <c r="F2234">
        <f t="shared" si="34"/>
        <v>0.6</v>
      </c>
      <c r="I2234">
        <v>20220101</v>
      </c>
      <c r="J2234" t="s">
        <v>2410</v>
      </c>
    </row>
    <row r="2235" spans="1:17" x14ac:dyDescent="0.3">
      <c r="A2235" s="160">
        <v>24499</v>
      </c>
      <c r="B2235" t="s">
        <v>15875</v>
      </c>
      <c r="C2235" t="s">
        <v>2396</v>
      </c>
      <c r="D2235">
        <v>0.6</v>
      </c>
      <c r="E2235">
        <v>0</v>
      </c>
      <c r="F2235">
        <f t="shared" si="34"/>
        <v>0.6</v>
      </c>
      <c r="I2235">
        <v>20220101</v>
      </c>
      <c r="J2235" t="s">
        <v>2417</v>
      </c>
    </row>
    <row r="2236" spans="1:17" x14ac:dyDescent="0.3">
      <c r="A2236">
        <v>24510</v>
      </c>
      <c r="C2236" t="s">
        <v>2446</v>
      </c>
      <c r="D2236">
        <v>0.55000000000000004</v>
      </c>
      <c r="E2236">
        <v>0</v>
      </c>
      <c r="F2236">
        <f t="shared" si="34"/>
        <v>0.55000000000000004</v>
      </c>
      <c r="I2236">
        <v>20250101</v>
      </c>
      <c r="J2236" t="s">
        <v>27534</v>
      </c>
    </row>
    <row r="2237" spans="1:17" x14ac:dyDescent="0.3">
      <c r="A2237">
        <v>24512</v>
      </c>
      <c r="C2237" t="s">
        <v>2446</v>
      </c>
      <c r="D2237">
        <v>0.55000000000000004</v>
      </c>
      <c r="E2237">
        <v>0</v>
      </c>
      <c r="F2237">
        <f t="shared" si="34"/>
        <v>0.55000000000000004</v>
      </c>
      <c r="I2237">
        <v>20250101</v>
      </c>
      <c r="J2237" t="s">
        <v>2447</v>
      </c>
    </row>
    <row r="2238" spans="1:17" x14ac:dyDescent="0.3">
      <c r="A2238" s="160">
        <v>24518</v>
      </c>
      <c r="B2238" t="s">
        <v>17378</v>
      </c>
      <c r="C2238" t="s">
        <v>2388</v>
      </c>
      <c r="D2238">
        <v>1.55</v>
      </c>
      <c r="E2238">
        <v>0</v>
      </c>
      <c r="F2238">
        <f t="shared" si="34"/>
        <v>1.55</v>
      </c>
      <c r="I2238">
        <v>20240101</v>
      </c>
      <c r="J2238" t="s">
        <v>2413</v>
      </c>
    </row>
    <row r="2239" spans="1:17" x14ac:dyDescent="0.3">
      <c r="A2239" s="160">
        <v>24520</v>
      </c>
      <c r="B2239" t="s">
        <v>17379</v>
      </c>
      <c r="C2239" t="s">
        <v>2446</v>
      </c>
      <c r="D2239">
        <v>0.55000000000000004</v>
      </c>
      <c r="E2239">
        <v>0</v>
      </c>
      <c r="F2239">
        <f t="shared" si="34"/>
        <v>0.55000000000000004</v>
      </c>
      <c r="I2239">
        <v>20210701</v>
      </c>
      <c r="J2239" t="s">
        <v>2447</v>
      </c>
      <c r="K2239" t="s">
        <v>2448</v>
      </c>
      <c r="L2239" t="s">
        <v>2449</v>
      </c>
      <c r="M2239" t="s">
        <v>2450</v>
      </c>
      <c r="N2239" t="s">
        <v>2451</v>
      </c>
      <c r="O2239" t="s">
        <v>2452</v>
      </c>
      <c r="P2239" t="s">
        <v>2453</v>
      </c>
      <c r="Q2239" t="s">
        <v>2454</v>
      </c>
    </row>
    <row r="2240" spans="1:17" x14ac:dyDescent="0.3">
      <c r="A2240" s="160">
        <v>24521</v>
      </c>
      <c r="B2240" t="s">
        <v>17380</v>
      </c>
      <c r="C2240" t="s">
        <v>2388</v>
      </c>
      <c r="D2240">
        <v>1.55</v>
      </c>
      <c r="E2240">
        <v>0</v>
      </c>
      <c r="F2240">
        <f t="shared" si="34"/>
        <v>1.55</v>
      </c>
      <c r="I2240">
        <v>20230701</v>
      </c>
      <c r="J2240" t="s">
        <v>2391</v>
      </c>
    </row>
    <row r="2241" spans="1:13" x14ac:dyDescent="0.3">
      <c r="A2241" s="160">
        <v>24523</v>
      </c>
      <c r="B2241" t="s">
        <v>17381</v>
      </c>
      <c r="C2241" t="s">
        <v>2396</v>
      </c>
      <c r="D2241">
        <v>0.6</v>
      </c>
      <c r="E2241">
        <v>0</v>
      </c>
      <c r="F2241">
        <f t="shared" si="34"/>
        <v>0.6</v>
      </c>
      <c r="I2241">
        <v>20220101</v>
      </c>
      <c r="J2241" t="s">
        <v>2418</v>
      </c>
    </row>
    <row r="2242" spans="1:13" x14ac:dyDescent="0.3">
      <c r="A2242" s="160">
        <v>24527</v>
      </c>
      <c r="B2242" t="s">
        <v>17382</v>
      </c>
      <c r="C2242" t="s">
        <v>2388</v>
      </c>
      <c r="D2242">
        <v>1.55</v>
      </c>
      <c r="E2242">
        <v>0</v>
      </c>
      <c r="F2242">
        <f t="shared" si="34"/>
        <v>1.55</v>
      </c>
      <c r="I2242">
        <v>20240101</v>
      </c>
      <c r="J2242" t="s">
        <v>2391</v>
      </c>
    </row>
    <row r="2243" spans="1:13" x14ac:dyDescent="0.3">
      <c r="A2243" s="160">
        <v>24534</v>
      </c>
      <c r="B2243" t="s">
        <v>17383</v>
      </c>
      <c r="C2243" t="s">
        <v>2396</v>
      </c>
      <c r="D2243">
        <v>0.6</v>
      </c>
      <c r="E2243">
        <v>0</v>
      </c>
      <c r="F2243">
        <f t="shared" si="34"/>
        <v>0.6</v>
      </c>
      <c r="I2243">
        <v>20220101</v>
      </c>
      <c r="J2243" t="s">
        <v>2418</v>
      </c>
    </row>
    <row r="2244" spans="1:13" x14ac:dyDescent="0.3">
      <c r="A2244" s="160">
        <v>24540</v>
      </c>
      <c r="B2244" t="s">
        <v>17384</v>
      </c>
      <c r="C2244" t="s">
        <v>2388</v>
      </c>
      <c r="D2244">
        <v>1.55</v>
      </c>
      <c r="E2244">
        <v>0</v>
      </c>
      <c r="F2244">
        <f t="shared" si="34"/>
        <v>1.55</v>
      </c>
      <c r="I2244">
        <v>20240101</v>
      </c>
      <c r="J2244" t="s">
        <v>2391</v>
      </c>
      <c r="K2244" t="s">
        <v>2389</v>
      </c>
    </row>
    <row r="2245" spans="1:13" x14ac:dyDescent="0.3">
      <c r="A2245">
        <v>24544</v>
      </c>
      <c r="C2245" t="s">
        <v>2446</v>
      </c>
      <c r="D2245">
        <v>0.55000000000000004</v>
      </c>
      <c r="E2245">
        <v>0</v>
      </c>
      <c r="F2245">
        <f t="shared" si="34"/>
        <v>0.55000000000000004</v>
      </c>
      <c r="I2245">
        <v>20250101</v>
      </c>
      <c r="J2245" t="s">
        <v>27535</v>
      </c>
    </row>
    <row r="2246" spans="1:13" x14ac:dyDescent="0.3">
      <c r="A2246" s="160">
        <v>24549</v>
      </c>
      <c r="B2246" t="s">
        <v>16827</v>
      </c>
      <c r="C2246" t="s">
        <v>2396</v>
      </c>
      <c r="D2246">
        <v>0.6</v>
      </c>
      <c r="E2246">
        <v>0</v>
      </c>
      <c r="F2246">
        <f t="shared" si="34"/>
        <v>0.6</v>
      </c>
      <c r="I2246">
        <v>20220101</v>
      </c>
      <c r="J2246" t="s">
        <v>2418</v>
      </c>
    </row>
    <row r="2247" spans="1:13" x14ac:dyDescent="0.3">
      <c r="A2247" s="160">
        <v>24557</v>
      </c>
      <c r="B2247" t="s">
        <v>17385</v>
      </c>
      <c r="C2247" t="s">
        <v>2388</v>
      </c>
      <c r="D2247">
        <v>1.55</v>
      </c>
      <c r="E2247">
        <v>0</v>
      </c>
      <c r="F2247">
        <f t="shared" ref="F2247:F2310" si="35">D2247+E2247</f>
        <v>1.55</v>
      </c>
      <c r="I2247">
        <v>20230701</v>
      </c>
      <c r="J2247" t="s">
        <v>2392</v>
      </c>
      <c r="K2247" t="s">
        <v>2455</v>
      </c>
      <c r="L2247" t="s">
        <v>2420</v>
      </c>
      <c r="M2247" t="s">
        <v>2393</v>
      </c>
    </row>
    <row r="2248" spans="1:13" x14ac:dyDescent="0.3">
      <c r="A2248" s="160">
        <v>24571</v>
      </c>
      <c r="B2248" t="s">
        <v>17386</v>
      </c>
      <c r="C2248" t="s">
        <v>2388</v>
      </c>
      <c r="D2248">
        <v>1.55</v>
      </c>
      <c r="E2248">
        <v>0</v>
      </c>
      <c r="F2248">
        <f t="shared" si="35"/>
        <v>1.55</v>
      </c>
      <c r="I2248">
        <v>20240101</v>
      </c>
      <c r="J2248" t="s">
        <v>2413</v>
      </c>
    </row>
    <row r="2249" spans="1:13" x14ac:dyDescent="0.3">
      <c r="A2249" s="160">
        <v>24576</v>
      </c>
      <c r="B2249" t="s">
        <v>17387</v>
      </c>
      <c r="C2249" t="s">
        <v>2388</v>
      </c>
      <c r="D2249">
        <v>1.55</v>
      </c>
      <c r="E2249">
        <v>0</v>
      </c>
      <c r="F2249">
        <f t="shared" si="35"/>
        <v>1.55</v>
      </c>
      <c r="I2249">
        <v>20240101</v>
      </c>
      <c r="J2249" t="s">
        <v>2413</v>
      </c>
    </row>
    <row r="2250" spans="1:13" x14ac:dyDescent="0.3">
      <c r="A2250">
        <v>24577</v>
      </c>
      <c r="C2250" t="s">
        <v>2446</v>
      </c>
      <c r="D2250">
        <v>0.55000000000000004</v>
      </c>
      <c r="E2250">
        <v>0</v>
      </c>
      <c r="F2250">
        <f t="shared" si="35"/>
        <v>0.55000000000000004</v>
      </c>
      <c r="I2250">
        <v>20250101</v>
      </c>
      <c r="J2250" t="s">
        <v>27534</v>
      </c>
    </row>
    <row r="2251" spans="1:13" x14ac:dyDescent="0.3">
      <c r="A2251">
        <v>24587</v>
      </c>
      <c r="C2251" t="s">
        <v>2446</v>
      </c>
      <c r="D2251">
        <v>0.55000000000000004</v>
      </c>
      <c r="E2251">
        <v>0</v>
      </c>
      <c r="F2251">
        <f t="shared" si="35"/>
        <v>0.55000000000000004</v>
      </c>
      <c r="I2251">
        <v>20250101</v>
      </c>
      <c r="J2251" t="s">
        <v>2447</v>
      </c>
    </row>
    <row r="2252" spans="1:13" x14ac:dyDescent="0.3">
      <c r="A2252" s="160">
        <v>25004</v>
      </c>
      <c r="B2252" t="s">
        <v>17388</v>
      </c>
      <c r="C2252" t="s">
        <v>2456</v>
      </c>
      <c r="D2252">
        <v>1.5</v>
      </c>
      <c r="E2252">
        <v>0</v>
      </c>
      <c r="F2252">
        <f t="shared" si="35"/>
        <v>1.5</v>
      </c>
      <c r="I2252">
        <v>20230701</v>
      </c>
      <c r="J2252" t="s">
        <v>2457</v>
      </c>
    </row>
    <row r="2253" spans="1:13" x14ac:dyDescent="0.3">
      <c r="A2253" s="160">
        <v>25008</v>
      </c>
      <c r="B2253" t="s">
        <v>17389</v>
      </c>
      <c r="C2253" t="s">
        <v>2458</v>
      </c>
      <c r="D2253">
        <v>0.6</v>
      </c>
      <c r="E2253">
        <v>0</v>
      </c>
      <c r="F2253">
        <f t="shared" si="35"/>
        <v>0.6</v>
      </c>
      <c r="I2253">
        <v>20230701</v>
      </c>
      <c r="J2253" t="s">
        <v>2459</v>
      </c>
    </row>
    <row r="2254" spans="1:13" x14ac:dyDescent="0.3">
      <c r="A2254" s="160">
        <v>25011</v>
      </c>
      <c r="B2254" t="s">
        <v>17390</v>
      </c>
      <c r="C2254" t="s">
        <v>2456</v>
      </c>
      <c r="D2254">
        <v>1.8</v>
      </c>
      <c r="E2254">
        <v>0</v>
      </c>
      <c r="F2254">
        <f t="shared" si="35"/>
        <v>1.8</v>
      </c>
      <c r="I2254">
        <v>20130101</v>
      </c>
      <c r="J2254" t="s">
        <v>2460</v>
      </c>
      <c r="K2254" t="s">
        <v>2461</v>
      </c>
    </row>
    <row r="2255" spans="1:13" x14ac:dyDescent="0.3">
      <c r="A2255" s="160">
        <v>25013</v>
      </c>
      <c r="B2255" t="s">
        <v>17391</v>
      </c>
      <c r="C2255" t="s">
        <v>2456</v>
      </c>
      <c r="D2255">
        <v>1.5</v>
      </c>
      <c r="E2255">
        <v>0</v>
      </c>
      <c r="F2255">
        <f t="shared" si="35"/>
        <v>1.5</v>
      </c>
      <c r="I2255">
        <v>20230701</v>
      </c>
      <c r="J2255" t="s">
        <v>2462</v>
      </c>
    </row>
    <row r="2256" spans="1:13" x14ac:dyDescent="0.3">
      <c r="A2256" s="160">
        <v>25014</v>
      </c>
      <c r="B2256" t="s">
        <v>17392</v>
      </c>
      <c r="C2256" t="s">
        <v>2463</v>
      </c>
      <c r="D2256">
        <v>1.8</v>
      </c>
      <c r="E2256">
        <v>0</v>
      </c>
      <c r="F2256">
        <f t="shared" si="35"/>
        <v>1.8</v>
      </c>
      <c r="I2256">
        <v>20090101</v>
      </c>
      <c r="J2256" t="s">
        <v>2464</v>
      </c>
    </row>
    <row r="2257" spans="1:65" x14ac:dyDescent="0.3">
      <c r="A2257" s="160">
        <v>25020</v>
      </c>
      <c r="B2257" t="s">
        <v>17393</v>
      </c>
      <c r="C2257" t="s">
        <v>2456</v>
      </c>
      <c r="D2257">
        <v>1.8</v>
      </c>
      <c r="E2257">
        <v>0</v>
      </c>
      <c r="F2257">
        <f t="shared" si="35"/>
        <v>1.8</v>
      </c>
      <c r="I2257">
        <v>20130101</v>
      </c>
      <c r="J2257" t="s">
        <v>2465</v>
      </c>
      <c r="K2257" t="s">
        <v>2466</v>
      </c>
    </row>
    <row r="2258" spans="1:65" x14ac:dyDescent="0.3">
      <c r="A2258" s="160">
        <v>25027</v>
      </c>
      <c r="B2258" t="s">
        <v>17394</v>
      </c>
      <c r="C2258" t="s">
        <v>2463</v>
      </c>
      <c r="D2258">
        <v>1.8</v>
      </c>
      <c r="E2258">
        <v>0</v>
      </c>
      <c r="F2258">
        <f t="shared" si="35"/>
        <v>1.8</v>
      </c>
      <c r="I2258">
        <v>20090101</v>
      </c>
      <c r="J2258" t="s">
        <v>2467</v>
      </c>
    </row>
    <row r="2259" spans="1:65" x14ac:dyDescent="0.3">
      <c r="A2259" s="160">
        <v>25030</v>
      </c>
      <c r="B2259" t="s">
        <v>17395</v>
      </c>
      <c r="C2259" t="s">
        <v>2463</v>
      </c>
      <c r="D2259">
        <v>1.8</v>
      </c>
      <c r="E2259">
        <v>0</v>
      </c>
      <c r="F2259">
        <f t="shared" si="35"/>
        <v>1.8</v>
      </c>
      <c r="I2259">
        <v>20090101</v>
      </c>
      <c r="J2259" t="s">
        <v>2468</v>
      </c>
    </row>
    <row r="2260" spans="1:65" x14ac:dyDescent="0.3">
      <c r="A2260" s="160">
        <v>25031</v>
      </c>
      <c r="B2260" t="s">
        <v>17396</v>
      </c>
      <c r="C2260" t="s">
        <v>2456</v>
      </c>
      <c r="D2260">
        <v>1.8</v>
      </c>
      <c r="E2260">
        <v>0</v>
      </c>
      <c r="F2260">
        <f t="shared" si="35"/>
        <v>1.8</v>
      </c>
      <c r="I2260">
        <v>20130701</v>
      </c>
      <c r="J2260" t="s">
        <v>2465</v>
      </c>
      <c r="K2260" t="s">
        <v>2469</v>
      </c>
      <c r="L2260" t="s">
        <v>2466</v>
      </c>
      <c r="M2260" t="s">
        <v>2470</v>
      </c>
      <c r="N2260" t="s">
        <v>2471</v>
      </c>
      <c r="O2260" t="s">
        <v>2472</v>
      </c>
    </row>
    <row r="2261" spans="1:65" x14ac:dyDescent="0.3">
      <c r="A2261" s="160">
        <v>25033</v>
      </c>
      <c r="B2261" t="s">
        <v>17397</v>
      </c>
      <c r="C2261" t="s">
        <v>2456</v>
      </c>
      <c r="D2261">
        <v>1.5</v>
      </c>
      <c r="E2261">
        <v>0</v>
      </c>
      <c r="F2261">
        <f t="shared" si="35"/>
        <v>1.5</v>
      </c>
      <c r="I2261">
        <v>20230701</v>
      </c>
      <c r="J2261" t="s">
        <v>2473</v>
      </c>
    </row>
    <row r="2262" spans="1:65" x14ac:dyDescent="0.3">
      <c r="A2262" s="160">
        <v>25034</v>
      </c>
      <c r="B2262" t="s">
        <v>17398</v>
      </c>
      <c r="C2262" t="s">
        <v>2463</v>
      </c>
      <c r="D2262">
        <v>1.8</v>
      </c>
      <c r="E2262">
        <v>0</v>
      </c>
      <c r="F2262">
        <f t="shared" si="35"/>
        <v>1.8</v>
      </c>
      <c r="I2262">
        <v>20090101</v>
      </c>
    </row>
    <row r="2263" spans="1:65" x14ac:dyDescent="0.3">
      <c r="A2263" s="160">
        <v>25035</v>
      </c>
      <c r="B2263" t="s">
        <v>17399</v>
      </c>
      <c r="C2263" t="s">
        <v>2463</v>
      </c>
      <c r="D2263">
        <v>1.8</v>
      </c>
      <c r="E2263">
        <v>0</v>
      </c>
      <c r="F2263">
        <f t="shared" si="35"/>
        <v>1.8</v>
      </c>
      <c r="I2263">
        <v>20090101</v>
      </c>
      <c r="J2263" t="s">
        <v>2474</v>
      </c>
    </row>
    <row r="2264" spans="1:65" x14ac:dyDescent="0.3">
      <c r="A2264" s="160">
        <v>25036</v>
      </c>
      <c r="B2264" t="s">
        <v>17400</v>
      </c>
      <c r="C2264" t="s">
        <v>2463</v>
      </c>
      <c r="D2264">
        <v>1.8</v>
      </c>
      <c r="E2264">
        <v>0</v>
      </c>
      <c r="F2264">
        <f t="shared" si="35"/>
        <v>1.8</v>
      </c>
      <c r="I2264">
        <v>20090101</v>
      </c>
      <c r="J2264" t="s">
        <v>2467</v>
      </c>
    </row>
    <row r="2265" spans="1:65" x14ac:dyDescent="0.3">
      <c r="A2265" s="160">
        <v>25040</v>
      </c>
      <c r="B2265" t="s">
        <v>17401</v>
      </c>
      <c r="C2265" t="s">
        <v>2456</v>
      </c>
      <c r="D2265">
        <v>1.8</v>
      </c>
      <c r="E2265">
        <v>0</v>
      </c>
      <c r="F2265">
        <f t="shared" si="35"/>
        <v>1.8</v>
      </c>
      <c r="I2265">
        <v>20130101</v>
      </c>
      <c r="J2265" t="s">
        <v>2461</v>
      </c>
    </row>
    <row r="2266" spans="1:65" x14ac:dyDescent="0.3">
      <c r="A2266" s="160">
        <v>25043</v>
      </c>
      <c r="B2266" t="s">
        <v>17402</v>
      </c>
      <c r="C2266" t="s">
        <v>2456</v>
      </c>
      <c r="D2266">
        <v>1.8</v>
      </c>
      <c r="E2266">
        <v>0</v>
      </c>
      <c r="F2266">
        <f t="shared" si="35"/>
        <v>1.8</v>
      </c>
      <c r="I2266">
        <v>20130101</v>
      </c>
      <c r="J2266" t="s">
        <v>2475</v>
      </c>
    </row>
    <row r="2267" spans="1:65" x14ac:dyDescent="0.3">
      <c r="A2267" s="160">
        <v>25048</v>
      </c>
      <c r="B2267" t="s">
        <v>17403</v>
      </c>
      <c r="C2267" t="s">
        <v>2456</v>
      </c>
      <c r="D2267">
        <v>1.8</v>
      </c>
      <c r="E2267">
        <v>0</v>
      </c>
      <c r="F2267">
        <f t="shared" si="35"/>
        <v>1.8</v>
      </c>
      <c r="I2267">
        <v>20130101</v>
      </c>
      <c r="J2267" t="s">
        <v>2462</v>
      </c>
    </row>
    <row r="2268" spans="1:65" x14ac:dyDescent="0.3">
      <c r="A2268" s="160">
        <v>25054</v>
      </c>
      <c r="B2268" t="s">
        <v>17404</v>
      </c>
      <c r="C2268" t="s">
        <v>2456</v>
      </c>
      <c r="D2268">
        <v>1.5</v>
      </c>
      <c r="E2268">
        <v>0</v>
      </c>
      <c r="F2268">
        <f t="shared" si="35"/>
        <v>1.5</v>
      </c>
      <c r="I2268">
        <v>20230701</v>
      </c>
      <c r="J2268" t="s">
        <v>2475</v>
      </c>
    </row>
    <row r="2269" spans="1:65" x14ac:dyDescent="0.3">
      <c r="A2269" s="160">
        <v>25056</v>
      </c>
      <c r="B2269" t="s">
        <v>17405</v>
      </c>
      <c r="C2269" t="s">
        <v>2463</v>
      </c>
      <c r="D2269">
        <v>1.8</v>
      </c>
      <c r="E2269">
        <v>0</v>
      </c>
      <c r="F2269">
        <f t="shared" si="35"/>
        <v>1.8</v>
      </c>
      <c r="I2269">
        <v>20090101</v>
      </c>
      <c r="J2269" t="s">
        <v>2476</v>
      </c>
      <c r="K2269" t="s">
        <v>2477</v>
      </c>
      <c r="L2269" t="s">
        <v>2478</v>
      </c>
      <c r="M2269" t="s">
        <v>2479</v>
      </c>
      <c r="N2269" t="s">
        <v>2480</v>
      </c>
      <c r="O2269" t="s">
        <v>2481</v>
      </c>
      <c r="P2269" t="s">
        <v>2482</v>
      </c>
      <c r="Q2269" t="s">
        <v>2483</v>
      </c>
      <c r="R2269" t="s">
        <v>2484</v>
      </c>
      <c r="S2269" t="s">
        <v>2485</v>
      </c>
      <c r="T2269" t="s">
        <v>2486</v>
      </c>
      <c r="U2269" t="s">
        <v>2487</v>
      </c>
      <c r="V2269" t="s">
        <v>2488</v>
      </c>
      <c r="W2269" t="s">
        <v>2489</v>
      </c>
      <c r="X2269" t="s">
        <v>2490</v>
      </c>
      <c r="Y2269" t="s">
        <v>2491</v>
      </c>
      <c r="Z2269" t="s">
        <v>2492</v>
      </c>
      <c r="AA2269" t="s">
        <v>2493</v>
      </c>
      <c r="AB2269" t="s">
        <v>2494</v>
      </c>
      <c r="AC2269" t="s">
        <v>2495</v>
      </c>
      <c r="AD2269" t="s">
        <v>2496</v>
      </c>
      <c r="AE2269" t="s">
        <v>2497</v>
      </c>
      <c r="AF2269" t="s">
        <v>2498</v>
      </c>
      <c r="AG2269" t="s">
        <v>2499</v>
      </c>
      <c r="AH2269" t="s">
        <v>2500</v>
      </c>
      <c r="AI2269" t="s">
        <v>2501</v>
      </c>
      <c r="AJ2269" t="s">
        <v>2502</v>
      </c>
      <c r="AK2269" t="s">
        <v>2503</v>
      </c>
      <c r="AL2269" t="s">
        <v>2504</v>
      </c>
      <c r="AM2269" t="s">
        <v>2505</v>
      </c>
      <c r="AN2269" t="s">
        <v>2506</v>
      </c>
      <c r="AO2269" t="s">
        <v>2507</v>
      </c>
      <c r="AP2269" t="s">
        <v>2508</v>
      </c>
      <c r="AQ2269" t="s">
        <v>2509</v>
      </c>
      <c r="AR2269" t="s">
        <v>2510</v>
      </c>
      <c r="AS2269" t="s">
        <v>2511</v>
      </c>
      <c r="AT2269" t="s">
        <v>2512</v>
      </c>
      <c r="AU2269" t="s">
        <v>2513</v>
      </c>
      <c r="AV2269" t="s">
        <v>2514</v>
      </c>
      <c r="AW2269" t="s">
        <v>2515</v>
      </c>
      <c r="AX2269" t="s">
        <v>2516</v>
      </c>
      <c r="AY2269" t="s">
        <v>2517</v>
      </c>
      <c r="AZ2269" t="s">
        <v>2518</v>
      </c>
      <c r="BA2269" t="s">
        <v>2519</v>
      </c>
      <c r="BB2269" t="s">
        <v>2520</v>
      </c>
      <c r="BC2269" t="s">
        <v>2521</v>
      </c>
      <c r="BD2269" t="s">
        <v>2522</v>
      </c>
      <c r="BE2269" t="s">
        <v>2523</v>
      </c>
      <c r="BF2269" t="s">
        <v>2524</v>
      </c>
      <c r="BG2269" t="s">
        <v>2525</v>
      </c>
      <c r="BH2269" t="s">
        <v>2526</v>
      </c>
      <c r="BI2269" t="s">
        <v>2527</v>
      </c>
      <c r="BJ2269" t="s">
        <v>2528</v>
      </c>
      <c r="BK2269" t="s">
        <v>2529</v>
      </c>
      <c r="BL2269" t="s">
        <v>2530</v>
      </c>
      <c r="BM2269" t="s">
        <v>2531</v>
      </c>
    </row>
    <row r="2270" spans="1:65" x14ac:dyDescent="0.3">
      <c r="A2270" s="160">
        <v>25057</v>
      </c>
      <c r="B2270" t="s">
        <v>17406</v>
      </c>
      <c r="C2270" t="s">
        <v>2456</v>
      </c>
      <c r="D2270">
        <v>1.8</v>
      </c>
      <c r="E2270">
        <v>0</v>
      </c>
      <c r="F2270">
        <f t="shared" si="35"/>
        <v>1.8</v>
      </c>
      <c r="I2270">
        <v>20130101</v>
      </c>
      <c r="J2270" t="s">
        <v>2532</v>
      </c>
      <c r="K2270" t="s">
        <v>2533</v>
      </c>
      <c r="L2270" t="s">
        <v>2534</v>
      </c>
    </row>
    <row r="2271" spans="1:65" x14ac:dyDescent="0.3">
      <c r="A2271" s="160">
        <v>25058</v>
      </c>
      <c r="B2271" t="s">
        <v>17407</v>
      </c>
      <c r="C2271" t="s">
        <v>2463</v>
      </c>
      <c r="D2271">
        <v>1.8</v>
      </c>
      <c r="E2271">
        <v>0</v>
      </c>
      <c r="F2271">
        <f t="shared" si="35"/>
        <v>1.8</v>
      </c>
      <c r="I2271">
        <v>20090101</v>
      </c>
      <c r="J2271" t="s">
        <v>2515</v>
      </c>
      <c r="K2271" t="s">
        <v>2467</v>
      </c>
    </row>
    <row r="2272" spans="1:65" x14ac:dyDescent="0.3">
      <c r="A2272" s="160">
        <v>25059</v>
      </c>
      <c r="B2272" t="s">
        <v>17408</v>
      </c>
      <c r="C2272" t="s">
        <v>2456</v>
      </c>
      <c r="D2272">
        <v>1.5</v>
      </c>
      <c r="E2272">
        <v>0</v>
      </c>
      <c r="F2272">
        <f t="shared" si="35"/>
        <v>1.5</v>
      </c>
      <c r="I2272">
        <v>20230701</v>
      </c>
      <c r="J2272" t="s">
        <v>2535</v>
      </c>
    </row>
    <row r="2273" spans="1:14" x14ac:dyDescent="0.3">
      <c r="A2273" s="160">
        <v>25063</v>
      </c>
      <c r="B2273" t="s">
        <v>17409</v>
      </c>
      <c r="C2273" t="s">
        <v>2456</v>
      </c>
      <c r="D2273">
        <v>1.5</v>
      </c>
      <c r="E2273">
        <v>0</v>
      </c>
      <c r="F2273">
        <f t="shared" si="35"/>
        <v>1.5</v>
      </c>
      <c r="I2273">
        <v>20230701</v>
      </c>
      <c r="J2273" t="s">
        <v>2457</v>
      </c>
    </row>
    <row r="2274" spans="1:14" x14ac:dyDescent="0.3">
      <c r="A2274" s="160">
        <v>25071</v>
      </c>
      <c r="B2274" t="s">
        <v>17410</v>
      </c>
      <c r="C2274" t="s">
        <v>2456</v>
      </c>
      <c r="D2274">
        <v>1.5</v>
      </c>
      <c r="E2274">
        <v>0</v>
      </c>
      <c r="F2274">
        <f t="shared" si="35"/>
        <v>1.5</v>
      </c>
      <c r="I2274">
        <v>20230701</v>
      </c>
      <c r="J2274" t="s">
        <v>2536</v>
      </c>
    </row>
    <row r="2275" spans="1:14" x14ac:dyDescent="0.3">
      <c r="A2275" s="160">
        <v>25073</v>
      </c>
      <c r="B2275" t="s">
        <v>17411</v>
      </c>
      <c r="C2275" t="s">
        <v>27537</v>
      </c>
      <c r="D2275">
        <v>1.8</v>
      </c>
      <c r="E2275">
        <v>0</v>
      </c>
      <c r="F2275">
        <f t="shared" si="35"/>
        <v>1.8</v>
      </c>
      <c r="I2275">
        <v>20250101</v>
      </c>
      <c r="J2275" t="s">
        <v>2474</v>
      </c>
    </row>
    <row r="2276" spans="1:14" x14ac:dyDescent="0.3">
      <c r="A2276" s="160">
        <v>25082</v>
      </c>
      <c r="B2276" t="s">
        <v>17412</v>
      </c>
      <c r="C2276" t="s">
        <v>2456</v>
      </c>
      <c r="D2276">
        <v>1.5</v>
      </c>
      <c r="E2276">
        <v>0</v>
      </c>
      <c r="F2276">
        <f t="shared" si="35"/>
        <v>1.5</v>
      </c>
      <c r="I2276">
        <v>20230701</v>
      </c>
      <c r="J2276" t="s">
        <v>2473</v>
      </c>
    </row>
    <row r="2277" spans="1:14" x14ac:dyDescent="0.3">
      <c r="A2277" s="160">
        <v>25084</v>
      </c>
      <c r="B2277" t="s">
        <v>17413</v>
      </c>
      <c r="C2277" t="s">
        <v>2463</v>
      </c>
      <c r="D2277">
        <v>1.8</v>
      </c>
      <c r="E2277">
        <v>0</v>
      </c>
      <c r="F2277">
        <f t="shared" si="35"/>
        <v>1.8</v>
      </c>
      <c r="I2277">
        <v>20090101</v>
      </c>
      <c r="J2277" t="s">
        <v>2537</v>
      </c>
    </row>
    <row r="2278" spans="1:14" x14ac:dyDescent="0.3">
      <c r="A2278" s="160">
        <v>25086</v>
      </c>
      <c r="B2278" t="s">
        <v>17414</v>
      </c>
      <c r="C2278" t="s">
        <v>2463</v>
      </c>
      <c r="D2278">
        <v>1.8</v>
      </c>
      <c r="E2278">
        <v>0</v>
      </c>
      <c r="F2278">
        <f t="shared" si="35"/>
        <v>1.8</v>
      </c>
      <c r="I2278">
        <v>20090101</v>
      </c>
      <c r="J2278" t="s">
        <v>2538</v>
      </c>
    </row>
    <row r="2279" spans="1:14" x14ac:dyDescent="0.3">
      <c r="A2279" s="160">
        <v>25093</v>
      </c>
      <c r="B2279" t="s">
        <v>17415</v>
      </c>
      <c r="C2279" t="s">
        <v>2456</v>
      </c>
      <c r="D2279">
        <v>1.5</v>
      </c>
      <c r="E2279">
        <v>0</v>
      </c>
      <c r="F2279">
        <f t="shared" si="35"/>
        <v>1.5</v>
      </c>
      <c r="I2279">
        <v>20230701</v>
      </c>
      <c r="J2279" t="s">
        <v>2535</v>
      </c>
    </row>
    <row r="2280" spans="1:14" x14ac:dyDescent="0.3">
      <c r="A2280" s="160">
        <v>25097</v>
      </c>
      <c r="B2280" t="s">
        <v>17416</v>
      </c>
      <c r="C2280" t="s">
        <v>2456</v>
      </c>
      <c r="D2280">
        <v>1.8</v>
      </c>
      <c r="E2280">
        <v>0</v>
      </c>
      <c r="F2280">
        <f t="shared" si="35"/>
        <v>1.8</v>
      </c>
      <c r="I2280">
        <v>20130101</v>
      </c>
      <c r="J2280" t="s">
        <v>2460</v>
      </c>
      <c r="K2280" t="s">
        <v>2539</v>
      </c>
      <c r="L2280" t="s">
        <v>2540</v>
      </c>
      <c r="M2280" t="s">
        <v>2541</v>
      </c>
      <c r="N2280" t="s">
        <v>2542</v>
      </c>
    </row>
    <row r="2281" spans="1:14" x14ac:dyDescent="0.3">
      <c r="A2281" s="160">
        <v>25103</v>
      </c>
      <c r="B2281" t="s">
        <v>17417</v>
      </c>
      <c r="C2281" t="s">
        <v>2463</v>
      </c>
      <c r="D2281">
        <v>1.8</v>
      </c>
      <c r="E2281">
        <v>0</v>
      </c>
      <c r="F2281">
        <f t="shared" si="35"/>
        <v>1.8</v>
      </c>
      <c r="I2281">
        <v>20090101</v>
      </c>
      <c r="J2281" t="s">
        <v>2537</v>
      </c>
    </row>
    <row r="2282" spans="1:14" x14ac:dyDescent="0.3">
      <c r="A2282" s="160">
        <v>25105</v>
      </c>
      <c r="B2282" t="s">
        <v>17418</v>
      </c>
      <c r="C2282" t="s">
        <v>27537</v>
      </c>
      <c r="D2282">
        <v>1.8</v>
      </c>
      <c r="E2282">
        <v>0</v>
      </c>
      <c r="F2282">
        <f t="shared" si="35"/>
        <v>1.8</v>
      </c>
      <c r="I2282">
        <v>20250101</v>
      </c>
      <c r="J2282" t="s">
        <v>2537</v>
      </c>
    </row>
    <row r="2283" spans="1:14" x14ac:dyDescent="0.3">
      <c r="A2283" s="160">
        <v>25111</v>
      </c>
      <c r="B2283" t="s">
        <v>17419</v>
      </c>
      <c r="C2283" t="s">
        <v>2463</v>
      </c>
      <c r="D2283">
        <v>1.8</v>
      </c>
      <c r="E2283">
        <v>0</v>
      </c>
      <c r="F2283">
        <f t="shared" si="35"/>
        <v>1.8</v>
      </c>
      <c r="I2283">
        <v>20090101</v>
      </c>
      <c r="J2283" t="s">
        <v>2464</v>
      </c>
    </row>
    <row r="2284" spans="1:14" x14ac:dyDescent="0.3">
      <c r="A2284" s="160">
        <v>25112</v>
      </c>
      <c r="B2284" t="s">
        <v>17420</v>
      </c>
      <c r="C2284" t="s">
        <v>2463</v>
      </c>
      <c r="D2284">
        <v>1.8</v>
      </c>
      <c r="E2284">
        <v>0</v>
      </c>
      <c r="F2284">
        <f t="shared" si="35"/>
        <v>1.8</v>
      </c>
      <c r="I2284">
        <v>20090101</v>
      </c>
      <c r="J2284" t="s">
        <v>2498</v>
      </c>
      <c r="K2284" t="s">
        <v>2500</v>
      </c>
      <c r="L2284" t="s">
        <v>2501</v>
      </c>
      <c r="M2284" t="s">
        <v>2464</v>
      </c>
    </row>
    <row r="2285" spans="1:14" x14ac:dyDescent="0.3">
      <c r="A2285" s="160">
        <v>25115</v>
      </c>
      <c r="B2285" t="s">
        <v>17421</v>
      </c>
      <c r="C2285" t="s">
        <v>2463</v>
      </c>
      <c r="D2285">
        <v>1.8</v>
      </c>
      <c r="E2285">
        <v>0</v>
      </c>
      <c r="F2285">
        <f t="shared" si="35"/>
        <v>1.8</v>
      </c>
      <c r="I2285">
        <v>20090101</v>
      </c>
      <c r="J2285" t="s">
        <v>2468</v>
      </c>
    </row>
    <row r="2286" spans="1:14" x14ac:dyDescent="0.3">
      <c r="A2286" s="160">
        <v>25117</v>
      </c>
      <c r="B2286" t="s">
        <v>17422</v>
      </c>
      <c r="C2286" t="s">
        <v>2463</v>
      </c>
      <c r="D2286">
        <v>1.8</v>
      </c>
      <c r="E2286">
        <v>0</v>
      </c>
      <c r="F2286">
        <f t="shared" si="35"/>
        <v>1.8</v>
      </c>
      <c r="I2286">
        <v>20090101</v>
      </c>
      <c r="J2286" t="s">
        <v>2538</v>
      </c>
    </row>
    <row r="2287" spans="1:14" x14ac:dyDescent="0.3">
      <c r="A2287" s="160">
        <v>25119</v>
      </c>
      <c r="B2287" t="s">
        <v>17423</v>
      </c>
      <c r="C2287" t="s">
        <v>2463</v>
      </c>
      <c r="D2287">
        <v>1.8</v>
      </c>
      <c r="E2287">
        <v>0</v>
      </c>
      <c r="F2287">
        <f t="shared" si="35"/>
        <v>1.8</v>
      </c>
      <c r="I2287">
        <v>20090101</v>
      </c>
      <c r="J2287" t="s">
        <v>2468</v>
      </c>
    </row>
    <row r="2288" spans="1:14" x14ac:dyDescent="0.3">
      <c r="A2288" s="160">
        <v>25133</v>
      </c>
      <c r="B2288" t="s">
        <v>17424</v>
      </c>
      <c r="C2288" t="s">
        <v>2463</v>
      </c>
      <c r="D2288">
        <v>1.8</v>
      </c>
      <c r="E2288">
        <v>0</v>
      </c>
      <c r="F2288">
        <f t="shared" si="35"/>
        <v>1.8</v>
      </c>
      <c r="I2288">
        <v>20090101</v>
      </c>
      <c r="J2288" t="s">
        <v>2543</v>
      </c>
      <c r="K2288" t="s">
        <v>2544</v>
      </c>
      <c r="L2288" t="s">
        <v>2516</v>
      </c>
      <c r="M2288" t="s">
        <v>2525</v>
      </c>
      <c r="N2288" t="s">
        <v>2474</v>
      </c>
    </row>
    <row r="2289" spans="1:12" x14ac:dyDescent="0.3">
      <c r="A2289" s="160">
        <v>25136</v>
      </c>
      <c r="B2289" t="s">
        <v>17425</v>
      </c>
      <c r="C2289" t="s">
        <v>2463</v>
      </c>
      <c r="D2289">
        <v>1.8</v>
      </c>
      <c r="E2289">
        <v>0</v>
      </c>
      <c r="F2289">
        <f t="shared" si="35"/>
        <v>1.8</v>
      </c>
      <c r="I2289">
        <v>20090101</v>
      </c>
      <c r="J2289" t="s">
        <v>2468</v>
      </c>
    </row>
    <row r="2290" spans="1:12" x14ac:dyDescent="0.3">
      <c r="A2290" s="160">
        <v>25137</v>
      </c>
      <c r="B2290" t="s">
        <v>17426</v>
      </c>
      <c r="C2290" t="s">
        <v>2463</v>
      </c>
      <c r="D2290">
        <v>1.8</v>
      </c>
      <c r="E2290">
        <v>0</v>
      </c>
      <c r="F2290">
        <f t="shared" si="35"/>
        <v>1.8</v>
      </c>
      <c r="I2290">
        <v>20090101</v>
      </c>
      <c r="J2290" t="s">
        <v>2538</v>
      </c>
    </row>
    <row r="2291" spans="1:12" x14ac:dyDescent="0.3">
      <c r="A2291" s="160">
        <v>25147</v>
      </c>
      <c r="B2291" t="s">
        <v>17427</v>
      </c>
      <c r="C2291" t="s">
        <v>2463</v>
      </c>
      <c r="D2291">
        <v>1.8</v>
      </c>
      <c r="E2291">
        <v>0</v>
      </c>
      <c r="F2291">
        <f t="shared" si="35"/>
        <v>1.8</v>
      </c>
      <c r="I2291">
        <v>20090101</v>
      </c>
      <c r="J2291" t="s">
        <v>2537</v>
      </c>
      <c r="K2291" t="s">
        <v>2545</v>
      </c>
    </row>
    <row r="2292" spans="1:12" x14ac:dyDescent="0.3">
      <c r="A2292" s="160">
        <v>25152</v>
      </c>
      <c r="B2292" t="s">
        <v>17428</v>
      </c>
      <c r="C2292" t="s">
        <v>2463</v>
      </c>
      <c r="D2292">
        <v>1.8</v>
      </c>
      <c r="E2292">
        <v>0</v>
      </c>
      <c r="F2292">
        <f t="shared" si="35"/>
        <v>1.8</v>
      </c>
      <c r="I2292">
        <v>20090101</v>
      </c>
      <c r="J2292" t="s">
        <v>2546</v>
      </c>
    </row>
    <row r="2293" spans="1:12" x14ac:dyDescent="0.3">
      <c r="A2293" s="160">
        <v>25153</v>
      </c>
      <c r="B2293" t="s">
        <v>17429</v>
      </c>
      <c r="C2293" t="s">
        <v>27537</v>
      </c>
      <c r="D2293">
        <v>1.8</v>
      </c>
      <c r="E2293">
        <v>0</v>
      </c>
      <c r="F2293">
        <f t="shared" si="35"/>
        <v>1.8</v>
      </c>
      <c r="I2293">
        <v>20250101</v>
      </c>
      <c r="J2293" t="s">
        <v>2474</v>
      </c>
    </row>
    <row r="2294" spans="1:12" x14ac:dyDescent="0.3">
      <c r="A2294" s="160">
        <v>25159</v>
      </c>
      <c r="B2294" t="s">
        <v>17430</v>
      </c>
      <c r="C2294" t="s">
        <v>2456</v>
      </c>
      <c r="D2294">
        <v>1.5</v>
      </c>
      <c r="E2294">
        <v>0</v>
      </c>
      <c r="F2294">
        <f t="shared" si="35"/>
        <v>1.5</v>
      </c>
      <c r="I2294">
        <v>20230701</v>
      </c>
      <c r="J2294" t="s">
        <v>2547</v>
      </c>
    </row>
    <row r="2295" spans="1:12" x14ac:dyDescent="0.3">
      <c r="A2295" s="160">
        <v>25170</v>
      </c>
      <c r="B2295" t="s">
        <v>17431</v>
      </c>
      <c r="C2295" t="s">
        <v>2456</v>
      </c>
      <c r="D2295">
        <v>1.8</v>
      </c>
      <c r="E2295">
        <v>0</v>
      </c>
      <c r="F2295">
        <f t="shared" si="35"/>
        <v>1.8</v>
      </c>
      <c r="I2295">
        <v>20130101</v>
      </c>
      <c r="J2295" t="s">
        <v>2475</v>
      </c>
    </row>
    <row r="2296" spans="1:12" x14ac:dyDescent="0.3">
      <c r="A2296" s="160">
        <v>25186</v>
      </c>
      <c r="B2296" t="s">
        <v>17432</v>
      </c>
      <c r="C2296" t="s">
        <v>27537</v>
      </c>
      <c r="D2296">
        <v>1.8</v>
      </c>
      <c r="E2296">
        <v>0</v>
      </c>
      <c r="F2296">
        <f t="shared" si="35"/>
        <v>1.8</v>
      </c>
      <c r="I2296">
        <v>20250101</v>
      </c>
      <c r="J2296" t="s">
        <v>2474</v>
      </c>
    </row>
    <row r="2297" spans="1:12" x14ac:dyDescent="0.3">
      <c r="A2297" s="160">
        <v>25187</v>
      </c>
      <c r="B2297" t="s">
        <v>17433</v>
      </c>
      <c r="C2297" t="s">
        <v>2456</v>
      </c>
      <c r="D2297">
        <v>1.5</v>
      </c>
      <c r="E2297">
        <v>0</v>
      </c>
      <c r="F2297">
        <f t="shared" si="35"/>
        <v>1.5</v>
      </c>
      <c r="I2297">
        <v>20230701</v>
      </c>
      <c r="J2297" t="s">
        <v>2473</v>
      </c>
    </row>
    <row r="2298" spans="1:12" x14ac:dyDescent="0.3">
      <c r="A2298" s="160">
        <v>25188</v>
      </c>
      <c r="B2298" t="s">
        <v>17434</v>
      </c>
      <c r="C2298" t="s">
        <v>2456</v>
      </c>
      <c r="D2298">
        <v>1.8</v>
      </c>
      <c r="E2298">
        <v>0</v>
      </c>
      <c r="F2298">
        <f t="shared" si="35"/>
        <v>1.8</v>
      </c>
      <c r="I2298">
        <v>20130101</v>
      </c>
      <c r="J2298" t="s">
        <v>2540</v>
      </c>
      <c r="K2298" t="s">
        <v>2548</v>
      </c>
    </row>
    <row r="2299" spans="1:12" x14ac:dyDescent="0.3">
      <c r="A2299" s="160">
        <v>25190</v>
      </c>
      <c r="B2299" t="s">
        <v>17435</v>
      </c>
      <c r="C2299" t="s">
        <v>2456</v>
      </c>
      <c r="D2299">
        <v>1.8</v>
      </c>
      <c r="E2299">
        <v>0</v>
      </c>
      <c r="F2299">
        <f t="shared" si="35"/>
        <v>1.8</v>
      </c>
      <c r="I2299">
        <v>20130101</v>
      </c>
      <c r="J2299" t="s">
        <v>2533</v>
      </c>
      <c r="K2299" t="s">
        <v>2460</v>
      </c>
      <c r="L2299" t="s">
        <v>2461</v>
      </c>
    </row>
    <row r="2300" spans="1:12" x14ac:dyDescent="0.3">
      <c r="A2300" s="160">
        <v>25191</v>
      </c>
      <c r="B2300" t="s">
        <v>17436</v>
      </c>
      <c r="C2300" t="s">
        <v>2456</v>
      </c>
      <c r="D2300">
        <v>1.5</v>
      </c>
      <c r="E2300">
        <v>0</v>
      </c>
      <c r="F2300">
        <f t="shared" si="35"/>
        <v>1.5</v>
      </c>
      <c r="I2300">
        <v>20230701</v>
      </c>
      <c r="J2300" t="s">
        <v>2475</v>
      </c>
    </row>
    <row r="2301" spans="1:12" x14ac:dyDescent="0.3">
      <c r="A2301" s="160">
        <v>25194</v>
      </c>
      <c r="B2301" t="s">
        <v>17437</v>
      </c>
      <c r="C2301" t="s">
        <v>2456</v>
      </c>
      <c r="D2301">
        <v>1.5</v>
      </c>
      <c r="E2301">
        <v>0</v>
      </c>
      <c r="F2301">
        <f t="shared" si="35"/>
        <v>1.5</v>
      </c>
      <c r="I2301">
        <v>20230701</v>
      </c>
      <c r="J2301" t="s">
        <v>2457</v>
      </c>
    </row>
    <row r="2302" spans="1:12" x14ac:dyDescent="0.3">
      <c r="A2302" s="160">
        <v>25195</v>
      </c>
      <c r="B2302" t="s">
        <v>17438</v>
      </c>
      <c r="C2302" t="s">
        <v>2463</v>
      </c>
      <c r="D2302">
        <v>1.8</v>
      </c>
      <c r="E2302">
        <v>0</v>
      </c>
      <c r="F2302">
        <f t="shared" si="35"/>
        <v>1.8</v>
      </c>
      <c r="I2302">
        <v>20090101</v>
      </c>
      <c r="J2302" t="s">
        <v>2549</v>
      </c>
    </row>
    <row r="2303" spans="1:12" x14ac:dyDescent="0.3">
      <c r="A2303" s="160">
        <v>25196</v>
      </c>
      <c r="B2303" t="s">
        <v>17439</v>
      </c>
      <c r="C2303" t="s">
        <v>2456</v>
      </c>
      <c r="D2303">
        <v>1.8</v>
      </c>
      <c r="E2303">
        <v>0</v>
      </c>
      <c r="F2303">
        <f t="shared" si="35"/>
        <v>1.8</v>
      </c>
      <c r="I2303">
        <v>20130101</v>
      </c>
      <c r="J2303" t="s">
        <v>2536</v>
      </c>
      <c r="K2303" t="s">
        <v>2469</v>
      </c>
    </row>
    <row r="2304" spans="1:12" x14ac:dyDescent="0.3">
      <c r="A2304" s="160">
        <v>25197</v>
      </c>
      <c r="B2304" t="s">
        <v>17440</v>
      </c>
      <c r="C2304" t="s">
        <v>2463</v>
      </c>
      <c r="D2304">
        <v>1.8</v>
      </c>
      <c r="E2304">
        <v>0</v>
      </c>
      <c r="F2304">
        <f t="shared" si="35"/>
        <v>1.8</v>
      </c>
      <c r="I2304">
        <v>20090101</v>
      </c>
      <c r="J2304" t="s">
        <v>2550</v>
      </c>
    </row>
    <row r="2305" spans="1:18" x14ac:dyDescent="0.3">
      <c r="A2305" s="160">
        <v>25200</v>
      </c>
      <c r="B2305" t="s">
        <v>17441</v>
      </c>
      <c r="C2305" t="s">
        <v>27537</v>
      </c>
      <c r="D2305">
        <v>1.8</v>
      </c>
      <c r="E2305">
        <v>0</v>
      </c>
      <c r="F2305">
        <f t="shared" si="35"/>
        <v>1.8</v>
      </c>
      <c r="I2305">
        <v>20250101</v>
      </c>
      <c r="J2305" t="s">
        <v>2474</v>
      </c>
    </row>
    <row r="2306" spans="1:18" x14ac:dyDescent="0.3">
      <c r="A2306" s="160">
        <v>25207</v>
      </c>
      <c r="B2306" t="s">
        <v>17442</v>
      </c>
      <c r="C2306" t="s">
        <v>2456</v>
      </c>
      <c r="D2306">
        <v>1.5</v>
      </c>
      <c r="E2306">
        <v>0</v>
      </c>
      <c r="F2306">
        <f t="shared" si="35"/>
        <v>1.5</v>
      </c>
      <c r="I2306">
        <v>20230701</v>
      </c>
      <c r="J2306" t="s">
        <v>2462</v>
      </c>
    </row>
    <row r="2307" spans="1:18" x14ac:dyDescent="0.3">
      <c r="A2307" s="160">
        <v>25210</v>
      </c>
      <c r="B2307" t="s">
        <v>17443</v>
      </c>
      <c r="C2307" t="s">
        <v>2456</v>
      </c>
      <c r="D2307">
        <v>1.5</v>
      </c>
      <c r="E2307">
        <v>0</v>
      </c>
      <c r="F2307">
        <f t="shared" si="35"/>
        <v>1.5</v>
      </c>
      <c r="I2307">
        <v>20230701</v>
      </c>
      <c r="J2307" t="s">
        <v>2462</v>
      </c>
    </row>
    <row r="2308" spans="1:18" x14ac:dyDescent="0.3">
      <c r="A2308" s="160">
        <v>25212</v>
      </c>
      <c r="B2308" t="s">
        <v>17444</v>
      </c>
      <c r="C2308" t="s">
        <v>2463</v>
      </c>
      <c r="D2308">
        <v>1.8</v>
      </c>
      <c r="E2308">
        <v>0</v>
      </c>
      <c r="F2308">
        <f t="shared" si="35"/>
        <v>1.8</v>
      </c>
      <c r="I2308">
        <v>20090101</v>
      </c>
      <c r="J2308" t="s">
        <v>2480</v>
      </c>
      <c r="K2308" t="s">
        <v>2485</v>
      </c>
      <c r="L2308" t="s">
        <v>2486</v>
      </c>
      <c r="M2308" t="s">
        <v>2493</v>
      </c>
      <c r="N2308" t="s">
        <v>2514</v>
      </c>
      <c r="O2308" t="s">
        <v>2543</v>
      </c>
      <c r="P2308" t="s">
        <v>2544</v>
      </c>
      <c r="Q2308" t="s">
        <v>2516</v>
      </c>
      <c r="R2308" t="s">
        <v>2551</v>
      </c>
    </row>
    <row r="2309" spans="1:18" x14ac:dyDescent="0.3">
      <c r="A2309" s="160">
        <v>25214</v>
      </c>
      <c r="B2309" t="s">
        <v>17445</v>
      </c>
      <c r="C2309" t="s">
        <v>2456</v>
      </c>
      <c r="D2309">
        <v>1.5</v>
      </c>
      <c r="E2309">
        <v>0</v>
      </c>
      <c r="F2309">
        <f t="shared" si="35"/>
        <v>1.5</v>
      </c>
      <c r="I2309">
        <v>20230701</v>
      </c>
      <c r="J2309" t="s">
        <v>2473</v>
      </c>
    </row>
    <row r="2310" spans="1:18" x14ac:dyDescent="0.3">
      <c r="A2310" s="160">
        <v>25216</v>
      </c>
      <c r="B2310" t="s">
        <v>17446</v>
      </c>
      <c r="C2310" t="s">
        <v>2456</v>
      </c>
      <c r="D2310">
        <v>1.5</v>
      </c>
      <c r="E2310">
        <v>0</v>
      </c>
      <c r="F2310">
        <f t="shared" si="35"/>
        <v>1.5</v>
      </c>
      <c r="I2310">
        <v>20230701</v>
      </c>
      <c r="J2310" t="s">
        <v>2473</v>
      </c>
    </row>
    <row r="2311" spans="1:18" x14ac:dyDescent="0.3">
      <c r="A2311" s="160">
        <v>25224</v>
      </c>
      <c r="B2311" t="s">
        <v>17447</v>
      </c>
      <c r="C2311" t="s">
        <v>2456</v>
      </c>
      <c r="D2311">
        <v>1.5</v>
      </c>
      <c r="E2311">
        <v>0</v>
      </c>
      <c r="F2311">
        <f t="shared" ref="F2311:F2374" si="36">D2311+E2311</f>
        <v>1.5</v>
      </c>
      <c r="I2311">
        <v>20230701</v>
      </c>
      <c r="J2311" t="s">
        <v>2547</v>
      </c>
    </row>
    <row r="2312" spans="1:18" x14ac:dyDescent="0.3">
      <c r="A2312" s="160">
        <v>25228</v>
      </c>
      <c r="B2312" t="s">
        <v>17448</v>
      </c>
      <c r="C2312" t="s">
        <v>2456</v>
      </c>
      <c r="D2312">
        <v>1.8</v>
      </c>
      <c r="E2312">
        <v>0</v>
      </c>
      <c r="F2312">
        <f t="shared" si="36"/>
        <v>1.8</v>
      </c>
      <c r="I2312">
        <v>20130101</v>
      </c>
      <c r="J2312" t="s">
        <v>2552</v>
      </c>
      <c r="K2312" t="s">
        <v>2460</v>
      </c>
      <c r="L2312" t="s">
        <v>2539</v>
      </c>
    </row>
    <row r="2313" spans="1:18" x14ac:dyDescent="0.3">
      <c r="A2313" s="160">
        <v>25230</v>
      </c>
      <c r="B2313" t="s">
        <v>17449</v>
      </c>
      <c r="C2313" t="s">
        <v>2456</v>
      </c>
      <c r="D2313">
        <v>1.8</v>
      </c>
      <c r="E2313">
        <v>0</v>
      </c>
      <c r="F2313">
        <f t="shared" si="36"/>
        <v>1.8</v>
      </c>
      <c r="I2313">
        <v>20130101</v>
      </c>
      <c r="J2313" t="s">
        <v>2465</v>
      </c>
      <c r="K2313" t="s">
        <v>2469</v>
      </c>
      <c r="L2313" t="s">
        <v>2472</v>
      </c>
      <c r="M2313" t="s">
        <v>2553</v>
      </c>
    </row>
    <row r="2314" spans="1:18" x14ac:dyDescent="0.3">
      <c r="A2314" s="160">
        <v>25237</v>
      </c>
      <c r="B2314" t="s">
        <v>17450</v>
      </c>
      <c r="C2314" t="s">
        <v>2456</v>
      </c>
      <c r="D2314">
        <v>1.8</v>
      </c>
      <c r="E2314">
        <v>0</v>
      </c>
      <c r="F2314">
        <f t="shared" si="36"/>
        <v>1.8</v>
      </c>
      <c r="I2314">
        <v>20130101</v>
      </c>
      <c r="J2314" t="s">
        <v>2460</v>
      </c>
      <c r="K2314" t="s">
        <v>2539</v>
      </c>
      <c r="L2314" t="s">
        <v>2461</v>
      </c>
    </row>
    <row r="2315" spans="1:18" x14ac:dyDescent="0.3">
      <c r="A2315" s="160">
        <v>25239</v>
      </c>
      <c r="B2315" t="s">
        <v>17451</v>
      </c>
      <c r="C2315" t="s">
        <v>2456</v>
      </c>
      <c r="D2315">
        <v>1.5</v>
      </c>
      <c r="E2315">
        <v>0</v>
      </c>
      <c r="F2315">
        <f t="shared" si="36"/>
        <v>1.5</v>
      </c>
      <c r="I2315">
        <v>20230701</v>
      </c>
      <c r="J2315" t="s">
        <v>2554</v>
      </c>
    </row>
    <row r="2316" spans="1:18" x14ac:dyDescent="0.3">
      <c r="A2316" s="160">
        <v>25245</v>
      </c>
      <c r="B2316" t="s">
        <v>17452</v>
      </c>
      <c r="C2316" t="s">
        <v>2463</v>
      </c>
      <c r="D2316">
        <v>1.8</v>
      </c>
      <c r="E2316">
        <v>0</v>
      </c>
      <c r="F2316">
        <f t="shared" si="36"/>
        <v>1.8</v>
      </c>
      <c r="I2316">
        <v>20090101</v>
      </c>
      <c r="J2316" t="s">
        <v>2555</v>
      </c>
    </row>
    <row r="2317" spans="1:18" x14ac:dyDescent="0.3">
      <c r="A2317" s="160">
        <v>25258</v>
      </c>
      <c r="B2317" t="s">
        <v>17453</v>
      </c>
      <c r="C2317" t="s">
        <v>2463</v>
      </c>
      <c r="D2317">
        <v>1.8</v>
      </c>
      <c r="E2317">
        <v>0</v>
      </c>
      <c r="F2317">
        <f t="shared" si="36"/>
        <v>1.8</v>
      </c>
      <c r="I2317">
        <v>20090101</v>
      </c>
      <c r="J2317" t="s">
        <v>2545</v>
      </c>
    </row>
    <row r="2318" spans="1:18" x14ac:dyDescent="0.3">
      <c r="A2318" s="160">
        <v>25265</v>
      </c>
      <c r="B2318" t="s">
        <v>17454</v>
      </c>
      <c r="C2318" t="s">
        <v>27537</v>
      </c>
      <c r="D2318">
        <v>1.8</v>
      </c>
      <c r="E2318">
        <v>0</v>
      </c>
      <c r="F2318">
        <f t="shared" si="36"/>
        <v>1.8</v>
      </c>
      <c r="I2318">
        <v>20250101</v>
      </c>
      <c r="J2318" t="s">
        <v>2544</v>
      </c>
      <c r="K2318" t="s">
        <v>2474</v>
      </c>
    </row>
    <row r="2319" spans="1:18" x14ac:dyDescent="0.3">
      <c r="A2319" s="160">
        <v>25267</v>
      </c>
      <c r="B2319" t="s">
        <v>17455</v>
      </c>
      <c r="C2319" t="s">
        <v>2463</v>
      </c>
      <c r="D2319">
        <v>1.8</v>
      </c>
      <c r="E2319">
        <v>0</v>
      </c>
      <c r="F2319">
        <f t="shared" si="36"/>
        <v>1.8</v>
      </c>
      <c r="I2319">
        <v>20090101</v>
      </c>
      <c r="J2319" t="s">
        <v>2555</v>
      </c>
    </row>
    <row r="2320" spans="1:18" x14ac:dyDescent="0.3">
      <c r="A2320" s="160">
        <v>25274</v>
      </c>
      <c r="B2320" t="s">
        <v>17456</v>
      </c>
      <c r="C2320" t="s">
        <v>2456</v>
      </c>
      <c r="D2320">
        <v>1.5</v>
      </c>
      <c r="E2320">
        <v>0</v>
      </c>
      <c r="F2320">
        <f t="shared" si="36"/>
        <v>1.5</v>
      </c>
      <c r="I2320">
        <v>20230701</v>
      </c>
      <c r="J2320" t="s">
        <v>2457</v>
      </c>
    </row>
    <row r="2321" spans="1:14" x14ac:dyDescent="0.3">
      <c r="A2321" s="160">
        <v>25281</v>
      </c>
      <c r="B2321" t="s">
        <v>17457</v>
      </c>
      <c r="C2321" t="s">
        <v>2456</v>
      </c>
      <c r="D2321">
        <v>1.5</v>
      </c>
      <c r="E2321">
        <v>0</v>
      </c>
      <c r="F2321">
        <f t="shared" si="36"/>
        <v>1.5</v>
      </c>
      <c r="I2321">
        <v>20230701</v>
      </c>
      <c r="J2321" t="s">
        <v>2473</v>
      </c>
    </row>
    <row r="2322" spans="1:14" x14ac:dyDescent="0.3">
      <c r="A2322" s="160">
        <v>25284</v>
      </c>
      <c r="B2322" t="s">
        <v>17458</v>
      </c>
      <c r="C2322" t="s">
        <v>2456</v>
      </c>
      <c r="D2322">
        <v>1.8</v>
      </c>
      <c r="E2322">
        <v>0</v>
      </c>
      <c r="F2322">
        <f t="shared" si="36"/>
        <v>1.8</v>
      </c>
      <c r="I2322">
        <v>20130101</v>
      </c>
      <c r="J2322" t="s">
        <v>2532</v>
      </c>
      <c r="K2322" t="s">
        <v>2556</v>
      </c>
    </row>
    <row r="2323" spans="1:14" x14ac:dyDescent="0.3">
      <c r="A2323" s="160">
        <v>25287</v>
      </c>
      <c r="B2323" t="s">
        <v>17459</v>
      </c>
      <c r="C2323" t="s">
        <v>2463</v>
      </c>
      <c r="D2323">
        <v>1.8</v>
      </c>
      <c r="E2323">
        <v>0</v>
      </c>
      <c r="F2323">
        <f t="shared" si="36"/>
        <v>1.8</v>
      </c>
      <c r="I2323">
        <v>20090101</v>
      </c>
      <c r="J2323" t="s">
        <v>2537</v>
      </c>
    </row>
    <row r="2324" spans="1:14" x14ac:dyDescent="0.3">
      <c r="A2324" s="160">
        <v>25297</v>
      </c>
      <c r="B2324" t="s">
        <v>17460</v>
      </c>
      <c r="C2324" t="s">
        <v>2463</v>
      </c>
      <c r="D2324">
        <v>1.8</v>
      </c>
      <c r="E2324">
        <v>0</v>
      </c>
      <c r="F2324">
        <f t="shared" si="36"/>
        <v>1.8</v>
      </c>
      <c r="I2324">
        <v>20090101</v>
      </c>
      <c r="J2324" t="s">
        <v>2546</v>
      </c>
    </row>
    <row r="2325" spans="1:14" x14ac:dyDescent="0.3">
      <c r="A2325" s="160">
        <v>25304</v>
      </c>
      <c r="B2325" t="s">
        <v>17461</v>
      </c>
      <c r="C2325" t="s">
        <v>2456</v>
      </c>
      <c r="D2325">
        <v>1.8</v>
      </c>
      <c r="E2325">
        <v>0</v>
      </c>
      <c r="F2325">
        <f t="shared" si="36"/>
        <v>1.8</v>
      </c>
      <c r="I2325">
        <v>20130101</v>
      </c>
      <c r="J2325" t="s">
        <v>2457</v>
      </c>
      <c r="K2325" t="s">
        <v>2553</v>
      </c>
    </row>
    <row r="2326" spans="1:14" x14ac:dyDescent="0.3">
      <c r="A2326" s="160">
        <v>25316</v>
      </c>
      <c r="B2326" t="s">
        <v>17462</v>
      </c>
      <c r="C2326" t="s">
        <v>2456</v>
      </c>
      <c r="D2326">
        <v>1.5</v>
      </c>
      <c r="E2326">
        <v>0</v>
      </c>
      <c r="F2326">
        <f t="shared" si="36"/>
        <v>1.5</v>
      </c>
      <c r="I2326">
        <v>20230701</v>
      </c>
      <c r="J2326" t="s">
        <v>2462</v>
      </c>
    </row>
    <row r="2327" spans="1:14" x14ac:dyDescent="0.3">
      <c r="A2327" s="160">
        <v>25322</v>
      </c>
      <c r="B2327" t="s">
        <v>17463</v>
      </c>
      <c r="C2327" t="s">
        <v>2458</v>
      </c>
      <c r="D2327">
        <v>0.6</v>
      </c>
      <c r="E2327">
        <v>0</v>
      </c>
      <c r="F2327">
        <f t="shared" si="36"/>
        <v>0.6</v>
      </c>
      <c r="I2327">
        <v>20230701</v>
      </c>
      <c r="J2327" t="s">
        <v>2462</v>
      </c>
    </row>
    <row r="2328" spans="1:14" x14ac:dyDescent="0.3">
      <c r="A2328" s="160">
        <v>25328</v>
      </c>
      <c r="B2328" t="s">
        <v>17464</v>
      </c>
      <c r="C2328" t="s">
        <v>2463</v>
      </c>
      <c r="D2328">
        <v>1.8</v>
      </c>
      <c r="E2328">
        <v>0</v>
      </c>
      <c r="F2328">
        <f t="shared" si="36"/>
        <v>1.8</v>
      </c>
      <c r="I2328">
        <v>20090101</v>
      </c>
      <c r="J2328" t="s">
        <v>2467</v>
      </c>
    </row>
    <row r="2329" spans="1:14" x14ac:dyDescent="0.3">
      <c r="A2329" s="160">
        <v>25345</v>
      </c>
      <c r="B2329" t="s">
        <v>17465</v>
      </c>
      <c r="C2329" t="s">
        <v>2456</v>
      </c>
      <c r="D2329">
        <v>1.5</v>
      </c>
      <c r="E2329">
        <v>0</v>
      </c>
      <c r="F2329">
        <f t="shared" si="36"/>
        <v>1.5</v>
      </c>
      <c r="I2329">
        <v>20230701</v>
      </c>
      <c r="J2329" t="s">
        <v>2547</v>
      </c>
    </row>
    <row r="2330" spans="1:14" x14ac:dyDescent="0.3">
      <c r="A2330" s="160">
        <v>25350</v>
      </c>
      <c r="B2330" t="s">
        <v>17466</v>
      </c>
      <c r="C2330" t="s">
        <v>2456</v>
      </c>
      <c r="D2330">
        <v>1.5</v>
      </c>
      <c r="E2330">
        <v>0</v>
      </c>
      <c r="F2330">
        <f t="shared" si="36"/>
        <v>1.5</v>
      </c>
      <c r="I2330">
        <v>20230701</v>
      </c>
      <c r="J2330" t="s">
        <v>2547</v>
      </c>
    </row>
    <row r="2331" spans="1:14" x14ac:dyDescent="0.3">
      <c r="A2331" s="160">
        <v>25364</v>
      </c>
      <c r="B2331" t="s">
        <v>17467</v>
      </c>
      <c r="C2331" t="s">
        <v>2463</v>
      </c>
      <c r="D2331">
        <v>1.8</v>
      </c>
      <c r="E2331">
        <v>0</v>
      </c>
      <c r="F2331">
        <f t="shared" si="36"/>
        <v>1.8</v>
      </c>
      <c r="I2331">
        <v>20090101</v>
      </c>
      <c r="J2331" t="s">
        <v>2546</v>
      </c>
    </row>
    <row r="2332" spans="1:14" x14ac:dyDescent="0.3">
      <c r="A2332" s="160">
        <v>25367</v>
      </c>
      <c r="B2332" t="s">
        <v>17468</v>
      </c>
      <c r="C2332" t="s">
        <v>2456</v>
      </c>
      <c r="D2332">
        <v>1.8</v>
      </c>
      <c r="E2332">
        <v>0</v>
      </c>
      <c r="F2332">
        <f t="shared" si="36"/>
        <v>1.8</v>
      </c>
      <c r="I2332">
        <v>20130101</v>
      </c>
      <c r="J2332" t="s">
        <v>2557</v>
      </c>
      <c r="K2332" t="s">
        <v>2469</v>
      </c>
      <c r="L2332" t="s">
        <v>2553</v>
      </c>
      <c r="M2332" t="s">
        <v>2558</v>
      </c>
      <c r="N2332" t="s">
        <v>2559</v>
      </c>
    </row>
    <row r="2333" spans="1:14" x14ac:dyDescent="0.3">
      <c r="A2333" s="160">
        <v>25368</v>
      </c>
      <c r="B2333" t="s">
        <v>17469</v>
      </c>
      <c r="C2333" t="s">
        <v>2463</v>
      </c>
      <c r="D2333">
        <v>1.8</v>
      </c>
      <c r="E2333">
        <v>0</v>
      </c>
      <c r="F2333">
        <f t="shared" si="36"/>
        <v>1.8</v>
      </c>
      <c r="I2333">
        <v>20090101</v>
      </c>
      <c r="J2333" t="s">
        <v>2538</v>
      </c>
    </row>
    <row r="2334" spans="1:14" x14ac:dyDescent="0.3">
      <c r="A2334" s="160">
        <v>25370</v>
      </c>
      <c r="B2334" t="s">
        <v>17470</v>
      </c>
      <c r="C2334" t="s">
        <v>2456</v>
      </c>
      <c r="D2334">
        <v>1.8</v>
      </c>
      <c r="E2334">
        <v>0</v>
      </c>
      <c r="F2334">
        <f t="shared" si="36"/>
        <v>1.8</v>
      </c>
      <c r="I2334">
        <v>20130101</v>
      </c>
      <c r="J2334" t="s">
        <v>2560</v>
      </c>
      <c r="K2334" t="s">
        <v>2561</v>
      </c>
    </row>
    <row r="2335" spans="1:14" x14ac:dyDescent="0.3">
      <c r="A2335" s="160">
        <v>25371</v>
      </c>
      <c r="B2335" t="s">
        <v>17471</v>
      </c>
      <c r="C2335" t="s">
        <v>2463</v>
      </c>
      <c r="D2335">
        <v>1.8</v>
      </c>
      <c r="E2335">
        <v>0</v>
      </c>
      <c r="F2335">
        <f t="shared" si="36"/>
        <v>1.8</v>
      </c>
      <c r="I2335">
        <v>20090101</v>
      </c>
      <c r="J2335" t="s">
        <v>2468</v>
      </c>
    </row>
    <row r="2336" spans="1:14" x14ac:dyDescent="0.3">
      <c r="A2336" s="160">
        <v>25376</v>
      </c>
      <c r="B2336" t="s">
        <v>17472</v>
      </c>
      <c r="C2336" t="s">
        <v>27537</v>
      </c>
      <c r="D2336">
        <v>1.8</v>
      </c>
      <c r="E2336">
        <v>0</v>
      </c>
      <c r="F2336">
        <f t="shared" si="36"/>
        <v>1.8</v>
      </c>
      <c r="I2336">
        <v>20250101</v>
      </c>
      <c r="J2336" t="s">
        <v>2474</v>
      </c>
    </row>
    <row r="2337" spans="1:25" x14ac:dyDescent="0.3">
      <c r="A2337" s="160">
        <v>25378</v>
      </c>
      <c r="B2337" t="s">
        <v>17473</v>
      </c>
      <c r="C2337" t="s">
        <v>2456</v>
      </c>
      <c r="D2337">
        <v>1.5</v>
      </c>
      <c r="E2337">
        <v>0</v>
      </c>
      <c r="F2337">
        <f t="shared" si="36"/>
        <v>1.5</v>
      </c>
      <c r="I2337">
        <v>20230701</v>
      </c>
      <c r="J2337" t="s">
        <v>2457</v>
      </c>
    </row>
    <row r="2338" spans="1:25" x14ac:dyDescent="0.3">
      <c r="A2338" s="160">
        <v>25381</v>
      </c>
      <c r="B2338" t="s">
        <v>17474</v>
      </c>
      <c r="C2338" t="s">
        <v>2463</v>
      </c>
      <c r="D2338">
        <v>1.8</v>
      </c>
      <c r="E2338">
        <v>0</v>
      </c>
      <c r="F2338">
        <f t="shared" si="36"/>
        <v>1.8</v>
      </c>
      <c r="I2338">
        <v>20090101</v>
      </c>
      <c r="J2338" t="s">
        <v>2543</v>
      </c>
      <c r="K2338" t="s">
        <v>2544</v>
      </c>
      <c r="L2338" t="s">
        <v>2516</v>
      </c>
      <c r="M2338" t="s">
        <v>2551</v>
      </c>
    </row>
    <row r="2339" spans="1:25" x14ac:dyDescent="0.3">
      <c r="A2339" s="160">
        <v>25388</v>
      </c>
      <c r="B2339" t="s">
        <v>17475</v>
      </c>
      <c r="C2339" t="s">
        <v>2456</v>
      </c>
      <c r="D2339">
        <v>1.8</v>
      </c>
      <c r="E2339">
        <v>0</v>
      </c>
      <c r="F2339">
        <f t="shared" si="36"/>
        <v>1.8</v>
      </c>
      <c r="I2339">
        <v>20130101</v>
      </c>
      <c r="J2339" t="s">
        <v>2532</v>
      </c>
      <c r="K2339" t="s">
        <v>2562</v>
      </c>
      <c r="L2339" t="s">
        <v>2563</v>
      </c>
      <c r="M2339" t="s">
        <v>2564</v>
      </c>
      <c r="N2339" t="s">
        <v>2565</v>
      </c>
      <c r="O2339" t="s">
        <v>2533</v>
      </c>
      <c r="P2339" t="s">
        <v>2566</v>
      </c>
      <c r="Q2339" t="s">
        <v>2556</v>
      </c>
      <c r="R2339" t="s">
        <v>2534</v>
      </c>
      <c r="S2339" t="s">
        <v>2567</v>
      </c>
      <c r="T2339" t="s">
        <v>2568</v>
      </c>
      <c r="U2339" t="s">
        <v>2569</v>
      </c>
      <c r="V2339" t="s">
        <v>2570</v>
      </c>
      <c r="W2339" t="s">
        <v>2571</v>
      </c>
      <c r="X2339" t="s">
        <v>2572</v>
      </c>
      <c r="Y2339" t="s">
        <v>2573</v>
      </c>
    </row>
    <row r="2340" spans="1:25" x14ac:dyDescent="0.3">
      <c r="A2340" s="160">
        <v>25394</v>
      </c>
      <c r="B2340" t="s">
        <v>17476</v>
      </c>
      <c r="C2340" t="s">
        <v>2456</v>
      </c>
      <c r="D2340">
        <v>1.5</v>
      </c>
      <c r="E2340">
        <v>0</v>
      </c>
      <c r="F2340">
        <f t="shared" si="36"/>
        <v>1.5</v>
      </c>
      <c r="I2340">
        <v>20230701</v>
      </c>
      <c r="J2340" t="s">
        <v>2547</v>
      </c>
    </row>
    <row r="2341" spans="1:25" x14ac:dyDescent="0.3">
      <c r="A2341" s="160">
        <v>25395</v>
      </c>
      <c r="B2341" t="s">
        <v>17477</v>
      </c>
      <c r="C2341" t="s">
        <v>2463</v>
      </c>
      <c r="D2341">
        <v>1.8</v>
      </c>
      <c r="E2341">
        <v>0</v>
      </c>
      <c r="F2341">
        <f t="shared" si="36"/>
        <v>1.8</v>
      </c>
      <c r="I2341">
        <v>20090101</v>
      </c>
      <c r="J2341" t="s">
        <v>2555</v>
      </c>
    </row>
    <row r="2342" spans="1:25" x14ac:dyDescent="0.3">
      <c r="A2342" s="160">
        <v>25397</v>
      </c>
      <c r="B2342" t="s">
        <v>17478</v>
      </c>
      <c r="C2342" t="s">
        <v>2463</v>
      </c>
      <c r="D2342">
        <v>1.8</v>
      </c>
      <c r="E2342">
        <v>0</v>
      </c>
      <c r="F2342">
        <f t="shared" si="36"/>
        <v>1.8</v>
      </c>
      <c r="I2342">
        <v>20090101</v>
      </c>
      <c r="J2342" t="s">
        <v>2537</v>
      </c>
    </row>
    <row r="2343" spans="1:25" x14ac:dyDescent="0.3">
      <c r="A2343" s="160">
        <v>25410</v>
      </c>
      <c r="B2343" t="s">
        <v>17479</v>
      </c>
      <c r="C2343" t="s">
        <v>2463</v>
      </c>
      <c r="D2343">
        <v>1.8</v>
      </c>
      <c r="E2343">
        <v>0</v>
      </c>
      <c r="F2343">
        <f t="shared" si="36"/>
        <v>1.8</v>
      </c>
      <c r="I2343">
        <v>20090101</v>
      </c>
      <c r="J2343" t="s">
        <v>2519</v>
      </c>
      <c r="K2343" t="s">
        <v>2555</v>
      </c>
    </row>
    <row r="2344" spans="1:25" x14ac:dyDescent="0.3">
      <c r="A2344" s="160">
        <v>25418</v>
      </c>
      <c r="B2344" t="s">
        <v>17480</v>
      </c>
      <c r="C2344" t="s">
        <v>2463</v>
      </c>
      <c r="D2344">
        <v>1.8</v>
      </c>
      <c r="E2344">
        <v>0</v>
      </c>
      <c r="F2344">
        <f t="shared" si="36"/>
        <v>1.8</v>
      </c>
      <c r="I2344">
        <v>20090101</v>
      </c>
      <c r="J2344" t="s">
        <v>2574</v>
      </c>
    </row>
    <row r="2345" spans="1:25" x14ac:dyDescent="0.3">
      <c r="A2345" s="160">
        <v>25422</v>
      </c>
      <c r="B2345" t="s">
        <v>17481</v>
      </c>
      <c r="C2345" t="s">
        <v>2456</v>
      </c>
      <c r="D2345">
        <v>1.5</v>
      </c>
      <c r="E2345">
        <v>0</v>
      </c>
      <c r="F2345">
        <f t="shared" si="36"/>
        <v>1.5</v>
      </c>
      <c r="I2345">
        <v>20230701</v>
      </c>
      <c r="J2345" t="s">
        <v>2473</v>
      </c>
    </row>
    <row r="2346" spans="1:25" x14ac:dyDescent="0.3">
      <c r="A2346" s="160">
        <v>25426</v>
      </c>
      <c r="B2346" t="s">
        <v>17482</v>
      </c>
      <c r="C2346" t="s">
        <v>2456</v>
      </c>
      <c r="D2346">
        <v>1.5</v>
      </c>
      <c r="E2346">
        <v>0</v>
      </c>
      <c r="F2346">
        <f t="shared" si="36"/>
        <v>1.5</v>
      </c>
      <c r="I2346">
        <v>20230701</v>
      </c>
      <c r="J2346" t="s">
        <v>2554</v>
      </c>
    </row>
    <row r="2347" spans="1:25" x14ac:dyDescent="0.3">
      <c r="A2347" s="160">
        <v>25427</v>
      </c>
      <c r="B2347" t="s">
        <v>17483</v>
      </c>
      <c r="C2347" t="s">
        <v>2463</v>
      </c>
      <c r="D2347">
        <v>1.8</v>
      </c>
      <c r="E2347">
        <v>0</v>
      </c>
      <c r="F2347">
        <f t="shared" si="36"/>
        <v>1.8</v>
      </c>
      <c r="I2347">
        <v>20090101</v>
      </c>
      <c r="J2347" t="s">
        <v>2468</v>
      </c>
    </row>
    <row r="2348" spans="1:25" x14ac:dyDescent="0.3">
      <c r="A2348" s="160">
        <v>25428</v>
      </c>
      <c r="B2348" t="s">
        <v>17484</v>
      </c>
      <c r="C2348" t="s">
        <v>2456</v>
      </c>
      <c r="D2348">
        <v>1.8</v>
      </c>
      <c r="E2348">
        <v>0</v>
      </c>
      <c r="F2348">
        <f t="shared" si="36"/>
        <v>1.8</v>
      </c>
      <c r="I2348">
        <v>20130101</v>
      </c>
      <c r="J2348" t="s">
        <v>2540</v>
      </c>
      <c r="K2348" t="s">
        <v>2541</v>
      </c>
    </row>
    <row r="2349" spans="1:25" x14ac:dyDescent="0.3">
      <c r="A2349" s="160">
        <v>25429</v>
      </c>
      <c r="B2349" t="s">
        <v>17485</v>
      </c>
      <c r="C2349" t="s">
        <v>2463</v>
      </c>
      <c r="D2349">
        <v>1.8</v>
      </c>
      <c r="E2349">
        <v>0</v>
      </c>
      <c r="F2349">
        <f t="shared" si="36"/>
        <v>1.8</v>
      </c>
      <c r="I2349">
        <v>20090101</v>
      </c>
      <c r="J2349" t="s">
        <v>2464</v>
      </c>
    </row>
    <row r="2350" spans="1:25" x14ac:dyDescent="0.3">
      <c r="A2350" s="160">
        <v>25438</v>
      </c>
      <c r="B2350" t="s">
        <v>17486</v>
      </c>
      <c r="C2350" t="s">
        <v>2463</v>
      </c>
      <c r="D2350">
        <v>1.8</v>
      </c>
      <c r="E2350">
        <v>0</v>
      </c>
      <c r="F2350">
        <f t="shared" si="36"/>
        <v>1.8</v>
      </c>
      <c r="I2350">
        <v>20090101</v>
      </c>
      <c r="J2350" t="s">
        <v>2489</v>
      </c>
      <c r="K2350" t="s">
        <v>2537</v>
      </c>
      <c r="L2350" t="s">
        <v>2549</v>
      </c>
    </row>
    <row r="2351" spans="1:25" x14ac:dyDescent="0.3">
      <c r="A2351" s="160">
        <v>25444</v>
      </c>
      <c r="B2351" t="s">
        <v>17487</v>
      </c>
      <c r="C2351" t="s">
        <v>27537</v>
      </c>
      <c r="D2351">
        <v>1.8</v>
      </c>
      <c r="E2351">
        <v>0</v>
      </c>
      <c r="F2351">
        <f t="shared" si="36"/>
        <v>1.8</v>
      </c>
      <c r="I2351">
        <v>20250101</v>
      </c>
      <c r="J2351" t="s">
        <v>2474</v>
      </c>
    </row>
    <row r="2352" spans="1:25" x14ac:dyDescent="0.3">
      <c r="A2352" s="160">
        <v>25448</v>
      </c>
      <c r="B2352" t="s">
        <v>17488</v>
      </c>
      <c r="C2352" t="s">
        <v>2463</v>
      </c>
      <c r="D2352">
        <v>1.8</v>
      </c>
      <c r="E2352">
        <v>0</v>
      </c>
      <c r="F2352">
        <f t="shared" si="36"/>
        <v>1.8</v>
      </c>
      <c r="I2352">
        <v>20090101</v>
      </c>
      <c r="J2352" t="s">
        <v>2468</v>
      </c>
    </row>
    <row r="2353" spans="1:13" x14ac:dyDescent="0.3">
      <c r="A2353" s="160">
        <v>25452</v>
      </c>
      <c r="B2353" t="s">
        <v>17489</v>
      </c>
      <c r="C2353" t="s">
        <v>2456</v>
      </c>
      <c r="D2353">
        <v>1.5</v>
      </c>
      <c r="E2353">
        <v>0</v>
      </c>
      <c r="F2353">
        <f t="shared" si="36"/>
        <v>1.5</v>
      </c>
      <c r="I2353">
        <v>20230701</v>
      </c>
      <c r="J2353" t="s">
        <v>2457</v>
      </c>
    </row>
    <row r="2354" spans="1:13" x14ac:dyDescent="0.3">
      <c r="A2354" s="160">
        <v>25454</v>
      </c>
      <c r="B2354" t="s">
        <v>17490</v>
      </c>
      <c r="C2354" t="s">
        <v>2463</v>
      </c>
      <c r="D2354">
        <v>1.8</v>
      </c>
      <c r="E2354">
        <v>0</v>
      </c>
      <c r="F2354">
        <f t="shared" si="36"/>
        <v>1.8</v>
      </c>
      <c r="I2354">
        <v>20090101</v>
      </c>
      <c r="J2354" t="s">
        <v>2543</v>
      </c>
      <c r="K2354" t="s">
        <v>2544</v>
      </c>
      <c r="L2354" t="s">
        <v>2516</v>
      </c>
      <c r="M2354" t="s">
        <v>2551</v>
      </c>
    </row>
    <row r="2355" spans="1:13" x14ac:dyDescent="0.3">
      <c r="A2355" s="160">
        <v>25463</v>
      </c>
      <c r="B2355" t="s">
        <v>17491</v>
      </c>
      <c r="C2355" t="s">
        <v>2456</v>
      </c>
      <c r="D2355">
        <v>1.5</v>
      </c>
      <c r="E2355">
        <v>0</v>
      </c>
      <c r="F2355">
        <f t="shared" si="36"/>
        <v>1.5</v>
      </c>
      <c r="I2355">
        <v>20230701</v>
      </c>
      <c r="J2355" t="s">
        <v>2473</v>
      </c>
      <c r="K2355" t="s">
        <v>2553</v>
      </c>
    </row>
    <row r="2356" spans="1:13" x14ac:dyDescent="0.3">
      <c r="A2356" s="160">
        <v>25466</v>
      </c>
      <c r="B2356" t="s">
        <v>17492</v>
      </c>
      <c r="C2356" t="s">
        <v>27537</v>
      </c>
      <c r="D2356">
        <v>1.8</v>
      </c>
      <c r="E2356">
        <v>0</v>
      </c>
      <c r="F2356">
        <f t="shared" si="36"/>
        <v>1.8</v>
      </c>
      <c r="I2356">
        <v>20250101</v>
      </c>
      <c r="J2356" t="s">
        <v>2549</v>
      </c>
    </row>
    <row r="2357" spans="1:13" x14ac:dyDescent="0.3">
      <c r="A2357" s="160">
        <v>25467</v>
      </c>
      <c r="B2357" t="s">
        <v>17493</v>
      </c>
      <c r="C2357" t="s">
        <v>2463</v>
      </c>
      <c r="D2357">
        <v>1.8</v>
      </c>
      <c r="E2357">
        <v>0</v>
      </c>
      <c r="F2357">
        <f t="shared" si="36"/>
        <v>1.8</v>
      </c>
      <c r="I2357">
        <v>20090101</v>
      </c>
      <c r="J2357" t="s">
        <v>2480</v>
      </c>
      <c r="K2357" t="s">
        <v>2575</v>
      </c>
    </row>
    <row r="2358" spans="1:13" x14ac:dyDescent="0.3">
      <c r="A2358" s="160">
        <v>25469</v>
      </c>
      <c r="B2358" t="s">
        <v>17494</v>
      </c>
      <c r="C2358" t="s">
        <v>2456</v>
      </c>
      <c r="D2358">
        <v>1.5</v>
      </c>
      <c r="E2358">
        <v>0</v>
      </c>
      <c r="F2358">
        <f t="shared" si="36"/>
        <v>1.5</v>
      </c>
      <c r="I2358">
        <v>20230701</v>
      </c>
      <c r="J2358" t="s">
        <v>2462</v>
      </c>
    </row>
    <row r="2359" spans="1:13" x14ac:dyDescent="0.3">
      <c r="A2359" s="160">
        <v>25473</v>
      </c>
      <c r="B2359" t="s">
        <v>17495</v>
      </c>
      <c r="C2359" t="s">
        <v>2463</v>
      </c>
      <c r="D2359">
        <v>1.8</v>
      </c>
      <c r="E2359">
        <v>0</v>
      </c>
      <c r="F2359">
        <f t="shared" si="36"/>
        <v>1.8</v>
      </c>
      <c r="I2359">
        <v>20090101</v>
      </c>
      <c r="J2359" t="s">
        <v>2467</v>
      </c>
    </row>
    <row r="2360" spans="1:13" x14ac:dyDescent="0.3">
      <c r="A2360" s="160">
        <v>25477</v>
      </c>
      <c r="B2360" t="s">
        <v>17496</v>
      </c>
      <c r="C2360" t="s">
        <v>2463</v>
      </c>
      <c r="D2360">
        <v>1.8</v>
      </c>
      <c r="E2360">
        <v>0</v>
      </c>
      <c r="F2360">
        <f t="shared" si="36"/>
        <v>1.8</v>
      </c>
      <c r="I2360">
        <v>20090101</v>
      </c>
      <c r="J2360" t="s">
        <v>2537</v>
      </c>
    </row>
    <row r="2361" spans="1:13" x14ac:dyDescent="0.3">
      <c r="A2361" s="160">
        <v>25481</v>
      </c>
      <c r="B2361" t="s">
        <v>17497</v>
      </c>
      <c r="C2361" t="s">
        <v>2456</v>
      </c>
      <c r="D2361">
        <v>1.5</v>
      </c>
      <c r="E2361">
        <v>0</v>
      </c>
      <c r="F2361">
        <f t="shared" si="36"/>
        <v>1.5</v>
      </c>
      <c r="I2361">
        <v>20230701</v>
      </c>
      <c r="J2361" t="s">
        <v>2462</v>
      </c>
    </row>
    <row r="2362" spans="1:13" x14ac:dyDescent="0.3">
      <c r="A2362" s="160">
        <v>25485</v>
      </c>
      <c r="B2362" t="s">
        <v>17498</v>
      </c>
      <c r="C2362" t="s">
        <v>2456</v>
      </c>
      <c r="D2362">
        <v>1.5</v>
      </c>
      <c r="E2362">
        <v>0</v>
      </c>
      <c r="F2362">
        <f t="shared" si="36"/>
        <v>1.5</v>
      </c>
      <c r="I2362">
        <v>20230701</v>
      </c>
      <c r="J2362" t="s">
        <v>2473</v>
      </c>
    </row>
    <row r="2363" spans="1:13" x14ac:dyDescent="0.3">
      <c r="A2363" s="160">
        <v>25495</v>
      </c>
      <c r="B2363" t="s">
        <v>17499</v>
      </c>
      <c r="C2363" t="s">
        <v>2463</v>
      </c>
      <c r="D2363">
        <v>1.8</v>
      </c>
      <c r="E2363">
        <v>0</v>
      </c>
      <c r="F2363">
        <f t="shared" si="36"/>
        <v>1.8</v>
      </c>
      <c r="I2363">
        <v>20090101</v>
      </c>
      <c r="J2363" t="s">
        <v>2464</v>
      </c>
    </row>
    <row r="2364" spans="1:13" x14ac:dyDescent="0.3">
      <c r="A2364" s="160">
        <v>25497</v>
      </c>
      <c r="B2364" t="s">
        <v>17500</v>
      </c>
      <c r="C2364" t="s">
        <v>2456</v>
      </c>
      <c r="D2364">
        <v>1.5</v>
      </c>
      <c r="E2364">
        <v>0</v>
      </c>
      <c r="F2364">
        <f t="shared" si="36"/>
        <v>1.5</v>
      </c>
      <c r="I2364">
        <v>20230701</v>
      </c>
      <c r="J2364" t="s">
        <v>2457</v>
      </c>
    </row>
    <row r="2365" spans="1:13" x14ac:dyDescent="0.3">
      <c r="A2365" s="160">
        <v>25502</v>
      </c>
      <c r="B2365" t="s">
        <v>17501</v>
      </c>
      <c r="C2365" t="s">
        <v>27537</v>
      </c>
      <c r="D2365">
        <v>1.8</v>
      </c>
      <c r="E2365">
        <v>0</v>
      </c>
      <c r="F2365">
        <f t="shared" si="36"/>
        <v>1.8</v>
      </c>
      <c r="I2365">
        <v>20250101</v>
      </c>
      <c r="J2365" t="s">
        <v>2549</v>
      </c>
    </row>
    <row r="2366" spans="1:13" x14ac:dyDescent="0.3">
      <c r="A2366" s="160">
        <v>25509</v>
      </c>
      <c r="B2366" t="s">
        <v>17502</v>
      </c>
      <c r="C2366" t="s">
        <v>2463</v>
      </c>
      <c r="D2366">
        <v>1.8</v>
      </c>
      <c r="E2366">
        <v>0</v>
      </c>
      <c r="F2366">
        <f t="shared" si="36"/>
        <v>1.8</v>
      </c>
      <c r="I2366">
        <v>20090101</v>
      </c>
      <c r="J2366" t="s">
        <v>2549</v>
      </c>
    </row>
    <row r="2367" spans="1:13" x14ac:dyDescent="0.3">
      <c r="A2367" s="160">
        <v>25521</v>
      </c>
      <c r="B2367" t="s">
        <v>17503</v>
      </c>
      <c r="C2367" t="s">
        <v>2456</v>
      </c>
      <c r="D2367">
        <v>1.5</v>
      </c>
      <c r="E2367">
        <v>0</v>
      </c>
      <c r="F2367">
        <f t="shared" si="36"/>
        <v>1.5</v>
      </c>
      <c r="I2367">
        <v>20230701</v>
      </c>
      <c r="J2367" t="s">
        <v>2462</v>
      </c>
    </row>
    <row r="2368" spans="1:13" x14ac:dyDescent="0.3">
      <c r="A2368" s="160">
        <v>25523</v>
      </c>
      <c r="B2368" t="s">
        <v>17504</v>
      </c>
      <c r="C2368" t="s">
        <v>2456</v>
      </c>
      <c r="D2368">
        <v>1.5</v>
      </c>
      <c r="E2368">
        <v>0</v>
      </c>
      <c r="F2368">
        <f t="shared" si="36"/>
        <v>1.5</v>
      </c>
      <c r="I2368">
        <v>20230701</v>
      </c>
      <c r="J2368" t="s">
        <v>2576</v>
      </c>
    </row>
    <row r="2369" spans="1:15" x14ac:dyDescent="0.3">
      <c r="A2369" s="160">
        <v>25524</v>
      </c>
      <c r="B2369" t="s">
        <v>17505</v>
      </c>
      <c r="C2369" t="s">
        <v>2456</v>
      </c>
      <c r="D2369">
        <v>1.5</v>
      </c>
      <c r="E2369">
        <v>0</v>
      </c>
      <c r="F2369">
        <f t="shared" si="36"/>
        <v>1.5</v>
      </c>
      <c r="I2369">
        <v>20230701</v>
      </c>
      <c r="J2369" t="s">
        <v>2547</v>
      </c>
    </row>
    <row r="2370" spans="1:15" x14ac:dyDescent="0.3">
      <c r="A2370" s="160">
        <v>25526</v>
      </c>
      <c r="B2370" t="s">
        <v>17506</v>
      </c>
      <c r="C2370" t="s">
        <v>2456</v>
      </c>
      <c r="D2370">
        <v>1.8</v>
      </c>
      <c r="E2370">
        <v>0</v>
      </c>
      <c r="F2370">
        <f t="shared" si="36"/>
        <v>1.8</v>
      </c>
      <c r="I2370">
        <v>20130101</v>
      </c>
      <c r="J2370" t="s">
        <v>2562</v>
      </c>
      <c r="K2370" t="s">
        <v>2563</v>
      </c>
      <c r="L2370" t="s">
        <v>2577</v>
      </c>
    </row>
    <row r="2371" spans="1:15" x14ac:dyDescent="0.3">
      <c r="A2371" s="160">
        <v>25527</v>
      </c>
      <c r="B2371" t="s">
        <v>17507</v>
      </c>
      <c r="C2371" t="s">
        <v>27537</v>
      </c>
      <c r="D2371">
        <v>1.8</v>
      </c>
      <c r="E2371">
        <v>0</v>
      </c>
      <c r="F2371">
        <f t="shared" si="36"/>
        <v>1.8</v>
      </c>
      <c r="I2371">
        <v>20250101</v>
      </c>
      <c r="J2371" t="s">
        <v>2549</v>
      </c>
    </row>
    <row r="2372" spans="1:15" x14ac:dyDescent="0.3">
      <c r="A2372" s="160">
        <v>25532</v>
      </c>
      <c r="B2372" t="s">
        <v>17508</v>
      </c>
      <c r="C2372" t="s">
        <v>2463</v>
      </c>
      <c r="D2372">
        <v>1.8</v>
      </c>
      <c r="E2372">
        <v>0</v>
      </c>
      <c r="F2372">
        <f t="shared" si="36"/>
        <v>1.8</v>
      </c>
      <c r="I2372">
        <v>20090101</v>
      </c>
      <c r="J2372" t="s">
        <v>2555</v>
      </c>
    </row>
    <row r="2373" spans="1:15" x14ac:dyDescent="0.3">
      <c r="A2373" s="160">
        <v>25539</v>
      </c>
      <c r="B2373" t="s">
        <v>17509</v>
      </c>
      <c r="C2373" t="s">
        <v>2456</v>
      </c>
      <c r="D2373">
        <v>1.8</v>
      </c>
      <c r="E2373">
        <v>0</v>
      </c>
      <c r="F2373">
        <f t="shared" si="36"/>
        <v>1.8</v>
      </c>
      <c r="I2373">
        <v>20130101</v>
      </c>
      <c r="J2373" t="s">
        <v>2536</v>
      </c>
      <c r="K2373" t="s">
        <v>2472</v>
      </c>
      <c r="L2373" t="s">
        <v>2553</v>
      </c>
    </row>
    <row r="2374" spans="1:15" x14ac:dyDescent="0.3">
      <c r="A2374" s="160">
        <v>25540</v>
      </c>
      <c r="B2374" t="s">
        <v>17510</v>
      </c>
      <c r="C2374" t="s">
        <v>2456</v>
      </c>
      <c r="D2374">
        <v>1.5</v>
      </c>
      <c r="E2374">
        <v>0</v>
      </c>
      <c r="F2374">
        <f t="shared" si="36"/>
        <v>1.5</v>
      </c>
      <c r="I2374">
        <v>20230701</v>
      </c>
      <c r="J2374" t="s">
        <v>2459</v>
      </c>
    </row>
    <row r="2375" spans="1:15" x14ac:dyDescent="0.3">
      <c r="A2375" s="160">
        <v>25542</v>
      </c>
      <c r="B2375" t="s">
        <v>17511</v>
      </c>
      <c r="C2375" t="s">
        <v>2463</v>
      </c>
      <c r="D2375">
        <v>1.8</v>
      </c>
      <c r="E2375">
        <v>0</v>
      </c>
      <c r="F2375">
        <f t="shared" ref="F2375:F2438" si="37">D2375+E2375</f>
        <v>1.8</v>
      </c>
      <c r="I2375">
        <v>20090101</v>
      </c>
      <c r="J2375" t="s">
        <v>2543</v>
      </c>
      <c r="K2375" t="s">
        <v>2545</v>
      </c>
    </row>
    <row r="2376" spans="1:15" x14ac:dyDescent="0.3">
      <c r="A2376" s="160">
        <v>25547</v>
      </c>
      <c r="B2376" t="s">
        <v>17512</v>
      </c>
      <c r="C2376" t="s">
        <v>2456</v>
      </c>
      <c r="D2376">
        <v>1.8</v>
      </c>
      <c r="E2376">
        <v>0</v>
      </c>
      <c r="F2376">
        <f t="shared" si="37"/>
        <v>1.8</v>
      </c>
      <c r="I2376">
        <v>20130101</v>
      </c>
      <c r="J2376" t="s">
        <v>2568</v>
      </c>
      <c r="K2376" t="s">
        <v>2578</v>
      </c>
      <c r="L2376" t="s">
        <v>2540</v>
      </c>
      <c r="M2376" t="s">
        <v>2548</v>
      </c>
      <c r="N2376" t="s">
        <v>2541</v>
      </c>
      <c r="O2376" t="s">
        <v>2542</v>
      </c>
    </row>
    <row r="2377" spans="1:15" x14ac:dyDescent="0.3">
      <c r="A2377" s="160">
        <v>25548</v>
      </c>
      <c r="B2377" t="s">
        <v>17513</v>
      </c>
      <c r="C2377" t="s">
        <v>2456</v>
      </c>
      <c r="D2377">
        <v>1.5</v>
      </c>
      <c r="E2377">
        <v>0</v>
      </c>
      <c r="F2377">
        <f t="shared" si="37"/>
        <v>1.5</v>
      </c>
      <c r="I2377">
        <v>20230701</v>
      </c>
      <c r="J2377" t="s">
        <v>2554</v>
      </c>
    </row>
    <row r="2378" spans="1:15" x14ac:dyDescent="0.3">
      <c r="A2378" s="160">
        <v>25555</v>
      </c>
      <c r="B2378" t="s">
        <v>17514</v>
      </c>
      <c r="C2378" t="s">
        <v>2456</v>
      </c>
      <c r="D2378">
        <v>1.8</v>
      </c>
      <c r="E2378">
        <v>0</v>
      </c>
      <c r="F2378">
        <f t="shared" si="37"/>
        <v>1.8</v>
      </c>
      <c r="I2378">
        <v>20130101</v>
      </c>
      <c r="J2378" t="s">
        <v>2465</v>
      </c>
      <c r="K2378" t="s">
        <v>2466</v>
      </c>
      <c r="L2378" t="s">
        <v>2553</v>
      </c>
    </row>
    <row r="2379" spans="1:15" x14ac:dyDescent="0.3">
      <c r="A2379" s="160">
        <v>25557</v>
      </c>
      <c r="B2379" t="s">
        <v>17515</v>
      </c>
      <c r="C2379" t="s">
        <v>2463</v>
      </c>
      <c r="D2379">
        <v>1.8</v>
      </c>
      <c r="E2379">
        <v>0</v>
      </c>
      <c r="F2379">
        <f t="shared" si="37"/>
        <v>1.8</v>
      </c>
      <c r="I2379">
        <v>20090101</v>
      </c>
      <c r="J2379" t="s">
        <v>2474</v>
      </c>
    </row>
    <row r="2380" spans="1:15" x14ac:dyDescent="0.3">
      <c r="A2380" s="160">
        <v>25560</v>
      </c>
      <c r="B2380" t="s">
        <v>17516</v>
      </c>
      <c r="C2380" t="s">
        <v>2463</v>
      </c>
      <c r="D2380">
        <v>1.8</v>
      </c>
      <c r="E2380">
        <v>0</v>
      </c>
      <c r="F2380">
        <f t="shared" si="37"/>
        <v>1.8</v>
      </c>
      <c r="I2380">
        <v>20090101</v>
      </c>
      <c r="J2380" t="s">
        <v>2487</v>
      </c>
      <c r="K2380" t="s">
        <v>2497</v>
      </c>
      <c r="L2380" t="s">
        <v>2498</v>
      </c>
      <c r="M2380" t="s">
        <v>2515</v>
      </c>
      <c r="N2380" t="s">
        <v>2525</v>
      </c>
      <c r="O2380" t="s">
        <v>2464</v>
      </c>
    </row>
    <row r="2381" spans="1:15" x14ac:dyDescent="0.3">
      <c r="A2381" s="160">
        <v>25561</v>
      </c>
      <c r="B2381" t="s">
        <v>17517</v>
      </c>
      <c r="C2381" t="s">
        <v>2463</v>
      </c>
      <c r="D2381">
        <v>1.8</v>
      </c>
      <c r="E2381">
        <v>0</v>
      </c>
      <c r="F2381">
        <f t="shared" si="37"/>
        <v>1.8</v>
      </c>
      <c r="I2381">
        <v>20090101</v>
      </c>
      <c r="J2381" t="s">
        <v>2537</v>
      </c>
    </row>
    <row r="2382" spans="1:15" x14ac:dyDescent="0.3">
      <c r="A2382" s="160">
        <v>25562</v>
      </c>
      <c r="B2382" t="s">
        <v>17518</v>
      </c>
      <c r="C2382" t="s">
        <v>2456</v>
      </c>
      <c r="D2382">
        <v>1.5</v>
      </c>
      <c r="E2382">
        <v>0</v>
      </c>
      <c r="F2382">
        <f t="shared" si="37"/>
        <v>1.5</v>
      </c>
      <c r="I2382">
        <v>20230701</v>
      </c>
      <c r="J2382" t="s">
        <v>2457</v>
      </c>
    </row>
    <row r="2383" spans="1:15" x14ac:dyDescent="0.3">
      <c r="A2383" s="160">
        <v>25564</v>
      </c>
      <c r="B2383" t="s">
        <v>17519</v>
      </c>
      <c r="C2383" t="s">
        <v>2463</v>
      </c>
      <c r="D2383">
        <v>1.8</v>
      </c>
      <c r="E2383">
        <v>0</v>
      </c>
      <c r="F2383">
        <f t="shared" si="37"/>
        <v>1.8</v>
      </c>
      <c r="I2383">
        <v>20090101</v>
      </c>
      <c r="J2383" t="s">
        <v>2537</v>
      </c>
    </row>
    <row r="2384" spans="1:15" x14ac:dyDescent="0.3">
      <c r="A2384" s="160">
        <v>25575</v>
      </c>
      <c r="B2384" t="s">
        <v>17520</v>
      </c>
      <c r="C2384" t="s">
        <v>2463</v>
      </c>
      <c r="D2384">
        <v>1.8</v>
      </c>
      <c r="E2384">
        <v>0</v>
      </c>
      <c r="F2384">
        <f t="shared" si="37"/>
        <v>1.8</v>
      </c>
      <c r="I2384">
        <v>20090101</v>
      </c>
      <c r="J2384" t="s">
        <v>2464</v>
      </c>
    </row>
    <row r="2385" spans="1:17" x14ac:dyDescent="0.3">
      <c r="A2385" s="160">
        <v>25576</v>
      </c>
      <c r="B2385" t="s">
        <v>17521</v>
      </c>
      <c r="C2385" t="s">
        <v>2463</v>
      </c>
      <c r="D2385">
        <v>1.8</v>
      </c>
      <c r="E2385">
        <v>0</v>
      </c>
      <c r="F2385">
        <f t="shared" si="37"/>
        <v>1.8</v>
      </c>
      <c r="I2385">
        <v>20090101</v>
      </c>
      <c r="J2385" t="s">
        <v>2464</v>
      </c>
    </row>
    <row r="2386" spans="1:17" x14ac:dyDescent="0.3">
      <c r="A2386" s="160">
        <v>25580</v>
      </c>
      <c r="B2386" t="s">
        <v>17522</v>
      </c>
      <c r="C2386" t="s">
        <v>2456</v>
      </c>
      <c r="D2386">
        <v>1.8</v>
      </c>
      <c r="E2386">
        <v>0</v>
      </c>
      <c r="F2386">
        <f t="shared" si="37"/>
        <v>1.8</v>
      </c>
      <c r="I2386">
        <v>20130101</v>
      </c>
      <c r="J2386" t="s">
        <v>2469</v>
      </c>
      <c r="K2386" t="s">
        <v>2466</v>
      </c>
      <c r="L2386" t="s">
        <v>2470</v>
      </c>
      <c r="M2386" t="s">
        <v>2472</v>
      </c>
      <c r="N2386" t="s">
        <v>2560</v>
      </c>
      <c r="O2386" t="s">
        <v>2579</v>
      </c>
      <c r="P2386" t="s">
        <v>2561</v>
      </c>
      <c r="Q2386" t="s">
        <v>2580</v>
      </c>
    </row>
    <row r="2387" spans="1:17" x14ac:dyDescent="0.3">
      <c r="A2387" s="160">
        <v>25586</v>
      </c>
      <c r="B2387" t="s">
        <v>17523</v>
      </c>
      <c r="C2387" t="s">
        <v>2456</v>
      </c>
      <c r="D2387">
        <v>1.8</v>
      </c>
      <c r="E2387">
        <v>0</v>
      </c>
      <c r="F2387">
        <f t="shared" si="37"/>
        <v>1.8</v>
      </c>
      <c r="I2387">
        <v>20130101</v>
      </c>
      <c r="J2387" t="s">
        <v>2536</v>
      </c>
    </row>
    <row r="2388" spans="1:17" x14ac:dyDescent="0.3">
      <c r="A2388" s="160">
        <v>25593</v>
      </c>
      <c r="B2388" t="s">
        <v>17524</v>
      </c>
      <c r="C2388" t="s">
        <v>2463</v>
      </c>
      <c r="D2388">
        <v>1.8</v>
      </c>
      <c r="E2388">
        <v>0</v>
      </c>
      <c r="F2388">
        <f t="shared" si="37"/>
        <v>1.8</v>
      </c>
      <c r="I2388">
        <v>20090101</v>
      </c>
      <c r="J2388" t="s">
        <v>2545</v>
      </c>
    </row>
    <row r="2389" spans="1:17" x14ac:dyDescent="0.3">
      <c r="A2389" s="160">
        <v>25594</v>
      </c>
      <c r="B2389" t="s">
        <v>17525</v>
      </c>
      <c r="C2389" t="s">
        <v>27537</v>
      </c>
      <c r="D2389">
        <v>1.8</v>
      </c>
      <c r="E2389">
        <v>0</v>
      </c>
      <c r="F2389">
        <f t="shared" si="37"/>
        <v>1.8</v>
      </c>
      <c r="I2389">
        <v>20250101</v>
      </c>
      <c r="J2389" t="s">
        <v>2549</v>
      </c>
    </row>
    <row r="2390" spans="1:17" x14ac:dyDescent="0.3">
      <c r="A2390" s="160">
        <v>25598</v>
      </c>
      <c r="B2390" t="s">
        <v>17526</v>
      </c>
      <c r="C2390" t="s">
        <v>27537</v>
      </c>
      <c r="D2390">
        <v>1.8</v>
      </c>
      <c r="E2390">
        <v>0</v>
      </c>
      <c r="F2390">
        <f t="shared" si="37"/>
        <v>1.8</v>
      </c>
      <c r="I2390">
        <v>20250101</v>
      </c>
      <c r="J2390" t="s">
        <v>2474</v>
      </c>
    </row>
    <row r="2391" spans="1:17" x14ac:dyDescent="0.3">
      <c r="A2391" s="160">
        <v>25608</v>
      </c>
      <c r="B2391" t="s">
        <v>17527</v>
      </c>
      <c r="C2391" t="s">
        <v>2458</v>
      </c>
      <c r="D2391">
        <v>0.6</v>
      </c>
      <c r="E2391">
        <v>0</v>
      </c>
      <c r="F2391">
        <f t="shared" si="37"/>
        <v>0.6</v>
      </c>
      <c r="I2391">
        <v>20230701</v>
      </c>
      <c r="J2391" t="s">
        <v>2459</v>
      </c>
    </row>
    <row r="2392" spans="1:17" x14ac:dyDescent="0.3">
      <c r="A2392" s="160">
        <v>25611</v>
      </c>
      <c r="B2392" t="s">
        <v>17528</v>
      </c>
      <c r="C2392" t="s">
        <v>2463</v>
      </c>
      <c r="D2392">
        <v>1.8</v>
      </c>
      <c r="E2392">
        <v>0</v>
      </c>
      <c r="F2392">
        <f t="shared" si="37"/>
        <v>1.8</v>
      </c>
      <c r="I2392">
        <v>20090101</v>
      </c>
      <c r="J2392" t="s">
        <v>2555</v>
      </c>
    </row>
    <row r="2393" spans="1:17" x14ac:dyDescent="0.3">
      <c r="A2393" s="160">
        <v>25612</v>
      </c>
      <c r="B2393" t="s">
        <v>17529</v>
      </c>
      <c r="C2393" t="s">
        <v>27537</v>
      </c>
      <c r="D2393">
        <v>1.8</v>
      </c>
      <c r="E2393">
        <v>0</v>
      </c>
      <c r="F2393">
        <f t="shared" si="37"/>
        <v>1.8</v>
      </c>
      <c r="I2393">
        <v>20250101</v>
      </c>
      <c r="J2393" t="s">
        <v>2474</v>
      </c>
    </row>
    <row r="2394" spans="1:17" x14ac:dyDescent="0.3">
      <c r="A2394" s="160">
        <v>25614</v>
      </c>
      <c r="B2394" t="s">
        <v>17530</v>
      </c>
      <c r="C2394" t="s">
        <v>2456</v>
      </c>
      <c r="D2394">
        <v>1.8</v>
      </c>
      <c r="E2394">
        <v>0</v>
      </c>
      <c r="F2394">
        <f t="shared" si="37"/>
        <v>1.8</v>
      </c>
      <c r="I2394">
        <v>20130101</v>
      </c>
      <c r="J2394" t="s">
        <v>2540</v>
      </c>
      <c r="K2394" t="s">
        <v>2548</v>
      </c>
      <c r="L2394" t="s">
        <v>2541</v>
      </c>
      <c r="M2394" t="s">
        <v>2542</v>
      </c>
    </row>
    <row r="2395" spans="1:17" x14ac:dyDescent="0.3">
      <c r="A2395" s="160">
        <v>25615</v>
      </c>
      <c r="B2395" t="s">
        <v>17531</v>
      </c>
      <c r="C2395" t="s">
        <v>2456</v>
      </c>
      <c r="D2395">
        <v>1.5</v>
      </c>
      <c r="E2395">
        <v>0</v>
      </c>
      <c r="F2395">
        <f t="shared" si="37"/>
        <v>1.5</v>
      </c>
      <c r="I2395">
        <v>20230701</v>
      </c>
      <c r="J2395" t="s">
        <v>2457</v>
      </c>
    </row>
    <row r="2396" spans="1:17" x14ac:dyDescent="0.3">
      <c r="A2396" s="160">
        <v>25616</v>
      </c>
      <c r="B2396" t="s">
        <v>17532</v>
      </c>
      <c r="C2396" t="s">
        <v>27537</v>
      </c>
      <c r="D2396">
        <v>1.8</v>
      </c>
      <c r="E2396">
        <v>0</v>
      </c>
      <c r="F2396">
        <f t="shared" si="37"/>
        <v>1.8</v>
      </c>
      <c r="I2396">
        <v>20250101</v>
      </c>
      <c r="J2396" t="s">
        <v>2549</v>
      </c>
    </row>
    <row r="2397" spans="1:17" x14ac:dyDescent="0.3">
      <c r="A2397" s="160">
        <v>25617</v>
      </c>
      <c r="B2397" t="s">
        <v>17533</v>
      </c>
      <c r="C2397" t="s">
        <v>2456</v>
      </c>
      <c r="D2397">
        <v>1.5</v>
      </c>
      <c r="E2397">
        <v>0</v>
      </c>
      <c r="F2397">
        <f t="shared" si="37"/>
        <v>1.5</v>
      </c>
      <c r="I2397">
        <v>20230701</v>
      </c>
      <c r="J2397" t="s">
        <v>2554</v>
      </c>
    </row>
    <row r="2398" spans="1:17" x14ac:dyDescent="0.3">
      <c r="A2398" s="160">
        <v>25618</v>
      </c>
      <c r="B2398" t="s">
        <v>17534</v>
      </c>
      <c r="C2398" t="s">
        <v>2456</v>
      </c>
      <c r="D2398">
        <v>1.5</v>
      </c>
      <c r="E2398">
        <v>0</v>
      </c>
      <c r="F2398">
        <f t="shared" si="37"/>
        <v>1.5</v>
      </c>
      <c r="I2398">
        <v>20230701</v>
      </c>
      <c r="J2398" t="s">
        <v>2473</v>
      </c>
    </row>
    <row r="2399" spans="1:17" x14ac:dyDescent="0.3">
      <c r="A2399" s="160">
        <v>25631</v>
      </c>
      <c r="B2399" t="s">
        <v>17535</v>
      </c>
      <c r="C2399" t="s">
        <v>2463</v>
      </c>
      <c r="D2399">
        <v>1.8</v>
      </c>
      <c r="E2399">
        <v>0</v>
      </c>
      <c r="F2399">
        <f t="shared" si="37"/>
        <v>1.8</v>
      </c>
      <c r="I2399">
        <v>20090101</v>
      </c>
      <c r="J2399" t="s">
        <v>2537</v>
      </c>
    </row>
    <row r="2400" spans="1:17" x14ac:dyDescent="0.3">
      <c r="A2400" s="160">
        <v>25632</v>
      </c>
      <c r="B2400" t="s">
        <v>17536</v>
      </c>
      <c r="C2400" t="s">
        <v>2456</v>
      </c>
      <c r="D2400">
        <v>1.8</v>
      </c>
      <c r="E2400">
        <v>0</v>
      </c>
      <c r="F2400">
        <f t="shared" si="37"/>
        <v>1.8</v>
      </c>
      <c r="I2400">
        <v>20130101</v>
      </c>
      <c r="J2400" t="s">
        <v>2466</v>
      </c>
      <c r="K2400" t="s">
        <v>2470</v>
      </c>
      <c r="L2400" t="s">
        <v>2553</v>
      </c>
      <c r="M2400" t="s">
        <v>2475</v>
      </c>
    </row>
    <row r="2401" spans="1:15" x14ac:dyDescent="0.3">
      <c r="A2401" s="160">
        <v>26004</v>
      </c>
      <c r="B2401" t="s">
        <v>17537</v>
      </c>
      <c r="C2401" t="s">
        <v>16007</v>
      </c>
      <c r="D2401">
        <v>1.5</v>
      </c>
      <c r="E2401">
        <v>0</v>
      </c>
      <c r="F2401">
        <f t="shared" si="37"/>
        <v>1.5</v>
      </c>
      <c r="I2401">
        <v>20240101</v>
      </c>
      <c r="J2401" t="s">
        <v>2581</v>
      </c>
      <c r="K2401" t="s">
        <v>2582</v>
      </c>
      <c r="L2401" t="s">
        <v>2583</v>
      </c>
      <c r="M2401" t="s">
        <v>2584</v>
      </c>
      <c r="N2401" t="s">
        <v>2585</v>
      </c>
      <c r="O2401" t="s">
        <v>2586</v>
      </c>
    </row>
    <row r="2402" spans="1:15" x14ac:dyDescent="0.3">
      <c r="A2402" s="160">
        <v>26005</v>
      </c>
      <c r="B2402" t="s">
        <v>17538</v>
      </c>
      <c r="C2402" t="s">
        <v>2587</v>
      </c>
      <c r="D2402">
        <v>0.8</v>
      </c>
      <c r="E2402">
        <v>0</v>
      </c>
      <c r="F2402">
        <f t="shared" si="37"/>
        <v>0.8</v>
      </c>
      <c r="I2402">
        <v>20230101</v>
      </c>
      <c r="J2402" t="s">
        <v>2588</v>
      </c>
      <c r="K2402" t="s">
        <v>2589</v>
      </c>
    </row>
    <row r="2403" spans="1:15" x14ac:dyDescent="0.3">
      <c r="A2403" s="160">
        <v>26008</v>
      </c>
      <c r="B2403" t="s">
        <v>17539</v>
      </c>
      <c r="C2403" t="s">
        <v>2587</v>
      </c>
      <c r="D2403">
        <v>0.8</v>
      </c>
      <c r="E2403">
        <v>0</v>
      </c>
      <c r="F2403">
        <f t="shared" si="37"/>
        <v>0.8</v>
      </c>
      <c r="I2403">
        <v>20230101</v>
      </c>
      <c r="J2403" t="s">
        <v>2590</v>
      </c>
      <c r="K2403" t="s">
        <v>2588</v>
      </c>
      <c r="L2403" t="s">
        <v>2591</v>
      </c>
    </row>
    <row r="2404" spans="1:15" x14ac:dyDescent="0.3">
      <c r="A2404" s="160">
        <v>26014</v>
      </c>
      <c r="B2404" t="s">
        <v>17540</v>
      </c>
      <c r="C2404" t="s">
        <v>794</v>
      </c>
      <c r="D2404">
        <v>0.5</v>
      </c>
      <c r="E2404">
        <v>0</v>
      </c>
      <c r="F2404">
        <f t="shared" si="37"/>
        <v>0.5</v>
      </c>
      <c r="I2404">
        <v>20230701</v>
      </c>
      <c r="J2404" t="s">
        <v>2592</v>
      </c>
    </row>
    <row r="2405" spans="1:15" x14ac:dyDescent="0.3">
      <c r="A2405" s="160">
        <v>26023</v>
      </c>
      <c r="B2405" t="s">
        <v>17541</v>
      </c>
      <c r="C2405" t="s">
        <v>16007</v>
      </c>
      <c r="D2405">
        <v>1.5</v>
      </c>
      <c r="E2405">
        <v>0</v>
      </c>
      <c r="F2405">
        <f t="shared" si="37"/>
        <v>1.5</v>
      </c>
      <c r="I2405">
        <v>20240101</v>
      </c>
      <c r="J2405" t="s">
        <v>2582</v>
      </c>
    </row>
    <row r="2406" spans="1:15" x14ac:dyDescent="0.3">
      <c r="A2406" s="160">
        <v>26024</v>
      </c>
      <c r="B2406" t="s">
        <v>17542</v>
      </c>
      <c r="C2406" t="s">
        <v>16007</v>
      </c>
      <c r="D2406">
        <v>1.5</v>
      </c>
      <c r="E2406">
        <v>0</v>
      </c>
      <c r="F2406">
        <f t="shared" si="37"/>
        <v>1.5</v>
      </c>
      <c r="I2406">
        <v>20240101</v>
      </c>
      <c r="J2406" t="s">
        <v>2593</v>
      </c>
    </row>
    <row r="2407" spans="1:15" x14ac:dyDescent="0.3">
      <c r="A2407" s="160">
        <v>26028</v>
      </c>
      <c r="B2407" t="s">
        <v>17543</v>
      </c>
      <c r="C2407" t="s">
        <v>794</v>
      </c>
      <c r="D2407">
        <v>0.5</v>
      </c>
      <c r="E2407">
        <v>0</v>
      </c>
      <c r="F2407">
        <f t="shared" si="37"/>
        <v>0.5</v>
      </c>
      <c r="I2407">
        <v>20230701</v>
      </c>
      <c r="J2407" t="s">
        <v>2592</v>
      </c>
    </row>
    <row r="2408" spans="1:15" x14ac:dyDescent="0.3">
      <c r="A2408" s="160">
        <v>26031</v>
      </c>
      <c r="B2408" t="s">
        <v>17544</v>
      </c>
      <c r="C2408" t="s">
        <v>2587</v>
      </c>
      <c r="D2408">
        <v>0.8</v>
      </c>
      <c r="E2408">
        <v>0</v>
      </c>
      <c r="F2408">
        <f t="shared" si="37"/>
        <v>0.8</v>
      </c>
      <c r="I2408">
        <v>20230101</v>
      </c>
      <c r="J2408" t="s">
        <v>2594</v>
      </c>
    </row>
    <row r="2409" spans="1:15" x14ac:dyDescent="0.3">
      <c r="A2409" s="160">
        <v>26032</v>
      </c>
      <c r="B2409" t="s">
        <v>17545</v>
      </c>
      <c r="C2409" t="s">
        <v>16007</v>
      </c>
      <c r="D2409">
        <v>1.5</v>
      </c>
      <c r="E2409">
        <v>0</v>
      </c>
      <c r="F2409">
        <f t="shared" si="37"/>
        <v>1.5</v>
      </c>
      <c r="I2409">
        <v>20240101</v>
      </c>
      <c r="J2409" t="s">
        <v>2593</v>
      </c>
    </row>
    <row r="2410" spans="1:15" x14ac:dyDescent="0.3">
      <c r="A2410" s="160">
        <v>26034</v>
      </c>
      <c r="B2410" t="s">
        <v>17546</v>
      </c>
      <c r="C2410" t="s">
        <v>16007</v>
      </c>
      <c r="D2410">
        <v>1.5</v>
      </c>
      <c r="E2410">
        <v>0</v>
      </c>
      <c r="F2410">
        <f t="shared" si="37"/>
        <v>1.5</v>
      </c>
      <c r="I2410">
        <v>20240101</v>
      </c>
      <c r="J2410" t="s">
        <v>2595</v>
      </c>
    </row>
    <row r="2411" spans="1:15" x14ac:dyDescent="0.3">
      <c r="A2411" s="160">
        <v>26037</v>
      </c>
      <c r="B2411" t="s">
        <v>17547</v>
      </c>
      <c r="C2411" t="s">
        <v>16007</v>
      </c>
      <c r="D2411">
        <v>1.5</v>
      </c>
      <c r="E2411">
        <v>0</v>
      </c>
      <c r="F2411">
        <f t="shared" si="37"/>
        <v>1.5</v>
      </c>
      <c r="I2411">
        <v>20240101</v>
      </c>
      <c r="J2411" t="s">
        <v>2596</v>
      </c>
      <c r="K2411" t="s">
        <v>2597</v>
      </c>
      <c r="L2411" t="s">
        <v>2598</v>
      </c>
    </row>
    <row r="2412" spans="1:15" x14ac:dyDescent="0.3">
      <c r="A2412" s="160">
        <v>26038</v>
      </c>
      <c r="B2412" t="s">
        <v>17548</v>
      </c>
      <c r="C2412" t="s">
        <v>794</v>
      </c>
      <c r="D2412">
        <v>0.5</v>
      </c>
      <c r="E2412">
        <v>0</v>
      </c>
      <c r="F2412">
        <f t="shared" si="37"/>
        <v>0.5</v>
      </c>
      <c r="I2412">
        <v>20230701</v>
      </c>
      <c r="J2412" t="s">
        <v>2599</v>
      </c>
      <c r="K2412" t="s">
        <v>2600</v>
      </c>
      <c r="L2412" t="s">
        <v>2601</v>
      </c>
    </row>
    <row r="2413" spans="1:15" x14ac:dyDescent="0.3">
      <c r="A2413" s="160">
        <v>26039</v>
      </c>
      <c r="B2413" t="s">
        <v>17549</v>
      </c>
      <c r="C2413" t="s">
        <v>16007</v>
      </c>
      <c r="D2413">
        <v>1.5</v>
      </c>
      <c r="E2413">
        <v>0</v>
      </c>
      <c r="F2413">
        <f t="shared" si="37"/>
        <v>1.5</v>
      </c>
      <c r="I2413">
        <v>20240101</v>
      </c>
      <c r="J2413" t="s">
        <v>2582</v>
      </c>
    </row>
    <row r="2414" spans="1:15" x14ac:dyDescent="0.3">
      <c r="A2414" s="160">
        <v>26042</v>
      </c>
      <c r="B2414" t="s">
        <v>17550</v>
      </c>
      <c r="C2414" t="s">
        <v>16007</v>
      </c>
      <c r="D2414">
        <v>1.5</v>
      </c>
      <c r="E2414">
        <v>0</v>
      </c>
      <c r="F2414">
        <f t="shared" si="37"/>
        <v>1.5</v>
      </c>
      <c r="I2414">
        <v>20240101</v>
      </c>
      <c r="J2414" t="s">
        <v>2602</v>
      </c>
    </row>
    <row r="2415" spans="1:15" x14ac:dyDescent="0.3">
      <c r="A2415" s="160">
        <v>26049</v>
      </c>
      <c r="B2415" t="s">
        <v>17551</v>
      </c>
      <c r="C2415" t="s">
        <v>16007</v>
      </c>
      <c r="D2415">
        <v>1.5</v>
      </c>
      <c r="E2415">
        <v>0</v>
      </c>
      <c r="F2415">
        <f t="shared" si="37"/>
        <v>1.5</v>
      </c>
      <c r="I2415">
        <v>20240101</v>
      </c>
      <c r="J2415" t="s">
        <v>2582</v>
      </c>
    </row>
    <row r="2416" spans="1:15" x14ac:dyDescent="0.3">
      <c r="A2416" s="160">
        <v>26052</v>
      </c>
      <c r="B2416" t="s">
        <v>17552</v>
      </c>
      <c r="C2416" t="s">
        <v>2587</v>
      </c>
      <c r="D2416">
        <v>0.8</v>
      </c>
      <c r="E2416">
        <v>0</v>
      </c>
      <c r="F2416">
        <f t="shared" si="37"/>
        <v>0.8</v>
      </c>
      <c r="I2416">
        <v>20230101</v>
      </c>
      <c r="J2416" t="s">
        <v>2594</v>
      </c>
    </row>
    <row r="2417" spans="1:14" x14ac:dyDescent="0.3">
      <c r="A2417" s="160">
        <v>26057</v>
      </c>
      <c r="B2417" t="s">
        <v>17553</v>
      </c>
      <c r="C2417" t="s">
        <v>16007</v>
      </c>
      <c r="D2417">
        <v>1.5</v>
      </c>
      <c r="E2417">
        <v>0</v>
      </c>
      <c r="F2417">
        <f t="shared" si="37"/>
        <v>1.5</v>
      </c>
      <c r="I2417">
        <v>20240101</v>
      </c>
      <c r="J2417" t="s">
        <v>2582</v>
      </c>
      <c r="K2417" t="s">
        <v>2583</v>
      </c>
      <c r="L2417" t="s">
        <v>2603</v>
      </c>
      <c r="M2417" t="s">
        <v>2604</v>
      </c>
      <c r="N2417" t="s">
        <v>2605</v>
      </c>
    </row>
    <row r="2418" spans="1:14" x14ac:dyDescent="0.3">
      <c r="A2418" s="160">
        <v>26058</v>
      </c>
      <c r="B2418" t="s">
        <v>17554</v>
      </c>
      <c r="C2418" t="s">
        <v>16007</v>
      </c>
      <c r="D2418">
        <v>1.5</v>
      </c>
      <c r="E2418">
        <v>0</v>
      </c>
      <c r="F2418">
        <f t="shared" si="37"/>
        <v>1.5</v>
      </c>
      <c r="I2418">
        <v>20240101</v>
      </c>
      <c r="J2418" t="s">
        <v>2606</v>
      </c>
    </row>
    <row r="2419" spans="1:14" x14ac:dyDescent="0.3">
      <c r="A2419" s="160">
        <v>26061</v>
      </c>
      <c r="B2419" t="s">
        <v>17555</v>
      </c>
      <c r="C2419" t="s">
        <v>794</v>
      </c>
      <c r="D2419">
        <v>0.5</v>
      </c>
      <c r="E2419">
        <v>0</v>
      </c>
      <c r="F2419">
        <f t="shared" si="37"/>
        <v>0.5</v>
      </c>
      <c r="I2419">
        <v>20230701</v>
      </c>
      <c r="J2419" t="s">
        <v>2592</v>
      </c>
    </row>
    <row r="2420" spans="1:14" x14ac:dyDescent="0.3">
      <c r="A2420" s="160">
        <v>26064</v>
      </c>
      <c r="B2420" t="s">
        <v>17556</v>
      </c>
      <c r="C2420" t="s">
        <v>16007</v>
      </c>
      <c r="D2420">
        <v>1.5</v>
      </c>
      <c r="E2420">
        <v>0</v>
      </c>
      <c r="F2420">
        <f t="shared" si="37"/>
        <v>1.5</v>
      </c>
      <c r="I2420">
        <v>20240101</v>
      </c>
      <c r="J2420" t="s">
        <v>2593</v>
      </c>
      <c r="K2420" t="s">
        <v>2597</v>
      </c>
    </row>
    <row r="2421" spans="1:14" x14ac:dyDescent="0.3">
      <c r="A2421" s="160">
        <v>26068</v>
      </c>
      <c r="B2421" t="s">
        <v>17557</v>
      </c>
      <c r="C2421" t="s">
        <v>16007</v>
      </c>
      <c r="D2421">
        <v>1.5</v>
      </c>
      <c r="E2421">
        <v>0</v>
      </c>
      <c r="F2421">
        <f t="shared" si="37"/>
        <v>1.5</v>
      </c>
      <c r="I2421">
        <v>20240101</v>
      </c>
      <c r="J2421" t="s">
        <v>2607</v>
      </c>
    </row>
    <row r="2422" spans="1:14" x14ac:dyDescent="0.3">
      <c r="A2422" s="160">
        <v>26071</v>
      </c>
      <c r="B2422" t="s">
        <v>17558</v>
      </c>
      <c r="C2422" t="s">
        <v>794</v>
      </c>
      <c r="D2422">
        <v>0.5</v>
      </c>
      <c r="E2422">
        <v>0</v>
      </c>
      <c r="F2422">
        <f t="shared" si="37"/>
        <v>0.5</v>
      </c>
      <c r="I2422">
        <v>20230701</v>
      </c>
      <c r="J2422" t="s">
        <v>2599</v>
      </c>
    </row>
    <row r="2423" spans="1:14" x14ac:dyDescent="0.3">
      <c r="A2423" s="160">
        <v>26072</v>
      </c>
      <c r="B2423" t="s">
        <v>17559</v>
      </c>
      <c r="C2423" t="s">
        <v>794</v>
      </c>
      <c r="D2423">
        <v>0.5</v>
      </c>
      <c r="E2423">
        <v>0</v>
      </c>
      <c r="F2423">
        <f t="shared" si="37"/>
        <v>0.5</v>
      </c>
      <c r="I2423">
        <v>20230701</v>
      </c>
      <c r="J2423" t="s">
        <v>2599</v>
      </c>
      <c r="K2423" t="s">
        <v>2600</v>
      </c>
    </row>
    <row r="2424" spans="1:14" x14ac:dyDescent="0.3">
      <c r="A2424" s="160">
        <v>26077</v>
      </c>
      <c r="B2424" t="s">
        <v>17560</v>
      </c>
      <c r="C2424" t="s">
        <v>794</v>
      </c>
      <c r="D2424">
        <v>0.5</v>
      </c>
      <c r="E2424">
        <v>0</v>
      </c>
      <c r="F2424">
        <f t="shared" si="37"/>
        <v>0.5</v>
      </c>
      <c r="I2424">
        <v>20230701</v>
      </c>
      <c r="J2424" t="s">
        <v>2592</v>
      </c>
    </row>
    <row r="2425" spans="1:14" x14ac:dyDescent="0.3">
      <c r="A2425" s="160">
        <v>26078</v>
      </c>
      <c r="B2425" t="s">
        <v>17561</v>
      </c>
      <c r="C2425" t="s">
        <v>2587</v>
      </c>
      <c r="D2425">
        <v>0.8</v>
      </c>
      <c r="E2425">
        <v>0</v>
      </c>
      <c r="F2425">
        <f t="shared" si="37"/>
        <v>0.8</v>
      </c>
      <c r="I2425">
        <v>20230101</v>
      </c>
      <c r="J2425" t="s">
        <v>2608</v>
      </c>
    </row>
    <row r="2426" spans="1:14" x14ac:dyDescent="0.3">
      <c r="A2426" s="160">
        <v>26079</v>
      </c>
      <c r="B2426" t="s">
        <v>17562</v>
      </c>
      <c r="C2426" t="s">
        <v>16007</v>
      </c>
      <c r="D2426">
        <v>1.5</v>
      </c>
      <c r="E2426">
        <v>0</v>
      </c>
      <c r="F2426">
        <f t="shared" si="37"/>
        <v>1.5</v>
      </c>
      <c r="I2426">
        <v>20240101</v>
      </c>
      <c r="J2426" t="s">
        <v>2582</v>
      </c>
    </row>
    <row r="2427" spans="1:14" x14ac:dyDescent="0.3">
      <c r="A2427" s="160">
        <v>26081</v>
      </c>
      <c r="B2427" t="s">
        <v>17563</v>
      </c>
      <c r="C2427" t="s">
        <v>16007</v>
      </c>
      <c r="D2427">
        <v>1.5</v>
      </c>
      <c r="E2427">
        <v>0</v>
      </c>
      <c r="F2427">
        <f t="shared" si="37"/>
        <v>1.5</v>
      </c>
      <c r="I2427">
        <v>20240101</v>
      </c>
      <c r="J2427" t="s">
        <v>2593</v>
      </c>
    </row>
    <row r="2428" spans="1:14" x14ac:dyDescent="0.3">
      <c r="A2428" s="160">
        <v>26084</v>
      </c>
      <c r="B2428" t="s">
        <v>17564</v>
      </c>
      <c r="C2428" t="s">
        <v>16007</v>
      </c>
      <c r="D2428">
        <v>1.5</v>
      </c>
      <c r="E2428">
        <v>0</v>
      </c>
      <c r="F2428">
        <f t="shared" si="37"/>
        <v>1.5</v>
      </c>
      <c r="I2428">
        <v>20240101</v>
      </c>
      <c r="J2428" t="s">
        <v>2582</v>
      </c>
      <c r="K2428" t="s">
        <v>2586</v>
      </c>
    </row>
    <row r="2429" spans="1:14" x14ac:dyDescent="0.3">
      <c r="A2429" s="160">
        <v>26085</v>
      </c>
      <c r="B2429" t="s">
        <v>17565</v>
      </c>
      <c r="C2429" t="s">
        <v>2587</v>
      </c>
      <c r="D2429">
        <v>0.8</v>
      </c>
      <c r="E2429">
        <v>0</v>
      </c>
      <c r="F2429">
        <f t="shared" si="37"/>
        <v>0.8</v>
      </c>
      <c r="I2429">
        <v>20230101</v>
      </c>
      <c r="J2429" t="s">
        <v>2589</v>
      </c>
    </row>
    <row r="2430" spans="1:14" x14ac:dyDescent="0.3">
      <c r="A2430" s="160">
        <v>26087</v>
      </c>
      <c r="B2430" t="s">
        <v>17566</v>
      </c>
      <c r="C2430" t="s">
        <v>16007</v>
      </c>
      <c r="D2430">
        <v>1.5</v>
      </c>
      <c r="E2430">
        <v>0</v>
      </c>
      <c r="F2430">
        <f t="shared" si="37"/>
        <v>1.5</v>
      </c>
      <c r="I2430">
        <v>20240101</v>
      </c>
      <c r="J2430" t="s">
        <v>2609</v>
      </c>
    </row>
    <row r="2431" spans="1:14" x14ac:dyDescent="0.3">
      <c r="A2431" s="160">
        <v>26088</v>
      </c>
      <c r="B2431" t="s">
        <v>17567</v>
      </c>
      <c r="C2431" t="s">
        <v>16007</v>
      </c>
      <c r="D2431">
        <v>1.5</v>
      </c>
      <c r="E2431">
        <v>0</v>
      </c>
      <c r="F2431">
        <f t="shared" si="37"/>
        <v>1.5</v>
      </c>
      <c r="I2431">
        <v>20240101</v>
      </c>
      <c r="J2431" t="s">
        <v>2582</v>
      </c>
      <c r="K2431" t="s">
        <v>2583</v>
      </c>
      <c r="L2431" t="s">
        <v>2603</v>
      </c>
      <c r="M2431" t="s">
        <v>2604</v>
      </c>
    </row>
    <row r="2432" spans="1:14" x14ac:dyDescent="0.3">
      <c r="A2432" s="160">
        <v>26092</v>
      </c>
      <c r="B2432" t="s">
        <v>17568</v>
      </c>
      <c r="C2432" t="s">
        <v>794</v>
      </c>
      <c r="D2432">
        <v>0.5</v>
      </c>
      <c r="E2432">
        <v>0</v>
      </c>
      <c r="F2432">
        <f t="shared" si="37"/>
        <v>0.5</v>
      </c>
      <c r="I2432">
        <v>20230701</v>
      </c>
      <c r="J2432" t="s">
        <v>2592</v>
      </c>
    </row>
    <row r="2433" spans="1:11" x14ac:dyDescent="0.3">
      <c r="A2433" s="160">
        <v>26095</v>
      </c>
      <c r="B2433" t="s">
        <v>17569</v>
      </c>
      <c r="C2433" t="s">
        <v>2587</v>
      </c>
      <c r="D2433">
        <v>0.8</v>
      </c>
      <c r="E2433">
        <v>0</v>
      </c>
      <c r="F2433">
        <f t="shared" si="37"/>
        <v>0.8</v>
      </c>
      <c r="I2433">
        <v>20230101</v>
      </c>
      <c r="J2433" t="s">
        <v>2610</v>
      </c>
      <c r="K2433" t="s">
        <v>2608</v>
      </c>
    </row>
    <row r="2434" spans="1:11" x14ac:dyDescent="0.3">
      <c r="A2434" s="160">
        <v>26096</v>
      </c>
      <c r="B2434" t="s">
        <v>17570</v>
      </c>
      <c r="C2434" t="s">
        <v>16007</v>
      </c>
      <c r="D2434">
        <v>1.5</v>
      </c>
      <c r="E2434">
        <v>0</v>
      </c>
      <c r="F2434">
        <f t="shared" si="37"/>
        <v>1.5</v>
      </c>
      <c r="I2434">
        <v>20240101</v>
      </c>
      <c r="J2434" t="s">
        <v>2592</v>
      </c>
    </row>
    <row r="2435" spans="1:11" x14ac:dyDescent="0.3">
      <c r="A2435" s="160">
        <v>26100</v>
      </c>
      <c r="B2435" t="s">
        <v>17571</v>
      </c>
      <c r="C2435" t="s">
        <v>16007</v>
      </c>
      <c r="D2435">
        <v>1.5</v>
      </c>
      <c r="E2435">
        <v>0</v>
      </c>
      <c r="F2435">
        <f t="shared" si="37"/>
        <v>1.5</v>
      </c>
      <c r="I2435">
        <v>20240101</v>
      </c>
      <c r="J2435" t="s">
        <v>2593</v>
      </c>
    </row>
    <row r="2436" spans="1:11" x14ac:dyDescent="0.3">
      <c r="A2436" s="160">
        <v>26102</v>
      </c>
      <c r="B2436" t="s">
        <v>17572</v>
      </c>
      <c r="C2436" t="s">
        <v>2587</v>
      </c>
      <c r="D2436">
        <v>0.8</v>
      </c>
      <c r="E2436">
        <v>0</v>
      </c>
      <c r="F2436">
        <f t="shared" si="37"/>
        <v>0.8</v>
      </c>
      <c r="I2436">
        <v>20230101</v>
      </c>
      <c r="J2436" t="s">
        <v>2610</v>
      </c>
      <c r="K2436" t="s">
        <v>2611</v>
      </c>
    </row>
    <row r="2437" spans="1:11" x14ac:dyDescent="0.3">
      <c r="A2437" s="160">
        <v>26106</v>
      </c>
      <c r="B2437" t="s">
        <v>17573</v>
      </c>
      <c r="C2437" t="s">
        <v>2587</v>
      </c>
      <c r="D2437">
        <v>0.8</v>
      </c>
      <c r="E2437">
        <v>0</v>
      </c>
      <c r="F2437">
        <f t="shared" si="37"/>
        <v>0.8</v>
      </c>
      <c r="I2437">
        <v>20230101</v>
      </c>
      <c r="J2437" t="s">
        <v>2611</v>
      </c>
    </row>
    <row r="2438" spans="1:11" x14ac:dyDescent="0.3">
      <c r="A2438" s="160">
        <v>26107</v>
      </c>
      <c r="B2438" t="s">
        <v>17574</v>
      </c>
      <c r="C2438" t="s">
        <v>16007</v>
      </c>
      <c r="D2438">
        <v>1.5</v>
      </c>
      <c r="E2438">
        <v>0</v>
      </c>
      <c r="F2438">
        <f t="shared" si="37"/>
        <v>1.5</v>
      </c>
      <c r="I2438">
        <v>20240101</v>
      </c>
      <c r="J2438" t="s">
        <v>2607</v>
      </c>
    </row>
    <row r="2439" spans="1:11" x14ac:dyDescent="0.3">
      <c r="A2439" s="160">
        <v>26110</v>
      </c>
      <c r="B2439" t="s">
        <v>17575</v>
      </c>
      <c r="C2439" t="s">
        <v>794</v>
      </c>
      <c r="D2439">
        <v>0.5</v>
      </c>
      <c r="E2439">
        <v>0</v>
      </c>
      <c r="F2439">
        <f t="shared" ref="F2439:F2502" si="38">D2439+E2439</f>
        <v>0.5</v>
      </c>
      <c r="I2439">
        <v>20230701</v>
      </c>
      <c r="J2439" t="s">
        <v>2599</v>
      </c>
    </row>
    <row r="2440" spans="1:11" x14ac:dyDescent="0.3">
      <c r="A2440" s="160">
        <v>26119</v>
      </c>
      <c r="B2440" t="s">
        <v>17576</v>
      </c>
      <c r="C2440" t="s">
        <v>794</v>
      </c>
      <c r="D2440">
        <v>0.5</v>
      </c>
      <c r="E2440">
        <v>0</v>
      </c>
      <c r="F2440">
        <f t="shared" si="38"/>
        <v>0.5</v>
      </c>
      <c r="I2440">
        <v>20230701</v>
      </c>
      <c r="J2440" t="s">
        <v>2599</v>
      </c>
    </row>
    <row r="2441" spans="1:11" x14ac:dyDescent="0.3">
      <c r="A2441" s="160">
        <v>26121</v>
      </c>
      <c r="B2441" t="s">
        <v>17577</v>
      </c>
      <c r="C2441" t="s">
        <v>2587</v>
      </c>
      <c r="D2441">
        <v>0.8</v>
      </c>
      <c r="E2441">
        <v>0</v>
      </c>
      <c r="F2441">
        <f t="shared" si="38"/>
        <v>0.8</v>
      </c>
      <c r="I2441">
        <v>20230101</v>
      </c>
      <c r="J2441" t="s">
        <v>2589</v>
      </c>
    </row>
    <row r="2442" spans="1:11" x14ac:dyDescent="0.3">
      <c r="A2442" s="160">
        <v>26124</v>
      </c>
      <c r="B2442" t="s">
        <v>17578</v>
      </c>
      <c r="C2442" t="s">
        <v>16007</v>
      </c>
      <c r="D2442">
        <v>1.5</v>
      </c>
      <c r="E2442">
        <v>0</v>
      </c>
      <c r="F2442">
        <f t="shared" si="38"/>
        <v>1.5</v>
      </c>
      <c r="I2442">
        <v>20240101</v>
      </c>
      <c r="J2442" t="s">
        <v>2602</v>
      </c>
    </row>
    <row r="2443" spans="1:11" x14ac:dyDescent="0.3">
      <c r="A2443" s="160">
        <v>26129</v>
      </c>
      <c r="B2443" t="s">
        <v>17579</v>
      </c>
      <c r="C2443" t="s">
        <v>16007</v>
      </c>
      <c r="D2443">
        <v>1.5</v>
      </c>
      <c r="E2443">
        <v>0</v>
      </c>
      <c r="F2443">
        <f t="shared" si="38"/>
        <v>1.5</v>
      </c>
      <c r="I2443">
        <v>20240101</v>
      </c>
      <c r="J2443" t="s">
        <v>2595</v>
      </c>
    </row>
    <row r="2444" spans="1:11" x14ac:dyDescent="0.3">
      <c r="A2444" s="160">
        <v>26139</v>
      </c>
      <c r="B2444" t="s">
        <v>17580</v>
      </c>
      <c r="C2444" t="s">
        <v>16007</v>
      </c>
      <c r="D2444">
        <v>1.5</v>
      </c>
      <c r="E2444">
        <v>0</v>
      </c>
      <c r="F2444">
        <f t="shared" si="38"/>
        <v>1.5</v>
      </c>
      <c r="I2444">
        <v>20240101</v>
      </c>
      <c r="J2444" t="s">
        <v>2609</v>
      </c>
    </row>
    <row r="2445" spans="1:11" x14ac:dyDescent="0.3">
      <c r="A2445" s="160">
        <v>26140</v>
      </c>
      <c r="B2445" t="s">
        <v>17581</v>
      </c>
      <c r="C2445" t="s">
        <v>16007</v>
      </c>
      <c r="D2445">
        <v>1.5</v>
      </c>
      <c r="E2445">
        <v>0</v>
      </c>
      <c r="F2445">
        <f t="shared" si="38"/>
        <v>1.5</v>
      </c>
      <c r="I2445">
        <v>20240101</v>
      </c>
      <c r="J2445" t="s">
        <v>2609</v>
      </c>
    </row>
    <row r="2446" spans="1:11" x14ac:dyDescent="0.3">
      <c r="A2446" s="160">
        <v>26149</v>
      </c>
      <c r="B2446" t="s">
        <v>17582</v>
      </c>
      <c r="C2446" t="s">
        <v>16007</v>
      </c>
      <c r="D2446">
        <v>1.5</v>
      </c>
      <c r="E2446">
        <v>0</v>
      </c>
      <c r="F2446">
        <f t="shared" si="38"/>
        <v>1.5</v>
      </c>
      <c r="I2446">
        <v>20240101</v>
      </c>
      <c r="J2446" t="s">
        <v>2595</v>
      </c>
    </row>
    <row r="2447" spans="1:11" x14ac:dyDescent="0.3">
      <c r="A2447" s="160">
        <v>26156</v>
      </c>
      <c r="B2447" t="s">
        <v>17583</v>
      </c>
      <c r="C2447" t="s">
        <v>794</v>
      </c>
      <c r="D2447">
        <v>0.5</v>
      </c>
      <c r="E2447">
        <v>0</v>
      </c>
      <c r="F2447">
        <f t="shared" si="38"/>
        <v>0.5</v>
      </c>
      <c r="I2447">
        <v>20230701</v>
      </c>
      <c r="J2447" t="s">
        <v>2599</v>
      </c>
    </row>
    <row r="2448" spans="1:11" x14ac:dyDescent="0.3">
      <c r="A2448" s="160">
        <v>26157</v>
      </c>
      <c r="B2448" t="s">
        <v>17584</v>
      </c>
      <c r="C2448" t="s">
        <v>2587</v>
      </c>
      <c r="D2448">
        <v>0.8</v>
      </c>
      <c r="E2448">
        <v>0</v>
      </c>
      <c r="F2448">
        <f t="shared" si="38"/>
        <v>0.8</v>
      </c>
      <c r="I2448">
        <v>20230101</v>
      </c>
      <c r="J2448" t="s">
        <v>2611</v>
      </c>
    </row>
    <row r="2449" spans="1:13" x14ac:dyDescent="0.3">
      <c r="A2449" s="160">
        <v>26170</v>
      </c>
      <c r="B2449" t="s">
        <v>17585</v>
      </c>
      <c r="C2449" t="s">
        <v>16007</v>
      </c>
      <c r="D2449">
        <v>1.5</v>
      </c>
      <c r="E2449">
        <v>0</v>
      </c>
      <c r="F2449">
        <f t="shared" si="38"/>
        <v>1.5</v>
      </c>
      <c r="I2449">
        <v>20240101</v>
      </c>
      <c r="J2449" t="s">
        <v>2593</v>
      </c>
      <c r="K2449" t="s">
        <v>2597</v>
      </c>
    </row>
    <row r="2450" spans="1:13" x14ac:dyDescent="0.3">
      <c r="A2450" s="160">
        <v>26171</v>
      </c>
      <c r="B2450" t="s">
        <v>17586</v>
      </c>
      <c r="C2450" t="s">
        <v>2587</v>
      </c>
      <c r="D2450">
        <v>0.8</v>
      </c>
      <c r="E2450">
        <v>0</v>
      </c>
      <c r="F2450">
        <f t="shared" si="38"/>
        <v>0.8</v>
      </c>
      <c r="I2450">
        <v>20240101</v>
      </c>
      <c r="J2450" t="s">
        <v>2594</v>
      </c>
    </row>
    <row r="2451" spans="1:13" x14ac:dyDescent="0.3">
      <c r="A2451" s="160">
        <v>26173</v>
      </c>
      <c r="B2451" t="s">
        <v>17587</v>
      </c>
      <c r="C2451" t="s">
        <v>16007</v>
      </c>
      <c r="D2451">
        <v>1.5</v>
      </c>
      <c r="E2451">
        <v>0</v>
      </c>
      <c r="F2451">
        <f t="shared" si="38"/>
        <v>1.5</v>
      </c>
      <c r="I2451">
        <v>20240101</v>
      </c>
      <c r="J2451" t="s">
        <v>2582</v>
      </c>
      <c r="K2451" t="s">
        <v>2603</v>
      </c>
    </row>
    <row r="2452" spans="1:13" x14ac:dyDescent="0.3">
      <c r="A2452" s="160">
        <v>26174</v>
      </c>
      <c r="B2452" t="s">
        <v>17588</v>
      </c>
      <c r="C2452" t="s">
        <v>794</v>
      </c>
      <c r="D2452">
        <v>0.5</v>
      </c>
      <c r="E2452">
        <v>0</v>
      </c>
      <c r="F2452">
        <f t="shared" si="38"/>
        <v>0.5</v>
      </c>
      <c r="I2452">
        <v>20230701</v>
      </c>
      <c r="J2452" t="s">
        <v>2592</v>
      </c>
    </row>
    <row r="2453" spans="1:13" x14ac:dyDescent="0.3">
      <c r="A2453" s="160">
        <v>26176</v>
      </c>
      <c r="B2453" t="s">
        <v>17589</v>
      </c>
      <c r="C2453" t="s">
        <v>2587</v>
      </c>
      <c r="D2453">
        <v>0.8</v>
      </c>
      <c r="E2453">
        <v>0</v>
      </c>
      <c r="F2453">
        <f t="shared" si="38"/>
        <v>0.8</v>
      </c>
      <c r="I2453">
        <v>20230101</v>
      </c>
      <c r="J2453" t="s">
        <v>2611</v>
      </c>
    </row>
    <row r="2454" spans="1:13" x14ac:dyDescent="0.3">
      <c r="A2454" s="160">
        <v>26177</v>
      </c>
      <c r="B2454" t="s">
        <v>17590</v>
      </c>
      <c r="C2454" t="s">
        <v>794</v>
      </c>
      <c r="D2454">
        <v>0.5</v>
      </c>
      <c r="E2454">
        <v>0</v>
      </c>
      <c r="F2454">
        <f t="shared" si="38"/>
        <v>0.5</v>
      </c>
      <c r="I2454">
        <v>20230701</v>
      </c>
      <c r="J2454" t="s">
        <v>2592</v>
      </c>
    </row>
    <row r="2455" spans="1:13" x14ac:dyDescent="0.3">
      <c r="A2455" s="160">
        <v>26179</v>
      </c>
      <c r="B2455" t="s">
        <v>17591</v>
      </c>
      <c r="C2455" t="s">
        <v>794</v>
      </c>
      <c r="D2455">
        <v>0.5</v>
      </c>
      <c r="E2455">
        <v>0</v>
      </c>
      <c r="F2455">
        <f t="shared" si="38"/>
        <v>0.5</v>
      </c>
      <c r="I2455">
        <v>20230701</v>
      </c>
      <c r="J2455" t="s">
        <v>2599</v>
      </c>
      <c r="K2455" t="s">
        <v>2612</v>
      </c>
      <c r="L2455" t="s">
        <v>2600</v>
      </c>
      <c r="M2455" t="s">
        <v>2601</v>
      </c>
    </row>
    <row r="2456" spans="1:13" x14ac:dyDescent="0.3">
      <c r="A2456" s="160">
        <v>26184</v>
      </c>
      <c r="B2456" t="s">
        <v>17592</v>
      </c>
      <c r="C2456" t="s">
        <v>16007</v>
      </c>
      <c r="D2456">
        <v>1.5</v>
      </c>
      <c r="E2456">
        <v>0</v>
      </c>
      <c r="F2456">
        <f t="shared" si="38"/>
        <v>1.5</v>
      </c>
      <c r="I2456">
        <v>20240101</v>
      </c>
      <c r="J2456" t="s">
        <v>2607</v>
      </c>
    </row>
    <row r="2457" spans="1:13" x14ac:dyDescent="0.3">
      <c r="A2457" s="160">
        <v>26191</v>
      </c>
      <c r="B2457" t="s">
        <v>17593</v>
      </c>
      <c r="C2457" t="s">
        <v>2587</v>
      </c>
      <c r="D2457">
        <v>0.8</v>
      </c>
      <c r="E2457">
        <v>0</v>
      </c>
      <c r="F2457">
        <f t="shared" si="38"/>
        <v>0.8</v>
      </c>
      <c r="I2457">
        <v>20230101</v>
      </c>
      <c r="J2457" t="s">
        <v>2613</v>
      </c>
      <c r="K2457" t="s">
        <v>2611</v>
      </c>
    </row>
    <row r="2458" spans="1:13" x14ac:dyDescent="0.3">
      <c r="A2458" s="160">
        <v>26194</v>
      </c>
      <c r="B2458" t="s">
        <v>17594</v>
      </c>
      <c r="C2458" t="s">
        <v>794</v>
      </c>
      <c r="D2458">
        <v>0.5</v>
      </c>
      <c r="E2458">
        <v>0</v>
      </c>
      <c r="F2458">
        <f t="shared" si="38"/>
        <v>0.5</v>
      </c>
      <c r="I2458">
        <v>20230701</v>
      </c>
      <c r="J2458" t="s">
        <v>2607</v>
      </c>
    </row>
    <row r="2459" spans="1:13" x14ac:dyDescent="0.3">
      <c r="A2459" s="160">
        <v>26196</v>
      </c>
      <c r="B2459" t="s">
        <v>17595</v>
      </c>
      <c r="C2459" t="s">
        <v>16007</v>
      </c>
      <c r="D2459">
        <v>1.5</v>
      </c>
      <c r="E2459">
        <v>0</v>
      </c>
      <c r="F2459">
        <f t="shared" si="38"/>
        <v>1.5</v>
      </c>
      <c r="I2459">
        <v>20240101</v>
      </c>
      <c r="J2459" t="s">
        <v>2596</v>
      </c>
      <c r="K2459" t="s">
        <v>2597</v>
      </c>
      <c r="L2459" t="s">
        <v>2614</v>
      </c>
      <c r="M2459" t="s">
        <v>2615</v>
      </c>
    </row>
    <row r="2460" spans="1:13" x14ac:dyDescent="0.3">
      <c r="A2460" s="160">
        <v>26197</v>
      </c>
      <c r="B2460" t="s">
        <v>17596</v>
      </c>
      <c r="C2460" t="s">
        <v>16007</v>
      </c>
      <c r="D2460">
        <v>1.5</v>
      </c>
      <c r="E2460">
        <v>0</v>
      </c>
      <c r="F2460">
        <f t="shared" si="38"/>
        <v>1.5</v>
      </c>
      <c r="I2460">
        <v>20240101</v>
      </c>
      <c r="J2460" t="s">
        <v>2593</v>
      </c>
    </row>
    <row r="2461" spans="1:13" x14ac:dyDescent="0.3">
      <c r="A2461" s="160">
        <v>26198</v>
      </c>
      <c r="B2461" t="s">
        <v>17597</v>
      </c>
      <c r="C2461" t="s">
        <v>2587</v>
      </c>
      <c r="D2461">
        <v>0.8</v>
      </c>
      <c r="E2461">
        <v>0</v>
      </c>
      <c r="F2461">
        <f t="shared" si="38"/>
        <v>0.8</v>
      </c>
      <c r="I2461">
        <v>20230101</v>
      </c>
      <c r="J2461" t="s">
        <v>2590</v>
      </c>
    </row>
    <row r="2462" spans="1:13" x14ac:dyDescent="0.3">
      <c r="A2462" s="160">
        <v>26206</v>
      </c>
      <c r="B2462" t="s">
        <v>17598</v>
      </c>
      <c r="C2462" t="s">
        <v>16007</v>
      </c>
      <c r="D2462">
        <v>1.5</v>
      </c>
      <c r="E2462">
        <v>0</v>
      </c>
      <c r="F2462">
        <f t="shared" si="38"/>
        <v>1.5</v>
      </c>
      <c r="I2462">
        <v>20240101</v>
      </c>
      <c r="J2462" t="s">
        <v>2593</v>
      </c>
    </row>
    <row r="2463" spans="1:13" x14ac:dyDescent="0.3">
      <c r="A2463" s="160">
        <v>26207</v>
      </c>
      <c r="B2463" t="s">
        <v>17599</v>
      </c>
      <c r="C2463" t="s">
        <v>16007</v>
      </c>
      <c r="D2463">
        <v>1.5</v>
      </c>
      <c r="E2463">
        <v>0</v>
      </c>
      <c r="F2463">
        <f t="shared" si="38"/>
        <v>1.5</v>
      </c>
      <c r="I2463">
        <v>20240101</v>
      </c>
      <c r="J2463" t="s">
        <v>2609</v>
      </c>
    </row>
    <row r="2464" spans="1:13" x14ac:dyDescent="0.3">
      <c r="A2464" s="160">
        <v>26210</v>
      </c>
      <c r="B2464" t="s">
        <v>17600</v>
      </c>
      <c r="C2464" t="s">
        <v>16007</v>
      </c>
      <c r="D2464">
        <v>1.5</v>
      </c>
      <c r="E2464">
        <v>0</v>
      </c>
      <c r="F2464">
        <f t="shared" si="38"/>
        <v>1.5</v>
      </c>
      <c r="I2464">
        <v>20240101</v>
      </c>
      <c r="J2464" t="s">
        <v>2607</v>
      </c>
    </row>
    <row r="2465" spans="1:20" x14ac:dyDescent="0.3">
      <c r="A2465" s="160">
        <v>26212</v>
      </c>
      <c r="B2465" t="s">
        <v>17601</v>
      </c>
      <c r="C2465" t="s">
        <v>16007</v>
      </c>
      <c r="D2465">
        <v>1.5</v>
      </c>
      <c r="E2465">
        <v>0</v>
      </c>
      <c r="F2465">
        <f t="shared" si="38"/>
        <v>1.5</v>
      </c>
      <c r="I2465">
        <v>20240101</v>
      </c>
      <c r="J2465" t="s">
        <v>2593</v>
      </c>
    </row>
    <row r="2466" spans="1:20" x14ac:dyDescent="0.3">
      <c r="A2466" s="160">
        <v>26218</v>
      </c>
      <c r="B2466" t="s">
        <v>17602</v>
      </c>
      <c r="C2466" t="s">
        <v>16007</v>
      </c>
      <c r="D2466">
        <v>1.5</v>
      </c>
      <c r="E2466">
        <v>0</v>
      </c>
      <c r="F2466">
        <f t="shared" si="38"/>
        <v>1.5</v>
      </c>
      <c r="I2466">
        <v>20240101</v>
      </c>
      <c r="J2466" t="s">
        <v>2616</v>
      </c>
    </row>
    <row r="2467" spans="1:20" x14ac:dyDescent="0.3">
      <c r="A2467" s="160">
        <v>26224</v>
      </c>
      <c r="B2467" t="s">
        <v>17603</v>
      </c>
      <c r="C2467" t="s">
        <v>16007</v>
      </c>
      <c r="D2467">
        <v>1.5</v>
      </c>
      <c r="E2467">
        <v>0</v>
      </c>
      <c r="F2467">
        <f t="shared" si="38"/>
        <v>1.5</v>
      </c>
      <c r="I2467">
        <v>20240101</v>
      </c>
      <c r="J2467" t="s">
        <v>2593</v>
      </c>
    </row>
    <row r="2468" spans="1:20" x14ac:dyDescent="0.3">
      <c r="A2468" s="160">
        <v>26225</v>
      </c>
      <c r="B2468" t="s">
        <v>17604</v>
      </c>
      <c r="C2468" t="s">
        <v>16007</v>
      </c>
      <c r="D2468">
        <v>1.5</v>
      </c>
      <c r="E2468">
        <v>0</v>
      </c>
      <c r="F2468">
        <f t="shared" si="38"/>
        <v>1.5</v>
      </c>
      <c r="I2468">
        <v>20240101</v>
      </c>
      <c r="J2468" t="s">
        <v>2609</v>
      </c>
    </row>
    <row r="2469" spans="1:20" x14ac:dyDescent="0.3">
      <c r="A2469" s="160">
        <v>26231</v>
      </c>
      <c r="B2469" t="s">
        <v>17605</v>
      </c>
      <c r="C2469" t="s">
        <v>16007</v>
      </c>
      <c r="D2469">
        <v>1.5</v>
      </c>
      <c r="E2469">
        <v>0</v>
      </c>
      <c r="F2469">
        <f t="shared" si="38"/>
        <v>1.5</v>
      </c>
      <c r="I2469">
        <v>20240101</v>
      </c>
      <c r="J2469" t="s">
        <v>2617</v>
      </c>
      <c r="K2469" t="s">
        <v>2618</v>
      </c>
      <c r="L2469" t="s">
        <v>2619</v>
      </c>
    </row>
    <row r="2470" spans="1:20" x14ac:dyDescent="0.3">
      <c r="A2470" s="160">
        <v>26232</v>
      </c>
      <c r="B2470" t="s">
        <v>17606</v>
      </c>
      <c r="C2470" t="s">
        <v>16007</v>
      </c>
      <c r="D2470">
        <v>1.5</v>
      </c>
      <c r="E2470">
        <v>0</v>
      </c>
      <c r="F2470">
        <f t="shared" si="38"/>
        <v>1.5</v>
      </c>
      <c r="I2470">
        <v>20240101</v>
      </c>
      <c r="J2470" t="s">
        <v>2593</v>
      </c>
    </row>
    <row r="2471" spans="1:20" x14ac:dyDescent="0.3">
      <c r="A2471" s="160">
        <v>26250</v>
      </c>
      <c r="B2471" t="s">
        <v>17607</v>
      </c>
      <c r="C2471" t="s">
        <v>794</v>
      </c>
      <c r="D2471">
        <v>0.5</v>
      </c>
      <c r="E2471">
        <v>0</v>
      </c>
      <c r="F2471">
        <f t="shared" si="38"/>
        <v>0.5</v>
      </c>
      <c r="I2471">
        <v>20230701</v>
      </c>
      <c r="J2471" t="s">
        <v>2599</v>
      </c>
      <c r="K2471" t="s">
        <v>2600</v>
      </c>
      <c r="L2471" t="s">
        <v>2601</v>
      </c>
    </row>
    <row r="2472" spans="1:20" x14ac:dyDescent="0.3">
      <c r="A2472" s="160">
        <v>26251</v>
      </c>
      <c r="B2472" t="s">
        <v>17608</v>
      </c>
      <c r="C2472" t="s">
        <v>2587</v>
      </c>
      <c r="D2472">
        <v>0.8</v>
      </c>
      <c r="E2472">
        <v>0</v>
      </c>
      <c r="F2472">
        <f t="shared" si="38"/>
        <v>0.8</v>
      </c>
      <c r="I2472">
        <v>20230101</v>
      </c>
      <c r="J2472" t="s">
        <v>2594</v>
      </c>
    </row>
    <row r="2473" spans="1:20" x14ac:dyDescent="0.3">
      <c r="A2473" s="160">
        <v>26252</v>
      </c>
      <c r="B2473" t="s">
        <v>17609</v>
      </c>
      <c r="C2473" t="s">
        <v>16007</v>
      </c>
      <c r="D2473">
        <v>1.5</v>
      </c>
      <c r="E2473">
        <v>0</v>
      </c>
      <c r="F2473">
        <f t="shared" si="38"/>
        <v>1.5</v>
      </c>
      <c r="I2473">
        <v>20240101</v>
      </c>
      <c r="J2473" t="s">
        <v>2602</v>
      </c>
      <c r="K2473" t="s">
        <v>2620</v>
      </c>
      <c r="L2473" t="s">
        <v>2621</v>
      </c>
    </row>
    <row r="2474" spans="1:20" x14ac:dyDescent="0.3">
      <c r="A2474" s="160">
        <v>26257</v>
      </c>
      <c r="B2474" t="s">
        <v>17610</v>
      </c>
      <c r="C2474" t="s">
        <v>2587</v>
      </c>
      <c r="D2474">
        <v>0.8</v>
      </c>
      <c r="E2474">
        <v>0</v>
      </c>
      <c r="F2474">
        <f t="shared" si="38"/>
        <v>0.8</v>
      </c>
      <c r="I2474">
        <v>20230101</v>
      </c>
      <c r="J2474" t="s">
        <v>2594</v>
      </c>
    </row>
    <row r="2475" spans="1:20" x14ac:dyDescent="0.3">
      <c r="A2475" s="160">
        <v>26258</v>
      </c>
      <c r="B2475" t="s">
        <v>17611</v>
      </c>
      <c r="C2475" t="s">
        <v>2587</v>
      </c>
      <c r="D2475">
        <v>0.8</v>
      </c>
      <c r="E2475">
        <v>0</v>
      </c>
      <c r="F2475">
        <f t="shared" si="38"/>
        <v>0.8</v>
      </c>
      <c r="I2475">
        <v>20240101</v>
      </c>
      <c r="J2475" t="s">
        <v>2608</v>
      </c>
    </row>
    <row r="2476" spans="1:20" x14ac:dyDescent="0.3">
      <c r="A2476" s="160">
        <v>26271</v>
      </c>
      <c r="B2476" t="s">
        <v>17612</v>
      </c>
      <c r="C2476" t="s">
        <v>794</v>
      </c>
      <c r="D2476">
        <v>0.5</v>
      </c>
      <c r="E2476">
        <v>0</v>
      </c>
      <c r="F2476">
        <f t="shared" si="38"/>
        <v>0.5</v>
      </c>
      <c r="I2476">
        <v>20230701</v>
      </c>
      <c r="J2476" t="s">
        <v>2599</v>
      </c>
      <c r="K2476" t="s">
        <v>2600</v>
      </c>
      <c r="L2476" t="s">
        <v>2601</v>
      </c>
    </row>
    <row r="2477" spans="1:20" x14ac:dyDescent="0.3">
      <c r="A2477" s="160">
        <v>26272</v>
      </c>
      <c r="B2477" t="s">
        <v>17613</v>
      </c>
      <c r="C2477" t="s">
        <v>2587</v>
      </c>
      <c r="D2477">
        <v>0.8</v>
      </c>
      <c r="E2477">
        <v>0</v>
      </c>
      <c r="F2477">
        <f t="shared" si="38"/>
        <v>0.8</v>
      </c>
      <c r="I2477">
        <v>20230101</v>
      </c>
      <c r="J2477" t="s">
        <v>2594</v>
      </c>
    </row>
    <row r="2478" spans="1:20" x14ac:dyDescent="0.3">
      <c r="A2478" s="160">
        <v>26273</v>
      </c>
      <c r="B2478" t="s">
        <v>17614</v>
      </c>
      <c r="C2478" t="s">
        <v>16007</v>
      </c>
      <c r="D2478">
        <v>1.5</v>
      </c>
      <c r="E2478">
        <v>0</v>
      </c>
      <c r="F2478">
        <f t="shared" si="38"/>
        <v>1.5</v>
      </c>
      <c r="I2478">
        <v>20240101</v>
      </c>
      <c r="J2478" t="s">
        <v>2582</v>
      </c>
    </row>
    <row r="2479" spans="1:20" x14ac:dyDescent="0.3">
      <c r="A2479" s="160">
        <v>26281</v>
      </c>
      <c r="B2479" t="s">
        <v>17615</v>
      </c>
      <c r="C2479" t="s">
        <v>16007</v>
      </c>
      <c r="D2479">
        <v>1.5</v>
      </c>
      <c r="E2479">
        <v>0</v>
      </c>
      <c r="F2479">
        <f t="shared" si="38"/>
        <v>1.5</v>
      </c>
      <c r="I2479">
        <v>20240101</v>
      </c>
      <c r="J2479" t="s">
        <v>2622</v>
      </c>
      <c r="K2479" t="s">
        <v>2617</v>
      </c>
      <c r="L2479" t="s">
        <v>2623</v>
      </c>
      <c r="M2479" t="s">
        <v>2618</v>
      </c>
      <c r="N2479" t="s">
        <v>2624</v>
      </c>
      <c r="O2479" t="s">
        <v>2625</v>
      </c>
      <c r="P2479" t="s">
        <v>2626</v>
      </c>
      <c r="Q2479" t="s">
        <v>2627</v>
      </c>
      <c r="R2479" t="s">
        <v>2628</v>
      </c>
      <c r="S2479" t="s">
        <v>2603</v>
      </c>
      <c r="T2479" t="s">
        <v>2604</v>
      </c>
    </row>
    <row r="2480" spans="1:20" x14ac:dyDescent="0.3">
      <c r="A2480" s="160">
        <v>26287</v>
      </c>
      <c r="B2480" t="s">
        <v>17616</v>
      </c>
      <c r="C2480" t="s">
        <v>2587</v>
      </c>
      <c r="D2480">
        <v>0.8</v>
      </c>
      <c r="E2480">
        <v>0</v>
      </c>
      <c r="F2480">
        <f t="shared" si="38"/>
        <v>0.8</v>
      </c>
      <c r="I2480">
        <v>20230101</v>
      </c>
      <c r="J2480" t="s">
        <v>2608</v>
      </c>
    </row>
    <row r="2481" spans="1:12" x14ac:dyDescent="0.3">
      <c r="A2481" s="160">
        <v>26294</v>
      </c>
      <c r="B2481" t="s">
        <v>17617</v>
      </c>
      <c r="C2481" t="s">
        <v>16007</v>
      </c>
      <c r="D2481">
        <v>1.5</v>
      </c>
      <c r="E2481">
        <v>0</v>
      </c>
      <c r="F2481">
        <f t="shared" si="38"/>
        <v>1.5</v>
      </c>
      <c r="I2481">
        <v>20240101</v>
      </c>
      <c r="J2481" t="s">
        <v>2592</v>
      </c>
    </row>
    <row r="2482" spans="1:12" x14ac:dyDescent="0.3">
      <c r="A2482" s="160">
        <v>26297</v>
      </c>
      <c r="B2482" t="s">
        <v>17618</v>
      </c>
      <c r="C2482" t="s">
        <v>16007</v>
      </c>
      <c r="D2482">
        <v>1.5</v>
      </c>
      <c r="E2482">
        <v>0</v>
      </c>
      <c r="F2482">
        <f t="shared" si="38"/>
        <v>1.5</v>
      </c>
      <c r="I2482">
        <v>20240101</v>
      </c>
      <c r="J2482" t="s">
        <v>2607</v>
      </c>
    </row>
    <row r="2483" spans="1:12" x14ac:dyDescent="0.3">
      <c r="A2483" s="160">
        <v>26298</v>
      </c>
      <c r="B2483" t="s">
        <v>17619</v>
      </c>
      <c r="C2483" t="s">
        <v>16007</v>
      </c>
      <c r="D2483">
        <v>1.5</v>
      </c>
      <c r="E2483">
        <v>0</v>
      </c>
      <c r="F2483">
        <f t="shared" si="38"/>
        <v>1.5</v>
      </c>
      <c r="I2483">
        <v>20240101</v>
      </c>
      <c r="J2483" t="s">
        <v>2607</v>
      </c>
    </row>
    <row r="2484" spans="1:12" x14ac:dyDescent="0.3">
      <c r="A2484" s="160">
        <v>26301</v>
      </c>
      <c r="B2484" t="s">
        <v>17620</v>
      </c>
      <c r="C2484" t="s">
        <v>794</v>
      </c>
      <c r="D2484">
        <v>0.5</v>
      </c>
      <c r="E2484">
        <v>0</v>
      </c>
      <c r="F2484">
        <f t="shared" si="38"/>
        <v>0.5</v>
      </c>
      <c r="I2484">
        <v>20230701</v>
      </c>
      <c r="J2484" t="s">
        <v>2592</v>
      </c>
    </row>
    <row r="2485" spans="1:12" x14ac:dyDescent="0.3">
      <c r="A2485" s="160">
        <v>26305</v>
      </c>
      <c r="B2485" t="s">
        <v>17621</v>
      </c>
      <c r="C2485" t="s">
        <v>2587</v>
      </c>
      <c r="D2485">
        <v>0.8</v>
      </c>
      <c r="E2485">
        <v>0</v>
      </c>
      <c r="F2485">
        <f t="shared" si="38"/>
        <v>0.8</v>
      </c>
      <c r="I2485">
        <v>20230101</v>
      </c>
      <c r="J2485" t="s">
        <v>2594</v>
      </c>
    </row>
    <row r="2486" spans="1:12" x14ac:dyDescent="0.3">
      <c r="A2486" s="160">
        <v>26310</v>
      </c>
      <c r="B2486" t="s">
        <v>17622</v>
      </c>
      <c r="C2486" t="s">
        <v>16007</v>
      </c>
      <c r="D2486">
        <v>1.5</v>
      </c>
      <c r="E2486">
        <v>0</v>
      </c>
      <c r="F2486">
        <f t="shared" si="38"/>
        <v>1.5</v>
      </c>
      <c r="I2486">
        <v>20240101</v>
      </c>
      <c r="J2486" t="s">
        <v>2607</v>
      </c>
    </row>
    <row r="2487" spans="1:12" x14ac:dyDescent="0.3">
      <c r="A2487" s="160">
        <v>26312</v>
      </c>
      <c r="B2487" t="s">
        <v>17623</v>
      </c>
      <c r="C2487" t="s">
        <v>2587</v>
      </c>
      <c r="D2487">
        <v>0.8</v>
      </c>
      <c r="E2487">
        <v>0</v>
      </c>
      <c r="F2487">
        <f t="shared" si="38"/>
        <v>0.8</v>
      </c>
      <c r="I2487">
        <v>20230101</v>
      </c>
      <c r="J2487" t="s">
        <v>2611</v>
      </c>
    </row>
    <row r="2488" spans="1:12" x14ac:dyDescent="0.3">
      <c r="A2488" s="160">
        <v>26313</v>
      </c>
      <c r="B2488" t="s">
        <v>17624</v>
      </c>
      <c r="C2488" t="s">
        <v>16007</v>
      </c>
      <c r="D2488">
        <v>1.5</v>
      </c>
      <c r="E2488">
        <v>0</v>
      </c>
      <c r="F2488">
        <f t="shared" si="38"/>
        <v>1.5</v>
      </c>
      <c r="I2488">
        <v>20240101</v>
      </c>
      <c r="J2488" t="s">
        <v>2629</v>
      </c>
      <c r="K2488" t="s">
        <v>2586</v>
      </c>
    </row>
    <row r="2489" spans="1:12" x14ac:dyDescent="0.3">
      <c r="A2489" s="160">
        <v>26319</v>
      </c>
      <c r="B2489" t="s">
        <v>17625</v>
      </c>
      <c r="C2489" t="s">
        <v>16007</v>
      </c>
      <c r="D2489">
        <v>1.5</v>
      </c>
      <c r="E2489">
        <v>0</v>
      </c>
      <c r="F2489">
        <f t="shared" si="38"/>
        <v>1.5</v>
      </c>
      <c r="I2489">
        <v>20240101</v>
      </c>
      <c r="J2489" t="s">
        <v>2618</v>
      </c>
      <c r="K2489" t="s">
        <v>2609</v>
      </c>
    </row>
    <row r="2490" spans="1:12" x14ac:dyDescent="0.3">
      <c r="A2490" s="160">
        <v>26323</v>
      </c>
      <c r="B2490" t="s">
        <v>17626</v>
      </c>
      <c r="C2490" t="s">
        <v>16007</v>
      </c>
      <c r="D2490">
        <v>1.5</v>
      </c>
      <c r="E2490">
        <v>0</v>
      </c>
      <c r="F2490">
        <f t="shared" si="38"/>
        <v>1.5</v>
      </c>
      <c r="I2490">
        <v>20240101</v>
      </c>
      <c r="J2490" t="s">
        <v>2609</v>
      </c>
    </row>
    <row r="2491" spans="1:12" x14ac:dyDescent="0.3">
      <c r="A2491" s="160">
        <v>26337</v>
      </c>
      <c r="B2491" t="s">
        <v>17627</v>
      </c>
      <c r="C2491" t="s">
        <v>2587</v>
      </c>
      <c r="D2491">
        <v>0.8</v>
      </c>
      <c r="E2491">
        <v>0</v>
      </c>
      <c r="F2491">
        <f t="shared" si="38"/>
        <v>0.8</v>
      </c>
      <c r="I2491">
        <v>20230101</v>
      </c>
      <c r="J2491" t="s">
        <v>2630</v>
      </c>
    </row>
    <row r="2492" spans="1:12" x14ac:dyDescent="0.3">
      <c r="A2492" s="160">
        <v>26338</v>
      </c>
      <c r="B2492" t="s">
        <v>17628</v>
      </c>
      <c r="C2492" t="s">
        <v>2587</v>
      </c>
      <c r="D2492">
        <v>0.8</v>
      </c>
      <c r="E2492">
        <v>0</v>
      </c>
      <c r="F2492">
        <f t="shared" si="38"/>
        <v>0.8</v>
      </c>
      <c r="I2492">
        <v>20230101</v>
      </c>
      <c r="J2492" t="s">
        <v>2611</v>
      </c>
    </row>
    <row r="2493" spans="1:12" x14ac:dyDescent="0.3">
      <c r="A2493" s="160">
        <v>26339</v>
      </c>
      <c r="B2493" t="s">
        <v>17629</v>
      </c>
      <c r="C2493" t="s">
        <v>2587</v>
      </c>
      <c r="D2493">
        <v>0.8</v>
      </c>
      <c r="E2493">
        <v>0</v>
      </c>
      <c r="F2493">
        <f t="shared" si="38"/>
        <v>0.8</v>
      </c>
      <c r="I2493">
        <v>20230101</v>
      </c>
      <c r="J2493" t="s">
        <v>2611</v>
      </c>
    </row>
    <row r="2494" spans="1:12" x14ac:dyDescent="0.3">
      <c r="A2494" s="160">
        <v>26341</v>
      </c>
      <c r="B2494" t="s">
        <v>17630</v>
      </c>
      <c r="C2494" t="s">
        <v>794</v>
      </c>
      <c r="D2494">
        <v>0.5</v>
      </c>
      <c r="E2494">
        <v>0</v>
      </c>
      <c r="F2494">
        <f t="shared" si="38"/>
        <v>0.5</v>
      </c>
      <c r="I2494">
        <v>20230701</v>
      </c>
      <c r="J2494" t="s">
        <v>2599</v>
      </c>
    </row>
    <row r="2495" spans="1:12" x14ac:dyDescent="0.3">
      <c r="A2495" s="160">
        <v>26347</v>
      </c>
      <c r="B2495" t="s">
        <v>17631</v>
      </c>
      <c r="C2495" t="s">
        <v>794</v>
      </c>
      <c r="D2495">
        <v>0.5</v>
      </c>
      <c r="E2495">
        <v>0</v>
      </c>
      <c r="F2495">
        <f t="shared" si="38"/>
        <v>0.5</v>
      </c>
      <c r="I2495">
        <v>20230701</v>
      </c>
      <c r="J2495" t="s">
        <v>2599</v>
      </c>
      <c r="K2495" t="s">
        <v>2600</v>
      </c>
      <c r="L2495" t="s">
        <v>2601</v>
      </c>
    </row>
    <row r="2496" spans="1:12" x14ac:dyDescent="0.3">
      <c r="A2496" s="160">
        <v>26352</v>
      </c>
      <c r="B2496" t="s">
        <v>17632</v>
      </c>
      <c r="C2496" t="s">
        <v>2587</v>
      </c>
      <c r="D2496">
        <v>0.8</v>
      </c>
      <c r="E2496">
        <v>0</v>
      </c>
      <c r="F2496">
        <f t="shared" si="38"/>
        <v>0.8</v>
      </c>
      <c r="I2496">
        <v>20230101</v>
      </c>
      <c r="J2496" t="s">
        <v>2594</v>
      </c>
    </row>
    <row r="2497" spans="1:49" x14ac:dyDescent="0.3">
      <c r="A2497" s="160">
        <v>26353</v>
      </c>
      <c r="B2497" t="s">
        <v>17633</v>
      </c>
      <c r="C2497" t="s">
        <v>2587</v>
      </c>
      <c r="D2497">
        <v>0.8</v>
      </c>
      <c r="E2497">
        <v>0</v>
      </c>
      <c r="F2497">
        <f t="shared" si="38"/>
        <v>0.8</v>
      </c>
      <c r="I2497">
        <v>20230101</v>
      </c>
      <c r="J2497" t="s">
        <v>2611</v>
      </c>
    </row>
    <row r="2498" spans="1:49" x14ac:dyDescent="0.3">
      <c r="A2498" s="160">
        <v>26355</v>
      </c>
      <c r="B2498" t="s">
        <v>17634</v>
      </c>
      <c r="C2498" t="s">
        <v>16007</v>
      </c>
      <c r="D2498">
        <v>1.5</v>
      </c>
      <c r="E2498">
        <v>0</v>
      </c>
      <c r="F2498">
        <f t="shared" si="38"/>
        <v>1.5</v>
      </c>
      <c r="I2498">
        <v>20240101</v>
      </c>
      <c r="J2498" t="s">
        <v>2609</v>
      </c>
    </row>
    <row r="2499" spans="1:49" x14ac:dyDescent="0.3">
      <c r="A2499" s="160">
        <v>26358</v>
      </c>
      <c r="B2499" t="s">
        <v>17635</v>
      </c>
      <c r="C2499" t="s">
        <v>16007</v>
      </c>
      <c r="D2499">
        <v>1.5</v>
      </c>
      <c r="E2499">
        <v>0</v>
      </c>
      <c r="F2499">
        <f t="shared" si="38"/>
        <v>1.5</v>
      </c>
      <c r="I2499">
        <v>20240101</v>
      </c>
      <c r="J2499" t="s">
        <v>2593</v>
      </c>
      <c r="K2499" t="s">
        <v>2597</v>
      </c>
    </row>
    <row r="2500" spans="1:49" x14ac:dyDescent="0.3">
      <c r="A2500" s="160">
        <v>26362</v>
      </c>
      <c r="B2500" t="s">
        <v>17636</v>
      </c>
      <c r="C2500" t="s">
        <v>16007</v>
      </c>
      <c r="D2500">
        <v>1.5</v>
      </c>
      <c r="E2500">
        <v>0</v>
      </c>
      <c r="F2500">
        <f t="shared" si="38"/>
        <v>1.5</v>
      </c>
      <c r="I2500">
        <v>20240101</v>
      </c>
      <c r="J2500" t="s">
        <v>2631</v>
      </c>
      <c r="K2500" t="s">
        <v>2632</v>
      </c>
      <c r="L2500" t="s">
        <v>2633</v>
      </c>
      <c r="M2500" t="s">
        <v>2634</v>
      </c>
      <c r="N2500" t="s">
        <v>2635</v>
      </c>
      <c r="O2500" t="s">
        <v>2581</v>
      </c>
      <c r="P2500" t="s">
        <v>2636</v>
      </c>
      <c r="Q2500" t="s">
        <v>2637</v>
      </c>
      <c r="R2500" t="s">
        <v>2638</v>
      </c>
      <c r="S2500" t="s">
        <v>2639</v>
      </c>
      <c r="T2500" t="s">
        <v>2640</v>
      </c>
      <c r="U2500" t="s">
        <v>2641</v>
      </c>
      <c r="V2500" t="s">
        <v>2642</v>
      </c>
      <c r="W2500" t="s">
        <v>2643</v>
      </c>
      <c r="X2500" t="s">
        <v>2644</v>
      </c>
      <c r="Y2500" t="s">
        <v>2645</v>
      </c>
      <c r="Z2500" t="s">
        <v>2646</v>
      </c>
      <c r="AA2500" t="s">
        <v>2647</v>
      </c>
      <c r="AB2500" t="s">
        <v>2648</v>
      </c>
      <c r="AC2500" t="s">
        <v>2649</v>
      </c>
      <c r="AD2500" t="s">
        <v>2650</v>
      </c>
      <c r="AE2500" t="s">
        <v>2651</v>
      </c>
      <c r="AF2500" t="s">
        <v>2652</v>
      </c>
      <c r="AG2500" t="s">
        <v>2653</v>
      </c>
      <c r="AH2500" t="s">
        <v>2654</v>
      </c>
      <c r="AI2500" t="s">
        <v>2655</v>
      </c>
      <c r="AJ2500" t="s">
        <v>2597</v>
      </c>
      <c r="AK2500" t="s">
        <v>2614</v>
      </c>
      <c r="AL2500" t="s">
        <v>2656</v>
      </c>
      <c r="AM2500" t="s">
        <v>2615</v>
      </c>
      <c r="AN2500" t="s">
        <v>2598</v>
      </c>
      <c r="AO2500" t="s">
        <v>2657</v>
      </c>
      <c r="AP2500" t="s">
        <v>2584</v>
      </c>
      <c r="AQ2500" t="s">
        <v>2658</v>
      </c>
      <c r="AR2500" t="s">
        <v>2659</v>
      </c>
      <c r="AS2500" t="s">
        <v>2660</v>
      </c>
      <c r="AT2500" t="s">
        <v>2661</v>
      </c>
      <c r="AU2500" t="s">
        <v>2662</v>
      </c>
      <c r="AV2500" t="s">
        <v>2663</v>
      </c>
      <c r="AW2500" t="s">
        <v>2664</v>
      </c>
    </row>
    <row r="2501" spans="1:49" x14ac:dyDescent="0.3">
      <c r="A2501" s="160">
        <v>26379</v>
      </c>
      <c r="B2501" t="s">
        <v>17637</v>
      </c>
      <c r="C2501" t="s">
        <v>16007</v>
      </c>
      <c r="D2501">
        <v>1.5</v>
      </c>
      <c r="E2501">
        <v>0</v>
      </c>
      <c r="F2501">
        <f t="shared" si="38"/>
        <v>1.5</v>
      </c>
      <c r="I2501">
        <v>20240101</v>
      </c>
      <c r="J2501" t="s">
        <v>2599</v>
      </c>
    </row>
    <row r="2502" spans="1:49" x14ac:dyDescent="0.3">
      <c r="A2502" s="160">
        <v>26380</v>
      </c>
      <c r="B2502" t="s">
        <v>17638</v>
      </c>
      <c r="C2502" t="s">
        <v>794</v>
      </c>
      <c r="D2502">
        <v>0.5</v>
      </c>
      <c r="E2502">
        <v>0</v>
      </c>
      <c r="F2502">
        <f t="shared" si="38"/>
        <v>0.5</v>
      </c>
      <c r="I2502">
        <v>20230701</v>
      </c>
      <c r="J2502" t="s">
        <v>2599</v>
      </c>
    </row>
    <row r="2503" spans="1:49" x14ac:dyDescent="0.3">
      <c r="A2503" s="160">
        <v>26381</v>
      </c>
      <c r="B2503" t="s">
        <v>17639</v>
      </c>
      <c r="C2503" t="s">
        <v>16007</v>
      </c>
      <c r="D2503">
        <v>1.5</v>
      </c>
      <c r="E2503">
        <v>0</v>
      </c>
      <c r="F2503">
        <f t="shared" ref="F2503:F2566" si="39">D2503+E2503</f>
        <v>1.5</v>
      </c>
      <c r="I2503">
        <v>20240101</v>
      </c>
      <c r="J2503" t="s">
        <v>2582</v>
      </c>
    </row>
    <row r="2504" spans="1:49" x14ac:dyDescent="0.3">
      <c r="A2504" s="160">
        <v>26382</v>
      </c>
      <c r="B2504" t="s">
        <v>17640</v>
      </c>
      <c r="C2504" t="s">
        <v>16007</v>
      </c>
      <c r="D2504">
        <v>1.5</v>
      </c>
      <c r="E2504">
        <v>0</v>
      </c>
      <c r="F2504">
        <f t="shared" si="39"/>
        <v>1.5</v>
      </c>
      <c r="I2504">
        <v>20240101</v>
      </c>
      <c r="J2504" t="s">
        <v>2582</v>
      </c>
    </row>
    <row r="2505" spans="1:49" x14ac:dyDescent="0.3">
      <c r="A2505" s="160">
        <v>27002</v>
      </c>
      <c r="B2505" t="s">
        <v>17641</v>
      </c>
      <c r="C2505" t="s">
        <v>2665</v>
      </c>
      <c r="D2505">
        <v>1.05</v>
      </c>
      <c r="E2505">
        <v>0</v>
      </c>
      <c r="F2505">
        <f t="shared" si="39"/>
        <v>1.05</v>
      </c>
      <c r="I2505">
        <v>20250101</v>
      </c>
      <c r="J2505" t="s">
        <v>2666</v>
      </c>
    </row>
    <row r="2506" spans="1:49" x14ac:dyDescent="0.3">
      <c r="A2506" s="160">
        <v>27003</v>
      </c>
      <c r="B2506" t="s">
        <v>17642</v>
      </c>
      <c r="C2506" t="s">
        <v>2667</v>
      </c>
      <c r="D2506">
        <v>0.9</v>
      </c>
      <c r="E2506">
        <v>0</v>
      </c>
      <c r="F2506">
        <f t="shared" si="39"/>
        <v>0.9</v>
      </c>
      <c r="I2506">
        <v>20120101</v>
      </c>
      <c r="J2506" t="s">
        <v>2668</v>
      </c>
      <c r="K2506" t="s">
        <v>2669</v>
      </c>
    </row>
    <row r="2507" spans="1:49" x14ac:dyDescent="0.3">
      <c r="A2507" s="160">
        <v>27004</v>
      </c>
      <c r="B2507" t="s">
        <v>17643</v>
      </c>
      <c r="C2507" t="s">
        <v>2670</v>
      </c>
      <c r="D2507">
        <v>0.75</v>
      </c>
      <c r="E2507">
        <v>0</v>
      </c>
      <c r="F2507">
        <f t="shared" si="39"/>
        <v>0.75</v>
      </c>
      <c r="I2507">
        <v>20240101</v>
      </c>
      <c r="J2507" t="s">
        <v>2671</v>
      </c>
    </row>
    <row r="2508" spans="1:49" x14ac:dyDescent="0.3">
      <c r="A2508" s="160">
        <v>27005</v>
      </c>
      <c r="B2508" t="s">
        <v>17644</v>
      </c>
      <c r="C2508" t="s">
        <v>2667</v>
      </c>
      <c r="D2508">
        <v>0.9</v>
      </c>
      <c r="E2508">
        <v>0</v>
      </c>
      <c r="F2508">
        <f t="shared" si="39"/>
        <v>0.9</v>
      </c>
      <c r="I2508">
        <v>20220701</v>
      </c>
      <c r="J2508" t="s">
        <v>2672</v>
      </c>
    </row>
    <row r="2509" spans="1:49" x14ac:dyDescent="0.3">
      <c r="A2509" s="160">
        <v>27008</v>
      </c>
      <c r="B2509" t="s">
        <v>17645</v>
      </c>
      <c r="C2509" t="s">
        <v>2667</v>
      </c>
      <c r="D2509">
        <v>0.9</v>
      </c>
      <c r="E2509">
        <v>0</v>
      </c>
      <c r="F2509">
        <f t="shared" si="39"/>
        <v>0.9</v>
      </c>
      <c r="I2509">
        <v>20130401</v>
      </c>
      <c r="J2509" t="s">
        <v>2673</v>
      </c>
      <c r="K2509" t="s">
        <v>2674</v>
      </c>
    </row>
    <row r="2510" spans="1:49" x14ac:dyDescent="0.3">
      <c r="A2510" s="160">
        <v>27013</v>
      </c>
      <c r="B2510" t="s">
        <v>17646</v>
      </c>
      <c r="C2510" t="s">
        <v>2667</v>
      </c>
      <c r="D2510">
        <v>0.9</v>
      </c>
      <c r="E2510">
        <v>0</v>
      </c>
      <c r="F2510">
        <f t="shared" si="39"/>
        <v>0.9</v>
      </c>
      <c r="I2510">
        <v>20120101</v>
      </c>
      <c r="J2510" t="s">
        <v>2675</v>
      </c>
    </row>
    <row r="2511" spans="1:49" x14ac:dyDescent="0.3">
      <c r="A2511" s="160">
        <v>27014</v>
      </c>
      <c r="B2511" t="s">
        <v>17647</v>
      </c>
      <c r="C2511" t="s">
        <v>2667</v>
      </c>
      <c r="D2511">
        <v>0.9</v>
      </c>
      <c r="E2511">
        <v>0</v>
      </c>
      <c r="F2511">
        <f t="shared" si="39"/>
        <v>0.9</v>
      </c>
      <c r="I2511">
        <v>20120101</v>
      </c>
      <c r="J2511" t="s">
        <v>2668</v>
      </c>
      <c r="K2511" t="s">
        <v>2676</v>
      </c>
    </row>
    <row r="2512" spans="1:49" x14ac:dyDescent="0.3">
      <c r="A2512" s="160">
        <v>27015</v>
      </c>
      <c r="B2512" t="s">
        <v>17648</v>
      </c>
      <c r="C2512" t="s">
        <v>2667</v>
      </c>
      <c r="D2512">
        <v>0.9</v>
      </c>
      <c r="E2512">
        <v>0</v>
      </c>
      <c r="F2512">
        <f t="shared" si="39"/>
        <v>0.9</v>
      </c>
      <c r="I2512">
        <v>20120101</v>
      </c>
      <c r="J2512" t="s">
        <v>2677</v>
      </c>
      <c r="K2512" t="s">
        <v>2678</v>
      </c>
      <c r="L2512" t="s">
        <v>2679</v>
      </c>
    </row>
    <row r="2513" spans="1:15" x14ac:dyDescent="0.3">
      <c r="A2513" s="160">
        <v>27016</v>
      </c>
      <c r="B2513" t="s">
        <v>17649</v>
      </c>
      <c r="C2513" t="s">
        <v>2670</v>
      </c>
      <c r="D2513">
        <v>0.75</v>
      </c>
      <c r="E2513">
        <v>0</v>
      </c>
      <c r="F2513">
        <f t="shared" si="39"/>
        <v>0.75</v>
      </c>
      <c r="I2513">
        <v>20240101</v>
      </c>
      <c r="J2513" t="s">
        <v>2680</v>
      </c>
      <c r="K2513" t="s">
        <v>2681</v>
      </c>
      <c r="L2513" t="s">
        <v>2682</v>
      </c>
      <c r="M2513" t="s">
        <v>2683</v>
      </c>
      <c r="N2513" t="s">
        <v>2684</v>
      </c>
    </row>
    <row r="2514" spans="1:15" x14ac:dyDescent="0.3">
      <c r="A2514" s="160">
        <v>27017</v>
      </c>
      <c r="B2514" t="s">
        <v>17650</v>
      </c>
      <c r="C2514" t="s">
        <v>2665</v>
      </c>
      <c r="D2514">
        <v>1.05</v>
      </c>
      <c r="E2514">
        <v>0</v>
      </c>
      <c r="F2514">
        <f t="shared" si="39"/>
        <v>1.05</v>
      </c>
      <c r="I2514">
        <v>20250101</v>
      </c>
      <c r="J2514" t="s">
        <v>2685</v>
      </c>
      <c r="K2514" t="s">
        <v>2686</v>
      </c>
      <c r="L2514" t="s">
        <v>2687</v>
      </c>
      <c r="M2514" t="s">
        <v>2688</v>
      </c>
      <c r="N2514" t="s">
        <v>2689</v>
      </c>
      <c r="O2514" t="s">
        <v>2690</v>
      </c>
    </row>
    <row r="2515" spans="1:15" x14ac:dyDescent="0.3">
      <c r="A2515" s="160">
        <v>27020</v>
      </c>
      <c r="B2515" t="s">
        <v>17651</v>
      </c>
      <c r="C2515" t="s">
        <v>2665</v>
      </c>
      <c r="D2515">
        <v>1.05</v>
      </c>
      <c r="E2515">
        <v>0</v>
      </c>
      <c r="F2515">
        <f t="shared" si="39"/>
        <v>1.05</v>
      </c>
      <c r="I2515">
        <v>20250101</v>
      </c>
      <c r="J2515" t="s">
        <v>2691</v>
      </c>
      <c r="K2515" t="s">
        <v>2692</v>
      </c>
    </row>
    <row r="2516" spans="1:15" x14ac:dyDescent="0.3">
      <c r="A2516" s="160">
        <v>27022</v>
      </c>
      <c r="B2516" t="s">
        <v>17652</v>
      </c>
      <c r="C2516" t="s">
        <v>2667</v>
      </c>
      <c r="D2516">
        <v>0.9</v>
      </c>
      <c r="E2516">
        <v>0</v>
      </c>
      <c r="F2516">
        <f t="shared" si="39"/>
        <v>0.9</v>
      </c>
      <c r="I2516">
        <v>20220701</v>
      </c>
      <c r="J2516" t="s">
        <v>2672</v>
      </c>
      <c r="K2516" t="s">
        <v>2693</v>
      </c>
    </row>
    <row r="2517" spans="1:15" x14ac:dyDescent="0.3">
      <c r="A2517" s="160">
        <v>27025</v>
      </c>
      <c r="B2517" t="s">
        <v>17653</v>
      </c>
      <c r="C2517" t="s">
        <v>2667</v>
      </c>
      <c r="D2517">
        <v>0.9</v>
      </c>
      <c r="E2517">
        <v>0</v>
      </c>
      <c r="F2517">
        <f t="shared" si="39"/>
        <v>0.9</v>
      </c>
      <c r="I2517">
        <v>20220701</v>
      </c>
      <c r="J2517" t="s">
        <v>2694</v>
      </c>
    </row>
    <row r="2518" spans="1:15" x14ac:dyDescent="0.3">
      <c r="A2518" s="160">
        <v>27027</v>
      </c>
      <c r="B2518" t="s">
        <v>17654</v>
      </c>
      <c r="C2518" t="s">
        <v>2665</v>
      </c>
      <c r="D2518">
        <v>1.05</v>
      </c>
      <c r="E2518">
        <v>0</v>
      </c>
      <c r="F2518">
        <f t="shared" si="39"/>
        <v>1.05</v>
      </c>
      <c r="I2518">
        <v>20250101</v>
      </c>
      <c r="J2518" t="s">
        <v>2695</v>
      </c>
    </row>
    <row r="2519" spans="1:15" x14ac:dyDescent="0.3">
      <c r="A2519" s="160">
        <v>27031</v>
      </c>
      <c r="B2519" t="s">
        <v>17655</v>
      </c>
      <c r="C2519" t="s">
        <v>2665</v>
      </c>
      <c r="D2519">
        <v>1.05</v>
      </c>
      <c r="E2519">
        <v>0</v>
      </c>
      <c r="F2519">
        <f t="shared" si="39"/>
        <v>1.05</v>
      </c>
      <c r="I2519">
        <v>20250101</v>
      </c>
      <c r="J2519" t="s">
        <v>2690</v>
      </c>
      <c r="K2519" t="s">
        <v>2696</v>
      </c>
    </row>
    <row r="2520" spans="1:15" x14ac:dyDescent="0.3">
      <c r="A2520" s="160">
        <v>27044</v>
      </c>
      <c r="B2520" t="s">
        <v>17656</v>
      </c>
      <c r="C2520" t="s">
        <v>2665</v>
      </c>
      <c r="D2520">
        <v>1.05</v>
      </c>
      <c r="E2520">
        <v>0</v>
      </c>
      <c r="F2520">
        <f t="shared" si="39"/>
        <v>1.05</v>
      </c>
      <c r="I2520">
        <v>20250101</v>
      </c>
      <c r="J2520" t="s">
        <v>2692</v>
      </c>
    </row>
    <row r="2521" spans="1:15" x14ac:dyDescent="0.3">
      <c r="A2521" s="160">
        <v>27053</v>
      </c>
      <c r="B2521" t="s">
        <v>17657</v>
      </c>
      <c r="C2521" t="s">
        <v>2667</v>
      </c>
      <c r="D2521">
        <v>0.9</v>
      </c>
      <c r="E2521">
        <v>0</v>
      </c>
      <c r="F2521">
        <f t="shared" si="39"/>
        <v>0.9</v>
      </c>
      <c r="I2521">
        <v>20200101</v>
      </c>
      <c r="J2521" t="s">
        <v>2697</v>
      </c>
    </row>
    <row r="2522" spans="1:15" x14ac:dyDescent="0.3">
      <c r="A2522" s="160">
        <v>27070</v>
      </c>
      <c r="B2522" t="s">
        <v>17658</v>
      </c>
      <c r="C2522" t="s">
        <v>2670</v>
      </c>
      <c r="D2522">
        <v>0.75</v>
      </c>
      <c r="E2522">
        <v>0</v>
      </c>
      <c r="F2522">
        <f t="shared" si="39"/>
        <v>0.75</v>
      </c>
      <c r="I2522">
        <v>20240101</v>
      </c>
      <c r="J2522" t="s">
        <v>2698</v>
      </c>
    </row>
    <row r="2523" spans="1:15" x14ac:dyDescent="0.3">
      <c r="A2523" s="160">
        <v>27072</v>
      </c>
      <c r="B2523" t="s">
        <v>17659</v>
      </c>
      <c r="C2523" t="s">
        <v>2670</v>
      </c>
      <c r="D2523">
        <v>0.75</v>
      </c>
      <c r="E2523">
        <v>0</v>
      </c>
      <c r="F2523">
        <f t="shared" si="39"/>
        <v>0.75</v>
      </c>
      <c r="I2523">
        <v>20240101</v>
      </c>
      <c r="J2523" t="s">
        <v>2699</v>
      </c>
    </row>
    <row r="2524" spans="1:15" x14ac:dyDescent="0.3">
      <c r="A2524" s="160">
        <v>27073</v>
      </c>
      <c r="B2524" t="s">
        <v>17660</v>
      </c>
      <c r="C2524" t="s">
        <v>2665</v>
      </c>
      <c r="D2524">
        <v>1.05</v>
      </c>
      <c r="E2524">
        <v>0</v>
      </c>
      <c r="F2524">
        <f t="shared" si="39"/>
        <v>1.05</v>
      </c>
      <c r="I2524">
        <v>20250101</v>
      </c>
      <c r="J2524" t="s">
        <v>2695</v>
      </c>
    </row>
    <row r="2525" spans="1:15" x14ac:dyDescent="0.3">
      <c r="A2525" s="160">
        <v>27076</v>
      </c>
      <c r="B2525" t="s">
        <v>17661</v>
      </c>
      <c r="C2525" t="s">
        <v>2670</v>
      </c>
      <c r="D2525">
        <v>0.75</v>
      </c>
      <c r="E2525">
        <v>0</v>
      </c>
      <c r="F2525">
        <f t="shared" si="39"/>
        <v>0.75</v>
      </c>
      <c r="I2525">
        <v>20240101</v>
      </c>
      <c r="J2525" t="s">
        <v>2671</v>
      </c>
    </row>
    <row r="2526" spans="1:15" x14ac:dyDescent="0.3">
      <c r="A2526" s="160">
        <v>27078</v>
      </c>
      <c r="B2526" t="s">
        <v>17662</v>
      </c>
      <c r="C2526" t="s">
        <v>2670</v>
      </c>
      <c r="D2526">
        <v>0.75</v>
      </c>
      <c r="E2526">
        <v>0</v>
      </c>
      <c r="F2526">
        <f t="shared" si="39"/>
        <v>0.75</v>
      </c>
      <c r="I2526">
        <v>20240101</v>
      </c>
      <c r="J2526" t="s">
        <v>2695</v>
      </c>
    </row>
    <row r="2527" spans="1:15" x14ac:dyDescent="0.3">
      <c r="A2527" s="160">
        <v>27081</v>
      </c>
      <c r="B2527" t="s">
        <v>17663</v>
      </c>
      <c r="C2527" t="s">
        <v>2665</v>
      </c>
      <c r="D2527">
        <v>1.05</v>
      </c>
      <c r="E2527">
        <v>0</v>
      </c>
      <c r="F2527">
        <f t="shared" si="39"/>
        <v>1.05</v>
      </c>
      <c r="I2527">
        <v>20250101</v>
      </c>
      <c r="J2527" t="s">
        <v>2671</v>
      </c>
    </row>
    <row r="2528" spans="1:15" x14ac:dyDescent="0.3">
      <c r="A2528" s="160">
        <v>27097</v>
      </c>
      <c r="B2528" t="s">
        <v>17664</v>
      </c>
      <c r="C2528" t="s">
        <v>2670</v>
      </c>
      <c r="D2528">
        <v>0.75</v>
      </c>
      <c r="E2528">
        <v>0</v>
      </c>
      <c r="F2528">
        <f t="shared" si="39"/>
        <v>0.75</v>
      </c>
      <c r="I2528">
        <v>20240101</v>
      </c>
      <c r="J2528" t="s">
        <v>2680</v>
      </c>
      <c r="K2528" t="s">
        <v>2684</v>
      </c>
    </row>
    <row r="2529" spans="1:12" x14ac:dyDescent="0.3">
      <c r="A2529" s="160">
        <v>27099</v>
      </c>
      <c r="B2529" t="s">
        <v>17665</v>
      </c>
      <c r="C2529" t="s">
        <v>2665</v>
      </c>
      <c r="D2529">
        <v>1.05</v>
      </c>
      <c r="E2529">
        <v>0</v>
      </c>
      <c r="F2529">
        <f t="shared" si="39"/>
        <v>1.05</v>
      </c>
      <c r="I2529">
        <v>20250101</v>
      </c>
      <c r="J2529" t="s">
        <v>2690</v>
      </c>
      <c r="K2529" t="s">
        <v>2700</v>
      </c>
      <c r="L2529" t="s">
        <v>2696</v>
      </c>
    </row>
    <row r="2530" spans="1:12" x14ac:dyDescent="0.3">
      <c r="A2530" s="160">
        <v>27111</v>
      </c>
      <c r="B2530" t="s">
        <v>17666</v>
      </c>
      <c r="C2530" t="s">
        <v>2665</v>
      </c>
      <c r="D2530">
        <v>1.05</v>
      </c>
      <c r="E2530">
        <v>0</v>
      </c>
      <c r="F2530">
        <f t="shared" si="39"/>
        <v>1.05</v>
      </c>
      <c r="I2530">
        <v>20250101</v>
      </c>
      <c r="J2530" t="s">
        <v>2695</v>
      </c>
    </row>
    <row r="2531" spans="1:12" x14ac:dyDescent="0.3">
      <c r="A2531" s="160">
        <v>27114</v>
      </c>
      <c r="B2531" t="s">
        <v>17667</v>
      </c>
      <c r="C2531" t="s">
        <v>2670</v>
      </c>
      <c r="D2531">
        <v>0.75</v>
      </c>
      <c r="E2531">
        <v>0</v>
      </c>
      <c r="F2531">
        <f t="shared" si="39"/>
        <v>0.75</v>
      </c>
      <c r="I2531">
        <v>20240101</v>
      </c>
      <c r="J2531" t="s">
        <v>2701</v>
      </c>
      <c r="K2531" t="s">
        <v>2702</v>
      </c>
    </row>
    <row r="2532" spans="1:12" x14ac:dyDescent="0.3">
      <c r="A2532" s="160">
        <v>27119</v>
      </c>
      <c r="B2532" t="s">
        <v>17668</v>
      </c>
      <c r="C2532" t="s">
        <v>2670</v>
      </c>
      <c r="D2532">
        <v>0.75</v>
      </c>
      <c r="E2532">
        <v>0</v>
      </c>
      <c r="F2532">
        <f t="shared" si="39"/>
        <v>0.75</v>
      </c>
      <c r="I2532">
        <v>20240101</v>
      </c>
      <c r="J2532" t="s">
        <v>2703</v>
      </c>
    </row>
    <row r="2533" spans="1:12" x14ac:dyDescent="0.3">
      <c r="A2533" s="160">
        <v>27123</v>
      </c>
      <c r="B2533" t="s">
        <v>17669</v>
      </c>
      <c r="C2533" t="s">
        <v>2670</v>
      </c>
      <c r="D2533">
        <v>0.75</v>
      </c>
      <c r="E2533">
        <v>0</v>
      </c>
      <c r="F2533">
        <f t="shared" si="39"/>
        <v>0.75</v>
      </c>
      <c r="I2533">
        <v>20240101</v>
      </c>
      <c r="J2533" t="s">
        <v>2671</v>
      </c>
    </row>
    <row r="2534" spans="1:12" x14ac:dyDescent="0.3">
      <c r="A2534" s="160">
        <v>27124</v>
      </c>
      <c r="B2534" t="s">
        <v>17670</v>
      </c>
      <c r="C2534" t="s">
        <v>2667</v>
      </c>
      <c r="D2534">
        <v>0.9</v>
      </c>
      <c r="E2534">
        <v>0</v>
      </c>
      <c r="F2534">
        <f t="shared" si="39"/>
        <v>0.9</v>
      </c>
      <c r="I2534">
        <v>20220701</v>
      </c>
      <c r="J2534" t="s">
        <v>2694</v>
      </c>
    </row>
    <row r="2535" spans="1:12" x14ac:dyDescent="0.3">
      <c r="A2535" s="160">
        <v>27132</v>
      </c>
      <c r="B2535" t="s">
        <v>17671</v>
      </c>
      <c r="C2535" t="s">
        <v>2665</v>
      </c>
      <c r="D2535">
        <v>1.05</v>
      </c>
      <c r="E2535">
        <v>0</v>
      </c>
      <c r="F2535">
        <f t="shared" si="39"/>
        <v>1.05</v>
      </c>
      <c r="I2535">
        <v>20250101</v>
      </c>
      <c r="J2535" t="s">
        <v>2704</v>
      </c>
      <c r="K2535" t="s">
        <v>2692</v>
      </c>
    </row>
    <row r="2536" spans="1:12" x14ac:dyDescent="0.3">
      <c r="A2536" s="160">
        <v>27136</v>
      </c>
      <c r="B2536" t="s">
        <v>17672</v>
      </c>
      <c r="C2536" t="s">
        <v>2670</v>
      </c>
      <c r="D2536">
        <v>0.75</v>
      </c>
      <c r="E2536">
        <v>0</v>
      </c>
      <c r="F2536">
        <f t="shared" si="39"/>
        <v>0.75</v>
      </c>
      <c r="I2536">
        <v>20240101</v>
      </c>
      <c r="J2536" t="s">
        <v>2671</v>
      </c>
      <c r="K2536" t="s">
        <v>2701</v>
      </c>
    </row>
    <row r="2537" spans="1:12" x14ac:dyDescent="0.3">
      <c r="A2537" s="160">
        <v>27140</v>
      </c>
      <c r="B2537" t="s">
        <v>17673</v>
      </c>
      <c r="C2537" t="s">
        <v>2670</v>
      </c>
      <c r="D2537">
        <v>0.75</v>
      </c>
      <c r="E2537">
        <v>0</v>
      </c>
      <c r="F2537">
        <f t="shared" si="39"/>
        <v>0.75</v>
      </c>
      <c r="I2537">
        <v>20240101</v>
      </c>
      <c r="J2537" t="s">
        <v>2671</v>
      </c>
    </row>
    <row r="2538" spans="1:12" x14ac:dyDescent="0.3">
      <c r="A2538" s="160">
        <v>27142</v>
      </c>
      <c r="B2538" t="s">
        <v>17674</v>
      </c>
      <c r="C2538" t="s">
        <v>2667</v>
      </c>
      <c r="D2538">
        <v>0.9</v>
      </c>
      <c r="E2538">
        <v>0</v>
      </c>
      <c r="F2538">
        <f t="shared" si="39"/>
        <v>0.9</v>
      </c>
      <c r="I2538">
        <v>20220701</v>
      </c>
      <c r="J2538" t="s">
        <v>2672</v>
      </c>
      <c r="K2538" t="s">
        <v>2705</v>
      </c>
    </row>
    <row r="2539" spans="1:12" x14ac:dyDescent="0.3">
      <c r="A2539" s="160">
        <v>27144</v>
      </c>
      <c r="B2539" t="s">
        <v>17675</v>
      </c>
      <c r="C2539" t="s">
        <v>2665</v>
      </c>
      <c r="D2539">
        <v>1.05</v>
      </c>
      <c r="E2539">
        <v>0</v>
      </c>
      <c r="F2539">
        <f t="shared" si="39"/>
        <v>1.05</v>
      </c>
      <c r="I2539">
        <v>20250101</v>
      </c>
      <c r="J2539" t="s">
        <v>2695</v>
      </c>
    </row>
    <row r="2540" spans="1:12" x14ac:dyDescent="0.3">
      <c r="A2540" s="160">
        <v>27147</v>
      </c>
      <c r="B2540" t="s">
        <v>17676</v>
      </c>
      <c r="C2540" t="s">
        <v>2665</v>
      </c>
      <c r="D2540">
        <v>1.05</v>
      </c>
      <c r="E2540">
        <v>0</v>
      </c>
      <c r="F2540">
        <f t="shared" si="39"/>
        <v>1.05</v>
      </c>
      <c r="I2540">
        <v>20250101</v>
      </c>
      <c r="J2540" t="s">
        <v>2690</v>
      </c>
      <c r="K2540" t="s">
        <v>2700</v>
      </c>
    </row>
    <row r="2541" spans="1:12" x14ac:dyDescent="0.3">
      <c r="A2541" s="160">
        <v>27150</v>
      </c>
      <c r="B2541" t="s">
        <v>17677</v>
      </c>
      <c r="C2541" t="s">
        <v>2670</v>
      </c>
      <c r="D2541">
        <v>0.75</v>
      </c>
      <c r="E2541">
        <v>0</v>
      </c>
      <c r="F2541">
        <f t="shared" si="39"/>
        <v>0.75</v>
      </c>
      <c r="I2541">
        <v>20240101</v>
      </c>
      <c r="J2541" t="s">
        <v>2706</v>
      </c>
    </row>
    <row r="2542" spans="1:12" x14ac:dyDescent="0.3">
      <c r="A2542" s="160">
        <v>27154</v>
      </c>
      <c r="B2542" t="s">
        <v>17678</v>
      </c>
      <c r="C2542" t="s">
        <v>2665</v>
      </c>
      <c r="D2542">
        <v>1.05</v>
      </c>
      <c r="E2542">
        <v>0</v>
      </c>
      <c r="F2542">
        <f t="shared" si="39"/>
        <v>1.05</v>
      </c>
      <c r="I2542">
        <v>20250101</v>
      </c>
      <c r="J2542" t="s">
        <v>2695</v>
      </c>
    </row>
    <row r="2543" spans="1:12" x14ac:dyDescent="0.3">
      <c r="A2543" s="160">
        <v>27158</v>
      </c>
      <c r="B2543" t="s">
        <v>17679</v>
      </c>
      <c r="C2543" t="s">
        <v>2665</v>
      </c>
      <c r="D2543">
        <v>1.05</v>
      </c>
      <c r="E2543">
        <v>0</v>
      </c>
      <c r="F2543">
        <f t="shared" si="39"/>
        <v>1.05</v>
      </c>
      <c r="I2543">
        <v>20250101</v>
      </c>
      <c r="J2543" t="s">
        <v>2690</v>
      </c>
    </row>
    <row r="2544" spans="1:12" x14ac:dyDescent="0.3">
      <c r="A2544" s="160">
        <v>27168</v>
      </c>
      <c r="B2544" t="s">
        <v>17680</v>
      </c>
      <c r="C2544" t="s">
        <v>2667</v>
      </c>
      <c r="D2544">
        <v>0.9</v>
      </c>
      <c r="E2544">
        <v>0</v>
      </c>
      <c r="F2544">
        <f t="shared" si="39"/>
        <v>0.9</v>
      </c>
      <c r="I2544">
        <v>20120101</v>
      </c>
      <c r="J2544" t="s">
        <v>2679</v>
      </c>
    </row>
    <row r="2545" spans="1:12" x14ac:dyDescent="0.3">
      <c r="A2545" s="160">
        <v>27171</v>
      </c>
      <c r="B2545" t="s">
        <v>17681</v>
      </c>
      <c r="C2545" t="s">
        <v>2670</v>
      </c>
      <c r="D2545">
        <v>0.75</v>
      </c>
      <c r="E2545">
        <v>0</v>
      </c>
      <c r="F2545">
        <f t="shared" si="39"/>
        <v>0.75</v>
      </c>
      <c r="I2545">
        <v>20240101</v>
      </c>
      <c r="J2545" t="s">
        <v>2671</v>
      </c>
    </row>
    <row r="2546" spans="1:12" x14ac:dyDescent="0.3">
      <c r="A2546" s="160">
        <v>27177</v>
      </c>
      <c r="B2546" t="s">
        <v>17682</v>
      </c>
      <c r="C2546" t="s">
        <v>2665</v>
      </c>
      <c r="D2546">
        <v>1.05</v>
      </c>
      <c r="E2546">
        <v>0</v>
      </c>
      <c r="F2546">
        <f t="shared" si="39"/>
        <v>1.05</v>
      </c>
      <c r="I2546">
        <v>20250101</v>
      </c>
      <c r="J2546" t="s">
        <v>2695</v>
      </c>
    </row>
    <row r="2547" spans="1:12" x14ac:dyDescent="0.3">
      <c r="A2547" s="160">
        <v>27180</v>
      </c>
      <c r="B2547" t="s">
        <v>17683</v>
      </c>
      <c r="C2547" t="s">
        <v>2667</v>
      </c>
      <c r="D2547">
        <v>0.9</v>
      </c>
      <c r="E2547">
        <v>0</v>
      </c>
      <c r="F2547">
        <f t="shared" si="39"/>
        <v>0.9</v>
      </c>
      <c r="I2547">
        <v>20220701</v>
      </c>
      <c r="J2547" t="s">
        <v>2693</v>
      </c>
    </row>
    <row r="2548" spans="1:12" x14ac:dyDescent="0.3">
      <c r="A2548" s="160">
        <v>27181</v>
      </c>
      <c r="B2548" t="s">
        <v>17684</v>
      </c>
      <c r="C2548" t="s">
        <v>2665</v>
      </c>
      <c r="D2548">
        <v>1.05</v>
      </c>
      <c r="E2548">
        <v>0</v>
      </c>
      <c r="F2548">
        <f t="shared" si="39"/>
        <v>1.05</v>
      </c>
      <c r="I2548">
        <v>20250101</v>
      </c>
      <c r="J2548" t="s">
        <v>2707</v>
      </c>
    </row>
    <row r="2549" spans="1:12" x14ac:dyDescent="0.3">
      <c r="A2549" s="160">
        <v>27183</v>
      </c>
      <c r="B2549" t="s">
        <v>17685</v>
      </c>
      <c r="C2549" t="s">
        <v>2665</v>
      </c>
      <c r="D2549">
        <v>1.05</v>
      </c>
      <c r="E2549">
        <v>0</v>
      </c>
      <c r="F2549">
        <f t="shared" si="39"/>
        <v>1.05</v>
      </c>
      <c r="I2549">
        <v>20250101</v>
      </c>
      <c r="J2549" t="s">
        <v>2708</v>
      </c>
    </row>
    <row r="2550" spans="1:12" x14ac:dyDescent="0.3">
      <c r="A2550" s="160">
        <v>27184</v>
      </c>
      <c r="B2550" t="s">
        <v>17686</v>
      </c>
      <c r="C2550" t="s">
        <v>2667</v>
      </c>
      <c r="D2550">
        <v>0.9</v>
      </c>
      <c r="E2550">
        <v>0</v>
      </c>
      <c r="F2550">
        <f t="shared" si="39"/>
        <v>0.9</v>
      </c>
      <c r="I2550">
        <v>20120101</v>
      </c>
      <c r="J2550" t="s">
        <v>2668</v>
      </c>
    </row>
    <row r="2551" spans="1:12" x14ac:dyDescent="0.3">
      <c r="A2551" s="160">
        <v>27188</v>
      </c>
      <c r="B2551" t="s">
        <v>17687</v>
      </c>
      <c r="C2551" t="s">
        <v>2667</v>
      </c>
      <c r="D2551">
        <v>0.9</v>
      </c>
      <c r="E2551">
        <v>0</v>
      </c>
      <c r="F2551">
        <f t="shared" si="39"/>
        <v>0.9</v>
      </c>
      <c r="I2551">
        <v>20130401</v>
      </c>
      <c r="J2551" t="s">
        <v>2709</v>
      </c>
      <c r="K2551" t="s">
        <v>2710</v>
      </c>
      <c r="L2551" t="s">
        <v>2711</v>
      </c>
    </row>
    <row r="2552" spans="1:12" x14ac:dyDescent="0.3">
      <c r="A2552" s="160">
        <v>27190</v>
      </c>
      <c r="B2552" t="s">
        <v>17688</v>
      </c>
      <c r="C2552" t="s">
        <v>2670</v>
      </c>
      <c r="D2552">
        <v>0.75</v>
      </c>
      <c r="E2552">
        <v>0</v>
      </c>
      <c r="F2552">
        <f t="shared" si="39"/>
        <v>0.75</v>
      </c>
      <c r="I2552">
        <v>20240101</v>
      </c>
      <c r="J2552" t="s">
        <v>2671</v>
      </c>
      <c r="K2552" t="s">
        <v>2701</v>
      </c>
    </row>
    <row r="2553" spans="1:12" x14ac:dyDescent="0.3">
      <c r="A2553" s="160">
        <v>27191</v>
      </c>
      <c r="B2553" t="s">
        <v>17689</v>
      </c>
      <c r="C2553" t="s">
        <v>2667</v>
      </c>
      <c r="D2553">
        <v>0.9</v>
      </c>
      <c r="E2553">
        <v>0</v>
      </c>
      <c r="F2553">
        <f t="shared" si="39"/>
        <v>0.9</v>
      </c>
      <c r="I2553">
        <v>20220701</v>
      </c>
      <c r="J2553" t="s">
        <v>2694</v>
      </c>
    </row>
    <row r="2554" spans="1:12" x14ac:dyDescent="0.3">
      <c r="A2554" s="160">
        <v>27193</v>
      </c>
      <c r="B2554" t="s">
        <v>17690</v>
      </c>
      <c r="C2554" t="s">
        <v>2665</v>
      </c>
      <c r="D2554">
        <v>1.05</v>
      </c>
      <c r="E2554">
        <v>0</v>
      </c>
      <c r="F2554">
        <f t="shared" si="39"/>
        <v>1.05</v>
      </c>
      <c r="I2554">
        <v>20250101</v>
      </c>
      <c r="J2554" t="s">
        <v>2712</v>
      </c>
    </row>
    <row r="2555" spans="1:12" x14ac:dyDescent="0.3">
      <c r="A2555" s="160">
        <v>27194</v>
      </c>
      <c r="B2555" t="s">
        <v>16561</v>
      </c>
      <c r="C2555" t="s">
        <v>2670</v>
      </c>
      <c r="D2555">
        <v>0.75</v>
      </c>
      <c r="E2555">
        <v>0</v>
      </c>
      <c r="F2555">
        <f t="shared" si="39"/>
        <v>0.75</v>
      </c>
      <c r="I2555">
        <v>20240101</v>
      </c>
      <c r="J2555" t="s">
        <v>2680</v>
      </c>
    </row>
    <row r="2556" spans="1:12" x14ac:dyDescent="0.3">
      <c r="A2556" s="160">
        <v>27196</v>
      </c>
      <c r="B2556" t="s">
        <v>17691</v>
      </c>
      <c r="C2556" t="s">
        <v>2667</v>
      </c>
      <c r="D2556">
        <v>0.9</v>
      </c>
      <c r="E2556">
        <v>0</v>
      </c>
      <c r="F2556">
        <f t="shared" si="39"/>
        <v>0.9</v>
      </c>
      <c r="I2556">
        <v>20130401</v>
      </c>
      <c r="J2556" t="s">
        <v>2710</v>
      </c>
      <c r="K2556" t="s">
        <v>2711</v>
      </c>
    </row>
    <row r="2557" spans="1:12" x14ac:dyDescent="0.3">
      <c r="A2557" s="160">
        <v>27200</v>
      </c>
      <c r="B2557" t="s">
        <v>17692</v>
      </c>
      <c r="C2557" t="s">
        <v>2665</v>
      </c>
      <c r="D2557">
        <v>1.05</v>
      </c>
      <c r="E2557">
        <v>0</v>
      </c>
      <c r="F2557">
        <f t="shared" si="39"/>
        <v>1.05</v>
      </c>
      <c r="I2557">
        <v>20250101</v>
      </c>
      <c r="J2557" t="s">
        <v>2690</v>
      </c>
    </row>
    <row r="2558" spans="1:12" x14ac:dyDescent="0.3">
      <c r="A2558" s="160">
        <v>27202</v>
      </c>
      <c r="B2558" t="s">
        <v>17693</v>
      </c>
      <c r="C2558" t="s">
        <v>2670</v>
      </c>
      <c r="D2558">
        <v>0.75</v>
      </c>
      <c r="E2558">
        <v>0</v>
      </c>
      <c r="F2558">
        <f t="shared" si="39"/>
        <v>0.75</v>
      </c>
      <c r="I2558">
        <v>20240101</v>
      </c>
      <c r="J2558" t="s">
        <v>2679</v>
      </c>
    </row>
    <row r="2559" spans="1:12" x14ac:dyDescent="0.3">
      <c r="A2559" s="160">
        <v>27203</v>
      </c>
      <c r="B2559" t="s">
        <v>17694</v>
      </c>
      <c r="C2559" t="s">
        <v>2670</v>
      </c>
      <c r="D2559">
        <v>0.75</v>
      </c>
      <c r="E2559">
        <v>0</v>
      </c>
      <c r="F2559">
        <f t="shared" si="39"/>
        <v>0.75</v>
      </c>
      <c r="I2559">
        <v>20240101</v>
      </c>
      <c r="J2559" t="s">
        <v>2671</v>
      </c>
      <c r="K2559" t="s">
        <v>2701</v>
      </c>
    </row>
    <row r="2560" spans="1:12" x14ac:dyDescent="0.3">
      <c r="A2560" s="160">
        <v>27206</v>
      </c>
      <c r="B2560" t="s">
        <v>17695</v>
      </c>
      <c r="C2560" t="s">
        <v>2665</v>
      </c>
      <c r="D2560">
        <v>1.05</v>
      </c>
      <c r="E2560">
        <v>0</v>
      </c>
      <c r="F2560">
        <f t="shared" si="39"/>
        <v>1.05</v>
      </c>
      <c r="I2560">
        <v>20250101</v>
      </c>
      <c r="J2560" t="s">
        <v>2707</v>
      </c>
    </row>
    <row r="2561" spans="1:46" x14ac:dyDescent="0.3">
      <c r="A2561" s="160">
        <v>27213</v>
      </c>
      <c r="B2561" t="s">
        <v>17696</v>
      </c>
      <c r="C2561" t="s">
        <v>2670</v>
      </c>
      <c r="D2561">
        <v>0.75</v>
      </c>
      <c r="E2561">
        <v>0</v>
      </c>
      <c r="F2561">
        <f t="shared" si="39"/>
        <v>0.75</v>
      </c>
      <c r="I2561">
        <v>20240101</v>
      </c>
      <c r="J2561" t="s">
        <v>2713</v>
      </c>
      <c r="K2561" t="s">
        <v>2714</v>
      </c>
      <c r="L2561" t="s">
        <v>2715</v>
      </c>
    </row>
    <row r="2562" spans="1:46" x14ac:dyDescent="0.3">
      <c r="A2562" s="160">
        <v>27214</v>
      </c>
      <c r="B2562" t="s">
        <v>17697</v>
      </c>
      <c r="C2562" t="s">
        <v>2670</v>
      </c>
      <c r="D2562">
        <v>0.75</v>
      </c>
      <c r="E2562">
        <v>0</v>
      </c>
      <c r="F2562">
        <f t="shared" si="39"/>
        <v>0.75</v>
      </c>
      <c r="I2562">
        <v>20240101</v>
      </c>
      <c r="J2562" t="s">
        <v>2716</v>
      </c>
    </row>
    <row r="2563" spans="1:46" x14ac:dyDescent="0.3">
      <c r="A2563" s="160">
        <v>27216</v>
      </c>
      <c r="B2563" t="s">
        <v>17698</v>
      </c>
      <c r="C2563" t="s">
        <v>2665</v>
      </c>
      <c r="D2563">
        <v>1.05</v>
      </c>
      <c r="E2563">
        <v>0</v>
      </c>
      <c r="F2563">
        <f t="shared" si="39"/>
        <v>1.05</v>
      </c>
      <c r="I2563">
        <v>20250101</v>
      </c>
      <c r="J2563" t="s">
        <v>2690</v>
      </c>
      <c r="K2563" t="s">
        <v>2696</v>
      </c>
    </row>
    <row r="2564" spans="1:46" x14ac:dyDescent="0.3">
      <c r="A2564" s="160">
        <v>27220</v>
      </c>
      <c r="B2564" t="s">
        <v>15435</v>
      </c>
      <c r="C2564" t="s">
        <v>2665</v>
      </c>
      <c r="D2564">
        <v>1.05</v>
      </c>
      <c r="E2564">
        <v>0</v>
      </c>
      <c r="F2564">
        <f t="shared" si="39"/>
        <v>1.05</v>
      </c>
      <c r="I2564">
        <v>20250101</v>
      </c>
      <c r="J2564" t="s">
        <v>2703</v>
      </c>
    </row>
    <row r="2565" spans="1:46" x14ac:dyDescent="0.3">
      <c r="A2565" s="160">
        <v>27229</v>
      </c>
      <c r="B2565" t="s">
        <v>17699</v>
      </c>
      <c r="C2565" t="s">
        <v>2665</v>
      </c>
      <c r="D2565">
        <v>1.05</v>
      </c>
      <c r="E2565">
        <v>0</v>
      </c>
      <c r="F2565">
        <f t="shared" si="39"/>
        <v>1.05</v>
      </c>
      <c r="I2565">
        <v>20250101</v>
      </c>
      <c r="J2565" t="s">
        <v>2717</v>
      </c>
      <c r="K2565" t="s">
        <v>2718</v>
      </c>
      <c r="L2565" t="s">
        <v>2719</v>
      </c>
      <c r="M2565" t="s">
        <v>2720</v>
      </c>
      <c r="N2565" t="s">
        <v>2691</v>
      </c>
      <c r="O2565" t="s">
        <v>2721</v>
      </c>
      <c r="P2565" t="s">
        <v>2685</v>
      </c>
      <c r="Q2565" t="s">
        <v>2704</v>
      </c>
      <c r="R2565" t="s">
        <v>2722</v>
      </c>
      <c r="S2565" t="s">
        <v>2686</v>
      </c>
      <c r="T2565" t="s">
        <v>2723</v>
      </c>
      <c r="U2565" t="s">
        <v>2724</v>
      </c>
      <c r="V2565" t="s">
        <v>2725</v>
      </c>
      <c r="W2565" t="s">
        <v>2726</v>
      </c>
      <c r="X2565" t="s">
        <v>2727</v>
      </c>
      <c r="Y2565" t="s">
        <v>2728</v>
      </c>
      <c r="Z2565" t="s">
        <v>2729</v>
      </c>
      <c r="AA2565" t="s">
        <v>2730</v>
      </c>
      <c r="AB2565" t="s">
        <v>2731</v>
      </c>
      <c r="AC2565" t="s">
        <v>2732</v>
      </c>
      <c r="AD2565" t="s">
        <v>2733</v>
      </c>
      <c r="AE2565" t="s">
        <v>2734</v>
      </c>
      <c r="AF2565" t="s">
        <v>2735</v>
      </c>
      <c r="AG2565" t="s">
        <v>2736</v>
      </c>
      <c r="AH2565" t="s">
        <v>2687</v>
      </c>
      <c r="AI2565" t="s">
        <v>2737</v>
      </c>
      <c r="AJ2565" t="s">
        <v>2738</v>
      </c>
      <c r="AK2565" t="s">
        <v>2688</v>
      </c>
      <c r="AL2565" t="s">
        <v>2739</v>
      </c>
      <c r="AM2565" t="s">
        <v>2740</v>
      </c>
      <c r="AN2565" t="s">
        <v>2741</v>
      </c>
      <c r="AO2565" t="s">
        <v>2742</v>
      </c>
      <c r="AP2565" t="s">
        <v>2689</v>
      </c>
      <c r="AQ2565" t="s">
        <v>2743</v>
      </c>
      <c r="AR2565" t="s">
        <v>2744</v>
      </c>
      <c r="AS2565" t="s">
        <v>2700</v>
      </c>
      <c r="AT2565" t="s">
        <v>2696</v>
      </c>
    </row>
    <row r="2566" spans="1:46" x14ac:dyDescent="0.3">
      <c r="A2566" s="160">
        <v>27230</v>
      </c>
      <c r="B2566" t="s">
        <v>17700</v>
      </c>
      <c r="C2566" t="s">
        <v>2745</v>
      </c>
      <c r="D2566">
        <v>1.05</v>
      </c>
      <c r="E2566">
        <v>0</v>
      </c>
      <c r="F2566">
        <f t="shared" si="39"/>
        <v>1.05</v>
      </c>
      <c r="I2566">
        <v>20160701</v>
      </c>
      <c r="J2566" t="s">
        <v>2712</v>
      </c>
    </row>
    <row r="2567" spans="1:46" x14ac:dyDescent="0.3">
      <c r="A2567" s="160">
        <v>27231</v>
      </c>
      <c r="B2567" t="s">
        <v>17701</v>
      </c>
      <c r="C2567" t="s">
        <v>2670</v>
      </c>
      <c r="D2567">
        <v>0.75</v>
      </c>
      <c r="E2567">
        <v>0</v>
      </c>
      <c r="F2567">
        <f t="shared" ref="F2567:F2630" si="40">D2567+E2567</f>
        <v>0.75</v>
      </c>
      <c r="I2567">
        <v>20240101</v>
      </c>
      <c r="J2567" t="s">
        <v>2671</v>
      </c>
    </row>
    <row r="2568" spans="1:46" x14ac:dyDescent="0.3">
      <c r="A2568" s="160">
        <v>27234</v>
      </c>
      <c r="B2568" t="s">
        <v>17702</v>
      </c>
      <c r="C2568" t="s">
        <v>2665</v>
      </c>
      <c r="D2568">
        <v>1.05</v>
      </c>
      <c r="E2568">
        <v>0</v>
      </c>
      <c r="F2568">
        <f t="shared" si="40"/>
        <v>1.05</v>
      </c>
      <c r="I2568">
        <v>20250101</v>
      </c>
      <c r="J2568" t="s">
        <v>2691</v>
      </c>
      <c r="K2568" t="s">
        <v>2728</v>
      </c>
      <c r="L2568" t="s">
        <v>2690</v>
      </c>
    </row>
    <row r="2569" spans="1:46" x14ac:dyDescent="0.3">
      <c r="A2569" s="160">
        <v>27249</v>
      </c>
      <c r="B2569" t="s">
        <v>17703</v>
      </c>
      <c r="C2569" t="s">
        <v>2667</v>
      </c>
      <c r="D2569">
        <v>0.9</v>
      </c>
      <c r="E2569">
        <v>0</v>
      </c>
      <c r="F2569">
        <f t="shared" si="40"/>
        <v>0.9</v>
      </c>
      <c r="I2569">
        <v>20220701</v>
      </c>
      <c r="J2569" t="s">
        <v>2672</v>
      </c>
    </row>
    <row r="2570" spans="1:46" x14ac:dyDescent="0.3">
      <c r="A2570" s="160">
        <v>27254</v>
      </c>
      <c r="B2570" t="s">
        <v>17704</v>
      </c>
      <c r="C2570" t="s">
        <v>2665</v>
      </c>
      <c r="D2570">
        <v>1.05</v>
      </c>
      <c r="E2570">
        <v>0</v>
      </c>
      <c r="F2570">
        <f t="shared" si="40"/>
        <v>1.05</v>
      </c>
      <c r="I2570">
        <v>20250101</v>
      </c>
      <c r="J2570" t="s">
        <v>2671</v>
      </c>
    </row>
    <row r="2571" spans="1:46" x14ac:dyDescent="0.3">
      <c r="A2571" s="160">
        <v>27256</v>
      </c>
      <c r="B2571" t="s">
        <v>17705</v>
      </c>
      <c r="C2571" t="s">
        <v>2665</v>
      </c>
      <c r="D2571">
        <v>1.05</v>
      </c>
      <c r="E2571">
        <v>0</v>
      </c>
      <c r="F2571">
        <f t="shared" si="40"/>
        <v>1.05</v>
      </c>
      <c r="I2571">
        <v>20250101</v>
      </c>
      <c r="J2571" t="s">
        <v>2695</v>
      </c>
    </row>
    <row r="2572" spans="1:46" x14ac:dyDescent="0.3">
      <c r="A2572" s="160">
        <v>27259</v>
      </c>
      <c r="B2572" t="s">
        <v>17706</v>
      </c>
      <c r="C2572" t="s">
        <v>2665</v>
      </c>
      <c r="D2572">
        <v>1.05</v>
      </c>
      <c r="E2572">
        <v>0</v>
      </c>
      <c r="F2572">
        <f t="shared" si="40"/>
        <v>1.05</v>
      </c>
      <c r="I2572">
        <v>20250101</v>
      </c>
      <c r="J2572" t="s">
        <v>2695</v>
      </c>
    </row>
    <row r="2573" spans="1:46" x14ac:dyDescent="0.3">
      <c r="A2573" s="160">
        <v>27271</v>
      </c>
      <c r="B2573" t="s">
        <v>17707</v>
      </c>
      <c r="C2573" t="s">
        <v>2665</v>
      </c>
      <c r="D2573">
        <v>1.05</v>
      </c>
      <c r="E2573">
        <v>0</v>
      </c>
      <c r="F2573">
        <f t="shared" si="40"/>
        <v>1.05</v>
      </c>
      <c r="I2573">
        <v>20250101</v>
      </c>
      <c r="J2573" t="s">
        <v>2695</v>
      </c>
    </row>
    <row r="2574" spans="1:46" x14ac:dyDescent="0.3">
      <c r="A2574" s="160">
        <v>27273</v>
      </c>
      <c r="B2574" t="s">
        <v>17708</v>
      </c>
      <c r="C2574" t="s">
        <v>2670</v>
      </c>
      <c r="D2574">
        <v>0.75</v>
      </c>
      <c r="E2574">
        <v>0</v>
      </c>
      <c r="F2574">
        <f t="shared" si="40"/>
        <v>0.75</v>
      </c>
      <c r="I2574">
        <v>20240101</v>
      </c>
      <c r="J2574" t="s">
        <v>2671</v>
      </c>
      <c r="K2574" t="s">
        <v>2701</v>
      </c>
    </row>
    <row r="2575" spans="1:46" x14ac:dyDescent="0.3">
      <c r="A2575" s="160">
        <v>27275</v>
      </c>
      <c r="B2575" t="s">
        <v>17709</v>
      </c>
      <c r="C2575" t="s">
        <v>2667</v>
      </c>
      <c r="D2575">
        <v>0.9</v>
      </c>
      <c r="E2575">
        <v>0</v>
      </c>
      <c r="F2575">
        <f t="shared" si="40"/>
        <v>0.9</v>
      </c>
      <c r="I2575">
        <v>20220701</v>
      </c>
      <c r="J2575" t="s">
        <v>2672</v>
      </c>
      <c r="K2575" t="s">
        <v>2705</v>
      </c>
    </row>
    <row r="2576" spans="1:46" x14ac:dyDescent="0.3">
      <c r="A2576" s="160">
        <v>27277</v>
      </c>
      <c r="B2576" t="s">
        <v>17710</v>
      </c>
      <c r="C2576" t="s">
        <v>2665</v>
      </c>
      <c r="D2576">
        <v>1.05</v>
      </c>
      <c r="E2576">
        <v>0</v>
      </c>
      <c r="F2576">
        <f t="shared" si="40"/>
        <v>1.05</v>
      </c>
      <c r="I2576">
        <v>20250101</v>
      </c>
      <c r="J2576" t="s">
        <v>2695</v>
      </c>
    </row>
    <row r="2577" spans="1:25" x14ac:dyDescent="0.3">
      <c r="A2577" s="160">
        <v>27278</v>
      </c>
      <c r="B2577" t="s">
        <v>17711</v>
      </c>
      <c r="C2577" t="s">
        <v>2665</v>
      </c>
      <c r="D2577">
        <v>1.05</v>
      </c>
      <c r="E2577">
        <v>0</v>
      </c>
      <c r="F2577">
        <f t="shared" si="40"/>
        <v>1.05</v>
      </c>
      <c r="I2577">
        <v>20250101</v>
      </c>
      <c r="J2577" t="s">
        <v>2746</v>
      </c>
    </row>
    <row r="2578" spans="1:25" x14ac:dyDescent="0.3">
      <c r="A2578" s="160">
        <v>27279</v>
      </c>
      <c r="B2578" t="s">
        <v>17712</v>
      </c>
      <c r="C2578" t="s">
        <v>2670</v>
      </c>
      <c r="D2578">
        <v>0.75</v>
      </c>
      <c r="E2578">
        <v>0</v>
      </c>
      <c r="F2578">
        <f t="shared" si="40"/>
        <v>0.75</v>
      </c>
      <c r="I2578">
        <v>20240101</v>
      </c>
      <c r="J2578" t="s">
        <v>2699</v>
      </c>
    </row>
    <row r="2579" spans="1:25" x14ac:dyDescent="0.3">
      <c r="A2579" s="160">
        <v>27280</v>
      </c>
      <c r="B2579" t="s">
        <v>17713</v>
      </c>
      <c r="C2579" t="s">
        <v>2665</v>
      </c>
      <c r="D2579">
        <v>1.05</v>
      </c>
      <c r="E2579">
        <v>0</v>
      </c>
      <c r="F2579">
        <f t="shared" si="40"/>
        <v>1.05</v>
      </c>
      <c r="I2579">
        <v>20250101</v>
      </c>
      <c r="J2579" t="s">
        <v>2690</v>
      </c>
      <c r="K2579" t="s">
        <v>2747</v>
      </c>
    </row>
    <row r="2580" spans="1:25" x14ac:dyDescent="0.3">
      <c r="A2580" s="160">
        <v>27282</v>
      </c>
      <c r="B2580" t="s">
        <v>17714</v>
      </c>
      <c r="C2580" t="s">
        <v>2665</v>
      </c>
      <c r="D2580">
        <v>1.05</v>
      </c>
      <c r="E2580">
        <v>0</v>
      </c>
      <c r="F2580">
        <f t="shared" si="40"/>
        <v>1.05</v>
      </c>
      <c r="I2580">
        <v>20250101</v>
      </c>
      <c r="J2580" t="s">
        <v>2690</v>
      </c>
    </row>
    <row r="2581" spans="1:25" x14ac:dyDescent="0.3">
      <c r="A2581" s="160">
        <v>27285</v>
      </c>
      <c r="B2581" t="s">
        <v>17715</v>
      </c>
      <c r="C2581" t="s">
        <v>2670</v>
      </c>
      <c r="D2581">
        <v>0.75</v>
      </c>
      <c r="E2581">
        <v>0</v>
      </c>
      <c r="F2581">
        <f t="shared" si="40"/>
        <v>0.75</v>
      </c>
      <c r="I2581">
        <v>20240101</v>
      </c>
      <c r="J2581" t="s">
        <v>2699</v>
      </c>
    </row>
    <row r="2582" spans="1:25" x14ac:dyDescent="0.3">
      <c r="A2582" s="160">
        <v>27299</v>
      </c>
      <c r="B2582" t="s">
        <v>17716</v>
      </c>
      <c r="C2582" t="s">
        <v>2665</v>
      </c>
      <c r="D2582">
        <v>1.05</v>
      </c>
      <c r="E2582">
        <v>0</v>
      </c>
      <c r="F2582">
        <f t="shared" si="40"/>
        <v>1.05</v>
      </c>
      <c r="I2582">
        <v>20250101</v>
      </c>
      <c r="J2582" t="s">
        <v>2718</v>
      </c>
      <c r="K2582" t="s">
        <v>2719</v>
      </c>
      <c r="L2582" t="s">
        <v>2691</v>
      </c>
      <c r="M2582" t="s">
        <v>2704</v>
      </c>
      <c r="N2582" t="s">
        <v>2690</v>
      </c>
      <c r="O2582" t="s">
        <v>2700</v>
      </c>
      <c r="P2582" t="s">
        <v>2696</v>
      </c>
      <c r="Q2582" t="s">
        <v>2747</v>
      </c>
      <c r="R2582" t="s">
        <v>2748</v>
      </c>
    </row>
    <row r="2583" spans="1:25" x14ac:dyDescent="0.3">
      <c r="A2583" s="160">
        <v>27301</v>
      </c>
      <c r="B2583" t="s">
        <v>17717</v>
      </c>
      <c r="C2583" t="s">
        <v>2665</v>
      </c>
      <c r="D2583">
        <v>1.05</v>
      </c>
      <c r="E2583">
        <v>0</v>
      </c>
      <c r="F2583">
        <f t="shared" si="40"/>
        <v>1.05</v>
      </c>
      <c r="I2583">
        <v>20250101</v>
      </c>
      <c r="J2583" t="s">
        <v>2695</v>
      </c>
    </row>
    <row r="2584" spans="1:25" x14ac:dyDescent="0.3">
      <c r="A2584" s="160">
        <v>27306</v>
      </c>
      <c r="B2584" t="s">
        <v>17718</v>
      </c>
      <c r="C2584" t="s">
        <v>2665</v>
      </c>
      <c r="D2584">
        <v>1.05</v>
      </c>
      <c r="E2584">
        <v>0</v>
      </c>
      <c r="F2584">
        <f t="shared" si="40"/>
        <v>1.05</v>
      </c>
      <c r="I2584">
        <v>20250101</v>
      </c>
      <c r="J2584" t="s">
        <v>2718</v>
      </c>
      <c r="K2584" t="s">
        <v>2719</v>
      </c>
      <c r="L2584" t="s">
        <v>2720</v>
      </c>
      <c r="M2584" t="s">
        <v>2691</v>
      </c>
      <c r="N2584" t="s">
        <v>2721</v>
      </c>
      <c r="O2584" t="s">
        <v>2704</v>
      </c>
      <c r="P2584" t="s">
        <v>2722</v>
      </c>
      <c r="Q2584" t="s">
        <v>2686</v>
      </c>
      <c r="R2584" t="s">
        <v>2726</v>
      </c>
      <c r="S2584" t="s">
        <v>2727</v>
      </c>
      <c r="T2584" t="s">
        <v>2728</v>
      </c>
      <c r="U2584" t="s">
        <v>2687</v>
      </c>
      <c r="V2584" t="s">
        <v>2737</v>
      </c>
      <c r="W2584" t="s">
        <v>2688</v>
      </c>
      <c r="X2584" t="s">
        <v>2689</v>
      </c>
      <c r="Y2584" t="s">
        <v>2690</v>
      </c>
    </row>
    <row r="2585" spans="1:25" x14ac:dyDescent="0.3">
      <c r="A2585" s="160">
        <v>27307</v>
      </c>
      <c r="B2585" t="s">
        <v>17719</v>
      </c>
      <c r="C2585" t="s">
        <v>2670</v>
      </c>
      <c r="D2585">
        <v>0.75</v>
      </c>
      <c r="E2585">
        <v>0</v>
      </c>
      <c r="F2585">
        <f t="shared" si="40"/>
        <v>0.75</v>
      </c>
      <c r="I2585">
        <v>20240101</v>
      </c>
      <c r="J2585" t="s">
        <v>2680</v>
      </c>
    </row>
    <row r="2586" spans="1:25" x14ac:dyDescent="0.3">
      <c r="A2586" s="160">
        <v>27309</v>
      </c>
      <c r="B2586" t="s">
        <v>17720</v>
      </c>
      <c r="C2586" t="s">
        <v>2665</v>
      </c>
      <c r="D2586">
        <v>1.05</v>
      </c>
      <c r="E2586">
        <v>0</v>
      </c>
      <c r="F2586">
        <f t="shared" si="40"/>
        <v>1.05</v>
      </c>
      <c r="I2586">
        <v>20250101</v>
      </c>
      <c r="J2586" t="s">
        <v>2695</v>
      </c>
    </row>
    <row r="2587" spans="1:25" x14ac:dyDescent="0.3">
      <c r="A2587" s="160">
        <v>27312</v>
      </c>
      <c r="B2587" t="s">
        <v>17721</v>
      </c>
      <c r="C2587" t="s">
        <v>2670</v>
      </c>
      <c r="D2587">
        <v>0.75</v>
      </c>
      <c r="E2587">
        <v>0</v>
      </c>
      <c r="F2587">
        <f t="shared" si="40"/>
        <v>0.75</v>
      </c>
      <c r="I2587">
        <v>20240101</v>
      </c>
      <c r="J2587" t="s">
        <v>2671</v>
      </c>
    </row>
    <row r="2588" spans="1:25" x14ac:dyDescent="0.3">
      <c r="A2588" s="160">
        <v>27313</v>
      </c>
      <c r="B2588" t="s">
        <v>17722</v>
      </c>
      <c r="C2588" t="s">
        <v>2667</v>
      </c>
      <c r="D2588">
        <v>0.9</v>
      </c>
      <c r="E2588">
        <v>0</v>
      </c>
      <c r="F2588">
        <f t="shared" si="40"/>
        <v>0.9</v>
      </c>
      <c r="I2588">
        <v>20200101</v>
      </c>
      <c r="J2588" t="s">
        <v>2697</v>
      </c>
    </row>
    <row r="2589" spans="1:25" x14ac:dyDescent="0.3">
      <c r="A2589" s="160">
        <v>27315</v>
      </c>
      <c r="B2589" t="s">
        <v>17723</v>
      </c>
      <c r="C2589" t="s">
        <v>2670</v>
      </c>
      <c r="D2589">
        <v>0.75</v>
      </c>
      <c r="E2589">
        <v>0</v>
      </c>
      <c r="F2589">
        <f t="shared" si="40"/>
        <v>0.75</v>
      </c>
      <c r="I2589">
        <v>20240101</v>
      </c>
      <c r="J2589" t="s">
        <v>2680</v>
      </c>
    </row>
    <row r="2590" spans="1:25" x14ac:dyDescent="0.3">
      <c r="A2590" s="160">
        <v>27321</v>
      </c>
      <c r="B2590" t="s">
        <v>17724</v>
      </c>
      <c r="C2590" t="s">
        <v>2667</v>
      </c>
      <c r="D2590">
        <v>0.9</v>
      </c>
      <c r="E2590">
        <v>0</v>
      </c>
      <c r="F2590">
        <f t="shared" si="40"/>
        <v>0.9</v>
      </c>
      <c r="I2590">
        <v>20120101</v>
      </c>
      <c r="J2590" t="s">
        <v>2668</v>
      </c>
      <c r="K2590" t="s">
        <v>2749</v>
      </c>
    </row>
    <row r="2591" spans="1:25" x14ac:dyDescent="0.3">
      <c r="A2591" s="160">
        <v>27322</v>
      </c>
      <c r="B2591" t="s">
        <v>17725</v>
      </c>
      <c r="C2591" t="s">
        <v>2667</v>
      </c>
      <c r="D2591">
        <v>0.9</v>
      </c>
      <c r="E2591">
        <v>0</v>
      </c>
      <c r="F2591">
        <f t="shared" si="40"/>
        <v>0.9</v>
      </c>
      <c r="I2591">
        <v>20120101</v>
      </c>
      <c r="J2591" t="s">
        <v>2668</v>
      </c>
    </row>
    <row r="2592" spans="1:25" x14ac:dyDescent="0.3">
      <c r="A2592" s="160">
        <v>27326</v>
      </c>
      <c r="B2592" t="s">
        <v>17726</v>
      </c>
      <c r="C2592" t="s">
        <v>2670</v>
      </c>
      <c r="D2592">
        <v>0.75</v>
      </c>
      <c r="E2592">
        <v>0</v>
      </c>
      <c r="F2592">
        <f t="shared" si="40"/>
        <v>0.75</v>
      </c>
      <c r="I2592">
        <v>20240101</v>
      </c>
      <c r="J2592" t="s">
        <v>2671</v>
      </c>
    </row>
    <row r="2593" spans="1:18" x14ac:dyDescent="0.3">
      <c r="A2593" s="160">
        <v>27329</v>
      </c>
      <c r="B2593" t="s">
        <v>17727</v>
      </c>
      <c r="C2593" t="s">
        <v>2670</v>
      </c>
      <c r="D2593">
        <v>0.75</v>
      </c>
      <c r="E2593">
        <v>0</v>
      </c>
      <c r="F2593">
        <f t="shared" si="40"/>
        <v>0.75</v>
      </c>
      <c r="I2593">
        <v>20240101</v>
      </c>
      <c r="J2593" t="s">
        <v>2680</v>
      </c>
    </row>
    <row r="2594" spans="1:18" x14ac:dyDescent="0.3">
      <c r="A2594" s="160">
        <v>27330</v>
      </c>
      <c r="B2594" t="s">
        <v>17728</v>
      </c>
      <c r="C2594" t="s">
        <v>2667</v>
      </c>
      <c r="D2594">
        <v>0.9</v>
      </c>
      <c r="E2594">
        <v>0</v>
      </c>
      <c r="F2594">
        <f t="shared" si="40"/>
        <v>0.9</v>
      </c>
      <c r="I2594">
        <v>20120101</v>
      </c>
      <c r="J2594" t="s">
        <v>2678</v>
      </c>
      <c r="K2594" t="s">
        <v>2679</v>
      </c>
    </row>
    <row r="2595" spans="1:18" x14ac:dyDescent="0.3">
      <c r="A2595" s="160">
        <v>27331</v>
      </c>
      <c r="B2595" t="s">
        <v>17729</v>
      </c>
      <c r="C2595" t="s">
        <v>2670</v>
      </c>
      <c r="D2595">
        <v>0.75</v>
      </c>
      <c r="E2595">
        <v>0</v>
      </c>
      <c r="F2595">
        <f t="shared" si="40"/>
        <v>0.75</v>
      </c>
      <c r="I2595">
        <v>20240101</v>
      </c>
      <c r="J2595" t="s">
        <v>2715</v>
      </c>
    </row>
    <row r="2596" spans="1:18" x14ac:dyDescent="0.3">
      <c r="A2596" s="160">
        <v>27332</v>
      </c>
      <c r="B2596" t="s">
        <v>17730</v>
      </c>
      <c r="C2596" t="s">
        <v>2667</v>
      </c>
      <c r="D2596">
        <v>0.9</v>
      </c>
      <c r="E2596">
        <v>0</v>
      </c>
      <c r="F2596">
        <f t="shared" si="40"/>
        <v>0.9</v>
      </c>
      <c r="I2596">
        <v>20120101</v>
      </c>
      <c r="J2596" t="s">
        <v>2668</v>
      </c>
      <c r="K2596" t="s">
        <v>2676</v>
      </c>
      <c r="L2596" t="s">
        <v>2750</v>
      </c>
      <c r="M2596" t="s">
        <v>2751</v>
      </c>
      <c r="N2596" t="s">
        <v>2749</v>
      </c>
      <c r="O2596" t="s">
        <v>2752</v>
      </c>
      <c r="P2596" t="s">
        <v>2753</v>
      </c>
      <c r="Q2596" t="s">
        <v>2669</v>
      </c>
      <c r="R2596" t="s">
        <v>2672</v>
      </c>
    </row>
    <row r="2597" spans="1:18" x14ac:dyDescent="0.3">
      <c r="A2597" s="160">
        <v>27335</v>
      </c>
      <c r="B2597" t="s">
        <v>17731</v>
      </c>
      <c r="C2597" t="s">
        <v>2667</v>
      </c>
      <c r="D2597">
        <v>0.9</v>
      </c>
      <c r="E2597">
        <v>0</v>
      </c>
      <c r="F2597">
        <f t="shared" si="40"/>
        <v>0.9</v>
      </c>
      <c r="I2597">
        <v>20220701</v>
      </c>
      <c r="J2597" t="s">
        <v>2668</v>
      </c>
    </row>
    <row r="2598" spans="1:18" x14ac:dyDescent="0.3">
      <c r="A2598" s="160">
        <v>27336</v>
      </c>
      <c r="B2598" t="s">
        <v>17732</v>
      </c>
      <c r="C2598" t="s">
        <v>2670</v>
      </c>
      <c r="D2598">
        <v>0.75</v>
      </c>
      <c r="E2598">
        <v>0</v>
      </c>
      <c r="F2598">
        <f t="shared" si="40"/>
        <v>0.75</v>
      </c>
      <c r="I2598">
        <v>20240101</v>
      </c>
      <c r="J2598" t="s">
        <v>2706</v>
      </c>
    </row>
    <row r="2599" spans="1:18" x14ac:dyDescent="0.3">
      <c r="A2599" s="160">
        <v>27337</v>
      </c>
      <c r="B2599" t="s">
        <v>17733</v>
      </c>
      <c r="C2599" t="s">
        <v>2670</v>
      </c>
      <c r="D2599">
        <v>0.75</v>
      </c>
      <c r="E2599">
        <v>0</v>
      </c>
      <c r="F2599">
        <f t="shared" si="40"/>
        <v>0.75</v>
      </c>
      <c r="I2599">
        <v>20240101</v>
      </c>
      <c r="J2599" t="s">
        <v>2680</v>
      </c>
      <c r="K2599" t="s">
        <v>2682</v>
      </c>
    </row>
    <row r="2600" spans="1:18" x14ac:dyDescent="0.3">
      <c r="A2600" s="160">
        <v>27343</v>
      </c>
      <c r="B2600" t="s">
        <v>17734</v>
      </c>
      <c r="C2600" t="s">
        <v>2670</v>
      </c>
      <c r="D2600">
        <v>0.75</v>
      </c>
      <c r="E2600">
        <v>0</v>
      </c>
      <c r="F2600">
        <f t="shared" si="40"/>
        <v>0.75</v>
      </c>
      <c r="I2600">
        <v>20240101</v>
      </c>
      <c r="J2600" t="s">
        <v>2671</v>
      </c>
    </row>
    <row r="2601" spans="1:18" x14ac:dyDescent="0.3">
      <c r="A2601" s="160">
        <v>27347</v>
      </c>
      <c r="B2601" t="s">
        <v>17735</v>
      </c>
      <c r="C2601" t="s">
        <v>2665</v>
      </c>
      <c r="D2601">
        <v>1.05</v>
      </c>
      <c r="E2601">
        <v>0</v>
      </c>
      <c r="F2601">
        <f t="shared" si="40"/>
        <v>1.05</v>
      </c>
      <c r="I2601">
        <v>20250101</v>
      </c>
      <c r="J2601" t="s">
        <v>2726</v>
      </c>
      <c r="K2601" t="s">
        <v>2690</v>
      </c>
    </row>
    <row r="2602" spans="1:18" x14ac:dyDescent="0.3">
      <c r="A2602" s="160">
        <v>27348</v>
      </c>
      <c r="B2602" t="s">
        <v>17736</v>
      </c>
      <c r="C2602" t="s">
        <v>2667</v>
      </c>
      <c r="D2602">
        <v>0.9</v>
      </c>
      <c r="E2602">
        <v>0</v>
      </c>
      <c r="F2602">
        <f t="shared" si="40"/>
        <v>0.9</v>
      </c>
      <c r="I2602">
        <v>20130401</v>
      </c>
      <c r="J2602" t="s">
        <v>2674</v>
      </c>
    </row>
    <row r="2603" spans="1:18" x14ac:dyDescent="0.3">
      <c r="A2603" s="160">
        <v>27350</v>
      </c>
      <c r="B2603" t="s">
        <v>17737</v>
      </c>
      <c r="C2603" t="s">
        <v>2665</v>
      </c>
      <c r="D2603">
        <v>1.05</v>
      </c>
      <c r="E2603">
        <v>0</v>
      </c>
      <c r="F2603">
        <f t="shared" si="40"/>
        <v>1.05</v>
      </c>
      <c r="I2603">
        <v>20250101</v>
      </c>
      <c r="J2603" t="s">
        <v>2754</v>
      </c>
    </row>
    <row r="2604" spans="1:18" x14ac:dyDescent="0.3">
      <c r="A2604" s="160">
        <v>27351</v>
      </c>
      <c r="B2604" t="s">
        <v>17738</v>
      </c>
      <c r="C2604" t="s">
        <v>2667</v>
      </c>
      <c r="D2604">
        <v>0.9</v>
      </c>
      <c r="E2604">
        <v>0</v>
      </c>
      <c r="F2604">
        <f t="shared" si="40"/>
        <v>0.9</v>
      </c>
      <c r="I2604">
        <v>20120101</v>
      </c>
      <c r="J2604" t="s">
        <v>2755</v>
      </c>
      <c r="K2604" t="s">
        <v>2677</v>
      </c>
      <c r="L2604" t="s">
        <v>2668</v>
      </c>
      <c r="M2604" t="s">
        <v>2676</v>
      </c>
      <c r="N2604" t="s">
        <v>2751</v>
      </c>
      <c r="O2604" t="s">
        <v>2752</v>
      </c>
    </row>
    <row r="2605" spans="1:18" x14ac:dyDescent="0.3">
      <c r="A2605" s="160">
        <v>27353</v>
      </c>
      <c r="B2605" t="s">
        <v>17739</v>
      </c>
      <c r="C2605" t="s">
        <v>2665</v>
      </c>
      <c r="D2605">
        <v>1.05</v>
      </c>
      <c r="E2605">
        <v>0</v>
      </c>
      <c r="F2605">
        <f t="shared" si="40"/>
        <v>1.05</v>
      </c>
      <c r="I2605">
        <v>20250101</v>
      </c>
      <c r="J2605" t="s">
        <v>2719</v>
      </c>
      <c r="K2605" t="s">
        <v>2690</v>
      </c>
    </row>
    <row r="2606" spans="1:18" x14ac:dyDescent="0.3">
      <c r="A2606" s="160">
        <v>27355</v>
      </c>
      <c r="B2606" t="s">
        <v>17740</v>
      </c>
      <c r="C2606" t="s">
        <v>2745</v>
      </c>
      <c r="D2606">
        <v>1.05</v>
      </c>
      <c r="E2606">
        <v>0</v>
      </c>
      <c r="F2606">
        <f t="shared" si="40"/>
        <v>1.05</v>
      </c>
      <c r="I2606">
        <v>20160701</v>
      </c>
      <c r="J2606" t="s">
        <v>2756</v>
      </c>
    </row>
    <row r="2607" spans="1:18" x14ac:dyDescent="0.3">
      <c r="A2607" s="160">
        <v>27358</v>
      </c>
      <c r="B2607" t="s">
        <v>17741</v>
      </c>
      <c r="C2607" t="s">
        <v>2665</v>
      </c>
      <c r="D2607">
        <v>1.05</v>
      </c>
      <c r="E2607">
        <v>0</v>
      </c>
      <c r="F2607">
        <f t="shared" si="40"/>
        <v>1.05</v>
      </c>
      <c r="I2607">
        <v>20250101</v>
      </c>
      <c r="J2607" t="s">
        <v>2671</v>
      </c>
    </row>
    <row r="2608" spans="1:18" x14ac:dyDescent="0.3">
      <c r="A2608" s="160">
        <v>27360</v>
      </c>
      <c r="B2608" t="s">
        <v>17742</v>
      </c>
      <c r="C2608" t="s">
        <v>2665</v>
      </c>
      <c r="D2608">
        <v>1.05</v>
      </c>
      <c r="E2608">
        <v>0</v>
      </c>
      <c r="F2608">
        <f t="shared" si="40"/>
        <v>1.05</v>
      </c>
      <c r="I2608">
        <v>20250101</v>
      </c>
      <c r="J2608" t="s">
        <v>2695</v>
      </c>
    </row>
    <row r="2609" spans="1:17" x14ac:dyDescent="0.3">
      <c r="A2609" s="160">
        <v>27365</v>
      </c>
      <c r="B2609" t="s">
        <v>17743</v>
      </c>
      <c r="C2609" t="s">
        <v>2667</v>
      </c>
      <c r="D2609">
        <v>0.9</v>
      </c>
      <c r="E2609">
        <v>0</v>
      </c>
      <c r="F2609">
        <f t="shared" si="40"/>
        <v>0.9</v>
      </c>
      <c r="I2609">
        <v>20120101</v>
      </c>
      <c r="J2609" t="s">
        <v>2709</v>
      </c>
      <c r="K2609" t="s">
        <v>2678</v>
      </c>
      <c r="L2609" t="s">
        <v>2757</v>
      </c>
    </row>
    <row r="2610" spans="1:17" x14ac:dyDescent="0.3">
      <c r="A2610" s="160">
        <v>27375</v>
      </c>
      <c r="B2610" t="s">
        <v>17744</v>
      </c>
      <c r="C2610" t="s">
        <v>2667</v>
      </c>
      <c r="D2610">
        <v>0.9</v>
      </c>
      <c r="E2610">
        <v>0</v>
      </c>
      <c r="F2610">
        <f t="shared" si="40"/>
        <v>0.9</v>
      </c>
      <c r="I2610">
        <v>20120101</v>
      </c>
      <c r="J2610" t="s">
        <v>2668</v>
      </c>
      <c r="K2610" t="s">
        <v>2676</v>
      </c>
      <c r="L2610" t="s">
        <v>2750</v>
      </c>
      <c r="M2610" t="s">
        <v>2751</v>
      </c>
      <c r="N2610" t="s">
        <v>2749</v>
      </c>
      <c r="O2610" t="s">
        <v>2752</v>
      </c>
      <c r="P2610" t="s">
        <v>2753</v>
      </c>
      <c r="Q2610" t="s">
        <v>2669</v>
      </c>
    </row>
    <row r="2611" spans="1:17" x14ac:dyDescent="0.3">
      <c r="A2611" s="160">
        <v>27382</v>
      </c>
      <c r="B2611" t="s">
        <v>17745</v>
      </c>
      <c r="C2611" t="s">
        <v>2667</v>
      </c>
      <c r="D2611">
        <v>0.9</v>
      </c>
      <c r="E2611">
        <v>0</v>
      </c>
      <c r="F2611">
        <f t="shared" si="40"/>
        <v>0.9</v>
      </c>
      <c r="I2611">
        <v>20200101</v>
      </c>
      <c r="J2611" t="s">
        <v>2697</v>
      </c>
    </row>
    <row r="2612" spans="1:17" x14ac:dyDescent="0.3">
      <c r="A2612" s="160">
        <v>27386</v>
      </c>
      <c r="B2612" t="s">
        <v>17746</v>
      </c>
      <c r="C2612" t="s">
        <v>2667</v>
      </c>
      <c r="D2612">
        <v>0.9</v>
      </c>
      <c r="E2612">
        <v>0</v>
      </c>
      <c r="F2612">
        <f t="shared" si="40"/>
        <v>0.9</v>
      </c>
      <c r="I2612">
        <v>20120101</v>
      </c>
      <c r="J2612" t="s">
        <v>2673</v>
      </c>
      <c r="K2612" t="s">
        <v>2674</v>
      </c>
    </row>
    <row r="2613" spans="1:17" x14ac:dyDescent="0.3">
      <c r="A2613" s="160">
        <v>27390</v>
      </c>
      <c r="B2613" t="s">
        <v>17747</v>
      </c>
      <c r="C2613" t="s">
        <v>2665</v>
      </c>
      <c r="D2613">
        <v>1.05</v>
      </c>
      <c r="E2613">
        <v>0</v>
      </c>
      <c r="F2613">
        <f t="shared" si="40"/>
        <v>1.05</v>
      </c>
      <c r="I2613">
        <v>20250101</v>
      </c>
      <c r="J2613" t="s">
        <v>2707</v>
      </c>
    </row>
    <row r="2614" spans="1:17" x14ac:dyDescent="0.3">
      <c r="A2614" s="160">
        <v>27391</v>
      </c>
      <c r="B2614" t="s">
        <v>17748</v>
      </c>
      <c r="C2614" t="s">
        <v>2665</v>
      </c>
      <c r="D2614">
        <v>1.05</v>
      </c>
      <c r="E2614">
        <v>0</v>
      </c>
      <c r="F2614">
        <f t="shared" si="40"/>
        <v>1.05</v>
      </c>
      <c r="I2614">
        <v>20250101</v>
      </c>
      <c r="J2614" t="s">
        <v>2758</v>
      </c>
    </row>
    <row r="2615" spans="1:17" x14ac:dyDescent="0.3">
      <c r="A2615" s="160">
        <v>27394</v>
      </c>
      <c r="B2615" t="s">
        <v>17749</v>
      </c>
      <c r="C2615" t="s">
        <v>2667</v>
      </c>
      <c r="D2615">
        <v>0.9</v>
      </c>
      <c r="E2615">
        <v>0</v>
      </c>
      <c r="F2615">
        <f t="shared" si="40"/>
        <v>0.9</v>
      </c>
      <c r="I2615">
        <v>20130401</v>
      </c>
      <c r="J2615" t="s">
        <v>2710</v>
      </c>
      <c r="K2615" t="s">
        <v>2711</v>
      </c>
    </row>
    <row r="2616" spans="1:17" x14ac:dyDescent="0.3">
      <c r="A2616" s="160">
        <v>27397</v>
      </c>
      <c r="B2616" t="s">
        <v>17750</v>
      </c>
      <c r="C2616" t="s">
        <v>2670</v>
      </c>
      <c r="D2616">
        <v>0.75</v>
      </c>
      <c r="E2616">
        <v>0</v>
      </c>
      <c r="F2616">
        <f t="shared" si="40"/>
        <v>0.75</v>
      </c>
      <c r="I2616">
        <v>20240101</v>
      </c>
      <c r="J2616" t="s">
        <v>2671</v>
      </c>
    </row>
    <row r="2617" spans="1:17" x14ac:dyDescent="0.3">
      <c r="A2617" s="160">
        <v>27399</v>
      </c>
      <c r="B2617" t="s">
        <v>17751</v>
      </c>
      <c r="C2617" t="s">
        <v>2670</v>
      </c>
      <c r="D2617">
        <v>0.75</v>
      </c>
      <c r="E2617">
        <v>0</v>
      </c>
      <c r="F2617">
        <f t="shared" si="40"/>
        <v>0.75</v>
      </c>
      <c r="I2617">
        <v>20240101</v>
      </c>
      <c r="J2617" t="s">
        <v>2706</v>
      </c>
    </row>
    <row r="2618" spans="1:17" x14ac:dyDescent="0.3">
      <c r="A2618" s="160">
        <v>27400</v>
      </c>
      <c r="B2618" t="s">
        <v>17752</v>
      </c>
      <c r="C2618" t="s">
        <v>2670</v>
      </c>
      <c r="D2618">
        <v>0.75</v>
      </c>
      <c r="E2618">
        <v>0</v>
      </c>
      <c r="F2618">
        <f t="shared" si="40"/>
        <v>0.75</v>
      </c>
      <c r="I2618">
        <v>20240101</v>
      </c>
      <c r="J2618" t="s">
        <v>2702</v>
      </c>
    </row>
    <row r="2619" spans="1:17" x14ac:dyDescent="0.3">
      <c r="A2619" s="160">
        <v>27401</v>
      </c>
      <c r="B2619" t="s">
        <v>17753</v>
      </c>
      <c r="C2619" t="s">
        <v>2665</v>
      </c>
      <c r="D2619">
        <v>1.05</v>
      </c>
      <c r="E2619">
        <v>0</v>
      </c>
      <c r="F2619">
        <f t="shared" si="40"/>
        <v>1.05</v>
      </c>
      <c r="I2619">
        <v>20250101</v>
      </c>
      <c r="J2619" t="s">
        <v>2690</v>
      </c>
    </row>
    <row r="2620" spans="1:17" x14ac:dyDescent="0.3">
      <c r="A2620" s="160">
        <v>27403</v>
      </c>
      <c r="B2620" t="s">
        <v>17754</v>
      </c>
      <c r="C2620" t="s">
        <v>2667</v>
      </c>
      <c r="D2620">
        <v>0.9</v>
      </c>
      <c r="E2620">
        <v>0</v>
      </c>
      <c r="F2620">
        <f t="shared" si="40"/>
        <v>0.9</v>
      </c>
      <c r="I2620">
        <v>20120101</v>
      </c>
      <c r="J2620" t="s">
        <v>2668</v>
      </c>
    </row>
    <row r="2621" spans="1:17" x14ac:dyDescent="0.3">
      <c r="A2621" s="160">
        <v>27406</v>
      </c>
      <c r="B2621" t="s">
        <v>17755</v>
      </c>
      <c r="C2621" t="s">
        <v>2665</v>
      </c>
      <c r="D2621">
        <v>1.05</v>
      </c>
      <c r="E2621">
        <v>0</v>
      </c>
      <c r="F2621">
        <f t="shared" si="40"/>
        <v>1.05</v>
      </c>
      <c r="I2621">
        <v>20250101</v>
      </c>
      <c r="J2621" t="s">
        <v>2759</v>
      </c>
    </row>
    <row r="2622" spans="1:17" x14ac:dyDescent="0.3">
      <c r="A2622" s="160">
        <v>27407</v>
      </c>
      <c r="B2622" t="s">
        <v>17756</v>
      </c>
      <c r="C2622" t="s">
        <v>2670</v>
      </c>
      <c r="D2622">
        <v>0.75</v>
      </c>
      <c r="E2622">
        <v>0</v>
      </c>
      <c r="F2622">
        <f t="shared" si="40"/>
        <v>0.75</v>
      </c>
      <c r="I2622">
        <v>20240101</v>
      </c>
      <c r="J2622" t="s">
        <v>2716</v>
      </c>
    </row>
    <row r="2623" spans="1:17" x14ac:dyDescent="0.3">
      <c r="A2623" s="160">
        <v>27408</v>
      </c>
      <c r="B2623" t="s">
        <v>17757</v>
      </c>
      <c r="C2623" t="s">
        <v>2670</v>
      </c>
      <c r="D2623">
        <v>0.75</v>
      </c>
      <c r="E2623">
        <v>0</v>
      </c>
      <c r="F2623">
        <f t="shared" si="40"/>
        <v>0.75</v>
      </c>
      <c r="I2623">
        <v>20240101</v>
      </c>
      <c r="J2623" t="s">
        <v>2714</v>
      </c>
    </row>
    <row r="2624" spans="1:17" x14ac:dyDescent="0.3">
      <c r="A2624" s="160">
        <v>27410</v>
      </c>
      <c r="B2624" t="s">
        <v>17758</v>
      </c>
      <c r="C2624" t="s">
        <v>2665</v>
      </c>
      <c r="D2624">
        <v>1.05</v>
      </c>
      <c r="E2624">
        <v>0</v>
      </c>
      <c r="F2624">
        <f t="shared" si="40"/>
        <v>1.05</v>
      </c>
      <c r="I2624">
        <v>20250101</v>
      </c>
      <c r="J2624" t="s">
        <v>2721</v>
      </c>
      <c r="K2624" t="s">
        <v>2704</v>
      </c>
      <c r="L2624" t="s">
        <v>2690</v>
      </c>
    </row>
    <row r="2625" spans="1:17" x14ac:dyDescent="0.3">
      <c r="A2625" s="160">
        <v>27411</v>
      </c>
      <c r="B2625" t="s">
        <v>17759</v>
      </c>
      <c r="C2625" t="s">
        <v>2665</v>
      </c>
      <c r="D2625">
        <v>1.05</v>
      </c>
      <c r="E2625">
        <v>0</v>
      </c>
      <c r="F2625">
        <f t="shared" si="40"/>
        <v>1.05</v>
      </c>
      <c r="I2625">
        <v>20250101</v>
      </c>
      <c r="J2625" t="s">
        <v>2707</v>
      </c>
    </row>
    <row r="2626" spans="1:17" x14ac:dyDescent="0.3">
      <c r="A2626" s="160">
        <v>27412</v>
      </c>
      <c r="B2626" t="s">
        <v>17760</v>
      </c>
      <c r="C2626" t="s">
        <v>2667</v>
      </c>
      <c r="D2626">
        <v>0.9</v>
      </c>
      <c r="E2626">
        <v>0</v>
      </c>
      <c r="F2626">
        <f t="shared" si="40"/>
        <v>0.9</v>
      </c>
      <c r="I2626">
        <v>20130401</v>
      </c>
      <c r="J2626" t="s">
        <v>2711</v>
      </c>
      <c r="K2626" t="s">
        <v>2668</v>
      </c>
    </row>
    <row r="2627" spans="1:17" x14ac:dyDescent="0.3">
      <c r="A2627" s="160">
        <v>27419</v>
      </c>
      <c r="B2627" t="s">
        <v>17761</v>
      </c>
      <c r="C2627" t="s">
        <v>2665</v>
      </c>
      <c r="D2627">
        <v>1.05</v>
      </c>
      <c r="E2627">
        <v>0</v>
      </c>
      <c r="F2627">
        <f t="shared" si="40"/>
        <v>1.05</v>
      </c>
      <c r="I2627">
        <v>20250101</v>
      </c>
      <c r="J2627" t="s">
        <v>2695</v>
      </c>
    </row>
    <row r="2628" spans="1:17" x14ac:dyDescent="0.3">
      <c r="A2628" s="160">
        <v>27421</v>
      </c>
      <c r="B2628" t="s">
        <v>17762</v>
      </c>
      <c r="C2628" t="s">
        <v>2665</v>
      </c>
      <c r="D2628">
        <v>1.05</v>
      </c>
      <c r="E2628">
        <v>0</v>
      </c>
      <c r="F2628">
        <f t="shared" si="40"/>
        <v>1.05</v>
      </c>
      <c r="I2628">
        <v>20250101</v>
      </c>
      <c r="J2628" t="s">
        <v>2695</v>
      </c>
    </row>
    <row r="2629" spans="1:17" x14ac:dyDescent="0.3">
      <c r="A2629" s="160">
        <v>27422</v>
      </c>
      <c r="B2629" t="s">
        <v>17763</v>
      </c>
      <c r="C2629" t="s">
        <v>2670</v>
      </c>
      <c r="D2629">
        <v>0.75</v>
      </c>
      <c r="E2629">
        <v>0</v>
      </c>
      <c r="F2629">
        <f t="shared" si="40"/>
        <v>0.75</v>
      </c>
      <c r="I2629">
        <v>20240101</v>
      </c>
      <c r="J2629" t="s">
        <v>2679</v>
      </c>
    </row>
    <row r="2630" spans="1:17" x14ac:dyDescent="0.3">
      <c r="A2630" s="160">
        <v>27423</v>
      </c>
      <c r="B2630" t="s">
        <v>17764</v>
      </c>
      <c r="C2630" t="s">
        <v>2665</v>
      </c>
      <c r="D2630">
        <v>1.05</v>
      </c>
      <c r="E2630">
        <v>0</v>
      </c>
      <c r="F2630">
        <f t="shared" si="40"/>
        <v>1.05</v>
      </c>
      <c r="I2630">
        <v>20250101</v>
      </c>
      <c r="J2630" t="s">
        <v>2759</v>
      </c>
    </row>
    <row r="2631" spans="1:17" x14ac:dyDescent="0.3">
      <c r="A2631" s="160">
        <v>27429</v>
      </c>
      <c r="B2631" t="s">
        <v>17765</v>
      </c>
      <c r="C2631" t="s">
        <v>2670</v>
      </c>
      <c r="D2631">
        <v>0.75</v>
      </c>
      <c r="E2631">
        <v>0</v>
      </c>
      <c r="F2631">
        <f t="shared" ref="F2631:F2694" si="41">D2631+E2631</f>
        <v>0.75</v>
      </c>
      <c r="I2631">
        <v>20240101</v>
      </c>
      <c r="J2631" t="s">
        <v>2703</v>
      </c>
    </row>
    <row r="2632" spans="1:17" x14ac:dyDescent="0.3">
      <c r="A2632" s="160">
        <v>27438</v>
      </c>
      <c r="B2632" t="s">
        <v>17766</v>
      </c>
      <c r="C2632" t="s">
        <v>2745</v>
      </c>
      <c r="D2632">
        <v>1.05</v>
      </c>
      <c r="E2632">
        <v>0</v>
      </c>
      <c r="F2632">
        <f t="shared" si="41"/>
        <v>1.05</v>
      </c>
      <c r="I2632">
        <v>20160701</v>
      </c>
      <c r="J2632" t="s">
        <v>2707</v>
      </c>
    </row>
    <row r="2633" spans="1:17" x14ac:dyDescent="0.3">
      <c r="A2633" s="160">
        <v>27439</v>
      </c>
      <c r="B2633" t="s">
        <v>17767</v>
      </c>
      <c r="C2633" t="s">
        <v>2665</v>
      </c>
      <c r="D2633">
        <v>1.05</v>
      </c>
      <c r="E2633">
        <v>0</v>
      </c>
      <c r="F2633">
        <f t="shared" si="41"/>
        <v>1.05</v>
      </c>
      <c r="I2633">
        <v>20250101</v>
      </c>
      <c r="J2633" t="s">
        <v>2719</v>
      </c>
      <c r="K2633" t="s">
        <v>2728</v>
      </c>
      <c r="L2633" t="s">
        <v>2737</v>
      </c>
      <c r="M2633" t="s">
        <v>2760</v>
      </c>
      <c r="N2633" t="s">
        <v>2690</v>
      </c>
      <c r="O2633" t="s">
        <v>2700</v>
      </c>
      <c r="P2633" t="s">
        <v>2696</v>
      </c>
      <c r="Q2633" t="s">
        <v>2747</v>
      </c>
    </row>
    <row r="2634" spans="1:17" x14ac:dyDescent="0.3">
      <c r="A2634" s="160">
        <v>27440</v>
      </c>
      <c r="B2634" t="s">
        <v>17768</v>
      </c>
      <c r="C2634" t="s">
        <v>2670</v>
      </c>
      <c r="D2634">
        <v>0.75</v>
      </c>
      <c r="E2634">
        <v>0</v>
      </c>
      <c r="F2634">
        <f t="shared" si="41"/>
        <v>0.75</v>
      </c>
      <c r="I2634">
        <v>20240101</v>
      </c>
      <c r="J2634" t="s">
        <v>2693</v>
      </c>
    </row>
    <row r="2635" spans="1:17" x14ac:dyDescent="0.3">
      <c r="A2635" s="160">
        <v>27448</v>
      </c>
      <c r="B2635" t="s">
        <v>17769</v>
      </c>
      <c r="C2635" t="s">
        <v>2670</v>
      </c>
      <c r="D2635">
        <v>0.75</v>
      </c>
      <c r="E2635">
        <v>0</v>
      </c>
      <c r="F2635">
        <f t="shared" si="41"/>
        <v>0.75</v>
      </c>
      <c r="I2635">
        <v>20240101</v>
      </c>
      <c r="J2635" t="s">
        <v>2671</v>
      </c>
      <c r="K2635" t="s">
        <v>2761</v>
      </c>
      <c r="L2635" t="s">
        <v>2701</v>
      </c>
      <c r="M2635" t="s">
        <v>2762</v>
      </c>
    </row>
    <row r="2636" spans="1:17" x14ac:dyDescent="0.3">
      <c r="A2636" s="160">
        <v>27451</v>
      </c>
      <c r="B2636" t="s">
        <v>17770</v>
      </c>
      <c r="C2636" t="s">
        <v>2665</v>
      </c>
      <c r="D2636">
        <v>1.05</v>
      </c>
      <c r="E2636">
        <v>0</v>
      </c>
      <c r="F2636">
        <f t="shared" si="41"/>
        <v>1.05</v>
      </c>
      <c r="I2636">
        <v>20250101</v>
      </c>
      <c r="J2636" t="s">
        <v>2685</v>
      </c>
      <c r="K2636" t="s">
        <v>2692</v>
      </c>
    </row>
    <row r="2637" spans="1:17" x14ac:dyDescent="0.3">
      <c r="A2637" s="160">
        <v>27456</v>
      </c>
      <c r="B2637" t="s">
        <v>17771</v>
      </c>
      <c r="C2637" t="s">
        <v>2667</v>
      </c>
      <c r="D2637">
        <v>0.9</v>
      </c>
      <c r="E2637">
        <v>0</v>
      </c>
      <c r="F2637">
        <f t="shared" si="41"/>
        <v>0.9</v>
      </c>
      <c r="I2637">
        <v>20120101</v>
      </c>
      <c r="J2637" t="s">
        <v>2668</v>
      </c>
    </row>
    <row r="2638" spans="1:17" x14ac:dyDescent="0.3">
      <c r="A2638" s="160">
        <v>27458</v>
      </c>
      <c r="B2638" t="s">
        <v>17772</v>
      </c>
      <c r="C2638" t="s">
        <v>2667</v>
      </c>
      <c r="D2638">
        <v>0.9</v>
      </c>
      <c r="E2638">
        <v>0</v>
      </c>
      <c r="F2638">
        <f t="shared" si="41"/>
        <v>0.9</v>
      </c>
      <c r="I2638">
        <v>20120101</v>
      </c>
      <c r="J2638" t="s">
        <v>2673</v>
      </c>
      <c r="K2638" t="s">
        <v>2763</v>
      </c>
    </row>
    <row r="2639" spans="1:17" x14ac:dyDescent="0.3">
      <c r="A2639" s="160">
        <v>27464</v>
      </c>
      <c r="B2639" t="s">
        <v>17773</v>
      </c>
      <c r="C2639" t="s">
        <v>2665</v>
      </c>
      <c r="D2639">
        <v>1.05</v>
      </c>
      <c r="E2639">
        <v>0</v>
      </c>
      <c r="F2639">
        <f t="shared" si="41"/>
        <v>1.05</v>
      </c>
      <c r="I2639">
        <v>20250101</v>
      </c>
      <c r="J2639" t="s">
        <v>2692</v>
      </c>
    </row>
    <row r="2640" spans="1:17" x14ac:dyDescent="0.3">
      <c r="A2640" s="160">
        <v>27465</v>
      </c>
      <c r="B2640" t="s">
        <v>17774</v>
      </c>
      <c r="C2640" t="s">
        <v>2670</v>
      </c>
      <c r="D2640">
        <v>0.75</v>
      </c>
      <c r="E2640">
        <v>0</v>
      </c>
      <c r="F2640">
        <f t="shared" si="41"/>
        <v>0.75</v>
      </c>
      <c r="I2640">
        <v>20240101</v>
      </c>
      <c r="J2640" t="s">
        <v>2671</v>
      </c>
    </row>
    <row r="2641" spans="1:13" x14ac:dyDescent="0.3">
      <c r="A2641" s="160">
        <v>27469</v>
      </c>
      <c r="B2641" t="s">
        <v>17775</v>
      </c>
      <c r="C2641" t="s">
        <v>2667</v>
      </c>
      <c r="D2641">
        <v>0.9</v>
      </c>
      <c r="E2641">
        <v>0</v>
      </c>
      <c r="F2641">
        <f t="shared" si="41"/>
        <v>0.9</v>
      </c>
      <c r="I2641">
        <v>20120101</v>
      </c>
      <c r="J2641" t="s">
        <v>2710</v>
      </c>
      <c r="K2641" t="s">
        <v>2711</v>
      </c>
    </row>
    <row r="2642" spans="1:13" x14ac:dyDescent="0.3">
      <c r="A2642" s="160">
        <v>27471</v>
      </c>
      <c r="B2642" t="s">
        <v>17776</v>
      </c>
      <c r="C2642" t="s">
        <v>2667</v>
      </c>
      <c r="D2642">
        <v>0.9</v>
      </c>
      <c r="E2642">
        <v>0</v>
      </c>
      <c r="F2642">
        <f t="shared" si="41"/>
        <v>0.9</v>
      </c>
      <c r="I2642">
        <v>20130401</v>
      </c>
      <c r="J2642" t="s">
        <v>2764</v>
      </c>
      <c r="K2642" t="s">
        <v>2677</v>
      </c>
      <c r="L2642" t="s">
        <v>2679</v>
      </c>
    </row>
    <row r="2643" spans="1:13" x14ac:dyDescent="0.3">
      <c r="A2643" s="160">
        <v>27473</v>
      </c>
      <c r="B2643" t="s">
        <v>17777</v>
      </c>
      <c r="C2643" t="s">
        <v>2670</v>
      </c>
      <c r="D2643">
        <v>0.75</v>
      </c>
      <c r="E2643">
        <v>0</v>
      </c>
      <c r="F2643">
        <f t="shared" si="41"/>
        <v>0.75</v>
      </c>
      <c r="I2643">
        <v>20240101</v>
      </c>
      <c r="J2643" t="s">
        <v>2693</v>
      </c>
    </row>
    <row r="2644" spans="1:13" x14ac:dyDescent="0.3">
      <c r="A2644" s="160">
        <v>27474</v>
      </c>
      <c r="B2644" t="s">
        <v>17778</v>
      </c>
      <c r="C2644" t="s">
        <v>2667</v>
      </c>
      <c r="D2644">
        <v>0.9</v>
      </c>
      <c r="E2644">
        <v>0</v>
      </c>
      <c r="F2644">
        <f t="shared" si="41"/>
        <v>0.9</v>
      </c>
      <c r="I2644">
        <v>20120101</v>
      </c>
      <c r="J2644" t="s">
        <v>2765</v>
      </c>
      <c r="K2644" t="s">
        <v>2766</v>
      </c>
    </row>
    <row r="2645" spans="1:13" x14ac:dyDescent="0.3">
      <c r="A2645" s="160">
        <v>27477</v>
      </c>
      <c r="B2645" t="s">
        <v>17779</v>
      </c>
      <c r="C2645" t="s">
        <v>2670</v>
      </c>
      <c r="D2645">
        <v>0.75</v>
      </c>
      <c r="E2645">
        <v>0</v>
      </c>
      <c r="F2645">
        <f t="shared" si="41"/>
        <v>0.75</v>
      </c>
      <c r="I2645">
        <v>20240101</v>
      </c>
      <c r="J2645" t="s">
        <v>2714</v>
      </c>
    </row>
    <row r="2646" spans="1:13" x14ac:dyDescent="0.3">
      <c r="A2646" s="160">
        <v>27478</v>
      </c>
      <c r="B2646" t="s">
        <v>17780</v>
      </c>
      <c r="C2646" t="s">
        <v>2665</v>
      </c>
      <c r="D2646">
        <v>1.05</v>
      </c>
      <c r="E2646">
        <v>0</v>
      </c>
      <c r="F2646">
        <f t="shared" si="41"/>
        <v>1.05</v>
      </c>
      <c r="I2646">
        <v>20250101</v>
      </c>
      <c r="J2646" t="s">
        <v>2695</v>
      </c>
    </row>
    <row r="2647" spans="1:13" x14ac:dyDescent="0.3">
      <c r="A2647" s="160">
        <v>27483</v>
      </c>
      <c r="B2647" t="s">
        <v>17781</v>
      </c>
      <c r="C2647" t="s">
        <v>2667</v>
      </c>
      <c r="D2647">
        <v>0.9</v>
      </c>
      <c r="E2647">
        <v>0</v>
      </c>
      <c r="F2647">
        <f t="shared" si="41"/>
        <v>0.9</v>
      </c>
      <c r="I2647">
        <v>20120101</v>
      </c>
      <c r="J2647" t="s">
        <v>2668</v>
      </c>
    </row>
    <row r="2648" spans="1:13" x14ac:dyDescent="0.3">
      <c r="A2648" s="160">
        <v>27489</v>
      </c>
      <c r="B2648" t="s">
        <v>17782</v>
      </c>
      <c r="C2648" t="s">
        <v>2665</v>
      </c>
      <c r="D2648">
        <v>1.05</v>
      </c>
      <c r="E2648">
        <v>0</v>
      </c>
      <c r="F2648">
        <f t="shared" si="41"/>
        <v>1.05</v>
      </c>
      <c r="I2648">
        <v>20250101</v>
      </c>
      <c r="J2648" t="s">
        <v>2690</v>
      </c>
    </row>
    <row r="2649" spans="1:13" x14ac:dyDescent="0.3">
      <c r="A2649" s="160">
        <v>27495</v>
      </c>
      <c r="B2649" t="s">
        <v>17783</v>
      </c>
      <c r="C2649" t="s">
        <v>2670</v>
      </c>
      <c r="D2649">
        <v>0.75</v>
      </c>
      <c r="E2649">
        <v>0</v>
      </c>
      <c r="F2649">
        <f t="shared" si="41"/>
        <v>0.75</v>
      </c>
      <c r="I2649">
        <v>20240101</v>
      </c>
      <c r="J2649" t="s">
        <v>2680</v>
      </c>
    </row>
    <row r="2650" spans="1:13" x14ac:dyDescent="0.3">
      <c r="A2650" s="160">
        <v>27501</v>
      </c>
      <c r="B2650" t="s">
        <v>17784</v>
      </c>
      <c r="C2650" t="s">
        <v>2670</v>
      </c>
      <c r="D2650">
        <v>0.75</v>
      </c>
      <c r="E2650">
        <v>0</v>
      </c>
      <c r="F2650">
        <f t="shared" si="41"/>
        <v>0.75</v>
      </c>
      <c r="I2650">
        <v>20240101</v>
      </c>
      <c r="J2650" t="s">
        <v>2671</v>
      </c>
    </row>
    <row r="2651" spans="1:13" x14ac:dyDescent="0.3">
      <c r="A2651" s="160">
        <v>27504</v>
      </c>
      <c r="B2651" t="s">
        <v>17785</v>
      </c>
      <c r="C2651" t="s">
        <v>2665</v>
      </c>
      <c r="D2651">
        <v>1.05</v>
      </c>
      <c r="E2651">
        <v>0</v>
      </c>
      <c r="F2651">
        <f t="shared" si="41"/>
        <v>1.05</v>
      </c>
      <c r="I2651">
        <v>20250101</v>
      </c>
      <c r="J2651" t="s">
        <v>2690</v>
      </c>
    </row>
    <row r="2652" spans="1:13" x14ac:dyDescent="0.3">
      <c r="A2652" s="160">
        <v>27507</v>
      </c>
      <c r="B2652" t="s">
        <v>17786</v>
      </c>
      <c r="C2652" t="s">
        <v>2665</v>
      </c>
      <c r="D2652">
        <v>1.05</v>
      </c>
      <c r="E2652">
        <v>0</v>
      </c>
      <c r="F2652">
        <f t="shared" si="41"/>
        <v>1.05</v>
      </c>
      <c r="I2652">
        <v>20250101</v>
      </c>
      <c r="J2652" t="s">
        <v>2695</v>
      </c>
    </row>
    <row r="2653" spans="1:13" x14ac:dyDescent="0.3">
      <c r="A2653" s="160">
        <v>27510</v>
      </c>
      <c r="B2653" t="s">
        <v>17787</v>
      </c>
      <c r="C2653" t="s">
        <v>2670</v>
      </c>
      <c r="D2653">
        <v>0.75</v>
      </c>
      <c r="E2653">
        <v>0</v>
      </c>
      <c r="F2653">
        <f t="shared" si="41"/>
        <v>0.75</v>
      </c>
      <c r="I2653">
        <v>20240101</v>
      </c>
      <c r="J2653" t="s">
        <v>2671</v>
      </c>
    </row>
    <row r="2654" spans="1:13" x14ac:dyDescent="0.3">
      <c r="A2654" s="160">
        <v>27517</v>
      </c>
      <c r="B2654" t="s">
        <v>17788</v>
      </c>
      <c r="C2654" t="s">
        <v>2667</v>
      </c>
      <c r="D2654">
        <v>0.9</v>
      </c>
      <c r="E2654">
        <v>0</v>
      </c>
      <c r="F2654">
        <f t="shared" si="41"/>
        <v>0.9</v>
      </c>
      <c r="I2654">
        <v>20220701</v>
      </c>
      <c r="J2654" t="s">
        <v>2672</v>
      </c>
      <c r="K2654" t="s">
        <v>2705</v>
      </c>
    </row>
    <row r="2655" spans="1:13" x14ac:dyDescent="0.3">
      <c r="A2655" s="160">
        <v>27525</v>
      </c>
      <c r="B2655" t="s">
        <v>17789</v>
      </c>
      <c r="C2655" t="s">
        <v>2670</v>
      </c>
      <c r="D2655">
        <v>0.75</v>
      </c>
      <c r="E2655">
        <v>0</v>
      </c>
      <c r="F2655">
        <f t="shared" si="41"/>
        <v>0.75</v>
      </c>
      <c r="I2655">
        <v>20240101</v>
      </c>
      <c r="J2655" t="s">
        <v>2706</v>
      </c>
    </row>
    <row r="2656" spans="1:13" x14ac:dyDescent="0.3">
      <c r="A2656" s="160">
        <v>27528</v>
      </c>
      <c r="B2656" t="s">
        <v>17790</v>
      </c>
      <c r="C2656" t="s">
        <v>2667</v>
      </c>
      <c r="D2656">
        <v>0.9</v>
      </c>
      <c r="E2656">
        <v>0</v>
      </c>
      <c r="F2656">
        <f t="shared" si="41"/>
        <v>0.9</v>
      </c>
      <c r="I2656">
        <v>20120101</v>
      </c>
      <c r="J2656" t="s">
        <v>2764</v>
      </c>
      <c r="K2656" t="s">
        <v>2677</v>
      </c>
      <c r="L2656" t="s">
        <v>2765</v>
      </c>
      <c r="M2656" t="s">
        <v>2767</v>
      </c>
    </row>
    <row r="2657" spans="1:11" x14ac:dyDescent="0.3">
      <c r="A2657" s="160">
        <v>27529</v>
      </c>
      <c r="B2657" t="s">
        <v>17791</v>
      </c>
      <c r="C2657" t="s">
        <v>2667</v>
      </c>
      <c r="D2657">
        <v>0.9</v>
      </c>
      <c r="E2657">
        <v>0</v>
      </c>
      <c r="F2657">
        <f t="shared" si="41"/>
        <v>0.9</v>
      </c>
      <c r="I2657">
        <v>20200101</v>
      </c>
      <c r="J2657" t="s">
        <v>2697</v>
      </c>
    </row>
    <row r="2658" spans="1:11" x14ac:dyDescent="0.3">
      <c r="A2658" s="160">
        <v>27534</v>
      </c>
      <c r="B2658" t="s">
        <v>17792</v>
      </c>
      <c r="C2658" t="s">
        <v>2667</v>
      </c>
      <c r="D2658">
        <v>0.9</v>
      </c>
      <c r="E2658">
        <v>0</v>
      </c>
      <c r="F2658">
        <f t="shared" si="41"/>
        <v>0.9</v>
      </c>
      <c r="I2658">
        <v>20200101</v>
      </c>
      <c r="J2658" t="s">
        <v>2697</v>
      </c>
    </row>
    <row r="2659" spans="1:11" x14ac:dyDescent="0.3">
      <c r="A2659" s="160">
        <v>27537</v>
      </c>
      <c r="B2659" t="s">
        <v>17793</v>
      </c>
      <c r="C2659" t="s">
        <v>2667</v>
      </c>
      <c r="D2659">
        <v>0.9</v>
      </c>
      <c r="E2659">
        <v>0</v>
      </c>
      <c r="F2659">
        <f t="shared" si="41"/>
        <v>0.9</v>
      </c>
      <c r="I2659">
        <v>20120101</v>
      </c>
      <c r="J2659" t="s">
        <v>2677</v>
      </c>
      <c r="K2659" t="s">
        <v>2679</v>
      </c>
    </row>
    <row r="2660" spans="1:11" x14ac:dyDescent="0.3">
      <c r="A2660" s="160">
        <v>27539</v>
      </c>
      <c r="B2660" t="s">
        <v>17794</v>
      </c>
      <c r="C2660" t="s">
        <v>2667</v>
      </c>
      <c r="D2660">
        <v>0.9</v>
      </c>
      <c r="E2660">
        <v>0</v>
      </c>
      <c r="F2660">
        <f t="shared" si="41"/>
        <v>0.9</v>
      </c>
      <c r="I2660">
        <v>20220701</v>
      </c>
      <c r="J2660" t="s">
        <v>2768</v>
      </c>
    </row>
    <row r="2661" spans="1:11" x14ac:dyDescent="0.3">
      <c r="A2661" s="160">
        <v>27540</v>
      </c>
      <c r="B2661" t="s">
        <v>17795</v>
      </c>
      <c r="C2661" t="s">
        <v>2670</v>
      </c>
      <c r="D2661">
        <v>0.75</v>
      </c>
      <c r="E2661">
        <v>0</v>
      </c>
      <c r="F2661">
        <f t="shared" si="41"/>
        <v>0.75</v>
      </c>
      <c r="I2661">
        <v>20240101</v>
      </c>
      <c r="J2661" t="s">
        <v>2699</v>
      </c>
    </row>
    <row r="2662" spans="1:11" x14ac:dyDescent="0.3">
      <c r="A2662" s="160">
        <v>27544</v>
      </c>
      <c r="B2662" t="s">
        <v>17796</v>
      </c>
      <c r="C2662" t="s">
        <v>2665</v>
      </c>
      <c r="D2662">
        <v>1.05</v>
      </c>
      <c r="E2662">
        <v>0</v>
      </c>
      <c r="F2662">
        <f t="shared" si="41"/>
        <v>1.05</v>
      </c>
      <c r="I2662">
        <v>20250101</v>
      </c>
      <c r="J2662" t="s">
        <v>2695</v>
      </c>
    </row>
    <row r="2663" spans="1:11" x14ac:dyDescent="0.3">
      <c r="A2663" s="160">
        <v>27545</v>
      </c>
      <c r="B2663" t="s">
        <v>17797</v>
      </c>
      <c r="C2663" t="s">
        <v>2667</v>
      </c>
      <c r="D2663">
        <v>0.9</v>
      </c>
      <c r="E2663">
        <v>0</v>
      </c>
      <c r="F2663">
        <f t="shared" si="41"/>
        <v>0.9</v>
      </c>
      <c r="I2663">
        <v>20200101</v>
      </c>
      <c r="J2663" t="s">
        <v>2697</v>
      </c>
    </row>
    <row r="2664" spans="1:11" x14ac:dyDescent="0.3">
      <c r="A2664" s="160">
        <v>27546</v>
      </c>
      <c r="B2664" t="s">
        <v>17798</v>
      </c>
      <c r="C2664" t="s">
        <v>2665</v>
      </c>
      <c r="D2664">
        <v>1.05</v>
      </c>
      <c r="E2664">
        <v>0</v>
      </c>
      <c r="F2664">
        <f t="shared" si="41"/>
        <v>1.05</v>
      </c>
      <c r="I2664">
        <v>20250101</v>
      </c>
      <c r="J2664" t="s">
        <v>2690</v>
      </c>
    </row>
    <row r="2665" spans="1:11" x14ac:dyDescent="0.3">
      <c r="A2665" s="160">
        <v>27548</v>
      </c>
      <c r="B2665" t="s">
        <v>17799</v>
      </c>
      <c r="C2665" t="s">
        <v>2665</v>
      </c>
      <c r="D2665">
        <v>1.05</v>
      </c>
      <c r="E2665">
        <v>0</v>
      </c>
      <c r="F2665">
        <f t="shared" si="41"/>
        <v>1.05</v>
      </c>
      <c r="I2665">
        <v>20250101</v>
      </c>
      <c r="J2665" t="s">
        <v>2707</v>
      </c>
    </row>
    <row r="2666" spans="1:11" x14ac:dyDescent="0.3">
      <c r="A2666" s="160">
        <v>27553</v>
      </c>
      <c r="B2666" t="s">
        <v>17800</v>
      </c>
      <c r="C2666" t="s">
        <v>2667</v>
      </c>
      <c r="D2666">
        <v>0.9</v>
      </c>
      <c r="E2666">
        <v>0</v>
      </c>
      <c r="F2666">
        <f t="shared" si="41"/>
        <v>0.9</v>
      </c>
      <c r="I2666">
        <v>20220701</v>
      </c>
      <c r="J2666" t="s">
        <v>2672</v>
      </c>
    </row>
    <row r="2667" spans="1:11" x14ac:dyDescent="0.3">
      <c r="A2667" s="160">
        <v>27554</v>
      </c>
      <c r="B2667" t="s">
        <v>17801</v>
      </c>
      <c r="C2667" t="s">
        <v>2670</v>
      </c>
      <c r="D2667">
        <v>0.75</v>
      </c>
      <c r="E2667">
        <v>0</v>
      </c>
      <c r="F2667">
        <f t="shared" si="41"/>
        <v>0.75</v>
      </c>
      <c r="I2667">
        <v>20240101</v>
      </c>
      <c r="J2667" t="s">
        <v>2706</v>
      </c>
    </row>
    <row r="2668" spans="1:11" x14ac:dyDescent="0.3">
      <c r="A2668" s="160">
        <v>27555</v>
      </c>
      <c r="B2668" t="s">
        <v>17802</v>
      </c>
      <c r="C2668" t="s">
        <v>2665</v>
      </c>
      <c r="D2668">
        <v>1.05</v>
      </c>
      <c r="E2668">
        <v>0</v>
      </c>
      <c r="F2668">
        <f t="shared" si="41"/>
        <v>1.05</v>
      </c>
      <c r="I2668">
        <v>20250101</v>
      </c>
      <c r="J2668" t="s">
        <v>2695</v>
      </c>
    </row>
    <row r="2669" spans="1:11" x14ac:dyDescent="0.3">
      <c r="A2669" s="160">
        <v>27560</v>
      </c>
      <c r="B2669" t="s">
        <v>17803</v>
      </c>
      <c r="C2669" t="s">
        <v>2665</v>
      </c>
      <c r="D2669">
        <v>1.05</v>
      </c>
      <c r="E2669">
        <v>0</v>
      </c>
      <c r="F2669">
        <f t="shared" si="41"/>
        <v>1.05</v>
      </c>
      <c r="I2669">
        <v>20250101</v>
      </c>
      <c r="J2669" t="s">
        <v>2690</v>
      </c>
    </row>
    <row r="2670" spans="1:11" x14ac:dyDescent="0.3">
      <c r="A2670" s="160">
        <v>27562</v>
      </c>
      <c r="B2670" t="s">
        <v>17804</v>
      </c>
      <c r="C2670" t="s">
        <v>2670</v>
      </c>
      <c r="D2670">
        <v>0.75</v>
      </c>
      <c r="E2670">
        <v>0</v>
      </c>
      <c r="F2670">
        <f t="shared" si="41"/>
        <v>0.75</v>
      </c>
      <c r="I2670">
        <v>20240101</v>
      </c>
      <c r="J2670" t="s">
        <v>2706</v>
      </c>
    </row>
    <row r="2671" spans="1:11" x14ac:dyDescent="0.3">
      <c r="A2671" s="160">
        <v>27570</v>
      </c>
      <c r="B2671" t="s">
        <v>17805</v>
      </c>
      <c r="C2671" t="s">
        <v>2665</v>
      </c>
      <c r="D2671">
        <v>1.05</v>
      </c>
      <c r="E2671">
        <v>0</v>
      </c>
      <c r="F2671">
        <f t="shared" si="41"/>
        <v>1.05</v>
      </c>
      <c r="I2671">
        <v>20250101</v>
      </c>
      <c r="J2671" t="s">
        <v>2690</v>
      </c>
    </row>
    <row r="2672" spans="1:11" x14ac:dyDescent="0.3">
      <c r="A2672" s="160">
        <v>27588</v>
      </c>
      <c r="B2672" t="s">
        <v>17806</v>
      </c>
      <c r="C2672" t="s">
        <v>2670</v>
      </c>
      <c r="D2672">
        <v>0.75</v>
      </c>
      <c r="E2672">
        <v>0</v>
      </c>
      <c r="F2672">
        <f t="shared" si="41"/>
        <v>0.75</v>
      </c>
      <c r="I2672">
        <v>20240101</v>
      </c>
      <c r="J2672" t="s">
        <v>2706</v>
      </c>
    </row>
    <row r="2673" spans="1:12" x14ac:dyDescent="0.3">
      <c r="A2673" s="160">
        <v>27589</v>
      </c>
      <c r="B2673" t="s">
        <v>17807</v>
      </c>
      <c r="C2673" t="s">
        <v>2667</v>
      </c>
      <c r="D2673">
        <v>0.9</v>
      </c>
      <c r="E2673">
        <v>0</v>
      </c>
      <c r="F2673">
        <f t="shared" si="41"/>
        <v>0.9</v>
      </c>
      <c r="I2673">
        <v>20220701</v>
      </c>
      <c r="J2673" t="s">
        <v>2768</v>
      </c>
    </row>
    <row r="2674" spans="1:12" x14ac:dyDescent="0.3">
      <c r="A2674" s="160">
        <v>27598</v>
      </c>
      <c r="B2674" t="s">
        <v>17808</v>
      </c>
      <c r="C2674" t="s">
        <v>2667</v>
      </c>
      <c r="D2674">
        <v>0.9</v>
      </c>
      <c r="E2674">
        <v>0</v>
      </c>
      <c r="F2674">
        <f t="shared" si="41"/>
        <v>0.9</v>
      </c>
      <c r="I2674">
        <v>20120101</v>
      </c>
      <c r="J2674" t="s">
        <v>2765</v>
      </c>
      <c r="K2674" t="s">
        <v>2679</v>
      </c>
    </row>
    <row r="2675" spans="1:12" x14ac:dyDescent="0.3">
      <c r="A2675" s="160">
        <v>27599</v>
      </c>
      <c r="B2675" t="s">
        <v>17809</v>
      </c>
      <c r="C2675" t="s">
        <v>2667</v>
      </c>
      <c r="D2675">
        <v>0.9</v>
      </c>
      <c r="E2675">
        <v>0</v>
      </c>
      <c r="F2675">
        <f t="shared" si="41"/>
        <v>0.9</v>
      </c>
      <c r="I2675">
        <v>20220701</v>
      </c>
      <c r="J2675" t="s">
        <v>2672</v>
      </c>
      <c r="K2675" t="s">
        <v>2705</v>
      </c>
    </row>
    <row r="2676" spans="1:12" x14ac:dyDescent="0.3">
      <c r="A2676" s="160">
        <v>27602</v>
      </c>
      <c r="B2676" t="s">
        <v>17810</v>
      </c>
      <c r="C2676" t="s">
        <v>2665</v>
      </c>
      <c r="D2676">
        <v>1.05</v>
      </c>
      <c r="E2676">
        <v>0</v>
      </c>
      <c r="F2676">
        <f t="shared" si="41"/>
        <v>1.05</v>
      </c>
      <c r="I2676">
        <v>20250101</v>
      </c>
      <c r="J2676" t="s">
        <v>2691</v>
      </c>
      <c r="K2676" t="s">
        <v>2685</v>
      </c>
      <c r="L2676" t="s">
        <v>2692</v>
      </c>
    </row>
    <row r="2677" spans="1:12" x14ac:dyDescent="0.3">
      <c r="A2677" s="160">
        <v>27611</v>
      </c>
      <c r="B2677" t="s">
        <v>17811</v>
      </c>
      <c r="C2677" t="s">
        <v>2665</v>
      </c>
      <c r="D2677">
        <v>1.05</v>
      </c>
      <c r="E2677">
        <v>0</v>
      </c>
      <c r="F2677">
        <f t="shared" si="41"/>
        <v>1.05</v>
      </c>
      <c r="I2677">
        <v>20250101</v>
      </c>
      <c r="J2677" t="s">
        <v>2690</v>
      </c>
    </row>
    <row r="2678" spans="1:12" x14ac:dyDescent="0.3">
      <c r="A2678" s="160">
        <v>27612</v>
      </c>
      <c r="B2678" t="s">
        <v>17812</v>
      </c>
      <c r="C2678" t="s">
        <v>2670</v>
      </c>
      <c r="D2678">
        <v>0.75</v>
      </c>
      <c r="E2678">
        <v>0</v>
      </c>
      <c r="F2678">
        <f t="shared" si="41"/>
        <v>0.75</v>
      </c>
      <c r="I2678">
        <v>20240101</v>
      </c>
      <c r="J2678" t="s">
        <v>2706</v>
      </c>
    </row>
    <row r="2679" spans="1:12" x14ac:dyDescent="0.3">
      <c r="A2679" s="160">
        <v>27615</v>
      </c>
      <c r="B2679" t="s">
        <v>17813</v>
      </c>
      <c r="C2679" t="s">
        <v>2665</v>
      </c>
      <c r="D2679">
        <v>1.05</v>
      </c>
      <c r="E2679">
        <v>0</v>
      </c>
      <c r="F2679">
        <f t="shared" si="41"/>
        <v>1.05</v>
      </c>
      <c r="I2679">
        <v>20250101</v>
      </c>
      <c r="J2679" t="s">
        <v>2690</v>
      </c>
    </row>
    <row r="2680" spans="1:12" x14ac:dyDescent="0.3">
      <c r="A2680" s="160">
        <v>27616</v>
      </c>
      <c r="B2680" t="s">
        <v>17814</v>
      </c>
      <c r="C2680" t="s">
        <v>2667</v>
      </c>
      <c r="D2680">
        <v>0.9</v>
      </c>
      <c r="E2680">
        <v>0</v>
      </c>
      <c r="F2680">
        <f t="shared" si="41"/>
        <v>0.9</v>
      </c>
      <c r="I2680">
        <v>20200101</v>
      </c>
      <c r="J2680" t="s">
        <v>2697</v>
      </c>
    </row>
    <row r="2681" spans="1:12" x14ac:dyDescent="0.3">
      <c r="A2681" s="160">
        <v>27621</v>
      </c>
      <c r="B2681" t="s">
        <v>17815</v>
      </c>
      <c r="C2681" t="s">
        <v>2665</v>
      </c>
      <c r="D2681">
        <v>1.05</v>
      </c>
      <c r="E2681">
        <v>0</v>
      </c>
      <c r="F2681">
        <f t="shared" si="41"/>
        <v>1.05</v>
      </c>
      <c r="I2681">
        <v>20250101</v>
      </c>
      <c r="J2681" t="s">
        <v>2695</v>
      </c>
    </row>
    <row r="2682" spans="1:12" x14ac:dyDescent="0.3">
      <c r="A2682" s="160">
        <v>27623</v>
      </c>
      <c r="B2682" t="s">
        <v>17816</v>
      </c>
      <c r="C2682" t="s">
        <v>2667</v>
      </c>
      <c r="D2682">
        <v>0.9</v>
      </c>
      <c r="E2682">
        <v>0</v>
      </c>
      <c r="F2682">
        <f t="shared" si="41"/>
        <v>0.9</v>
      </c>
      <c r="I2682">
        <v>20120101</v>
      </c>
      <c r="J2682" t="s">
        <v>2668</v>
      </c>
    </row>
    <row r="2683" spans="1:12" x14ac:dyDescent="0.3">
      <c r="A2683" s="160">
        <v>27624</v>
      </c>
      <c r="B2683" t="s">
        <v>17817</v>
      </c>
      <c r="C2683" t="s">
        <v>2667</v>
      </c>
      <c r="D2683">
        <v>0.9</v>
      </c>
      <c r="E2683">
        <v>0</v>
      </c>
      <c r="F2683">
        <f t="shared" si="41"/>
        <v>0.9</v>
      </c>
      <c r="I2683">
        <v>20120101</v>
      </c>
      <c r="J2683" t="s">
        <v>2668</v>
      </c>
    </row>
    <row r="2684" spans="1:12" x14ac:dyDescent="0.3">
      <c r="A2684" s="160">
        <v>27625</v>
      </c>
      <c r="B2684" t="s">
        <v>17818</v>
      </c>
      <c r="C2684" t="s">
        <v>2670</v>
      </c>
      <c r="D2684">
        <v>0.75</v>
      </c>
      <c r="E2684">
        <v>0</v>
      </c>
      <c r="F2684">
        <f t="shared" si="41"/>
        <v>0.75</v>
      </c>
      <c r="I2684">
        <v>20240101</v>
      </c>
      <c r="J2684" t="s">
        <v>2713</v>
      </c>
    </row>
    <row r="2685" spans="1:12" x14ac:dyDescent="0.3">
      <c r="A2685" s="160">
        <v>27635</v>
      </c>
      <c r="B2685" t="s">
        <v>17819</v>
      </c>
      <c r="C2685" t="s">
        <v>2670</v>
      </c>
      <c r="D2685">
        <v>0.75</v>
      </c>
      <c r="E2685">
        <v>0</v>
      </c>
      <c r="F2685">
        <f t="shared" si="41"/>
        <v>0.75</v>
      </c>
      <c r="I2685">
        <v>20240101</v>
      </c>
      <c r="J2685" t="s">
        <v>2680</v>
      </c>
    </row>
    <row r="2686" spans="1:12" x14ac:dyDescent="0.3">
      <c r="A2686" s="160">
        <v>27644</v>
      </c>
      <c r="B2686" t="s">
        <v>17820</v>
      </c>
      <c r="C2686" t="s">
        <v>2670</v>
      </c>
      <c r="D2686">
        <v>0.75</v>
      </c>
      <c r="E2686">
        <v>0</v>
      </c>
      <c r="F2686">
        <f t="shared" si="41"/>
        <v>0.75</v>
      </c>
      <c r="I2686">
        <v>20240101</v>
      </c>
      <c r="J2686" t="s">
        <v>2714</v>
      </c>
    </row>
    <row r="2687" spans="1:12" x14ac:dyDescent="0.3">
      <c r="A2687" s="160">
        <v>27648</v>
      </c>
      <c r="B2687" t="s">
        <v>17821</v>
      </c>
      <c r="C2687" t="s">
        <v>2667</v>
      </c>
      <c r="D2687">
        <v>0.9</v>
      </c>
      <c r="E2687">
        <v>0</v>
      </c>
      <c r="F2687">
        <f t="shared" si="41"/>
        <v>0.9</v>
      </c>
      <c r="I2687">
        <v>20130401</v>
      </c>
      <c r="J2687" t="s">
        <v>2711</v>
      </c>
    </row>
    <row r="2688" spans="1:12" x14ac:dyDescent="0.3">
      <c r="A2688" s="160">
        <v>27651</v>
      </c>
      <c r="B2688" t="s">
        <v>17822</v>
      </c>
      <c r="C2688" t="s">
        <v>2667</v>
      </c>
      <c r="D2688">
        <v>0.9</v>
      </c>
      <c r="E2688">
        <v>0</v>
      </c>
      <c r="F2688">
        <f t="shared" si="41"/>
        <v>0.9</v>
      </c>
      <c r="I2688">
        <v>20120101</v>
      </c>
      <c r="J2688" t="s">
        <v>2764</v>
      </c>
      <c r="K2688" t="s">
        <v>2677</v>
      </c>
    </row>
    <row r="2689" spans="1:19" x14ac:dyDescent="0.3">
      <c r="A2689" s="160">
        <v>27652</v>
      </c>
      <c r="B2689" t="s">
        <v>17823</v>
      </c>
      <c r="C2689" t="s">
        <v>2665</v>
      </c>
      <c r="D2689">
        <v>1.05</v>
      </c>
      <c r="E2689">
        <v>0</v>
      </c>
      <c r="F2689">
        <f t="shared" si="41"/>
        <v>1.05</v>
      </c>
      <c r="I2689">
        <v>20250101</v>
      </c>
      <c r="J2689" t="s">
        <v>2690</v>
      </c>
    </row>
    <row r="2690" spans="1:19" x14ac:dyDescent="0.3">
      <c r="A2690" s="160">
        <v>27659</v>
      </c>
      <c r="B2690" t="s">
        <v>15992</v>
      </c>
      <c r="C2690" t="s">
        <v>2665</v>
      </c>
      <c r="D2690">
        <v>1.05</v>
      </c>
      <c r="E2690">
        <v>0</v>
      </c>
      <c r="F2690">
        <f t="shared" si="41"/>
        <v>1.05</v>
      </c>
      <c r="I2690">
        <v>20250101</v>
      </c>
      <c r="J2690" t="s">
        <v>2690</v>
      </c>
    </row>
    <row r="2691" spans="1:19" x14ac:dyDescent="0.3">
      <c r="A2691" s="160">
        <v>27666</v>
      </c>
      <c r="B2691" t="s">
        <v>17824</v>
      </c>
      <c r="C2691" t="s">
        <v>2667</v>
      </c>
      <c r="D2691">
        <v>0.9</v>
      </c>
      <c r="E2691">
        <v>0</v>
      </c>
      <c r="F2691">
        <f t="shared" si="41"/>
        <v>0.9</v>
      </c>
      <c r="I2691">
        <v>20120101</v>
      </c>
      <c r="J2691" t="s">
        <v>2668</v>
      </c>
    </row>
    <row r="2692" spans="1:19" x14ac:dyDescent="0.3">
      <c r="A2692" s="160">
        <v>27668</v>
      </c>
      <c r="B2692" t="s">
        <v>17825</v>
      </c>
      <c r="C2692" t="s">
        <v>2665</v>
      </c>
      <c r="D2692">
        <v>1.05</v>
      </c>
      <c r="E2692">
        <v>0</v>
      </c>
      <c r="F2692">
        <f t="shared" si="41"/>
        <v>1.05</v>
      </c>
      <c r="I2692">
        <v>20250101</v>
      </c>
      <c r="J2692" t="s">
        <v>2671</v>
      </c>
    </row>
    <row r="2693" spans="1:19" x14ac:dyDescent="0.3">
      <c r="A2693" s="160">
        <v>27673</v>
      </c>
      <c r="B2693" t="s">
        <v>17826</v>
      </c>
      <c r="C2693" t="s">
        <v>2670</v>
      </c>
      <c r="D2693">
        <v>0.75</v>
      </c>
      <c r="E2693">
        <v>0</v>
      </c>
      <c r="F2693">
        <f t="shared" si="41"/>
        <v>0.75</v>
      </c>
      <c r="I2693">
        <v>20240101</v>
      </c>
      <c r="J2693" t="s">
        <v>2679</v>
      </c>
    </row>
    <row r="2694" spans="1:19" x14ac:dyDescent="0.3">
      <c r="A2694" s="160">
        <v>27674</v>
      </c>
      <c r="B2694" t="s">
        <v>17827</v>
      </c>
      <c r="C2694" t="s">
        <v>2670</v>
      </c>
      <c r="D2694">
        <v>0.75</v>
      </c>
      <c r="E2694">
        <v>0</v>
      </c>
      <c r="F2694">
        <f t="shared" si="41"/>
        <v>0.75</v>
      </c>
      <c r="I2694">
        <v>20240101</v>
      </c>
      <c r="J2694" t="s">
        <v>2671</v>
      </c>
    </row>
    <row r="2695" spans="1:19" x14ac:dyDescent="0.3">
      <c r="A2695" s="160">
        <v>27676</v>
      </c>
      <c r="B2695" t="s">
        <v>17828</v>
      </c>
      <c r="C2695" t="s">
        <v>2667</v>
      </c>
      <c r="D2695">
        <v>0.9</v>
      </c>
      <c r="E2695">
        <v>0</v>
      </c>
      <c r="F2695">
        <f t="shared" ref="F2695:F2758" si="42">D2695+E2695</f>
        <v>0.9</v>
      </c>
      <c r="I2695">
        <v>20220701</v>
      </c>
      <c r="J2695" t="s">
        <v>2680</v>
      </c>
      <c r="K2695" t="s">
        <v>2693</v>
      </c>
    </row>
    <row r="2696" spans="1:19" x14ac:dyDescent="0.3">
      <c r="A2696" s="160">
        <v>27678</v>
      </c>
      <c r="B2696" t="s">
        <v>17829</v>
      </c>
      <c r="C2696" t="s">
        <v>2665</v>
      </c>
      <c r="D2696">
        <v>1.05</v>
      </c>
      <c r="E2696">
        <v>0</v>
      </c>
      <c r="F2696">
        <f t="shared" si="42"/>
        <v>1.05</v>
      </c>
      <c r="I2696">
        <v>20250101</v>
      </c>
      <c r="J2696" t="s">
        <v>2692</v>
      </c>
    </row>
    <row r="2697" spans="1:19" x14ac:dyDescent="0.3">
      <c r="A2697" s="160">
        <v>27681</v>
      </c>
      <c r="B2697" t="s">
        <v>17830</v>
      </c>
      <c r="C2697" t="s">
        <v>2670</v>
      </c>
      <c r="D2697">
        <v>0.75</v>
      </c>
      <c r="E2697">
        <v>0</v>
      </c>
      <c r="F2697">
        <f t="shared" si="42"/>
        <v>0.75</v>
      </c>
      <c r="I2697">
        <v>20240101</v>
      </c>
      <c r="J2697" t="s">
        <v>2769</v>
      </c>
      <c r="K2697" t="s">
        <v>2770</v>
      </c>
      <c r="L2697" t="s">
        <v>2771</v>
      </c>
      <c r="M2697" t="s">
        <v>2772</v>
      </c>
      <c r="N2697" t="s">
        <v>2773</v>
      </c>
      <c r="O2697" t="s">
        <v>2774</v>
      </c>
      <c r="P2697" t="s">
        <v>2775</v>
      </c>
      <c r="Q2697" t="s">
        <v>2776</v>
      </c>
    </row>
    <row r="2698" spans="1:19" x14ac:dyDescent="0.3">
      <c r="A2698" s="160">
        <v>27683</v>
      </c>
      <c r="B2698" t="s">
        <v>17831</v>
      </c>
      <c r="C2698" t="s">
        <v>2670</v>
      </c>
      <c r="D2698">
        <v>0.75</v>
      </c>
      <c r="E2698">
        <v>0</v>
      </c>
      <c r="F2698">
        <f t="shared" si="42"/>
        <v>0.75</v>
      </c>
      <c r="I2698">
        <v>20240101</v>
      </c>
      <c r="J2698" t="s">
        <v>2680</v>
      </c>
    </row>
    <row r="2699" spans="1:19" x14ac:dyDescent="0.3">
      <c r="A2699" s="160">
        <v>27684</v>
      </c>
      <c r="B2699" t="s">
        <v>17832</v>
      </c>
      <c r="C2699" t="s">
        <v>2665</v>
      </c>
      <c r="D2699">
        <v>1.05</v>
      </c>
      <c r="E2699">
        <v>0</v>
      </c>
      <c r="F2699">
        <f t="shared" si="42"/>
        <v>1.05</v>
      </c>
      <c r="I2699">
        <v>20250101</v>
      </c>
      <c r="J2699" t="s">
        <v>2718</v>
      </c>
      <c r="K2699" t="s">
        <v>2719</v>
      </c>
      <c r="L2699" t="s">
        <v>2720</v>
      </c>
      <c r="M2699" t="s">
        <v>2691</v>
      </c>
      <c r="N2699" t="s">
        <v>2721</v>
      </c>
      <c r="O2699" t="s">
        <v>2685</v>
      </c>
      <c r="P2699" t="s">
        <v>2722</v>
      </c>
      <c r="Q2699" t="s">
        <v>2686</v>
      </c>
      <c r="R2699" t="s">
        <v>2688</v>
      </c>
      <c r="S2699" t="s">
        <v>2690</v>
      </c>
    </row>
    <row r="2700" spans="1:19" x14ac:dyDescent="0.3">
      <c r="A2700" s="160">
        <v>27689</v>
      </c>
      <c r="B2700" t="s">
        <v>17833</v>
      </c>
      <c r="C2700" t="s">
        <v>2670</v>
      </c>
      <c r="D2700">
        <v>0.75</v>
      </c>
      <c r="E2700">
        <v>0</v>
      </c>
      <c r="F2700">
        <f t="shared" si="42"/>
        <v>0.75</v>
      </c>
      <c r="I2700">
        <v>20240101</v>
      </c>
      <c r="J2700" t="s">
        <v>2671</v>
      </c>
      <c r="K2700" t="s">
        <v>2701</v>
      </c>
    </row>
    <row r="2701" spans="1:19" x14ac:dyDescent="0.3">
      <c r="A2701" s="160">
        <v>27691</v>
      </c>
      <c r="B2701" t="s">
        <v>17834</v>
      </c>
      <c r="C2701" t="s">
        <v>2667</v>
      </c>
      <c r="D2701">
        <v>0.9</v>
      </c>
      <c r="E2701">
        <v>0</v>
      </c>
      <c r="F2701">
        <f t="shared" si="42"/>
        <v>0.9</v>
      </c>
      <c r="I2701">
        <v>20220701</v>
      </c>
      <c r="J2701" t="s">
        <v>2693</v>
      </c>
    </row>
    <row r="2702" spans="1:19" x14ac:dyDescent="0.3">
      <c r="A2702" s="160">
        <v>27694</v>
      </c>
      <c r="B2702" t="s">
        <v>17835</v>
      </c>
      <c r="C2702" t="s">
        <v>2670</v>
      </c>
      <c r="D2702">
        <v>0.75</v>
      </c>
      <c r="E2702">
        <v>0</v>
      </c>
      <c r="F2702">
        <f t="shared" si="42"/>
        <v>0.75</v>
      </c>
      <c r="I2702">
        <v>20240101</v>
      </c>
      <c r="J2702" t="s">
        <v>2706</v>
      </c>
    </row>
    <row r="2703" spans="1:19" x14ac:dyDescent="0.3">
      <c r="A2703" s="160">
        <v>27696</v>
      </c>
      <c r="B2703" t="s">
        <v>17836</v>
      </c>
      <c r="C2703" t="s">
        <v>2670</v>
      </c>
      <c r="D2703">
        <v>0.75</v>
      </c>
      <c r="E2703">
        <v>0</v>
      </c>
      <c r="F2703">
        <f t="shared" si="42"/>
        <v>0.75</v>
      </c>
      <c r="I2703">
        <v>20240101</v>
      </c>
      <c r="J2703" t="s">
        <v>2702</v>
      </c>
    </row>
    <row r="2704" spans="1:19" x14ac:dyDescent="0.3">
      <c r="A2704" s="160">
        <v>27697</v>
      </c>
      <c r="B2704" t="s">
        <v>17837</v>
      </c>
      <c r="C2704" t="s">
        <v>2667</v>
      </c>
      <c r="D2704">
        <v>0.9</v>
      </c>
      <c r="E2704">
        <v>0</v>
      </c>
      <c r="F2704">
        <f t="shared" si="42"/>
        <v>0.9</v>
      </c>
      <c r="I2704">
        <v>20120101</v>
      </c>
      <c r="J2704" t="s">
        <v>2668</v>
      </c>
      <c r="K2704" t="s">
        <v>2750</v>
      </c>
    </row>
    <row r="2705" spans="1:20" x14ac:dyDescent="0.3">
      <c r="A2705" s="160">
        <v>27700</v>
      </c>
      <c r="B2705" t="s">
        <v>17838</v>
      </c>
      <c r="C2705" t="s">
        <v>2667</v>
      </c>
      <c r="D2705">
        <v>0.9</v>
      </c>
      <c r="E2705">
        <v>0</v>
      </c>
      <c r="F2705">
        <f t="shared" si="42"/>
        <v>0.9</v>
      </c>
      <c r="I2705">
        <v>20200101</v>
      </c>
      <c r="J2705" t="s">
        <v>2697</v>
      </c>
    </row>
    <row r="2706" spans="1:20" x14ac:dyDescent="0.3">
      <c r="A2706" s="160">
        <v>27701</v>
      </c>
      <c r="B2706" t="s">
        <v>17839</v>
      </c>
      <c r="C2706" t="s">
        <v>2667</v>
      </c>
      <c r="D2706">
        <v>0.9</v>
      </c>
      <c r="E2706">
        <v>0</v>
      </c>
      <c r="F2706">
        <f t="shared" si="42"/>
        <v>0.9</v>
      </c>
      <c r="I2706">
        <v>20120101</v>
      </c>
      <c r="J2706" t="s">
        <v>2764</v>
      </c>
      <c r="K2706" t="s">
        <v>2755</v>
      </c>
      <c r="L2706" t="s">
        <v>2709</v>
      </c>
      <c r="M2706" t="s">
        <v>2677</v>
      </c>
      <c r="N2706" t="s">
        <v>2678</v>
      </c>
      <c r="O2706" t="s">
        <v>2765</v>
      </c>
      <c r="P2706" t="s">
        <v>2777</v>
      </c>
      <c r="Q2706" t="s">
        <v>2710</v>
      </c>
      <c r="R2706" t="s">
        <v>2673</v>
      </c>
      <c r="S2706" t="s">
        <v>2767</v>
      </c>
      <c r="T2706" t="s">
        <v>2751</v>
      </c>
    </row>
    <row r="2707" spans="1:20" x14ac:dyDescent="0.3">
      <c r="A2707" s="160">
        <v>28001</v>
      </c>
      <c r="B2707" t="s">
        <v>17840</v>
      </c>
      <c r="C2707" t="s">
        <v>2745</v>
      </c>
      <c r="D2707">
        <v>1.05</v>
      </c>
      <c r="E2707">
        <v>0</v>
      </c>
      <c r="F2707">
        <f t="shared" si="42"/>
        <v>1.05</v>
      </c>
      <c r="I2707">
        <v>20160701</v>
      </c>
      <c r="J2707" t="s">
        <v>2778</v>
      </c>
    </row>
    <row r="2708" spans="1:20" x14ac:dyDescent="0.3">
      <c r="A2708" s="160">
        <v>28002</v>
      </c>
      <c r="B2708" t="s">
        <v>17840</v>
      </c>
      <c r="C2708" t="s">
        <v>2779</v>
      </c>
      <c r="D2708">
        <v>0</v>
      </c>
      <c r="E2708">
        <v>0</v>
      </c>
      <c r="F2708">
        <f t="shared" si="42"/>
        <v>0</v>
      </c>
      <c r="I2708">
        <v>20210101</v>
      </c>
      <c r="J2708" t="s">
        <v>2780</v>
      </c>
    </row>
    <row r="2709" spans="1:20" x14ac:dyDescent="0.3">
      <c r="A2709" s="160">
        <v>28003</v>
      </c>
      <c r="B2709" t="s">
        <v>17841</v>
      </c>
      <c r="C2709" t="s">
        <v>2745</v>
      </c>
      <c r="D2709">
        <v>1.05</v>
      </c>
      <c r="E2709">
        <v>0</v>
      </c>
      <c r="F2709">
        <f t="shared" si="42"/>
        <v>1.05</v>
      </c>
      <c r="I2709">
        <v>20160701</v>
      </c>
      <c r="J2709" t="s">
        <v>2781</v>
      </c>
    </row>
    <row r="2710" spans="1:20" x14ac:dyDescent="0.3">
      <c r="A2710" s="160">
        <v>28004</v>
      </c>
      <c r="B2710" t="s">
        <v>17842</v>
      </c>
      <c r="C2710" t="s">
        <v>2782</v>
      </c>
      <c r="D2710">
        <v>1.5</v>
      </c>
      <c r="E2710">
        <v>0</v>
      </c>
      <c r="F2710">
        <f t="shared" si="42"/>
        <v>1.5</v>
      </c>
      <c r="I2710">
        <v>20250101</v>
      </c>
      <c r="J2710" t="s">
        <v>2783</v>
      </c>
    </row>
    <row r="2711" spans="1:20" x14ac:dyDescent="0.3">
      <c r="A2711" s="160">
        <v>28006</v>
      </c>
      <c r="B2711" t="s">
        <v>17843</v>
      </c>
      <c r="C2711" t="s">
        <v>2782</v>
      </c>
      <c r="D2711">
        <v>2</v>
      </c>
      <c r="E2711">
        <v>0</v>
      </c>
      <c r="F2711">
        <f t="shared" si="42"/>
        <v>2</v>
      </c>
      <c r="I2711">
        <v>20230101</v>
      </c>
      <c r="J2711" t="s">
        <v>2784</v>
      </c>
      <c r="K2711" t="s">
        <v>2785</v>
      </c>
      <c r="L2711" t="s">
        <v>2786</v>
      </c>
    </row>
    <row r="2712" spans="1:20" x14ac:dyDescent="0.3">
      <c r="A2712" s="160">
        <v>28007</v>
      </c>
      <c r="B2712" t="s">
        <v>17844</v>
      </c>
      <c r="C2712" t="s">
        <v>2745</v>
      </c>
      <c r="D2712">
        <v>1.05</v>
      </c>
      <c r="E2712">
        <v>0</v>
      </c>
      <c r="F2712">
        <f t="shared" si="42"/>
        <v>1.05</v>
      </c>
      <c r="I2712">
        <v>20160701</v>
      </c>
      <c r="J2712" t="s">
        <v>2787</v>
      </c>
      <c r="K2712" t="s">
        <v>2788</v>
      </c>
    </row>
    <row r="2713" spans="1:20" x14ac:dyDescent="0.3">
      <c r="A2713" s="160">
        <v>28008</v>
      </c>
      <c r="B2713" t="s">
        <v>17845</v>
      </c>
      <c r="C2713" t="s">
        <v>2745</v>
      </c>
      <c r="D2713">
        <v>1.05</v>
      </c>
      <c r="E2713">
        <v>0</v>
      </c>
      <c r="F2713">
        <f t="shared" si="42"/>
        <v>1.05</v>
      </c>
      <c r="I2713">
        <v>20160701</v>
      </c>
      <c r="J2713" t="s">
        <v>2789</v>
      </c>
    </row>
    <row r="2714" spans="1:20" x14ac:dyDescent="0.3">
      <c r="A2714" s="160">
        <v>28009</v>
      </c>
      <c r="B2714" t="s">
        <v>17846</v>
      </c>
      <c r="C2714" t="s">
        <v>2779</v>
      </c>
      <c r="D2714">
        <v>0</v>
      </c>
      <c r="E2714">
        <v>0.5</v>
      </c>
      <c r="F2714">
        <f t="shared" si="42"/>
        <v>0.5</v>
      </c>
      <c r="I2714">
        <v>20140101</v>
      </c>
      <c r="J2714" t="s">
        <v>2790</v>
      </c>
    </row>
    <row r="2715" spans="1:20" x14ac:dyDescent="0.3">
      <c r="A2715" s="160">
        <v>28013</v>
      </c>
      <c r="B2715" t="s">
        <v>17847</v>
      </c>
      <c r="C2715" t="s">
        <v>2791</v>
      </c>
      <c r="D2715">
        <v>0.55000000000000004</v>
      </c>
      <c r="E2715">
        <v>0.45</v>
      </c>
      <c r="F2715">
        <f t="shared" si="42"/>
        <v>1</v>
      </c>
      <c r="I2715">
        <v>20220701</v>
      </c>
      <c r="J2715" t="s">
        <v>2790</v>
      </c>
      <c r="K2715" t="s">
        <v>2792</v>
      </c>
    </row>
    <row r="2716" spans="1:20" x14ac:dyDescent="0.3">
      <c r="A2716" s="160">
        <v>28014</v>
      </c>
      <c r="B2716" t="s">
        <v>17848</v>
      </c>
      <c r="C2716" t="s">
        <v>2745</v>
      </c>
      <c r="D2716">
        <v>1.05</v>
      </c>
      <c r="E2716">
        <v>0</v>
      </c>
      <c r="F2716">
        <f t="shared" si="42"/>
        <v>1.05</v>
      </c>
      <c r="I2716">
        <v>20160701</v>
      </c>
      <c r="J2716" t="s">
        <v>2781</v>
      </c>
    </row>
    <row r="2717" spans="1:20" x14ac:dyDescent="0.3">
      <c r="A2717" s="160">
        <v>28015</v>
      </c>
      <c r="B2717" t="s">
        <v>17849</v>
      </c>
      <c r="C2717" t="s">
        <v>2791</v>
      </c>
      <c r="D2717">
        <v>0.55000000000000004</v>
      </c>
      <c r="E2717">
        <v>0.45</v>
      </c>
      <c r="F2717">
        <f t="shared" si="42"/>
        <v>1</v>
      </c>
      <c r="I2717">
        <v>20220701</v>
      </c>
      <c r="J2717" t="s">
        <v>2790</v>
      </c>
      <c r="K2717" t="s">
        <v>2793</v>
      </c>
      <c r="L2717" t="s">
        <v>2792</v>
      </c>
      <c r="M2717" t="s">
        <v>2794</v>
      </c>
    </row>
    <row r="2718" spans="1:20" x14ac:dyDescent="0.3">
      <c r="A2718" s="160">
        <v>28019</v>
      </c>
      <c r="B2718" t="s">
        <v>17850</v>
      </c>
      <c r="C2718" t="s">
        <v>2779</v>
      </c>
      <c r="D2718">
        <v>0</v>
      </c>
      <c r="E2718">
        <v>0.5</v>
      </c>
      <c r="F2718">
        <f t="shared" si="42"/>
        <v>0.5</v>
      </c>
      <c r="I2718">
        <v>20240101</v>
      </c>
      <c r="J2718" t="s">
        <v>2795</v>
      </c>
    </row>
    <row r="2719" spans="1:20" x14ac:dyDescent="0.3">
      <c r="A2719" s="160">
        <v>28021</v>
      </c>
      <c r="B2719" t="s">
        <v>17851</v>
      </c>
      <c r="C2719" t="s">
        <v>2779</v>
      </c>
      <c r="D2719">
        <v>0</v>
      </c>
      <c r="E2719">
        <v>0.5</v>
      </c>
      <c r="F2719">
        <f t="shared" si="42"/>
        <v>0.5</v>
      </c>
      <c r="I2719">
        <v>20140101</v>
      </c>
      <c r="J2719" t="s">
        <v>2796</v>
      </c>
    </row>
    <row r="2720" spans="1:20" x14ac:dyDescent="0.3">
      <c r="A2720" s="160">
        <v>28022</v>
      </c>
      <c r="B2720" t="s">
        <v>17852</v>
      </c>
      <c r="C2720" t="s">
        <v>2782</v>
      </c>
      <c r="D2720">
        <v>2</v>
      </c>
      <c r="E2720">
        <v>0</v>
      </c>
      <c r="F2720">
        <f t="shared" si="42"/>
        <v>2</v>
      </c>
      <c r="I2720">
        <v>20230101</v>
      </c>
      <c r="J2720" t="s">
        <v>2784</v>
      </c>
      <c r="K2720" t="s">
        <v>2785</v>
      </c>
    </row>
    <row r="2721" spans="1:13" x14ac:dyDescent="0.3">
      <c r="A2721" s="160">
        <v>28023</v>
      </c>
      <c r="B2721" t="s">
        <v>17853</v>
      </c>
      <c r="C2721" t="s">
        <v>2791</v>
      </c>
      <c r="D2721">
        <v>0.55000000000000004</v>
      </c>
      <c r="E2721">
        <v>0.45</v>
      </c>
      <c r="F2721">
        <f t="shared" si="42"/>
        <v>1</v>
      </c>
      <c r="I2721">
        <v>20220701</v>
      </c>
      <c r="J2721" t="s">
        <v>2797</v>
      </c>
    </row>
    <row r="2722" spans="1:13" x14ac:dyDescent="0.3">
      <c r="A2722" s="160">
        <v>28024</v>
      </c>
      <c r="B2722" t="s">
        <v>17854</v>
      </c>
      <c r="C2722" t="s">
        <v>2782</v>
      </c>
      <c r="D2722">
        <v>2</v>
      </c>
      <c r="E2722">
        <v>0</v>
      </c>
      <c r="F2722">
        <f t="shared" si="42"/>
        <v>2</v>
      </c>
      <c r="I2722">
        <v>20230101</v>
      </c>
      <c r="J2722" t="s">
        <v>2798</v>
      </c>
      <c r="K2722" t="s">
        <v>2799</v>
      </c>
      <c r="L2722" t="s">
        <v>2800</v>
      </c>
      <c r="M2722" t="s">
        <v>2801</v>
      </c>
    </row>
    <row r="2723" spans="1:13" x14ac:dyDescent="0.3">
      <c r="A2723" s="160">
        <v>28025</v>
      </c>
      <c r="B2723" t="s">
        <v>17855</v>
      </c>
      <c r="C2723" t="s">
        <v>2779</v>
      </c>
      <c r="D2723">
        <v>0</v>
      </c>
      <c r="E2723">
        <v>0.5</v>
      </c>
      <c r="F2723">
        <f t="shared" si="42"/>
        <v>0.5</v>
      </c>
      <c r="I2723">
        <v>20240101</v>
      </c>
      <c r="J2723" t="s">
        <v>2780</v>
      </c>
    </row>
    <row r="2724" spans="1:13" x14ac:dyDescent="0.3">
      <c r="A2724" s="160">
        <v>28026</v>
      </c>
      <c r="B2724" t="s">
        <v>17856</v>
      </c>
      <c r="C2724" t="s">
        <v>2779</v>
      </c>
      <c r="D2724">
        <v>0</v>
      </c>
      <c r="E2724">
        <v>0.5</v>
      </c>
      <c r="F2724">
        <f t="shared" si="42"/>
        <v>0.5</v>
      </c>
      <c r="I2724">
        <v>20240101</v>
      </c>
      <c r="J2724" t="s">
        <v>2780</v>
      </c>
    </row>
    <row r="2725" spans="1:13" x14ac:dyDescent="0.3">
      <c r="A2725" s="160">
        <v>28028</v>
      </c>
      <c r="B2725" t="s">
        <v>17857</v>
      </c>
      <c r="C2725" t="s">
        <v>2779</v>
      </c>
      <c r="D2725">
        <v>0</v>
      </c>
      <c r="E2725">
        <v>0.5</v>
      </c>
      <c r="F2725">
        <f t="shared" si="42"/>
        <v>0.5</v>
      </c>
      <c r="I2725">
        <v>20240101</v>
      </c>
      <c r="J2725" t="s">
        <v>2795</v>
      </c>
    </row>
    <row r="2726" spans="1:13" x14ac:dyDescent="0.3">
      <c r="A2726" s="160">
        <v>28029</v>
      </c>
      <c r="B2726" t="s">
        <v>17858</v>
      </c>
      <c r="C2726" t="s">
        <v>2779</v>
      </c>
      <c r="D2726">
        <v>0</v>
      </c>
      <c r="E2726">
        <v>0.5</v>
      </c>
      <c r="F2726">
        <f t="shared" si="42"/>
        <v>0.5</v>
      </c>
      <c r="I2726">
        <v>20240101</v>
      </c>
      <c r="J2726" t="s">
        <v>2795</v>
      </c>
    </row>
    <row r="2727" spans="1:13" x14ac:dyDescent="0.3">
      <c r="A2727" s="160">
        <v>28030</v>
      </c>
      <c r="B2727" t="s">
        <v>17859</v>
      </c>
      <c r="C2727" t="s">
        <v>2745</v>
      </c>
      <c r="D2727">
        <v>1.05</v>
      </c>
      <c r="E2727">
        <v>0</v>
      </c>
      <c r="F2727">
        <f t="shared" si="42"/>
        <v>1.05</v>
      </c>
      <c r="I2727">
        <v>20240101</v>
      </c>
      <c r="J2727" t="s">
        <v>2802</v>
      </c>
    </row>
    <row r="2728" spans="1:13" x14ac:dyDescent="0.3">
      <c r="A2728" s="160">
        <v>28032</v>
      </c>
      <c r="B2728" t="s">
        <v>17860</v>
      </c>
      <c r="C2728" t="s">
        <v>2779</v>
      </c>
      <c r="D2728">
        <v>0</v>
      </c>
      <c r="E2728">
        <v>0.5</v>
      </c>
      <c r="F2728">
        <f t="shared" si="42"/>
        <v>0.5</v>
      </c>
      <c r="I2728">
        <v>20240101</v>
      </c>
      <c r="J2728" t="s">
        <v>2783</v>
      </c>
    </row>
    <row r="2729" spans="1:13" x14ac:dyDescent="0.3">
      <c r="A2729" s="160">
        <v>28034</v>
      </c>
      <c r="B2729" t="s">
        <v>17861</v>
      </c>
      <c r="C2729" t="s">
        <v>2782</v>
      </c>
      <c r="D2729">
        <v>2</v>
      </c>
      <c r="E2729">
        <v>0</v>
      </c>
      <c r="F2729">
        <f t="shared" si="42"/>
        <v>2</v>
      </c>
      <c r="I2729">
        <v>20230101</v>
      </c>
      <c r="J2729" t="s">
        <v>2784</v>
      </c>
    </row>
    <row r="2730" spans="1:13" x14ac:dyDescent="0.3">
      <c r="A2730" s="160">
        <v>28035</v>
      </c>
      <c r="B2730" t="s">
        <v>17862</v>
      </c>
      <c r="C2730" t="s">
        <v>2782</v>
      </c>
      <c r="D2730">
        <v>2</v>
      </c>
      <c r="E2730">
        <v>0</v>
      </c>
      <c r="F2730">
        <f t="shared" si="42"/>
        <v>2</v>
      </c>
      <c r="I2730">
        <v>20230101</v>
      </c>
      <c r="J2730" t="s">
        <v>2799</v>
      </c>
      <c r="K2730" t="s">
        <v>2801</v>
      </c>
    </row>
    <row r="2731" spans="1:13" x14ac:dyDescent="0.3">
      <c r="A2731" s="160">
        <v>28036</v>
      </c>
      <c r="B2731" t="s">
        <v>17863</v>
      </c>
      <c r="C2731" t="s">
        <v>2745</v>
      </c>
      <c r="D2731">
        <v>1.05</v>
      </c>
      <c r="E2731">
        <v>0</v>
      </c>
      <c r="F2731">
        <f t="shared" si="42"/>
        <v>1.05</v>
      </c>
      <c r="I2731">
        <v>20160701</v>
      </c>
      <c r="J2731" t="s">
        <v>2788</v>
      </c>
    </row>
    <row r="2732" spans="1:13" x14ac:dyDescent="0.3">
      <c r="A2732" s="160">
        <v>28037</v>
      </c>
      <c r="B2732" t="s">
        <v>17864</v>
      </c>
      <c r="C2732" t="s">
        <v>2745</v>
      </c>
      <c r="D2732">
        <v>1.05</v>
      </c>
      <c r="E2732">
        <v>0</v>
      </c>
      <c r="F2732">
        <f t="shared" si="42"/>
        <v>1.05</v>
      </c>
      <c r="I2732">
        <v>20160701</v>
      </c>
      <c r="J2732" t="s">
        <v>2802</v>
      </c>
    </row>
    <row r="2733" spans="1:13" x14ac:dyDescent="0.3">
      <c r="A2733" s="160">
        <v>28039</v>
      </c>
      <c r="B2733" t="s">
        <v>17865</v>
      </c>
      <c r="C2733" t="s">
        <v>2791</v>
      </c>
      <c r="D2733">
        <v>0.55000000000000004</v>
      </c>
      <c r="E2733">
        <v>0.45</v>
      </c>
      <c r="F2733">
        <f t="shared" si="42"/>
        <v>1</v>
      </c>
      <c r="I2733">
        <v>20220701</v>
      </c>
      <c r="J2733" t="s">
        <v>2790</v>
      </c>
    </row>
    <row r="2734" spans="1:13" x14ac:dyDescent="0.3">
      <c r="A2734" s="160">
        <v>28040</v>
      </c>
      <c r="B2734" t="s">
        <v>17866</v>
      </c>
      <c r="C2734" t="s">
        <v>2779</v>
      </c>
      <c r="D2734">
        <v>0</v>
      </c>
      <c r="E2734">
        <v>0.5</v>
      </c>
      <c r="F2734">
        <f t="shared" si="42"/>
        <v>0.5</v>
      </c>
      <c r="I2734">
        <v>20140101</v>
      </c>
      <c r="J2734" t="s">
        <v>2803</v>
      </c>
    </row>
    <row r="2735" spans="1:13" x14ac:dyDescent="0.3">
      <c r="A2735" s="160">
        <v>28041</v>
      </c>
      <c r="B2735" t="s">
        <v>17867</v>
      </c>
      <c r="C2735" t="s">
        <v>2779</v>
      </c>
      <c r="D2735">
        <v>0</v>
      </c>
      <c r="E2735">
        <v>0.5</v>
      </c>
      <c r="F2735">
        <f t="shared" si="42"/>
        <v>0.5</v>
      </c>
      <c r="I2735">
        <v>20210101</v>
      </c>
      <c r="J2735" t="s">
        <v>2796</v>
      </c>
    </row>
    <row r="2736" spans="1:13" x14ac:dyDescent="0.3">
      <c r="A2736" s="160">
        <v>28044</v>
      </c>
      <c r="B2736" t="s">
        <v>17868</v>
      </c>
      <c r="C2736" t="s">
        <v>2779</v>
      </c>
      <c r="D2736">
        <v>0</v>
      </c>
      <c r="E2736">
        <v>0.5</v>
      </c>
      <c r="F2736">
        <f t="shared" si="42"/>
        <v>0.5</v>
      </c>
      <c r="I2736">
        <v>20140101</v>
      </c>
      <c r="J2736" t="s">
        <v>2804</v>
      </c>
    </row>
    <row r="2737" spans="1:12" x14ac:dyDescent="0.3">
      <c r="A2737" s="160">
        <v>28045</v>
      </c>
      <c r="B2737" t="s">
        <v>17869</v>
      </c>
      <c r="C2737" t="s">
        <v>2745</v>
      </c>
      <c r="D2737">
        <v>1.05</v>
      </c>
      <c r="E2737">
        <v>0</v>
      </c>
      <c r="F2737">
        <f t="shared" si="42"/>
        <v>1.05</v>
      </c>
      <c r="I2737">
        <v>20160701</v>
      </c>
      <c r="J2737" t="s">
        <v>2781</v>
      </c>
    </row>
    <row r="2738" spans="1:12" x14ac:dyDescent="0.3">
      <c r="A2738" s="160">
        <v>28047</v>
      </c>
      <c r="B2738" t="s">
        <v>17870</v>
      </c>
      <c r="C2738" t="s">
        <v>2782</v>
      </c>
      <c r="D2738">
        <v>1.5</v>
      </c>
      <c r="E2738">
        <v>0</v>
      </c>
      <c r="F2738">
        <f t="shared" si="42"/>
        <v>1.5</v>
      </c>
      <c r="I2738">
        <v>20250101</v>
      </c>
      <c r="J2738" t="s">
        <v>2783</v>
      </c>
    </row>
    <row r="2739" spans="1:12" x14ac:dyDescent="0.3">
      <c r="A2739" s="160">
        <v>28048</v>
      </c>
      <c r="B2739" t="s">
        <v>17871</v>
      </c>
      <c r="C2739" t="s">
        <v>2782</v>
      </c>
      <c r="D2739">
        <v>2</v>
      </c>
      <c r="E2739">
        <v>0</v>
      </c>
      <c r="F2739">
        <f t="shared" si="42"/>
        <v>2</v>
      </c>
      <c r="I2739">
        <v>20230101</v>
      </c>
      <c r="J2739" t="s">
        <v>2805</v>
      </c>
      <c r="K2739" t="s">
        <v>2800</v>
      </c>
      <c r="L2739" t="s">
        <v>2801</v>
      </c>
    </row>
    <row r="2740" spans="1:12" x14ac:dyDescent="0.3">
      <c r="A2740" s="160">
        <v>28049</v>
      </c>
      <c r="B2740" t="s">
        <v>17872</v>
      </c>
      <c r="C2740" t="s">
        <v>2782</v>
      </c>
      <c r="D2740">
        <v>1.5</v>
      </c>
      <c r="E2740">
        <v>0</v>
      </c>
      <c r="F2740">
        <f t="shared" si="42"/>
        <v>1.5</v>
      </c>
      <c r="I2740">
        <v>20250101</v>
      </c>
      <c r="J2740" t="s">
        <v>2783</v>
      </c>
    </row>
    <row r="2741" spans="1:12" x14ac:dyDescent="0.3">
      <c r="A2741" s="160">
        <v>28050</v>
      </c>
      <c r="B2741" t="s">
        <v>17663</v>
      </c>
      <c r="C2741" t="s">
        <v>2745</v>
      </c>
      <c r="D2741">
        <v>1.05</v>
      </c>
      <c r="E2741">
        <v>0</v>
      </c>
      <c r="F2741">
        <f t="shared" si="42"/>
        <v>1.05</v>
      </c>
      <c r="I2741">
        <v>20160701</v>
      </c>
      <c r="J2741" t="s">
        <v>2788</v>
      </c>
    </row>
    <row r="2742" spans="1:12" x14ac:dyDescent="0.3">
      <c r="A2742" s="160">
        <v>28052</v>
      </c>
      <c r="B2742" t="s">
        <v>17873</v>
      </c>
      <c r="C2742" t="s">
        <v>2782</v>
      </c>
      <c r="D2742">
        <v>1.5</v>
      </c>
      <c r="E2742">
        <v>0</v>
      </c>
      <c r="F2742">
        <f t="shared" si="42"/>
        <v>1.5</v>
      </c>
      <c r="I2742">
        <v>20250101</v>
      </c>
      <c r="J2742" t="s">
        <v>2806</v>
      </c>
      <c r="K2742" t="s">
        <v>2807</v>
      </c>
    </row>
    <row r="2743" spans="1:12" x14ac:dyDescent="0.3">
      <c r="A2743" s="160">
        <v>28053</v>
      </c>
      <c r="B2743" t="s">
        <v>17874</v>
      </c>
      <c r="C2743" t="s">
        <v>2745</v>
      </c>
      <c r="D2743">
        <v>1.05</v>
      </c>
      <c r="E2743">
        <v>0</v>
      </c>
      <c r="F2743">
        <f t="shared" si="42"/>
        <v>1.05</v>
      </c>
      <c r="I2743">
        <v>20160701</v>
      </c>
      <c r="J2743" t="s">
        <v>2789</v>
      </c>
    </row>
    <row r="2744" spans="1:12" x14ac:dyDescent="0.3">
      <c r="A2744" s="160">
        <v>28054</v>
      </c>
      <c r="B2744" t="s">
        <v>17875</v>
      </c>
      <c r="C2744" t="s">
        <v>2745</v>
      </c>
      <c r="D2744">
        <v>1.05</v>
      </c>
      <c r="E2744">
        <v>0</v>
      </c>
      <c r="F2744">
        <f t="shared" si="42"/>
        <v>1.05</v>
      </c>
      <c r="I2744">
        <v>20160701</v>
      </c>
      <c r="J2744" t="s">
        <v>2808</v>
      </c>
    </row>
    <row r="2745" spans="1:12" x14ac:dyDescent="0.3">
      <c r="A2745" s="160">
        <v>28055</v>
      </c>
      <c r="B2745" t="s">
        <v>17876</v>
      </c>
      <c r="C2745" t="s">
        <v>2745</v>
      </c>
      <c r="D2745">
        <v>1.05</v>
      </c>
      <c r="E2745">
        <v>0</v>
      </c>
      <c r="F2745">
        <f t="shared" si="42"/>
        <v>1.05</v>
      </c>
      <c r="I2745">
        <v>20160701</v>
      </c>
      <c r="J2745" t="s">
        <v>2808</v>
      </c>
    </row>
    <row r="2746" spans="1:12" x14ac:dyDescent="0.3">
      <c r="A2746" s="160">
        <v>28056</v>
      </c>
      <c r="B2746" t="s">
        <v>17877</v>
      </c>
      <c r="C2746" t="s">
        <v>2779</v>
      </c>
      <c r="D2746">
        <v>0</v>
      </c>
      <c r="E2746">
        <v>0.5</v>
      </c>
      <c r="F2746">
        <f t="shared" si="42"/>
        <v>0.5</v>
      </c>
      <c r="I2746">
        <v>20140101</v>
      </c>
      <c r="J2746" t="s">
        <v>2778</v>
      </c>
    </row>
    <row r="2747" spans="1:12" x14ac:dyDescent="0.3">
      <c r="A2747" s="160">
        <v>28057</v>
      </c>
      <c r="B2747" t="s">
        <v>17878</v>
      </c>
      <c r="C2747" t="s">
        <v>2779</v>
      </c>
      <c r="D2747">
        <v>0</v>
      </c>
      <c r="E2747">
        <v>0.5</v>
      </c>
      <c r="F2747">
        <f t="shared" si="42"/>
        <v>0.5</v>
      </c>
      <c r="I2747">
        <v>20140101</v>
      </c>
      <c r="J2747" t="s">
        <v>2809</v>
      </c>
    </row>
    <row r="2748" spans="1:12" x14ac:dyDescent="0.3">
      <c r="A2748" s="160">
        <v>28058</v>
      </c>
      <c r="B2748" t="s">
        <v>17879</v>
      </c>
      <c r="C2748" t="s">
        <v>2791</v>
      </c>
      <c r="D2748">
        <v>0.55000000000000004</v>
      </c>
      <c r="E2748">
        <v>0.45</v>
      </c>
      <c r="F2748">
        <f t="shared" si="42"/>
        <v>1</v>
      </c>
      <c r="I2748">
        <v>20220701</v>
      </c>
      <c r="J2748" t="s">
        <v>2808</v>
      </c>
    </row>
    <row r="2749" spans="1:12" x14ac:dyDescent="0.3">
      <c r="A2749" s="160">
        <v>28059</v>
      </c>
      <c r="B2749" t="s">
        <v>17880</v>
      </c>
      <c r="C2749" t="s">
        <v>2745</v>
      </c>
      <c r="D2749">
        <v>1.05</v>
      </c>
      <c r="E2749">
        <v>0</v>
      </c>
      <c r="F2749">
        <f t="shared" si="42"/>
        <v>1.05</v>
      </c>
      <c r="I2749">
        <v>20240101</v>
      </c>
      <c r="J2749" t="s">
        <v>2802</v>
      </c>
    </row>
    <row r="2750" spans="1:12" x14ac:dyDescent="0.3">
      <c r="A2750" s="160">
        <v>28060</v>
      </c>
      <c r="B2750" t="s">
        <v>17881</v>
      </c>
      <c r="C2750" t="s">
        <v>2782</v>
      </c>
      <c r="D2750">
        <v>2</v>
      </c>
      <c r="E2750">
        <v>0</v>
      </c>
      <c r="F2750">
        <f t="shared" si="42"/>
        <v>2</v>
      </c>
      <c r="I2750">
        <v>20230101</v>
      </c>
      <c r="J2750" t="s">
        <v>2784</v>
      </c>
    </row>
    <row r="2751" spans="1:12" x14ac:dyDescent="0.3">
      <c r="A2751" s="160">
        <v>28062</v>
      </c>
      <c r="B2751" t="s">
        <v>17882</v>
      </c>
      <c r="C2751" t="s">
        <v>2745</v>
      </c>
      <c r="D2751">
        <v>1.05</v>
      </c>
      <c r="E2751">
        <v>0</v>
      </c>
      <c r="F2751">
        <f t="shared" si="42"/>
        <v>1.05</v>
      </c>
      <c r="I2751">
        <v>20160701</v>
      </c>
      <c r="J2751" t="s">
        <v>2778</v>
      </c>
    </row>
    <row r="2752" spans="1:12" x14ac:dyDescent="0.3">
      <c r="A2752" s="160">
        <v>28064</v>
      </c>
      <c r="B2752" t="s">
        <v>17883</v>
      </c>
      <c r="C2752" t="s">
        <v>2745</v>
      </c>
      <c r="D2752">
        <v>1.05</v>
      </c>
      <c r="E2752">
        <v>0</v>
      </c>
      <c r="F2752">
        <f t="shared" si="42"/>
        <v>1.05</v>
      </c>
      <c r="I2752">
        <v>20160701</v>
      </c>
      <c r="J2752" t="s">
        <v>2810</v>
      </c>
      <c r="K2752" t="s">
        <v>2778</v>
      </c>
    </row>
    <row r="2753" spans="1:34" x14ac:dyDescent="0.3">
      <c r="A2753" s="160">
        <v>28067</v>
      </c>
      <c r="B2753" t="s">
        <v>17884</v>
      </c>
      <c r="C2753" t="s">
        <v>2779</v>
      </c>
      <c r="D2753">
        <v>0</v>
      </c>
      <c r="E2753">
        <v>0.5</v>
      </c>
      <c r="F2753">
        <f t="shared" si="42"/>
        <v>0.5</v>
      </c>
      <c r="I2753">
        <v>20140101</v>
      </c>
      <c r="J2753" t="s">
        <v>2796</v>
      </c>
    </row>
    <row r="2754" spans="1:34" x14ac:dyDescent="0.3">
      <c r="A2754" s="160">
        <v>28068</v>
      </c>
      <c r="B2754" t="s">
        <v>17885</v>
      </c>
      <c r="C2754" t="s">
        <v>2782</v>
      </c>
      <c r="D2754">
        <v>2</v>
      </c>
      <c r="E2754">
        <v>0</v>
      </c>
      <c r="F2754">
        <f t="shared" si="42"/>
        <v>2</v>
      </c>
      <c r="I2754">
        <v>20230101</v>
      </c>
      <c r="J2754" t="s">
        <v>2784</v>
      </c>
    </row>
    <row r="2755" spans="1:34" x14ac:dyDescent="0.3">
      <c r="A2755" s="160">
        <v>28070</v>
      </c>
      <c r="B2755" t="s">
        <v>17886</v>
      </c>
      <c r="C2755" t="s">
        <v>2782</v>
      </c>
      <c r="D2755">
        <v>2</v>
      </c>
      <c r="E2755">
        <v>0</v>
      </c>
      <c r="F2755">
        <f t="shared" si="42"/>
        <v>2</v>
      </c>
      <c r="I2755">
        <v>20230101</v>
      </c>
      <c r="J2755" t="s">
        <v>2811</v>
      </c>
      <c r="K2755" t="s">
        <v>2784</v>
      </c>
      <c r="L2755" t="s">
        <v>2786</v>
      </c>
      <c r="M2755" t="s">
        <v>2812</v>
      </c>
    </row>
    <row r="2756" spans="1:34" x14ac:dyDescent="0.3">
      <c r="A2756" s="160">
        <v>28071</v>
      </c>
      <c r="B2756" t="s">
        <v>17887</v>
      </c>
      <c r="C2756" t="s">
        <v>2779</v>
      </c>
      <c r="D2756">
        <v>0</v>
      </c>
      <c r="E2756">
        <v>0.5</v>
      </c>
      <c r="F2756">
        <f t="shared" si="42"/>
        <v>0.5</v>
      </c>
      <c r="I2756">
        <v>20210101</v>
      </c>
      <c r="J2756" t="s">
        <v>2813</v>
      </c>
    </row>
    <row r="2757" spans="1:34" x14ac:dyDescent="0.3">
      <c r="A2757" s="160">
        <v>28073</v>
      </c>
      <c r="B2757" t="s">
        <v>17888</v>
      </c>
      <c r="C2757" t="s">
        <v>2782</v>
      </c>
      <c r="D2757">
        <v>1.5</v>
      </c>
      <c r="E2757">
        <v>0</v>
      </c>
      <c r="F2757">
        <f t="shared" si="42"/>
        <v>1.5</v>
      </c>
      <c r="I2757">
        <v>20250101</v>
      </c>
      <c r="J2757" t="s">
        <v>2790</v>
      </c>
    </row>
    <row r="2758" spans="1:34" x14ac:dyDescent="0.3">
      <c r="A2758" s="160">
        <v>28074</v>
      </c>
      <c r="B2758" t="s">
        <v>17889</v>
      </c>
      <c r="C2758" t="s">
        <v>2791</v>
      </c>
      <c r="D2758">
        <v>0.55000000000000004</v>
      </c>
      <c r="E2758">
        <v>0.45</v>
      </c>
      <c r="F2758">
        <f t="shared" si="42"/>
        <v>1</v>
      </c>
      <c r="I2758">
        <v>20220701</v>
      </c>
      <c r="J2758" t="s">
        <v>2790</v>
      </c>
    </row>
    <row r="2759" spans="1:34" x14ac:dyDescent="0.3">
      <c r="A2759" s="160">
        <v>28076</v>
      </c>
      <c r="B2759" t="s">
        <v>17890</v>
      </c>
      <c r="C2759" t="s">
        <v>2745</v>
      </c>
      <c r="D2759">
        <v>1.05</v>
      </c>
      <c r="E2759">
        <v>0</v>
      </c>
      <c r="F2759">
        <f t="shared" ref="F2759:F2822" si="43">D2759+E2759</f>
        <v>1.05</v>
      </c>
      <c r="I2759">
        <v>20160701</v>
      </c>
      <c r="J2759" t="s">
        <v>2781</v>
      </c>
    </row>
    <row r="2760" spans="1:34" x14ac:dyDescent="0.3">
      <c r="A2760" s="160">
        <v>28081</v>
      </c>
      <c r="B2760" t="s">
        <v>17891</v>
      </c>
      <c r="C2760" t="s">
        <v>2779</v>
      </c>
      <c r="D2760">
        <v>0</v>
      </c>
      <c r="E2760">
        <v>0.5</v>
      </c>
      <c r="F2760">
        <f t="shared" si="43"/>
        <v>0.5</v>
      </c>
      <c r="I2760">
        <v>20140101</v>
      </c>
      <c r="J2760" t="s">
        <v>2796</v>
      </c>
    </row>
    <row r="2761" spans="1:34" x14ac:dyDescent="0.3">
      <c r="A2761" s="160">
        <v>28082</v>
      </c>
      <c r="B2761" t="s">
        <v>17892</v>
      </c>
      <c r="C2761" t="s">
        <v>2745</v>
      </c>
      <c r="D2761">
        <v>1.05</v>
      </c>
      <c r="E2761">
        <v>0</v>
      </c>
      <c r="F2761">
        <f t="shared" si="43"/>
        <v>1.05</v>
      </c>
      <c r="I2761">
        <v>20160701</v>
      </c>
      <c r="J2761" t="s">
        <v>2781</v>
      </c>
    </row>
    <row r="2762" spans="1:34" x14ac:dyDescent="0.3">
      <c r="A2762" s="160">
        <v>28084</v>
      </c>
      <c r="B2762" t="s">
        <v>17893</v>
      </c>
      <c r="C2762" t="s">
        <v>2782</v>
      </c>
      <c r="D2762">
        <v>1.5</v>
      </c>
      <c r="E2762">
        <v>0</v>
      </c>
      <c r="F2762">
        <f t="shared" si="43"/>
        <v>1.5</v>
      </c>
      <c r="I2762">
        <v>20250101</v>
      </c>
      <c r="J2762" t="s">
        <v>2806</v>
      </c>
    </row>
    <row r="2763" spans="1:34" x14ac:dyDescent="0.3">
      <c r="A2763" s="160">
        <v>28085</v>
      </c>
      <c r="B2763" t="s">
        <v>17894</v>
      </c>
      <c r="C2763" t="s">
        <v>2782</v>
      </c>
      <c r="D2763">
        <v>2</v>
      </c>
      <c r="E2763">
        <v>0</v>
      </c>
      <c r="F2763">
        <f t="shared" si="43"/>
        <v>2</v>
      </c>
      <c r="I2763">
        <v>20230101</v>
      </c>
      <c r="J2763" t="s">
        <v>2814</v>
      </c>
      <c r="K2763" t="s">
        <v>2811</v>
      </c>
      <c r="L2763" t="s">
        <v>2798</v>
      </c>
      <c r="M2763" t="s">
        <v>2815</v>
      </c>
      <c r="N2763" t="s">
        <v>2816</v>
      </c>
      <c r="O2763" t="s">
        <v>2817</v>
      </c>
      <c r="P2763" t="s">
        <v>2818</v>
      </c>
      <c r="Q2763" t="s">
        <v>2819</v>
      </c>
      <c r="R2763" t="s">
        <v>2820</v>
      </c>
      <c r="S2763" t="s">
        <v>2821</v>
      </c>
      <c r="T2763" t="s">
        <v>2822</v>
      </c>
      <c r="U2763" t="s">
        <v>2823</v>
      </c>
      <c r="V2763" t="s">
        <v>2824</v>
      </c>
      <c r="W2763" t="s">
        <v>2825</v>
      </c>
      <c r="X2763" t="s">
        <v>2826</v>
      </c>
      <c r="Y2763" t="s">
        <v>2827</v>
      </c>
      <c r="Z2763" t="s">
        <v>2828</v>
      </c>
      <c r="AA2763" t="s">
        <v>2829</v>
      </c>
      <c r="AB2763" t="s">
        <v>2830</v>
      </c>
      <c r="AC2763" t="s">
        <v>2831</v>
      </c>
      <c r="AD2763" t="s">
        <v>2832</v>
      </c>
      <c r="AE2763" t="s">
        <v>2833</v>
      </c>
      <c r="AF2763" t="s">
        <v>2801</v>
      </c>
      <c r="AG2763" t="s">
        <v>2834</v>
      </c>
      <c r="AH2763" t="s">
        <v>2835</v>
      </c>
    </row>
    <row r="2764" spans="1:34" x14ac:dyDescent="0.3">
      <c r="A2764" s="160">
        <v>28087</v>
      </c>
      <c r="B2764" t="s">
        <v>17895</v>
      </c>
      <c r="C2764" t="s">
        <v>2745</v>
      </c>
      <c r="D2764">
        <v>1.05</v>
      </c>
      <c r="E2764">
        <v>0</v>
      </c>
      <c r="F2764">
        <f t="shared" si="43"/>
        <v>1.05</v>
      </c>
      <c r="I2764">
        <v>20240101</v>
      </c>
      <c r="J2764" t="s">
        <v>2836</v>
      </c>
      <c r="K2764" t="s">
        <v>2802</v>
      </c>
    </row>
    <row r="2765" spans="1:34" x14ac:dyDescent="0.3">
      <c r="A2765" s="160">
        <v>28088</v>
      </c>
      <c r="B2765" t="s">
        <v>17896</v>
      </c>
      <c r="C2765" t="s">
        <v>2837</v>
      </c>
      <c r="D2765">
        <v>0.55000000000000004</v>
      </c>
      <c r="E2765">
        <v>0</v>
      </c>
      <c r="F2765">
        <f t="shared" si="43"/>
        <v>0.55000000000000004</v>
      </c>
      <c r="I2765">
        <v>20170701</v>
      </c>
      <c r="J2765" t="s">
        <v>2838</v>
      </c>
      <c r="K2765" t="s">
        <v>2839</v>
      </c>
      <c r="L2765" t="s">
        <v>2840</v>
      </c>
      <c r="M2765" t="s">
        <v>2841</v>
      </c>
      <c r="N2765" t="s">
        <v>2842</v>
      </c>
      <c r="O2765" t="s">
        <v>2843</v>
      </c>
    </row>
    <row r="2766" spans="1:34" x14ac:dyDescent="0.3">
      <c r="A2766" s="160">
        <v>28089</v>
      </c>
      <c r="B2766" t="s">
        <v>17897</v>
      </c>
      <c r="C2766" t="s">
        <v>2745</v>
      </c>
      <c r="D2766">
        <v>1.05</v>
      </c>
      <c r="E2766">
        <v>0</v>
      </c>
      <c r="F2766">
        <f t="shared" si="43"/>
        <v>1.05</v>
      </c>
      <c r="I2766">
        <v>20160701</v>
      </c>
      <c r="J2766" t="s">
        <v>2844</v>
      </c>
      <c r="K2766" t="s">
        <v>2789</v>
      </c>
    </row>
    <row r="2767" spans="1:34" x14ac:dyDescent="0.3">
      <c r="A2767" s="160">
        <v>28090</v>
      </c>
      <c r="B2767" t="s">
        <v>17898</v>
      </c>
      <c r="C2767" t="s">
        <v>2745</v>
      </c>
      <c r="D2767">
        <v>1.05</v>
      </c>
      <c r="E2767">
        <v>0</v>
      </c>
      <c r="F2767">
        <f t="shared" si="43"/>
        <v>1.05</v>
      </c>
      <c r="I2767">
        <v>20240101</v>
      </c>
      <c r="J2767" t="s">
        <v>2802</v>
      </c>
    </row>
    <row r="2768" spans="1:34" x14ac:dyDescent="0.3">
      <c r="A2768" s="160">
        <v>28091</v>
      </c>
      <c r="B2768" t="s">
        <v>17899</v>
      </c>
      <c r="C2768" t="s">
        <v>2779</v>
      </c>
      <c r="D2768">
        <v>0</v>
      </c>
      <c r="E2768">
        <v>0.5</v>
      </c>
      <c r="F2768">
        <f t="shared" si="43"/>
        <v>0.5</v>
      </c>
      <c r="I2768">
        <v>20140101</v>
      </c>
      <c r="J2768" t="s">
        <v>2796</v>
      </c>
    </row>
    <row r="2769" spans="1:14" x14ac:dyDescent="0.3">
      <c r="A2769" s="160">
        <v>28092</v>
      </c>
      <c r="B2769" t="s">
        <v>17900</v>
      </c>
      <c r="C2769" t="s">
        <v>2791</v>
      </c>
      <c r="D2769">
        <v>0.55000000000000004</v>
      </c>
      <c r="E2769">
        <v>0.45</v>
      </c>
      <c r="F2769">
        <f t="shared" si="43"/>
        <v>1</v>
      </c>
      <c r="I2769">
        <v>20220701</v>
      </c>
      <c r="J2769" t="s">
        <v>2790</v>
      </c>
    </row>
    <row r="2770" spans="1:14" x14ac:dyDescent="0.3">
      <c r="A2770" s="160">
        <v>28094</v>
      </c>
      <c r="B2770" t="s">
        <v>17901</v>
      </c>
      <c r="C2770" t="s">
        <v>2791</v>
      </c>
      <c r="D2770">
        <v>0.55000000000000004</v>
      </c>
      <c r="E2770">
        <v>0.45</v>
      </c>
      <c r="F2770">
        <f t="shared" si="43"/>
        <v>1</v>
      </c>
      <c r="I2770">
        <v>20220701</v>
      </c>
      <c r="J2770" t="s">
        <v>2808</v>
      </c>
      <c r="K2770" t="s">
        <v>2845</v>
      </c>
    </row>
    <row r="2771" spans="1:14" x14ac:dyDescent="0.3">
      <c r="A2771" s="160">
        <v>28095</v>
      </c>
      <c r="B2771" t="s">
        <v>17902</v>
      </c>
      <c r="C2771" t="s">
        <v>2782</v>
      </c>
      <c r="D2771">
        <v>2</v>
      </c>
      <c r="E2771">
        <v>0</v>
      </c>
      <c r="F2771">
        <f t="shared" si="43"/>
        <v>2</v>
      </c>
      <c r="I2771">
        <v>20230101</v>
      </c>
      <c r="J2771" t="s">
        <v>2796</v>
      </c>
    </row>
    <row r="2772" spans="1:14" x14ac:dyDescent="0.3">
      <c r="A2772" s="160">
        <v>28096</v>
      </c>
      <c r="B2772" t="s">
        <v>17903</v>
      </c>
      <c r="C2772" t="s">
        <v>2745</v>
      </c>
      <c r="D2772">
        <v>1.05</v>
      </c>
      <c r="E2772">
        <v>0</v>
      </c>
      <c r="F2772">
        <f t="shared" si="43"/>
        <v>1.05</v>
      </c>
      <c r="I2772">
        <v>20160701</v>
      </c>
      <c r="J2772" t="s">
        <v>2788</v>
      </c>
    </row>
    <row r="2773" spans="1:14" x14ac:dyDescent="0.3">
      <c r="A2773" s="160">
        <v>28098</v>
      </c>
      <c r="B2773" t="s">
        <v>17904</v>
      </c>
      <c r="C2773" t="s">
        <v>2745</v>
      </c>
      <c r="D2773">
        <v>1.05</v>
      </c>
      <c r="E2773">
        <v>0</v>
      </c>
      <c r="F2773">
        <f t="shared" si="43"/>
        <v>1.05</v>
      </c>
      <c r="I2773">
        <v>20160701</v>
      </c>
      <c r="J2773" t="s">
        <v>2810</v>
      </c>
      <c r="K2773" t="s">
        <v>2787</v>
      </c>
      <c r="L2773" t="s">
        <v>2781</v>
      </c>
      <c r="M2773" t="s">
        <v>2846</v>
      </c>
    </row>
    <row r="2774" spans="1:14" x14ac:dyDescent="0.3">
      <c r="A2774" s="160">
        <v>28099</v>
      </c>
      <c r="B2774" t="s">
        <v>17905</v>
      </c>
      <c r="C2774" t="s">
        <v>2779</v>
      </c>
      <c r="D2774">
        <v>0</v>
      </c>
      <c r="E2774">
        <v>0.5</v>
      </c>
      <c r="F2774">
        <f t="shared" si="43"/>
        <v>0.5</v>
      </c>
      <c r="I2774">
        <v>20140101</v>
      </c>
      <c r="J2774" t="s">
        <v>2803</v>
      </c>
    </row>
    <row r="2775" spans="1:14" x14ac:dyDescent="0.3">
      <c r="A2775" s="160">
        <v>28100</v>
      </c>
      <c r="B2775" t="s">
        <v>17906</v>
      </c>
      <c r="C2775" t="s">
        <v>2782</v>
      </c>
      <c r="D2775">
        <v>2</v>
      </c>
      <c r="E2775">
        <v>0</v>
      </c>
      <c r="F2775">
        <f t="shared" si="43"/>
        <v>2</v>
      </c>
      <c r="I2775">
        <v>20230101</v>
      </c>
      <c r="J2775" t="s">
        <v>2784</v>
      </c>
    </row>
    <row r="2776" spans="1:14" x14ac:dyDescent="0.3">
      <c r="A2776" s="160">
        <v>28101</v>
      </c>
      <c r="B2776" t="s">
        <v>17906</v>
      </c>
      <c r="C2776" t="s">
        <v>2779</v>
      </c>
      <c r="D2776">
        <v>0</v>
      </c>
      <c r="E2776">
        <v>0</v>
      </c>
      <c r="F2776">
        <f t="shared" si="43"/>
        <v>0</v>
      </c>
      <c r="I2776">
        <v>20210101</v>
      </c>
      <c r="J2776" t="s">
        <v>2838</v>
      </c>
    </row>
    <row r="2777" spans="1:14" x14ac:dyDescent="0.3">
      <c r="A2777" s="160">
        <v>28102</v>
      </c>
      <c r="B2777" t="s">
        <v>17907</v>
      </c>
      <c r="C2777" t="s">
        <v>2782</v>
      </c>
      <c r="D2777">
        <v>2</v>
      </c>
      <c r="E2777">
        <v>0</v>
      </c>
      <c r="F2777">
        <f t="shared" si="43"/>
        <v>2</v>
      </c>
      <c r="I2777">
        <v>20230101</v>
      </c>
      <c r="J2777" t="s">
        <v>2784</v>
      </c>
    </row>
    <row r="2778" spans="1:14" ht="18" customHeight="1" x14ac:dyDescent="0.3">
      <c r="A2778" s="160">
        <v>28104</v>
      </c>
      <c r="B2778" t="s">
        <v>17908</v>
      </c>
      <c r="C2778" t="s">
        <v>2782</v>
      </c>
      <c r="D2778">
        <v>2</v>
      </c>
      <c r="E2778">
        <v>0</v>
      </c>
      <c r="F2778">
        <f t="shared" si="43"/>
        <v>2</v>
      </c>
      <c r="I2778">
        <v>20230101</v>
      </c>
      <c r="J2778" t="s">
        <v>2784</v>
      </c>
    </row>
    <row r="2779" spans="1:14" x14ac:dyDescent="0.3">
      <c r="A2779" s="160">
        <v>28105</v>
      </c>
      <c r="B2779" t="s">
        <v>17909</v>
      </c>
      <c r="C2779" t="s">
        <v>2779</v>
      </c>
      <c r="D2779">
        <v>0</v>
      </c>
      <c r="E2779">
        <v>0.5</v>
      </c>
      <c r="F2779">
        <f t="shared" si="43"/>
        <v>0.5</v>
      </c>
      <c r="I2779">
        <v>20210101</v>
      </c>
      <c r="J2779" t="s">
        <v>2847</v>
      </c>
    </row>
    <row r="2780" spans="1:14" x14ac:dyDescent="0.3">
      <c r="A2780" s="160">
        <v>28107</v>
      </c>
      <c r="B2780" t="s">
        <v>17910</v>
      </c>
      <c r="C2780" t="s">
        <v>2782</v>
      </c>
      <c r="D2780">
        <v>2</v>
      </c>
      <c r="E2780">
        <v>0</v>
      </c>
      <c r="F2780">
        <f t="shared" si="43"/>
        <v>2</v>
      </c>
      <c r="I2780">
        <v>20230101</v>
      </c>
      <c r="J2780" t="s">
        <v>2799</v>
      </c>
    </row>
    <row r="2781" spans="1:14" x14ac:dyDescent="0.3">
      <c r="A2781" s="160">
        <v>28108</v>
      </c>
      <c r="B2781" t="s">
        <v>17911</v>
      </c>
      <c r="C2781" t="s">
        <v>2779</v>
      </c>
      <c r="D2781">
        <v>0</v>
      </c>
      <c r="E2781">
        <v>0.5</v>
      </c>
      <c r="F2781">
        <f t="shared" si="43"/>
        <v>0.5</v>
      </c>
      <c r="I2781">
        <v>20240101</v>
      </c>
      <c r="J2781" t="s">
        <v>2795</v>
      </c>
    </row>
    <row r="2782" spans="1:14" x14ac:dyDescent="0.3">
      <c r="A2782" s="160">
        <v>28109</v>
      </c>
      <c r="B2782" t="s">
        <v>17912</v>
      </c>
      <c r="C2782" t="s">
        <v>2779</v>
      </c>
      <c r="D2782">
        <v>0</v>
      </c>
      <c r="E2782">
        <v>0.5</v>
      </c>
      <c r="F2782">
        <f t="shared" si="43"/>
        <v>0.5</v>
      </c>
      <c r="I2782">
        <v>20170701</v>
      </c>
      <c r="J2782" t="s">
        <v>2813</v>
      </c>
    </row>
    <row r="2783" spans="1:14" x14ac:dyDescent="0.3">
      <c r="A2783" s="160">
        <v>28110</v>
      </c>
      <c r="B2783" t="s">
        <v>17913</v>
      </c>
      <c r="C2783" t="s">
        <v>2782</v>
      </c>
      <c r="D2783">
        <v>2</v>
      </c>
      <c r="E2783">
        <v>0</v>
      </c>
      <c r="F2783">
        <f t="shared" si="43"/>
        <v>2</v>
      </c>
      <c r="I2783">
        <v>20230101</v>
      </c>
      <c r="J2783" t="s">
        <v>2811</v>
      </c>
      <c r="K2783" t="s">
        <v>2815</v>
      </c>
      <c r="L2783" t="s">
        <v>2799</v>
      </c>
      <c r="M2783" t="s">
        <v>2800</v>
      </c>
      <c r="N2783" t="s">
        <v>2801</v>
      </c>
    </row>
    <row r="2784" spans="1:14" x14ac:dyDescent="0.3">
      <c r="A2784" s="160">
        <v>28113</v>
      </c>
      <c r="B2784" t="s">
        <v>17914</v>
      </c>
      <c r="C2784" t="s">
        <v>2791</v>
      </c>
      <c r="D2784">
        <v>0.55000000000000004</v>
      </c>
      <c r="E2784">
        <v>0.45</v>
      </c>
      <c r="F2784">
        <f t="shared" si="43"/>
        <v>1</v>
      </c>
      <c r="I2784">
        <v>20220701</v>
      </c>
      <c r="J2784" t="s">
        <v>2808</v>
      </c>
      <c r="K2784" t="s">
        <v>2845</v>
      </c>
    </row>
    <row r="2785" spans="1:17" x14ac:dyDescent="0.3">
      <c r="A2785" s="160">
        <v>28116</v>
      </c>
      <c r="B2785" t="s">
        <v>17915</v>
      </c>
      <c r="C2785" t="s">
        <v>2779</v>
      </c>
      <c r="D2785">
        <v>0</v>
      </c>
      <c r="E2785">
        <v>0.5</v>
      </c>
      <c r="F2785">
        <f t="shared" si="43"/>
        <v>0.5</v>
      </c>
      <c r="I2785">
        <v>20140101</v>
      </c>
      <c r="J2785" t="s">
        <v>2803</v>
      </c>
    </row>
    <row r="2786" spans="1:17" x14ac:dyDescent="0.3">
      <c r="A2786" s="160">
        <v>28117</v>
      </c>
      <c r="B2786" t="s">
        <v>17916</v>
      </c>
      <c r="C2786" t="s">
        <v>2745</v>
      </c>
      <c r="D2786">
        <v>1.05</v>
      </c>
      <c r="E2786">
        <v>0</v>
      </c>
      <c r="F2786">
        <f t="shared" si="43"/>
        <v>1.05</v>
      </c>
      <c r="I2786">
        <v>20160701</v>
      </c>
      <c r="J2786" t="s">
        <v>2781</v>
      </c>
    </row>
    <row r="2787" spans="1:17" x14ac:dyDescent="0.3">
      <c r="A2787" s="160">
        <v>28118</v>
      </c>
      <c r="B2787" t="s">
        <v>17917</v>
      </c>
      <c r="C2787" t="s">
        <v>2791</v>
      </c>
      <c r="D2787">
        <v>0.55000000000000004</v>
      </c>
      <c r="E2787">
        <v>0.45</v>
      </c>
      <c r="F2787">
        <f t="shared" si="43"/>
        <v>1</v>
      </c>
      <c r="I2787">
        <v>20220701</v>
      </c>
      <c r="J2787" t="s">
        <v>2808</v>
      </c>
    </row>
    <row r="2788" spans="1:17" x14ac:dyDescent="0.3">
      <c r="A2788" s="160">
        <v>28120</v>
      </c>
      <c r="B2788" t="s">
        <v>17918</v>
      </c>
      <c r="C2788" t="s">
        <v>2745</v>
      </c>
      <c r="D2788">
        <v>1.05</v>
      </c>
      <c r="E2788">
        <v>0</v>
      </c>
      <c r="F2788">
        <f t="shared" si="43"/>
        <v>1.05</v>
      </c>
      <c r="I2788">
        <v>20240101</v>
      </c>
      <c r="J2788" t="s">
        <v>2802</v>
      </c>
    </row>
    <row r="2789" spans="1:17" x14ac:dyDescent="0.3">
      <c r="A2789" s="160">
        <v>28121</v>
      </c>
      <c r="B2789" t="s">
        <v>17919</v>
      </c>
      <c r="C2789" t="s">
        <v>2779</v>
      </c>
      <c r="D2789">
        <v>0</v>
      </c>
      <c r="E2789">
        <v>0.5</v>
      </c>
      <c r="F2789">
        <f t="shared" si="43"/>
        <v>0.5</v>
      </c>
      <c r="I2789">
        <v>20240101</v>
      </c>
      <c r="J2789" t="s">
        <v>2795</v>
      </c>
    </row>
    <row r="2790" spans="1:17" x14ac:dyDescent="0.3">
      <c r="A2790" s="160">
        <v>28122</v>
      </c>
      <c r="B2790" t="s">
        <v>17920</v>
      </c>
      <c r="C2790" t="s">
        <v>2782</v>
      </c>
      <c r="D2790">
        <v>2</v>
      </c>
      <c r="E2790">
        <v>0</v>
      </c>
      <c r="F2790">
        <f t="shared" si="43"/>
        <v>2</v>
      </c>
      <c r="I2790">
        <v>20230101</v>
      </c>
      <c r="J2790" t="s">
        <v>2805</v>
      </c>
    </row>
    <row r="2791" spans="1:17" x14ac:dyDescent="0.3">
      <c r="A2791" s="160">
        <v>28124</v>
      </c>
      <c r="B2791" t="s">
        <v>17921</v>
      </c>
      <c r="C2791" t="s">
        <v>2745</v>
      </c>
      <c r="D2791">
        <v>1.05</v>
      </c>
      <c r="E2791">
        <v>0</v>
      </c>
      <c r="F2791">
        <f t="shared" si="43"/>
        <v>1.05</v>
      </c>
      <c r="I2791">
        <v>20160701</v>
      </c>
      <c r="J2791" t="s">
        <v>2848</v>
      </c>
    </row>
    <row r="2792" spans="1:17" x14ac:dyDescent="0.3">
      <c r="A2792" s="160">
        <v>28128</v>
      </c>
      <c r="B2792" t="s">
        <v>17922</v>
      </c>
      <c r="C2792" t="s">
        <v>2782</v>
      </c>
      <c r="D2792">
        <v>2</v>
      </c>
      <c r="E2792">
        <v>0</v>
      </c>
      <c r="F2792">
        <f t="shared" si="43"/>
        <v>2</v>
      </c>
      <c r="I2792">
        <v>20230101</v>
      </c>
      <c r="J2792" t="s">
        <v>2803</v>
      </c>
    </row>
    <row r="2793" spans="1:17" x14ac:dyDescent="0.3">
      <c r="A2793" s="160">
        <v>28129</v>
      </c>
      <c r="B2793" t="s">
        <v>17923</v>
      </c>
      <c r="C2793" t="s">
        <v>2782</v>
      </c>
      <c r="D2793">
        <v>1.5</v>
      </c>
      <c r="E2793">
        <v>0</v>
      </c>
      <c r="F2793">
        <f t="shared" si="43"/>
        <v>1.5</v>
      </c>
      <c r="I2793">
        <v>20250101</v>
      </c>
      <c r="J2793" t="s">
        <v>2790</v>
      </c>
    </row>
    <row r="2794" spans="1:17" x14ac:dyDescent="0.3">
      <c r="A2794" s="160">
        <v>28130</v>
      </c>
      <c r="B2794" t="s">
        <v>17924</v>
      </c>
      <c r="C2794" t="s">
        <v>2779</v>
      </c>
      <c r="D2794">
        <v>0</v>
      </c>
      <c r="E2794">
        <v>0.5</v>
      </c>
      <c r="F2794">
        <f t="shared" si="43"/>
        <v>0.5</v>
      </c>
      <c r="I2794">
        <v>20210101</v>
      </c>
      <c r="J2794" t="s">
        <v>2849</v>
      </c>
    </row>
    <row r="2795" spans="1:17" x14ac:dyDescent="0.3">
      <c r="A2795" s="160">
        <v>28134</v>
      </c>
      <c r="B2795" t="s">
        <v>17925</v>
      </c>
      <c r="C2795" t="s">
        <v>2745</v>
      </c>
      <c r="D2795">
        <v>1.05</v>
      </c>
      <c r="E2795">
        <v>0</v>
      </c>
      <c r="F2795">
        <f t="shared" si="43"/>
        <v>1.05</v>
      </c>
      <c r="I2795">
        <v>20160701</v>
      </c>
      <c r="J2795" t="s">
        <v>2850</v>
      </c>
      <c r="K2795" t="s">
        <v>2844</v>
      </c>
      <c r="L2795" t="s">
        <v>2836</v>
      </c>
      <c r="M2795" t="s">
        <v>2851</v>
      </c>
      <c r="N2795" t="s">
        <v>2852</v>
      </c>
      <c r="O2795" t="s">
        <v>2853</v>
      </c>
      <c r="P2795" t="s">
        <v>2810</v>
      </c>
      <c r="Q2795" t="s">
        <v>2787</v>
      </c>
    </row>
    <row r="2796" spans="1:17" x14ac:dyDescent="0.3">
      <c r="A2796" s="160">
        <v>28135</v>
      </c>
      <c r="B2796" t="s">
        <v>17926</v>
      </c>
      <c r="C2796" t="s">
        <v>2791</v>
      </c>
      <c r="D2796">
        <v>0.55000000000000004</v>
      </c>
      <c r="E2796">
        <v>0.45</v>
      </c>
      <c r="F2796">
        <f t="shared" si="43"/>
        <v>1</v>
      </c>
      <c r="I2796">
        <v>20220701</v>
      </c>
      <c r="J2796" t="s">
        <v>2854</v>
      </c>
      <c r="K2796" t="s">
        <v>2855</v>
      </c>
    </row>
    <row r="2797" spans="1:17" x14ac:dyDescent="0.3">
      <c r="A2797" s="160">
        <v>28136</v>
      </c>
      <c r="B2797" t="s">
        <v>17927</v>
      </c>
      <c r="C2797" t="s">
        <v>2745</v>
      </c>
      <c r="D2797">
        <v>1.05</v>
      </c>
      <c r="E2797">
        <v>0</v>
      </c>
      <c r="F2797">
        <f t="shared" si="43"/>
        <v>1.05</v>
      </c>
      <c r="I2797">
        <v>20160701</v>
      </c>
      <c r="J2797" t="s">
        <v>2781</v>
      </c>
    </row>
    <row r="2798" spans="1:17" x14ac:dyDescent="0.3">
      <c r="A2798" s="160">
        <v>28137</v>
      </c>
      <c r="B2798" t="s">
        <v>17928</v>
      </c>
      <c r="C2798" t="s">
        <v>2791</v>
      </c>
      <c r="D2798">
        <v>0.55000000000000004</v>
      </c>
      <c r="E2798">
        <v>0.45</v>
      </c>
      <c r="F2798">
        <f t="shared" si="43"/>
        <v>1</v>
      </c>
      <c r="I2798">
        <v>20220701</v>
      </c>
      <c r="J2798" t="s">
        <v>2797</v>
      </c>
    </row>
    <row r="2799" spans="1:17" x14ac:dyDescent="0.3">
      <c r="A2799" s="160">
        <v>28139</v>
      </c>
      <c r="B2799" t="s">
        <v>17929</v>
      </c>
      <c r="C2799" t="s">
        <v>2779</v>
      </c>
      <c r="D2799">
        <v>0</v>
      </c>
      <c r="E2799">
        <v>0.5</v>
      </c>
      <c r="F2799">
        <f t="shared" si="43"/>
        <v>0.5</v>
      </c>
      <c r="I2799">
        <v>20140101</v>
      </c>
      <c r="J2799" t="s">
        <v>2796</v>
      </c>
    </row>
    <row r="2800" spans="1:17" x14ac:dyDescent="0.3">
      <c r="A2800" s="160">
        <v>28140</v>
      </c>
      <c r="B2800" t="s">
        <v>17930</v>
      </c>
      <c r="C2800" t="s">
        <v>2791</v>
      </c>
      <c r="D2800">
        <v>0.55000000000000004</v>
      </c>
      <c r="E2800">
        <v>0.45</v>
      </c>
      <c r="F2800">
        <f t="shared" si="43"/>
        <v>1</v>
      </c>
      <c r="I2800">
        <v>20220701</v>
      </c>
      <c r="J2800" t="s">
        <v>2854</v>
      </c>
      <c r="K2800" t="s">
        <v>2856</v>
      </c>
      <c r="L2800" t="s">
        <v>2857</v>
      </c>
      <c r="M2800" t="s">
        <v>2855</v>
      </c>
    </row>
    <row r="2801" spans="1:11" x14ac:dyDescent="0.3">
      <c r="A2801" s="160">
        <v>28141</v>
      </c>
      <c r="B2801" t="s">
        <v>17931</v>
      </c>
      <c r="C2801" t="s">
        <v>2782</v>
      </c>
      <c r="D2801">
        <v>1.5</v>
      </c>
      <c r="E2801">
        <v>0</v>
      </c>
      <c r="F2801">
        <f t="shared" si="43"/>
        <v>1.5</v>
      </c>
      <c r="I2801">
        <v>20250101</v>
      </c>
      <c r="J2801" t="s">
        <v>2796</v>
      </c>
    </row>
    <row r="2802" spans="1:11" x14ac:dyDescent="0.3">
      <c r="A2802" s="160">
        <v>28142</v>
      </c>
      <c r="B2802" t="s">
        <v>17932</v>
      </c>
      <c r="C2802" t="s">
        <v>2779</v>
      </c>
      <c r="D2802">
        <v>0</v>
      </c>
      <c r="E2802">
        <v>0.5</v>
      </c>
      <c r="F2802">
        <f t="shared" si="43"/>
        <v>0.5</v>
      </c>
      <c r="I2802">
        <v>20140101</v>
      </c>
      <c r="J2802" t="s">
        <v>2796</v>
      </c>
    </row>
    <row r="2803" spans="1:11" x14ac:dyDescent="0.3">
      <c r="A2803" s="160">
        <v>28143</v>
      </c>
      <c r="B2803" t="s">
        <v>17933</v>
      </c>
      <c r="C2803" t="s">
        <v>2745</v>
      </c>
      <c r="D2803">
        <v>1.05</v>
      </c>
      <c r="E2803">
        <v>0</v>
      </c>
      <c r="F2803">
        <f t="shared" si="43"/>
        <v>1.05</v>
      </c>
      <c r="I2803">
        <v>20240101</v>
      </c>
      <c r="J2803" t="s">
        <v>2802</v>
      </c>
    </row>
    <row r="2804" spans="1:11" x14ac:dyDescent="0.3">
      <c r="A2804" s="160">
        <v>28146</v>
      </c>
      <c r="B2804" t="s">
        <v>15446</v>
      </c>
      <c r="C2804" t="s">
        <v>2791</v>
      </c>
      <c r="D2804">
        <v>0.55000000000000004</v>
      </c>
      <c r="E2804">
        <v>0.45</v>
      </c>
      <c r="F2804">
        <f t="shared" si="43"/>
        <v>1</v>
      </c>
      <c r="I2804">
        <v>20220701</v>
      </c>
      <c r="J2804" t="s">
        <v>2858</v>
      </c>
      <c r="K2804" t="s">
        <v>2808</v>
      </c>
    </row>
    <row r="2805" spans="1:11" x14ac:dyDescent="0.3">
      <c r="A2805" s="160">
        <v>28147</v>
      </c>
      <c r="B2805" t="s">
        <v>17934</v>
      </c>
      <c r="C2805" t="s">
        <v>2745</v>
      </c>
      <c r="D2805">
        <v>1.05</v>
      </c>
      <c r="E2805">
        <v>0</v>
      </c>
      <c r="F2805">
        <f t="shared" si="43"/>
        <v>1.05</v>
      </c>
      <c r="I2805">
        <v>20160701</v>
      </c>
      <c r="J2805" t="s">
        <v>2789</v>
      </c>
    </row>
    <row r="2806" spans="1:11" x14ac:dyDescent="0.3">
      <c r="A2806" s="160">
        <v>28148</v>
      </c>
      <c r="B2806" t="s">
        <v>17935</v>
      </c>
      <c r="C2806" t="s">
        <v>2779</v>
      </c>
      <c r="D2806">
        <v>0</v>
      </c>
      <c r="E2806">
        <v>0.5</v>
      </c>
      <c r="F2806">
        <f t="shared" si="43"/>
        <v>0.5</v>
      </c>
      <c r="I2806">
        <v>20140101</v>
      </c>
      <c r="J2806" t="s">
        <v>2803</v>
      </c>
    </row>
    <row r="2807" spans="1:11" x14ac:dyDescent="0.3">
      <c r="A2807" s="160">
        <v>28151</v>
      </c>
      <c r="B2807" t="s">
        <v>17936</v>
      </c>
      <c r="C2807" t="s">
        <v>2745</v>
      </c>
      <c r="D2807">
        <v>1.05</v>
      </c>
      <c r="E2807">
        <v>0</v>
      </c>
      <c r="F2807">
        <f t="shared" si="43"/>
        <v>1.05</v>
      </c>
      <c r="I2807">
        <v>20240101</v>
      </c>
      <c r="J2807" t="s">
        <v>2802</v>
      </c>
    </row>
    <row r="2808" spans="1:11" x14ac:dyDescent="0.3">
      <c r="A2808" s="160">
        <v>28154</v>
      </c>
      <c r="B2808" t="s">
        <v>17937</v>
      </c>
      <c r="C2808" t="s">
        <v>2779</v>
      </c>
      <c r="D2808">
        <v>0</v>
      </c>
      <c r="E2808">
        <v>0.5</v>
      </c>
      <c r="F2808">
        <f t="shared" si="43"/>
        <v>0.5</v>
      </c>
      <c r="I2808">
        <v>20140101</v>
      </c>
      <c r="J2808" t="s">
        <v>2803</v>
      </c>
    </row>
    <row r="2809" spans="1:11" x14ac:dyDescent="0.3">
      <c r="A2809" s="160">
        <v>28155</v>
      </c>
      <c r="B2809" t="s">
        <v>17938</v>
      </c>
      <c r="C2809" t="s">
        <v>2745</v>
      </c>
      <c r="D2809">
        <v>1.05</v>
      </c>
      <c r="E2809">
        <v>0</v>
      </c>
      <c r="F2809">
        <f t="shared" si="43"/>
        <v>1.05</v>
      </c>
      <c r="I2809">
        <v>20160701</v>
      </c>
      <c r="J2809" t="s">
        <v>2789</v>
      </c>
    </row>
    <row r="2810" spans="1:11" x14ac:dyDescent="0.3">
      <c r="A2810" s="160">
        <v>28157</v>
      </c>
      <c r="B2810" t="s">
        <v>17939</v>
      </c>
      <c r="C2810" t="s">
        <v>2779</v>
      </c>
      <c r="D2810">
        <v>0</v>
      </c>
      <c r="E2810">
        <v>0.5</v>
      </c>
      <c r="F2810">
        <f t="shared" si="43"/>
        <v>0.5</v>
      </c>
      <c r="I2810">
        <v>20240101</v>
      </c>
      <c r="J2810" t="s">
        <v>2795</v>
      </c>
    </row>
    <row r="2811" spans="1:11" x14ac:dyDescent="0.3">
      <c r="A2811" s="160">
        <v>28158</v>
      </c>
      <c r="B2811" t="s">
        <v>17940</v>
      </c>
      <c r="C2811" t="s">
        <v>2782</v>
      </c>
      <c r="D2811">
        <v>2</v>
      </c>
      <c r="E2811">
        <v>0</v>
      </c>
      <c r="F2811">
        <f t="shared" si="43"/>
        <v>2</v>
      </c>
      <c r="I2811">
        <v>20230101</v>
      </c>
      <c r="J2811" t="s">
        <v>2799</v>
      </c>
      <c r="K2811" t="s">
        <v>2801</v>
      </c>
    </row>
    <row r="2812" spans="1:11" x14ac:dyDescent="0.3">
      <c r="A2812" s="160">
        <v>28160</v>
      </c>
      <c r="B2812" t="s">
        <v>17941</v>
      </c>
      <c r="C2812" t="s">
        <v>2782</v>
      </c>
      <c r="D2812">
        <v>2</v>
      </c>
      <c r="E2812">
        <v>0</v>
      </c>
      <c r="F2812">
        <f t="shared" si="43"/>
        <v>2</v>
      </c>
      <c r="I2812">
        <v>20230101</v>
      </c>
      <c r="J2812" t="s">
        <v>2790</v>
      </c>
      <c r="K2812" t="s">
        <v>2792</v>
      </c>
    </row>
    <row r="2813" spans="1:11" x14ac:dyDescent="0.3">
      <c r="A2813" s="160">
        <v>28162</v>
      </c>
      <c r="B2813" t="s">
        <v>17942</v>
      </c>
      <c r="C2813" t="s">
        <v>2782</v>
      </c>
      <c r="D2813">
        <v>2</v>
      </c>
      <c r="E2813">
        <v>0</v>
      </c>
      <c r="F2813">
        <f t="shared" si="43"/>
        <v>2</v>
      </c>
      <c r="I2813">
        <v>20230101</v>
      </c>
      <c r="J2813" t="s">
        <v>2805</v>
      </c>
    </row>
    <row r="2814" spans="1:11" x14ac:dyDescent="0.3">
      <c r="A2814" s="160">
        <v>28163</v>
      </c>
      <c r="B2814" t="s">
        <v>17943</v>
      </c>
      <c r="C2814" t="s">
        <v>2782</v>
      </c>
      <c r="D2814">
        <v>2</v>
      </c>
      <c r="E2814">
        <v>0</v>
      </c>
      <c r="F2814">
        <f t="shared" si="43"/>
        <v>2</v>
      </c>
      <c r="I2814">
        <v>20230101</v>
      </c>
      <c r="J2814" t="s">
        <v>2784</v>
      </c>
    </row>
    <row r="2815" spans="1:11" x14ac:dyDescent="0.3">
      <c r="A2815" s="160">
        <v>28164</v>
      </c>
      <c r="B2815" t="s">
        <v>17944</v>
      </c>
      <c r="C2815" t="s">
        <v>2779</v>
      </c>
      <c r="D2815">
        <v>0</v>
      </c>
      <c r="E2815">
        <v>0.5</v>
      </c>
      <c r="F2815">
        <f t="shared" si="43"/>
        <v>0.5</v>
      </c>
      <c r="I2815">
        <v>20140101</v>
      </c>
      <c r="J2815" t="s">
        <v>2780</v>
      </c>
    </row>
    <row r="2816" spans="1:11" x14ac:dyDescent="0.3">
      <c r="A2816" s="160">
        <v>28166</v>
      </c>
      <c r="B2816" t="s">
        <v>17945</v>
      </c>
      <c r="C2816" t="s">
        <v>2779</v>
      </c>
      <c r="D2816">
        <v>0</v>
      </c>
      <c r="E2816">
        <v>0.5</v>
      </c>
      <c r="F2816">
        <f t="shared" si="43"/>
        <v>0.5</v>
      </c>
      <c r="I2816">
        <v>20140101</v>
      </c>
      <c r="J2816" t="s">
        <v>2813</v>
      </c>
    </row>
    <row r="2817" spans="1:13" x14ac:dyDescent="0.3">
      <c r="A2817" s="160">
        <v>28167</v>
      </c>
      <c r="B2817" t="s">
        <v>17946</v>
      </c>
      <c r="C2817" t="s">
        <v>2779</v>
      </c>
      <c r="D2817">
        <v>0</v>
      </c>
      <c r="E2817">
        <v>0.5</v>
      </c>
      <c r="F2817">
        <f t="shared" si="43"/>
        <v>0.5</v>
      </c>
      <c r="I2817">
        <v>20140101</v>
      </c>
      <c r="J2817" t="s">
        <v>2803</v>
      </c>
    </row>
    <row r="2818" spans="1:13" x14ac:dyDescent="0.3">
      <c r="A2818" s="160">
        <v>28168</v>
      </c>
      <c r="B2818" t="s">
        <v>17947</v>
      </c>
      <c r="C2818" t="s">
        <v>2791</v>
      </c>
      <c r="D2818">
        <v>0.55000000000000004</v>
      </c>
      <c r="E2818">
        <v>0.45</v>
      </c>
      <c r="F2818">
        <f t="shared" si="43"/>
        <v>1</v>
      </c>
      <c r="I2818">
        <v>20220701</v>
      </c>
      <c r="J2818" t="s">
        <v>2797</v>
      </c>
    </row>
    <row r="2819" spans="1:13" x14ac:dyDescent="0.3">
      <c r="A2819" s="160">
        <v>28169</v>
      </c>
      <c r="B2819" t="s">
        <v>17948</v>
      </c>
      <c r="C2819" t="s">
        <v>2779</v>
      </c>
      <c r="D2819">
        <v>0</v>
      </c>
      <c r="E2819">
        <v>0.5</v>
      </c>
      <c r="F2819">
        <f t="shared" si="43"/>
        <v>0.5</v>
      </c>
      <c r="I2819">
        <v>20140101</v>
      </c>
      <c r="J2819" t="s">
        <v>2790</v>
      </c>
      <c r="K2819" t="s">
        <v>2792</v>
      </c>
      <c r="L2819" t="s">
        <v>2859</v>
      </c>
      <c r="M2819" t="s">
        <v>2860</v>
      </c>
    </row>
    <row r="2820" spans="1:13" x14ac:dyDescent="0.3">
      <c r="A2820" s="160">
        <v>28170</v>
      </c>
      <c r="B2820" t="s">
        <v>17949</v>
      </c>
      <c r="C2820" t="s">
        <v>2745</v>
      </c>
      <c r="D2820">
        <v>1.05</v>
      </c>
      <c r="E2820">
        <v>0</v>
      </c>
      <c r="F2820">
        <f t="shared" si="43"/>
        <v>1.05</v>
      </c>
      <c r="I2820">
        <v>20160701</v>
      </c>
      <c r="J2820" t="s">
        <v>2781</v>
      </c>
    </row>
    <row r="2821" spans="1:13" x14ac:dyDescent="0.3">
      <c r="A2821" s="160">
        <v>28171</v>
      </c>
      <c r="B2821" t="s">
        <v>17950</v>
      </c>
      <c r="C2821" t="s">
        <v>2745</v>
      </c>
      <c r="D2821">
        <v>1.05</v>
      </c>
      <c r="E2821">
        <v>0</v>
      </c>
      <c r="F2821">
        <f t="shared" si="43"/>
        <v>1.05</v>
      </c>
      <c r="I2821">
        <v>20160701</v>
      </c>
      <c r="J2821" t="s">
        <v>2853</v>
      </c>
      <c r="K2821" t="s">
        <v>2781</v>
      </c>
    </row>
    <row r="2822" spans="1:13" x14ac:dyDescent="0.3">
      <c r="A2822" s="160">
        <v>28172</v>
      </c>
      <c r="B2822" t="s">
        <v>17951</v>
      </c>
      <c r="C2822" t="s">
        <v>2791</v>
      </c>
      <c r="D2822">
        <v>0.55000000000000004</v>
      </c>
      <c r="E2822">
        <v>0.45</v>
      </c>
      <c r="F2822">
        <f t="shared" si="43"/>
        <v>1</v>
      </c>
      <c r="I2822">
        <v>20220701</v>
      </c>
      <c r="J2822" t="s">
        <v>2797</v>
      </c>
    </row>
    <row r="2823" spans="1:13" x14ac:dyDescent="0.3">
      <c r="A2823" s="160">
        <v>28173</v>
      </c>
      <c r="B2823" t="s">
        <v>17952</v>
      </c>
      <c r="C2823" t="s">
        <v>2782</v>
      </c>
      <c r="D2823">
        <v>2</v>
      </c>
      <c r="E2823">
        <v>0</v>
      </c>
      <c r="F2823">
        <f t="shared" ref="F2823:F2886" si="44">D2823+E2823</f>
        <v>2</v>
      </c>
      <c r="I2823">
        <v>20230101</v>
      </c>
      <c r="J2823" t="s">
        <v>2784</v>
      </c>
      <c r="K2823" t="s">
        <v>2786</v>
      </c>
    </row>
    <row r="2824" spans="1:13" x14ac:dyDescent="0.3">
      <c r="A2824" s="160">
        <v>28176</v>
      </c>
      <c r="B2824" t="s">
        <v>17953</v>
      </c>
      <c r="C2824" t="s">
        <v>2779</v>
      </c>
      <c r="D2824">
        <v>0</v>
      </c>
      <c r="E2824">
        <v>0.5</v>
      </c>
      <c r="F2824">
        <f t="shared" si="44"/>
        <v>0.5</v>
      </c>
      <c r="I2824">
        <v>20140101</v>
      </c>
      <c r="J2824" t="s">
        <v>2809</v>
      </c>
    </row>
    <row r="2825" spans="1:13" x14ac:dyDescent="0.3">
      <c r="A2825" s="160">
        <v>28177</v>
      </c>
      <c r="B2825" t="s">
        <v>17954</v>
      </c>
      <c r="C2825" t="s">
        <v>2782</v>
      </c>
      <c r="D2825">
        <v>2</v>
      </c>
      <c r="E2825">
        <v>0</v>
      </c>
      <c r="F2825">
        <f t="shared" si="44"/>
        <v>2</v>
      </c>
      <c r="I2825">
        <v>20230101</v>
      </c>
      <c r="J2825" t="s">
        <v>2799</v>
      </c>
      <c r="K2825" t="s">
        <v>2833</v>
      </c>
      <c r="L2825" t="s">
        <v>2801</v>
      </c>
    </row>
    <row r="2826" spans="1:13" x14ac:dyDescent="0.3">
      <c r="A2826" s="160">
        <v>28178</v>
      </c>
      <c r="B2826" t="s">
        <v>17955</v>
      </c>
      <c r="C2826" t="s">
        <v>2745</v>
      </c>
      <c r="D2826">
        <v>1.05</v>
      </c>
      <c r="E2826">
        <v>0</v>
      </c>
      <c r="F2826">
        <f t="shared" si="44"/>
        <v>1.05</v>
      </c>
      <c r="I2826">
        <v>20160701</v>
      </c>
      <c r="J2826" t="s">
        <v>2781</v>
      </c>
    </row>
    <row r="2827" spans="1:13" x14ac:dyDescent="0.3">
      <c r="A2827" s="160">
        <v>28179</v>
      </c>
      <c r="B2827" t="s">
        <v>17955</v>
      </c>
      <c r="C2827" t="s">
        <v>2779</v>
      </c>
      <c r="D2827">
        <v>0</v>
      </c>
      <c r="E2827">
        <v>0</v>
      </c>
      <c r="F2827">
        <f t="shared" si="44"/>
        <v>0</v>
      </c>
      <c r="I2827">
        <v>20210101</v>
      </c>
      <c r="J2827" t="s">
        <v>2795</v>
      </c>
    </row>
    <row r="2828" spans="1:13" x14ac:dyDescent="0.3">
      <c r="A2828" s="160">
        <v>28180</v>
      </c>
      <c r="B2828" t="s">
        <v>17956</v>
      </c>
      <c r="C2828" t="s">
        <v>2745</v>
      </c>
      <c r="D2828">
        <v>1.05</v>
      </c>
      <c r="E2828">
        <v>0</v>
      </c>
      <c r="F2828">
        <f t="shared" si="44"/>
        <v>1.05</v>
      </c>
      <c r="I2828">
        <v>20160701</v>
      </c>
      <c r="J2828" t="s">
        <v>2788</v>
      </c>
    </row>
    <row r="2829" spans="1:13" x14ac:dyDescent="0.3">
      <c r="A2829" s="160">
        <v>28183</v>
      </c>
      <c r="B2829" t="s">
        <v>17957</v>
      </c>
      <c r="C2829" t="s">
        <v>2779</v>
      </c>
      <c r="D2829">
        <v>0</v>
      </c>
      <c r="E2829">
        <v>0.5</v>
      </c>
      <c r="F2829">
        <f t="shared" si="44"/>
        <v>0.5</v>
      </c>
      <c r="I2829">
        <v>20240101</v>
      </c>
      <c r="J2829" t="s">
        <v>2780</v>
      </c>
      <c r="K2829" t="s">
        <v>2790</v>
      </c>
    </row>
    <row r="2830" spans="1:13" x14ac:dyDescent="0.3">
      <c r="A2830" s="160">
        <v>28184</v>
      </c>
      <c r="B2830" t="s">
        <v>17958</v>
      </c>
      <c r="C2830" t="s">
        <v>2779</v>
      </c>
      <c r="D2830">
        <v>0</v>
      </c>
      <c r="E2830">
        <v>0.5</v>
      </c>
      <c r="F2830">
        <f t="shared" si="44"/>
        <v>0.5</v>
      </c>
      <c r="I2830">
        <v>20240101</v>
      </c>
      <c r="J2830" t="s">
        <v>2780</v>
      </c>
    </row>
    <row r="2831" spans="1:13" x14ac:dyDescent="0.3">
      <c r="A2831" s="160">
        <v>28185</v>
      </c>
      <c r="B2831" t="s">
        <v>17959</v>
      </c>
      <c r="C2831" t="s">
        <v>2779</v>
      </c>
      <c r="D2831">
        <v>0</v>
      </c>
      <c r="E2831">
        <v>0.5</v>
      </c>
      <c r="F2831">
        <f t="shared" si="44"/>
        <v>0.5</v>
      </c>
      <c r="I2831">
        <v>20140101</v>
      </c>
      <c r="J2831" t="s">
        <v>2778</v>
      </c>
    </row>
    <row r="2832" spans="1:13" x14ac:dyDescent="0.3">
      <c r="A2832" s="160">
        <v>28187</v>
      </c>
      <c r="B2832" t="s">
        <v>17960</v>
      </c>
      <c r="C2832" t="s">
        <v>2745</v>
      </c>
      <c r="D2832">
        <v>1.05</v>
      </c>
      <c r="E2832">
        <v>0</v>
      </c>
      <c r="F2832">
        <f t="shared" si="44"/>
        <v>1.05</v>
      </c>
      <c r="I2832">
        <v>20160701</v>
      </c>
      <c r="J2832" t="s">
        <v>2788</v>
      </c>
    </row>
    <row r="2833" spans="1:14" x14ac:dyDescent="0.3">
      <c r="A2833" s="160">
        <v>28188</v>
      </c>
      <c r="B2833" t="s">
        <v>17961</v>
      </c>
      <c r="C2833" t="s">
        <v>2791</v>
      </c>
      <c r="D2833">
        <v>0.55000000000000004</v>
      </c>
      <c r="E2833">
        <v>0.45</v>
      </c>
      <c r="F2833">
        <f t="shared" si="44"/>
        <v>1</v>
      </c>
      <c r="I2833">
        <v>20220701</v>
      </c>
      <c r="J2833" t="s">
        <v>2790</v>
      </c>
      <c r="K2833" t="s">
        <v>2792</v>
      </c>
    </row>
    <row r="2834" spans="1:14" x14ac:dyDescent="0.3">
      <c r="A2834" s="160">
        <v>28189</v>
      </c>
      <c r="B2834" t="s">
        <v>17962</v>
      </c>
      <c r="C2834" t="s">
        <v>2779</v>
      </c>
      <c r="D2834">
        <v>0</v>
      </c>
      <c r="E2834">
        <v>0.5</v>
      </c>
      <c r="F2834">
        <f t="shared" si="44"/>
        <v>0.5</v>
      </c>
      <c r="I2834">
        <v>20140101</v>
      </c>
      <c r="J2834" t="s">
        <v>2780</v>
      </c>
    </row>
    <row r="2835" spans="1:14" x14ac:dyDescent="0.3">
      <c r="A2835" s="160">
        <v>28190</v>
      </c>
      <c r="B2835" t="s">
        <v>17963</v>
      </c>
      <c r="C2835" t="s">
        <v>2779</v>
      </c>
      <c r="D2835">
        <v>0</v>
      </c>
      <c r="E2835">
        <v>0.5</v>
      </c>
      <c r="F2835">
        <f t="shared" si="44"/>
        <v>0.5</v>
      </c>
      <c r="I2835">
        <v>20240101</v>
      </c>
      <c r="J2835" t="s">
        <v>2795</v>
      </c>
    </row>
    <row r="2836" spans="1:14" x14ac:dyDescent="0.3">
      <c r="A2836" s="160">
        <v>28191</v>
      </c>
      <c r="B2836" t="s">
        <v>17964</v>
      </c>
      <c r="C2836" t="s">
        <v>2791</v>
      </c>
      <c r="D2836">
        <v>0.55000000000000004</v>
      </c>
      <c r="E2836">
        <v>0.45</v>
      </c>
      <c r="F2836">
        <f t="shared" si="44"/>
        <v>1</v>
      </c>
      <c r="I2836">
        <v>20220701</v>
      </c>
      <c r="J2836" t="s">
        <v>2806</v>
      </c>
      <c r="K2836" t="s">
        <v>2807</v>
      </c>
      <c r="L2836" t="s">
        <v>2858</v>
      </c>
      <c r="M2836" t="s">
        <v>2856</v>
      </c>
      <c r="N2836" t="s">
        <v>2857</v>
      </c>
    </row>
    <row r="2837" spans="1:14" x14ac:dyDescent="0.3">
      <c r="A2837" s="160">
        <v>28192</v>
      </c>
      <c r="B2837" t="s">
        <v>17965</v>
      </c>
      <c r="C2837" t="s">
        <v>2779</v>
      </c>
      <c r="D2837">
        <v>0</v>
      </c>
      <c r="E2837">
        <v>0.5</v>
      </c>
      <c r="F2837">
        <f t="shared" si="44"/>
        <v>0.5</v>
      </c>
      <c r="I2837">
        <v>20210101</v>
      </c>
      <c r="J2837" t="s">
        <v>2847</v>
      </c>
    </row>
    <row r="2838" spans="1:14" x14ac:dyDescent="0.3">
      <c r="A2838" s="160">
        <v>28193</v>
      </c>
      <c r="B2838" t="s">
        <v>17966</v>
      </c>
      <c r="C2838" t="s">
        <v>2779</v>
      </c>
      <c r="D2838">
        <v>0</v>
      </c>
      <c r="E2838">
        <v>0.5</v>
      </c>
      <c r="F2838">
        <f t="shared" si="44"/>
        <v>0.5</v>
      </c>
      <c r="I2838">
        <v>20140101</v>
      </c>
      <c r="J2838" t="s">
        <v>2778</v>
      </c>
    </row>
    <row r="2839" spans="1:14" x14ac:dyDescent="0.3">
      <c r="A2839" s="160">
        <v>28194</v>
      </c>
      <c r="B2839" t="s">
        <v>17967</v>
      </c>
      <c r="C2839" t="s">
        <v>2782</v>
      </c>
      <c r="D2839">
        <v>2</v>
      </c>
      <c r="E2839">
        <v>0</v>
      </c>
      <c r="F2839">
        <f t="shared" si="44"/>
        <v>2</v>
      </c>
      <c r="I2839">
        <v>20230101</v>
      </c>
      <c r="J2839" t="s">
        <v>2790</v>
      </c>
    </row>
    <row r="2840" spans="1:14" x14ac:dyDescent="0.3">
      <c r="A2840" s="160">
        <v>28195</v>
      </c>
      <c r="B2840" t="s">
        <v>17968</v>
      </c>
      <c r="C2840" t="s">
        <v>2782</v>
      </c>
      <c r="D2840">
        <v>1.5</v>
      </c>
      <c r="E2840">
        <v>0</v>
      </c>
      <c r="F2840">
        <f t="shared" si="44"/>
        <v>1.5</v>
      </c>
      <c r="I2840">
        <v>20250101</v>
      </c>
      <c r="J2840" t="s">
        <v>2806</v>
      </c>
    </row>
    <row r="2841" spans="1:14" x14ac:dyDescent="0.3">
      <c r="A2841" s="160">
        <v>28196</v>
      </c>
      <c r="B2841" t="s">
        <v>17969</v>
      </c>
      <c r="C2841" t="s">
        <v>2779</v>
      </c>
      <c r="D2841">
        <v>0</v>
      </c>
      <c r="E2841">
        <v>0.5</v>
      </c>
      <c r="F2841">
        <f t="shared" si="44"/>
        <v>0.5</v>
      </c>
      <c r="I2841">
        <v>20210101</v>
      </c>
      <c r="J2841" t="s">
        <v>2796</v>
      </c>
    </row>
    <row r="2842" spans="1:14" x14ac:dyDescent="0.3">
      <c r="A2842" s="160">
        <v>28197</v>
      </c>
      <c r="B2842" t="s">
        <v>17970</v>
      </c>
      <c r="C2842" t="s">
        <v>2779</v>
      </c>
      <c r="D2842">
        <v>0</v>
      </c>
      <c r="E2842">
        <v>0.5</v>
      </c>
      <c r="F2842">
        <f t="shared" si="44"/>
        <v>0.5</v>
      </c>
      <c r="I2842">
        <v>20240101</v>
      </c>
      <c r="J2842" t="s">
        <v>2780</v>
      </c>
    </row>
    <row r="2843" spans="1:14" x14ac:dyDescent="0.3">
      <c r="A2843" s="160">
        <v>28200</v>
      </c>
      <c r="B2843" t="s">
        <v>17971</v>
      </c>
      <c r="C2843" t="s">
        <v>2779</v>
      </c>
      <c r="D2843">
        <v>0</v>
      </c>
      <c r="E2843">
        <v>0.5</v>
      </c>
      <c r="F2843">
        <f t="shared" si="44"/>
        <v>0.5</v>
      </c>
      <c r="I2843">
        <v>20210101</v>
      </c>
      <c r="J2843" t="s">
        <v>2849</v>
      </c>
    </row>
    <row r="2844" spans="1:14" x14ac:dyDescent="0.3">
      <c r="A2844" s="160">
        <v>28201</v>
      </c>
      <c r="B2844" t="s">
        <v>17972</v>
      </c>
      <c r="C2844" t="s">
        <v>2782</v>
      </c>
      <c r="D2844">
        <v>2</v>
      </c>
      <c r="E2844">
        <v>0</v>
      </c>
      <c r="F2844">
        <f t="shared" si="44"/>
        <v>2</v>
      </c>
      <c r="I2844">
        <v>20230101</v>
      </c>
      <c r="J2844" t="s">
        <v>2784</v>
      </c>
    </row>
    <row r="2845" spans="1:14" x14ac:dyDescent="0.3">
      <c r="A2845" s="160">
        <v>28203</v>
      </c>
      <c r="B2845" t="s">
        <v>17973</v>
      </c>
      <c r="C2845" t="s">
        <v>2779</v>
      </c>
      <c r="D2845">
        <v>0</v>
      </c>
      <c r="E2845">
        <v>0.5</v>
      </c>
      <c r="F2845">
        <f t="shared" si="44"/>
        <v>0.5</v>
      </c>
      <c r="I2845">
        <v>20140101</v>
      </c>
      <c r="J2845" t="s">
        <v>2803</v>
      </c>
    </row>
    <row r="2846" spans="1:14" x14ac:dyDescent="0.3">
      <c r="A2846" s="160">
        <v>28206</v>
      </c>
      <c r="B2846" t="s">
        <v>17974</v>
      </c>
      <c r="C2846" t="s">
        <v>2745</v>
      </c>
      <c r="D2846">
        <v>1.05</v>
      </c>
      <c r="E2846">
        <v>0</v>
      </c>
      <c r="F2846">
        <f t="shared" si="44"/>
        <v>1.05</v>
      </c>
      <c r="I2846">
        <v>20240101</v>
      </c>
      <c r="J2846" t="s">
        <v>2802</v>
      </c>
    </row>
    <row r="2847" spans="1:14" x14ac:dyDescent="0.3">
      <c r="A2847" s="160">
        <v>28207</v>
      </c>
      <c r="B2847" t="s">
        <v>17975</v>
      </c>
      <c r="C2847" t="s">
        <v>2791</v>
      </c>
      <c r="D2847">
        <v>0.55000000000000004</v>
      </c>
      <c r="E2847">
        <v>0.45</v>
      </c>
      <c r="F2847">
        <f t="shared" si="44"/>
        <v>1</v>
      </c>
      <c r="I2847">
        <v>20220701</v>
      </c>
      <c r="J2847" t="s">
        <v>2790</v>
      </c>
    </row>
    <row r="2848" spans="1:14" x14ac:dyDescent="0.3">
      <c r="A2848" s="160">
        <v>28208</v>
      </c>
      <c r="B2848" t="s">
        <v>17976</v>
      </c>
      <c r="C2848" t="s">
        <v>2791</v>
      </c>
      <c r="D2848">
        <v>0.55000000000000004</v>
      </c>
      <c r="E2848">
        <v>0.45</v>
      </c>
      <c r="F2848">
        <f t="shared" si="44"/>
        <v>1</v>
      </c>
      <c r="I2848">
        <v>20220701</v>
      </c>
      <c r="J2848" t="s">
        <v>2790</v>
      </c>
      <c r="K2848" t="s">
        <v>2792</v>
      </c>
    </row>
    <row r="2849" spans="1:17" x14ac:dyDescent="0.3">
      <c r="A2849" s="160">
        <v>28209</v>
      </c>
      <c r="B2849" t="s">
        <v>17977</v>
      </c>
      <c r="C2849" t="s">
        <v>2782</v>
      </c>
      <c r="D2849">
        <v>2</v>
      </c>
      <c r="E2849">
        <v>0</v>
      </c>
      <c r="F2849">
        <f t="shared" si="44"/>
        <v>2</v>
      </c>
      <c r="I2849">
        <v>20230101</v>
      </c>
      <c r="J2849" t="s">
        <v>2784</v>
      </c>
      <c r="K2849" t="s">
        <v>2812</v>
      </c>
    </row>
    <row r="2850" spans="1:17" x14ac:dyDescent="0.3">
      <c r="A2850" s="160">
        <v>28210</v>
      </c>
      <c r="B2850" t="s">
        <v>17978</v>
      </c>
      <c r="C2850" t="s">
        <v>2779</v>
      </c>
      <c r="D2850">
        <v>0</v>
      </c>
      <c r="E2850">
        <v>0.5</v>
      </c>
      <c r="F2850">
        <f t="shared" si="44"/>
        <v>0.5</v>
      </c>
      <c r="I2850">
        <v>20240101</v>
      </c>
      <c r="J2850" t="s">
        <v>2780</v>
      </c>
    </row>
    <row r="2851" spans="1:17" x14ac:dyDescent="0.3">
      <c r="A2851" s="160">
        <v>28212</v>
      </c>
      <c r="B2851" t="s">
        <v>17979</v>
      </c>
      <c r="C2851" t="s">
        <v>2779</v>
      </c>
      <c r="D2851">
        <v>0</v>
      </c>
      <c r="E2851">
        <v>0.5</v>
      </c>
      <c r="F2851">
        <f t="shared" si="44"/>
        <v>0.5</v>
      </c>
      <c r="I2851">
        <v>20240101</v>
      </c>
      <c r="J2851" t="s">
        <v>2795</v>
      </c>
    </row>
    <row r="2852" spans="1:17" x14ac:dyDescent="0.3">
      <c r="A2852" s="160">
        <v>28213</v>
      </c>
      <c r="B2852" t="s">
        <v>17980</v>
      </c>
      <c r="C2852" t="s">
        <v>2791</v>
      </c>
      <c r="D2852">
        <v>0.55000000000000004</v>
      </c>
      <c r="E2852">
        <v>0.45</v>
      </c>
      <c r="F2852">
        <f t="shared" si="44"/>
        <v>1</v>
      </c>
      <c r="I2852">
        <v>20220701</v>
      </c>
      <c r="J2852" t="s">
        <v>2807</v>
      </c>
      <c r="K2852" t="s">
        <v>2808</v>
      </c>
      <c r="L2852" t="s">
        <v>2845</v>
      </c>
    </row>
    <row r="2853" spans="1:17" x14ac:dyDescent="0.3">
      <c r="A2853" s="160">
        <v>28215</v>
      </c>
      <c r="B2853" t="s">
        <v>17981</v>
      </c>
      <c r="C2853" t="s">
        <v>2779</v>
      </c>
      <c r="D2853">
        <v>0</v>
      </c>
      <c r="E2853">
        <v>0.5</v>
      </c>
      <c r="F2853">
        <f t="shared" si="44"/>
        <v>0.5</v>
      </c>
      <c r="I2853">
        <v>20240101</v>
      </c>
      <c r="J2853" t="s">
        <v>2783</v>
      </c>
    </row>
    <row r="2854" spans="1:17" x14ac:dyDescent="0.3">
      <c r="A2854" s="160">
        <v>28216</v>
      </c>
      <c r="B2854" t="s">
        <v>17982</v>
      </c>
      <c r="C2854" t="s">
        <v>2745</v>
      </c>
      <c r="D2854">
        <v>1.05</v>
      </c>
      <c r="E2854">
        <v>0</v>
      </c>
      <c r="F2854">
        <f t="shared" si="44"/>
        <v>1.05</v>
      </c>
      <c r="I2854">
        <v>20160701</v>
      </c>
      <c r="J2854" t="s">
        <v>2781</v>
      </c>
    </row>
    <row r="2855" spans="1:17" x14ac:dyDescent="0.3">
      <c r="A2855" s="160">
        <v>28218</v>
      </c>
      <c r="B2855" t="s">
        <v>17983</v>
      </c>
      <c r="C2855" t="s">
        <v>2782</v>
      </c>
      <c r="D2855">
        <v>2</v>
      </c>
      <c r="E2855">
        <v>0</v>
      </c>
      <c r="F2855">
        <f t="shared" si="44"/>
        <v>2</v>
      </c>
      <c r="I2855">
        <v>20230101</v>
      </c>
      <c r="J2855" t="s">
        <v>2861</v>
      </c>
      <c r="K2855" t="s">
        <v>2862</v>
      </c>
      <c r="L2855" t="s">
        <v>2863</v>
      </c>
      <c r="M2855" t="s">
        <v>2864</v>
      </c>
      <c r="N2855" t="s">
        <v>2865</v>
      </c>
      <c r="O2855" t="s">
        <v>2833</v>
      </c>
      <c r="P2855" t="s">
        <v>2800</v>
      </c>
      <c r="Q2855" t="s">
        <v>2801</v>
      </c>
    </row>
    <row r="2856" spans="1:17" x14ac:dyDescent="0.3">
      <c r="A2856" s="160">
        <v>28220</v>
      </c>
      <c r="B2856" t="s">
        <v>17984</v>
      </c>
      <c r="C2856" t="s">
        <v>2782</v>
      </c>
      <c r="D2856">
        <v>2</v>
      </c>
      <c r="E2856">
        <v>0</v>
      </c>
      <c r="F2856">
        <f t="shared" si="44"/>
        <v>2</v>
      </c>
      <c r="I2856">
        <v>20230101</v>
      </c>
      <c r="J2856" t="s">
        <v>2866</v>
      </c>
      <c r="K2856" t="s">
        <v>2800</v>
      </c>
      <c r="L2856" t="s">
        <v>2801</v>
      </c>
    </row>
    <row r="2857" spans="1:17" x14ac:dyDescent="0.3">
      <c r="A2857" s="160">
        <v>28221</v>
      </c>
      <c r="B2857" t="s">
        <v>17985</v>
      </c>
      <c r="C2857" t="s">
        <v>2779</v>
      </c>
      <c r="D2857">
        <v>0</v>
      </c>
      <c r="E2857">
        <v>0.5</v>
      </c>
      <c r="F2857">
        <f t="shared" si="44"/>
        <v>0.5</v>
      </c>
      <c r="I2857">
        <v>20240101</v>
      </c>
      <c r="J2857" t="s">
        <v>2795</v>
      </c>
    </row>
    <row r="2858" spans="1:17" x14ac:dyDescent="0.3">
      <c r="A2858" s="160">
        <v>28222</v>
      </c>
      <c r="B2858" t="s">
        <v>17986</v>
      </c>
      <c r="C2858" t="s">
        <v>2779</v>
      </c>
      <c r="D2858">
        <v>0</v>
      </c>
      <c r="E2858">
        <v>0.5</v>
      </c>
      <c r="F2858">
        <f t="shared" si="44"/>
        <v>0.5</v>
      </c>
      <c r="I2858">
        <v>20140101</v>
      </c>
      <c r="J2858" t="s">
        <v>2805</v>
      </c>
    </row>
    <row r="2859" spans="1:17" x14ac:dyDescent="0.3">
      <c r="A2859" s="160">
        <v>28223</v>
      </c>
      <c r="B2859" t="s">
        <v>17987</v>
      </c>
      <c r="C2859" t="s">
        <v>2745</v>
      </c>
      <c r="D2859">
        <v>1.05</v>
      </c>
      <c r="E2859">
        <v>0</v>
      </c>
      <c r="F2859">
        <f t="shared" si="44"/>
        <v>1.05</v>
      </c>
      <c r="I2859">
        <v>20160701</v>
      </c>
      <c r="J2859" t="s">
        <v>2781</v>
      </c>
    </row>
    <row r="2860" spans="1:17" x14ac:dyDescent="0.3">
      <c r="A2860" s="160">
        <v>28225</v>
      </c>
      <c r="B2860" t="s">
        <v>17988</v>
      </c>
      <c r="C2860" t="s">
        <v>2779</v>
      </c>
      <c r="D2860">
        <v>0</v>
      </c>
      <c r="E2860">
        <v>0.5</v>
      </c>
      <c r="F2860">
        <f t="shared" si="44"/>
        <v>0.5</v>
      </c>
      <c r="I2860">
        <v>20140101</v>
      </c>
      <c r="J2860" t="s">
        <v>2796</v>
      </c>
    </row>
    <row r="2861" spans="1:17" x14ac:dyDescent="0.3">
      <c r="A2861" s="160">
        <v>28226</v>
      </c>
      <c r="B2861" t="s">
        <v>17989</v>
      </c>
      <c r="C2861" t="s">
        <v>2745</v>
      </c>
      <c r="D2861">
        <v>1.05</v>
      </c>
      <c r="E2861">
        <v>0</v>
      </c>
      <c r="F2861">
        <f t="shared" si="44"/>
        <v>1.05</v>
      </c>
      <c r="I2861">
        <v>20160701</v>
      </c>
      <c r="J2861" t="s">
        <v>2789</v>
      </c>
    </row>
    <row r="2862" spans="1:17" x14ac:dyDescent="0.3">
      <c r="A2862" s="160">
        <v>28227</v>
      </c>
      <c r="B2862" t="s">
        <v>17990</v>
      </c>
      <c r="C2862" t="s">
        <v>2782</v>
      </c>
      <c r="D2862">
        <v>1.5</v>
      </c>
      <c r="E2862">
        <v>0</v>
      </c>
      <c r="F2862">
        <f t="shared" si="44"/>
        <v>1.5</v>
      </c>
      <c r="I2862">
        <v>20250101</v>
      </c>
      <c r="J2862" t="s">
        <v>2806</v>
      </c>
      <c r="K2862" t="s">
        <v>2807</v>
      </c>
      <c r="L2862" t="s">
        <v>2867</v>
      </c>
      <c r="M2862" t="s">
        <v>2856</v>
      </c>
    </row>
    <row r="2863" spans="1:17" x14ac:dyDescent="0.3">
      <c r="A2863" s="160">
        <v>28229</v>
      </c>
      <c r="B2863" t="s">
        <v>17991</v>
      </c>
      <c r="C2863" t="s">
        <v>2782</v>
      </c>
      <c r="D2863">
        <v>2</v>
      </c>
      <c r="E2863">
        <v>0</v>
      </c>
      <c r="F2863">
        <f t="shared" si="44"/>
        <v>2</v>
      </c>
      <c r="I2863">
        <v>20230101</v>
      </c>
      <c r="J2863" t="s">
        <v>2784</v>
      </c>
      <c r="K2863" t="s">
        <v>2868</v>
      </c>
      <c r="L2863" t="s">
        <v>2785</v>
      </c>
      <c r="M2863" t="s">
        <v>2812</v>
      </c>
    </row>
    <row r="2864" spans="1:17" x14ac:dyDescent="0.3">
      <c r="A2864" s="160">
        <v>28230</v>
      </c>
      <c r="B2864" t="s">
        <v>17992</v>
      </c>
      <c r="C2864" t="s">
        <v>2791</v>
      </c>
      <c r="D2864">
        <v>0.55000000000000004</v>
      </c>
      <c r="E2864">
        <v>0.45</v>
      </c>
      <c r="F2864">
        <f t="shared" si="44"/>
        <v>1</v>
      </c>
      <c r="I2864">
        <v>20220701</v>
      </c>
      <c r="J2864" t="s">
        <v>2790</v>
      </c>
    </row>
    <row r="2865" spans="1:11" x14ac:dyDescent="0.3">
      <c r="A2865" s="160">
        <v>28231</v>
      </c>
      <c r="B2865" t="s">
        <v>17993</v>
      </c>
      <c r="C2865" t="s">
        <v>2745</v>
      </c>
      <c r="D2865">
        <v>1.05</v>
      </c>
      <c r="E2865">
        <v>0</v>
      </c>
      <c r="F2865">
        <f t="shared" si="44"/>
        <v>1.05</v>
      </c>
      <c r="I2865">
        <v>20240101</v>
      </c>
      <c r="J2865" t="s">
        <v>2802</v>
      </c>
    </row>
    <row r="2866" spans="1:11" x14ac:dyDescent="0.3">
      <c r="A2866" s="160">
        <v>28234</v>
      </c>
      <c r="B2866" t="s">
        <v>17994</v>
      </c>
      <c r="C2866" t="s">
        <v>2779</v>
      </c>
      <c r="D2866">
        <v>0</v>
      </c>
      <c r="E2866">
        <v>0.5</v>
      </c>
      <c r="F2866">
        <f t="shared" si="44"/>
        <v>0.5</v>
      </c>
      <c r="I2866">
        <v>20140101</v>
      </c>
      <c r="J2866" t="s">
        <v>2796</v>
      </c>
    </row>
    <row r="2867" spans="1:11" x14ac:dyDescent="0.3">
      <c r="A2867" s="160">
        <v>28235</v>
      </c>
      <c r="B2867" t="s">
        <v>17995</v>
      </c>
      <c r="C2867" t="s">
        <v>2745</v>
      </c>
      <c r="D2867">
        <v>1.05</v>
      </c>
      <c r="E2867">
        <v>0</v>
      </c>
      <c r="F2867">
        <f t="shared" si="44"/>
        <v>1.05</v>
      </c>
      <c r="I2867">
        <v>20160701</v>
      </c>
      <c r="J2867" t="s">
        <v>2778</v>
      </c>
    </row>
    <row r="2868" spans="1:11" x14ac:dyDescent="0.3">
      <c r="A2868" s="160">
        <v>28239</v>
      </c>
      <c r="B2868" t="s">
        <v>17996</v>
      </c>
      <c r="C2868" t="s">
        <v>2745</v>
      </c>
      <c r="D2868">
        <v>1.05</v>
      </c>
      <c r="E2868">
        <v>0</v>
      </c>
      <c r="F2868">
        <f t="shared" si="44"/>
        <v>1.05</v>
      </c>
      <c r="I2868">
        <v>20160701</v>
      </c>
      <c r="J2868" t="s">
        <v>2781</v>
      </c>
    </row>
    <row r="2869" spans="1:11" x14ac:dyDescent="0.3">
      <c r="A2869" s="160">
        <v>28242</v>
      </c>
      <c r="B2869" t="s">
        <v>17997</v>
      </c>
      <c r="C2869" t="s">
        <v>2779</v>
      </c>
      <c r="D2869">
        <v>0</v>
      </c>
      <c r="E2869">
        <v>0.5</v>
      </c>
      <c r="F2869">
        <f t="shared" si="44"/>
        <v>0.5</v>
      </c>
      <c r="I2869">
        <v>20210101</v>
      </c>
      <c r="J2869" t="s">
        <v>2796</v>
      </c>
    </row>
    <row r="2870" spans="1:11" x14ac:dyDescent="0.3">
      <c r="A2870" s="160">
        <v>28243</v>
      </c>
      <c r="B2870" t="s">
        <v>17998</v>
      </c>
      <c r="C2870" t="s">
        <v>2779</v>
      </c>
      <c r="D2870">
        <v>0</v>
      </c>
      <c r="E2870">
        <v>0.5</v>
      </c>
      <c r="F2870">
        <f t="shared" si="44"/>
        <v>0.5</v>
      </c>
      <c r="I2870">
        <v>20240101</v>
      </c>
      <c r="J2870" t="s">
        <v>2780</v>
      </c>
    </row>
    <row r="2871" spans="1:11" x14ac:dyDescent="0.3">
      <c r="A2871" s="160">
        <v>28245</v>
      </c>
      <c r="B2871" t="s">
        <v>17999</v>
      </c>
      <c r="C2871" t="s">
        <v>2782</v>
      </c>
      <c r="D2871">
        <v>2</v>
      </c>
      <c r="E2871">
        <v>0</v>
      </c>
      <c r="F2871">
        <f t="shared" si="44"/>
        <v>2</v>
      </c>
      <c r="I2871">
        <v>20230101</v>
      </c>
      <c r="J2871" t="s">
        <v>2796</v>
      </c>
    </row>
    <row r="2872" spans="1:11" x14ac:dyDescent="0.3">
      <c r="A2872" s="160">
        <v>28246</v>
      </c>
      <c r="B2872" t="s">
        <v>18000</v>
      </c>
      <c r="C2872" t="s">
        <v>2782</v>
      </c>
      <c r="D2872">
        <v>1.5</v>
      </c>
      <c r="E2872">
        <v>0</v>
      </c>
      <c r="F2872">
        <f t="shared" si="44"/>
        <v>1.5</v>
      </c>
      <c r="I2872">
        <v>20250101</v>
      </c>
      <c r="J2872" t="s">
        <v>2805</v>
      </c>
    </row>
    <row r="2873" spans="1:11" x14ac:dyDescent="0.3">
      <c r="A2873" s="160">
        <v>28247</v>
      </c>
      <c r="B2873" t="s">
        <v>18001</v>
      </c>
      <c r="C2873" t="s">
        <v>2745</v>
      </c>
      <c r="D2873">
        <v>1.05</v>
      </c>
      <c r="E2873">
        <v>0</v>
      </c>
      <c r="F2873">
        <f t="shared" si="44"/>
        <v>1.05</v>
      </c>
      <c r="I2873">
        <v>20160701</v>
      </c>
      <c r="J2873" t="s">
        <v>2788</v>
      </c>
    </row>
    <row r="2874" spans="1:11" x14ac:dyDescent="0.3">
      <c r="A2874" s="160">
        <v>28249</v>
      </c>
      <c r="B2874" t="s">
        <v>18002</v>
      </c>
      <c r="C2874" t="s">
        <v>2791</v>
      </c>
      <c r="D2874">
        <v>0.55000000000000004</v>
      </c>
      <c r="E2874">
        <v>0.45</v>
      </c>
      <c r="F2874">
        <f t="shared" si="44"/>
        <v>1</v>
      </c>
      <c r="I2874">
        <v>20220701</v>
      </c>
      <c r="J2874" t="s">
        <v>2806</v>
      </c>
    </row>
    <row r="2875" spans="1:11" x14ac:dyDescent="0.3">
      <c r="A2875" s="160">
        <v>28251</v>
      </c>
      <c r="B2875" t="s">
        <v>18003</v>
      </c>
      <c r="C2875" t="s">
        <v>2745</v>
      </c>
      <c r="D2875">
        <v>1.05</v>
      </c>
      <c r="E2875">
        <v>0</v>
      </c>
      <c r="F2875">
        <f t="shared" si="44"/>
        <v>1.05</v>
      </c>
      <c r="I2875">
        <v>20160701</v>
      </c>
      <c r="J2875" t="s">
        <v>2781</v>
      </c>
    </row>
    <row r="2876" spans="1:11" x14ac:dyDescent="0.3">
      <c r="A2876" s="160">
        <v>28253</v>
      </c>
      <c r="B2876" t="s">
        <v>18004</v>
      </c>
      <c r="C2876" t="s">
        <v>2782</v>
      </c>
      <c r="D2876">
        <v>2</v>
      </c>
      <c r="E2876">
        <v>0</v>
      </c>
      <c r="F2876">
        <f t="shared" si="44"/>
        <v>2</v>
      </c>
      <c r="I2876">
        <v>20230101</v>
      </c>
      <c r="J2876" t="s">
        <v>2799</v>
      </c>
      <c r="K2876" t="s">
        <v>2801</v>
      </c>
    </row>
    <row r="2877" spans="1:11" x14ac:dyDescent="0.3">
      <c r="A2877" s="160">
        <v>28254</v>
      </c>
      <c r="B2877" t="s">
        <v>18005</v>
      </c>
      <c r="C2877" t="s">
        <v>2782</v>
      </c>
      <c r="D2877">
        <v>2</v>
      </c>
      <c r="E2877">
        <v>0</v>
      </c>
      <c r="F2877">
        <f t="shared" si="44"/>
        <v>2</v>
      </c>
      <c r="I2877">
        <v>20230101</v>
      </c>
      <c r="J2877" t="s">
        <v>2803</v>
      </c>
    </row>
    <row r="2878" spans="1:11" x14ac:dyDescent="0.3">
      <c r="A2878" s="160">
        <v>28255</v>
      </c>
      <c r="B2878" t="s">
        <v>18006</v>
      </c>
      <c r="C2878" t="s">
        <v>2782</v>
      </c>
      <c r="D2878">
        <v>1.5</v>
      </c>
      <c r="E2878">
        <v>0</v>
      </c>
      <c r="F2878">
        <f t="shared" si="44"/>
        <v>1.5</v>
      </c>
      <c r="I2878">
        <v>20250101</v>
      </c>
      <c r="J2878" t="s">
        <v>2790</v>
      </c>
    </row>
    <row r="2879" spans="1:11" x14ac:dyDescent="0.3">
      <c r="A2879" s="160">
        <v>28257</v>
      </c>
      <c r="B2879" t="s">
        <v>18007</v>
      </c>
      <c r="C2879" t="s">
        <v>2791</v>
      </c>
      <c r="D2879">
        <v>0.55000000000000004</v>
      </c>
      <c r="E2879">
        <v>0.45</v>
      </c>
      <c r="F2879">
        <f t="shared" si="44"/>
        <v>1</v>
      </c>
      <c r="I2879">
        <v>20220701</v>
      </c>
      <c r="J2879" t="s">
        <v>2790</v>
      </c>
    </row>
    <row r="2880" spans="1:11" x14ac:dyDescent="0.3">
      <c r="A2880" s="160">
        <v>28258</v>
      </c>
      <c r="B2880" t="s">
        <v>18007</v>
      </c>
      <c r="C2880" t="s">
        <v>2779</v>
      </c>
      <c r="D2880">
        <v>0</v>
      </c>
      <c r="E2880">
        <v>0</v>
      </c>
      <c r="F2880">
        <f t="shared" si="44"/>
        <v>0</v>
      </c>
      <c r="I2880">
        <v>20210101</v>
      </c>
      <c r="J2880" t="s">
        <v>2783</v>
      </c>
    </row>
    <row r="2881" spans="1:15" x14ac:dyDescent="0.3">
      <c r="A2881" s="160">
        <v>28261</v>
      </c>
      <c r="B2881" t="s">
        <v>18008</v>
      </c>
      <c r="C2881" t="s">
        <v>2779</v>
      </c>
      <c r="D2881">
        <v>0</v>
      </c>
      <c r="E2881">
        <v>0.5</v>
      </c>
      <c r="F2881">
        <f t="shared" si="44"/>
        <v>0.5</v>
      </c>
      <c r="I2881">
        <v>20240101</v>
      </c>
      <c r="J2881" t="s">
        <v>2796</v>
      </c>
    </row>
    <row r="2882" spans="1:15" x14ac:dyDescent="0.3">
      <c r="A2882" s="160">
        <v>28265</v>
      </c>
      <c r="B2882" t="s">
        <v>18009</v>
      </c>
      <c r="C2882" t="s">
        <v>2779</v>
      </c>
      <c r="D2882">
        <v>0</v>
      </c>
      <c r="E2882">
        <v>0.5</v>
      </c>
      <c r="F2882">
        <f t="shared" si="44"/>
        <v>0.5</v>
      </c>
      <c r="I2882">
        <v>20210101</v>
      </c>
      <c r="J2882" t="s">
        <v>2813</v>
      </c>
    </row>
    <row r="2883" spans="1:15" x14ac:dyDescent="0.3">
      <c r="A2883" s="160">
        <v>28267</v>
      </c>
      <c r="B2883" t="s">
        <v>18010</v>
      </c>
      <c r="C2883" t="s">
        <v>2745</v>
      </c>
      <c r="D2883">
        <v>1.05</v>
      </c>
      <c r="E2883">
        <v>0</v>
      </c>
      <c r="F2883">
        <f t="shared" si="44"/>
        <v>1.05</v>
      </c>
      <c r="I2883">
        <v>20160701</v>
      </c>
      <c r="J2883" t="s">
        <v>2781</v>
      </c>
    </row>
    <row r="2884" spans="1:15" x14ac:dyDescent="0.3">
      <c r="A2884" s="160">
        <v>28268</v>
      </c>
      <c r="B2884" t="s">
        <v>18011</v>
      </c>
      <c r="C2884" t="s">
        <v>2791</v>
      </c>
      <c r="D2884">
        <v>0.55000000000000004</v>
      </c>
      <c r="E2884">
        <v>0.45</v>
      </c>
      <c r="F2884">
        <f t="shared" si="44"/>
        <v>1</v>
      </c>
      <c r="I2884">
        <v>20220701</v>
      </c>
      <c r="J2884" t="s">
        <v>2790</v>
      </c>
    </row>
    <row r="2885" spans="1:15" x14ac:dyDescent="0.3">
      <c r="A2885" s="160">
        <v>28269</v>
      </c>
      <c r="B2885" t="s">
        <v>18012</v>
      </c>
      <c r="C2885" t="s">
        <v>2782</v>
      </c>
      <c r="D2885">
        <v>2</v>
      </c>
      <c r="E2885">
        <v>0</v>
      </c>
      <c r="F2885">
        <f t="shared" si="44"/>
        <v>2</v>
      </c>
      <c r="I2885">
        <v>20230101</v>
      </c>
      <c r="J2885" t="s">
        <v>2799</v>
      </c>
      <c r="K2885" t="s">
        <v>2801</v>
      </c>
    </row>
    <row r="2886" spans="1:15" x14ac:dyDescent="0.3">
      <c r="A2886" s="160">
        <v>28270</v>
      </c>
      <c r="B2886" t="s">
        <v>18013</v>
      </c>
      <c r="C2886" t="s">
        <v>2779</v>
      </c>
      <c r="D2886">
        <v>0</v>
      </c>
      <c r="E2886">
        <v>0.5</v>
      </c>
      <c r="F2886">
        <f t="shared" si="44"/>
        <v>0.5</v>
      </c>
      <c r="I2886">
        <v>20140101</v>
      </c>
      <c r="J2886" t="s">
        <v>2809</v>
      </c>
    </row>
    <row r="2887" spans="1:15" x14ac:dyDescent="0.3">
      <c r="A2887" s="160">
        <v>28272</v>
      </c>
      <c r="B2887" t="s">
        <v>18014</v>
      </c>
      <c r="C2887" t="s">
        <v>2779</v>
      </c>
      <c r="D2887">
        <v>0</v>
      </c>
      <c r="E2887">
        <v>0.5</v>
      </c>
      <c r="F2887">
        <f t="shared" ref="F2887:F2950" si="45">D2887+E2887</f>
        <v>0.5</v>
      </c>
      <c r="I2887">
        <v>20240101</v>
      </c>
      <c r="J2887" t="s">
        <v>2869</v>
      </c>
    </row>
    <row r="2888" spans="1:15" x14ac:dyDescent="0.3">
      <c r="A2888" s="160">
        <v>28274</v>
      </c>
      <c r="B2888" t="s">
        <v>18015</v>
      </c>
      <c r="C2888" t="s">
        <v>2779</v>
      </c>
      <c r="D2888">
        <v>0</v>
      </c>
      <c r="E2888">
        <v>0.5</v>
      </c>
      <c r="F2888">
        <f t="shared" si="45"/>
        <v>0.5</v>
      </c>
      <c r="I2888">
        <v>20240101</v>
      </c>
      <c r="J2888" t="s">
        <v>2783</v>
      </c>
    </row>
    <row r="2889" spans="1:15" x14ac:dyDescent="0.3">
      <c r="A2889" s="160">
        <v>28275</v>
      </c>
      <c r="B2889" t="s">
        <v>18016</v>
      </c>
      <c r="C2889" t="s">
        <v>2791</v>
      </c>
      <c r="D2889">
        <v>0.55000000000000004</v>
      </c>
      <c r="E2889">
        <v>0.45</v>
      </c>
      <c r="F2889">
        <f t="shared" si="45"/>
        <v>1</v>
      </c>
      <c r="I2889">
        <v>20220701</v>
      </c>
      <c r="J2889" t="s">
        <v>2867</v>
      </c>
      <c r="K2889" t="s">
        <v>2808</v>
      </c>
    </row>
    <row r="2890" spans="1:15" x14ac:dyDescent="0.3">
      <c r="A2890" s="160">
        <v>28276</v>
      </c>
      <c r="B2890" t="s">
        <v>18017</v>
      </c>
      <c r="C2890" t="s">
        <v>2779</v>
      </c>
      <c r="D2890">
        <v>0</v>
      </c>
      <c r="E2890">
        <v>0.5</v>
      </c>
      <c r="F2890">
        <f t="shared" si="45"/>
        <v>0.5</v>
      </c>
      <c r="I2890">
        <v>20140101</v>
      </c>
      <c r="J2890" t="s">
        <v>2780</v>
      </c>
    </row>
    <row r="2891" spans="1:15" x14ac:dyDescent="0.3">
      <c r="A2891" s="160">
        <v>28277</v>
      </c>
      <c r="B2891" t="s">
        <v>18018</v>
      </c>
      <c r="C2891" t="s">
        <v>2779</v>
      </c>
      <c r="D2891">
        <v>0</v>
      </c>
      <c r="E2891">
        <v>0.5</v>
      </c>
      <c r="F2891">
        <f t="shared" si="45"/>
        <v>0.5</v>
      </c>
      <c r="I2891">
        <v>20140101</v>
      </c>
      <c r="J2891" t="s">
        <v>2809</v>
      </c>
    </row>
    <row r="2892" spans="1:15" x14ac:dyDescent="0.3">
      <c r="A2892" s="160">
        <v>28278</v>
      </c>
      <c r="B2892" t="s">
        <v>18019</v>
      </c>
      <c r="C2892" t="s">
        <v>2782</v>
      </c>
      <c r="D2892">
        <v>2</v>
      </c>
      <c r="E2892">
        <v>0</v>
      </c>
      <c r="F2892">
        <f t="shared" si="45"/>
        <v>2</v>
      </c>
      <c r="I2892">
        <v>20230101</v>
      </c>
      <c r="J2892" t="s">
        <v>2820</v>
      </c>
      <c r="K2892" t="s">
        <v>2799</v>
      </c>
      <c r="L2892" t="s">
        <v>2833</v>
      </c>
      <c r="M2892" t="s">
        <v>2801</v>
      </c>
    </row>
    <row r="2893" spans="1:15" x14ac:dyDescent="0.3">
      <c r="A2893" s="160">
        <v>28279</v>
      </c>
      <c r="B2893" t="s">
        <v>18020</v>
      </c>
      <c r="C2893" t="s">
        <v>2791</v>
      </c>
      <c r="D2893">
        <v>0.55000000000000004</v>
      </c>
      <c r="E2893">
        <v>0.45</v>
      </c>
      <c r="F2893">
        <f t="shared" si="45"/>
        <v>1</v>
      </c>
      <c r="I2893">
        <v>20220701</v>
      </c>
      <c r="J2893" t="s">
        <v>2807</v>
      </c>
      <c r="K2893" t="s">
        <v>2858</v>
      </c>
      <c r="L2893" t="s">
        <v>2808</v>
      </c>
      <c r="M2893" t="s">
        <v>2845</v>
      </c>
    </row>
    <row r="2894" spans="1:15" x14ac:dyDescent="0.3">
      <c r="A2894" s="160">
        <v>28280</v>
      </c>
      <c r="B2894" t="s">
        <v>18021</v>
      </c>
      <c r="C2894" t="s">
        <v>2870</v>
      </c>
      <c r="D2894">
        <v>0.55000000000000004</v>
      </c>
      <c r="E2894">
        <v>0</v>
      </c>
      <c r="F2894">
        <f t="shared" si="45"/>
        <v>0.55000000000000004</v>
      </c>
      <c r="I2894">
        <v>20140701</v>
      </c>
      <c r="J2894" t="s">
        <v>2871</v>
      </c>
      <c r="K2894" t="s">
        <v>2872</v>
      </c>
      <c r="L2894" t="s">
        <v>2873</v>
      </c>
      <c r="M2894" t="s">
        <v>2874</v>
      </c>
      <c r="N2894" t="s">
        <v>2875</v>
      </c>
      <c r="O2894" t="s">
        <v>2876</v>
      </c>
    </row>
    <row r="2895" spans="1:15" x14ac:dyDescent="0.3">
      <c r="A2895" s="160">
        <v>28281</v>
      </c>
      <c r="B2895" t="s">
        <v>18022</v>
      </c>
      <c r="C2895" t="s">
        <v>2782</v>
      </c>
      <c r="D2895">
        <v>2</v>
      </c>
      <c r="E2895">
        <v>0</v>
      </c>
      <c r="F2895">
        <f t="shared" si="45"/>
        <v>2</v>
      </c>
      <c r="I2895">
        <v>20230101</v>
      </c>
      <c r="J2895" t="s">
        <v>2796</v>
      </c>
    </row>
    <row r="2896" spans="1:15" x14ac:dyDescent="0.3">
      <c r="A2896" s="160">
        <v>28282</v>
      </c>
      <c r="B2896" t="s">
        <v>18023</v>
      </c>
      <c r="C2896" t="s">
        <v>2779</v>
      </c>
      <c r="D2896">
        <v>0</v>
      </c>
      <c r="E2896">
        <v>0.5</v>
      </c>
      <c r="F2896">
        <f t="shared" si="45"/>
        <v>0.5</v>
      </c>
      <c r="I2896">
        <v>20140101</v>
      </c>
      <c r="J2896" t="s">
        <v>2796</v>
      </c>
    </row>
    <row r="2897" spans="1:13" x14ac:dyDescent="0.3">
      <c r="A2897" s="160">
        <v>28284</v>
      </c>
      <c r="B2897" t="s">
        <v>18024</v>
      </c>
      <c r="C2897" t="s">
        <v>2779</v>
      </c>
      <c r="D2897">
        <v>0</v>
      </c>
      <c r="E2897">
        <v>0.5</v>
      </c>
      <c r="F2897">
        <f t="shared" si="45"/>
        <v>0.5</v>
      </c>
      <c r="I2897">
        <v>20240101</v>
      </c>
      <c r="J2897" t="s">
        <v>2780</v>
      </c>
    </row>
    <row r="2898" spans="1:13" x14ac:dyDescent="0.3">
      <c r="A2898" s="160">
        <v>28285</v>
      </c>
      <c r="B2898" t="s">
        <v>18025</v>
      </c>
      <c r="C2898" t="s">
        <v>2782</v>
      </c>
      <c r="D2898">
        <v>1.5</v>
      </c>
      <c r="E2898">
        <v>0</v>
      </c>
      <c r="F2898">
        <f t="shared" si="45"/>
        <v>1.5</v>
      </c>
      <c r="I2898">
        <v>20250101</v>
      </c>
      <c r="J2898" t="s">
        <v>2790</v>
      </c>
      <c r="K2898" t="s">
        <v>2792</v>
      </c>
    </row>
    <row r="2899" spans="1:13" x14ac:dyDescent="0.3">
      <c r="A2899" s="160">
        <v>28286</v>
      </c>
      <c r="B2899" t="s">
        <v>18026</v>
      </c>
      <c r="C2899" t="s">
        <v>2782</v>
      </c>
      <c r="D2899">
        <v>2</v>
      </c>
      <c r="E2899">
        <v>0</v>
      </c>
      <c r="F2899">
        <f t="shared" si="45"/>
        <v>2</v>
      </c>
      <c r="I2899">
        <v>20230101</v>
      </c>
      <c r="J2899" t="s">
        <v>2796</v>
      </c>
    </row>
    <row r="2900" spans="1:13" x14ac:dyDescent="0.3">
      <c r="A2900" s="160">
        <v>28287</v>
      </c>
      <c r="B2900" t="s">
        <v>18027</v>
      </c>
      <c r="C2900" t="s">
        <v>2779</v>
      </c>
      <c r="D2900">
        <v>0</v>
      </c>
      <c r="E2900">
        <v>0.5</v>
      </c>
      <c r="F2900">
        <f t="shared" si="45"/>
        <v>0.5</v>
      </c>
      <c r="I2900">
        <v>20240101</v>
      </c>
      <c r="J2900" t="s">
        <v>2795</v>
      </c>
    </row>
    <row r="2901" spans="1:13" x14ac:dyDescent="0.3">
      <c r="A2901" s="160">
        <v>28288</v>
      </c>
      <c r="B2901" t="s">
        <v>18028</v>
      </c>
      <c r="C2901" t="s">
        <v>2779</v>
      </c>
      <c r="D2901">
        <v>0</v>
      </c>
      <c r="E2901">
        <v>0.5</v>
      </c>
      <c r="F2901">
        <f t="shared" si="45"/>
        <v>0.5</v>
      </c>
      <c r="I2901">
        <v>20140101</v>
      </c>
      <c r="J2901" t="s">
        <v>2790</v>
      </c>
    </row>
    <row r="2902" spans="1:13" x14ac:dyDescent="0.3">
      <c r="A2902" s="160">
        <v>28289</v>
      </c>
      <c r="B2902" t="s">
        <v>18029</v>
      </c>
      <c r="C2902" t="s">
        <v>2745</v>
      </c>
      <c r="D2902">
        <v>1.05</v>
      </c>
      <c r="E2902">
        <v>0</v>
      </c>
      <c r="F2902">
        <f t="shared" si="45"/>
        <v>1.05</v>
      </c>
      <c r="I2902">
        <v>20160701</v>
      </c>
      <c r="J2902" t="s">
        <v>2808</v>
      </c>
    </row>
    <row r="2903" spans="1:13" x14ac:dyDescent="0.3">
      <c r="A2903" s="160">
        <v>28290</v>
      </c>
      <c r="B2903" t="s">
        <v>18030</v>
      </c>
      <c r="C2903" t="s">
        <v>2779</v>
      </c>
      <c r="D2903">
        <v>0</v>
      </c>
      <c r="E2903">
        <v>0.5</v>
      </c>
      <c r="F2903">
        <f t="shared" si="45"/>
        <v>0.5</v>
      </c>
      <c r="I2903">
        <v>20140101</v>
      </c>
      <c r="J2903" t="s">
        <v>2803</v>
      </c>
    </row>
    <row r="2904" spans="1:13" x14ac:dyDescent="0.3">
      <c r="A2904" s="160">
        <v>28291</v>
      </c>
      <c r="B2904" t="s">
        <v>18031</v>
      </c>
      <c r="C2904" t="s">
        <v>2779</v>
      </c>
      <c r="D2904">
        <v>0</v>
      </c>
      <c r="E2904">
        <v>0.5</v>
      </c>
      <c r="F2904">
        <f t="shared" si="45"/>
        <v>0.5</v>
      </c>
      <c r="I2904">
        <v>20240101</v>
      </c>
      <c r="J2904" t="s">
        <v>2783</v>
      </c>
    </row>
    <row r="2905" spans="1:13" x14ac:dyDescent="0.3">
      <c r="A2905" s="160">
        <v>28292</v>
      </c>
      <c r="B2905" t="s">
        <v>18032</v>
      </c>
      <c r="C2905" t="s">
        <v>2745</v>
      </c>
      <c r="D2905">
        <v>1.05</v>
      </c>
      <c r="E2905">
        <v>0</v>
      </c>
      <c r="F2905">
        <f t="shared" si="45"/>
        <v>1.05</v>
      </c>
      <c r="I2905">
        <v>20160701</v>
      </c>
      <c r="J2905" t="s">
        <v>2781</v>
      </c>
    </row>
    <row r="2906" spans="1:13" x14ac:dyDescent="0.3">
      <c r="A2906" s="160">
        <v>28293</v>
      </c>
      <c r="B2906" t="s">
        <v>18033</v>
      </c>
      <c r="C2906" t="s">
        <v>2745</v>
      </c>
      <c r="D2906">
        <v>1.05</v>
      </c>
      <c r="E2906">
        <v>0</v>
      </c>
      <c r="F2906">
        <f t="shared" si="45"/>
        <v>1.05</v>
      </c>
      <c r="I2906">
        <v>20160701</v>
      </c>
      <c r="J2906" t="s">
        <v>2788</v>
      </c>
    </row>
    <row r="2907" spans="1:13" x14ac:dyDescent="0.3">
      <c r="A2907" s="160">
        <v>28294</v>
      </c>
      <c r="B2907" t="s">
        <v>18034</v>
      </c>
      <c r="C2907" t="s">
        <v>2779</v>
      </c>
      <c r="D2907">
        <v>0</v>
      </c>
      <c r="E2907">
        <v>0.5</v>
      </c>
      <c r="F2907">
        <f t="shared" si="45"/>
        <v>0.5</v>
      </c>
      <c r="I2907">
        <v>20140101</v>
      </c>
      <c r="J2907" t="s">
        <v>2790</v>
      </c>
    </row>
    <row r="2908" spans="1:13" x14ac:dyDescent="0.3">
      <c r="A2908" s="160">
        <v>28295</v>
      </c>
      <c r="B2908" t="s">
        <v>18034</v>
      </c>
      <c r="C2908" t="s">
        <v>2779</v>
      </c>
      <c r="D2908">
        <v>0</v>
      </c>
      <c r="E2908">
        <v>0</v>
      </c>
      <c r="F2908">
        <f t="shared" si="45"/>
        <v>0</v>
      </c>
      <c r="I2908">
        <v>20210101</v>
      </c>
      <c r="J2908" t="s">
        <v>2838</v>
      </c>
    </row>
    <row r="2909" spans="1:13" x14ac:dyDescent="0.3">
      <c r="A2909" s="160">
        <v>28296</v>
      </c>
      <c r="B2909" t="s">
        <v>18035</v>
      </c>
      <c r="C2909" t="s">
        <v>2779</v>
      </c>
      <c r="D2909">
        <v>0</v>
      </c>
      <c r="E2909">
        <v>0.5</v>
      </c>
      <c r="F2909">
        <f t="shared" si="45"/>
        <v>0.5</v>
      </c>
      <c r="I2909">
        <v>20240101</v>
      </c>
      <c r="J2909" t="s">
        <v>2795</v>
      </c>
    </row>
    <row r="2910" spans="1:13" x14ac:dyDescent="0.3">
      <c r="A2910" s="160">
        <v>28297</v>
      </c>
      <c r="B2910" t="s">
        <v>18035</v>
      </c>
      <c r="C2910" t="s">
        <v>2779</v>
      </c>
      <c r="D2910">
        <v>0</v>
      </c>
      <c r="E2910">
        <v>0</v>
      </c>
      <c r="F2910">
        <f t="shared" si="45"/>
        <v>0</v>
      </c>
      <c r="I2910">
        <v>20210101</v>
      </c>
      <c r="J2910" t="s">
        <v>2783</v>
      </c>
    </row>
    <row r="2911" spans="1:13" x14ac:dyDescent="0.3">
      <c r="A2911" s="160">
        <v>28298</v>
      </c>
      <c r="B2911" t="s">
        <v>18036</v>
      </c>
      <c r="C2911" t="s">
        <v>2791</v>
      </c>
      <c r="D2911">
        <v>0.55000000000000004</v>
      </c>
      <c r="E2911">
        <v>0.45</v>
      </c>
      <c r="F2911">
        <f t="shared" si="45"/>
        <v>1</v>
      </c>
      <c r="I2911">
        <v>20220701</v>
      </c>
      <c r="J2911" t="s">
        <v>2806</v>
      </c>
      <c r="K2911" t="s">
        <v>2807</v>
      </c>
      <c r="L2911" t="s">
        <v>2858</v>
      </c>
      <c r="M2911" t="s">
        <v>2867</v>
      </c>
    </row>
    <row r="2912" spans="1:13" x14ac:dyDescent="0.3">
      <c r="A2912" s="160">
        <v>28299</v>
      </c>
      <c r="B2912" t="s">
        <v>18037</v>
      </c>
      <c r="C2912" t="s">
        <v>2791</v>
      </c>
      <c r="D2912">
        <v>0.55000000000000004</v>
      </c>
      <c r="E2912">
        <v>0.45</v>
      </c>
      <c r="F2912">
        <f t="shared" si="45"/>
        <v>1</v>
      </c>
      <c r="I2912">
        <v>20220701</v>
      </c>
      <c r="J2912" t="s">
        <v>2808</v>
      </c>
    </row>
    <row r="2913" spans="1:13" x14ac:dyDescent="0.3">
      <c r="A2913" s="160">
        <v>28300</v>
      </c>
      <c r="B2913" t="s">
        <v>18038</v>
      </c>
      <c r="C2913" t="s">
        <v>2779</v>
      </c>
      <c r="D2913">
        <v>0</v>
      </c>
      <c r="E2913">
        <v>0.5</v>
      </c>
      <c r="F2913">
        <f t="shared" si="45"/>
        <v>0.5</v>
      </c>
      <c r="I2913">
        <v>20240101</v>
      </c>
      <c r="J2913" t="s">
        <v>2780</v>
      </c>
    </row>
    <row r="2914" spans="1:13" x14ac:dyDescent="0.3">
      <c r="A2914" s="160">
        <v>28301</v>
      </c>
      <c r="B2914" t="s">
        <v>18039</v>
      </c>
      <c r="C2914" t="s">
        <v>2782</v>
      </c>
      <c r="D2914">
        <v>2</v>
      </c>
      <c r="E2914">
        <v>0</v>
      </c>
      <c r="F2914">
        <f t="shared" si="45"/>
        <v>2</v>
      </c>
      <c r="I2914">
        <v>20230101</v>
      </c>
      <c r="J2914" t="s">
        <v>2784</v>
      </c>
    </row>
    <row r="2915" spans="1:13" x14ac:dyDescent="0.3">
      <c r="A2915" s="160">
        <v>28302</v>
      </c>
      <c r="B2915" t="s">
        <v>18040</v>
      </c>
      <c r="C2915" t="s">
        <v>2779</v>
      </c>
      <c r="D2915">
        <v>0</v>
      </c>
      <c r="E2915">
        <v>0.5</v>
      </c>
      <c r="F2915">
        <f t="shared" si="45"/>
        <v>0.5</v>
      </c>
      <c r="I2915">
        <v>20140101</v>
      </c>
      <c r="J2915" t="s">
        <v>2803</v>
      </c>
    </row>
    <row r="2916" spans="1:13" x14ac:dyDescent="0.3">
      <c r="A2916" s="160">
        <v>28303</v>
      </c>
      <c r="B2916" t="s">
        <v>18041</v>
      </c>
      <c r="C2916" t="s">
        <v>2779</v>
      </c>
      <c r="D2916">
        <v>0</v>
      </c>
      <c r="E2916">
        <v>0.5</v>
      </c>
      <c r="F2916">
        <f t="shared" si="45"/>
        <v>0.5</v>
      </c>
      <c r="I2916">
        <v>20240101</v>
      </c>
      <c r="J2916" t="s">
        <v>2795</v>
      </c>
    </row>
    <row r="2917" spans="1:13" x14ac:dyDescent="0.3">
      <c r="A2917" s="160">
        <v>28304</v>
      </c>
      <c r="B2917" t="s">
        <v>18042</v>
      </c>
      <c r="C2917" t="s">
        <v>2779</v>
      </c>
      <c r="D2917">
        <v>0</v>
      </c>
      <c r="E2917">
        <v>0.5</v>
      </c>
      <c r="F2917">
        <f t="shared" si="45"/>
        <v>0.5</v>
      </c>
      <c r="I2917">
        <v>20240101</v>
      </c>
      <c r="J2917" t="s">
        <v>2783</v>
      </c>
    </row>
    <row r="2918" spans="1:13" x14ac:dyDescent="0.3">
      <c r="A2918" s="160">
        <v>28306</v>
      </c>
      <c r="B2918" t="s">
        <v>18043</v>
      </c>
      <c r="C2918" t="s">
        <v>2779</v>
      </c>
      <c r="D2918">
        <v>0</v>
      </c>
      <c r="E2918">
        <v>0.5</v>
      </c>
      <c r="F2918">
        <f t="shared" si="45"/>
        <v>0.5</v>
      </c>
      <c r="I2918">
        <v>20140101</v>
      </c>
      <c r="J2918" t="s">
        <v>2809</v>
      </c>
    </row>
    <row r="2919" spans="1:13" x14ac:dyDescent="0.3">
      <c r="A2919" s="160">
        <v>28308</v>
      </c>
      <c r="B2919" t="s">
        <v>18044</v>
      </c>
      <c r="C2919" t="s">
        <v>2745</v>
      </c>
      <c r="D2919">
        <v>1.05</v>
      </c>
      <c r="E2919">
        <v>0</v>
      </c>
      <c r="F2919">
        <f t="shared" si="45"/>
        <v>1.05</v>
      </c>
      <c r="I2919">
        <v>20240101</v>
      </c>
      <c r="J2919" t="s">
        <v>2802</v>
      </c>
    </row>
    <row r="2920" spans="1:13" x14ac:dyDescent="0.3">
      <c r="A2920" s="160">
        <v>28309</v>
      </c>
      <c r="B2920" t="s">
        <v>18045</v>
      </c>
      <c r="C2920" t="s">
        <v>2782</v>
      </c>
      <c r="D2920">
        <v>2</v>
      </c>
      <c r="E2920">
        <v>0</v>
      </c>
      <c r="F2920">
        <f t="shared" si="45"/>
        <v>2</v>
      </c>
      <c r="I2920">
        <v>20230101</v>
      </c>
      <c r="J2920" t="s">
        <v>2805</v>
      </c>
      <c r="K2920" t="s">
        <v>2800</v>
      </c>
      <c r="L2920" t="s">
        <v>2877</v>
      </c>
      <c r="M2920" t="s">
        <v>2801</v>
      </c>
    </row>
    <row r="2921" spans="1:13" x14ac:dyDescent="0.3">
      <c r="A2921" s="160">
        <v>28312</v>
      </c>
      <c r="B2921" t="s">
        <v>18046</v>
      </c>
      <c r="C2921" t="s">
        <v>2745</v>
      </c>
      <c r="D2921">
        <v>1.05</v>
      </c>
      <c r="E2921">
        <v>0</v>
      </c>
      <c r="F2921">
        <f t="shared" si="45"/>
        <v>1.05</v>
      </c>
      <c r="I2921">
        <v>20160701</v>
      </c>
      <c r="J2921" t="s">
        <v>2789</v>
      </c>
    </row>
    <row r="2922" spans="1:13" x14ac:dyDescent="0.3">
      <c r="A2922" s="160">
        <v>28313</v>
      </c>
      <c r="B2922" t="s">
        <v>18047</v>
      </c>
      <c r="C2922" t="s">
        <v>2779</v>
      </c>
      <c r="D2922">
        <v>0</v>
      </c>
      <c r="E2922">
        <v>0.5</v>
      </c>
      <c r="F2922">
        <f t="shared" si="45"/>
        <v>0.5</v>
      </c>
      <c r="I2922">
        <v>20240101</v>
      </c>
      <c r="J2922" t="s">
        <v>2783</v>
      </c>
    </row>
    <row r="2923" spans="1:13" x14ac:dyDescent="0.3">
      <c r="A2923" s="160">
        <v>28315</v>
      </c>
      <c r="B2923" t="s">
        <v>18048</v>
      </c>
      <c r="C2923" t="s">
        <v>2745</v>
      </c>
      <c r="D2923">
        <v>1.05</v>
      </c>
      <c r="E2923">
        <v>0</v>
      </c>
      <c r="F2923">
        <f t="shared" si="45"/>
        <v>1.05</v>
      </c>
      <c r="I2923">
        <v>20240101</v>
      </c>
      <c r="J2923" t="s">
        <v>2802</v>
      </c>
    </row>
    <row r="2924" spans="1:13" x14ac:dyDescent="0.3">
      <c r="A2924" s="160">
        <v>28317</v>
      </c>
      <c r="B2924" t="s">
        <v>18049</v>
      </c>
      <c r="C2924" t="s">
        <v>2782</v>
      </c>
      <c r="D2924">
        <v>1.5</v>
      </c>
      <c r="E2924">
        <v>0</v>
      </c>
      <c r="F2924">
        <f t="shared" si="45"/>
        <v>1.5</v>
      </c>
      <c r="I2924">
        <v>20250101</v>
      </c>
      <c r="J2924" t="s">
        <v>2790</v>
      </c>
    </row>
    <row r="2925" spans="1:13" x14ac:dyDescent="0.3">
      <c r="A2925" s="160">
        <v>28319</v>
      </c>
      <c r="B2925" t="s">
        <v>18050</v>
      </c>
      <c r="C2925" t="s">
        <v>2779</v>
      </c>
      <c r="D2925">
        <v>0</v>
      </c>
      <c r="E2925">
        <v>0.5</v>
      </c>
      <c r="F2925">
        <f t="shared" si="45"/>
        <v>0.5</v>
      </c>
      <c r="I2925">
        <v>20240101</v>
      </c>
      <c r="J2925" t="s">
        <v>2780</v>
      </c>
    </row>
    <row r="2926" spans="1:13" x14ac:dyDescent="0.3">
      <c r="A2926" s="160">
        <v>28320</v>
      </c>
      <c r="B2926" t="s">
        <v>18051</v>
      </c>
      <c r="C2926" t="s">
        <v>2779</v>
      </c>
      <c r="D2926">
        <v>0</v>
      </c>
      <c r="E2926">
        <v>0.5</v>
      </c>
      <c r="F2926">
        <f t="shared" si="45"/>
        <v>0.5</v>
      </c>
      <c r="I2926">
        <v>20140101</v>
      </c>
      <c r="J2926" t="s">
        <v>2783</v>
      </c>
    </row>
    <row r="2927" spans="1:13" x14ac:dyDescent="0.3">
      <c r="A2927" s="160">
        <v>28321</v>
      </c>
      <c r="B2927" t="s">
        <v>18052</v>
      </c>
      <c r="C2927" t="s">
        <v>2745</v>
      </c>
      <c r="D2927">
        <v>1.05</v>
      </c>
      <c r="E2927">
        <v>0</v>
      </c>
      <c r="F2927">
        <f t="shared" si="45"/>
        <v>1.05</v>
      </c>
      <c r="I2927">
        <v>20160701</v>
      </c>
      <c r="J2927" t="s">
        <v>2810</v>
      </c>
      <c r="K2927" t="s">
        <v>2788</v>
      </c>
    </row>
    <row r="2928" spans="1:13" x14ac:dyDescent="0.3">
      <c r="A2928" s="160">
        <v>28323</v>
      </c>
      <c r="B2928" t="s">
        <v>18053</v>
      </c>
      <c r="C2928" t="s">
        <v>2745</v>
      </c>
      <c r="D2928">
        <v>1.05</v>
      </c>
      <c r="E2928">
        <v>0</v>
      </c>
      <c r="F2928">
        <f t="shared" si="45"/>
        <v>1.05</v>
      </c>
      <c r="I2928">
        <v>20160701</v>
      </c>
      <c r="J2928" t="s">
        <v>2789</v>
      </c>
    </row>
    <row r="2929" spans="1:12" x14ac:dyDescent="0.3">
      <c r="A2929" s="160">
        <v>28324</v>
      </c>
      <c r="B2929" t="s">
        <v>18054</v>
      </c>
      <c r="C2929" t="s">
        <v>2779</v>
      </c>
      <c r="D2929">
        <v>0</v>
      </c>
      <c r="E2929">
        <v>0.5</v>
      </c>
      <c r="F2929">
        <f t="shared" si="45"/>
        <v>0.5</v>
      </c>
      <c r="I2929">
        <v>20140101</v>
      </c>
      <c r="J2929" t="s">
        <v>2803</v>
      </c>
    </row>
    <row r="2930" spans="1:12" x14ac:dyDescent="0.3">
      <c r="A2930" s="160">
        <v>28325</v>
      </c>
      <c r="B2930" t="s">
        <v>18055</v>
      </c>
      <c r="C2930" t="s">
        <v>2782</v>
      </c>
      <c r="D2930">
        <v>2</v>
      </c>
      <c r="E2930">
        <v>0</v>
      </c>
      <c r="F2930">
        <f t="shared" si="45"/>
        <v>2</v>
      </c>
      <c r="I2930">
        <v>20230101</v>
      </c>
      <c r="J2930" t="s">
        <v>2784</v>
      </c>
      <c r="K2930" t="s">
        <v>2785</v>
      </c>
    </row>
    <row r="2931" spans="1:12" x14ac:dyDescent="0.3">
      <c r="A2931" s="160">
        <v>28326</v>
      </c>
      <c r="B2931" t="s">
        <v>18056</v>
      </c>
      <c r="C2931" t="s">
        <v>2779</v>
      </c>
      <c r="D2931">
        <v>0</v>
      </c>
      <c r="E2931">
        <v>0.5</v>
      </c>
      <c r="F2931">
        <f t="shared" si="45"/>
        <v>0.5</v>
      </c>
      <c r="I2931">
        <v>20140101</v>
      </c>
      <c r="J2931" t="s">
        <v>2796</v>
      </c>
    </row>
    <row r="2932" spans="1:12" x14ac:dyDescent="0.3">
      <c r="A2932" s="160">
        <v>28330</v>
      </c>
      <c r="B2932" t="s">
        <v>18057</v>
      </c>
      <c r="C2932" t="s">
        <v>2779</v>
      </c>
      <c r="D2932">
        <v>0</v>
      </c>
      <c r="E2932">
        <v>0</v>
      </c>
      <c r="F2932">
        <f t="shared" si="45"/>
        <v>0</v>
      </c>
      <c r="I2932">
        <v>20210101</v>
      </c>
      <c r="J2932" t="s">
        <v>2838</v>
      </c>
    </row>
    <row r="2933" spans="1:12" x14ac:dyDescent="0.3">
      <c r="A2933" s="160">
        <v>28332</v>
      </c>
      <c r="B2933" t="s">
        <v>18058</v>
      </c>
      <c r="C2933" t="s">
        <v>2745</v>
      </c>
      <c r="D2933">
        <v>1.05</v>
      </c>
      <c r="E2933">
        <v>0</v>
      </c>
      <c r="F2933">
        <f t="shared" si="45"/>
        <v>1.05</v>
      </c>
      <c r="I2933">
        <v>20160701</v>
      </c>
      <c r="J2933" t="s">
        <v>2781</v>
      </c>
    </row>
    <row r="2934" spans="1:12" x14ac:dyDescent="0.3">
      <c r="A2934" s="160">
        <v>28333</v>
      </c>
      <c r="B2934" t="s">
        <v>18059</v>
      </c>
      <c r="C2934" t="s">
        <v>2779</v>
      </c>
      <c r="D2934">
        <v>0</v>
      </c>
      <c r="E2934">
        <v>0.5</v>
      </c>
      <c r="F2934">
        <f t="shared" si="45"/>
        <v>0.5</v>
      </c>
      <c r="I2934">
        <v>20140101</v>
      </c>
      <c r="J2934" t="s">
        <v>2813</v>
      </c>
    </row>
    <row r="2935" spans="1:12" x14ac:dyDescent="0.3">
      <c r="A2935" s="160">
        <v>28336</v>
      </c>
      <c r="B2935" t="s">
        <v>18060</v>
      </c>
      <c r="C2935" t="s">
        <v>2779</v>
      </c>
      <c r="D2935">
        <v>0</v>
      </c>
      <c r="E2935">
        <v>0.5</v>
      </c>
      <c r="F2935">
        <f t="shared" si="45"/>
        <v>0.5</v>
      </c>
      <c r="I2935">
        <v>20140101</v>
      </c>
      <c r="J2935" t="s">
        <v>2796</v>
      </c>
    </row>
    <row r="2936" spans="1:12" x14ac:dyDescent="0.3">
      <c r="A2936" s="160">
        <v>28337</v>
      </c>
      <c r="B2936" t="s">
        <v>18061</v>
      </c>
      <c r="C2936" t="s">
        <v>2782</v>
      </c>
      <c r="D2936">
        <v>2</v>
      </c>
      <c r="E2936">
        <v>0</v>
      </c>
      <c r="F2936">
        <f t="shared" si="45"/>
        <v>2</v>
      </c>
      <c r="I2936">
        <v>20230101</v>
      </c>
      <c r="J2936" t="s">
        <v>2803</v>
      </c>
    </row>
    <row r="2937" spans="1:12" x14ac:dyDescent="0.3">
      <c r="A2937" s="160">
        <v>28339</v>
      </c>
      <c r="B2937" t="s">
        <v>18062</v>
      </c>
      <c r="C2937" t="s">
        <v>2779</v>
      </c>
      <c r="D2937">
        <v>0</v>
      </c>
      <c r="E2937">
        <v>0.5</v>
      </c>
      <c r="F2937">
        <f t="shared" si="45"/>
        <v>0.5</v>
      </c>
      <c r="I2937">
        <v>20140101</v>
      </c>
      <c r="J2937" t="s">
        <v>2803</v>
      </c>
    </row>
    <row r="2938" spans="1:12" x14ac:dyDescent="0.3">
      <c r="A2938" s="160">
        <v>28341</v>
      </c>
      <c r="B2938" t="s">
        <v>18063</v>
      </c>
      <c r="C2938" t="s">
        <v>2745</v>
      </c>
      <c r="D2938">
        <v>1.05</v>
      </c>
      <c r="E2938">
        <v>0</v>
      </c>
      <c r="F2938">
        <f t="shared" si="45"/>
        <v>1.05</v>
      </c>
      <c r="I2938">
        <v>20160701</v>
      </c>
      <c r="J2938" t="s">
        <v>2789</v>
      </c>
    </row>
    <row r="2939" spans="1:12" x14ac:dyDescent="0.3">
      <c r="A2939" s="160">
        <v>28343</v>
      </c>
      <c r="B2939" t="s">
        <v>18064</v>
      </c>
      <c r="C2939" t="s">
        <v>2791</v>
      </c>
      <c r="D2939">
        <v>0.55000000000000004</v>
      </c>
      <c r="E2939">
        <v>0.45</v>
      </c>
      <c r="F2939">
        <f t="shared" si="45"/>
        <v>1</v>
      </c>
      <c r="I2939">
        <v>20220701</v>
      </c>
      <c r="J2939" t="s">
        <v>2808</v>
      </c>
    </row>
    <row r="2940" spans="1:12" x14ac:dyDescent="0.3">
      <c r="A2940" s="160">
        <v>28344</v>
      </c>
      <c r="B2940" t="s">
        <v>18065</v>
      </c>
      <c r="C2940" t="s">
        <v>2782</v>
      </c>
      <c r="D2940">
        <v>1.5</v>
      </c>
      <c r="E2940">
        <v>0</v>
      </c>
      <c r="F2940">
        <f t="shared" si="45"/>
        <v>1.5</v>
      </c>
      <c r="I2940">
        <v>20250101</v>
      </c>
      <c r="J2940" t="s">
        <v>2790</v>
      </c>
      <c r="K2940" t="s">
        <v>2792</v>
      </c>
    </row>
    <row r="2941" spans="1:12" x14ac:dyDescent="0.3">
      <c r="A2941" s="160">
        <v>28346</v>
      </c>
      <c r="B2941" t="s">
        <v>18066</v>
      </c>
      <c r="C2941" t="s">
        <v>2745</v>
      </c>
      <c r="D2941">
        <v>1.05</v>
      </c>
      <c r="E2941">
        <v>0</v>
      </c>
      <c r="F2941">
        <f t="shared" si="45"/>
        <v>1.05</v>
      </c>
      <c r="I2941">
        <v>20240101</v>
      </c>
      <c r="J2941" t="s">
        <v>2802</v>
      </c>
    </row>
    <row r="2942" spans="1:12" x14ac:dyDescent="0.3">
      <c r="A2942" s="160">
        <v>28347</v>
      </c>
      <c r="B2942" t="s">
        <v>18067</v>
      </c>
      <c r="C2942" t="s">
        <v>2779</v>
      </c>
      <c r="D2942">
        <v>0</v>
      </c>
      <c r="E2942">
        <v>0.5</v>
      </c>
      <c r="F2942">
        <f t="shared" si="45"/>
        <v>0.5</v>
      </c>
      <c r="I2942">
        <v>20140101</v>
      </c>
      <c r="J2942" t="s">
        <v>2778</v>
      </c>
    </row>
    <row r="2943" spans="1:12" x14ac:dyDescent="0.3">
      <c r="A2943" s="160">
        <v>28348</v>
      </c>
      <c r="B2943" t="s">
        <v>18068</v>
      </c>
      <c r="C2943" t="s">
        <v>2745</v>
      </c>
      <c r="D2943">
        <v>1.05</v>
      </c>
      <c r="E2943">
        <v>0</v>
      </c>
      <c r="F2943">
        <f t="shared" si="45"/>
        <v>1.05</v>
      </c>
      <c r="I2943">
        <v>20160701</v>
      </c>
      <c r="J2943" t="s">
        <v>2810</v>
      </c>
      <c r="K2943" t="s">
        <v>2787</v>
      </c>
      <c r="L2943" t="s">
        <v>2848</v>
      </c>
    </row>
    <row r="2944" spans="1:12" x14ac:dyDescent="0.3">
      <c r="A2944" s="160">
        <v>28349</v>
      </c>
      <c r="B2944" t="s">
        <v>18069</v>
      </c>
      <c r="C2944" t="s">
        <v>2791</v>
      </c>
      <c r="D2944">
        <v>0.55000000000000004</v>
      </c>
      <c r="E2944">
        <v>0.45</v>
      </c>
      <c r="F2944">
        <f t="shared" si="45"/>
        <v>1</v>
      </c>
      <c r="I2944">
        <v>20220701</v>
      </c>
      <c r="J2944" t="s">
        <v>2808</v>
      </c>
    </row>
    <row r="2945" spans="1:12" x14ac:dyDescent="0.3">
      <c r="A2945" s="160">
        <v>28350</v>
      </c>
      <c r="B2945" t="s">
        <v>18070</v>
      </c>
      <c r="C2945" t="s">
        <v>2779</v>
      </c>
      <c r="D2945">
        <v>0</v>
      </c>
      <c r="E2945">
        <v>0.5</v>
      </c>
      <c r="F2945">
        <f t="shared" si="45"/>
        <v>0.5</v>
      </c>
      <c r="I2945">
        <v>20140101</v>
      </c>
      <c r="J2945" t="s">
        <v>2803</v>
      </c>
    </row>
    <row r="2946" spans="1:12" x14ac:dyDescent="0.3">
      <c r="A2946" s="160">
        <v>28351</v>
      </c>
      <c r="B2946" t="s">
        <v>18071</v>
      </c>
      <c r="C2946" t="s">
        <v>2745</v>
      </c>
      <c r="D2946">
        <v>1.05</v>
      </c>
      <c r="E2946">
        <v>0</v>
      </c>
      <c r="F2946">
        <f t="shared" si="45"/>
        <v>1.05</v>
      </c>
      <c r="I2946">
        <v>20160701</v>
      </c>
      <c r="J2946" t="s">
        <v>2789</v>
      </c>
    </row>
    <row r="2947" spans="1:12" x14ac:dyDescent="0.3">
      <c r="A2947" s="160">
        <v>28352</v>
      </c>
      <c r="B2947" t="s">
        <v>18072</v>
      </c>
      <c r="C2947" t="s">
        <v>2791</v>
      </c>
      <c r="D2947">
        <v>0.55000000000000004</v>
      </c>
      <c r="E2947">
        <v>0.45</v>
      </c>
      <c r="F2947">
        <f t="shared" si="45"/>
        <v>1</v>
      </c>
      <c r="I2947">
        <v>20220701</v>
      </c>
      <c r="J2947" t="s">
        <v>2806</v>
      </c>
    </row>
    <row r="2948" spans="1:12" x14ac:dyDescent="0.3">
      <c r="A2948" s="160">
        <v>28355</v>
      </c>
      <c r="B2948" t="s">
        <v>18073</v>
      </c>
      <c r="C2948" t="s">
        <v>2745</v>
      </c>
      <c r="D2948">
        <v>1.05</v>
      </c>
      <c r="E2948">
        <v>0</v>
      </c>
      <c r="F2948">
        <f t="shared" si="45"/>
        <v>1.05</v>
      </c>
      <c r="I2948">
        <v>20160701</v>
      </c>
      <c r="J2948" t="s">
        <v>2788</v>
      </c>
    </row>
    <row r="2949" spans="1:12" x14ac:dyDescent="0.3">
      <c r="A2949" s="160">
        <v>28357</v>
      </c>
      <c r="B2949" t="s">
        <v>18074</v>
      </c>
      <c r="C2949" t="s">
        <v>2791</v>
      </c>
      <c r="D2949">
        <v>0.55000000000000004</v>
      </c>
      <c r="E2949">
        <v>0.45</v>
      </c>
      <c r="F2949">
        <f t="shared" si="45"/>
        <v>1</v>
      </c>
      <c r="I2949">
        <v>20220701</v>
      </c>
      <c r="J2949" t="s">
        <v>2806</v>
      </c>
      <c r="K2949" t="s">
        <v>2807</v>
      </c>
      <c r="L2949" t="s">
        <v>2858</v>
      </c>
    </row>
    <row r="2950" spans="1:12" x14ac:dyDescent="0.3">
      <c r="A2950" s="160">
        <v>28358</v>
      </c>
      <c r="B2950" t="s">
        <v>18075</v>
      </c>
      <c r="C2950" t="s">
        <v>2782</v>
      </c>
      <c r="D2950">
        <v>2</v>
      </c>
      <c r="E2950">
        <v>0</v>
      </c>
      <c r="F2950">
        <f t="shared" si="45"/>
        <v>2</v>
      </c>
      <c r="I2950">
        <v>20230101</v>
      </c>
      <c r="J2950" t="s">
        <v>2784</v>
      </c>
    </row>
    <row r="2951" spans="1:12" x14ac:dyDescent="0.3">
      <c r="A2951" s="160">
        <v>28359</v>
      </c>
      <c r="B2951" t="s">
        <v>18076</v>
      </c>
      <c r="C2951" t="s">
        <v>2745</v>
      </c>
      <c r="D2951">
        <v>1.05</v>
      </c>
      <c r="E2951">
        <v>0</v>
      </c>
      <c r="F2951">
        <f t="shared" ref="F2951:F3014" si="46">D2951+E2951</f>
        <v>1.05</v>
      </c>
      <c r="I2951">
        <v>20160701</v>
      </c>
      <c r="J2951" t="s">
        <v>2810</v>
      </c>
      <c r="K2951" t="s">
        <v>2787</v>
      </c>
      <c r="L2951" t="s">
        <v>2878</v>
      </c>
    </row>
    <row r="2952" spans="1:12" x14ac:dyDescent="0.3">
      <c r="A2952" s="160">
        <v>28360</v>
      </c>
      <c r="B2952" t="s">
        <v>18077</v>
      </c>
      <c r="C2952" t="s">
        <v>2745</v>
      </c>
      <c r="D2952">
        <v>1.05</v>
      </c>
      <c r="E2952">
        <v>0</v>
      </c>
      <c r="F2952">
        <f t="shared" si="46"/>
        <v>1.05</v>
      </c>
      <c r="I2952">
        <v>20160701</v>
      </c>
      <c r="J2952" t="s">
        <v>2789</v>
      </c>
    </row>
    <row r="2953" spans="1:12" x14ac:dyDescent="0.3">
      <c r="A2953" s="160">
        <v>28363</v>
      </c>
      <c r="B2953" t="s">
        <v>18078</v>
      </c>
      <c r="C2953" t="s">
        <v>2779</v>
      </c>
      <c r="D2953">
        <v>0</v>
      </c>
      <c r="E2953">
        <v>0.5</v>
      </c>
      <c r="F2953">
        <f t="shared" si="46"/>
        <v>0.5</v>
      </c>
      <c r="I2953">
        <v>20140101</v>
      </c>
      <c r="J2953" t="s">
        <v>2790</v>
      </c>
    </row>
    <row r="2954" spans="1:12" x14ac:dyDescent="0.3">
      <c r="A2954" s="160">
        <v>28365</v>
      </c>
      <c r="B2954" t="s">
        <v>18079</v>
      </c>
      <c r="C2954" t="s">
        <v>2782</v>
      </c>
      <c r="D2954">
        <v>1.5</v>
      </c>
      <c r="E2954">
        <v>0</v>
      </c>
      <c r="F2954">
        <f t="shared" si="46"/>
        <v>1.5</v>
      </c>
      <c r="I2954">
        <v>20250101</v>
      </c>
      <c r="J2954" t="s">
        <v>2796</v>
      </c>
    </row>
    <row r="2955" spans="1:12" x14ac:dyDescent="0.3">
      <c r="A2955" s="160">
        <v>28366</v>
      </c>
      <c r="B2955" t="s">
        <v>18080</v>
      </c>
      <c r="C2955" t="s">
        <v>2782</v>
      </c>
      <c r="D2955">
        <v>1.5</v>
      </c>
      <c r="E2955">
        <v>0</v>
      </c>
      <c r="F2955">
        <f t="shared" si="46"/>
        <v>1.5</v>
      </c>
      <c r="I2955">
        <v>20250101</v>
      </c>
      <c r="J2955" t="s">
        <v>2790</v>
      </c>
    </row>
    <row r="2956" spans="1:12" x14ac:dyDescent="0.3">
      <c r="A2956" s="160">
        <v>28367</v>
      </c>
      <c r="B2956" t="s">
        <v>18081</v>
      </c>
      <c r="C2956" t="s">
        <v>2779</v>
      </c>
      <c r="D2956">
        <v>0</v>
      </c>
      <c r="E2956">
        <v>0.5</v>
      </c>
      <c r="F2956">
        <f t="shared" si="46"/>
        <v>0.5</v>
      </c>
      <c r="I2956">
        <v>20240101</v>
      </c>
      <c r="J2956" t="s">
        <v>2780</v>
      </c>
    </row>
    <row r="2957" spans="1:12" x14ac:dyDescent="0.3">
      <c r="A2957" s="160">
        <v>28369</v>
      </c>
      <c r="B2957" t="s">
        <v>18082</v>
      </c>
      <c r="C2957" t="s">
        <v>2745</v>
      </c>
      <c r="D2957">
        <v>1.05</v>
      </c>
      <c r="E2957">
        <v>0</v>
      </c>
      <c r="F2957">
        <f t="shared" si="46"/>
        <v>1.05</v>
      </c>
      <c r="I2957">
        <v>20160701</v>
      </c>
      <c r="J2957" t="s">
        <v>2781</v>
      </c>
    </row>
    <row r="2958" spans="1:12" x14ac:dyDescent="0.3">
      <c r="A2958" s="160">
        <v>28370</v>
      </c>
      <c r="B2958" t="s">
        <v>18083</v>
      </c>
      <c r="C2958" t="s">
        <v>2779</v>
      </c>
      <c r="D2958">
        <v>0</v>
      </c>
      <c r="E2958">
        <v>0.5</v>
      </c>
      <c r="F2958">
        <f t="shared" si="46"/>
        <v>0.5</v>
      </c>
      <c r="I2958">
        <v>20140101</v>
      </c>
      <c r="J2958" t="s">
        <v>2809</v>
      </c>
    </row>
    <row r="2959" spans="1:12" x14ac:dyDescent="0.3">
      <c r="A2959" s="160">
        <v>28371</v>
      </c>
      <c r="B2959" t="s">
        <v>18084</v>
      </c>
      <c r="C2959" t="s">
        <v>2745</v>
      </c>
      <c r="D2959">
        <v>1.05</v>
      </c>
      <c r="E2959">
        <v>0</v>
      </c>
      <c r="F2959">
        <f t="shared" si="46"/>
        <v>1.05</v>
      </c>
      <c r="I2959">
        <v>20160701</v>
      </c>
      <c r="J2959" t="s">
        <v>2836</v>
      </c>
      <c r="K2959" t="s">
        <v>2788</v>
      </c>
    </row>
    <row r="2960" spans="1:12" x14ac:dyDescent="0.3">
      <c r="A2960" s="160">
        <v>28372</v>
      </c>
      <c r="B2960" t="s">
        <v>18085</v>
      </c>
      <c r="C2960" t="s">
        <v>2791</v>
      </c>
      <c r="D2960">
        <v>0.55000000000000004</v>
      </c>
      <c r="E2960">
        <v>0.45</v>
      </c>
      <c r="F2960">
        <f t="shared" si="46"/>
        <v>1</v>
      </c>
      <c r="I2960">
        <v>20220701</v>
      </c>
      <c r="J2960" t="s">
        <v>2808</v>
      </c>
    </row>
    <row r="2961" spans="1:12" x14ac:dyDescent="0.3">
      <c r="A2961" s="160">
        <v>28374</v>
      </c>
      <c r="B2961" t="s">
        <v>18086</v>
      </c>
      <c r="C2961" t="s">
        <v>2745</v>
      </c>
      <c r="D2961">
        <v>1.05</v>
      </c>
      <c r="E2961">
        <v>0</v>
      </c>
      <c r="F2961">
        <f t="shared" si="46"/>
        <v>1.05</v>
      </c>
      <c r="I2961">
        <v>20160701</v>
      </c>
      <c r="J2961" t="s">
        <v>2789</v>
      </c>
    </row>
    <row r="2962" spans="1:12" x14ac:dyDescent="0.3">
      <c r="A2962" s="160">
        <v>28375</v>
      </c>
      <c r="B2962" t="s">
        <v>18087</v>
      </c>
      <c r="C2962" t="s">
        <v>2745</v>
      </c>
      <c r="D2962">
        <v>1.05</v>
      </c>
      <c r="E2962">
        <v>0</v>
      </c>
      <c r="F2962">
        <f t="shared" si="46"/>
        <v>1.05</v>
      </c>
      <c r="I2962">
        <v>20160701</v>
      </c>
      <c r="J2962" t="s">
        <v>2778</v>
      </c>
    </row>
    <row r="2963" spans="1:12" x14ac:dyDescent="0.3">
      <c r="A2963" s="160">
        <v>28377</v>
      </c>
      <c r="B2963" t="s">
        <v>18088</v>
      </c>
      <c r="C2963" t="s">
        <v>2745</v>
      </c>
      <c r="D2963">
        <v>1.05</v>
      </c>
      <c r="E2963">
        <v>0</v>
      </c>
      <c r="F2963">
        <f t="shared" si="46"/>
        <v>1.05</v>
      </c>
      <c r="I2963">
        <v>20160701</v>
      </c>
      <c r="J2963" t="s">
        <v>2788</v>
      </c>
    </row>
    <row r="2964" spans="1:12" x14ac:dyDescent="0.3">
      <c r="A2964" s="160">
        <v>28379</v>
      </c>
      <c r="B2964" t="s">
        <v>18089</v>
      </c>
      <c r="C2964" t="s">
        <v>2791</v>
      </c>
      <c r="D2964">
        <v>0.55000000000000004</v>
      </c>
      <c r="E2964">
        <v>0.45</v>
      </c>
      <c r="F2964">
        <f t="shared" si="46"/>
        <v>1</v>
      </c>
      <c r="I2964">
        <v>20220701</v>
      </c>
      <c r="J2964" t="s">
        <v>2806</v>
      </c>
    </row>
    <row r="2965" spans="1:12" x14ac:dyDescent="0.3">
      <c r="A2965" s="160">
        <v>28380</v>
      </c>
      <c r="B2965" t="s">
        <v>18090</v>
      </c>
      <c r="C2965" t="s">
        <v>2782</v>
      </c>
      <c r="D2965">
        <v>2</v>
      </c>
      <c r="E2965">
        <v>0</v>
      </c>
      <c r="F2965">
        <f t="shared" si="46"/>
        <v>2</v>
      </c>
      <c r="I2965">
        <v>20230101</v>
      </c>
      <c r="J2965" t="s">
        <v>2799</v>
      </c>
      <c r="K2965" t="s">
        <v>2800</v>
      </c>
      <c r="L2965" t="s">
        <v>2877</v>
      </c>
    </row>
    <row r="2966" spans="1:12" x14ac:dyDescent="0.3">
      <c r="A2966" s="160">
        <v>28382</v>
      </c>
      <c r="B2966" t="s">
        <v>18091</v>
      </c>
      <c r="C2966" t="s">
        <v>2779</v>
      </c>
      <c r="D2966">
        <v>0</v>
      </c>
      <c r="E2966">
        <v>0.5</v>
      </c>
      <c r="F2966">
        <f t="shared" si="46"/>
        <v>0.5</v>
      </c>
      <c r="I2966">
        <v>20240101</v>
      </c>
      <c r="J2966" t="s">
        <v>2795</v>
      </c>
    </row>
    <row r="2967" spans="1:12" x14ac:dyDescent="0.3">
      <c r="A2967" s="160">
        <v>28383</v>
      </c>
      <c r="B2967" t="s">
        <v>18092</v>
      </c>
      <c r="C2967" t="s">
        <v>2782</v>
      </c>
      <c r="D2967">
        <v>1.5</v>
      </c>
      <c r="E2967">
        <v>0</v>
      </c>
      <c r="F2967">
        <f t="shared" si="46"/>
        <v>1.5</v>
      </c>
      <c r="I2967">
        <v>20250101</v>
      </c>
      <c r="J2967" t="s">
        <v>2783</v>
      </c>
      <c r="K2967" t="s">
        <v>2805</v>
      </c>
    </row>
    <row r="2968" spans="1:12" x14ac:dyDescent="0.3">
      <c r="A2968" s="160">
        <v>28385</v>
      </c>
      <c r="B2968" t="s">
        <v>18093</v>
      </c>
      <c r="C2968" t="s">
        <v>2779</v>
      </c>
      <c r="D2968">
        <v>0</v>
      </c>
      <c r="E2968">
        <v>0.5</v>
      </c>
      <c r="F2968">
        <f t="shared" si="46"/>
        <v>0.5</v>
      </c>
      <c r="I2968">
        <v>20140101</v>
      </c>
      <c r="J2968" t="s">
        <v>2813</v>
      </c>
    </row>
    <row r="2969" spans="1:12" x14ac:dyDescent="0.3">
      <c r="A2969" s="160">
        <v>28386</v>
      </c>
      <c r="B2969" t="s">
        <v>18094</v>
      </c>
      <c r="C2969" t="s">
        <v>2745</v>
      </c>
      <c r="D2969">
        <v>1.05</v>
      </c>
      <c r="E2969">
        <v>0</v>
      </c>
      <c r="F2969">
        <f t="shared" si="46"/>
        <v>1.05</v>
      </c>
      <c r="I2969">
        <v>20160701</v>
      </c>
      <c r="J2969" t="s">
        <v>2789</v>
      </c>
    </row>
    <row r="2970" spans="1:12" x14ac:dyDescent="0.3">
      <c r="A2970" s="160">
        <v>28388</v>
      </c>
      <c r="B2970" t="s">
        <v>18095</v>
      </c>
      <c r="C2970" t="s">
        <v>2782</v>
      </c>
      <c r="D2970">
        <v>2</v>
      </c>
      <c r="E2970">
        <v>0</v>
      </c>
      <c r="F2970">
        <f t="shared" si="46"/>
        <v>2</v>
      </c>
      <c r="I2970">
        <v>20230101</v>
      </c>
      <c r="J2970" t="s">
        <v>2799</v>
      </c>
    </row>
    <row r="2971" spans="1:12" x14ac:dyDescent="0.3">
      <c r="A2971" s="160">
        <v>28390</v>
      </c>
      <c r="B2971" t="s">
        <v>18096</v>
      </c>
      <c r="C2971" t="s">
        <v>2779</v>
      </c>
      <c r="D2971">
        <v>0</v>
      </c>
      <c r="E2971">
        <v>0.5</v>
      </c>
      <c r="F2971">
        <f t="shared" si="46"/>
        <v>0.5</v>
      </c>
      <c r="I2971">
        <v>20240101</v>
      </c>
      <c r="J2971" t="s">
        <v>2795</v>
      </c>
    </row>
    <row r="2972" spans="1:12" x14ac:dyDescent="0.3">
      <c r="A2972" s="160">
        <v>28391</v>
      </c>
      <c r="B2972" t="s">
        <v>18097</v>
      </c>
      <c r="C2972" t="s">
        <v>2779</v>
      </c>
      <c r="D2972">
        <v>0</v>
      </c>
      <c r="E2972">
        <v>0.5</v>
      </c>
      <c r="F2972">
        <f t="shared" si="46"/>
        <v>0.5</v>
      </c>
      <c r="I2972">
        <v>20210101</v>
      </c>
      <c r="J2972" t="s">
        <v>2780</v>
      </c>
    </row>
    <row r="2973" spans="1:12" x14ac:dyDescent="0.3">
      <c r="A2973" s="160">
        <v>28392</v>
      </c>
      <c r="B2973" t="s">
        <v>18098</v>
      </c>
      <c r="C2973" t="s">
        <v>2779</v>
      </c>
      <c r="D2973">
        <v>0</v>
      </c>
      <c r="E2973">
        <v>0.5</v>
      </c>
      <c r="F2973">
        <f t="shared" si="46"/>
        <v>0.5</v>
      </c>
      <c r="I2973">
        <v>20240101</v>
      </c>
      <c r="J2973" t="s">
        <v>2780</v>
      </c>
    </row>
    <row r="2974" spans="1:12" x14ac:dyDescent="0.3">
      <c r="A2974" s="160">
        <v>28393</v>
      </c>
      <c r="B2974" t="s">
        <v>18099</v>
      </c>
      <c r="C2974" t="s">
        <v>2745</v>
      </c>
      <c r="D2974">
        <v>1.05</v>
      </c>
      <c r="E2974">
        <v>0</v>
      </c>
      <c r="F2974">
        <f t="shared" si="46"/>
        <v>1.05</v>
      </c>
      <c r="I2974">
        <v>20160701</v>
      </c>
      <c r="J2974" t="s">
        <v>2789</v>
      </c>
    </row>
    <row r="2975" spans="1:12" x14ac:dyDescent="0.3">
      <c r="A2975" s="160">
        <v>28394</v>
      </c>
      <c r="B2975" t="s">
        <v>18100</v>
      </c>
      <c r="C2975" t="s">
        <v>2745</v>
      </c>
      <c r="D2975">
        <v>1.05</v>
      </c>
      <c r="E2975">
        <v>0</v>
      </c>
      <c r="F2975">
        <f t="shared" si="46"/>
        <v>1.05</v>
      </c>
      <c r="I2975">
        <v>20160701</v>
      </c>
      <c r="J2975" t="s">
        <v>2810</v>
      </c>
      <c r="K2975" t="s">
        <v>2787</v>
      </c>
      <c r="L2975" t="s">
        <v>2781</v>
      </c>
    </row>
    <row r="2976" spans="1:12" x14ac:dyDescent="0.3">
      <c r="A2976" s="160">
        <v>28397</v>
      </c>
      <c r="B2976" t="s">
        <v>18101</v>
      </c>
      <c r="C2976" t="s">
        <v>2782</v>
      </c>
      <c r="D2976">
        <v>1.5</v>
      </c>
      <c r="E2976">
        <v>0</v>
      </c>
      <c r="F2976">
        <f t="shared" si="46"/>
        <v>1.5</v>
      </c>
      <c r="I2976">
        <v>20250101</v>
      </c>
      <c r="J2976" t="s">
        <v>2790</v>
      </c>
    </row>
    <row r="2977" spans="1:16" x14ac:dyDescent="0.3">
      <c r="A2977" s="160">
        <v>28402</v>
      </c>
      <c r="B2977" t="s">
        <v>18102</v>
      </c>
      <c r="C2977" t="s">
        <v>2782</v>
      </c>
      <c r="D2977">
        <v>2</v>
      </c>
      <c r="E2977">
        <v>0</v>
      </c>
      <c r="F2977">
        <f t="shared" si="46"/>
        <v>2</v>
      </c>
      <c r="I2977">
        <v>20230101</v>
      </c>
      <c r="J2977" t="s">
        <v>2803</v>
      </c>
    </row>
    <row r="2978" spans="1:16" x14ac:dyDescent="0.3">
      <c r="A2978" s="160">
        <v>28403</v>
      </c>
      <c r="B2978" t="s">
        <v>18103</v>
      </c>
      <c r="C2978" t="s">
        <v>2782</v>
      </c>
      <c r="D2978">
        <v>2</v>
      </c>
      <c r="E2978">
        <v>0</v>
      </c>
      <c r="F2978">
        <f t="shared" si="46"/>
        <v>2</v>
      </c>
      <c r="I2978">
        <v>20230101</v>
      </c>
      <c r="J2978" t="s">
        <v>2799</v>
      </c>
    </row>
    <row r="2979" spans="1:16" x14ac:dyDescent="0.3">
      <c r="A2979" s="160">
        <v>28404</v>
      </c>
      <c r="B2979" t="s">
        <v>18104</v>
      </c>
      <c r="C2979" t="s">
        <v>2745</v>
      </c>
      <c r="D2979">
        <v>1.05</v>
      </c>
      <c r="E2979">
        <v>0</v>
      </c>
      <c r="F2979">
        <f t="shared" si="46"/>
        <v>1.05</v>
      </c>
      <c r="I2979">
        <v>20160701</v>
      </c>
      <c r="J2979" t="s">
        <v>2844</v>
      </c>
      <c r="K2979" t="s">
        <v>2836</v>
      </c>
      <c r="L2979" t="s">
        <v>2852</v>
      </c>
      <c r="M2979" t="s">
        <v>2810</v>
      </c>
      <c r="N2979" t="s">
        <v>2787</v>
      </c>
      <c r="O2979" t="s">
        <v>2781</v>
      </c>
      <c r="P2979" t="s">
        <v>2846</v>
      </c>
    </row>
    <row r="2980" spans="1:16" x14ac:dyDescent="0.3">
      <c r="A2980" s="160">
        <v>28405</v>
      </c>
      <c r="B2980" t="s">
        <v>18105</v>
      </c>
      <c r="C2980" t="s">
        <v>2745</v>
      </c>
      <c r="D2980">
        <v>1.05</v>
      </c>
      <c r="E2980">
        <v>0</v>
      </c>
      <c r="F2980">
        <f t="shared" si="46"/>
        <v>1.05</v>
      </c>
      <c r="I2980">
        <v>20160701</v>
      </c>
      <c r="J2980" t="s">
        <v>2781</v>
      </c>
    </row>
    <row r="2981" spans="1:16" x14ac:dyDescent="0.3">
      <c r="A2981" s="160">
        <v>28406</v>
      </c>
      <c r="B2981" t="s">
        <v>18106</v>
      </c>
      <c r="C2981" t="s">
        <v>2779</v>
      </c>
      <c r="D2981">
        <v>0</v>
      </c>
      <c r="E2981">
        <v>0.5</v>
      </c>
      <c r="F2981">
        <f t="shared" si="46"/>
        <v>0.5</v>
      </c>
      <c r="I2981">
        <v>20240101</v>
      </c>
      <c r="J2981" t="s">
        <v>2795</v>
      </c>
      <c r="K2981" t="s">
        <v>2783</v>
      </c>
    </row>
    <row r="2982" spans="1:16" x14ac:dyDescent="0.3">
      <c r="A2982" s="160">
        <v>28408</v>
      </c>
      <c r="B2982" t="s">
        <v>18107</v>
      </c>
      <c r="C2982" t="s">
        <v>2791</v>
      </c>
      <c r="D2982">
        <v>0.55000000000000004</v>
      </c>
      <c r="E2982">
        <v>0.45</v>
      </c>
      <c r="F2982">
        <f t="shared" si="46"/>
        <v>1</v>
      </c>
      <c r="I2982">
        <v>20220701</v>
      </c>
      <c r="J2982" t="s">
        <v>2790</v>
      </c>
    </row>
    <row r="2983" spans="1:16" x14ac:dyDescent="0.3">
      <c r="A2983" s="160">
        <v>28409</v>
      </c>
      <c r="B2983" t="s">
        <v>18108</v>
      </c>
      <c r="C2983" t="s">
        <v>2779</v>
      </c>
      <c r="D2983">
        <v>0</v>
      </c>
      <c r="E2983">
        <v>0.5</v>
      </c>
      <c r="F2983">
        <f t="shared" si="46"/>
        <v>0.5</v>
      </c>
      <c r="I2983">
        <v>20210101</v>
      </c>
      <c r="J2983" t="s">
        <v>2796</v>
      </c>
    </row>
    <row r="2984" spans="1:16" x14ac:dyDescent="0.3">
      <c r="A2984" s="160">
        <v>28410</v>
      </c>
      <c r="B2984" t="s">
        <v>18109</v>
      </c>
      <c r="C2984" t="s">
        <v>2779</v>
      </c>
      <c r="D2984">
        <v>0</v>
      </c>
      <c r="E2984">
        <v>0.5</v>
      </c>
      <c r="F2984">
        <f t="shared" si="46"/>
        <v>0.5</v>
      </c>
      <c r="I2984">
        <v>20140101</v>
      </c>
      <c r="J2984" t="s">
        <v>2838</v>
      </c>
      <c r="K2984" t="s">
        <v>2840</v>
      </c>
    </row>
    <row r="2985" spans="1:16" x14ac:dyDescent="0.3">
      <c r="A2985" s="160">
        <v>28411</v>
      </c>
      <c r="B2985" t="s">
        <v>18110</v>
      </c>
      <c r="C2985" t="s">
        <v>2779</v>
      </c>
      <c r="D2985">
        <v>0</v>
      </c>
      <c r="E2985">
        <v>0.5</v>
      </c>
      <c r="F2985">
        <f t="shared" si="46"/>
        <v>0.5</v>
      </c>
      <c r="I2985">
        <v>20240101</v>
      </c>
      <c r="J2985" t="s">
        <v>2783</v>
      </c>
    </row>
    <row r="2986" spans="1:16" x14ac:dyDescent="0.3">
      <c r="A2986" s="160">
        <v>28412</v>
      </c>
      <c r="B2986" t="s">
        <v>18110</v>
      </c>
      <c r="C2986" t="s">
        <v>2779</v>
      </c>
      <c r="D2986">
        <v>0</v>
      </c>
      <c r="E2986">
        <v>0</v>
      </c>
      <c r="F2986">
        <f t="shared" si="46"/>
        <v>0</v>
      </c>
      <c r="I2986">
        <v>20210101</v>
      </c>
      <c r="J2986" t="s">
        <v>2783</v>
      </c>
    </row>
    <row r="2987" spans="1:16" x14ac:dyDescent="0.3">
      <c r="A2987" s="160">
        <v>28414</v>
      </c>
      <c r="B2987" t="s">
        <v>18111</v>
      </c>
      <c r="C2987" t="s">
        <v>2779</v>
      </c>
      <c r="D2987">
        <v>0</v>
      </c>
      <c r="E2987">
        <v>0.5</v>
      </c>
      <c r="F2987">
        <f t="shared" si="46"/>
        <v>0.5</v>
      </c>
      <c r="I2987">
        <v>20140101</v>
      </c>
      <c r="J2987" t="s">
        <v>2803</v>
      </c>
    </row>
    <row r="2988" spans="1:16" x14ac:dyDescent="0.3">
      <c r="A2988" s="160">
        <v>28415</v>
      </c>
      <c r="B2988" t="s">
        <v>18112</v>
      </c>
      <c r="C2988" t="s">
        <v>2745</v>
      </c>
      <c r="D2988">
        <v>1.05</v>
      </c>
      <c r="E2988">
        <v>0</v>
      </c>
      <c r="F2988">
        <f t="shared" si="46"/>
        <v>1.05</v>
      </c>
      <c r="I2988">
        <v>20160701</v>
      </c>
      <c r="J2988" t="s">
        <v>2858</v>
      </c>
      <c r="K2988" t="s">
        <v>2808</v>
      </c>
      <c r="L2988" t="s">
        <v>2845</v>
      </c>
    </row>
    <row r="2989" spans="1:16" x14ac:dyDescent="0.3">
      <c r="A2989" s="160">
        <v>28416</v>
      </c>
      <c r="B2989" t="s">
        <v>18113</v>
      </c>
      <c r="C2989" t="s">
        <v>2779</v>
      </c>
      <c r="D2989">
        <v>0</v>
      </c>
      <c r="E2989">
        <v>0.5</v>
      </c>
      <c r="F2989">
        <f t="shared" si="46"/>
        <v>0.5</v>
      </c>
      <c r="I2989">
        <v>20140101</v>
      </c>
      <c r="J2989" t="s">
        <v>2783</v>
      </c>
    </row>
    <row r="2990" spans="1:16" x14ac:dyDescent="0.3">
      <c r="A2990" s="160">
        <v>28417</v>
      </c>
      <c r="B2990" t="s">
        <v>18114</v>
      </c>
      <c r="C2990" t="s">
        <v>2791</v>
      </c>
      <c r="D2990">
        <v>0.55000000000000004</v>
      </c>
      <c r="E2990">
        <v>0.45</v>
      </c>
      <c r="F2990">
        <f t="shared" si="46"/>
        <v>1</v>
      </c>
      <c r="I2990">
        <v>20220701</v>
      </c>
      <c r="J2990" t="s">
        <v>2806</v>
      </c>
      <c r="K2990" t="s">
        <v>2807</v>
      </c>
    </row>
    <row r="2991" spans="1:16" x14ac:dyDescent="0.3">
      <c r="A2991" s="160">
        <v>28419</v>
      </c>
      <c r="B2991" t="s">
        <v>18115</v>
      </c>
      <c r="C2991" t="s">
        <v>2782</v>
      </c>
      <c r="D2991">
        <v>1.5</v>
      </c>
      <c r="E2991">
        <v>0</v>
      </c>
      <c r="F2991">
        <f t="shared" si="46"/>
        <v>1.5</v>
      </c>
      <c r="I2991">
        <v>20250101</v>
      </c>
      <c r="J2991" t="s">
        <v>2805</v>
      </c>
    </row>
    <row r="2992" spans="1:16" x14ac:dyDescent="0.3">
      <c r="A2992" s="160">
        <v>28421</v>
      </c>
      <c r="B2992" t="s">
        <v>18116</v>
      </c>
      <c r="C2992" t="s">
        <v>2782</v>
      </c>
      <c r="D2992">
        <v>2</v>
      </c>
      <c r="E2992">
        <v>0</v>
      </c>
      <c r="F2992">
        <f t="shared" si="46"/>
        <v>2</v>
      </c>
      <c r="I2992">
        <v>20230101</v>
      </c>
      <c r="J2992" t="s">
        <v>2790</v>
      </c>
    </row>
    <row r="2993" spans="1:38" x14ac:dyDescent="0.3">
      <c r="A2993" s="160">
        <v>28422</v>
      </c>
      <c r="B2993" t="s">
        <v>18117</v>
      </c>
      <c r="C2993" t="s">
        <v>2779</v>
      </c>
      <c r="D2993">
        <v>0</v>
      </c>
      <c r="E2993">
        <v>0.5</v>
      </c>
      <c r="F2993">
        <f t="shared" si="46"/>
        <v>0.5</v>
      </c>
      <c r="I2993">
        <v>20240101</v>
      </c>
      <c r="J2993" t="s">
        <v>2783</v>
      </c>
    </row>
    <row r="2994" spans="1:38" x14ac:dyDescent="0.3">
      <c r="A2994" s="160">
        <v>28423</v>
      </c>
      <c r="B2994" t="s">
        <v>18118</v>
      </c>
      <c r="C2994" t="s">
        <v>2791</v>
      </c>
      <c r="D2994">
        <v>0.55000000000000004</v>
      </c>
      <c r="E2994">
        <v>0.45</v>
      </c>
      <c r="F2994">
        <f t="shared" si="46"/>
        <v>1</v>
      </c>
      <c r="I2994">
        <v>20220701</v>
      </c>
      <c r="J2994" t="s">
        <v>2806</v>
      </c>
      <c r="K2994" t="s">
        <v>2807</v>
      </c>
      <c r="L2994" t="s">
        <v>2858</v>
      </c>
    </row>
    <row r="2995" spans="1:38" x14ac:dyDescent="0.3">
      <c r="A2995" s="160">
        <v>28425</v>
      </c>
      <c r="B2995" t="s">
        <v>18119</v>
      </c>
      <c r="C2995" t="s">
        <v>2791</v>
      </c>
      <c r="D2995">
        <v>0.55000000000000004</v>
      </c>
      <c r="E2995">
        <v>0.45</v>
      </c>
      <c r="F2995">
        <f t="shared" si="46"/>
        <v>1</v>
      </c>
      <c r="I2995">
        <v>20220701</v>
      </c>
      <c r="J2995" t="s">
        <v>2797</v>
      </c>
    </row>
    <row r="2996" spans="1:38" x14ac:dyDescent="0.3">
      <c r="A2996" s="160">
        <v>28426</v>
      </c>
      <c r="B2996" t="s">
        <v>18120</v>
      </c>
      <c r="C2996" t="s">
        <v>2779</v>
      </c>
      <c r="D2996">
        <v>0</v>
      </c>
      <c r="E2996">
        <v>0.5</v>
      </c>
      <c r="F2996">
        <f t="shared" si="46"/>
        <v>0.5</v>
      </c>
      <c r="I2996">
        <v>20240101</v>
      </c>
      <c r="J2996" t="s">
        <v>2783</v>
      </c>
    </row>
    <row r="2997" spans="1:38" x14ac:dyDescent="0.3">
      <c r="A2997" s="160">
        <v>29002</v>
      </c>
      <c r="B2997" t="s">
        <v>18121</v>
      </c>
      <c r="C2997" t="s">
        <v>2879</v>
      </c>
      <c r="D2997">
        <v>0.8</v>
      </c>
      <c r="E2997">
        <v>0</v>
      </c>
      <c r="F2997">
        <f t="shared" si="46"/>
        <v>0.8</v>
      </c>
      <c r="I2997">
        <v>20110401</v>
      </c>
      <c r="J2997" t="s">
        <v>2880</v>
      </c>
    </row>
    <row r="2998" spans="1:38" x14ac:dyDescent="0.3">
      <c r="A2998" s="160">
        <v>29004</v>
      </c>
      <c r="B2998" t="s">
        <v>18122</v>
      </c>
      <c r="C2998" t="s">
        <v>2879</v>
      </c>
      <c r="D2998">
        <v>0.8</v>
      </c>
      <c r="E2998">
        <v>0</v>
      </c>
      <c r="F2998">
        <f t="shared" si="46"/>
        <v>0.8</v>
      </c>
      <c r="I2998">
        <v>20110401</v>
      </c>
      <c r="J2998" t="s">
        <v>2881</v>
      </c>
    </row>
    <row r="2999" spans="1:38" x14ac:dyDescent="0.3">
      <c r="A2999" s="160">
        <v>29005</v>
      </c>
      <c r="B2999" t="s">
        <v>18123</v>
      </c>
      <c r="C2999" t="s">
        <v>2879</v>
      </c>
      <c r="D2999">
        <v>0.8</v>
      </c>
      <c r="E2999">
        <v>0</v>
      </c>
      <c r="F2999">
        <f t="shared" si="46"/>
        <v>0.8</v>
      </c>
      <c r="I2999">
        <v>20110401</v>
      </c>
      <c r="J2999" t="s">
        <v>2880</v>
      </c>
    </row>
    <row r="3000" spans="1:38" x14ac:dyDescent="0.3">
      <c r="A3000" s="160">
        <v>29011</v>
      </c>
      <c r="B3000" t="s">
        <v>18124</v>
      </c>
      <c r="C3000" t="s">
        <v>2882</v>
      </c>
      <c r="D3000">
        <v>2</v>
      </c>
      <c r="E3000">
        <v>0</v>
      </c>
      <c r="F3000">
        <f t="shared" si="46"/>
        <v>2</v>
      </c>
      <c r="I3000">
        <v>20230701</v>
      </c>
      <c r="J3000" t="s">
        <v>2883</v>
      </c>
    </row>
    <row r="3001" spans="1:38" x14ac:dyDescent="0.3">
      <c r="A3001" s="160">
        <v>29014</v>
      </c>
      <c r="B3001" t="s">
        <v>18125</v>
      </c>
      <c r="C3001" t="s">
        <v>2884</v>
      </c>
      <c r="D3001">
        <v>0.8</v>
      </c>
      <c r="E3001">
        <v>0</v>
      </c>
      <c r="F3001">
        <f t="shared" si="46"/>
        <v>0.8</v>
      </c>
      <c r="I3001">
        <v>20160701</v>
      </c>
      <c r="J3001" t="s">
        <v>2885</v>
      </c>
    </row>
    <row r="3002" spans="1:38" x14ac:dyDescent="0.3">
      <c r="A3002" s="160">
        <v>29019</v>
      </c>
      <c r="B3002" t="s">
        <v>18126</v>
      </c>
      <c r="C3002" t="s">
        <v>2882</v>
      </c>
      <c r="D3002">
        <v>2</v>
      </c>
      <c r="E3002">
        <v>0</v>
      </c>
      <c r="F3002">
        <f t="shared" si="46"/>
        <v>2</v>
      </c>
      <c r="I3002">
        <v>20230701</v>
      </c>
      <c r="J3002" t="s">
        <v>2886</v>
      </c>
      <c r="K3002" t="s">
        <v>2887</v>
      </c>
      <c r="L3002" t="s">
        <v>2888</v>
      </c>
      <c r="M3002" t="s">
        <v>2889</v>
      </c>
      <c r="N3002" t="s">
        <v>2890</v>
      </c>
      <c r="O3002" t="s">
        <v>2891</v>
      </c>
      <c r="P3002" t="s">
        <v>2892</v>
      </c>
      <c r="Q3002" t="s">
        <v>2893</v>
      </c>
      <c r="R3002" t="s">
        <v>2894</v>
      </c>
      <c r="S3002" t="s">
        <v>2895</v>
      </c>
      <c r="T3002" t="s">
        <v>2896</v>
      </c>
      <c r="U3002" t="s">
        <v>2897</v>
      </c>
      <c r="V3002" t="s">
        <v>2898</v>
      </c>
      <c r="W3002" t="s">
        <v>2899</v>
      </c>
      <c r="X3002" t="s">
        <v>2900</v>
      </c>
      <c r="Y3002" t="s">
        <v>2901</v>
      </c>
      <c r="Z3002" t="s">
        <v>2902</v>
      </c>
      <c r="AA3002" t="s">
        <v>2903</v>
      </c>
      <c r="AB3002" t="s">
        <v>2904</v>
      </c>
      <c r="AC3002" t="s">
        <v>2905</v>
      </c>
      <c r="AD3002" t="s">
        <v>2906</v>
      </c>
      <c r="AE3002" t="s">
        <v>2907</v>
      </c>
      <c r="AF3002" t="s">
        <v>2908</v>
      </c>
      <c r="AG3002" t="s">
        <v>2909</v>
      </c>
      <c r="AH3002" t="s">
        <v>2910</v>
      </c>
      <c r="AI3002" t="s">
        <v>2911</v>
      </c>
      <c r="AJ3002" t="s">
        <v>2912</v>
      </c>
      <c r="AK3002" t="s">
        <v>2913</v>
      </c>
      <c r="AL3002" t="s">
        <v>2914</v>
      </c>
    </row>
    <row r="3003" spans="1:38" x14ac:dyDescent="0.3">
      <c r="A3003" s="160">
        <v>29020</v>
      </c>
      <c r="B3003" t="s">
        <v>18127</v>
      </c>
      <c r="C3003" t="s">
        <v>2915</v>
      </c>
      <c r="D3003">
        <v>1</v>
      </c>
      <c r="E3003">
        <v>0</v>
      </c>
      <c r="F3003">
        <f t="shared" si="46"/>
        <v>1</v>
      </c>
      <c r="I3003">
        <v>20200101</v>
      </c>
      <c r="J3003" t="s">
        <v>2916</v>
      </c>
    </row>
    <row r="3004" spans="1:38" x14ac:dyDescent="0.3">
      <c r="A3004" s="160">
        <v>29023</v>
      </c>
      <c r="B3004" t="s">
        <v>18128</v>
      </c>
      <c r="C3004" t="s">
        <v>2884</v>
      </c>
      <c r="D3004">
        <v>0.8</v>
      </c>
      <c r="E3004">
        <v>0</v>
      </c>
      <c r="F3004">
        <f t="shared" si="46"/>
        <v>0.8</v>
      </c>
      <c r="I3004">
        <v>20160701</v>
      </c>
      <c r="J3004" t="s">
        <v>2917</v>
      </c>
    </row>
    <row r="3005" spans="1:38" x14ac:dyDescent="0.3">
      <c r="A3005" s="160">
        <v>29024</v>
      </c>
      <c r="B3005" t="s">
        <v>18129</v>
      </c>
      <c r="C3005" t="s">
        <v>2302</v>
      </c>
      <c r="D3005">
        <v>0</v>
      </c>
      <c r="E3005">
        <v>0</v>
      </c>
      <c r="F3005">
        <f t="shared" si="46"/>
        <v>0</v>
      </c>
      <c r="I3005">
        <v>20170701</v>
      </c>
      <c r="J3005" t="s">
        <v>2918</v>
      </c>
      <c r="K3005" t="s">
        <v>2919</v>
      </c>
      <c r="L3005" t="s">
        <v>2920</v>
      </c>
      <c r="M3005" t="s">
        <v>2921</v>
      </c>
      <c r="N3005" t="s">
        <v>2922</v>
      </c>
      <c r="O3005" t="s">
        <v>2923</v>
      </c>
      <c r="P3005" t="s">
        <v>2924</v>
      </c>
    </row>
    <row r="3006" spans="1:38" x14ac:dyDescent="0.3">
      <c r="A3006" s="160">
        <v>29029</v>
      </c>
      <c r="B3006" t="s">
        <v>18130</v>
      </c>
      <c r="C3006" t="s">
        <v>2302</v>
      </c>
      <c r="D3006">
        <v>0</v>
      </c>
      <c r="E3006">
        <v>0</v>
      </c>
      <c r="F3006">
        <f t="shared" si="46"/>
        <v>0</v>
      </c>
      <c r="I3006">
        <v>20170701</v>
      </c>
      <c r="J3006" t="s">
        <v>2918</v>
      </c>
    </row>
    <row r="3007" spans="1:38" x14ac:dyDescent="0.3">
      <c r="A3007" s="160">
        <v>29031</v>
      </c>
      <c r="B3007" t="s">
        <v>18131</v>
      </c>
      <c r="C3007" t="s">
        <v>2879</v>
      </c>
      <c r="D3007">
        <v>0.8</v>
      </c>
      <c r="E3007">
        <v>0</v>
      </c>
      <c r="F3007">
        <f t="shared" si="46"/>
        <v>0.8</v>
      </c>
      <c r="I3007">
        <v>20110401</v>
      </c>
      <c r="J3007" t="s">
        <v>2925</v>
      </c>
    </row>
    <row r="3008" spans="1:38" x14ac:dyDescent="0.3">
      <c r="A3008" s="160">
        <v>29034</v>
      </c>
      <c r="B3008" t="s">
        <v>18132</v>
      </c>
      <c r="C3008" t="s">
        <v>2884</v>
      </c>
      <c r="D3008">
        <v>0.8</v>
      </c>
      <c r="E3008">
        <v>0</v>
      </c>
      <c r="F3008">
        <f t="shared" si="46"/>
        <v>0.8</v>
      </c>
      <c r="I3008">
        <v>20160701</v>
      </c>
      <c r="J3008" t="s">
        <v>2926</v>
      </c>
    </row>
    <row r="3009" spans="1:18" x14ac:dyDescent="0.3">
      <c r="A3009" s="160">
        <v>29039</v>
      </c>
      <c r="B3009" t="s">
        <v>18133</v>
      </c>
      <c r="C3009" t="s">
        <v>2927</v>
      </c>
      <c r="D3009">
        <v>0.6</v>
      </c>
      <c r="E3009">
        <v>0</v>
      </c>
      <c r="F3009">
        <f t="shared" si="46"/>
        <v>0.6</v>
      </c>
      <c r="I3009">
        <v>20120201</v>
      </c>
      <c r="J3009" t="s">
        <v>2928</v>
      </c>
      <c r="K3009" t="s">
        <v>2929</v>
      </c>
      <c r="L3009" t="s">
        <v>2930</v>
      </c>
      <c r="M3009" t="s">
        <v>2931</v>
      </c>
      <c r="N3009" t="s">
        <v>2932</v>
      </c>
      <c r="O3009" t="s">
        <v>2933</v>
      </c>
      <c r="P3009" t="s">
        <v>2934</v>
      </c>
      <c r="Q3009" t="s">
        <v>2935</v>
      </c>
    </row>
    <row r="3010" spans="1:18" x14ac:dyDescent="0.3">
      <c r="A3010" s="160">
        <v>29043</v>
      </c>
      <c r="B3010" t="s">
        <v>18134</v>
      </c>
      <c r="C3010" t="s">
        <v>27538</v>
      </c>
      <c r="D3010">
        <v>0.45</v>
      </c>
      <c r="E3010">
        <v>0</v>
      </c>
      <c r="F3010">
        <f t="shared" si="46"/>
        <v>0.45</v>
      </c>
      <c r="I3010">
        <v>20250101</v>
      </c>
      <c r="J3010" t="s">
        <v>2936</v>
      </c>
    </row>
    <row r="3011" spans="1:18" x14ac:dyDescent="0.3">
      <c r="A3011" s="160">
        <v>29045</v>
      </c>
      <c r="B3011" t="s">
        <v>18135</v>
      </c>
      <c r="C3011" t="s">
        <v>27538</v>
      </c>
      <c r="D3011">
        <v>0.45</v>
      </c>
      <c r="E3011">
        <v>0</v>
      </c>
      <c r="F3011">
        <f t="shared" si="46"/>
        <v>0.45</v>
      </c>
      <c r="I3011">
        <v>20250101</v>
      </c>
      <c r="J3011" t="s">
        <v>2937</v>
      </c>
      <c r="K3011" t="s">
        <v>2936</v>
      </c>
    </row>
    <row r="3012" spans="1:18" x14ac:dyDescent="0.3">
      <c r="A3012" s="160">
        <v>29046</v>
      </c>
      <c r="B3012" t="s">
        <v>18136</v>
      </c>
      <c r="C3012" t="s">
        <v>2938</v>
      </c>
      <c r="D3012">
        <v>0.8</v>
      </c>
      <c r="E3012">
        <v>0</v>
      </c>
      <c r="F3012">
        <f t="shared" si="46"/>
        <v>0.8</v>
      </c>
      <c r="I3012">
        <v>20230101</v>
      </c>
      <c r="J3012" t="s">
        <v>2939</v>
      </c>
      <c r="K3012" t="s">
        <v>2940</v>
      </c>
      <c r="L3012" t="s">
        <v>2941</v>
      </c>
      <c r="M3012" t="s">
        <v>2942</v>
      </c>
      <c r="N3012" t="s">
        <v>2943</v>
      </c>
      <c r="O3012" t="s">
        <v>2944</v>
      </c>
      <c r="P3012" t="s">
        <v>2945</v>
      </c>
    </row>
    <row r="3013" spans="1:18" x14ac:dyDescent="0.3">
      <c r="A3013" s="160">
        <v>29048</v>
      </c>
      <c r="B3013" t="s">
        <v>18137</v>
      </c>
      <c r="C3013" t="s">
        <v>2915</v>
      </c>
      <c r="D3013">
        <v>1</v>
      </c>
      <c r="E3013">
        <v>0</v>
      </c>
      <c r="F3013">
        <f t="shared" si="46"/>
        <v>1</v>
      </c>
      <c r="I3013">
        <v>20200101</v>
      </c>
      <c r="J3013" t="s">
        <v>2916</v>
      </c>
    </row>
    <row r="3014" spans="1:18" x14ac:dyDescent="0.3">
      <c r="A3014" s="160">
        <v>29049</v>
      </c>
      <c r="B3014" t="s">
        <v>18138</v>
      </c>
      <c r="C3014" t="s">
        <v>2927</v>
      </c>
      <c r="D3014">
        <v>0.6</v>
      </c>
      <c r="E3014">
        <v>0</v>
      </c>
      <c r="F3014">
        <f t="shared" si="46"/>
        <v>0.6</v>
      </c>
      <c r="I3014">
        <v>20150101</v>
      </c>
      <c r="J3014" t="s">
        <v>2946</v>
      </c>
    </row>
    <row r="3015" spans="1:18" x14ac:dyDescent="0.3">
      <c r="A3015" s="160">
        <v>29051</v>
      </c>
      <c r="B3015" t="s">
        <v>18139</v>
      </c>
      <c r="C3015" t="s">
        <v>2915</v>
      </c>
      <c r="D3015">
        <v>1</v>
      </c>
      <c r="E3015">
        <v>0</v>
      </c>
      <c r="F3015">
        <f t="shared" ref="F3015:F3078" si="47">D3015+E3015</f>
        <v>1</v>
      </c>
      <c r="I3015">
        <v>20190101</v>
      </c>
      <c r="J3015" t="s">
        <v>2947</v>
      </c>
      <c r="K3015" t="s">
        <v>2948</v>
      </c>
      <c r="L3015" t="s">
        <v>2949</v>
      </c>
      <c r="M3015" t="s">
        <v>2950</v>
      </c>
      <c r="N3015" t="s">
        <v>2951</v>
      </c>
      <c r="O3015" t="s">
        <v>2952</v>
      </c>
    </row>
    <row r="3016" spans="1:18" x14ac:dyDescent="0.3">
      <c r="A3016" s="160">
        <v>29056</v>
      </c>
      <c r="B3016" t="s">
        <v>18140</v>
      </c>
      <c r="C3016" t="s">
        <v>27538</v>
      </c>
      <c r="D3016">
        <v>0.45</v>
      </c>
      <c r="E3016">
        <v>0</v>
      </c>
      <c r="F3016">
        <f t="shared" si="47"/>
        <v>0.45</v>
      </c>
      <c r="I3016">
        <v>20250101</v>
      </c>
      <c r="J3016" t="s">
        <v>2953</v>
      </c>
      <c r="K3016" t="s">
        <v>2954</v>
      </c>
      <c r="L3016" t="s">
        <v>2955</v>
      </c>
    </row>
    <row r="3017" spans="1:18" x14ac:dyDescent="0.3">
      <c r="A3017" s="160">
        <v>29059</v>
      </c>
      <c r="B3017" t="s">
        <v>18141</v>
      </c>
      <c r="C3017" t="s">
        <v>2884</v>
      </c>
      <c r="D3017">
        <v>0.8</v>
      </c>
      <c r="E3017">
        <v>0</v>
      </c>
      <c r="F3017">
        <f t="shared" si="47"/>
        <v>0.8</v>
      </c>
      <c r="I3017">
        <v>20160701</v>
      </c>
      <c r="J3017" t="s">
        <v>2956</v>
      </c>
      <c r="K3017" t="s">
        <v>2957</v>
      </c>
      <c r="L3017" t="s">
        <v>2958</v>
      </c>
    </row>
    <row r="3018" spans="1:18" x14ac:dyDescent="0.3">
      <c r="A3018" s="160">
        <v>29061</v>
      </c>
      <c r="B3018" t="s">
        <v>18142</v>
      </c>
      <c r="C3018" t="s">
        <v>2882</v>
      </c>
      <c r="D3018">
        <v>2</v>
      </c>
      <c r="E3018">
        <v>0</v>
      </c>
      <c r="F3018">
        <f t="shared" si="47"/>
        <v>2</v>
      </c>
      <c r="I3018">
        <v>20230701</v>
      </c>
      <c r="J3018" t="s">
        <v>2899</v>
      </c>
      <c r="K3018" t="s">
        <v>2900</v>
      </c>
      <c r="L3018" t="s">
        <v>2910</v>
      </c>
      <c r="M3018" t="s">
        <v>2911</v>
      </c>
      <c r="N3018" t="s">
        <v>2912</v>
      </c>
      <c r="O3018" t="s">
        <v>2913</v>
      </c>
      <c r="P3018" t="s">
        <v>2914</v>
      </c>
      <c r="Q3018" t="s">
        <v>2959</v>
      </c>
      <c r="R3018" t="s">
        <v>2960</v>
      </c>
    </row>
    <row r="3019" spans="1:18" x14ac:dyDescent="0.3">
      <c r="A3019" s="160">
        <v>29066</v>
      </c>
      <c r="B3019" t="s">
        <v>18143</v>
      </c>
      <c r="C3019" t="s">
        <v>2915</v>
      </c>
      <c r="D3019">
        <v>1</v>
      </c>
      <c r="E3019">
        <v>0</v>
      </c>
      <c r="F3019">
        <f t="shared" si="47"/>
        <v>1</v>
      </c>
      <c r="I3019">
        <v>20190101</v>
      </c>
      <c r="J3019" t="s">
        <v>2961</v>
      </c>
    </row>
    <row r="3020" spans="1:18" x14ac:dyDescent="0.3">
      <c r="A3020" s="160">
        <v>29067</v>
      </c>
      <c r="B3020" t="s">
        <v>18144</v>
      </c>
      <c r="C3020" t="s">
        <v>2884</v>
      </c>
      <c r="D3020">
        <v>0.8</v>
      </c>
      <c r="E3020">
        <v>0</v>
      </c>
      <c r="F3020">
        <f t="shared" si="47"/>
        <v>0.8</v>
      </c>
      <c r="I3020">
        <v>20160701</v>
      </c>
      <c r="J3020" t="s">
        <v>2885</v>
      </c>
    </row>
    <row r="3021" spans="1:18" x14ac:dyDescent="0.3">
      <c r="A3021" s="160">
        <v>29069</v>
      </c>
      <c r="B3021" t="s">
        <v>18145</v>
      </c>
      <c r="C3021" t="s">
        <v>2882</v>
      </c>
      <c r="D3021">
        <v>2</v>
      </c>
      <c r="E3021">
        <v>0</v>
      </c>
      <c r="F3021">
        <f t="shared" si="47"/>
        <v>2</v>
      </c>
      <c r="I3021">
        <v>20230701</v>
      </c>
      <c r="J3021" t="s">
        <v>2883</v>
      </c>
    </row>
    <row r="3022" spans="1:18" x14ac:dyDescent="0.3">
      <c r="A3022" s="160">
        <v>29071</v>
      </c>
      <c r="B3022" t="s">
        <v>18146</v>
      </c>
      <c r="C3022" t="s">
        <v>2879</v>
      </c>
      <c r="D3022">
        <v>0.8</v>
      </c>
      <c r="E3022">
        <v>0</v>
      </c>
      <c r="F3022">
        <f t="shared" si="47"/>
        <v>0.8</v>
      </c>
      <c r="I3022">
        <v>20110401</v>
      </c>
      <c r="J3022" t="s">
        <v>2880</v>
      </c>
    </row>
    <row r="3023" spans="1:18" x14ac:dyDescent="0.3">
      <c r="A3023" s="160">
        <v>29073</v>
      </c>
      <c r="B3023" t="s">
        <v>18147</v>
      </c>
      <c r="C3023" t="s">
        <v>2884</v>
      </c>
      <c r="D3023">
        <v>0.8</v>
      </c>
      <c r="E3023">
        <v>0</v>
      </c>
      <c r="F3023">
        <f t="shared" si="47"/>
        <v>0.8</v>
      </c>
      <c r="I3023">
        <v>20160701</v>
      </c>
      <c r="J3023" t="s">
        <v>2962</v>
      </c>
    </row>
    <row r="3024" spans="1:18" x14ac:dyDescent="0.3">
      <c r="A3024" s="160">
        <v>29075</v>
      </c>
      <c r="B3024" t="s">
        <v>18148</v>
      </c>
      <c r="C3024" t="s">
        <v>2882</v>
      </c>
      <c r="D3024">
        <v>2</v>
      </c>
      <c r="E3024">
        <v>0</v>
      </c>
      <c r="F3024">
        <f t="shared" si="47"/>
        <v>2</v>
      </c>
      <c r="I3024">
        <v>20230701</v>
      </c>
      <c r="J3024" t="s">
        <v>2963</v>
      </c>
      <c r="K3024" t="s">
        <v>2910</v>
      </c>
      <c r="L3024" t="s">
        <v>2911</v>
      </c>
      <c r="M3024" t="s">
        <v>2912</v>
      </c>
      <c r="N3024" t="s">
        <v>2913</v>
      </c>
      <c r="O3024" t="s">
        <v>2914</v>
      </c>
      <c r="P3024" t="s">
        <v>2964</v>
      </c>
    </row>
    <row r="3025" spans="1:19" x14ac:dyDescent="0.3">
      <c r="A3025" s="160">
        <v>29078</v>
      </c>
      <c r="B3025" t="s">
        <v>18149</v>
      </c>
      <c r="C3025" t="s">
        <v>27538</v>
      </c>
      <c r="D3025">
        <v>0.45</v>
      </c>
      <c r="E3025">
        <v>0</v>
      </c>
      <c r="F3025">
        <f t="shared" si="47"/>
        <v>0.45</v>
      </c>
      <c r="I3025">
        <v>20250101</v>
      </c>
      <c r="J3025" t="s">
        <v>2936</v>
      </c>
    </row>
    <row r="3026" spans="1:19" x14ac:dyDescent="0.3">
      <c r="A3026" s="160">
        <v>29079</v>
      </c>
      <c r="B3026" t="s">
        <v>18150</v>
      </c>
      <c r="C3026" t="s">
        <v>2884</v>
      </c>
      <c r="D3026">
        <v>0.8</v>
      </c>
      <c r="E3026">
        <v>0</v>
      </c>
      <c r="F3026">
        <f t="shared" si="47"/>
        <v>0.8</v>
      </c>
      <c r="I3026">
        <v>20160701</v>
      </c>
      <c r="J3026" t="s">
        <v>2965</v>
      </c>
    </row>
    <row r="3027" spans="1:19" x14ac:dyDescent="0.3">
      <c r="A3027" s="160">
        <v>29080</v>
      </c>
      <c r="B3027" t="s">
        <v>18151</v>
      </c>
      <c r="C3027" t="s">
        <v>27538</v>
      </c>
      <c r="D3027">
        <v>0.45</v>
      </c>
      <c r="E3027">
        <v>0</v>
      </c>
      <c r="F3027">
        <f t="shared" si="47"/>
        <v>0.45</v>
      </c>
      <c r="I3027">
        <v>20250101</v>
      </c>
      <c r="J3027" t="s">
        <v>2936</v>
      </c>
    </row>
    <row r="3028" spans="1:19" x14ac:dyDescent="0.3">
      <c r="A3028" s="160">
        <v>29086</v>
      </c>
      <c r="B3028" t="s">
        <v>18152</v>
      </c>
      <c r="C3028" t="s">
        <v>27538</v>
      </c>
      <c r="D3028">
        <v>0.45</v>
      </c>
      <c r="E3028">
        <v>0</v>
      </c>
      <c r="F3028">
        <f t="shared" si="47"/>
        <v>0.45</v>
      </c>
      <c r="I3028">
        <v>20250101</v>
      </c>
      <c r="J3028" t="s">
        <v>2936</v>
      </c>
    </row>
    <row r="3029" spans="1:19" x14ac:dyDescent="0.3">
      <c r="A3029" s="160">
        <v>29087</v>
      </c>
      <c r="B3029" t="s">
        <v>18153</v>
      </c>
      <c r="C3029" t="s">
        <v>2938</v>
      </c>
      <c r="D3029">
        <v>0.8</v>
      </c>
      <c r="E3029">
        <v>0</v>
      </c>
      <c r="F3029">
        <f t="shared" si="47"/>
        <v>0.8</v>
      </c>
      <c r="I3029">
        <v>20230101</v>
      </c>
      <c r="J3029" t="s">
        <v>2939</v>
      </c>
      <c r="K3029" t="s">
        <v>2944</v>
      </c>
    </row>
    <row r="3030" spans="1:19" x14ac:dyDescent="0.3">
      <c r="A3030" s="160">
        <v>29089</v>
      </c>
      <c r="B3030" t="s">
        <v>18154</v>
      </c>
      <c r="C3030" t="s">
        <v>2302</v>
      </c>
      <c r="D3030">
        <v>0</v>
      </c>
      <c r="E3030">
        <v>0</v>
      </c>
      <c r="F3030">
        <f t="shared" si="47"/>
        <v>0</v>
      </c>
      <c r="I3030">
        <v>20170701</v>
      </c>
      <c r="J3030" t="s">
        <v>2918</v>
      </c>
      <c r="K3030" t="s">
        <v>2920</v>
      </c>
    </row>
    <row r="3031" spans="1:19" x14ac:dyDescent="0.3">
      <c r="A3031" s="160">
        <v>29090</v>
      </c>
      <c r="B3031" t="s">
        <v>18155</v>
      </c>
      <c r="C3031" t="s">
        <v>2938</v>
      </c>
      <c r="D3031">
        <v>0.8</v>
      </c>
      <c r="E3031">
        <v>0</v>
      </c>
      <c r="F3031">
        <f t="shared" si="47"/>
        <v>0.8</v>
      </c>
      <c r="I3031">
        <v>20230101</v>
      </c>
      <c r="J3031" t="s">
        <v>2939</v>
      </c>
      <c r="K3031" t="s">
        <v>2940</v>
      </c>
      <c r="L3031" t="s">
        <v>2941</v>
      </c>
    </row>
    <row r="3032" spans="1:19" x14ac:dyDescent="0.3">
      <c r="A3032" s="160">
        <v>29103</v>
      </c>
      <c r="B3032" t="s">
        <v>18156</v>
      </c>
      <c r="C3032" t="s">
        <v>2966</v>
      </c>
      <c r="D3032">
        <v>0.45</v>
      </c>
      <c r="E3032">
        <v>0</v>
      </c>
      <c r="F3032">
        <f t="shared" si="47"/>
        <v>0.45</v>
      </c>
      <c r="I3032">
        <v>20210701</v>
      </c>
      <c r="J3032" t="s">
        <v>2967</v>
      </c>
      <c r="K3032" t="s">
        <v>2968</v>
      </c>
      <c r="L3032" t="s">
        <v>2937</v>
      </c>
      <c r="M3032" t="s">
        <v>2969</v>
      </c>
      <c r="N3032" t="s">
        <v>2970</v>
      </c>
      <c r="O3032" t="s">
        <v>2971</v>
      </c>
      <c r="P3032" t="s">
        <v>2953</v>
      </c>
      <c r="Q3032" t="s">
        <v>2972</v>
      </c>
      <c r="R3032" t="s">
        <v>2954</v>
      </c>
      <c r="S3032" t="s">
        <v>2955</v>
      </c>
    </row>
    <row r="3033" spans="1:19" x14ac:dyDescent="0.3">
      <c r="A3033" s="160">
        <v>29106</v>
      </c>
      <c r="B3033" t="s">
        <v>18157</v>
      </c>
      <c r="C3033" t="s">
        <v>2915</v>
      </c>
      <c r="D3033">
        <v>1</v>
      </c>
      <c r="E3033">
        <v>0</v>
      </c>
      <c r="F3033">
        <f t="shared" si="47"/>
        <v>1</v>
      </c>
      <c r="I3033">
        <v>20200101</v>
      </c>
      <c r="J3033" t="s">
        <v>2916</v>
      </c>
    </row>
    <row r="3034" spans="1:19" x14ac:dyDescent="0.3">
      <c r="A3034" s="160">
        <v>29107</v>
      </c>
      <c r="B3034" t="s">
        <v>18158</v>
      </c>
      <c r="C3034" t="s">
        <v>2915</v>
      </c>
      <c r="D3034">
        <v>1</v>
      </c>
      <c r="E3034">
        <v>0</v>
      </c>
      <c r="F3034">
        <f t="shared" si="47"/>
        <v>1</v>
      </c>
      <c r="I3034">
        <v>20200101</v>
      </c>
      <c r="J3034" t="s">
        <v>2916</v>
      </c>
    </row>
    <row r="3035" spans="1:19" x14ac:dyDescent="0.3">
      <c r="A3035" s="160">
        <v>29110</v>
      </c>
      <c r="B3035" t="s">
        <v>18159</v>
      </c>
      <c r="C3035" t="s">
        <v>2915</v>
      </c>
      <c r="D3035">
        <v>1</v>
      </c>
      <c r="E3035">
        <v>0</v>
      </c>
      <c r="F3035">
        <f t="shared" si="47"/>
        <v>1</v>
      </c>
      <c r="I3035">
        <v>20200101</v>
      </c>
      <c r="J3035" t="s">
        <v>2916</v>
      </c>
    </row>
    <row r="3036" spans="1:19" x14ac:dyDescent="0.3">
      <c r="A3036" s="160">
        <v>29113</v>
      </c>
      <c r="B3036" t="s">
        <v>18160</v>
      </c>
      <c r="C3036" t="s">
        <v>2884</v>
      </c>
      <c r="D3036">
        <v>0.8</v>
      </c>
      <c r="E3036">
        <v>0</v>
      </c>
      <c r="F3036">
        <f t="shared" si="47"/>
        <v>0.8</v>
      </c>
      <c r="I3036">
        <v>20160701</v>
      </c>
      <c r="J3036" t="s">
        <v>2962</v>
      </c>
    </row>
    <row r="3037" spans="1:19" x14ac:dyDescent="0.3">
      <c r="A3037" s="160">
        <v>29114</v>
      </c>
      <c r="B3037" t="s">
        <v>18161</v>
      </c>
      <c r="C3037" t="s">
        <v>2884</v>
      </c>
      <c r="D3037">
        <v>0.8</v>
      </c>
      <c r="E3037">
        <v>0</v>
      </c>
      <c r="F3037">
        <f t="shared" si="47"/>
        <v>0.8</v>
      </c>
      <c r="I3037">
        <v>20160701</v>
      </c>
      <c r="J3037" t="s">
        <v>2973</v>
      </c>
    </row>
    <row r="3038" spans="1:19" x14ac:dyDescent="0.3">
      <c r="A3038" s="160">
        <v>29116</v>
      </c>
      <c r="B3038" t="s">
        <v>18162</v>
      </c>
      <c r="C3038" t="s">
        <v>27538</v>
      </c>
      <c r="D3038">
        <v>0.45</v>
      </c>
      <c r="E3038">
        <v>0</v>
      </c>
      <c r="F3038">
        <f t="shared" si="47"/>
        <v>0.45</v>
      </c>
      <c r="I3038">
        <v>20250101</v>
      </c>
      <c r="J3038" t="s">
        <v>2974</v>
      </c>
    </row>
    <row r="3039" spans="1:19" x14ac:dyDescent="0.3">
      <c r="A3039" s="160">
        <v>29127</v>
      </c>
      <c r="B3039" t="s">
        <v>18163</v>
      </c>
      <c r="C3039" t="s">
        <v>2884</v>
      </c>
      <c r="D3039">
        <v>0.8</v>
      </c>
      <c r="E3039">
        <v>0</v>
      </c>
      <c r="F3039">
        <f t="shared" si="47"/>
        <v>0.8</v>
      </c>
      <c r="I3039">
        <v>20160701</v>
      </c>
      <c r="J3039" t="s">
        <v>2926</v>
      </c>
    </row>
    <row r="3040" spans="1:19" x14ac:dyDescent="0.3">
      <c r="A3040" s="160">
        <v>29132</v>
      </c>
      <c r="B3040" t="s">
        <v>18164</v>
      </c>
      <c r="C3040" t="s">
        <v>2884</v>
      </c>
      <c r="D3040">
        <v>0.8</v>
      </c>
      <c r="E3040">
        <v>0</v>
      </c>
      <c r="F3040">
        <f t="shared" si="47"/>
        <v>0.8</v>
      </c>
      <c r="I3040">
        <v>20160701</v>
      </c>
      <c r="J3040" t="s">
        <v>2965</v>
      </c>
    </row>
    <row r="3041" spans="1:17" x14ac:dyDescent="0.3">
      <c r="A3041" s="160">
        <v>29133</v>
      </c>
      <c r="B3041" t="s">
        <v>18165</v>
      </c>
      <c r="C3041" t="s">
        <v>2884</v>
      </c>
      <c r="D3041">
        <v>0.8</v>
      </c>
      <c r="E3041">
        <v>0</v>
      </c>
      <c r="F3041">
        <f t="shared" si="47"/>
        <v>0.8</v>
      </c>
      <c r="I3041">
        <v>20160701</v>
      </c>
      <c r="J3041" t="s">
        <v>2975</v>
      </c>
    </row>
    <row r="3042" spans="1:17" x14ac:dyDescent="0.3">
      <c r="A3042" s="160">
        <v>29134</v>
      </c>
      <c r="B3042" t="s">
        <v>18166</v>
      </c>
      <c r="C3042" t="s">
        <v>2915</v>
      </c>
      <c r="D3042">
        <v>1</v>
      </c>
      <c r="E3042">
        <v>0</v>
      </c>
      <c r="F3042">
        <f t="shared" si="47"/>
        <v>1</v>
      </c>
      <c r="I3042">
        <v>20190101</v>
      </c>
      <c r="J3042" t="s">
        <v>2961</v>
      </c>
    </row>
    <row r="3043" spans="1:17" x14ac:dyDescent="0.3">
      <c r="A3043" s="160">
        <v>29136</v>
      </c>
      <c r="B3043" t="s">
        <v>18167</v>
      </c>
      <c r="C3043" t="s">
        <v>2879</v>
      </c>
      <c r="D3043">
        <v>0.8</v>
      </c>
      <c r="E3043">
        <v>0</v>
      </c>
      <c r="F3043">
        <f t="shared" si="47"/>
        <v>0.8</v>
      </c>
      <c r="I3043">
        <v>20110401</v>
      </c>
      <c r="J3043" t="s">
        <v>2976</v>
      </c>
    </row>
    <row r="3044" spans="1:17" x14ac:dyDescent="0.3">
      <c r="A3044" s="160">
        <v>29137</v>
      </c>
      <c r="B3044" t="s">
        <v>18168</v>
      </c>
      <c r="C3044" t="s">
        <v>27538</v>
      </c>
      <c r="D3044">
        <v>0.45</v>
      </c>
      <c r="E3044">
        <v>0</v>
      </c>
      <c r="F3044">
        <f t="shared" si="47"/>
        <v>0.45</v>
      </c>
      <c r="I3044">
        <v>20250101</v>
      </c>
      <c r="J3044" t="s">
        <v>2936</v>
      </c>
    </row>
    <row r="3045" spans="1:17" x14ac:dyDescent="0.3">
      <c r="A3045" s="160">
        <v>29140</v>
      </c>
      <c r="B3045" t="s">
        <v>18169</v>
      </c>
      <c r="C3045" t="s">
        <v>27538</v>
      </c>
      <c r="D3045">
        <v>0.45</v>
      </c>
      <c r="E3045">
        <v>0</v>
      </c>
      <c r="F3045">
        <f t="shared" si="47"/>
        <v>0.45</v>
      </c>
      <c r="I3045">
        <v>20250101</v>
      </c>
      <c r="J3045" t="s">
        <v>2977</v>
      </c>
    </row>
    <row r="3046" spans="1:17" x14ac:dyDescent="0.3">
      <c r="A3046" s="160">
        <v>29144</v>
      </c>
      <c r="B3046" t="s">
        <v>18170</v>
      </c>
      <c r="C3046" t="s">
        <v>27538</v>
      </c>
      <c r="D3046">
        <v>0.45</v>
      </c>
      <c r="E3046">
        <v>0</v>
      </c>
      <c r="F3046">
        <f t="shared" si="47"/>
        <v>0.45</v>
      </c>
      <c r="I3046">
        <v>20250101</v>
      </c>
      <c r="J3046" t="s">
        <v>2955</v>
      </c>
    </row>
    <row r="3047" spans="1:17" x14ac:dyDescent="0.3">
      <c r="A3047" s="160">
        <v>29146</v>
      </c>
      <c r="B3047" t="s">
        <v>18171</v>
      </c>
      <c r="C3047" t="s">
        <v>2927</v>
      </c>
      <c r="D3047">
        <v>0.6</v>
      </c>
      <c r="E3047">
        <v>0</v>
      </c>
      <c r="F3047">
        <f t="shared" si="47"/>
        <v>0.6</v>
      </c>
      <c r="I3047">
        <v>20120201</v>
      </c>
      <c r="J3047" t="s">
        <v>2978</v>
      </c>
    </row>
    <row r="3048" spans="1:17" x14ac:dyDescent="0.3">
      <c r="A3048" s="160">
        <v>29147</v>
      </c>
      <c r="B3048" t="s">
        <v>18172</v>
      </c>
      <c r="C3048" t="s">
        <v>2879</v>
      </c>
      <c r="D3048">
        <v>0.8</v>
      </c>
      <c r="E3048">
        <v>0</v>
      </c>
      <c r="F3048">
        <f t="shared" si="47"/>
        <v>0.8</v>
      </c>
      <c r="I3048">
        <v>20110401</v>
      </c>
      <c r="J3048" t="s">
        <v>2880</v>
      </c>
      <c r="K3048" t="s">
        <v>2979</v>
      </c>
      <c r="L3048" t="s">
        <v>2980</v>
      </c>
      <c r="M3048" t="s">
        <v>2981</v>
      </c>
      <c r="N3048" t="s">
        <v>2982</v>
      </c>
      <c r="O3048" t="s">
        <v>2983</v>
      </c>
    </row>
    <row r="3049" spans="1:17" x14ac:dyDescent="0.3">
      <c r="A3049" s="160">
        <v>29150</v>
      </c>
      <c r="B3049" t="s">
        <v>18173</v>
      </c>
      <c r="C3049" t="s">
        <v>2879</v>
      </c>
      <c r="D3049">
        <v>0.8</v>
      </c>
      <c r="E3049">
        <v>0</v>
      </c>
      <c r="F3049">
        <f t="shared" si="47"/>
        <v>0.8</v>
      </c>
      <c r="I3049">
        <v>20110401</v>
      </c>
      <c r="J3049" t="s">
        <v>2984</v>
      </c>
      <c r="K3049" t="s">
        <v>2979</v>
      </c>
    </row>
    <row r="3050" spans="1:17" x14ac:dyDescent="0.3">
      <c r="A3050" s="160">
        <v>29151</v>
      </c>
      <c r="B3050" t="s">
        <v>18174</v>
      </c>
      <c r="C3050" t="s">
        <v>2884</v>
      </c>
      <c r="D3050">
        <v>0.8</v>
      </c>
      <c r="E3050">
        <v>0</v>
      </c>
      <c r="F3050">
        <f t="shared" si="47"/>
        <v>0.8</v>
      </c>
      <c r="I3050">
        <v>20160701</v>
      </c>
      <c r="J3050" t="s">
        <v>2985</v>
      </c>
      <c r="K3050" t="s">
        <v>2986</v>
      </c>
      <c r="L3050" t="s">
        <v>2957</v>
      </c>
      <c r="M3050" t="s">
        <v>2987</v>
      </c>
      <c r="N3050" t="s">
        <v>2988</v>
      </c>
      <c r="O3050" t="s">
        <v>2958</v>
      </c>
      <c r="P3050" t="s">
        <v>2989</v>
      </c>
      <c r="Q3050" t="s">
        <v>2990</v>
      </c>
    </row>
    <row r="3051" spans="1:17" x14ac:dyDescent="0.3">
      <c r="A3051" s="160">
        <v>29152</v>
      </c>
      <c r="B3051" t="s">
        <v>18175</v>
      </c>
      <c r="C3051" t="s">
        <v>2302</v>
      </c>
      <c r="D3051">
        <v>0</v>
      </c>
      <c r="E3051">
        <v>0</v>
      </c>
      <c r="F3051">
        <f t="shared" si="47"/>
        <v>0</v>
      </c>
      <c r="I3051">
        <v>20170701</v>
      </c>
      <c r="J3051" t="s">
        <v>2918</v>
      </c>
      <c r="K3051" t="s">
        <v>2920</v>
      </c>
    </row>
    <row r="3052" spans="1:17" x14ac:dyDescent="0.3">
      <c r="A3052" s="160">
        <v>29153</v>
      </c>
      <c r="B3052" t="s">
        <v>18176</v>
      </c>
      <c r="C3052" t="s">
        <v>2927</v>
      </c>
      <c r="D3052">
        <v>0.6</v>
      </c>
      <c r="E3052">
        <v>0</v>
      </c>
      <c r="F3052">
        <f t="shared" si="47"/>
        <v>0.6</v>
      </c>
      <c r="I3052">
        <v>20150101</v>
      </c>
      <c r="J3052" t="s">
        <v>2991</v>
      </c>
    </row>
    <row r="3053" spans="1:17" x14ac:dyDescent="0.3">
      <c r="A3053" s="160">
        <v>29156</v>
      </c>
      <c r="B3053" t="s">
        <v>18177</v>
      </c>
      <c r="C3053" t="s">
        <v>27538</v>
      </c>
      <c r="D3053">
        <v>0.45</v>
      </c>
      <c r="E3053">
        <v>0</v>
      </c>
      <c r="F3053">
        <f t="shared" si="47"/>
        <v>0.45</v>
      </c>
      <c r="I3053">
        <v>20250101</v>
      </c>
      <c r="J3053" t="s">
        <v>2967</v>
      </c>
      <c r="K3053" t="s">
        <v>2968</v>
      </c>
      <c r="L3053" t="s">
        <v>2970</v>
      </c>
      <c r="M3053" t="s">
        <v>2953</v>
      </c>
      <c r="N3053" t="s">
        <v>2955</v>
      </c>
    </row>
    <row r="3054" spans="1:17" x14ac:dyDescent="0.3">
      <c r="A3054" s="160">
        <v>29163</v>
      </c>
      <c r="B3054" t="s">
        <v>18178</v>
      </c>
      <c r="C3054" t="s">
        <v>2884</v>
      </c>
      <c r="D3054">
        <v>0.8</v>
      </c>
      <c r="E3054">
        <v>0</v>
      </c>
      <c r="F3054">
        <f t="shared" si="47"/>
        <v>0.8</v>
      </c>
      <c r="I3054">
        <v>20160701</v>
      </c>
      <c r="J3054" t="s">
        <v>2926</v>
      </c>
    </row>
    <row r="3055" spans="1:17" x14ac:dyDescent="0.3">
      <c r="A3055" s="160">
        <v>29169</v>
      </c>
      <c r="B3055" t="s">
        <v>18179</v>
      </c>
      <c r="C3055" t="s">
        <v>2915</v>
      </c>
      <c r="D3055">
        <v>1</v>
      </c>
      <c r="E3055">
        <v>0</v>
      </c>
      <c r="F3055">
        <f t="shared" si="47"/>
        <v>1</v>
      </c>
      <c r="I3055">
        <v>20190101</v>
      </c>
      <c r="J3055" t="s">
        <v>2961</v>
      </c>
    </row>
    <row r="3056" spans="1:17" x14ac:dyDescent="0.3">
      <c r="A3056" s="160">
        <v>29170</v>
      </c>
      <c r="B3056" t="s">
        <v>18180</v>
      </c>
      <c r="C3056" t="s">
        <v>2915</v>
      </c>
      <c r="D3056">
        <v>1</v>
      </c>
      <c r="E3056">
        <v>0</v>
      </c>
      <c r="F3056">
        <f t="shared" si="47"/>
        <v>1</v>
      </c>
      <c r="I3056">
        <v>20190101</v>
      </c>
      <c r="J3056" t="s">
        <v>2992</v>
      </c>
    </row>
    <row r="3057" spans="1:15" x14ac:dyDescent="0.3">
      <c r="A3057" s="160">
        <v>29173</v>
      </c>
      <c r="B3057" t="s">
        <v>18181</v>
      </c>
      <c r="C3057" t="s">
        <v>2915</v>
      </c>
      <c r="D3057">
        <v>1</v>
      </c>
      <c r="E3057">
        <v>0</v>
      </c>
      <c r="F3057">
        <f t="shared" si="47"/>
        <v>1</v>
      </c>
      <c r="I3057">
        <v>20190101</v>
      </c>
      <c r="J3057" t="s">
        <v>2993</v>
      </c>
    </row>
    <row r="3058" spans="1:15" x14ac:dyDescent="0.3">
      <c r="A3058" s="160">
        <v>29180</v>
      </c>
      <c r="B3058" t="s">
        <v>18182</v>
      </c>
      <c r="C3058" t="s">
        <v>27538</v>
      </c>
      <c r="D3058">
        <v>0.45</v>
      </c>
      <c r="E3058">
        <v>0</v>
      </c>
      <c r="F3058">
        <f t="shared" si="47"/>
        <v>0.45</v>
      </c>
      <c r="I3058">
        <v>20250101</v>
      </c>
      <c r="J3058" t="s">
        <v>2955</v>
      </c>
    </row>
    <row r="3059" spans="1:15" x14ac:dyDescent="0.3">
      <c r="A3059" s="160">
        <v>29181</v>
      </c>
      <c r="B3059" t="s">
        <v>18183</v>
      </c>
      <c r="C3059" t="s">
        <v>27538</v>
      </c>
      <c r="D3059">
        <v>0.45</v>
      </c>
      <c r="E3059">
        <v>0</v>
      </c>
      <c r="F3059">
        <f t="shared" si="47"/>
        <v>0.45</v>
      </c>
      <c r="I3059">
        <v>20250101</v>
      </c>
      <c r="J3059" t="s">
        <v>2968</v>
      </c>
      <c r="K3059" t="s">
        <v>2937</v>
      </c>
      <c r="L3059" t="s">
        <v>2970</v>
      </c>
      <c r="M3059" t="s">
        <v>2953</v>
      </c>
      <c r="N3059" t="s">
        <v>2954</v>
      </c>
      <c r="O3059" t="s">
        <v>2955</v>
      </c>
    </row>
    <row r="3060" spans="1:15" x14ac:dyDescent="0.3">
      <c r="A3060" s="160">
        <v>29182</v>
      </c>
      <c r="B3060" t="s">
        <v>18184</v>
      </c>
      <c r="C3060" t="s">
        <v>2884</v>
      </c>
      <c r="D3060">
        <v>0.8</v>
      </c>
      <c r="E3060">
        <v>0</v>
      </c>
      <c r="F3060">
        <f t="shared" si="47"/>
        <v>0.8</v>
      </c>
      <c r="I3060">
        <v>20160701</v>
      </c>
      <c r="J3060" t="s">
        <v>2962</v>
      </c>
    </row>
    <row r="3061" spans="1:15" x14ac:dyDescent="0.3">
      <c r="A3061" s="160">
        <v>29183</v>
      </c>
      <c r="B3061" t="s">
        <v>18185</v>
      </c>
      <c r="C3061" t="s">
        <v>2884</v>
      </c>
      <c r="D3061">
        <v>0.8</v>
      </c>
      <c r="E3061">
        <v>0</v>
      </c>
      <c r="F3061">
        <f t="shared" si="47"/>
        <v>0.8</v>
      </c>
      <c r="I3061">
        <v>20160701</v>
      </c>
      <c r="J3061" t="s">
        <v>2885</v>
      </c>
    </row>
    <row r="3062" spans="1:15" x14ac:dyDescent="0.3">
      <c r="A3062" s="160">
        <v>29186</v>
      </c>
      <c r="B3062" t="s">
        <v>18186</v>
      </c>
      <c r="C3062" t="s">
        <v>2884</v>
      </c>
      <c r="D3062">
        <v>0.8</v>
      </c>
      <c r="E3062">
        <v>0</v>
      </c>
      <c r="F3062">
        <f t="shared" si="47"/>
        <v>0.8</v>
      </c>
      <c r="I3062">
        <v>20160701</v>
      </c>
      <c r="J3062" t="s">
        <v>2994</v>
      </c>
      <c r="K3062" t="s">
        <v>2988</v>
      </c>
      <c r="L3062" t="s">
        <v>2958</v>
      </c>
    </row>
    <row r="3063" spans="1:15" x14ac:dyDescent="0.3">
      <c r="A3063" s="160">
        <v>29188</v>
      </c>
      <c r="B3063" t="s">
        <v>18187</v>
      </c>
      <c r="C3063" t="s">
        <v>2884</v>
      </c>
      <c r="D3063">
        <v>0.8</v>
      </c>
      <c r="E3063">
        <v>0</v>
      </c>
      <c r="F3063">
        <f t="shared" si="47"/>
        <v>0.8</v>
      </c>
      <c r="I3063">
        <v>20160701</v>
      </c>
      <c r="J3063" t="s">
        <v>2995</v>
      </c>
      <c r="K3063" t="s">
        <v>2988</v>
      </c>
    </row>
    <row r="3064" spans="1:15" x14ac:dyDescent="0.3">
      <c r="A3064" s="160">
        <v>29189</v>
      </c>
      <c r="B3064" t="s">
        <v>18188</v>
      </c>
      <c r="C3064" t="s">
        <v>2882</v>
      </c>
      <c r="D3064">
        <v>2</v>
      </c>
      <c r="E3064">
        <v>0</v>
      </c>
      <c r="F3064">
        <f t="shared" si="47"/>
        <v>2</v>
      </c>
      <c r="I3064">
        <v>20230701</v>
      </c>
      <c r="J3064" t="s">
        <v>2977</v>
      </c>
      <c r="K3064" t="s">
        <v>2911</v>
      </c>
    </row>
    <row r="3065" spans="1:15" x14ac:dyDescent="0.3">
      <c r="A3065" s="160">
        <v>29191</v>
      </c>
      <c r="B3065" t="s">
        <v>18189</v>
      </c>
      <c r="C3065" t="s">
        <v>2884</v>
      </c>
      <c r="D3065">
        <v>0.8</v>
      </c>
      <c r="E3065">
        <v>0</v>
      </c>
      <c r="F3065">
        <f t="shared" si="47"/>
        <v>0.8</v>
      </c>
      <c r="I3065">
        <v>20160701</v>
      </c>
      <c r="J3065" t="s">
        <v>2973</v>
      </c>
    </row>
    <row r="3066" spans="1:15" x14ac:dyDescent="0.3">
      <c r="A3066" s="160">
        <v>29199</v>
      </c>
      <c r="B3066" t="s">
        <v>18190</v>
      </c>
      <c r="C3066" t="s">
        <v>2884</v>
      </c>
      <c r="D3066">
        <v>0.8</v>
      </c>
      <c r="E3066">
        <v>0</v>
      </c>
      <c r="F3066">
        <f t="shared" si="47"/>
        <v>0.8</v>
      </c>
      <c r="I3066">
        <v>20160701</v>
      </c>
      <c r="J3066" t="s">
        <v>2956</v>
      </c>
      <c r="K3066" t="s">
        <v>2957</v>
      </c>
      <c r="L3066" t="s">
        <v>2988</v>
      </c>
      <c r="M3066" t="s">
        <v>2958</v>
      </c>
      <c r="N3066" t="s">
        <v>2989</v>
      </c>
    </row>
    <row r="3067" spans="1:15" x14ac:dyDescent="0.3">
      <c r="A3067" s="160">
        <v>29202</v>
      </c>
      <c r="B3067" t="s">
        <v>18191</v>
      </c>
      <c r="C3067" t="s">
        <v>2884</v>
      </c>
      <c r="D3067">
        <v>0.8</v>
      </c>
      <c r="E3067">
        <v>0</v>
      </c>
      <c r="F3067">
        <f t="shared" si="47"/>
        <v>0.8</v>
      </c>
      <c r="I3067">
        <v>20160701</v>
      </c>
      <c r="J3067" t="s">
        <v>2926</v>
      </c>
    </row>
    <row r="3068" spans="1:15" x14ac:dyDescent="0.3">
      <c r="A3068" s="160">
        <v>29205</v>
      </c>
      <c r="B3068" t="s">
        <v>18192</v>
      </c>
      <c r="C3068" t="s">
        <v>2302</v>
      </c>
      <c r="D3068">
        <v>0</v>
      </c>
      <c r="E3068">
        <v>0</v>
      </c>
      <c r="F3068">
        <f t="shared" si="47"/>
        <v>0</v>
      </c>
      <c r="I3068">
        <v>20170701</v>
      </c>
      <c r="J3068" t="s">
        <v>2918</v>
      </c>
      <c r="K3068" t="s">
        <v>2919</v>
      </c>
    </row>
    <row r="3069" spans="1:15" x14ac:dyDescent="0.3">
      <c r="A3069" s="160">
        <v>29207</v>
      </c>
      <c r="B3069" t="s">
        <v>18193</v>
      </c>
      <c r="C3069" t="s">
        <v>2884</v>
      </c>
      <c r="D3069">
        <v>0.8</v>
      </c>
      <c r="E3069">
        <v>0</v>
      </c>
      <c r="F3069">
        <f t="shared" si="47"/>
        <v>0.8</v>
      </c>
      <c r="I3069">
        <v>20160701</v>
      </c>
      <c r="J3069" t="s">
        <v>2986</v>
      </c>
      <c r="K3069" t="s">
        <v>2957</v>
      </c>
      <c r="L3069" t="s">
        <v>2987</v>
      </c>
      <c r="M3069" t="s">
        <v>2988</v>
      </c>
      <c r="N3069" t="s">
        <v>2958</v>
      </c>
    </row>
    <row r="3070" spans="1:15" x14ac:dyDescent="0.3">
      <c r="A3070" s="160">
        <v>29212</v>
      </c>
      <c r="B3070" t="s">
        <v>18194</v>
      </c>
      <c r="C3070" t="s">
        <v>2882</v>
      </c>
      <c r="D3070">
        <v>2</v>
      </c>
      <c r="E3070">
        <v>0</v>
      </c>
      <c r="F3070">
        <f t="shared" si="47"/>
        <v>2</v>
      </c>
      <c r="I3070">
        <v>20230701</v>
      </c>
      <c r="J3070" t="s">
        <v>2902</v>
      </c>
      <c r="K3070" t="s">
        <v>2996</v>
      </c>
    </row>
    <row r="3071" spans="1:15" x14ac:dyDescent="0.3">
      <c r="A3071" s="160">
        <v>29216</v>
      </c>
      <c r="B3071" t="s">
        <v>18195</v>
      </c>
      <c r="C3071" t="s">
        <v>2915</v>
      </c>
      <c r="D3071">
        <v>1</v>
      </c>
      <c r="E3071">
        <v>0</v>
      </c>
      <c r="F3071">
        <f t="shared" si="47"/>
        <v>1</v>
      </c>
      <c r="I3071">
        <v>20190101</v>
      </c>
      <c r="J3071" t="s">
        <v>2997</v>
      </c>
      <c r="K3071" t="s">
        <v>2998</v>
      </c>
      <c r="L3071" t="s">
        <v>2992</v>
      </c>
    </row>
    <row r="3072" spans="1:15" x14ac:dyDescent="0.3">
      <c r="A3072" s="160">
        <v>29217</v>
      </c>
      <c r="B3072" t="s">
        <v>18196</v>
      </c>
      <c r="C3072" t="s">
        <v>2927</v>
      </c>
      <c r="D3072">
        <v>0.6</v>
      </c>
      <c r="E3072">
        <v>0</v>
      </c>
      <c r="F3072">
        <f t="shared" si="47"/>
        <v>0.6</v>
      </c>
      <c r="I3072">
        <v>20150101</v>
      </c>
      <c r="J3072" t="s">
        <v>2999</v>
      </c>
    </row>
    <row r="3073" spans="1:49" x14ac:dyDescent="0.3">
      <c r="A3073" s="160">
        <v>29219</v>
      </c>
      <c r="B3073" t="s">
        <v>18197</v>
      </c>
      <c r="C3073" t="s">
        <v>2884</v>
      </c>
      <c r="D3073">
        <v>0.8</v>
      </c>
      <c r="E3073">
        <v>0</v>
      </c>
      <c r="F3073">
        <f t="shared" si="47"/>
        <v>0.8</v>
      </c>
      <c r="I3073">
        <v>20160701</v>
      </c>
      <c r="J3073" t="s">
        <v>2885</v>
      </c>
    </row>
    <row r="3074" spans="1:49" x14ac:dyDescent="0.3">
      <c r="A3074" s="160">
        <v>29224</v>
      </c>
      <c r="B3074" t="s">
        <v>18198</v>
      </c>
      <c r="C3074" t="s">
        <v>2938</v>
      </c>
      <c r="D3074">
        <v>0.8</v>
      </c>
      <c r="E3074">
        <v>0</v>
      </c>
      <c r="F3074">
        <f t="shared" si="47"/>
        <v>0.8</v>
      </c>
      <c r="I3074">
        <v>20230101</v>
      </c>
      <c r="J3074" t="s">
        <v>2939</v>
      </c>
    </row>
    <row r="3075" spans="1:49" x14ac:dyDescent="0.3">
      <c r="A3075" s="160">
        <v>29226</v>
      </c>
      <c r="B3075" t="s">
        <v>18199</v>
      </c>
      <c r="C3075" t="s">
        <v>2938</v>
      </c>
      <c r="D3075">
        <v>0.8</v>
      </c>
      <c r="E3075">
        <v>0</v>
      </c>
      <c r="F3075">
        <f t="shared" si="47"/>
        <v>0.8</v>
      </c>
      <c r="I3075">
        <v>20230101</v>
      </c>
      <c r="J3075" t="s">
        <v>2939</v>
      </c>
    </row>
    <row r="3076" spans="1:49" x14ac:dyDescent="0.3">
      <c r="A3076" s="160">
        <v>29227</v>
      </c>
      <c r="B3076" t="s">
        <v>18200</v>
      </c>
      <c r="C3076" t="s">
        <v>2302</v>
      </c>
      <c r="D3076">
        <v>0</v>
      </c>
      <c r="E3076">
        <v>0</v>
      </c>
      <c r="F3076">
        <f t="shared" si="47"/>
        <v>0</v>
      </c>
      <c r="I3076">
        <v>20170701</v>
      </c>
      <c r="J3076" t="s">
        <v>3000</v>
      </c>
    </row>
    <row r="3077" spans="1:49" x14ac:dyDescent="0.3">
      <c r="A3077" s="160">
        <v>29229</v>
      </c>
      <c r="B3077" t="s">
        <v>18201</v>
      </c>
      <c r="C3077" t="s">
        <v>2915</v>
      </c>
      <c r="D3077">
        <v>1</v>
      </c>
      <c r="E3077">
        <v>0</v>
      </c>
      <c r="F3077">
        <f t="shared" si="47"/>
        <v>1</v>
      </c>
      <c r="I3077">
        <v>20200101</v>
      </c>
      <c r="J3077" t="s">
        <v>2961</v>
      </c>
    </row>
    <row r="3078" spans="1:49" x14ac:dyDescent="0.3">
      <c r="A3078" s="160">
        <v>29230</v>
      </c>
      <c r="B3078" t="s">
        <v>18202</v>
      </c>
      <c r="C3078" t="s">
        <v>2879</v>
      </c>
      <c r="D3078">
        <v>0.8</v>
      </c>
      <c r="E3078">
        <v>0</v>
      </c>
      <c r="F3078">
        <f t="shared" si="47"/>
        <v>0.8</v>
      </c>
      <c r="I3078">
        <v>20110401</v>
      </c>
      <c r="J3078" t="s">
        <v>2976</v>
      </c>
    </row>
    <row r="3079" spans="1:49" x14ac:dyDescent="0.3">
      <c r="A3079" s="160">
        <v>29232</v>
      </c>
      <c r="B3079" t="s">
        <v>18203</v>
      </c>
      <c r="C3079" t="s">
        <v>2915</v>
      </c>
      <c r="D3079">
        <v>1</v>
      </c>
      <c r="E3079">
        <v>0</v>
      </c>
      <c r="F3079">
        <f t="shared" ref="F3079:F3142" si="48">D3079+E3079</f>
        <v>1</v>
      </c>
      <c r="I3079">
        <v>20190101</v>
      </c>
      <c r="J3079" t="s">
        <v>3001</v>
      </c>
      <c r="K3079" t="s">
        <v>3002</v>
      </c>
      <c r="L3079" t="s">
        <v>3003</v>
      </c>
      <c r="M3079" t="s">
        <v>3004</v>
      </c>
      <c r="N3079" t="s">
        <v>3005</v>
      </c>
      <c r="O3079" t="s">
        <v>3006</v>
      </c>
      <c r="P3079" t="s">
        <v>3007</v>
      </c>
      <c r="Q3079" t="s">
        <v>3008</v>
      </c>
      <c r="R3079" t="s">
        <v>3009</v>
      </c>
      <c r="S3079" t="s">
        <v>2997</v>
      </c>
      <c r="T3079" t="s">
        <v>3010</v>
      </c>
      <c r="U3079" t="s">
        <v>3011</v>
      </c>
      <c r="V3079" t="s">
        <v>3012</v>
      </c>
      <c r="W3079" t="s">
        <v>3013</v>
      </c>
      <c r="X3079" t="s">
        <v>3014</v>
      </c>
      <c r="Y3079" t="s">
        <v>3015</v>
      </c>
      <c r="Z3079" t="s">
        <v>3016</v>
      </c>
      <c r="AA3079" t="s">
        <v>3017</v>
      </c>
      <c r="AB3079" t="s">
        <v>3018</v>
      </c>
      <c r="AC3079" t="s">
        <v>3019</v>
      </c>
      <c r="AD3079" t="s">
        <v>3020</v>
      </c>
      <c r="AE3079" t="s">
        <v>3021</v>
      </c>
      <c r="AF3079" t="s">
        <v>3022</v>
      </c>
      <c r="AG3079" t="s">
        <v>3023</v>
      </c>
      <c r="AH3079" t="s">
        <v>3024</v>
      </c>
      <c r="AI3079" t="s">
        <v>3025</v>
      </c>
      <c r="AJ3079" t="s">
        <v>3026</v>
      </c>
      <c r="AK3079" t="s">
        <v>3027</v>
      </c>
      <c r="AL3079" t="s">
        <v>3028</v>
      </c>
      <c r="AM3079" t="s">
        <v>3029</v>
      </c>
      <c r="AN3079" t="s">
        <v>2998</v>
      </c>
      <c r="AO3079" t="s">
        <v>2948</v>
      </c>
      <c r="AP3079" t="s">
        <v>2949</v>
      </c>
      <c r="AQ3079" t="s">
        <v>2950</v>
      </c>
      <c r="AR3079" t="s">
        <v>2951</v>
      </c>
      <c r="AS3079" t="s">
        <v>3030</v>
      </c>
      <c r="AT3079" t="s">
        <v>2952</v>
      </c>
      <c r="AU3079" t="s">
        <v>3031</v>
      </c>
      <c r="AV3079" t="s">
        <v>3032</v>
      </c>
      <c r="AW3079" t="s">
        <v>3033</v>
      </c>
    </row>
    <row r="3080" spans="1:49" x14ac:dyDescent="0.3">
      <c r="A3080" s="160">
        <v>29233</v>
      </c>
      <c r="B3080" t="s">
        <v>18204</v>
      </c>
      <c r="C3080" t="s">
        <v>2879</v>
      </c>
      <c r="D3080">
        <v>0.8</v>
      </c>
      <c r="E3080">
        <v>0</v>
      </c>
      <c r="F3080">
        <f t="shared" si="48"/>
        <v>0.8</v>
      </c>
      <c r="I3080">
        <v>20110401</v>
      </c>
      <c r="J3080" t="s">
        <v>2880</v>
      </c>
      <c r="K3080" t="s">
        <v>2905</v>
      </c>
      <c r="L3080" t="s">
        <v>3034</v>
      </c>
      <c r="M3080" t="s">
        <v>2979</v>
      </c>
      <c r="N3080" t="s">
        <v>3035</v>
      </c>
      <c r="O3080" t="s">
        <v>2980</v>
      </c>
      <c r="P3080" t="s">
        <v>2981</v>
      </c>
      <c r="Q3080" t="s">
        <v>2982</v>
      </c>
    </row>
    <row r="3081" spans="1:49" x14ac:dyDescent="0.3">
      <c r="A3081" s="160">
        <v>29234</v>
      </c>
      <c r="B3081" t="s">
        <v>18205</v>
      </c>
      <c r="C3081" t="s">
        <v>2879</v>
      </c>
      <c r="D3081">
        <v>0.8</v>
      </c>
      <c r="E3081">
        <v>0</v>
      </c>
      <c r="F3081">
        <f t="shared" si="48"/>
        <v>0.8</v>
      </c>
      <c r="I3081">
        <v>20110401</v>
      </c>
      <c r="J3081" t="s">
        <v>2880</v>
      </c>
      <c r="K3081" t="s">
        <v>2905</v>
      </c>
      <c r="L3081" t="s">
        <v>3034</v>
      </c>
      <c r="M3081" t="s">
        <v>2979</v>
      </c>
    </row>
    <row r="3082" spans="1:49" x14ac:dyDescent="0.3">
      <c r="A3082" s="160">
        <v>29235</v>
      </c>
      <c r="B3082" t="s">
        <v>18206</v>
      </c>
      <c r="C3082" t="s">
        <v>2882</v>
      </c>
      <c r="D3082">
        <v>2</v>
      </c>
      <c r="E3082">
        <v>0</v>
      </c>
      <c r="F3082">
        <f t="shared" si="48"/>
        <v>2</v>
      </c>
      <c r="I3082">
        <v>20230701</v>
      </c>
      <c r="J3082" t="s">
        <v>3036</v>
      </c>
      <c r="K3082" t="s">
        <v>2912</v>
      </c>
      <c r="L3082" t="s">
        <v>3037</v>
      </c>
    </row>
    <row r="3083" spans="1:49" x14ac:dyDescent="0.3">
      <c r="A3083" s="160">
        <v>29236</v>
      </c>
      <c r="B3083" t="s">
        <v>18207</v>
      </c>
      <c r="C3083" t="s">
        <v>2879</v>
      </c>
      <c r="D3083">
        <v>0.8</v>
      </c>
      <c r="E3083">
        <v>0</v>
      </c>
      <c r="F3083">
        <f t="shared" si="48"/>
        <v>0.8</v>
      </c>
      <c r="I3083">
        <v>20110401</v>
      </c>
      <c r="J3083" t="s">
        <v>3038</v>
      </c>
    </row>
    <row r="3084" spans="1:49" x14ac:dyDescent="0.3">
      <c r="A3084" s="160">
        <v>29237</v>
      </c>
      <c r="B3084" t="s">
        <v>18208</v>
      </c>
      <c r="C3084" t="s">
        <v>27538</v>
      </c>
      <c r="D3084">
        <v>0.45</v>
      </c>
      <c r="E3084">
        <v>0</v>
      </c>
      <c r="F3084">
        <f t="shared" si="48"/>
        <v>0.45</v>
      </c>
      <c r="I3084">
        <v>20250101</v>
      </c>
      <c r="J3084" t="s">
        <v>2968</v>
      </c>
      <c r="K3084" t="s">
        <v>2937</v>
      </c>
      <c r="L3084" t="s">
        <v>2955</v>
      </c>
    </row>
    <row r="3085" spans="1:49" x14ac:dyDescent="0.3">
      <c r="A3085" s="160">
        <v>29241</v>
      </c>
      <c r="B3085" t="s">
        <v>18209</v>
      </c>
      <c r="C3085" t="s">
        <v>2927</v>
      </c>
      <c r="D3085">
        <v>0.6</v>
      </c>
      <c r="E3085">
        <v>0</v>
      </c>
      <c r="F3085">
        <f t="shared" si="48"/>
        <v>0.6</v>
      </c>
      <c r="I3085">
        <v>20150101</v>
      </c>
      <c r="J3085" t="s">
        <v>2978</v>
      </c>
    </row>
    <row r="3086" spans="1:49" x14ac:dyDescent="0.3">
      <c r="A3086" s="160">
        <v>29245</v>
      </c>
      <c r="B3086" t="s">
        <v>18210</v>
      </c>
      <c r="C3086" t="s">
        <v>27538</v>
      </c>
      <c r="D3086">
        <v>0.45</v>
      </c>
      <c r="E3086">
        <v>0</v>
      </c>
      <c r="F3086">
        <f t="shared" si="48"/>
        <v>0.45</v>
      </c>
      <c r="I3086">
        <v>20250101</v>
      </c>
      <c r="J3086" t="s">
        <v>2955</v>
      </c>
    </row>
    <row r="3087" spans="1:49" x14ac:dyDescent="0.3">
      <c r="A3087" s="160">
        <v>29246</v>
      </c>
      <c r="B3087" t="s">
        <v>18211</v>
      </c>
      <c r="C3087" t="s">
        <v>27538</v>
      </c>
      <c r="D3087">
        <v>0.45</v>
      </c>
      <c r="E3087">
        <v>0</v>
      </c>
      <c r="F3087">
        <f t="shared" si="48"/>
        <v>0.45</v>
      </c>
      <c r="I3087">
        <v>20250101</v>
      </c>
      <c r="J3087" t="s">
        <v>2936</v>
      </c>
    </row>
    <row r="3088" spans="1:49" x14ac:dyDescent="0.3">
      <c r="A3088" s="160">
        <v>29250</v>
      </c>
      <c r="B3088" t="s">
        <v>18212</v>
      </c>
      <c r="C3088" t="s">
        <v>2302</v>
      </c>
      <c r="D3088">
        <v>0</v>
      </c>
      <c r="E3088">
        <v>0</v>
      </c>
      <c r="F3088">
        <f t="shared" si="48"/>
        <v>0</v>
      </c>
      <c r="I3088">
        <v>20170701</v>
      </c>
      <c r="J3088" t="s">
        <v>2918</v>
      </c>
    </row>
    <row r="3089" spans="1:16" x14ac:dyDescent="0.3">
      <c r="A3089" s="160">
        <v>29251</v>
      </c>
      <c r="B3089" t="s">
        <v>18213</v>
      </c>
      <c r="C3089" t="s">
        <v>2884</v>
      </c>
      <c r="D3089">
        <v>0.8</v>
      </c>
      <c r="E3089">
        <v>0</v>
      </c>
      <c r="F3089">
        <f t="shared" si="48"/>
        <v>0.8</v>
      </c>
      <c r="I3089">
        <v>20160701</v>
      </c>
      <c r="J3089" t="s">
        <v>2995</v>
      </c>
    </row>
    <row r="3090" spans="1:16" x14ac:dyDescent="0.3">
      <c r="A3090" s="160">
        <v>29254</v>
      </c>
      <c r="B3090" t="s">
        <v>18214</v>
      </c>
      <c r="C3090" t="s">
        <v>2884</v>
      </c>
      <c r="D3090">
        <v>0.8</v>
      </c>
      <c r="E3090">
        <v>0</v>
      </c>
      <c r="F3090">
        <f t="shared" si="48"/>
        <v>0.8</v>
      </c>
      <c r="I3090">
        <v>20160701</v>
      </c>
      <c r="J3090" t="s">
        <v>2986</v>
      </c>
      <c r="K3090" t="s">
        <v>2957</v>
      </c>
      <c r="L3090" t="s">
        <v>2987</v>
      </c>
      <c r="M3090" t="s">
        <v>2988</v>
      </c>
      <c r="N3090" t="s">
        <v>2958</v>
      </c>
      <c r="O3090" t="s">
        <v>2989</v>
      </c>
      <c r="P3090" t="s">
        <v>2990</v>
      </c>
    </row>
    <row r="3091" spans="1:16" x14ac:dyDescent="0.3">
      <c r="A3091" s="160">
        <v>29265</v>
      </c>
      <c r="B3091" t="s">
        <v>18215</v>
      </c>
      <c r="C3091" t="s">
        <v>2884</v>
      </c>
      <c r="D3091">
        <v>0.8</v>
      </c>
      <c r="E3091">
        <v>0</v>
      </c>
      <c r="F3091">
        <f t="shared" si="48"/>
        <v>0.8</v>
      </c>
      <c r="I3091">
        <v>20160701</v>
      </c>
      <c r="J3091" t="s">
        <v>2986</v>
      </c>
      <c r="K3091" t="s">
        <v>2988</v>
      </c>
      <c r="L3091" t="s">
        <v>2989</v>
      </c>
    </row>
    <row r="3092" spans="1:16" x14ac:dyDescent="0.3">
      <c r="A3092" s="160">
        <v>29266</v>
      </c>
      <c r="B3092" t="s">
        <v>18216</v>
      </c>
      <c r="C3092" t="s">
        <v>2884</v>
      </c>
      <c r="D3092">
        <v>0.8</v>
      </c>
      <c r="E3092">
        <v>0</v>
      </c>
      <c r="F3092">
        <f t="shared" si="48"/>
        <v>0.8</v>
      </c>
      <c r="I3092">
        <v>20160701</v>
      </c>
      <c r="J3092" t="s">
        <v>2926</v>
      </c>
    </row>
    <row r="3093" spans="1:16" x14ac:dyDescent="0.3">
      <c r="A3093" s="160">
        <v>29268</v>
      </c>
      <c r="B3093" t="s">
        <v>18217</v>
      </c>
      <c r="C3093" t="s">
        <v>27538</v>
      </c>
      <c r="D3093">
        <v>0.45</v>
      </c>
      <c r="E3093">
        <v>0</v>
      </c>
      <c r="F3093">
        <f t="shared" si="48"/>
        <v>0.45</v>
      </c>
      <c r="I3093">
        <v>20250101</v>
      </c>
      <c r="J3093" t="s">
        <v>2954</v>
      </c>
      <c r="K3093" t="s">
        <v>2955</v>
      </c>
    </row>
    <row r="3094" spans="1:16" x14ac:dyDescent="0.3">
      <c r="A3094" s="160">
        <v>29269</v>
      </c>
      <c r="B3094" t="s">
        <v>18218</v>
      </c>
      <c r="C3094" t="s">
        <v>2879</v>
      </c>
      <c r="D3094">
        <v>0.8</v>
      </c>
      <c r="E3094">
        <v>0</v>
      </c>
      <c r="F3094">
        <f t="shared" si="48"/>
        <v>0.8</v>
      </c>
      <c r="I3094">
        <v>20110401</v>
      </c>
      <c r="J3094" t="s">
        <v>2881</v>
      </c>
    </row>
    <row r="3095" spans="1:16" x14ac:dyDescent="0.3">
      <c r="A3095" s="160">
        <v>29270</v>
      </c>
      <c r="B3095" t="s">
        <v>18219</v>
      </c>
      <c r="C3095" t="s">
        <v>27538</v>
      </c>
      <c r="D3095">
        <v>0.45</v>
      </c>
      <c r="E3095">
        <v>0</v>
      </c>
      <c r="F3095">
        <f t="shared" si="48"/>
        <v>0.45</v>
      </c>
      <c r="I3095">
        <v>20250101</v>
      </c>
      <c r="J3095" t="s">
        <v>2955</v>
      </c>
    </row>
    <row r="3096" spans="1:16" x14ac:dyDescent="0.3">
      <c r="A3096" s="160">
        <v>29272</v>
      </c>
      <c r="B3096" t="s">
        <v>18220</v>
      </c>
      <c r="C3096" t="s">
        <v>2927</v>
      </c>
      <c r="D3096">
        <v>0.6</v>
      </c>
      <c r="E3096">
        <v>0</v>
      </c>
      <c r="F3096">
        <f t="shared" si="48"/>
        <v>0.6</v>
      </c>
      <c r="I3096">
        <v>20150101</v>
      </c>
      <c r="J3096" t="s">
        <v>2978</v>
      </c>
    </row>
    <row r="3097" spans="1:16" x14ac:dyDescent="0.3">
      <c r="A3097" s="160">
        <v>29274</v>
      </c>
      <c r="B3097" t="s">
        <v>18221</v>
      </c>
      <c r="C3097" t="s">
        <v>2879</v>
      </c>
      <c r="D3097">
        <v>0.8</v>
      </c>
      <c r="E3097">
        <v>0</v>
      </c>
      <c r="F3097">
        <f t="shared" si="48"/>
        <v>0.8</v>
      </c>
      <c r="I3097">
        <v>20110401</v>
      </c>
      <c r="J3097" t="s">
        <v>3039</v>
      </c>
    </row>
    <row r="3098" spans="1:16" x14ac:dyDescent="0.3">
      <c r="A3098" s="160">
        <v>29279</v>
      </c>
      <c r="B3098" t="s">
        <v>18222</v>
      </c>
      <c r="C3098" t="s">
        <v>2884</v>
      </c>
      <c r="D3098">
        <v>0.8</v>
      </c>
      <c r="E3098">
        <v>0</v>
      </c>
      <c r="F3098">
        <f t="shared" si="48"/>
        <v>0.8</v>
      </c>
      <c r="I3098">
        <v>20160701</v>
      </c>
      <c r="J3098" t="s">
        <v>2965</v>
      </c>
    </row>
    <row r="3099" spans="1:16" x14ac:dyDescent="0.3">
      <c r="A3099" s="160">
        <v>29281</v>
      </c>
      <c r="B3099" t="s">
        <v>18223</v>
      </c>
      <c r="C3099" t="s">
        <v>2927</v>
      </c>
      <c r="D3099">
        <v>0.6</v>
      </c>
      <c r="E3099">
        <v>0</v>
      </c>
      <c r="F3099">
        <f t="shared" si="48"/>
        <v>0.6</v>
      </c>
      <c r="I3099">
        <v>20150101</v>
      </c>
      <c r="J3099" t="s">
        <v>2978</v>
      </c>
    </row>
    <row r="3100" spans="1:16" x14ac:dyDescent="0.3">
      <c r="A3100" s="160">
        <v>29286</v>
      </c>
      <c r="B3100" t="s">
        <v>18224</v>
      </c>
      <c r="C3100" t="s">
        <v>27538</v>
      </c>
      <c r="D3100">
        <v>0.45</v>
      </c>
      <c r="E3100">
        <v>0</v>
      </c>
      <c r="F3100">
        <f t="shared" si="48"/>
        <v>0.45</v>
      </c>
      <c r="I3100">
        <v>20250101</v>
      </c>
      <c r="J3100" t="s">
        <v>2955</v>
      </c>
    </row>
    <row r="3101" spans="1:16" x14ac:dyDescent="0.3">
      <c r="A3101" s="160">
        <v>29293</v>
      </c>
      <c r="B3101" t="s">
        <v>18225</v>
      </c>
      <c r="C3101" t="s">
        <v>2927</v>
      </c>
      <c r="D3101">
        <v>0.6</v>
      </c>
      <c r="E3101">
        <v>0</v>
      </c>
      <c r="F3101">
        <f t="shared" si="48"/>
        <v>0.6</v>
      </c>
      <c r="I3101">
        <v>20150101</v>
      </c>
      <c r="J3101" t="s">
        <v>3040</v>
      </c>
    </row>
    <row r="3102" spans="1:16" x14ac:dyDescent="0.3">
      <c r="A3102" s="160">
        <v>29294</v>
      </c>
      <c r="B3102" t="s">
        <v>18226</v>
      </c>
      <c r="C3102" t="s">
        <v>27538</v>
      </c>
      <c r="D3102">
        <v>0.45</v>
      </c>
      <c r="E3102">
        <v>0</v>
      </c>
      <c r="F3102">
        <f t="shared" si="48"/>
        <v>0.45</v>
      </c>
      <c r="I3102">
        <v>20250101</v>
      </c>
      <c r="J3102" t="s">
        <v>3041</v>
      </c>
    </row>
    <row r="3103" spans="1:16" x14ac:dyDescent="0.3">
      <c r="A3103" s="160">
        <v>29295</v>
      </c>
      <c r="B3103" t="s">
        <v>18227</v>
      </c>
      <c r="C3103" t="s">
        <v>27538</v>
      </c>
      <c r="D3103">
        <v>0.45</v>
      </c>
      <c r="E3103">
        <v>0</v>
      </c>
      <c r="F3103">
        <f t="shared" si="48"/>
        <v>0.45</v>
      </c>
      <c r="I3103">
        <v>20250101</v>
      </c>
      <c r="J3103" t="s">
        <v>2955</v>
      </c>
    </row>
    <row r="3104" spans="1:16" x14ac:dyDescent="0.3">
      <c r="A3104" s="160">
        <v>29297</v>
      </c>
      <c r="B3104" t="s">
        <v>18228</v>
      </c>
      <c r="C3104" t="s">
        <v>2879</v>
      </c>
      <c r="D3104">
        <v>0.8</v>
      </c>
      <c r="E3104">
        <v>0</v>
      </c>
      <c r="F3104">
        <f t="shared" si="48"/>
        <v>0.8</v>
      </c>
      <c r="I3104">
        <v>20110401</v>
      </c>
      <c r="J3104" t="s">
        <v>2880</v>
      </c>
      <c r="K3104" t="s">
        <v>3034</v>
      </c>
      <c r="L3104" t="s">
        <v>2979</v>
      </c>
    </row>
    <row r="3105" spans="1:21" x14ac:dyDescent="0.3">
      <c r="A3105" s="160">
        <v>29300</v>
      </c>
      <c r="B3105" t="s">
        <v>18229</v>
      </c>
      <c r="C3105" t="s">
        <v>2879</v>
      </c>
      <c r="D3105">
        <v>0.8</v>
      </c>
      <c r="E3105">
        <v>0</v>
      </c>
      <c r="F3105">
        <f t="shared" si="48"/>
        <v>0.8</v>
      </c>
      <c r="I3105">
        <v>20110401</v>
      </c>
      <c r="J3105" t="s">
        <v>2881</v>
      </c>
    </row>
    <row r="3106" spans="1:21" x14ac:dyDescent="0.3">
      <c r="A3106" s="160">
        <v>30005</v>
      </c>
      <c r="B3106" t="s">
        <v>18274</v>
      </c>
      <c r="C3106" t="s">
        <v>3156</v>
      </c>
      <c r="D3106">
        <v>0.6</v>
      </c>
      <c r="E3106">
        <v>0</v>
      </c>
      <c r="F3106">
        <f t="shared" si="48"/>
        <v>0.6</v>
      </c>
      <c r="I3106">
        <v>20200101</v>
      </c>
      <c r="J3106" t="s">
        <v>3157</v>
      </c>
    </row>
    <row r="3107" spans="1:21" x14ac:dyDescent="0.3">
      <c r="A3107" s="160">
        <v>30007</v>
      </c>
      <c r="B3107" t="s">
        <v>18275</v>
      </c>
      <c r="C3107" t="s">
        <v>3158</v>
      </c>
      <c r="D3107">
        <v>1.25</v>
      </c>
      <c r="E3107">
        <v>0</v>
      </c>
      <c r="F3107">
        <f t="shared" si="48"/>
        <v>1.25</v>
      </c>
      <c r="I3107">
        <v>20130701</v>
      </c>
      <c r="J3107" t="s">
        <v>3159</v>
      </c>
      <c r="K3107" t="s">
        <v>3160</v>
      </c>
      <c r="L3107" t="s">
        <v>3161</v>
      </c>
      <c r="M3107" t="s">
        <v>3162</v>
      </c>
      <c r="N3107" t="s">
        <v>3163</v>
      </c>
      <c r="O3107" t="s">
        <v>3164</v>
      </c>
      <c r="P3107" t="s">
        <v>3165</v>
      </c>
      <c r="Q3107" t="s">
        <v>3166</v>
      </c>
      <c r="R3107" t="s">
        <v>3167</v>
      </c>
      <c r="S3107" t="s">
        <v>3168</v>
      </c>
      <c r="T3107" t="s">
        <v>3169</v>
      </c>
      <c r="U3107" t="s">
        <v>3170</v>
      </c>
    </row>
    <row r="3108" spans="1:21" x14ac:dyDescent="0.3">
      <c r="A3108" s="160">
        <v>30008</v>
      </c>
      <c r="B3108" t="s">
        <v>18276</v>
      </c>
      <c r="C3108" t="s">
        <v>3158</v>
      </c>
      <c r="D3108">
        <v>1.25</v>
      </c>
      <c r="E3108">
        <v>0</v>
      </c>
      <c r="F3108">
        <f t="shared" si="48"/>
        <v>1.25</v>
      </c>
      <c r="I3108">
        <v>20140101</v>
      </c>
      <c r="J3108" t="s">
        <v>3171</v>
      </c>
    </row>
    <row r="3109" spans="1:21" x14ac:dyDescent="0.3">
      <c r="A3109" s="160">
        <v>30010</v>
      </c>
      <c r="B3109" t="s">
        <v>18277</v>
      </c>
      <c r="C3109" t="s">
        <v>3158</v>
      </c>
      <c r="D3109">
        <v>1.25</v>
      </c>
      <c r="E3109">
        <v>0</v>
      </c>
      <c r="F3109">
        <f t="shared" si="48"/>
        <v>1.25</v>
      </c>
      <c r="I3109">
        <v>20130701</v>
      </c>
      <c r="J3109" t="s">
        <v>3172</v>
      </c>
    </row>
    <row r="3110" spans="1:21" x14ac:dyDescent="0.3">
      <c r="A3110" s="160">
        <v>30011</v>
      </c>
      <c r="B3110" t="s">
        <v>18278</v>
      </c>
      <c r="C3110" t="s">
        <v>3173</v>
      </c>
      <c r="D3110">
        <v>2</v>
      </c>
      <c r="E3110">
        <v>0</v>
      </c>
      <c r="F3110">
        <f t="shared" si="48"/>
        <v>2</v>
      </c>
      <c r="I3110">
        <v>20180701</v>
      </c>
      <c r="J3110" t="s">
        <v>3174</v>
      </c>
      <c r="K3110" t="s">
        <v>3175</v>
      </c>
      <c r="L3110" t="s">
        <v>3176</v>
      </c>
      <c r="M3110" t="s">
        <v>3177</v>
      </c>
      <c r="N3110" t="s">
        <v>3178</v>
      </c>
    </row>
    <row r="3111" spans="1:21" x14ac:dyDescent="0.3">
      <c r="A3111" s="160">
        <v>30022</v>
      </c>
      <c r="B3111" t="s">
        <v>18279</v>
      </c>
      <c r="C3111" t="s">
        <v>3158</v>
      </c>
      <c r="D3111">
        <v>1.25</v>
      </c>
      <c r="E3111">
        <v>0</v>
      </c>
      <c r="F3111">
        <f t="shared" si="48"/>
        <v>1.25</v>
      </c>
      <c r="I3111">
        <v>20240101</v>
      </c>
      <c r="J3111" t="s">
        <v>3179</v>
      </c>
    </row>
    <row r="3112" spans="1:21" x14ac:dyDescent="0.3">
      <c r="A3112" s="160">
        <v>30027</v>
      </c>
      <c r="B3112" t="s">
        <v>18280</v>
      </c>
      <c r="C3112" t="s">
        <v>3158</v>
      </c>
      <c r="D3112">
        <v>1.25</v>
      </c>
      <c r="E3112">
        <v>0</v>
      </c>
      <c r="F3112">
        <f t="shared" si="48"/>
        <v>1.25</v>
      </c>
      <c r="I3112">
        <v>20130701</v>
      </c>
      <c r="J3112" t="s">
        <v>3172</v>
      </c>
    </row>
    <row r="3113" spans="1:21" x14ac:dyDescent="0.3">
      <c r="A3113" s="160">
        <v>30028</v>
      </c>
      <c r="B3113" t="s">
        <v>18281</v>
      </c>
      <c r="C3113" t="s">
        <v>3156</v>
      </c>
      <c r="D3113">
        <v>0.6</v>
      </c>
      <c r="E3113">
        <v>0</v>
      </c>
      <c r="F3113">
        <f t="shared" si="48"/>
        <v>0.6</v>
      </c>
      <c r="I3113">
        <v>20200101</v>
      </c>
      <c r="J3113" t="s">
        <v>3180</v>
      </c>
      <c r="K3113" t="s">
        <v>3181</v>
      </c>
      <c r="L3113" t="s">
        <v>3182</v>
      </c>
      <c r="M3113" t="s">
        <v>3183</v>
      </c>
      <c r="N3113" t="s">
        <v>3184</v>
      </c>
      <c r="O3113" t="s">
        <v>3185</v>
      </c>
      <c r="P3113" t="s">
        <v>3186</v>
      </c>
    </row>
    <row r="3114" spans="1:21" x14ac:dyDescent="0.3">
      <c r="A3114" s="160">
        <v>30036</v>
      </c>
      <c r="B3114" t="s">
        <v>18282</v>
      </c>
      <c r="C3114" t="s">
        <v>3187</v>
      </c>
      <c r="D3114">
        <v>2</v>
      </c>
      <c r="E3114">
        <v>0</v>
      </c>
      <c r="F3114">
        <f t="shared" si="48"/>
        <v>2</v>
      </c>
      <c r="I3114">
        <v>20230101</v>
      </c>
      <c r="J3114" t="s">
        <v>3188</v>
      </c>
      <c r="K3114" t="s">
        <v>3189</v>
      </c>
    </row>
    <row r="3115" spans="1:21" x14ac:dyDescent="0.3">
      <c r="A3115" s="160">
        <v>30037</v>
      </c>
      <c r="B3115" t="s">
        <v>18283</v>
      </c>
      <c r="C3115" t="s">
        <v>3158</v>
      </c>
      <c r="D3115">
        <v>1.25</v>
      </c>
      <c r="E3115">
        <v>0</v>
      </c>
      <c r="F3115">
        <f t="shared" si="48"/>
        <v>1.25</v>
      </c>
      <c r="I3115">
        <v>20170701</v>
      </c>
      <c r="J3115" t="s">
        <v>3190</v>
      </c>
    </row>
    <row r="3116" spans="1:21" x14ac:dyDescent="0.3">
      <c r="A3116" s="160">
        <v>30039</v>
      </c>
      <c r="B3116" t="s">
        <v>18284</v>
      </c>
      <c r="C3116" t="s">
        <v>3187</v>
      </c>
      <c r="D3116">
        <v>2</v>
      </c>
      <c r="E3116">
        <v>0</v>
      </c>
      <c r="F3116">
        <f t="shared" si="48"/>
        <v>2</v>
      </c>
      <c r="I3116">
        <v>20230101</v>
      </c>
      <c r="J3116" t="s">
        <v>3191</v>
      </c>
    </row>
    <row r="3117" spans="1:21" x14ac:dyDescent="0.3">
      <c r="A3117" s="160">
        <v>30042</v>
      </c>
      <c r="B3117" t="s">
        <v>18285</v>
      </c>
      <c r="C3117" t="s">
        <v>3158</v>
      </c>
      <c r="D3117">
        <v>1.25</v>
      </c>
      <c r="E3117">
        <v>0</v>
      </c>
      <c r="F3117">
        <f t="shared" si="48"/>
        <v>1.25</v>
      </c>
      <c r="I3117">
        <v>20130701</v>
      </c>
      <c r="J3117" t="s">
        <v>3162</v>
      </c>
      <c r="K3117" t="s">
        <v>3172</v>
      </c>
    </row>
    <row r="3118" spans="1:21" x14ac:dyDescent="0.3">
      <c r="A3118" s="160">
        <v>30044</v>
      </c>
      <c r="B3118" t="s">
        <v>18286</v>
      </c>
      <c r="C3118" t="s">
        <v>3158</v>
      </c>
      <c r="D3118">
        <v>1.25</v>
      </c>
      <c r="E3118">
        <v>0</v>
      </c>
      <c r="F3118">
        <f t="shared" si="48"/>
        <v>1.25</v>
      </c>
      <c r="I3118">
        <v>20240101</v>
      </c>
      <c r="J3118" t="s">
        <v>3179</v>
      </c>
    </row>
    <row r="3119" spans="1:21" x14ac:dyDescent="0.3">
      <c r="A3119" s="160">
        <v>30046</v>
      </c>
      <c r="B3119" t="s">
        <v>18287</v>
      </c>
      <c r="C3119" t="s">
        <v>3158</v>
      </c>
      <c r="D3119">
        <v>1.25</v>
      </c>
      <c r="E3119">
        <v>0</v>
      </c>
      <c r="F3119">
        <f t="shared" si="48"/>
        <v>1.25</v>
      </c>
      <c r="I3119">
        <v>20130701</v>
      </c>
      <c r="J3119" t="s">
        <v>3192</v>
      </c>
    </row>
    <row r="3120" spans="1:21" x14ac:dyDescent="0.3">
      <c r="A3120" s="160">
        <v>30047</v>
      </c>
      <c r="B3120" t="s">
        <v>18288</v>
      </c>
      <c r="C3120" t="s">
        <v>3187</v>
      </c>
      <c r="D3120">
        <v>2</v>
      </c>
      <c r="E3120">
        <v>0</v>
      </c>
      <c r="F3120">
        <f t="shared" si="48"/>
        <v>2</v>
      </c>
      <c r="I3120">
        <v>20230101</v>
      </c>
      <c r="J3120" t="s">
        <v>3193</v>
      </c>
    </row>
    <row r="3121" spans="1:14" x14ac:dyDescent="0.3">
      <c r="A3121" s="160">
        <v>30048</v>
      </c>
      <c r="B3121" t="s">
        <v>18289</v>
      </c>
      <c r="C3121" t="s">
        <v>3158</v>
      </c>
      <c r="D3121">
        <v>1.25</v>
      </c>
      <c r="E3121">
        <v>0</v>
      </c>
      <c r="F3121">
        <f t="shared" si="48"/>
        <v>1.25</v>
      </c>
      <c r="I3121">
        <v>20240101</v>
      </c>
      <c r="J3121" t="s">
        <v>3194</v>
      </c>
    </row>
    <row r="3122" spans="1:14" x14ac:dyDescent="0.3">
      <c r="A3122" s="160">
        <v>30051</v>
      </c>
      <c r="B3122" t="s">
        <v>18290</v>
      </c>
      <c r="C3122" t="s">
        <v>3158</v>
      </c>
      <c r="D3122">
        <v>1.25</v>
      </c>
      <c r="E3122">
        <v>0</v>
      </c>
      <c r="F3122">
        <f t="shared" si="48"/>
        <v>1.25</v>
      </c>
      <c r="I3122">
        <v>20130701</v>
      </c>
      <c r="J3122" t="s">
        <v>3195</v>
      </c>
    </row>
    <row r="3123" spans="1:14" x14ac:dyDescent="0.3">
      <c r="A3123" s="160">
        <v>30053</v>
      </c>
      <c r="B3123" t="s">
        <v>18291</v>
      </c>
      <c r="C3123" t="s">
        <v>3158</v>
      </c>
      <c r="D3123">
        <v>1.25</v>
      </c>
      <c r="E3123">
        <v>0</v>
      </c>
      <c r="F3123">
        <f t="shared" si="48"/>
        <v>1.25</v>
      </c>
      <c r="I3123">
        <v>20130701</v>
      </c>
      <c r="J3123" t="s">
        <v>3192</v>
      </c>
    </row>
    <row r="3124" spans="1:14" x14ac:dyDescent="0.3">
      <c r="A3124" s="160">
        <v>30055</v>
      </c>
      <c r="B3124" t="s">
        <v>18292</v>
      </c>
      <c r="C3124" t="s">
        <v>3158</v>
      </c>
      <c r="D3124">
        <v>1.25</v>
      </c>
      <c r="E3124">
        <v>0</v>
      </c>
      <c r="F3124">
        <f t="shared" si="48"/>
        <v>1.25</v>
      </c>
      <c r="I3124">
        <v>20240101</v>
      </c>
      <c r="J3124" t="s">
        <v>3166</v>
      </c>
      <c r="K3124" t="s">
        <v>3194</v>
      </c>
    </row>
    <row r="3125" spans="1:14" x14ac:dyDescent="0.3">
      <c r="A3125" s="160">
        <v>30057</v>
      </c>
      <c r="B3125" t="s">
        <v>18293</v>
      </c>
      <c r="C3125" t="s">
        <v>3187</v>
      </c>
      <c r="D3125">
        <v>2</v>
      </c>
      <c r="E3125">
        <v>0</v>
      </c>
      <c r="F3125">
        <f t="shared" si="48"/>
        <v>2</v>
      </c>
      <c r="I3125">
        <v>20230101</v>
      </c>
      <c r="J3125" t="s">
        <v>3196</v>
      </c>
    </row>
    <row r="3126" spans="1:14" x14ac:dyDescent="0.3">
      <c r="A3126" s="160">
        <v>30060</v>
      </c>
      <c r="B3126" t="s">
        <v>18294</v>
      </c>
      <c r="C3126" t="s">
        <v>3187</v>
      </c>
      <c r="D3126">
        <v>2</v>
      </c>
      <c r="E3126">
        <v>0</v>
      </c>
      <c r="F3126">
        <f t="shared" si="48"/>
        <v>2</v>
      </c>
      <c r="I3126">
        <v>20230101</v>
      </c>
      <c r="J3126" t="s">
        <v>3197</v>
      </c>
      <c r="K3126" t="s">
        <v>3198</v>
      </c>
      <c r="L3126" t="s">
        <v>3199</v>
      </c>
      <c r="M3126" t="s">
        <v>3200</v>
      </c>
    </row>
    <row r="3127" spans="1:14" x14ac:dyDescent="0.3">
      <c r="A3127" s="160">
        <v>30061</v>
      </c>
      <c r="B3127" t="s">
        <v>18295</v>
      </c>
      <c r="C3127" t="s">
        <v>3187</v>
      </c>
      <c r="D3127">
        <v>2</v>
      </c>
      <c r="E3127">
        <v>0</v>
      </c>
      <c r="F3127">
        <f t="shared" si="48"/>
        <v>2</v>
      </c>
      <c r="I3127">
        <v>20230101</v>
      </c>
      <c r="J3127" t="s">
        <v>3192</v>
      </c>
    </row>
    <row r="3128" spans="1:14" x14ac:dyDescent="0.3">
      <c r="A3128" s="160">
        <v>30068</v>
      </c>
      <c r="B3128" t="s">
        <v>18296</v>
      </c>
      <c r="C3128" t="s">
        <v>3158</v>
      </c>
      <c r="D3128">
        <v>1.25</v>
      </c>
      <c r="E3128">
        <v>0</v>
      </c>
      <c r="F3128">
        <f t="shared" si="48"/>
        <v>1.25</v>
      </c>
      <c r="I3128">
        <v>20170701</v>
      </c>
      <c r="J3128" t="s">
        <v>3201</v>
      </c>
    </row>
    <row r="3129" spans="1:14" x14ac:dyDescent="0.3">
      <c r="A3129" s="160">
        <v>30070</v>
      </c>
      <c r="B3129" t="s">
        <v>18297</v>
      </c>
      <c r="C3129" t="s">
        <v>3156</v>
      </c>
      <c r="D3129">
        <v>0.6</v>
      </c>
      <c r="E3129">
        <v>0</v>
      </c>
      <c r="F3129">
        <f t="shared" si="48"/>
        <v>0.6</v>
      </c>
      <c r="I3129">
        <v>20200101</v>
      </c>
      <c r="J3129" t="s">
        <v>3202</v>
      </c>
      <c r="K3129" t="s">
        <v>3203</v>
      </c>
    </row>
    <row r="3130" spans="1:14" x14ac:dyDescent="0.3">
      <c r="A3130" s="160">
        <v>30072</v>
      </c>
      <c r="B3130" t="s">
        <v>18298</v>
      </c>
      <c r="C3130" t="s">
        <v>3158</v>
      </c>
      <c r="D3130">
        <v>1.25</v>
      </c>
      <c r="E3130">
        <v>0</v>
      </c>
      <c r="F3130">
        <f t="shared" si="48"/>
        <v>1.25</v>
      </c>
      <c r="I3130">
        <v>20130701</v>
      </c>
      <c r="J3130" t="s">
        <v>3192</v>
      </c>
    </row>
    <row r="3131" spans="1:14" x14ac:dyDescent="0.3">
      <c r="A3131" s="160">
        <v>30075</v>
      </c>
      <c r="B3131" t="s">
        <v>18299</v>
      </c>
      <c r="C3131" t="s">
        <v>3187</v>
      </c>
      <c r="D3131">
        <v>2</v>
      </c>
      <c r="E3131">
        <v>0</v>
      </c>
      <c r="F3131">
        <f t="shared" si="48"/>
        <v>2</v>
      </c>
      <c r="I3131">
        <v>20230101</v>
      </c>
      <c r="J3131" t="s">
        <v>3204</v>
      </c>
    </row>
    <row r="3132" spans="1:14" x14ac:dyDescent="0.3">
      <c r="A3132" s="160">
        <v>30076</v>
      </c>
      <c r="B3132" t="s">
        <v>18300</v>
      </c>
      <c r="C3132" t="s">
        <v>3156</v>
      </c>
      <c r="D3132">
        <v>0.6</v>
      </c>
      <c r="E3132">
        <v>0</v>
      </c>
      <c r="F3132">
        <f t="shared" si="48"/>
        <v>0.6</v>
      </c>
      <c r="I3132">
        <v>20200101</v>
      </c>
      <c r="J3132" t="s">
        <v>3205</v>
      </c>
    </row>
    <row r="3133" spans="1:14" x14ac:dyDescent="0.3">
      <c r="A3133" s="160">
        <v>30077</v>
      </c>
      <c r="B3133" t="s">
        <v>18301</v>
      </c>
      <c r="C3133" t="s">
        <v>3158</v>
      </c>
      <c r="D3133">
        <v>1.25</v>
      </c>
      <c r="E3133">
        <v>0</v>
      </c>
      <c r="F3133">
        <f t="shared" si="48"/>
        <v>1.25</v>
      </c>
      <c r="I3133">
        <v>20130701</v>
      </c>
      <c r="J3133" t="s">
        <v>3206</v>
      </c>
    </row>
    <row r="3134" spans="1:14" x14ac:dyDescent="0.3">
      <c r="A3134" s="160">
        <v>30079</v>
      </c>
      <c r="B3134" t="s">
        <v>18302</v>
      </c>
      <c r="C3134" t="s">
        <v>3158</v>
      </c>
      <c r="D3134">
        <v>1.25</v>
      </c>
      <c r="E3134">
        <v>0</v>
      </c>
      <c r="F3134">
        <f t="shared" si="48"/>
        <v>1.25</v>
      </c>
      <c r="I3134">
        <v>20240101</v>
      </c>
      <c r="J3134" t="s">
        <v>3179</v>
      </c>
    </row>
    <row r="3135" spans="1:14" x14ac:dyDescent="0.3">
      <c r="A3135" s="160">
        <v>30080</v>
      </c>
      <c r="B3135" t="s">
        <v>18303</v>
      </c>
      <c r="C3135" t="s">
        <v>3158</v>
      </c>
      <c r="D3135">
        <v>1.25</v>
      </c>
      <c r="E3135">
        <v>0</v>
      </c>
      <c r="F3135">
        <f t="shared" si="48"/>
        <v>1.25</v>
      </c>
      <c r="I3135">
        <v>20240101</v>
      </c>
      <c r="J3135" t="s">
        <v>3207</v>
      </c>
    </row>
    <row r="3136" spans="1:14" x14ac:dyDescent="0.3">
      <c r="A3136" s="160">
        <v>30081</v>
      </c>
      <c r="B3136" t="s">
        <v>18304</v>
      </c>
      <c r="C3136" t="s">
        <v>3156</v>
      </c>
      <c r="D3136">
        <v>0.6</v>
      </c>
      <c r="E3136">
        <v>0</v>
      </c>
      <c r="F3136">
        <f t="shared" si="48"/>
        <v>0.6</v>
      </c>
      <c r="I3136">
        <v>20200101</v>
      </c>
      <c r="J3136" t="s">
        <v>3180</v>
      </c>
      <c r="K3136" t="s">
        <v>3183</v>
      </c>
      <c r="L3136" t="s">
        <v>3184</v>
      </c>
      <c r="M3136" t="s">
        <v>3208</v>
      </c>
      <c r="N3136" t="s">
        <v>3209</v>
      </c>
    </row>
    <row r="3137" spans="1:11" x14ac:dyDescent="0.3">
      <c r="A3137" s="160">
        <v>30082</v>
      </c>
      <c r="B3137" t="s">
        <v>18305</v>
      </c>
      <c r="C3137" t="s">
        <v>3187</v>
      </c>
      <c r="D3137">
        <v>2</v>
      </c>
      <c r="E3137">
        <v>0</v>
      </c>
      <c r="F3137">
        <f t="shared" si="48"/>
        <v>2</v>
      </c>
      <c r="I3137">
        <v>20230101</v>
      </c>
      <c r="J3137" t="s">
        <v>3210</v>
      </c>
    </row>
    <row r="3138" spans="1:11" x14ac:dyDescent="0.3">
      <c r="A3138" s="160">
        <v>30084</v>
      </c>
      <c r="B3138" t="s">
        <v>18306</v>
      </c>
      <c r="C3138" t="s">
        <v>3156</v>
      </c>
      <c r="D3138">
        <v>0.6</v>
      </c>
      <c r="E3138">
        <v>0</v>
      </c>
      <c r="F3138">
        <f t="shared" si="48"/>
        <v>0.6</v>
      </c>
      <c r="I3138">
        <v>20200101</v>
      </c>
      <c r="J3138" t="s">
        <v>3180</v>
      </c>
      <c r="K3138" t="s">
        <v>3184</v>
      </c>
    </row>
    <row r="3139" spans="1:11" x14ac:dyDescent="0.3">
      <c r="A3139" s="160">
        <v>30090</v>
      </c>
      <c r="B3139" t="s">
        <v>18307</v>
      </c>
      <c r="C3139" t="s">
        <v>3158</v>
      </c>
      <c r="D3139">
        <v>1.25</v>
      </c>
      <c r="E3139">
        <v>0</v>
      </c>
      <c r="F3139">
        <f t="shared" si="48"/>
        <v>1.25</v>
      </c>
      <c r="I3139">
        <v>20240101</v>
      </c>
      <c r="J3139" t="s">
        <v>3179</v>
      </c>
    </row>
    <row r="3140" spans="1:11" x14ac:dyDescent="0.3">
      <c r="A3140" s="160">
        <v>30092</v>
      </c>
      <c r="B3140" t="s">
        <v>18308</v>
      </c>
      <c r="C3140" t="s">
        <v>3156</v>
      </c>
      <c r="D3140">
        <v>0.6</v>
      </c>
      <c r="E3140">
        <v>0</v>
      </c>
      <c r="F3140">
        <f t="shared" si="48"/>
        <v>0.6</v>
      </c>
      <c r="I3140">
        <v>20200101</v>
      </c>
      <c r="J3140" t="s">
        <v>3205</v>
      </c>
    </row>
    <row r="3141" spans="1:11" x14ac:dyDescent="0.3">
      <c r="A3141" s="160">
        <v>30094</v>
      </c>
      <c r="B3141" t="s">
        <v>18309</v>
      </c>
      <c r="C3141" t="s">
        <v>3158</v>
      </c>
      <c r="D3141">
        <v>1.25</v>
      </c>
      <c r="E3141">
        <v>0</v>
      </c>
      <c r="F3141">
        <f t="shared" si="48"/>
        <v>1.25</v>
      </c>
      <c r="I3141">
        <v>20130701</v>
      </c>
      <c r="J3141" t="s">
        <v>3172</v>
      </c>
    </row>
    <row r="3142" spans="1:11" x14ac:dyDescent="0.3">
      <c r="A3142" s="160">
        <v>30096</v>
      </c>
      <c r="B3142" t="s">
        <v>18310</v>
      </c>
      <c r="C3142" t="s">
        <v>3156</v>
      </c>
      <c r="D3142">
        <v>0.6</v>
      </c>
      <c r="E3142">
        <v>0</v>
      </c>
      <c r="F3142">
        <f t="shared" si="48"/>
        <v>0.6</v>
      </c>
      <c r="I3142">
        <v>20200101</v>
      </c>
      <c r="J3142" t="s">
        <v>3211</v>
      </c>
    </row>
    <row r="3143" spans="1:11" x14ac:dyDescent="0.3">
      <c r="A3143" s="160">
        <v>30100</v>
      </c>
      <c r="B3143" t="s">
        <v>18311</v>
      </c>
      <c r="C3143" t="s">
        <v>3158</v>
      </c>
      <c r="D3143">
        <v>1.25</v>
      </c>
      <c r="E3143">
        <v>0</v>
      </c>
      <c r="F3143">
        <f t="shared" ref="F3143:F3206" si="49">D3143+E3143</f>
        <v>1.25</v>
      </c>
      <c r="I3143">
        <v>20130701</v>
      </c>
      <c r="J3143" t="s">
        <v>3212</v>
      </c>
    </row>
    <row r="3144" spans="1:11" x14ac:dyDescent="0.3">
      <c r="A3144" s="160">
        <v>30101</v>
      </c>
      <c r="B3144" t="s">
        <v>18312</v>
      </c>
      <c r="C3144" t="s">
        <v>3158</v>
      </c>
      <c r="D3144">
        <v>1.25</v>
      </c>
      <c r="E3144">
        <v>0</v>
      </c>
      <c r="F3144">
        <f t="shared" si="49"/>
        <v>1.25</v>
      </c>
      <c r="I3144">
        <v>20130701</v>
      </c>
      <c r="J3144" t="s">
        <v>3212</v>
      </c>
    </row>
    <row r="3145" spans="1:11" x14ac:dyDescent="0.3">
      <c r="A3145" s="160">
        <v>30102</v>
      </c>
      <c r="B3145" t="s">
        <v>18313</v>
      </c>
      <c r="C3145" t="s">
        <v>3187</v>
      </c>
      <c r="D3145">
        <v>2</v>
      </c>
      <c r="E3145">
        <v>0</v>
      </c>
      <c r="F3145">
        <f t="shared" si="49"/>
        <v>2</v>
      </c>
      <c r="I3145">
        <v>20230101</v>
      </c>
      <c r="J3145" t="s">
        <v>3192</v>
      </c>
    </row>
    <row r="3146" spans="1:11" x14ac:dyDescent="0.3">
      <c r="A3146" s="160">
        <v>30104</v>
      </c>
      <c r="B3146" t="s">
        <v>18314</v>
      </c>
      <c r="C3146" t="s">
        <v>3187</v>
      </c>
      <c r="D3146">
        <v>2</v>
      </c>
      <c r="E3146">
        <v>0</v>
      </c>
      <c r="F3146">
        <f t="shared" si="49"/>
        <v>2</v>
      </c>
      <c r="I3146">
        <v>20230101</v>
      </c>
      <c r="J3146" t="s">
        <v>3201</v>
      </c>
    </row>
    <row r="3147" spans="1:11" x14ac:dyDescent="0.3">
      <c r="A3147" s="160">
        <v>30109</v>
      </c>
      <c r="B3147" t="s">
        <v>18315</v>
      </c>
      <c r="C3147" t="s">
        <v>3158</v>
      </c>
      <c r="D3147">
        <v>1.25</v>
      </c>
      <c r="E3147">
        <v>0</v>
      </c>
      <c r="F3147">
        <f t="shared" si="49"/>
        <v>1.25</v>
      </c>
      <c r="I3147">
        <v>20130701</v>
      </c>
      <c r="J3147" t="s">
        <v>3212</v>
      </c>
    </row>
    <row r="3148" spans="1:11" x14ac:dyDescent="0.3">
      <c r="A3148" s="160">
        <v>30112</v>
      </c>
      <c r="B3148" t="s">
        <v>18316</v>
      </c>
      <c r="C3148" t="s">
        <v>3187</v>
      </c>
      <c r="D3148">
        <v>2</v>
      </c>
      <c r="E3148">
        <v>0</v>
      </c>
      <c r="F3148">
        <f t="shared" si="49"/>
        <v>2</v>
      </c>
      <c r="I3148">
        <v>20230101</v>
      </c>
      <c r="J3148" t="s">
        <v>3213</v>
      </c>
    </row>
    <row r="3149" spans="1:11" x14ac:dyDescent="0.3">
      <c r="A3149" s="160">
        <v>30120</v>
      </c>
      <c r="B3149" t="s">
        <v>18317</v>
      </c>
      <c r="C3149" t="s">
        <v>3158</v>
      </c>
      <c r="D3149">
        <v>1.25</v>
      </c>
      <c r="E3149">
        <v>0</v>
      </c>
      <c r="F3149">
        <f t="shared" si="49"/>
        <v>1.25</v>
      </c>
      <c r="I3149">
        <v>20170701</v>
      </c>
      <c r="J3149" t="s">
        <v>3190</v>
      </c>
    </row>
    <row r="3150" spans="1:11" x14ac:dyDescent="0.3">
      <c r="A3150" s="160">
        <v>30122</v>
      </c>
      <c r="B3150" t="s">
        <v>18318</v>
      </c>
      <c r="C3150" t="s">
        <v>3187</v>
      </c>
      <c r="D3150">
        <v>2</v>
      </c>
      <c r="E3150">
        <v>0</v>
      </c>
      <c r="F3150">
        <f t="shared" si="49"/>
        <v>2</v>
      </c>
      <c r="I3150">
        <v>20230101</v>
      </c>
      <c r="J3150" t="s">
        <v>3213</v>
      </c>
    </row>
    <row r="3151" spans="1:11" x14ac:dyDescent="0.3">
      <c r="A3151" s="160">
        <v>30124</v>
      </c>
      <c r="B3151" t="s">
        <v>18319</v>
      </c>
      <c r="C3151" t="s">
        <v>3156</v>
      </c>
      <c r="D3151">
        <v>0.6</v>
      </c>
      <c r="E3151">
        <v>0</v>
      </c>
      <c r="F3151">
        <f t="shared" si="49"/>
        <v>0.6</v>
      </c>
      <c r="I3151">
        <v>20200101</v>
      </c>
      <c r="J3151" t="s">
        <v>3157</v>
      </c>
    </row>
    <row r="3152" spans="1:11" x14ac:dyDescent="0.3">
      <c r="A3152" s="160">
        <v>30125</v>
      </c>
      <c r="B3152" t="s">
        <v>18320</v>
      </c>
      <c r="C3152" t="s">
        <v>3187</v>
      </c>
      <c r="D3152">
        <v>2</v>
      </c>
      <c r="E3152">
        <v>0</v>
      </c>
      <c r="F3152">
        <f t="shared" si="49"/>
        <v>2</v>
      </c>
      <c r="I3152">
        <v>20230101</v>
      </c>
      <c r="J3152" t="s">
        <v>3214</v>
      </c>
      <c r="K3152" t="s">
        <v>3215</v>
      </c>
    </row>
    <row r="3153" spans="1:11" x14ac:dyDescent="0.3">
      <c r="A3153" s="160">
        <v>30127</v>
      </c>
      <c r="B3153" t="s">
        <v>18321</v>
      </c>
      <c r="C3153" t="s">
        <v>3156</v>
      </c>
      <c r="D3153">
        <v>0.6</v>
      </c>
      <c r="E3153">
        <v>0</v>
      </c>
      <c r="F3153">
        <f t="shared" si="49"/>
        <v>0.6</v>
      </c>
      <c r="I3153">
        <v>20200101</v>
      </c>
      <c r="J3153" t="s">
        <v>3205</v>
      </c>
    </row>
    <row r="3154" spans="1:11" x14ac:dyDescent="0.3">
      <c r="A3154" s="160">
        <v>30128</v>
      </c>
      <c r="B3154" t="s">
        <v>18322</v>
      </c>
      <c r="C3154" t="s">
        <v>3187</v>
      </c>
      <c r="D3154">
        <v>2</v>
      </c>
      <c r="E3154">
        <v>0</v>
      </c>
      <c r="F3154">
        <f t="shared" si="49"/>
        <v>2</v>
      </c>
      <c r="I3154">
        <v>20230101</v>
      </c>
      <c r="J3154" t="s">
        <v>3216</v>
      </c>
      <c r="K3154" t="s">
        <v>3217</v>
      </c>
    </row>
    <row r="3155" spans="1:11" x14ac:dyDescent="0.3">
      <c r="A3155" s="160">
        <v>30129</v>
      </c>
      <c r="B3155" t="s">
        <v>18323</v>
      </c>
      <c r="C3155" t="s">
        <v>3158</v>
      </c>
      <c r="D3155">
        <v>1.25</v>
      </c>
      <c r="E3155">
        <v>0</v>
      </c>
      <c r="F3155">
        <f t="shared" si="49"/>
        <v>1.25</v>
      </c>
      <c r="I3155">
        <v>20130701</v>
      </c>
      <c r="J3155" t="s">
        <v>3172</v>
      </c>
    </row>
    <row r="3156" spans="1:11" x14ac:dyDescent="0.3">
      <c r="A3156" s="160">
        <v>30130</v>
      </c>
      <c r="B3156" t="s">
        <v>18324</v>
      </c>
      <c r="C3156" t="s">
        <v>3158</v>
      </c>
      <c r="D3156">
        <v>1.25</v>
      </c>
      <c r="E3156">
        <v>0</v>
      </c>
      <c r="F3156">
        <f t="shared" si="49"/>
        <v>1.25</v>
      </c>
      <c r="I3156">
        <v>20240101</v>
      </c>
      <c r="J3156" t="s">
        <v>3179</v>
      </c>
    </row>
    <row r="3157" spans="1:11" x14ac:dyDescent="0.3">
      <c r="A3157" s="160">
        <v>30131</v>
      </c>
      <c r="B3157" t="s">
        <v>18325</v>
      </c>
      <c r="C3157" t="s">
        <v>3156</v>
      </c>
      <c r="D3157">
        <v>0.6</v>
      </c>
      <c r="E3157">
        <v>0</v>
      </c>
      <c r="F3157">
        <f t="shared" si="49"/>
        <v>0.6</v>
      </c>
      <c r="I3157">
        <v>20200101</v>
      </c>
      <c r="J3157" t="s">
        <v>3211</v>
      </c>
    </row>
    <row r="3158" spans="1:11" x14ac:dyDescent="0.3">
      <c r="A3158" s="160">
        <v>30132</v>
      </c>
      <c r="B3158" t="s">
        <v>18326</v>
      </c>
      <c r="C3158" t="s">
        <v>3158</v>
      </c>
      <c r="D3158">
        <v>1.25</v>
      </c>
      <c r="E3158">
        <v>0</v>
      </c>
      <c r="F3158">
        <f t="shared" si="49"/>
        <v>1.25</v>
      </c>
      <c r="I3158">
        <v>20140101</v>
      </c>
      <c r="J3158" t="s">
        <v>3195</v>
      </c>
    </row>
    <row r="3159" spans="1:11" x14ac:dyDescent="0.3">
      <c r="A3159" s="160">
        <v>30134</v>
      </c>
      <c r="B3159" t="s">
        <v>18327</v>
      </c>
      <c r="C3159" t="s">
        <v>3156</v>
      </c>
      <c r="D3159">
        <v>0.6</v>
      </c>
      <c r="E3159">
        <v>0</v>
      </c>
      <c r="F3159">
        <f t="shared" si="49"/>
        <v>0.6</v>
      </c>
      <c r="I3159">
        <v>20240101</v>
      </c>
      <c r="J3159" t="s">
        <v>3157</v>
      </c>
    </row>
    <row r="3160" spans="1:11" x14ac:dyDescent="0.3">
      <c r="A3160" s="160">
        <v>30137</v>
      </c>
      <c r="B3160" t="s">
        <v>18328</v>
      </c>
      <c r="C3160" t="s">
        <v>3158</v>
      </c>
      <c r="D3160">
        <v>1.25</v>
      </c>
      <c r="E3160">
        <v>0</v>
      </c>
      <c r="F3160">
        <f t="shared" si="49"/>
        <v>1.25</v>
      </c>
      <c r="I3160">
        <v>20140101</v>
      </c>
      <c r="J3160" t="s">
        <v>3195</v>
      </c>
    </row>
    <row r="3161" spans="1:11" x14ac:dyDescent="0.3">
      <c r="A3161" s="160">
        <v>30138</v>
      </c>
      <c r="B3161" t="s">
        <v>18329</v>
      </c>
      <c r="C3161" t="s">
        <v>3187</v>
      </c>
      <c r="D3161">
        <v>2</v>
      </c>
      <c r="E3161">
        <v>0</v>
      </c>
      <c r="F3161">
        <f t="shared" si="49"/>
        <v>2</v>
      </c>
      <c r="I3161">
        <v>20230101</v>
      </c>
      <c r="J3161" t="s">
        <v>3218</v>
      </c>
    </row>
    <row r="3162" spans="1:11" x14ac:dyDescent="0.3">
      <c r="A3162" s="160">
        <v>30140</v>
      </c>
      <c r="B3162" t="s">
        <v>18330</v>
      </c>
      <c r="C3162" t="s">
        <v>3158</v>
      </c>
      <c r="D3162">
        <v>1.25</v>
      </c>
      <c r="E3162">
        <v>0</v>
      </c>
      <c r="F3162">
        <f t="shared" si="49"/>
        <v>1.25</v>
      </c>
      <c r="I3162">
        <v>20140101</v>
      </c>
      <c r="J3162" t="s">
        <v>3219</v>
      </c>
    </row>
    <row r="3163" spans="1:11" x14ac:dyDescent="0.3">
      <c r="A3163" s="160">
        <v>30141</v>
      </c>
      <c r="B3163" t="s">
        <v>18331</v>
      </c>
      <c r="C3163" t="s">
        <v>3156</v>
      </c>
      <c r="D3163">
        <v>0.6</v>
      </c>
      <c r="E3163">
        <v>0</v>
      </c>
      <c r="F3163">
        <f t="shared" si="49"/>
        <v>0.6</v>
      </c>
      <c r="I3163">
        <v>20200101</v>
      </c>
      <c r="J3163" t="s">
        <v>3220</v>
      </c>
    </row>
    <row r="3164" spans="1:11" x14ac:dyDescent="0.3">
      <c r="A3164" s="160">
        <v>30142</v>
      </c>
      <c r="B3164" t="s">
        <v>18332</v>
      </c>
      <c r="C3164" t="s">
        <v>3158</v>
      </c>
      <c r="D3164">
        <v>1.25</v>
      </c>
      <c r="E3164">
        <v>0</v>
      </c>
      <c r="F3164">
        <f t="shared" si="49"/>
        <v>1.25</v>
      </c>
      <c r="I3164">
        <v>20130701</v>
      </c>
      <c r="J3164" t="s">
        <v>3195</v>
      </c>
    </row>
    <row r="3165" spans="1:11" x14ac:dyDescent="0.3">
      <c r="A3165" s="160">
        <v>30143</v>
      </c>
      <c r="B3165" t="s">
        <v>18333</v>
      </c>
      <c r="C3165" t="s">
        <v>3156</v>
      </c>
      <c r="D3165">
        <v>0.6</v>
      </c>
      <c r="E3165">
        <v>0</v>
      </c>
      <c r="F3165">
        <f t="shared" si="49"/>
        <v>0.6</v>
      </c>
      <c r="I3165">
        <v>20200101</v>
      </c>
      <c r="J3165" t="s">
        <v>3157</v>
      </c>
    </row>
    <row r="3166" spans="1:11" x14ac:dyDescent="0.3">
      <c r="A3166" s="160">
        <v>30145</v>
      </c>
      <c r="B3166" t="s">
        <v>18334</v>
      </c>
      <c r="C3166" t="s">
        <v>3187</v>
      </c>
      <c r="D3166">
        <v>2</v>
      </c>
      <c r="E3166">
        <v>0</v>
      </c>
      <c r="F3166">
        <f t="shared" si="49"/>
        <v>2</v>
      </c>
      <c r="I3166">
        <v>20230101</v>
      </c>
      <c r="J3166" t="s">
        <v>3196</v>
      </c>
    </row>
    <row r="3167" spans="1:11" x14ac:dyDescent="0.3">
      <c r="A3167" s="160">
        <v>30146</v>
      </c>
      <c r="B3167" t="s">
        <v>18335</v>
      </c>
      <c r="C3167" t="s">
        <v>3158</v>
      </c>
      <c r="D3167">
        <v>1.25</v>
      </c>
      <c r="E3167">
        <v>0</v>
      </c>
      <c r="F3167">
        <f t="shared" si="49"/>
        <v>1.25</v>
      </c>
      <c r="I3167">
        <v>20170701</v>
      </c>
      <c r="J3167" t="s">
        <v>3201</v>
      </c>
    </row>
    <row r="3168" spans="1:11" x14ac:dyDescent="0.3">
      <c r="A3168" s="160">
        <v>30147</v>
      </c>
      <c r="B3168" t="s">
        <v>18336</v>
      </c>
      <c r="C3168" t="s">
        <v>3158</v>
      </c>
      <c r="D3168">
        <v>1.25</v>
      </c>
      <c r="E3168">
        <v>0</v>
      </c>
      <c r="F3168">
        <f t="shared" si="49"/>
        <v>1.25</v>
      </c>
      <c r="I3168">
        <v>20130701</v>
      </c>
      <c r="J3168" t="s">
        <v>3201</v>
      </c>
    </row>
    <row r="3169" spans="1:11" x14ac:dyDescent="0.3">
      <c r="A3169" s="160">
        <v>30149</v>
      </c>
      <c r="B3169" t="s">
        <v>18337</v>
      </c>
      <c r="C3169" t="s">
        <v>3156</v>
      </c>
      <c r="D3169">
        <v>0.6</v>
      </c>
      <c r="E3169">
        <v>0</v>
      </c>
      <c r="F3169">
        <f t="shared" si="49"/>
        <v>0.6</v>
      </c>
      <c r="I3169">
        <v>20200101</v>
      </c>
      <c r="J3169" t="s">
        <v>3221</v>
      </c>
    </row>
    <row r="3170" spans="1:11" x14ac:dyDescent="0.3">
      <c r="A3170" s="160">
        <v>30152</v>
      </c>
      <c r="B3170" t="s">
        <v>18338</v>
      </c>
      <c r="C3170" t="s">
        <v>3158</v>
      </c>
      <c r="D3170">
        <v>1.25</v>
      </c>
      <c r="E3170">
        <v>0</v>
      </c>
      <c r="F3170">
        <f t="shared" si="49"/>
        <v>1.25</v>
      </c>
      <c r="I3170">
        <v>20140101</v>
      </c>
      <c r="J3170" t="s">
        <v>3222</v>
      </c>
    </row>
    <row r="3171" spans="1:11" x14ac:dyDescent="0.3">
      <c r="A3171" s="160">
        <v>30155</v>
      </c>
      <c r="B3171" t="s">
        <v>18339</v>
      </c>
      <c r="C3171" t="s">
        <v>3187</v>
      </c>
      <c r="D3171">
        <v>2</v>
      </c>
      <c r="E3171">
        <v>0</v>
      </c>
      <c r="F3171">
        <f t="shared" si="49"/>
        <v>2</v>
      </c>
      <c r="I3171">
        <v>20230101</v>
      </c>
      <c r="J3171" t="s">
        <v>3223</v>
      </c>
    </row>
    <row r="3172" spans="1:11" x14ac:dyDescent="0.3">
      <c r="A3172" s="160">
        <v>30156</v>
      </c>
      <c r="B3172" t="s">
        <v>18340</v>
      </c>
      <c r="C3172" t="s">
        <v>3187</v>
      </c>
      <c r="D3172">
        <v>2</v>
      </c>
      <c r="E3172">
        <v>0</v>
      </c>
      <c r="F3172">
        <f t="shared" si="49"/>
        <v>2</v>
      </c>
      <c r="I3172">
        <v>20230101</v>
      </c>
      <c r="J3172" t="s">
        <v>3191</v>
      </c>
    </row>
    <row r="3173" spans="1:11" x14ac:dyDescent="0.3">
      <c r="A3173" s="160">
        <v>30158</v>
      </c>
      <c r="B3173" t="s">
        <v>18341</v>
      </c>
      <c r="C3173" t="s">
        <v>3158</v>
      </c>
      <c r="D3173">
        <v>1.25</v>
      </c>
      <c r="E3173">
        <v>0</v>
      </c>
      <c r="F3173">
        <f t="shared" si="49"/>
        <v>1.25</v>
      </c>
      <c r="I3173">
        <v>20130701</v>
      </c>
      <c r="J3173" t="s">
        <v>3212</v>
      </c>
    </row>
    <row r="3174" spans="1:11" x14ac:dyDescent="0.3">
      <c r="A3174" s="160">
        <v>30159</v>
      </c>
      <c r="B3174" t="s">
        <v>18342</v>
      </c>
      <c r="C3174" t="s">
        <v>3158</v>
      </c>
      <c r="D3174">
        <v>1.25</v>
      </c>
      <c r="E3174">
        <v>0</v>
      </c>
      <c r="F3174">
        <f t="shared" si="49"/>
        <v>1.25</v>
      </c>
      <c r="I3174">
        <v>20140101</v>
      </c>
      <c r="J3174" t="s">
        <v>3222</v>
      </c>
    </row>
    <row r="3175" spans="1:11" x14ac:dyDescent="0.3">
      <c r="A3175" s="160">
        <v>30161</v>
      </c>
      <c r="B3175" t="s">
        <v>18343</v>
      </c>
      <c r="C3175" t="s">
        <v>3158</v>
      </c>
      <c r="D3175">
        <v>1.25</v>
      </c>
      <c r="E3175">
        <v>0</v>
      </c>
      <c r="F3175">
        <f t="shared" si="49"/>
        <v>1.25</v>
      </c>
      <c r="I3175">
        <v>20130701</v>
      </c>
      <c r="J3175" t="s">
        <v>3201</v>
      </c>
    </row>
    <row r="3176" spans="1:11" x14ac:dyDescent="0.3">
      <c r="A3176" s="160">
        <v>30162</v>
      </c>
      <c r="B3176" t="s">
        <v>18344</v>
      </c>
      <c r="C3176" t="s">
        <v>3158</v>
      </c>
      <c r="D3176">
        <v>1.25</v>
      </c>
      <c r="E3176">
        <v>0</v>
      </c>
      <c r="F3176">
        <f t="shared" si="49"/>
        <v>1.25</v>
      </c>
      <c r="I3176">
        <v>20130701</v>
      </c>
      <c r="J3176" t="s">
        <v>3172</v>
      </c>
    </row>
    <row r="3177" spans="1:11" x14ac:dyDescent="0.3">
      <c r="A3177" s="160">
        <v>30163</v>
      </c>
      <c r="B3177" t="s">
        <v>18345</v>
      </c>
      <c r="C3177" t="s">
        <v>3187</v>
      </c>
      <c r="D3177">
        <v>2</v>
      </c>
      <c r="E3177">
        <v>0</v>
      </c>
      <c r="F3177">
        <f t="shared" si="49"/>
        <v>2</v>
      </c>
      <c r="I3177">
        <v>20230101</v>
      </c>
      <c r="J3177" t="s">
        <v>3201</v>
      </c>
    </row>
    <row r="3178" spans="1:11" x14ac:dyDescent="0.3">
      <c r="A3178" s="160">
        <v>30165</v>
      </c>
      <c r="B3178" t="s">
        <v>18346</v>
      </c>
      <c r="C3178" t="s">
        <v>3158</v>
      </c>
      <c r="D3178">
        <v>1.25</v>
      </c>
      <c r="E3178">
        <v>0</v>
      </c>
      <c r="F3178">
        <f t="shared" si="49"/>
        <v>1.25</v>
      </c>
      <c r="I3178">
        <v>20130701</v>
      </c>
      <c r="J3178" t="s">
        <v>3224</v>
      </c>
    </row>
    <row r="3179" spans="1:11" x14ac:dyDescent="0.3">
      <c r="A3179" s="160">
        <v>30167</v>
      </c>
      <c r="B3179" t="s">
        <v>18347</v>
      </c>
      <c r="C3179" t="s">
        <v>3158</v>
      </c>
      <c r="D3179">
        <v>1.25</v>
      </c>
      <c r="E3179">
        <v>0</v>
      </c>
      <c r="F3179">
        <f t="shared" si="49"/>
        <v>1.25</v>
      </c>
      <c r="I3179">
        <v>20170701</v>
      </c>
      <c r="J3179" t="s">
        <v>3225</v>
      </c>
    </row>
    <row r="3180" spans="1:11" x14ac:dyDescent="0.3">
      <c r="A3180" s="160">
        <v>30168</v>
      </c>
      <c r="B3180" t="s">
        <v>17347</v>
      </c>
      <c r="C3180" t="s">
        <v>3158</v>
      </c>
      <c r="D3180">
        <v>1.25</v>
      </c>
      <c r="E3180">
        <v>0</v>
      </c>
      <c r="F3180">
        <f t="shared" si="49"/>
        <v>1.25</v>
      </c>
      <c r="I3180">
        <v>20130701</v>
      </c>
      <c r="J3180" t="s">
        <v>3172</v>
      </c>
    </row>
    <row r="3181" spans="1:11" x14ac:dyDescent="0.3">
      <c r="A3181" s="160">
        <v>30169</v>
      </c>
      <c r="B3181" t="s">
        <v>18348</v>
      </c>
      <c r="C3181" t="s">
        <v>3187</v>
      </c>
      <c r="D3181">
        <v>2</v>
      </c>
      <c r="E3181">
        <v>0</v>
      </c>
      <c r="F3181">
        <f t="shared" si="49"/>
        <v>2</v>
      </c>
      <c r="I3181">
        <v>20230101</v>
      </c>
      <c r="J3181" t="s">
        <v>3226</v>
      </c>
      <c r="K3181" t="s">
        <v>3217</v>
      </c>
    </row>
    <row r="3182" spans="1:11" x14ac:dyDescent="0.3">
      <c r="A3182" s="160">
        <v>30171</v>
      </c>
      <c r="B3182" t="s">
        <v>18349</v>
      </c>
      <c r="C3182" t="s">
        <v>3158</v>
      </c>
      <c r="D3182">
        <v>1.25</v>
      </c>
      <c r="E3182">
        <v>0</v>
      </c>
      <c r="F3182">
        <f t="shared" si="49"/>
        <v>1.25</v>
      </c>
      <c r="I3182">
        <v>20170701</v>
      </c>
      <c r="J3182" t="s">
        <v>3225</v>
      </c>
    </row>
    <row r="3183" spans="1:11" x14ac:dyDescent="0.3">
      <c r="A3183" s="160">
        <v>30173</v>
      </c>
      <c r="B3183" t="s">
        <v>18350</v>
      </c>
      <c r="C3183" t="s">
        <v>3158</v>
      </c>
      <c r="D3183">
        <v>1.25</v>
      </c>
      <c r="E3183">
        <v>0</v>
      </c>
      <c r="F3183">
        <f t="shared" si="49"/>
        <v>1.25</v>
      </c>
      <c r="I3183">
        <v>20130701</v>
      </c>
      <c r="J3183" t="s">
        <v>3224</v>
      </c>
    </row>
    <row r="3184" spans="1:11" x14ac:dyDescent="0.3">
      <c r="A3184" s="160">
        <v>30175</v>
      </c>
      <c r="B3184" t="s">
        <v>18351</v>
      </c>
      <c r="C3184" t="s">
        <v>3156</v>
      </c>
      <c r="D3184">
        <v>0.6</v>
      </c>
      <c r="E3184">
        <v>0</v>
      </c>
      <c r="F3184">
        <f t="shared" si="49"/>
        <v>0.6</v>
      </c>
      <c r="I3184">
        <v>20200101</v>
      </c>
      <c r="J3184" t="s">
        <v>3211</v>
      </c>
    </row>
    <row r="3185" spans="1:67" x14ac:dyDescent="0.3">
      <c r="A3185" s="160">
        <v>30177</v>
      </c>
      <c r="B3185" t="s">
        <v>18352</v>
      </c>
      <c r="C3185" t="s">
        <v>3158</v>
      </c>
      <c r="D3185">
        <v>1.25</v>
      </c>
      <c r="E3185">
        <v>0</v>
      </c>
      <c r="F3185">
        <f t="shared" si="49"/>
        <v>1.25</v>
      </c>
      <c r="I3185">
        <v>20130701</v>
      </c>
      <c r="J3185" t="s">
        <v>3212</v>
      </c>
    </row>
    <row r="3186" spans="1:67" x14ac:dyDescent="0.3">
      <c r="A3186" s="160">
        <v>30178</v>
      </c>
      <c r="B3186" t="s">
        <v>17477</v>
      </c>
      <c r="C3186" t="s">
        <v>3156</v>
      </c>
      <c r="D3186">
        <v>0.6</v>
      </c>
      <c r="E3186">
        <v>0</v>
      </c>
      <c r="F3186">
        <f t="shared" si="49"/>
        <v>0.6</v>
      </c>
      <c r="I3186">
        <v>20200101</v>
      </c>
      <c r="J3186" t="s">
        <v>3227</v>
      </c>
    </row>
    <row r="3187" spans="1:67" x14ac:dyDescent="0.3">
      <c r="A3187" s="160">
        <v>30180</v>
      </c>
      <c r="B3187" t="s">
        <v>18353</v>
      </c>
      <c r="C3187" t="s">
        <v>3187</v>
      </c>
      <c r="D3187">
        <v>2</v>
      </c>
      <c r="E3187">
        <v>0</v>
      </c>
      <c r="F3187">
        <f t="shared" si="49"/>
        <v>2</v>
      </c>
      <c r="I3187">
        <v>20230101</v>
      </c>
      <c r="J3187" t="s">
        <v>3192</v>
      </c>
    </row>
    <row r="3188" spans="1:67" x14ac:dyDescent="0.3">
      <c r="A3188" s="160">
        <v>30183</v>
      </c>
      <c r="B3188" t="s">
        <v>18354</v>
      </c>
      <c r="C3188" t="s">
        <v>3187</v>
      </c>
      <c r="D3188">
        <v>2</v>
      </c>
      <c r="E3188">
        <v>0</v>
      </c>
      <c r="F3188">
        <f t="shared" si="49"/>
        <v>2</v>
      </c>
      <c r="I3188">
        <v>20230101</v>
      </c>
      <c r="J3188" t="s">
        <v>3201</v>
      </c>
    </row>
    <row r="3189" spans="1:67" x14ac:dyDescent="0.3">
      <c r="A3189" s="160">
        <v>30187</v>
      </c>
      <c r="B3189" t="s">
        <v>18355</v>
      </c>
      <c r="C3189" t="s">
        <v>3158</v>
      </c>
      <c r="D3189">
        <v>1.25</v>
      </c>
      <c r="E3189">
        <v>0</v>
      </c>
      <c r="F3189">
        <f t="shared" si="49"/>
        <v>1.25</v>
      </c>
      <c r="I3189">
        <v>20140101</v>
      </c>
      <c r="J3189" t="s">
        <v>3194</v>
      </c>
    </row>
    <row r="3190" spans="1:67" x14ac:dyDescent="0.3">
      <c r="A3190" s="160">
        <v>30188</v>
      </c>
      <c r="B3190" t="s">
        <v>18356</v>
      </c>
      <c r="C3190" t="s">
        <v>3158</v>
      </c>
      <c r="D3190">
        <v>1.25</v>
      </c>
      <c r="E3190">
        <v>0</v>
      </c>
      <c r="F3190">
        <f t="shared" si="49"/>
        <v>1.25</v>
      </c>
      <c r="I3190">
        <v>20130701</v>
      </c>
      <c r="J3190" t="s">
        <v>3212</v>
      </c>
    </row>
    <row r="3191" spans="1:67" x14ac:dyDescent="0.3">
      <c r="A3191" s="160">
        <v>30189</v>
      </c>
      <c r="B3191" t="s">
        <v>18357</v>
      </c>
      <c r="C3191" t="s">
        <v>3187</v>
      </c>
      <c r="D3191">
        <v>2</v>
      </c>
      <c r="E3191">
        <v>0</v>
      </c>
      <c r="F3191">
        <f t="shared" si="49"/>
        <v>2</v>
      </c>
      <c r="I3191">
        <v>20230101</v>
      </c>
      <c r="J3191" t="s">
        <v>3228</v>
      </c>
      <c r="K3191" t="s">
        <v>3229</v>
      </c>
      <c r="L3191" t="s">
        <v>3230</v>
      </c>
      <c r="M3191" t="s">
        <v>3231</v>
      </c>
      <c r="N3191" t="s">
        <v>3232</v>
      </c>
      <c r="O3191" t="s">
        <v>3233</v>
      </c>
      <c r="P3191" t="s">
        <v>3234</v>
      </c>
      <c r="Q3191" t="s">
        <v>3235</v>
      </c>
      <c r="R3191" t="s">
        <v>3236</v>
      </c>
      <c r="S3191" t="s">
        <v>3237</v>
      </c>
      <c r="T3191" t="s">
        <v>3238</v>
      </c>
      <c r="U3191" t="s">
        <v>3239</v>
      </c>
      <c r="V3191" t="s">
        <v>3240</v>
      </c>
      <c r="W3191" t="s">
        <v>3241</v>
      </c>
      <c r="X3191" t="s">
        <v>3242</v>
      </c>
      <c r="Y3191" t="s">
        <v>3243</v>
      </c>
      <c r="Z3191" t="s">
        <v>3244</v>
      </c>
      <c r="AA3191" t="s">
        <v>3245</v>
      </c>
      <c r="AB3191" t="s">
        <v>3246</v>
      </c>
      <c r="AC3191" t="s">
        <v>3247</v>
      </c>
      <c r="AD3191" t="s">
        <v>3248</v>
      </c>
      <c r="AE3191" t="s">
        <v>3249</v>
      </c>
      <c r="AF3191" t="s">
        <v>3250</v>
      </c>
      <c r="AG3191" t="s">
        <v>3251</v>
      </c>
      <c r="AH3191" t="s">
        <v>3252</v>
      </c>
      <c r="AI3191" t="s">
        <v>3253</v>
      </c>
      <c r="AJ3191" t="s">
        <v>3254</v>
      </c>
      <c r="AK3191" t="s">
        <v>3255</v>
      </c>
      <c r="AL3191" t="s">
        <v>3256</v>
      </c>
      <c r="AM3191" t="s">
        <v>3257</v>
      </c>
      <c r="AN3191" t="s">
        <v>3258</v>
      </c>
      <c r="AO3191" t="s">
        <v>3259</v>
      </c>
      <c r="AP3191" t="s">
        <v>3260</v>
      </c>
      <c r="AQ3191" t="s">
        <v>3261</v>
      </c>
      <c r="AR3191" t="s">
        <v>3262</v>
      </c>
      <c r="AS3191" t="s">
        <v>3263</v>
      </c>
      <c r="AT3191" t="s">
        <v>3264</v>
      </c>
      <c r="AU3191" t="s">
        <v>3265</v>
      </c>
      <c r="AV3191" t="s">
        <v>3266</v>
      </c>
      <c r="AW3191" t="s">
        <v>3267</v>
      </c>
      <c r="AX3191" t="s">
        <v>3268</v>
      </c>
      <c r="AY3191" t="s">
        <v>3269</v>
      </c>
      <c r="AZ3191" t="s">
        <v>3270</v>
      </c>
      <c r="BA3191" t="s">
        <v>3271</v>
      </c>
      <c r="BB3191" t="s">
        <v>3272</v>
      </c>
      <c r="BC3191" t="s">
        <v>3273</v>
      </c>
      <c r="BD3191" t="s">
        <v>3274</v>
      </c>
      <c r="BE3191" t="s">
        <v>3215</v>
      </c>
      <c r="BF3191" t="s">
        <v>3275</v>
      </c>
      <c r="BG3191" t="s">
        <v>3276</v>
      </c>
      <c r="BH3191" t="s">
        <v>3277</v>
      </c>
      <c r="BI3191" t="s">
        <v>3278</v>
      </c>
      <c r="BJ3191" t="s">
        <v>3279</v>
      </c>
      <c r="BK3191" t="s">
        <v>3280</v>
      </c>
      <c r="BL3191" t="s">
        <v>3281</v>
      </c>
      <c r="BM3191" t="s">
        <v>3282</v>
      </c>
      <c r="BN3191" t="s">
        <v>3283</v>
      </c>
      <c r="BO3191" t="s">
        <v>3284</v>
      </c>
    </row>
    <row r="3192" spans="1:67" x14ac:dyDescent="0.3">
      <c r="A3192" s="160">
        <v>30191</v>
      </c>
      <c r="B3192" t="s">
        <v>18358</v>
      </c>
      <c r="C3192" t="s">
        <v>3156</v>
      </c>
      <c r="D3192">
        <v>0.6</v>
      </c>
      <c r="E3192">
        <v>0</v>
      </c>
      <c r="F3192">
        <f t="shared" si="49"/>
        <v>0.6</v>
      </c>
      <c r="I3192">
        <v>20200101</v>
      </c>
      <c r="J3192" t="s">
        <v>3180</v>
      </c>
    </row>
    <row r="3193" spans="1:67" x14ac:dyDescent="0.3">
      <c r="A3193" s="160">
        <v>30196</v>
      </c>
      <c r="B3193" t="s">
        <v>18359</v>
      </c>
      <c r="C3193" t="s">
        <v>3156</v>
      </c>
      <c r="D3193">
        <v>0.6</v>
      </c>
      <c r="E3193">
        <v>0</v>
      </c>
      <c r="F3193">
        <f t="shared" si="49"/>
        <v>0.6</v>
      </c>
      <c r="I3193">
        <v>20200101</v>
      </c>
      <c r="J3193" t="s">
        <v>3205</v>
      </c>
    </row>
    <row r="3194" spans="1:67" x14ac:dyDescent="0.3">
      <c r="A3194" s="160">
        <v>30197</v>
      </c>
      <c r="B3194" t="s">
        <v>18360</v>
      </c>
      <c r="C3194" t="s">
        <v>3158</v>
      </c>
      <c r="D3194">
        <v>1.25</v>
      </c>
      <c r="E3194">
        <v>0</v>
      </c>
      <c r="F3194">
        <f t="shared" si="49"/>
        <v>1.25</v>
      </c>
      <c r="I3194">
        <v>20240101</v>
      </c>
      <c r="J3194" t="s">
        <v>3224</v>
      </c>
    </row>
    <row r="3195" spans="1:67" x14ac:dyDescent="0.3">
      <c r="A3195" s="160">
        <v>30202</v>
      </c>
      <c r="B3195" t="s">
        <v>18361</v>
      </c>
      <c r="C3195" t="s">
        <v>3156</v>
      </c>
      <c r="D3195">
        <v>0.6</v>
      </c>
      <c r="E3195">
        <v>0</v>
      </c>
      <c r="F3195">
        <f t="shared" si="49"/>
        <v>0.6</v>
      </c>
      <c r="I3195">
        <v>20200101</v>
      </c>
      <c r="J3195" t="s">
        <v>3202</v>
      </c>
      <c r="K3195" t="s">
        <v>3203</v>
      </c>
    </row>
    <row r="3196" spans="1:67" x14ac:dyDescent="0.3">
      <c r="A3196" s="160">
        <v>30203</v>
      </c>
      <c r="B3196" t="s">
        <v>18362</v>
      </c>
      <c r="C3196" t="s">
        <v>3158</v>
      </c>
      <c r="D3196">
        <v>1.25</v>
      </c>
      <c r="E3196">
        <v>0</v>
      </c>
      <c r="F3196">
        <f t="shared" si="49"/>
        <v>1.25</v>
      </c>
      <c r="I3196">
        <v>20240101</v>
      </c>
      <c r="J3196" t="s">
        <v>3207</v>
      </c>
    </row>
    <row r="3197" spans="1:67" x14ac:dyDescent="0.3">
      <c r="A3197" s="160">
        <v>30206</v>
      </c>
      <c r="B3197" t="s">
        <v>18363</v>
      </c>
      <c r="C3197" t="s">
        <v>3187</v>
      </c>
      <c r="D3197">
        <v>2</v>
      </c>
      <c r="E3197">
        <v>0</v>
      </c>
      <c r="F3197">
        <f t="shared" si="49"/>
        <v>2</v>
      </c>
      <c r="I3197">
        <v>20230101</v>
      </c>
      <c r="J3197" t="s">
        <v>3191</v>
      </c>
    </row>
    <row r="3198" spans="1:67" x14ac:dyDescent="0.3">
      <c r="A3198" s="160">
        <v>30209</v>
      </c>
      <c r="B3198" t="s">
        <v>18364</v>
      </c>
      <c r="C3198" t="s">
        <v>3173</v>
      </c>
      <c r="D3198">
        <v>2</v>
      </c>
      <c r="E3198">
        <v>0</v>
      </c>
      <c r="F3198">
        <f t="shared" si="49"/>
        <v>2</v>
      </c>
      <c r="I3198">
        <v>20180701</v>
      </c>
      <c r="J3198" t="s">
        <v>3293</v>
      </c>
    </row>
    <row r="3199" spans="1:67" x14ac:dyDescent="0.3">
      <c r="A3199" s="160">
        <v>30211</v>
      </c>
      <c r="B3199" t="s">
        <v>18365</v>
      </c>
      <c r="C3199" t="s">
        <v>3187</v>
      </c>
      <c r="D3199">
        <v>2</v>
      </c>
      <c r="E3199">
        <v>0</v>
      </c>
      <c r="F3199">
        <f t="shared" si="49"/>
        <v>2</v>
      </c>
      <c r="I3199">
        <v>20230101</v>
      </c>
      <c r="J3199" t="s">
        <v>3223</v>
      </c>
    </row>
    <row r="3200" spans="1:67" x14ac:dyDescent="0.3">
      <c r="A3200" s="160">
        <v>30214</v>
      </c>
      <c r="B3200" t="s">
        <v>18366</v>
      </c>
      <c r="C3200" t="s">
        <v>3158</v>
      </c>
      <c r="D3200">
        <v>1.25</v>
      </c>
      <c r="E3200">
        <v>0</v>
      </c>
      <c r="F3200">
        <f t="shared" si="49"/>
        <v>1.25</v>
      </c>
      <c r="I3200">
        <v>20130701</v>
      </c>
      <c r="J3200" t="s">
        <v>3294</v>
      </c>
    </row>
    <row r="3201" spans="1:80" x14ac:dyDescent="0.3">
      <c r="A3201" s="160">
        <v>30216</v>
      </c>
      <c r="B3201" t="s">
        <v>18367</v>
      </c>
      <c r="C3201" t="s">
        <v>3158</v>
      </c>
      <c r="D3201">
        <v>1.25</v>
      </c>
      <c r="E3201">
        <v>0</v>
      </c>
      <c r="F3201">
        <f t="shared" si="49"/>
        <v>1.25</v>
      </c>
      <c r="I3201">
        <v>20170701</v>
      </c>
      <c r="J3201" t="s">
        <v>3190</v>
      </c>
    </row>
    <row r="3202" spans="1:80" x14ac:dyDescent="0.3">
      <c r="A3202" s="160">
        <v>30217</v>
      </c>
      <c r="B3202" t="s">
        <v>18368</v>
      </c>
      <c r="C3202" t="s">
        <v>3173</v>
      </c>
      <c r="D3202">
        <v>2</v>
      </c>
      <c r="E3202">
        <v>0</v>
      </c>
      <c r="F3202">
        <f t="shared" si="49"/>
        <v>2</v>
      </c>
      <c r="I3202">
        <v>20180701</v>
      </c>
      <c r="J3202" t="s">
        <v>3295</v>
      </c>
    </row>
    <row r="3203" spans="1:80" x14ac:dyDescent="0.3">
      <c r="A3203" s="160">
        <v>30221</v>
      </c>
      <c r="B3203" t="s">
        <v>18369</v>
      </c>
      <c r="C3203" t="s">
        <v>3173</v>
      </c>
      <c r="D3203">
        <v>2</v>
      </c>
      <c r="E3203">
        <v>0</v>
      </c>
      <c r="F3203">
        <f t="shared" si="49"/>
        <v>2</v>
      </c>
      <c r="I3203">
        <v>20180701</v>
      </c>
      <c r="J3203" t="s">
        <v>3227</v>
      </c>
    </row>
    <row r="3204" spans="1:80" x14ac:dyDescent="0.3">
      <c r="A3204" s="160">
        <v>30222</v>
      </c>
      <c r="B3204" t="s">
        <v>18370</v>
      </c>
      <c r="C3204" t="s">
        <v>3156</v>
      </c>
      <c r="D3204">
        <v>0.6</v>
      </c>
      <c r="E3204">
        <v>0</v>
      </c>
      <c r="F3204">
        <f t="shared" si="49"/>
        <v>0.6</v>
      </c>
      <c r="I3204">
        <v>20200101</v>
      </c>
      <c r="J3204" t="s">
        <v>3180</v>
      </c>
    </row>
    <row r="3205" spans="1:80" x14ac:dyDescent="0.3">
      <c r="A3205" s="160">
        <v>30223</v>
      </c>
      <c r="B3205" t="s">
        <v>18371</v>
      </c>
      <c r="C3205" t="s">
        <v>3158</v>
      </c>
      <c r="D3205">
        <v>1.25</v>
      </c>
      <c r="E3205">
        <v>0</v>
      </c>
      <c r="F3205">
        <f t="shared" si="49"/>
        <v>1.25</v>
      </c>
      <c r="I3205">
        <v>20140101</v>
      </c>
      <c r="J3205" t="s">
        <v>3224</v>
      </c>
    </row>
    <row r="3206" spans="1:80" x14ac:dyDescent="0.3">
      <c r="A3206" s="160">
        <v>30224</v>
      </c>
      <c r="B3206" t="s">
        <v>18372</v>
      </c>
      <c r="C3206" t="s">
        <v>3187</v>
      </c>
      <c r="D3206">
        <v>2</v>
      </c>
      <c r="E3206">
        <v>0</v>
      </c>
      <c r="F3206">
        <f t="shared" si="49"/>
        <v>2</v>
      </c>
      <c r="I3206">
        <v>20230101</v>
      </c>
      <c r="J3206" t="s">
        <v>3192</v>
      </c>
    </row>
    <row r="3207" spans="1:80" x14ac:dyDescent="0.3">
      <c r="A3207" s="160">
        <v>30225</v>
      </c>
      <c r="B3207" t="s">
        <v>18373</v>
      </c>
      <c r="C3207" t="s">
        <v>3156</v>
      </c>
      <c r="D3207">
        <v>0.6</v>
      </c>
      <c r="E3207">
        <v>0</v>
      </c>
      <c r="F3207">
        <f t="shared" ref="F3207:F3270" si="50">D3207+E3207</f>
        <v>0.6</v>
      </c>
      <c r="I3207">
        <v>20200101</v>
      </c>
      <c r="J3207" t="s">
        <v>3180</v>
      </c>
    </row>
    <row r="3208" spans="1:80" x14ac:dyDescent="0.3">
      <c r="A3208" s="160">
        <v>30226</v>
      </c>
      <c r="B3208" t="s">
        <v>18374</v>
      </c>
      <c r="C3208" t="s">
        <v>3156</v>
      </c>
      <c r="D3208">
        <v>0.6</v>
      </c>
      <c r="E3208">
        <v>0</v>
      </c>
      <c r="F3208">
        <f t="shared" si="50"/>
        <v>0.6</v>
      </c>
      <c r="I3208">
        <v>20200101</v>
      </c>
      <c r="J3208" t="s">
        <v>3202</v>
      </c>
      <c r="BP3208" t="s">
        <v>3189</v>
      </c>
      <c r="BQ3208" t="s">
        <v>3217</v>
      </c>
      <c r="BR3208" t="s">
        <v>3285</v>
      </c>
      <c r="BS3208" t="s">
        <v>3286</v>
      </c>
      <c r="BT3208" t="s">
        <v>3287</v>
      </c>
      <c r="BU3208" t="s">
        <v>3288</v>
      </c>
      <c r="BV3208" t="s">
        <v>3289</v>
      </c>
      <c r="BW3208" t="s">
        <v>3198</v>
      </c>
      <c r="BX3208" t="s">
        <v>3290</v>
      </c>
      <c r="BY3208" t="s">
        <v>3291</v>
      </c>
      <c r="BZ3208" t="s">
        <v>3199</v>
      </c>
      <c r="CA3208" t="s">
        <v>3292</v>
      </c>
      <c r="CB3208" t="s">
        <v>3200</v>
      </c>
    </row>
    <row r="3209" spans="1:80" x14ac:dyDescent="0.3">
      <c r="A3209" s="160">
        <v>30227</v>
      </c>
      <c r="B3209" t="s">
        <v>18375</v>
      </c>
      <c r="C3209" t="s">
        <v>3158</v>
      </c>
      <c r="D3209">
        <v>1.25</v>
      </c>
      <c r="E3209">
        <v>0</v>
      </c>
      <c r="F3209">
        <f t="shared" si="50"/>
        <v>1.25</v>
      </c>
      <c r="I3209">
        <v>20170701</v>
      </c>
      <c r="J3209" t="s">
        <v>3171</v>
      </c>
    </row>
    <row r="3210" spans="1:80" x14ac:dyDescent="0.3">
      <c r="A3210" s="160">
        <v>30228</v>
      </c>
      <c r="B3210" t="s">
        <v>18376</v>
      </c>
      <c r="C3210" t="s">
        <v>3187</v>
      </c>
      <c r="D3210">
        <v>2</v>
      </c>
      <c r="E3210">
        <v>0</v>
      </c>
      <c r="F3210">
        <f t="shared" si="50"/>
        <v>2</v>
      </c>
      <c r="I3210">
        <v>20230101</v>
      </c>
      <c r="J3210" t="s">
        <v>3192</v>
      </c>
    </row>
    <row r="3211" spans="1:80" x14ac:dyDescent="0.3">
      <c r="A3211" s="160">
        <v>30230</v>
      </c>
      <c r="B3211" t="s">
        <v>18377</v>
      </c>
      <c r="C3211" t="s">
        <v>3156</v>
      </c>
      <c r="D3211">
        <v>0.6</v>
      </c>
      <c r="E3211">
        <v>0</v>
      </c>
      <c r="F3211">
        <f t="shared" si="50"/>
        <v>0.6</v>
      </c>
      <c r="I3211">
        <v>20200101</v>
      </c>
      <c r="J3211" t="s">
        <v>3211</v>
      </c>
    </row>
    <row r="3212" spans="1:80" x14ac:dyDescent="0.3">
      <c r="A3212" s="160">
        <v>30232</v>
      </c>
      <c r="B3212" t="s">
        <v>18378</v>
      </c>
      <c r="C3212" t="s">
        <v>3156</v>
      </c>
      <c r="D3212">
        <v>0.6</v>
      </c>
      <c r="E3212">
        <v>0</v>
      </c>
      <c r="F3212">
        <f t="shared" si="50"/>
        <v>0.6</v>
      </c>
      <c r="I3212">
        <v>20240101</v>
      </c>
      <c r="J3212" t="s">
        <v>3205</v>
      </c>
    </row>
    <row r="3213" spans="1:80" x14ac:dyDescent="0.3">
      <c r="A3213" s="160">
        <v>30233</v>
      </c>
      <c r="B3213" t="s">
        <v>18379</v>
      </c>
      <c r="C3213" t="s">
        <v>3187</v>
      </c>
      <c r="D3213">
        <v>2</v>
      </c>
      <c r="E3213">
        <v>0</v>
      </c>
      <c r="F3213">
        <f t="shared" si="50"/>
        <v>2</v>
      </c>
      <c r="I3213">
        <v>20230101</v>
      </c>
      <c r="J3213" t="s">
        <v>3213</v>
      </c>
    </row>
    <row r="3214" spans="1:80" x14ac:dyDescent="0.3">
      <c r="A3214" s="160">
        <v>30236</v>
      </c>
      <c r="B3214" t="s">
        <v>18380</v>
      </c>
      <c r="C3214" t="s">
        <v>3158</v>
      </c>
      <c r="D3214">
        <v>1.25</v>
      </c>
      <c r="E3214">
        <v>0</v>
      </c>
      <c r="F3214">
        <f t="shared" si="50"/>
        <v>1.25</v>
      </c>
      <c r="I3214">
        <v>20240101</v>
      </c>
      <c r="J3214" t="s">
        <v>3219</v>
      </c>
    </row>
    <row r="3215" spans="1:80" x14ac:dyDescent="0.3">
      <c r="A3215" s="160">
        <v>30239</v>
      </c>
      <c r="B3215" t="s">
        <v>18381</v>
      </c>
      <c r="C3215" t="s">
        <v>3158</v>
      </c>
      <c r="D3215">
        <v>1.25</v>
      </c>
      <c r="E3215">
        <v>0</v>
      </c>
      <c r="F3215">
        <f t="shared" si="50"/>
        <v>1.25</v>
      </c>
      <c r="I3215">
        <v>20220701</v>
      </c>
      <c r="J3215" t="s">
        <v>3195</v>
      </c>
    </row>
    <row r="3216" spans="1:80" x14ac:dyDescent="0.3">
      <c r="A3216" s="160">
        <v>30240</v>
      </c>
      <c r="B3216" t="s">
        <v>18382</v>
      </c>
      <c r="C3216" t="s">
        <v>3158</v>
      </c>
      <c r="D3216">
        <v>1.25</v>
      </c>
      <c r="E3216">
        <v>0</v>
      </c>
      <c r="F3216">
        <f t="shared" si="50"/>
        <v>1.25</v>
      </c>
      <c r="I3216">
        <v>20130701</v>
      </c>
      <c r="J3216" t="s">
        <v>3212</v>
      </c>
    </row>
    <row r="3217" spans="1:12" x14ac:dyDescent="0.3">
      <c r="A3217" s="160">
        <v>30241</v>
      </c>
      <c r="B3217" t="s">
        <v>18383</v>
      </c>
      <c r="C3217" t="s">
        <v>3187</v>
      </c>
      <c r="D3217">
        <v>2</v>
      </c>
      <c r="E3217">
        <v>0</v>
      </c>
      <c r="F3217">
        <f t="shared" si="50"/>
        <v>2</v>
      </c>
      <c r="I3217">
        <v>20230101</v>
      </c>
      <c r="J3217" t="s">
        <v>3192</v>
      </c>
    </row>
    <row r="3218" spans="1:12" x14ac:dyDescent="0.3">
      <c r="A3218" s="160">
        <v>30242</v>
      </c>
      <c r="B3218" t="s">
        <v>18384</v>
      </c>
      <c r="C3218" t="s">
        <v>3156</v>
      </c>
      <c r="D3218">
        <v>0.6</v>
      </c>
      <c r="E3218">
        <v>0</v>
      </c>
      <c r="F3218">
        <f t="shared" si="50"/>
        <v>0.6</v>
      </c>
      <c r="I3218">
        <v>20200101</v>
      </c>
      <c r="J3218" t="s">
        <v>3157</v>
      </c>
    </row>
    <row r="3219" spans="1:12" x14ac:dyDescent="0.3">
      <c r="A3219" s="160">
        <v>30243</v>
      </c>
      <c r="B3219" t="s">
        <v>18385</v>
      </c>
      <c r="C3219" t="s">
        <v>3158</v>
      </c>
      <c r="D3219">
        <v>1.25</v>
      </c>
      <c r="E3219">
        <v>0</v>
      </c>
      <c r="F3219">
        <f t="shared" si="50"/>
        <v>1.25</v>
      </c>
      <c r="I3219">
        <v>20130701</v>
      </c>
      <c r="J3219" t="s">
        <v>3296</v>
      </c>
    </row>
    <row r="3220" spans="1:12" x14ac:dyDescent="0.3">
      <c r="A3220" s="160">
        <v>30245</v>
      </c>
      <c r="B3220" t="s">
        <v>18386</v>
      </c>
      <c r="C3220" t="s">
        <v>3187</v>
      </c>
      <c r="D3220">
        <v>2</v>
      </c>
      <c r="E3220">
        <v>0</v>
      </c>
      <c r="F3220">
        <f t="shared" si="50"/>
        <v>2</v>
      </c>
      <c r="I3220">
        <v>20230101</v>
      </c>
      <c r="J3220" t="s">
        <v>3210</v>
      </c>
    </row>
    <row r="3221" spans="1:12" x14ac:dyDescent="0.3">
      <c r="A3221" s="160">
        <v>30246</v>
      </c>
      <c r="B3221" t="s">
        <v>18387</v>
      </c>
      <c r="C3221" t="s">
        <v>3158</v>
      </c>
      <c r="D3221">
        <v>1.25</v>
      </c>
      <c r="E3221">
        <v>0</v>
      </c>
      <c r="F3221">
        <f t="shared" si="50"/>
        <v>1.25</v>
      </c>
      <c r="I3221">
        <v>20240101</v>
      </c>
      <c r="J3221" t="s">
        <v>3219</v>
      </c>
    </row>
    <row r="3222" spans="1:12" x14ac:dyDescent="0.3">
      <c r="A3222" s="160">
        <v>30248</v>
      </c>
      <c r="B3222" t="s">
        <v>18388</v>
      </c>
      <c r="C3222" t="s">
        <v>3158</v>
      </c>
      <c r="D3222">
        <v>1.25</v>
      </c>
      <c r="E3222">
        <v>0</v>
      </c>
      <c r="F3222">
        <f t="shared" si="50"/>
        <v>1.25</v>
      </c>
      <c r="I3222">
        <v>20170701</v>
      </c>
      <c r="J3222" t="s">
        <v>3192</v>
      </c>
    </row>
    <row r="3223" spans="1:12" x14ac:dyDescent="0.3">
      <c r="A3223" s="160">
        <v>30249</v>
      </c>
      <c r="B3223" t="s">
        <v>18389</v>
      </c>
      <c r="C3223" t="s">
        <v>3187</v>
      </c>
      <c r="D3223">
        <v>2</v>
      </c>
      <c r="E3223">
        <v>0</v>
      </c>
      <c r="F3223">
        <f t="shared" si="50"/>
        <v>2</v>
      </c>
      <c r="I3223">
        <v>20230101</v>
      </c>
      <c r="J3223" t="s">
        <v>3218</v>
      </c>
    </row>
    <row r="3224" spans="1:12" x14ac:dyDescent="0.3">
      <c r="A3224" s="160">
        <v>30250</v>
      </c>
      <c r="B3224" t="s">
        <v>18390</v>
      </c>
      <c r="C3224" t="s">
        <v>3158</v>
      </c>
      <c r="D3224">
        <v>1.25</v>
      </c>
      <c r="E3224">
        <v>0</v>
      </c>
      <c r="F3224">
        <f t="shared" si="50"/>
        <v>1.25</v>
      </c>
      <c r="I3224">
        <v>20130701</v>
      </c>
      <c r="J3224" t="s">
        <v>3212</v>
      </c>
    </row>
    <row r="3225" spans="1:12" x14ac:dyDescent="0.3">
      <c r="A3225" s="160">
        <v>30251</v>
      </c>
      <c r="B3225" t="s">
        <v>18391</v>
      </c>
      <c r="C3225" t="s">
        <v>3156</v>
      </c>
      <c r="D3225">
        <v>0.6</v>
      </c>
      <c r="E3225">
        <v>0</v>
      </c>
      <c r="F3225">
        <f t="shared" si="50"/>
        <v>0.6</v>
      </c>
      <c r="I3225">
        <v>20200101</v>
      </c>
      <c r="J3225" t="s">
        <v>3180</v>
      </c>
    </row>
    <row r="3226" spans="1:12" x14ac:dyDescent="0.3">
      <c r="A3226" s="160">
        <v>30253</v>
      </c>
      <c r="B3226" t="s">
        <v>18392</v>
      </c>
      <c r="C3226" t="s">
        <v>3158</v>
      </c>
      <c r="D3226">
        <v>1.25</v>
      </c>
      <c r="E3226">
        <v>0</v>
      </c>
      <c r="F3226">
        <f t="shared" si="50"/>
        <v>1.25</v>
      </c>
      <c r="I3226">
        <v>20130701</v>
      </c>
      <c r="J3226" t="s">
        <v>3222</v>
      </c>
    </row>
    <row r="3227" spans="1:12" x14ac:dyDescent="0.3">
      <c r="A3227" s="160">
        <v>30254</v>
      </c>
      <c r="B3227" t="s">
        <v>18393</v>
      </c>
      <c r="C3227" t="s">
        <v>3156</v>
      </c>
      <c r="D3227">
        <v>0.6</v>
      </c>
      <c r="E3227">
        <v>0</v>
      </c>
      <c r="F3227">
        <f t="shared" si="50"/>
        <v>0.6</v>
      </c>
      <c r="I3227">
        <v>20200101</v>
      </c>
      <c r="J3227" t="s">
        <v>3227</v>
      </c>
    </row>
    <row r="3228" spans="1:12" x14ac:dyDescent="0.3">
      <c r="A3228" s="160">
        <v>30255</v>
      </c>
      <c r="B3228" t="s">
        <v>18394</v>
      </c>
      <c r="C3228" t="s">
        <v>3187</v>
      </c>
      <c r="D3228">
        <v>2</v>
      </c>
      <c r="E3228">
        <v>0</v>
      </c>
      <c r="F3228">
        <f t="shared" si="50"/>
        <v>2</v>
      </c>
      <c r="I3228">
        <v>20230101</v>
      </c>
      <c r="J3228" t="s">
        <v>3192</v>
      </c>
    </row>
    <row r="3229" spans="1:12" x14ac:dyDescent="0.3">
      <c r="A3229" s="160">
        <v>30256</v>
      </c>
      <c r="B3229" t="s">
        <v>18395</v>
      </c>
      <c r="C3229" t="s">
        <v>3156</v>
      </c>
      <c r="D3229">
        <v>0.6</v>
      </c>
      <c r="E3229">
        <v>0</v>
      </c>
      <c r="F3229">
        <f t="shared" si="50"/>
        <v>0.6</v>
      </c>
      <c r="I3229">
        <v>20200101</v>
      </c>
      <c r="J3229" t="s">
        <v>3180</v>
      </c>
    </row>
    <row r="3230" spans="1:12" x14ac:dyDescent="0.3">
      <c r="A3230" s="160">
        <v>30257</v>
      </c>
      <c r="B3230" t="s">
        <v>18396</v>
      </c>
      <c r="C3230" t="s">
        <v>3187</v>
      </c>
      <c r="D3230">
        <v>2</v>
      </c>
      <c r="E3230">
        <v>0</v>
      </c>
      <c r="F3230">
        <f t="shared" si="50"/>
        <v>2</v>
      </c>
      <c r="I3230">
        <v>20230101</v>
      </c>
      <c r="J3230" t="s">
        <v>3191</v>
      </c>
    </row>
    <row r="3231" spans="1:12" x14ac:dyDescent="0.3">
      <c r="A3231" s="160">
        <v>30258</v>
      </c>
      <c r="B3231" t="s">
        <v>18397</v>
      </c>
      <c r="C3231" t="s">
        <v>3187</v>
      </c>
      <c r="D3231">
        <v>2</v>
      </c>
      <c r="E3231">
        <v>0</v>
      </c>
      <c r="F3231">
        <f t="shared" si="50"/>
        <v>2</v>
      </c>
      <c r="I3231">
        <v>20230101</v>
      </c>
      <c r="J3231" t="s">
        <v>3297</v>
      </c>
    </row>
    <row r="3232" spans="1:12" x14ac:dyDescent="0.3">
      <c r="A3232" s="160">
        <v>30259</v>
      </c>
      <c r="B3232" t="s">
        <v>18398</v>
      </c>
      <c r="C3232" t="s">
        <v>3158</v>
      </c>
      <c r="D3232">
        <v>1.25</v>
      </c>
      <c r="E3232">
        <v>0</v>
      </c>
      <c r="F3232">
        <f t="shared" si="50"/>
        <v>1.25</v>
      </c>
      <c r="I3232">
        <v>20130701</v>
      </c>
      <c r="J3232" t="s">
        <v>3161</v>
      </c>
      <c r="K3232" t="s">
        <v>3170</v>
      </c>
      <c r="L3232" t="s">
        <v>3298</v>
      </c>
    </row>
    <row r="3233" spans="1:11" x14ac:dyDescent="0.3">
      <c r="A3233" s="160">
        <v>30261</v>
      </c>
      <c r="B3233" t="s">
        <v>18399</v>
      </c>
      <c r="C3233" t="s">
        <v>3158</v>
      </c>
      <c r="D3233">
        <v>1.25</v>
      </c>
      <c r="E3233">
        <v>0</v>
      </c>
      <c r="F3233">
        <f t="shared" si="50"/>
        <v>1.25</v>
      </c>
      <c r="I3233">
        <v>20130701</v>
      </c>
      <c r="J3233" t="s">
        <v>3212</v>
      </c>
    </row>
    <row r="3234" spans="1:11" x14ac:dyDescent="0.3">
      <c r="A3234" s="160">
        <v>30264</v>
      </c>
      <c r="B3234" t="s">
        <v>18400</v>
      </c>
      <c r="C3234" t="s">
        <v>3158</v>
      </c>
      <c r="D3234">
        <v>1.25</v>
      </c>
      <c r="E3234">
        <v>0</v>
      </c>
      <c r="F3234">
        <f t="shared" si="50"/>
        <v>1.25</v>
      </c>
      <c r="I3234">
        <v>20130701</v>
      </c>
      <c r="J3234" t="s">
        <v>3212</v>
      </c>
    </row>
    <row r="3235" spans="1:11" x14ac:dyDescent="0.3">
      <c r="A3235" s="160">
        <v>30267</v>
      </c>
      <c r="B3235" t="s">
        <v>18401</v>
      </c>
      <c r="C3235" t="s">
        <v>3158</v>
      </c>
      <c r="D3235">
        <v>1.25</v>
      </c>
      <c r="E3235">
        <v>0</v>
      </c>
      <c r="F3235">
        <f t="shared" si="50"/>
        <v>1.25</v>
      </c>
      <c r="I3235">
        <v>20130701</v>
      </c>
      <c r="J3235" t="s">
        <v>3201</v>
      </c>
    </row>
    <row r="3236" spans="1:11" x14ac:dyDescent="0.3">
      <c r="A3236" s="160">
        <v>30268</v>
      </c>
      <c r="B3236" t="s">
        <v>18402</v>
      </c>
      <c r="C3236" t="s">
        <v>3158</v>
      </c>
      <c r="D3236">
        <v>1.25</v>
      </c>
      <c r="E3236">
        <v>0</v>
      </c>
      <c r="F3236">
        <f t="shared" si="50"/>
        <v>1.25</v>
      </c>
      <c r="I3236">
        <v>20130701</v>
      </c>
      <c r="J3236" t="s">
        <v>3222</v>
      </c>
    </row>
    <row r="3237" spans="1:11" x14ac:dyDescent="0.3">
      <c r="A3237" s="160">
        <v>30269</v>
      </c>
      <c r="B3237" t="s">
        <v>18403</v>
      </c>
      <c r="C3237" t="s">
        <v>3158</v>
      </c>
      <c r="D3237">
        <v>1.25</v>
      </c>
      <c r="E3237">
        <v>0</v>
      </c>
      <c r="F3237">
        <f t="shared" si="50"/>
        <v>1.25</v>
      </c>
      <c r="I3237">
        <v>20130701</v>
      </c>
      <c r="J3237" t="s">
        <v>3299</v>
      </c>
    </row>
    <row r="3238" spans="1:11" x14ac:dyDescent="0.3">
      <c r="A3238" s="160">
        <v>30270</v>
      </c>
      <c r="B3238" t="s">
        <v>18404</v>
      </c>
      <c r="C3238" t="s">
        <v>3158</v>
      </c>
      <c r="D3238">
        <v>1.25</v>
      </c>
      <c r="E3238">
        <v>0</v>
      </c>
      <c r="F3238">
        <f t="shared" si="50"/>
        <v>1.25</v>
      </c>
      <c r="I3238">
        <v>20130701</v>
      </c>
      <c r="J3238" t="s">
        <v>3172</v>
      </c>
    </row>
    <row r="3239" spans="1:11" x14ac:dyDescent="0.3">
      <c r="A3239" s="160">
        <v>30271</v>
      </c>
      <c r="B3239" t="s">
        <v>18405</v>
      </c>
      <c r="C3239" t="s">
        <v>3158</v>
      </c>
      <c r="D3239">
        <v>1.25</v>
      </c>
      <c r="E3239">
        <v>0</v>
      </c>
      <c r="F3239">
        <f t="shared" si="50"/>
        <v>1.25</v>
      </c>
      <c r="I3239">
        <v>20220701</v>
      </c>
      <c r="J3239" t="s">
        <v>3171</v>
      </c>
    </row>
    <row r="3240" spans="1:11" x14ac:dyDescent="0.3">
      <c r="A3240" s="160">
        <v>30273</v>
      </c>
      <c r="B3240" t="s">
        <v>18406</v>
      </c>
      <c r="C3240" t="s">
        <v>3156</v>
      </c>
      <c r="D3240">
        <v>0.6</v>
      </c>
      <c r="E3240">
        <v>0</v>
      </c>
      <c r="F3240">
        <f t="shared" si="50"/>
        <v>0.6</v>
      </c>
      <c r="I3240">
        <v>20200101</v>
      </c>
      <c r="J3240" t="s">
        <v>3157</v>
      </c>
    </row>
    <row r="3241" spans="1:11" x14ac:dyDescent="0.3">
      <c r="A3241" s="160">
        <v>30274</v>
      </c>
      <c r="B3241" t="s">
        <v>18407</v>
      </c>
      <c r="C3241" t="s">
        <v>3158</v>
      </c>
      <c r="D3241">
        <v>1.25</v>
      </c>
      <c r="E3241">
        <v>0</v>
      </c>
      <c r="F3241">
        <f t="shared" si="50"/>
        <v>1.25</v>
      </c>
      <c r="I3241">
        <v>20140101</v>
      </c>
      <c r="J3241" t="s">
        <v>3162</v>
      </c>
      <c r="K3241" t="s">
        <v>3224</v>
      </c>
    </row>
    <row r="3242" spans="1:11" x14ac:dyDescent="0.3">
      <c r="A3242" s="160">
        <v>30275</v>
      </c>
      <c r="B3242" t="s">
        <v>18408</v>
      </c>
      <c r="C3242" t="s">
        <v>3158</v>
      </c>
      <c r="D3242">
        <v>1.25</v>
      </c>
      <c r="E3242">
        <v>0</v>
      </c>
      <c r="F3242">
        <f t="shared" si="50"/>
        <v>1.25</v>
      </c>
      <c r="I3242">
        <v>20240101</v>
      </c>
      <c r="J3242" t="s">
        <v>3194</v>
      </c>
    </row>
    <row r="3243" spans="1:11" x14ac:dyDescent="0.3">
      <c r="A3243" s="160">
        <v>30277</v>
      </c>
      <c r="B3243" t="s">
        <v>18409</v>
      </c>
      <c r="C3243" t="s">
        <v>3156</v>
      </c>
      <c r="D3243">
        <v>0.6</v>
      </c>
      <c r="E3243">
        <v>0</v>
      </c>
      <c r="F3243">
        <f t="shared" si="50"/>
        <v>0.6</v>
      </c>
      <c r="I3243">
        <v>20200101</v>
      </c>
      <c r="J3243" t="s">
        <v>3180</v>
      </c>
    </row>
    <row r="3244" spans="1:11" x14ac:dyDescent="0.3">
      <c r="A3244" s="160">
        <v>30278</v>
      </c>
      <c r="B3244" t="s">
        <v>18410</v>
      </c>
      <c r="C3244" t="s">
        <v>3156</v>
      </c>
      <c r="D3244">
        <v>0.6</v>
      </c>
      <c r="E3244">
        <v>0</v>
      </c>
      <c r="F3244">
        <f t="shared" si="50"/>
        <v>0.6</v>
      </c>
      <c r="I3244">
        <v>20200101</v>
      </c>
      <c r="J3244" t="s">
        <v>3221</v>
      </c>
    </row>
    <row r="3245" spans="1:11" x14ac:dyDescent="0.3">
      <c r="A3245" s="160">
        <v>30281</v>
      </c>
      <c r="B3245" t="s">
        <v>18411</v>
      </c>
      <c r="C3245" t="s">
        <v>3187</v>
      </c>
      <c r="D3245">
        <v>2</v>
      </c>
      <c r="E3245">
        <v>0</v>
      </c>
      <c r="F3245">
        <f t="shared" si="50"/>
        <v>2</v>
      </c>
      <c r="I3245">
        <v>20230101</v>
      </c>
      <c r="J3245" t="s">
        <v>3213</v>
      </c>
    </row>
    <row r="3246" spans="1:11" x14ac:dyDescent="0.3">
      <c r="A3246" s="160">
        <v>30284</v>
      </c>
      <c r="B3246" t="s">
        <v>18412</v>
      </c>
      <c r="C3246" t="s">
        <v>3158</v>
      </c>
      <c r="D3246">
        <v>1.25</v>
      </c>
      <c r="E3246">
        <v>0</v>
      </c>
      <c r="F3246">
        <f t="shared" si="50"/>
        <v>1.25</v>
      </c>
      <c r="I3246">
        <v>20130701</v>
      </c>
      <c r="J3246" t="s">
        <v>3300</v>
      </c>
    </row>
    <row r="3247" spans="1:11" x14ac:dyDescent="0.3">
      <c r="A3247" s="160">
        <v>30285</v>
      </c>
      <c r="B3247" t="s">
        <v>18413</v>
      </c>
      <c r="C3247" t="s">
        <v>3158</v>
      </c>
      <c r="D3247">
        <v>1.25</v>
      </c>
      <c r="E3247">
        <v>0</v>
      </c>
      <c r="F3247">
        <f t="shared" si="50"/>
        <v>1.25</v>
      </c>
      <c r="I3247">
        <v>20130701</v>
      </c>
      <c r="J3247" t="s">
        <v>3212</v>
      </c>
    </row>
    <row r="3248" spans="1:11" x14ac:dyDescent="0.3">
      <c r="A3248" s="160">
        <v>30287</v>
      </c>
      <c r="B3248" t="s">
        <v>18414</v>
      </c>
      <c r="C3248" t="s">
        <v>3156</v>
      </c>
      <c r="D3248">
        <v>0.6</v>
      </c>
      <c r="E3248">
        <v>0</v>
      </c>
      <c r="F3248">
        <f t="shared" si="50"/>
        <v>0.6</v>
      </c>
      <c r="I3248">
        <v>20200101</v>
      </c>
      <c r="J3248" t="s">
        <v>3180</v>
      </c>
    </row>
    <row r="3249" spans="1:13" x14ac:dyDescent="0.3">
      <c r="A3249" s="160">
        <v>30288</v>
      </c>
      <c r="B3249" t="s">
        <v>18415</v>
      </c>
      <c r="C3249" t="s">
        <v>3156</v>
      </c>
      <c r="D3249">
        <v>0.6</v>
      </c>
      <c r="E3249">
        <v>0</v>
      </c>
      <c r="F3249">
        <f t="shared" si="50"/>
        <v>0.6</v>
      </c>
      <c r="I3249">
        <v>20200101</v>
      </c>
      <c r="J3249" t="s">
        <v>3180</v>
      </c>
      <c r="K3249" t="s">
        <v>3185</v>
      </c>
    </row>
    <row r="3250" spans="1:13" x14ac:dyDescent="0.3">
      <c r="A3250" s="160">
        <v>30290</v>
      </c>
      <c r="B3250" t="s">
        <v>18416</v>
      </c>
      <c r="C3250" t="s">
        <v>3156</v>
      </c>
      <c r="D3250">
        <v>0.6</v>
      </c>
      <c r="E3250">
        <v>0</v>
      </c>
      <c r="F3250">
        <f t="shared" si="50"/>
        <v>0.6</v>
      </c>
      <c r="I3250">
        <v>20200101</v>
      </c>
      <c r="J3250" t="s">
        <v>3202</v>
      </c>
      <c r="K3250" t="s">
        <v>3203</v>
      </c>
    </row>
    <row r="3251" spans="1:13" x14ac:dyDescent="0.3">
      <c r="A3251" s="160">
        <v>30291</v>
      </c>
      <c r="B3251" t="s">
        <v>18417</v>
      </c>
      <c r="C3251" t="s">
        <v>3158</v>
      </c>
      <c r="D3251">
        <v>1.25</v>
      </c>
      <c r="E3251">
        <v>0</v>
      </c>
      <c r="F3251">
        <f t="shared" si="50"/>
        <v>1.25</v>
      </c>
      <c r="I3251">
        <v>20130701</v>
      </c>
      <c r="J3251" t="s">
        <v>3206</v>
      </c>
    </row>
    <row r="3252" spans="1:13" x14ac:dyDescent="0.3">
      <c r="A3252" s="160">
        <v>30292</v>
      </c>
      <c r="B3252" t="s">
        <v>18418</v>
      </c>
      <c r="C3252" t="s">
        <v>3156</v>
      </c>
      <c r="D3252">
        <v>0.6</v>
      </c>
      <c r="E3252">
        <v>0</v>
      </c>
      <c r="F3252">
        <f t="shared" si="50"/>
        <v>0.6</v>
      </c>
      <c r="I3252">
        <v>20200101</v>
      </c>
      <c r="J3252" t="s">
        <v>3205</v>
      </c>
    </row>
    <row r="3253" spans="1:13" x14ac:dyDescent="0.3">
      <c r="A3253" s="160">
        <v>30294</v>
      </c>
      <c r="B3253" t="s">
        <v>18419</v>
      </c>
      <c r="C3253" t="s">
        <v>3158</v>
      </c>
      <c r="D3253">
        <v>1.25</v>
      </c>
      <c r="E3253">
        <v>0</v>
      </c>
      <c r="F3253">
        <f t="shared" si="50"/>
        <v>1.25</v>
      </c>
      <c r="I3253">
        <v>20130701</v>
      </c>
      <c r="J3253" t="s">
        <v>3160</v>
      </c>
      <c r="K3253" t="s">
        <v>3161</v>
      </c>
      <c r="L3253" t="s">
        <v>3170</v>
      </c>
      <c r="M3253" t="s">
        <v>3224</v>
      </c>
    </row>
    <row r="3254" spans="1:13" x14ac:dyDescent="0.3">
      <c r="A3254" s="160">
        <v>30298</v>
      </c>
      <c r="B3254" t="s">
        <v>18420</v>
      </c>
      <c r="C3254" t="s">
        <v>3158</v>
      </c>
      <c r="D3254">
        <v>1.25</v>
      </c>
      <c r="E3254">
        <v>0</v>
      </c>
      <c r="F3254">
        <f t="shared" si="50"/>
        <v>1.25</v>
      </c>
      <c r="I3254">
        <v>20130701</v>
      </c>
      <c r="J3254" t="s">
        <v>3172</v>
      </c>
    </row>
    <row r="3255" spans="1:13" x14ac:dyDescent="0.3">
      <c r="A3255" s="160">
        <v>30302</v>
      </c>
      <c r="B3255" t="s">
        <v>18421</v>
      </c>
      <c r="C3255" t="s">
        <v>3156</v>
      </c>
      <c r="D3255">
        <v>0.6</v>
      </c>
      <c r="E3255">
        <v>0</v>
      </c>
      <c r="F3255">
        <f t="shared" si="50"/>
        <v>0.6</v>
      </c>
      <c r="I3255">
        <v>20200101</v>
      </c>
      <c r="J3255" t="s">
        <v>3220</v>
      </c>
    </row>
    <row r="3256" spans="1:13" x14ac:dyDescent="0.3">
      <c r="A3256" s="160">
        <v>30304</v>
      </c>
      <c r="B3256" t="s">
        <v>18422</v>
      </c>
      <c r="C3256" t="s">
        <v>3156</v>
      </c>
      <c r="D3256">
        <v>0.6</v>
      </c>
      <c r="E3256">
        <v>0</v>
      </c>
      <c r="F3256">
        <f t="shared" si="50"/>
        <v>0.6</v>
      </c>
      <c r="I3256">
        <v>20200101</v>
      </c>
      <c r="J3256" t="s">
        <v>3157</v>
      </c>
    </row>
    <row r="3257" spans="1:13" x14ac:dyDescent="0.3">
      <c r="A3257" s="160">
        <v>30305</v>
      </c>
      <c r="B3257" t="s">
        <v>18423</v>
      </c>
      <c r="C3257" t="s">
        <v>3158</v>
      </c>
      <c r="D3257">
        <v>1.25</v>
      </c>
      <c r="E3257">
        <v>0</v>
      </c>
      <c r="F3257">
        <f t="shared" si="50"/>
        <v>1.25</v>
      </c>
      <c r="I3257">
        <v>20130701</v>
      </c>
      <c r="J3257" t="s">
        <v>3160</v>
      </c>
      <c r="K3257" t="s">
        <v>3170</v>
      </c>
      <c r="L3257" t="s">
        <v>3224</v>
      </c>
    </row>
    <row r="3258" spans="1:13" x14ac:dyDescent="0.3">
      <c r="A3258" s="160">
        <v>30307</v>
      </c>
      <c r="B3258" t="s">
        <v>18424</v>
      </c>
      <c r="C3258" t="s">
        <v>3158</v>
      </c>
      <c r="D3258">
        <v>1.25</v>
      </c>
      <c r="E3258">
        <v>0</v>
      </c>
      <c r="F3258">
        <f t="shared" si="50"/>
        <v>1.25</v>
      </c>
      <c r="I3258">
        <v>20130701</v>
      </c>
      <c r="J3258" t="s">
        <v>3195</v>
      </c>
    </row>
    <row r="3259" spans="1:13" x14ac:dyDescent="0.3">
      <c r="A3259" s="160">
        <v>30312</v>
      </c>
      <c r="B3259" t="s">
        <v>18425</v>
      </c>
      <c r="C3259" t="s">
        <v>3173</v>
      </c>
      <c r="D3259">
        <v>2</v>
      </c>
      <c r="E3259">
        <v>0</v>
      </c>
      <c r="F3259">
        <f t="shared" si="50"/>
        <v>2</v>
      </c>
      <c r="I3259">
        <v>20180701</v>
      </c>
      <c r="J3259" t="s">
        <v>3227</v>
      </c>
    </row>
    <row r="3260" spans="1:13" x14ac:dyDescent="0.3">
      <c r="A3260" s="160">
        <v>30313</v>
      </c>
      <c r="B3260" t="s">
        <v>17628</v>
      </c>
      <c r="C3260" t="s">
        <v>3187</v>
      </c>
      <c r="D3260">
        <v>2</v>
      </c>
      <c r="E3260">
        <v>0</v>
      </c>
      <c r="F3260">
        <f t="shared" si="50"/>
        <v>2</v>
      </c>
      <c r="I3260">
        <v>20230101</v>
      </c>
      <c r="J3260" t="s">
        <v>3192</v>
      </c>
    </row>
    <row r="3261" spans="1:13" x14ac:dyDescent="0.3">
      <c r="A3261" s="160">
        <v>30315</v>
      </c>
      <c r="B3261" t="s">
        <v>18426</v>
      </c>
      <c r="C3261" t="s">
        <v>3173</v>
      </c>
      <c r="D3261">
        <v>2</v>
      </c>
      <c r="E3261">
        <v>0</v>
      </c>
      <c r="F3261">
        <f t="shared" si="50"/>
        <v>2</v>
      </c>
      <c r="I3261">
        <v>20180701</v>
      </c>
      <c r="J3261" t="s">
        <v>3295</v>
      </c>
    </row>
    <row r="3262" spans="1:13" x14ac:dyDescent="0.3">
      <c r="A3262" s="160">
        <v>30316</v>
      </c>
      <c r="B3262" t="s">
        <v>18427</v>
      </c>
      <c r="C3262" t="s">
        <v>3158</v>
      </c>
      <c r="D3262">
        <v>1.25</v>
      </c>
      <c r="E3262">
        <v>0</v>
      </c>
      <c r="F3262">
        <f t="shared" si="50"/>
        <v>1.25</v>
      </c>
      <c r="I3262">
        <v>20240101</v>
      </c>
      <c r="J3262" t="s">
        <v>3179</v>
      </c>
    </row>
    <row r="3263" spans="1:13" x14ac:dyDescent="0.3">
      <c r="A3263" s="160">
        <v>30317</v>
      </c>
      <c r="B3263" t="s">
        <v>18428</v>
      </c>
      <c r="C3263" t="s">
        <v>3187</v>
      </c>
      <c r="D3263">
        <v>2</v>
      </c>
      <c r="E3263">
        <v>0</v>
      </c>
      <c r="F3263">
        <f t="shared" si="50"/>
        <v>2</v>
      </c>
      <c r="I3263">
        <v>20230101</v>
      </c>
      <c r="J3263" t="s">
        <v>3196</v>
      </c>
    </row>
    <row r="3264" spans="1:13" x14ac:dyDescent="0.3">
      <c r="A3264" s="160">
        <v>30318</v>
      </c>
      <c r="B3264" t="s">
        <v>15280</v>
      </c>
      <c r="C3264" t="s">
        <v>3158</v>
      </c>
      <c r="D3264">
        <v>1.25</v>
      </c>
      <c r="E3264">
        <v>0</v>
      </c>
      <c r="F3264">
        <f t="shared" si="50"/>
        <v>1.25</v>
      </c>
      <c r="I3264">
        <v>20240101</v>
      </c>
      <c r="J3264" t="s">
        <v>3224</v>
      </c>
    </row>
    <row r="3265" spans="1:13" x14ac:dyDescent="0.3">
      <c r="A3265" s="160">
        <v>30320</v>
      </c>
      <c r="B3265" t="s">
        <v>18429</v>
      </c>
      <c r="C3265" t="s">
        <v>3158</v>
      </c>
      <c r="D3265">
        <v>1.25</v>
      </c>
      <c r="E3265">
        <v>0</v>
      </c>
      <c r="F3265">
        <f t="shared" si="50"/>
        <v>1.25</v>
      </c>
      <c r="I3265">
        <v>20240101</v>
      </c>
      <c r="J3265" t="s">
        <v>3194</v>
      </c>
    </row>
    <row r="3266" spans="1:13" x14ac:dyDescent="0.3">
      <c r="A3266" s="160">
        <v>30323</v>
      </c>
      <c r="B3266" t="s">
        <v>18430</v>
      </c>
      <c r="C3266" t="s">
        <v>3158</v>
      </c>
      <c r="D3266">
        <v>1.25</v>
      </c>
      <c r="E3266">
        <v>0</v>
      </c>
      <c r="F3266">
        <f t="shared" si="50"/>
        <v>1.25</v>
      </c>
      <c r="I3266">
        <v>20130701</v>
      </c>
      <c r="J3266" t="s">
        <v>3195</v>
      </c>
    </row>
    <row r="3267" spans="1:13" x14ac:dyDescent="0.3">
      <c r="A3267" s="160">
        <v>30326</v>
      </c>
      <c r="B3267" t="s">
        <v>18431</v>
      </c>
      <c r="C3267" t="s">
        <v>3156</v>
      </c>
      <c r="D3267">
        <v>0.6</v>
      </c>
      <c r="E3267">
        <v>0</v>
      </c>
      <c r="F3267">
        <f t="shared" si="50"/>
        <v>0.6</v>
      </c>
      <c r="I3267">
        <v>20200101</v>
      </c>
      <c r="J3267" t="s">
        <v>3221</v>
      </c>
    </row>
    <row r="3268" spans="1:13" x14ac:dyDescent="0.3">
      <c r="A3268" s="160">
        <v>30329</v>
      </c>
      <c r="B3268" t="s">
        <v>18432</v>
      </c>
      <c r="C3268" t="s">
        <v>3158</v>
      </c>
      <c r="D3268">
        <v>1.25</v>
      </c>
      <c r="E3268">
        <v>0</v>
      </c>
      <c r="F3268">
        <f t="shared" si="50"/>
        <v>1.25</v>
      </c>
      <c r="I3268">
        <v>20240101</v>
      </c>
      <c r="J3268" t="s">
        <v>3172</v>
      </c>
    </row>
    <row r="3269" spans="1:13" x14ac:dyDescent="0.3">
      <c r="A3269" s="160">
        <v>30330</v>
      </c>
      <c r="B3269" t="s">
        <v>18433</v>
      </c>
      <c r="C3269" t="s">
        <v>3158</v>
      </c>
      <c r="D3269">
        <v>1.25</v>
      </c>
      <c r="E3269">
        <v>0</v>
      </c>
      <c r="F3269">
        <f t="shared" si="50"/>
        <v>1.25</v>
      </c>
      <c r="I3269">
        <v>20130701</v>
      </c>
      <c r="J3269" t="s">
        <v>3172</v>
      </c>
    </row>
    <row r="3270" spans="1:13" x14ac:dyDescent="0.3">
      <c r="A3270" s="160">
        <v>30331</v>
      </c>
      <c r="B3270" t="s">
        <v>18434</v>
      </c>
      <c r="C3270" t="s">
        <v>3156</v>
      </c>
      <c r="D3270">
        <v>0.6</v>
      </c>
      <c r="E3270">
        <v>0</v>
      </c>
      <c r="F3270">
        <f t="shared" si="50"/>
        <v>0.6</v>
      </c>
      <c r="I3270">
        <v>20200101</v>
      </c>
      <c r="J3270" t="s">
        <v>3205</v>
      </c>
    </row>
    <row r="3271" spans="1:13" x14ac:dyDescent="0.3">
      <c r="A3271" s="160">
        <v>30335</v>
      </c>
      <c r="B3271" t="s">
        <v>18435</v>
      </c>
      <c r="C3271" t="s">
        <v>3158</v>
      </c>
      <c r="D3271">
        <v>1.25</v>
      </c>
      <c r="E3271">
        <v>0</v>
      </c>
      <c r="F3271">
        <f t="shared" ref="F3271:F3334" si="51">D3271+E3271</f>
        <v>1.25</v>
      </c>
      <c r="I3271">
        <v>20240101</v>
      </c>
      <c r="J3271" t="s">
        <v>3219</v>
      </c>
    </row>
    <row r="3272" spans="1:13" x14ac:dyDescent="0.3">
      <c r="A3272" s="160">
        <v>30342</v>
      </c>
      <c r="B3272" t="s">
        <v>18436</v>
      </c>
      <c r="C3272" t="s">
        <v>3156</v>
      </c>
      <c r="D3272">
        <v>0.6</v>
      </c>
      <c r="E3272">
        <v>0</v>
      </c>
      <c r="F3272">
        <f t="shared" si="51"/>
        <v>0.6</v>
      </c>
      <c r="I3272">
        <v>20200101</v>
      </c>
      <c r="J3272" t="s">
        <v>3180</v>
      </c>
    </row>
    <row r="3273" spans="1:13" x14ac:dyDescent="0.3">
      <c r="A3273" s="160">
        <v>30343</v>
      </c>
      <c r="B3273" t="s">
        <v>18437</v>
      </c>
      <c r="C3273" t="s">
        <v>3156</v>
      </c>
      <c r="D3273">
        <v>0.6</v>
      </c>
      <c r="E3273">
        <v>0</v>
      </c>
      <c r="F3273">
        <f t="shared" si="51"/>
        <v>0.6</v>
      </c>
      <c r="I3273">
        <v>20240101</v>
      </c>
      <c r="J3273" t="s">
        <v>3203</v>
      </c>
      <c r="K3273" t="s">
        <v>3211</v>
      </c>
    </row>
    <row r="3274" spans="1:13" x14ac:dyDescent="0.3">
      <c r="A3274" s="160">
        <v>30345</v>
      </c>
      <c r="B3274" t="s">
        <v>18438</v>
      </c>
      <c r="C3274" t="s">
        <v>3158</v>
      </c>
      <c r="D3274">
        <v>1.25</v>
      </c>
      <c r="E3274">
        <v>0</v>
      </c>
      <c r="F3274">
        <f t="shared" si="51"/>
        <v>1.25</v>
      </c>
      <c r="I3274">
        <v>20240101</v>
      </c>
      <c r="J3274" t="s">
        <v>3207</v>
      </c>
    </row>
    <row r="3275" spans="1:13" x14ac:dyDescent="0.3">
      <c r="A3275" s="160">
        <v>30348</v>
      </c>
      <c r="B3275" t="s">
        <v>18439</v>
      </c>
      <c r="C3275" t="s">
        <v>3158</v>
      </c>
      <c r="D3275">
        <v>1.25</v>
      </c>
      <c r="E3275">
        <v>0</v>
      </c>
      <c r="F3275">
        <f t="shared" si="51"/>
        <v>1.25</v>
      </c>
      <c r="I3275">
        <v>20130701</v>
      </c>
      <c r="J3275" t="s">
        <v>3161</v>
      </c>
      <c r="K3275" t="s">
        <v>3212</v>
      </c>
    </row>
    <row r="3276" spans="1:13" x14ac:dyDescent="0.3">
      <c r="A3276" s="160">
        <v>30351</v>
      </c>
      <c r="B3276" t="s">
        <v>18440</v>
      </c>
      <c r="C3276" t="s">
        <v>3173</v>
      </c>
      <c r="D3276">
        <v>2</v>
      </c>
      <c r="E3276">
        <v>0</v>
      </c>
      <c r="F3276">
        <f t="shared" si="51"/>
        <v>2</v>
      </c>
      <c r="I3276">
        <v>20180701</v>
      </c>
      <c r="J3276" t="s">
        <v>3301</v>
      </c>
      <c r="K3276" t="s">
        <v>3175</v>
      </c>
      <c r="L3276" t="s">
        <v>3176</v>
      </c>
      <c r="M3276" t="s">
        <v>3302</v>
      </c>
    </row>
    <row r="3277" spans="1:13" x14ac:dyDescent="0.3">
      <c r="A3277" s="160">
        <v>30354</v>
      </c>
      <c r="B3277" t="s">
        <v>18441</v>
      </c>
      <c r="C3277" t="s">
        <v>3187</v>
      </c>
      <c r="D3277">
        <v>2</v>
      </c>
      <c r="E3277">
        <v>0</v>
      </c>
      <c r="F3277">
        <f t="shared" si="51"/>
        <v>2</v>
      </c>
      <c r="I3277">
        <v>20230101</v>
      </c>
      <c r="J3277" t="s">
        <v>3201</v>
      </c>
    </row>
    <row r="3278" spans="1:13" x14ac:dyDescent="0.3">
      <c r="A3278" s="160">
        <v>30355</v>
      </c>
      <c r="B3278" t="s">
        <v>18442</v>
      </c>
      <c r="C3278" t="s">
        <v>3156</v>
      </c>
      <c r="D3278">
        <v>0.6</v>
      </c>
      <c r="E3278">
        <v>0</v>
      </c>
      <c r="F3278">
        <f t="shared" si="51"/>
        <v>0.6</v>
      </c>
      <c r="I3278">
        <v>20200101</v>
      </c>
      <c r="J3278" t="s">
        <v>3205</v>
      </c>
    </row>
    <row r="3279" spans="1:13" x14ac:dyDescent="0.3">
      <c r="A3279" s="160">
        <v>30356</v>
      </c>
      <c r="B3279" t="s">
        <v>18443</v>
      </c>
      <c r="C3279" t="s">
        <v>3187</v>
      </c>
      <c r="D3279">
        <v>2</v>
      </c>
      <c r="E3279">
        <v>0</v>
      </c>
      <c r="F3279">
        <f t="shared" si="51"/>
        <v>2</v>
      </c>
      <c r="I3279">
        <v>20230101</v>
      </c>
      <c r="J3279" t="s">
        <v>3193</v>
      </c>
    </row>
    <row r="3280" spans="1:13" x14ac:dyDescent="0.3">
      <c r="A3280" s="160">
        <v>31003</v>
      </c>
      <c r="B3280" t="s">
        <v>18444</v>
      </c>
      <c r="C3280" t="s">
        <v>3303</v>
      </c>
      <c r="D3280">
        <v>2</v>
      </c>
      <c r="E3280">
        <v>0</v>
      </c>
      <c r="F3280">
        <f t="shared" si="51"/>
        <v>2</v>
      </c>
      <c r="I3280">
        <v>20130601</v>
      </c>
      <c r="J3280" t="s">
        <v>3304</v>
      </c>
    </row>
    <row r="3281" spans="1:24" x14ac:dyDescent="0.3">
      <c r="A3281" s="160">
        <v>31004</v>
      </c>
      <c r="B3281" t="s">
        <v>18445</v>
      </c>
      <c r="C3281" t="s">
        <v>3303</v>
      </c>
      <c r="D3281">
        <v>2</v>
      </c>
      <c r="E3281">
        <v>0</v>
      </c>
      <c r="F3281">
        <f t="shared" si="51"/>
        <v>2</v>
      </c>
      <c r="I3281">
        <v>20110601</v>
      </c>
      <c r="J3281" t="s">
        <v>3305</v>
      </c>
    </row>
    <row r="3282" spans="1:24" x14ac:dyDescent="0.3">
      <c r="A3282" s="160">
        <v>31022</v>
      </c>
      <c r="B3282" t="s">
        <v>18446</v>
      </c>
      <c r="C3282" t="s">
        <v>3303</v>
      </c>
      <c r="D3282">
        <v>2</v>
      </c>
      <c r="E3282">
        <v>0</v>
      </c>
      <c r="F3282">
        <f t="shared" si="51"/>
        <v>2</v>
      </c>
      <c r="I3282">
        <v>20110601</v>
      </c>
      <c r="J3282" t="s">
        <v>3306</v>
      </c>
      <c r="K3282" t="s">
        <v>3307</v>
      </c>
      <c r="L3282" t="s">
        <v>3308</v>
      </c>
    </row>
    <row r="3283" spans="1:24" x14ac:dyDescent="0.3">
      <c r="A3283" s="160">
        <v>31025</v>
      </c>
      <c r="B3283" t="s">
        <v>18447</v>
      </c>
      <c r="C3283" t="s">
        <v>3303</v>
      </c>
      <c r="D3283">
        <v>2</v>
      </c>
      <c r="E3283">
        <v>0</v>
      </c>
      <c r="F3283">
        <f t="shared" si="51"/>
        <v>2</v>
      </c>
      <c r="I3283">
        <v>20110601</v>
      </c>
      <c r="J3283" t="s">
        <v>3309</v>
      </c>
    </row>
    <row r="3284" spans="1:24" x14ac:dyDescent="0.3">
      <c r="A3284" s="160">
        <v>31032</v>
      </c>
      <c r="B3284" t="s">
        <v>18448</v>
      </c>
      <c r="C3284" t="s">
        <v>3303</v>
      </c>
      <c r="D3284">
        <v>2</v>
      </c>
      <c r="E3284">
        <v>0</v>
      </c>
      <c r="F3284">
        <f t="shared" si="51"/>
        <v>2</v>
      </c>
      <c r="I3284">
        <v>20110601</v>
      </c>
      <c r="J3284" t="s">
        <v>3310</v>
      </c>
    </row>
    <row r="3285" spans="1:24" x14ac:dyDescent="0.3">
      <c r="A3285" s="160">
        <v>31035</v>
      </c>
      <c r="B3285" t="s">
        <v>18449</v>
      </c>
      <c r="C3285" t="s">
        <v>3303</v>
      </c>
      <c r="D3285">
        <v>2</v>
      </c>
      <c r="E3285">
        <v>0</v>
      </c>
      <c r="F3285">
        <f t="shared" si="51"/>
        <v>2</v>
      </c>
      <c r="I3285">
        <v>20110601</v>
      </c>
      <c r="J3285" t="s">
        <v>3309</v>
      </c>
      <c r="K3285" t="s">
        <v>3311</v>
      </c>
      <c r="L3285" t="s">
        <v>3312</v>
      </c>
      <c r="M3285" t="s">
        <v>3313</v>
      </c>
      <c r="N3285" t="s">
        <v>3314</v>
      </c>
    </row>
    <row r="3286" spans="1:24" x14ac:dyDescent="0.3">
      <c r="A3286" s="160">
        <v>31036</v>
      </c>
      <c r="B3286" t="s">
        <v>18450</v>
      </c>
      <c r="C3286" t="s">
        <v>3303</v>
      </c>
      <c r="D3286">
        <v>2</v>
      </c>
      <c r="E3286">
        <v>0</v>
      </c>
      <c r="F3286">
        <f t="shared" si="51"/>
        <v>2</v>
      </c>
      <c r="I3286">
        <v>20110601</v>
      </c>
      <c r="J3286" t="s">
        <v>3315</v>
      </c>
    </row>
    <row r="3287" spans="1:24" x14ac:dyDescent="0.3">
      <c r="A3287" s="160">
        <v>31044</v>
      </c>
      <c r="B3287" t="s">
        <v>18451</v>
      </c>
      <c r="C3287" t="s">
        <v>3303</v>
      </c>
      <c r="D3287">
        <v>2</v>
      </c>
      <c r="E3287">
        <v>0</v>
      </c>
      <c r="F3287">
        <f t="shared" si="51"/>
        <v>2</v>
      </c>
      <c r="I3287">
        <v>20110601</v>
      </c>
      <c r="J3287" t="s">
        <v>3316</v>
      </c>
      <c r="K3287" t="s">
        <v>3317</v>
      </c>
      <c r="L3287" t="s">
        <v>3318</v>
      </c>
      <c r="M3287" t="s">
        <v>3319</v>
      </c>
      <c r="N3287" t="s">
        <v>3320</v>
      </c>
      <c r="O3287" t="s">
        <v>3321</v>
      </c>
      <c r="P3287" t="s">
        <v>3322</v>
      </c>
      <c r="Q3287" t="s">
        <v>3323</v>
      </c>
      <c r="R3287" t="s">
        <v>3324</v>
      </c>
    </row>
    <row r="3288" spans="1:24" x14ac:dyDescent="0.3">
      <c r="A3288" s="160">
        <v>31048</v>
      </c>
      <c r="B3288" t="s">
        <v>18452</v>
      </c>
      <c r="C3288" t="s">
        <v>3303</v>
      </c>
      <c r="D3288">
        <v>2</v>
      </c>
      <c r="E3288">
        <v>0</v>
      </c>
      <c r="F3288">
        <f t="shared" si="51"/>
        <v>2</v>
      </c>
      <c r="I3288">
        <v>20110601</v>
      </c>
      <c r="J3288" t="s">
        <v>3305</v>
      </c>
    </row>
    <row r="3289" spans="1:24" x14ac:dyDescent="0.3">
      <c r="A3289" s="160">
        <v>31053</v>
      </c>
      <c r="B3289" t="s">
        <v>18453</v>
      </c>
      <c r="C3289" t="s">
        <v>3303</v>
      </c>
      <c r="D3289">
        <v>2</v>
      </c>
      <c r="E3289">
        <v>0</v>
      </c>
      <c r="F3289">
        <f t="shared" si="51"/>
        <v>2</v>
      </c>
      <c r="I3289">
        <v>20130601</v>
      </c>
      <c r="J3289" t="s">
        <v>3325</v>
      </c>
    </row>
    <row r="3290" spans="1:24" x14ac:dyDescent="0.3">
      <c r="A3290" s="160">
        <v>31056</v>
      </c>
      <c r="B3290" t="s">
        <v>18454</v>
      </c>
      <c r="C3290" t="s">
        <v>3303</v>
      </c>
      <c r="D3290">
        <v>2</v>
      </c>
      <c r="E3290">
        <v>0</v>
      </c>
      <c r="F3290">
        <f t="shared" si="51"/>
        <v>2</v>
      </c>
      <c r="I3290">
        <v>20110601</v>
      </c>
      <c r="J3290" t="s">
        <v>3326</v>
      </c>
      <c r="K3290" t="s">
        <v>3327</v>
      </c>
      <c r="L3290" t="s">
        <v>3328</v>
      </c>
      <c r="M3290" t="s">
        <v>3329</v>
      </c>
      <c r="N3290" t="s">
        <v>3330</v>
      </c>
      <c r="O3290" t="s">
        <v>3331</v>
      </c>
    </row>
    <row r="3291" spans="1:24" x14ac:dyDescent="0.3">
      <c r="A3291" s="160">
        <v>31057</v>
      </c>
      <c r="B3291" t="s">
        <v>18455</v>
      </c>
      <c r="C3291" t="s">
        <v>3303</v>
      </c>
      <c r="D3291">
        <v>2</v>
      </c>
      <c r="E3291">
        <v>0</v>
      </c>
      <c r="F3291">
        <f t="shared" si="51"/>
        <v>2</v>
      </c>
      <c r="I3291">
        <v>20110601</v>
      </c>
      <c r="J3291" t="s">
        <v>3305</v>
      </c>
    </row>
    <row r="3292" spans="1:24" x14ac:dyDescent="0.3">
      <c r="A3292" s="160">
        <v>31058</v>
      </c>
      <c r="B3292" t="s">
        <v>18456</v>
      </c>
      <c r="C3292" t="s">
        <v>3303</v>
      </c>
      <c r="D3292">
        <v>2</v>
      </c>
      <c r="E3292">
        <v>0</v>
      </c>
      <c r="F3292">
        <f t="shared" si="51"/>
        <v>2</v>
      </c>
      <c r="I3292">
        <v>20110601</v>
      </c>
      <c r="J3292" t="s">
        <v>3305</v>
      </c>
    </row>
    <row r="3293" spans="1:24" x14ac:dyDescent="0.3">
      <c r="A3293" s="160">
        <v>31069</v>
      </c>
      <c r="B3293" t="s">
        <v>18457</v>
      </c>
      <c r="C3293" t="s">
        <v>3303</v>
      </c>
      <c r="D3293">
        <v>2</v>
      </c>
      <c r="E3293">
        <v>0</v>
      </c>
      <c r="F3293">
        <f t="shared" si="51"/>
        <v>2</v>
      </c>
      <c r="I3293">
        <v>20110601</v>
      </c>
      <c r="J3293" t="s">
        <v>3332</v>
      </c>
      <c r="K3293" t="s">
        <v>3326</v>
      </c>
      <c r="L3293" t="s">
        <v>3327</v>
      </c>
      <c r="M3293" t="s">
        <v>3328</v>
      </c>
      <c r="N3293" t="s">
        <v>3329</v>
      </c>
      <c r="O3293" t="s">
        <v>3330</v>
      </c>
      <c r="P3293" t="s">
        <v>3331</v>
      </c>
      <c r="Q3293" t="s">
        <v>3333</v>
      </c>
      <c r="R3293" t="s">
        <v>3334</v>
      </c>
      <c r="S3293" t="s">
        <v>3335</v>
      </c>
      <c r="T3293" t="s">
        <v>3336</v>
      </c>
      <c r="U3293" t="s">
        <v>3337</v>
      </c>
      <c r="V3293" t="s">
        <v>3338</v>
      </c>
      <c r="W3293" t="s">
        <v>3339</v>
      </c>
      <c r="X3293" t="s">
        <v>3340</v>
      </c>
    </row>
    <row r="3294" spans="1:24" x14ac:dyDescent="0.3">
      <c r="A3294" s="160">
        <v>31088</v>
      </c>
      <c r="B3294" t="s">
        <v>18458</v>
      </c>
      <c r="C3294" t="s">
        <v>3303</v>
      </c>
      <c r="D3294">
        <v>2</v>
      </c>
      <c r="E3294">
        <v>0</v>
      </c>
      <c r="F3294">
        <f t="shared" si="51"/>
        <v>2</v>
      </c>
      <c r="I3294">
        <v>20110601</v>
      </c>
      <c r="J3294" t="s">
        <v>3341</v>
      </c>
      <c r="K3294" t="s">
        <v>3342</v>
      </c>
    </row>
    <row r="3295" spans="1:24" x14ac:dyDescent="0.3">
      <c r="A3295" s="160">
        <v>31091</v>
      </c>
      <c r="B3295" t="s">
        <v>18459</v>
      </c>
      <c r="C3295" t="s">
        <v>3303</v>
      </c>
      <c r="D3295">
        <v>2</v>
      </c>
      <c r="E3295">
        <v>0</v>
      </c>
      <c r="F3295">
        <f t="shared" si="51"/>
        <v>2</v>
      </c>
      <c r="I3295">
        <v>20110601</v>
      </c>
      <c r="J3295" t="s">
        <v>3308</v>
      </c>
      <c r="K3295" t="s">
        <v>3343</v>
      </c>
      <c r="L3295" t="s">
        <v>3344</v>
      </c>
      <c r="M3295" t="s">
        <v>3345</v>
      </c>
    </row>
    <row r="3296" spans="1:24" x14ac:dyDescent="0.3">
      <c r="A3296" s="160">
        <v>31113</v>
      </c>
      <c r="B3296" t="s">
        <v>18460</v>
      </c>
      <c r="C3296" t="s">
        <v>3303</v>
      </c>
      <c r="D3296">
        <v>2</v>
      </c>
      <c r="E3296">
        <v>0</v>
      </c>
      <c r="F3296">
        <f t="shared" si="51"/>
        <v>2</v>
      </c>
      <c r="I3296">
        <v>20110601</v>
      </c>
      <c r="J3296" t="s">
        <v>3308</v>
      </c>
      <c r="K3296" t="s">
        <v>3309</v>
      </c>
      <c r="L3296" t="s">
        <v>3311</v>
      </c>
      <c r="M3296" t="s">
        <v>3312</v>
      </c>
      <c r="N3296" t="s">
        <v>3313</v>
      </c>
    </row>
    <row r="3297" spans="1:17" x14ac:dyDescent="0.3">
      <c r="A3297" s="160">
        <v>31116</v>
      </c>
      <c r="B3297" t="s">
        <v>18461</v>
      </c>
      <c r="C3297" t="s">
        <v>3303</v>
      </c>
      <c r="D3297">
        <v>2</v>
      </c>
      <c r="E3297">
        <v>0</v>
      </c>
      <c r="F3297">
        <f t="shared" si="51"/>
        <v>2</v>
      </c>
      <c r="I3297">
        <v>20110601</v>
      </c>
      <c r="J3297" t="s">
        <v>3307</v>
      </c>
      <c r="K3297" t="s">
        <v>3308</v>
      </c>
      <c r="L3297" t="s">
        <v>3346</v>
      </c>
    </row>
    <row r="3298" spans="1:17" x14ac:dyDescent="0.3">
      <c r="A3298" s="160">
        <v>31117</v>
      </c>
      <c r="B3298" t="s">
        <v>18462</v>
      </c>
      <c r="C3298" t="s">
        <v>3303</v>
      </c>
      <c r="D3298">
        <v>2</v>
      </c>
      <c r="E3298">
        <v>0</v>
      </c>
      <c r="F3298">
        <f t="shared" si="51"/>
        <v>2</v>
      </c>
      <c r="I3298">
        <v>20110601</v>
      </c>
      <c r="J3298" t="s">
        <v>3347</v>
      </c>
    </row>
    <row r="3299" spans="1:17" x14ac:dyDescent="0.3">
      <c r="A3299" s="160">
        <v>31148</v>
      </c>
      <c r="B3299" t="s">
        <v>18463</v>
      </c>
      <c r="C3299" t="s">
        <v>3303</v>
      </c>
      <c r="D3299">
        <v>2</v>
      </c>
      <c r="E3299">
        <v>0</v>
      </c>
      <c r="F3299">
        <f t="shared" si="51"/>
        <v>2</v>
      </c>
      <c r="I3299">
        <v>20110601</v>
      </c>
      <c r="J3299" t="s">
        <v>3348</v>
      </c>
    </row>
    <row r="3300" spans="1:17" x14ac:dyDescent="0.3">
      <c r="A3300" s="160">
        <v>31149</v>
      </c>
      <c r="B3300" t="s">
        <v>18464</v>
      </c>
      <c r="C3300" t="s">
        <v>3303</v>
      </c>
      <c r="D3300">
        <v>2</v>
      </c>
      <c r="E3300">
        <v>0</v>
      </c>
      <c r="F3300">
        <f t="shared" si="51"/>
        <v>2</v>
      </c>
      <c r="I3300">
        <v>20110601</v>
      </c>
      <c r="J3300" t="s">
        <v>3349</v>
      </c>
      <c r="K3300" t="s">
        <v>3350</v>
      </c>
      <c r="L3300" t="s">
        <v>3351</v>
      </c>
      <c r="M3300" t="s">
        <v>3352</v>
      </c>
      <c r="N3300" t="s">
        <v>3353</v>
      </c>
      <c r="O3300" t="s">
        <v>3354</v>
      </c>
      <c r="P3300" t="s">
        <v>3355</v>
      </c>
      <c r="Q3300" t="s">
        <v>3356</v>
      </c>
    </row>
    <row r="3301" spans="1:17" x14ac:dyDescent="0.3">
      <c r="A3301" s="160">
        <v>31150</v>
      </c>
      <c r="B3301" t="s">
        <v>18465</v>
      </c>
      <c r="C3301" t="s">
        <v>3303</v>
      </c>
      <c r="D3301">
        <v>2</v>
      </c>
      <c r="E3301">
        <v>0</v>
      </c>
      <c r="F3301">
        <f t="shared" si="51"/>
        <v>2</v>
      </c>
      <c r="I3301">
        <v>20110601</v>
      </c>
      <c r="J3301" t="s">
        <v>3326</v>
      </c>
      <c r="K3301" t="s">
        <v>3328</v>
      </c>
      <c r="L3301" t="s">
        <v>3329</v>
      </c>
      <c r="M3301" t="s">
        <v>3330</v>
      </c>
      <c r="N3301" t="s">
        <v>3331</v>
      </c>
    </row>
    <row r="3302" spans="1:17" x14ac:dyDescent="0.3">
      <c r="A3302" s="160">
        <v>31151</v>
      </c>
      <c r="B3302" t="s">
        <v>18466</v>
      </c>
      <c r="C3302" t="s">
        <v>3303</v>
      </c>
      <c r="D3302">
        <v>2</v>
      </c>
      <c r="E3302">
        <v>0</v>
      </c>
      <c r="F3302">
        <f t="shared" si="51"/>
        <v>2</v>
      </c>
      <c r="I3302">
        <v>20110601</v>
      </c>
      <c r="J3302" t="s">
        <v>3305</v>
      </c>
    </row>
    <row r="3303" spans="1:17" x14ac:dyDescent="0.3">
      <c r="A3303" s="160">
        <v>31157</v>
      </c>
      <c r="B3303" t="s">
        <v>18467</v>
      </c>
      <c r="C3303" t="s">
        <v>3303</v>
      </c>
      <c r="D3303">
        <v>2</v>
      </c>
      <c r="E3303">
        <v>0</v>
      </c>
      <c r="F3303">
        <f t="shared" si="51"/>
        <v>2</v>
      </c>
      <c r="I3303">
        <v>20110601</v>
      </c>
      <c r="J3303" t="s">
        <v>3357</v>
      </c>
    </row>
    <row r="3304" spans="1:17" x14ac:dyDescent="0.3">
      <c r="A3304" s="160">
        <v>31161</v>
      </c>
      <c r="B3304" t="s">
        <v>18468</v>
      </c>
      <c r="C3304" t="s">
        <v>3303</v>
      </c>
      <c r="D3304">
        <v>2</v>
      </c>
      <c r="E3304">
        <v>0</v>
      </c>
      <c r="F3304">
        <f t="shared" si="51"/>
        <v>2</v>
      </c>
      <c r="I3304">
        <v>20110601</v>
      </c>
      <c r="J3304" t="s">
        <v>3305</v>
      </c>
    </row>
    <row r="3305" spans="1:17" x14ac:dyDescent="0.3">
      <c r="A3305" s="160">
        <v>31162</v>
      </c>
      <c r="B3305" t="s">
        <v>18469</v>
      </c>
      <c r="C3305" t="s">
        <v>3303</v>
      </c>
      <c r="D3305">
        <v>2</v>
      </c>
      <c r="E3305">
        <v>0</v>
      </c>
      <c r="F3305">
        <f t="shared" si="51"/>
        <v>2</v>
      </c>
      <c r="I3305">
        <v>20110601</v>
      </c>
      <c r="J3305" t="s">
        <v>3305</v>
      </c>
    </row>
    <row r="3306" spans="1:17" x14ac:dyDescent="0.3">
      <c r="A3306" s="160">
        <v>31163</v>
      </c>
      <c r="B3306" t="s">
        <v>18470</v>
      </c>
      <c r="C3306" t="s">
        <v>3303</v>
      </c>
      <c r="D3306">
        <v>2</v>
      </c>
      <c r="E3306">
        <v>0</v>
      </c>
      <c r="F3306">
        <f t="shared" si="51"/>
        <v>2</v>
      </c>
      <c r="I3306">
        <v>20110601</v>
      </c>
      <c r="J3306" t="s">
        <v>3317</v>
      </c>
      <c r="K3306" t="s">
        <v>3304</v>
      </c>
    </row>
    <row r="3307" spans="1:17" x14ac:dyDescent="0.3">
      <c r="A3307" s="160">
        <v>31165</v>
      </c>
      <c r="B3307" t="s">
        <v>18471</v>
      </c>
      <c r="C3307" t="s">
        <v>3303</v>
      </c>
      <c r="D3307">
        <v>2</v>
      </c>
      <c r="E3307">
        <v>0</v>
      </c>
      <c r="F3307">
        <f t="shared" si="51"/>
        <v>2</v>
      </c>
      <c r="I3307">
        <v>20130601</v>
      </c>
      <c r="J3307" t="s">
        <v>3358</v>
      </c>
      <c r="K3307" t="s">
        <v>3359</v>
      </c>
      <c r="L3307" t="s">
        <v>3360</v>
      </c>
    </row>
    <row r="3308" spans="1:17" x14ac:dyDescent="0.3">
      <c r="A3308" s="160">
        <v>31169</v>
      </c>
      <c r="B3308" t="s">
        <v>18472</v>
      </c>
      <c r="C3308" t="s">
        <v>3303</v>
      </c>
      <c r="D3308">
        <v>2</v>
      </c>
      <c r="E3308">
        <v>0</v>
      </c>
      <c r="F3308">
        <f t="shared" si="51"/>
        <v>2</v>
      </c>
      <c r="I3308">
        <v>20110601</v>
      </c>
      <c r="J3308" t="s">
        <v>3361</v>
      </c>
      <c r="K3308" t="s">
        <v>3362</v>
      </c>
      <c r="L3308" t="s">
        <v>3363</v>
      </c>
    </row>
    <row r="3309" spans="1:17" x14ac:dyDescent="0.3">
      <c r="A3309" s="160">
        <v>31171</v>
      </c>
      <c r="B3309" t="s">
        <v>18473</v>
      </c>
      <c r="C3309" t="s">
        <v>3303</v>
      </c>
      <c r="D3309">
        <v>2</v>
      </c>
      <c r="E3309">
        <v>0</v>
      </c>
      <c r="F3309">
        <f t="shared" si="51"/>
        <v>2</v>
      </c>
      <c r="I3309">
        <v>20110601</v>
      </c>
      <c r="J3309" t="s">
        <v>3305</v>
      </c>
    </row>
    <row r="3310" spans="1:17" x14ac:dyDescent="0.3">
      <c r="A3310" s="160">
        <v>31181</v>
      </c>
      <c r="B3310" t="s">
        <v>18474</v>
      </c>
      <c r="C3310" t="s">
        <v>3303</v>
      </c>
      <c r="D3310">
        <v>2</v>
      </c>
      <c r="E3310">
        <v>0</v>
      </c>
      <c r="F3310">
        <f t="shared" si="51"/>
        <v>2</v>
      </c>
      <c r="I3310">
        <v>20141001</v>
      </c>
      <c r="J3310" t="s">
        <v>3364</v>
      </c>
    </row>
    <row r="3311" spans="1:17" x14ac:dyDescent="0.3">
      <c r="A3311" s="160">
        <v>31182</v>
      </c>
      <c r="B3311" t="s">
        <v>18475</v>
      </c>
      <c r="C3311" t="s">
        <v>3303</v>
      </c>
      <c r="D3311">
        <v>2</v>
      </c>
      <c r="E3311">
        <v>0</v>
      </c>
      <c r="F3311">
        <f t="shared" si="51"/>
        <v>2</v>
      </c>
      <c r="I3311">
        <v>20110601</v>
      </c>
      <c r="J3311" t="s">
        <v>3343</v>
      </c>
      <c r="K3311" t="s">
        <v>3344</v>
      </c>
      <c r="L3311" t="s">
        <v>3345</v>
      </c>
    </row>
    <row r="3312" spans="1:17" x14ac:dyDescent="0.3">
      <c r="A3312" s="160">
        <v>31184</v>
      </c>
      <c r="B3312" t="s">
        <v>18476</v>
      </c>
      <c r="C3312" t="s">
        <v>3303</v>
      </c>
      <c r="D3312">
        <v>2</v>
      </c>
      <c r="E3312">
        <v>0</v>
      </c>
      <c r="F3312">
        <f t="shared" si="51"/>
        <v>2</v>
      </c>
      <c r="I3312">
        <v>20110601</v>
      </c>
      <c r="J3312" t="s">
        <v>3316</v>
      </c>
      <c r="K3312" t="s">
        <v>3317</v>
      </c>
      <c r="L3312" t="s">
        <v>3318</v>
      </c>
      <c r="M3312" t="s">
        <v>3319</v>
      </c>
    </row>
    <row r="3313" spans="1:14" x14ac:dyDescent="0.3">
      <c r="A3313" s="160">
        <v>31186</v>
      </c>
      <c r="B3313" t="s">
        <v>18477</v>
      </c>
      <c r="C3313" t="s">
        <v>3303</v>
      </c>
      <c r="D3313">
        <v>2</v>
      </c>
      <c r="E3313">
        <v>0</v>
      </c>
      <c r="F3313">
        <f t="shared" si="51"/>
        <v>2</v>
      </c>
      <c r="I3313">
        <v>20110601</v>
      </c>
      <c r="J3313" t="s">
        <v>3306</v>
      </c>
      <c r="K3313" t="s">
        <v>3308</v>
      </c>
    </row>
    <row r="3314" spans="1:14" x14ac:dyDescent="0.3">
      <c r="A3314" s="160">
        <v>31187</v>
      </c>
      <c r="B3314" t="s">
        <v>18478</v>
      </c>
      <c r="C3314" t="s">
        <v>3303</v>
      </c>
      <c r="D3314">
        <v>2</v>
      </c>
      <c r="E3314">
        <v>0</v>
      </c>
      <c r="F3314">
        <f t="shared" si="51"/>
        <v>2</v>
      </c>
      <c r="I3314">
        <v>20141001</v>
      </c>
      <c r="J3314" t="s">
        <v>3365</v>
      </c>
    </row>
    <row r="3315" spans="1:14" x14ac:dyDescent="0.3">
      <c r="A3315" s="160">
        <v>31192</v>
      </c>
      <c r="B3315" t="s">
        <v>18479</v>
      </c>
      <c r="C3315" t="s">
        <v>3303</v>
      </c>
      <c r="D3315">
        <v>2</v>
      </c>
      <c r="E3315">
        <v>0</v>
      </c>
      <c r="F3315">
        <f t="shared" si="51"/>
        <v>2</v>
      </c>
      <c r="I3315">
        <v>20110601</v>
      </c>
      <c r="J3315" t="s">
        <v>3305</v>
      </c>
    </row>
    <row r="3316" spans="1:14" x14ac:dyDescent="0.3">
      <c r="A3316" s="160">
        <v>31203</v>
      </c>
      <c r="B3316" t="s">
        <v>18480</v>
      </c>
      <c r="C3316" t="s">
        <v>3303</v>
      </c>
      <c r="D3316">
        <v>2</v>
      </c>
      <c r="E3316">
        <v>0</v>
      </c>
      <c r="F3316">
        <f t="shared" si="51"/>
        <v>2</v>
      </c>
      <c r="I3316">
        <v>20110601</v>
      </c>
      <c r="J3316" t="s">
        <v>3357</v>
      </c>
    </row>
    <row r="3317" spans="1:14" x14ac:dyDescent="0.3">
      <c r="A3317" s="160">
        <v>31205</v>
      </c>
      <c r="B3317" t="s">
        <v>18481</v>
      </c>
      <c r="C3317" t="s">
        <v>3303</v>
      </c>
      <c r="D3317">
        <v>2</v>
      </c>
      <c r="E3317">
        <v>0</v>
      </c>
      <c r="F3317">
        <f t="shared" si="51"/>
        <v>2</v>
      </c>
      <c r="I3317">
        <v>20110601</v>
      </c>
      <c r="J3317" t="s">
        <v>3343</v>
      </c>
      <c r="K3317" t="s">
        <v>3344</v>
      </c>
      <c r="L3317" t="s">
        <v>3345</v>
      </c>
    </row>
    <row r="3318" spans="1:14" x14ac:dyDescent="0.3">
      <c r="A3318" s="160">
        <v>31227</v>
      </c>
      <c r="B3318" t="s">
        <v>18482</v>
      </c>
      <c r="C3318" t="s">
        <v>3303</v>
      </c>
      <c r="D3318">
        <v>2</v>
      </c>
      <c r="E3318">
        <v>0</v>
      </c>
      <c r="F3318">
        <f t="shared" si="51"/>
        <v>2</v>
      </c>
      <c r="I3318">
        <v>20110601</v>
      </c>
      <c r="J3318" t="s">
        <v>3366</v>
      </c>
    </row>
    <row r="3319" spans="1:14" x14ac:dyDescent="0.3">
      <c r="A3319" s="160">
        <v>31230</v>
      </c>
      <c r="B3319" t="s">
        <v>18483</v>
      </c>
      <c r="C3319" t="s">
        <v>3303</v>
      </c>
      <c r="D3319">
        <v>2</v>
      </c>
      <c r="E3319">
        <v>0</v>
      </c>
      <c r="F3319">
        <f t="shared" si="51"/>
        <v>2</v>
      </c>
      <c r="I3319">
        <v>20110601</v>
      </c>
      <c r="J3319" t="s">
        <v>3308</v>
      </c>
      <c r="K3319" t="s">
        <v>3343</v>
      </c>
      <c r="L3319" t="s">
        <v>3344</v>
      </c>
      <c r="M3319" t="s">
        <v>3345</v>
      </c>
    </row>
    <row r="3320" spans="1:14" x14ac:dyDescent="0.3">
      <c r="A3320" s="160">
        <v>31240</v>
      </c>
      <c r="B3320" t="s">
        <v>18484</v>
      </c>
      <c r="C3320" t="s">
        <v>3303</v>
      </c>
      <c r="D3320">
        <v>2</v>
      </c>
      <c r="E3320">
        <v>0</v>
      </c>
      <c r="F3320">
        <f t="shared" si="51"/>
        <v>2</v>
      </c>
      <c r="I3320">
        <v>20110601</v>
      </c>
      <c r="J3320" t="s">
        <v>3305</v>
      </c>
    </row>
    <row r="3321" spans="1:14" x14ac:dyDescent="0.3">
      <c r="A3321" s="160">
        <v>31248</v>
      </c>
      <c r="B3321" t="s">
        <v>18485</v>
      </c>
      <c r="C3321" t="s">
        <v>3303</v>
      </c>
      <c r="D3321">
        <v>2</v>
      </c>
      <c r="E3321">
        <v>0</v>
      </c>
      <c r="F3321">
        <f t="shared" si="51"/>
        <v>2</v>
      </c>
      <c r="I3321">
        <v>20130601</v>
      </c>
      <c r="J3321" t="s">
        <v>3367</v>
      </c>
    </row>
    <row r="3322" spans="1:14" x14ac:dyDescent="0.3">
      <c r="A3322" s="160">
        <v>31249</v>
      </c>
      <c r="B3322" t="s">
        <v>18486</v>
      </c>
      <c r="C3322" t="s">
        <v>3303</v>
      </c>
      <c r="D3322">
        <v>2</v>
      </c>
      <c r="E3322">
        <v>0</v>
      </c>
      <c r="F3322">
        <f t="shared" si="51"/>
        <v>2</v>
      </c>
      <c r="I3322">
        <v>20110601</v>
      </c>
      <c r="J3322" t="s">
        <v>3305</v>
      </c>
      <c r="K3322" t="s">
        <v>3361</v>
      </c>
    </row>
    <row r="3323" spans="1:14" x14ac:dyDescent="0.3">
      <c r="A3323" s="160">
        <v>31253</v>
      </c>
      <c r="B3323" t="s">
        <v>18487</v>
      </c>
      <c r="C3323" t="s">
        <v>3303</v>
      </c>
      <c r="D3323">
        <v>2</v>
      </c>
      <c r="E3323">
        <v>0</v>
      </c>
      <c r="F3323">
        <f t="shared" si="51"/>
        <v>2</v>
      </c>
      <c r="I3323">
        <v>20130601</v>
      </c>
      <c r="J3323" t="s">
        <v>3358</v>
      </c>
    </row>
    <row r="3324" spans="1:14" x14ac:dyDescent="0.3">
      <c r="A3324" s="160">
        <v>31254</v>
      </c>
      <c r="B3324" t="s">
        <v>18488</v>
      </c>
      <c r="C3324" t="s">
        <v>3303</v>
      </c>
      <c r="D3324">
        <v>2</v>
      </c>
      <c r="E3324">
        <v>0</v>
      </c>
      <c r="F3324">
        <f t="shared" si="51"/>
        <v>2</v>
      </c>
      <c r="I3324">
        <v>20110601</v>
      </c>
      <c r="J3324" t="s">
        <v>3368</v>
      </c>
      <c r="K3324" t="s">
        <v>3369</v>
      </c>
      <c r="L3324" t="s">
        <v>3361</v>
      </c>
      <c r="M3324" t="s">
        <v>3370</v>
      </c>
      <c r="N3324" t="s">
        <v>3362</v>
      </c>
    </row>
    <row r="3325" spans="1:14" x14ac:dyDescent="0.3">
      <c r="A3325" s="160">
        <v>31259</v>
      </c>
      <c r="B3325" t="s">
        <v>18489</v>
      </c>
      <c r="C3325" t="s">
        <v>3303</v>
      </c>
      <c r="D3325">
        <v>2</v>
      </c>
      <c r="E3325">
        <v>0</v>
      </c>
      <c r="F3325">
        <f t="shared" si="51"/>
        <v>2</v>
      </c>
      <c r="I3325">
        <v>20110601</v>
      </c>
      <c r="J3325" t="s">
        <v>3366</v>
      </c>
    </row>
    <row r="3326" spans="1:14" x14ac:dyDescent="0.3">
      <c r="A3326" s="160">
        <v>31273</v>
      </c>
      <c r="B3326" t="s">
        <v>18490</v>
      </c>
      <c r="C3326" t="s">
        <v>3303</v>
      </c>
      <c r="D3326">
        <v>2</v>
      </c>
      <c r="E3326">
        <v>0</v>
      </c>
      <c r="F3326">
        <f t="shared" si="51"/>
        <v>2</v>
      </c>
      <c r="I3326">
        <v>20110601</v>
      </c>
      <c r="J3326" t="s">
        <v>3347</v>
      </c>
    </row>
    <row r="3327" spans="1:14" x14ac:dyDescent="0.3">
      <c r="A3327" s="160">
        <v>31282</v>
      </c>
      <c r="B3327" t="s">
        <v>18491</v>
      </c>
      <c r="C3327" t="s">
        <v>3303</v>
      </c>
      <c r="D3327">
        <v>2</v>
      </c>
      <c r="E3327">
        <v>0</v>
      </c>
      <c r="F3327">
        <f t="shared" si="51"/>
        <v>2</v>
      </c>
      <c r="I3327">
        <v>20110601</v>
      </c>
      <c r="J3327" t="s">
        <v>3306</v>
      </c>
      <c r="K3327" t="s">
        <v>3307</v>
      </c>
      <c r="L3327" t="s">
        <v>3308</v>
      </c>
    </row>
    <row r="3328" spans="1:14" x14ac:dyDescent="0.3">
      <c r="A3328" s="160">
        <v>31284</v>
      </c>
      <c r="B3328" t="s">
        <v>18492</v>
      </c>
      <c r="C3328" t="s">
        <v>3303</v>
      </c>
      <c r="D3328">
        <v>2</v>
      </c>
      <c r="E3328">
        <v>0</v>
      </c>
      <c r="F3328">
        <f t="shared" si="51"/>
        <v>2</v>
      </c>
      <c r="I3328">
        <v>20130601</v>
      </c>
      <c r="J3328" t="s">
        <v>3315</v>
      </c>
      <c r="K3328" t="s">
        <v>3361</v>
      </c>
    </row>
    <row r="3329" spans="1:17" x14ac:dyDescent="0.3">
      <c r="A3329" s="160">
        <v>31287</v>
      </c>
      <c r="B3329" t="s">
        <v>18493</v>
      </c>
      <c r="C3329" t="s">
        <v>3303</v>
      </c>
      <c r="D3329">
        <v>2</v>
      </c>
      <c r="E3329">
        <v>0</v>
      </c>
      <c r="F3329">
        <f t="shared" si="51"/>
        <v>2</v>
      </c>
      <c r="I3329">
        <v>20130601</v>
      </c>
      <c r="J3329" t="s">
        <v>3364</v>
      </c>
    </row>
    <row r="3330" spans="1:17" x14ac:dyDescent="0.3">
      <c r="A3330" s="160">
        <v>31293</v>
      </c>
      <c r="B3330" t="s">
        <v>18494</v>
      </c>
      <c r="C3330" t="s">
        <v>3303</v>
      </c>
      <c r="D3330">
        <v>2</v>
      </c>
      <c r="E3330">
        <v>0</v>
      </c>
      <c r="F3330">
        <f t="shared" si="51"/>
        <v>2</v>
      </c>
      <c r="I3330">
        <v>20110601</v>
      </c>
      <c r="J3330" t="s">
        <v>3343</v>
      </c>
      <c r="K3330" t="s">
        <v>3344</v>
      </c>
      <c r="L3330" t="s">
        <v>3345</v>
      </c>
    </row>
    <row r="3331" spans="1:17" x14ac:dyDescent="0.3">
      <c r="A3331" s="160">
        <v>31340</v>
      </c>
      <c r="B3331" t="s">
        <v>18495</v>
      </c>
      <c r="C3331" t="s">
        <v>3303</v>
      </c>
      <c r="D3331">
        <v>2</v>
      </c>
      <c r="E3331">
        <v>0</v>
      </c>
      <c r="F3331">
        <f t="shared" si="51"/>
        <v>2</v>
      </c>
      <c r="I3331">
        <v>20110601</v>
      </c>
      <c r="J3331" t="s">
        <v>3309</v>
      </c>
    </row>
    <row r="3332" spans="1:17" x14ac:dyDescent="0.3">
      <c r="A3332" s="160">
        <v>31351</v>
      </c>
      <c r="B3332" t="s">
        <v>18496</v>
      </c>
      <c r="C3332" t="s">
        <v>3303</v>
      </c>
      <c r="D3332">
        <v>2</v>
      </c>
      <c r="E3332">
        <v>0</v>
      </c>
      <c r="F3332">
        <f t="shared" si="51"/>
        <v>2</v>
      </c>
      <c r="I3332">
        <v>20110601</v>
      </c>
      <c r="J3332" t="s">
        <v>3326</v>
      </c>
      <c r="K3332" t="s">
        <v>3331</v>
      </c>
    </row>
    <row r="3333" spans="1:17" x14ac:dyDescent="0.3">
      <c r="A3333" s="160">
        <v>31352</v>
      </c>
      <c r="B3333" t="s">
        <v>18497</v>
      </c>
      <c r="C3333" t="s">
        <v>3303</v>
      </c>
      <c r="D3333">
        <v>2</v>
      </c>
      <c r="E3333">
        <v>0</v>
      </c>
      <c r="F3333">
        <f t="shared" si="51"/>
        <v>2</v>
      </c>
      <c r="I3333">
        <v>20130601</v>
      </c>
      <c r="J3333" t="s">
        <v>3325</v>
      </c>
    </row>
    <row r="3334" spans="1:17" x14ac:dyDescent="0.3">
      <c r="A3334" s="160">
        <v>31355</v>
      </c>
      <c r="B3334" t="s">
        <v>18350</v>
      </c>
      <c r="C3334" t="s">
        <v>3303</v>
      </c>
      <c r="D3334">
        <v>2</v>
      </c>
      <c r="E3334">
        <v>0</v>
      </c>
      <c r="F3334">
        <f t="shared" si="51"/>
        <v>2</v>
      </c>
      <c r="I3334">
        <v>20110601</v>
      </c>
      <c r="J3334" t="s">
        <v>3304</v>
      </c>
    </row>
    <row r="3335" spans="1:17" x14ac:dyDescent="0.3">
      <c r="A3335" s="160">
        <v>31364</v>
      </c>
      <c r="B3335" t="s">
        <v>18498</v>
      </c>
      <c r="C3335" t="s">
        <v>3303</v>
      </c>
      <c r="D3335">
        <v>2</v>
      </c>
      <c r="E3335">
        <v>0</v>
      </c>
      <c r="F3335">
        <f t="shared" ref="F3335:F3398" si="52">D3335+E3335</f>
        <v>2</v>
      </c>
      <c r="I3335">
        <v>20110601</v>
      </c>
      <c r="J3335" t="s">
        <v>3306</v>
      </c>
      <c r="K3335" t="s">
        <v>3308</v>
      </c>
    </row>
    <row r="3336" spans="1:17" x14ac:dyDescent="0.3">
      <c r="A3336" s="160">
        <v>31366</v>
      </c>
      <c r="B3336" t="s">
        <v>18499</v>
      </c>
      <c r="C3336" t="s">
        <v>3303</v>
      </c>
      <c r="D3336">
        <v>2</v>
      </c>
      <c r="E3336">
        <v>0</v>
      </c>
      <c r="F3336">
        <f t="shared" si="52"/>
        <v>2</v>
      </c>
      <c r="I3336">
        <v>20110601</v>
      </c>
      <c r="J3336" t="s">
        <v>3305</v>
      </c>
    </row>
    <row r="3337" spans="1:17" x14ac:dyDescent="0.3">
      <c r="A3337" s="160">
        <v>31381</v>
      </c>
      <c r="B3337" t="s">
        <v>18500</v>
      </c>
      <c r="C3337" t="s">
        <v>3303</v>
      </c>
      <c r="D3337">
        <v>2</v>
      </c>
      <c r="E3337">
        <v>0</v>
      </c>
      <c r="F3337">
        <f t="shared" si="52"/>
        <v>2</v>
      </c>
      <c r="I3337">
        <v>20110601</v>
      </c>
      <c r="J3337" t="s">
        <v>3305</v>
      </c>
    </row>
    <row r="3338" spans="1:17" x14ac:dyDescent="0.3">
      <c r="A3338" s="160">
        <v>31384</v>
      </c>
      <c r="B3338" t="s">
        <v>18501</v>
      </c>
      <c r="C3338" t="s">
        <v>3303</v>
      </c>
      <c r="D3338">
        <v>2</v>
      </c>
      <c r="E3338">
        <v>0</v>
      </c>
      <c r="F3338">
        <f t="shared" si="52"/>
        <v>2</v>
      </c>
      <c r="I3338">
        <v>20110601</v>
      </c>
      <c r="J3338" t="s">
        <v>3305</v>
      </c>
    </row>
    <row r="3339" spans="1:17" x14ac:dyDescent="0.3">
      <c r="A3339" s="160">
        <v>31389</v>
      </c>
      <c r="B3339" t="s">
        <v>18502</v>
      </c>
      <c r="C3339" t="s">
        <v>3303</v>
      </c>
      <c r="D3339">
        <v>2</v>
      </c>
      <c r="E3339">
        <v>0</v>
      </c>
      <c r="F3339">
        <f t="shared" si="52"/>
        <v>2</v>
      </c>
      <c r="I3339">
        <v>20130601</v>
      </c>
      <c r="J3339" t="s">
        <v>3317</v>
      </c>
      <c r="K3339" t="s">
        <v>3325</v>
      </c>
    </row>
    <row r="3340" spans="1:17" x14ac:dyDescent="0.3">
      <c r="A3340" s="160">
        <v>31395</v>
      </c>
      <c r="B3340" t="s">
        <v>18503</v>
      </c>
      <c r="C3340" t="s">
        <v>3303</v>
      </c>
      <c r="D3340">
        <v>2</v>
      </c>
      <c r="E3340">
        <v>0</v>
      </c>
      <c r="F3340">
        <f t="shared" si="52"/>
        <v>2</v>
      </c>
      <c r="I3340">
        <v>20110601</v>
      </c>
      <c r="J3340" t="s">
        <v>3358</v>
      </c>
      <c r="K3340" t="s">
        <v>3371</v>
      </c>
      <c r="L3340" t="s">
        <v>3372</v>
      </c>
      <c r="M3340" t="s">
        <v>3373</v>
      </c>
      <c r="N3340" t="s">
        <v>3359</v>
      </c>
      <c r="O3340" t="s">
        <v>3360</v>
      </c>
      <c r="P3340" t="s">
        <v>3374</v>
      </c>
      <c r="Q3340" t="s">
        <v>3375</v>
      </c>
    </row>
    <row r="3341" spans="1:17" x14ac:dyDescent="0.3">
      <c r="A3341" s="160">
        <v>31401</v>
      </c>
      <c r="B3341" t="s">
        <v>18504</v>
      </c>
      <c r="C3341" t="s">
        <v>3303</v>
      </c>
      <c r="D3341">
        <v>2</v>
      </c>
      <c r="E3341">
        <v>0</v>
      </c>
      <c r="F3341">
        <f t="shared" si="52"/>
        <v>2</v>
      </c>
      <c r="I3341">
        <v>20110601</v>
      </c>
      <c r="J3341" t="s">
        <v>3305</v>
      </c>
    </row>
    <row r="3342" spans="1:17" x14ac:dyDescent="0.3">
      <c r="A3342" s="160">
        <v>31402</v>
      </c>
      <c r="B3342" t="s">
        <v>18505</v>
      </c>
      <c r="C3342" t="s">
        <v>3303</v>
      </c>
      <c r="D3342">
        <v>2</v>
      </c>
      <c r="E3342">
        <v>0</v>
      </c>
      <c r="F3342">
        <f t="shared" si="52"/>
        <v>2</v>
      </c>
      <c r="I3342">
        <v>20110601</v>
      </c>
      <c r="J3342" t="s">
        <v>3305</v>
      </c>
    </row>
    <row r="3343" spans="1:17" x14ac:dyDescent="0.3">
      <c r="A3343" s="160">
        <v>31409</v>
      </c>
      <c r="B3343" t="s">
        <v>18506</v>
      </c>
      <c r="C3343" t="s">
        <v>3303</v>
      </c>
      <c r="D3343">
        <v>2</v>
      </c>
      <c r="E3343">
        <v>0</v>
      </c>
      <c r="F3343">
        <f t="shared" si="52"/>
        <v>2</v>
      </c>
      <c r="I3343">
        <v>20110601</v>
      </c>
      <c r="J3343" t="s">
        <v>3309</v>
      </c>
      <c r="K3343" t="s">
        <v>3311</v>
      </c>
    </row>
    <row r="3344" spans="1:17" x14ac:dyDescent="0.3">
      <c r="A3344" s="160">
        <v>31410</v>
      </c>
      <c r="B3344" t="s">
        <v>18507</v>
      </c>
      <c r="C3344" t="s">
        <v>3303</v>
      </c>
      <c r="D3344">
        <v>2</v>
      </c>
      <c r="E3344">
        <v>0</v>
      </c>
      <c r="F3344">
        <f t="shared" si="52"/>
        <v>2</v>
      </c>
      <c r="I3344">
        <v>20110601</v>
      </c>
      <c r="J3344" t="s">
        <v>3306</v>
      </c>
      <c r="K3344" t="s">
        <v>3307</v>
      </c>
    </row>
    <row r="3345" spans="1:18" x14ac:dyDescent="0.3">
      <c r="A3345" s="160">
        <v>31411</v>
      </c>
      <c r="B3345" t="s">
        <v>18508</v>
      </c>
      <c r="C3345" t="s">
        <v>3303</v>
      </c>
      <c r="D3345">
        <v>2</v>
      </c>
      <c r="E3345">
        <v>0</v>
      </c>
      <c r="F3345">
        <f t="shared" si="52"/>
        <v>2</v>
      </c>
      <c r="I3345">
        <v>20110601</v>
      </c>
      <c r="J3345" t="s">
        <v>3309</v>
      </c>
    </row>
    <row r="3346" spans="1:18" x14ac:dyDescent="0.3">
      <c r="A3346" s="160">
        <v>31417</v>
      </c>
      <c r="B3346" t="s">
        <v>18509</v>
      </c>
      <c r="C3346" t="s">
        <v>3303</v>
      </c>
      <c r="D3346">
        <v>2</v>
      </c>
      <c r="E3346">
        <v>0</v>
      </c>
      <c r="F3346">
        <f t="shared" si="52"/>
        <v>2</v>
      </c>
      <c r="I3346">
        <v>20110601</v>
      </c>
      <c r="J3346" t="s">
        <v>3376</v>
      </c>
      <c r="K3346" t="s">
        <v>3342</v>
      </c>
    </row>
    <row r="3347" spans="1:18" x14ac:dyDescent="0.3">
      <c r="A3347" s="160">
        <v>31418</v>
      </c>
      <c r="B3347" t="s">
        <v>18510</v>
      </c>
      <c r="C3347" t="s">
        <v>3303</v>
      </c>
      <c r="D3347">
        <v>2</v>
      </c>
      <c r="E3347">
        <v>0</v>
      </c>
      <c r="F3347">
        <f t="shared" si="52"/>
        <v>2</v>
      </c>
      <c r="I3347">
        <v>20110601</v>
      </c>
      <c r="J3347" t="s">
        <v>3316</v>
      </c>
      <c r="K3347" t="s">
        <v>3317</v>
      </c>
    </row>
    <row r="3348" spans="1:18" x14ac:dyDescent="0.3">
      <c r="A3348" s="160">
        <v>31420</v>
      </c>
      <c r="B3348" t="s">
        <v>18511</v>
      </c>
      <c r="C3348" t="s">
        <v>3303</v>
      </c>
      <c r="D3348">
        <v>2</v>
      </c>
      <c r="E3348">
        <v>0</v>
      </c>
      <c r="F3348">
        <f t="shared" si="52"/>
        <v>2</v>
      </c>
      <c r="I3348">
        <v>20110601</v>
      </c>
      <c r="J3348" t="s">
        <v>3366</v>
      </c>
    </row>
    <row r="3349" spans="1:18" x14ac:dyDescent="0.3">
      <c r="A3349" s="160">
        <v>31421</v>
      </c>
      <c r="B3349" t="s">
        <v>18512</v>
      </c>
      <c r="C3349" t="s">
        <v>3303</v>
      </c>
      <c r="D3349">
        <v>2</v>
      </c>
      <c r="E3349">
        <v>0</v>
      </c>
      <c r="F3349">
        <f t="shared" si="52"/>
        <v>2</v>
      </c>
      <c r="I3349">
        <v>20130601</v>
      </c>
      <c r="J3349" t="s">
        <v>3377</v>
      </c>
      <c r="K3349" t="s">
        <v>3367</v>
      </c>
    </row>
    <row r="3350" spans="1:18" x14ac:dyDescent="0.3">
      <c r="A3350" s="160">
        <v>31424</v>
      </c>
      <c r="B3350" t="s">
        <v>18513</v>
      </c>
      <c r="C3350" t="s">
        <v>3303</v>
      </c>
      <c r="D3350">
        <v>2</v>
      </c>
      <c r="E3350">
        <v>0</v>
      </c>
      <c r="F3350">
        <f t="shared" si="52"/>
        <v>2</v>
      </c>
      <c r="I3350">
        <v>20110601</v>
      </c>
      <c r="J3350" t="s">
        <v>3378</v>
      </c>
      <c r="K3350" t="s">
        <v>3379</v>
      </c>
      <c r="L3350" t="s">
        <v>3380</v>
      </c>
    </row>
    <row r="3351" spans="1:18" x14ac:dyDescent="0.3">
      <c r="A3351" s="160">
        <v>31429</v>
      </c>
      <c r="B3351" t="s">
        <v>18514</v>
      </c>
      <c r="C3351" t="s">
        <v>3303</v>
      </c>
      <c r="D3351">
        <v>2</v>
      </c>
      <c r="E3351">
        <v>0</v>
      </c>
      <c r="F3351">
        <f t="shared" si="52"/>
        <v>2</v>
      </c>
      <c r="I3351">
        <v>20110601</v>
      </c>
      <c r="J3351" t="s">
        <v>3305</v>
      </c>
    </row>
    <row r="3352" spans="1:18" x14ac:dyDescent="0.3">
      <c r="A3352" s="160">
        <v>31433</v>
      </c>
      <c r="B3352" t="s">
        <v>18515</v>
      </c>
      <c r="C3352" t="s">
        <v>3303</v>
      </c>
      <c r="D3352">
        <v>2</v>
      </c>
      <c r="E3352">
        <v>0</v>
      </c>
      <c r="F3352">
        <f t="shared" si="52"/>
        <v>2</v>
      </c>
      <c r="I3352">
        <v>20110601</v>
      </c>
      <c r="J3352" t="s">
        <v>3381</v>
      </c>
      <c r="K3352" t="s">
        <v>3366</v>
      </c>
      <c r="L3352" t="s">
        <v>3382</v>
      </c>
      <c r="M3352" t="s">
        <v>3383</v>
      </c>
      <c r="N3352" t="s">
        <v>3384</v>
      </c>
      <c r="O3352" t="s">
        <v>3385</v>
      </c>
      <c r="P3352" t="s">
        <v>3386</v>
      </c>
      <c r="Q3352" t="s">
        <v>3387</v>
      </c>
      <c r="R3352" t="s">
        <v>3388</v>
      </c>
    </row>
    <row r="3353" spans="1:18" x14ac:dyDescent="0.3">
      <c r="A3353" s="160">
        <v>31437</v>
      </c>
      <c r="B3353" t="s">
        <v>18516</v>
      </c>
      <c r="C3353" t="s">
        <v>3303</v>
      </c>
      <c r="D3353">
        <v>2</v>
      </c>
      <c r="E3353">
        <v>0</v>
      </c>
      <c r="F3353">
        <f t="shared" si="52"/>
        <v>2</v>
      </c>
      <c r="I3353">
        <v>20110601</v>
      </c>
      <c r="J3353" t="s">
        <v>3305</v>
      </c>
    </row>
    <row r="3354" spans="1:18" x14ac:dyDescent="0.3">
      <c r="A3354" s="160">
        <v>31445</v>
      </c>
      <c r="B3354" t="s">
        <v>18517</v>
      </c>
      <c r="C3354" t="s">
        <v>3303</v>
      </c>
      <c r="D3354">
        <v>2</v>
      </c>
      <c r="E3354">
        <v>0</v>
      </c>
      <c r="F3354">
        <f t="shared" si="52"/>
        <v>2</v>
      </c>
      <c r="I3354">
        <v>20110601</v>
      </c>
      <c r="J3354" t="s">
        <v>3316</v>
      </c>
      <c r="K3354" t="s">
        <v>3317</v>
      </c>
      <c r="L3354" t="s">
        <v>3318</v>
      </c>
      <c r="M3354" t="s">
        <v>3319</v>
      </c>
      <c r="N3354" t="s">
        <v>3389</v>
      </c>
    </row>
    <row r="3355" spans="1:18" x14ac:dyDescent="0.3">
      <c r="A3355" s="160">
        <v>31446</v>
      </c>
      <c r="B3355" t="s">
        <v>18518</v>
      </c>
      <c r="C3355" t="s">
        <v>3303</v>
      </c>
      <c r="D3355">
        <v>2</v>
      </c>
      <c r="E3355">
        <v>0</v>
      </c>
      <c r="F3355">
        <f t="shared" si="52"/>
        <v>2</v>
      </c>
      <c r="I3355">
        <v>20110601</v>
      </c>
      <c r="J3355" t="s">
        <v>3390</v>
      </c>
      <c r="K3355" t="s">
        <v>3391</v>
      </c>
      <c r="L3355" t="s">
        <v>3392</v>
      </c>
      <c r="M3355" t="s">
        <v>3393</v>
      </c>
    </row>
    <row r="3356" spans="1:18" x14ac:dyDescent="0.3">
      <c r="A3356" s="160">
        <v>31448</v>
      </c>
      <c r="B3356" t="s">
        <v>18519</v>
      </c>
      <c r="C3356" t="s">
        <v>3303</v>
      </c>
      <c r="D3356">
        <v>2</v>
      </c>
      <c r="E3356">
        <v>0</v>
      </c>
      <c r="F3356">
        <f t="shared" si="52"/>
        <v>2</v>
      </c>
      <c r="I3356">
        <v>20110601</v>
      </c>
      <c r="J3356" t="s">
        <v>3309</v>
      </c>
    </row>
    <row r="3357" spans="1:18" x14ac:dyDescent="0.3">
      <c r="A3357" s="160">
        <v>31458</v>
      </c>
      <c r="B3357" t="s">
        <v>18520</v>
      </c>
      <c r="C3357" t="s">
        <v>3303</v>
      </c>
      <c r="D3357">
        <v>2</v>
      </c>
      <c r="E3357">
        <v>0</v>
      </c>
      <c r="F3357">
        <f t="shared" si="52"/>
        <v>2</v>
      </c>
      <c r="I3357">
        <v>20110601</v>
      </c>
      <c r="J3357" t="s">
        <v>3366</v>
      </c>
      <c r="K3357" t="s">
        <v>3382</v>
      </c>
      <c r="L3357" t="s">
        <v>3388</v>
      </c>
    </row>
    <row r="3358" spans="1:18" x14ac:dyDescent="0.3">
      <c r="A3358" s="160">
        <v>31460</v>
      </c>
      <c r="B3358" t="s">
        <v>18521</v>
      </c>
      <c r="C3358" t="s">
        <v>3303</v>
      </c>
      <c r="D3358">
        <v>2</v>
      </c>
      <c r="E3358">
        <v>0</v>
      </c>
      <c r="F3358">
        <f t="shared" si="52"/>
        <v>2</v>
      </c>
      <c r="I3358">
        <v>20110601</v>
      </c>
      <c r="J3358" t="s">
        <v>3366</v>
      </c>
      <c r="K3358" t="s">
        <v>3373</v>
      </c>
    </row>
    <row r="3359" spans="1:18" x14ac:dyDescent="0.3">
      <c r="A3359" s="160">
        <v>31462</v>
      </c>
      <c r="B3359" t="s">
        <v>18522</v>
      </c>
      <c r="C3359" t="s">
        <v>3303</v>
      </c>
      <c r="D3359">
        <v>2</v>
      </c>
      <c r="E3359">
        <v>0</v>
      </c>
      <c r="F3359">
        <f t="shared" si="52"/>
        <v>2</v>
      </c>
      <c r="I3359">
        <v>20110601</v>
      </c>
      <c r="J3359" t="s">
        <v>3347</v>
      </c>
    </row>
    <row r="3360" spans="1:18" x14ac:dyDescent="0.3">
      <c r="A3360" s="160">
        <v>31467</v>
      </c>
      <c r="B3360" t="s">
        <v>17199</v>
      </c>
      <c r="C3360" t="s">
        <v>3303</v>
      </c>
      <c r="D3360">
        <v>2</v>
      </c>
      <c r="E3360">
        <v>0</v>
      </c>
      <c r="F3360">
        <f t="shared" si="52"/>
        <v>2</v>
      </c>
      <c r="I3360">
        <v>20110601</v>
      </c>
      <c r="J3360" t="s">
        <v>3306</v>
      </c>
      <c r="K3360" t="s">
        <v>3307</v>
      </c>
      <c r="L3360" t="s">
        <v>3308</v>
      </c>
      <c r="M3360" t="s">
        <v>3345</v>
      </c>
    </row>
    <row r="3361" spans="1:67" x14ac:dyDescent="0.3">
      <c r="A3361" s="160">
        <v>31475</v>
      </c>
      <c r="B3361" t="s">
        <v>18523</v>
      </c>
      <c r="C3361" t="s">
        <v>3303</v>
      </c>
      <c r="D3361">
        <v>2</v>
      </c>
      <c r="E3361">
        <v>0</v>
      </c>
      <c r="F3361">
        <f t="shared" si="52"/>
        <v>2</v>
      </c>
      <c r="I3361">
        <v>20130601</v>
      </c>
      <c r="J3361" t="s">
        <v>3358</v>
      </c>
      <c r="K3361" t="s">
        <v>3360</v>
      </c>
    </row>
    <row r="3362" spans="1:67" x14ac:dyDescent="0.3">
      <c r="A3362" s="160">
        <v>31484</v>
      </c>
      <c r="B3362" t="s">
        <v>18524</v>
      </c>
      <c r="C3362" t="s">
        <v>3303</v>
      </c>
      <c r="D3362">
        <v>2</v>
      </c>
      <c r="E3362">
        <v>0</v>
      </c>
      <c r="F3362">
        <f t="shared" si="52"/>
        <v>2</v>
      </c>
      <c r="I3362">
        <v>20110601</v>
      </c>
      <c r="J3362" t="s">
        <v>3394</v>
      </c>
      <c r="K3362" t="s">
        <v>3347</v>
      </c>
    </row>
    <row r="3363" spans="1:67" x14ac:dyDescent="0.3">
      <c r="A3363" s="160">
        <v>31486</v>
      </c>
      <c r="B3363" t="s">
        <v>18525</v>
      </c>
      <c r="C3363" t="s">
        <v>3303</v>
      </c>
      <c r="D3363">
        <v>2</v>
      </c>
      <c r="E3363">
        <v>0</v>
      </c>
      <c r="F3363">
        <f t="shared" si="52"/>
        <v>2</v>
      </c>
      <c r="I3363">
        <v>20130601</v>
      </c>
      <c r="J3363" t="s">
        <v>3364</v>
      </c>
      <c r="K3363" t="s">
        <v>3371</v>
      </c>
      <c r="L3363" t="s">
        <v>3373</v>
      </c>
    </row>
    <row r="3364" spans="1:67" x14ac:dyDescent="0.3">
      <c r="A3364" s="160">
        <v>31488</v>
      </c>
      <c r="B3364" t="s">
        <v>18526</v>
      </c>
      <c r="C3364" t="s">
        <v>3303</v>
      </c>
      <c r="D3364">
        <v>2</v>
      </c>
      <c r="E3364">
        <v>0</v>
      </c>
      <c r="F3364">
        <f t="shared" si="52"/>
        <v>2</v>
      </c>
      <c r="I3364">
        <v>20110601</v>
      </c>
      <c r="J3364" t="s">
        <v>3395</v>
      </c>
      <c r="K3364" t="s">
        <v>3396</v>
      </c>
      <c r="L3364" t="s">
        <v>3397</v>
      </c>
      <c r="M3364" t="s">
        <v>3398</v>
      </c>
    </row>
    <row r="3365" spans="1:67" x14ac:dyDescent="0.3">
      <c r="A3365" s="160">
        <v>31490</v>
      </c>
      <c r="B3365" t="s">
        <v>18527</v>
      </c>
      <c r="C3365" t="s">
        <v>3303</v>
      </c>
      <c r="D3365">
        <v>2</v>
      </c>
      <c r="E3365">
        <v>0</v>
      </c>
      <c r="F3365">
        <f t="shared" si="52"/>
        <v>2</v>
      </c>
      <c r="I3365">
        <v>20130601</v>
      </c>
      <c r="J3365" t="s">
        <v>3344</v>
      </c>
      <c r="K3365" t="s">
        <v>3345</v>
      </c>
      <c r="L3365" t="s">
        <v>3399</v>
      </c>
    </row>
    <row r="3366" spans="1:67" x14ac:dyDescent="0.3">
      <c r="A3366" s="160">
        <v>31497</v>
      </c>
      <c r="B3366" t="s">
        <v>18528</v>
      </c>
      <c r="C3366" t="s">
        <v>3303</v>
      </c>
      <c r="D3366">
        <v>2</v>
      </c>
      <c r="E3366">
        <v>0</v>
      </c>
      <c r="F3366">
        <f t="shared" si="52"/>
        <v>2</v>
      </c>
      <c r="I3366">
        <v>20110601</v>
      </c>
      <c r="J3366" t="s">
        <v>3306</v>
      </c>
      <c r="K3366" t="s">
        <v>3345</v>
      </c>
    </row>
    <row r="3367" spans="1:67" x14ac:dyDescent="0.3">
      <c r="A3367" s="160">
        <v>31499</v>
      </c>
      <c r="B3367" t="s">
        <v>18529</v>
      </c>
      <c r="C3367" t="s">
        <v>3303</v>
      </c>
      <c r="D3367">
        <v>2</v>
      </c>
      <c r="E3367">
        <v>0</v>
      </c>
      <c r="F3367">
        <f t="shared" si="52"/>
        <v>2</v>
      </c>
      <c r="I3367">
        <v>20130601</v>
      </c>
      <c r="J3367" t="s">
        <v>3365</v>
      </c>
    </row>
    <row r="3368" spans="1:67" x14ac:dyDescent="0.3">
      <c r="A3368" s="160">
        <v>31506</v>
      </c>
      <c r="B3368" t="s">
        <v>18530</v>
      </c>
      <c r="C3368" t="s">
        <v>3303</v>
      </c>
      <c r="D3368">
        <v>2</v>
      </c>
      <c r="E3368">
        <v>0</v>
      </c>
      <c r="F3368">
        <f t="shared" si="52"/>
        <v>2</v>
      </c>
      <c r="I3368">
        <v>20110601</v>
      </c>
      <c r="J3368" t="s">
        <v>3315</v>
      </c>
      <c r="K3368" t="s">
        <v>3361</v>
      </c>
      <c r="L3368" t="s">
        <v>3362</v>
      </c>
    </row>
    <row r="3369" spans="1:67" x14ac:dyDescent="0.3">
      <c r="A3369" s="160">
        <v>31526</v>
      </c>
      <c r="B3369" t="s">
        <v>18531</v>
      </c>
      <c r="C3369" t="s">
        <v>3303</v>
      </c>
      <c r="D3369">
        <v>2</v>
      </c>
      <c r="E3369">
        <v>0</v>
      </c>
      <c r="F3369">
        <f t="shared" si="52"/>
        <v>2</v>
      </c>
      <c r="I3369">
        <v>20130601</v>
      </c>
      <c r="J3369" t="s">
        <v>3379</v>
      </c>
      <c r="K3369" t="s">
        <v>3400</v>
      </c>
    </row>
    <row r="3370" spans="1:67" x14ac:dyDescent="0.3">
      <c r="A3370" s="160">
        <v>31533</v>
      </c>
      <c r="B3370" t="s">
        <v>18532</v>
      </c>
      <c r="C3370" t="s">
        <v>3303</v>
      </c>
      <c r="D3370">
        <v>2</v>
      </c>
      <c r="E3370">
        <v>0</v>
      </c>
      <c r="F3370">
        <f t="shared" si="52"/>
        <v>2</v>
      </c>
      <c r="I3370">
        <v>20110601</v>
      </c>
      <c r="J3370" t="s">
        <v>3358</v>
      </c>
    </row>
    <row r="3371" spans="1:67" x14ac:dyDescent="0.3">
      <c r="A3371" s="160">
        <v>31541</v>
      </c>
      <c r="B3371" t="s">
        <v>18533</v>
      </c>
      <c r="C3371" t="s">
        <v>3303</v>
      </c>
      <c r="D3371">
        <v>2</v>
      </c>
      <c r="E3371">
        <v>0</v>
      </c>
      <c r="F3371">
        <f t="shared" si="52"/>
        <v>2</v>
      </c>
      <c r="I3371">
        <v>20110601</v>
      </c>
      <c r="J3371" t="s">
        <v>3310</v>
      </c>
    </row>
    <row r="3372" spans="1:67" x14ac:dyDescent="0.3">
      <c r="A3372" s="160">
        <v>31547</v>
      </c>
      <c r="B3372" t="s">
        <v>18534</v>
      </c>
      <c r="C3372" t="s">
        <v>3303</v>
      </c>
      <c r="D3372">
        <v>2</v>
      </c>
      <c r="E3372">
        <v>0</v>
      </c>
      <c r="F3372">
        <f t="shared" si="52"/>
        <v>2</v>
      </c>
      <c r="I3372">
        <v>20110601</v>
      </c>
      <c r="J3372" t="s">
        <v>3358</v>
      </c>
      <c r="K3372" t="s">
        <v>3371</v>
      </c>
      <c r="L3372" t="s">
        <v>3372</v>
      </c>
      <c r="M3372" t="s">
        <v>3359</v>
      </c>
      <c r="N3372" t="s">
        <v>3360</v>
      </c>
    </row>
    <row r="3373" spans="1:67" x14ac:dyDescent="0.3">
      <c r="A3373" s="160">
        <v>31555</v>
      </c>
      <c r="B3373" t="s">
        <v>18535</v>
      </c>
      <c r="C3373" t="s">
        <v>3303</v>
      </c>
      <c r="D3373">
        <v>2</v>
      </c>
      <c r="E3373">
        <v>0</v>
      </c>
      <c r="F3373">
        <f t="shared" si="52"/>
        <v>2</v>
      </c>
      <c r="I3373">
        <v>20110601</v>
      </c>
      <c r="J3373" t="s">
        <v>3401</v>
      </c>
      <c r="K3373" t="s">
        <v>3402</v>
      </c>
      <c r="L3373" t="s">
        <v>3403</v>
      </c>
      <c r="M3373" t="s">
        <v>3404</v>
      </c>
      <c r="N3373" t="s">
        <v>3405</v>
      </c>
      <c r="O3373" t="s">
        <v>3406</v>
      </c>
      <c r="P3373" t="s">
        <v>3407</v>
      </c>
      <c r="Q3373" t="s">
        <v>3408</v>
      </c>
      <c r="R3373" t="s">
        <v>3409</v>
      </c>
      <c r="S3373" t="s">
        <v>3410</v>
      </c>
      <c r="T3373" t="s">
        <v>3411</v>
      </c>
      <c r="U3373" t="s">
        <v>3412</v>
      </c>
      <c r="V3373" t="s">
        <v>3413</v>
      </c>
      <c r="W3373" t="s">
        <v>3414</v>
      </c>
      <c r="X3373" t="s">
        <v>3415</v>
      </c>
      <c r="Y3373" t="s">
        <v>3416</v>
      </c>
      <c r="Z3373" t="s">
        <v>3417</v>
      </c>
      <c r="AA3373" t="s">
        <v>3418</v>
      </c>
      <c r="AB3373" t="s">
        <v>3419</v>
      </c>
      <c r="AC3373" t="s">
        <v>3420</v>
      </c>
      <c r="AD3373" t="s">
        <v>3421</v>
      </c>
      <c r="AE3373" t="s">
        <v>3422</v>
      </c>
      <c r="AF3373" t="s">
        <v>3423</v>
      </c>
      <c r="AG3373" t="s">
        <v>3424</v>
      </c>
      <c r="AH3373" t="s">
        <v>3425</v>
      </c>
      <c r="AI3373" t="s">
        <v>3426</v>
      </c>
      <c r="AJ3373" t="s">
        <v>3427</v>
      </c>
      <c r="AK3373" t="s">
        <v>3428</v>
      </c>
      <c r="AL3373" t="s">
        <v>3429</v>
      </c>
      <c r="AM3373" t="s">
        <v>3430</v>
      </c>
      <c r="AN3373" t="s">
        <v>3431</v>
      </c>
      <c r="AO3373" t="s">
        <v>3432</v>
      </c>
      <c r="AP3373" t="s">
        <v>3394</v>
      </c>
      <c r="AQ3373" t="s">
        <v>3433</v>
      </c>
      <c r="AR3373" t="s">
        <v>3434</v>
      </c>
      <c r="AS3373" t="s">
        <v>3435</v>
      </c>
      <c r="AT3373" t="s">
        <v>3436</v>
      </c>
      <c r="AU3373" t="s">
        <v>3437</v>
      </c>
      <c r="AV3373" t="s">
        <v>3438</v>
      </c>
      <c r="AW3373" t="s">
        <v>3439</v>
      </c>
      <c r="AX3373" t="s">
        <v>3440</v>
      </c>
      <c r="AY3373" t="s">
        <v>3441</v>
      </c>
      <c r="AZ3373" t="s">
        <v>3442</v>
      </c>
      <c r="BA3373" t="s">
        <v>3443</v>
      </c>
      <c r="BB3373" t="s">
        <v>3444</v>
      </c>
      <c r="BC3373" t="s">
        <v>3445</v>
      </c>
      <c r="BD3373" t="s">
        <v>3446</v>
      </c>
      <c r="BE3373" t="s">
        <v>3447</v>
      </c>
      <c r="BF3373" t="s">
        <v>3448</v>
      </c>
      <c r="BG3373" t="s">
        <v>3449</v>
      </c>
      <c r="BH3373" t="s">
        <v>3450</v>
      </c>
      <c r="BI3373" t="s">
        <v>3451</v>
      </c>
      <c r="BJ3373" t="s">
        <v>3452</v>
      </c>
      <c r="BK3373" t="s">
        <v>3453</v>
      </c>
      <c r="BL3373" t="s">
        <v>3454</v>
      </c>
      <c r="BM3373" t="s">
        <v>3455</v>
      </c>
      <c r="BN3373" t="s">
        <v>3456</v>
      </c>
      <c r="BO3373" t="s">
        <v>3457</v>
      </c>
    </row>
    <row r="3374" spans="1:67" x14ac:dyDescent="0.3">
      <c r="A3374" s="160">
        <v>31557</v>
      </c>
      <c r="B3374" t="s">
        <v>18536</v>
      </c>
      <c r="C3374" t="s">
        <v>3303</v>
      </c>
      <c r="D3374">
        <v>2</v>
      </c>
      <c r="E3374">
        <v>0</v>
      </c>
      <c r="F3374">
        <f t="shared" si="52"/>
        <v>2</v>
      </c>
      <c r="I3374">
        <v>20110601</v>
      </c>
      <c r="J3374" t="s">
        <v>3532</v>
      </c>
    </row>
    <row r="3375" spans="1:67" x14ac:dyDescent="0.3">
      <c r="A3375" s="160">
        <v>31561</v>
      </c>
      <c r="B3375" t="s">
        <v>18537</v>
      </c>
      <c r="C3375" t="s">
        <v>3303</v>
      </c>
      <c r="D3375">
        <v>2</v>
      </c>
      <c r="E3375">
        <v>0</v>
      </c>
      <c r="F3375">
        <f t="shared" si="52"/>
        <v>2</v>
      </c>
      <c r="I3375">
        <v>20110601</v>
      </c>
      <c r="J3375" t="s">
        <v>3395</v>
      </c>
      <c r="K3375" t="s">
        <v>3396</v>
      </c>
      <c r="L3375" t="s">
        <v>3397</v>
      </c>
      <c r="M3375" t="s">
        <v>3533</v>
      </c>
    </row>
    <row r="3376" spans="1:67" x14ac:dyDescent="0.3">
      <c r="A3376" s="160">
        <v>31568</v>
      </c>
      <c r="B3376" t="s">
        <v>18538</v>
      </c>
      <c r="C3376" t="s">
        <v>3303</v>
      </c>
      <c r="D3376">
        <v>2</v>
      </c>
      <c r="E3376">
        <v>0</v>
      </c>
      <c r="F3376">
        <f t="shared" si="52"/>
        <v>2</v>
      </c>
      <c r="I3376">
        <v>20110601</v>
      </c>
      <c r="J3376" t="s">
        <v>3305</v>
      </c>
    </row>
    <row r="3377" spans="1:146" x14ac:dyDescent="0.3">
      <c r="A3377" s="160">
        <v>31575</v>
      </c>
      <c r="B3377" t="s">
        <v>18539</v>
      </c>
      <c r="C3377" t="s">
        <v>3303</v>
      </c>
      <c r="D3377">
        <v>2</v>
      </c>
      <c r="E3377">
        <v>0</v>
      </c>
      <c r="F3377">
        <f t="shared" si="52"/>
        <v>2</v>
      </c>
      <c r="I3377">
        <v>20110601</v>
      </c>
      <c r="J3377" t="s">
        <v>3309</v>
      </c>
    </row>
    <row r="3378" spans="1:146" x14ac:dyDescent="0.3">
      <c r="A3378" s="160">
        <v>31578</v>
      </c>
      <c r="B3378" t="s">
        <v>18540</v>
      </c>
      <c r="C3378" t="s">
        <v>3303</v>
      </c>
      <c r="D3378">
        <v>2</v>
      </c>
      <c r="E3378">
        <v>0</v>
      </c>
      <c r="F3378">
        <f t="shared" si="52"/>
        <v>2</v>
      </c>
      <c r="I3378">
        <v>20110601</v>
      </c>
      <c r="J3378" t="s">
        <v>3309</v>
      </c>
      <c r="K3378" t="s">
        <v>3312</v>
      </c>
    </row>
    <row r="3379" spans="1:146" x14ac:dyDescent="0.3">
      <c r="A3379" s="160">
        <v>31580</v>
      </c>
      <c r="B3379" t="s">
        <v>18541</v>
      </c>
      <c r="C3379" t="s">
        <v>3303</v>
      </c>
      <c r="D3379">
        <v>2</v>
      </c>
      <c r="E3379">
        <v>0</v>
      </c>
      <c r="F3379">
        <f t="shared" si="52"/>
        <v>2</v>
      </c>
      <c r="I3379">
        <v>20130601</v>
      </c>
      <c r="J3379" t="s">
        <v>3367</v>
      </c>
    </row>
    <row r="3380" spans="1:146" x14ac:dyDescent="0.3">
      <c r="A3380" s="160">
        <v>31588</v>
      </c>
      <c r="B3380" t="s">
        <v>18542</v>
      </c>
      <c r="C3380" t="s">
        <v>3303</v>
      </c>
      <c r="D3380">
        <v>2</v>
      </c>
      <c r="E3380">
        <v>0</v>
      </c>
      <c r="F3380">
        <f t="shared" si="52"/>
        <v>2</v>
      </c>
      <c r="I3380">
        <v>20110601</v>
      </c>
      <c r="J3380" t="s">
        <v>3357</v>
      </c>
    </row>
    <row r="3381" spans="1:146" x14ac:dyDescent="0.3">
      <c r="A3381" s="160">
        <v>32003</v>
      </c>
      <c r="B3381" t="s">
        <v>18543</v>
      </c>
      <c r="C3381" t="s">
        <v>3534</v>
      </c>
      <c r="D3381">
        <v>0</v>
      </c>
      <c r="E3381">
        <v>0</v>
      </c>
      <c r="F3381">
        <f t="shared" si="52"/>
        <v>0</v>
      </c>
      <c r="I3381">
        <v>20240101</v>
      </c>
      <c r="J3381" t="s">
        <v>3535</v>
      </c>
    </row>
    <row r="3382" spans="1:146" x14ac:dyDescent="0.3">
      <c r="A3382" s="160">
        <v>32013</v>
      </c>
      <c r="B3382" t="s">
        <v>18544</v>
      </c>
      <c r="C3382" t="s">
        <v>3534</v>
      </c>
      <c r="D3382">
        <v>0.6</v>
      </c>
      <c r="E3382">
        <v>0</v>
      </c>
      <c r="F3382">
        <f t="shared" si="52"/>
        <v>0.6</v>
      </c>
      <c r="I3382">
        <v>20250101</v>
      </c>
      <c r="J3382" t="s">
        <v>3536</v>
      </c>
      <c r="K3382" t="s">
        <v>3537</v>
      </c>
      <c r="L3382" t="s">
        <v>3538</v>
      </c>
      <c r="M3382" t="s">
        <v>3539</v>
      </c>
      <c r="N3382" t="s">
        <v>3540</v>
      </c>
      <c r="O3382" t="s">
        <v>3541</v>
      </c>
      <c r="P3382" t="s">
        <v>3542</v>
      </c>
      <c r="Q3382" t="s">
        <v>3543</v>
      </c>
      <c r="R3382" t="s">
        <v>3544</v>
      </c>
      <c r="S3382" t="s">
        <v>3545</v>
      </c>
      <c r="T3382" t="s">
        <v>3546</v>
      </c>
      <c r="U3382" t="s">
        <v>3547</v>
      </c>
      <c r="V3382" t="s">
        <v>3548</v>
      </c>
      <c r="W3382" t="s">
        <v>3549</v>
      </c>
      <c r="X3382" t="s">
        <v>3550</v>
      </c>
      <c r="Y3382" t="s">
        <v>3551</v>
      </c>
      <c r="Z3382" t="s">
        <v>3552</v>
      </c>
    </row>
    <row r="3383" spans="1:146" x14ac:dyDescent="0.3">
      <c r="A3383" s="160">
        <v>32014</v>
      </c>
      <c r="B3383" t="s">
        <v>18545</v>
      </c>
      <c r="C3383" t="s">
        <v>3534</v>
      </c>
      <c r="D3383">
        <v>0.6</v>
      </c>
      <c r="E3383">
        <v>0</v>
      </c>
      <c r="F3383">
        <f t="shared" si="52"/>
        <v>0.6</v>
      </c>
      <c r="I3383">
        <v>20250101</v>
      </c>
      <c r="J3383" t="s">
        <v>3553</v>
      </c>
    </row>
    <row r="3384" spans="1:146" x14ac:dyDescent="0.3">
      <c r="A3384" s="160">
        <v>32019</v>
      </c>
      <c r="B3384" t="s">
        <v>18546</v>
      </c>
      <c r="C3384" t="s">
        <v>3534</v>
      </c>
      <c r="D3384">
        <v>0.6</v>
      </c>
      <c r="E3384">
        <v>0</v>
      </c>
      <c r="F3384">
        <f t="shared" si="52"/>
        <v>0.6</v>
      </c>
      <c r="I3384">
        <v>20250101</v>
      </c>
      <c r="J3384" t="s">
        <v>3554</v>
      </c>
    </row>
    <row r="3385" spans="1:146" x14ac:dyDescent="0.3">
      <c r="A3385" s="160">
        <v>32024</v>
      </c>
      <c r="B3385" t="s">
        <v>18547</v>
      </c>
      <c r="C3385" t="s">
        <v>3534</v>
      </c>
      <c r="D3385">
        <v>0</v>
      </c>
      <c r="E3385">
        <v>0</v>
      </c>
      <c r="F3385">
        <f t="shared" si="52"/>
        <v>0</v>
      </c>
      <c r="I3385">
        <v>20240101</v>
      </c>
      <c r="J3385" t="s">
        <v>3555</v>
      </c>
    </row>
    <row r="3386" spans="1:146" x14ac:dyDescent="0.3">
      <c r="A3386" s="160">
        <v>32054</v>
      </c>
      <c r="B3386" t="s">
        <v>18548</v>
      </c>
      <c r="C3386" t="s">
        <v>3534</v>
      </c>
      <c r="D3386">
        <v>0</v>
      </c>
      <c r="E3386">
        <v>0</v>
      </c>
      <c r="F3386">
        <f t="shared" si="52"/>
        <v>0</v>
      </c>
      <c r="I3386">
        <v>20240101</v>
      </c>
      <c r="J3386" t="s">
        <v>3556</v>
      </c>
    </row>
    <row r="3387" spans="1:146" x14ac:dyDescent="0.3">
      <c r="A3387" s="160">
        <v>32059</v>
      </c>
      <c r="B3387" t="s">
        <v>18549</v>
      </c>
      <c r="C3387" t="s">
        <v>3534</v>
      </c>
      <c r="D3387">
        <v>0</v>
      </c>
      <c r="E3387">
        <v>0</v>
      </c>
      <c r="F3387">
        <f t="shared" si="52"/>
        <v>0</v>
      </c>
      <c r="I3387">
        <v>20240101</v>
      </c>
      <c r="J3387" t="s">
        <v>3555</v>
      </c>
    </row>
    <row r="3388" spans="1:146" x14ac:dyDescent="0.3">
      <c r="A3388" s="160">
        <v>32076</v>
      </c>
      <c r="B3388" t="s">
        <v>18550</v>
      </c>
      <c r="C3388" t="s">
        <v>3534</v>
      </c>
      <c r="D3388">
        <v>0.6</v>
      </c>
      <c r="E3388">
        <v>0</v>
      </c>
      <c r="F3388">
        <f t="shared" si="52"/>
        <v>0.6</v>
      </c>
      <c r="I3388">
        <v>20250101</v>
      </c>
      <c r="J3388" t="s">
        <v>3557</v>
      </c>
    </row>
    <row r="3389" spans="1:146" x14ac:dyDescent="0.3">
      <c r="A3389" s="160">
        <v>32083</v>
      </c>
      <c r="B3389" t="s">
        <v>18551</v>
      </c>
      <c r="C3389" t="s">
        <v>3534</v>
      </c>
      <c r="D3389">
        <v>0</v>
      </c>
      <c r="E3389">
        <v>0</v>
      </c>
      <c r="F3389">
        <f t="shared" si="52"/>
        <v>0</v>
      </c>
      <c r="I3389">
        <v>20240101</v>
      </c>
      <c r="J3389" t="s">
        <v>3555</v>
      </c>
    </row>
    <row r="3390" spans="1:146" x14ac:dyDescent="0.3">
      <c r="A3390" s="160">
        <v>32089</v>
      </c>
      <c r="B3390" t="s">
        <v>18552</v>
      </c>
      <c r="C3390" t="s">
        <v>3534</v>
      </c>
      <c r="D3390">
        <v>0</v>
      </c>
      <c r="E3390">
        <v>0</v>
      </c>
      <c r="F3390">
        <f t="shared" si="52"/>
        <v>0</v>
      </c>
      <c r="I3390">
        <v>20240101</v>
      </c>
      <c r="J3390" t="s">
        <v>3535</v>
      </c>
      <c r="BP3390" t="s">
        <v>3458</v>
      </c>
      <c r="BQ3390" t="s">
        <v>3459</v>
      </c>
      <c r="BR3390" t="s">
        <v>3460</v>
      </c>
      <c r="BS3390" t="s">
        <v>3461</v>
      </c>
      <c r="BT3390" t="s">
        <v>3462</v>
      </c>
      <c r="BU3390" t="s">
        <v>3463</v>
      </c>
      <c r="BV3390" t="s">
        <v>3464</v>
      </c>
      <c r="BW3390" t="s">
        <v>3465</v>
      </c>
      <c r="BX3390" t="s">
        <v>3466</v>
      </c>
      <c r="BY3390" t="s">
        <v>3467</v>
      </c>
      <c r="BZ3390" t="s">
        <v>3468</v>
      </c>
      <c r="CA3390" t="s">
        <v>3469</v>
      </c>
      <c r="CB3390" t="s">
        <v>3470</v>
      </c>
      <c r="CC3390" t="s">
        <v>3471</v>
      </c>
      <c r="CD3390" t="s">
        <v>3472</v>
      </c>
      <c r="CE3390" t="s">
        <v>3473</v>
      </c>
      <c r="CF3390" t="s">
        <v>3474</v>
      </c>
      <c r="CG3390" t="s">
        <v>3475</v>
      </c>
      <c r="CH3390" t="s">
        <v>3476</v>
      </c>
      <c r="CI3390" t="s">
        <v>3477</v>
      </c>
      <c r="CJ3390" t="s">
        <v>3478</v>
      </c>
      <c r="CK3390" t="s">
        <v>3479</v>
      </c>
      <c r="CL3390" t="s">
        <v>3480</v>
      </c>
      <c r="CM3390" t="s">
        <v>3481</v>
      </c>
      <c r="CN3390" t="s">
        <v>3482</v>
      </c>
      <c r="CO3390" t="s">
        <v>3483</v>
      </c>
      <c r="CP3390" t="s">
        <v>3484</v>
      </c>
      <c r="CQ3390" t="s">
        <v>3485</v>
      </c>
      <c r="CR3390" t="s">
        <v>3486</v>
      </c>
      <c r="CS3390" t="s">
        <v>3487</v>
      </c>
      <c r="CT3390" t="s">
        <v>3381</v>
      </c>
      <c r="CU3390" t="s">
        <v>3488</v>
      </c>
      <c r="CV3390" t="s">
        <v>3489</v>
      </c>
      <c r="CW3390" t="s">
        <v>3490</v>
      </c>
      <c r="CX3390" t="s">
        <v>3491</v>
      </c>
      <c r="CY3390" t="s">
        <v>3492</v>
      </c>
      <c r="CZ3390" t="s">
        <v>3493</v>
      </c>
      <c r="DA3390" t="s">
        <v>3494</v>
      </c>
      <c r="DB3390" t="s">
        <v>3495</v>
      </c>
      <c r="DC3390" t="s">
        <v>3496</v>
      </c>
      <c r="DD3390" t="s">
        <v>3497</v>
      </c>
      <c r="DE3390" t="s">
        <v>3498</v>
      </c>
      <c r="DF3390" t="s">
        <v>3499</v>
      </c>
      <c r="DG3390" t="s">
        <v>3308</v>
      </c>
      <c r="DH3390" t="s">
        <v>3500</v>
      </c>
      <c r="DI3390" t="s">
        <v>3501</v>
      </c>
      <c r="DJ3390" t="s">
        <v>3502</v>
      </c>
      <c r="DK3390" t="s">
        <v>3503</v>
      </c>
      <c r="DL3390" t="s">
        <v>3504</v>
      </c>
      <c r="DM3390" t="s">
        <v>3505</v>
      </c>
      <c r="DN3390" t="s">
        <v>3506</v>
      </c>
      <c r="DO3390" t="s">
        <v>3507</v>
      </c>
      <c r="DP3390" t="s">
        <v>3508</v>
      </c>
      <c r="DQ3390" t="s">
        <v>3509</v>
      </c>
      <c r="DR3390" t="s">
        <v>3510</v>
      </c>
      <c r="DS3390" t="s">
        <v>3511</v>
      </c>
      <c r="DT3390" t="s">
        <v>3512</v>
      </c>
      <c r="DU3390" t="s">
        <v>3513</v>
      </c>
      <c r="DV3390" t="s">
        <v>3514</v>
      </c>
      <c r="DW3390" t="s">
        <v>3515</v>
      </c>
      <c r="DX3390" t="s">
        <v>3516</v>
      </c>
      <c r="DY3390" t="s">
        <v>3517</v>
      </c>
      <c r="DZ3390" t="s">
        <v>3518</v>
      </c>
      <c r="EA3390" t="s">
        <v>3332</v>
      </c>
      <c r="EB3390" t="s">
        <v>3519</v>
      </c>
      <c r="EC3390" t="s">
        <v>3520</v>
      </c>
      <c r="ED3390" t="s">
        <v>3521</v>
      </c>
      <c r="EE3390" t="s">
        <v>3522</v>
      </c>
      <c r="EF3390" t="s">
        <v>3523</v>
      </c>
      <c r="EG3390" t="s">
        <v>3524</v>
      </c>
      <c r="EH3390" t="s">
        <v>3525</v>
      </c>
      <c r="EI3390" t="s">
        <v>3328</v>
      </c>
      <c r="EJ3390" t="s">
        <v>3330</v>
      </c>
      <c r="EK3390" t="s">
        <v>3526</v>
      </c>
      <c r="EL3390" t="s">
        <v>3527</v>
      </c>
      <c r="EM3390" t="s">
        <v>3528</v>
      </c>
      <c r="EN3390" t="s">
        <v>3529</v>
      </c>
      <c r="EO3390" t="s">
        <v>3530</v>
      </c>
      <c r="EP3390" t="s">
        <v>3531</v>
      </c>
    </row>
    <row r="3391" spans="1:146" x14ac:dyDescent="0.3">
      <c r="A3391" s="160">
        <v>32091</v>
      </c>
      <c r="B3391" t="s">
        <v>18553</v>
      </c>
      <c r="C3391" t="s">
        <v>3534</v>
      </c>
      <c r="D3391">
        <v>0.6</v>
      </c>
      <c r="E3391">
        <v>0</v>
      </c>
      <c r="F3391">
        <f t="shared" si="52"/>
        <v>0.6</v>
      </c>
      <c r="I3391">
        <v>20250101</v>
      </c>
      <c r="J3391" t="s">
        <v>3558</v>
      </c>
    </row>
    <row r="3392" spans="1:146" x14ac:dyDescent="0.3">
      <c r="A3392" s="160">
        <v>32112</v>
      </c>
      <c r="B3392" t="s">
        <v>18554</v>
      </c>
      <c r="C3392" t="s">
        <v>3534</v>
      </c>
      <c r="D3392">
        <v>0.6</v>
      </c>
      <c r="E3392">
        <v>0</v>
      </c>
      <c r="F3392">
        <f t="shared" si="52"/>
        <v>0.6</v>
      </c>
      <c r="I3392">
        <v>20250101</v>
      </c>
      <c r="J3392" t="s">
        <v>3559</v>
      </c>
    </row>
    <row r="3393" spans="1:12" x14ac:dyDescent="0.3">
      <c r="A3393" s="160">
        <v>32117</v>
      </c>
      <c r="B3393" t="s">
        <v>18555</v>
      </c>
      <c r="C3393" t="s">
        <v>3534</v>
      </c>
      <c r="D3393">
        <v>0.6</v>
      </c>
      <c r="E3393">
        <v>0</v>
      </c>
      <c r="F3393">
        <f t="shared" si="52"/>
        <v>0.6</v>
      </c>
      <c r="I3393">
        <v>20250101</v>
      </c>
      <c r="J3393" t="s">
        <v>3558</v>
      </c>
    </row>
    <row r="3394" spans="1:12" x14ac:dyDescent="0.3">
      <c r="A3394" s="160">
        <v>32162</v>
      </c>
      <c r="B3394" t="s">
        <v>18556</v>
      </c>
      <c r="C3394" t="s">
        <v>3534</v>
      </c>
      <c r="D3394">
        <v>0</v>
      </c>
      <c r="E3394">
        <v>0</v>
      </c>
      <c r="F3394">
        <f t="shared" si="52"/>
        <v>0</v>
      </c>
      <c r="I3394">
        <v>20240101</v>
      </c>
      <c r="J3394" t="s">
        <v>3535</v>
      </c>
    </row>
    <row r="3395" spans="1:12" x14ac:dyDescent="0.3">
      <c r="A3395" s="160">
        <v>32183</v>
      </c>
      <c r="B3395" t="s">
        <v>18557</v>
      </c>
      <c r="C3395" t="s">
        <v>3534</v>
      </c>
      <c r="D3395">
        <v>0.6</v>
      </c>
      <c r="E3395">
        <v>0</v>
      </c>
      <c r="F3395">
        <f t="shared" si="52"/>
        <v>0.6</v>
      </c>
      <c r="I3395">
        <v>20250101</v>
      </c>
      <c r="J3395" t="s">
        <v>3558</v>
      </c>
    </row>
    <row r="3396" spans="1:12" x14ac:dyDescent="0.3">
      <c r="A3396" s="160">
        <v>32204</v>
      </c>
      <c r="B3396" t="s">
        <v>18558</v>
      </c>
      <c r="C3396" t="s">
        <v>3534</v>
      </c>
      <c r="D3396">
        <v>0</v>
      </c>
      <c r="E3396">
        <v>0</v>
      </c>
      <c r="F3396">
        <f t="shared" si="52"/>
        <v>0</v>
      </c>
      <c r="I3396">
        <v>20240101</v>
      </c>
      <c r="J3396" t="s">
        <v>3535</v>
      </c>
    </row>
    <row r="3397" spans="1:12" x14ac:dyDescent="0.3">
      <c r="A3397" s="160">
        <v>32207</v>
      </c>
      <c r="B3397" t="s">
        <v>18559</v>
      </c>
      <c r="C3397" t="s">
        <v>3534</v>
      </c>
      <c r="D3397">
        <v>0.6</v>
      </c>
      <c r="E3397">
        <v>0</v>
      </c>
      <c r="F3397">
        <f t="shared" si="52"/>
        <v>0.6</v>
      </c>
      <c r="I3397">
        <v>20250101</v>
      </c>
      <c r="J3397" t="s">
        <v>3558</v>
      </c>
    </row>
    <row r="3398" spans="1:12" x14ac:dyDescent="0.3">
      <c r="A3398" s="160">
        <v>32251</v>
      </c>
      <c r="B3398" t="s">
        <v>18560</v>
      </c>
      <c r="C3398" t="s">
        <v>3534</v>
      </c>
      <c r="D3398">
        <v>0</v>
      </c>
      <c r="E3398">
        <v>0</v>
      </c>
      <c r="F3398">
        <f t="shared" si="52"/>
        <v>0</v>
      </c>
      <c r="I3398">
        <v>20240101</v>
      </c>
      <c r="J3398" t="s">
        <v>3535</v>
      </c>
    </row>
    <row r="3399" spans="1:12" x14ac:dyDescent="0.3">
      <c r="A3399" s="160">
        <v>32258</v>
      </c>
      <c r="B3399" t="s">
        <v>18561</v>
      </c>
      <c r="C3399" t="s">
        <v>3534</v>
      </c>
      <c r="D3399">
        <v>0</v>
      </c>
      <c r="E3399">
        <v>0</v>
      </c>
      <c r="F3399">
        <f t="shared" ref="F3399:F3462" si="53">D3399+E3399</f>
        <v>0</v>
      </c>
      <c r="I3399">
        <v>20240101</v>
      </c>
      <c r="J3399" t="s">
        <v>3560</v>
      </c>
    </row>
    <row r="3400" spans="1:12" x14ac:dyDescent="0.3">
      <c r="A3400" s="160">
        <v>32279</v>
      </c>
      <c r="B3400" t="s">
        <v>18562</v>
      </c>
      <c r="C3400" t="s">
        <v>3534</v>
      </c>
      <c r="D3400">
        <v>0.6</v>
      </c>
      <c r="E3400">
        <v>0</v>
      </c>
      <c r="F3400">
        <f t="shared" si="53"/>
        <v>0.6</v>
      </c>
      <c r="I3400">
        <v>20250101</v>
      </c>
      <c r="J3400" t="s">
        <v>3558</v>
      </c>
    </row>
    <row r="3401" spans="1:12" x14ac:dyDescent="0.3">
      <c r="A3401" s="160">
        <v>32282</v>
      </c>
      <c r="B3401" t="s">
        <v>18563</v>
      </c>
      <c r="C3401" t="s">
        <v>3534</v>
      </c>
      <c r="D3401">
        <v>0.6</v>
      </c>
      <c r="E3401">
        <v>0</v>
      </c>
      <c r="F3401">
        <f t="shared" si="53"/>
        <v>0.6</v>
      </c>
      <c r="I3401">
        <v>20250101</v>
      </c>
      <c r="J3401" t="s">
        <v>3554</v>
      </c>
    </row>
    <row r="3402" spans="1:12" x14ac:dyDescent="0.3">
      <c r="A3402" s="160">
        <v>32298</v>
      </c>
      <c r="B3402" t="s">
        <v>18564</v>
      </c>
      <c r="C3402" t="s">
        <v>3534</v>
      </c>
      <c r="D3402">
        <v>0.6</v>
      </c>
      <c r="E3402">
        <v>0</v>
      </c>
      <c r="F3402">
        <f t="shared" si="53"/>
        <v>0.6</v>
      </c>
      <c r="I3402">
        <v>20250101</v>
      </c>
      <c r="J3402" t="s">
        <v>3559</v>
      </c>
    </row>
    <row r="3403" spans="1:12" x14ac:dyDescent="0.3">
      <c r="A3403" s="160">
        <v>32301</v>
      </c>
      <c r="B3403" t="s">
        <v>18565</v>
      </c>
      <c r="C3403" t="s">
        <v>3534</v>
      </c>
      <c r="D3403">
        <v>0</v>
      </c>
      <c r="E3403">
        <v>0</v>
      </c>
      <c r="F3403">
        <f t="shared" si="53"/>
        <v>0</v>
      </c>
      <c r="I3403">
        <v>20240101</v>
      </c>
      <c r="J3403" t="s">
        <v>3556</v>
      </c>
    </row>
    <row r="3404" spans="1:12" x14ac:dyDescent="0.3">
      <c r="A3404" s="160">
        <v>32307</v>
      </c>
      <c r="B3404" t="s">
        <v>18566</v>
      </c>
      <c r="C3404" t="s">
        <v>3534</v>
      </c>
      <c r="D3404">
        <v>0.6</v>
      </c>
      <c r="E3404">
        <v>0</v>
      </c>
      <c r="F3404">
        <f t="shared" si="53"/>
        <v>0.6</v>
      </c>
      <c r="I3404">
        <v>20250101</v>
      </c>
      <c r="J3404" t="s">
        <v>3537</v>
      </c>
      <c r="K3404" t="s">
        <v>3539</v>
      </c>
      <c r="L3404" t="s">
        <v>3554</v>
      </c>
    </row>
    <row r="3405" spans="1:12" x14ac:dyDescent="0.3">
      <c r="A3405" s="160">
        <v>32312</v>
      </c>
      <c r="B3405" t="s">
        <v>18567</v>
      </c>
      <c r="C3405" t="s">
        <v>3534</v>
      </c>
      <c r="D3405">
        <v>0.6</v>
      </c>
      <c r="E3405">
        <v>0</v>
      </c>
      <c r="F3405">
        <f t="shared" si="53"/>
        <v>0.6</v>
      </c>
      <c r="I3405">
        <v>20250101</v>
      </c>
      <c r="J3405" t="s">
        <v>3552</v>
      </c>
      <c r="K3405" t="s">
        <v>3554</v>
      </c>
    </row>
    <row r="3406" spans="1:12" x14ac:dyDescent="0.3">
      <c r="A3406" s="160">
        <v>32316</v>
      </c>
      <c r="B3406" t="s">
        <v>18568</v>
      </c>
      <c r="C3406" t="s">
        <v>3534</v>
      </c>
      <c r="D3406">
        <v>0</v>
      </c>
      <c r="E3406">
        <v>0</v>
      </c>
      <c r="F3406">
        <f t="shared" si="53"/>
        <v>0</v>
      </c>
      <c r="I3406">
        <v>20240101</v>
      </c>
      <c r="J3406" t="s">
        <v>3535</v>
      </c>
    </row>
    <row r="3407" spans="1:12" x14ac:dyDescent="0.3">
      <c r="A3407" s="160">
        <v>32331</v>
      </c>
      <c r="B3407" t="s">
        <v>18569</v>
      </c>
      <c r="C3407" t="s">
        <v>3534</v>
      </c>
      <c r="D3407">
        <v>0.6</v>
      </c>
      <c r="E3407">
        <v>0</v>
      </c>
      <c r="F3407">
        <f t="shared" si="53"/>
        <v>0.6</v>
      </c>
      <c r="I3407">
        <v>20250101</v>
      </c>
      <c r="J3407" t="s">
        <v>3558</v>
      </c>
    </row>
    <row r="3408" spans="1:12" x14ac:dyDescent="0.3">
      <c r="A3408" s="160">
        <v>32335</v>
      </c>
      <c r="B3408" t="s">
        <v>18570</v>
      </c>
      <c r="C3408" t="s">
        <v>3534</v>
      </c>
      <c r="D3408">
        <v>0</v>
      </c>
      <c r="E3408">
        <v>0</v>
      </c>
      <c r="F3408">
        <f t="shared" si="53"/>
        <v>0</v>
      </c>
      <c r="I3408">
        <v>20240101</v>
      </c>
      <c r="J3408" t="s">
        <v>3553</v>
      </c>
    </row>
    <row r="3409" spans="1:14" x14ac:dyDescent="0.3">
      <c r="A3409" s="160">
        <v>32347</v>
      </c>
      <c r="B3409" t="s">
        <v>18571</v>
      </c>
      <c r="C3409" t="s">
        <v>3534</v>
      </c>
      <c r="D3409">
        <v>0</v>
      </c>
      <c r="E3409">
        <v>0</v>
      </c>
      <c r="F3409">
        <f t="shared" si="53"/>
        <v>0</v>
      </c>
      <c r="I3409">
        <v>20240101</v>
      </c>
      <c r="J3409" t="s">
        <v>3560</v>
      </c>
    </row>
    <row r="3410" spans="1:14" x14ac:dyDescent="0.3">
      <c r="A3410" s="160">
        <v>32348</v>
      </c>
      <c r="B3410" t="s">
        <v>18572</v>
      </c>
      <c r="C3410" t="s">
        <v>3534</v>
      </c>
      <c r="D3410">
        <v>0</v>
      </c>
      <c r="E3410">
        <v>0</v>
      </c>
      <c r="F3410">
        <f t="shared" si="53"/>
        <v>0</v>
      </c>
      <c r="I3410">
        <v>20240101</v>
      </c>
      <c r="J3410" t="s">
        <v>3558</v>
      </c>
    </row>
    <row r="3411" spans="1:14" x14ac:dyDescent="0.3">
      <c r="A3411" s="160">
        <v>32368</v>
      </c>
      <c r="B3411" t="s">
        <v>18573</v>
      </c>
      <c r="C3411" t="s">
        <v>3534</v>
      </c>
      <c r="D3411">
        <v>0</v>
      </c>
      <c r="E3411">
        <v>0</v>
      </c>
      <c r="F3411">
        <f t="shared" si="53"/>
        <v>0</v>
      </c>
      <c r="I3411">
        <v>20240101</v>
      </c>
      <c r="J3411" t="s">
        <v>3560</v>
      </c>
    </row>
    <row r="3412" spans="1:14" x14ac:dyDescent="0.3">
      <c r="A3412" s="160">
        <v>32382</v>
      </c>
      <c r="B3412" t="s">
        <v>18574</v>
      </c>
      <c r="C3412" t="s">
        <v>3534</v>
      </c>
      <c r="D3412">
        <v>0</v>
      </c>
      <c r="E3412">
        <v>0</v>
      </c>
      <c r="F3412">
        <f t="shared" si="53"/>
        <v>0</v>
      </c>
      <c r="I3412">
        <v>20240101</v>
      </c>
      <c r="J3412" t="s">
        <v>3561</v>
      </c>
    </row>
    <row r="3413" spans="1:14" x14ac:dyDescent="0.3">
      <c r="A3413" s="160">
        <v>32384</v>
      </c>
      <c r="B3413" t="s">
        <v>18575</v>
      </c>
      <c r="C3413" t="s">
        <v>3534</v>
      </c>
      <c r="D3413">
        <v>0</v>
      </c>
      <c r="E3413">
        <v>0</v>
      </c>
      <c r="F3413">
        <f t="shared" si="53"/>
        <v>0</v>
      </c>
      <c r="I3413">
        <v>20240101</v>
      </c>
      <c r="J3413" t="s">
        <v>3535</v>
      </c>
    </row>
    <row r="3414" spans="1:14" x14ac:dyDescent="0.3">
      <c r="A3414" s="160">
        <v>32453</v>
      </c>
      <c r="B3414" t="s">
        <v>18576</v>
      </c>
      <c r="C3414" t="s">
        <v>3534</v>
      </c>
      <c r="D3414">
        <v>0</v>
      </c>
      <c r="E3414">
        <v>0</v>
      </c>
      <c r="F3414">
        <f t="shared" si="53"/>
        <v>0</v>
      </c>
      <c r="I3414">
        <v>20240101</v>
      </c>
      <c r="J3414" t="s">
        <v>3560</v>
      </c>
    </row>
    <row r="3415" spans="1:14" x14ac:dyDescent="0.3">
      <c r="A3415" s="160">
        <v>33001</v>
      </c>
      <c r="B3415" t="s">
        <v>18577</v>
      </c>
      <c r="C3415" t="s">
        <v>3562</v>
      </c>
      <c r="D3415">
        <v>0.8</v>
      </c>
      <c r="E3415">
        <v>0.5</v>
      </c>
      <c r="F3415">
        <f t="shared" si="53"/>
        <v>1.3</v>
      </c>
      <c r="I3415">
        <v>20240101</v>
      </c>
      <c r="J3415" t="s">
        <v>3563</v>
      </c>
    </row>
    <row r="3416" spans="1:14" x14ac:dyDescent="0.3">
      <c r="A3416" s="160">
        <v>33002</v>
      </c>
      <c r="B3416" t="s">
        <v>18578</v>
      </c>
      <c r="C3416" t="s">
        <v>3564</v>
      </c>
      <c r="D3416">
        <v>0.25</v>
      </c>
      <c r="E3416">
        <v>0</v>
      </c>
      <c r="F3416">
        <f t="shared" si="53"/>
        <v>0.25</v>
      </c>
      <c r="I3416">
        <v>20240101</v>
      </c>
      <c r="J3416" t="s">
        <v>3565</v>
      </c>
    </row>
    <row r="3417" spans="1:14" x14ac:dyDescent="0.3">
      <c r="A3417" s="160">
        <v>33003</v>
      </c>
      <c r="B3417" t="s">
        <v>18579</v>
      </c>
      <c r="C3417" t="s">
        <v>3566</v>
      </c>
      <c r="D3417">
        <v>2</v>
      </c>
      <c r="E3417">
        <v>0</v>
      </c>
      <c r="F3417">
        <f t="shared" si="53"/>
        <v>2</v>
      </c>
      <c r="I3417">
        <v>20110101</v>
      </c>
      <c r="J3417" t="s">
        <v>3567</v>
      </c>
    </row>
    <row r="3418" spans="1:14" x14ac:dyDescent="0.3">
      <c r="A3418" s="160">
        <v>33004</v>
      </c>
      <c r="B3418" t="s">
        <v>18580</v>
      </c>
      <c r="C3418" t="s">
        <v>3566</v>
      </c>
      <c r="D3418">
        <v>2</v>
      </c>
      <c r="E3418">
        <v>0</v>
      </c>
      <c r="F3418">
        <f t="shared" si="53"/>
        <v>2</v>
      </c>
      <c r="I3418">
        <v>20110101</v>
      </c>
      <c r="J3418" t="s">
        <v>3568</v>
      </c>
      <c r="K3418" t="s">
        <v>3569</v>
      </c>
      <c r="L3418" t="s">
        <v>3570</v>
      </c>
    </row>
    <row r="3419" spans="1:14" x14ac:dyDescent="0.3">
      <c r="A3419" s="160">
        <v>33005</v>
      </c>
      <c r="B3419" t="s">
        <v>18581</v>
      </c>
      <c r="C3419" t="s">
        <v>18582</v>
      </c>
      <c r="D3419">
        <v>0.8</v>
      </c>
      <c r="E3419">
        <v>0.5</v>
      </c>
      <c r="F3419">
        <f t="shared" si="53"/>
        <v>1.3</v>
      </c>
      <c r="I3419">
        <v>20240101</v>
      </c>
      <c r="J3419" t="s">
        <v>18583</v>
      </c>
    </row>
    <row r="3420" spans="1:14" x14ac:dyDescent="0.3">
      <c r="A3420" s="160">
        <v>33007</v>
      </c>
      <c r="B3420" t="s">
        <v>18584</v>
      </c>
      <c r="C3420" t="s">
        <v>18585</v>
      </c>
      <c r="D3420">
        <v>0.5</v>
      </c>
      <c r="E3420">
        <v>0.5</v>
      </c>
      <c r="F3420">
        <f t="shared" si="53"/>
        <v>1</v>
      </c>
      <c r="I3420">
        <v>20240101</v>
      </c>
      <c r="J3420" t="s">
        <v>18586</v>
      </c>
    </row>
    <row r="3421" spans="1:14" x14ac:dyDescent="0.3">
      <c r="A3421" s="160">
        <v>33008</v>
      </c>
      <c r="B3421" t="s">
        <v>18587</v>
      </c>
      <c r="C3421" t="s">
        <v>18588</v>
      </c>
      <c r="D3421">
        <v>0</v>
      </c>
      <c r="E3421">
        <v>0.5</v>
      </c>
      <c r="F3421">
        <f t="shared" si="53"/>
        <v>0.5</v>
      </c>
      <c r="I3421">
        <v>20240101</v>
      </c>
      <c r="J3421" t="s">
        <v>18589</v>
      </c>
    </row>
    <row r="3422" spans="1:14" x14ac:dyDescent="0.3">
      <c r="A3422" s="160">
        <v>33009</v>
      </c>
      <c r="B3422" t="s">
        <v>18590</v>
      </c>
      <c r="C3422" t="s">
        <v>3571</v>
      </c>
      <c r="D3422">
        <v>0.55000000000000004</v>
      </c>
      <c r="E3422">
        <v>0</v>
      </c>
      <c r="F3422">
        <f t="shared" si="53"/>
        <v>0.55000000000000004</v>
      </c>
      <c r="I3422">
        <v>20070301</v>
      </c>
      <c r="J3422" t="s">
        <v>3572</v>
      </c>
      <c r="K3422" t="s">
        <v>3573</v>
      </c>
      <c r="L3422" t="s">
        <v>3574</v>
      </c>
      <c r="M3422" t="s">
        <v>3575</v>
      </c>
      <c r="N3422" t="s">
        <v>3576</v>
      </c>
    </row>
    <row r="3423" spans="1:14" x14ac:dyDescent="0.3">
      <c r="A3423" s="160">
        <v>33010</v>
      </c>
      <c r="B3423" t="s">
        <v>18591</v>
      </c>
      <c r="C3423" t="s">
        <v>18588</v>
      </c>
      <c r="D3423">
        <v>0</v>
      </c>
      <c r="E3423">
        <v>0.5</v>
      </c>
      <c r="F3423">
        <f t="shared" si="53"/>
        <v>0.5</v>
      </c>
      <c r="I3423">
        <v>20240101</v>
      </c>
      <c r="J3423" t="s">
        <v>18592</v>
      </c>
    </row>
    <row r="3424" spans="1:14" x14ac:dyDescent="0.3">
      <c r="A3424" s="160">
        <v>33011</v>
      </c>
      <c r="B3424" t="s">
        <v>18593</v>
      </c>
      <c r="C3424" t="s">
        <v>18582</v>
      </c>
      <c r="D3424">
        <v>0.8</v>
      </c>
      <c r="E3424">
        <v>0.5</v>
      </c>
      <c r="F3424">
        <f t="shared" si="53"/>
        <v>1.3</v>
      </c>
      <c r="I3424">
        <v>20240101</v>
      </c>
      <c r="J3424" t="s">
        <v>18594</v>
      </c>
    </row>
    <row r="3425" spans="1:13" x14ac:dyDescent="0.3">
      <c r="A3425" s="160">
        <v>33012</v>
      </c>
      <c r="B3425" t="s">
        <v>18595</v>
      </c>
      <c r="C3425" t="s">
        <v>18588</v>
      </c>
      <c r="D3425">
        <v>0</v>
      </c>
      <c r="E3425">
        <v>0.5</v>
      </c>
      <c r="F3425">
        <f t="shared" si="53"/>
        <v>0.5</v>
      </c>
      <c r="I3425">
        <v>20240101</v>
      </c>
      <c r="J3425" t="s">
        <v>18592</v>
      </c>
    </row>
    <row r="3426" spans="1:13" x14ac:dyDescent="0.3">
      <c r="A3426" s="160">
        <v>33013</v>
      </c>
      <c r="B3426" t="s">
        <v>18596</v>
      </c>
      <c r="C3426" t="s">
        <v>3566</v>
      </c>
      <c r="D3426">
        <v>2</v>
      </c>
      <c r="E3426">
        <v>0</v>
      </c>
      <c r="F3426">
        <f t="shared" si="53"/>
        <v>2</v>
      </c>
      <c r="I3426">
        <v>20110101</v>
      </c>
      <c r="J3426" t="s">
        <v>3577</v>
      </c>
    </row>
    <row r="3427" spans="1:13" x14ac:dyDescent="0.3">
      <c r="A3427" s="160">
        <v>33014</v>
      </c>
      <c r="B3427" t="s">
        <v>18597</v>
      </c>
      <c r="C3427" t="s">
        <v>18588</v>
      </c>
      <c r="D3427">
        <v>0</v>
      </c>
      <c r="E3427">
        <v>0.5</v>
      </c>
      <c r="F3427">
        <f t="shared" si="53"/>
        <v>0.5</v>
      </c>
      <c r="I3427">
        <v>20240101</v>
      </c>
      <c r="J3427" t="s">
        <v>18598</v>
      </c>
    </row>
    <row r="3428" spans="1:13" x14ac:dyDescent="0.3">
      <c r="A3428" s="160">
        <v>33015</v>
      </c>
      <c r="B3428" t="s">
        <v>18599</v>
      </c>
      <c r="C3428" t="s">
        <v>3562</v>
      </c>
      <c r="D3428">
        <v>0.8</v>
      </c>
      <c r="E3428">
        <v>0.5</v>
      </c>
      <c r="F3428">
        <f t="shared" si="53"/>
        <v>1.3</v>
      </c>
      <c r="I3428">
        <v>20240101</v>
      </c>
      <c r="J3428" t="s">
        <v>3578</v>
      </c>
      <c r="K3428" t="s">
        <v>3579</v>
      </c>
      <c r="L3428" t="s">
        <v>3580</v>
      </c>
      <c r="M3428" t="s">
        <v>3581</v>
      </c>
    </row>
    <row r="3429" spans="1:13" x14ac:dyDescent="0.3">
      <c r="A3429" s="160">
        <v>33016</v>
      </c>
      <c r="B3429" t="s">
        <v>18600</v>
      </c>
      <c r="C3429" t="s">
        <v>18588</v>
      </c>
      <c r="D3429">
        <v>0</v>
      </c>
      <c r="E3429">
        <v>0.5</v>
      </c>
      <c r="F3429">
        <f t="shared" si="53"/>
        <v>0.5</v>
      </c>
      <c r="I3429">
        <v>20240101</v>
      </c>
      <c r="J3429" t="s">
        <v>18601</v>
      </c>
    </row>
    <row r="3430" spans="1:13" x14ac:dyDescent="0.3">
      <c r="A3430" s="160">
        <v>33018</v>
      </c>
      <c r="B3430" t="s">
        <v>18602</v>
      </c>
      <c r="C3430" t="s">
        <v>18588</v>
      </c>
      <c r="D3430">
        <v>0</v>
      </c>
      <c r="E3430">
        <v>0.5</v>
      </c>
      <c r="F3430">
        <f t="shared" si="53"/>
        <v>0.5</v>
      </c>
      <c r="I3430">
        <v>20240101</v>
      </c>
      <c r="J3430" t="s">
        <v>18601</v>
      </c>
    </row>
    <row r="3431" spans="1:13" x14ac:dyDescent="0.3">
      <c r="A3431" s="160">
        <v>33019</v>
      </c>
      <c r="B3431" t="s">
        <v>18603</v>
      </c>
      <c r="C3431" t="s">
        <v>18582</v>
      </c>
      <c r="D3431">
        <v>0.8</v>
      </c>
      <c r="E3431">
        <v>0.5</v>
      </c>
      <c r="F3431">
        <f t="shared" si="53"/>
        <v>1.3</v>
      </c>
      <c r="I3431">
        <v>20240101</v>
      </c>
      <c r="J3431" t="s">
        <v>18604</v>
      </c>
    </row>
    <row r="3432" spans="1:13" x14ac:dyDescent="0.3">
      <c r="A3432" s="160">
        <v>33021</v>
      </c>
      <c r="B3432" t="s">
        <v>18605</v>
      </c>
      <c r="C3432" t="s">
        <v>3564</v>
      </c>
      <c r="D3432">
        <v>0.25</v>
      </c>
      <c r="E3432">
        <v>0</v>
      </c>
      <c r="F3432">
        <f t="shared" si="53"/>
        <v>0.25</v>
      </c>
      <c r="I3432">
        <v>20240101</v>
      </c>
      <c r="J3432" t="s">
        <v>3565</v>
      </c>
    </row>
    <row r="3433" spans="1:13" x14ac:dyDescent="0.3">
      <c r="A3433" s="160">
        <v>33022</v>
      </c>
      <c r="B3433" t="s">
        <v>18606</v>
      </c>
      <c r="C3433" t="s">
        <v>18588</v>
      </c>
      <c r="D3433">
        <v>0</v>
      </c>
      <c r="E3433">
        <v>0.5</v>
      </c>
      <c r="F3433">
        <f t="shared" si="53"/>
        <v>0.5</v>
      </c>
      <c r="I3433">
        <v>20240101</v>
      </c>
      <c r="J3433" t="s">
        <v>18607</v>
      </c>
    </row>
    <row r="3434" spans="1:13" x14ac:dyDescent="0.3">
      <c r="A3434" s="160">
        <v>33023</v>
      </c>
      <c r="B3434" t="s">
        <v>18608</v>
      </c>
      <c r="C3434" t="s">
        <v>18609</v>
      </c>
      <c r="D3434">
        <v>0.6</v>
      </c>
      <c r="E3434">
        <v>0.5</v>
      </c>
      <c r="F3434">
        <f t="shared" si="53"/>
        <v>1.1000000000000001</v>
      </c>
      <c r="I3434">
        <v>20240101</v>
      </c>
      <c r="J3434" t="s">
        <v>18586</v>
      </c>
    </row>
    <row r="3435" spans="1:13" x14ac:dyDescent="0.3">
      <c r="A3435" s="160">
        <v>33024</v>
      </c>
      <c r="B3435" t="s">
        <v>18610</v>
      </c>
      <c r="C3435" t="s">
        <v>3564</v>
      </c>
      <c r="D3435">
        <v>0.25</v>
      </c>
      <c r="E3435">
        <v>0</v>
      </c>
      <c r="F3435">
        <f t="shared" si="53"/>
        <v>0.25</v>
      </c>
      <c r="I3435">
        <v>20230101</v>
      </c>
      <c r="J3435" t="s">
        <v>3582</v>
      </c>
    </row>
    <row r="3436" spans="1:13" x14ac:dyDescent="0.3">
      <c r="A3436" s="160">
        <v>33025</v>
      </c>
      <c r="B3436" t="s">
        <v>17850</v>
      </c>
      <c r="C3436" t="s">
        <v>18588</v>
      </c>
      <c r="D3436">
        <v>0</v>
      </c>
      <c r="E3436">
        <v>0.5</v>
      </c>
      <c r="F3436">
        <f t="shared" si="53"/>
        <v>0.5</v>
      </c>
      <c r="I3436">
        <v>20240101</v>
      </c>
      <c r="J3436" t="s">
        <v>18589</v>
      </c>
    </row>
    <row r="3437" spans="1:13" x14ac:dyDescent="0.3">
      <c r="A3437" s="160">
        <v>33026</v>
      </c>
      <c r="B3437" t="s">
        <v>18611</v>
      </c>
      <c r="C3437" t="s">
        <v>3583</v>
      </c>
      <c r="D3437">
        <v>0.25</v>
      </c>
      <c r="E3437">
        <v>0.5</v>
      </c>
      <c r="F3437">
        <f t="shared" si="53"/>
        <v>0.75</v>
      </c>
      <c r="I3437">
        <v>20240101</v>
      </c>
      <c r="J3437" t="s">
        <v>3584</v>
      </c>
    </row>
    <row r="3438" spans="1:13" x14ac:dyDescent="0.3">
      <c r="A3438" s="160">
        <v>33027</v>
      </c>
      <c r="B3438" t="s">
        <v>18612</v>
      </c>
      <c r="C3438" t="s">
        <v>3564</v>
      </c>
      <c r="D3438">
        <v>0.25</v>
      </c>
      <c r="E3438">
        <v>0</v>
      </c>
      <c r="F3438">
        <f t="shared" si="53"/>
        <v>0.25</v>
      </c>
      <c r="I3438">
        <v>20240101</v>
      </c>
      <c r="J3438" t="s">
        <v>3582</v>
      </c>
    </row>
    <row r="3439" spans="1:13" x14ac:dyDescent="0.3">
      <c r="A3439" s="160">
        <v>33028</v>
      </c>
      <c r="B3439" t="s">
        <v>18613</v>
      </c>
      <c r="C3439" t="s">
        <v>18588</v>
      </c>
      <c r="D3439">
        <v>0</v>
      </c>
      <c r="E3439">
        <v>0.5</v>
      </c>
      <c r="F3439">
        <f t="shared" si="53"/>
        <v>0.5</v>
      </c>
      <c r="I3439">
        <v>20240101</v>
      </c>
      <c r="J3439" t="s">
        <v>3706</v>
      </c>
    </row>
    <row r="3440" spans="1:13" x14ac:dyDescent="0.3">
      <c r="A3440" s="160">
        <v>33029</v>
      </c>
      <c r="B3440" t="s">
        <v>18614</v>
      </c>
      <c r="C3440" t="s">
        <v>18588</v>
      </c>
      <c r="D3440">
        <v>0</v>
      </c>
      <c r="E3440">
        <v>0.5</v>
      </c>
      <c r="F3440">
        <f t="shared" si="53"/>
        <v>0.5</v>
      </c>
      <c r="I3440">
        <v>20240101</v>
      </c>
      <c r="J3440" t="s">
        <v>18615</v>
      </c>
      <c r="K3440" t="s">
        <v>18616</v>
      </c>
    </row>
    <row r="3441" spans="1:14" x14ac:dyDescent="0.3">
      <c r="A3441" s="160">
        <v>33030</v>
      </c>
      <c r="B3441" t="s">
        <v>18617</v>
      </c>
      <c r="C3441" t="s">
        <v>18585</v>
      </c>
      <c r="D3441">
        <v>0.5</v>
      </c>
      <c r="E3441">
        <v>0.5</v>
      </c>
      <c r="F3441">
        <f t="shared" si="53"/>
        <v>1</v>
      </c>
      <c r="I3441">
        <v>20240101</v>
      </c>
      <c r="J3441" t="s">
        <v>3772</v>
      </c>
    </row>
    <row r="3442" spans="1:14" x14ac:dyDescent="0.3">
      <c r="A3442" s="160">
        <v>33031</v>
      </c>
      <c r="B3442" t="s">
        <v>18618</v>
      </c>
      <c r="C3442" t="s">
        <v>3564</v>
      </c>
      <c r="D3442">
        <v>0.25</v>
      </c>
      <c r="E3442">
        <v>0</v>
      </c>
      <c r="F3442">
        <f t="shared" si="53"/>
        <v>0.25</v>
      </c>
      <c r="I3442">
        <v>20240101</v>
      </c>
      <c r="J3442" t="s">
        <v>3582</v>
      </c>
    </row>
    <row r="3443" spans="1:14" x14ac:dyDescent="0.3">
      <c r="A3443" s="160">
        <v>33032</v>
      </c>
      <c r="B3443" t="s">
        <v>18619</v>
      </c>
      <c r="C3443" t="s">
        <v>3566</v>
      </c>
      <c r="D3443">
        <v>2</v>
      </c>
      <c r="E3443">
        <v>0</v>
      </c>
      <c r="F3443">
        <f t="shared" si="53"/>
        <v>2</v>
      </c>
      <c r="I3443">
        <v>20110101</v>
      </c>
      <c r="J3443" t="s">
        <v>3585</v>
      </c>
      <c r="K3443" t="s">
        <v>3586</v>
      </c>
      <c r="L3443" t="s">
        <v>3569</v>
      </c>
    </row>
    <row r="3444" spans="1:14" x14ac:dyDescent="0.3">
      <c r="A3444" s="160">
        <v>33033</v>
      </c>
      <c r="B3444" t="s">
        <v>18620</v>
      </c>
      <c r="C3444" t="s">
        <v>18588</v>
      </c>
      <c r="D3444">
        <v>0</v>
      </c>
      <c r="E3444">
        <v>0.5</v>
      </c>
      <c r="F3444">
        <f t="shared" si="53"/>
        <v>0.5</v>
      </c>
      <c r="I3444">
        <v>20240101</v>
      </c>
      <c r="J3444" t="s">
        <v>18621</v>
      </c>
    </row>
    <row r="3445" spans="1:14" x14ac:dyDescent="0.3">
      <c r="A3445" s="160">
        <v>33034</v>
      </c>
      <c r="B3445" t="s">
        <v>18622</v>
      </c>
      <c r="C3445" t="s">
        <v>3562</v>
      </c>
      <c r="D3445">
        <v>0.8</v>
      </c>
      <c r="E3445">
        <v>0.5</v>
      </c>
      <c r="F3445">
        <f t="shared" si="53"/>
        <v>1.3</v>
      </c>
      <c r="I3445">
        <v>20240101</v>
      </c>
      <c r="J3445" t="s">
        <v>3563</v>
      </c>
    </row>
    <row r="3446" spans="1:14" x14ac:dyDescent="0.3">
      <c r="A3446" s="160">
        <v>33035</v>
      </c>
      <c r="B3446" t="s">
        <v>18623</v>
      </c>
      <c r="C3446" t="s">
        <v>18588</v>
      </c>
      <c r="D3446">
        <v>0</v>
      </c>
      <c r="E3446">
        <v>0.5</v>
      </c>
      <c r="F3446">
        <f t="shared" si="53"/>
        <v>0.5</v>
      </c>
      <c r="I3446">
        <v>20240101</v>
      </c>
      <c r="J3446" t="s">
        <v>18624</v>
      </c>
    </row>
    <row r="3447" spans="1:14" x14ac:dyDescent="0.3">
      <c r="A3447" s="160">
        <v>33037</v>
      </c>
      <c r="B3447" t="s">
        <v>18625</v>
      </c>
      <c r="C3447" t="s">
        <v>18609</v>
      </c>
      <c r="D3447">
        <v>0.6</v>
      </c>
      <c r="E3447">
        <v>0.5</v>
      </c>
      <c r="F3447">
        <f t="shared" si="53"/>
        <v>1.1000000000000001</v>
      </c>
      <c r="I3447">
        <v>20240101</v>
      </c>
      <c r="J3447" t="s">
        <v>18586</v>
      </c>
    </row>
    <row r="3448" spans="1:14" x14ac:dyDescent="0.3">
      <c r="A3448" s="160">
        <v>33039</v>
      </c>
      <c r="B3448" t="s">
        <v>18626</v>
      </c>
      <c r="C3448" t="s">
        <v>3566</v>
      </c>
      <c r="D3448">
        <v>2</v>
      </c>
      <c r="E3448">
        <v>0</v>
      </c>
      <c r="F3448">
        <f t="shared" si="53"/>
        <v>2</v>
      </c>
      <c r="I3448">
        <v>20110101</v>
      </c>
      <c r="J3448" t="s">
        <v>3587</v>
      </c>
      <c r="K3448" t="s">
        <v>3588</v>
      </c>
      <c r="L3448" t="s">
        <v>3589</v>
      </c>
      <c r="M3448" t="s">
        <v>3590</v>
      </c>
      <c r="N3448" t="s">
        <v>3591</v>
      </c>
    </row>
    <row r="3449" spans="1:14" x14ac:dyDescent="0.3">
      <c r="A3449" s="160">
        <v>33040</v>
      </c>
      <c r="B3449" t="s">
        <v>18627</v>
      </c>
      <c r="C3449" t="s">
        <v>18585</v>
      </c>
      <c r="D3449">
        <v>0.5</v>
      </c>
      <c r="E3449">
        <v>0.5</v>
      </c>
      <c r="F3449">
        <f t="shared" si="53"/>
        <v>1</v>
      </c>
      <c r="I3449">
        <v>20240101</v>
      </c>
      <c r="J3449" t="s">
        <v>18628</v>
      </c>
    </row>
    <row r="3450" spans="1:14" x14ac:dyDescent="0.3">
      <c r="A3450" s="160">
        <v>33042</v>
      </c>
      <c r="B3450" t="s">
        <v>18629</v>
      </c>
      <c r="C3450" t="s">
        <v>18588</v>
      </c>
      <c r="D3450">
        <v>0</v>
      </c>
      <c r="E3450">
        <v>0.5</v>
      </c>
      <c r="F3450">
        <f t="shared" si="53"/>
        <v>0.5</v>
      </c>
      <c r="I3450">
        <v>20240101</v>
      </c>
      <c r="J3450" t="s">
        <v>18630</v>
      </c>
    </row>
    <row r="3451" spans="1:14" x14ac:dyDescent="0.3">
      <c r="A3451" s="160">
        <v>33043</v>
      </c>
      <c r="B3451" t="s">
        <v>18631</v>
      </c>
      <c r="C3451" t="s">
        <v>18588</v>
      </c>
      <c r="D3451">
        <v>0</v>
      </c>
      <c r="E3451">
        <v>0.5</v>
      </c>
      <c r="F3451">
        <f t="shared" si="53"/>
        <v>0.5</v>
      </c>
      <c r="I3451">
        <v>20240101</v>
      </c>
      <c r="J3451" t="s">
        <v>18589</v>
      </c>
    </row>
    <row r="3452" spans="1:14" x14ac:dyDescent="0.3">
      <c r="A3452" s="160">
        <v>33044</v>
      </c>
      <c r="B3452" t="s">
        <v>18632</v>
      </c>
      <c r="C3452" t="s">
        <v>18588</v>
      </c>
      <c r="D3452">
        <v>0</v>
      </c>
      <c r="E3452">
        <v>0.5</v>
      </c>
      <c r="F3452">
        <f t="shared" si="53"/>
        <v>0.5</v>
      </c>
      <c r="I3452">
        <v>20240101</v>
      </c>
      <c r="J3452" t="s">
        <v>18589</v>
      </c>
    </row>
    <row r="3453" spans="1:14" x14ac:dyDescent="0.3">
      <c r="A3453" s="160">
        <v>33047</v>
      </c>
      <c r="B3453" t="s">
        <v>18633</v>
      </c>
      <c r="C3453" t="s">
        <v>18588</v>
      </c>
      <c r="D3453">
        <v>0</v>
      </c>
      <c r="E3453">
        <v>0.5</v>
      </c>
      <c r="F3453">
        <f t="shared" si="53"/>
        <v>0.5</v>
      </c>
      <c r="I3453">
        <v>20240101</v>
      </c>
      <c r="J3453" t="s">
        <v>18634</v>
      </c>
      <c r="K3453" t="s">
        <v>18635</v>
      </c>
    </row>
    <row r="3454" spans="1:14" x14ac:dyDescent="0.3">
      <c r="A3454" s="160">
        <v>33048</v>
      </c>
      <c r="B3454" t="s">
        <v>18636</v>
      </c>
      <c r="C3454" t="s">
        <v>3564</v>
      </c>
      <c r="D3454">
        <v>0.25</v>
      </c>
      <c r="E3454">
        <v>0</v>
      </c>
      <c r="F3454">
        <f t="shared" si="53"/>
        <v>0.25</v>
      </c>
      <c r="I3454">
        <v>20240101</v>
      </c>
      <c r="J3454" t="s">
        <v>3565</v>
      </c>
    </row>
    <row r="3455" spans="1:14" x14ac:dyDescent="0.3">
      <c r="A3455" s="160">
        <v>33049</v>
      </c>
      <c r="B3455" t="s">
        <v>18637</v>
      </c>
      <c r="C3455" t="s">
        <v>18588</v>
      </c>
      <c r="D3455">
        <v>0</v>
      </c>
      <c r="E3455">
        <v>0.5</v>
      </c>
      <c r="F3455">
        <f t="shared" si="53"/>
        <v>0.5</v>
      </c>
      <c r="I3455">
        <v>20240101</v>
      </c>
      <c r="J3455" t="s">
        <v>3706</v>
      </c>
    </row>
    <row r="3456" spans="1:14" x14ac:dyDescent="0.3">
      <c r="A3456" s="160">
        <v>33050</v>
      </c>
      <c r="B3456" t="s">
        <v>18638</v>
      </c>
      <c r="C3456" t="s">
        <v>3583</v>
      </c>
      <c r="D3456">
        <v>0.25</v>
      </c>
      <c r="E3456">
        <v>0</v>
      </c>
      <c r="F3456">
        <f t="shared" si="53"/>
        <v>0.25</v>
      </c>
      <c r="I3456">
        <v>20220701</v>
      </c>
      <c r="J3456" t="s">
        <v>3592</v>
      </c>
    </row>
    <row r="3457" spans="1:67" x14ac:dyDescent="0.3">
      <c r="A3457" s="160">
        <v>33051</v>
      </c>
      <c r="B3457" t="s">
        <v>18639</v>
      </c>
      <c r="C3457" t="s">
        <v>18582</v>
      </c>
      <c r="D3457">
        <v>0.8</v>
      </c>
      <c r="E3457">
        <v>0.5</v>
      </c>
      <c r="F3457">
        <f t="shared" si="53"/>
        <v>1.3</v>
      </c>
      <c r="I3457">
        <v>20240101</v>
      </c>
      <c r="J3457" t="s">
        <v>18640</v>
      </c>
    </row>
    <row r="3458" spans="1:67" x14ac:dyDescent="0.3">
      <c r="A3458" s="160">
        <v>33052</v>
      </c>
      <c r="B3458" t="s">
        <v>18641</v>
      </c>
      <c r="C3458" t="s">
        <v>3562</v>
      </c>
      <c r="D3458">
        <v>0.8</v>
      </c>
      <c r="E3458">
        <v>0</v>
      </c>
      <c r="F3458">
        <f t="shared" si="53"/>
        <v>0.8</v>
      </c>
      <c r="I3458">
        <v>20230701</v>
      </c>
      <c r="J3458" t="s">
        <v>3578</v>
      </c>
      <c r="K3458" t="s">
        <v>3593</v>
      </c>
    </row>
    <row r="3459" spans="1:67" x14ac:dyDescent="0.3">
      <c r="A3459" s="160">
        <v>33054</v>
      </c>
      <c r="B3459" t="s">
        <v>18642</v>
      </c>
      <c r="C3459" t="s">
        <v>3564</v>
      </c>
      <c r="D3459">
        <v>0.25</v>
      </c>
      <c r="E3459">
        <v>0</v>
      </c>
      <c r="F3459">
        <f t="shared" si="53"/>
        <v>0.25</v>
      </c>
      <c r="I3459">
        <v>20230101</v>
      </c>
      <c r="J3459" t="s">
        <v>3582</v>
      </c>
    </row>
    <row r="3460" spans="1:67" x14ac:dyDescent="0.3">
      <c r="A3460" s="160">
        <v>33056</v>
      </c>
      <c r="B3460" t="s">
        <v>18643</v>
      </c>
      <c r="C3460" t="s">
        <v>3566</v>
      </c>
      <c r="D3460">
        <v>2</v>
      </c>
      <c r="E3460">
        <v>0</v>
      </c>
      <c r="F3460">
        <f t="shared" si="53"/>
        <v>2</v>
      </c>
      <c r="I3460">
        <v>20110101</v>
      </c>
      <c r="J3460" t="s">
        <v>3594</v>
      </c>
      <c r="K3460" t="s">
        <v>3595</v>
      </c>
      <c r="L3460" t="s">
        <v>3596</v>
      </c>
      <c r="M3460" t="s">
        <v>3597</v>
      </c>
      <c r="N3460" t="s">
        <v>3598</v>
      </c>
      <c r="O3460" t="s">
        <v>3599</v>
      </c>
      <c r="P3460" t="s">
        <v>3600</v>
      </c>
    </row>
    <row r="3461" spans="1:67" x14ac:dyDescent="0.3">
      <c r="A3461" s="160">
        <v>33059</v>
      </c>
      <c r="B3461" t="s">
        <v>18644</v>
      </c>
      <c r="C3461" t="s">
        <v>18588</v>
      </c>
      <c r="D3461">
        <v>0</v>
      </c>
      <c r="E3461">
        <v>0.5</v>
      </c>
      <c r="F3461">
        <f t="shared" si="53"/>
        <v>0.5</v>
      </c>
      <c r="I3461">
        <v>20240101</v>
      </c>
      <c r="J3461" t="s">
        <v>18645</v>
      </c>
    </row>
    <row r="3462" spans="1:67" x14ac:dyDescent="0.3">
      <c r="A3462" s="160">
        <v>33060</v>
      </c>
      <c r="B3462" t="s">
        <v>18646</v>
      </c>
      <c r="C3462" t="s">
        <v>3583</v>
      </c>
      <c r="D3462">
        <v>0.25</v>
      </c>
      <c r="E3462">
        <v>0.5</v>
      </c>
      <c r="F3462">
        <f t="shared" si="53"/>
        <v>0.75</v>
      </c>
      <c r="I3462">
        <v>20240101</v>
      </c>
      <c r="J3462" t="s">
        <v>3592</v>
      </c>
    </row>
    <row r="3463" spans="1:67" x14ac:dyDescent="0.3">
      <c r="A3463" s="160">
        <v>33061</v>
      </c>
      <c r="B3463" t="s">
        <v>18647</v>
      </c>
      <c r="C3463" t="s">
        <v>18588</v>
      </c>
      <c r="D3463">
        <v>0</v>
      </c>
      <c r="E3463">
        <v>0.5</v>
      </c>
      <c r="F3463">
        <f t="shared" ref="F3463:F3526" si="54">D3463+E3463</f>
        <v>0.5</v>
      </c>
      <c r="I3463">
        <v>20240101</v>
      </c>
      <c r="J3463" t="s">
        <v>3577</v>
      </c>
    </row>
    <row r="3464" spans="1:67" x14ac:dyDescent="0.3">
      <c r="A3464" s="160">
        <v>33062</v>
      </c>
      <c r="B3464" t="s">
        <v>18648</v>
      </c>
      <c r="C3464" t="s">
        <v>3562</v>
      </c>
      <c r="D3464">
        <v>0.8</v>
      </c>
      <c r="E3464">
        <v>0.5</v>
      </c>
      <c r="F3464">
        <f t="shared" si="54"/>
        <v>1.3</v>
      </c>
      <c r="I3464">
        <v>20240101</v>
      </c>
      <c r="J3464" t="s">
        <v>3601</v>
      </c>
    </row>
    <row r="3465" spans="1:67" x14ac:dyDescent="0.3">
      <c r="A3465" s="160">
        <v>33063</v>
      </c>
      <c r="B3465" t="s">
        <v>18649</v>
      </c>
      <c r="C3465" t="s">
        <v>3566</v>
      </c>
      <c r="D3465">
        <v>2</v>
      </c>
      <c r="E3465">
        <v>0</v>
      </c>
      <c r="F3465">
        <f t="shared" si="54"/>
        <v>2</v>
      </c>
      <c r="I3465">
        <v>20110101</v>
      </c>
      <c r="J3465" t="s">
        <v>3602</v>
      </c>
      <c r="K3465" t="s">
        <v>3603</v>
      </c>
      <c r="L3465" t="s">
        <v>3604</v>
      </c>
      <c r="M3465" t="s">
        <v>3605</v>
      </c>
      <c r="N3465" t="s">
        <v>3606</v>
      </c>
      <c r="O3465" t="s">
        <v>3607</v>
      </c>
      <c r="P3465" t="s">
        <v>3608</v>
      </c>
      <c r="Q3465" t="s">
        <v>3609</v>
      </c>
      <c r="R3465" t="s">
        <v>3610</v>
      </c>
      <c r="S3465" t="s">
        <v>3611</v>
      </c>
      <c r="T3465" t="s">
        <v>3612</v>
      </c>
      <c r="U3465" t="s">
        <v>3613</v>
      </c>
      <c r="V3465" t="s">
        <v>3614</v>
      </c>
      <c r="W3465" t="s">
        <v>3615</v>
      </c>
      <c r="X3465" t="s">
        <v>3616</v>
      </c>
      <c r="Y3465" t="s">
        <v>3617</v>
      </c>
      <c r="Z3465" t="s">
        <v>3618</v>
      </c>
      <c r="AA3465" t="s">
        <v>3619</v>
      </c>
      <c r="AB3465" t="s">
        <v>3620</v>
      </c>
      <c r="AC3465" t="s">
        <v>3621</v>
      </c>
      <c r="AD3465" t="s">
        <v>3622</v>
      </c>
      <c r="AE3465" t="s">
        <v>3623</v>
      </c>
      <c r="AF3465" t="s">
        <v>3624</v>
      </c>
      <c r="AG3465" t="s">
        <v>3625</v>
      </c>
      <c r="AH3465" t="s">
        <v>3626</v>
      </c>
      <c r="AI3465" t="s">
        <v>3627</v>
      </c>
      <c r="AJ3465" t="s">
        <v>3628</v>
      </c>
      <c r="AK3465" t="s">
        <v>3629</v>
      </c>
      <c r="AL3465" t="s">
        <v>3630</v>
      </c>
      <c r="AM3465" t="s">
        <v>3631</v>
      </c>
      <c r="AN3465" t="s">
        <v>3632</v>
      </c>
      <c r="AO3465" t="s">
        <v>3633</v>
      </c>
      <c r="AP3465" t="s">
        <v>3634</v>
      </c>
      <c r="AQ3465" t="s">
        <v>3635</v>
      </c>
      <c r="AR3465" t="s">
        <v>3636</v>
      </c>
      <c r="AS3465" t="s">
        <v>3637</v>
      </c>
      <c r="AT3465" t="s">
        <v>3638</v>
      </c>
      <c r="AU3465" t="s">
        <v>3639</v>
      </c>
      <c r="AV3465" t="s">
        <v>3640</v>
      </c>
      <c r="AW3465" t="s">
        <v>3641</v>
      </c>
      <c r="AX3465" t="s">
        <v>3642</v>
      </c>
      <c r="AY3465" t="s">
        <v>3643</v>
      </c>
      <c r="AZ3465" t="s">
        <v>3644</v>
      </c>
      <c r="BA3465" t="s">
        <v>3645</v>
      </c>
      <c r="BB3465" t="s">
        <v>3646</v>
      </c>
      <c r="BC3465" t="s">
        <v>3647</v>
      </c>
      <c r="BD3465" t="s">
        <v>3648</v>
      </c>
      <c r="BE3465" t="s">
        <v>3649</v>
      </c>
      <c r="BF3465" t="s">
        <v>3650</v>
      </c>
      <c r="BG3465" t="s">
        <v>3651</v>
      </c>
      <c r="BH3465" t="s">
        <v>3652</v>
      </c>
      <c r="BI3465" t="s">
        <v>3653</v>
      </c>
      <c r="BJ3465" t="s">
        <v>3654</v>
      </c>
      <c r="BK3465" t="s">
        <v>3655</v>
      </c>
      <c r="BL3465" t="s">
        <v>3656</v>
      </c>
      <c r="BM3465" t="s">
        <v>3657</v>
      </c>
      <c r="BN3465" t="s">
        <v>3658</v>
      </c>
      <c r="BO3465" t="s">
        <v>3659</v>
      </c>
    </row>
    <row r="3466" spans="1:67" x14ac:dyDescent="0.3">
      <c r="A3466" s="160">
        <v>33065</v>
      </c>
      <c r="B3466" t="s">
        <v>18650</v>
      </c>
      <c r="C3466" t="s">
        <v>3566</v>
      </c>
      <c r="D3466">
        <v>2</v>
      </c>
      <c r="E3466">
        <v>0</v>
      </c>
      <c r="F3466">
        <f t="shared" si="54"/>
        <v>2</v>
      </c>
      <c r="I3466">
        <v>20110101</v>
      </c>
      <c r="J3466" t="s">
        <v>3687</v>
      </c>
      <c r="K3466" t="s">
        <v>3688</v>
      </c>
      <c r="L3466" t="s">
        <v>3689</v>
      </c>
      <c r="M3466" t="s">
        <v>3690</v>
      </c>
    </row>
    <row r="3467" spans="1:67" x14ac:dyDescent="0.3">
      <c r="A3467" s="160">
        <v>33066</v>
      </c>
      <c r="B3467" t="s">
        <v>18651</v>
      </c>
      <c r="C3467" t="s">
        <v>3564</v>
      </c>
      <c r="D3467">
        <v>0.25</v>
      </c>
      <c r="E3467">
        <v>0</v>
      </c>
      <c r="F3467">
        <f t="shared" si="54"/>
        <v>0.25</v>
      </c>
      <c r="I3467">
        <v>20230101</v>
      </c>
      <c r="J3467" t="s">
        <v>3582</v>
      </c>
      <c r="K3467" t="s">
        <v>3691</v>
      </c>
    </row>
    <row r="3468" spans="1:67" x14ac:dyDescent="0.3">
      <c r="A3468" s="160">
        <v>33067</v>
      </c>
      <c r="B3468" t="s">
        <v>18652</v>
      </c>
      <c r="C3468" t="s">
        <v>18588</v>
      </c>
      <c r="D3468">
        <v>0</v>
      </c>
      <c r="E3468">
        <v>0.5</v>
      </c>
      <c r="F3468">
        <f t="shared" si="54"/>
        <v>0.5</v>
      </c>
      <c r="I3468">
        <v>20240101</v>
      </c>
      <c r="J3468" t="s">
        <v>18624</v>
      </c>
    </row>
    <row r="3469" spans="1:67" x14ac:dyDescent="0.3">
      <c r="A3469" s="160">
        <v>33068</v>
      </c>
      <c r="B3469" t="s">
        <v>18653</v>
      </c>
      <c r="C3469" t="s">
        <v>3583</v>
      </c>
      <c r="D3469">
        <v>0.25</v>
      </c>
      <c r="E3469">
        <v>0</v>
      </c>
      <c r="F3469">
        <f t="shared" si="54"/>
        <v>0.25</v>
      </c>
      <c r="I3469">
        <v>20220701</v>
      </c>
      <c r="J3469" t="s">
        <v>3692</v>
      </c>
    </row>
    <row r="3470" spans="1:67" x14ac:dyDescent="0.3">
      <c r="A3470" s="160">
        <v>33069</v>
      </c>
      <c r="B3470" t="s">
        <v>18654</v>
      </c>
      <c r="C3470" t="s">
        <v>3566</v>
      </c>
      <c r="D3470">
        <v>2</v>
      </c>
      <c r="E3470">
        <v>0</v>
      </c>
      <c r="F3470">
        <f t="shared" si="54"/>
        <v>2</v>
      </c>
      <c r="I3470">
        <v>20110101</v>
      </c>
      <c r="J3470" t="s">
        <v>3693</v>
      </c>
      <c r="K3470" t="s">
        <v>3694</v>
      </c>
      <c r="L3470" t="s">
        <v>3695</v>
      </c>
      <c r="M3470" t="s">
        <v>3696</v>
      </c>
    </row>
    <row r="3471" spans="1:67" x14ac:dyDescent="0.3">
      <c r="A3471" s="160">
        <v>33070</v>
      </c>
      <c r="B3471" t="s">
        <v>18655</v>
      </c>
      <c r="C3471" t="s">
        <v>18588</v>
      </c>
      <c r="D3471">
        <v>0</v>
      </c>
      <c r="E3471">
        <v>0.5</v>
      </c>
      <c r="F3471">
        <f t="shared" si="54"/>
        <v>0.5</v>
      </c>
      <c r="I3471">
        <v>20240101</v>
      </c>
      <c r="J3471" t="s">
        <v>18607</v>
      </c>
    </row>
    <row r="3472" spans="1:67" x14ac:dyDescent="0.3">
      <c r="A3472" s="160">
        <v>33071</v>
      </c>
      <c r="B3472" t="s">
        <v>18656</v>
      </c>
      <c r="C3472" t="s">
        <v>18588</v>
      </c>
      <c r="D3472">
        <v>0</v>
      </c>
      <c r="E3472">
        <v>0.5</v>
      </c>
      <c r="F3472">
        <f t="shared" si="54"/>
        <v>0.5</v>
      </c>
      <c r="I3472">
        <v>20240101</v>
      </c>
      <c r="J3472" t="s">
        <v>3716</v>
      </c>
    </row>
    <row r="3473" spans="1:95" x14ac:dyDescent="0.3">
      <c r="A3473" s="160">
        <v>33072</v>
      </c>
      <c r="B3473" t="s">
        <v>18657</v>
      </c>
      <c r="C3473" t="s">
        <v>3564</v>
      </c>
      <c r="D3473">
        <v>0.25</v>
      </c>
      <c r="E3473">
        <v>0</v>
      </c>
      <c r="F3473">
        <f t="shared" si="54"/>
        <v>0.25</v>
      </c>
      <c r="I3473">
        <v>20240101</v>
      </c>
      <c r="J3473" t="s">
        <v>3565</v>
      </c>
      <c r="K3473" t="s">
        <v>3697</v>
      </c>
    </row>
    <row r="3474" spans="1:95" x14ac:dyDescent="0.3">
      <c r="A3474" s="160">
        <v>33074</v>
      </c>
      <c r="B3474" t="s">
        <v>18658</v>
      </c>
      <c r="C3474" t="s">
        <v>3564</v>
      </c>
      <c r="D3474">
        <v>0.25</v>
      </c>
      <c r="E3474">
        <v>0</v>
      </c>
      <c r="F3474">
        <f t="shared" si="54"/>
        <v>0.25</v>
      </c>
      <c r="I3474">
        <v>20240101</v>
      </c>
      <c r="J3474" t="s">
        <v>3565</v>
      </c>
    </row>
    <row r="3475" spans="1:95" x14ac:dyDescent="0.3">
      <c r="A3475" s="160">
        <v>33075</v>
      </c>
      <c r="B3475" t="s">
        <v>18659</v>
      </c>
      <c r="C3475" t="s">
        <v>3566</v>
      </c>
      <c r="D3475">
        <v>2</v>
      </c>
      <c r="E3475">
        <v>0</v>
      </c>
      <c r="F3475">
        <f t="shared" si="54"/>
        <v>2</v>
      </c>
      <c r="I3475">
        <v>20110101</v>
      </c>
      <c r="J3475" t="s">
        <v>3635</v>
      </c>
      <c r="K3475" t="s">
        <v>3665</v>
      </c>
      <c r="L3475" t="s">
        <v>3698</v>
      </c>
      <c r="M3475" t="s">
        <v>3699</v>
      </c>
      <c r="N3475" t="s">
        <v>3700</v>
      </c>
      <c r="O3475" t="s">
        <v>3701</v>
      </c>
      <c r="P3475" t="s">
        <v>3702</v>
      </c>
      <c r="Q3475" t="s">
        <v>3703</v>
      </c>
      <c r="R3475" t="s">
        <v>3704</v>
      </c>
      <c r="S3475" t="s">
        <v>3705</v>
      </c>
    </row>
    <row r="3476" spans="1:95" x14ac:dyDescent="0.3">
      <c r="A3476" s="160">
        <v>33076</v>
      </c>
      <c r="B3476" t="s">
        <v>18660</v>
      </c>
      <c r="C3476" t="s">
        <v>18585</v>
      </c>
      <c r="D3476">
        <v>0.5</v>
      </c>
      <c r="E3476">
        <v>0.5</v>
      </c>
      <c r="F3476">
        <f t="shared" si="54"/>
        <v>1</v>
      </c>
      <c r="I3476">
        <v>20240101</v>
      </c>
      <c r="J3476" t="s">
        <v>3772</v>
      </c>
    </row>
    <row r="3477" spans="1:95" x14ac:dyDescent="0.3">
      <c r="A3477" s="160">
        <v>33077</v>
      </c>
      <c r="B3477" t="s">
        <v>18661</v>
      </c>
      <c r="C3477" t="s">
        <v>18609</v>
      </c>
      <c r="D3477">
        <v>0.6</v>
      </c>
      <c r="E3477">
        <v>0.5</v>
      </c>
      <c r="F3477">
        <f t="shared" si="54"/>
        <v>1.1000000000000001</v>
      </c>
      <c r="I3477">
        <v>20240101</v>
      </c>
      <c r="J3477" t="s">
        <v>18662</v>
      </c>
    </row>
    <row r="3478" spans="1:95" x14ac:dyDescent="0.3">
      <c r="A3478" s="160">
        <v>33078</v>
      </c>
      <c r="B3478" t="s">
        <v>18663</v>
      </c>
      <c r="C3478" t="s">
        <v>18588</v>
      </c>
      <c r="D3478">
        <v>0</v>
      </c>
      <c r="E3478">
        <v>0.5</v>
      </c>
      <c r="F3478">
        <f t="shared" si="54"/>
        <v>0.5</v>
      </c>
      <c r="I3478">
        <v>20240101</v>
      </c>
      <c r="J3478" t="s">
        <v>3716</v>
      </c>
    </row>
    <row r="3479" spans="1:95" x14ac:dyDescent="0.3">
      <c r="A3479" s="160">
        <v>33079</v>
      </c>
      <c r="B3479" t="s">
        <v>18664</v>
      </c>
      <c r="C3479" t="s">
        <v>3562</v>
      </c>
      <c r="D3479">
        <v>0.8</v>
      </c>
      <c r="E3479">
        <v>0.5</v>
      </c>
      <c r="F3479">
        <f t="shared" si="54"/>
        <v>1.3</v>
      </c>
      <c r="I3479">
        <v>20240101</v>
      </c>
      <c r="J3479" t="s">
        <v>3706</v>
      </c>
    </row>
    <row r="3480" spans="1:95" x14ac:dyDescent="0.3">
      <c r="A3480" s="160">
        <v>33080</v>
      </c>
      <c r="B3480" t="s">
        <v>18665</v>
      </c>
      <c r="C3480" t="s">
        <v>18609</v>
      </c>
      <c r="D3480">
        <v>0.6</v>
      </c>
      <c r="E3480">
        <v>0.5</v>
      </c>
      <c r="F3480">
        <f t="shared" si="54"/>
        <v>1.1000000000000001</v>
      </c>
      <c r="I3480">
        <v>20240101</v>
      </c>
      <c r="J3480" t="s">
        <v>3783</v>
      </c>
    </row>
    <row r="3481" spans="1:95" x14ac:dyDescent="0.3">
      <c r="A3481" s="160">
        <v>33081</v>
      </c>
      <c r="B3481" t="s">
        <v>18666</v>
      </c>
      <c r="C3481" t="s">
        <v>18585</v>
      </c>
      <c r="D3481">
        <v>0.5</v>
      </c>
      <c r="E3481">
        <v>0.5</v>
      </c>
      <c r="F3481">
        <f t="shared" si="54"/>
        <v>1</v>
      </c>
      <c r="I3481">
        <v>20240101</v>
      </c>
      <c r="J3481" t="s">
        <v>18628</v>
      </c>
    </row>
    <row r="3482" spans="1:95" x14ac:dyDescent="0.3">
      <c r="A3482" s="160">
        <v>33082</v>
      </c>
      <c r="B3482" t="s">
        <v>18667</v>
      </c>
      <c r="C3482" t="s">
        <v>18588</v>
      </c>
      <c r="D3482">
        <v>0</v>
      </c>
      <c r="E3482">
        <v>0.5</v>
      </c>
      <c r="F3482">
        <f t="shared" si="54"/>
        <v>0.5</v>
      </c>
      <c r="I3482">
        <v>20240101</v>
      </c>
      <c r="J3482" t="s">
        <v>18601</v>
      </c>
      <c r="BP3482" t="s">
        <v>3660</v>
      </c>
      <c r="BQ3482" t="s">
        <v>3661</v>
      </c>
      <c r="BR3482" t="s">
        <v>3662</v>
      </c>
      <c r="BS3482" t="s">
        <v>3663</v>
      </c>
      <c r="BT3482" t="s">
        <v>3664</v>
      </c>
      <c r="BU3482" t="s">
        <v>3665</v>
      </c>
      <c r="BV3482" t="s">
        <v>3666</v>
      </c>
      <c r="BW3482" t="s">
        <v>3667</v>
      </c>
      <c r="BX3482" t="s">
        <v>3668</v>
      </c>
      <c r="BY3482" t="s">
        <v>3669</v>
      </c>
      <c r="BZ3482" t="s">
        <v>3670</v>
      </c>
      <c r="CA3482" t="s">
        <v>3671</v>
      </c>
      <c r="CB3482" t="s">
        <v>3672</v>
      </c>
      <c r="CC3482" t="s">
        <v>3673</v>
      </c>
      <c r="CD3482" t="s">
        <v>3674</v>
      </c>
      <c r="CE3482" t="s">
        <v>3675</v>
      </c>
      <c r="CF3482" t="s">
        <v>3676</v>
      </c>
      <c r="CG3482" t="s">
        <v>3677</v>
      </c>
      <c r="CH3482" t="s">
        <v>3678</v>
      </c>
      <c r="CI3482" t="s">
        <v>3679</v>
      </c>
      <c r="CJ3482" t="s">
        <v>3680</v>
      </c>
      <c r="CK3482" t="s">
        <v>3581</v>
      </c>
      <c r="CL3482" t="s">
        <v>3681</v>
      </c>
      <c r="CM3482" t="s">
        <v>3682</v>
      </c>
      <c r="CN3482" t="s">
        <v>3683</v>
      </c>
      <c r="CO3482" t="s">
        <v>3684</v>
      </c>
      <c r="CP3482" t="s">
        <v>3685</v>
      </c>
      <c r="CQ3482" t="s">
        <v>3686</v>
      </c>
    </row>
    <row r="3483" spans="1:95" x14ac:dyDescent="0.3">
      <c r="A3483" s="160">
        <v>33083</v>
      </c>
      <c r="B3483" t="s">
        <v>18668</v>
      </c>
      <c r="C3483" t="s">
        <v>18588</v>
      </c>
      <c r="D3483">
        <v>0</v>
      </c>
      <c r="E3483">
        <v>0.5</v>
      </c>
      <c r="F3483">
        <f t="shared" si="54"/>
        <v>0.5</v>
      </c>
      <c r="I3483">
        <v>20240101</v>
      </c>
      <c r="J3483" t="s">
        <v>3706</v>
      </c>
    </row>
    <row r="3484" spans="1:95" x14ac:dyDescent="0.3">
      <c r="A3484" s="160">
        <v>33084</v>
      </c>
      <c r="B3484" t="s">
        <v>18669</v>
      </c>
      <c r="C3484" t="s">
        <v>18588</v>
      </c>
      <c r="D3484">
        <v>0</v>
      </c>
      <c r="E3484">
        <v>0.5</v>
      </c>
      <c r="F3484">
        <f t="shared" si="54"/>
        <v>0.5</v>
      </c>
      <c r="I3484">
        <v>20240101</v>
      </c>
      <c r="J3484" t="s">
        <v>18621</v>
      </c>
    </row>
    <row r="3485" spans="1:95" x14ac:dyDescent="0.3">
      <c r="A3485" s="160">
        <v>33085</v>
      </c>
      <c r="B3485" t="s">
        <v>18670</v>
      </c>
      <c r="C3485" t="s">
        <v>18588</v>
      </c>
      <c r="D3485">
        <v>0</v>
      </c>
      <c r="E3485">
        <v>0.5</v>
      </c>
      <c r="F3485">
        <f t="shared" si="54"/>
        <v>0.5</v>
      </c>
      <c r="I3485">
        <v>20240101</v>
      </c>
      <c r="J3485" t="s">
        <v>18671</v>
      </c>
    </row>
    <row r="3486" spans="1:95" x14ac:dyDescent="0.3">
      <c r="A3486" s="160">
        <v>33086</v>
      </c>
      <c r="B3486" t="s">
        <v>18672</v>
      </c>
      <c r="C3486" t="s">
        <v>3562</v>
      </c>
      <c r="D3486">
        <v>0</v>
      </c>
      <c r="E3486">
        <v>0.5</v>
      </c>
      <c r="F3486">
        <f t="shared" si="54"/>
        <v>0.5</v>
      </c>
      <c r="I3486">
        <v>20240101</v>
      </c>
      <c r="J3486" t="s">
        <v>3716</v>
      </c>
    </row>
    <row r="3487" spans="1:95" x14ac:dyDescent="0.3">
      <c r="A3487" s="160">
        <v>33087</v>
      </c>
      <c r="B3487" t="s">
        <v>18673</v>
      </c>
      <c r="C3487" t="s">
        <v>3564</v>
      </c>
      <c r="D3487">
        <v>0.25</v>
      </c>
      <c r="E3487">
        <v>0</v>
      </c>
      <c r="F3487">
        <f t="shared" si="54"/>
        <v>0.25</v>
      </c>
      <c r="I3487">
        <v>20230101</v>
      </c>
      <c r="J3487" t="s">
        <v>3582</v>
      </c>
      <c r="K3487" t="s">
        <v>3691</v>
      </c>
    </row>
    <row r="3488" spans="1:95" x14ac:dyDescent="0.3">
      <c r="A3488" s="160">
        <v>33088</v>
      </c>
      <c r="B3488" t="s">
        <v>18674</v>
      </c>
      <c r="C3488" t="s">
        <v>3562</v>
      </c>
      <c r="D3488">
        <v>0.8</v>
      </c>
      <c r="E3488">
        <v>0</v>
      </c>
      <c r="F3488">
        <f t="shared" si="54"/>
        <v>0.8</v>
      </c>
      <c r="I3488">
        <v>20230701</v>
      </c>
      <c r="J3488" t="s">
        <v>3707</v>
      </c>
    </row>
    <row r="3489" spans="1:12" x14ac:dyDescent="0.3">
      <c r="A3489" s="160">
        <v>33089</v>
      </c>
      <c r="B3489" t="s">
        <v>18675</v>
      </c>
      <c r="C3489" t="s">
        <v>18588</v>
      </c>
      <c r="D3489">
        <v>0</v>
      </c>
      <c r="E3489">
        <v>0.5</v>
      </c>
      <c r="F3489">
        <f t="shared" si="54"/>
        <v>0.5</v>
      </c>
      <c r="I3489">
        <v>20240101</v>
      </c>
      <c r="J3489" t="s">
        <v>18634</v>
      </c>
    </row>
    <row r="3490" spans="1:12" x14ac:dyDescent="0.3">
      <c r="A3490" s="160">
        <v>33090</v>
      </c>
      <c r="B3490" t="s">
        <v>18676</v>
      </c>
      <c r="C3490" t="s">
        <v>18588</v>
      </c>
      <c r="D3490">
        <v>0</v>
      </c>
      <c r="E3490">
        <v>0.5</v>
      </c>
      <c r="F3490">
        <f t="shared" si="54"/>
        <v>0.5</v>
      </c>
      <c r="I3490">
        <v>20240101</v>
      </c>
      <c r="J3490" t="s">
        <v>18677</v>
      </c>
      <c r="K3490" t="s">
        <v>18678</v>
      </c>
    </row>
    <row r="3491" spans="1:12" x14ac:dyDescent="0.3">
      <c r="A3491" s="160">
        <v>33093</v>
      </c>
      <c r="B3491" t="s">
        <v>18679</v>
      </c>
      <c r="C3491" t="s">
        <v>18588</v>
      </c>
      <c r="D3491">
        <v>0</v>
      </c>
      <c r="E3491">
        <v>0.5</v>
      </c>
      <c r="F3491">
        <f t="shared" si="54"/>
        <v>0.5</v>
      </c>
      <c r="I3491">
        <v>20240101</v>
      </c>
      <c r="J3491" t="s">
        <v>18680</v>
      </c>
    </row>
    <row r="3492" spans="1:12" x14ac:dyDescent="0.3">
      <c r="A3492" s="160">
        <v>33096</v>
      </c>
      <c r="B3492" t="s">
        <v>18681</v>
      </c>
      <c r="C3492" t="s">
        <v>3566</v>
      </c>
      <c r="D3492">
        <v>2</v>
      </c>
      <c r="E3492">
        <v>0</v>
      </c>
      <c r="F3492">
        <f t="shared" si="54"/>
        <v>2</v>
      </c>
      <c r="I3492">
        <v>20110101</v>
      </c>
      <c r="J3492" t="s">
        <v>3708</v>
      </c>
      <c r="K3492" t="s">
        <v>3709</v>
      </c>
      <c r="L3492" t="s">
        <v>3569</v>
      </c>
    </row>
    <row r="3493" spans="1:12" x14ac:dyDescent="0.3">
      <c r="A3493" s="160">
        <v>33097</v>
      </c>
      <c r="B3493" t="s">
        <v>18682</v>
      </c>
      <c r="C3493" t="s">
        <v>18588</v>
      </c>
      <c r="D3493">
        <v>0</v>
      </c>
      <c r="E3493">
        <v>0.5</v>
      </c>
      <c r="F3493">
        <f t="shared" si="54"/>
        <v>0.5</v>
      </c>
      <c r="I3493">
        <v>20240101</v>
      </c>
      <c r="J3493" t="s">
        <v>18683</v>
      </c>
    </row>
    <row r="3494" spans="1:12" x14ac:dyDescent="0.3">
      <c r="A3494" s="160">
        <v>33098</v>
      </c>
      <c r="B3494" t="s">
        <v>18684</v>
      </c>
      <c r="C3494" t="s">
        <v>18585</v>
      </c>
      <c r="D3494">
        <v>0.5</v>
      </c>
      <c r="E3494">
        <v>0.5</v>
      </c>
      <c r="F3494">
        <f t="shared" si="54"/>
        <v>1</v>
      </c>
      <c r="I3494">
        <v>20240101</v>
      </c>
      <c r="J3494" t="s">
        <v>18628</v>
      </c>
    </row>
    <row r="3495" spans="1:12" x14ac:dyDescent="0.3">
      <c r="A3495" s="160">
        <v>33099</v>
      </c>
      <c r="B3495" t="s">
        <v>18685</v>
      </c>
      <c r="C3495" t="s">
        <v>18588</v>
      </c>
      <c r="D3495">
        <v>0</v>
      </c>
      <c r="E3495">
        <v>0.5</v>
      </c>
      <c r="F3495">
        <f t="shared" si="54"/>
        <v>0.5</v>
      </c>
      <c r="I3495">
        <v>20240101</v>
      </c>
      <c r="J3495" t="s">
        <v>18671</v>
      </c>
    </row>
    <row r="3496" spans="1:12" x14ac:dyDescent="0.3">
      <c r="A3496" s="160">
        <v>33102</v>
      </c>
      <c r="B3496" t="s">
        <v>18686</v>
      </c>
      <c r="C3496" t="s">
        <v>3564</v>
      </c>
      <c r="D3496">
        <v>0.25</v>
      </c>
      <c r="E3496">
        <v>0</v>
      </c>
      <c r="F3496">
        <f t="shared" si="54"/>
        <v>0.25</v>
      </c>
      <c r="I3496">
        <v>20230101</v>
      </c>
      <c r="J3496" t="s">
        <v>3582</v>
      </c>
    </row>
    <row r="3497" spans="1:12" x14ac:dyDescent="0.3">
      <c r="A3497" s="160">
        <v>33104</v>
      </c>
      <c r="B3497" t="s">
        <v>18687</v>
      </c>
      <c r="C3497" t="s">
        <v>18588</v>
      </c>
      <c r="D3497">
        <v>0</v>
      </c>
      <c r="E3497">
        <v>0.5</v>
      </c>
      <c r="F3497">
        <f t="shared" si="54"/>
        <v>0.5</v>
      </c>
      <c r="I3497">
        <v>20240101</v>
      </c>
      <c r="J3497" t="s">
        <v>18607</v>
      </c>
    </row>
    <row r="3498" spans="1:12" x14ac:dyDescent="0.3">
      <c r="A3498" s="160">
        <v>33106</v>
      </c>
      <c r="B3498" t="s">
        <v>18688</v>
      </c>
      <c r="C3498" t="s">
        <v>3583</v>
      </c>
      <c r="D3498">
        <v>0.25</v>
      </c>
      <c r="E3498">
        <v>0</v>
      </c>
      <c r="F3498">
        <f t="shared" si="54"/>
        <v>0.25</v>
      </c>
      <c r="I3498">
        <v>20220701</v>
      </c>
      <c r="J3498" t="s">
        <v>3592</v>
      </c>
    </row>
    <row r="3499" spans="1:12" x14ac:dyDescent="0.3">
      <c r="A3499" s="160">
        <v>33107</v>
      </c>
      <c r="B3499" t="s">
        <v>18689</v>
      </c>
      <c r="C3499" t="s">
        <v>3583</v>
      </c>
      <c r="D3499">
        <v>0.25</v>
      </c>
      <c r="E3499">
        <v>0</v>
      </c>
      <c r="F3499">
        <f t="shared" si="54"/>
        <v>0.25</v>
      </c>
      <c r="I3499">
        <v>20220701</v>
      </c>
      <c r="J3499" t="s">
        <v>3592</v>
      </c>
    </row>
    <row r="3500" spans="1:12" x14ac:dyDescent="0.3">
      <c r="A3500" s="160">
        <v>33109</v>
      </c>
      <c r="B3500" t="s">
        <v>18690</v>
      </c>
      <c r="C3500" t="s">
        <v>18609</v>
      </c>
      <c r="D3500">
        <v>0.6</v>
      </c>
      <c r="E3500">
        <v>0.5</v>
      </c>
      <c r="F3500">
        <f t="shared" si="54"/>
        <v>1.1000000000000001</v>
      </c>
      <c r="I3500">
        <v>20240101</v>
      </c>
      <c r="J3500" t="s">
        <v>18586</v>
      </c>
      <c r="K3500" t="s">
        <v>3729</v>
      </c>
    </row>
    <row r="3501" spans="1:12" x14ac:dyDescent="0.3">
      <c r="A3501" s="160">
        <v>33111</v>
      </c>
      <c r="B3501" t="s">
        <v>18691</v>
      </c>
      <c r="C3501" t="s">
        <v>3564</v>
      </c>
      <c r="D3501">
        <v>0.25</v>
      </c>
      <c r="E3501">
        <v>0</v>
      </c>
      <c r="F3501">
        <f t="shared" si="54"/>
        <v>0.25</v>
      </c>
      <c r="I3501">
        <v>20230101</v>
      </c>
      <c r="J3501" t="s">
        <v>3710</v>
      </c>
    </row>
    <row r="3502" spans="1:12" x14ac:dyDescent="0.3">
      <c r="A3502" s="160">
        <v>33114</v>
      </c>
      <c r="B3502" t="s">
        <v>18692</v>
      </c>
      <c r="C3502" t="s">
        <v>18588</v>
      </c>
      <c r="D3502">
        <v>0</v>
      </c>
      <c r="E3502">
        <v>0.5</v>
      </c>
      <c r="F3502">
        <f t="shared" si="54"/>
        <v>0.5</v>
      </c>
      <c r="I3502">
        <v>20240101</v>
      </c>
      <c r="J3502" t="s">
        <v>3738</v>
      </c>
    </row>
    <row r="3503" spans="1:12" x14ac:dyDescent="0.3">
      <c r="A3503" s="160">
        <v>33115</v>
      </c>
      <c r="B3503" t="s">
        <v>18693</v>
      </c>
      <c r="C3503" t="s">
        <v>3583</v>
      </c>
      <c r="D3503">
        <v>0.25</v>
      </c>
      <c r="E3503">
        <v>0</v>
      </c>
      <c r="F3503">
        <f t="shared" si="54"/>
        <v>0.25</v>
      </c>
      <c r="I3503">
        <v>20220701</v>
      </c>
      <c r="J3503" t="s">
        <v>3692</v>
      </c>
    </row>
    <row r="3504" spans="1:12" x14ac:dyDescent="0.3">
      <c r="A3504" s="160">
        <v>33118</v>
      </c>
      <c r="B3504" t="s">
        <v>18694</v>
      </c>
      <c r="C3504" t="s">
        <v>18588</v>
      </c>
      <c r="D3504">
        <v>0</v>
      </c>
      <c r="E3504">
        <v>0.5</v>
      </c>
      <c r="F3504">
        <f t="shared" si="54"/>
        <v>0.5</v>
      </c>
      <c r="I3504">
        <v>20240101</v>
      </c>
      <c r="J3504" t="s">
        <v>18671</v>
      </c>
    </row>
    <row r="3505" spans="1:15" x14ac:dyDescent="0.3">
      <c r="A3505" s="160">
        <v>33119</v>
      </c>
      <c r="B3505" t="s">
        <v>18695</v>
      </c>
      <c r="C3505" t="s">
        <v>3566</v>
      </c>
      <c r="D3505">
        <v>2</v>
      </c>
      <c r="E3505">
        <v>0</v>
      </c>
      <c r="F3505">
        <f t="shared" si="54"/>
        <v>2</v>
      </c>
      <c r="I3505">
        <v>20110101</v>
      </c>
      <c r="J3505" t="s">
        <v>3711</v>
      </c>
      <c r="K3505" t="s">
        <v>3712</v>
      </c>
      <c r="L3505" t="s">
        <v>3713</v>
      </c>
      <c r="M3505" t="s">
        <v>3714</v>
      </c>
    </row>
    <row r="3506" spans="1:15" x14ac:dyDescent="0.3">
      <c r="A3506" s="160">
        <v>33120</v>
      </c>
      <c r="B3506" t="s">
        <v>18696</v>
      </c>
      <c r="C3506" t="s">
        <v>18585</v>
      </c>
      <c r="D3506">
        <v>0.5</v>
      </c>
      <c r="E3506">
        <v>0.5</v>
      </c>
      <c r="F3506">
        <f t="shared" si="54"/>
        <v>1</v>
      </c>
      <c r="I3506">
        <v>20240101</v>
      </c>
      <c r="J3506" t="s">
        <v>3772</v>
      </c>
    </row>
    <row r="3507" spans="1:15" x14ac:dyDescent="0.3">
      <c r="A3507" s="160">
        <v>33121</v>
      </c>
      <c r="B3507" t="s">
        <v>18697</v>
      </c>
      <c r="C3507" t="s">
        <v>18588</v>
      </c>
      <c r="D3507">
        <v>0</v>
      </c>
      <c r="E3507">
        <v>0.5</v>
      </c>
      <c r="F3507">
        <f t="shared" si="54"/>
        <v>0.5</v>
      </c>
      <c r="I3507">
        <v>20240101</v>
      </c>
      <c r="J3507" t="s">
        <v>18589</v>
      </c>
    </row>
    <row r="3508" spans="1:15" x14ac:dyDescent="0.3">
      <c r="A3508" s="160">
        <v>33122</v>
      </c>
      <c r="B3508" t="s">
        <v>18698</v>
      </c>
      <c r="C3508" t="s">
        <v>18588</v>
      </c>
      <c r="D3508">
        <v>0</v>
      </c>
      <c r="E3508">
        <v>0.5</v>
      </c>
      <c r="F3508">
        <f t="shared" si="54"/>
        <v>0.5</v>
      </c>
      <c r="I3508">
        <v>20240101</v>
      </c>
      <c r="J3508" t="s">
        <v>18677</v>
      </c>
      <c r="K3508" t="s">
        <v>18699</v>
      </c>
      <c r="L3508" t="s">
        <v>18678</v>
      </c>
      <c r="M3508" t="s">
        <v>18700</v>
      </c>
      <c r="N3508" t="s">
        <v>18701</v>
      </c>
      <c r="O3508" t="s">
        <v>18702</v>
      </c>
    </row>
    <row r="3509" spans="1:15" x14ac:dyDescent="0.3">
      <c r="A3509" s="160">
        <v>33123</v>
      </c>
      <c r="B3509" t="s">
        <v>18703</v>
      </c>
      <c r="C3509" t="s">
        <v>18588</v>
      </c>
      <c r="D3509">
        <v>0</v>
      </c>
      <c r="E3509">
        <v>0.5</v>
      </c>
      <c r="F3509">
        <f t="shared" si="54"/>
        <v>0.5</v>
      </c>
      <c r="I3509">
        <v>20240101</v>
      </c>
      <c r="J3509" t="s">
        <v>3738</v>
      </c>
    </row>
    <row r="3510" spans="1:15" x14ac:dyDescent="0.3">
      <c r="A3510" s="160">
        <v>33124</v>
      </c>
      <c r="B3510" t="s">
        <v>18704</v>
      </c>
      <c r="C3510" t="s">
        <v>3562</v>
      </c>
      <c r="D3510">
        <v>0.8</v>
      </c>
      <c r="E3510">
        <v>0</v>
      </c>
      <c r="F3510">
        <f t="shared" si="54"/>
        <v>0.8</v>
      </c>
      <c r="I3510">
        <v>20230701</v>
      </c>
      <c r="J3510" t="s">
        <v>3563</v>
      </c>
    </row>
    <row r="3511" spans="1:15" x14ac:dyDescent="0.3">
      <c r="A3511" s="160">
        <v>33126</v>
      </c>
      <c r="B3511" t="s">
        <v>18705</v>
      </c>
      <c r="C3511" t="s">
        <v>18588</v>
      </c>
      <c r="D3511">
        <v>0</v>
      </c>
      <c r="E3511">
        <v>0.5</v>
      </c>
      <c r="F3511">
        <f t="shared" si="54"/>
        <v>0.5</v>
      </c>
      <c r="I3511">
        <v>20240101</v>
      </c>
      <c r="J3511" t="s">
        <v>18706</v>
      </c>
    </row>
    <row r="3512" spans="1:15" x14ac:dyDescent="0.3">
      <c r="A3512" s="160">
        <v>33130</v>
      </c>
      <c r="B3512" t="s">
        <v>18707</v>
      </c>
      <c r="C3512" t="s">
        <v>3583</v>
      </c>
      <c r="D3512">
        <v>0.25</v>
      </c>
      <c r="E3512">
        <v>0</v>
      </c>
      <c r="F3512">
        <f t="shared" si="54"/>
        <v>0.25</v>
      </c>
      <c r="I3512">
        <v>20220701</v>
      </c>
      <c r="J3512" t="s">
        <v>3592</v>
      </c>
      <c r="K3512" t="s">
        <v>3715</v>
      </c>
    </row>
    <row r="3513" spans="1:15" x14ac:dyDescent="0.3">
      <c r="A3513" s="160">
        <v>33131</v>
      </c>
      <c r="B3513" t="s">
        <v>18708</v>
      </c>
      <c r="C3513" t="s">
        <v>18588</v>
      </c>
      <c r="D3513">
        <v>0</v>
      </c>
      <c r="E3513">
        <v>0.5</v>
      </c>
      <c r="F3513">
        <f t="shared" si="54"/>
        <v>0.5</v>
      </c>
      <c r="I3513">
        <v>20240101</v>
      </c>
      <c r="J3513" t="s">
        <v>18709</v>
      </c>
    </row>
    <row r="3514" spans="1:15" x14ac:dyDescent="0.3">
      <c r="A3514" s="160">
        <v>33132</v>
      </c>
      <c r="B3514" t="s">
        <v>18710</v>
      </c>
      <c r="C3514" t="s">
        <v>18588</v>
      </c>
      <c r="D3514">
        <v>0</v>
      </c>
      <c r="E3514">
        <v>0.5</v>
      </c>
      <c r="F3514">
        <f t="shared" si="54"/>
        <v>0.5</v>
      </c>
      <c r="I3514">
        <v>20240101</v>
      </c>
      <c r="J3514" t="s">
        <v>18624</v>
      </c>
    </row>
    <row r="3515" spans="1:15" x14ac:dyDescent="0.3">
      <c r="A3515" s="160">
        <v>33135</v>
      </c>
      <c r="B3515" t="s">
        <v>18711</v>
      </c>
      <c r="C3515" t="s">
        <v>18588</v>
      </c>
      <c r="D3515">
        <v>0</v>
      </c>
      <c r="E3515">
        <v>0.5</v>
      </c>
      <c r="F3515">
        <f t="shared" si="54"/>
        <v>0.5</v>
      </c>
      <c r="I3515">
        <v>20240101</v>
      </c>
      <c r="J3515" t="s">
        <v>18589</v>
      </c>
    </row>
    <row r="3516" spans="1:15" x14ac:dyDescent="0.3">
      <c r="A3516" s="160">
        <v>33138</v>
      </c>
      <c r="B3516" t="s">
        <v>18712</v>
      </c>
      <c r="C3516" t="s">
        <v>3562</v>
      </c>
      <c r="D3516">
        <v>0.8</v>
      </c>
      <c r="E3516">
        <v>0.5</v>
      </c>
      <c r="F3516">
        <f t="shared" si="54"/>
        <v>1.3</v>
      </c>
      <c r="I3516">
        <v>20240101</v>
      </c>
      <c r="J3516" t="s">
        <v>3563</v>
      </c>
    </row>
    <row r="3517" spans="1:15" x14ac:dyDescent="0.3">
      <c r="A3517" s="160">
        <v>33140</v>
      </c>
      <c r="B3517" t="s">
        <v>18713</v>
      </c>
      <c r="C3517" t="s">
        <v>18588</v>
      </c>
      <c r="D3517">
        <v>0</v>
      </c>
      <c r="E3517">
        <v>0.5</v>
      </c>
      <c r="F3517">
        <f t="shared" si="54"/>
        <v>0.5</v>
      </c>
      <c r="I3517">
        <v>20240101</v>
      </c>
      <c r="J3517" t="s">
        <v>18645</v>
      </c>
    </row>
    <row r="3518" spans="1:15" x14ac:dyDescent="0.3">
      <c r="A3518" s="160">
        <v>33141</v>
      </c>
      <c r="B3518" t="s">
        <v>18714</v>
      </c>
      <c r="C3518" t="s">
        <v>18588</v>
      </c>
      <c r="D3518">
        <v>0</v>
      </c>
      <c r="E3518">
        <v>0.5</v>
      </c>
      <c r="F3518">
        <f t="shared" si="54"/>
        <v>0.5</v>
      </c>
      <c r="I3518">
        <v>20240101</v>
      </c>
      <c r="J3518" t="s">
        <v>3706</v>
      </c>
    </row>
    <row r="3519" spans="1:15" x14ac:dyDescent="0.3">
      <c r="A3519" s="160">
        <v>33142</v>
      </c>
      <c r="B3519" t="s">
        <v>18715</v>
      </c>
      <c r="C3519" t="s">
        <v>18588</v>
      </c>
      <c r="D3519">
        <v>0</v>
      </c>
      <c r="E3519">
        <v>0.5</v>
      </c>
      <c r="F3519">
        <f t="shared" si="54"/>
        <v>0.5</v>
      </c>
      <c r="I3519">
        <v>20240101</v>
      </c>
      <c r="J3519" t="s">
        <v>3738</v>
      </c>
    </row>
    <row r="3520" spans="1:15" x14ac:dyDescent="0.3">
      <c r="A3520" s="160">
        <v>33143</v>
      </c>
      <c r="B3520" t="s">
        <v>18716</v>
      </c>
      <c r="C3520" t="s">
        <v>18588</v>
      </c>
      <c r="D3520">
        <v>0</v>
      </c>
      <c r="E3520">
        <v>0.5</v>
      </c>
      <c r="F3520">
        <f t="shared" si="54"/>
        <v>0.5</v>
      </c>
      <c r="I3520">
        <v>20240101</v>
      </c>
      <c r="J3520" t="s">
        <v>18601</v>
      </c>
    </row>
    <row r="3521" spans="1:12" x14ac:dyDescent="0.3">
      <c r="A3521" s="160">
        <v>33145</v>
      </c>
      <c r="B3521" t="s">
        <v>18717</v>
      </c>
      <c r="C3521" t="s">
        <v>18588</v>
      </c>
      <c r="D3521">
        <v>0</v>
      </c>
      <c r="E3521">
        <v>0.5</v>
      </c>
      <c r="F3521">
        <f t="shared" si="54"/>
        <v>0.5</v>
      </c>
      <c r="I3521">
        <v>20240101</v>
      </c>
      <c r="J3521" t="s">
        <v>18645</v>
      </c>
    </row>
    <row r="3522" spans="1:12" x14ac:dyDescent="0.3">
      <c r="A3522" s="160">
        <v>33146</v>
      </c>
      <c r="B3522" t="s">
        <v>18718</v>
      </c>
      <c r="C3522" t="s">
        <v>18588</v>
      </c>
      <c r="D3522">
        <v>0</v>
      </c>
      <c r="E3522">
        <v>0.5</v>
      </c>
      <c r="F3522">
        <f t="shared" si="54"/>
        <v>0.5</v>
      </c>
      <c r="I3522">
        <v>20240101</v>
      </c>
      <c r="J3522" t="s">
        <v>18592</v>
      </c>
    </row>
    <row r="3523" spans="1:12" x14ac:dyDescent="0.3">
      <c r="A3523" s="160">
        <v>33147</v>
      </c>
      <c r="B3523" t="s">
        <v>18719</v>
      </c>
      <c r="C3523" t="s">
        <v>3562</v>
      </c>
      <c r="D3523">
        <v>0.8</v>
      </c>
      <c r="E3523">
        <v>0.5</v>
      </c>
      <c r="F3523">
        <f t="shared" si="54"/>
        <v>1.3</v>
      </c>
      <c r="I3523">
        <v>20240101</v>
      </c>
      <c r="J3523" t="s">
        <v>3716</v>
      </c>
    </row>
    <row r="3524" spans="1:12" x14ac:dyDescent="0.3">
      <c r="A3524" s="160">
        <v>33148</v>
      </c>
      <c r="B3524" t="s">
        <v>18720</v>
      </c>
      <c r="C3524" t="s">
        <v>3562</v>
      </c>
      <c r="D3524">
        <v>0.8</v>
      </c>
      <c r="E3524">
        <v>0.5</v>
      </c>
      <c r="F3524">
        <f t="shared" si="54"/>
        <v>1.3</v>
      </c>
      <c r="I3524">
        <v>20240101</v>
      </c>
      <c r="J3524" t="s">
        <v>3716</v>
      </c>
    </row>
    <row r="3525" spans="1:12" x14ac:dyDescent="0.3">
      <c r="A3525" s="160">
        <v>33149</v>
      </c>
      <c r="B3525" t="s">
        <v>18721</v>
      </c>
      <c r="C3525" t="s">
        <v>18588</v>
      </c>
      <c r="D3525">
        <v>0</v>
      </c>
      <c r="E3525">
        <v>0.5</v>
      </c>
      <c r="F3525">
        <f t="shared" si="54"/>
        <v>0.5</v>
      </c>
      <c r="I3525">
        <v>20240101</v>
      </c>
      <c r="J3525" t="s">
        <v>18709</v>
      </c>
    </row>
    <row r="3526" spans="1:12" x14ac:dyDescent="0.3">
      <c r="A3526" s="160">
        <v>33152</v>
      </c>
      <c r="B3526" t="s">
        <v>18722</v>
      </c>
      <c r="C3526" t="s">
        <v>18585</v>
      </c>
      <c r="D3526">
        <v>0.5</v>
      </c>
      <c r="E3526">
        <v>0.5</v>
      </c>
      <c r="F3526">
        <f t="shared" si="54"/>
        <v>1</v>
      </c>
      <c r="I3526">
        <v>20240101</v>
      </c>
      <c r="J3526" t="s">
        <v>18628</v>
      </c>
    </row>
    <row r="3527" spans="1:12" x14ac:dyDescent="0.3">
      <c r="A3527" s="160">
        <v>33154</v>
      </c>
      <c r="B3527" t="s">
        <v>18723</v>
      </c>
      <c r="C3527" t="s">
        <v>3562</v>
      </c>
      <c r="D3527">
        <v>0.8</v>
      </c>
      <c r="E3527">
        <v>0.5</v>
      </c>
      <c r="F3527">
        <f t="shared" ref="F3527:F3590" si="55">D3527+E3527</f>
        <v>1.3</v>
      </c>
      <c r="I3527">
        <v>20240101</v>
      </c>
      <c r="J3527" t="s">
        <v>3563</v>
      </c>
    </row>
    <row r="3528" spans="1:12" x14ac:dyDescent="0.3">
      <c r="A3528" s="160">
        <v>33156</v>
      </c>
      <c r="B3528" t="s">
        <v>18724</v>
      </c>
      <c r="C3528" t="s">
        <v>18585</v>
      </c>
      <c r="D3528">
        <v>0.5</v>
      </c>
      <c r="E3528">
        <v>0.5</v>
      </c>
      <c r="F3528">
        <f t="shared" si="55"/>
        <v>1</v>
      </c>
      <c r="I3528">
        <v>20240101</v>
      </c>
      <c r="J3528" t="s">
        <v>18589</v>
      </c>
    </row>
    <row r="3529" spans="1:12" x14ac:dyDescent="0.3">
      <c r="A3529" s="160">
        <v>33157</v>
      </c>
      <c r="B3529" t="s">
        <v>18725</v>
      </c>
      <c r="C3529" t="s">
        <v>3562</v>
      </c>
      <c r="D3529">
        <v>0.8</v>
      </c>
      <c r="E3529">
        <v>0.5</v>
      </c>
      <c r="F3529">
        <f t="shared" si="55"/>
        <v>1.3</v>
      </c>
      <c r="I3529">
        <v>20240101</v>
      </c>
      <c r="J3529" t="s">
        <v>3716</v>
      </c>
    </row>
    <row r="3530" spans="1:12" x14ac:dyDescent="0.3">
      <c r="A3530" s="160">
        <v>33158</v>
      </c>
      <c r="B3530" t="s">
        <v>18726</v>
      </c>
      <c r="C3530" t="s">
        <v>3564</v>
      </c>
      <c r="D3530">
        <v>0.25</v>
      </c>
      <c r="E3530">
        <v>0</v>
      </c>
      <c r="F3530">
        <f t="shared" si="55"/>
        <v>0.25</v>
      </c>
      <c r="I3530">
        <v>20230101</v>
      </c>
      <c r="J3530" t="s">
        <v>3582</v>
      </c>
    </row>
    <row r="3531" spans="1:12" x14ac:dyDescent="0.3">
      <c r="A3531" s="160">
        <v>33160</v>
      </c>
      <c r="B3531" t="s">
        <v>18727</v>
      </c>
      <c r="C3531" t="s">
        <v>18588</v>
      </c>
      <c r="D3531">
        <v>0</v>
      </c>
      <c r="E3531">
        <v>0.5</v>
      </c>
      <c r="F3531">
        <f t="shared" si="55"/>
        <v>0.5</v>
      </c>
      <c r="I3531">
        <v>20240101</v>
      </c>
      <c r="J3531" t="s">
        <v>18728</v>
      </c>
    </row>
    <row r="3532" spans="1:12" x14ac:dyDescent="0.3">
      <c r="A3532" s="160">
        <v>33162</v>
      </c>
      <c r="B3532" t="s">
        <v>18729</v>
      </c>
      <c r="C3532" t="s">
        <v>3566</v>
      </c>
      <c r="D3532">
        <v>2</v>
      </c>
      <c r="E3532">
        <v>0</v>
      </c>
      <c r="F3532">
        <f t="shared" si="55"/>
        <v>2</v>
      </c>
      <c r="I3532">
        <v>20110101</v>
      </c>
      <c r="J3532" t="s">
        <v>3717</v>
      </c>
      <c r="K3532" t="s">
        <v>3718</v>
      </c>
      <c r="L3532" t="s">
        <v>3719</v>
      </c>
    </row>
    <row r="3533" spans="1:12" x14ac:dyDescent="0.3">
      <c r="A3533" s="160">
        <v>33163</v>
      </c>
      <c r="B3533" t="s">
        <v>18730</v>
      </c>
      <c r="C3533" t="s">
        <v>18588</v>
      </c>
      <c r="D3533">
        <v>0</v>
      </c>
      <c r="E3533">
        <v>0.5</v>
      </c>
      <c r="F3533">
        <f t="shared" si="55"/>
        <v>0.5</v>
      </c>
      <c r="I3533">
        <v>20240101</v>
      </c>
      <c r="J3533" t="s">
        <v>18589</v>
      </c>
    </row>
    <row r="3534" spans="1:12" x14ac:dyDescent="0.3">
      <c r="A3534" s="160">
        <v>33164</v>
      </c>
      <c r="B3534" t="s">
        <v>18731</v>
      </c>
      <c r="C3534" t="s">
        <v>3583</v>
      </c>
      <c r="D3534">
        <v>0.25</v>
      </c>
      <c r="E3534">
        <v>0</v>
      </c>
      <c r="F3534">
        <f t="shared" si="55"/>
        <v>0.25</v>
      </c>
      <c r="I3534">
        <v>20220701</v>
      </c>
      <c r="J3534" t="s">
        <v>3592</v>
      </c>
      <c r="K3534" t="s">
        <v>3697</v>
      </c>
    </row>
    <row r="3535" spans="1:12" x14ac:dyDescent="0.3">
      <c r="A3535" s="160">
        <v>33165</v>
      </c>
      <c r="B3535" t="s">
        <v>18732</v>
      </c>
      <c r="C3535" t="s">
        <v>18588</v>
      </c>
      <c r="D3535">
        <v>0</v>
      </c>
      <c r="E3535">
        <v>0.5</v>
      </c>
      <c r="F3535">
        <f t="shared" si="55"/>
        <v>0.5</v>
      </c>
      <c r="I3535">
        <v>20240101</v>
      </c>
      <c r="J3535" t="s">
        <v>3577</v>
      </c>
    </row>
    <row r="3536" spans="1:12" x14ac:dyDescent="0.3">
      <c r="A3536" s="160">
        <v>33166</v>
      </c>
      <c r="B3536" t="s">
        <v>18733</v>
      </c>
      <c r="C3536" t="s">
        <v>3562</v>
      </c>
      <c r="D3536">
        <v>0.8</v>
      </c>
      <c r="E3536">
        <v>0</v>
      </c>
      <c r="F3536">
        <f t="shared" si="55"/>
        <v>0.8</v>
      </c>
      <c r="I3536">
        <v>20230701</v>
      </c>
      <c r="J3536" t="s">
        <v>3563</v>
      </c>
    </row>
    <row r="3537" spans="1:16" x14ac:dyDescent="0.3">
      <c r="A3537" s="160">
        <v>33167</v>
      </c>
      <c r="B3537" t="s">
        <v>16757</v>
      </c>
      <c r="C3537" t="s">
        <v>3566</v>
      </c>
      <c r="D3537">
        <v>2</v>
      </c>
      <c r="E3537">
        <v>0</v>
      </c>
      <c r="F3537">
        <f t="shared" si="55"/>
        <v>2</v>
      </c>
      <c r="I3537">
        <v>20110101</v>
      </c>
      <c r="J3537" t="s">
        <v>3687</v>
      </c>
      <c r="K3537" t="s">
        <v>3688</v>
      </c>
      <c r="L3537" t="s">
        <v>3689</v>
      </c>
      <c r="M3537" t="s">
        <v>3720</v>
      </c>
      <c r="N3537" t="s">
        <v>3721</v>
      </c>
    </row>
    <row r="3538" spans="1:16" x14ac:dyDescent="0.3">
      <c r="A3538" s="160">
        <v>33169</v>
      </c>
      <c r="B3538" t="s">
        <v>18734</v>
      </c>
      <c r="C3538" t="s">
        <v>3564</v>
      </c>
      <c r="D3538">
        <v>0.25</v>
      </c>
      <c r="E3538">
        <v>0</v>
      </c>
      <c r="F3538">
        <f t="shared" si="55"/>
        <v>0.25</v>
      </c>
      <c r="I3538">
        <v>20230101</v>
      </c>
      <c r="J3538" t="s">
        <v>3582</v>
      </c>
    </row>
    <row r="3539" spans="1:16" x14ac:dyDescent="0.3">
      <c r="A3539" s="160">
        <v>33170</v>
      </c>
      <c r="B3539" t="s">
        <v>18735</v>
      </c>
      <c r="C3539" t="s">
        <v>3564</v>
      </c>
      <c r="D3539">
        <v>0.25</v>
      </c>
      <c r="E3539">
        <v>0</v>
      </c>
      <c r="F3539">
        <f t="shared" si="55"/>
        <v>0.25</v>
      </c>
      <c r="I3539">
        <v>20230101</v>
      </c>
      <c r="J3539" t="s">
        <v>3582</v>
      </c>
    </row>
    <row r="3540" spans="1:16" x14ac:dyDescent="0.3">
      <c r="A3540" s="160">
        <v>33171</v>
      </c>
      <c r="B3540" t="s">
        <v>18736</v>
      </c>
      <c r="C3540" t="s">
        <v>3564</v>
      </c>
      <c r="D3540">
        <v>0.25</v>
      </c>
      <c r="E3540">
        <v>0</v>
      </c>
      <c r="F3540">
        <f t="shared" si="55"/>
        <v>0.25</v>
      </c>
      <c r="I3540">
        <v>20230101</v>
      </c>
      <c r="J3540" t="s">
        <v>3582</v>
      </c>
    </row>
    <row r="3541" spans="1:16" x14ac:dyDescent="0.3">
      <c r="A3541" s="160">
        <v>33174</v>
      </c>
      <c r="B3541" t="s">
        <v>18737</v>
      </c>
      <c r="C3541" t="s">
        <v>18588</v>
      </c>
      <c r="D3541">
        <v>0</v>
      </c>
      <c r="E3541">
        <v>0.5</v>
      </c>
      <c r="F3541">
        <f t="shared" si="55"/>
        <v>0.5</v>
      </c>
      <c r="I3541">
        <v>20240101</v>
      </c>
      <c r="J3541" t="s">
        <v>18738</v>
      </c>
      <c r="K3541" t="s">
        <v>3579</v>
      </c>
      <c r="L3541" t="s">
        <v>3593</v>
      </c>
      <c r="M3541" t="s">
        <v>3739</v>
      </c>
      <c r="N3541" t="s">
        <v>3740</v>
      </c>
    </row>
    <row r="3542" spans="1:16" x14ac:dyDescent="0.3">
      <c r="A3542" s="160">
        <v>33175</v>
      </c>
      <c r="B3542" t="s">
        <v>18739</v>
      </c>
      <c r="C3542" t="s">
        <v>18588</v>
      </c>
      <c r="D3542">
        <v>0</v>
      </c>
      <c r="E3542">
        <v>0.5</v>
      </c>
      <c r="F3542">
        <f t="shared" si="55"/>
        <v>0.5</v>
      </c>
      <c r="I3542">
        <v>20240101</v>
      </c>
      <c r="J3542" t="s">
        <v>18589</v>
      </c>
    </row>
    <row r="3543" spans="1:16" x14ac:dyDescent="0.3">
      <c r="A3543" s="160">
        <v>33176</v>
      </c>
      <c r="B3543" t="s">
        <v>18740</v>
      </c>
      <c r="C3543" t="s">
        <v>18585</v>
      </c>
      <c r="D3543">
        <v>0.5</v>
      </c>
      <c r="E3543">
        <v>0.5</v>
      </c>
      <c r="F3543">
        <f t="shared" si="55"/>
        <v>1</v>
      </c>
      <c r="I3543">
        <v>20240101</v>
      </c>
      <c r="J3543" t="s">
        <v>18628</v>
      </c>
    </row>
    <row r="3544" spans="1:16" x14ac:dyDescent="0.3">
      <c r="A3544" s="160">
        <v>33179</v>
      </c>
      <c r="B3544" t="s">
        <v>18741</v>
      </c>
      <c r="C3544" t="s">
        <v>18588</v>
      </c>
      <c r="D3544">
        <v>0</v>
      </c>
      <c r="E3544">
        <v>0.5</v>
      </c>
      <c r="F3544">
        <f t="shared" si="55"/>
        <v>0.5</v>
      </c>
      <c r="I3544">
        <v>20240101</v>
      </c>
      <c r="J3544" t="s">
        <v>18742</v>
      </c>
      <c r="K3544" t="s">
        <v>3579</v>
      </c>
    </row>
    <row r="3545" spans="1:16" x14ac:dyDescent="0.3">
      <c r="A3545" s="160">
        <v>33182</v>
      </c>
      <c r="B3545" t="s">
        <v>18743</v>
      </c>
      <c r="C3545" t="s">
        <v>18588</v>
      </c>
      <c r="D3545">
        <v>0</v>
      </c>
      <c r="E3545">
        <v>0.5</v>
      </c>
      <c r="F3545">
        <f t="shared" si="55"/>
        <v>0.5</v>
      </c>
      <c r="I3545">
        <v>20240101</v>
      </c>
      <c r="J3545" t="s">
        <v>18624</v>
      </c>
    </row>
    <row r="3546" spans="1:16" x14ac:dyDescent="0.3">
      <c r="A3546" s="160">
        <v>33183</v>
      </c>
      <c r="B3546" t="s">
        <v>18744</v>
      </c>
      <c r="C3546" t="s">
        <v>18588</v>
      </c>
      <c r="D3546">
        <v>0</v>
      </c>
      <c r="E3546">
        <v>0.5</v>
      </c>
      <c r="F3546">
        <f t="shared" si="55"/>
        <v>0.5</v>
      </c>
      <c r="I3546">
        <v>20240101</v>
      </c>
      <c r="J3546" t="s">
        <v>18601</v>
      </c>
    </row>
    <row r="3547" spans="1:16" x14ac:dyDescent="0.3">
      <c r="A3547" s="160">
        <v>33184</v>
      </c>
      <c r="B3547" t="s">
        <v>18322</v>
      </c>
      <c r="C3547" t="s">
        <v>18588</v>
      </c>
      <c r="D3547">
        <v>0</v>
      </c>
      <c r="E3547">
        <v>0.5</v>
      </c>
      <c r="F3547">
        <f t="shared" si="55"/>
        <v>0.5</v>
      </c>
      <c r="I3547">
        <v>20240101</v>
      </c>
      <c r="J3547" t="s">
        <v>18706</v>
      </c>
    </row>
    <row r="3548" spans="1:16" x14ac:dyDescent="0.3">
      <c r="A3548" s="160">
        <v>33185</v>
      </c>
      <c r="B3548" t="s">
        <v>18745</v>
      </c>
      <c r="C3548" t="s">
        <v>3562</v>
      </c>
      <c r="D3548">
        <v>0.8</v>
      </c>
      <c r="E3548">
        <v>0.5</v>
      </c>
      <c r="F3548">
        <f t="shared" si="55"/>
        <v>1.3</v>
      </c>
      <c r="I3548">
        <v>20240101</v>
      </c>
      <c r="J3548" t="s">
        <v>3716</v>
      </c>
    </row>
    <row r="3549" spans="1:16" x14ac:dyDescent="0.3">
      <c r="A3549" s="160">
        <v>33187</v>
      </c>
      <c r="B3549" t="s">
        <v>18746</v>
      </c>
      <c r="C3549" t="s">
        <v>3564</v>
      </c>
      <c r="D3549">
        <v>0.25</v>
      </c>
      <c r="E3549">
        <v>0</v>
      </c>
      <c r="F3549">
        <f t="shared" si="55"/>
        <v>0.25</v>
      </c>
      <c r="I3549">
        <v>20230101</v>
      </c>
      <c r="J3549" t="s">
        <v>3582</v>
      </c>
      <c r="K3549" t="s">
        <v>3691</v>
      </c>
      <c r="L3549" t="s">
        <v>3722</v>
      </c>
    </row>
    <row r="3550" spans="1:16" x14ac:dyDescent="0.3">
      <c r="A3550" s="160">
        <v>33189</v>
      </c>
      <c r="B3550" t="s">
        <v>18747</v>
      </c>
      <c r="C3550" t="s">
        <v>18588</v>
      </c>
      <c r="D3550">
        <v>0</v>
      </c>
      <c r="E3550">
        <v>0.5</v>
      </c>
      <c r="F3550">
        <f t="shared" si="55"/>
        <v>0.5</v>
      </c>
      <c r="I3550">
        <v>20240101</v>
      </c>
      <c r="J3550" t="s">
        <v>18709</v>
      </c>
    </row>
    <row r="3551" spans="1:16" x14ac:dyDescent="0.3">
      <c r="A3551" s="160">
        <v>33191</v>
      </c>
      <c r="B3551" t="s">
        <v>18748</v>
      </c>
      <c r="C3551" t="s">
        <v>3562</v>
      </c>
      <c r="D3551">
        <v>0.8</v>
      </c>
      <c r="E3551">
        <v>0</v>
      </c>
      <c r="F3551">
        <f t="shared" si="55"/>
        <v>0.8</v>
      </c>
      <c r="I3551">
        <v>20230701</v>
      </c>
      <c r="J3551" t="s">
        <v>3707</v>
      </c>
    </row>
    <row r="3552" spans="1:16" x14ac:dyDescent="0.3">
      <c r="A3552" s="160">
        <v>33192</v>
      </c>
      <c r="B3552" t="s">
        <v>18749</v>
      </c>
      <c r="C3552" t="s">
        <v>3566</v>
      </c>
      <c r="D3552">
        <v>2</v>
      </c>
      <c r="E3552">
        <v>0</v>
      </c>
      <c r="F3552">
        <f t="shared" si="55"/>
        <v>2</v>
      </c>
      <c r="I3552">
        <v>20110101</v>
      </c>
      <c r="J3552" t="s">
        <v>3723</v>
      </c>
      <c r="K3552" t="s">
        <v>3724</v>
      </c>
      <c r="L3552" t="s">
        <v>3725</v>
      </c>
      <c r="M3552" t="s">
        <v>3726</v>
      </c>
      <c r="N3552" t="s">
        <v>3727</v>
      </c>
      <c r="O3552" t="s">
        <v>3728</v>
      </c>
      <c r="P3552" t="s">
        <v>3729</v>
      </c>
    </row>
    <row r="3553" spans="1:12" x14ac:dyDescent="0.3">
      <c r="A3553" s="160">
        <v>33194</v>
      </c>
      <c r="B3553" t="s">
        <v>18750</v>
      </c>
      <c r="C3553" t="s">
        <v>18588</v>
      </c>
      <c r="D3553">
        <v>0</v>
      </c>
      <c r="E3553">
        <v>0.5</v>
      </c>
      <c r="F3553">
        <f t="shared" si="55"/>
        <v>0.5</v>
      </c>
      <c r="I3553">
        <v>20240101</v>
      </c>
      <c r="J3553" t="s">
        <v>3716</v>
      </c>
    </row>
    <row r="3554" spans="1:12" x14ac:dyDescent="0.3">
      <c r="A3554" s="160">
        <v>33196</v>
      </c>
      <c r="B3554" t="s">
        <v>18751</v>
      </c>
      <c r="C3554" t="s">
        <v>18588</v>
      </c>
      <c r="D3554">
        <v>0</v>
      </c>
      <c r="E3554">
        <v>0.5</v>
      </c>
      <c r="F3554">
        <f t="shared" si="55"/>
        <v>0.5</v>
      </c>
      <c r="I3554">
        <v>20240101</v>
      </c>
      <c r="J3554" t="s">
        <v>3716</v>
      </c>
    </row>
    <row r="3555" spans="1:12" x14ac:dyDescent="0.3">
      <c r="A3555" s="160">
        <v>33197</v>
      </c>
      <c r="B3555" t="s">
        <v>18752</v>
      </c>
      <c r="C3555" t="s">
        <v>18585</v>
      </c>
      <c r="D3555">
        <v>0.5</v>
      </c>
      <c r="E3555">
        <v>0.5</v>
      </c>
      <c r="F3555">
        <f t="shared" si="55"/>
        <v>1</v>
      </c>
      <c r="I3555">
        <v>20240101</v>
      </c>
      <c r="J3555" t="s">
        <v>3772</v>
      </c>
    </row>
    <row r="3556" spans="1:12" x14ac:dyDescent="0.3">
      <c r="A3556" s="160">
        <v>33198</v>
      </c>
      <c r="B3556" t="s">
        <v>18753</v>
      </c>
      <c r="C3556" t="s">
        <v>3562</v>
      </c>
      <c r="D3556">
        <v>0.8</v>
      </c>
      <c r="E3556">
        <v>0.5</v>
      </c>
      <c r="F3556">
        <f t="shared" si="55"/>
        <v>1.3</v>
      </c>
      <c r="I3556">
        <v>20240101</v>
      </c>
      <c r="J3556" t="s">
        <v>3563</v>
      </c>
    </row>
    <row r="3557" spans="1:12" x14ac:dyDescent="0.3">
      <c r="A3557" s="160">
        <v>33199</v>
      </c>
      <c r="B3557" t="s">
        <v>18754</v>
      </c>
      <c r="C3557" t="s">
        <v>3571</v>
      </c>
      <c r="D3557">
        <v>0.55000000000000004</v>
      </c>
      <c r="E3557">
        <v>0</v>
      </c>
      <c r="F3557">
        <f t="shared" si="55"/>
        <v>0.55000000000000004</v>
      </c>
      <c r="I3557">
        <v>20070301</v>
      </c>
      <c r="J3557" t="s">
        <v>3730</v>
      </c>
    </row>
    <row r="3558" spans="1:12" x14ac:dyDescent="0.3">
      <c r="A3558" s="160">
        <v>33200</v>
      </c>
      <c r="B3558" t="s">
        <v>18755</v>
      </c>
      <c r="C3558" t="s">
        <v>3566</v>
      </c>
      <c r="D3558">
        <v>2</v>
      </c>
      <c r="E3558">
        <v>0</v>
      </c>
      <c r="F3558">
        <f t="shared" si="55"/>
        <v>2</v>
      </c>
      <c r="I3558">
        <v>20110101</v>
      </c>
      <c r="J3558" t="s">
        <v>3731</v>
      </c>
      <c r="K3558" t="s">
        <v>3732</v>
      </c>
      <c r="L3558" t="s">
        <v>3733</v>
      </c>
    </row>
    <row r="3559" spans="1:12" x14ac:dyDescent="0.3">
      <c r="A3559" s="160">
        <v>33201</v>
      </c>
      <c r="B3559" t="s">
        <v>18756</v>
      </c>
      <c r="C3559" t="s">
        <v>18588</v>
      </c>
      <c r="D3559">
        <v>0</v>
      </c>
      <c r="E3559">
        <v>0.5</v>
      </c>
      <c r="F3559">
        <f t="shared" si="55"/>
        <v>0.5</v>
      </c>
      <c r="I3559">
        <v>20240101</v>
      </c>
      <c r="J3559" t="s">
        <v>18680</v>
      </c>
    </row>
    <row r="3560" spans="1:12" x14ac:dyDescent="0.3">
      <c r="A3560" s="160">
        <v>33202</v>
      </c>
      <c r="B3560" t="s">
        <v>18757</v>
      </c>
      <c r="C3560" t="s">
        <v>3583</v>
      </c>
      <c r="D3560">
        <v>0.25</v>
      </c>
      <c r="E3560">
        <v>0.5</v>
      </c>
      <c r="F3560">
        <f t="shared" si="55"/>
        <v>0.75</v>
      </c>
      <c r="I3560">
        <v>20240101</v>
      </c>
      <c r="J3560" t="s">
        <v>3734</v>
      </c>
    </row>
    <row r="3561" spans="1:12" x14ac:dyDescent="0.3">
      <c r="A3561" s="160">
        <v>33204</v>
      </c>
      <c r="B3561" t="s">
        <v>18758</v>
      </c>
      <c r="C3561" t="s">
        <v>3564</v>
      </c>
      <c r="D3561">
        <v>0.25</v>
      </c>
      <c r="E3561">
        <v>0</v>
      </c>
      <c r="F3561">
        <f t="shared" si="55"/>
        <v>0.25</v>
      </c>
      <c r="I3561">
        <v>20230101</v>
      </c>
      <c r="J3561" t="s">
        <v>3582</v>
      </c>
    </row>
    <row r="3562" spans="1:12" x14ac:dyDescent="0.3">
      <c r="A3562" s="160">
        <v>33205</v>
      </c>
      <c r="B3562" t="s">
        <v>18759</v>
      </c>
      <c r="C3562" t="s">
        <v>18585</v>
      </c>
      <c r="D3562">
        <v>0.5</v>
      </c>
      <c r="E3562">
        <v>0.5</v>
      </c>
      <c r="F3562">
        <f t="shared" si="55"/>
        <v>1</v>
      </c>
      <c r="I3562">
        <v>20240101</v>
      </c>
      <c r="J3562" t="s">
        <v>3772</v>
      </c>
    </row>
    <row r="3563" spans="1:12" x14ac:dyDescent="0.3">
      <c r="A3563" s="160">
        <v>33206</v>
      </c>
      <c r="B3563" t="s">
        <v>18760</v>
      </c>
      <c r="C3563" t="s">
        <v>18609</v>
      </c>
      <c r="D3563">
        <v>0.6</v>
      </c>
      <c r="E3563">
        <v>0.5</v>
      </c>
      <c r="F3563">
        <f t="shared" si="55"/>
        <v>1.1000000000000001</v>
      </c>
      <c r="I3563">
        <v>20240101</v>
      </c>
      <c r="J3563" t="s">
        <v>18586</v>
      </c>
    </row>
    <row r="3564" spans="1:12" x14ac:dyDescent="0.3">
      <c r="A3564" s="160">
        <v>33207</v>
      </c>
      <c r="B3564" t="s">
        <v>18761</v>
      </c>
      <c r="C3564" t="s">
        <v>3562</v>
      </c>
      <c r="D3564">
        <v>0.8</v>
      </c>
      <c r="E3564">
        <v>0.5</v>
      </c>
      <c r="F3564">
        <f t="shared" si="55"/>
        <v>1.3</v>
      </c>
      <c r="I3564">
        <v>20240101</v>
      </c>
      <c r="J3564" t="s">
        <v>3735</v>
      </c>
      <c r="K3564" t="s">
        <v>3736</v>
      </c>
    </row>
    <row r="3565" spans="1:12" x14ac:dyDescent="0.3">
      <c r="A3565" s="160">
        <v>33209</v>
      </c>
      <c r="B3565" t="s">
        <v>18762</v>
      </c>
      <c r="C3565" t="s">
        <v>18588</v>
      </c>
      <c r="D3565">
        <v>0</v>
      </c>
      <c r="E3565">
        <v>0.5</v>
      </c>
      <c r="F3565">
        <f t="shared" si="55"/>
        <v>0.5</v>
      </c>
      <c r="I3565">
        <v>20240101</v>
      </c>
      <c r="J3565" t="s">
        <v>3716</v>
      </c>
    </row>
    <row r="3566" spans="1:12" x14ac:dyDescent="0.3">
      <c r="A3566" s="160">
        <v>33211</v>
      </c>
      <c r="B3566" t="s">
        <v>18763</v>
      </c>
      <c r="C3566" t="s">
        <v>18588</v>
      </c>
      <c r="D3566">
        <v>0</v>
      </c>
      <c r="E3566">
        <v>0.5</v>
      </c>
      <c r="F3566">
        <f t="shared" si="55"/>
        <v>0.5</v>
      </c>
      <c r="I3566">
        <v>20240101</v>
      </c>
      <c r="J3566" t="s">
        <v>18592</v>
      </c>
    </row>
    <row r="3567" spans="1:12" x14ac:dyDescent="0.3">
      <c r="A3567" s="160">
        <v>33213</v>
      </c>
      <c r="B3567" t="s">
        <v>18764</v>
      </c>
      <c r="C3567" t="s">
        <v>18609</v>
      </c>
      <c r="D3567">
        <v>0.6</v>
      </c>
      <c r="E3567">
        <v>0.5</v>
      </c>
      <c r="F3567">
        <f t="shared" si="55"/>
        <v>1.1000000000000001</v>
      </c>
      <c r="I3567">
        <v>20240101</v>
      </c>
      <c r="J3567" t="s">
        <v>18662</v>
      </c>
      <c r="K3567" t="s">
        <v>3729</v>
      </c>
    </row>
    <row r="3568" spans="1:12" x14ac:dyDescent="0.3">
      <c r="A3568" s="160">
        <v>33214</v>
      </c>
      <c r="B3568" t="s">
        <v>18765</v>
      </c>
      <c r="C3568" t="s">
        <v>18588</v>
      </c>
      <c r="D3568">
        <v>0</v>
      </c>
      <c r="E3568">
        <v>0.5</v>
      </c>
      <c r="F3568">
        <f t="shared" si="55"/>
        <v>0.5</v>
      </c>
      <c r="I3568">
        <v>20240101</v>
      </c>
      <c r="J3568" t="s">
        <v>18766</v>
      </c>
    </row>
    <row r="3569" spans="1:13" x14ac:dyDescent="0.3">
      <c r="A3569" s="160">
        <v>33215</v>
      </c>
      <c r="B3569" t="s">
        <v>18767</v>
      </c>
      <c r="C3569" t="s">
        <v>18588</v>
      </c>
      <c r="D3569">
        <v>0</v>
      </c>
      <c r="E3569">
        <v>0.5</v>
      </c>
      <c r="F3569">
        <f t="shared" si="55"/>
        <v>0.5</v>
      </c>
      <c r="I3569">
        <v>20240101</v>
      </c>
      <c r="J3569" t="s">
        <v>18589</v>
      </c>
    </row>
    <row r="3570" spans="1:13" x14ac:dyDescent="0.3">
      <c r="A3570" s="160">
        <v>33218</v>
      </c>
      <c r="B3570" t="s">
        <v>18768</v>
      </c>
      <c r="C3570" t="s">
        <v>3562</v>
      </c>
      <c r="D3570">
        <v>0.8</v>
      </c>
      <c r="E3570">
        <v>0.5</v>
      </c>
      <c r="F3570">
        <f t="shared" si="55"/>
        <v>1.3</v>
      </c>
      <c r="I3570">
        <v>20240101</v>
      </c>
      <c r="J3570" t="s">
        <v>3563</v>
      </c>
    </row>
    <row r="3571" spans="1:13" x14ac:dyDescent="0.3">
      <c r="A3571" s="160">
        <v>33219</v>
      </c>
      <c r="B3571" t="s">
        <v>18769</v>
      </c>
      <c r="C3571" t="s">
        <v>18588</v>
      </c>
      <c r="D3571">
        <v>0</v>
      </c>
      <c r="E3571">
        <v>0.5</v>
      </c>
      <c r="F3571">
        <f t="shared" si="55"/>
        <v>0.5</v>
      </c>
      <c r="I3571">
        <v>20240101</v>
      </c>
      <c r="J3571" t="s">
        <v>18601</v>
      </c>
    </row>
    <row r="3572" spans="1:13" x14ac:dyDescent="0.3">
      <c r="A3572" s="160">
        <v>33220</v>
      </c>
      <c r="B3572" t="s">
        <v>18770</v>
      </c>
      <c r="C3572" t="s">
        <v>18588</v>
      </c>
      <c r="D3572">
        <v>0</v>
      </c>
      <c r="E3572">
        <v>0.5</v>
      </c>
      <c r="F3572">
        <f t="shared" si="55"/>
        <v>0.5</v>
      </c>
      <c r="I3572">
        <v>20240101</v>
      </c>
      <c r="J3572" t="s">
        <v>18592</v>
      </c>
    </row>
    <row r="3573" spans="1:13" x14ac:dyDescent="0.3">
      <c r="A3573" s="160">
        <v>33221</v>
      </c>
      <c r="B3573" t="s">
        <v>18771</v>
      </c>
      <c r="C3573" t="s">
        <v>3564</v>
      </c>
      <c r="D3573">
        <v>0.25</v>
      </c>
      <c r="E3573">
        <v>0</v>
      </c>
      <c r="F3573">
        <f t="shared" si="55"/>
        <v>0.25</v>
      </c>
      <c r="I3573">
        <v>20230101</v>
      </c>
      <c r="J3573" t="s">
        <v>3582</v>
      </c>
    </row>
    <row r="3574" spans="1:13" x14ac:dyDescent="0.3">
      <c r="A3574" s="160">
        <v>33222</v>
      </c>
      <c r="B3574" t="s">
        <v>18772</v>
      </c>
      <c r="C3574" t="s">
        <v>3562</v>
      </c>
      <c r="D3574">
        <v>0.8</v>
      </c>
      <c r="E3574">
        <v>0</v>
      </c>
      <c r="F3574">
        <f t="shared" si="55"/>
        <v>0.8</v>
      </c>
      <c r="I3574">
        <v>20230701</v>
      </c>
      <c r="J3574" t="s">
        <v>3578</v>
      </c>
      <c r="K3574" t="s">
        <v>3580</v>
      </c>
    </row>
    <row r="3575" spans="1:13" x14ac:dyDescent="0.3">
      <c r="A3575" s="160">
        <v>33225</v>
      </c>
      <c r="B3575" t="s">
        <v>18773</v>
      </c>
      <c r="C3575" t="s">
        <v>18585</v>
      </c>
      <c r="D3575">
        <v>0.5</v>
      </c>
      <c r="E3575">
        <v>0.5</v>
      </c>
      <c r="F3575">
        <f t="shared" si="55"/>
        <v>1</v>
      </c>
      <c r="I3575">
        <v>20240101</v>
      </c>
      <c r="J3575" t="s">
        <v>3772</v>
      </c>
    </row>
    <row r="3576" spans="1:13" x14ac:dyDescent="0.3">
      <c r="A3576" s="160">
        <v>33226</v>
      </c>
      <c r="B3576" t="s">
        <v>18774</v>
      </c>
      <c r="C3576" t="s">
        <v>18588</v>
      </c>
      <c r="D3576">
        <v>0</v>
      </c>
      <c r="E3576">
        <v>0.5</v>
      </c>
      <c r="F3576">
        <f t="shared" si="55"/>
        <v>0.5</v>
      </c>
      <c r="I3576">
        <v>20240101</v>
      </c>
      <c r="J3576" t="s">
        <v>18680</v>
      </c>
    </row>
    <row r="3577" spans="1:13" x14ac:dyDescent="0.3">
      <c r="A3577" s="160">
        <v>33227</v>
      </c>
      <c r="B3577" t="s">
        <v>18775</v>
      </c>
      <c r="C3577" t="s">
        <v>3583</v>
      </c>
      <c r="D3577">
        <v>0.25</v>
      </c>
      <c r="E3577">
        <v>0</v>
      </c>
      <c r="F3577">
        <f t="shared" si="55"/>
        <v>0.25</v>
      </c>
      <c r="I3577">
        <v>20220701</v>
      </c>
      <c r="J3577" t="s">
        <v>3592</v>
      </c>
      <c r="K3577" t="s">
        <v>3715</v>
      </c>
      <c r="L3577" t="s">
        <v>3697</v>
      </c>
      <c r="M3577" t="s">
        <v>3737</v>
      </c>
    </row>
    <row r="3578" spans="1:13" x14ac:dyDescent="0.3">
      <c r="A3578" s="160">
        <v>33228</v>
      </c>
      <c r="B3578" t="s">
        <v>18776</v>
      </c>
      <c r="C3578" t="s">
        <v>18588</v>
      </c>
      <c r="D3578">
        <v>0</v>
      </c>
      <c r="E3578">
        <v>0.5</v>
      </c>
      <c r="F3578">
        <f t="shared" si="55"/>
        <v>0.5</v>
      </c>
      <c r="I3578">
        <v>20240101</v>
      </c>
      <c r="J3578" t="s">
        <v>18624</v>
      </c>
    </row>
    <row r="3579" spans="1:13" x14ac:dyDescent="0.3">
      <c r="A3579" s="160">
        <v>33229</v>
      </c>
      <c r="B3579" t="s">
        <v>18777</v>
      </c>
      <c r="C3579" t="s">
        <v>18582</v>
      </c>
      <c r="D3579">
        <v>0.8</v>
      </c>
      <c r="E3579">
        <v>0.5</v>
      </c>
      <c r="F3579">
        <f t="shared" si="55"/>
        <v>1.3</v>
      </c>
      <c r="I3579">
        <v>20240101</v>
      </c>
      <c r="J3579" t="s">
        <v>18778</v>
      </c>
    </row>
    <row r="3580" spans="1:13" x14ac:dyDescent="0.3">
      <c r="A3580" s="160">
        <v>33230</v>
      </c>
      <c r="B3580" t="s">
        <v>18779</v>
      </c>
      <c r="C3580" t="s">
        <v>3562</v>
      </c>
      <c r="D3580">
        <v>0.8</v>
      </c>
      <c r="E3580">
        <v>0.5</v>
      </c>
      <c r="F3580">
        <f t="shared" si="55"/>
        <v>1.3</v>
      </c>
      <c r="I3580">
        <v>20240101</v>
      </c>
      <c r="J3580" t="s">
        <v>3738</v>
      </c>
    </row>
    <row r="3581" spans="1:13" x14ac:dyDescent="0.3">
      <c r="A3581" s="160">
        <v>33231</v>
      </c>
      <c r="B3581" t="s">
        <v>18780</v>
      </c>
      <c r="C3581" t="s">
        <v>18585</v>
      </c>
      <c r="D3581">
        <v>0.5</v>
      </c>
      <c r="E3581">
        <v>0.5</v>
      </c>
      <c r="F3581">
        <f t="shared" si="55"/>
        <v>1</v>
      </c>
      <c r="I3581">
        <v>20240101</v>
      </c>
      <c r="J3581" t="s">
        <v>18628</v>
      </c>
    </row>
    <row r="3582" spans="1:13" x14ac:dyDescent="0.3">
      <c r="A3582" s="160">
        <v>33233</v>
      </c>
      <c r="B3582" t="s">
        <v>18781</v>
      </c>
      <c r="C3582" t="s">
        <v>18588</v>
      </c>
      <c r="D3582">
        <v>0</v>
      </c>
      <c r="E3582">
        <v>0.5</v>
      </c>
      <c r="F3582">
        <f t="shared" si="55"/>
        <v>0.5</v>
      </c>
      <c r="I3582">
        <v>20240101</v>
      </c>
      <c r="J3582" t="s">
        <v>3738</v>
      </c>
    </row>
    <row r="3583" spans="1:13" x14ac:dyDescent="0.3">
      <c r="A3583" s="160">
        <v>33234</v>
      </c>
      <c r="B3583" t="s">
        <v>18782</v>
      </c>
      <c r="C3583" t="s">
        <v>18588</v>
      </c>
      <c r="D3583">
        <v>0</v>
      </c>
      <c r="E3583">
        <v>0.5</v>
      </c>
      <c r="F3583">
        <f t="shared" si="55"/>
        <v>0.5</v>
      </c>
      <c r="I3583">
        <v>20240101</v>
      </c>
      <c r="J3583" t="s">
        <v>18671</v>
      </c>
    </row>
    <row r="3584" spans="1:13" x14ac:dyDescent="0.3">
      <c r="A3584" s="160">
        <v>33236</v>
      </c>
      <c r="B3584" t="s">
        <v>18783</v>
      </c>
      <c r="C3584" t="s">
        <v>18582</v>
      </c>
      <c r="D3584">
        <v>0.8</v>
      </c>
      <c r="E3584">
        <v>0.5</v>
      </c>
      <c r="F3584">
        <f t="shared" si="55"/>
        <v>1.3</v>
      </c>
      <c r="I3584">
        <v>20240101</v>
      </c>
      <c r="J3584" t="s">
        <v>18784</v>
      </c>
      <c r="K3584" t="s">
        <v>18785</v>
      </c>
    </row>
    <row r="3585" spans="1:17" x14ac:dyDescent="0.3">
      <c r="A3585" s="160">
        <v>33237</v>
      </c>
      <c r="B3585" t="s">
        <v>18786</v>
      </c>
      <c r="C3585" t="s">
        <v>3583</v>
      </c>
      <c r="D3585">
        <v>0.25</v>
      </c>
      <c r="E3585">
        <v>0.5</v>
      </c>
      <c r="F3585">
        <f t="shared" si="55"/>
        <v>0.75</v>
      </c>
      <c r="I3585">
        <v>20240101</v>
      </c>
      <c r="J3585" t="s">
        <v>3592</v>
      </c>
      <c r="K3585" t="s">
        <v>3697</v>
      </c>
    </row>
    <row r="3586" spans="1:17" x14ac:dyDescent="0.3">
      <c r="A3586" s="160">
        <v>33238</v>
      </c>
      <c r="B3586" t="s">
        <v>18787</v>
      </c>
      <c r="C3586" t="s">
        <v>18609</v>
      </c>
      <c r="D3586">
        <v>0.6</v>
      </c>
      <c r="E3586">
        <v>0.5</v>
      </c>
      <c r="F3586">
        <f t="shared" si="55"/>
        <v>1.1000000000000001</v>
      </c>
      <c r="I3586">
        <v>20240101</v>
      </c>
      <c r="J3586" t="s">
        <v>18788</v>
      </c>
    </row>
    <row r="3587" spans="1:17" x14ac:dyDescent="0.3">
      <c r="A3587" s="160">
        <v>33241</v>
      </c>
      <c r="B3587" t="s">
        <v>18789</v>
      </c>
      <c r="C3587" t="s">
        <v>18585</v>
      </c>
      <c r="D3587">
        <v>0.5</v>
      </c>
      <c r="E3587">
        <v>0.5</v>
      </c>
      <c r="F3587">
        <f t="shared" si="55"/>
        <v>1</v>
      </c>
      <c r="I3587">
        <v>20240101</v>
      </c>
      <c r="J3587" t="s">
        <v>18680</v>
      </c>
    </row>
    <row r="3588" spans="1:17" x14ac:dyDescent="0.3">
      <c r="A3588" s="160">
        <v>33242</v>
      </c>
      <c r="B3588" t="s">
        <v>18790</v>
      </c>
      <c r="C3588" t="s">
        <v>18588</v>
      </c>
      <c r="D3588">
        <v>0</v>
      </c>
      <c r="E3588">
        <v>0.5</v>
      </c>
      <c r="F3588">
        <f t="shared" si="55"/>
        <v>0.5</v>
      </c>
      <c r="I3588">
        <v>20240101</v>
      </c>
      <c r="J3588" t="s">
        <v>18728</v>
      </c>
    </row>
    <row r="3589" spans="1:17" x14ac:dyDescent="0.3">
      <c r="A3589" s="160">
        <v>33243</v>
      </c>
      <c r="B3589" t="s">
        <v>18791</v>
      </c>
      <c r="C3589" t="s">
        <v>3562</v>
      </c>
      <c r="D3589">
        <v>0.8</v>
      </c>
      <c r="E3589">
        <v>0</v>
      </c>
      <c r="F3589">
        <f t="shared" si="55"/>
        <v>0.8</v>
      </c>
      <c r="I3589">
        <v>20230701</v>
      </c>
      <c r="J3589" t="s">
        <v>3578</v>
      </c>
      <c r="K3589" t="s">
        <v>3579</v>
      </c>
      <c r="L3589" t="s">
        <v>3593</v>
      </c>
      <c r="M3589" t="s">
        <v>3580</v>
      </c>
      <c r="N3589" t="s">
        <v>3739</v>
      </c>
      <c r="O3589" t="s">
        <v>3581</v>
      </c>
      <c r="P3589" t="s">
        <v>3740</v>
      </c>
      <c r="Q3589" t="s">
        <v>3741</v>
      </c>
    </row>
    <row r="3590" spans="1:17" x14ac:dyDescent="0.3">
      <c r="A3590" s="160">
        <v>33245</v>
      </c>
      <c r="B3590" t="s">
        <v>18792</v>
      </c>
      <c r="C3590" t="s">
        <v>18588</v>
      </c>
      <c r="D3590">
        <v>0</v>
      </c>
      <c r="E3590">
        <v>0.5</v>
      </c>
      <c r="F3590">
        <f t="shared" si="55"/>
        <v>0.5</v>
      </c>
      <c r="I3590">
        <v>20240101</v>
      </c>
      <c r="J3590" t="s">
        <v>18671</v>
      </c>
    </row>
    <row r="3591" spans="1:17" x14ac:dyDescent="0.3">
      <c r="A3591" s="160">
        <v>33248</v>
      </c>
      <c r="B3591" t="s">
        <v>18793</v>
      </c>
      <c r="C3591" t="s">
        <v>18588</v>
      </c>
      <c r="D3591">
        <v>0</v>
      </c>
      <c r="E3591">
        <v>0.5</v>
      </c>
      <c r="F3591">
        <f t="shared" ref="F3591:F3654" si="56">D3591+E3591</f>
        <v>0.5</v>
      </c>
      <c r="I3591">
        <v>20240101</v>
      </c>
      <c r="J3591" t="s">
        <v>18607</v>
      </c>
    </row>
    <row r="3592" spans="1:17" x14ac:dyDescent="0.3">
      <c r="A3592" s="160">
        <v>33249</v>
      </c>
      <c r="B3592" t="s">
        <v>18794</v>
      </c>
      <c r="C3592" t="s">
        <v>3566</v>
      </c>
      <c r="D3592">
        <v>2</v>
      </c>
      <c r="E3592">
        <v>0</v>
      </c>
      <c r="F3592">
        <f t="shared" si="56"/>
        <v>2</v>
      </c>
      <c r="I3592">
        <v>20110101</v>
      </c>
      <c r="J3592" t="s">
        <v>3742</v>
      </c>
    </row>
    <row r="3593" spans="1:17" x14ac:dyDescent="0.3">
      <c r="A3593" s="160">
        <v>33250</v>
      </c>
      <c r="B3593" t="s">
        <v>16190</v>
      </c>
      <c r="C3593" t="s">
        <v>3564</v>
      </c>
      <c r="D3593">
        <v>0.25</v>
      </c>
      <c r="E3593">
        <v>0</v>
      </c>
      <c r="F3593">
        <f t="shared" si="56"/>
        <v>0.25</v>
      </c>
      <c r="I3593">
        <v>20230101</v>
      </c>
      <c r="J3593" t="s">
        <v>3582</v>
      </c>
    </row>
    <row r="3594" spans="1:17" x14ac:dyDescent="0.3">
      <c r="A3594" s="160">
        <v>33251</v>
      </c>
      <c r="B3594" t="s">
        <v>18795</v>
      </c>
      <c r="C3594" t="s">
        <v>3583</v>
      </c>
      <c r="D3594">
        <v>0.25</v>
      </c>
      <c r="E3594">
        <v>0.5</v>
      </c>
      <c r="F3594">
        <f t="shared" si="56"/>
        <v>0.75</v>
      </c>
      <c r="I3594">
        <v>20240101</v>
      </c>
      <c r="J3594" t="s">
        <v>3734</v>
      </c>
    </row>
    <row r="3595" spans="1:17" x14ac:dyDescent="0.3">
      <c r="A3595" s="160">
        <v>33252</v>
      </c>
      <c r="B3595" t="s">
        <v>18796</v>
      </c>
      <c r="C3595" t="s">
        <v>18588</v>
      </c>
      <c r="D3595">
        <v>0</v>
      </c>
      <c r="E3595">
        <v>0.5</v>
      </c>
      <c r="F3595">
        <f t="shared" si="56"/>
        <v>0.5</v>
      </c>
      <c r="I3595">
        <v>20240101</v>
      </c>
      <c r="J3595" t="s">
        <v>3577</v>
      </c>
    </row>
    <row r="3596" spans="1:17" x14ac:dyDescent="0.3">
      <c r="A3596" s="160">
        <v>33253</v>
      </c>
      <c r="B3596" t="s">
        <v>18797</v>
      </c>
      <c r="C3596" t="s">
        <v>18585</v>
      </c>
      <c r="D3596">
        <v>0.5</v>
      </c>
      <c r="E3596">
        <v>0.5</v>
      </c>
      <c r="F3596">
        <f t="shared" si="56"/>
        <v>1</v>
      </c>
      <c r="I3596">
        <v>20240101</v>
      </c>
      <c r="J3596" t="s">
        <v>18628</v>
      </c>
    </row>
    <row r="3597" spans="1:17" x14ac:dyDescent="0.3">
      <c r="A3597" s="160">
        <v>33254</v>
      </c>
      <c r="B3597" t="s">
        <v>18798</v>
      </c>
      <c r="C3597" t="s">
        <v>3564</v>
      </c>
      <c r="D3597">
        <v>0.25</v>
      </c>
      <c r="E3597">
        <v>0</v>
      </c>
      <c r="F3597">
        <f t="shared" si="56"/>
        <v>0.25</v>
      </c>
      <c r="I3597">
        <v>20230101</v>
      </c>
      <c r="J3597" t="s">
        <v>3582</v>
      </c>
    </row>
    <row r="3598" spans="1:17" x14ac:dyDescent="0.3">
      <c r="A3598" s="160">
        <v>33255</v>
      </c>
      <c r="B3598" t="s">
        <v>18799</v>
      </c>
      <c r="C3598" t="s">
        <v>3583</v>
      </c>
      <c r="D3598">
        <v>0.25</v>
      </c>
      <c r="E3598">
        <v>0</v>
      </c>
      <c r="F3598">
        <f t="shared" si="56"/>
        <v>0.25</v>
      </c>
      <c r="I3598">
        <v>20220701</v>
      </c>
      <c r="J3598" t="s">
        <v>3743</v>
      </c>
    </row>
    <row r="3599" spans="1:17" x14ac:dyDescent="0.3">
      <c r="A3599" s="160">
        <v>33256</v>
      </c>
      <c r="B3599" t="s">
        <v>18800</v>
      </c>
      <c r="C3599" t="s">
        <v>18588</v>
      </c>
      <c r="D3599">
        <v>0</v>
      </c>
      <c r="E3599">
        <v>0.5</v>
      </c>
      <c r="F3599">
        <f t="shared" si="56"/>
        <v>0.5</v>
      </c>
      <c r="I3599">
        <v>20240101</v>
      </c>
      <c r="J3599" t="s">
        <v>3594</v>
      </c>
      <c r="K3599" t="s">
        <v>3598</v>
      </c>
    </row>
    <row r="3600" spans="1:17" x14ac:dyDescent="0.3">
      <c r="A3600" s="160">
        <v>33257</v>
      </c>
      <c r="B3600" t="s">
        <v>18801</v>
      </c>
      <c r="C3600" t="s">
        <v>18588</v>
      </c>
      <c r="D3600">
        <v>0</v>
      </c>
      <c r="E3600">
        <v>0.5</v>
      </c>
      <c r="F3600">
        <f t="shared" si="56"/>
        <v>0.5</v>
      </c>
      <c r="I3600">
        <v>20240101</v>
      </c>
      <c r="J3600" t="s">
        <v>3716</v>
      </c>
    </row>
    <row r="3601" spans="1:26" x14ac:dyDescent="0.3">
      <c r="A3601" s="160">
        <v>33258</v>
      </c>
      <c r="B3601" t="s">
        <v>18802</v>
      </c>
      <c r="C3601" t="s">
        <v>18588</v>
      </c>
      <c r="D3601">
        <v>0</v>
      </c>
      <c r="E3601">
        <v>0.5</v>
      </c>
      <c r="F3601">
        <f t="shared" si="56"/>
        <v>0.5</v>
      </c>
      <c r="I3601">
        <v>20240101</v>
      </c>
      <c r="J3601" t="s">
        <v>18589</v>
      </c>
    </row>
    <row r="3602" spans="1:26" x14ac:dyDescent="0.3">
      <c r="A3602" s="160">
        <v>33259</v>
      </c>
      <c r="B3602" t="s">
        <v>18803</v>
      </c>
      <c r="C3602" t="s">
        <v>18588</v>
      </c>
      <c r="D3602">
        <v>0</v>
      </c>
      <c r="E3602">
        <v>0.5</v>
      </c>
      <c r="F3602">
        <f t="shared" si="56"/>
        <v>0.5</v>
      </c>
      <c r="I3602">
        <v>20240101</v>
      </c>
      <c r="J3602" t="s">
        <v>18601</v>
      </c>
    </row>
    <row r="3603" spans="1:26" x14ac:dyDescent="0.3">
      <c r="A3603" s="160">
        <v>33260</v>
      </c>
      <c r="B3603" t="s">
        <v>18804</v>
      </c>
      <c r="C3603" t="s">
        <v>18588</v>
      </c>
      <c r="D3603">
        <v>0</v>
      </c>
      <c r="E3603">
        <v>0.5</v>
      </c>
      <c r="F3603">
        <f t="shared" si="56"/>
        <v>0.5</v>
      </c>
      <c r="I3603">
        <v>20240101</v>
      </c>
      <c r="J3603" t="s">
        <v>18630</v>
      </c>
    </row>
    <row r="3604" spans="1:26" x14ac:dyDescent="0.3">
      <c r="A3604" s="160">
        <v>33262</v>
      </c>
      <c r="B3604" t="s">
        <v>18805</v>
      </c>
      <c r="C3604" t="s">
        <v>18588</v>
      </c>
      <c r="D3604">
        <v>0</v>
      </c>
      <c r="E3604">
        <v>0.5</v>
      </c>
      <c r="F3604">
        <f t="shared" si="56"/>
        <v>0.5</v>
      </c>
      <c r="I3604">
        <v>20240101</v>
      </c>
      <c r="J3604" t="s">
        <v>18592</v>
      </c>
    </row>
    <row r="3605" spans="1:26" x14ac:dyDescent="0.3">
      <c r="A3605" s="160">
        <v>33263</v>
      </c>
      <c r="B3605" t="s">
        <v>18806</v>
      </c>
      <c r="C3605" t="s">
        <v>18588</v>
      </c>
      <c r="D3605">
        <v>0</v>
      </c>
      <c r="E3605">
        <v>0.5</v>
      </c>
      <c r="F3605">
        <f t="shared" si="56"/>
        <v>0.5</v>
      </c>
      <c r="I3605">
        <v>20240101</v>
      </c>
      <c r="J3605" t="s">
        <v>18645</v>
      </c>
    </row>
    <row r="3606" spans="1:26" x14ac:dyDescent="0.3">
      <c r="A3606" s="160">
        <v>33264</v>
      </c>
      <c r="B3606" t="s">
        <v>18807</v>
      </c>
      <c r="C3606" t="s">
        <v>3562</v>
      </c>
      <c r="D3606">
        <v>0.8</v>
      </c>
      <c r="E3606">
        <v>0.5</v>
      </c>
      <c r="F3606">
        <f t="shared" si="56"/>
        <v>1.3</v>
      </c>
      <c r="I3606">
        <v>20240101</v>
      </c>
      <c r="J3606" t="s">
        <v>3563</v>
      </c>
    </row>
    <row r="3607" spans="1:26" x14ac:dyDescent="0.3">
      <c r="A3607" s="160">
        <v>33266</v>
      </c>
      <c r="B3607" t="s">
        <v>18808</v>
      </c>
      <c r="C3607" t="s">
        <v>18588</v>
      </c>
      <c r="D3607">
        <v>0</v>
      </c>
      <c r="E3607">
        <v>0.5</v>
      </c>
      <c r="F3607">
        <f t="shared" si="56"/>
        <v>0.5</v>
      </c>
      <c r="I3607">
        <v>20240101</v>
      </c>
      <c r="J3607" t="s">
        <v>3738</v>
      </c>
    </row>
    <row r="3608" spans="1:26" x14ac:dyDescent="0.3">
      <c r="A3608" s="160">
        <v>33268</v>
      </c>
      <c r="B3608" t="s">
        <v>18809</v>
      </c>
      <c r="C3608" t="s">
        <v>18588</v>
      </c>
      <c r="D3608">
        <v>0</v>
      </c>
      <c r="E3608">
        <v>0.5</v>
      </c>
      <c r="F3608">
        <f t="shared" si="56"/>
        <v>0.5</v>
      </c>
      <c r="I3608">
        <v>20240101</v>
      </c>
      <c r="J3608" t="s">
        <v>18592</v>
      </c>
    </row>
    <row r="3609" spans="1:26" x14ac:dyDescent="0.3">
      <c r="A3609" s="160">
        <v>33269</v>
      </c>
      <c r="B3609" t="s">
        <v>18810</v>
      </c>
      <c r="C3609" t="s">
        <v>18588</v>
      </c>
      <c r="D3609">
        <v>0</v>
      </c>
      <c r="E3609">
        <v>0.5</v>
      </c>
      <c r="F3609">
        <f t="shared" si="56"/>
        <v>0.5</v>
      </c>
      <c r="I3609">
        <v>20240101</v>
      </c>
      <c r="J3609" t="s">
        <v>18728</v>
      </c>
    </row>
    <row r="3610" spans="1:26" x14ac:dyDescent="0.3">
      <c r="A3610" s="160">
        <v>33272</v>
      </c>
      <c r="B3610" t="s">
        <v>18811</v>
      </c>
      <c r="C3610" t="s">
        <v>18588</v>
      </c>
      <c r="D3610">
        <v>0</v>
      </c>
      <c r="E3610">
        <v>0.5</v>
      </c>
      <c r="F3610">
        <f t="shared" si="56"/>
        <v>0.5</v>
      </c>
      <c r="I3610">
        <v>20240101</v>
      </c>
      <c r="J3610" t="s">
        <v>3738</v>
      </c>
    </row>
    <row r="3611" spans="1:26" x14ac:dyDescent="0.3">
      <c r="A3611" s="160">
        <v>33273</v>
      </c>
      <c r="B3611" t="s">
        <v>18812</v>
      </c>
      <c r="C3611" t="s">
        <v>3566</v>
      </c>
      <c r="D3611">
        <v>2</v>
      </c>
      <c r="E3611">
        <v>0</v>
      </c>
      <c r="F3611">
        <f t="shared" si="56"/>
        <v>2</v>
      </c>
      <c r="I3611">
        <v>20200101</v>
      </c>
      <c r="J3611" t="s">
        <v>3744</v>
      </c>
      <c r="K3611" t="s">
        <v>3745</v>
      </c>
    </row>
    <row r="3612" spans="1:26" x14ac:dyDescent="0.3">
      <c r="A3612" s="160">
        <v>33274</v>
      </c>
      <c r="B3612" t="s">
        <v>18813</v>
      </c>
      <c r="C3612" t="s">
        <v>18609</v>
      </c>
      <c r="D3612">
        <v>0.6</v>
      </c>
      <c r="E3612">
        <v>0.5</v>
      </c>
      <c r="F3612">
        <f t="shared" si="56"/>
        <v>1.1000000000000001</v>
      </c>
      <c r="I3612">
        <v>20240101</v>
      </c>
      <c r="J3612" t="s">
        <v>18662</v>
      </c>
      <c r="K3612" t="s">
        <v>3729</v>
      </c>
    </row>
    <row r="3613" spans="1:26" x14ac:dyDescent="0.3">
      <c r="A3613" s="160">
        <v>33275</v>
      </c>
      <c r="B3613" t="s">
        <v>18814</v>
      </c>
      <c r="C3613" t="s">
        <v>18588</v>
      </c>
      <c r="D3613">
        <v>0</v>
      </c>
      <c r="E3613">
        <v>0.5</v>
      </c>
      <c r="F3613">
        <f t="shared" si="56"/>
        <v>0.5</v>
      </c>
      <c r="I3613">
        <v>20240101</v>
      </c>
      <c r="J3613" t="s">
        <v>18589</v>
      </c>
    </row>
    <row r="3614" spans="1:26" x14ac:dyDescent="0.3">
      <c r="A3614" s="160">
        <v>33279</v>
      </c>
      <c r="B3614" t="s">
        <v>18815</v>
      </c>
      <c r="C3614" t="s">
        <v>3583</v>
      </c>
      <c r="D3614">
        <v>0.25</v>
      </c>
      <c r="E3614">
        <v>0</v>
      </c>
      <c r="F3614">
        <f t="shared" si="56"/>
        <v>0.25</v>
      </c>
      <c r="I3614">
        <v>20220701</v>
      </c>
      <c r="J3614" t="s">
        <v>3592</v>
      </c>
      <c r="K3614" t="s">
        <v>3697</v>
      </c>
      <c r="L3614" t="s">
        <v>3737</v>
      </c>
    </row>
    <row r="3615" spans="1:26" x14ac:dyDescent="0.3">
      <c r="A3615" s="160">
        <v>33281</v>
      </c>
      <c r="B3615" t="s">
        <v>16670</v>
      </c>
      <c r="C3615" t="s">
        <v>3566</v>
      </c>
      <c r="D3615">
        <v>2</v>
      </c>
      <c r="E3615">
        <v>0</v>
      </c>
      <c r="F3615">
        <f t="shared" si="56"/>
        <v>2</v>
      </c>
      <c r="I3615">
        <v>20110101</v>
      </c>
      <c r="J3615" t="s">
        <v>18816</v>
      </c>
      <c r="K3615" t="s">
        <v>18817</v>
      </c>
      <c r="L3615" t="s">
        <v>18818</v>
      </c>
      <c r="M3615" t="s">
        <v>18819</v>
      </c>
      <c r="N3615" t="s">
        <v>18820</v>
      </c>
      <c r="O3615" t="s">
        <v>18821</v>
      </c>
      <c r="P3615" t="s">
        <v>18822</v>
      </c>
      <c r="Q3615" t="s">
        <v>18823</v>
      </c>
      <c r="R3615" t="s">
        <v>3746</v>
      </c>
      <c r="S3615" t="s">
        <v>3747</v>
      </c>
      <c r="T3615" t="s">
        <v>3748</v>
      </c>
      <c r="U3615" t="s">
        <v>3749</v>
      </c>
      <c r="V3615" t="s">
        <v>3750</v>
      </c>
      <c r="W3615" t="s">
        <v>3751</v>
      </c>
      <c r="X3615" t="s">
        <v>3752</v>
      </c>
      <c r="Y3615" t="s">
        <v>3753</v>
      </c>
      <c r="Z3615" t="s">
        <v>3754</v>
      </c>
    </row>
    <row r="3616" spans="1:26" x14ac:dyDescent="0.3">
      <c r="A3616" s="160">
        <v>33284</v>
      </c>
      <c r="B3616" t="s">
        <v>18824</v>
      </c>
      <c r="C3616" t="s">
        <v>18582</v>
      </c>
      <c r="D3616">
        <v>0.8</v>
      </c>
      <c r="E3616">
        <v>0.5</v>
      </c>
      <c r="F3616">
        <f t="shared" si="56"/>
        <v>1.3</v>
      </c>
      <c r="I3616">
        <v>20240101</v>
      </c>
      <c r="J3616" t="s">
        <v>18640</v>
      </c>
      <c r="K3616" t="s">
        <v>18699</v>
      </c>
    </row>
    <row r="3617" spans="1:12" x14ac:dyDescent="0.3">
      <c r="A3617" s="160">
        <v>33285</v>
      </c>
      <c r="B3617" t="s">
        <v>18825</v>
      </c>
      <c r="C3617" t="s">
        <v>18588</v>
      </c>
      <c r="D3617">
        <v>0</v>
      </c>
      <c r="E3617">
        <v>0.5</v>
      </c>
      <c r="F3617">
        <f t="shared" si="56"/>
        <v>0.5</v>
      </c>
      <c r="I3617">
        <v>20240101</v>
      </c>
      <c r="J3617" t="s">
        <v>18624</v>
      </c>
    </row>
    <row r="3618" spans="1:12" x14ac:dyDescent="0.3">
      <c r="A3618" s="160">
        <v>33287</v>
      </c>
      <c r="B3618" t="s">
        <v>18826</v>
      </c>
      <c r="C3618" t="s">
        <v>3564</v>
      </c>
      <c r="D3618">
        <v>0.25</v>
      </c>
      <c r="E3618">
        <v>0</v>
      </c>
      <c r="F3618">
        <f t="shared" si="56"/>
        <v>0.25</v>
      </c>
      <c r="I3618">
        <v>20230101</v>
      </c>
      <c r="J3618" t="s">
        <v>3582</v>
      </c>
      <c r="K3618" t="s">
        <v>3691</v>
      </c>
    </row>
    <row r="3619" spans="1:12" x14ac:dyDescent="0.3">
      <c r="A3619" s="160">
        <v>33288</v>
      </c>
      <c r="B3619" t="s">
        <v>18827</v>
      </c>
      <c r="C3619" t="s">
        <v>18585</v>
      </c>
      <c r="D3619">
        <v>0.5</v>
      </c>
      <c r="E3619">
        <v>0.5</v>
      </c>
      <c r="F3619">
        <f t="shared" si="56"/>
        <v>1</v>
      </c>
      <c r="I3619">
        <v>20240101</v>
      </c>
      <c r="J3619" t="s">
        <v>18628</v>
      </c>
    </row>
    <row r="3620" spans="1:12" x14ac:dyDescent="0.3">
      <c r="A3620" s="160">
        <v>33289</v>
      </c>
      <c r="B3620" t="s">
        <v>18828</v>
      </c>
      <c r="C3620" t="s">
        <v>3564</v>
      </c>
      <c r="D3620">
        <v>0.25</v>
      </c>
      <c r="E3620">
        <v>0</v>
      </c>
      <c r="F3620">
        <f t="shared" si="56"/>
        <v>0.25</v>
      </c>
      <c r="I3620">
        <v>20230101</v>
      </c>
      <c r="J3620" t="s">
        <v>3755</v>
      </c>
    </row>
    <row r="3621" spans="1:12" x14ac:dyDescent="0.3">
      <c r="A3621" s="160">
        <v>33290</v>
      </c>
      <c r="B3621" t="s">
        <v>18829</v>
      </c>
      <c r="C3621" t="s">
        <v>18588</v>
      </c>
      <c r="D3621">
        <v>0</v>
      </c>
      <c r="E3621">
        <v>0.5</v>
      </c>
      <c r="F3621">
        <f t="shared" si="56"/>
        <v>0.5</v>
      </c>
      <c r="I3621">
        <v>20240101</v>
      </c>
      <c r="J3621" t="s">
        <v>18598</v>
      </c>
    </row>
    <row r="3622" spans="1:12" x14ac:dyDescent="0.3">
      <c r="A3622" s="160">
        <v>33291</v>
      </c>
      <c r="B3622" t="s">
        <v>18830</v>
      </c>
      <c r="C3622" t="s">
        <v>3564</v>
      </c>
      <c r="D3622">
        <v>0.25</v>
      </c>
      <c r="E3622">
        <v>0</v>
      </c>
      <c r="F3622">
        <f t="shared" si="56"/>
        <v>0.25</v>
      </c>
      <c r="I3622">
        <v>20230101</v>
      </c>
      <c r="J3622" t="s">
        <v>3582</v>
      </c>
    </row>
    <row r="3623" spans="1:12" x14ac:dyDescent="0.3">
      <c r="A3623" s="160">
        <v>33292</v>
      </c>
      <c r="B3623" t="s">
        <v>18831</v>
      </c>
      <c r="C3623" t="s">
        <v>18588</v>
      </c>
      <c r="D3623">
        <v>0</v>
      </c>
      <c r="E3623">
        <v>0.5</v>
      </c>
      <c r="F3623">
        <f t="shared" si="56"/>
        <v>0.5</v>
      </c>
      <c r="I3623">
        <v>20240101</v>
      </c>
      <c r="J3623" t="s">
        <v>18589</v>
      </c>
    </row>
    <row r="3624" spans="1:12" x14ac:dyDescent="0.3">
      <c r="A3624" s="160">
        <v>33293</v>
      </c>
      <c r="B3624" t="s">
        <v>18832</v>
      </c>
      <c r="C3624" t="s">
        <v>18588</v>
      </c>
      <c r="D3624">
        <v>0</v>
      </c>
      <c r="E3624">
        <v>0.5</v>
      </c>
      <c r="F3624">
        <f t="shared" si="56"/>
        <v>0.5</v>
      </c>
      <c r="I3624">
        <v>20240101</v>
      </c>
      <c r="J3624" t="s">
        <v>3735</v>
      </c>
      <c r="K3624" t="s">
        <v>18833</v>
      </c>
      <c r="L3624" t="s">
        <v>3736</v>
      </c>
    </row>
    <row r="3625" spans="1:12" x14ac:dyDescent="0.3">
      <c r="A3625" s="160">
        <v>33294</v>
      </c>
      <c r="B3625" t="s">
        <v>18834</v>
      </c>
      <c r="C3625" t="s">
        <v>3564</v>
      </c>
      <c r="D3625">
        <v>0.25</v>
      </c>
      <c r="E3625">
        <v>0</v>
      </c>
      <c r="F3625">
        <f t="shared" si="56"/>
        <v>0.25</v>
      </c>
      <c r="I3625">
        <v>20230101</v>
      </c>
      <c r="J3625" t="s">
        <v>3582</v>
      </c>
    </row>
    <row r="3626" spans="1:12" x14ac:dyDescent="0.3">
      <c r="A3626" s="160">
        <v>33295</v>
      </c>
      <c r="B3626" t="s">
        <v>18835</v>
      </c>
      <c r="C3626" t="s">
        <v>18588</v>
      </c>
      <c r="D3626">
        <v>0</v>
      </c>
      <c r="E3626">
        <v>0.5</v>
      </c>
      <c r="F3626">
        <f t="shared" si="56"/>
        <v>0.5</v>
      </c>
      <c r="I3626">
        <v>20240101</v>
      </c>
      <c r="J3626" t="s">
        <v>18601</v>
      </c>
    </row>
    <row r="3627" spans="1:12" x14ac:dyDescent="0.3">
      <c r="A3627" s="160">
        <v>33297</v>
      </c>
      <c r="B3627" t="s">
        <v>18836</v>
      </c>
      <c r="C3627" t="s">
        <v>18588</v>
      </c>
      <c r="D3627">
        <v>0</v>
      </c>
      <c r="E3627">
        <v>0.5</v>
      </c>
      <c r="F3627">
        <f t="shared" si="56"/>
        <v>0.5</v>
      </c>
      <c r="I3627">
        <v>20240101</v>
      </c>
      <c r="J3627" t="s">
        <v>18607</v>
      </c>
    </row>
    <row r="3628" spans="1:12" x14ac:dyDescent="0.3">
      <c r="A3628" s="160">
        <v>33298</v>
      </c>
      <c r="B3628" t="s">
        <v>18837</v>
      </c>
      <c r="C3628" t="s">
        <v>3562</v>
      </c>
      <c r="D3628">
        <v>0.8</v>
      </c>
      <c r="E3628">
        <v>0.5</v>
      </c>
      <c r="F3628">
        <f t="shared" si="56"/>
        <v>1.3</v>
      </c>
      <c r="I3628">
        <v>20240101</v>
      </c>
      <c r="J3628" t="s">
        <v>3716</v>
      </c>
    </row>
    <row r="3629" spans="1:12" x14ac:dyDescent="0.3">
      <c r="A3629" s="160">
        <v>33299</v>
      </c>
      <c r="B3629" t="s">
        <v>18838</v>
      </c>
      <c r="C3629" t="s">
        <v>18588</v>
      </c>
      <c r="D3629">
        <v>0</v>
      </c>
      <c r="E3629">
        <v>0.5</v>
      </c>
      <c r="F3629">
        <f t="shared" si="56"/>
        <v>0.5</v>
      </c>
      <c r="I3629">
        <v>20240101</v>
      </c>
      <c r="J3629" t="s">
        <v>18628</v>
      </c>
    </row>
    <row r="3630" spans="1:12" x14ac:dyDescent="0.3">
      <c r="A3630" s="160">
        <v>33301</v>
      </c>
      <c r="B3630" t="s">
        <v>18839</v>
      </c>
      <c r="C3630" t="s">
        <v>18588</v>
      </c>
      <c r="D3630">
        <v>0</v>
      </c>
      <c r="E3630">
        <v>0.5</v>
      </c>
      <c r="F3630">
        <f t="shared" si="56"/>
        <v>0.5</v>
      </c>
      <c r="I3630">
        <v>20240101</v>
      </c>
      <c r="J3630" t="s">
        <v>3716</v>
      </c>
    </row>
    <row r="3631" spans="1:12" x14ac:dyDescent="0.3">
      <c r="A3631" s="160">
        <v>33302</v>
      </c>
      <c r="B3631" t="s">
        <v>18840</v>
      </c>
      <c r="C3631" t="s">
        <v>18588</v>
      </c>
      <c r="D3631">
        <v>0</v>
      </c>
      <c r="E3631">
        <v>0.5</v>
      </c>
      <c r="F3631">
        <f t="shared" si="56"/>
        <v>0.5</v>
      </c>
      <c r="I3631">
        <v>20240101</v>
      </c>
      <c r="J3631" t="s">
        <v>3578</v>
      </c>
      <c r="K3631" t="s">
        <v>3580</v>
      </c>
    </row>
    <row r="3632" spans="1:12" x14ac:dyDescent="0.3">
      <c r="A3632" s="160">
        <v>33303</v>
      </c>
      <c r="B3632" t="s">
        <v>18841</v>
      </c>
      <c r="C3632" t="s">
        <v>3562</v>
      </c>
      <c r="D3632">
        <v>0.8</v>
      </c>
      <c r="E3632">
        <v>0.5</v>
      </c>
      <c r="F3632">
        <f t="shared" si="56"/>
        <v>1.3</v>
      </c>
      <c r="I3632">
        <v>20240101</v>
      </c>
      <c r="J3632" t="s">
        <v>3706</v>
      </c>
    </row>
    <row r="3633" spans="1:20" x14ac:dyDescent="0.3">
      <c r="A3633" s="160">
        <v>33306</v>
      </c>
      <c r="B3633" t="s">
        <v>18842</v>
      </c>
      <c r="C3633" t="s">
        <v>3564</v>
      </c>
      <c r="D3633">
        <v>0.25</v>
      </c>
      <c r="E3633">
        <v>0</v>
      </c>
      <c r="F3633">
        <f t="shared" si="56"/>
        <v>0.25</v>
      </c>
      <c r="I3633">
        <v>20230101</v>
      </c>
      <c r="J3633" t="s">
        <v>3582</v>
      </c>
    </row>
    <row r="3634" spans="1:20" x14ac:dyDescent="0.3">
      <c r="A3634" s="160">
        <v>33307</v>
      </c>
      <c r="B3634" t="s">
        <v>18843</v>
      </c>
      <c r="C3634" t="s">
        <v>3583</v>
      </c>
      <c r="D3634">
        <v>0.25</v>
      </c>
      <c r="E3634">
        <v>0.5</v>
      </c>
      <c r="F3634">
        <f t="shared" si="56"/>
        <v>0.75</v>
      </c>
      <c r="I3634">
        <v>20240101</v>
      </c>
      <c r="J3634" t="s">
        <v>3584</v>
      </c>
    </row>
    <row r="3635" spans="1:20" x14ac:dyDescent="0.3">
      <c r="A3635" s="160">
        <v>33308</v>
      </c>
      <c r="B3635" t="s">
        <v>18844</v>
      </c>
      <c r="C3635" t="s">
        <v>18585</v>
      </c>
      <c r="D3635">
        <v>0.5</v>
      </c>
      <c r="E3635">
        <v>0.5</v>
      </c>
      <c r="F3635">
        <f t="shared" si="56"/>
        <v>1</v>
      </c>
      <c r="I3635">
        <v>20240101</v>
      </c>
      <c r="J3635" t="s">
        <v>18628</v>
      </c>
    </row>
    <row r="3636" spans="1:20" x14ac:dyDescent="0.3">
      <c r="A3636" s="160">
        <v>33310</v>
      </c>
      <c r="B3636" t="s">
        <v>18845</v>
      </c>
      <c r="C3636" t="s">
        <v>3583</v>
      </c>
      <c r="D3636">
        <v>0.25</v>
      </c>
      <c r="E3636">
        <v>0.5</v>
      </c>
      <c r="F3636">
        <f t="shared" si="56"/>
        <v>0.75</v>
      </c>
      <c r="I3636">
        <v>20240101</v>
      </c>
      <c r="J3636" t="s">
        <v>3692</v>
      </c>
    </row>
    <row r="3637" spans="1:20" x14ac:dyDescent="0.3">
      <c r="A3637" s="160">
        <v>33311</v>
      </c>
      <c r="B3637" t="s">
        <v>18846</v>
      </c>
      <c r="C3637" t="s">
        <v>18585</v>
      </c>
      <c r="D3637">
        <v>0.5</v>
      </c>
      <c r="E3637">
        <v>0.5</v>
      </c>
      <c r="F3637">
        <f t="shared" si="56"/>
        <v>1</v>
      </c>
      <c r="I3637">
        <v>20240101</v>
      </c>
      <c r="J3637" t="s">
        <v>18680</v>
      </c>
    </row>
    <row r="3638" spans="1:20" x14ac:dyDescent="0.3">
      <c r="A3638" s="160">
        <v>33312</v>
      </c>
      <c r="B3638" t="s">
        <v>18847</v>
      </c>
      <c r="C3638" t="s">
        <v>3566</v>
      </c>
      <c r="D3638">
        <v>2</v>
      </c>
      <c r="E3638">
        <v>0</v>
      </c>
      <c r="F3638">
        <f t="shared" si="56"/>
        <v>2</v>
      </c>
      <c r="I3638">
        <v>20110101</v>
      </c>
      <c r="J3638" t="s">
        <v>3594</v>
      </c>
      <c r="K3638" t="s">
        <v>3599</v>
      </c>
    </row>
    <row r="3639" spans="1:20" x14ac:dyDescent="0.3">
      <c r="A3639" s="160">
        <v>33315</v>
      </c>
      <c r="B3639" t="s">
        <v>18848</v>
      </c>
      <c r="C3639" t="s">
        <v>3562</v>
      </c>
      <c r="D3639">
        <v>0.8</v>
      </c>
      <c r="E3639">
        <v>0.5</v>
      </c>
      <c r="F3639">
        <f t="shared" si="56"/>
        <v>1.3</v>
      </c>
      <c r="I3639">
        <v>20240101</v>
      </c>
      <c r="J3639" t="s">
        <v>3563</v>
      </c>
    </row>
    <row r="3640" spans="1:20" x14ac:dyDescent="0.3">
      <c r="A3640" s="160">
        <v>33317</v>
      </c>
      <c r="B3640" t="s">
        <v>18849</v>
      </c>
      <c r="C3640" t="s">
        <v>18588</v>
      </c>
      <c r="D3640">
        <v>0</v>
      </c>
      <c r="E3640">
        <v>0.5</v>
      </c>
      <c r="F3640">
        <f t="shared" si="56"/>
        <v>0.5</v>
      </c>
      <c r="I3640">
        <v>20240101</v>
      </c>
      <c r="J3640" t="s">
        <v>18601</v>
      </c>
    </row>
    <row r="3641" spans="1:20" x14ac:dyDescent="0.3">
      <c r="A3641" s="160">
        <v>33318</v>
      </c>
      <c r="B3641" t="s">
        <v>18850</v>
      </c>
      <c r="C3641" t="s">
        <v>3566</v>
      </c>
      <c r="D3641">
        <v>2</v>
      </c>
      <c r="E3641">
        <v>0</v>
      </c>
      <c r="F3641">
        <f t="shared" si="56"/>
        <v>2</v>
      </c>
      <c r="I3641">
        <v>20110101</v>
      </c>
      <c r="J3641" t="s">
        <v>3756</v>
      </c>
      <c r="K3641" t="s">
        <v>3757</v>
      </c>
      <c r="L3641" t="s">
        <v>3758</v>
      </c>
      <c r="M3641" t="s">
        <v>3759</v>
      </c>
      <c r="N3641" t="s">
        <v>3760</v>
      </c>
      <c r="O3641" t="s">
        <v>3761</v>
      </c>
      <c r="P3641" t="s">
        <v>3762</v>
      </c>
      <c r="Q3641" t="s">
        <v>3763</v>
      </c>
      <c r="R3641" t="s">
        <v>3764</v>
      </c>
      <c r="S3641" t="s">
        <v>3765</v>
      </c>
      <c r="T3641" t="s">
        <v>3766</v>
      </c>
    </row>
    <row r="3642" spans="1:20" x14ac:dyDescent="0.3">
      <c r="A3642" s="160">
        <v>33321</v>
      </c>
      <c r="B3642" t="s">
        <v>18851</v>
      </c>
      <c r="C3642" t="s">
        <v>18588</v>
      </c>
      <c r="D3642">
        <v>0</v>
      </c>
      <c r="E3642">
        <v>0.5</v>
      </c>
      <c r="F3642">
        <f t="shared" si="56"/>
        <v>0.5</v>
      </c>
      <c r="I3642">
        <v>20240101</v>
      </c>
      <c r="J3642" t="s">
        <v>18601</v>
      </c>
    </row>
    <row r="3643" spans="1:20" x14ac:dyDescent="0.3">
      <c r="A3643" s="160">
        <v>33322</v>
      </c>
      <c r="B3643" t="s">
        <v>18852</v>
      </c>
      <c r="C3643" t="s">
        <v>18588</v>
      </c>
      <c r="D3643">
        <v>0</v>
      </c>
      <c r="E3643">
        <v>0.5</v>
      </c>
      <c r="F3643">
        <f t="shared" si="56"/>
        <v>0.5</v>
      </c>
      <c r="I3643">
        <v>20240101</v>
      </c>
      <c r="J3643" t="s">
        <v>3594</v>
      </c>
    </row>
    <row r="3644" spans="1:20" x14ac:dyDescent="0.3">
      <c r="A3644" s="160">
        <v>33323</v>
      </c>
      <c r="B3644" t="s">
        <v>18853</v>
      </c>
      <c r="C3644" t="s">
        <v>3583</v>
      </c>
      <c r="D3644">
        <v>0.25</v>
      </c>
      <c r="E3644">
        <v>0</v>
      </c>
      <c r="F3644">
        <f t="shared" si="56"/>
        <v>0.25</v>
      </c>
      <c r="I3644">
        <v>20220701</v>
      </c>
      <c r="J3644" t="s">
        <v>3710</v>
      </c>
    </row>
    <row r="3645" spans="1:20" x14ac:dyDescent="0.3">
      <c r="A3645" s="160">
        <v>33327</v>
      </c>
      <c r="B3645" t="s">
        <v>18854</v>
      </c>
      <c r="C3645" t="s">
        <v>18585</v>
      </c>
      <c r="D3645">
        <v>0.5</v>
      </c>
      <c r="E3645">
        <v>0.5</v>
      </c>
      <c r="F3645">
        <f t="shared" si="56"/>
        <v>1</v>
      </c>
      <c r="I3645">
        <v>20240101</v>
      </c>
      <c r="J3645" t="s">
        <v>3772</v>
      </c>
    </row>
    <row r="3646" spans="1:20" x14ac:dyDescent="0.3">
      <c r="A3646" s="160">
        <v>33328</v>
      </c>
      <c r="B3646" t="s">
        <v>18855</v>
      </c>
      <c r="C3646" t="s">
        <v>3562</v>
      </c>
      <c r="D3646">
        <v>0.8</v>
      </c>
      <c r="E3646">
        <v>0</v>
      </c>
      <c r="F3646">
        <f t="shared" si="56"/>
        <v>0.8</v>
      </c>
      <c r="I3646">
        <v>20230701</v>
      </c>
      <c r="J3646" t="s">
        <v>3578</v>
      </c>
      <c r="K3646" t="s">
        <v>3740</v>
      </c>
    </row>
    <row r="3647" spans="1:20" x14ac:dyDescent="0.3">
      <c r="A3647" s="160">
        <v>33329</v>
      </c>
      <c r="B3647" t="s">
        <v>18856</v>
      </c>
      <c r="C3647" t="s">
        <v>3583</v>
      </c>
      <c r="D3647">
        <v>0.25</v>
      </c>
      <c r="E3647">
        <v>0</v>
      </c>
      <c r="F3647">
        <f t="shared" si="56"/>
        <v>0.25</v>
      </c>
      <c r="I3647">
        <v>20220701</v>
      </c>
      <c r="J3647" t="s">
        <v>3584</v>
      </c>
    </row>
    <row r="3648" spans="1:20" x14ac:dyDescent="0.3">
      <c r="A3648" s="160">
        <v>33330</v>
      </c>
      <c r="B3648" t="s">
        <v>18857</v>
      </c>
      <c r="C3648" t="s">
        <v>18588</v>
      </c>
      <c r="D3648">
        <v>0</v>
      </c>
      <c r="E3648">
        <v>0.5</v>
      </c>
      <c r="F3648">
        <f t="shared" si="56"/>
        <v>0.5</v>
      </c>
      <c r="I3648">
        <v>20240101</v>
      </c>
      <c r="J3648" t="s">
        <v>3577</v>
      </c>
    </row>
    <row r="3649" spans="1:12" x14ac:dyDescent="0.3">
      <c r="A3649" s="160">
        <v>33331</v>
      </c>
      <c r="B3649" t="s">
        <v>18858</v>
      </c>
      <c r="C3649" t="s">
        <v>3564</v>
      </c>
      <c r="D3649">
        <v>0.25</v>
      </c>
      <c r="E3649">
        <v>0</v>
      </c>
      <c r="F3649">
        <f t="shared" si="56"/>
        <v>0.25</v>
      </c>
      <c r="I3649">
        <v>20240101</v>
      </c>
      <c r="J3649" t="s">
        <v>3582</v>
      </c>
    </row>
    <row r="3650" spans="1:12" x14ac:dyDescent="0.3">
      <c r="A3650" s="160">
        <v>33332</v>
      </c>
      <c r="B3650" t="s">
        <v>18859</v>
      </c>
      <c r="C3650" t="s">
        <v>3562</v>
      </c>
      <c r="D3650">
        <v>0.8</v>
      </c>
      <c r="E3650">
        <v>0</v>
      </c>
      <c r="F3650">
        <f t="shared" si="56"/>
        <v>0.8</v>
      </c>
      <c r="I3650">
        <v>20230701</v>
      </c>
      <c r="J3650" t="s">
        <v>3707</v>
      </c>
    </row>
    <row r="3651" spans="1:12" x14ac:dyDescent="0.3">
      <c r="A3651" s="160">
        <v>33333</v>
      </c>
      <c r="B3651" t="s">
        <v>18860</v>
      </c>
      <c r="C3651" t="s">
        <v>18588</v>
      </c>
      <c r="D3651">
        <v>0</v>
      </c>
      <c r="E3651">
        <v>0.5</v>
      </c>
      <c r="F3651">
        <f t="shared" si="56"/>
        <v>0.5</v>
      </c>
      <c r="I3651">
        <v>20240101</v>
      </c>
      <c r="J3651" t="s">
        <v>18766</v>
      </c>
    </row>
    <row r="3652" spans="1:12" x14ac:dyDescent="0.3">
      <c r="A3652" s="160">
        <v>33334</v>
      </c>
      <c r="B3652" t="s">
        <v>18861</v>
      </c>
      <c r="C3652" t="s">
        <v>18585</v>
      </c>
      <c r="D3652">
        <v>0.5</v>
      </c>
      <c r="E3652">
        <v>0.5</v>
      </c>
      <c r="F3652">
        <f t="shared" si="56"/>
        <v>1</v>
      </c>
      <c r="I3652">
        <v>20240101</v>
      </c>
      <c r="J3652" t="s">
        <v>18586</v>
      </c>
    </row>
    <row r="3653" spans="1:12" x14ac:dyDescent="0.3">
      <c r="A3653" s="160">
        <v>33335</v>
      </c>
      <c r="B3653" t="s">
        <v>18862</v>
      </c>
      <c r="C3653" t="s">
        <v>18588</v>
      </c>
      <c r="D3653">
        <v>0</v>
      </c>
      <c r="E3653">
        <v>0.5</v>
      </c>
      <c r="F3653">
        <f t="shared" si="56"/>
        <v>0.5</v>
      </c>
      <c r="I3653">
        <v>20240101</v>
      </c>
      <c r="J3653" t="s">
        <v>18645</v>
      </c>
    </row>
    <row r="3654" spans="1:12" x14ac:dyDescent="0.3">
      <c r="A3654" s="160">
        <v>33336</v>
      </c>
      <c r="B3654" t="s">
        <v>18863</v>
      </c>
      <c r="C3654" t="s">
        <v>3583</v>
      </c>
      <c r="D3654">
        <v>0.25</v>
      </c>
      <c r="E3654">
        <v>0</v>
      </c>
      <c r="F3654">
        <f t="shared" si="56"/>
        <v>0.25</v>
      </c>
      <c r="I3654">
        <v>20220701</v>
      </c>
      <c r="J3654" t="s">
        <v>3584</v>
      </c>
    </row>
    <row r="3655" spans="1:12" x14ac:dyDescent="0.3">
      <c r="A3655" s="160">
        <v>33337</v>
      </c>
      <c r="B3655" t="s">
        <v>18864</v>
      </c>
      <c r="C3655" t="s">
        <v>18585</v>
      </c>
      <c r="D3655">
        <v>0.5</v>
      </c>
      <c r="E3655">
        <v>0.5</v>
      </c>
      <c r="F3655">
        <f t="shared" ref="F3655:F3718" si="57">D3655+E3655</f>
        <v>1</v>
      </c>
      <c r="I3655">
        <v>20240101</v>
      </c>
      <c r="J3655" t="s">
        <v>3592</v>
      </c>
      <c r="K3655" t="s">
        <v>3697</v>
      </c>
      <c r="L3655" t="s">
        <v>3737</v>
      </c>
    </row>
    <row r="3656" spans="1:12" x14ac:dyDescent="0.3">
      <c r="A3656" s="160">
        <v>33339</v>
      </c>
      <c r="B3656" t="s">
        <v>18865</v>
      </c>
      <c r="C3656" t="s">
        <v>18588</v>
      </c>
      <c r="D3656">
        <v>0</v>
      </c>
      <c r="E3656">
        <v>0.5</v>
      </c>
      <c r="F3656">
        <f t="shared" si="57"/>
        <v>0.5</v>
      </c>
      <c r="I3656">
        <v>20240101</v>
      </c>
      <c r="J3656" t="s">
        <v>18624</v>
      </c>
    </row>
    <row r="3657" spans="1:12" x14ac:dyDescent="0.3">
      <c r="A3657" s="160">
        <v>33341</v>
      </c>
      <c r="B3657" t="s">
        <v>18866</v>
      </c>
      <c r="C3657" t="s">
        <v>18588</v>
      </c>
      <c r="D3657">
        <v>0</v>
      </c>
      <c r="E3657">
        <v>0.5</v>
      </c>
      <c r="F3657">
        <f t="shared" si="57"/>
        <v>0.5</v>
      </c>
      <c r="I3657">
        <v>20240101</v>
      </c>
      <c r="J3657" t="s">
        <v>18624</v>
      </c>
    </row>
    <row r="3658" spans="1:12" x14ac:dyDescent="0.3">
      <c r="A3658" s="160">
        <v>33343</v>
      </c>
      <c r="B3658" t="s">
        <v>18867</v>
      </c>
      <c r="C3658" t="s">
        <v>18585</v>
      </c>
      <c r="D3658">
        <v>0.5</v>
      </c>
      <c r="E3658">
        <v>0.5</v>
      </c>
      <c r="F3658">
        <f t="shared" si="57"/>
        <v>1</v>
      </c>
      <c r="I3658">
        <v>20240101</v>
      </c>
      <c r="J3658" t="s">
        <v>3592</v>
      </c>
    </row>
    <row r="3659" spans="1:12" x14ac:dyDescent="0.3">
      <c r="A3659" s="160">
        <v>33346</v>
      </c>
      <c r="B3659" t="s">
        <v>18868</v>
      </c>
      <c r="C3659" t="s">
        <v>3564</v>
      </c>
      <c r="D3659">
        <v>0.25</v>
      </c>
      <c r="E3659">
        <v>0</v>
      </c>
      <c r="F3659">
        <f t="shared" si="57"/>
        <v>0.25</v>
      </c>
      <c r="I3659">
        <v>20240101</v>
      </c>
      <c r="J3659" t="s">
        <v>3582</v>
      </c>
    </row>
    <row r="3660" spans="1:12" x14ac:dyDescent="0.3">
      <c r="A3660" s="160">
        <v>33347</v>
      </c>
      <c r="B3660" t="s">
        <v>18869</v>
      </c>
      <c r="C3660" t="s">
        <v>3562</v>
      </c>
      <c r="D3660">
        <v>0.8</v>
      </c>
      <c r="E3660">
        <v>0</v>
      </c>
      <c r="F3660">
        <f t="shared" si="57"/>
        <v>0.8</v>
      </c>
      <c r="I3660">
        <v>20230701</v>
      </c>
      <c r="J3660" t="s">
        <v>3707</v>
      </c>
    </row>
    <row r="3661" spans="1:12" x14ac:dyDescent="0.3">
      <c r="A3661" s="160">
        <v>33349</v>
      </c>
      <c r="B3661" t="s">
        <v>18870</v>
      </c>
      <c r="C3661" t="s">
        <v>18588</v>
      </c>
      <c r="D3661">
        <v>0</v>
      </c>
      <c r="E3661">
        <v>0.5</v>
      </c>
      <c r="F3661">
        <f t="shared" si="57"/>
        <v>0.5</v>
      </c>
      <c r="I3661">
        <v>20240101</v>
      </c>
      <c r="J3661" t="s">
        <v>18671</v>
      </c>
    </row>
    <row r="3662" spans="1:12" x14ac:dyDescent="0.3">
      <c r="A3662" s="160">
        <v>33350</v>
      </c>
      <c r="B3662" t="s">
        <v>18871</v>
      </c>
      <c r="C3662" t="s">
        <v>18588</v>
      </c>
      <c r="D3662">
        <v>0</v>
      </c>
      <c r="E3662">
        <v>0.5</v>
      </c>
      <c r="F3662">
        <f t="shared" si="57"/>
        <v>0.5</v>
      </c>
      <c r="I3662">
        <v>20240101</v>
      </c>
      <c r="J3662" t="s">
        <v>3716</v>
      </c>
    </row>
    <row r="3663" spans="1:12" x14ac:dyDescent="0.3">
      <c r="A3663" s="160">
        <v>33352</v>
      </c>
      <c r="B3663" t="s">
        <v>18872</v>
      </c>
      <c r="C3663" t="s">
        <v>3564</v>
      </c>
      <c r="D3663">
        <v>0.25</v>
      </c>
      <c r="E3663">
        <v>0</v>
      </c>
      <c r="F3663">
        <f t="shared" si="57"/>
        <v>0.25</v>
      </c>
      <c r="I3663">
        <v>20230101</v>
      </c>
      <c r="J3663" t="s">
        <v>3582</v>
      </c>
      <c r="K3663" t="s">
        <v>3691</v>
      </c>
      <c r="L3663" t="s">
        <v>3767</v>
      </c>
    </row>
    <row r="3664" spans="1:12" x14ac:dyDescent="0.3">
      <c r="A3664" s="160">
        <v>33355</v>
      </c>
      <c r="B3664" t="s">
        <v>18873</v>
      </c>
      <c r="C3664" t="s">
        <v>18585</v>
      </c>
      <c r="D3664">
        <v>0.5</v>
      </c>
      <c r="E3664">
        <v>0.5</v>
      </c>
      <c r="F3664">
        <f t="shared" si="57"/>
        <v>1</v>
      </c>
      <c r="I3664">
        <v>20240101</v>
      </c>
      <c r="J3664" t="s">
        <v>18628</v>
      </c>
    </row>
    <row r="3665" spans="1:12" x14ac:dyDescent="0.3">
      <c r="A3665" s="160">
        <v>33356</v>
      </c>
      <c r="B3665" t="s">
        <v>18874</v>
      </c>
      <c r="C3665" t="s">
        <v>18588</v>
      </c>
      <c r="D3665">
        <v>0</v>
      </c>
      <c r="E3665">
        <v>0.5</v>
      </c>
      <c r="F3665">
        <f t="shared" si="57"/>
        <v>0.5</v>
      </c>
      <c r="I3665">
        <v>20240101</v>
      </c>
      <c r="J3665" t="s">
        <v>18738</v>
      </c>
    </row>
    <row r="3666" spans="1:12" x14ac:dyDescent="0.3">
      <c r="A3666" s="160">
        <v>33357</v>
      </c>
      <c r="B3666" t="s">
        <v>18875</v>
      </c>
      <c r="C3666" t="s">
        <v>3583</v>
      </c>
      <c r="D3666">
        <v>0.25</v>
      </c>
      <c r="E3666">
        <v>0</v>
      </c>
      <c r="F3666">
        <f t="shared" si="57"/>
        <v>0.25</v>
      </c>
      <c r="I3666">
        <v>20220701</v>
      </c>
      <c r="J3666" t="s">
        <v>3592</v>
      </c>
      <c r="K3666" t="s">
        <v>3697</v>
      </c>
    </row>
    <row r="3667" spans="1:12" x14ac:dyDescent="0.3">
      <c r="A3667" s="160">
        <v>33358</v>
      </c>
      <c r="B3667" t="s">
        <v>18876</v>
      </c>
      <c r="C3667" t="s">
        <v>18588</v>
      </c>
      <c r="D3667">
        <v>0</v>
      </c>
      <c r="E3667">
        <v>0.5</v>
      </c>
      <c r="F3667">
        <f t="shared" si="57"/>
        <v>0.5</v>
      </c>
      <c r="I3667">
        <v>20240101</v>
      </c>
      <c r="J3667" t="s">
        <v>18589</v>
      </c>
    </row>
    <row r="3668" spans="1:12" x14ac:dyDescent="0.3">
      <c r="A3668" s="160">
        <v>33359</v>
      </c>
      <c r="B3668" t="s">
        <v>18877</v>
      </c>
      <c r="C3668" t="s">
        <v>3564</v>
      </c>
      <c r="D3668">
        <v>0.25</v>
      </c>
      <c r="E3668">
        <v>0</v>
      </c>
      <c r="F3668">
        <f t="shared" si="57"/>
        <v>0.25</v>
      </c>
      <c r="I3668">
        <v>20230101</v>
      </c>
      <c r="J3668" t="s">
        <v>3755</v>
      </c>
    </row>
    <row r="3669" spans="1:12" x14ac:dyDescent="0.3">
      <c r="A3669" s="160">
        <v>33362</v>
      </c>
      <c r="B3669" t="s">
        <v>18878</v>
      </c>
      <c r="C3669" t="s">
        <v>3562</v>
      </c>
      <c r="D3669">
        <v>0.8</v>
      </c>
      <c r="E3669">
        <v>0</v>
      </c>
      <c r="F3669">
        <f t="shared" si="57"/>
        <v>0.8</v>
      </c>
      <c r="I3669">
        <v>20230701</v>
      </c>
      <c r="J3669" t="s">
        <v>3601</v>
      </c>
    </row>
    <row r="3670" spans="1:12" x14ac:dyDescent="0.3">
      <c r="A3670" s="160">
        <v>33363</v>
      </c>
      <c r="B3670" t="s">
        <v>18879</v>
      </c>
      <c r="C3670" t="s">
        <v>18588</v>
      </c>
      <c r="D3670">
        <v>0</v>
      </c>
      <c r="E3670">
        <v>0.5</v>
      </c>
      <c r="F3670">
        <f t="shared" si="57"/>
        <v>0.5</v>
      </c>
      <c r="I3670">
        <v>20240101</v>
      </c>
      <c r="J3670" t="s">
        <v>18645</v>
      </c>
    </row>
    <row r="3671" spans="1:12" x14ac:dyDescent="0.3">
      <c r="A3671" s="160">
        <v>33364</v>
      </c>
      <c r="B3671" t="s">
        <v>18880</v>
      </c>
      <c r="C3671" t="s">
        <v>18588</v>
      </c>
      <c r="D3671">
        <v>0</v>
      </c>
      <c r="E3671">
        <v>0.5</v>
      </c>
      <c r="F3671">
        <f t="shared" si="57"/>
        <v>0.5</v>
      </c>
      <c r="I3671">
        <v>20240101</v>
      </c>
      <c r="J3671" t="s">
        <v>18881</v>
      </c>
    </row>
    <row r="3672" spans="1:12" x14ac:dyDescent="0.3">
      <c r="A3672" s="160">
        <v>33365</v>
      </c>
      <c r="B3672" t="s">
        <v>16154</v>
      </c>
      <c r="C3672" t="s">
        <v>18588</v>
      </c>
      <c r="D3672">
        <v>0</v>
      </c>
      <c r="E3672">
        <v>0.5</v>
      </c>
      <c r="F3672">
        <f t="shared" si="57"/>
        <v>0.5</v>
      </c>
      <c r="I3672">
        <v>20240101</v>
      </c>
      <c r="J3672" t="s">
        <v>18738</v>
      </c>
    </row>
    <row r="3673" spans="1:12" x14ac:dyDescent="0.3">
      <c r="A3673" s="160">
        <v>33366</v>
      </c>
      <c r="B3673" t="s">
        <v>18882</v>
      </c>
      <c r="C3673" t="s">
        <v>18588</v>
      </c>
      <c r="D3673">
        <v>0</v>
      </c>
      <c r="E3673">
        <v>0.5</v>
      </c>
      <c r="F3673">
        <f t="shared" si="57"/>
        <v>0.5</v>
      </c>
      <c r="I3673">
        <v>20240101</v>
      </c>
      <c r="J3673" t="s">
        <v>18601</v>
      </c>
    </row>
    <row r="3674" spans="1:12" x14ac:dyDescent="0.3">
      <c r="A3674" s="160">
        <v>33367</v>
      </c>
      <c r="B3674" t="s">
        <v>18883</v>
      </c>
      <c r="C3674" t="s">
        <v>3583</v>
      </c>
      <c r="D3674">
        <v>0.25</v>
      </c>
      <c r="E3674">
        <v>0</v>
      </c>
      <c r="F3674">
        <f t="shared" si="57"/>
        <v>0.25</v>
      </c>
      <c r="I3674">
        <v>20220701</v>
      </c>
      <c r="J3674" t="s">
        <v>3710</v>
      </c>
    </row>
    <row r="3675" spans="1:12" x14ac:dyDescent="0.3">
      <c r="A3675" s="160">
        <v>33373</v>
      </c>
      <c r="B3675" t="s">
        <v>18884</v>
      </c>
      <c r="C3675" t="s">
        <v>3562</v>
      </c>
      <c r="D3675">
        <v>0.8</v>
      </c>
      <c r="E3675">
        <v>0</v>
      </c>
      <c r="F3675">
        <f t="shared" si="57"/>
        <v>0.8</v>
      </c>
      <c r="I3675">
        <v>20230701</v>
      </c>
      <c r="J3675" t="s">
        <v>3707</v>
      </c>
    </row>
    <row r="3676" spans="1:12" x14ac:dyDescent="0.3">
      <c r="A3676" s="160">
        <v>33375</v>
      </c>
      <c r="B3676" t="s">
        <v>18885</v>
      </c>
      <c r="C3676" t="s">
        <v>18588</v>
      </c>
      <c r="D3676">
        <v>0</v>
      </c>
      <c r="E3676">
        <v>0.5</v>
      </c>
      <c r="F3676">
        <f t="shared" si="57"/>
        <v>0.5</v>
      </c>
      <c r="I3676">
        <v>20240101</v>
      </c>
      <c r="J3676" t="s">
        <v>3716</v>
      </c>
    </row>
    <row r="3677" spans="1:12" x14ac:dyDescent="0.3">
      <c r="A3677" s="160">
        <v>33376</v>
      </c>
      <c r="B3677" t="s">
        <v>18886</v>
      </c>
      <c r="C3677" t="s">
        <v>3566</v>
      </c>
      <c r="D3677">
        <v>2</v>
      </c>
      <c r="E3677">
        <v>0</v>
      </c>
      <c r="F3677">
        <f t="shared" si="57"/>
        <v>2</v>
      </c>
      <c r="I3677">
        <v>20110101</v>
      </c>
      <c r="J3677" t="s">
        <v>3768</v>
      </c>
      <c r="K3677" t="s">
        <v>3745</v>
      </c>
      <c r="L3677" t="s">
        <v>3769</v>
      </c>
    </row>
    <row r="3678" spans="1:12" x14ac:dyDescent="0.3">
      <c r="A3678" s="160">
        <v>33381</v>
      </c>
      <c r="B3678" t="s">
        <v>18887</v>
      </c>
      <c r="C3678" t="s">
        <v>18588</v>
      </c>
      <c r="D3678">
        <v>0</v>
      </c>
      <c r="E3678">
        <v>0.5</v>
      </c>
      <c r="F3678">
        <f t="shared" si="57"/>
        <v>0.5</v>
      </c>
      <c r="I3678">
        <v>20240101</v>
      </c>
      <c r="J3678" t="s">
        <v>18621</v>
      </c>
    </row>
    <row r="3679" spans="1:12" x14ac:dyDescent="0.3">
      <c r="A3679" s="160">
        <v>33382</v>
      </c>
      <c r="B3679" t="s">
        <v>18888</v>
      </c>
      <c r="C3679" t="s">
        <v>18588</v>
      </c>
      <c r="D3679">
        <v>0</v>
      </c>
      <c r="E3679">
        <v>0.5</v>
      </c>
      <c r="F3679">
        <f t="shared" si="57"/>
        <v>0.5</v>
      </c>
      <c r="I3679">
        <v>20240101</v>
      </c>
      <c r="J3679" t="s">
        <v>18706</v>
      </c>
    </row>
    <row r="3680" spans="1:12" x14ac:dyDescent="0.3">
      <c r="A3680" s="160">
        <v>33384</v>
      </c>
      <c r="B3680" t="s">
        <v>18889</v>
      </c>
      <c r="C3680" t="s">
        <v>18588</v>
      </c>
      <c r="D3680">
        <v>0</v>
      </c>
      <c r="E3680">
        <v>0.5</v>
      </c>
      <c r="F3680">
        <f t="shared" si="57"/>
        <v>0.5</v>
      </c>
      <c r="I3680">
        <v>20240101</v>
      </c>
      <c r="J3680" t="s">
        <v>18890</v>
      </c>
    </row>
    <row r="3681" spans="1:12" x14ac:dyDescent="0.3">
      <c r="A3681" s="160">
        <v>33385</v>
      </c>
      <c r="B3681" t="s">
        <v>18891</v>
      </c>
      <c r="C3681" t="s">
        <v>3562</v>
      </c>
      <c r="D3681">
        <v>0.8</v>
      </c>
      <c r="E3681">
        <v>0</v>
      </c>
      <c r="F3681">
        <f t="shared" si="57"/>
        <v>0.8</v>
      </c>
      <c r="I3681">
        <v>20230701</v>
      </c>
      <c r="J3681" t="s">
        <v>3563</v>
      </c>
    </row>
    <row r="3682" spans="1:12" x14ac:dyDescent="0.3">
      <c r="A3682" s="160">
        <v>33387</v>
      </c>
      <c r="B3682" t="s">
        <v>18892</v>
      </c>
      <c r="C3682" t="s">
        <v>3562</v>
      </c>
      <c r="D3682">
        <v>0.8</v>
      </c>
      <c r="E3682">
        <v>0.5</v>
      </c>
      <c r="F3682">
        <f t="shared" si="57"/>
        <v>1.3</v>
      </c>
      <c r="I3682">
        <v>20240101</v>
      </c>
      <c r="J3682" t="s">
        <v>3601</v>
      </c>
    </row>
    <row r="3683" spans="1:12" x14ac:dyDescent="0.3">
      <c r="A3683" s="160">
        <v>33388</v>
      </c>
      <c r="B3683" t="s">
        <v>18893</v>
      </c>
      <c r="C3683" t="s">
        <v>18588</v>
      </c>
      <c r="D3683">
        <v>0</v>
      </c>
      <c r="E3683">
        <v>0.5</v>
      </c>
      <c r="F3683">
        <f t="shared" si="57"/>
        <v>0.5</v>
      </c>
      <c r="I3683">
        <v>20240101</v>
      </c>
      <c r="J3683" t="s">
        <v>18624</v>
      </c>
    </row>
    <row r="3684" spans="1:12" x14ac:dyDescent="0.3">
      <c r="A3684" s="160">
        <v>33392</v>
      </c>
      <c r="B3684" t="s">
        <v>18894</v>
      </c>
      <c r="C3684" t="s">
        <v>18585</v>
      </c>
      <c r="D3684">
        <v>0.5</v>
      </c>
      <c r="E3684">
        <v>0.5</v>
      </c>
      <c r="F3684">
        <f t="shared" si="57"/>
        <v>1</v>
      </c>
      <c r="I3684">
        <v>20240101</v>
      </c>
      <c r="J3684" t="s">
        <v>18628</v>
      </c>
    </row>
    <row r="3685" spans="1:12" x14ac:dyDescent="0.3">
      <c r="A3685" s="160">
        <v>33393</v>
      </c>
      <c r="B3685" t="s">
        <v>18895</v>
      </c>
      <c r="C3685" t="s">
        <v>3562</v>
      </c>
      <c r="D3685">
        <v>0.8</v>
      </c>
      <c r="E3685">
        <v>0</v>
      </c>
      <c r="F3685">
        <f t="shared" si="57"/>
        <v>0.8</v>
      </c>
      <c r="I3685">
        <v>20230701</v>
      </c>
      <c r="J3685" t="s">
        <v>3601</v>
      </c>
    </row>
    <row r="3686" spans="1:12" x14ac:dyDescent="0.3">
      <c r="A3686" s="160">
        <v>33397</v>
      </c>
      <c r="B3686" t="s">
        <v>16380</v>
      </c>
      <c r="C3686" t="s">
        <v>18588</v>
      </c>
      <c r="D3686">
        <v>0</v>
      </c>
      <c r="E3686">
        <v>0.5</v>
      </c>
      <c r="F3686">
        <f t="shared" si="57"/>
        <v>0.5</v>
      </c>
      <c r="I3686">
        <v>20240101</v>
      </c>
      <c r="J3686" t="s">
        <v>3708</v>
      </c>
      <c r="K3686" t="s">
        <v>3709</v>
      </c>
      <c r="L3686" t="s">
        <v>3569</v>
      </c>
    </row>
    <row r="3687" spans="1:12" x14ac:dyDescent="0.3">
      <c r="A3687" s="160">
        <v>33398</v>
      </c>
      <c r="B3687" t="s">
        <v>18896</v>
      </c>
      <c r="C3687" t="s">
        <v>3564</v>
      </c>
      <c r="D3687">
        <v>0.25</v>
      </c>
      <c r="E3687">
        <v>0</v>
      </c>
      <c r="F3687">
        <f t="shared" si="57"/>
        <v>0.25</v>
      </c>
      <c r="I3687">
        <v>20230101</v>
      </c>
      <c r="J3687" t="s">
        <v>3582</v>
      </c>
    </row>
    <row r="3688" spans="1:12" x14ac:dyDescent="0.3">
      <c r="A3688" s="160">
        <v>33403</v>
      </c>
      <c r="B3688" t="s">
        <v>18897</v>
      </c>
      <c r="C3688" t="s">
        <v>3564</v>
      </c>
      <c r="D3688">
        <v>0.25</v>
      </c>
      <c r="E3688">
        <v>0</v>
      </c>
      <c r="F3688">
        <f t="shared" si="57"/>
        <v>0.25</v>
      </c>
      <c r="I3688">
        <v>20230101</v>
      </c>
      <c r="J3688" t="s">
        <v>3710</v>
      </c>
    </row>
    <row r="3689" spans="1:12" x14ac:dyDescent="0.3">
      <c r="A3689" s="160">
        <v>33407</v>
      </c>
      <c r="B3689" t="s">
        <v>18898</v>
      </c>
      <c r="C3689" t="s">
        <v>18588</v>
      </c>
      <c r="D3689">
        <v>0</v>
      </c>
      <c r="E3689">
        <v>0.5</v>
      </c>
      <c r="F3689">
        <f t="shared" si="57"/>
        <v>0.5</v>
      </c>
      <c r="I3689">
        <v>20240101</v>
      </c>
      <c r="J3689" t="s">
        <v>18601</v>
      </c>
    </row>
    <row r="3690" spans="1:12" x14ac:dyDescent="0.3">
      <c r="A3690" s="160">
        <v>33408</v>
      </c>
      <c r="B3690" t="s">
        <v>18899</v>
      </c>
      <c r="C3690" t="s">
        <v>18588</v>
      </c>
      <c r="D3690">
        <v>0</v>
      </c>
      <c r="E3690">
        <v>0.5</v>
      </c>
      <c r="F3690">
        <f t="shared" si="57"/>
        <v>0.5</v>
      </c>
      <c r="I3690">
        <v>20240101</v>
      </c>
      <c r="J3690" t="s">
        <v>18645</v>
      </c>
    </row>
    <row r="3691" spans="1:12" x14ac:dyDescent="0.3">
      <c r="A3691" s="160">
        <v>33409</v>
      </c>
      <c r="B3691" t="s">
        <v>18900</v>
      </c>
      <c r="C3691" t="s">
        <v>18588</v>
      </c>
      <c r="D3691">
        <v>0</v>
      </c>
      <c r="E3691">
        <v>0.5</v>
      </c>
      <c r="F3691">
        <f t="shared" si="57"/>
        <v>0.5</v>
      </c>
      <c r="I3691">
        <v>20240101</v>
      </c>
      <c r="J3691" t="s">
        <v>18589</v>
      </c>
    </row>
    <row r="3692" spans="1:12" x14ac:dyDescent="0.3">
      <c r="A3692" s="160">
        <v>33411</v>
      </c>
      <c r="B3692" t="s">
        <v>18901</v>
      </c>
      <c r="C3692" t="s">
        <v>3583</v>
      </c>
      <c r="D3692">
        <v>0.25</v>
      </c>
      <c r="E3692">
        <v>0</v>
      </c>
      <c r="F3692">
        <f t="shared" si="57"/>
        <v>0.25</v>
      </c>
      <c r="I3692">
        <v>20220701</v>
      </c>
      <c r="J3692" t="s">
        <v>3710</v>
      </c>
    </row>
    <row r="3693" spans="1:12" x14ac:dyDescent="0.3">
      <c r="A3693" s="160">
        <v>33413</v>
      </c>
      <c r="B3693" t="s">
        <v>18902</v>
      </c>
      <c r="C3693" t="s">
        <v>3562</v>
      </c>
      <c r="D3693">
        <v>0.8</v>
      </c>
      <c r="E3693">
        <v>0.5</v>
      </c>
      <c r="F3693">
        <f t="shared" si="57"/>
        <v>1.3</v>
      </c>
      <c r="I3693">
        <v>20240101</v>
      </c>
      <c r="J3693" t="s">
        <v>3706</v>
      </c>
    </row>
    <row r="3694" spans="1:12" x14ac:dyDescent="0.3">
      <c r="A3694" s="160">
        <v>33414</v>
      </c>
      <c r="B3694" t="s">
        <v>18903</v>
      </c>
      <c r="C3694" t="s">
        <v>18588</v>
      </c>
      <c r="D3694">
        <v>0</v>
      </c>
      <c r="E3694">
        <v>0.5</v>
      </c>
      <c r="F3694">
        <f t="shared" si="57"/>
        <v>0.5</v>
      </c>
      <c r="I3694">
        <v>20240101</v>
      </c>
      <c r="J3694" t="s">
        <v>18601</v>
      </c>
    </row>
    <row r="3695" spans="1:12" x14ac:dyDescent="0.3">
      <c r="A3695" s="160">
        <v>33415</v>
      </c>
      <c r="B3695" t="s">
        <v>18395</v>
      </c>
      <c r="C3695" t="s">
        <v>18588</v>
      </c>
      <c r="D3695">
        <v>0</v>
      </c>
      <c r="E3695">
        <v>0.5</v>
      </c>
      <c r="F3695">
        <f t="shared" si="57"/>
        <v>0.5</v>
      </c>
      <c r="I3695">
        <v>20240101</v>
      </c>
      <c r="J3695" t="s">
        <v>18601</v>
      </c>
    </row>
    <row r="3696" spans="1:12" x14ac:dyDescent="0.3">
      <c r="A3696" s="160">
        <v>33416</v>
      </c>
      <c r="B3696" t="s">
        <v>18904</v>
      </c>
      <c r="C3696" t="s">
        <v>18588</v>
      </c>
      <c r="D3696">
        <v>0</v>
      </c>
      <c r="E3696">
        <v>0.5</v>
      </c>
      <c r="F3696">
        <f t="shared" si="57"/>
        <v>0.5</v>
      </c>
      <c r="I3696">
        <v>20240101</v>
      </c>
      <c r="J3696" t="s">
        <v>18706</v>
      </c>
    </row>
    <row r="3697" spans="1:12" x14ac:dyDescent="0.3">
      <c r="A3697" s="160">
        <v>33417</v>
      </c>
      <c r="B3697" t="s">
        <v>18905</v>
      </c>
      <c r="C3697" t="s">
        <v>18588</v>
      </c>
      <c r="D3697">
        <v>0</v>
      </c>
      <c r="E3697">
        <v>0.5</v>
      </c>
      <c r="F3697">
        <f t="shared" si="57"/>
        <v>0.5</v>
      </c>
      <c r="I3697">
        <v>20240101</v>
      </c>
      <c r="J3697" t="s">
        <v>18607</v>
      </c>
    </row>
    <row r="3698" spans="1:12" x14ac:dyDescent="0.3">
      <c r="A3698" s="160">
        <v>33418</v>
      </c>
      <c r="B3698" t="s">
        <v>18906</v>
      </c>
      <c r="C3698" t="s">
        <v>3564</v>
      </c>
      <c r="D3698">
        <v>0.25</v>
      </c>
      <c r="E3698">
        <v>0</v>
      </c>
      <c r="F3698">
        <f t="shared" si="57"/>
        <v>0.25</v>
      </c>
      <c r="I3698">
        <v>20230101</v>
      </c>
      <c r="J3698" t="s">
        <v>3582</v>
      </c>
    </row>
    <row r="3699" spans="1:12" x14ac:dyDescent="0.3">
      <c r="A3699" s="160">
        <v>33421</v>
      </c>
      <c r="B3699" t="s">
        <v>18907</v>
      </c>
      <c r="C3699" t="s">
        <v>18588</v>
      </c>
      <c r="D3699">
        <v>0</v>
      </c>
      <c r="E3699">
        <v>0.5</v>
      </c>
      <c r="F3699">
        <f t="shared" si="57"/>
        <v>0.5</v>
      </c>
      <c r="I3699">
        <v>20240101</v>
      </c>
      <c r="J3699" t="s">
        <v>3716</v>
      </c>
    </row>
    <row r="3700" spans="1:12" x14ac:dyDescent="0.3">
      <c r="A3700" s="160">
        <v>33422</v>
      </c>
      <c r="B3700" t="s">
        <v>18908</v>
      </c>
      <c r="C3700" t="s">
        <v>18588</v>
      </c>
      <c r="D3700">
        <v>0</v>
      </c>
      <c r="E3700">
        <v>0.5</v>
      </c>
      <c r="F3700">
        <f t="shared" si="57"/>
        <v>0.5</v>
      </c>
      <c r="I3700">
        <v>20240101</v>
      </c>
      <c r="J3700" t="s">
        <v>3744</v>
      </c>
    </row>
    <row r="3701" spans="1:12" x14ac:dyDescent="0.3">
      <c r="A3701" s="160">
        <v>33424</v>
      </c>
      <c r="B3701" t="s">
        <v>18909</v>
      </c>
      <c r="C3701" t="s">
        <v>18588</v>
      </c>
      <c r="D3701">
        <v>0</v>
      </c>
      <c r="E3701">
        <v>0.5</v>
      </c>
      <c r="F3701">
        <f t="shared" si="57"/>
        <v>0.5</v>
      </c>
      <c r="I3701">
        <v>20240101</v>
      </c>
      <c r="J3701" t="s">
        <v>18910</v>
      </c>
    </row>
    <row r="3702" spans="1:12" x14ac:dyDescent="0.3">
      <c r="A3702" s="160">
        <v>33425</v>
      </c>
      <c r="B3702" t="s">
        <v>18911</v>
      </c>
      <c r="C3702" t="s">
        <v>18588</v>
      </c>
      <c r="D3702">
        <v>0</v>
      </c>
      <c r="E3702">
        <v>0.5</v>
      </c>
      <c r="F3702">
        <f t="shared" si="57"/>
        <v>0.5</v>
      </c>
      <c r="I3702">
        <v>20240101</v>
      </c>
      <c r="J3702" t="s">
        <v>18601</v>
      </c>
    </row>
    <row r="3703" spans="1:12" x14ac:dyDescent="0.3">
      <c r="A3703" s="160">
        <v>33426</v>
      </c>
      <c r="B3703" t="s">
        <v>18912</v>
      </c>
      <c r="C3703" t="s">
        <v>18588</v>
      </c>
      <c r="D3703">
        <v>0</v>
      </c>
      <c r="E3703">
        <v>0.5</v>
      </c>
      <c r="F3703">
        <f t="shared" si="57"/>
        <v>0.5</v>
      </c>
      <c r="I3703">
        <v>20240101</v>
      </c>
      <c r="J3703" t="s">
        <v>18890</v>
      </c>
    </row>
    <row r="3704" spans="1:12" x14ac:dyDescent="0.3">
      <c r="A3704" s="160">
        <v>33428</v>
      </c>
      <c r="B3704" t="s">
        <v>18913</v>
      </c>
      <c r="C3704" t="s">
        <v>3564</v>
      </c>
      <c r="D3704">
        <v>0.25</v>
      </c>
      <c r="E3704">
        <v>0</v>
      </c>
      <c r="F3704">
        <f t="shared" si="57"/>
        <v>0.25</v>
      </c>
      <c r="I3704">
        <v>20230101</v>
      </c>
      <c r="J3704" t="s">
        <v>3582</v>
      </c>
    </row>
    <row r="3705" spans="1:12" x14ac:dyDescent="0.3">
      <c r="A3705" s="160">
        <v>33429</v>
      </c>
      <c r="B3705" t="s">
        <v>18914</v>
      </c>
      <c r="C3705" t="s">
        <v>3583</v>
      </c>
      <c r="D3705">
        <v>0.25</v>
      </c>
      <c r="E3705">
        <v>0</v>
      </c>
      <c r="F3705">
        <f t="shared" si="57"/>
        <v>0.25</v>
      </c>
      <c r="I3705">
        <v>20220701</v>
      </c>
      <c r="J3705" t="s">
        <v>3692</v>
      </c>
    </row>
    <row r="3706" spans="1:12" x14ac:dyDescent="0.3">
      <c r="A3706" s="160">
        <v>33431</v>
      </c>
      <c r="B3706" t="s">
        <v>18915</v>
      </c>
      <c r="C3706" t="s">
        <v>18588</v>
      </c>
      <c r="D3706">
        <v>0</v>
      </c>
      <c r="E3706">
        <v>0.5</v>
      </c>
      <c r="F3706">
        <f t="shared" si="57"/>
        <v>0.5</v>
      </c>
      <c r="I3706">
        <v>20240101</v>
      </c>
      <c r="J3706" t="s">
        <v>18645</v>
      </c>
    </row>
    <row r="3707" spans="1:12" x14ac:dyDescent="0.3">
      <c r="A3707" s="160">
        <v>33432</v>
      </c>
      <c r="B3707" t="s">
        <v>18916</v>
      </c>
      <c r="C3707" t="s">
        <v>3583</v>
      </c>
      <c r="D3707">
        <v>0.25</v>
      </c>
      <c r="E3707">
        <v>0</v>
      </c>
      <c r="F3707">
        <f t="shared" si="57"/>
        <v>0.25</v>
      </c>
      <c r="I3707">
        <v>20220701</v>
      </c>
      <c r="J3707" t="s">
        <v>3592</v>
      </c>
      <c r="K3707" t="s">
        <v>3697</v>
      </c>
    </row>
    <row r="3708" spans="1:12" x14ac:dyDescent="0.3">
      <c r="A3708" s="160">
        <v>33433</v>
      </c>
      <c r="B3708" t="s">
        <v>18917</v>
      </c>
      <c r="C3708" t="s">
        <v>18588</v>
      </c>
      <c r="D3708">
        <v>0</v>
      </c>
      <c r="E3708">
        <v>0.5</v>
      </c>
      <c r="F3708">
        <f t="shared" si="57"/>
        <v>0.5</v>
      </c>
      <c r="I3708">
        <v>20240101</v>
      </c>
      <c r="J3708" t="s">
        <v>3735</v>
      </c>
      <c r="K3708" t="s">
        <v>18833</v>
      </c>
      <c r="L3708" t="s">
        <v>3736</v>
      </c>
    </row>
    <row r="3709" spans="1:12" x14ac:dyDescent="0.3">
      <c r="A3709" s="160">
        <v>33434</v>
      </c>
      <c r="B3709" t="s">
        <v>18918</v>
      </c>
      <c r="C3709" t="s">
        <v>3566</v>
      </c>
      <c r="D3709">
        <v>2</v>
      </c>
      <c r="E3709">
        <v>0</v>
      </c>
      <c r="F3709">
        <f t="shared" si="57"/>
        <v>2</v>
      </c>
      <c r="I3709">
        <v>20110101</v>
      </c>
      <c r="J3709" t="s">
        <v>3567</v>
      </c>
      <c r="K3709" t="s">
        <v>3770</v>
      </c>
    </row>
    <row r="3710" spans="1:12" x14ac:dyDescent="0.3">
      <c r="A3710" s="160">
        <v>33435</v>
      </c>
      <c r="B3710" t="s">
        <v>18919</v>
      </c>
      <c r="C3710" t="s">
        <v>3583</v>
      </c>
      <c r="D3710">
        <v>0.25</v>
      </c>
      <c r="E3710">
        <v>0</v>
      </c>
      <c r="F3710">
        <f t="shared" si="57"/>
        <v>0.25</v>
      </c>
      <c r="I3710">
        <v>20220701</v>
      </c>
      <c r="J3710" t="s">
        <v>3710</v>
      </c>
    </row>
    <row r="3711" spans="1:12" x14ac:dyDescent="0.3">
      <c r="A3711" s="160">
        <v>33436</v>
      </c>
      <c r="B3711" t="s">
        <v>18920</v>
      </c>
      <c r="C3711" t="s">
        <v>18588</v>
      </c>
      <c r="D3711">
        <v>0</v>
      </c>
      <c r="E3711">
        <v>0.5</v>
      </c>
      <c r="F3711">
        <f t="shared" si="57"/>
        <v>0.5</v>
      </c>
      <c r="I3711">
        <v>20240101</v>
      </c>
      <c r="J3711" t="s">
        <v>3734</v>
      </c>
    </row>
    <row r="3712" spans="1:12" x14ac:dyDescent="0.3">
      <c r="A3712" s="160">
        <v>33438</v>
      </c>
      <c r="B3712" t="s">
        <v>18921</v>
      </c>
      <c r="C3712" t="s">
        <v>3583</v>
      </c>
      <c r="D3712">
        <v>0.25</v>
      </c>
      <c r="E3712">
        <v>0</v>
      </c>
      <c r="F3712">
        <f t="shared" si="57"/>
        <v>0.25</v>
      </c>
      <c r="I3712">
        <v>20220701</v>
      </c>
      <c r="J3712" t="s">
        <v>3710</v>
      </c>
    </row>
    <row r="3713" spans="1:14" x14ac:dyDescent="0.3">
      <c r="A3713" s="160">
        <v>33439</v>
      </c>
      <c r="B3713" t="s">
        <v>18922</v>
      </c>
      <c r="C3713" t="s">
        <v>18588</v>
      </c>
      <c r="D3713">
        <v>0</v>
      </c>
      <c r="E3713">
        <v>0.5</v>
      </c>
      <c r="F3713">
        <f t="shared" si="57"/>
        <v>0.5</v>
      </c>
      <c r="I3713">
        <v>20240101</v>
      </c>
      <c r="J3713" t="s">
        <v>3738</v>
      </c>
    </row>
    <row r="3714" spans="1:14" x14ac:dyDescent="0.3">
      <c r="A3714" s="160">
        <v>33440</v>
      </c>
      <c r="B3714" t="s">
        <v>18923</v>
      </c>
      <c r="C3714" t="s">
        <v>3583</v>
      </c>
      <c r="D3714">
        <v>0.25</v>
      </c>
      <c r="E3714">
        <v>0</v>
      </c>
      <c r="F3714">
        <f t="shared" si="57"/>
        <v>0.25</v>
      </c>
      <c r="I3714">
        <v>20220701</v>
      </c>
      <c r="J3714" t="s">
        <v>3710</v>
      </c>
    </row>
    <row r="3715" spans="1:14" x14ac:dyDescent="0.3">
      <c r="A3715" s="160">
        <v>33442</v>
      </c>
      <c r="B3715" t="s">
        <v>18924</v>
      </c>
      <c r="C3715" t="s">
        <v>3562</v>
      </c>
      <c r="D3715">
        <v>0.8</v>
      </c>
      <c r="E3715">
        <v>0.5</v>
      </c>
      <c r="F3715">
        <f t="shared" si="57"/>
        <v>1.3</v>
      </c>
      <c r="I3715">
        <v>20240101</v>
      </c>
      <c r="J3715" t="s">
        <v>3601</v>
      </c>
    </row>
    <row r="3716" spans="1:14" x14ac:dyDescent="0.3">
      <c r="A3716" s="160">
        <v>33444</v>
      </c>
      <c r="B3716" t="s">
        <v>18925</v>
      </c>
      <c r="C3716" t="s">
        <v>3564</v>
      </c>
      <c r="D3716">
        <v>0.25</v>
      </c>
      <c r="E3716">
        <v>0</v>
      </c>
      <c r="F3716">
        <f t="shared" si="57"/>
        <v>0.25</v>
      </c>
      <c r="I3716">
        <v>20230101</v>
      </c>
      <c r="J3716" t="s">
        <v>3710</v>
      </c>
    </row>
    <row r="3717" spans="1:14" x14ac:dyDescent="0.3">
      <c r="A3717" s="160">
        <v>33445</v>
      </c>
      <c r="B3717" t="s">
        <v>18926</v>
      </c>
      <c r="C3717" t="s">
        <v>3562</v>
      </c>
      <c r="D3717">
        <v>0.8</v>
      </c>
      <c r="E3717">
        <v>0.5</v>
      </c>
      <c r="F3717">
        <f t="shared" si="57"/>
        <v>1.3</v>
      </c>
      <c r="I3717">
        <v>20240101</v>
      </c>
      <c r="J3717" t="s">
        <v>3601</v>
      </c>
    </row>
    <row r="3718" spans="1:14" x14ac:dyDescent="0.3">
      <c r="A3718" s="160">
        <v>33447</v>
      </c>
      <c r="B3718" t="s">
        <v>18927</v>
      </c>
      <c r="C3718" t="s">
        <v>3562</v>
      </c>
      <c r="D3718">
        <v>0.8</v>
      </c>
      <c r="E3718">
        <v>0</v>
      </c>
      <c r="F3718">
        <f t="shared" si="57"/>
        <v>0.8</v>
      </c>
      <c r="I3718">
        <v>20230701</v>
      </c>
      <c r="J3718" t="s">
        <v>3563</v>
      </c>
    </row>
    <row r="3719" spans="1:14" x14ac:dyDescent="0.3">
      <c r="A3719" s="160">
        <v>33448</v>
      </c>
      <c r="B3719" t="s">
        <v>18928</v>
      </c>
      <c r="C3719" t="s">
        <v>18609</v>
      </c>
      <c r="D3719">
        <v>0.6</v>
      </c>
      <c r="E3719">
        <v>0.5</v>
      </c>
      <c r="F3719">
        <f t="shared" ref="F3719:F3782" si="58">D3719+E3719</f>
        <v>1.1000000000000001</v>
      </c>
      <c r="I3719">
        <v>20240101</v>
      </c>
      <c r="J3719" t="s">
        <v>18662</v>
      </c>
      <c r="K3719" t="s">
        <v>3729</v>
      </c>
    </row>
    <row r="3720" spans="1:14" x14ac:dyDescent="0.3">
      <c r="A3720" s="160">
        <v>33449</v>
      </c>
      <c r="B3720" t="s">
        <v>18929</v>
      </c>
      <c r="C3720" t="s">
        <v>3566</v>
      </c>
      <c r="D3720">
        <v>2</v>
      </c>
      <c r="E3720">
        <v>0</v>
      </c>
      <c r="F3720">
        <f t="shared" si="58"/>
        <v>2</v>
      </c>
      <c r="I3720">
        <v>20110101</v>
      </c>
      <c r="J3720" t="s">
        <v>3768</v>
      </c>
      <c r="K3720" t="s">
        <v>3771</v>
      </c>
      <c r="L3720" t="s">
        <v>3745</v>
      </c>
      <c r="M3720" t="s">
        <v>3769</v>
      </c>
      <c r="N3720" t="s">
        <v>3733</v>
      </c>
    </row>
    <row r="3721" spans="1:14" x14ac:dyDescent="0.3">
      <c r="A3721" s="160">
        <v>33451</v>
      </c>
      <c r="B3721" t="s">
        <v>18930</v>
      </c>
      <c r="C3721" t="s">
        <v>18588</v>
      </c>
      <c r="D3721">
        <v>0</v>
      </c>
      <c r="E3721">
        <v>0.5</v>
      </c>
      <c r="F3721">
        <f t="shared" si="58"/>
        <v>0.5</v>
      </c>
      <c r="I3721">
        <v>20240101</v>
      </c>
      <c r="J3721" t="s">
        <v>18738</v>
      </c>
      <c r="K3721" t="s">
        <v>3581</v>
      </c>
    </row>
    <row r="3722" spans="1:14" x14ac:dyDescent="0.3">
      <c r="A3722" s="160">
        <v>33452</v>
      </c>
      <c r="B3722" t="s">
        <v>18931</v>
      </c>
      <c r="C3722" t="s">
        <v>3564</v>
      </c>
      <c r="D3722">
        <v>0.5</v>
      </c>
      <c r="E3722">
        <v>0.5</v>
      </c>
      <c r="F3722">
        <f t="shared" si="58"/>
        <v>1</v>
      </c>
      <c r="I3722">
        <v>20240101</v>
      </c>
      <c r="J3722" t="s">
        <v>3772</v>
      </c>
    </row>
    <row r="3723" spans="1:14" x14ac:dyDescent="0.3">
      <c r="A3723" s="160">
        <v>33454</v>
      </c>
      <c r="B3723" t="s">
        <v>18932</v>
      </c>
      <c r="C3723" t="s">
        <v>18609</v>
      </c>
      <c r="D3723">
        <v>0.6</v>
      </c>
      <c r="E3723">
        <v>0.5</v>
      </c>
      <c r="F3723">
        <f t="shared" si="58"/>
        <v>1.1000000000000001</v>
      </c>
      <c r="I3723">
        <v>20240101</v>
      </c>
      <c r="J3723" t="s">
        <v>18662</v>
      </c>
      <c r="K3723" t="s">
        <v>3729</v>
      </c>
    </row>
    <row r="3724" spans="1:14" x14ac:dyDescent="0.3">
      <c r="A3724" s="160">
        <v>33457</v>
      </c>
      <c r="B3724" t="s">
        <v>18933</v>
      </c>
      <c r="C3724" t="s">
        <v>3583</v>
      </c>
      <c r="D3724">
        <v>0.25</v>
      </c>
      <c r="E3724">
        <v>0</v>
      </c>
      <c r="F3724">
        <f t="shared" si="58"/>
        <v>0.25</v>
      </c>
      <c r="I3724">
        <v>20220701</v>
      </c>
      <c r="J3724" t="s">
        <v>3592</v>
      </c>
    </row>
    <row r="3725" spans="1:14" x14ac:dyDescent="0.3">
      <c r="A3725" s="160">
        <v>33463</v>
      </c>
      <c r="B3725" t="s">
        <v>18934</v>
      </c>
      <c r="C3725" t="s">
        <v>3564</v>
      </c>
      <c r="D3725">
        <v>0.25</v>
      </c>
      <c r="E3725">
        <v>0</v>
      </c>
      <c r="F3725">
        <f t="shared" si="58"/>
        <v>0.25</v>
      </c>
      <c r="I3725">
        <v>20230101</v>
      </c>
      <c r="J3725" t="s">
        <v>3710</v>
      </c>
    </row>
    <row r="3726" spans="1:14" x14ac:dyDescent="0.3">
      <c r="A3726" s="160">
        <v>33464</v>
      </c>
      <c r="B3726" t="s">
        <v>18935</v>
      </c>
      <c r="C3726" t="s">
        <v>18588</v>
      </c>
      <c r="D3726">
        <v>0</v>
      </c>
      <c r="E3726">
        <v>0.5</v>
      </c>
      <c r="F3726">
        <f t="shared" si="58"/>
        <v>0.5</v>
      </c>
      <c r="I3726">
        <v>20240101</v>
      </c>
      <c r="J3726" t="s">
        <v>18589</v>
      </c>
    </row>
    <row r="3727" spans="1:14" x14ac:dyDescent="0.3">
      <c r="A3727" s="160">
        <v>33465</v>
      </c>
      <c r="B3727" t="s">
        <v>18936</v>
      </c>
      <c r="C3727" t="s">
        <v>3583</v>
      </c>
      <c r="D3727">
        <v>0.25</v>
      </c>
      <c r="E3727">
        <v>0</v>
      </c>
      <c r="F3727">
        <f t="shared" si="58"/>
        <v>0.25</v>
      </c>
      <c r="I3727">
        <v>20220701</v>
      </c>
      <c r="J3727" t="s">
        <v>3592</v>
      </c>
      <c r="K3727" t="s">
        <v>3715</v>
      </c>
    </row>
    <row r="3728" spans="1:14" x14ac:dyDescent="0.3">
      <c r="A3728" s="160">
        <v>33466</v>
      </c>
      <c r="B3728" t="s">
        <v>18937</v>
      </c>
      <c r="C3728" t="s">
        <v>3562</v>
      </c>
      <c r="D3728">
        <v>0.8</v>
      </c>
      <c r="E3728">
        <v>0.5</v>
      </c>
      <c r="F3728">
        <f t="shared" si="58"/>
        <v>1.3</v>
      </c>
      <c r="I3728">
        <v>20240101</v>
      </c>
      <c r="J3728" t="s">
        <v>3706</v>
      </c>
    </row>
    <row r="3729" spans="1:12" x14ac:dyDescent="0.3">
      <c r="A3729" s="160">
        <v>33467</v>
      </c>
      <c r="B3729" t="s">
        <v>18938</v>
      </c>
      <c r="C3729" t="s">
        <v>18588</v>
      </c>
      <c r="D3729">
        <v>0</v>
      </c>
      <c r="E3729">
        <v>0.5</v>
      </c>
      <c r="F3729">
        <f t="shared" si="58"/>
        <v>0.5</v>
      </c>
      <c r="I3729">
        <v>20240101</v>
      </c>
      <c r="J3729" t="s">
        <v>18728</v>
      </c>
    </row>
    <row r="3730" spans="1:12" x14ac:dyDescent="0.3">
      <c r="A3730" s="160">
        <v>33470</v>
      </c>
      <c r="B3730" t="s">
        <v>18939</v>
      </c>
      <c r="C3730" t="s">
        <v>18588</v>
      </c>
      <c r="D3730">
        <v>0</v>
      </c>
      <c r="E3730">
        <v>0.5</v>
      </c>
      <c r="F3730">
        <f t="shared" si="58"/>
        <v>0.5</v>
      </c>
      <c r="I3730">
        <v>20240101</v>
      </c>
      <c r="J3730" t="s">
        <v>18601</v>
      </c>
    </row>
    <row r="3731" spans="1:12" x14ac:dyDescent="0.3">
      <c r="A3731" s="160">
        <v>33472</v>
      </c>
      <c r="B3731" t="s">
        <v>18940</v>
      </c>
      <c r="C3731" t="s">
        <v>3562</v>
      </c>
      <c r="D3731">
        <v>0.8</v>
      </c>
      <c r="E3731">
        <v>0</v>
      </c>
      <c r="F3731">
        <f t="shared" si="58"/>
        <v>0.8</v>
      </c>
      <c r="I3731">
        <v>20230701</v>
      </c>
      <c r="J3731" t="s">
        <v>3707</v>
      </c>
    </row>
    <row r="3732" spans="1:12" x14ac:dyDescent="0.3">
      <c r="A3732" s="160">
        <v>33473</v>
      </c>
      <c r="B3732" t="s">
        <v>18941</v>
      </c>
      <c r="C3732" t="s">
        <v>18588</v>
      </c>
      <c r="D3732">
        <v>0</v>
      </c>
      <c r="E3732">
        <v>0.5</v>
      </c>
      <c r="F3732">
        <f t="shared" si="58"/>
        <v>0.5</v>
      </c>
      <c r="I3732">
        <v>20240101</v>
      </c>
      <c r="J3732" t="s">
        <v>18706</v>
      </c>
    </row>
    <row r="3733" spans="1:12" x14ac:dyDescent="0.3">
      <c r="A3733" s="160">
        <v>33474</v>
      </c>
      <c r="B3733" t="s">
        <v>18942</v>
      </c>
      <c r="C3733" t="s">
        <v>18609</v>
      </c>
      <c r="D3733">
        <v>0.6</v>
      </c>
      <c r="E3733">
        <v>0.5</v>
      </c>
      <c r="F3733">
        <f t="shared" si="58"/>
        <v>1.1000000000000001</v>
      </c>
      <c r="I3733">
        <v>20240101</v>
      </c>
      <c r="J3733" t="s">
        <v>18662</v>
      </c>
      <c r="K3733" t="s">
        <v>3729</v>
      </c>
    </row>
    <row r="3734" spans="1:12" x14ac:dyDescent="0.3">
      <c r="A3734" s="160">
        <v>33475</v>
      </c>
      <c r="B3734" t="s">
        <v>18943</v>
      </c>
      <c r="C3734" t="s">
        <v>18588</v>
      </c>
      <c r="D3734">
        <v>0</v>
      </c>
      <c r="E3734">
        <v>0.5</v>
      </c>
      <c r="F3734">
        <f t="shared" si="58"/>
        <v>0.5</v>
      </c>
      <c r="I3734">
        <v>20240101</v>
      </c>
      <c r="J3734" t="s">
        <v>18624</v>
      </c>
    </row>
    <row r="3735" spans="1:12" x14ac:dyDescent="0.3">
      <c r="A3735" s="160">
        <v>33478</v>
      </c>
      <c r="B3735" t="s">
        <v>18944</v>
      </c>
      <c r="C3735" t="s">
        <v>3562</v>
      </c>
      <c r="D3735">
        <v>0.8</v>
      </c>
      <c r="E3735">
        <v>0</v>
      </c>
      <c r="F3735">
        <f t="shared" si="58"/>
        <v>0.8</v>
      </c>
      <c r="I3735">
        <v>20230701</v>
      </c>
      <c r="J3735" t="s">
        <v>3707</v>
      </c>
    </row>
    <row r="3736" spans="1:12" x14ac:dyDescent="0.3">
      <c r="A3736" s="160">
        <v>33479</v>
      </c>
      <c r="B3736" t="s">
        <v>18945</v>
      </c>
      <c r="C3736" t="s">
        <v>3564</v>
      </c>
      <c r="D3736">
        <v>0.25</v>
      </c>
      <c r="E3736">
        <v>0</v>
      </c>
      <c r="F3736">
        <f t="shared" si="58"/>
        <v>0.25</v>
      </c>
      <c r="I3736">
        <v>20230101</v>
      </c>
      <c r="J3736" t="s">
        <v>3582</v>
      </c>
    </row>
    <row r="3737" spans="1:12" x14ac:dyDescent="0.3">
      <c r="A3737" s="160">
        <v>33483</v>
      </c>
      <c r="B3737" t="s">
        <v>18946</v>
      </c>
      <c r="C3737" t="s">
        <v>18588</v>
      </c>
      <c r="D3737">
        <v>0</v>
      </c>
      <c r="E3737">
        <v>0.5</v>
      </c>
      <c r="F3737">
        <f t="shared" si="58"/>
        <v>0.5</v>
      </c>
      <c r="I3737">
        <v>20240101</v>
      </c>
      <c r="J3737" t="s">
        <v>3735</v>
      </c>
      <c r="K3737" t="s">
        <v>18833</v>
      </c>
      <c r="L3737" t="s">
        <v>3736</v>
      </c>
    </row>
    <row r="3738" spans="1:12" x14ac:dyDescent="0.3">
      <c r="A3738" s="160">
        <v>33484</v>
      </c>
      <c r="B3738" t="s">
        <v>18947</v>
      </c>
      <c r="C3738" t="s">
        <v>3583</v>
      </c>
      <c r="D3738">
        <v>0.25</v>
      </c>
      <c r="E3738">
        <v>0</v>
      </c>
      <c r="F3738">
        <f t="shared" si="58"/>
        <v>0.25</v>
      </c>
      <c r="I3738">
        <v>20220701</v>
      </c>
      <c r="J3738" t="s">
        <v>3692</v>
      </c>
    </row>
    <row r="3739" spans="1:12" x14ac:dyDescent="0.3">
      <c r="A3739" s="160">
        <v>33485</v>
      </c>
      <c r="B3739" t="s">
        <v>18948</v>
      </c>
      <c r="C3739" t="s">
        <v>18588</v>
      </c>
      <c r="D3739">
        <v>0</v>
      </c>
      <c r="E3739">
        <v>0.5</v>
      </c>
      <c r="F3739">
        <f t="shared" si="58"/>
        <v>0.5</v>
      </c>
      <c r="I3739">
        <v>20240101</v>
      </c>
      <c r="J3739" t="s">
        <v>18949</v>
      </c>
    </row>
    <row r="3740" spans="1:12" x14ac:dyDescent="0.3">
      <c r="A3740" s="160">
        <v>33486</v>
      </c>
      <c r="B3740" t="s">
        <v>18950</v>
      </c>
      <c r="C3740" t="s">
        <v>18588</v>
      </c>
      <c r="D3740">
        <v>0</v>
      </c>
      <c r="E3740">
        <v>0.5</v>
      </c>
      <c r="F3740">
        <f t="shared" si="58"/>
        <v>0.5</v>
      </c>
      <c r="I3740">
        <v>20240101</v>
      </c>
      <c r="J3740" t="s">
        <v>18624</v>
      </c>
    </row>
    <row r="3741" spans="1:12" x14ac:dyDescent="0.3">
      <c r="A3741" s="160">
        <v>33487</v>
      </c>
      <c r="B3741" t="s">
        <v>18951</v>
      </c>
      <c r="C3741" t="s">
        <v>3566</v>
      </c>
      <c r="D3741">
        <v>2</v>
      </c>
      <c r="E3741">
        <v>0</v>
      </c>
      <c r="F3741">
        <f t="shared" si="58"/>
        <v>2</v>
      </c>
      <c r="I3741">
        <v>20110101</v>
      </c>
      <c r="J3741" t="s">
        <v>3567</v>
      </c>
    </row>
    <row r="3742" spans="1:12" x14ac:dyDescent="0.3">
      <c r="A3742" s="160">
        <v>33488</v>
      </c>
      <c r="B3742" t="s">
        <v>18952</v>
      </c>
      <c r="C3742" t="s">
        <v>18588</v>
      </c>
      <c r="D3742">
        <v>0</v>
      </c>
      <c r="E3742">
        <v>0.5</v>
      </c>
      <c r="F3742">
        <f t="shared" si="58"/>
        <v>0.5</v>
      </c>
      <c r="I3742">
        <v>20240101</v>
      </c>
      <c r="J3742" t="s">
        <v>3716</v>
      </c>
    </row>
    <row r="3743" spans="1:12" x14ac:dyDescent="0.3">
      <c r="A3743" s="160">
        <v>33489</v>
      </c>
      <c r="B3743" t="s">
        <v>18953</v>
      </c>
      <c r="C3743" t="s">
        <v>18588</v>
      </c>
      <c r="D3743">
        <v>0</v>
      </c>
      <c r="E3743">
        <v>0.5</v>
      </c>
      <c r="F3743">
        <f t="shared" si="58"/>
        <v>0.5</v>
      </c>
      <c r="I3743">
        <v>20240101</v>
      </c>
      <c r="J3743" t="s">
        <v>18706</v>
      </c>
    </row>
    <row r="3744" spans="1:12" x14ac:dyDescent="0.3">
      <c r="A3744" s="160">
        <v>33491</v>
      </c>
      <c r="B3744" t="s">
        <v>18954</v>
      </c>
      <c r="C3744" t="s">
        <v>3564</v>
      </c>
      <c r="D3744">
        <v>0.25</v>
      </c>
      <c r="E3744">
        <v>0</v>
      </c>
      <c r="F3744">
        <f t="shared" si="58"/>
        <v>0.25</v>
      </c>
      <c r="I3744">
        <v>20230101</v>
      </c>
      <c r="J3744" t="s">
        <v>3755</v>
      </c>
    </row>
    <row r="3745" spans="1:11" x14ac:dyDescent="0.3">
      <c r="A3745" s="160">
        <v>33492</v>
      </c>
      <c r="B3745" t="s">
        <v>18955</v>
      </c>
      <c r="C3745" t="s">
        <v>18588</v>
      </c>
      <c r="D3745">
        <v>0</v>
      </c>
      <c r="E3745">
        <v>0.5</v>
      </c>
      <c r="F3745">
        <f t="shared" si="58"/>
        <v>0.5</v>
      </c>
      <c r="I3745">
        <v>20240101</v>
      </c>
      <c r="J3745" t="s">
        <v>18706</v>
      </c>
    </row>
    <row r="3746" spans="1:11" x14ac:dyDescent="0.3">
      <c r="A3746" s="160">
        <v>33494</v>
      </c>
      <c r="B3746" t="s">
        <v>18956</v>
      </c>
      <c r="C3746" t="s">
        <v>18588</v>
      </c>
      <c r="D3746">
        <v>0</v>
      </c>
      <c r="E3746">
        <v>0.5</v>
      </c>
      <c r="F3746">
        <f t="shared" si="58"/>
        <v>0.5</v>
      </c>
      <c r="I3746">
        <v>20240101</v>
      </c>
      <c r="J3746" t="s">
        <v>3768</v>
      </c>
    </row>
    <row r="3747" spans="1:11" x14ac:dyDescent="0.3">
      <c r="A3747" s="160">
        <v>33496</v>
      </c>
      <c r="B3747" t="s">
        <v>18957</v>
      </c>
      <c r="C3747" t="s">
        <v>18588</v>
      </c>
      <c r="D3747">
        <v>0</v>
      </c>
      <c r="E3747">
        <v>0.5</v>
      </c>
      <c r="F3747">
        <f t="shared" si="58"/>
        <v>0.5</v>
      </c>
      <c r="I3747">
        <v>20240101</v>
      </c>
      <c r="J3747" t="s">
        <v>3577</v>
      </c>
    </row>
    <row r="3748" spans="1:11" x14ac:dyDescent="0.3">
      <c r="A3748" s="160">
        <v>33498</v>
      </c>
      <c r="B3748" t="s">
        <v>18958</v>
      </c>
      <c r="C3748" t="s">
        <v>18588</v>
      </c>
      <c r="D3748">
        <v>0</v>
      </c>
      <c r="E3748">
        <v>0.5</v>
      </c>
      <c r="F3748">
        <f t="shared" si="58"/>
        <v>0.5</v>
      </c>
      <c r="I3748">
        <v>20240101</v>
      </c>
      <c r="J3748" t="s">
        <v>18959</v>
      </c>
    </row>
    <row r="3749" spans="1:11" x14ac:dyDescent="0.3">
      <c r="A3749" s="160">
        <v>33500</v>
      </c>
      <c r="B3749" t="s">
        <v>18960</v>
      </c>
      <c r="C3749" t="s">
        <v>18588</v>
      </c>
      <c r="D3749">
        <v>0</v>
      </c>
      <c r="E3749">
        <v>0.5</v>
      </c>
      <c r="F3749">
        <f t="shared" si="58"/>
        <v>0.5</v>
      </c>
      <c r="I3749">
        <v>20240101</v>
      </c>
      <c r="J3749" t="s">
        <v>18624</v>
      </c>
    </row>
    <row r="3750" spans="1:11" x14ac:dyDescent="0.3">
      <c r="A3750" s="160">
        <v>33501</v>
      </c>
      <c r="B3750" t="s">
        <v>18961</v>
      </c>
      <c r="C3750" t="s">
        <v>18609</v>
      </c>
      <c r="D3750">
        <v>0.6</v>
      </c>
      <c r="E3750">
        <v>0.5</v>
      </c>
      <c r="F3750">
        <f t="shared" si="58"/>
        <v>1.1000000000000001</v>
      </c>
      <c r="I3750">
        <v>20240101</v>
      </c>
      <c r="J3750" t="s">
        <v>18662</v>
      </c>
      <c r="K3750" t="s">
        <v>3729</v>
      </c>
    </row>
    <row r="3751" spans="1:11" x14ac:dyDescent="0.3">
      <c r="A3751" s="160">
        <v>33502</v>
      </c>
      <c r="B3751" t="s">
        <v>18962</v>
      </c>
      <c r="C3751" t="s">
        <v>18588</v>
      </c>
      <c r="D3751">
        <v>0</v>
      </c>
      <c r="E3751">
        <v>0.5</v>
      </c>
      <c r="F3751">
        <f t="shared" si="58"/>
        <v>0.5</v>
      </c>
      <c r="I3751">
        <v>20240101</v>
      </c>
      <c r="J3751" t="s">
        <v>18706</v>
      </c>
    </row>
    <row r="3752" spans="1:11" x14ac:dyDescent="0.3">
      <c r="A3752" s="160">
        <v>33503</v>
      </c>
      <c r="B3752" t="s">
        <v>18963</v>
      </c>
      <c r="C3752" t="s">
        <v>18588</v>
      </c>
      <c r="D3752">
        <v>0</v>
      </c>
      <c r="E3752">
        <v>0.5</v>
      </c>
      <c r="F3752">
        <f t="shared" si="58"/>
        <v>0.5</v>
      </c>
      <c r="I3752">
        <v>20240101</v>
      </c>
      <c r="J3752" t="s">
        <v>18766</v>
      </c>
    </row>
    <row r="3753" spans="1:11" x14ac:dyDescent="0.3">
      <c r="A3753" s="160">
        <v>33504</v>
      </c>
      <c r="B3753" t="s">
        <v>18964</v>
      </c>
      <c r="C3753" t="s">
        <v>3583</v>
      </c>
      <c r="D3753">
        <v>0.25</v>
      </c>
      <c r="E3753">
        <v>0</v>
      </c>
      <c r="F3753">
        <f t="shared" si="58"/>
        <v>0.25</v>
      </c>
      <c r="I3753">
        <v>20220701</v>
      </c>
      <c r="J3753" t="s">
        <v>3592</v>
      </c>
      <c r="K3753" t="s">
        <v>3737</v>
      </c>
    </row>
    <row r="3754" spans="1:11" x14ac:dyDescent="0.3">
      <c r="A3754" s="160">
        <v>33505</v>
      </c>
      <c r="B3754" t="s">
        <v>18965</v>
      </c>
      <c r="C3754" t="s">
        <v>18588</v>
      </c>
      <c r="D3754">
        <v>0</v>
      </c>
      <c r="E3754">
        <v>0.5</v>
      </c>
      <c r="F3754">
        <f t="shared" si="58"/>
        <v>0.5</v>
      </c>
      <c r="I3754">
        <v>20240101</v>
      </c>
      <c r="J3754" t="s">
        <v>18645</v>
      </c>
    </row>
    <row r="3755" spans="1:11" x14ac:dyDescent="0.3">
      <c r="A3755" s="160">
        <v>33508</v>
      </c>
      <c r="B3755" t="s">
        <v>18966</v>
      </c>
      <c r="C3755" t="s">
        <v>3564</v>
      </c>
      <c r="D3755">
        <v>0.25</v>
      </c>
      <c r="E3755">
        <v>0</v>
      </c>
      <c r="F3755">
        <f t="shared" si="58"/>
        <v>0.25</v>
      </c>
      <c r="I3755">
        <v>20240101</v>
      </c>
      <c r="J3755" t="s">
        <v>3565</v>
      </c>
    </row>
    <row r="3756" spans="1:11" x14ac:dyDescent="0.3">
      <c r="A3756" s="160">
        <v>33509</v>
      </c>
      <c r="B3756" t="s">
        <v>18967</v>
      </c>
      <c r="C3756" t="s">
        <v>3562</v>
      </c>
      <c r="D3756">
        <v>0.8</v>
      </c>
      <c r="E3756">
        <v>0.5</v>
      </c>
      <c r="F3756">
        <f t="shared" si="58"/>
        <v>1.3</v>
      </c>
      <c r="I3756">
        <v>20240101</v>
      </c>
      <c r="J3756" t="s">
        <v>3601</v>
      </c>
    </row>
    <row r="3757" spans="1:11" x14ac:dyDescent="0.3">
      <c r="A3757" s="160">
        <v>33510</v>
      </c>
      <c r="B3757" t="s">
        <v>18968</v>
      </c>
      <c r="C3757" t="s">
        <v>3583</v>
      </c>
      <c r="D3757">
        <v>0.25</v>
      </c>
      <c r="E3757">
        <v>0</v>
      </c>
      <c r="F3757">
        <f t="shared" si="58"/>
        <v>0.25</v>
      </c>
      <c r="I3757">
        <v>20220701</v>
      </c>
      <c r="J3757" t="s">
        <v>3710</v>
      </c>
    </row>
    <row r="3758" spans="1:11" x14ac:dyDescent="0.3">
      <c r="A3758" s="160">
        <v>33515</v>
      </c>
      <c r="B3758" t="s">
        <v>18969</v>
      </c>
      <c r="C3758" t="s">
        <v>18588</v>
      </c>
      <c r="D3758">
        <v>0</v>
      </c>
      <c r="E3758">
        <v>0.5</v>
      </c>
      <c r="F3758">
        <f t="shared" si="58"/>
        <v>0.5</v>
      </c>
      <c r="I3758">
        <v>20240101</v>
      </c>
      <c r="J3758" t="s">
        <v>18589</v>
      </c>
    </row>
    <row r="3759" spans="1:11" x14ac:dyDescent="0.3">
      <c r="A3759" s="160">
        <v>33517</v>
      </c>
      <c r="B3759" t="s">
        <v>18970</v>
      </c>
      <c r="C3759" t="s">
        <v>18588</v>
      </c>
      <c r="D3759">
        <v>0</v>
      </c>
      <c r="E3759">
        <v>0.5</v>
      </c>
      <c r="F3759">
        <f t="shared" si="58"/>
        <v>0.5</v>
      </c>
      <c r="I3759">
        <v>20240101</v>
      </c>
      <c r="J3759" t="s">
        <v>18592</v>
      </c>
    </row>
    <row r="3760" spans="1:11" x14ac:dyDescent="0.3">
      <c r="A3760" s="160">
        <v>33518</v>
      </c>
      <c r="B3760" t="s">
        <v>18971</v>
      </c>
      <c r="C3760" t="s">
        <v>18588</v>
      </c>
      <c r="D3760">
        <v>0</v>
      </c>
      <c r="E3760">
        <v>0.5</v>
      </c>
      <c r="F3760">
        <f t="shared" si="58"/>
        <v>0.5</v>
      </c>
      <c r="I3760">
        <v>20240101</v>
      </c>
      <c r="J3760" t="s">
        <v>18680</v>
      </c>
    </row>
    <row r="3761" spans="1:15" x14ac:dyDescent="0.3">
      <c r="A3761" s="160">
        <v>33519</v>
      </c>
      <c r="B3761" t="s">
        <v>18972</v>
      </c>
      <c r="C3761" t="s">
        <v>3566</v>
      </c>
      <c r="D3761">
        <v>2</v>
      </c>
      <c r="E3761">
        <v>0</v>
      </c>
      <c r="F3761">
        <f t="shared" si="58"/>
        <v>2</v>
      </c>
      <c r="I3761">
        <v>20110101</v>
      </c>
      <c r="J3761" t="s">
        <v>3717</v>
      </c>
      <c r="K3761" t="s">
        <v>3718</v>
      </c>
      <c r="L3761" t="s">
        <v>3719</v>
      </c>
    </row>
    <row r="3762" spans="1:15" x14ac:dyDescent="0.3">
      <c r="A3762" s="160">
        <v>33522</v>
      </c>
      <c r="B3762" t="s">
        <v>18973</v>
      </c>
      <c r="C3762" t="s">
        <v>3566</v>
      </c>
      <c r="D3762">
        <v>2</v>
      </c>
      <c r="E3762">
        <v>0</v>
      </c>
      <c r="F3762">
        <f t="shared" si="58"/>
        <v>2</v>
      </c>
      <c r="I3762">
        <v>20110101</v>
      </c>
      <c r="J3762" t="s">
        <v>3773</v>
      </c>
      <c r="K3762" t="s">
        <v>3774</v>
      </c>
      <c r="L3762" t="s">
        <v>3775</v>
      </c>
      <c r="M3762" t="s">
        <v>3776</v>
      </c>
      <c r="N3762" t="s">
        <v>3777</v>
      </c>
      <c r="O3762" t="s">
        <v>3778</v>
      </c>
    </row>
    <row r="3763" spans="1:15" x14ac:dyDescent="0.3">
      <c r="A3763" s="160">
        <v>33523</v>
      </c>
      <c r="B3763" t="s">
        <v>18974</v>
      </c>
      <c r="C3763" t="s">
        <v>18588</v>
      </c>
      <c r="D3763">
        <v>0</v>
      </c>
      <c r="E3763">
        <v>0.5</v>
      </c>
      <c r="F3763">
        <f t="shared" si="58"/>
        <v>0.5</v>
      </c>
      <c r="I3763">
        <v>20240101</v>
      </c>
      <c r="J3763" t="s">
        <v>18589</v>
      </c>
    </row>
    <row r="3764" spans="1:15" x14ac:dyDescent="0.3">
      <c r="A3764" s="160">
        <v>33524</v>
      </c>
      <c r="B3764" t="s">
        <v>18975</v>
      </c>
      <c r="C3764" t="s">
        <v>18588</v>
      </c>
      <c r="D3764">
        <v>0</v>
      </c>
      <c r="E3764">
        <v>0.5</v>
      </c>
      <c r="F3764">
        <f t="shared" si="58"/>
        <v>0.5</v>
      </c>
      <c r="I3764">
        <v>20240101</v>
      </c>
      <c r="J3764" t="s">
        <v>18601</v>
      </c>
    </row>
    <row r="3765" spans="1:15" x14ac:dyDescent="0.3">
      <c r="A3765" s="160">
        <v>33525</v>
      </c>
      <c r="B3765" t="s">
        <v>18976</v>
      </c>
      <c r="C3765" t="s">
        <v>18588</v>
      </c>
      <c r="D3765">
        <v>0</v>
      </c>
      <c r="E3765">
        <v>0.5</v>
      </c>
      <c r="F3765">
        <f t="shared" si="58"/>
        <v>0.5</v>
      </c>
      <c r="I3765">
        <v>20240101</v>
      </c>
      <c r="J3765" t="s">
        <v>18624</v>
      </c>
    </row>
    <row r="3766" spans="1:15" x14ac:dyDescent="0.3">
      <c r="A3766" s="160">
        <v>33527</v>
      </c>
      <c r="B3766" t="s">
        <v>18977</v>
      </c>
      <c r="C3766" t="s">
        <v>3571</v>
      </c>
      <c r="D3766">
        <v>0.55000000000000004</v>
      </c>
      <c r="E3766">
        <v>0</v>
      </c>
      <c r="F3766">
        <f t="shared" si="58"/>
        <v>0.55000000000000004</v>
      </c>
      <c r="I3766">
        <v>20070301</v>
      </c>
      <c r="J3766" t="s">
        <v>3730</v>
      </c>
    </row>
    <row r="3767" spans="1:15" x14ac:dyDescent="0.3">
      <c r="A3767" s="160">
        <v>33528</v>
      </c>
      <c r="B3767" t="s">
        <v>18978</v>
      </c>
      <c r="C3767" t="s">
        <v>18588</v>
      </c>
      <c r="D3767">
        <v>0</v>
      </c>
      <c r="E3767">
        <v>0.5</v>
      </c>
      <c r="F3767">
        <f t="shared" si="58"/>
        <v>0.5</v>
      </c>
      <c r="I3767">
        <v>20240101</v>
      </c>
      <c r="J3767" t="s">
        <v>18766</v>
      </c>
    </row>
    <row r="3768" spans="1:15" x14ac:dyDescent="0.3">
      <c r="A3768" s="160">
        <v>33529</v>
      </c>
      <c r="B3768" t="s">
        <v>18979</v>
      </c>
      <c r="C3768" t="s">
        <v>3571</v>
      </c>
      <c r="D3768">
        <v>0.55000000000000004</v>
      </c>
      <c r="E3768">
        <v>0</v>
      </c>
      <c r="F3768">
        <f t="shared" si="58"/>
        <v>0.55000000000000004</v>
      </c>
      <c r="I3768">
        <v>20070301</v>
      </c>
      <c r="J3768" t="s">
        <v>3779</v>
      </c>
      <c r="K3768" t="s">
        <v>3780</v>
      </c>
      <c r="L3768" t="s">
        <v>3781</v>
      </c>
      <c r="M3768" t="s">
        <v>3575</v>
      </c>
      <c r="N3768" t="s">
        <v>3576</v>
      </c>
    </row>
    <row r="3769" spans="1:15" x14ac:dyDescent="0.3">
      <c r="A3769" s="160">
        <v>33530</v>
      </c>
      <c r="B3769" t="s">
        <v>18980</v>
      </c>
      <c r="C3769" t="s">
        <v>18588</v>
      </c>
      <c r="D3769">
        <v>0</v>
      </c>
      <c r="E3769">
        <v>0.5</v>
      </c>
      <c r="F3769">
        <f t="shared" si="58"/>
        <v>0.5</v>
      </c>
      <c r="I3769">
        <v>20240101</v>
      </c>
      <c r="J3769" t="s">
        <v>18624</v>
      </c>
    </row>
    <row r="3770" spans="1:15" x14ac:dyDescent="0.3">
      <c r="A3770" s="160">
        <v>33531</v>
      </c>
      <c r="B3770" t="s">
        <v>18981</v>
      </c>
      <c r="C3770" t="s">
        <v>3562</v>
      </c>
      <c r="D3770">
        <v>0.8</v>
      </c>
      <c r="E3770">
        <v>0.5</v>
      </c>
      <c r="F3770">
        <f t="shared" si="58"/>
        <v>1.3</v>
      </c>
      <c r="I3770">
        <v>20240101</v>
      </c>
      <c r="J3770" t="s">
        <v>3716</v>
      </c>
    </row>
    <row r="3771" spans="1:15" x14ac:dyDescent="0.3">
      <c r="A3771" s="160">
        <v>33532</v>
      </c>
      <c r="B3771" t="s">
        <v>18982</v>
      </c>
      <c r="C3771" t="s">
        <v>3562</v>
      </c>
      <c r="D3771">
        <v>0.8</v>
      </c>
      <c r="E3771">
        <v>0.5</v>
      </c>
      <c r="F3771">
        <f t="shared" si="58"/>
        <v>1.3</v>
      </c>
      <c r="I3771">
        <v>20240101</v>
      </c>
      <c r="J3771" t="s">
        <v>3738</v>
      </c>
    </row>
    <row r="3772" spans="1:15" x14ac:dyDescent="0.3">
      <c r="A3772" s="160">
        <v>33533</v>
      </c>
      <c r="B3772" t="s">
        <v>18983</v>
      </c>
      <c r="C3772" t="s">
        <v>3583</v>
      </c>
      <c r="D3772">
        <v>0.25</v>
      </c>
      <c r="E3772">
        <v>0</v>
      </c>
      <c r="F3772">
        <f t="shared" si="58"/>
        <v>0.25</v>
      </c>
      <c r="I3772">
        <v>20220701</v>
      </c>
      <c r="J3772" t="s">
        <v>3592</v>
      </c>
      <c r="K3772" t="s">
        <v>3715</v>
      </c>
      <c r="L3772" t="s">
        <v>3697</v>
      </c>
      <c r="M3772" t="s">
        <v>3737</v>
      </c>
    </row>
    <row r="3773" spans="1:15" x14ac:dyDescent="0.3">
      <c r="A3773" s="160">
        <v>33534</v>
      </c>
      <c r="B3773" t="s">
        <v>18984</v>
      </c>
      <c r="C3773" t="s">
        <v>18588</v>
      </c>
      <c r="D3773">
        <v>0</v>
      </c>
      <c r="E3773">
        <v>0.5</v>
      </c>
      <c r="F3773">
        <f t="shared" si="58"/>
        <v>0.5</v>
      </c>
      <c r="I3773">
        <v>20240101</v>
      </c>
      <c r="J3773" t="s">
        <v>18680</v>
      </c>
    </row>
    <row r="3774" spans="1:15" x14ac:dyDescent="0.3">
      <c r="A3774" s="160">
        <v>33535</v>
      </c>
      <c r="B3774" t="s">
        <v>18985</v>
      </c>
      <c r="C3774" t="s">
        <v>18588</v>
      </c>
      <c r="D3774">
        <v>0</v>
      </c>
      <c r="E3774">
        <v>0.5</v>
      </c>
      <c r="F3774">
        <f t="shared" si="58"/>
        <v>0.5</v>
      </c>
      <c r="I3774">
        <v>20240101</v>
      </c>
      <c r="J3774" t="s">
        <v>3577</v>
      </c>
    </row>
    <row r="3775" spans="1:15" x14ac:dyDescent="0.3">
      <c r="A3775" s="160">
        <v>33536</v>
      </c>
      <c r="B3775" t="s">
        <v>18986</v>
      </c>
      <c r="C3775" t="s">
        <v>3583</v>
      </c>
      <c r="D3775">
        <v>0.25</v>
      </c>
      <c r="E3775">
        <v>0.5</v>
      </c>
      <c r="F3775">
        <f t="shared" si="58"/>
        <v>0.75</v>
      </c>
      <c r="I3775">
        <v>20240101</v>
      </c>
      <c r="J3775" t="s">
        <v>3734</v>
      </c>
    </row>
    <row r="3776" spans="1:15" x14ac:dyDescent="0.3">
      <c r="A3776" s="160">
        <v>33537</v>
      </c>
      <c r="B3776" t="s">
        <v>18987</v>
      </c>
      <c r="C3776" t="s">
        <v>3583</v>
      </c>
      <c r="D3776">
        <v>0.25</v>
      </c>
      <c r="E3776">
        <v>0</v>
      </c>
      <c r="F3776">
        <f t="shared" si="58"/>
        <v>0.25</v>
      </c>
      <c r="I3776">
        <v>20220701</v>
      </c>
      <c r="J3776" t="s">
        <v>3584</v>
      </c>
    </row>
    <row r="3777" spans="1:18" x14ac:dyDescent="0.3">
      <c r="A3777" s="160">
        <v>33539</v>
      </c>
      <c r="B3777" t="s">
        <v>18988</v>
      </c>
      <c r="C3777" t="s">
        <v>3562</v>
      </c>
      <c r="D3777">
        <v>0.8</v>
      </c>
      <c r="E3777">
        <v>0.5</v>
      </c>
      <c r="F3777">
        <f t="shared" si="58"/>
        <v>1.3</v>
      </c>
      <c r="I3777">
        <v>20240101</v>
      </c>
      <c r="J3777" t="s">
        <v>3782</v>
      </c>
    </row>
    <row r="3778" spans="1:18" x14ac:dyDescent="0.3">
      <c r="A3778" s="160">
        <v>33542</v>
      </c>
      <c r="B3778" t="s">
        <v>18989</v>
      </c>
      <c r="C3778" t="s">
        <v>18588</v>
      </c>
      <c r="D3778">
        <v>0</v>
      </c>
      <c r="E3778">
        <v>0.5</v>
      </c>
      <c r="F3778">
        <f t="shared" si="58"/>
        <v>0.5</v>
      </c>
      <c r="I3778">
        <v>20240101</v>
      </c>
      <c r="J3778" t="s">
        <v>18601</v>
      </c>
    </row>
    <row r="3779" spans="1:18" x14ac:dyDescent="0.3">
      <c r="A3779" s="160">
        <v>33543</v>
      </c>
      <c r="B3779" t="s">
        <v>18990</v>
      </c>
      <c r="C3779" t="s">
        <v>3583</v>
      </c>
      <c r="D3779">
        <v>0.25</v>
      </c>
      <c r="E3779">
        <v>0</v>
      </c>
      <c r="F3779">
        <f t="shared" si="58"/>
        <v>0.25</v>
      </c>
      <c r="I3779">
        <v>20220701</v>
      </c>
      <c r="J3779" t="s">
        <v>3710</v>
      </c>
    </row>
    <row r="3780" spans="1:18" x14ac:dyDescent="0.3">
      <c r="A3780" s="160">
        <v>33546</v>
      </c>
      <c r="B3780" t="s">
        <v>18991</v>
      </c>
      <c r="C3780" t="s">
        <v>18588</v>
      </c>
      <c r="D3780">
        <v>0</v>
      </c>
      <c r="E3780">
        <v>0.5</v>
      </c>
      <c r="F3780">
        <f t="shared" si="58"/>
        <v>0.5</v>
      </c>
      <c r="I3780">
        <v>20240101</v>
      </c>
      <c r="J3780" t="s">
        <v>18890</v>
      </c>
    </row>
    <row r="3781" spans="1:18" x14ac:dyDescent="0.3">
      <c r="A3781" s="160">
        <v>33547</v>
      </c>
      <c r="B3781" t="s">
        <v>18992</v>
      </c>
      <c r="C3781" t="s">
        <v>3583</v>
      </c>
      <c r="D3781">
        <v>0.25</v>
      </c>
      <c r="E3781">
        <v>0</v>
      </c>
      <c r="F3781">
        <f t="shared" si="58"/>
        <v>0.25</v>
      </c>
      <c r="I3781">
        <v>20220701</v>
      </c>
      <c r="J3781" t="s">
        <v>3584</v>
      </c>
    </row>
    <row r="3782" spans="1:18" x14ac:dyDescent="0.3">
      <c r="A3782" s="160">
        <v>33548</v>
      </c>
      <c r="B3782" t="s">
        <v>18993</v>
      </c>
      <c r="C3782" t="s">
        <v>18588</v>
      </c>
      <c r="D3782">
        <v>0</v>
      </c>
      <c r="E3782">
        <v>0.5</v>
      </c>
      <c r="F3782">
        <f t="shared" si="58"/>
        <v>0.5</v>
      </c>
      <c r="I3782">
        <v>20240101</v>
      </c>
      <c r="J3782" t="s">
        <v>18881</v>
      </c>
    </row>
    <row r="3783" spans="1:18" x14ac:dyDescent="0.3">
      <c r="A3783" s="160">
        <v>33549</v>
      </c>
      <c r="B3783" t="s">
        <v>18994</v>
      </c>
      <c r="C3783" t="s">
        <v>18588</v>
      </c>
      <c r="D3783">
        <v>0</v>
      </c>
      <c r="E3783">
        <v>0.5</v>
      </c>
      <c r="F3783">
        <f t="shared" ref="F3783:F3846" si="59">D3783+E3783</f>
        <v>0.5</v>
      </c>
      <c r="I3783">
        <v>20240101</v>
      </c>
      <c r="J3783" t="s">
        <v>18680</v>
      </c>
    </row>
    <row r="3784" spans="1:18" x14ac:dyDescent="0.3">
      <c r="A3784" s="160">
        <v>33550</v>
      </c>
      <c r="B3784" t="s">
        <v>18995</v>
      </c>
      <c r="C3784" t="s">
        <v>3566</v>
      </c>
      <c r="D3784">
        <v>2</v>
      </c>
      <c r="E3784">
        <v>0</v>
      </c>
      <c r="F3784">
        <f t="shared" si="59"/>
        <v>2</v>
      </c>
      <c r="I3784">
        <v>20110101</v>
      </c>
      <c r="J3784" t="s">
        <v>3783</v>
      </c>
      <c r="K3784" t="s">
        <v>3784</v>
      </c>
      <c r="L3784" t="s">
        <v>3785</v>
      </c>
      <c r="M3784" t="s">
        <v>3786</v>
      </c>
      <c r="N3784" t="s">
        <v>3787</v>
      </c>
      <c r="O3784" t="s">
        <v>3788</v>
      </c>
      <c r="P3784" t="s">
        <v>3789</v>
      </c>
      <c r="Q3784" t="s">
        <v>3790</v>
      </c>
    </row>
    <row r="3785" spans="1:18" x14ac:dyDescent="0.3">
      <c r="A3785" s="160">
        <v>33551</v>
      </c>
      <c r="B3785" t="s">
        <v>15295</v>
      </c>
      <c r="C3785" t="s">
        <v>18588</v>
      </c>
      <c r="D3785">
        <v>0</v>
      </c>
      <c r="E3785">
        <v>0.5</v>
      </c>
      <c r="F3785">
        <f t="shared" si="59"/>
        <v>0.5</v>
      </c>
      <c r="I3785">
        <v>20240101</v>
      </c>
      <c r="J3785" t="s">
        <v>18624</v>
      </c>
    </row>
    <row r="3786" spans="1:18" x14ac:dyDescent="0.3">
      <c r="A3786" s="160">
        <v>33552</v>
      </c>
      <c r="B3786" t="s">
        <v>18996</v>
      </c>
      <c r="C3786" t="s">
        <v>18585</v>
      </c>
      <c r="D3786">
        <v>0.5</v>
      </c>
      <c r="E3786">
        <v>0.5</v>
      </c>
      <c r="F3786">
        <f t="shared" si="59"/>
        <v>1</v>
      </c>
      <c r="I3786">
        <v>20240101</v>
      </c>
      <c r="J3786" t="s">
        <v>3772</v>
      </c>
    </row>
    <row r="3787" spans="1:18" x14ac:dyDescent="0.3">
      <c r="A3787" s="160">
        <v>33553</v>
      </c>
      <c r="B3787" t="s">
        <v>18997</v>
      </c>
      <c r="C3787" t="s">
        <v>18588</v>
      </c>
      <c r="D3787">
        <v>0</v>
      </c>
      <c r="E3787">
        <v>0.5</v>
      </c>
      <c r="F3787">
        <f t="shared" si="59"/>
        <v>0.5</v>
      </c>
      <c r="I3787">
        <v>20240101</v>
      </c>
      <c r="J3787" t="s">
        <v>18601</v>
      </c>
    </row>
    <row r="3788" spans="1:18" x14ac:dyDescent="0.3">
      <c r="A3788" s="160">
        <v>33554</v>
      </c>
      <c r="B3788" t="s">
        <v>18998</v>
      </c>
      <c r="C3788" t="s">
        <v>18588</v>
      </c>
      <c r="D3788">
        <v>0</v>
      </c>
      <c r="E3788">
        <v>0.5</v>
      </c>
      <c r="F3788">
        <f t="shared" si="59"/>
        <v>0.5</v>
      </c>
      <c r="I3788">
        <v>20240101</v>
      </c>
      <c r="J3788" t="s">
        <v>3577</v>
      </c>
    </row>
    <row r="3789" spans="1:18" x14ac:dyDescent="0.3">
      <c r="A3789" s="160">
        <v>33555</v>
      </c>
      <c r="B3789" t="s">
        <v>18999</v>
      </c>
      <c r="C3789" t="s">
        <v>18582</v>
      </c>
      <c r="D3789">
        <v>0.8</v>
      </c>
      <c r="E3789">
        <v>0.5</v>
      </c>
      <c r="F3789">
        <f t="shared" si="59"/>
        <v>1.3</v>
      </c>
      <c r="I3789">
        <v>20240101</v>
      </c>
      <c r="J3789" t="s">
        <v>18640</v>
      </c>
    </row>
    <row r="3790" spans="1:18" x14ac:dyDescent="0.3">
      <c r="A3790" s="160">
        <v>34001</v>
      </c>
      <c r="B3790" t="s">
        <v>19000</v>
      </c>
      <c r="C3790" t="s">
        <v>3791</v>
      </c>
      <c r="D3790">
        <v>0</v>
      </c>
      <c r="E3790">
        <v>0.5</v>
      </c>
      <c r="F3790">
        <f t="shared" si="59"/>
        <v>0.5</v>
      </c>
      <c r="I3790">
        <v>20120301</v>
      </c>
      <c r="J3790" t="s">
        <v>3792</v>
      </c>
    </row>
    <row r="3791" spans="1:18" x14ac:dyDescent="0.3">
      <c r="A3791" s="160">
        <v>34002</v>
      </c>
      <c r="B3791" t="s">
        <v>19001</v>
      </c>
      <c r="C3791" t="s">
        <v>3793</v>
      </c>
      <c r="D3791">
        <v>0.8</v>
      </c>
      <c r="E3791">
        <v>0</v>
      </c>
      <c r="F3791">
        <f t="shared" si="59"/>
        <v>0.8</v>
      </c>
      <c r="I3791">
        <v>20110501</v>
      </c>
      <c r="J3791" t="s">
        <v>3794</v>
      </c>
    </row>
    <row r="3792" spans="1:18" x14ac:dyDescent="0.3">
      <c r="A3792" s="160">
        <v>34003</v>
      </c>
      <c r="B3792" t="s">
        <v>19002</v>
      </c>
      <c r="C3792" t="s">
        <v>3793</v>
      </c>
      <c r="D3792">
        <v>0.8</v>
      </c>
      <c r="E3792">
        <v>0</v>
      </c>
      <c r="F3792">
        <f t="shared" si="59"/>
        <v>0.8</v>
      </c>
      <c r="I3792">
        <v>20110501</v>
      </c>
      <c r="J3792" t="s">
        <v>3795</v>
      </c>
      <c r="K3792" t="s">
        <v>3796</v>
      </c>
      <c r="L3792" t="s">
        <v>3797</v>
      </c>
      <c r="M3792" t="s">
        <v>3798</v>
      </c>
      <c r="N3792" t="s">
        <v>3799</v>
      </c>
      <c r="O3792" t="s">
        <v>3800</v>
      </c>
      <c r="P3792" t="s">
        <v>3801</v>
      </c>
      <c r="Q3792" t="s">
        <v>3802</v>
      </c>
      <c r="R3792" t="s">
        <v>3803</v>
      </c>
    </row>
    <row r="3793" spans="1:14" x14ac:dyDescent="0.3">
      <c r="A3793" s="160">
        <v>34005</v>
      </c>
      <c r="B3793" t="s">
        <v>19003</v>
      </c>
      <c r="C3793" t="s">
        <v>3791</v>
      </c>
      <c r="D3793">
        <v>0</v>
      </c>
      <c r="E3793">
        <v>0.5</v>
      </c>
      <c r="F3793">
        <f t="shared" si="59"/>
        <v>0.5</v>
      </c>
      <c r="I3793">
        <v>20170701</v>
      </c>
      <c r="J3793" t="s">
        <v>3804</v>
      </c>
    </row>
    <row r="3794" spans="1:14" x14ac:dyDescent="0.3">
      <c r="A3794" s="160">
        <v>34009</v>
      </c>
      <c r="B3794" t="s">
        <v>19004</v>
      </c>
      <c r="C3794" t="s">
        <v>3805</v>
      </c>
      <c r="D3794">
        <v>1.45</v>
      </c>
      <c r="E3794">
        <v>0</v>
      </c>
      <c r="F3794">
        <f t="shared" si="59"/>
        <v>1.45</v>
      </c>
      <c r="I3794">
        <v>20190101</v>
      </c>
      <c r="J3794" t="s">
        <v>3792</v>
      </c>
    </row>
    <row r="3795" spans="1:14" x14ac:dyDescent="0.3">
      <c r="A3795" s="160">
        <v>34010</v>
      </c>
      <c r="B3795" t="s">
        <v>19005</v>
      </c>
      <c r="C3795" t="s">
        <v>3791</v>
      </c>
      <c r="D3795">
        <v>0</v>
      </c>
      <c r="E3795">
        <v>0.5</v>
      </c>
      <c r="F3795">
        <f t="shared" si="59"/>
        <v>0.5</v>
      </c>
      <c r="I3795">
        <v>20040101</v>
      </c>
      <c r="J3795" t="s">
        <v>3806</v>
      </c>
    </row>
    <row r="3796" spans="1:14" x14ac:dyDescent="0.3">
      <c r="A3796" s="160">
        <v>34011</v>
      </c>
      <c r="B3796" t="s">
        <v>19006</v>
      </c>
      <c r="C3796" t="s">
        <v>3791</v>
      </c>
      <c r="D3796">
        <v>0</v>
      </c>
      <c r="E3796">
        <v>0.5</v>
      </c>
      <c r="F3796">
        <f t="shared" si="59"/>
        <v>0.5</v>
      </c>
      <c r="I3796">
        <v>20120301</v>
      </c>
      <c r="J3796" t="s">
        <v>3806</v>
      </c>
    </row>
    <row r="3797" spans="1:14" x14ac:dyDescent="0.3">
      <c r="A3797" s="160">
        <v>34012</v>
      </c>
      <c r="B3797" t="s">
        <v>19007</v>
      </c>
      <c r="C3797" t="s">
        <v>3791</v>
      </c>
      <c r="D3797">
        <v>0</v>
      </c>
      <c r="E3797">
        <v>0.5</v>
      </c>
      <c r="F3797">
        <f t="shared" si="59"/>
        <v>0.5</v>
      </c>
      <c r="I3797">
        <v>20040101</v>
      </c>
      <c r="J3797" t="s">
        <v>3807</v>
      </c>
    </row>
    <row r="3798" spans="1:14" x14ac:dyDescent="0.3">
      <c r="A3798" s="160">
        <v>34014</v>
      </c>
      <c r="B3798" t="s">
        <v>19008</v>
      </c>
      <c r="C3798" t="s">
        <v>3791</v>
      </c>
      <c r="D3798">
        <v>0</v>
      </c>
      <c r="E3798">
        <v>0.5</v>
      </c>
      <c r="F3798">
        <f t="shared" si="59"/>
        <v>0.5</v>
      </c>
      <c r="I3798">
        <v>20040101</v>
      </c>
      <c r="J3798" t="s">
        <v>3808</v>
      </c>
    </row>
    <row r="3799" spans="1:14" x14ac:dyDescent="0.3">
      <c r="A3799" s="160">
        <v>34016</v>
      </c>
      <c r="B3799" t="s">
        <v>19009</v>
      </c>
      <c r="C3799" t="s">
        <v>3791</v>
      </c>
      <c r="D3799">
        <v>0</v>
      </c>
      <c r="E3799">
        <v>0.5</v>
      </c>
      <c r="F3799">
        <f t="shared" si="59"/>
        <v>0.5</v>
      </c>
      <c r="I3799">
        <v>20040101</v>
      </c>
      <c r="J3799" t="s">
        <v>3794</v>
      </c>
    </row>
    <row r="3800" spans="1:14" x14ac:dyDescent="0.3">
      <c r="A3800" s="160">
        <v>34017</v>
      </c>
      <c r="B3800" t="s">
        <v>19010</v>
      </c>
      <c r="C3800" t="s">
        <v>3793</v>
      </c>
      <c r="D3800">
        <v>0.8</v>
      </c>
      <c r="E3800">
        <v>0</v>
      </c>
      <c r="F3800">
        <f t="shared" si="59"/>
        <v>0.8</v>
      </c>
      <c r="I3800">
        <v>20110501</v>
      </c>
      <c r="J3800" t="s">
        <v>3809</v>
      </c>
    </row>
    <row r="3801" spans="1:14" x14ac:dyDescent="0.3">
      <c r="A3801" s="160">
        <v>34018</v>
      </c>
      <c r="B3801" t="s">
        <v>19011</v>
      </c>
      <c r="C3801" t="s">
        <v>3791</v>
      </c>
      <c r="D3801">
        <v>0</v>
      </c>
      <c r="E3801">
        <v>0.5</v>
      </c>
      <c r="F3801">
        <f t="shared" si="59"/>
        <v>0.5</v>
      </c>
      <c r="I3801">
        <v>20120301</v>
      </c>
      <c r="J3801" t="s">
        <v>3810</v>
      </c>
    </row>
    <row r="3802" spans="1:14" x14ac:dyDescent="0.3">
      <c r="A3802" s="160">
        <v>34022</v>
      </c>
      <c r="B3802" t="s">
        <v>19012</v>
      </c>
      <c r="C3802" t="s">
        <v>3811</v>
      </c>
      <c r="D3802">
        <v>2</v>
      </c>
      <c r="E3802">
        <v>0</v>
      </c>
      <c r="F3802">
        <f t="shared" si="59"/>
        <v>2</v>
      </c>
      <c r="I3802">
        <v>20110601</v>
      </c>
      <c r="J3802" t="s">
        <v>3812</v>
      </c>
      <c r="K3802" t="s">
        <v>3813</v>
      </c>
      <c r="L3802" t="s">
        <v>3814</v>
      </c>
      <c r="M3802" t="s">
        <v>3815</v>
      </c>
      <c r="N3802" t="s">
        <v>3816</v>
      </c>
    </row>
    <row r="3803" spans="1:14" x14ac:dyDescent="0.3">
      <c r="A3803" s="160">
        <v>34023</v>
      </c>
      <c r="B3803" t="s">
        <v>19013</v>
      </c>
      <c r="C3803" t="s">
        <v>3817</v>
      </c>
      <c r="D3803">
        <v>1.65</v>
      </c>
      <c r="E3803">
        <v>0</v>
      </c>
      <c r="F3803">
        <f t="shared" si="59"/>
        <v>1.65</v>
      </c>
      <c r="I3803">
        <v>20220101</v>
      </c>
      <c r="J3803" t="s">
        <v>3818</v>
      </c>
      <c r="K3803" t="s">
        <v>3819</v>
      </c>
      <c r="L3803" t="s">
        <v>3820</v>
      </c>
    </row>
    <row r="3804" spans="1:14" x14ac:dyDescent="0.3">
      <c r="A3804" s="160">
        <v>34024</v>
      </c>
      <c r="B3804" t="s">
        <v>19014</v>
      </c>
      <c r="C3804" t="s">
        <v>3817</v>
      </c>
      <c r="D3804">
        <v>1.65</v>
      </c>
      <c r="E3804">
        <v>0</v>
      </c>
      <c r="F3804">
        <f t="shared" si="59"/>
        <v>1.65</v>
      </c>
      <c r="I3804">
        <v>20220101</v>
      </c>
      <c r="J3804" t="s">
        <v>3818</v>
      </c>
      <c r="K3804" t="s">
        <v>3820</v>
      </c>
    </row>
    <row r="3805" spans="1:14" x14ac:dyDescent="0.3">
      <c r="A3805" s="160">
        <v>34025</v>
      </c>
      <c r="B3805" t="s">
        <v>19015</v>
      </c>
      <c r="C3805" t="s">
        <v>3805</v>
      </c>
      <c r="D3805">
        <v>1.45</v>
      </c>
      <c r="E3805">
        <v>0</v>
      </c>
      <c r="F3805">
        <f t="shared" si="59"/>
        <v>1.45</v>
      </c>
      <c r="I3805">
        <v>20190101</v>
      </c>
      <c r="J3805" t="s">
        <v>3792</v>
      </c>
    </row>
    <row r="3806" spans="1:14" x14ac:dyDescent="0.3">
      <c r="A3806" s="160">
        <v>34027</v>
      </c>
      <c r="B3806" t="s">
        <v>19016</v>
      </c>
      <c r="C3806" t="s">
        <v>3811</v>
      </c>
      <c r="D3806">
        <v>2</v>
      </c>
      <c r="E3806">
        <v>0</v>
      </c>
      <c r="F3806">
        <f t="shared" si="59"/>
        <v>2</v>
      </c>
      <c r="I3806">
        <v>20110601</v>
      </c>
      <c r="J3806" t="s">
        <v>3821</v>
      </c>
    </row>
    <row r="3807" spans="1:14" x14ac:dyDescent="0.3">
      <c r="A3807" s="160">
        <v>34029</v>
      </c>
      <c r="B3807" t="s">
        <v>19017</v>
      </c>
      <c r="C3807" t="s">
        <v>3791</v>
      </c>
      <c r="D3807">
        <v>0</v>
      </c>
      <c r="E3807">
        <v>0.5</v>
      </c>
      <c r="F3807">
        <f t="shared" si="59"/>
        <v>0.5</v>
      </c>
      <c r="I3807">
        <v>20120301</v>
      </c>
      <c r="J3807" t="s">
        <v>3794</v>
      </c>
    </row>
    <row r="3808" spans="1:14" x14ac:dyDescent="0.3">
      <c r="A3808" s="160">
        <v>34031</v>
      </c>
      <c r="B3808" t="s">
        <v>19018</v>
      </c>
      <c r="C3808" t="s">
        <v>3793</v>
      </c>
      <c r="D3808">
        <v>0.8</v>
      </c>
      <c r="E3808">
        <v>0</v>
      </c>
      <c r="F3808">
        <f t="shared" si="59"/>
        <v>0.8</v>
      </c>
      <c r="I3808">
        <v>20110501</v>
      </c>
      <c r="J3808" t="s">
        <v>3822</v>
      </c>
    </row>
    <row r="3809" spans="1:39" x14ac:dyDescent="0.3">
      <c r="A3809" s="160">
        <v>34032</v>
      </c>
      <c r="B3809" t="s">
        <v>19019</v>
      </c>
      <c r="C3809" t="s">
        <v>3805</v>
      </c>
      <c r="D3809">
        <v>1.45</v>
      </c>
      <c r="E3809">
        <v>0</v>
      </c>
      <c r="F3809">
        <f t="shared" si="59"/>
        <v>1.45</v>
      </c>
      <c r="I3809">
        <v>20190101</v>
      </c>
      <c r="J3809" t="s">
        <v>3823</v>
      </c>
      <c r="K3809" t="s">
        <v>3824</v>
      </c>
      <c r="L3809" t="s">
        <v>3825</v>
      </c>
      <c r="M3809" t="s">
        <v>3826</v>
      </c>
      <c r="N3809" t="s">
        <v>3827</v>
      </c>
      <c r="O3809" t="s">
        <v>3828</v>
      </c>
      <c r="P3809" t="s">
        <v>3829</v>
      </c>
      <c r="Q3809" t="s">
        <v>3830</v>
      </c>
      <c r="R3809" t="s">
        <v>3831</v>
      </c>
      <c r="S3809" t="s">
        <v>3832</v>
      </c>
      <c r="T3809" t="s">
        <v>3833</v>
      </c>
      <c r="U3809" t="s">
        <v>3834</v>
      </c>
      <c r="V3809" t="s">
        <v>3835</v>
      </c>
      <c r="W3809" t="s">
        <v>3836</v>
      </c>
      <c r="X3809" t="s">
        <v>3837</v>
      </c>
      <c r="Y3809" t="s">
        <v>3838</v>
      </c>
      <c r="Z3809" t="s">
        <v>3839</v>
      </c>
      <c r="AA3809" t="s">
        <v>3840</v>
      </c>
      <c r="AB3809" t="s">
        <v>3841</v>
      </c>
      <c r="AC3809" t="s">
        <v>3842</v>
      </c>
      <c r="AD3809" t="s">
        <v>3843</v>
      </c>
      <c r="AE3809" t="s">
        <v>3844</v>
      </c>
      <c r="AF3809" t="s">
        <v>3845</v>
      </c>
      <c r="AG3809" t="s">
        <v>3846</v>
      </c>
      <c r="AH3809" t="s">
        <v>3847</v>
      </c>
      <c r="AI3809" t="s">
        <v>3848</v>
      </c>
      <c r="AJ3809" t="s">
        <v>3849</v>
      </c>
      <c r="AK3809" t="s">
        <v>3850</v>
      </c>
      <c r="AL3809" t="s">
        <v>3851</v>
      </c>
      <c r="AM3809" t="s">
        <v>3852</v>
      </c>
    </row>
    <row r="3810" spans="1:39" x14ac:dyDescent="0.3">
      <c r="A3810" s="160">
        <v>34033</v>
      </c>
      <c r="B3810" t="s">
        <v>19020</v>
      </c>
      <c r="C3810" t="s">
        <v>3791</v>
      </c>
      <c r="D3810">
        <v>0</v>
      </c>
      <c r="E3810">
        <v>0.5</v>
      </c>
      <c r="F3810">
        <f t="shared" si="59"/>
        <v>0.5</v>
      </c>
      <c r="I3810">
        <v>20040101</v>
      </c>
      <c r="J3810" t="s">
        <v>3821</v>
      </c>
      <c r="K3810" t="s">
        <v>3814</v>
      </c>
    </row>
    <row r="3811" spans="1:39" x14ac:dyDescent="0.3">
      <c r="A3811" s="160">
        <v>34035</v>
      </c>
      <c r="B3811" t="s">
        <v>17662</v>
      </c>
      <c r="C3811" t="s">
        <v>3791</v>
      </c>
      <c r="D3811">
        <v>0</v>
      </c>
      <c r="E3811">
        <v>0.5</v>
      </c>
      <c r="F3811">
        <f t="shared" si="59"/>
        <v>0.5</v>
      </c>
      <c r="I3811">
        <v>20040101</v>
      </c>
      <c r="J3811" t="s">
        <v>3806</v>
      </c>
    </row>
    <row r="3812" spans="1:39" x14ac:dyDescent="0.3">
      <c r="A3812" s="160">
        <v>34037</v>
      </c>
      <c r="B3812" t="s">
        <v>19021</v>
      </c>
      <c r="C3812" t="s">
        <v>3805</v>
      </c>
      <c r="D3812">
        <v>1.45</v>
      </c>
      <c r="E3812">
        <v>0</v>
      </c>
      <c r="F3812">
        <f t="shared" si="59"/>
        <v>1.45</v>
      </c>
      <c r="I3812">
        <v>20190101</v>
      </c>
      <c r="J3812" t="s">
        <v>3824</v>
      </c>
      <c r="K3812" t="s">
        <v>3825</v>
      </c>
      <c r="L3812" t="s">
        <v>3845</v>
      </c>
      <c r="M3812" t="s">
        <v>3846</v>
      </c>
      <c r="N3812" t="s">
        <v>3847</v>
      </c>
      <c r="O3812" t="s">
        <v>3848</v>
      </c>
      <c r="P3812" t="s">
        <v>3853</v>
      </c>
      <c r="Q3812" t="s">
        <v>3854</v>
      </c>
    </row>
    <row r="3813" spans="1:39" x14ac:dyDescent="0.3">
      <c r="A3813" s="160">
        <v>34039</v>
      </c>
      <c r="B3813" t="s">
        <v>19022</v>
      </c>
      <c r="C3813" t="s">
        <v>3817</v>
      </c>
      <c r="D3813">
        <v>1.65</v>
      </c>
      <c r="E3813">
        <v>0</v>
      </c>
      <c r="F3813">
        <f t="shared" si="59"/>
        <v>1.65</v>
      </c>
      <c r="I3813">
        <v>20220101</v>
      </c>
      <c r="J3813" t="s">
        <v>3855</v>
      </c>
    </row>
    <row r="3814" spans="1:39" x14ac:dyDescent="0.3">
      <c r="A3814" s="160">
        <v>34041</v>
      </c>
      <c r="B3814" t="s">
        <v>19023</v>
      </c>
      <c r="C3814" t="s">
        <v>3791</v>
      </c>
      <c r="D3814">
        <v>0</v>
      </c>
      <c r="E3814">
        <v>0.5</v>
      </c>
      <c r="F3814">
        <f t="shared" si="59"/>
        <v>0.5</v>
      </c>
      <c r="I3814">
        <v>20120301</v>
      </c>
      <c r="J3814" t="s">
        <v>3856</v>
      </c>
    </row>
    <row r="3815" spans="1:39" x14ac:dyDescent="0.3">
      <c r="A3815" s="160">
        <v>34042</v>
      </c>
      <c r="B3815" t="s">
        <v>19024</v>
      </c>
      <c r="C3815" t="s">
        <v>3791</v>
      </c>
      <c r="D3815">
        <v>0</v>
      </c>
      <c r="E3815">
        <v>0.5</v>
      </c>
      <c r="F3815">
        <f t="shared" si="59"/>
        <v>0.5</v>
      </c>
      <c r="I3815">
        <v>20170701</v>
      </c>
      <c r="J3815" t="s">
        <v>3804</v>
      </c>
    </row>
    <row r="3816" spans="1:39" x14ac:dyDescent="0.3">
      <c r="A3816" s="160">
        <v>34043</v>
      </c>
      <c r="B3816" t="s">
        <v>19025</v>
      </c>
      <c r="C3816" t="s">
        <v>3791</v>
      </c>
      <c r="D3816">
        <v>0</v>
      </c>
      <c r="E3816">
        <v>0.5</v>
      </c>
      <c r="F3816">
        <f t="shared" si="59"/>
        <v>0.5</v>
      </c>
      <c r="I3816">
        <v>20040101</v>
      </c>
      <c r="J3816" t="s">
        <v>3821</v>
      </c>
    </row>
    <row r="3817" spans="1:39" x14ac:dyDescent="0.3">
      <c r="A3817" s="160">
        <v>34048</v>
      </c>
      <c r="B3817" t="s">
        <v>19026</v>
      </c>
      <c r="C3817" t="s">
        <v>3791</v>
      </c>
      <c r="D3817">
        <v>0</v>
      </c>
      <c r="E3817">
        <v>0.5</v>
      </c>
      <c r="F3817">
        <f t="shared" si="59"/>
        <v>0.5</v>
      </c>
      <c r="I3817">
        <v>20240101</v>
      </c>
      <c r="J3817" t="s">
        <v>3821</v>
      </c>
    </row>
    <row r="3818" spans="1:39" x14ac:dyDescent="0.3">
      <c r="A3818" s="160">
        <v>34050</v>
      </c>
      <c r="B3818" t="s">
        <v>19027</v>
      </c>
      <c r="C3818" t="s">
        <v>3857</v>
      </c>
      <c r="D3818">
        <v>0.8</v>
      </c>
      <c r="E3818">
        <v>0.4</v>
      </c>
      <c r="F3818">
        <f t="shared" si="59"/>
        <v>1.2000000000000002</v>
      </c>
      <c r="I3818">
        <v>20170101</v>
      </c>
      <c r="J3818" t="s">
        <v>3858</v>
      </c>
      <c r="K3818" t="s">
        <v>3859</v>
      </c>
    </row>
    <row r="3819" spans="1:39" x14ac:dyDescent="0.3">
      <c r="A3819" s="160">
        <v>34051</v>
      </c>
      <c r="B3819" t="s">
        <v>19028</v>
      </c>
      <c r="C3819" t="s">
        <v>3791</v>
      </c>
      <c r="D3819">
        <v>0</v>
      </c>
      <c r="E3819">
        <v>0.5</v>
      </c>
      <c r="F3819">
        <f t="shared" si="59"/>
        <v>0.5</v>
      </c>
      <c r="I3819">
        <v>20120301</v>
      </c>
      <c r="J3819" t="s">
        <v>3856</v>
      </c>
    </row>
    <row r="3820" spans="1:39" x14ac:dyDescent="0.3">
      <c r="A3820" s="160">
        <v>34052</v>
      </c>
      <c r="B3820" t="s">
        <v>19029</v>
      </c>
      <c r="C3820" t="s">
        <v>3791</v>
      </c>
      <c r="D3820">
        <v>0</v>
      </c>
      <c r="E3820">
        <v>0.5</v>
      </c>
      <c r="F3820">
        <f t="shared" si="59"/>
        <v>0.5</v>
      </c>
      <c r="I3820">
        <v>20170701</v>
      </c>
      <c r="J3820" t="s">
        <v>3860</v>
      </c>
    </row>
    <row r="3821" spans="1:39" x14ac:dyDescent="0.3">
      <c r="A3821" s="160">
        <v>34056</v>
      </c>
      <c r="B3821" t="s">
        <v>19030</v>
      </c>
      <c r="C3821" t="s">
        <v>3793</v>
      </c>
      <c r="D3821">
        <v>0.8</v>
      </c>
      <c r="E3821">
        <v>0</v>
      </c>
      <c r="F3821">
        <f t="shared" si="59"/>
        <v>0.8</v>
      </c>
      <c r="I3821">
        <v>20110501</v>
      </c>
      <c r="J3821" t="s">
        <v>3861</v>
      </c>
    </row>
    <row r="3822" spans="1:39" x14ac:dyDescent="0.3">
      <c r="A3822" s="160">
        <v>34057</v>
      </c>
      <c r="B3822" t="s">
        <v>19031</v>
      </c>
      <c r="C3822" t="s">
        <v>3811</v>
      </c>
      <c r="D3822">
        <v>2</v>
      </c>
      <c r="E3822">
        <v>0</v>
      </c>
      <c r="F3822">
        <f t="shared" si="59"/>
        <v>2</v>
      </c>
      <c r="I3822">
        <v>20110601</v>
      </c>
      <c r="J3822" t="s">
        <v>3862</v>
      </c>
      <c r="K3822" t="s">
        <v>3863</v>
      </c>
      <c r="L3822" t="s">
        <v>3864</v>
      </c>
      <c r="M3822" t="s">
        <v>3865</v>
      </c>
      <c r="N3822" t="s">
        <v>3866</v>
      </c>
      <c r="O3822" t="s">
        <v>3867</v>
      </c>
      <c r="P3822" t="s">
        <v>3868</v>
      </c>
    </row>
    <row r="3823" spans="1:39" x14ac:dyDescent="0.3">
      <c r="A3823" s="160">
        <v>34058</v>
      </c>
      <c r="B3823" t="s">
        <v>19032</v>
      </c>
      <c r="C3823" t="s">
        <v>3811</v>
      </c>
      <c r="D3823">
        <v>2</v>
      </c>
      <c r="E3823">
        <v>0</v>
      </c>
      <c r="F3823">
        <f t="shared" si="59"/>
        <v>2</v>
      </c>
      <c r="I3823">
        <v>20110601</v>
      </c>
      <c r="J3823" t="s">
        <v>3821</v>
      </c>
      <c r="K3823" t="s">
        <v>3814</v>
      </c>
      <c r="L3823" t="s">
        <v>3815</v>
      </c>
      <c r="M3823" t="s">
        <v>3816</v>
      </c>
    </row>
    <row r="3824" spans="1:39" x14ac:dyDescent="0.3">
      <c r="A3824" s="160">
        <v>34060</v>
      </c>
      <c r="B3824" t="s">
        <v>19033</v>
      </c>
      <c r="C3824" t="s">
        <v>3791</v>
      </c>
      <c r="D3824">
        <v>0</v>
      </c>
      <c r="E3824">
        <v>0.5</v>
      </c>
      <c r="F3824">
        <f t="shared" si="59"/>
        <v>0.5</v>
      </c>
      <c r="I3824">
        <v>20040101</v>
      </c>
      <c r="J3824" t="s">
        <v>3807</v>
      </c>
    </row>
    <row r="3825" spans="1:13" x14ac:dyDescent="0.3">
      <c r="A3825" s="160">
        <v>34061</v>
      </c>
      <c r="B3825" t="s">
        <v>19034</v>
      </c>
      <c r="C3825" t="s">
        <v>3791</v>
      </c>
      <c r="D3825">
        <v>0</v>
      </c>
      <c r="E3825">
        <v>0.5</v>
      </c>
      <c r="F3825">
        <f t="shared" si="59"/>
        <v>0.5</v>
      </c>
      <c r="I3825">
        <v>20120301</v>
      </c>
      <c r="J3825" t="s">
        <v>3869</v>
      </c>
    </row>
    <row r="3826" spans="1:13" x14ac:dyDescent="0.3">
      <c r="A3826" s="160">
        <v>34063</v>
      </c>
      <c r="B3826" t="s">
        <v>19035</v>
      </c>
      <c r="C3826" t="s">
        <v>3793</v>
      </c>
      <c r="D3826">
        <v>0.8</v>
      </c>
      <c r="E3826">
        <v>0</v>
      </c>
      <c r="F3826">
        <f t="shared" si="59"/>
        <v>0.8</v>
      </c>
      <c r="I3826">
        <v>20110501</v>
      </c>
      <c r="J3826" t="s">
        <v>3870</v>
      </c>
    </row>
    <row r="3827" spans="1:13" x14ac:dyDescent="0.3">
      <c r="A3827" s="160">
        <v>34065</v>
      </c>
      <c r="B3827" t="s">
        <v>19036</v>
      </c>
      <c r="C3827" t="s">
        <v>3791</v>
      </c>
      <c r="D3827">
        <v>0</v>
      </c>
      <c r="E3827">
        <v>0.5</v>
      </c>
      <c r="F3827">
        <f t="shared" si="59"/>
        <v>0.5</v>
      </c>
      <c r="I3827">
        <v>20170701</v>
      </c>
      <c r="J3827" t="s">
        <v>3871</v>
      </c>
    </row>
    <row r="3828" spans="1:13" x14ac:dyDescent="0.3">
      <c r="A3828" s="160">
        <v>34066</v>
      </c>
      <c r="B3828" t="s">
        <v>19037</v>
      </c>
      <c r="C3828" t="s">
        <v>3791</v>
      </c>
      <c r="D3828">
        <v>0</v>
      </c>
      <c r="E3828">
        <v>0.5</v>
      </c>
      <c r="F3828">
        <f t="shared" si="59"/>
        <v>0.5</v>
      </c>
      <c r="I3828">
        <v>20040101</v>
      </c>
      <c r="J3828" t="s">
        <v>3872</v>
      </c>
    </row>
    <row r="3829" spans="1:13" x14ac:dyDescent="0.3">
      <c r="A3829" s="160">
        <v>34068</v>
      </c>
      <c r="B3829" t="s">
        <v>19038</v>
      </c>
      <c r="C3829" t="s">
        <v>3793</v>
      </c>
      <c r="D3829">
        <v>0.8</v>
      </c>
      <c r="E3829">
        <v>0</v>
      </c>
      <c r="F3829">
        <f t="shared" si="59"/>
        <v>0.8</v>
      </c>
      <c r="I3829">
        <v>20110501</v>
      </c>
      <c r="J3829" t="s">
        <v>3861</v>
      </c>
    </row>
    <row r="3830" spans="1:13" x14ac:dyDescent="0.3">
      <c r="A3830" s="160">
        <v>34069</v>
      </c>
      <c r="B3830" t="s">
        <v>19039</v>
      </c>
      <c r="C3830" t="s">
        <v>3791</v>
      </c>
      <c r="D3830">
        <v>0</v>
      </c>
      <c r="E3830">
        <v>0.5</v>
      </c>
      <c r="F3830">
        <f t="shared" si="59"/>
        <v>0.5</v>
      </c>
      <c r="I3830">
        <v>20040101</v>
      </c>
      <c r="J3830" t="s">
        <v>3873</v>
      </c>
    </row>
    <row r="3831" spans="1:13" x14ac:dyDescent="0.3">
      <c r="A3831" s="160">
        <v>34070</v>
      </c>
      <c r="B3831" t="s">
        <v>19040</v>
      </c>
      <c r="C3831" t="s">
        <v>3791</v>
      </c>
      <c r="D3831">
        <v>0</v>
      </c>
      <c r="E3831">
        <v>0.5</v>
      </c>
      <c r="F3831">
        <f t="shared" si="59"/>
        <v>0.5</v>
      </c>
      <c r="I3831">
        <v>20170701</v>
      </c>
      <c r="J3831" t="s">
        <v>3874</v>
      </c>
    </row>
    <row r="3832" spans="1:13" x14ac:dyDescent="0.3">
      <c r="A3832" s="160">
        <v>34073</v>
      </c>
      <c r="B3832" t="s">
        <v>19041</v>
      </c>
      <c r="C3832" t="s">
        <v>3805</v>
      </c>
      <c r="D3832">
        <v>1.45</v>
      </c>
      <c r="E3832">
        <v>0</v>
      </c>
      <c r="F3832">
        <f t="shared" si="59"/>
        <v>1.45</v>
      </c>
      <c r="I3832">
        <v>20190101</v>
      </c>
      <c r="J3832" t="s">
        <v>3875</v>
      </c>
    </row>
    <row r="3833" spans="1:13" x14ac:dyDescent="0.3">
      <c r="A3833" s="160">
        <v>34074</v>
      </c>
      <c r="B3833" t="s">
        <v>19042</v>
      </c>
      <c r="C3833" t="s">
        <v>3791</v>
      </c>
      <c r="D3833">
        <v>0</v>
      </c>
      <c r="E3833">
        <v>0.5</v>
      </c>
      <c r="F3833">
        <f t="shared" si="59"/>
        <v>0.5</v>
      </c>
      <c r="I3833">
        <v>20170701</v>
      </c>
      <c r="J3833" t="s">
        <v>3871</v>
      </c>
    </row>
    <row r="3834" spans="1:13" x14ac:dyDescent="0.3">
      <c r="A3834" s="160">
        <v>34076</v>
      </c>
      <c r="B3834" t="s">
        <v>19043</v>
      </c>
      <c r="C3834" t="s">
        <v>3791</v>
      </c>
      <c r="D3834">
        <v>0</v>
      </c>
      <c r="E3834">
        <v>0.5</v>
      </c>
      <c r="F3834">
        <f t="shared" si="59"/>
        <v>0.5</v>
      </c>
      <c r="I3834">
        <v>20120301</v>
      </c>
      <c r="J3834" t="s">
        <v>3856</v>
      </c>
    </row>
    <row r="3835" spans="1:13" x14ac:dyDescent="0.3">
      <c r="A3835" s="160">
        <v>34077</v>
      </c>
      <c r="B3835" t="s">
        <v>19044</v>
      </c>
      <c r="C3835" t="s">
        <v>3811</v>
      </c>
      <c r="D3835">
        <v>2</v>
      </c>
      <c r="E3835">
        <v>0</v>
      </c>
      <c r="F3835">
        <f t="shared" si="59"/>
        <v>2</v>
      </c>
      <c r="I3835">
        <v>20110601</v>
      </c>
      <c r="J3835" t="s">
        <v>3876</v>
      </c>
      <c r="K3835" t="s">
        <v>3863</v>
      </c>
      <c r="L3835" t="s">
        <v>3868</v>
      </c>
      <c r="M3835" t="s">
        <v>3877</v>
      </c>
    </row>
    <row r="3836" spans="1:13" x14ac:dyDescent="0.3">
      <c r="A3836" s="160">
        <v>34078</v>
      </c>
      <c r="B3836" t="s">
        <v>15780</v>
      </c>
      <c r="C3836" t="s">
        <v>3791</v>
      </c>
      <c r="D3836">
        <v>0</v>
      </c>
      <c r="E3836">
        <v>0.5</v>
      </c>
      <c r="F3836">
        <f t="shared" si="59"/>
        <v>0.5</v>
      </c>
      <c r="I3836">
        <v>20240101</v>
      </c>
      <c r="J3836" t="s">
        <v>3872</v>
      </c>
    </row>
    <row r="3837" spans="1:13" x14ac:dyDescent="0.3">
      <c r="A3837" s="160">
        <v>34081</v>
      </c>
      <c r="B3837" t="s">
        <v>16741</v>
      </c>
      <c r="C3837" t="s">
        <v>3791</v>
      </c>
      <c r="D3837">
        <v>0</v>
      </c>
      <c r="E3837">
        <v>0.5</v>
      </c>
      <c r="F3837">
        <f t="shared" si="59"/>
        <v>0.5</v>
      </c>
      <c r="I3837">
        <v>20040101</v>
      </c>
      <c r="J3837" t="s">
        <v>3878</v>
      </c>
      <c r="K3837" t="s">
        <v>3832</v>
      </c>
    </row>
    <row r="3838" spans="1:13" x14ac:dyDescent="0.3">
      <c r="A3838" s="160">
        <v>34082</v>
      </c>
      <c r="B3838" t="s">
        <v>19045</v>
      </c>
      <c r="C3838" t="s">
        <v>3791</v>
      </c>
      <c r="D3838">
        <v>0</v>
      </c>
      <c r="E3838">
        <v>0.5</v>
      </c>
      <c r="F3838">
        <f t="shared" si="59"/>
        <v>0.5</v>
      </c>
      <c r="I3838">
        <v>20040101</v>
      </c>
      <c r="J3838" t="s">
        <v>3879</v>
      </c>
      <c r="K3838" t="s">
        <v>3880</v>
      </c>
    </row>
    <row r="3839" spans="1:13" x14ac:dyDescent="0.3">
      <c r="A3839" s="160">
        <v>34084</v>
      </c>
      <c r="B3839" t="s">
        <v>19046</v>
      </c>
      <c r="C3839" t="s">
        <v>3805</v>
      </c>
      <c r="D3839">
        <v>1.45</v>
      </c>
      <c r="E3839">
        <v>0</v>
      </c>
      <c r="F3839">
        <f t="shared" si="59"/>
        <v>1.45</v>
      </c>
      <c r="I3839">
        <v>20190101</v>
      </c>
      <c r="J3839" t="s">
        <v>3869</v>
      </c>
    </row>
    <row r="3840" spans="1:13" x14ac:dyDescent="0.3">
      <c r="A3840" s="160">
        <v>34085</v>
      </c>
      <c r="B3840" t="s">
        <v>19047</v>
      </c>
      <c r="C3840" t="s">
        <v>3805</v>
      </c>
      <c r="D3840">
        <v>1.45</v>
      </c>
      <c r="E3840">
        <v>0</v>
      </c>
      <c r="F3840">
        <f t="shared" si="59"/>
        <v>1.45</v>
      </c>
      <c r="I3840">
        <v>20190101</v>
      </c>
      <c r="J3840" t="s">
        <v>3792</v>
      </c>
    </row>
    <row r="3841" spans="1:17" x14ac:dyDescent="0.3">
      <c r="A3841" s="160">
        <v>34087</v>
      </c>
      <c r="B3841" t="s">
        <v>19048</v>
      </c>
      <c r="C3841" t="s">
        <v>3811</v>
      </c>
      <c r="D3841">
        <v>2</v>
      </c>
      <c r="E3841">
        <v>0</v>
      </c>
      <c r="F3841">
        <f t="shared" si="59"/>
        <v>2</v>
      </c>
      <c r="I3841">
        <v>20110601</v>
      </c>
      <c r="J3841" t="s">
        <v>3881</v>
      </c>
      <c r="K3841" t="s">
        <v>3882</v>
      </c>
    </row>
    <row r="3842" spans="1:17" x14ac:dyDescent="0.3">
      <c r="A3842" s="160">
        <v>34088</v>
      </c>
      <c r="B3842" t="s">
        <v>19049</v>
      </c>
      <c r="C3842" t="s">
        <v>3811</v>
      </c>
      <c r="D3842">
        <v>2</v>
      </c>
      <c r="E3842">
        <v>0</v>
      </c>
      <c r="F3842">
        <f t="shared" si="59"/>
        <v>2</v>
      </c>
      <c r="I3842">
        <v>20110601</v>
      </c>
      <c r="J3842" t="s">
        <v>3883</v>
      </c>
      <c r="K3842" t="s">
        <v>3881</v>
      </c>
      <c r="L3842" t="s">
        <v>3884</v>
      </c>
      <c r="M3842" t="s">
        <v>3882</v>
      </c>
    </row>
    <row r="3843" spans="1:17" x14ac:dyDescent="0.3">
      <c r="A3843" s="160">
        <v>34089</v>
      </c>
      <c r="B3843" t="s">
        <v>19050</v>
      </c>
      <c r="C3843" t="s">
        <v>3791</v>
      </c>
      <c r="D3843">
        <v>0</v>
      </c>
      <c r="E3843">
        <v>0.5</v>
      </c>
      <c r="F3843">
        <f t="shared" si="59"/>
        <v>0.5</v>
      </c>
      <c r="I3843">
        <v>20170701</v>
      </c>
      <c r="J3843" t="s">
        <v>3873</v>
      </c>
    </row>
    <row r="3844" spans="1:17" x14ac:dyDescent="0.3">
      <c r="A3844" s="160">
        <v>34090</v>
      </c>
      <c r="B3844" t="s">
        <v>19051</v>
      </c>
      <c r="C3844" t="s">
        <v>3811</v>
      </c>
      <c r="D3844">
        <v>2</v>
      </c>
      <c r="E3844">
        <v>0</v>
      </c>
      <c r="F3844">
        <f t="shared" si="59"/>
        <v>2</v>
      </c>
      <c r="I3844">
        <v>20110601</v>
      </c>
      <c r="J3844" t="s">
        <v>3865</v>
      </c>
      <c r="K3844" t="s">
        <v>3866</v>
      </c>
      <c r="L3844" t="s">
        <v>3868</v>
      </c>
      <c r="M3844" t="s">
        <v>3885</v>
      </c>
    </row>
    <row r="3845" spans="1:17" x14ac:dyDescent="0.3">
      <c r="A3845" s="160">
        <v>34094</v>
      </c>
      <c r="B3845" t="s">
        <v>19052</v>
      </c>
      <c r="C3845" t="s">
        <v>3805</v>
      </c>
      <c r="D3845">
        <v>1.45</v>
      </c>
      <c r="E3845">
        <v>0</v>
      </c>
      <c r="F3845">
        <f t="shared" si="59"/>
        <v>1.45</v>
      </c>
      <c r="I3845">
        <v>20190101</v>
      </c>
      <c r="J3845" t="s">
        <v>3792</v>
      </c>
    </row>
    <row r="3846" spans="1:17" x14ac:dyDescent="0.3">
      <c r="A3846" s="160">
        <v>34095</v>
      </c>
      <c r="B3846" t="s">
        <v>19053</v>
      </c>
      <c r="C3846" t="s">
        <v>3811</v>
      </c>
      <c r="D3846">
        <v>2</v>
      </c>
      <c r="E3846">
        <v>0</v>
      </c>
      <c r="F3846">
        <f t="shared" si="59"/>
        <v>2</v>
      </c>
      <c r="I3846">
        <v>20110601</v>
      </c>
      <c r="J3846" t="s">
        <v>3881</v>
      </c>
      <c r="K3846" t="s">
        <v>3886</v>
      </c>
    </row>
    <row r="3847" spans="1:17" x14ac:dyDescent="0.3">
      <c r="A3847" s="160">
        <v>34099</v>
      </c>
      <c r="B3847" t="s">
        <v>19054</v>
      </c>
      <c r="C3847" t="s">
        <v>3791</v>
      </c>
      <c r="D3847">
        <v>0</v>
      </c>
      <c r="E3847">
        <v>0.5</v>
      </c>
      <c r="F3847">
        <f t="shared" ref="F3847:F3910" si="60">D3847+E3847</f>
        <v>0.5</v>
      </c>
      <c r="I3847">
        <v>20240101</v>
      </c>
      <c r="J3847" t="s">
        <v>3804</v>
      </c>
    </row>
    <row r="3848" spans="1:17" x14ac:dyDescent="0.3">
      <c r="A3848" s="160">
        <v>34101</v>
      </c>
      <c r="B3848" t="s">
        <v>19055</v>
      </c>
      <c r="C3848" t="s">
        <v>3793</v>
      </c>
      <c r="D3848">
        <v>0.8</v>
      </c>
      <c r="E3848">
        <v>0</v>
      </c>
      <c r="F3848">
        <f t="shared" si="60"/>
        <v>0.8</v>
      </c>
      <c r="I3848">
        <v>20110501</v>
      </c>
      <c r="J3848" t="s">
        <v>3887</v>
      </c>
    </row>
    <row r="3849" spans="1:17" x14ac:dyDescent="0.3">
      <c r="A3849" s="160">
        <v>34102</v>
      </c>
      <c r="B3849" t="s">
        <v>19056</v>
      </c>
      <c r="C3849" t="s">
        <v>3791</v>
      </c>
      <c r="D3849">
        <v>0</v>
      </c>
      <c r="E3849">
        <v>0.5</v>
      </c>
      <c r="F3849">
        <f t="shared" si="60"/>
        <v>0.5</v>
      </c>
      <c r="I3849">
        <v>20240101</v>
      </c>
      <c r="J3849" t="s">
        <v>3872</v>
      </c>
    </row>
    <row r="3850" spans="1:17" x14ac:dyDescent="0.3">
      <c r="A3850" s="160">
        <v>34105</v>
      </c>
      <c r="B3850" t="s">
        <v>19057</v>
      </c>
      <c r="C3850" t="s">
        <v>3791</v>
      </c>
      <c r="D3850">
        <v>0</v>
      </c>
      <c r="E3850">
        <v>0.5</v>
      </c>
      <c r="F3850">
        <f t="shared" si="60"/>
        <v>0.5</v>
      </c>
      <c r="I3850">
        <v>20120301</v>
      </c>
      <c r="J3850" t="s">
        <v>3810</v>
      </c>
    </row>
    <row r="3851" spans="1:17" x14ac:dyDescent="0.3">
      <c r="A3851" s="160">
        <v>34108</v>
      </c>
      <c r="B3851" t="s">
        <v>19058</v>
      </c>
      <c r="C3851" t="s">
        <v>3817</v>
      </c>
      <c r="D3851">
        <v>1.65</v>
      </c>
      <c r="E3851">
        <v>0</v>
      </c>
      <c r="F3851">
        <f t="shared" si="60"/>
        <v>1.65</v>
      </c>
      <c r="I3851">
        <v>20220101</v>
      </c>
      <c r="J3851" t="s">
        <v>3888</v>
      </c>
      <c r="K3851" t="s">
        <v>3889</v>
      </c>
      <c r="L3851" t="s">
        <v>3890</v>
      </c>
      <c r="M3851" t="s">
        <v>3818</v>
      </c>
      <c r="N3851" t="s">
        <v>3891</v>
      </c>
      <c r="O3851" t="s">
        <v>3892</v>
      </c>
      <c r="P3851" t="s">
        <v>3893</v>
      </c>
      <c r="Q3851" t="s">
        <v>3894</v>
      </c>
    </row>
    <row r="3852" spans="1:17" x14ac:dyDescent="0.3">
      <c r="A3852" s="160">
        <v>34110</v>
      </c>
      <c r="B3852" t="s">
        <v>19059</v>
      </c>
      <c r="C3852" t="s">
        <v>3791</v>
      </c>
      <c r="D3852">
        <v>0</v>
      </c>
      <c r="E3852">
        <v>0.5</v>
      </c>
      <c r="F3852">
        <f t="shared" si="60"/>
        <v>0.5</v>
      </c>
      <c r="I3852">
        <v>20040101</v>
      </c>
      <c r="J3852" t="s">
        <v>3821</v>
      </c>
    </row>
    <row r="3853" spans="1:17" x14ac:dyDescent="0.3">
      <c r="A3853" s="160">
        <v>34112</v>
      </c>
      <c r="B3853" t="s">
        <v>19060</v>
      </c>
      <c r="C3853" t="s">
        <v>3791</v>
      </c>
      <c r="D3853">
        <v>0</v>
      </c>
      <c r="E3853">
        <v>0.5</v>
      </c>
      <c r="F3853">
        <f t="shared" si="60"/>
        <v>0.5</v>
      </c>
      <c r="I3853">
        <v>20240101</v>
      </c>
      <c r="J3853" t="s">
        <v>3821</v>
      </c>
    </row>
    <row r="3854" spans="1:17" x14ac:dyDescent="0.3">
      <c r="A3854" s="160">
        <v>34113</v>
      </c>
      <c r="B3854" t="s">
        <v>19061</v>
      </c>
      <c r="C3854" t="s">
        <v>3817</v>
      </c>
      <c r="D3854">
        <v>1.65</v>
      </c>
      <c r="E3854">
        <v>0</v>
      </c>
      <c r="F3854">
        <f t="shared" si="60"/>
        <v>1.65</v>
      </c>
      <c r="I3854">
        <v>20220101</v>
      </c>
      <c r="J3854" t="s">
        <v>3818</v>
      </c>
      <c r="K3854" t="s">
        <v>3895</v>
      </c>
    </row>
    <row r="3855" spans="1:17" x14ac:dyDescent="0.3">
      <c r="A3855" s="160">
        <v>34114</v>
      </c>
      <c r="B3855" t="s">
        <v>19062</v>
      </c>
      <c r="C3855" t="s">
        <v>3791</v>
      </c>
      <c r="D3855">
        <v>0</v>
      </c>
      <c r="E3855">
        <v>0.5</v>
      </c>
      <c r="F3855">
        <f t="shared" si="60"/>
        <v>0.5</v>
      </c>
      <c r="I3855">
        <v>20120301</v>
      </c>
      <c r="J3855" t="s">
        <v>3806</v>
      </c>
    </row>
    <row r="3856" spans="1:17" x14ac:dyDescent="0.3">
      <c r="A3856" s="160">
        <v>34116</v>
      </c>
      <c r="B3856" t="s">
        <v>19063</v>
      </c>
      <c r="C3856" t="s">
        <v>3811</v>
      </c>
      <c r="D3856">
        <v>2</v>
      </c>
      <c r="E3856">
        <v>0</v>
      </c>
      <c r="F3856">
        <f t="shared" si="60"/>
        <v>2</v>
      </c>
      <c r="I3856">
        <v>20110601</v>
      </c>
      <c r="J3856" t="s">
        <v>3896</v>
      </c>
      <c r="K3856" t="s">
        <v>3897</v>
      </c>
      <c r="L3856" t="s">
        <v>3898</v>
      </c>
      <c r="M3856" t="s">
        <v>3880</v>
      </c>
      <c r="N3856" t="s">
        <v>3899</v>
      </c>
      <c r="O3856" t="s">
        <v>3900</v>
      </c>
      <c r="P3856" t="s">
        <v>3901</v>
      </c>
    </row>
    <row r="3857" spans="1:26" x14ac:dyDescent="0.3">
      <c r="A3857" s="160">
        <v>34118</v>
      </c>
      <c r="B3857" t="s">
        <v>19064</v>
      </c>
      <c r="C3857" t="s">
        <v>3791</v>
      </c>
      <c r="D3857">
        <v>0</v>
      </c>
      <c r="E3857">
        <v>0.5</v>
      </c>
      <c r="F3857">
        <f t="shared" si="60"/>
        <v>0.5</v>
      </c>
      <c r="I3857">
        <v>20040101</v>
      </c>
      <c r="J3857" t="s">
        <v>3808</v>
      </c>
    </row>
    <row r="3858" spans="1:26" x14ac:dyDescent="0.3">
      <c r="A3858" s="160">
        <v>34120</v>
      </c>
      <c r="B3858" t="s">
        <v>19065</v>
      </c>
      <c r="C3858" t="s">
        <v>3811</v>
      </c>
      <c r="D3858">
        <v>2</v>
      </c>
      <c r="E3858">
        <v>0</v>
      </c>
      <c r="F3858">
        <f t="shared" si="60"/>
        <v>2</v>
      </c>
      <c r="I3858">
        <v>20110601</v>
      </c>
      <c r="J3858" t="s">
        <v>3868</v>
      </c>
      <c r="K3858" t="s">
        <v>3877</v>
      </c>
    </row>
    <row r="3859" spans="1:26" x14ac:dyDescent="0.3">
      <c r="A3859" s="160">
        <v>34122</v>
      </c>
      <c r="B3859" t="s">
        <v>19066</v>
      </c>
      <c r="C3859" t="s">
        <v>3791</v>
      </c>
      <c r="D3859">
        <v>0</v>
      </c>
      <c r="E3859">
        <v>0.5</v>
      </c>
      <c r="F3859">
        <f t="shared" si="60"/>
        <v>0.5</v>
      </c>
      <c r="I3859">
        <v>20120301</v>
      </c>
      <c r="J3859" t="s">
        <v>3902</v>
      </c>
    </row>
    <row r="3860" spans="1:26" x14ac:dyDescent="0.3">
      <c r="A3860" s="160">
        <v>34123</v>
      </c>
      <c r="B3860" t="s">
        <v>19067</v>
      </c>
      <c r="C3860" t="s">
        <v>3811</v>
      </c>
      <c r="D3860">
        <v>2</v>
      </c>
      <c r="E3860">
        <v>0</v>
      </c>
      <c r="F3860">
        <f t="shared" si="60"/>
        <v>2</v>
      </c>
      <c r="I3860">
        <v>20110601</v>
      </c>
      <c r="J3860" t="s">
        <v>3881</v>
      </c>
      <c r="K3860" t="s">
        <v>3819</v>
      </c>
      <c r="L3860" t="s">
        <v>3903</v>
      </c>
    </row>
    <row r="3861" spans="1:26" x14ac:dyDescent="0.3">
      <c r="A3861" s="160">
        <v>34125</v>
      </c>
      <c r="B3861" t="s">
        <v>19068</v>
      </c>
      <c r="C3861" t="s">
        <v>3791</v>
      </c>
      <c r="D3861">
        <v>0</v>
      </c>
      <c r="E3861">
        <v>0.5</v>
      </c>
      <c r="F3861">
        <f t="shared" si="60"/>
        <v>0.5</v>
      </c>
      <c r="I3861">
        <v>20120301</v>
      </c>
      <c r="J3861" t="s">
        <v>3806</v>
      </c>
    </row>
    <row r="3862" spans="1:26" x14ac:dyDescent="0.3">
      <c r="A3862" s="160">
        <v>34127</v>
      </c>
      <c r="B3862" t="s">
        <v>19069</v>
      </c>
      <c r="C3862" t="s">
        <v>3857</v>
      </c>
      <c r="D3862">
        <v>0.8</v>
      </c>
      <c r="E3862">
        <v>0.4</v>
      </c>
      <c r="F3862">
        <f t="shared" si="60"/>
        <v>1.2000000000000002</v>
      </c>
      <c r="I3862">
        <v>20170101</v>
      </c>
      <c r="J3862" t="s">
        <v>3858</v>
      </c>
      <c r="K3862" t="s">
        <v>3904</v>
      </c>
      <c r="L3862" t="s">
        <v>3905</v>
      </c>
      <c r="M3862" t="s">
        <v>3906</v>
      </c>
    </row>
    <row r="3863" spans="1:26" x14ac:dyDescent="0.3">
      <c r="A3863" s="160">
        <v>34129</v>
      </c>
      <c r="B3863" t="s">
        <v>19070</v>
      </c>
      <c r="C3863" t="s">
        <v>3811</v>
      </c>
      <c r="D3863">
        <v>2</v>
      </c>
      <c r="E3863">
        <v>0</v>
      </c>
      <c r="F3863">
        <f t="shared" si="60"/>
        <v>2</v>
      </c>
      <c r="I3863">
        <v>20110601</v>
      </c>
      <c r="J3863" t="s">
        <v>3907</v>
      </c>
      <c r="K3863" t="s">
        <v>3908</v>
      </c>
      <c r="L3863" t="s">
        <v>3909</v>
      </c>
      <c r="M3863" t="s">
        <v>3859</v>
      </c>
      <c r="N3863" t="s">
        <v>3904</v>
      </c>
      <c r="O3863" t="s">
        <v>3910</v>
      </c>
      <c r="P3863" t="s">
        <v>3911</v>
      </c>
      <c r="Q3863" t="s">
        <v>3912</v>
      </c>
      <c r="R3863" t="s">
        <v>3913</v>
      </c>
      <c r="S3863" t="s">
        <v>3914</v>
      </c>
      <c r="T3863" t="s">
        <v>3915</v>
      </c>
      <c r="U3863" t="s">
        <v>3916</v>
      </c>
      <c r="V3863" t="s">
        <v>3917</v>
      </c>
      <c r="W3863" t="s">
        <v>3918</v>
      </c>
      <c r="X3863" t="s">
        <v>3919</v>
      </c>
      <c r="Y3863" t="s">
        <v>3920</v>
      </c>
      <c r="Z3863" t="s">
        <v>3921</v>
      </c>
    </row>
    <row r="3864" spans="1:26" x14ac:dyDescent="0.3">
      <c r="A3864" s="160">
        <v>34131</v>
      </c>
      <c r="B3864" t="s">
        <v>19071</v>
      </c>
      <c r="C3864" t="s">
        <v>3791</v>
      </c>
      <c r="D3864">
        <v>0</v>
      </c>
      <c r="E3864">
        <v>0.5</v>
      </c>
      <c r="F3864">
        <f t="shared" si="60"/>
        <v>0.5</v>
      </c>
      <c r="I3864">
        <v>20240101</v>
      </c>
      <c r="J3864" t="s">
        <v>3872</v>
      </c>
    </row>
    <row r="3865" spans="1:26" x14ac:dyDescent="0.3">
      <c r="A3865" s="160">
        <v>34134</v>
      </c>
      <c r="B3865" t="s">
        <v>19072</v>
      </c>
      <c r="C3865" t="s">
        <v>3811</v>
      </c>
      <c r="D3865">
        <v>2</v>
      </c>
      <c r="E3865">
        <v>0</v>
      </c>
      <c r="F3865">
        <f t="shared" si="60"/>
        <v>2</v>
      </c>
      <c r="I3865">
        <v>20110601</v>
      </c>
      <c r="J3865" t="s">
        <v>3881</v>
      </c>
      <c r="K3865" t="s">
        <v>3819</v>
      </c>
      <c r="L3865" t="s">
        <v>3922</v>
      </c>
    </row>
    <row r="3866" spans="1:26" x14ac:dyDescent="0.3">
      <c r="A3866" s="160">
        <v>34135</v>
      </c>
      <c r="B3866" t="s">
        <v>19073</v>
      </c>
      <c r="C3866" t="s">
        <v>3791</v>
      </c>
      <c r="D3866">
        <v>0</v>
      </c>
      <c r="E3866">
        <v>0.5</v>
      </c>
      <c r="F3866">
        <f t="shared" si="60"/>
        <v>0.5</v>
      </c>
      <c r="I3866">
        <v>20040101</v>
      </c>
      <c r="J3866" t="s">
        <v>3923</v>
      </c>
    </row>
    <row r="3867" spans="1:26" x14ac:dyDescent="0.3">
      <c r="A3867" s="160">
        <v>34136</v>
      </c>
      <c r="B3867" t="s">
        <v>19074</v>
      </c>
      <c r="C3867" t="s">
        <v>3793</v>
      </c>
      <c r="D3867">
        <v>0.8</v>
      </c>
      <c r="E3867">
        <v>0</v>
      </c>
      <c r="F3867">
        <f t="shared" si="60"/>
        <v>0.8</v>
      </c>
      <c r="I3867">
        <v>20110501</v>
      </c>
      <c r="J3867" t="s">
        <v>3861</v>
      </c>
    </row>
    <row r="3868" spans="1:26" x14ac:dyDescent="0.3">
      <c r="A3868" s="160">
        <v>34139</v>
      </c>
      <c r="B3868" t="s">
        <v>19075</v>
      </c>
      <c r="C3868" t="s">
        <v>3805</v>
      </c>
      <c r="D3868">
        <v>1.45</v>
      </c>
      <c r="E3868">
        <v>0</v>
      </c>
      <c r="F3868">
        <f t="shared" si="60"/>
        <v>1.45</v>
      </c>
      <c r="I3868">
        <v>20190101</v>
      </c>
      <c r="J3868" t="s">
        <v>3792</v>
      </c>
    </row>
    <row r="3869" spans="1:26" x14ac:dyDescent="0.3">
      <c r="A3869" s="160">
        <v>34140</v>
      </c>
      <c r="B3869" t="s">
        <v>19076</v>
      </c>
      <c r="C3869" t="s">
        <v>3805</v>
      </c>
      <c r="D3869">
        <v>1.45</v>
      </c>
      <c r="E3869">
        <v>0</v>
      </c>
      <c r="F3869">
        <f t="shared" si="60"/>
        <v>1.45</v>
      </c>
      <c r="I3869">
        <v>20190101</v>
      </c>
      <c r="J3869" t="s">
        <v>3869</v>
      </c>
    </row>
    <row r="3870" spans="1:26" x14ac:dyDescent="0.3">
      <c r="A3870" s="160">
        <v>34143</v>
      </c>
      <c r="B3870" t="s">
        <v>19077</v>
      </c>
      <c r="C3870" t="s">
        <v>3817</v>
      </c>
      <c r="D3870">
        <v>1.65</v>
      </c>
      <c r="E3870">
        <v>0</v>
      </c>
      <c r="F3870">
        <f t="shared" si="60"/>
        <v>1.65</v>
      </c>
      <c r="I3870">
        <v>20220101</v>
      </c>
      <c r="J3870" t="s">
        <v>3818</v>
      </c>
      <c r="K3870" t="s">
        <v>3855</v>
      </c>
    </row>
    <row r="3871" spans="1:26" x14ac:dyDescent="0.3">
      <c r="A3871" s="160">
        <v>34145</v>
      </c>
      <c r="B3871" t="s">
        <v>19078</v>
      </c>
      <c r="C3871" t="s">
        <v>3791</v>
      </c>
      <c r="D3871">
        <v>0</v>
      </c>
      <c r="E3871">
        <v>0.5</v>
      </c>
      <c r="F3871">
        <f t="shared" si="60"/>
        <v>0.5</v>
      </c>
      <c r="I3871">
        <v>20040101</v>
      </c>
      <c r="J3871" t="s">
        <v>3924</v>
      </c>
      <c r="K3871" t="s">
        <v>3925</v>
      </c>
      <c r="L3871" t="s">
        <v>3926</v>
      </c>
      <c r="M3871" t="s">
        <v>3927</v>
      </c>
      <c r="N3871" t="s">
        <v>3928</v>
      </c>
    </row>
    <row r="3872" spans="1:26" x14ac:dyDescent="0.3">
      <c r="A3872" s="160">
        <v>34146</v>
      </c>
      <c r="B3872" t="s">
        <v>19079</v>
      </c>
      <c r="C3872" t="s">
        <v>3791</v>
      </c>
      <c r="D3872">
        <v>0</v>
      </c>
      <c r="E3872">
        <v>0.5</v>
      </c>
      <c r="F3872">
        <f t="shared" si="60"/>
        <v>0.5</v>
      </c>
      <c r="I3872">
        <v>20040101</v>
      </c>
      <c r="J3872" t="s">
        <v>3924</v>
      </c>
      <c r="K3872" t="s">
        <v>3925</v>
      </c>
      <c r="L3872" t="s">
        <v>3926</v>
      </c>
      <c r="M3872" t="s">
        <v>3927</v>
      </c>
    </row>
    <row r="3873" spans="1:20" x14ac:dyDescent="0.3">
      <c r="A3873" s="160">
        <v>34147</v>
      </c>
      <c r="B3873" t="s">
        <v>19080</v>
      </c>
      <c r="C3873" t="s">
        <v>3791</v>
      </c>
      <c r="D3873">
        <v>0</v>
      </c>
      <c r="E3873">
        <v>0.5</v>
      </c>
      <c r="F3873">
        <f t="shared" si="60"/>
        <v>0.5</v>
      </c>
      <c r="I3873">
        <v>20120301</v>
      </c>
      <c r="J3873" t="s">
        <v>3810</v>
      </c>
      <c r="K3873" t="s">
        <v>3824</v>
      </c>
    </row>
    <row r="3874" spans="1:20" x14ac:dyDescent="0.3">
      <c r="A3874" s="160">
        <v>34148</v>
      </c>
      <c r="B3874" t="s">
        <v>19081</v>
      </c>
      <c r="C3874" t="s">
        <v>3791</v>
      </c>
      <c r="D3874">
        <v>0</v>
      </c>
      <c r="E3874">
        <v>0.5</v>
      </c>
      <c r="F3874">
        <f t="shared" si="60"/>
        <v>0.5</v>
      </c>
      <c r="I3874">
        <v>20040101</v>
      </c>
      <c r="J3874" t="s">
        <v>3873</v>
      </c>
    </row>
    <row r="3875" spans="1:20" x14ac:dyDescent="0.3">
      <c r="A3875" s="160">
        <v>34149</v>
      </c>
      <c r="B3875" t="s">
        <v>19082</v>
      </c>
      <c r="C3875" t="s">
        <v>3791</v>
      </c>
      <c r="D3875">
        <v>0</v>
      </c>
      <c r="E3875">
        <v>0.5</v>
      </c>
      <c r="F3875">
        <f t="shared" si="60"/>
        <v>0.5</v>
      </c>
      <c r="I3875">
        <v>20120301</v>
      </c>
      <c r="J3875" t="s">
        <v>3929</v>
      </c>
    </row>
    <row r="3876" spans="1:20" x14ac:dyDescent="0.3">
      <c r="A3876" s="160">
        <v>34150</v>
      </c>
      <c r="B3876" t="s">
        <v>19083</v>
      </c>
      <c r="C3876" t="s">
        <v>3817</v>
      </c>
      <c r="D3876">
        <v>1.65</v>
      </c>
      <c r="E3876">
        <v>0</v>
      </c>
      <c r="F3876">
        <f t="shared" si="60"/>
        <v>1.65</v>
      </c>
      <c r="I3876">
        <v>20220101</v>
      </c>
      <c r="J3876" t="s">
        <v>3930</v>
      </c>
    </row>
    <row r="3877" spans="1:20" x14ac:dyDescent="0.3">
      <c r="A3877" s="160">
        <v>34151</v>
      </c>
      <c r="B3877" t="s">
        <v>19084</v>
      </c>
      <c r="C3877" t="s">
        <v>3791</v>
      </c>
      <c r="D3877">
        <v>0</v>
      </c>
      <c r="E3877">
        <v>0.5</v>
      </c>
      <c r="F3877">
        <f t="shared" si="60"/>
        <v>0.5</v>
      </c>
      <c r="I3877">
        <v>20040101</v>
      </c>
      <c r="J3877" t="s">
        <v>3927</v>
      </c>
      <c r="K3877" t="s">
        <v>3931</v>
      </c>
    </row>
    <row r="3878" spans="1:20" x14ac:dyDescent="0.3">
      <c r="A3878" s="160">
        <v>34152</v>
      </c>
      <c r="B3878" t="s">
        <v>19085</v>
      </c>
      <c r="C3878" t="s">
        <v>3791</v>
      </c>
      <c r="D3878">
        <v>0</v>
      </c>
      <c r="E3878">
        <v>0.5</v>
      </c>
      <c r="F3878">
        <f t="shared" si="60"/>
        <v>0.5</v>
      </c>
      <c r="I3878">
        <v>20040101</v>
      </c>
      <c r="J3878" t="s">
        <v>3807</v>
      </c>
    </row>
    <row r="3879" spans="1:20" x14ac:dyDescent="0.3">
      <c r="A3879" s="160">
        <v>34153</v>
      </c>
      <c r="B3879" t="s">
        <v>19086</v>
      </c>
      <c r="C3879" t="s">
        <v>3791</v>
      </c>
      <c r="D3879">
        <v>0</v>
      </c>
      <c r="E3879">
        <v>0.5</v>
      </c>
      <c r="F3879">
        <f t="shared" si="60"/>
        <v>0.5</v>
      </c>
      <c r="I3879">
        <v>20040101</v>
      </c>
      <c r="J3879" t="s">
        <v>3872</v>
      </c>
      <c r="K3879" t="s">
        <v>3880</v>
      </c>
      <c r="L3879" t="s">
        <v>3899</v>
      </c>
    </row>
    <row r="3880" spans="1:20" x14ac:dyDescent="0.3">
      <c r="A3880" s="160">
        <v>34154</v>
      </c>
      <c r="B3880" t="s">
        <v>19087</v>
      </c>
      <c r="C3880" t="s">
        <v>3857</v>
      </c>
      <c r="D3880">
        <v>0.8</v>
      </c>
      <c r="E3880">
        <v>0.4</v>
      </c>
      <c r="F3880">
        <f t="shared" si="60"/>
        <v>1.2000000000000002</v>
      </c>
      <c r="I3880">
        <v>20170101</v>
      </c>
      <c r="J3880" t="s">
        <v>3858</v>
      </c>
      <c r="K3880" t="s">
        <v>3859</v>
      </c>
      <c r="L3880" t="s">
        <v>3904</v>
      </c>
      <c r="M3880" t="s">
        <v>3905</v>
      </c>
      <c r="N3880" t="s">
        <v>3932</v>
      </c>
      <c r="O3880" t="s">
        <v>3933</v>
      </c>
      <c r="P3880" t="s">
        <v>3934</v>
      </c>
      <c r="Q3880" t="s">
        <v>3819</v>
      </c>
      <c r="R3880" t="s">
        <v>3912</v>
      </c>
      <c r="S3880" t="s">
        <v>3913</v>
      </c>
      <c r="T3880" t="s">
        <v>3914</v>
      </c>
    </row>
    <row r="3881" spans="1:20" x14ac:dyDescent="0.3">
      <c r="A3881" s="160">
        <v>34155</v>
      </c>
      <c r="B3881" t="s">
        <v>19088</v>
      </c>
      <c r="C3881" t="s">
        <v>3791</v>
      </c>
      <c r="D3881">
        <v>0</v>
      </c>
      <c r="E3881">
        <v>0.5</v>
      </c>
      <c r="F3881">
        <f t="shared" si="60"/>
        <v>0.5</v>
      </c>
      <c r="I3881">
        <v>20040101</v>
      </c>
      <c r="J3881" t="s">
        <v>3873</v>
      </c>
    </row>
    <row r="3882" spans="1:20" x14ac:dyDescent="0.3">
      <c r="A3882" s="160">
        <v>34157</v>
      </c>
      <c r="B3882" t="s">
        <v>19089</v>
      </c>
      <c r="C3882" t="s">
        <v>3817</v>
      </c>
      <c r="D3882">
        <v>1.65</v>
      </c>
      <c r="E3882">
        <v>0</v>
      </c>
      <c r="F3882">
        <f t="shared" si="60"/>
        <v>1.65</v>
      </c>
      <c r="I3882">
        <v>20220101</v>
      </c>
      <c r="J3882" t="s">
        <v>3855</v>
      </c>
    </row>
    <row r="3883" spans="1:20" x14ac:dyDescent="0.3">
      <c r="A3883" s="160">
        <v>34159</v>
      </c>
      <c r="B3883" t="s">
        <v>19090</v>
      </c>
      <c r="C3883" t="s">
        <v>3817</v>
      </c>
      <c r="D3883">
        <v>1.65</v>
      </c>
      <c r="E3883">
        <v>0</v>
      </c>
      <c r="F3883">
        <f t="shared" si="60"/>
        <v>1.65</v>
      </c>
      <c r="I3883">
        <v>20220101</v>
      </c>
      <c r="J3883" t="s">
        <v>3888</v>
      </c>
      <c r="K3883" t="s">
        <v>3936</v>
      </c>
    </row>
    <row r="3884" spans="1:20" x14ac:dyDescent="0.3">
      <c r="A3884" s="160">
        <v>34161</v>
      </c>
      <c r="B3884" t="s">
        <v>19091</v>
      </c>
      <c r="C3884" t="s">
        <v>3791</v>
      </c>
      <c r="D3884">
        <v>0</v>
      </c>
      <c r="E3884">
        <v>0.5</v>
      </c>
      <c r="F3884">
        <f t="shared" si="60"/>
        <v>0.5</v>
      </c>
      <c r="I3884">
        <v>20040101</v>
      </c>
      <c r="J3884" t="s">
        <v>3860</v>
      </c>
    </row>
    <row r="3885" spans="1:20" x14ac:dyDescent="0.3">
      <c r="A3885" s="160">
        <v>34162</v>
      </c>
      <c r="B3885" t="s">
        <v>18441</v>
      </c>
      <c r="C3885" t="s">
        <v>3793</v>
      </c>
      <c r="D3885">
        <v>0.8</v>
      </c>
      <c r="E3885">
        <v>0</v>
      </c>
      <c r="F3885">
        <f t="shared" si="60"/>
        <v>0.8</v>
      </c>
      <c r="I3885">
        <v>20110501</v>
      </c>
      <c r="J3885" t="s">
        <v>3809</v>
      </c>
    </row>
    <row r="3886" spans="1:20" x14ac:dyDescent="0.3">
      <c r="A3886" s="160">
        <v>34163</v>
      </c>
      <c r="B3886" t="s">
        <v>19092</v>
      </c>
      <c r="C3886" t="s">
        <v>3791</v>
      </c>
      <c r="D3886">
        <v>0</v>
      </c>
      <c r="E3886">
        <v>0.5</v>
      </c>
      <c r="F3886">
        <f t="shared" si="60"/>
        <v>0.5</v>
      </c>
      <c r="I3886">
        <v>20040101</v>
      </c>
      <c r="J3886" t="s">
        <v>3937</v>
      </c>
    </row>
    <row r="3887" spans="1:20" x14ac:dyDescent="0.3">
      <c r="A3887" s="160">
        <v>34164</v>
      </c>
      <c r="B3887" t="s">
        <v>19093</v>
      </c>
      <c r="C3887" t="s">
        <v>3811</v>
      </c>
      <c r="D3887">
        <v>2</v>
      </c>
      <c r="E3887">
        <v>0</v>
      </c>
      <c r="F3887">
        <f t="shared" si="60"/>
        <v>2</v>
      </c>
      <c r="I3887">
        <v>20110601</v>
      </c>
      <c r="J3887" t="s">
        <v>3821</v>
      </c>
    </row>
    <row r="3888" spans="1:20" x14ac:dyDescent="0.3">
      <c r="A3888" s="160">
        <v>34165</v>
      </c>
      <c r="B3888" t="s">
        <v>19094</v>
      </c>
      <c r="C3888" t="s">
        <v>3817</v>
      </c>
      <c r="D3888">
        <v>1.65</v>
      </c>
      <c r="E3888">
        <v>0</v>
      </c>
      <c r="F3888">
        <f t="shared" si="60"/>
        <v>1.65</v>
      </c>
      <c r="I3888">
        <v>20220101</v>
      </c>
      <c r="J3888" t="s">
        <v>3938</v>
      </c>
    </row>
    <row r="3889" spans="1:67" x14ac:dyDescent="0.3">
      <c r="A3889" s="160">
        <v>34166</v>
      </c>
      <c r="B3889" t="s">
        <v>19095</v>
      </c>
      <c r="C3889" t="s">
        <v>3805</v>
      </c>
      <c r="D3889">
        <v>1.45</v>
      </c>
      <c r="E3889">
        <v>0</v>
      </c>
      <c r="F3889">
        <f t="shared" si="60"/>
        <v>1.45</v>
      </c>
      <c r="I3889">
        <v>20190101</v>
      </c>
      <c r="J3889" t="s">
        <v>3792</v>
      </c>
    </row>
    <row r="3890" spans="1:67" x14ac:dyDescent="0.3">
      <c r="A3890" s="160">
        <v>34167</v>
      </c>
      <c r="B3890" t="s">
        <v>19096</v>
      </c>
      <c r="C3890" t="s">
        <v>3791</v>
      </c>
      <c r="D3890">
        <v>0</v>
      </c>
      <c r="E3890">
        <v>0.5</v>
      </c>
      <c r="F3890">
        <f t="shared" si="60"/>
        <v>0.5</v>
      </c>
      <c r="I3890">
        <v>20170701</v>
      </c>
      <c r="J3890" t="s">
        <v>3860</v>
      </c>
    </row>
    <row r="3891" spans="1:67" x14ac:dyDescent="0.3">
      <c r="A3891" s="160">
        <v>34169</v>
      </c>
      <c r="B3891" t="s">
        <v>19097</v>
      </c>
      <c r="C3891" t="s">
        <v>3811</v>
      </c>
      <c r="D3891">
        <v>2</v>
      </c>
      <c r="E3891">
        <v>0</v>
      </c>
      <c r="F3891">
        <f t="shared" si="60"/>
        <v>2</v>
      </c>
      <c r="I3891">
        <v>20110601</v>
      </c>
      <c r="J3891" t="s">
        <v>3939</v>
      </c>
      <c r="K3891" t="s">
        <v>3879</v>
      </c>
      <c r="L3891" t="s">
        <v>3940</v>
      </c>
      <c r="M3891" t="s">
        <v>3899</v>
      </c>
      <c r="N3891" t="s">
        <v>3901</v>
      </c>
    </row>
    <row r="3892" spans="1:67" x14ac:dyDescent="0.3">
      <c r="A3892" s="160">
        <v>34170</v>
      </c>
      <c r="B3892" t="s">
        <v>19098</v>
      </c>
      <c r="C3892" t="s">
        <v>3791</v>
      </c>
      <c r="D3892">
        <v>0</v>
      </c>
      <c r="E3892">
        <v>0.5</v>
      </c>
      <c r="F3892">
        <f t="shared" si="60"/>
        <v>0.5</v>
      </c>
      <c r="I3892">
        <v>20170701</v>
      </c>
      <c r="J3892" t="s">
        <v>3860</v>
      </c>
    </row>
    <row r="3893" spans="1:67" x14ac:dyDescent="0.3">
      <c r="A3893" s="160">
        <v>34172</v>
      </c>
      <c r="B3893" t="s">
        <v>19099</v>
      </c>
      <c r="C3893" t="s">
        <v>3811</v>
      </c>
      <c r="D3893">
        <v>2</v>
      </c>
      <c r="E3893">
        <v>0</v>
      </c>
      <c r="F3893">
        <f t="shared" si="60"/>
        <v>2</v>
      </c>
      <c r="I3893">
        <v>20110601</v>
      </c>
      <c r="J3893" t="s">
        <v>3941</v>
      </c>
      <c r="K3893" t="s">
        <v>3942</v>
      </c>
      <c r="L3893" t="s">
        <v>3943</v>
      </c>
      <c r="M3893" t="s">
        <v>3944</v>
      </c>
      <c r="N3893" t="s">
        <v>3945</v>
      </c>
      <c r="O3893" t="s">
        <v>3946</v>
      </c>
      <c r="P3893" t="s">
        <v>3947</v>
      </c>
      <c r="Q3893" t="s">
        <v>3948</v>
      </c>
      <c r="R3893" t="s">
        <v>3949</v>
      </c>
      <c r="S3893" t="s">
        <v>3950</v>
      </c>
      <c r="T3893" t="s">
        <v>3951</v>
      </c>
      <c r="U3893" t="s">
        <v>3952</v>
      </c>
      <c r="V3893" t="s">
        <v>3953</v>
      </c>
      <c r="W3893" t="s">
        <v>3954</v>
      </c>
      <c r="X3893" t="s">
        <v>3955</v>
      </c>
      <c r="Y3893" t="s">
        <v>3956</v>
      </c>
      <c r="Z3893" t="s">
        <v>3957</v>
      </c>
      <c r="AA3893" t="s">
        <v>3958</v>
      </c>
      <c r="AB3893" t="s">
        <v>3959</v>
      </c>
      <c r="AC3893" t="s">
        <v>3960</v>
      </c>
      <c r="AD3893" t="s">
        <v>3961</v>
      </c>
      <c r="AE3893" t="s">
        <v>3962</v>
      </c>
      <c r="AF3893" t="s">
        <v>3963</v>
      </c>
      <c r="AG3893" t="s">
        <v>3964</v>
      </c>
      <c r="AH3893" t="s">
        <v>3965</v>
      </c>
      <c r="AI3893" t="s">
        <v>3966</v>
      </c>
      <c r="AJ3893" t="s">
        <v>3967</v>
      </c>
      <c r="AK3893" t="s">
        <v>3968</v>
      </c>
      <c r="AL3893" t="s">
        <v>3969</v>
      </c>
      <c r="AM3893" t="s">
        <v>3970</v>
      </c>
      <c r="AN3893" t="s">
        <v>3971</v>
      </c>
      <c r="AO3893" t="s">
        <v>3972</v>
      </c>
      <c r="AP3893" t="s">
        <v>3973</v>
      </c>
      <c r="AQ3893" t="s">
        <v>3974</v>
      </c>
      <c r="AR3893" t="s">
        <v>3975</v>
      </c>
      <c r="AS3893" t="s">
        <v>3976</v>
      </c>
      <c r="AT3893" t="s">
        <v>3977</v>
      </c>
      <c r="AU3893" t="s">
        <v>3978</v>
      </c>
      <c r="AV3893" t="s">
        <v>3979</v>
      </c>
      <c r="AW3893" t="s">
        <v>3980</v>
      </c>
      <c r="AX3893" t="s">
        <v>3981</v>
      </c>
      <c r="AY3893" t="s">
        <v>3982</v>
      </c>
      <c r="AZ3893" t="s">
        <v>3983</v>
      </c>
      <c r="BA3893" t="s">
        <v>3984</v>
      </c>
      <c r="BB3893" t="s">
        <v>3985</v>
      </c>
      <c r="BC3893" t="s">
        <v>3986</v>
      </c>
      <c r="BD3893" t="s">
        <v>3987</v>
      </c>
      <c r="BE3893" t="s">
        <v>3988</v>
      </c>
      <c r="BF3893" t="s">
        <v>3989</v>
      </c>
      <c r="BG3893" t="s">
        <v>3883</v>
      </c>
      <c r="BH3893" t="s">
        <v>3907</v>
      </c>
      <c r="BI3893" t="s">
        <v>3908</v>
      </c>
      <c r="BJ3893" t="s">
        <v>3990</v>
      </c>
      <c r="BK3893" t="s">
        <v>3991</v>
      </c>
      <c r="BL3893" t="s">
        <v>3992</v>
      </c>
      <c r="BM3893" t="s">
        <v>3993</v>
      </c>
      <c r="BN3893" t="s">
        <v>3909</v>
      </c>
      <c r="BO3893" t="s">
        <v>3994</v>
      </c>
    </row>
    <row r="3894" spans="1:67" x14ac:dyDescent="0.3">
      <c r="A3894" s="160">
        <v>34173</v>
      </c>
      <c r="B3894" t="s">
        <v>19100</v>
      </c>
      <c r="C3894" t="s">
        <v>3791</v>
      </c>
      <c r="D3894">
        <v>0</v>
      </c>
      <c r="E3894">
        <v>0.5</v>
      </c>
      <c r="F3894">
        <f t="shared" si="60"/>
        <v>0.5</v>
      </c>
      <c r="I3894">
        <v>20120301</v>
      </c>
      <c r="J3894" t="s">
        <v>3806</v>
      </c>
    </row>
    <row r="3895" spans="1:67" x14ac:dyDescent="0.3">
      <c r="A3895" s="160">
        <v>34176</v>
      </c>
      <c r="B3895" t="s">
        <v>19101</v>
      </c>
      <c r="C3895" t="s">
        <v>3857</v>
      </c>
      <c r="D3895">
        <v>0.8</v>
      </c>
      <c r="E3895">
        <v>0.4</v>
      </c>
      <c r="F3895">
        <f t="shared" si="60"/>
        <v>1.2000000000000002</v>
      </c>
      <c r="I3895">
        <v>20170101</v>
      </c>
      <c r="J3895" t="s">
        <v>3858</v>
      </c>
      <c r="K3895" t="s">
        <v>3859</v>
      </c>
      <c r="L3895" t="s">
        <v>3933</v>
      </c>
    </row>
    <row r="3896" spans="1:67" x14ac:dyDescent="0.3">
      <c r="A3896" s="160">
        <v>34177</v>
      </c>
      <c r="B3896" t="s">
        <v>19102</v>
      </c>
      <c r="C3896" t="s">
        <v>3791</v>
      </c>
      <c r="D3896">
        <v>0</v>
      </c>
      <c r="E3896">
        <v>0.5</v>
      </c>
      <c r="F3896">
        <f t="shared" si="60"/>
        <v>0.5</v>
      </c>
      <c r="I3896">
        <v>20040101</v>
      </c>
      <c r="J3896" t="s">
        <v>3879</v>
      </c>
    </row>
    <row r="3897" spans="1:67" x14ac:dyDescent="0.3">
      <c r="A3897" s="160">
        <v>34178</v>
      </c>
      <c r="B3897" t="s">
        <v>19103</v>
      </c>
      <c r="C3897" t="s">
        <v>3791</v>
      </c>
      <c r="D3897">
        <v>0</v>
      </c>
      <c r="E3897">
        <v>0.5</v>
      </c>
      <c r="F3897">
        <f t="shared" si="60"/>
        <v>0.5</v>
      </c>
      <c r="I3897">
        <v>20040101</v>
      </c>
      <c r="J3897" t="s">
        <v>3869</v>
      </c>
    </row>
    <row r="3898" spans="1:67" x14ac:dyDescent="0.3">
      <c r="A3898" s="160">
        <v>34179</v>
      </c>
      <c r="B3898" t="s">
        <v>19104</v>
      </c>
      <c r="C3898" t="s">
        <v>3811</v>
      </c>
      <c r="D3898">
        <v>2</v>
      </c>
      <c r="E3898">
        <v>0</v>
      </c>
      <c r="F3898">
        <f t="shared" si="60"/>
        <v>2</v>
      </c>
      <c r="I3898">
        <v>20110601</v>
      </c>
      <c r="J3898" t="s">
        <v>3937</v>
      </c>
    </row>
    <row r="3899" spans="1:67" x14ac:dyDescent="0.3">
      <c r="A3899" s="160">
        <v>34182</v>
      </c>
      <c r="B3899" t="s">
        <v>19105</v>
      </c>
      <c r="C3899" t="s">
        <v>3793</v>
      </c>
      <c r="D3899">
        <v>0.8</v>
      </c>
      <c r="E3899">
        <v>0</v>
      </c>
      <c r="F3899">
        <f t="shared" si="60"/>
        <v>0.8</v>
      </c>
      <c r="I3899">
        <v>20110501</v>
      </c>
      <c r="J3899" t="s">
        <v>3861</v>
      </c>
    </row>
    <row r="3900" spans="1:67" x14ac:dyDescent="0.3">
      <c r="A3900" s="160">
        <v>34183</v>
      </c>
      <c r="B3900" t="s">
        <v>19106</v>
      </c>
      <c r="C3900" t="s">
        <v>3791</v>
      </c>
      <c r="D3900">
        <v>0</v>
      </c>
      <c r="E3900">
        <v>0.5</v>
      </c>
      <c r="F3900">
        <f t="shared" si="60"/>
        <v>0.5</v>
      </c>
      <c r="I3900">
        <v>20040101</v>
      </c>
      <c r="J3900" t="s">
        <v>3878</v>
      </c>
    </row>
    <row r="3901" spans="1:67" x14ac:dyDescent="0.3">
      <c r="A3901" s="160">
        <v>34184</v>
      </c>
      <c r="B3901" t="s">
        <v>19107</v>
      </c>
      <c r="C3901" t="s">
        <v>3793</v>
      </c>
      <c r="D3901">
        <v>0.8</v>
      </c>
      <c r="E3901">
        <v>0</v>
      </c>
      <c r="F3901">
        <f t="shared" si="60"/>
        <v>0.8</v>
      </c>
      <c r="I3901">
        <v>20110501</v>
      </c>
      <c r="J3901" t="s">
        <v>3929</v>
      </c>
    </row>
    <row r="3902" spans="1:67" x14ac:dyDescent="0.3">
      <c r="A3902" s="160">
        <v>34185</v>
      </c>
      <c r="B3902" t="s">
        <v>19108</v>
      </c>
      <c r="C3902" t="s">
        <v>3791</v>
      </c>
      <c r="D3902">
        <v>0</v>
      </c>
      <c r="E3902">
        <v>0.5</v>
      </c>
      <c r="F3902">
        <f t="shared" si="60"/>
        <v>0.5</v>
      </c>
      <c r="I3902">
        <v>20040101</v>
      </c>
      <c r="J3902" t="s">
        <v>3807</v>
      </c>
    </row>
    <row r="3903" spans="1:67" x14ac:dyDescent="0.3">
      <c r="A3903" s="160">
        <v>34191</v>
      </c>
      <c r="B3903" t="s">
        <v>19109</v>
      </c>
      <c r="C3903" t="s">
        <v>3791</v>
      </c>
      <c r="D3903">
        <v>0</v>
      </c>
      <c r="E3903">
        <v>0.5</v>
      </c>
      <c r="F3903">
        <f t="shared" si="60"/>
        <v>0.5</v>
      </c>
      <c r="I3903">
        <v>20040101</v>
      </c>
      <c r="J3903" t="s">
        <v>3869</v>
      </c>
    </row>
    <row r="3904" spans="1:67" x14ac:dyDescent="0.3">
      <c r="A3904" s="160">
        <v>34192</v>
      </c>
      <c r="B3904" t="s">
        <v>19110</v>
      </c>
      <c r="C3904" t="s">
        <v>3857</v>
      </c>
      <c r="D3904">
        <v>0.8</v>
      </c>
      <c r="E3904">
        <v>0.4</v>
      </c>
      <c r="F3904">
        <f t="shared" si="60"/>
        <v>1.2000000000000002</v>
      </c>
      <c r="I3904">
        <v>20170101</v>
      </c>
      <c r="J3904" t="s">
        <v>3883</v>
      </c>
      <c r="K3904" t="s">
        <v>4059</v>
      </c>
      <c r="L3904" t="s">
        <v>3914</v>
      </c>
    </row>
    <row r="3905" spans="1:137" x14ac:dyDescent="0.3">
      <c r="A3905" s="160">
        <v>34195</v>
      </c>
      <c r="B3905" t="s">
        <v>19111</v>
      </c>
      <c r="C3905" t="s">
        <v>3791</v>
      </c>
      <c r="D3905">
        <v>0</v>
      </c>
      <c r="E3905">
        <v>0.5</v>
      </c>
      <c r="F3905">
        <f t="shared" si="60"/>
        <v>0.5</v>
      </c>
      <c r="I3905">
        <v>20120301</v>
      </c>
      <c r="J3905" t="s">
        <v>3807</v>
      </c>
    </row>
    <row r="3906" spans="1:137" x14ac:dyDescent="0.3">
      <c r="A3906" s="160">
        <v>34198</v>
      </c>
      <c r="B3906" t="s">
        <v>19112</v>
      </c>
      <c r="C3906" t="s">
        <v>3811</v>
      </c>
      <c r="D3906">
        <v>2</v>
      </c>
      <c r="E3906">
        <v>0</v>
      </c>
      <c r="F3906">
        <f t="shared" si="60"/>
        <v>2</v>
      </c>
      <c r="I3906">
        <v>20110601</v>
      </c>
      <c r="J3906" t="s">
        <v>3946</v>
      </c>
      <c r="K3906" t="s">
        <v>3958</v>
      </c>
      <c r="L3906" t="s">
        <v>4060</v>
      </c>
      <c r="M3906" t="s">
        <v>3910</v>
      </c>
      <c r="N3906" t="s">
        <v>3911</v>
      </c>
      <c r="O3906" t="s">
        <v>4061</v>
      </c>
      <c r="P3906" t="s">
        <v>3912</v>
      </c>
      <c r="Q3906" t="s">
        <v>3918</v>
      </c>
    </row>
    <row r="3907" spans="1:137" x14ac:dyDescent="0.3">
      <c r="A3907" s="160">
        <v>34199</v>
      </c>
      <c r="B3907" t="s">
        <v>19113</v>
      </c>
      <c r="C3907" t="s">
        <v>3793</v>
      </c>
      <c r="D3907">
        <v>0.8</v>
      </c>
      <c r="E3907">
        <v>0</v>
      </c>
      <c r="F3907">
        <f t="shared" si="60"/>
        <v>0.8</v>
      </c>
      <c r="I3907">
        <v>20110501</v>
      </c>
      <c r="J3907" t="s">
        <v>3861</v>
      </c>
      <c r="K3907" t="s">
        <v>4039</v>
      </c>
    </row>
    <row r="3908" spans="1:137" x14ac:dyDescent="0.3">
      <c r="A3908" s="160">
        <v>34202</v>
      </c>
      <c r="B3908" t="s">
        <v>19114</v>
      </c>
      <c r="C3908" t="s">
        <v>3811</v>
      </c>
      <c r="D3908">
        <v>2</v>
      </c>
      <c r="E3908">
        <v>0</v>
      </c>
      <c r="F3908">
        <f t="shared" si="60"/>
        <v>2</v>
      </c>
      <c r="I3908">
        <v>20110601</v>
      </c>
      <c r="J3908" t="s">
        <v>3937</v>
      </c>
    </row>
    <row r="3909" spans="1:137" x14ac:dyDescent="0.3">
      <c r="A3909" s="160">
        <v>34203</v>
      </c>
      <c r="B3909" t="s">
        <v>19115</v>
      </c>
      <c r="C3909" t="s">
        <v>3793</v>
      </c>
      <c r="D3909">
        <v>0.8</v>
      </c>
      <c r="E3909">
        <v>0</v>
      </c>
      <c r="F3909">
        <f t="shared" si="60"/>
        <v>0.8</v>
      </c>
      <c r="I3909">
        <v>20110501</v>
      </c>
      <c r="J3909" t="s">
        <v>4062</v>
      </c>
    </row>
    <row r="3910" spans="1:137" x14ac:dyDescent="0.3">
      <c r="A3910" s="160">
        <v>34204</v>
      </c>
      <c r="B3910" t="s">
        <v>19116</v>
      </c>
      <c r="C3910" t="s">
        <v>3791</v>
      </c>
      <c r="D3910">
        <v>0</v>
      </c>
      <c r="E3910">
        <v>0.5</v>
      </c>
      <c r="F3910">
        <f t="shared" si="60"/>
        <v>0.5</v>
      </c>
      <c r="I3910">
        <v>20120301</v>
      </c>
      <c r="J3910" t="s">
        <v>3794</v>
      </c>
      <c r="BP3910" t="s">
        <v>3995</v>
      </c>
      <c r="BQ3910" t="s">
        <v>3996</v>
      </c>
      <c r="BR3910" t="s">
        <v>3997</v>
      </c>
      <c r="BS3910" t="s">
        <v>3998</v>
      </c>
      <c r="BT3910" t="s">
        <v>3999</v>
      </c>
      <c r="BU3910" t="s">
        <v>4000</v>
      </c>
      <c r="BV3910" t="s">
        <v>4001</v>
      </c>
      <c r="BW3910" t="s">
        <v>4002</v>
      </c>
      <c r="BX3910" t="s">
        <v>4003</v>
      </c>
      <c r="BY3910" t="s">
        <v>3876</v>
      </c>
      <c r="BZ3910" t="s">
        <v>4004</v>
      </c>
      <c r="CA3910" t="s">
        <v>4005</v>
      </c>
      <c r="CB3910" t="s">
        <v>4006</v>
      </c>
      <c r="CC3910" t="s">
        <v>4007</v>
      </c>
      <c r="CD3910" t="s">
        <v>4008</v>
      </c>
      <c r="CE3910" t="s">
        <v>4009</v>
      </c>
      <c r="CF3910" t="s">
        <v>3896</v>
      </c>
      <c r="CG3910" t="s">
        <v>3865</v>
      </c>
      <c r="CH3910" t="s">
        <v>3868</v>
      </c>
      <c r="CI3910" t="s">
        <v>4010</v>
      </c>
      <c r="CJ3910" t="s">
        <v>4011</v>
      </c>
      <c r="CK3910" t="s">
        <v>3897</v>
      </c>
      <c r="CL3910" t="s">
        <v>4012</v>
      </c>
      <c r="CM3910" t="s">
        <v>4013</v>
      </c>
      <c r="CN3910" t="s">
        <v>4014</v>
      </c>
      <c r="CO3910" t="s">
        <v>4015</v>
      </c>
      <c r="CP3910" t="s">
        <v>4016</v>
      </c>
      <c r="CQ3910" t="s">
        <v>4017</v>
      </c>
      <c r="CR3910" t="s">
        <v>4018</v>
      </c>
      <c r="CS3910" t="s">
        <v>4019</v>
      </c>
      <c r="CT3910" t="s">
        <v>4020</v>
      </c>
      <c r="CU3910" t="s">
        <v>4021</v>
      </c>
      <c r="CV3910" t="s">
        <v>4022</v>
      </c>
      <c r="CW3910" t="s">
        <v>4023</v>
      </c>
      <c r="CX3910" t="s">
        <v>4024</v>
      </c>
      <c r="CY3910" t="s">
        <v>4025</v>
      </c>
      <c r="CZ3910" t="s">
        <v>4026</v>
      </c>
      <c r="DA3910" t="s">
        <v>4027</v>
      </c>
      <c r="DB3910" t="s">
        <v>4028</v>
      </c>
      <c r="DC3910" t="s">
        <v>4029</v>
      </c>
      <c r="DD3910" t="s">
        <v>4030</v>
      </c>
      <c r="DE3910" t="s">
        <v>4031</v>
      </c>
      <c r="DF3910" t="s">
        <v>4032</v>
      </c>
      <c r="DG3910" t="s">
        <v>4033</v>
      </c>
      <c r="DH3910" t="s">
        <v>4034</v>
      </c>
      <c r="DI3910" t="s">
        <v>4035</v>
      </c>
      <c r="DJ3910" t="s">
        <v>4036</v>
      </c>
      <c r="DK3910" t="s">
        <v>4037</v>
      </c>
      <c r="DL3910" t="s">
        <v>4038</v>
      </c>
      <c r="DM3910" t="s">
        <v>4039</v>
      </c>
      <c r="DN3910" t="s">
        <v>3915</v>
      </c>
      <c r="DO3910" t="s">
        <v>4040</v>
      </c>
      <c r="DP3910" t="s">
        <v>4041</v>
      </c>
      <c r="DQ3910" t="s">
        <v>4042</v>
      </c>
      <c r="DR3910" t="s">
        <v>4043</v>
      </c>
      <c r="DS3910" t="s">
        <v>4044</v>
      </c>
      <c r="DT3910" t="s">
        <v>4045</v>
      </c>
      <c r="DU3910" t="s">
        <v>4046</v>
      </c>
      <c r="DV3910" t="s">
        <v>4047</v>
      </c>
      <c r="DW3910" t="s">
        <v>4048</v>
      </c>
      <c r="DX3910" t="s">
        <v>4049</v>
      </c>
      <c r="DY3910" t="s">
        <v>4050</v>
      </c>
      <c r="DZ3910" t="s">
        <v>4051</v>
      </c>
      <c r="EA3910" t="s">
        <v>4052</v>
      </c>
      <c r="EB3910" t="s">
        <v>4053</v>
      </c>
      <c r="EC3910" t="s">
        <v>4054</v>
      </c>
      <c r="ED3910" t="s">
        <v>4055</v>
      </c>
      <c r="EE3910" t="s">
        <v>4056</v>
      </c>
      <c r="EF3910" t="s">
        <v>4057</v>
      </c>
      <c r="EG3910" t="s">
        <v>4058</v>
      </c>
    </row>
    <row r="3911" spans="1:137" x14ac:dyDescent="0.3">
      <c r="A3911" s="160">
        <v>34206</v>
      </c>
      <c r="B3911" t="s">
        <v>19117</v>
      </c>
      <c r="C3911" t="s">
        <v>3791</v>
      </c>
      <c r="D3911">
        <v>0</v>
      </c>
      <c r="E3911">
        <v>0.5</v>
      </c>
      <c r="F3911">
        <f t="shared" ref="F3911:F3974" si="61">D3911+E3911</f>
        <v>0.5</v>
      </c>
      <c r="I3911">
        <v>20170701</v>
      </c>
      <c r="J3911" t="s">
        <v>3860</v>
      </c>
    </row>
    <row r="3912" spans="1:137" x14ac:dyDescent="0.3">
      <c r="A3912" s="160">
        <v>34207</v>
      </c>
      <c r="B3912" t="s">
        <v>19118</v>
      </c>
      <c r="C3912" t="s">
        <v>3793</v>
      </c>
      <c r="D3912">
        <v>0.8</v>
      </c>
      <c r="E3912">
        <v>0</v>
      </c>
      <c r="F3912">
        <f t="shared" si="61"/>
        <v>0.8</v>
      </c>
      <c r="I3912">
        <v>20110501</v>
      </c>
      <c r="J3912" t="s">
        <v>4063</v>
      </c>
    </row>
    <row r="3913" spans="1:137" x14ac:dyDescent="0.3">
      <c r="A3913" s="160">
        <v>34208</v>
      </c>
      <c r="B3913" t="s">
        <v>19119</v>
      </c>
      <c r="C3913" t="s">
        <v>3791</v>
      </c>
      <c r="D3913">
        <v>0</v>
      </c>
      <c r="E3913">
        <v>0.5</v>
      </c>
      <c r="F3913">
        <f t="shared" si="61"/>
        <v>0.5</v>
      </c>
      <c r="I3913">
        <v>20120301</v>
      </c>
      <c r="J3913" t="s">
        <v>3794</v>
      </c>
    </row>
    <row r="3914" spans="1:137" x14ac:dyDescent="0.3">
      <c r="A3914" s="160">
        <v>34209</v>
      </c>
      <c r="B3914" t="s">
        <v>19120</v>
      </c>
      <c r="C3914" t="s">
        <v>3793</v>
      </c>
      <c r="D3914">
        <v>0.8</v>
      </c>
      <c r="E3914">
        <v>0.4</v>
      </c>
      <c r="F3914">
        <f t="shared" si="61"/>
        <v>1.2000000000000002</v>
      </c>
      <c r="I3914">
        <v>20110501</v>
      </c>
      <c r="J3914" t="s">
        <v>3875</v>
      </c>
      <c r="K3914" t="s">
        <v>4064</v>
      </c>
    </row>
    <row r="3915" spans="1:137" x14ac:dyDescent="0.3">
      <c r="A3915" s="160">
        <v>34210</v>
      </c>
      <c r="B3915" t="s">
        <v>19121</v>
      </c>
      <c r="C3915" t="s">
        <v>3791</v>
      </c>
      <c r="D3915">
        <v>0</v>
      </c>
      <c r="E3915">
        <v>0.5</v>
      </c>
      <c r="F3915">
        <f t="shared" si="61"/>
        <v>0.5</v>
      </c>
      <c r="I3915">
        <v>20120301</v>
      </c>
      <c r="J3915" t="s">
        <v>3794</v>
      </c>
    </row>
    <row r="3916" spans="1:137" x14ac:dyDescent="0.3">
      <c r="A3916" s="160">
        <v>34213</v>
      </c>
      <c r="B3916" t="s">
        <v>19122</v>
      </c>
      <c r="C3916" t="s">
        <v>3817</v>
      </c>
      <c r="D3916">
        <v>1.65</v>
      </c>
      <c r="E3916">
        <v>0</v>
      </c>
      <c r="F3916">
        <f t="shared" si="61"/>
        <v>1.65</v>
      </c>
      <c r="I3916">
        <v>20220101</v>
      </c>
      <c r="J3916" t="s">
        <v>3938</v>
      </c>
    </row>
    <row r="3917" spans="1:137" x14ac:dyDescent="0.3">
      <c r="A3917" s="160">
        <v>34215</v>
      </c>
      <c r="B3917" t="s">
        <v>19123</v>
      </c>
      <c r="C3917" t="s">
        <v>3791</v>
      </c>
      <c r="D3917">
        <v>0</v>
      </c>
      <c r="E3917">
        <v>0.5</v>
      </c>
      <c r="F3917">
        <f t="shared" si="61"/>
        <v>0.5</v>
      </c>
      <c r="I3917">
        <v>20120301</v>
      </c>
      <c r="J3917" t="s">
        <v>3794</v>
      </c>
    </row>
    <row r="3918" spans="1:137" x14ac:dyDescent="0.3">
      <c r="A3918" s="160">
        <v>34217</v>
      </c>
      <c r="B3918" t="s">
        <v>19124</v>
      </c>
      <c r="C3918" t="s">
        <v>3811</v>
      </c>
      <c r="D3918">
        <v>2</v>
      </c>
      <c r="E3918">
        <v>0</v>
      </c>
      <c r="F3918">
        <f t="shared" si="61"/>
        <v>2</v>
      </c>
      <c r="I3918">
        <v>20110601</v>
      </c>
      <c r="J3918" t="s">
        <v>4065</v>
      </c>
      <c r="K3918" t="s">
        <v>3899</v>
      </c>
    </row>
    <row r="3919" spans="1:137" x14ac:dyDescent="0.3">
      <c r="A3919" s="160">
        <v>34221</v>
      </c>
      <c r="B3919" t="s">
        <v>19125</v>
      </c>
      <c r="C3919" t="s">
        <v>3791</v>
      </c>
      <c r="D3919">
        <v>0</v>
      </c>
      <c r="E3919">
        <v>0.5</v>
      </c>
      <c r="F3919">
        <f t="shared" si="61"/>
        <v>0.5</v>
      </c>
      <c r="I3919">
        <v>20040101</v>
      </c>
      <c r="J3919" t="s">
        <v>3806</v>
      </c>
    </row>
    <row r="3920" spans="1:137" x14ac:dyDescent="0.3">
      <c r="A3920" s="160">
        <v>34222</v>
      </c>
      <c r="B3920" t="s">
        <v>19126</v>
      </c>
      <c r="C3920" t="s">
        <v>3791</v>
      </c>
      <c r="D3920">
        <v>0</v>
      </c>
      <c r="E3920">
        <v>0.5</v>
      </c>
      <c r="F3920">
        <f t="shared" si="61"/>
        <v>0.5</v>
      </c>
      <c r="I3920">
        <v>20120301</v>
      </c>
      <c r="J3920" t="s">
        <v>3794</v>
      </c>
    </row>
    <row r="3921" spans="1:15" x14ac:dyDescent="0.3">
      <c r="A3921" s="160">
        <v>34223</v>
      </c>
      <c r="B3921" t="s">
        <v>19127</v>
      </c>
      <c r="C3921" t="s">
        <v>3791</v>
      </c>
      <c r="D3921">
        <v>0</v>
      </c>
      <c r="E3921">
        <v>0.5</v>
      </c>
      <c r="F3921">
        <f t="shared" si="61"/>
        <v>0.5</v>
      </c>
      <c r="I3921">
        <v>20040101</v>
      </c>
      <c r="J3921" t="s">
        <v>3810</v>
      </c>
    </row>
    <row r="3922" spans="1:15" x14ac:dyDescent="0.3">
      <c r="A3922" s="160">
        <v>34224</v>
      </c>
      <c r="B3922" t="s">
        <v>19128</v>
      </c>
      <c r="C3922" t="s">
        <v>3791</v>
      </c>
      <c r="D3922">
        <v>0</v>
      </c>
      <c r="E3922">
        <v>0.5</v>
      </c>
      <c r="F3922">
        <f t="shared" si="61"/>
        <v>0.5</v>
      </c>
      <c r="I3922">
        <v>20040101</v>
      </c>
      <c r="J3922" t="s">
        <v>3810</v>
      </c>
    </row>
    <row r="3923" spans="1:15" x14ac:dyDescent="0.3">
      <c r="A3923" s="160">
        <v>34225</v>
      </c>
      <c r="B3923" t="s">
        <v>19129</v>
      </c>
      <c r="C3923" t="s">
        <v>3791</v>
      </c>
      <c r="D3923">
        <v>0</v>
      </c>
      <c r="E3923">
        <v>0.5</v>
      </c>
      <c r="F3923">
        <f t="shared" si="61"/>
        <v>0.5</v>
      </c>
      <c r="I3923">
        <v>20170701</v>
      </c>
      <c r="J3923" t="s">
        <v>4066</v>
      </c>
    </row>
    <row r="3924" spans="1:15" x14ac:dyDescent="0.3">
      <c r="A3924" s="160">
        <v>34226</v>
      </c>
      <c r="B3924" t="s">
        <v>19130</v>
      </c>
      <c r="C3924" t="s">
        <v>3791</v>
      </c>
      <c r="D3924">
        <v>0</v>
      </c>
      <c r="E3924">
        <v>0.5</v>
      </c>
      <c r="F3924">
        <f t="shared" si="61"/>
        <v>0.5</v>
      </c>
      <c r="I3924">
        <v>20170701</v>
      </c>
      <c r="J3924" t="s">
        <v>3860</v>
      </c>
    </row>
    <row r="3925" spans="1:15" x14ac:dyDescent="0.3">
      <c r="A3925" s="160">
        <v>34227</v>
      </c>
      <c r="B3925" t="s">
        <v>19131</v>
      </c>
      <c r="C3925" t="s">
        <v>3811</v>
      </c>
      <c r="D3925">
        <v>2</v>
      </c>
      <c r="E3925">
        <v>0</v>
      </c>
      <c r="F3925">
        <f t="shared" si="61"/>
        <v>2</v>
      </c>
      <c r="I3925">
        <v>20110601</v>
      </c>
      <c r="J3925" t="s">
        <v>3821</v>
      </c>
      <c r="K3925" t="s">
        <v>3926</v>
      </c>
    </row>
    <row r="3926" spans="1:15" x14ac:dyDescent="0.3">
      <c r="A3926" s="160">
        <v>34236</v>
      </c>
      <c r="B3926" t="s">
        <v>19132</v>
      </c>
      <c r="C3926" t="s">
        <v>3791</v>
      </c>
      <c r="D3926">
        <v>0</v>
      </c>
      <c r="E3926">
        <v>0.5</v>
      </c>
      <c r="F3926">
        <f t="shared" si="61"/>
        <v>0.5</v>
      </c>
      <c r="I3926">
        <v>20040101</v>
      </c>
      <c r="J3926" t="s">
        <v>3807</v>
      </c>
    </row>
    <row r="3927" spans="1:15" x14ac:dyDescent="0.3">
      <c r="A3927" s="160">
        <v>34238</v>
      </c>
      <c r="B3927" t="s">
        <v>19133</v>
      </c>
      <c r="C3927" t="s">
        <v>3791</v>
      </c>
      <c r="D3927">
        <v>0</v>
      </c>
      <c r="E3927">
        <v>0.5</v>
      </c>
      <c r="F3927">
        <f t="shared" si="61"/>
        <v>0.5</v>
      </c>
      <c r="I3927">
        <v>20120301</v>
      </c>
      <c r="J3927" t="s">
        <v>3804</v>
      </c>
    </row>
    <row r="3928" spans="1:15" x14ac:dyDescent="0.3">
      <c r="A3928" s="160">
        <v>34239</v>
      </c>
      <c r="B3928" t="s">
        <v>19134</v>
      </c>
      <c r="C3928" t="s">
        <v>3791</v>
      </c>
      <c r="D3928">
        <v>0</v>
      </c>
      <c r="E3928">
        <v>0.5</v>
      </c>
      <c r="F3928">
        <f t="shared" si="61"/>
        <v>0.5</v>
      </c>
      <c r="I3928">
        <v>20120301</v>
      </c>
      <c r="J3928" t="s">
        <v>3902</v>
      </c>
    </row>
    <row r="3929" spans="1:15" x14ac:dyDescent="0.3">
      <c r="A3929" s="160">
        <v>34240</v>
      </c>
      <c r="B3929" t="s">
        <v>19135</v>
      </c>
      <c r="C3929" t="s">
        <v>3857</v>
      </c>
      <c r="D3929">
        <v>0.8</v>
      </c>
      <c r="E3929">
        <v>0.4</v>
      </c>
      <c r="F3929">
        <f t="shared" si="61"/>
        <v>1.2000000000000002</v>
      </c>
      <c r="I3929">
        <v>20170101</v>
      </c>
      <c r="J3929" t="s">
        <v>3858</v>
      </c>
      <c r="K3929" t="s">
        <v>3859</v>
      </c>
      <c r="L3929" t="s">
        <v>3906</v>
      </c>
      <c r="M3929" t="s">
        <v>3932</v>
      </c>
      <c r="N3929" t="s">
        <v>4067</v>
      </c>
      <c r="O3929" t="s">
        <v>3933</v>
      </c>
    </row>
    <row r="3930" spans="1:15" x14ac:dyDescent="0.3">
      <c r="A3930" s="160">
        <v>34241</v>
      </c>
      <c r="B3930" t="s">
        <v>19136</v>
      </c>
      <c r="C3930" t="s">
        <v>3791</v>
      </c>
      <c r="D3930">
        <v>0</v>
      </c>
      <c r="E3930">
        <v>0.5</v>
      </c>
      <c r="F3930">
        <f t="shared" si="61"/>
        <v>0.5</v>
      </c>
      <c r="I3930">
        <v>20040101</v>
      </c>
      <c r="J3930" t="s">
        <v>3794</v>
      </c>
    </row>
    <row r="3931" spans="1:15" x14ac:dyDescent="0.3">
      <c r="A3931" s="160">
        <v>34242</v>
      </c>
      <c r="B3931" t="s">
        <v>19137</v>
      </c>
      <c r="C3931" t="s">
        <v>3791</v>
      </c>
      <c r="D3931">
        <v>0</v>
      </c>
      <c r="E3931">
        <v>0.5</v>
      </c>
      <c r="F3931">
        <f t="shared" si="61"/>
        <v>0.5</v>
      </c>
      <c r="I3931">
        <v>20040101</v>
      </c>
      <c r="J3931" t="s">
        <v>3821</v>
      </c>
    </row>
    <row r="3932" spans="1:15" x14ac:dyDescent="0.3">
      <c r="A3932" s="160">
        <v>34243</v>
      </c>
      <c r="B3932" t="s">
        <v>19138</v>
      </c>
      <c r="C3932" t="s">
        <v>3791</v>
      </c>
      <c r="D3932">
        <v>0</v>
      </c>
      <c r="E3932">
        <v>0.5</v>
      </c>
      <c r="F3932">
        <f t="shared" si="61"/>
        <v>0.5</v>
      </c>
      <c r="I3932">
        <v>20170701</v>
      </c>
      <c r="J3932" t="s">
        <v>3804</v>
      </c>
    </row>
    <row r="3933" spans="1:15" x14ac:dyDescent="0.3">
      <c r="A3933" s="160">
        <v>34244</v>
      </c>
      <c r="B3933" t="s">
        <v>19139</v>
      </c>
      <c r="C3933" t="s">
        <v>3811</v>
      </c>
      <c r="D3933">
        <v>2</v>
      </c>
      <c r="E3933">
        <v>0</v>
      </c>
      <c r="F3933">
        <f t="shared" si="61"/>
        <v>2</v>
      </c>
      <c r="I3933">
        <v>20110601</v>
      </c>
      <c r="J3933" t="s">
        <v>3812</v>
      </c>
      <c r="K3933" t="s">
        <v>3813</v>
      </c>
      <c r="L3933" t="s">
        <v>3814</v>
      </c>
    </row>
    <row r="3934" spans="1:15" x14ac:dyDescent="0.3">
      <c r="A3934" s="160">
        <v>34246</v>
      </c>
      <c r="B3934" t="s">
        <v>19140</v>
      </c>
      <c r="C3934" t="s">
        <v>3791</v>
      </c>
      <c r="D3934">
        <v>0</v>
      </c>
      <c r="E3934">
        <v>0.5</v>
      </c>
      <c r="F3934">
        <f t="shared" si="61"/>
        <v>0.5</v>
      </c>
      <c r="I3934">
        <v>20040101</v>
      </c>
      <c r="J3934" t="s">
        <v>3924</v>
      </c>
    </row>
    <row r="3935" spans="1:15" x14ac:dyDescent="0.3">
      <c r="A3935" s="160">
        <v>34247</v>
      </c>
      <c r="B3935" t="s">
        <v>19141</v>
      </c>
      <c r="C3935" t="s">
        <v>3811</v>
      </c>
      <c r="D3935">
        <v>0</v>
      </c>
      <c r="E3935">
        <v>0.5</v>
      </c>
      <c r="F3935">
        <f t="shared" si="61"/>
        <v>0.5</v>
      </c>
      <c r="I3935">
        <v>20040101</v>
      </c>
      <c r="J3935" t="s">
        <v>3879</v>
      </c>
      <c r="K3935" t="s">
        <v>4058</v>
      </c>
      <c r="L3935" t="s">
        <v>3880</v>
      </c>
      <c r="M3935" t="s">
        <v>3940</v>
      </c>
      <c r="N3935" t="s">
        <v>4068</v>
      </c>
      <c r="O3935" t="s">
        <v>3901</v>
      </c>
    </row>
    <row r="3936" spans="1:15" x14ac:dyDescent="0.3">
      <c r="A3936" s="160">
        <v>34248</v>
      </c>
      <c r="B3936" t="s">
        <v>19142</v>
      </c>
      <c r="C3936" t="s">
        <v>3791</v>
      </c>
      <c r="D3936">
        <v>0</v>
      </c>
      <c r="E3936">
        <v>0.5</v>
      </c>
      <c r="F3936">
        <f t="shared" si="61"/>
        <v>0.5</v>
      </c>
      <c r="I3936">
        <v>20040101</v>
      </c>
      <c r="J3936" t="s">
        <v>3872</v>
      </c>
    </row>
    <row r="3937" spans="1:16" x14ac:dyDescent="0.3">
      <c r="A3937" s="160">
        <v>34249</v>
      </c>
      <c r="B3937" t="s">
        <v>19143</v>
      </c>
      <c r="C3937" t="s">
        <v>3811</v>
      </c>
      <c r="D3937">
        <v>2</v>
      </c>
      <c r="E3937">
        <v>0</v>
      </c>
      <c r="F3937">
        <f t="shared" si="61"/>
        <v>2</v>
      </c>
      <c r="I3937">
        <v>20110601</v>
      </c>
      <c r="J3937" t="s">
        <v>3821</v>
      </c>
      <c r="K3937" t="s">
        <v>3815</v>
      </c>
      <c r="L3937" t="s">
        <v>3816</v>
      </c>
    </row>
    <row r="3938" spans="1:16" x14ac:dyDescent="0.3">
      <c r="A3938" s="160">
        <v>34254</v>
      </c>
      <c r="B3938" t="s">
        <v>19144</v>
      </c>
      <c r="C3938" t="s">
        <v>3791</v>
      </c>
      <c r="D3938">
        <v>0</v>
      </c>
      <c r="E3938">
        <v>0.5</v>
      </c>
      <c r="F3938">
        <f t="shared" si="61"/>
        <v>0.5</v>
      </c>
      <c r="I3938">
        <v>20120301</v>
      </c>
      <c r="J3938" t="s">
        <v>3902</v>
      </c>
    </row>
    <row r="3939" spans="1:16" x14ac:dyDescent="0.3">
      <c r="A3939" s="160">
        <v>34255</v>
      </c>
      <c r="B3939" t="s">
        <v>19145</v>
      </c>
      <c r="C3939" t="s">
        <v>3811</v>
      </c>
      <c r="D3939">
        <v>0</v>
      </c>
      <c r="E3939">
        <v>0.5</v>
      </c>
      <c r="F3939">
        <f t="shared" si="61"/>
        <v>0.5</v>
      </c>
      <c r="I3939">
        <v>20040101</v>
      </c>
      <c r="J3939" t="s">
        <v>3879</v>
      </c>
      <c r="K3939" t="s">
        <v>4058</v>
      </c>
      <c r="L3939" t="s">
        <v>4069</v>
      </c>
      <c r="M3939" t="s">
        <v>3880</v>
      </c>
      <c r="N3939" t="s">
        <v>3940</v>
      </c>
      <c r="O3939" t="s">
        <v>3899</v>
      </c>
    </row>
    <row r="3940" spans="1:16" x14ac:dyDescent="0.3">
      <c r="A3940" s="160">
        <v>34256</v>
      </c>
      <c r="B3940" t="s">
        <v>19146</v>
      </c>
      <c r="C3940" t="s">
        <v>3811</v>
      </c>
      <c r="D3940">
        <v>2</v>
      </c>
      <c r="E3940">
        <v>0</v>
      </c>
      <c r="F3940">
        <f t="shared" si="61"/>
        <v>2</v>
      </c>
      <c r="I3940">
        <v>20110601</v>
      </c>
      <c r="J3940" t="s">
        <v>3821</v>
      </c>
    </row>
    <row r="3941" spans="1:16" x14ac:dyDescent="0.3">
      <c r="A3941" s="160">
        <v>34258</v>
      </c>
      <c r="B3941" t="s">
        <v>19147</v>
      </c>
      <c r="C3941" t="s">
        <v>3791</v>
      </c>
      <c r="D3941">
        <v>0</v>
      </c>
      <c r="E3941">
        <v>0.5</v>
      </c>
      <c r="F3941">
        <f t="shared" si="61"/>
        <v>0.5</v>
      </c>
      <c r="I3941">
        <v>20040101</v>
      </c>
      <c r="J3941" t="s">
        <v>3810</v>
      </c>
    </row>
    <row r="3942" spans="1:16" x14ac:dyDescent="0.3">
      <c r="A3942" s="160">
        <v>34259</v>
      </c>
      <c r="B3942" t="s">
        <v>19148</v>
      </c>
      <c r="C3942" t="s">
        <v>3811</v>
      </c>
      <c r="D3942">
        <v>2</v>
      </c>
      <c r="E3942">
        <v>0</v>
      </c>
      <c r="F3942">
        <f t="shared" si="61"/>
        <v>2</v>
      </c>
      <c r="I3942">
        <v>20110601</v>
      </c>
      <c r="J3942" t="s">
        <v>3881</v>
      </c>
      <c r="K3942" t="s">
        <v>4070</v>
      </c>
      <c r="L3942" t="s">
        <v>4071</v>
      </c>
    </row>
    <row r="3943" spans="1:16" x14ac:dyDescent="0.3">
      <c r="A3943" s="160">
        <v>34261</v>
      </c>
      <c r="B3943" t="s">
        <v>19149</v>
      </c>
      <c r="C3943" t="s">
        <v>3791</v>
      </c>
      <c r="D3943">
        <v>0</v>
      </c>
      <c r="E3943">
        <v>0.5</v>
      </c>
      <c r="F3943">
        <f t="shared" si="61"/>
        <v>0.5</v>
      </c>
      <c r="I3943">
        <v>20120301</v>
      </c>
      <c r="J3943" t="s">
        <v>3806</v>
      </c>
    </row>
    <row r="3944" spans="1:16" x14ac:dyDescent="0.3">
      <c r="A3944" s="160">
        <v>34262</v>
      </c>
      <c r="B3944" t="s">
        <v>19150</v>
      </c>
      <c r="C3944" t="s">
        <v>3791</v>
      </c>
      <c r="D3944">
        <v>0</v>
      </c>
      <c r="E3944">
        <v>0.5</v>
      </c>
      <c r="F3944">
        <f t="shared" si="61"/>
        <v>0.5</v>
      </c>
      <c r="I3944">
        <v>20120301</v>
      </c>
      <c r="J3944" t="s">
        <v>3902</v>
      </c>
    </row>
    <row r="3945" spans="1:16" x14ac:dyDescent="0.3">
      <c r="A3945" s="160">
        <v>34263</v>
      </c>
      <c r="B3945" t="s">
        <v>19151</v>
      </c>
      <c r="C3945" t="s">
        <v>3791</v>
      </c>
      <c r="D3945">
        <v>0</v>
      </c>
      <c r="E3945">
        <v>0.5</v>
      </c>
      <c r="F3945">
        <f t="shared" si="61"/>
        <v>0.5</v>
      </c>
      <c r="I3945">
        <v>20040101</v>
      </c>
      <c r="J3945" t="s">
        <v>3821</v>
      </c>
    </row>
    <row r="3946" spans="1:16" x14ac:dyDescent="0.3">
      <c r="A3946" s="160">
        <v>34265</v>
      </c>
      <c r="B3946" t="s">
        <v>19152</v>
      </c>
      <c r="C3946" t="s">
        <v>3791</v>
      </c>
      <c r="D3946">
        <v>0</v>
      </c>
      <c r="E3946">
        <v>0.5</v>
      </c>
      <c r="F3946">
        <f t="shared" si="61"/>
        <v>0.5</v>
      </c>
      <c r="I3946">
        <v>20040101</v>
      </c>
      <c r="J3946" t="s">
        <v>3821</v>
      </c>
      <c r="K3946" t="s">
        <v>3814</v>
      </c>
    </row>
    <row r="3947" spans="1:16" x14ac:dyDescent="0.3">
      <c r="A3947" s="160">
        <v>34266</v>
      </c>
      <c r="B3947" t="s">
        <v>19153</v>
      </c>
      <c r="C3947" t="s">
        <v>3791</v>
      </c>
      <c r="D3947">
        <v>0</v>
      </c>
      <c r="E3947">
        <v>0.5</v>
      </c>
      <c r="F3947">
        <f t="shared" si="61"/>
        <v>0.5</v>
      </c>
      <c r="I3947">
        <v>20040101</v>
      </c>
      <c r="J3947" t="s">
        <v>3872</v>
      </c>
    </row>
    <row r="3948" spans="1:16" x14ac:dyDescent="0.3">
      <c r="A3948" s="160">
        <v>34267</v>
      </c>
      <c r="B3948" t="s">
        <v>19154</v>
      </c>
      <c r="C3948" t="s">
        <v>3791</v>
      </c>
      <c r="D3948">
        <v>0</v>
      </c>
      <c r="E3948">
        <v>0.5</v>
      </c>
      <c r="F3948">
        <f t="shared" si="61"/>
        <v>0.5</v>
      </c>
      <c r="I3948">
        <v>20120301</v>
      </c>
      <c r="J3948" t="s">
        <v>3806</v>
      </c>
    </row>
    <row r="3949" spans="1:16" x14ac:dyDescent="0.3">
      <c r="A3949" s="160">
        <v>34270</v>
      </c>
      <c r="B3949" t="s">
        <v>19155</v>
      </c>
      <c r="C3949" t="s">
        <v>3811</v>
      </c>
      <c r="D3949">
        <v>2</v>
      </c>
      <c r="E3949">
        <v>0</v>
      </c>
      <c r="F3949">
        <f t="shared" si="61"/>
        <v>2</v>
      </c>
      <c r="I3949">
        <v>20110601</v>
      </c>
      <c r="J3949" t="s">
        <v>3907</v>
      </c>
      <c r="K3949" t="s">
        <v>4072</v>
      </c>
      <c r="L3949" t="s">
        <v>4039</v>
      </c>
      <c r="M3949" t="s">
        <v>3881</v>
      </c>
      <c r="N3949" t="s">
        <v>3819</v>
      </c>
      <c r="O3949" t="s">
        <v>3884</v>
      </c>
      <c r="P3949" t="s">
        <v>4073</v>
      </c>
    </row>
    <row r="3950" spans="1:16" x14ac:dyDescent="0.3">
      <c r="A3950" s="160">
        <v>34272</v>
      </c>
      <c r="B3950" t="s">
        <v>15269</v>
      </c>
      <c r="C3950" t="s">
        <v>3791</v>
      </c>
      <c r="D3950">
        <v>0</v>
      </c>
      <c r="E3950">
        <v>0.5</v>
      </c>
      <c r="F3950">
        <f t="shared" si="61"/>
        <v>0.5</v>
      </c>
      <c r="I3950">
        <v>20040101</v>
      </c>
      <c r="J3950" t="s">
        <v>3924</v>
      </c>
      <c r="K3950" t="s">
        <v>3925</v>
      </c>
      <c r="L3950" t="s">
        <v>3926</v>
      </c>
    </row>
    <row r="3951" spans="1:16" x14ac:dyDescent="0.3">
      <c r="A3951" s="160">
        <v>34274</v>
      </c>
      <c r="B3951" t="s">
        <v>19156</v>
      </c>
      <c r="C3951" t="s">
        <v>3791</v>
      </c>
      <c r="D3951">
        <v>0</v>
      </c>
      <c r="E3951">
        <v>0.5</v>
      </c>
      <c r="F3951">
        <f t="shared" si="61"/>
        <v>0.5</v>
      </c>
      <c r="I3951">
        <v>20040101</v>
      </c>
      <c r="J3951" t="s">
        <v>3807</v>
      </c>
    </row>
    <row r="3952" spans="1:16" x14ac:dyDescent="0.3">
      <c r="A3952" s="160">
        <v>34276</v>
      </c>
      <c r="B3952" t="s">
        <v>19157</v>
      </c>
      <c r="C3952" t="s">
        <v>3791</v>
      </c>
      <c r="D3952">
        <v>0</v>
      </c>
      <c r="E3952">
        <v>0.5</v>
      </c>
      <c r="F3952">
        <f t="shared" si="61"/>
        <v>0.5</v>
      </c>
      <c r="I3952">
        <v>20040101</v>
      </c>
      <c r="J3952" t="s">
        <v>3872</v>
      </c>
      <c r="K3952" t="s">
        <v>4074</v>
      </c>
      <c r="L3952" t="s">
        <v>3899</v>
      </c>
      <c r="M3952" t="s">
        <v>4068</v>
      </c>
    </row>
    <row r="3953" spans="1:12" x14ac:dyDescent="0.3">
      <c r="A3953" s="160">
        <v>34279</v>
      </c>
      <c r="B3953" t="s">
        <v>19158</v>
      </c>
      <c r="C3953" t="s">
        <v>3791</v>
      </c>
      <c r="D3953">
        <v>0</v>
      </c>
      <c r="E3953">
        <v>0.5</v>
      </c>
      <c r="F3953">
        <f t="shared" si="61"/>
        <v>0.5</v>
      </c>
      <c r="I3953">
        <v>20120301</v>
      </c>
      <c r="J3953" t="s">
        <v>3869</v>
      </c>
    </row>
    <row r="3954" spans="1:12" x14ac:dyDescent="0.3">
      <c r="A3954" s="160">
        <v>34280</v>
      </c>
      <c r="B3954" t="s">
        <v>19159</v>
      </c>
      <c r="C3954" t="s">
        <v>3791</v>
      </c>
      <c r="D3954">
        <v>0</v>
      </c>
      <c r="E3954">
        <v>0.5</v>
      </c>
      <c r="F3954">
        <f t="shared" si="61"/>
        <v>0.5</v>
      </c>
      <c r="I3954">
        <v>20040101</v>
      </c>
      <c r="J3954" t="s">
        <v>3924</v>
      </c>
      <c r="K3954" t="s">
        <v>3925</v>
      </c>
    </row>
    <row r="3955" spans="1:12" x14ac:dyDescent="0.3">
      <c r="A3955" s="160">
        <v>34281</v>
      </c>
      <c r="B3955" t="s">
        <v>19160</v>
      </c>
      <c r="C3955" t="s">
        <v>3791</v>
      </c>
      <c r="D3955">
        <v>0</v>
      </c>
      <c r="E3955">
        <v>0.5</v>
      </c>
      <c r="F3955">
        <f t="shared" si="61"/>
        <v>0.5</v>
      </c>
      <c r="I3955">
        <v>20120301</v>
      </c>
      <c r="J3955" t="s">
        <v>3794</v>
      </c>
    </row>
    <row r="3956" spans="1:12" x14ac:dyDescent="0.3">
      <c r="A3956" s="160">
        <v>34282</v>
      </c>
      <c r="B3956" t="s">
        <v>19161</v>
      </c>
      <c r="C3956" t="s">
        <v>3791</v>
      </c>
      <c r="D3956">
        <v>0</v>
      </c>
      <c r="E3956">
        <v>0.5</v>
      </c>
      <c r="F3956">
        <f t="shared" si="61"/>
        <v>0.5</v>
      </c>
      <c r="I3956">
        <v>20040101</v>
      </c>
      <c r="J3956" t="s">
        <v>3937</v>
      </c>
    </row>
    <row r="3957" spans="1:12" x14ac:dyDescent="0.3">
      <c r="A3957" s="160">
        <v>34285</v>
      </c>
      <c r="B3957" t="s">
        <v>19162</v>
      </c>
      <c r="C3957" t="s">
        <v>3793</v>
      </c>
      <c r="D3957">
        <v>0.8</v>
      </c>
      <c r="E3957">
        <v>0</v>
      </c>
      <c r="F3957">
        <f t="shared" si="61"/>
        <v>0.8</v>
      </c>
      <c r="I3957">
        <v>20110501</v>
      </c>
      <c r="J3957" t="s">
        <v>3794</v>
      </c>
    </row>
    <row r="3958" spans="1:12" x14ac:dyDescent="0.3">
      <c r="A3958" s="160">
        <v>34287</v>
      </c>
      <c r="B3958" t="s">
        <v>19163</v>
      </c>
      <c r="C3958" t="s">
        <v>3791</v>
      </c>
      <c r="D3958">
        <v>0</v>
      </c>
      <c r="E3958">
        <v>0.5</v>
      </c>
      <c r="F3958">
        <f t="shared" si="61"/>
        <v>0.5</v>
      </c>
      <c r="I3958">
        <v>20120301</v>
      </c>
      <c r="J3958" t="s">
        <v>3902</v>
      </c>
    </row>
    <row r="3959" spans="1:12" x14ac:dyDescent="0.3">
      <c r="A3959" s="160">
        <v>34288</v>
      </c>
      <c r="B3959" t="s">
        <v>19164</v>
      </c>
      <c r="C3959" t="s">
        <v>3791</v>
      </c>
      <c r="D3959">
        <v>0</v>
      </c>
      <c r="E3959">
        <v>0.5</v>
      </c>
      <c r="F3959">
        <f t="shared" si="61"/>
        <v>0.5</v>
      </c>
      <c r="I3959">
        <v>20040101</v>
      </c>
      <c r="J3959" t="s">
        <v>3924</v>
      </c>
    </row>
    <row r="3960" spans="1:12" x14ac:dyDescent="0.3">
      <c r="A3960" s="160">
        <v>34289</v>
      </c>
      <c r="B3960" t="s">
        <v>19165</v>
      </c>
      <c r="C3960" t="s">
        <v>3793</v>
      </c>
      <c r="D3960">
        <v>0.8</v>
      </c>
      <c r="E3960">
        <v>0</v>
      </c>
      <c r="F3960">
        <f t="shared" si="61"/>
        <v>0.8</v>
      </c>
      <c r="I3960">
        <v>20110501</v>
      </c>
      <c r="J3960" t="s">
        <v>4075</v>
      </c>
    </row>
    <row r="3961" spans="1:12" x14ac:dyDescent="0.3">
      <c r="A3961" s="160">
        <v>34290</v>
      </c>
      <c r="B3961" t="s">
        <v>19166</v>
      </c>
      <c r="C3961" t="s">
        <v>3791</v>
      </c>
      <c r="D3961">
        <v>0</v>
      </c>
      <c r="E3961">
        <v>0.5</v>
      </c>
      <c r="F3961">
        <f t="shared" si="61"/>
        <v>0.5</v>
      </c>
      <c r="I3961">
        <v>20040101</v>
      </c>
      <c r="J3961" t="s">
        <v>4065</v>
      </c>
    </row>
    <row r="3962" spans="1:12" x14ac:dyDescent="0.3">
      <c r="A3962" s="160">
        <v>34294</v>
      </c>
      <c r="B3962" t="s">
        <v>19167</v>
      </c>
      <c r="C3962" t="s">
        <v>3791</v>
      </c>
      <c r="D3962">
        <v>0</v>
      </c>
      <c r="E3962">
        <v>0.5</v>
      </c>
      <c r="F3962">
        <f t="shared" si="61"/>
        <v>0.5</v>
      </c>
      <c r="I3962">
        <v>20040101</v>
      </c>
      <c r="J3962" t="s">
        <v>3924</v>
      </c>
      <c r="K3962" t="s">
        <v>3925</v>
      </c>
      <c r="L3962" t="s">
        <v>3926</v>
      </c>
    </row>
    <row r="3963" spans="1:12" x14ac:dyDescent="0.3">
      <c r="A3963" s="160">
        <v>34295</v>
      </c>
      <c r="B3963" t="s">
        <v>19168</v>
      </c>
      <c r="C3963" t="s">
        <v>3811</v>
      </c>
      <c r="D3963">
        <v>2</v>
      </c>
      <c r="E3963">
        <v>0</v>
      </c>
      <c r="F3963">
        <f t="shared" si="61"/>
        <v>2</v>
      </c>
      <c r="I3963">
        <v>20110601</v>
      </c>
      <c r="J3963" t="s">
        <v>3937</v>
      </c>
    </row>
    <row r="3964" spans="1:12" x14ac:dyDescent="0.3">
      <c r="A3964" s="160">
        <v>34296</v>
      </c>
      <c r="B3964" t="s">
        <v>19169</v>
      </c>
      <c r="C3964" t="s">
        <v>3791</v>
      </c>
      <c r="D3964">
        <v>0</v>
      </c>
      <c r="E3964">
        <v>0.5</v>
      </c>
      <c r="F3964">
        <f t="shared" si="61"/>
        <v>0.5</v>
      </c>
      <c r="I3964">
        <v>20040101</v>
      </c>
      <c r="J3964" t="s">
        <v>3821</v>
      </c>
    </row>
    <row r="3965" spans="1:12" x14ac:dyDescent="0.3">
      <c r="A3965" s="160">
        <v>34297</v>
      </c>
      <c r="B3965" t="s">
        <v>19170</v>
      </c>
      <c r="C3965" t="s">
        <v>3791</v>
      </c>
      <c r="D3965">
        <v>0</v>
      </c>
      <c r="E3965">
        <v>0.5</v>
      </c>
      <c r="F3965">
        <f t="shared" si="61"/>
        <v>0.5</v>
      </c>
      <c r="I3965">
        <v>20240101</v>
      </c>
      <c r="J3965" t="s">
        <v>3872</v>
      </c>
    </row>
    <row r="3966" spans="1:12" x14ac:dyDescent="0.3">
      <c r="A3966" s="160">
        <v>34298</v>
      </c>
      <c r="B3966" t="s">
        <v>19171</v>
      </c>
      <c r="C3966" t="s">
        <v>3805</v>
      </c>
      <c r="D3966">
        <v>1.45</v>
      </c>
      <c r="E3966">
        <v>0</v>
      </c>
      <c r="F3966">
        <f t="shared" si="61"/>
        <v>1.45</v>
      </c>
      <c r="I3966">
        <v>20190101</v>
      </c>
      <c r="J3966" t="s">
        <v>4076</v>
      </c>
      <c r="K3966" t="s">
        <v>3829</v>
      </c>
    </row>
    <row r="3967" spans="1:12" x14ac:dyDescent="0.3">
      <c r="A3967" s="160">
        <v>34299</v>
      </c>
      <c r="B3967" t="s">
        <v>19172</v>
      </c>
      <c r="C3967" t="s">
        <v>3805</v>
      </c>
      <c r="D3967">
        <v>1.45</v>
      </c>
      <c r="E3967">
        <v>0</v>
      </c>
      <c r="F3967">
        <f t="shared" si="61"/>
        <v>1.45</v>
      </c>
      <c r="I3967">
        <v>20190101</v>
      </c>
      <c r="J3967" t="s">
        <v>4076</v>
      </c>
      <c r="K3967" t="s">
        <v>3829</v>
      </c>
    </row>
    <row r="3968" spans="1:12" x14ac:dyDescent="0.3">
      <c r="A3968" s="160">
        <v>34300</v>
      </c>
      <c r="B3968" t="s">
        <v>19173</v>
      </c>
      <c r="C3968" t="s">
        <v>3805</v>
      </c>
      <c r="D3968">
        <v>1.45</v>
      </c>
      <c r="E3968">
        <v>0</v>
      </c>
      <c r="F3968">
        <f t="shared" si="61"/>
        <v>1.45</v>
      </c>
      <c r="I3968">
        <v>20190101</v>
      </c>
      <c r="J3968" t="s">
        <v>3792</v>
      </c>
    </row>
    <row r="3969" spans="1:17" x14ac:dyDescent="0.3">
      <c r="A3969" s="160">
        <v>34301</v>
      </c>
      <c r="B3969" t="s">
        <v>19174</v>
      </c>
      <c r="C3969" t="s">
        <v>3817</v>
      </c>
      <c r="D3969">
        <v>1.65</v>
      </c>
      <c r="E3969">
        <v>0</v>
      </c>
      <c r="F3969">
        <f t="shared" si="61"/>
        <v>1.65</v>
      </c>
      <c r="I3969">
        <v>20220101</v>
      </c>
      <c r="J3969" t="s">
        <v>3890</v>
      </c>
      <c r="K3969" t="s">
        <v>3891</v>
      </c>
      <c r="L3969" t="s">
        <v>4077</v>
      </c>
      <c r="M3969" t="s">
        <v>4078</v>
      </c>
      <c r="N3969" t="s">
        <v>4079</v>
      </c>
      <c r="O3969" t="s">
        <v>3894</v>
      </c>
      <c r="P3969" t="s">
        <v>4080</v>
      </c>
      <c r="Q3969" t="s">
        <v>4081</v>
      </c>
    </row>
    <row r="3970" spans="1:17" x14ac:dyDescent="0.3">
      <c r="A3970" s="160">
        <v>34307</v>
      </c>
      <c r="B3970" t="s">
        <v>19175</v>
      </c>
      <c r="C3970" t="s">
        <v>3811</v>
      </c>
      <c r="D3970">
        <v>2</v>
      </c>
      <c r="E3970">
        <v>0</v>
      </c>
      <c r="F3970">
        <f t="shared" si="61"/>
        <v>2</v>
      </c>
      <c r="I3970">
        <v>20110601</v>
      </c>
      <c r="J3970" t="s">
        <v>3821</v>
      </c>
      <c r="K3970" t="s">
        <v>3814</v>
      </c>
      <c r="L3970" t="s">
        <v>3815</v>
      </c>
    </row>
    <row r="3971" spans="1:17" x14ac:dyDescent="0.3">
      <c r="A3971" s="160">
        <v>34309</v>
      </c>
      <c r="B3971" t="s">
        <v>19176</v>
      </c>
      <c r="C3971" t="s">
        <v>3811</v>
      </c>
      <c r="D3971">
        <v>0</v>
      </c>
      <c r="E3971">
        <v>0.5</v>
      </c>
      <c r="F3971">
        <f t="shared" si="61"/>
        <v>0.5</v>
      </c>
      <c r="I3971">
        <v>20040101</v>
      </c>
      <c r="J3971" t="s">
        <v>3808</v>
      </c>
    </row>
    <row r="3972" spans="1:17" x14ac:dyDescent="0.3">
      <c r="A3972" s="160">
        <v>34310</v>
      </c>
      <c r="B3972" t="s">
        <v>19177</v>
      </c>
      <c r="C3972" t="s">
        <v>3791</v>
      </c>
      <c r="D3972">
        <v>0</v>
      </c>
      <c r="E3972">
        <v>0.5</v>
      </c>
      <c r="F3972">
        <f t="shared" si="61"/>
        <v>0.5</v>
      </c>
      <c r="I3972">
        <v>20040101</v>
      </c>
      <c r="J3972" t="s">
        <v>3869</v>
      </c>
    </row>
    <row r="3973" spans="1:17" x14ac:dyDescent="0.3">
      <c r="A3973" s="160">
        <v>34313</v>
      </c>
      <c r="B3973" t="s">
        <v>19178</v>
      </c>
      <c r="C3973" t="s">
        <v>3791</v>
      </c>
      <c r="D3973">
        <v>0</v>
      </c>
      <c r="E3973">
        <v>0.5</v>
      </c>
      <c r="F3973">
        <f t="shared" si="61"/>
        <v>0.5</v>
      </c>
      <c r="I3973">
        <v>20120301</v>
      </c>
      <c r="J3973" t="s">
        <v>3794</v>
      </c>
    </row>
    <row r="3974" spans="1:17" x14ac:dyDescent="0.3">
      <c r="A3974" s="160">
        <v>34314</v>
      </c>
      <c r="B3974" t="s">
        <v>19179</v>
      </c>
      <c r="C3974" t="s">
        <v>3791</v>
      </c>
      <c r="D3974">
        <v>0</v>
      </c>
      <c r="E3974">
        <v>0.5</v>
      </c>
      <c r="F3974">
        <f t="shared" si="61"/>
        <v>0.5</v>
      </c>
      <c r="I3974">
        <v>20040101</v>
      </c>
      <c r="J3974" t="s">
        <v>3872</v>
      </c>
    </row>
    <row r="3975" spans="1:17" x14ac:dyDescent="0.3">
      <c r="A3975" s="160">
        <v>34318</v>
      </c>
      <c r="B3975" t="s">
        <v>19180</v>
      </c>
      <c r="C3975" t="s">
        <v>3791</v>
      </c>
      <c r="D3975">
        <v>0</v>
      </c>
      <c r="E3975">
        <v>0.5</v>
      </c>
      <c r="F3975">
        <f t="shared" ref="F3975:F4038" si="62">D3975+E3975</f>
        <v>0.5</v>
      </c>
      <c r="I3975">
        <v>20240101</v>
      </c>
      <c r="J3975" t="s">
        <v>3872</v>
      </c>
    </row>
    <row r="3976" spans="1:17" x14ac:dyDescent="0.3">
      <c r="A3976" s="160">
        <v>34320</v>
      </c>
      <c r="B3976" t="s">
        <v>19181</v>
      </c>
      <c r="C3976" t="s">
        <v>3791</v>
      </c>
      <c r="D3976">
        <v>0</v>
      </c>
      <c r="E3976">
        <v>0.5</v>
      </c>
      <c r="F3976">
        <f t="shared" si="62"/>
        <v>0.5</v>
      </c>
      <c r="I3976">
        <v>20040101</v>
      </c>
      <c r="J3976" t="s">
        <v>3881</v>
      </c>
      <c r="K3976" t="s">
        <v>3937</v>
      </c>
    </row>
    <row r="3977" spans="1:17" x14ac:dyDescent="0.3">
      <c r="A3977" s="160">
        <v>34321</v>
      </c>
      <c r="B3977" t="s">
        <v>19182</v>
      </c>
      <c r="C3977" t="s">
        <v>3857</v>
      </c>
      <c r="D3977">
        <v>0.8</v>
      </c>
      <c r="E3977">
        <v>0.4</v>
      </c>
      <c r="F3977">
        <f t="shared" si="62"/>
        <v>1.2000000000000002</v>
      </c>
      <c r="I3977">
        <v>20170101</v>
      </c>
      <c r="J3977" t="s">
        <v>3858</v>
      </c>
    </row>
    <row r="3978" spans="1:17" x14ac:dyDescent="0.3">
      <c r="A3978" s="160">
        <v>34322</v>
      </c>
      <c r="B3978" t="s">
        <v>19183</v>
      </c>
      <c r="C3978" t="s">
        <v>3791</v>
      </c>
      <c r="D3978">
        <v>0</v>
      </c>
      <c r="E3978">
        <v>0.5</v>
      </c>
      <c r="F3978">
        <f t="shared" si="62"/>
        <v>0.5</v>
      </c>
      <c r="I3978">
        <v>20240101</v>
      </c>
      <c r="J3978" t="s">
        <v>3872</v>
      </c>
    </row>
    <row r="3979" spans="1:17" x14ac:dyDescent="0.3">
      <c r="A3979" s="160">
        <v>34324</v>
      </c>
      <c r="B3979" t="s">
        <v>19184</v>
      </c>
      <c r="C3979" t="s">
        <v>3805</v>
      </c>
      <c r="D3979">
        <v>1.45</v>
      </c>
      <c r="E3979">
        <v>0</v>
      </c>
      <c r="F3979">
        <f t="shared" si="62"/>
        <v>1.45</v>
      </c>
      <c r="I3979">
        <v>20190101</v>
      </c>
      <c r="J3979" t="s">
        <v>4082</v>
      </c>
      <c r="K3979" t="s">
        <v>3825</v>
      </c>
    </row>
    <row r="3980" spans="1:17" x14ac:dyDescent="0.3">
      <c r="A3980" s="160">
        <v>34325</v>
      </c>
      <c r="B3980" t="s">
        <v>19185</v>
      </c>
      <c r="C3980" t="s">
        <v>3805</v>
      </c>
      <c r="D3980">
        <v>1.45</v>
      </c>
      <c r="E3980">
        <v>0</v>
      </c>
      <c r="F3980">
        <f t="shared" si="62"/>
        <v>1.45</v>
      </c>
      <c r="I3980">
        <v>20190101</v>
      </c>
      <c r="J3980" t="s">
        <v>3792</v>
      </c>
    </row>
    <row r="3981" spans="1:17" x14ac:dyDescent="0.3">
      <c r="A3981" s="160">
        <v>34327</v>
      </c>
      <c r="B3981" t="s">
        <v>19186</v>
      </c>
      <c r="C3981" t="s">
        <v>3811</v>
      </c>
      <c r="D3981">
        <v>2</v>
      </c>
      <c r="E3981">
        <v>0</v>
      </c>
      <c r="F3981">
        <f t="shared" si="62"/>
        <v>2</v>
      </c>
      <c r="I3981">
        <v>20110601</v>
      </c>
      <c r="J3981" t="s">
        <v>4083</v>
      </c>
      <c r="K3981" t="s">
        <v>3814</v>
      </c>
      <c r="L3981" t="s">
        <v>3815</v>
      </c>
      <c r="M3981" t="s">
        <v>4084</v>
      </c>
      <c r="N3981" t="s">
        <v>3816</v>
      </c>
    </row>
    <row r="3982" spans="1:17" x14ac:dyDescent="0.3">
      <c r="A3982" s="160">
        <v>34328</v>
      </c>
      <c r="B3982" t="s">
        <v>19187</v>
      </c>
      <c r="C3982" t="s">
        <v>3791</v>
      </c>
      <c r="D3982">
        <v>0</v>
      </c>
      <c r="E3982">
        <v>0.5</v>
      </c>
      <c r="F3982">
        <f t="shared" si="62"/>
        <v>0.5</v>
      </c>
      <c r="I3982">
        <v>20040101</v>
      </c>
      <c r="J3982" t="s">
        <v>3794</v>
      </c>
    </row>
    <row r="3983" spans="1:17" x14ac:dyDescent="0.3">
      <c r="A3983" s="160">
        <v>34329</v>
      </c>
      <c r="B3983" t="s">
        <v>19188</v>
      </c>
      <c r="C3983" t="s">
        <v>3791</v>
      </c>
      <c r="D3983">
        <v>0</v>
      </c>
      <c r="E3983">
        <v>0.5</v>
      </c>
      <c r="F3983">
        <f t="shared" si="62"/>
        <v>0.5</v>
      </c>
      <c r="I3983">
        <v>20040101</v>
      </c>
      <c r="J3983" t="s">
        <v>4082</v>
      </c>
      <c r="K3983" t="s">
        <v>3829</v>
      </c>
      <c r="L3983" t="s">
        <v>3847</v>
      </c>
    </row>
    <row r="3984" spans="1:17" x14ac:dyDescent="0.3">
      <c r="A3984" s="160">
        <v>34330</v>
      </c>
      <c r="B3984" t="s">
        <v>19189</v>
      </c>
      <c r="C3984" t="s">
        <v>3791</v>
      </c>
      <c r="D3984">
        <v>0</v>
      </c>
      <c r="E3984">
        <v>0.5</v>
      </c>
      <c r="F3984">
        <f t="shared" si="62"/>
        <v>0.5</v>
      </c>
      <c r="I3984">
        <v>20040101</v>
      </c>
      <c r="J3984" t="s">
        <v>3924</v>
      </c>
    </row>
    <row r="3985" spans="1:19" x14ac:dyDescent="0.3">
      <c r="A3985" s="160">
        <v>34332</v>
      </c>
      <c r="B3985" t="s">
        <v>19190</v>
      </c>
      <c r="C3985" t="s">
        <v>3793</v>
      </c>
      <c r="D3985">
        <v>0.8</v>
      </c>
      <c r="E3985">
        <v>0</v>
      </c>
      <c r="F3985">
        <f t="shared" si="62"/>
        <v>0.8</v>
      </c>
      <c r="I3985">
        <v>20110501</v>
      </c>
      <c r="J3985" t="s">
        <v>4064</v>
      </c>
    </row>
    <row r="3986" spans="1:19" x14ac:dyDescent="0.3">
      <c r="A3986" s="160">
        <v>34333</v>
      </c>
      <c r="B3986" t="s">
        <v>19191</v>
      </c>
      <c r="C3986" t="s">
        <v>3817</v>
      </c>
      <c r="D3986">
        <v>1.65</v>
      </c>
      <c r="E3986">
        <v>0</v>
      </c>
      <c r="F3986">
        <f t="shared" si="62"/>
        <v>1.65</v>
      </c>
      <c r="I3986">
        <v>20220101</v>
      </c>
      <c r="J3986" t="s">
        <v>3888</v>
      </c>
      <c r="K3986" t="s">
        <v>4085</v>
      </c>
      <c r="L3986" t="s">
        <v>3893</v>
      </c>
      <c r="M3986" t="s">
        <v>3881</v>
      </c>
    </row>
    <row r="3987" spans="1:19" x14ac:dyDescent="0.3">
      <c r="A3987" s="160">
        <v>34336</v>
      </c>
      <c r="B3987" t="s">
        <v>19192</v>
      </c>
      <c r="C3987" t="s">
        <v>3805</v>
      </c>
      <c r="D3987">
        <v>1.45</v>
      </c>
      <c r="E3987">
        <v>0</v>
      </c>
      <c r="F3987">
        <f t="shared" si="62"/>
        <v>1.45</v>
      </c>
      <c r="I3987">
        <v>20190101</v>
      </c>
      <c r="J3987" t="s">
        <v>3875</v>
      </c>
      <c r="K3987" t="s">
        <v>3823</v>
      </c>
      <c r="L3987" t="s">
        <v>3827</v>
      </c>
      <c r="M3987" t="s">
        <v>3828</v>
      </c>
      <c r="N3987" t="s">
        <v>3833</v>
      </c>
      <c r="O3987" t="s">
        <v>3834</v>
      </c>
      <c r="P3987" t="s">
        <v>3835</v>
      </c>
      <c r="Q3987" t="s">
        <v>3846</v>
      </c>
      <c r="R3987" t="s">
        <v>3847</v>
      </c>
      <c r="S3987" t="s">
        <v>3848</v>
      </c>
    </row>
    <row r="3988" spans="1:19" x14ac:dyDescent="0.3">
      <c r="A3988" s="160">
        <v>34337</v>
      </c>
      <c r="B3988" t="s">
        <v>19193</v>
      </c>
      <c r="C3988" t="s">
        <v>3811</v>
      </c>
      <c r="D3988">
        <v>2</v>
      </c>
      <c r="E3988">
        <v>0</v>
      </c>
      <c r="F3988">
        <f t="shared" si="62"/>
        <v>2</v>
      </c>
      <c r="I3988">
        <v>20110601</v>
      </c>
      <c r="J3988" t="s">
        <v>3946</v>
      </c>
      <c r="K3988" t="s">
        <v>4086</v>
      </c>
      <c r="L3988" t="s">
        <v>4087</v>
      </c>
      <c r="M3988" t="s">
        <v>4088</v>
      </c>
    </row>
    <row r="3989" spans="1:19" x14ac:dyDescent="0.3">
      <c r="A3989" s="160">
        <v>34339</v>
      </c>
      <c r="B3989" t="s">
        <v>19194</v>
      </c>
      <c r="C3989" t="s">
        <v>3791</v>
      </c>
      <c r="D3989">
        <v>0</v>
      </c>
      <c r="E3989">
        <v>0.5</v>
      </c>
      <c r="F3989">
        <f t="shared" si="62"/>
        <v>0.5</v>
      </c>
      <c r="I3989">
        <v>20170701</v>
      </c>
      <c r="J3989" t="s">
        <v>3874</v>
      </c>
    </row>
    <row r="3990" spans="1:19" x14ac:dyDescent="0.3">
      <c r="A3990" s="160">
        <v>34340</v>
      </c>
      <c r="B3990" t="s">
        <v>19195</v>
      </c>
      <c r="C3990" t="s">
        <v>3791</v>
      </c>
      <c r="D3990">
        <v>0</v>
      </c>
      <c r="E3990">
        <v>0.5</v>
      </c>
      <c r="F3990">
        <f t="shared" si="62"/>
        <v>0.5</v>
      </c>
      <c r="I3990">
        <v>20040101</v>
      </c>
      <c r="J3990" t="s">
        <v>3924</v>
      </c>
      <c r="K3990" t="s">
        <v>3925</v>
      </c>
      <c r="L3990" t="s">
        <v>3926</v>
      </c>
      <c r="M3990" t="s">
        <v>3927</v>
      </c>
    </row>
    <row r="3991" spans="1:19" x14ac:dyDescent="0.3">
      <c r="A3991" s="160">
        <v>34341</v>
      </c>
      <c r="B3991" t="s">
        <v>19196</v>
      </c>
      <c r="C3991" t="s">
        <v>3817</v>
      </c>
      <c r="D3991">
        <v>1.65</v>
      </c>
      <c r="E3991">
        <v>0</v>
      </c>
      <c r="F3991">
        <f t="shared" si="62"/>
        <v>1.65</v>
      </c>
      <c r="I3991">
        <v>20220101</v>
      </c>
      <c r="J3991" t="s">
        <v>3938</v>
      </c>
    </row>
    <row r="3992" spans="1:19" x14ac:dyDescent="0.3">
      <c r="A3992" s="160">
        <v>34342</v>
      </c>
      <c r="B3992" t="s">
        <v>19197</v>
      </c>
      <c r="C3992" t="s">
        <v>3791</v>
      </c>
      <c r="D3992">
        <v>0</v>
      </c>
      <c r="E3992">
        <v>0.5</v>
      </c>
      <c r="F3992">
        <f t="shared" si="62"/>
        <v>0.5</v>
      </c>
      <c r="I3992">
        <v>20040101</v>
      </c>
      <c r="J3992" t="s">
        <v>3807</v>
      </c>
    </row>
    <row r="3993" spans="1:19" x14ac:dyDescent="0.3">
      <c r="A3993" s="160">
        <v>34343</v>
      </c>
      <c r="B3993" t="s">
        <v>19198</v>
      </c>
      <c r="C3993" t="s">
        <v>3791</v>
      </c>
      <c r="D3993">
        <v>0</v>
      </c>
      <c r="E3993">
        <v>0.5</v>
      </c>
      <c r="F3993">
        <f t="shared" si="62"/>
        <v>0.5</v>
      </c>
      <c r="I3993">
        <v>20040101</v>
      </c>
      <c r="J3993" t="s">
        <v>3807</v>
      </c>
    </row>
    <row r="3994" spans="1:19" x14ac:dyDescent="0.3">
      <c r="A3994" s="160">
        <v>34344</v>
      </c>
      <c r="B3994" t="s">
        <v>19199</v>
      </c>
      <c r="C3994" t="s">
        <v>3857</v>
      </c>
      <c r="D3994">
        <v>0.8</v>
      </c>
      <c r="E3994">
        <v>0</v>
      </c>
      <c r="F3994">
        <f t="shared" si="62"/>
        <v>0.8</v>
      </c>
      <c r="I3994">
        <v>20160701</v>
      </c>
      <c r="J3994" t="s">
        <v>3935</v>
      </c>
      <c r="K3994" t="s">
        <v>3914</v>
      </c>
    </row>
    <row r="3995" spans="1:19" x14ac:dyDescent="0.3">
      <c r="A3995" s="160">
        <v>35001</v>
      </c>
      <c r="B3995" t="s">
        <v>19200</v>
      </c>
      <c r="C3995" t="s">
        <v>4089</v>
      </c>
      <c r="D3995">
        <v>2</v>
      </c>
      <c r="E3995">
        <v>0</v>
      </c>
      <c r="F3995">
        <f t="shared" si="62"/>
        <v>2</v>
      </c>
      <c r="I3995">
        <v>20140101</v>
      </c>
      <c r="J3995" t="s">
        <v>4090</v>
      </c>
      <c r="K3995" t="s">
        <v>4091</v>
      </c>
    </row>
    <row r="3996" spans="1:19" x14ac:dyDescent="0.3">
      <c r="A3996">
        <v>35003</v>
      </c>
      <c r="C3996" t="s">
        <v>27539</v>
      </c>
      <c r="D3996">
        <v>0.55000000000000004</v>
      </c>
      <c r="E3996">
        <v>0</v>
      </c>
      <c r="F3996">
        <f t="shared" si="62"/>
        <v>0.55000000000000004</v>
      </c>
      <c r="I3996">
        <v>20250101</v>
      </c>
      <c r="J3996" t="s">
        <v>4152</v>
      </c>
    </row>
    <row r="3997" spans="1:19" x14ac:dyDescent="0.3">
      <c r="A3997" s="160">
        <v>35006</v>
      </c>
      <c r="B3997" t="s">
        <v>19201</v>
      </c>
      <c r="C3997" t="s">
        <v>19202</v>
      </c>
      <c r="D3997">
        <v>0.2</v>
      </c>
      <c r="E3997">
        <v>0</v>
      </c>
      <c r="F3997">
        <f t="shared" si="62"/>
        <v>0.2</v>
      </c>
      <c r="I3997">
        <v>20240101</v>
      </c>
      <c r="J3997" t="s">
        <v>19203</v>
      </c>
      <c r="K3997" t="s">
        <v>19204</v>
      </c>
    </row>
    <row r="3998" spans="1:19" x14ac:dyDescent="0.3">
      <c r="A3998">
        <v>35007</v>
      </c>
      <c r="C3998" t="s">
        <v>27539</v>
      </c>
      <c r="D3998">
        <v>0.55000000000000004</v>
      </c>
      <c r="E3998">
        <v>0</v>
      </c>
      <c r="F3998">
        <f t="shared" si="62"/>
        <v>0.55000000000000004</v>
      </c>
      <c r="I3998">
        <v>20250101</v>
      </c>
      <c r="J3998" t="s">
        <v>4152</v>
      </c>
    </row>
    <row r="3999" spans="1:19" x14ac:dyDescent="0.3">
      <c r="A3999" s="160">
        <v>35008</v>
      </c>
      <c r="B3999" t="s">
        <v>19205</v>
      </c>
      <c r="C3999" t="s">
        <v>19202</v>
      </c>
      <c r="D3999">
        <v>0.2</v>
      </c>
      <c r="E3999">
        <v>0</v>
      </c>
      <c r="F3999">
        <f t="shared" si="62"/>
        <v>0.2</v>
      </c>
      <c r="I3999">
        <v>20240101</v>
      </c>
      <c r="J3999" t="s">
        <v>19206</v>
      </c>
    </row>
    <row r="4000" spans="1:19" x14ac:dyDescent="0.3">
      <c r="A4000" s="160">
        <v>35014</v>
      </c>
      <c r="B4000" t="s">
        <v>19207</v>
      </c>
      <c r="C4000" t="s">
        <v>19202</v>
      </c>
      <c r="D4000">
        <v>0.2</v>
      </c>
      <c r="E4000">
        <v>0</v>
      </c>
      <c r="F4000">
        <f t="shared" si="62"/>
        <v>0.2</v>
      </c>
      <c r="I4000">
        <v>20240101</v>
      </c>
      <c r="J4000" t="s">
        <v>19208</v>
      </c>
    </row>
    <row r="4001" spans="1:23" x14ac:dyDescent="0.3">
      <c r="A4001" s="160">
        <v>35015</v>
      </c>
      <c r="B4001" t="s">
        <v>19209</v>
      </c>
      <c r="C4001" t="s">
        <v>19202</v>
      </c>
      <c r="D4001">
        <v>0.2</v>
      </c>
      <c r="E4001">
        <v>0</v>
      </c>
      <c r="F4001">
        <f t="shared" si="62"/>
        <v>0.2</v>
      </c>
      <c r="I4001">
        <v>20240101</v>
      </c>
      <c r="J4001" t="s">
        <v>19210</v>
      </c>
      <c r="K4001" t="s">
        <v>19211</v>
      </c>
    </row>
    <row r="4002" spans="1:23" x14ac:dyDescent="0.3">
      <c r="A4002" s="160">
        <v>35018</v>
      </c>
      <c r="B4002" t="s">
        <v>19212</v>
      </c>
      <c r="C4002" t="s">
        <v>4092</v>
      </c>
      <c r="D4002">
        <v>0.55000000000000004</v>
      </c>
      <c r="E4002">
        <v>0</v>
      </c>
      <c r="F4002">
        <f t="shared" si="62"/>
        <v>0.55000000000000004</v>
      </c>
      <c r="I4002">
        <v>20210101</v>
      </c>
      <c r="J4002" t="s">
        <v>4093</v>
      </c>
    </row>
    <row r="4003" spans="1:23" x14ac:dyDescent="0.3">
      <c r="A4003" s="160">
        <v>35021</v>
      </c>
      <c r="B4003" t="s">
        <v>19213</v>
      </c>
      <c r="C4003" t="s">
        <v>4092</v>
      </c>
      <c r="D4003">
        <v>0.55000000000000004</v>
      </c>
      <c r="E4003">
        <v>0</v>
      </c>
      <c r="F4003">
        <f t="shared" si="62"/>
        <v>0.55000000000000004</v>
      </c>
      <c r="I4003">
        <v>20210101</v>
      </c>
      <c r="J4003" t="s">
        <v>4094</v>
      </c>
      <c r="K4003" t="s">
        <v>4095</v>
      </c>
      <c r="L4003" t="s">
        <v>4096</v>
      </c>
    </row>
    <row r="4004" spans="1:23" x14ac:dyDescent="0.3">
      <c r="A4004" s="160">
        <v>35022</v>
      </c>
      <c r="B4004" t="s">
        <v>19214</v>
      </c>
      <c r="C4004" t="s">
        <v>4089</v>
      </c>
      <c r="D4004">
        <v>2</v>
      </c>
      <c r="E4004">
        <v>0</v>
      </c>
      <c r="F4004">
        <f t="shared" si="62"/>
        <v>2</v>
      </c>
      <c r="I4004">
        <v>20140101</v>
      </c>
      <c r="J4004" t="s">
        <v>4097</v>
      </c>
    </row>
    <row r="4005" spans="1:23" x14ac:dyDescent="0.3">
      <c r="A4005" s="160">
        <v>35024</v>
      </c>
      <c r="B4005" t="s">
        <v>19215</v>
      </c>
      <c r="C4005" t="s">
        <v>4089</v>
      </c>
      <c r="D4005">
        <v>2</v>
      </c>
      <c r="E4005">
        <v>0</v>
      </c>
      <c r="F4005">
        <f t="shared" si="62"/>
        <v>2</v>
      </c>
      <c r="I4005">
        <v>20140101</v>
      </c>
      <c r="J4005" t="s">
        <v>4098</v>
      </c>
      <c r="K4005" t="s">
        <v>4099</v>
      </c>
      <c r="L4005" t="s">
        <v>4100</v>
      </c>
      <c r="M4005" t="s">
        <v>4101</v>
      </c>
      <c r="N4005" t="s">
        <v>4102</v>
      </c>
      <c r="O4005" t="s">
        <v>4103</v>
      </c>
      <c r="P4005" t="s">
        <v>4104</v>
      </c>
    </row>
    <row r="4006" spans="1:23" x14ac:dyDescent="0.3">
      <c r="A4006" s="160">
        <v>35025</v>
      </c>
      <c r="B4006" t="s">
        <v>19216</v>
      </c>
      <c r="C4006" t="s">
        <v>4092</v>
      </c>
      <c r="D4006">
        <v>0.55000000000000004</v>
      </c>
      <c r="E4006">
        <v>0</v>
      </c>
      <c r="F4006">
        <f t="shared" si="62"/>
        <v>0.55000000000000004</v>
      </c>
      <c r="I4006">
        <v>20210101</v>
      </c>
      <c r="J4006" t="s">
        <v>4094</v>
      </c>
    </row>
    <row r="4007" spans="1:23" x14ac:dyDescent="0.3">
      <c r="A4007" s="160">
        <v>35031</v>
      </c>
      <c r="B4007" t="s">
        <v>19217</v>
      </c>
      <c r="C4007" t="s">
        <v>4105</v>
      </c>
      <c r="D4007">
        <v>0.55000000000000004</v>
      </c>
      <c r="E4007">
        <v>0</v>
      </c>
      <c r="F4007">
        <f t="shared" si="62"/>
        <v>0.55000000000000004</v>
      </c>
      <c r="I4007">
        <v>20250101</v>
      </c>
      <c r="J4007" t="s">
        <v>4106</v>
      </c>
    </row>
    <row r="4008" spans="1:23" x14ac:dyDescent="0.3">
      <c r="A4008" s="160">
        <v>35032</v>
      </c>
      <c r="B4008" t="s">
        <v>19218</v>
      </c>
      <c r="C4008" t="s">
        <v>4089</v>
      </c>
      <c r="D4008">
        <v>2</v>
      </c>
      <c r="E4008">
        <v>0</v>
      </c>
      <c r="F4008">
        <f t="shared" si="62"/>
        <v>2</v>
      </c>
      <c r="I4008">
        <v>20140101</v>
      </c>
      <c r="J4008" t="s">
        <v>4107</v>
      </c>
    </row>
    <row r="4009" spans="1:23" x14ac:dyDescent="0.3">
      <c r="A4009" s="160">
        <v>35038</v>
      </c>
      <c r="B4009" t="s">
        <v>19219</v>
      </c>
      <c r="C4009" t="s">
        <v>19202</v>
      </c>
      <c r="D4009">
        <v>0.2</v>
      </c>
      <c r="E4009">
        <v>0</v>
      </c>
      <c r="F4009">
        <f t="shared" si="62"/>
        <v>0.2</v>
      </c>
      <c r="I4009">
        <v>20240101</v>
      </c>
      <c r="J4009" t="s">
        <v>19203</v>
      </c>
    </row>
    <row r="4010" spans="1:23" x14ac:dyDescent="0.3">
      <c r="A4010" s="160">
        <v>35039</v>
      </c>
      <c r="B4010" t="s">
        <v>19220</v>
      </c>
      <c r="C4010" t="s">
        <v>4089</v>
      </c>
      <c r="D4010">
        <v>2</v>
      </c>
      <c r="E4010">
        <v>0</v>
      </c>
      <c r="F4010">
        <f t="shared" si="62"/>
        <v>2</v>
      </c>
      <c r="I4010">
        <v>20140101</v>
      </c>
      <c r="J4010" t="s">
        <v>4108</v>
      </c>
      <c r="K4010" t="s">
        <v>4109</v>
      </c>
      <c r="L4010" t="s">
        <v>4110</v>
      </c>
      <c r="M4010" t="s">
        <v>4090</v>
      </c>
    </row>
    <row r="4011" spans="1:23" x14ac:dyDescent="0.3">
      <c r="A4011" s="160">
        <v>35042</v>
      </c>
      <c r="B4011" t="s">
        <v>19221</v>
      </c>
      <c r="C4011" t="s">
        <v>19202</v>
      </c>
      <c r="D4011">
        <v>0.2</v>
      </c>
      <c r="E4011">
        <v>0</v>
      </c>
      <c r="F4011">
        <f t="shared" si="62"/>
        <v>0.2</v>
      </c>
      <c r="I4011">
        <v>20240101</v>
      </c>
      <c r="J4011" t="s">
        <v>19203</v>
      </c>
    </row>
    <row r="4012" spans="1:23" x14ac:dyDescent="0.3">
      <c r="A4012" s="160">
        <v>35047</v>
      </c>
      <c r="B4012" t="s">
        <v>19222</v>
      </c>
      <c r="C4012" t="s">
        <v>4089</v>
      </c>
      <c r="D4012">
        <v>2</v>
      </c>
      <c r="E4012">
        <v>0</v>
      </c>
      <c r="F4012">
        <f t="shared" si="62"/>
        <v>2</v>
      </c>
      <c r="I4012">
        <v>20140101</v>
      </c>
      <c r="J4012" t="s">
        <v>4111</v>
      </c>
      <c r="K4012" t="s">
        <v>4112</v>
      </c>
      <c r="L4012" t="s">
        <v>4113</v>
      </c>
      <c r="M4012" t="s">
        <v>4114</v>
      </c>
      <c r="N4012" t="s">
        <v>4115</v>
      </c>
      <c r="O4012" t="s">
        <v>4116</v>
      </c>
      <c r="P4012" t="s">
        <v>4117</v>
      </c>
      <c r="Q4012" t="s">
        <v>4118</v>
      </c>
    </row>
    <row r="4013" spans="1:23" x14ac:dyDescent="0.3">
      <c r="A4013" s="160">
        <v>35049</v>
      </c>
      <c r="B4013" t="s">
        <v>19223</v>
      </c>
      <c r="C4013" t="s">
        <v>4119</v>
      </c>
      <c r="D4013">
        <v>0.75</v>
      </c>
      <c r="E4013">
        <v>0</v>
      </c>
      <c r="F4013">
        <f t="shared" si="62"/>
        <v>0.75</v>
      </c>
      <c r="I4013">
        <v>20220701</v>
      </c>
      <c r="J4013" t="s">
        <v>4120</v>
      </c>
    </row>
    <row r="4014" spans="1:23" x14ac:dyDescent="0.3">
      <c r="A4014" s="160">
        <v>35051</v>
      </c>
      <c r="B4014" t="s">
        <v>19224</v>
      </c>
      <c r="C4014" t="s">
        <v>4089</v>
      </c>
      <c r="D4014">
        <v>2</v>
      </c>
      <c r="E4014">
        <v>0</v>
      </c>
      <c r="F4014">
        <f t="shared" si="62"/>
        <v>2</v>
      </c>
      <c r="I4014">
        <v>20140101</v>
      </c>
      <c r="J4014" t="s">
        <v>4121</v>
      </c>
      <c r="K4014" t="s">
        <v>4122</v>
      </c>
      <c r="L4014" t="s">
        <v>4123</v>
      </c>
      <c r="M4014" t="s">
        <v>4124</v>
      </c>
      <c r="N4014" t="s">
        <v>4125</v>
      </c>
      <c r="O4014" t="s">
        <v>4126</v>
      </c>
      <c r="P4014" t="s">
        <v>4127</v>
      </c>
      <c r="Q4014" t="s">
        <v>4128</v>
      </c>
      <c r="R4014" t="s">
        <v>4129</v>
      </c>
      <c r="S4014" t="s">
        <v>4130</v>
      </c>
      <c r="T4014" t="s">
        <v>4131</v>
      </c>
      <c r="U4014" t="s">
        <v>4132</v>
      </c>
      <c r="V4014" t="s">
        <v>4133</v>
      </c>
      <c r="W4014" t="s">
        <v>4134</v>
      </c>
    </row>
    <row r="4015" spans="1:23" x14ac:dyDescent="0.3">
      <c r="A4015" s="160">
        <v>35052</v>
      </c>
      <c r="B4015" t="s">
        <v>19225</v>
      </c>
      <c r="C4015" t="s">
        <v>19202</v>
      </c>
      <c r="D4015">
        <v>0.2</v>
      </c>
      <c r="E4015">
        <v>0</v>
      </c>
      <c r="F4015">
        <f t="shared" si="62"/>
        <v>0.2</v>
      </c>
      <c r="I4015">
        <v>20240101</v>
      </c>
      <c r="J4015" t="s">
        <v>19210</v>
      </c>
    </row>
    <row r="4016" spans="1:23" x14ac:dyDescent="0.3">
      <c r="A4016" s="160">
        <v>35055</v>
      </c>
      <c r="B4016" t="s">
        <v>19226</v>
      </c>
      <c r="C4016" t="s">
        <v>4089</v>
      </c>
      <c r="D4016">
        <v>2</v>
      </c>
      <c r="E4016">
        <v>0</v>
      </c>
      <c r="F4016">
        <f t="shared" si="62"/>
        <v>2</v>
      </c>
      <c r="I4016">
        <v>20140101</v>
      </c>
      <c r="J4016" t="s">
        <v>4135</v>
      </c>
      <c r="K4016" t="s">
        <v>4136</v>
      </c>
      <c r="L4016" t="s">
        <v>4137</v>
      </c>
      <c r="M4016" t="s">
        <v>4138</v>
      </c>
      <c r="N4016" t="s">
        <v>4139</v>
      </c>
      <c r="O4016" t="s">
        <v>4140</v>
      </c>
      <c r="P4016" t="s">
        <v>4141</v>
      </c>
      <c r="Q4016" t="s">
        <v>4142</v>
      </c>
    </row>
    <row r="4017" spans="1:14" x14ac:dyDescent="0.3">
      <c r="A4017" s="160">
        <v>35058</v>
      </c>
      <c r="B4017" t="s">
        <v>19227</v>
      </c>
      <c r="C4017" t="s">
        <v>4089</v>
      </c>
      <c r="D4017">
        <v>2</v>
      </c>
      <c r="E4017">
        <v>0</v>
      </c>
      <c r="F4017">
        <f t="shared" si="62"/>
        <v>2</v>
      </c>
      <c r="I4017">
        <v>20140101</v>
      </c>
      <c r="J4017" t="s">
        <v>4143</v>
      </c>
    </row>
    <row r="4018" spans="1:14" x14ac:dyDescent="0.3">
      <c r="A4018" s="160">
        <v>35059</v>
      </c>
      <c r="B4018" t="s">
        <v>19228</v>
      </c>
      <c r="C4018" t="s">
        <v>4089</v>
      </c>
      <c r="D4018">
        <v>2</v>
      </c>
      <c r="E4018">
        <v>0</v>
      </c>
      <c r="F4018">
        <f t="shared" si="62"/>
        <v>2</v>
      </c>
      <c r="I4018">
        <v>20140101</v>
      </c>
      <c r="J4018" t="s">
        <v>4144</v>
      </c>
      <c r="K4018" t="s">
        <v>4098</v>
      </c>
      <c r="L4018" t="s">
        <v>4145</v>
      </c>
      <c r="M4018" t="s">
        <v>4102</v>
      </c>
    </row>
    <row r="4019" spans="1:14" x14ac:dyDescent="0.3">
      <c r="A4019" s="160">
        <v>35061</v>
      </c>
      <c r="B4019" t="s">
        <v>19229</v>
      </c>
      <c r="C4019" t="s">
        <v>19202</v>
      </c>
      <c r="D4019">
        <v>0.2</v>
      </c>
      <c r="E4019">
        <v>0</v>
      </c>
      <c r="F4019">
        <f t="shared" si="62"/>
        <v>0.2</v>
      </c>
      <c r="I4019">
        <v>20240101</v>
      </c>
      <c r="J4019" t="s">
        <v>19210</v>
      </c>
    </row>
    <row r="4020" spans="1:14" x14ac:dyDescent="0.3">
      <c r="A4020" s="160">
        <v>35062</v>
      </c>
      <c r="B4020" t="s">
        <v>19230</v>
      </c>
      <c r="C4020" t="s">
        <v>4092</v>
      </c>
      <c r="D4020">
        <v>0.55000000000000004</v>
      </c>
      <c r="E4020">
        <v>0</v>
      </c>
      <c r="F4020">
        <f t="shared" si="62"/>
        <v>0.55000000000000004</v>
      </c>
      <c r="I4020">
        <v>20210101</v>
      </c>
      <c r="J4020" t="s">
        <v>4094</v>
      </c>
      <c r="K4020" t="s">
        <v>4146</v>
      </c>
      <c r="L4020" t="s">
        <v>4095</v>
      </c>
      <c r="M4020" t="s">
        <v>4096</v>
      </c>
    </row>
    <row r="4021" spans="1:14" x14ac:dyDescent="0.3">
      <c r="A4021" s="160">
        <v>35063</v>
      </c>
      <c r="B4021" t="s">
        <v>19231</v>
      </c>
      <c r="C4021" t="s">
        <v>4092</v>
      </c>
      <c r="D4021">
        <v>0.55000000000000004</v>
      </c>
      <c r="E4021">
        <v>0</v>
      </c>
      <c r="F4021">
        <f t="shared" si="62"/>
        <v>0.55000000000000004</v>
      </c>
      <c r="I4021">
        <v>20210101</v>
      </c>
      <c r="J4021" t="s">
        <v>4147</v>
      </c>
    </row>
    <row r="4022" spans="1:14" x14ac:dyDescent="0.3">
      <c r="A4022" s="160">
        <v>35065</v>
      </c>
      <c r="B4022" t="s">
        <v>19232</v>
      </c>
      <c r="C4022" t="s">
        <v>4089</v>
      </c>
      <c r="D4022">
        <v>2</v>
      </c>
      <c r="E4022">
        <v>0</v>
      </c>
      <c r="F4022">
        <f t="shared" si="62"/>
        <v>2</v>
      </c>
      <c r="I4022">
        <v>20140101</v>
      </c>
      <c r="J4022" t="s">
        <v>4148</v>
      </c>
    </row>
    <row r="4023" spans="1:14" x14ac:dyDescent="0.3">
      <c r="A4023" s="160">
        <v>35066</v>
      </c>
      <c r="B4023" t="s">
        <v>19233</v>
      </c>
      <c r="C4023" t="s">
        <v>4089</v>
      </c>
      <c r="D4023">
        <v>2</v>
      </c>
      <c r="E4023">
        <v>0</v>
      </c>
      <c r="F4023">
        <f t="shared" si="62"/>
        <v>2</v>
      </c>
      <c r="I4023">
        <v>20140101</v>
      </c>
      <c r="J4023" t="s">
        <v>4112</v>
      </c>
      <c r="K4023" t="s">
        <v>4149</v>
      </c>
      <c r="L4023" t="s">
        <v>4116</v>
      </c>
      <c r="M4023" t="s">
        <v>4150</v>
      </c>
      <c r="N4023" t="s">
        <v>4151</v>
      </c>
    </row>
    <row r="4024" spans="1:14" x14ac:dyDescent="0.3">
      <c r="A4024" s="160">
        <v>35067</v>
      </c>
      <c r="B4024" t="s">
        <v>19234</v>
      </c>
      <c r="C4024" t="s">
        <v>4105</v>
      </c>
      <c r="D4024">
        <v>0.55000000000000004</v>
      </c>
      <c r="E4024">
        <v>0</v>
      </c>
      <c r="F4024">
        <f t="shared" si="62"/>
        <v>0.55000000000000004</v>
      </c>
      <c r="I4024">
        <v>20250101</v>
      </c>
      <c r="J4024" t="s">
        <v>4152</v>
      </c>
      <c r="K4024" t="s">
        <v>4153</v>
      </c>
    </row>
    <row r="4025" spans="1:14" x14ac:dyDescent="0.3">
      <c r="A4025" s="160">
        <v>35068</v>
      </c>
      <c r="B4025" t="s">
        <v>16024</v>
      </c>
      <c r="C4025" t="s">
        <v>19202</v>
      </c>
      <c r="D4025">
        <v>0.2</v>
      </c>
      <c r="E4025">
        <v>0</v>
      </c>
      <c r="F4025">
        <f t="shared" si="62"/>
        <v>0.2</v>
      </c>
      <c r="I4025">
        <v>20240101</v>
      </c>
      <c r="J4025" t="s">
        <v>19235</v>
      </c>
      <c r="K4025" t="s">
        <v>19236</v>
      </c>
      <c r="L4025" t="s">
        <v>4090</v>
      </c>
    </row>
    <row r="4026" spans="1:14" x14ac:dyDescent="0.3">
      <c r="A4026">
        <v>35069</v>
      </c>
      <c r="C4026" t="s">
        <v>27540</v>
      </c>
      <c r="D4026">
        <v>0.2</v>
      </c>
      <c r="E4026">
        <v>0</v>
      </c>
      <c r="F4026">
        <f t="shared" si="62"/>
        <v>0.2</v>
      </c>
      <c r="I4026">
        <v>20250101</v>
      </c>
      <c r="J4026" t="s">
        <v>4176</v>
      </c>
      <c r="K4026" t="s">
        <v>4090</v>
      </c>
    </row>
    <row r="4027" spans="1:14" x14ac:dyDescent="0.3">
      <c r="A4027" s="160">
        <v>35070</v>
      </c>
      <c r="B4027" t="s">
        <v>19237</v>
      </c>
      <c r="C4027" t="s">
        <v>4119</v>
      </c>
      <c r="D4027">
        <v>0.75</v>
      </c>
      <c r="E4027">
        <v>0</v>
      </c>
      <c r="F4027">
        <f t="shared" si="62"/>
        <v>0.75</v>
      </c>
      <c r="I4027">
        <v>20220701</v>
      </c>
      <c r="J4027" t="s">
        <v>4154</v>
      </c>
    </row>
    <row r="4028" spans="1:14" x14ac:dyDescent="0.3">
      <c r="A4028" s="160">
        <v>35072</v>
      </c>
      <c r="B4028" t="s">
        <v>19238</v>
      </c>
      <c r="C4028" t="s">
        <v>19202</v>
      </c>
      <c r="D4028">
        <v>0.2</v>
      </c>
      <c r="E4028">
        <v>0</v>
      </c>
      <c r="F4028">
        <f t="shared" si="62"/>
        <v>0.2</v>
      </c>
      <c r="I4028">
        <v>20240101</v>
      </c>
      <c r="J4028" t="s">
        <v>4156</v>
      </c>
    </row>
    <row r="4029" spans="1:14" x14ac:dyDescent="0.3">
      <c r="A4029" s="160">
        <v>35076</v>
      </c>
      <c r="B4029" t="s">
        <v>19239</v>
      </c>
      <c r="C4029" t="s">
        <v>4089</v>
      </c>
      <c r="D4029">
        <v>2</v>
      </c>
      <c r="E4029">
        <v>0</v>
      </c>
      <c r="F4029">
        <f t="shared" si="62"/>
        <v>2</v>
      </c>
      <c r="I4029">
        <v>20140101</v>
      </c>
      <c r="J4029" t="s">
        <v>4155</v>
      </c>
    </row>
    <row r="4030" spans="1:14" x14ac:dyDescent="0.3">
      <c r="A4030" s="160">
        <v>35079</v>
      </c>
      <c r="B4030" t="s">
        <v>19240</v>
      </c>
      <c r="C4030" t="s">
        <v>4089</v>
      </c>
      <c r="D4030">
        <v>2</v>
      </c>
      <c r="E4030">
        <v>0</v>
      </c>
      <c r="F4030">
        <f t="shared" si="62"/>
        <v>2</v>
      </c>
      <c r="I4030">
        <v>20140101</v>
      </c>
      <c r="J4030" t="s">
        <v>4152</v>
      </c>
    </row>
    <row r="4031" spans="1:14" x14ac:dyDescent="0.3">
      <c r="A4031" s="160">
        <v>35080</v>
      </c>
      <c r="B4031" t="s">
        <v>19241</v>
      </c>
      <c r="C4031" t="s">
        <v>4089</v>
      </c>
      <c r="D4031">
        <v>2</v>
      </c>
      <c r="E4031">
        <v>0</v>
      </c>
      <c r="F4031">
        <f t="shared" si="62"/>
        <v>2</v>
      </c>
      <c r="I4031">
        <v>20140101</v>
      </c>
      <c r="J4031" t="s">
        <v>4155</v>
      </c>
    </row>
    <row r="4032" spans="1:14" x14ac:dyDescent="0.3">
      <c r="A4032" s="160">
        <v>35081</v>
      </c>
      <c r="B4032" t="s">
        <v>19242</v>
      </c>
      <c r="C4032" t="s">
        <v>4089</v>
      </c>
      <c r="D4032">
        <v>2</v>
      </c>
      <c r="E4032">
        <v>0</v>
      </c>
      <c r="F4032">
        <f t="shared" si="62"/>
        <v>2</v>
      </c>
      <c r="I4032">
        <v>20140101</v>
      </c>
      <c r="J4032" t="s">
        <v>4148</v>
      </c>
    </row>
    <row r="4033" spans="1:16" x14ac:dyDescent="0.3">
      <c r="A4033" s="160">
        <v>35086</v>
      </c>
      <c r="B4033" t="s">
        <v>19243</v>
      </c>
      <c r="C4033" t="s">
        <v>4092</v>
      </c>
      <c r="D4033">
        <v>0.55000000000000004</v>
      </c>
      <c r="E4033">
        <v>0</v>
      </c>
      <c r="F4033">
        <f t="shared" si="62"/>
        <v>0.55000000000000004</v>
      </c>
      <c r="I4033">
        <v>20210101</v>
      </c>
      <c r="J4033" t="s">
        <v>4156</v>
      </c>
      <c r="K4033" t="s">
        <v>4146</v>
      </c>
    </row>
    <row r="4034" spans="1:16" x14ac:dyDescent="0.3">
      <c r="A4034" s="160">
        <v>35087</v>
      </c>
      <c r="B4034" t="s">
        <v>19244</v>
      </c>
      <c r="C4034" t="s">
        <v>19202</v>
      </c>
      <c r="D4034">
        <v>0.2</v>
      </c>
      <c r="E4034">
        <v>0</v>
      </c>
      <c r="F4034">
        <f t="shared" si="62"/>
        <v>0.2</v>
      </c>
      <c r="I4034">
        <v>20240101</v>
      </c>
      <c r="J4034" t="s">
        <v>19210</v>
      </c>
    </row>
    <row r="4035" spans="1:16" x14ac:dyDescent="0.3">
      <c r="A4035" s="160">
        <v>35088</v>
      </c>
      <c r="B4035" t="s">
        <v>19245</v>
      </c>
      <c r="C4035" t="s">
        <v>4089</v>
      </c>
      <c r="D4035">
        <v>2</v>
      </c>
      <c r="E4035">
        <v>0</v>
      </c>
      <c r="F4035">
        <f t="shared" si="62"/>
        <v>2</v>
      </c>
      <c r="I4035">
        <v>20140101</v>
      </c>
      <c r="J4035" t="s">
        <v>4157</v>
      </c>
    </row>
    <row r="4036" spans="1:16" x14ac:dyDescent="0.3">
      <c r="A4036" s="160">
        <v>35096</v>
      </c>
      <c r="B4036" t="s">
        <v>19246</v>
      </c>
      <c r="C4036" t="s">
        <v>19202</v>
      </c>
      <c r="D4036">
        <v>0.2</v>
      </c>
      <c r="E4036">
        <v>0</v>
      </c>
      <c r="F4036">
        <f t="shared" si="62"/>
        <v>0.2</v>
      </c>
      <c r="I4036">
        <v>20240101</v>
      </c>
      <c r="J4036" t="s">
        <v>19247</v>
      </c>
      <c r="K4036" t="s">
        <v>19236</v>
      </c>
    </row>
    <row r="4037" spans="1:16" x14ac:dyDescent="0.3">
      <c r="A4037" s="160">
        <v>35097</v>
      </c>
      <c r="B4037" t="s">
        <v>19248</v>
      </c>
      <c r="C4037" t="s">
        <v>19202</v>
      </c>
      <c r="D4037">
        <v>0.2</v>
      </c>
      <c r="E4037">
        <v>0</v>
      </c>
      <c r="F4037">
        <f t="shared" si="62"/>
        <v>0.2</v>
      </c>
      <c r="I4037">
        <v>20240101</v>
      </c>
      <c r="J4037" t="s">
        <v>19208</v>
      </c>
    </row>
    <row r="4038" spans="1:16" x14ac:dyDescent="0.3">
      <c r="A4038">
        <v>35099</v>
      </c>
      <c r="C4038" t="s">
        <v>27540</v>
      </c>
      <c r="D4038">
        <v>0.2</v>
      </c>
      <c r="E4038">
        <v>0</v>
      </c>
      <c r="F4038">
        <f t="shared" si="62"/>
        <v>0.2</v>
      </c>
      <c r="I4038">
        <v>20250101</v>
      </c>
      <c r="J4038" t="s">
        <v>4176</v>
      </c>
      <c r="K4038" t="s">
        <v>4090</v>
      </c>
    </row>
    <row r="4039" spans="1:16" x14ac:dyDescent="0.3">
      <c r="A4039" s="160">
        <v>35100</v>
      </c>
      <c r="B4039" t="s">
        <v>19249</v>
      </c>
      <c r="C4039" t="s">
        <v>4092</v>
      </c>
      <c r="D4039">
        <v>0.55000000000000004</v>
      </c>
      <c r="E4039">
        <v>0</v>
      </c>
      <c r="F4039">
        <f t="shared" ref="F4039:F4102" si="63">D4039+E4039</f>
        <v>0.55000000000000004</v>
      </c>
      <c r="I4039">
        <v>20210101</v>
      </c>
      <c r="J4039" t="s">
        <v>4156</v>
      </c>
    </row>
    <row r="4040" spans="1:16" x14ac:dyDescent="0.3">
      <c r="A4040" s="160">
        <v>35101</v>
      </c>
      <c r="B4040" t="s">
        <v>19250</v>
      </c>
      <c r="C4040" t="s">
        <v>4105</v>
      </c>
      <c r="D4040">
        <v>0.55000000000000004</v>
      </c>
      <c r="E4040">
        <v>0</v>
      </c>
      <c r="F4040">
        <f t="shared" si="63"/>
        <v>0.55000000000000004</v>
      </c>
      <c r="I4040">
        <v>20250101</v>
      </c>
      <c r="J4040" t="s">
        <v>4158</v>
      </c>
    </row>
    <row r="4041" spans="1:16" x14ac:dyDescent="0.3">
      <c r="A4041" s="160">
        <v>35102</v>
      </c>
      <c r="B4041" t="s">
        <v>19251</v>
      </c>
      <c r="C4041" t="s">
        <v>19202</v>
      </c>
      <c r="D4041">
        <v>0.2</v>
      </c>
      <c r="E4041">
        <v>0</v>
      </c>
      <c r="F4041">
        <f t="shared" si="63"/>
        <v>0.2</v>
      </c>
      <c r="I4041">
        <v>20240101</v>
      </c>
      <c r="J4041" t="s">
        <v>19206</v>
      </c>
    </row>
    <row r="4042" spans="1:16" x14ac:dyDescent="0.3">
      <c r="A4042" s="160">
        <v>35105</v>
      </c>
      <c r="B4042" t="s">
        <v>19252</v>
      </c>
      <c r="C4042" t="s">
        <v>19202</v>
      </c>
      <c r="D4042">
        <v>0.2</v>
      </c>
      <c r="E4042">
        <v>0</v>
      </c>
      <c r="F4042">
        <f t="shared" si="63"/>
        <v>0.2</v>
      </c>
      <c r="I4042">
        <v>20240101</v>
      </c>
      <c r="J4042" t="s">
        <v>19210</v>
      </c>
    </row>
    <row r="4043" spans="1:16" x14ac:dyDescent="0.3">
      <c r="A4043" s="160">
        <v>35107</v>
      </c>
      <c r="B4043" t="s">
        <v>19253</v>
      </c>
      <c r="C4043" t="s">
        <v>4105</v>
      </c>
      <c r="D4043">
        <v>0.55000000000000004</v>
      </c>
      <c r="E4043">
        <v>0</v>
      </c>
      <c r="F4043">
        <f t="shared" si="63"/>
        <v>0.55000000000000004</v>
      </c>
      <c r="I4043">
        <v>20250101</v>
      </c>
      <c r="J4043" t="s">
        <v>4106</v>
      </c>
    </row>
    <row r="4044" spans="1:16" x14ac:dyDescent="0.3">
      <c r="A4044" s="160">
        <v>35109</v>
      </c>
      <c r="B4044" t="s">
        <v>19254</v>
      </c>
      <c r="C4044" t="s">
        <v>19202</v>
      </c>
      <c r="D4044">
        <v>0.2</v>
      </c>
      <c r="E4044">
        <v>0</v>
      </c>
      <c r="F4044">
        <f t="shared" si="63"/>
        <v>0.2</v>
      </c>
      <c r="I4044">
        <v>20240101</v>
      </c>
      <c r="J4044" t="s">
        <v>19203</v>
      </c>
    </row>
    <row r="4045" spans="1:16" x14ac:dyDescent="0.3">
      <c r="A4045">
        <v>35110</v>
      </c>
      <c r="C4045" t="s">
        <v>27539</v>
      </c>
      <c r="D4045">
        <v>0.55000000000000004</v>
      </c>
      <c r="E4045">
        <v>0</v>
      </c>
      <c r="F4045">
        <f t="shared" si="63"/>
        <v>0.55000000000000004</v>
      </c>
      <c r="I4045">
        <v>20250101</v>
      </c>
      <c r="J4045" t="s">
        <v>4168</v>
      </c>
      <c r="K4045" t="s">
        <v>27541</v>
      </c>
    </row>
    <row r="4046" spans="1:16" x14ac:dyDescent="0.3">
      <c r="A4046" s="160">
        <v>35111</v>
      </c>
      <c r="B4046" t="s">
        <v>19255</v>
      </c>
      <c r="C4046" t="s">
        <v>4092</v>
      </c>
      <c r="D4046">
        <v>0.55000000000000004</v>
      </c>
      <c r="E4046">
        <v>0</v>
      </c>
      <c r="F4046">
        <f t="shared" si="63"/>
        <v>0.55000000000000004</v>
      </c>
      <c r="I4046">
        <v>20210101</v>
      </c>
      <c r="J4046" t="s">
        <v>4093</v>
      </c>
    </row>
    <row r="4047" spans="1:16" x14ac:dyDescent="0.3">
      <c r="A4047" s="160">
        <v>35112</v>
      </c>
      <c r="B4047" t="s">
        <v>19256</v>
      </c>
      <c r="C4047" t="s">
        <v>4092</v>
      </c>
      <c r="D4047">
        <v>0.55000000000000004</v>
      </c>
      <c r="E4047">
        <v>0</v>
      </c>
      <c r="F4047">
        <f t="shared" si="63"/>
        <v>0.55000000000000004</v>
      </c>
      <c r="I4047">
        <v>20210101</v>
      </c>
      <c r="J4047" t="s">
        <v>4094</v>
      </c>
    </row>
    <row r="4048" spans="1:16" x14ac:dyDescent="0.3">
      <c r="A4048" s="160">
        <v>35115</v>
      </c>
      <c r="B4048" t="s">
        <v>19257</v>
      </c>
      <c r="C4048" t="s">
        <v>4092</v>
      </c>
      <c r="D4048">
        <v>0.55000000000000004</v>
      </c>
      <c r="E4048">
        <v>0</v>
      </c>
      <c r="F4048">
        <f t="shared" si="63"/>
        <v>0.55000000000000004</v>
      </c>
      <c r="I4048">
        <v>20120101</v>
      </c>
      <c r="J4048" t="s">
        <v>4159</v>
      </c>
      <c r="K4048" t="s">
        <v>4146</v>
      </c>
      <c r="L4048" t="s">
        <v>4095</v>
      </c>
      <c r="M4048" t="s">
        <v>4096</v>
      </c>
      <c r="N4048" t="s">
        <v>4160</v>
      </c>
      <c r="O4048" t="s">
        <v>4161</v>
      </c>
      <c r="P4048" t="s">
        <v>4162</v>
      </c>
    </row>
    <row r="4049" spans="1:13" x14ac:dyDescent="0.3">
      <c r="A4049" s="160">
        <v>35116</v>
      </c>
      <c r="B4049" t="s">
        <v>19258</v>
      </c>
      <c r="C4049" t="s">
        <v>4119</v>
      </c>
      <c r="D4049">
        <v>0.75</v>
      </c>
      <c r="E4049">
        <v>0</v>
      </c>
      <c r="F4049">
        <f t="shared" si="63"/>
        <v>0.75</v>
      </c>
      <c r="I4049">
        <v>20220701</v>
      </c>
      <c r="J4049" t="s">
        <v>4163</v>
      </c>
    </row>
    <row r="4050" spans="1:13" x14ac:dyDescent="0.3">
      <c r="A4050">
        <v>35118</v>
      </c>
      <c r="C4050" t="s">
        <v>27539</v>
      </c>
      <c r="D4050">
        <v>0.55000000000000004</v>
      </c>
      <c r="E4050">
        <v>0</v>
      </c>
      <c r="F4050">
        <f t="shared" si="63"/>
        <v>0.55000000000000004</v>
      </c>
      <c r="I4050">
        <v>20250101</v>
      </c>
      <c r="J4050" t="s">
        <v>27542</v>
      </c>
    </row>
    <row r="4051" spans="1:13" x14ac:dyDescent="0.3">
      <c r="A4051" s="160">
        <v>35119</v>
      </c>
      <c r="B4051" t="s">
        <v>19259</v>
      </c>
      <c r="C4051" t="s">
        <v>19202</v>
      </c>
      <c r="D4051">
        <v>0.2</v>
      </c>
      <c r="E4051">
        <v>0</v>
      </c>
      <c r="F4051">
        <f t="shared" si="63"/>
        <v>0.2</v>
      </c>
      <c r="I4051">
        <v>20240101</v>
      </c>
      <c r="J4051" t="s">
        <v>19203</v>
      </c>
    </row>
    <row r="4052" spans="1:13" x14ac:dyDescent="0.3">
      <c r="A4052" s="160">
        <v>35120</v>
      </c>
      <c r="B4052" t="s">
        <v>19260</v>
      </c>
      <c r="C4052" t="s">
        <v>4089</v>
      </c>
      <c r="D4052">
        <v>2</v>
      </c>
      <c r="E4052">
        <v>0</v>
      </c>
      <c r="F4052">
        <f t="shared" si="63"/>
        <v>2</v>
      </c>
      <c r="I4052">
        <v>20140101</v>
      </c>
      <c r="J4052" t="s">
        <v>4164</v>
      </c>
    </row>
    <row r="4053" spans="1:13" x14ac:dyDescent="0.3">
      <c r="A4053" s="160">
        <v>35121</v>
      </c>
      <c r="B4053" t="s">
        <v>19261</v>
      </c>
      <c r="C4053" t="s">
        <v>4105</v>
      </c>
      <c r="D4053">
        <v>0.55000000000000004</v>
      </c>
      <c r="E4053">
        <v>0</v>
      </c>
      <c r="F4053">
        <f t="shared" si="63"/>
        <v>0.55000000000000004</v>
      </c>
      <c r="I4053">
        <v>20250101</v>
      </c>
      <c r="J4053" t="s">
        <v>4147</v>
      </c>
    </row>
    <row r="4054" spans="1:13" x14ac:dyDescent="0.3">
      <c r="A4054" s="160">
        <v>35122</v>
      </c>
      <c r="B4054" t="s">
        <v>19262</v>
      </c>
      <c r="C4054" t="s">
        <v>4119</v>
      </c>
      <c r="D4054">
        <v>0.75</v>
      </c>
      <c r="E4054">
        <v>0</v>
      </c>
      <c r="F4054">
        <f t="shared" si="63"/>
        <v>0.75</v>
      </c>
      <c r="I4054">
        <v>20220701</v>
      </c>
      <c r="J4054" t="s">
        <v>4165</v>
      </c>
    </row>
    <row r="4055" spans="1:13" x14ac:dyDescent="0.3">
      <c r="A4055" s="160">
        <v>35125</v>
      </c>
      <c r="B4055" t="s">
        <v>19263</v>
      </c>
      <c r="C4055" t="s">
        <v>19202</v>
      </c>
      <c r="D4055">
        <v>0.2</v>
      </c>
      <c r="E4055">
        <v>0</v>
      </c>
      <c r="F4055">
        <f t="shared" si="63"/>
        <v>0.2</v>
      </c>
      <c r="I4055">
        <v>20240101</v>
      </c>
      <c r="J4055" t="s">
        <v>19206</v>
      </c>
    </row>
    <row r="4056" spans="1:13" x14ac:dyDescent="0.3">
      <c r="A4056">
        <v>35128</v>
      </c>
      <c r="C4056" t="s">
        <v>27539</v>
      </c>
      <c r="D4056">
        <v>0.55000000000000004</v>
      </c>
      <c r="E4056">
        <v>0</v>
      </c>
      <c r="F4056">
        <f t="shared" si="63"/>
        <v>0.55000000000000004</v>
      </c>
      <c r="I4056">
        <v>20250101</v>
      </c>
      <c r="J4056" t="s">
        <v>27541</v>
      </c>
    </row>
    <row r="4057" spans="1:13" x14ac:dyDescent="0.3">
      <c r="A4057" s="160">
        <v>35131</v>
      </c>
      <c r="B4057" t="s">
        <v>19264</v>
      </c>
      <c r="C4057" t="s">
        <v>4089</v>
      </c>
      <c r="D4057">
        <v>2</v>
      </c>
      <c r="E4057">
        <v>0</v>
      </c>
      <c r="F4057">
        <f t="shared" si="63"/>
        <v>2</v>
      </c>
      <c r="I4057">
        <v>20140101</v>
      </c>
      <c r="J4057" t="s">
        <v>4148</v>
      </c>
    </row>
    <row r="4058" spans="1:13" x14ac:dyDescent="0.3">
      <c r="A4058" s="160">
        <v>35132</v>
      </c>
      <c r="B4058" t="s">
        <v>19265</v>
      </c>
      <c r="C4058" t="s">
        <v>4119</v>
      </c>
      <c r="D4058">
        <v>0.75</v>
      </c>
      <c r="E4058">
        <v>0</v>
      </c>
      <c r="F4058">
        <f t="shared" si="63"/>
        <v>0.75</v>
      </c>
      <c r="I4058">
        <v>20220701</v>
      </c>
      <c r="J4058" t="s">
        <v>4166</v>
      </c>
    </row>
    <row r="4059" spans="1:13" x14ac:dyDescent="0.3">
      <c r="A4059" s="160">
        <v>35137</v>
      </c>
      <c r="B4059" t="s">
        <v>19266</v>
      </c>
      <c r="C4059" t="s">
        <v>4092</v>
      </c>
      <c r="D4059">
        <v>0.55000000000000004</v>
      </c>
      <c r="E4059">
        <v>0</v>
      </c>
      <c r="F4059">
        <f t="shared" si="63"/>
        <v>0.55000000000000004</v>
      </c>
      <c r="I4059">
        <v>20120101</v>
      </c>
      <c r="J4059" t="s">
        <v>4094</v>
      </c>
      <c r="K4059" t="s">
        <v>4146</v>
      </c>
      <c r="L4059" t="s">
        <v>4095</v>
      </c>
      <c r="M4059" t="s">
        <v>4162</v>
      </c>
    </row>
    <row r="4060" spans="1:13" x14ac:dyDescent="0.3">
      <c r="A4060" s="160">
        <v>35138</v>
      </c>
      <c r="B4060" t="s">
        <v>19267</v>
      </c>
      <c r="C4060" t="s">
        <v>4092</v>
      </c>
      <c r="D4060">
        <v>0.55000000000000004</v>
      </c>
      <c r="E4060">
        <v>0</v>
      </c>
      <c r="F4060">
        <f t="shared" si="63"/>
        <v>0.55000000000000004</v>
      </c>
      <c r="I4060">
        <v>20210101</v>
      </c>
      <c r="J4060" t="s">
        <v>4094</v>
      </c>
    </row>
    <row r="4061" spans="1:13" x14ac:dyDescent="0.3">
      <c r="A4061" s="160">
        <v>35139</v>
      </c>
      <c r="B4061" t="s">
        <v>19268</v>
      </c>
      <c r="C4061" t="s">
        <v>4089</v>
      </c>
      <c r="D4061">
        <v>2</v>
      </c>
      <c r="E4061">
        <v>0</v>
      </c>
      <c r="F4061">
        <f t="shared" si="63"/>
        <v>2</v>
      </c>
      <c r="I4061">
        <v>20140101</v>
      </c>
      <c r="J4061" t="s">
        <v>4117</v>
      </c>
      <c r="K4061" t="s">
        <v>4167</v>
      </c>
    </row>
    <row r="4062" spans="1:13" x14ac:dyDescent="0.3">
      <c r="A4062" s="160">
        <v>35141</v>
      </c>
      <c r="B4062" t="s">
        <v>19269</v>
      </c>
      <c r="C4062" t="s">
        <v>19202</v>
      </c>
      <c r="D4062">
        <v>0.2</v>
      </c>
      <c r="E4062">
        <v>0</v>
      </c>
      <c r="F4062">
        <f t="shared" si="63"/>
        <v>0.2</v>
      </c>
      <c r="I4062">
        <v>20240101</v>
      </c>
      <c r="J4062" t="s">
        <v>4158</v>
      </c>
    </row>
    <row r="4063" spans="1:13" x14ac:dyDescent="0.3">
      <c r="A4063" s="160">
        <v>35142</v>
      </c>
      <c r="B4063" t="s">
        <v>19270</v>
      </c>
      <c r="C4063" t="s">
        <v>4092</v>
      </c>
      <c r="D4063">
        <v>0.55000000000000004</v>
      </c>
      <c r="E4063">
        <v>0</v>
      </c>
      <c r="F4063">
        <f t="shared" si="63"/>
        <v>0.55000000000000004</v>
      </c>
      <c r="I4063">
        <v>20210101</v>
      </c>
      <c r="J4063" t="s">
        <v>4094</v>
      </c>
    </row>
    <row r="4064" spans="1:13" x14ac:dyDescent="0.3">
      <c r="A4064" s="160">
        <v>35144</v>
      </c>
      <c r="B4064" t="s">
        <v>19271</v>
      </c>
      <c r="C4064" t="s">
        <v>4089</v>
      </c>
      <c r="D4064">
        <v>2</v>
      </c>
      <c r="E4064">
        <v>0</v>
      </c>
      <c r="F4064">
        <f t="shared" si="63"/>
        <v>2</v>
      </c>
      <c r="I4064">
        <v>20140101</v>
      </c>
      <c r="J4064" t="s">
        <v>4164</v>
      </c>
    </row>
    <row r="4065" spans="1:16" x14ac:dyDescent="0.3">
      <c r="A4065">
        <v>35146</v>
      </c>
      <c r="C4065" t="s">
        <v>27539</v>
      </c>
      <c r="D4065">
        <v>0.55000000000000004</v>
      </c>
      <c r="E4065">
        <v>0</v>
      </c>
      <c r="F4065">
        <f t="shared" si="63"/>
        <v>0.55000000000000004</v>
      </c>
      <c r="I4065">
        <v>20250101</v>
      </c>
      <c r="J4065" t="s">
        <v>4143</v>
      </c>
    </row>
    <row r="4066" spans="1:16" x14ac:dyDescent="0.3">
      <c r="A4066" s="160">
        <v>35150</v>
      </c>
      <c r="B4066" t="s">
        <v>19272</v>
      </c>
      <c r="C4066" t="s">
        <v>4092</v>
      </c>
      <c r="D4066">
        <v>0.55000000000000004</v>
      </c>
      <c r="E4066">
        <v>0</v>
      </c>
      <c r="F4066">
        <f t="shared" si="63"/>
        <v>0.55000000000000004</v>
      </c>
      <c r="I4066">
        <v>20120101</v>
      </c>
      <c r="J4066" t="s">
        <v>4094</v>
      </c>
      <c r="K4066" t="s">
        <v>4095</v>
      </c>
      <c r="L4066" t="s">
        <v>4096</v>
      </c>
      <c r="M4066" t="s">
        <v>4161</v>
      </c>
    </row>
    <row r="4067" spans="1:16" x14ac:dyDescent="0.3">
      <c r="A4067" s="160">
        <v>35152</v>
      </c>
      <c r="B4067" t="s">
        <v>19273</v>
      </c>
      <c r="C4067" t="s">
        <v>4105</v>
      </c>
      <c r="D4067">
        <v>0.55000000000000004</v>
      </c>
      <c r="E4067">
        <v>0</v>
      </c>
      <c r="F4067">
        <f t="shared" si="63"/>
        <v>0.55000000000000004</v>
      </c>
      <c r="I4067">
        <v>20250101</v>
      </c>
      <c r="J4067" t="s">
        <v>4106</v>
      </c>
      <c r="K4067" t="s">
        <v>4153</v>
      </c>
      <c r="L4067" t="s">
        <v>4168</v>
      </c>
      <c r="M4067" t="s">
        <v>4169</v>
      </c>
    </row>
    <row r="4068" spans="1:16" x14ac:dyDescent="0.3">
      <c r="A4068" s="160">
        <v>35153</v>
      </c>
      <c r="B4068" t="s">
        <v>19274</v>
      </c>
      <c r="C4068" t="s">
        <v>4119</v>
      </c>
      <c r="D4068">
        <v>0.75</v>
      </c>
      <c r="E4068">
        <v>0</v>
      </c>
      <c r="F4068">
        <f t="shared" si="63"/>
        <v>0.75</v>
      </c>
      <c r="I4068">
        <v>20220701</v>
      </c>
      <c r="J4068" t="s">
        <v>4163</v>
      </c>
    </row>
    <row r="4069" spans="1:16" x14ac:dyDescent="0.3">
      <c r="A4069" s="160">
        <v>35154</v>
      </c>
      <c r="B4069" t="s">
        <v>19275</v>
      </c>
      <c r="C4069" t="s">
        <v>4105</v>
      </c>
      <c r="D4069">
        <v>0.55000000000000004</v>
      </c>
      <c r="E4069">
        <v>0</v>
      </c>
      <c r="F4069">
        <f t="shared" si="63"/>
        <v>0.55000000000000004</v>
      </c>
      <c r="I4069">
        <v>20250101</v>
      </c>
      <c r="J4069" t="s">
        <v>4158</v>
      </c>
    </row>
    <row r="4070" spans="1:16" x14ac:dyDescent="0.3">
      <c r="A4070" s="160">
        <v>35157</v>
      </c>
      <c r="B4070" t="s">
        <v>19276</v>
      </c>
      <c r="C4070" t="s">
        <v>4092</v>
      </c>
      <c r="D4070">
        <v>0.55000000000000004</v>
      </c>
      <c r="E4070">
        <v>0</v>
      </c>
      <c r="F4070">
        <f t="shared" si="63"/>
        <v>0.55000000000000004</v>
      </c>
      <c r="I4070">
        <v>20210101</v>
      </c>
      <c r="J4070" t="s">
        <v>4094</v>
      </c>
    </row>
    <row r="4071" spans="1:16" x14ac:dyDescent="0.3">
      <c r="A4071" s="160">
        <v>35161</v>
      </c>
      <c r="B4071" t="s">
        <v>19277</v>
      </c>
      <c r="C4071" t="s">
        <v>19202</v>
      </c>
      <c r="D4071">
        <v>0.2</v>
      </c>
      <c r="E4071">
        <v>0</v>
      </c>
      <c r="F4071">
        <f t="shared" si="63"/>
        <v>0.2</v>
      </c>
      <c r="I4071">
        <v>20240101</v>
      </c>
      <c r="J4071" t="s">
        <v>19208</v>
      </c>
    </row>
    <row r="4072" spans="1:16" x14ac:dyDescent="0.3">
      <c r="A4072" s="160">
        <v>35162</v>
      </c>
      <c r="B4072" t="s">
        <v>19278</v>
      </c>
      <c r="C4072" t="s">
        <v>4092</v>
      </c>
      <c r="D4072">
        <v>0.55000000000000004</v>
      </c>
      <c r="E4072">
        <v>0</v>
      </c>
      <c r="F4072">
        <f t="shared" si="63"/>
        <v>0.55000000000000004</v>
      </c>
      <c r="I4072">
        <v>20210101</v>
      </c>
      <c r="J4072" t="s">
        <v>4093</v>
      </c>
    </row>
    <row r="4073" spans="1:16" x14ac:dyDescent="0.3">
      <c r="A4073" s="160">
        <v>35163</v>
      </c>
      <c r="B4073" t="s">
        <v>19279</v>
      </c>
      <c r="C4073" t="s">
        <v>4092</v>
      </c>
      <c r="D4073">
        <v>0.55000000000000004</v>
      </c>
      <c r="E4073">
        <v>0</v>
      </c>
      <c r="F4073">
        <f t="shared" si="63"/>
        <v>0.55000000000000004</v>
      </c>
      <c r="I4073">
        <v>20210101</v>
      </c>
      <c r="J4073" t="s">
        <v>4094</v>
      </c>
    </row>
    <row r="4074" spans="1:16" x14ac:dyDescent="0.3">
      <c r="A4074" s="160">
        <v>35166</v>
      </c>
      <c r="B4074" t="s">
        <v>19280</v>
      </c>
      <c r="C4074" t="s">
        <v>19202</v>
      </c>
      <c r="D4074">
        <v>0.2</v>
      </c>
      <c r="E4074">
        <v>0</v>
      </c>
      <c r="F4074">
        <f t="shared" si="63"/>
        <v>0.2</v>
      </c>
      <c r="I4074">
        <v>20240101</v>
      </c>
      <c r="J4074" t="s">
        <v>19235</v>
      </c>
    </row>
    <row r="4075" spans="1:16" x14ac:dyDescent="0.3">
      <c r="A4075" s="160">
        <v>35170</v>
      </c>
      <c r="B4075" t="s">
        <v>19281</v>
      </c>
      <c r="C4075" t="s">
        <v>19202</v>
      </c>
      <c r="D4075">
        <v>0.2</v>
      </c>
      <c r="E4075">
        <v>0</v>
      </c>
      <c r="F4075">
        <f t="shared" si="63"/>
        <v>0.2</v>
      </c>
      <c r="I4075">
        <v>20240101</v>
      </c>
      <c r="J4075" t="s">
        <v>4158</v>
      </c>
    </row>
    <row r="4076" spans="1:16" x14ac:dyDescent="0.3">
      <c r="A4076">
        <v>35173</v>
      </c>
      <c r="C4076" t="s">
        <v>27539</v>
      </c>
      <c r="D4076">
        <v>0.55000000000000004</v>
      </c>
      <c r="E4076">
        <v>0</v>
      </c>
      <c r="F4076">
        <f t="shared" si="63"/>
        <v>0.55000000000000004</v>
      </c>
      <c r="I4076">
        <v>20250101</v>
      </c>
      <c r="J4076" t="s">
        <v>4144</v>
      </c>
      <c r="K4076" t="s">
        <v>4098</v>
      </c>
      <c r="L4076" t="s">
        <v>4099</v>
      </c>
      <c r="M4076" t="s">
        <v>4100</v>
      </c>
      <c r="N4076" t="s">
        <v>4101</v>
      </c>
      <c r="O4076" t="s">
        <v>4145</v>
      </c>
      <c r="P4076" t="s">
        <v>4102</v>
      </c>
    </row>
    <row r="4077" spans="1:16" x14ac:dyDescent="0.3">
      <c r="A4077" s="160">
        <v>35174</v>
      </c>
      <c r="B4077" t="s">
        <v>19282</v>
      </c>
      <c r="C4077" t="s">
        <v>4092</v>
      </c>
      <c r="D4077">
        <v>0.55000000000000004</v>
      </c>
      <c r="E4077">
        <v>0</v>
      </c>
      <c r="F4077">
        <f t="shared" si="63"/>
        <v>0.55000000000000004</v>
      </c>
      <c r="I4077">
        <v>20210101</v>
      </c>
      <c r="J4077" t="s">
        <v>4093</v>
      </c>
    </row>
    <row r="4078" spans="1:16" x14ac:dyDescent="0.3">
      <c r="A4078">
        <v>35177</v>
      </c>
      <c r="C4078" t="s">
        <v>27539</v>
      </c>
      <c r="D4078">
        <v>0.55000000000000004</v>
      </c>
      <c r="E4078">
        <v>0</v>
      </c>
      <c r="F4078">
        <f t="shared" si="63"/>
        <v>0.55000000000000004</v>
      </c>
      <c r="I4078">
        <v>20250101</v>
      </c>
      <c r="J4078" t="s">
        <v>4144</v>
      </c>
      <c r="K4078" t="s">
        <v>27543</v>
      </c>
      <c r="L4078" t="s">
        <v>4098</v>
      </c>
      <c r="M4078" t="s">
        <v>4172</v>
      </c>
      <c r="N4078" t="s">
        <v>4099</v>
      </c>
      <c r="O4078" t="s">
        <v>4102</v>
      </c>
    </row>
    <row r="4079" spans="1:16" x14ac:dyDescent="0.3">
      <c r="A4079" s="160">
        <v>35178</v>
      </c>
      <c r="B4079" t="s">
        <v>19283</v>
      </c>
      <c r="C4079" t="s">
        <v>4105</v>
      </c>
      <c r="D4079">
        <v>0.55000000000000004</v>
      </c>
      <c r="E4079">
        <v>0</v>
      </c>
      <c r="F4079">
        <f t="shared" si="63"/>
        <v>0.55000000000000004</v>
      </c>
      <c r="I4079">
        <v>20250101</v>
      </c>
      <c r="J4079" t="s">
        <v>4147</v>
      </c>
    </row>
    <row r="4080" spans="1:16" x14ac:dyDescent="0.3">
      <c r="A4080" s="160">
        <v>35179</v>
      </c>
      <c r="B4080" t="s">
        <v>19284</v>
      </c>
      <c r="C4080" t="s">
        <v>4119</v>
      </c>
      <c r="D4080">
        <v>0.75</v>
      </c>
      <c r="E4080">
        <v>0</v>
      </c>
      <c r="F4080">
        <f t="shared" si="63"/>
        <v>0.75</v>
      </c>
      <c r="I4080">
        <v>20220701</v>
      </c>
      <c r="J4080" t="s">
        <v>4170</v>
      </c>
    </row>
    <row r="4081" spans="1:15" x14ac:dyDescent="0.3">
      <c r="A4081" s="160">
        <v>35180</v>
      </c>
      <c r="B4081" t="s">
        <v>19285</v>
      </c>
      <c r="C4081" t="s">
        <v>4089</v>
      </c>
      <c r="D4081">
        <v>2</v>
      </c>
      <c r="E4081">
        <v>0</v>
      </c>
      <c r="F4081">
        <f t="shared" si="63"/>
        <v>2</v>
      </c>
      <c r="I4081">
        <v>20140101</v>
      </c>
      <c r="J4081" t="s">
        <v>4097</v>
      </c>
    </row>
    <row r="4082" spans="1:15" x14ac:dyDescent="0.3">
      <c r="A4082" s="160">
        <v>35183</v>
      </c>
      <c r="B4082" t="s">
        <v>19286</v>
      </c>
      <c r="C4082" t="s">
        <v>19202</v>
      </c>
      <c r="D4082">
        <v>0.2</v>
      </c>
      <c r="E4082">
        <v>0</v>
      </c>
      <c r="F4082">
        <f t="shared" si="63"/>
        <v>0.2</v>
      </c>
      <c r="I4082">
        <v>20240101</v>
      </c>
      <c r="J4082" t="s">
        <v>19203</v>
      </c>
    </row>
    <row r="4083" spans="1:15" x14ac:dyDescent="0.3">
      <c r="A4083" s="160">
        <v>35185</v>
      </c>
      <c r="B4083" t="s">
        <v>19287</v>
      </c>
      <c r="C4083" t="s">
        <v>19202</v>
      </c>
      <c r="D4083">
        <v>0.2</v>
      </c>
      <c r="E4083">
        <v>0</v>
      </c>
      <c r="F4083">
        <f t="shared" si="63"/>
        <v>0.2</v>
      </c>
      <c r="I4083">
        <v>20240101</v>
      </c>
      <c r="J4083" t="s">
        <v>4156</v>
      </c>
    </row>
    <row r="4084" spans="1:15" x14ac:dyDescent="0.3">
      <c r="A4084" s="160">
        <v>35189</v>
      </c>
      <c r="B4084" t="s">
        <v>19288</v>
      </c>
      <c r="C4084" t="s">
        <v>4089</v>
      </c>
      <c r="D4084">
        <v>2</v>
      </c>
      <c r="E4084">
        <v>0</v>
      </c>
      <c r="F4084">
        <f t="shared" si="63"/>
        <v>2</v>
      </c>
      <c r="I4084">
        <v>20140101</v>
      </c>
      <c r="J4084" t="s">
        <v>4171</v>
      </c>
      <c r="K4084" t="s">
        <v>4172</v>
      </c>
      <c r="L4084" t="s">
        <v>4173</v>
      </c>
      <c r="M4084" t="s">
        <v>4101</v>
      </c>
      <c r="N4084" t="s">
        <v>4102</v>
      </c>
    </row>
    <row r="4085" spans="1:15" x14ac:dyDescent="0.3">
      <c r="A4085" s="160">
        <v>35190</v>
      </c>
      <c r="B4085" t="s">
        <v>19289</v>
      </c>
      <c r="C4085" t="s">
        <v>4092</v>
      </c>
      <c r="D4085">
        <v>0.55000000000000004</v>
      </c>
      <c r="E4085">
        <v>0</v>
      </c>
      <c r="F4085">
        <f t="shared" si="63"/>
        <v>0.55000000000000004</v>
      </c>
      <c r="I4085">
        <v>20210101</v>
      </c>
      <c r="J4085" t="s">
        <v>4093</v>
      </c>
    </row>
    <row r="4086" spans="1:15" x14ac:dyDescent="0.3">
      <c r="A4086" s="160">
        <v>35192</v>
      </c>
      <c r="B4086" t="s">
        <v>19290</v>
      </c>
      <c r="C4086" t="s">
        <v>19202</v>
      </c>
      <c r="D4086">
        <v>0.2</v>
      </c>
      <c r="E4086">
        <v>0</v>
      </c>
      <c r="F4086">
        <f t="shared" si="63"/>
        <v>0.2</v>
      </c>
      <c r="I4086">
        <v>20240101</v>
      </c>
      <c r="J4086" t="s">
        <v>4156</v>
      </c>
    </row>
    <row r="4087" spans="1:15" x14ac:dyDescent="0.3">
      <c r="A4087">
        <v>35193</v>
      </c>
      <c r="C4087" t="s">
        <v>27539</v>
      </c>
      <c r="D4087">
        <v>0.55000000000000004</v>
      </c>
      <c r="E4087">
        <v>0</v>
      </c>
      <c r="F4087">
        <f t="shared" si="63"/>
        <v>0.55000000000000004</v>
      </c>
      <c r="I4087">
        <v>20250101</v>
      </c>
      <c r="J4087" t="s">
        <v>4144</v>
      </c>
    </row>
    <row r="4088" spans="1:15" x14ac:dyDescent="0.3">
      <c r="A4088" s="160">
        <v>35194</v>
      </c>
      <c r="B4088" t="s">
        <v>19291</v>
      </c>
      <c r="C4088" t="s">
        <v>19202</v>
      </c>
      <c r="D4088">
        <v>0.2</v>
      </c>
      <c r="E4088">
        <v>0</v>
      </c>
      <c r="F4088">
        <f t="shared" si="63"/>
        <v>0.2</v>
      </c>
      <c r="I4088">
        <v>20240101</v>
      </c>
      <c r="J4088" t="s">
        <v>19210</v>
      </c>
    </row>
    <row r="4089" spans="1:15" x14ac:dyDescent="0.3">
      <c r="A4089">
        <v>35195</v>
      </c>
      <c r="C4089" t="s">
        <v>27539</v>
      </c>
      <c r="D4089">
        <v>0.55000000000000004</v>
      </c>
      <c r="E4089">
        <v>0</v>
      </c>
      <c r="F4089">
        <f t="shared" si="63"/>
        <v>0.55000000000000004</v>
      </c>
      <c r="I4089">
        <v>20250101</v>
      </c>
      <c r="J4089" t="s">
        <v>27541</v>
      </c>
    </row>
    <row r="4090" spans="1:15" x14ac:dyDescent="0.3">
      <c r="A4090" s="160">
        <v>35196</v>
      </c>
      <c r="B4090" t="s">
        <v>19292</v>
      </c>
      <c r="C4090" t="s">
        <v>4089</v>
      </c>
      <c r="D4090">
        <v>2</v>
      </c>
      <c r="E4090">
        <v>0</v>
      </c>
      <c r="F4090">
        <f t="shared" si="63"/>
        <v>2</v>
      </c>
      <c r="I4090">
        <v>20140101</v>
      </c>
      <c r="J4090" t="s">
        <v>4174</v>
      </c>
      <c r="K4090" t="s">
        <v>4155</v>
      </c>
      <c r="L4090" t="s">
        <v>4175</v>
      </c>
    </row>
    <row r="4091" spans="1:15" x14ac:dyDescent="0.3">
      <c r="A4091">
        <v>35197</v>
      </c>
      <c r="C4091" t="s">
        <v>27539</v>
      </c>
      <c r="D4091">
        <v>0.55000000000000004</v>
      </c>
      <c r="E4091">
        <v>0</v>
      </c>
      <c r="F4091">
        <f t="shared" si="63"/>
        <v>0.55000000000000004</v>
      </c>
      <c r="I4091">
        <v>20250101</v>
      </c>
      <c r="J4091" t="s">
        <v>4152</v>
      </c>
    </row>
    <row r="4092" spans="1:15" x14ac:dyDescent="0.3">
      <c r="A4092" s="160">
        <v>35198</v>
      </c>
      <c r="B4092" t="s">
        <v>15738</v>
      </c>
      <c r="C4092" t="s">
        <v>19202</v>
      </c>
      <c r="D4092">
        <v>0.2</v>
      </c>
      <c r="E4092">
        <v>0</v>
      </c>
      <c r="F4092">
        <f t="shared" si="63"/>
        <v>0.2</v>
      </c>
      <c r="I4092">
        <v>20240101</v>
      </c>
      <c r="J4092" t="s">
        <v>19208</v>
      </c>
    </row>
    <row r="4093" spans="1:15" x14ac:dyDescent="0.3">
      <c r="A4093" s="160">
        <v>35199</v>
      </c>
      <c r="B4093" t="s">
        <v>19293</v>
      </c>
      <c r="C4093" t="s">
        <v>19202</v>
      </c>
      <c r="D4093">
        <v>0.2</v>
      </c>
      <c r="E4093">
        <v>0</v>
      </c>
      <c r="F4093">
        <f t="shared" si="63"/>
        <v>0.2</v>
      </c>
      <c r="I4093">
        <v>20240101</v>
      </c>
      <c r="J4093" t="s">
        <v>19206</v>
      </c>
    </row>
    <row r="4094" spans="1:15" x14ac:dyDescent="0.3">
      <c r="A4094" s="160">
        <v>35200</v>
      </c>
      <c r="B4094" t="s">
        <v>18015</v>
      </c>
      <c r="C4094" t="s">
        <v>19202</v>
      </c>
      <c r="D4094">
        <v>0.2</v>
      </c>
      <c r="E4094">
        <v>0</v>
      </c>
      <c r="F4094">
        <f t="shared" si="63"/>
        <v>0.2</v>
      </c>
      <c r="I4094">
        <v>20240101</v>
      </c>
      <c r="J4094" t="s">
        <v>19206</v>
      </c>
    </row>
    <row r="4095" spans="1:15" x14ac:dyDescent="0.3">
      <c r="A4095" s="160">
        <v>35204</v>
      </c>
      <c r="B4095" t="s">
        <v>19294</v>
      </c>
      <c r="C4095" t="s">
        <v>4089</v>
      </c>
      <c r="D4095">
        <v>2</v>
      </c>
      <c r="E4095">
        <v>0</v>
      </c>
      <c r="F4095">
        <f t="shared" si="63"/>
        <v>2</v>
      </c>
      <c r="I4095">
        <v>20140101</v>
      </c>
      <c r="J4095" t="s">
        <v>4176</v>
      </c>
    </row>
    <row r="4096" spans="1:15" x14ac:dyDescent="0.3">
      <c r="A4096" s="160">
        <v>35206</v>
      </c>
      <c r="B4096" t="s">
        <v>19295</v>
      </c>
      <c r="C4096" t="s">
        <v>4089</v>
      </c>
      <c r="D4096">
        <v>2</v>
      </c>
      <c r="E4096">
        <v>0</v>
      </c>
      <c r="F4096">
        <f t="shared" si="63"/>
        <v>2</v>
      </c>
      <c r="I4096">
        <v>20140101</v>
      </c>
      <c r="J4096" t="s">
        <v>4112</v>
      </c>
      <c r="K4096" t="s">
        <v>4113</v>
      </c>
      <c r="L4096" t="s">
        <v>4177</v>
      </c>
      <c r="M4096" t="s">
        <v>4178</v>
      </c>
      <c r="N4096" t="s">
        <v>4107</v>
      </c>
      <c r="O4096" t="s">
        <v>4179</v>
      </c>
    </row>
    <row r="4097" spans="1:96" x14ac:dyDescent="0.3">
      <c r="A4097">
        <v>35207</v>
      </c>
      <c r="C4097" t="s">
        <v>27540</v>
      </c>
      <c r="D4097">
        <v>0.2</v>
      </c>
      <c r="E4097">
        <v>0</v>
      </c>
      <c r="F4097">
        <f t="shared" si="63"/>
        <v>0.2</v>
      </c>
      <c r="I4097">
        <v>20250101</v>
      </c>
      <c r="J4097" t="s">
        <v>4108</v>
      </c>
      <c r="K4097" t="s">
        <v>27544</v>
      </c>
      <c r="L4097" t="s">
        <v>4109</v>
      </c>
      <c r="M4097" t="s">
        <v>4110</v>
      </c>
      <c r="N4097" t="s">
        <v>4090</v>
      </c>
    </row>
    <row r="4098" spans="1:96" x14ac:dyDescent="0.3">
      <c r="A4098" s="160">
        <v>35208</v>
      </c>
      <c r="B4098" t="s">
        <v>19296</v>
      </c>
      <c r="C4098" t="s">
        <v>4089</v>
      </c>
      <c r="D4098">
        <v>2</v>
      </c>
      <c r="E4098">
        <v>0</v>
      </c>
      <c r="F4098">
        <f t="shared" si="63"/>
        <v>2</v>
      </c>
      <c r="I4098">
        <v>20140101</v>
      </c>
      <c r="J4098" t="s">
        <v>4107</v>
      </c>
    </row>
    <row r="4099" spans="1:96" x14ac:dyDescent="0.3">
      <c r="A4099" s="160">
        <v>35210</v>
      </c>
      <c r="B4099" t="s">
        <v>19297</v>
      </c>
      <c r="C4099" t="s">
        <v>4089</v>
      </c>
      <c r="D4099">
        <v>2</v>
      </c>
      <c r="E4099">
        <v>0</v>
      </c>
      <c r="F4099">
        <f t="shared" si="63"/>
        <v>2</v>
      </c>
      <c r="I4099">
        <v>20140101</v>
      </c>
      <c r="J4099" t="s">
        <v>4180</v>
      </c>
      <c r="K4099" t="s">
        <v>4181</v>
      </c>
      <c r="L4099" t="s">
        <v>4182</v>
      </c>
      <c r="M4099" t="s">
        <v>4183</v>
      </c>
    </row>
    <row r="4100" spans="1:96" x14ac:dyDescent="0.3">
      <c r="A4100" s="160">
        <v>35214</v>
      </c>
      <c r="B4100" t="s">
        <v>19298</v>
      </c>
      <c r="C4100" t="s">
        <v>4092</v>
      </c>
      <c r="D4100">
        <v>0.55000000000000004</v>
      </c>
      <c r="E4100">
        <v>0</v>
      </c>
      <c r="F4100">
        <f t="shared" si="63"/>
        <v>0.55000000000000004</v>
      </c>
      <c r="I4100">
        <v>20210101</v>
      </c>
      <c r="J4100" t="s">
        <v>4156</v>
      </c>
    </row>
    <row r="4101" spans="1:96" x14ac:dyDescent="0.3">
      <c r="A4101" s="160">
        <v>35215</v>
      </c>
      <c r="B4101" t="s">
        <v>19299</v>
      </c>
      <c r="C4101" t="s">
        <v>4092</v>
      </c>
      <c r="D4101">
        <v>0.55000000000000004</v>
      </c>
      <c r="E4101">
        <v>0</v>
      </c>
      <c r="F4101">
        <f t="shared" si="63"/>
        <v>0.55000000000000004</v>
      </c>
      <c r="I4101">
        <v>20210101</v>
      </c>
      <c r="J4101" t="s">
        <v>4094</v>
      </c>
    </row>
    <row r="4102" spans="1:96" x14ac:dyDescent="0.3">
      <c r="A4102" s="160">
        <v>35216</v>
      </c>
      <c r="B4102" t="s">
        <v>19300</v>
      </c>
      <c r="C4102" t="s">
        <v>4089</v>
      </c>
      <c r="D4102">
        <v>2</v>
      </c>
      <c r="E4102">
        <v>0</v>
      </c>
      <c r="F4102">
        <f t="shared" si="63"/>
        <v>2</v>
      </c>
      <c r="I4102">
        <v>20140101</v>
      </c>
      <c r="J4102" t="s">
        <v>4164</v>
      </c>
    </row>
    <row r="4103" spans="1:96" x14ac:dyDescent="0.3">
      <c r="A4103" s="160">
        <v>35217</v>
      </c>
      <c r="B4103" t="s">
        <v>19301</v>
      </c>
      <c r="C4103" t="s">
        <v>19202</v>
      </c>
      <c r="D4103">
        <v>0.2</v>
      </c>
      <c r="E4103">
        <v>0</v>
      </c>
      <c r="F4103">
        <f t="shared" ref="F4103:F4166" si="64">D4103+E4103</f>
        <v>0.2</v>
      </c>
      <c r="I4103">
        <v>20240101</v>
      </c>
      <c r="J4103" t="s">
        <v>19203</v>
      </c>
    </row>
    <row r="4104" spans="1:96" x14ac:dyDescent="0.3">
      <c r="A4104">
        <v>35220</v>
      </c>
      <c r="C4104" t="s">
        <v>27540</v>
      </c>
      <c r="D4104">
        <v>0.2</v>
      </c>
      <c r="E4104">
        <v>0</v>
      </c>
      <c r="F4104">
        <f t="shared" si="64"/>
        <v>0.2</v>
      </c>
      <c r="I4104">
        <v>20250101</v>
      </c>
      <c r="J4104" t="s">
        <v>4157</v>
      </c>
    </row>
    <row r="4105" spans="1:96" x14ac:dyDescent="0.3">
      <c r="A4105" s="160">
        <v>35224</v>
      </c>
      <c r="B4105" t="s">
        <v>19302</v>
      </c>
      <c r="C4105" t="s">
        <v>4119</v>
      </c>
      <c r="D4105">
        <v>0.75</v>
      </c>
      <c r="E4105">
        <v>0</v>
      </c>
      <c r="F4105">
        <f t="shared" si="64"/>
        <v>0.75</v>
      </c>
      <c r="I4105">
        <v>20220701</v>
      </c>
      <c r="J4105" t="s">
        <v>4170</v>
      </c>
    </row>
    <row r="4106" spans="1:96" x14ac:dyDescent="0.3">
      <c r="A4106" s="160">
        <v>35229</v>
      </c>
      <c r="B4106" t="s">
        <v>19303</v>
      </c>
      <c r="C4106" t="s">
        <v>19202</v>
      </c>
      <c r="D4106">
        <v>0.2</v>
      </c>
      <c r="E4106">
        <v>0</v>
      </c>
      <c r="F4106">
        <f t="shared" si="64"/>
        <v>0.2</v>
      </c>
      <c r="I4106">
        <v>20240101</v>
      </c>
      <c r="J4106" t="s">
        <v>19210</v>
      </c>
      <c r="K4106" t="s">
        <v>19304</v>
      </c>
      <c r="L4106" t="s">
        <v>19211</v>
      </c>
      <c r="M4106" t="s">
        <v>19305</v>
      </c>
    </row>
    <row r="4107" spans="1:96" x14ac:dyDescent="0.3">
      <c r="A4107" s="160">
        <v>35230</v>
      </c>
      <c r="B4107" t="s">
        <v>19306</v>
      </c>
      <c r="C4107" t="s">
        <v>4092</v>
      </c>
      <c r="D4107">
        <v>0.55000000000000004</v>
      </c>
      <c r="E4107">
        <v>0</v>
      </c>
      <c r="F4107">
        <f t="shared" si="64"/>
        <v>0.55000000000000004</v>
      </c>
      <c r="I4107">
        <v>20210101</v>
      </c>
      <c r="J4107" t="s">
        <v>4093</v>
      </c>
    </row>
    <row r="4108" spans="1:96" x14ac:dyDescent="0.3">
      <c r="A4108" s="160">
        <v>35232</v>
      </c>
      <c r="B4108" t="s">
        <v>19307</v>
      </c>
      <c r="C4108" t="s">
        <v>19202</v>
      </c>
      <c r="D4108">
        <v>0.2</v>
      </c>
      <c r="E4108">
        <v>0</v>
      </c>
      <c r="F4108">
        <f t="shared" si="64"/>
        <v>0.2</v>
      </c>
      <c r="I4108">
        <v>20240101</v>
      </c>
      <c r="J4108" t="s">
        <v>4156</v>
      </c>
      <c r="K4108" t="s">
        <v>4146</v>
      </c>
    </row>
    <row r="4109" spans="1:96" x14ac:dyDescent="0.3">
      <c r="A4109" s="160">
        <v>35235</v>
      </c>
      <c r="B4109" t="s">
        <v>19308</v>
      </c>
      <c r="C4109" t="s">
        <v>19202</v>
      </c>
      <c r="D4109">
        <v>0.2</v>
      </c>
      <c r="E4109">
        <v>0</v>
      </c>
      <c r="F4109">
        <f t="shared" si="64"/>
        <v>0.2</v>
      </c>
      <c r="I4109">
        <v>20240101</v>
      </c>
      <c r="J4109" t="s">
        <v>19206</v>
      </c>
    </row>
    <row r="4110" spans="1:96" x14ac:dyDescent="0.3">
      <c r="A4110" s="160">
        <v>35238</v>
      </c>
      <c r="B4110" t="s">
        <v>19309</v>
      </c>
      <c r="C4110" t="s">
        <v>4089</v>
      </c>
      <c r="D4110">
        <v>2</v>
      </c>
      <c r="E4110">
        <v>0</v>
      </c>
      <c r="F4110">
        <f t="shared" si="64"/>
        <v>2</v>
      </c>
      <c r="I4110">
        <v>20140101</v>
      </c>
      <c r="J4110" t="s">
        <v>4184</v>
      </c>
      <c r="K4110" t="s">
        <v>4185</v>
      </c>
      <c r="L4110" t="s">
        <v>4186</v>
      </c>
      <c r="M4110" t="s">
        <v>4187</v>
      </c>
      <c r="N4110" t="s">
        <v>4188</v>
      </c>
      <c r="O4110" t="s">
        <v>4189</v>
      </c>
      <c r="P4110" t="s">
        <v>4190</v>
      </c>
      <c r="Q4110" t="s">
        <v>4191</v>
      </c>
      <c r="R4110" t="s">
        <v>4192</v>
      </c>
      <c r="S4110" t="s">
        <v>4193</v>
      </c>
      <c r="T4110" t="s">
        <v>4194</v>
      </c>
      <c r="U4110" t="s">
        <v>4195</v>
      </c>
      <c r="V4110" t="s">
        <v>4196</v>
      </c>
      <c r="W4110" t="s">
        <v>4197</v>
      </c>
      <c r="X4110" t="s">
        <v>4198</v>
      </c>
      <c r="Y4110" t="s">
        <v>4199</v>
      </c>
      <c r="Z4110" t="s">
        <v>4200</v>
      </c>
      <c r="AA4110" t="s">
        <v>4201</v>
      </c>
      <c r="AB4110" t="s">
        <v>4202</v>
      </c>
      <c r="AC4110" t="s">
        <v>4203</v>
      </c>
      <c r="AD4110" t="s">
        <v>4204</v>
      </c>
      <c r="AE4110" t="s">
        <v>4205</v>
      </c>
      <c r="AF4110" t="s">
        <v>4206</v>
      </c>
      <c r="AG4110" t="s">
        <v>4207</v>
      </c>
      <c r="AH4110" t="s">
        <v>4208</v>
      </c>
      <c r="AI4110" t="s">
        <v>4209</v>
      </c>
      <c r="AJ4110" t="s">
        <v>4210</v>
      </c>
      <c r="AK4110" t="s">
        <v>4211</v>
      </c>
      <c r="AL4110" t="s">
        <v>4212</v>
      </c>
      <c r="AM4110" t="s">
        <v>4213</v>
      </c>
      <c r="AN4110" t="s">
        <v>4214</v>
      </c>
      <c r="AO4110" t="s">
        <v>4215</v>
      </c>
      <c r="AP4110" t="s">
        <v>4216</v>
      </c>
      <c r="AQ4110" t="s">
        <v>4217</v>
      </c>
      <c r="AR4110" t="s">
        <v>4218</v>
      </c>
      <c r="AS4110" t="s">
        <v>4219</v>
      </c>
      <c r="AT4110" t="s">
        <v>4220</v>
      </c>
      <c r="AU4110" t="s">
        <v>4221</v>
      </c>
      <c r="AV4110" t="s">
        <v>4222</v>
      </c>
      <c r="AW4110" t="s">
        <v>4223</v>
      </c>
      <c r="AX4110" t="s">
        <v>4224</v>
      </c>
      <c r="AY4110" t="s">
        <v>4136</v>
      </c>
      <c r="AZ4110" t="s">
        <v>4225</v>
      </c>
      <c r="BA4110" t="s">
        <v>4226</v>
      </c>
      <c r="BB4110" t="s">
        <v>4227</v>
      </c>
      <c r="BC4110" t="s">
        <v>4228</v>
      </c>
      <c r="BD4110" t="s">
        <v>4229</v>
      </c>
      <c r="BE4110" t="s">
        <v>4112</v>
      </c>
      <c r="BF4110" t="s">
        <v>4113</v>
      </c>
      <c r="BG4110" t="s">
        <v>4177</v>
      </c>
      <c r="BH4110" t="s">
        <v>4230</v>
      </c>
      <c r="BI4110" t="s">
        <v>4231</v>
      </c>
      <c r="BJ4110" t="s">
        <v>4232</v>
      </c>
      <c r="BK4110" t="s">
        <v>4233</v>
      </c>
      <c r="BL4110" t="s">
        <v>4234</v>
      </c>
      <c r="BM4110" t="s">
        <v>4235</v>
      </c>
      <c r="BN4110" t="s">
        <v>4236</v>
      </c>
      <c r="BO4110" t="s">
        <v>4237</v>
      </c>
    </row>
    <row r="4111" spans="1:96" x14ac:dyDescent="0.3">
      <c r="A4111" s="160">
        <v>35240</v>
      </c>
      <c r="B4111" t="s">
        <v>19310</v>
      </c>
      <c r="C4111" t="s">
        <v>4089</v>
      </c>
      <c r="D4111">
        <v>2</v>
      </c>
      <c r="E4111">
        <v>0</v>
      </c>
      <c r="F4111">
        <f t="shared" si="64"/>
        <v>2</v>
      </c>
      <c r="I4111">
        <v>20140101</v>
      </c>
      <c r="J4111" t="s">
        <v>4262</v>
      </c>
      <c r="K4111" t="s">
        <v>4263</v>
      </c>
      <c r="L4111" t="s">
        <v>4264</v>
      </c>
      <c r="M4111" t="s">
        <v>4265</v>
      </c>
    </row>
    <row r="4112" spans="1:96" x14ac:dyDescent="0.3">
      <c r="A4112" s="160">
        <v>35243</v>
      </c>
      <c r="B4112" t="s">
        <v>19311</v>
      </c>
      <c r="C4112" t="s">
        <v>4092</v>
      </c>
      <c r="D4112">
        <v>0.55000000000000004</v>
      </c>
      <c r="E4112">
        <v>0</v>
      </c>
      <c r="F4112">
        <f t="shared" si="64"/>
        <v>0.55000000000000004</v>
      </c>
      <c r="I4112">
        <v>20210101</v>
      </c>
      <c r="J4112" t="s">
        <v>4094</v>
      </c>
      <c r="K4112" t="s">
        <v>4095</v>
      </c>
      <c r="BP4112" t="s">
        <v>4238</v>
      </c>
      <c r="BQ4112" t="s">
        <v>4178</v>
      </c>
      <c r="BR4112" t="s">
        <v>4239</v>
      </c>
      <c r="BS4112" t="s">
        <v>4240</v>
      </c>
      <c r="BT4112" t="s">
        <v>4241</v>
      </c>
      <c r="BU4112" t="s">
        <v>4242</v>
      </c>
      <c r="BV4112" t="s">
        <v>4243</v>
      </c>
      <c r="BW4112" t="s">
        <v>4244</v>
      </c>
      <c r="BX4112" t="s">
        <v>4126</v>
      </c>
      <c r="BY4112" t="s">
        <v>4245</v>
      </c>
      <c r="BZ4112" t="s">
        <v>4246</v>
      </c>
      <c r="CA4112" t="s">
        <v>4247</v>
      </c>
      <c r="CB4112" t="s">
        <v>4248</v>
      </c>
      <c r="CC4112" t="s">
        <v>4249</v>
      </c>
      <c r="CD4112" t="s">
        <v>4250</v>
      </c>
      <c r="CE4112" t="s">
        <v>4251</v>
      </c>
      <c r="CF4112" t="s">
        <v>4252</v>
      </c>
      <c r="CG4112" t="s">
        <v>4253</v>
      </c>
      <c r="CH4112" t="s">
        <v>4102</v>
      </c>
      <c r="CI4112" t="s">
        <v>4254</v>
      </c>
      <c r="CJ4112" t="s">
        <v>4179</v>
      </c>
      <c r="CK4112" t="s">
        <v>4175</v>
      </c>
      <c r="CL4112" t="s">
        <v>4255</v>
      </c>
      <c r="CM4112" t="s">
        <v>4256</v>
      </c>
      <c r="CN4112" t="s">
        <v>4257</v>
      </c>
      <c r="CO4112" t="s">
        <v>4258</v>
      </c>
      <c r="CP4112" t="s">
        <v>4259</v>
      </c>
      <c r="CQ4112" t="s">
        <v>4260</v>
      </c>
      <c r="CR4112" t="s">
        <v>4261</v>
      </c>
    </row>
    <row r="4113" spans="1:11" x14ac:dyDescent="0.3">
      <c r="A4113" s="160">
        <v>35245</v>
      </c>
      <c r="B4113" t="s">
        <v>19312</v>
      </c>
      <c r="C4113" t="s">
        <v>4089</v>
      </c>
      <c r="D4113">
        <v>2</v>
      </c>
      <c r="E4113">
        <v>0</v>
      </c>
      <c r="F4113">
        <f t="shared" si="64"/>
        <v>2</v>
      </c>
      <c r="I4113">
        <v>20140101</v>
      </c>
      <c r="J4113" t="s">
        <v>4164</v>
      </c>
    </row>
    <row r="4114" spans="1:11" x14ac:dyDescent="0.3">
      <c r="A4114" s="160">
        <v>35250</v>
      </c>
      <c r="B4114" t="s">
        <v>19313</v>
      </c>
      <c r="C4114" t="s">
        <v>4089</v>
      </c>
      <c r="D4114">
        <v>2</v>
      </c>
      <c r="E4114">
        <v>0</v>
      </c>
      <c r="F4114">
        <f t="shared" si="64"/>
        <v>2</v>
      </c>
      <c r="I4114">
        <v>20140101</v>
      </c>
      <c r="J4114" t="s">
        <v>4107</v>
      </c>
    </row>
    <row r="4115" spans="1:11" x14ac:dyDescent="0.3">
      <c r="A4115">
        <v>35251</v>
      </c>
      <c r="C4115" t="s">
        <v>27539</v>
      </c>
      <c r="D4115">
        <v>0.55000000000000004</v>
      </c>
      <c r="E4115">
        <v>0</v>
      </c>
      <c r="F4115">
        <f t="shared" si="64"/>
        <v>0.55000000000000004</v>
      </c>
      <c r="I4115">
        <v>20250101</v>
      </c>
      <c r="J4115" t="s">
        <v>4152</v>
      </c>
    </row>
    <row r="4116" spans="1:11" x14ac:dyDescent="0.3">
      <c r="A4116" s="160">
        <v>35252</v>
      </c>
      <c r="B4116" t="s">
        <v>19314</v>
      </c>
      <c r="C4116" t="s">
        <v>19202</v>
      </c>
      <c r="D4116">
        <v>0.2</v>
      </c>
      <c r="E4116">
        <v>0</v>
      </c>
      <c r="F4116">
        <f t="shared" si="64"/>
        <v>0.2</v>
      </c>
      <c r="I4116">
        <v>20240101</v>
      </c>
      <c r="J4116" t="s">
        <v>19210</v>
      </c>
    </row>
    <row r="4117" spans="1:11" x14ac:dyDescent="0.3">
      <c r="A4117" s="160">
        <v>35253</v>
      </c>
      <c r="B4117" t="s">
        <v>19315</v>
      </c>
      <c r="C4117" t="s">
        <v>4105</v>
      </c>
      <c r="D4117">
        <v>0.55000000000000004</v>
      </c>
      <c r="E4117">
        <v>0</v>
      </c>
      <c r="F4117">
        <f t="shared" si="64"/>
        <v>0.55000000000000004</v>
      </c>
      <c r="I4117">
        <v>20250101</v>
      </c>
      <c r="J4117" t="s">
        <v>4147</v>
      </c>
      <c r="K4117" t="s">
        <v>4153</v>
      </c>
    </row>
    <row r="4118" spans="1:11" x14ac:dyDescent="0.3">
      <c r="A4118" s="160">
        <v>35255</v>
      </c>
      <c r="B4118" t="s">
        <v>19316</v>
      </c>
      <c r="C4118" t="s">
        <v>4119</v>
      </c>
      <c r="D4118">
        <v>0.75</v>
      </c>
      <c r="E4118">
        <v>0</v>
      </c>
      <c r="F4118">
        <f t="shared" si="64"/>
        <v>0.75</v>
      </c>
      <c r="I4118">
        <v>20220701</v>
      </c>
      <c r="J4118" t="s">
        <v>4266</v>
      </c>
    </row>
    <row r="4119" spans="1:11" x14ac:dyDescent="0.3">
      <c r="A4119" s="160">
        <v>35260</v>
      </c>
      <c r="B4119" t="s">
        <v>19317</v>
      </c>
      <c r="C4119" t="s">
        <v>19202</v>
      </c>
      <c r="D4119">
        <v>0.2</v>
      </c>
      <c r="E4119">
        <v>0</v>
      </c>
      <c r="F4119">
        <f t="shared" si="64"/>
        <v>0.2</v>
      </c>
      <c r="I4119">
        <v>20240101</v>
      </c>
      <c r="J4119" t="s">
        <v>4156</v>
      </c>
    </row>
    <row r="4120" spans="1:11" x14ac:dyDescent="0.3">
      <c r="A4120" s="160">
        <v>35261</v>
      </c>
      <c r="B4120" t="s">
        <v>19318</v>
      </c>
      <c r="C4120" t="s">
        <v>4092</v>
      </c>
      <c r="D4120">
        <v>0.55000000000000004</v>
      </c>
      <c r="E4120">
        <v>0</v>
      </c>
      <c r="F4120">
        <f t="shared" si="64"/>
        <v>0.55000000000000004</v>
      </c>
      <c r="I4120">
        <v>20210101</v>
      </c>
      <c r="J4120" t="s">
        <v>4147</v>
      </c>
    </row>
    <row r="4121" spans="1:11" x14ac:dyDescent="0.3">
      <c r="A4121" s="160">
        <v>35263</v>
      </c>
      <c r="B4121" t="s">
        <v>19319</v>
      </c>
      <c r="C4121" t="s">
        <v>4119</v>
      </c>
      <c r="D4121">
        <v>0.75</v>
      </c>
      <c r="E4121">
        <v>0</v>
      </c>
      <c r="F4121">
        <f t="shared" si="64"/>
        <v>0.75</v>
      </c>
      <c r="I4121">
        <v>20220701</v>
      </c>
      <c r="J4121" t="s">
        <v>4165</v>
      </c>
    </row>
    <row r="4122" spans="1:11" x14ac:dyDescent="0.3">
      <c r="A4122" s="160">
        <v>35264</v>
      </c>
      <c r="B4122" t="s">
        <v>19320</v>
      </c>
      <c r="C4122" t="s">
        <v>19202</v>
      </c>
      <c r="D4122">
        <v>0.2</v>
      </c>
      <c r="E4122">
        <v>0</v>
      </c>
      <c r="F4122">
        <f t="shared" si="64"/>
        <v>0.2</v>
      </c>
      <c r="I4122">
        <v>20240101</v>
      </c>
      <c r="J4122" t="s">
        <v>19235</v>
      </c>
      <c r="K4122" t="s">
        <v>4090</v>
      </c>
    </row>
    <row r="4123" spans="1:11" x14ac:dyDescent="0.3">
      <c r="A4123" s="160">
        <v>35266</v>
      </c>
      <c r="B4123" t="s">
        <v>19321</v>
      </c>
      <c r="C4123" t="s">
        <v>4089</v>
      </c>
      <c r="D4123">
        <v>2</v>
      </c>
      <c r="E4123">
        <v>0</v>
      </c>
      <c r="F4123">
        <f t="shared" si="64"/>
        <v>2</v>
      </c>
      <c r="I4123">
        <v>20140101</v>
      </c>
      <c r="J4123" t="s">
        <v>4107</v>
      </c>
    </row>
    <row r="4124" spans="1:11" x14ac:dyDescent="0.3">
      <c r="A4124" s="160">
        <v>35269</v>
      </c>
      <c r="B4124" t="s">
        <v>19322</v>
      </c>
      <c r="C4124" t="s">
        <v>4092</v>
      </c>
      <c r="D4124">
        <v>0.55000000000000004</v>
      </c>
      <c r="E4124">
        <v>0</v>
      </c>
      <c r="F4124">
        <f t="shared" si="64"/>
        <v>0.55000000000000004</v>
      </c>
      <c r="I4124">
        <v>20210101</v>
      </c>
      <c r="J4124" t="s">
        <v>4147</v>
      </c>
    </row>
    <row r="4125" spans="1:11" x14ac:dyDescent="0.3">
      <c r="A4125" s="160">
        <v>35271</v>
      </c>
      <c r="B4125" t="s">
        <v>19323</v>
      </c>
      <c r="C4125" t="s">
        <v>4092</v>
      </c>
      <c r="D4125">
        <v>0.55000000000000004</v>
      </c>
      <c r="E4125">
        <v>0</v>
      </c>
      <c r="F4125">
        <f t="shared" si="64"/>
        <v>0.55000000000000004</v>
      </c>
      <c r="I4125">
        <v>20210101</v>
      </c>
      <c r="J4125" t="s">
        <v>4093</v>
      </c>
    </row>
    <row r="4126" spans="1:11" x14ac:dyDescent="0.3">
      <c r="A4126" s="160">
        <v>35272</v>
      </c>
      <c r="B4126" t="s">
        <v>19324</v>
      </c>
      <c r="C4126" t="s">
        <v>19202</v>
      </c>
      <c r="D4126">
        <v>0.2</v>
      </c>
      <c r="E4126">
        <v>0</v>
      </c>
      <c r="F4126">
        <f t="shared" si="64"/>
        <v>0.2</v>
      </c>
      <c r="I4126">
        <v>20240101</v>
      </c>
      <c r="J4126" t="s">
        <v>19203</v>
      </c>
    </row>
    <row r="4127" spans="1:11" x14ac:dyDescent="0.3">
      <c r="A4127">
        <v>35274</v>
      </c>
      <c r="C4127" t="s">
        <v>27539</v>
      </c>
      <c r="D4127">
        <v>0.55000000000000004</v>
      </c>
      <c r="E4127">
        <v>0</v>
      </c>
      <c r="F4127">
        <f t="shared" si="64"/>
        <v>0.55000000000000004</v>
      </c>
      <c r="I4127">
        <v>20250101</v>
      </c>
      <c r="J4127" t="s">
        <v>4152</v>
      </c>
    </row>
    <row r="4128" spans="1:11" x14ac:dyDescent="0.3">
      <c r="A4128" s="160">
        <v>35275</v>
      </c>
      <c r="B4128" t="s">
        <v>18397</v>
      </c>
      <c r="C4128" t="s">
        <v>4089</v>
      </c>
      <c r="D4128">
        <v>2</v>
      </c>
      <c r="E4128">
        <v>0</v>
      </c>
      <c r="F4128">
        <f t="shared" si="64"/>
        <v>2</v>
      </c>
      <c r="I4128">
        <v>20140101</v>
      </c>
      <c r="J4128" t="s">
        <v>4148</v>
      </c>
    </row>
    <row r="4129" spans="1:25" x14ac:dyDescent="0.3">
      <c r="A4129">
        <v>35276</v>
      </c>
      <c r="C4129" t="s">
        <v>27539</v>
      </c>
      <c r="D4129">
        <v>0.55000000000000004</v>
      </c>
      <c r="E4129">
        <v>0</v>
      </c>
      <c r="F4129">
        <f t="shared" si="64"/>
        <v>0.55000000000000004</v>
      </c>
      <c r="I4129">
        <v>20250101</v>
      </c>
      <c r="J4129" t="s">
        <v>4143</v>
      </c>
    </row>
    <row r="4130" spans="1:25" x14ac:dyDescent="0.3">
      <c r="A4130" s="160">
        <v>35278</v>
      </c>
      <c r="B4130" t="s">
        <v>19325</v>
      </c>
      <c r="C4130" t="s">
        <v>4089</v>
      </c>
      <c r="D4130">
        <v>2</v>
      </c>
      <c r="E4130">
        <v>0</v>
      </c>
      <c r="F4130">
        <f t="shared" si="64"/>
        <v>2</v>
      </c>
      <c r="I4130">
        <v>20140101</v>
      </c>
      <c r="J4130" t="s">
        <v>4193</v>
      </c>
      <c r="K4130" t="s">
        <v>4098</v>
      </c>
      <c r="L4130" t="s">
        <v>4171</v>
      </c>
      <c r="M4130" t="s">
        <v>4172</v>
      </c>
      <c r="N4130" t="s">
        <v>4099</v>
      </c>
      <c r="O4130" t="s">
        <v>4100</v>
      </c>
      <c r="P4130" t="s">
        <v>4101</v>
      </c>
      <c r="Q4130" t="s">
        <v>4102</v>
      </c>
      <c r="R4130" t="s">
        <v>4267</v>
      </c>
    </row>
    <row r="4131" spans="1:25" x14ac:dyDescent="0.3">
      <c r="A4131" s="160">
        <v>35279</v>
      </c>
      <c r="B4131" t="s">
        <v>19326</v>
      </c>
      <c r="C4131" t="s">
        <v>4119</v>
      </c>
      <c r="D4131">
        <v>0.75</v>
      </c>
      <c r="E4131">
        <v>0</v>
      </c>
      <c r="F4131">
        <f t="shared" si="64"/>
        <v>0.75</v>
      </c>
      <c r="I4131">
        <v>20220701</v>
      </c>
      <c r="J4131" t="s">
        <v>4154</v>
      </c>
    </row>
    <row r="4132" spans="1:25" x14ac:dyDescent="0.3">
      <c r="A4132" s="160">
        <v>35281</v>
      </c>
      <c r="B4132" t="s">
        <v>19327</v>
      </c>
      <c r="C4132" t="s">
        <v>4089</v>
      </c>
      <c r="D4132">
        <v>2</v>
      </c>
      <c r="E4132">
        <v>0</v>
      </c>
      <c r="F4132">
        <f t="shared" si="64"/>
        <v>2</v>
      </c>
      <c r="I4132">
        <v>20140101</v>
      </c>
      <c r="J4132" t="s">
        <v>4191</v>
      </c>
      <c r="K4132" t="s">
        <v>4211</v>
      </c>
      <c r="L4132" t="s">
        <v>4268</v>
      </c>
      <c r="M4132" t="s">
        <v>4112</v>
      </c>
      <c r="N4132" t="s">
        <v>4113</v>
      </c>
      <c r="O4132" t="s">
        <v>4269</v>
      </c>
      <c r="P4132" t="s">
        <v>4270</v>
      </c>
      <c r="Q4132" t="s">
        <v>4239</v>
      </c>
      <c r="R4132" t="s">
        <v>4242</v>
      </c>
      <c r="S4132" t="s">
        <v>4243</v>
      </c>
      <c r="T4132" t="s">
        <v>4244</v>
      </c>
      <c r="U4132" t="s">
        <v>4271</v>
      </c>
    </row>
    <row r="4133" spans="1:25" x14ac:dyDescent="0.3">
      <c r="A4133" s="160">
        <v>35282</v>
      </c>
      <c r="B4133" t="s">
        <v>19328</v>
      </c>
      <c r="C4133" t="s">
        <v>4092</v>
      </c>
      <c r="D4133">
        <v>0.55000000000000004</v>
      </c>
      <c r="E4133">
        <v>0</v>
      </c>
      <c r="F4133">
        <f t="shared" si="64"/>
        <v>0.55000000000000004</v>
      </c>
      <c r="I4133">
        <v>20210101</v>
      </c>
      <c r="J4133" t="s">
        <v>4147</v>
      </c>
    </row>
    <row r="4134" spans="1:25" x14ac:dyDescent="0.3">
      <c r="A4134" s="160">
        <v>35283</v>
      </c>
      <c r="B4134" t="s">
        <v>19329</v>
      </c>
      <c r="C4134" t="s">
        <v>19202</v>
      </c>
      <c r="D4134">
        <v>0.2</v>
      </c>
      <c r="E4134">
        <v>0</v>
      </c>
      <c r="F4134">
        <f t="shared" si="64"/>
        <v>0.2</v>
      </c>
      <c r="I4134">
        <v>20240101</v>
      </c>
      <c r="J4134" t="s">
        <v>19235</v>
      </c>
    </row>
    <row r="4135" spans="1:25" x14ac:dyDescent="0.3">
      <c r="A4135" s="160">
        <v>35284</v>
      </c>
      <c r="B4135" t="s">
        <v>19330</v>
      </c>
      <c r="C4135" t="s">
        <v>4119</v>
      </c>
      <c r="D4135">
        <v>0.75</v>
      </c>
      <c r="E4135">
        <v>0</v>
      </c>
      <c r="F4135">
        <f t="shared" si="64"/>
        <v>0.75</v>
      </c>
      <c r="I4135">
        <v>20220701</v>
      </c>
      <c r="J4135" t="s">
        <v>4154</v>
      </c>
      <c r="K4135" t="s">
        <v>4272</v>
      </c>
    </row>
    <row r="4136" spans="1:25" x14ac:dyDescent="0.3">
      <c r="A4136" s="160">
        <v>35288</v>
      </c>
      <c r="B4136" t="s">
        <v>19331</v>
      </c>
      <c r="C4136" t="s">
        <v>4119</v>
      </c>
      <c r="D4136">
        <v>0.75</v>
      </c>
      <c r="E4136">
        <v>0</v>
      </c>
      <c r="F4136">
        <f t="shared" si="64"/>
        <v>0.75</v>
      </c>
      <c r="I4136">
        <v>20220701</v>
      </c>
      <c r="J4136" t="s">
        <v>4273</v>
      </c>
      <c r="K4136" t="s">
        <v>4274</v>
      </c>
      <c r="L4136" t="s">
        <v>4275</v>
      </c>
      <c r="M4136" t="s">
        <v>4276</v>
      </c>
      <c r="N4136" t="s">
        <v>4277</v>
      </c>
      <c r="O4136" t="s">
        <v>4278</v>
      </c>
      <c r="P4136" t="s">
        <v>4279</v>
      </c>
      <c r="Q4136" t="s">
        <v>4280</v>
      </c>
      <c r="R4136" t="s">
        <v>4281</v>
      </c>
      <c r="S4136" t="s">
        <v>4282</v>
      </c>
      <c r="T4136" t="s">
        <v>4283</v>
      </c>
      <c r="U4136" t="s">
        <v>4284</v>
      </c>
      <c r="V4136" t="s">
        <v>4285</v>
      </c>
      <c r="W4136" t="s">
        <v>4286</v>
      </c>
      <c r="X4136" t="s">
        <v>4287</v>
      </c>
      <c r="Y4136" t="s">
        <v>4288</v>
      </c>
    </row>
    <row r="4137" spans="1:25" x14ac:dyDescent="0.3">
      <c r="A4137" s="160">
        <v>35293</v>
      </c>
      <c r="B4137" t="s">
        <v>19332</v>
      </c>
      <c r="C4137" t="s">
        <v>4092</v>
      </c>
      <c r="D4137">
        <v>0.55000000000000004</v>
      </c>
      <c r="E4137">
        <v>0</v>
      </c>
      <c r="F4137">
        <f t="shared" si="64"/>
        <v>0.55000000000000004</v>
      </c>
      <c r="I4137">
        <v>20210101</v>
      </c>
      <c r="J4137" t="s">
        <v>4147</v>
      </c>
    </row>
    <row r="4138" spans="1:25" x14ac:dyDescent="0.3">
      <c r="A4138">
        <v>35296</v>
      </c>
      <c r="C4138" t="s">
        <v>27539</v>
      </c>
      <c r="D4138">
        <v>0.55000000000000004</v>
      </c>
      <c r="E4138">
        <v>0</v>
      </c>
      <c r="F4138">
        <f t="shared" si="64"/>
        <v>0.55000000000000004</v>
      </c>
      <c r="I4138">
        <v>20250101</v>
      </c>
      <c r="J4138" t="s">
        <v>4152</v>
      </c>
    </row>
    <row r="4139" spans="1:25" x14ac:dyDescent="0.3">
      <c r="A4139" s="160">
        <v>35299</v>
      </c>
      <c r="B4139" t="s">
        <v>19333</v>
      </c>
      <c r="C4139" t="s">
        <v>4119</v>
      </c>
      <c r="D4139">
        <v>0.75</v>
      </c>
      <c r="E4139">
        <v>0</v>
      </c>
      <c r="F4139">
        <f t="shared" si="64"/>
        <v>0.75</v>
      </c>
      <c r="I4139">
        <v>20220701</v>
      </c>
      <c r="J4139" t="s">
        <v>4165</v>
      </c>
    </row>
    <row r="4140" spans="1:25" x14ac:dyDescent="0.3">
      <c r="A4140" s="160">
        <v>35300</v>
      </c>
      <c r="B4140" t="s">
        <v>19334</v>
      </c>
      <c r="C4140" t="s">
        <v>19202</v>
      </c>
      <c r="D4140">
        <v>0.2</v>
      </c>
      <c r="E4140">
        <v>0</v>
      </c>
      <c r="F4140">
        <f t="shared" si="64"/>
        <v>0.2</v>
      </c>
      <c r="I4140">
        <v>20240101</v>
      </c>
      <c r="J4140" t="s">
        <v>19210</v>
      </c>
    </row>
    <row r="4141" spans="1:25" x14ac:dyDescent="0.3">
      <c r="A4141" s="160">
        <v>35304</v>
      </c>
      <c r="B4141" t="s">
        <v>19335</v>
      </c>
      <c r="C4141" t="s">
        <v>4092</v>
      </c>
      <c r="D4141">
        <v>0.55000000000000004</v>
      </c>
      <c r="E4141">
        <v>0</v>
      </c>
      <c r="F4141">
        <f t="shared" si="64"/>
        <v>0.55000000000000004</v>
      </c>
      <c r="I4141">
        <v>20210101</v>
      </c>
      <c r="J4141" t="s">
        <v>4147</v>
      </c>
    </row>
    <row r="4142" spans="1:25" x14ac:dyDescent="0.3">
      <c r="A4142" s="160">
        <v>35306</v>
      </c>
      <c r="B4142" t="s">
        <v>19336</v>
      </c>
      <c r="C4142" t="s">
        <v>4119</v>
      </c>
      <c r="D4142">
        <v>0.75</v>
      </c>
      <c r="E4142">
        <v>0</v>
      </c>
      <c r="F4142">
        <f t="shared" si="64"/>
        <v>0.75</v>
      </c>
      <c r="I4142">
        <v>20220701</v>
      </c>
      <c r="J4142" t="s">
        <v>4154</v>
      </c>
    </row>
    <row r="4143" spans="1:25" x14ac:dyDescent="0.3">
      <c r="A4143" s="160">
        <v>35310</v>
      </c>
      <c r="B4143" t="s">
        <v>19337</v>
      </c>
      <c r="C4143" t="s">
        <v>4092</v>
      </c>
      <c r="D4143">
        <v>0.55000000000000004</v>
      </c>
      <c r="E4143">
        <v>0</v>
      </c>
      <c r="F4143">
        <f t="shared" si="64"/>
        <v>0.55000000000000004</v>
      </c>
      <c r="I4143">
        <v>20210101</v>
      </c>
      <c r="J4143" t="s">
        <v>4094</v>
      </c>
    </row>
    <row r="4144" spans="1:25" x14ac:dyDescent="0.3">
      <c r="A4144" s="160">
        <v>35314</v>
      </c>
      <c r="B4144" t="s">
        <v>19338</v>
      </c>
      <c r="C4144" t="s">
        <v>4119</v>
      </c>
      <c r="D4144">
        <v>0.75</v>
      </c>
      <c r="E4144">
        <v>0</v>
      </c>
      <c r="F4144">
        <f t="shared" si="64"/>
        <v>0.75</v>
      </c>
      <c r="I4144">
        <v>20220701</v>
      </c>
      <c r="J4144" t="s">
        <v>4154</v>
      </c>
    </row>
    <row r="4145" spans="1:14" x14ac:dyDescent="0.3">
      <c r="A4145" s="160">
        <v>35315</v>
      </c>
      <c r="B4145" t="s">
        <v>19339</v>
      </c>
      <c r="C4145" t="s">
        <v>4089</v>
      </c>
      <c r="D4145">
        <v>2</v>
      </c>
      <c r="E4145">
        <v>0</v>
      </c>
      <c r="F4145">
        <f t="shared" si="64"/>
        <v>2</v>
      </c>
      <c r="I4145">
        <v>20140101</v>
      </c>
      <c r="J4145" t="s">
        <v>4152</v>
      </c>
    </row>
    <row r="4146" spans="1:14" x14ac:dyDescent="0.3">
      <c r="A4146">
        <v>35317</v>
      </c>
      <c r="C4146" t="s">
        <v>27539</v>
      </c>
      <c r="D4146">
        <v>0.55000000000000004</v>
      </c>
      <c r="E4146">
        <v>0</v>
      </c>
      <c r="F4146">
        <f t="shared" si="64"/>
        <v>0.55000000000000004</v>
      </c>
      <c r="I4146">
        <v>20250101</v>
      </c>
      <c r="J4146" t="s">
        <v>4143</v>
      </c>
    </row>
    <row r="4147" spans="1:14" x14ac:dyDescent="0.3">
      <c r="A4147" s="160">
        <v>35324</v>
      </c>
      <c r="B4147" t="s">
        <v>19340</v>
      </c>
      <c r="C4147" t="s">
        <v>4092</v>
      </c>
      <c r="D4147">
        <v>0.55000000000000004</v>
      </c>
      <c r="E4147">
        <v>0</v>
      </c>
      <c r="F4147">
        <f t="shared" si="64"/>
        <v>0.55000000000000004</v>
      </c>
      <c r="I4147">
        <v>20210101</v>
      </c>
      <c r="J4147" t="s">
        <v>4094</v>
      </c>
      <c r="K4147" t="s">
        <v>4095</v>
      </c>
      <c r="L4147" t="s">
        <v>4160</v>
      </c>
      <c r="M4147" t="s">
        <v>4161</v>
      </c>
      <c r="N4147" t="s">
        <v>4162</v>
      </c>
    </row>
    <row r="4148" spans="1:14" x14ac:dyDescent="0.3">
      <c r="A4148" s="160">
        <v>35325</v>
      </c>
      <c r="B4148" t="s">
        <v>19341</v>
      </c>
      <c r="C4148" t="s">
        <v>19202</v>
      </c>
      <c r="D4148">
        <v>0.2</v>
      </c>
      <c r="E4148">
        <v>0</v>
      </c>
      <c r="F4148">
        <f t="shared" si="64"/>
        <v>0.2</v>
      </c>
      <c r="I4148">
        <v>20240101</v>
      </c>
      <c r="J4148" t="s">
        <v>19206</v>
      </c>
    </row>
    <row r="4149" spans="1:14" x14ac:dyDescent="0.3">
      <c r="A4149">
        <v>35326</v>
      </c>
      <c r="C4149" t="s">
        <v>27539</v>
      </c>
      <c r="D4149">
        <v>0.55000000000000004</v>
      </c>
      <c r="E4149">
        <v>0</v>
      </c>
      <c r="F4149">
        <f t="shared" si="64"/>
        <v>0.55000000000000004</v>
      </c>
      <c r="I4149">
        <v>20250101</v>
      </c>
      <c r="J4149" t="s">
        <v>4168</v>
      </c>
      <c r="K4149" t="s">
        <v>27542</v>
      </c>
    </row>
    <row r="4150" spans="1:14" x14ac:dyDescent="0.3">
      <c r="A4150">
        <v>35327</v>
      </c>
      <c r="C4150" t="s">
        <v>27540</v>
      </c>
      <c r="D4150">
        <v>0.2</v>
      </c>
      <c r="E4150">
        <v>0</v>
      </c>
      <c r="F4150">
        <f t="shared" si="64"/>
        <v>0.2</v>
      </c>
      <c r="I4150">
        <v>20250101</v>
      </c>
      <c r="J4150" t="s">
        <v>4108</v>
      </c>
      <c r="K4150" t="s">
        <v>4110</v>
      </c>
      <c r="L4150" t="s">
        <v>4090</v>
      </c>
    </row>
    <row r="4151" spans="1:14" x14ac:dyDescent="0.3">
      <c r="A4151" s="160">
        <v>35330</v>
      </c>
      <c r="B4151" t="s">
        <v>19342</v>
      </c>
      <c r="C4151" t="s">
        <v>19202</v>
      </c>
      <c r="D4151">
        <v>0.2</v>
      </c>
      <c r="E4151">
        <v>0</v>
      </c>
      <c r="F4151">
        <f t="shared" si="64"/>
        <v>0.2</v>
      </c>
      <c r="I4151">
        <v>20240101</v>
      </c>
      <c r="J4151" t="s">
        <v>19210</v>
      </c>
    </row>
    <row r="4152" spans="1:14" x14ac:dyDescent="0.3">
      <c r="A4152" s="160">
        <v>35334</v>
      </c>
      <c r="B4152" t="s">
        <v>19343</v>
      </c>
      <c r="C4152" t="s">
        <v>4089</v>
      </c>
      <c r="D4152">
        <v>2</v>
      </c>
      <c r="E4152">
        <v>0</v>
      </c>
      <c r="F4152">
        <f t="shared" si="64"/>
        <v>2</v>
      </c>
      <c r="I4152">
        <v>20140101</v>
      </c>
      <c r="J4152" t="s">
        <v>4289</v>
      </c>
      <c r="K4152" t="s">
        <v>4290</v>
      </c>
    </row>
    <row r="4153" spans="1:14" x14ac:dyDescent="0.3">
      <c r="A4153" s="160">
        <v>35338</v>
      </c>
      <c r="B4153" t="s">
        <v>19344</v>
      </c>
      <c r="C4153" t="s">
        <v>19202</v>
      </c>
      <c r="D4153">
        <v>0.2</v>
      </c>
      <c r="E4153">
        <v>0</v>
      </c>
      <c r="F4153">
        <f t="shared" si="64"/>
        <v>0.2</v>
      </c>
      <c r="I4153">
        <v>20240101</v>
      </c>
      <c r="J4153" t="s">
        <v>19203</v>
      </c>
    </row>
    <row r="4154" spans="1:14" x14ac:dyDescent="0.3">
      <c r="A4154" s="160">
        <v>35347</v>
      </c>
      <c r="B4154" t="s">
        <v>19345</v>
      </c>
      <c r="C4154" t="s">
        <v>19202</v>
      </c>
      <c r="D4154">
        <v>0.2</v>
      </c>
      <c r="E4154">
        <v>0</v>
      </c>
      <c r="F4154">
        <f t="shared" si="64"/>
        <v>0.2</v>
      </c>
      <c r="I4154">
        <v>20240101</v>
      </c>
      <c r="J4154" t="s">
        <v>4158</v>
      </c>
    </row>
    <row r="4155" spans="1:14" x14ac:dyDescent="0.3">
      <c r="A4155" s="160">
        <v>35348</v>
      </c>
      <c r="B4155" t="s">
        <v>19346</v>
      </c>
      <c r="C4155" t="s">
        <v>4092</v>
      </c>
      <c r="D4155">
        <v>0.55000000000000004</v>
      </c>
      <c r="E4155">
        <v>0</v>
      </c>
      <c r="F4155">
        <f t="shared" si="64"/>
        <v>0.55000000000000004</v>
      </c>
      <c r="I4155">
        <v>20210101</v>
      </c>
      <c r="J4155" t="s">
        <v>4147</v>
      </c>
    </row>
    <row r="4156" spans="1:14" x14ac:dyDescent="0.3">
      <c r="A4156" s="160">
        <v>35350</v>
      </c>
      <c r="B4156" t="s">
        <v>19347</v>
      </c>
      <c r="C4156" t="s">
        <v>19202</v>
      </c>
      <c r="D4156">
        <v>0.2</v>
      </c>
      <c r="E4156">
        <v>0</v>
      </c>
      <c r="F4156">
        <f t="shared" si="64"/>
        <v>0.2</v>
      </c>
      <c r="I4156">
        <v>20240101</v>
      </c>
      <c r="J4156" t="s">
        <v>19208</v>
      </c>
    </row>
    <row r="4157" spans="1:14" x14ac:dyDescent="0.3">
      <c r="A4157" s="160">
        <v>35351</v>
      </c>
      <c r="B4157" t="s">
        <v>19348</v>
      </c>
      <c r="C4157" t="s">
        <v>4089</v>
      </c>
      <c r="D4157">
        <v>2</v>
      </c>
      <c r="E4157">
        <v>0</v>
      </c>
      <c r="F4157">
        <f t="shared" si="64"/>
        <v>2</v>
      </c>
      <c r="I4157">
        <v>20140101</v>
      </c>
      <c r="J4157" t="s">
        <v>4291</v>
      </c>
    </row>
    <row r="4158" spans="1:14" x14ac:dyDescent="0.3">
      <c r="A4158" s="160">
        <v>35352</v>
      </c>
      <c r="B4158" t="s">
        <v>19349</v>
      </c>
      <c r="C4158" t="s">
        <v>4089</v>
      </c>
      <c r="D4158">
        <v>2</v>
      </c>
      <c r="E4158">
        <v>0</v>
      </c>
      <c r="F4158">
        <f t="shared" si="64"/>
        <v>2</v>
      </c>
      <c r="I4158">
        <v>20140101</v>
      </c>
      <c r="J4158" t="s">
        <v>4292</v>
      </c>
      <c r="K4158" t="s">
        <v>4293</v>
      </c>
      <c r="L4158" t="s">
        <v>4294</v>
      </c>
      <c r="M4158" t="s">
        <v>4295</v>
      </c>
    </row>
    <row r="4159" spans="1:14" x14ac:dyDescent="0.3">
      <c r="A4159" s="160">
        <v>35353</v>
      </c>
      <c r="B4159" t="s">
        <v>19350</v>
      </c>
      <c r="C4159" t="s">
        <v>4089</v>
      </c>
      <c r="D4159">
        <v>2</v>
      </c>
      <c r="E4159">
        <v>0</v>
      </c>
      <c r="F4159">
        <f t="shared" si="64"/>
        <v>2</v>
      </c>
      <c r="I4159">
        <v>20140101</v>
      </c>
      <c r="J4159" t="s">
        <v>4296</v>
      </c>
      <c r="K4159" t="s">
        <v>4297</v>
      </c>
      <c r="L4159" t="s">
        <v>4259</v>
      </c>
      <c r="M4159" t="s">
        <v>4260</v>
      </c>
    </row>
    <row r="4160" spans="1:14" x14ac:dyDescent="0.3">
      <c r="A4160">
        <v>35355</v>
      </c>
      <c r="C4160" t="s">
        <v>27539</v>
      </c>
      <c r="D4160">
        <v>0.55000000000000004</v>
      </c>
      <c r="E4160">
        <v>0</v>
      </c>
      <c r="F4160">
        <f t="shared" si="64"/>
        <v>0.55000000000000004</v>
      </c>
      <c r="I4160">
        <v>20250101</v>
      </c>
      <c r="J4160" t="s">
        <v>27542</v>
      </c>
    </row>
    <row r="4161" spans="1:34" x14ac:dyDescent="0.3">
      <c r="A4161">
        <v>35356</v>
      </c>
      <c r="C4161" t="s">
        <v>27539</v>
      </c>
      <c r="D4161">
        <v>0.55000000000000004</v>
      </c>
      <c r="E4161">
        <v>0</v>
      </c>
      <c r="F4161">
        <f t="shared" si="64"/>
        <v>0.55000000000000004</v>
      </c>
      <c r="I4161">
        <v>20250101</v>
      </c>
      <c r="J4161" t="s">
        <v>4143</v>
      </c>
    </row>
    <row r="4162" spans="1:34" x14ac:dyDescent="0.3">
      <c r="A4162" s="160">
        <v>35357</v>
      </c>
      <c r="B4162" t="s">
        <v>19351</v>
      </c>
      <c r="C4162" t="s">
        <v>4092</v>
      </c>
      <c r="D4162">
        <v>0.55000000000000004</v>
      </c>
      <c r="E4162">
        <v>0</v>
      </c>
      <c r="F4162">
        <f t="shared" si="64"/>
        <v>0.55000000000000004</v>
      </c>
      <c r="I4162">
        <v>20210101</v>
      </c>
      <c r="J4162" t="s">
        <v>4093</v>
      </c>
    </row>
    <row r="4163" spans="1:34" x14ac:dyDescent="0.3">
      <c r="A4163" s="160">
        <v>35358</v>
      </c>
      <c r="B4163" t="s">
        <v>19352</v>
      </c>
      <c r="C4163" t="s">
        <v>4119</v>
      </c>
      <c r="D4163">
        <v>0.75</v>
      </c>
      <c r="E4163">
        <v>0</v>
      </c>
      <c r="F4163">
        <f t="shared" si="64"/>
        <v>0.75</v>
      </c>
      <c r="I4163">
        <v>20220701</v>
      </c>
      <c r="J4163" t="s">
        <v>4154</v>
      </c>
    </row>
    <row r="4164" spans="1:34" x14ac:dyDescent="0.3">
      <c r="A4164" s="160">
        <v>35359</v>
      </c>
      <c r="B4164" t="s">
        <v>19353</v>
      </c>
      <c r="C4164" t="s">
        <v>19202</v>
      </c>
      <c r="D4164">
        <v>0.2</v>
      </c>
      <c r="E4164">
        <v>0</v>
      </c>
      <c r="F4164">
        <f t="shared" si="64"/>
        <v>0.2</v>
      </c>
      <c r="I4164">
        <v>20240101</v>
      </c>
      <c r="J4164" t="s">
        <v>19206</v>
      </c>
    </row>
    <row r="4165" spans="1:34" x14ac:dyDescent="0.3">
      <c r="A4165" s="160">
        <v>35360</v>
      </c>
      <c r="B4165" t="s">
        <v>19354</v>
      </c>
      <c r="C4165" t="s">
        <v>19202</v>
      </c>
      <c r="D4165">
        <v>0.2</v>
      </c>
      <c r="E4165">
        <v>0</v>
      </c>
      <c r="F4165">
        <f t="shared" si="64"/>
        <v>0.2</v>
      </c>
      <c r="I4165">
        <v>20240101</v>
      </c>
      <c r="J4165" t="s">
        <v>19210</v>
      </c>
      <c r="K4165" t="s">
        <v>19304</v>
      </c>
      <c r="L4165" t="s">
        <v>19355</v>
      </c>
      <c r="M4165" t="s">
        <v>19211</v>
      </c>
      <c r="N4165" t="s">
        <v>19356</v>
      </c>
      <c r="O4165" t="s">
        <v>19305</v>
      </c>
      <c r="P4165" t="s">
        <v>19357</v>
      </c>
    </row>
    <row r="4166" spans="1:34" x14ac:dyDescent="0.3">
      <c r="A4166" s="160">
        <v>35362</v>
      </c>
      <c r="B4166" t="s">
        <v>19358</v>
      </c>
      <c r="C4166" t="s">
        <v>4119</v>
      </c>
      <c r="D4166">
        <v>0.75</v>
      </c>
      <c r="E4166">
        <v>0</v>
      </c>
      <c r="F4166">
        <f t="shared" si="64"/>
        <v>0.75</v>
      </c>
      <c r="I4166">
        <v>20220701</v>
      </c>
      <c r="J4166" t="s">
        <v>4170</v>
      </c>
    </row>
    <row r="4167" spans="1:34" x14ac:dyDescent="0.3">
      <c r="A4167" s="160">
        <v>35363</v>
      </c>
      <c r="B4167" t="s">
        <v>19359</v>
      </c>
      <c r="C4167" t="s">
        <v>4089</v>
      </c>
      <c r="D4167">
        <v>2</v>
      </c>
      <c r="E4167">
        <v>0</v>
      </c>
      <c r="F4167">
        <f t="shared" ref="F4167:F4230" si="65">D4167+E4167</f>
        <v>2</v>
      </c>
      <c r="I4167">
        <v>20140101</v>
      </c>
      <c r="J4167" t="s">
        <v>4149</v>
      </c>
      <c r="K4167" t="s">
        <v>4115</v>
      </c>
      <c r="L4167" t="s">
        <v>4116</v>
      </c>
    </row>
    <row r="4168" spans="1:34" x14ac:dyDescent="0.3">
      <c r="A4168" s="160">
        <v>36005</v>
      </c>
      <c r="B4168" t="s">
        <v>19360</v>
      </c>
      <c r="C4168" t="s">
        <v>4298</v>
      </c>
      <c r="D4168">
        <v>0.8</v>
      </c>
      <c r="E4168">
        <v>0</v>
      </c>
      <c r="F4168">
        <f t="shared" si="65"/>
        <v>0.8</v>
      </c>
      <c r="I4168">
        <v>20210101</v>
      </c>
      <c r="J4168" t="s">
        <v>4299</v>
      </c>
    </row>
    <row r="4169" spans="1:34" x14ac:dyDescent="0.3">
      <c r="A4169" s="160">
        <v>36009</v>
      </c>
      <c r="B4169" t="s">
        <v>19361</v>
      </c>
      <c r="C4169" t="s">
        <v>4298</v>
      </c>
      <c r="D4169">
        <v>0.8</v>
      </c>
      <c r="E4169">
        <v>0</v>
      </c>
      <c r="F4169">
        <f t="shared" si="65"/>
        <v>0.8</v>
      </c>
      <c r="I4169">
        <v>20210101</v>
      </c>
      <c r="J4169" t="s">
        <v>4300</v>
      </c>
    </row>
    <row r="4170" spans="1:34" x14ac:dyDescent="0.3">
      <c r="A4170" s="160">
        <v>36044</v>
      </c>
      <c r="B4170" t="s">
        <v>19362</v>
      </c>
      <c r="C4170" t="s">
        <v>4298</v>
      </c>
      <c r="D4170">
        <v>0.8</v>
      </c>
      <c r="E4170">
        <v>0</v>
      </c>
      <c r="F4170">
        <f t="shared" si="65"/>
        <v>0.8</v>
      </c>
      <c r="I4170">
        <v>20210101</v>
      </c>
      <c r="J4170" t="s">
        <v>4301</v>
      </c>
      <c r="K4170" t="s">
        <v>4302</v>
      </c>
      <c r="L4170" t="s">
        <v>4303</v>
      </c>
      <c r="M4170" t="s">
        <v>4304</v>
      </c>
      <c r="N4170" t="s">
        <v>4305</v>
      </c>
      <c r="O4170" t="s">
        <v>4306</v>
      </c>
      <c r="P4170" t="s">
        <v>4307</v>
      </c>
      <c r="Q4170" t="s">
        <v>4308</v>
      </c>
      <c r="R4170" t="s">
        <v>4309</v>
      </c>
      <c r="S4170" t="s">
        <v>4310</v>
      </c>
      <c r="T4170" t="s">
        <v>4311</v>
      </c>
      <c r="U4170" t="s">
        <v>4312</v>
      </c>
      <c r="V4170" t="s">
        <v>4313</v>
      </c>
      <c r="W4170" t="s">
        <v>4314</v>
      </c>
      <c r="X4170" t="s">
        <v>4315</v>
      </c>
      <c r="Y4170" t="s">
        <v>4316</v>
      </c>
      <c r="Z4170" t="s">
        <v>4317</v>
      </c>
      <c r="AA4170" t="s">
        <v>4318</v>
      </c>
      <c r="AB4170" t="s">
        <v>4319</v>
      </c>
      <c r="AC4170" t="s">
        <v>4320</v>
      </c>
      <c r="AD4170" t="s">
        <v>4321</v>
      </c>
      <c r="AE4170" t="s">
        <v>4322</v>
      </c>
      <c r="AF4170" t="s">
        <v>4323</v>
      </c>
      <c r="AG4170" t="s">
        <v>4324</v>
      </c>
      <c r="AH4170" t="s">
        <v>4325</v>
      </c>
    </row>
    <row r="4171" spans="1:34" x14ac:dyDescent="0.3">
      <c r="A4171" s="160">
        <v>36057</v>
      </c>
      <c r="B4171" t="s">
        <v>19363</v>
      </c>
      <c r="C4171" t="s">
        <v>4298</v>
      </c>
      <c r="D4171">
        <v>0.8</v>
      </c>
      <c r="E4171">
        <v>0</v>
      </c>
      <c r="F4171">
        <f t="shared" si="65"/>
        <v>0.8</v>
      </c>
      <c r="I4171">
        <v>20240101</v>
      </c>
      <c r="J4171" t="s">
        <v>4326</v>
      </c>
      <c r="K4171" t="s">
        <v>4327</v>
      </c>
    </row>
    <row r="4172" spans="1:34" x14ac:dyDescent="0.3">
      <c r="A4172" s="160">
        <v>36063</v>
      </c>
      <c r="B4172" t="s">
        <v>19364</v>
      </c>
      <c r="C4172" t="s">
        <v>4298</v>
      </c>
      <c r="D4172">
        <v>0.8</v>
      </c>
      <c r="E4172">
        <v>0</v>
      </c>
      <c r="F4172">
        <f t="shared" si="65"/>
        <v>0.8</v>
      </c>
      <c r="I4172">
        <v>20210101</v>
      </c>
      <c r="J4172" t="s">
        <v>4303</v>
      </c>
      <c r="K4172" t="s">
        <v>4305</v>
      </c>
      <c r="L4172" t="s">
        <v>4315</v>
      </c>
      <c r="M4172" t="s">
        <v>4326</v>
      </c>
      <c r="N4172" t="s">
        <v>4327</v>
      </c>
    </row>
    <row r="4173" spans="1:34" x14ac:dyDescent="0.3">
      <c r="A4173" s="160">
        <v>36064</v>
      </c>
      <c r="B4173" t="s">
        <v>19365</v>
      </c>
      <c r="C4173" t="s">
        <v>4298</v>
      </c>
      <c r="D4173">
        <v>0.8</v>
      </c>
      <c r="E4173">
        <v>0</v>
      </c>
      <c r="F4173">
        <f t="shared" si="65"/>
        <v>0.8</v>
      </c>
      <c r="I4173">
        <v>20210101</v>
      </c>
      <c r="J4173" t="s">
        <v>4326</v>
      </c>
    </row>
    <row r="4174" spans="1:34" x14ac:dyDescent="0.3">
      <c r="A4174" s="160">
        <v>36071</v>
      </c>
      <c r="B4174" t="s">
        <v>19366</v>
      </c>
      <c r="C4174" t="s">
        <v>4298</v>
      </c>
      <c r="D4174">
        <v>0.8</v>
      </c>
      <c r="E4174">
        <v>0</v>
      </c>
      <c r="F4174">
        <f t="shared" si="65"/>
        <v>0.8</v>
      </c>
      <c r="I4174">
        <v>20210101</v>
      </c>
      <c r="J4174" t="s">
        <v>4299</v>
      </c>
    </row>
    <row r="4175" spans="1:34" x14ac:dyDescent="0.3">
      <c r="A4175" s="160">
        <v>36089</v>
      </c>
      <c r="B4175" t="s">
        <v>19367</v>
      </c>
      <c r="C4175" t="s">
        <v>4298</v>
      </c>
      <c r="D4175">
        <v>0.8</v>
      </c>
      <c r="E4175">
        <v>0</v>
      </c>
      <c r="F4175">
        <f t="shared" si="65"/>
        <v>0.8</v>
      </c>
      <c r="I4175">
        <v>20210101</v>
      </c>
      <c r="J4175" t="s">
        <v>4299</v>
      </c>
    </row>
    <row r="4176" spans="1:34" x14ac:dyDescent="0.3">
      <c r="A4176" s="160">
        <v>36101</v>
      </c>
      <c r="B4176" t="s">
        <v>19368</v>
      </c>
      <c r="C4176" t="s">
        <v>4298</v>
      </c>
      <c r="D4176">
        <v>0.8</v>
      </c>
      <c r="E4176">
        <v>0</v>
      </c>
      <c r="F4176">
        <f t="shared" si="65"/>
        <v>0.8</v>
      </c>
      <c r="I4176">
        <v>20210101</v>
      </c>
      <c r="J4176" t="s">
        <v>4328</v>
      </c>
    </row>
    <row r="4177" spans="1:19" x14ac:dyDescent="0.3">
      <c r="A4177" s="160">
        <v>36112</v>
      </c>
      <c r="B4177" t="s">
        <v>19369</v>
      </c>
      <c r="C4177" t="s">
        <v>4298</v>
      </c>
      <c r="D4177">
        <v>0.8</v>
      </c>
      <c r="E4177">
        <v>0</v>
      </c>
      <c r="F4177">
        <f t="shared" si="65"/>
        <v>0.8</v>
      </c>
      <c r="I4177">
        <v>20210101</v>
      </c>
      <c r="J4177" t="s">
        <v>4299</v>
      </c>
    </row>
    <row r="4178" spans="1:19" x14ac:dyDescent="0.3">
      <c r="A4178" s="160">
        <v>36128</v>
      </c>
      <c r="B4178" t="s">
        <v>19370</v>
      </c>
      <c r="C4178" t="s">
        <v>4298</v>
      </c>
      <c r="D4178">
        <v>0.8</v>
      </c>
      <c r="E4178">
        <v>0</v>
      </c>
      <c r="F4178">
        <f t="shared" si="65"/>
        <v>0.8</v>
      </c>
      <c r="I4178">
        <v>20210101</v>
      </c>
      <c r="J4178" t="s">
        <v>4326</v>
      </c>
      <c r="K4178" t="s">
        <v>4327</v>
      </c>
    </row>
    <row r="4179" spans="1:19" x14ac:dyDescent="0.3">
      <c r="A4179" s="160">
        <v>36159</v>
      </c>
      <c r="B4179" t="s">
        <v>19371</v>
      </c>
      <c r="C4179" t="s">
        <v>4298</v>
      </c>
      <c r="D4179">
        <v>0.8</v>
      </c>
      <c r="E4179">
        <v>0</v>
      </c>
      <c r="F4179">
        <f t="shared" si="65"/>
        <v>0.8</v>
      </c>
      <c r="I4179">
        <v>20210101</v>
      </c>
      <c r="J4179" t="s">
        <v>4302</v>
      </c>
      <c r="K4179" t="s">
        <v>4303</v>
      </c>
      <c r="L4179" t="s">
        <v>4304</v>
      </c>
      <c r="M4179" t="s">
        <v>4305</v>
      </c>
      <c r="N4179" t="s">
        <v>4307</v>
      </c>
      <c r="O4179" t="s">
        <v>4309</v>
      </c>
      <c r="P4179" t="s">
        <v>4315</v>
      </c>
      <c r="Q4179" t="s">
        <v>4317</v>
      </c>
      <c r="R4179" t="s">
        <v>4325</v>
      </c>
      <c r="S4179" t="s">
        <v>4300</v>
      </c>
    </row>
    <row r="4180" spans="1:19" x14ac:dyDescent="0.3">
      <c r="A4180" s="160">
        <v>36202</v>
      </c>
      <c r="B4180" t="s">
        <v>19372</v>
      </c>
      <c r="C4180" t="s">
        <v>4298</v>
      </c>
      <c r="D4180">
        <v>0.8</v>
      </c>
      <c r="E4180">
        <v>0</v>
      </c>
      <c r="F4180">
        <f t="shared" si="65"/>
        <v>0.8</v>
      </c>
      <c r="I4180">
        <v>20210101</v>
      </c>
      <c r="J4180" t="s">
        <v>4305</v>
      </c>
      <c r="K4180" t="s">
        <v>4307</v>
      </c>
      <c r="L4180" t="s">
        <v>4308</v>
      </c>
      <c r="M4180" t="s">
        <v>4315</v>
      </c>
      <c r="N4180" t="s">
        <v>4325</v>
      </c>
      <c r="O4180" t="s">
        <v>4329</v>
      </c>
      <c r="P4180" t="s">
        <v>4330</v>
      </c>
    </row>
    <row r="4181" spans="1:19" x14ac:dyDescent="0.3">
      <c r="A4181" s="160">
        <v>36211</v>
      </c>
      <c r="B4181" t="s">
        <v>19373</v>
      </c>
      <c r="C4181" t="s">
        <v>4298</v>
      </c>
      <c r="D4181">
        <v>0.8</v>
      </c>
      <c r="E4181">
        <v>0</v>
      </c>
      <c r="F4181">
        <f t="shared" si="65"/>
        <v>0.8</v>
      </c>
      <c r="I4181">
        <v>20210101</v>
      </c>
      <c r="J4181" t="s">
        <v>4299</v>
      </c>
    </row>
    <row r="4182" spans="1:19" x14ac:dyDescent="0.3">
      <c r="A4182" s="160">
        <v>36245</v>
      </c>
      <c r="B4182" t="s">
        <v>19374</v>
      </c>
      <c r="C4182" t="s">
        <v>4298</v>
      </c>
      <c r="D4182">
        <v>0.8</v>
      </c>
      <c r="E4182">
        <v>0</v>
      </c>
      <c r="F4182">
        <f t="shared" si="65"/>
        <v>0.8</v>
      </c>
      <c r="I4182">
        <v>20210101</v>
      </c>
      <c r="J4182" t="s">
        <v>4329</v>
      </c>
    </row>
    <row r="4183" spans="1:19" x14ac:dyDescent="0.3">
      <c r="A4183" s="160">
        <v>37004</v>
      </c>
      <c r="B4183" t="s">
        <v>19375</v>
      </c>
      <c r="C4183" t="s">
        <v>19376</v>
      </c>
      <c r="D4183">
        <v>0.6</v>
      </c>
      <c r="E4183">
        <v>0</v>
      </c>
      <c r="F4183">
        <f t="shared" si="65"/>
        <v>0.6</v>
      </c>
      <c r="I4183">
        <v>20240101</v>
      </c>
      <c r="J4183" t="s">
        <v>19377</v>
      </c>
    </row>
    <row r="4184" spans="1:19" x14ac:dyDescent="0.3">
      <c r="A4184" s="160">
        <v>37011</v>
      </c>
      <c r="B4184" t="s">
        <v>19378</v>
      </c>
      <c r="C4184" t="s">
        <v>19376</v>
      </c>
      <c r="D4184">
        <v>0.6</v>
      </c>
      <c r="E4184">
        <v>0</v>
      </c>
      <c r="F4184">
        <f t="shared" si="65"/>
        <v>0.6</v>
      </c>
      <c r="I4184">
        <v>20240101</v>
      </c>
      <c r="J4184" t="s">
        <v>19379</v>
      </c>
    </row>
    <row r="4185" spans="1:19" x14ac:dyDescent="0.3">
      <c r="A4185" s="160">
        <v>37018</v>
      </c>
      <c r="B4185" t="s">
        <v>19380</v>
      </c>
      <c r="C4185" t="s">
        <v>4331</v>
      </c>
      <c r="D4185">
        <v>2</v>
      </c>
      <c r="E4185">
        <v>0</v>
      </c>
      <c r="F4185">
        <f t="shared" si="65"/>
        <v>2</v>
      </c>
      <c r="I4185">
        <v>20140101</v>
      </c>
      <c r="J4185" t="s">
        <v>4332</v>
      </c>
      <c r="K4185" t="s">
        <v>4333</v>
      </c>
      <c r="L4185" t="s">
        <v>4334</v>
      </c>
    </row>
    <row r="4186" spans="1:19" x14ac:dyDescent="0.3">
      <c r="A4186" s="160">
        <v>37022</v>
      </c>
      <c r="B4186" t="s">
        <v>19381</v>
      </c>
      <c r="C4186" t="s">
        <v>19376</v>
      </c>
      <c r="D4186">
        <v>0.6</v>
      </c>
      <c r="E4186">
        <v>0</v>
      </c>
      <c r="F4186">
        <f t="shared" si="65"/>
        <v>0.6</v>
      </c>
      <c r="I4186">
        <v>20240101</v>
      </c>
      <c r="J4186" t="s">
        <v>19379</v>
      </c>
    </row>
    <row r="4187" spans="1:19" x14ac:dyDescent="0.3">
      <c r="A4187" s="160">
        <v>37025</v>
      </c>
      <c r="B4187" t="s">
        <v>19382</v>
      </c>
      <c r="C4187" t="s">
        <v>4331</v>
      </c>
      <c r="D4187">
        <v>2</v>
      </c>
      <c r="E4187">
        <v>0</v>
      </c>
      <c r="F4187">
        <f t="shared" si="65"/>
        <v>2</v>
      </c>
      <c r="I4187">
        <v>20140101</v>
      </c>
      <c r="J4187" t="s">
        <v>4334</v>
      </c>
    </row>
    <row r="4188" spans="1:19" x14ac:dyDescent="0.3">
      <c r="A4188" s="160">
        <v>37042</v>
      </c>
      <c r="B4188" t="s">
        <v>19383</v>
      </c>
      <c r="C4188" t="s">
        <v>19376</v>
      </c>
      <c r="D4188">
        <v>0.6</v>
      </c>
      <c r="E4188">
        <v>0</v>
      </c>
      <c r="F4188">
        <f t="shared" si="65"/>
        <v>0.6</v>
      </c>
      <c r="I4188">
        <v>20240101</v>
      </c>
      <c r="J4188" t="s">
        <v>19377</v>
      </c>
    </row>
    <row r="4189" spans="1:19" x14ac:dyDescent="0.3">
      <c r="A4189" s="160">
        <v>37050</v>
      </c>
      <c r="B4189" t="s">
        <v>19384</v>
      </c>
      <c r="C4189" t="s">
        <v>4331</v>
      </c>
      <c r="D4189">
        <v>2</v>
      </c>
      <c r="E4189">
        <v>0</v>
      </c>
      <c r="F4189">
        <f t="shared" si="65"/>
        <v>2</v>
      </c>
      <c r="I4189">
        <v>20140101</v>
      </c>
      <c r="J4189" t="s">
        <v>4335</v>
      </c>
      <c r="K4189" t="s">
        <v>4336</v>
      </c>
      <c r="L4189" t="s">
        <v>4337</v>
      </c>
      <c r="M4189" t="s">
        <v>4338</v>
      </c>
      <c r="N4189" t="s">
        <v>4339</v>
      </c>
      <c r="O4189" t="s">
        <v>4340</v>
      </c>
      <c r="P4189" t="s">
        <v>4341</v>
      </c>
      <c r="Q4189" t="s">
        <v>4342</v>
      </c>
    </row>
    <row r="4190" spans="1:19" x14ac:dyDescent="0.3">
      <c r="A4190" s="160">
        <v>37054</v>
      </c>
      <c r="B4190" t="s">
        <v>19385</v>
      </c>
      <c r="C4190" t="s">
        <v>4331</v>
      </c>
      <c r="D4190">
        <v>2</v>
      </c>
      <c r="E4190">
        <v>0</v>
      </c>
      <c r="F4190">
        <f t="shared" si="65"/>
        <v>2</v>
      </c>
      <c r="I4190">
        <v>20140101</v>
      </c>
      <c r="J4190" t="s">
        <v>4343</v>
      </c>
    </row>
    <row r="4191" spans="1:19" x14ac:dyDescent="0.3">
      <c r="A4191" s="160">
        <v>37072</v>
      </c>
      <c r="B4191" t="s">
        <v>19386</v>
      </c>
      <c r="C4191" t="s">
        <v>19376</v>
      </c>
      <c r="D4191">
        <v>0.6</v>
      </c>
      <c r="E4191">
        <v>0</v>
      </c>
      <c r="F4191">
        <f t="shared" si="65"/>
        <v>0.6</v>
      </c>
      <c r="I4191">
        <v>20240101</v>
      </c>
      <c r="J4191" t="s">
        <v>19377</v>
      </c>
      <c r="K4191" t="s">
        <v>19387</v>
      </c>
      <c r="L4191" t="s">
        <v>19388</v>
      </c>
    </row>
    <row r="4192" spans="1:19" x14ac:dyDescent="0.3">
      <c r="A4192" s="160">
        <v>37074</v>
      </c>
      <c r="B4192" t="s">
        <v>19389</v>
      </c>
      <c r="C4192" t="s">
        <v>19376</v>
      </c>
      <c r="D4192">
        <v>0.6</v>
      </c>
      <c r="E4192">
        <v>0</v>
      </c>
      <c r="F4192">
        <f t="shared" si="65"/>
        <v>0.6</v>
      </c>
      <c r="I4192">
        <v>20240101</v>
      </c>
      <c r="J4192" t="s">
        <v>19390</v>
      </c>
    </row>
    <row r="4193" spans="1:16" x14ac:dyDescent="0.3">
      <c r="A4193" s="160">
        <v>37076</v>
      </c>
      <c r="B4193" t="s">
        <v>19391</v>
      </c>
      <c r="C4193" t="s">
        <v>19376</v>
      </c>
      <c r="D4193">
        <v>0.6</v>
      </c>
      <c r="E4193">
        <v>0</v>
      </c>
      <c r="F4193">
        <f t="shared" si="65"/>
        <v>0.6</v>
      </c>
      <c r="I4193">
        <v>20240101</v>
      </c>
      <c r="J4193" t="s">
        <v>19377</v>
      </c>
      <c r="K4193" t="s">
        <v>19388</v>
      </c>
    </row>
    <row r="4194" spans="1:16" x14ac:dyDescent="0.3">
      <c r="A4194" s="160">
        <v>37088</v>
      </c>
      <c r="B4194" t="s">
        <v>19392</v>
      </c>
      <c r="C4194" t="s">
        <v>19376</v>
      </c>
      <c r="D4194">
        <v>0.6</v>
      </c>
      <c r="E4194">
        <v>0</v>
      </c>
      <c r="F4194">
        <f t="shared" si="65"/>
        <v>0.6</v>
      </c>
      <c r="I4194">
        <v>20240101</v>
      </c>
      <c r="J4194" t="s">
        <v>19377</v>
      </c>
    </row>
    <row r="4195" spans="1:16" x14ac:dyDescent="0.3">
      <c r="A4195" s="160">
        <v>37089</v>
      </c>
      <c r="B4195" t="s">
        <v>19393</v>
      </c>
      <c r="C4195" t="s">
        <v>19376</v>
      </c>
      <c r="D4195">
        <v>0.6</v>
      </c>
      <c r="E4195">
        <v>0</v>
      </c>
      <c r="F4195">
        <f t="shared" si="65"/>
        <v>0.6</v>
      </c>
      <c r="I4195">
        <v>20240101</v>
      </c>
      <c r="J4195" t="s">
        <v>19377</v>
      </c>
      <c r="K4195" t="s">
        <v>19387</v>
      </c>
      <c r="L4195" t="s">
        <v>19388</v>
      </c>
    </row>
    <row r="4196" spans="1:16" x14ac:dyDescent="0.3">
      <c r="A4196" s="160">
        <v>37099</v>
      </c>
      <c r="B4196" t="s">
        <v>19394</v>
      </c>
      <c r="C4196" t="s">
        <v>4331</v>
      </c>
      <c r="D4196">
        <v>2</v>
      </c>
      <c r="E4196">
        <v>0</v>
      </c>
      <c r="F4196">
        <f t="shared" si="65"/>
        <v>2</v>
      </c>
      <c r="I4196">
        <v>20140101</v>
      </c>
      <c r="J4196" t="s">
        <v>4344</v>
      </c>
    </row>
    <row r="4197" spans="1:16" x14ac:dyDescent="0.3">
      <c r="A4197" s="160">
        <v>37109</v>
      </c>
      <c r="B4197" t="s">
        <v>19395</v>
      </c>
      <c r="C4197" t="s">
        <v>4331</v>
      </c>
      <c r="D4197">
        <v>2</v>
      </c>
      <c r="E4197">
        <v>0</v>
      </c>
      <c r="F4197">
        <f t="shared" si="65"/>
        <v>2</v>
      </c>
      <c r="I4197">
        <v>20140101</v>
      </c>
      <c r="J4197" t="s">
        <v>4345</v>
      </c>
    </row>
    <row r="4198" spans="1:16" x14ac:dyDescent="0.3">
      <c r="A4198" s="160">
        <v>37118</v>
      </c>
      <c r="B4198" t="s">
        <v>19396</v>
      </c>
      <c r="C4198" t="s">
        <v>19376</v>
      </c>
      <c r="D4198">
        <v>0.6</v>
      </c>
      <c r="E4198">
        <v>0</v>
      </c>
      <c r="F4198">
        <f t="shared" si="65"/>
        <v>0.6</v>
      </c>
      <c r="I4198">
        <v>20240101</v>
      </c>
      <c r="J4198" t="s">
        <v>19379</v>
      </c>
    </row>
    <row r="4199" spans="1:16" x14ac:dyDescent="0.3">
      <c r="A4199" s="160">
        <v>37122</v>
      </c>
      <c r="B4199" t="s">
        <v>19397</v>
      </c>
      <c r="C4199" t="s">
        <v>4331</v>
      </c>
      <c r="D4199">
        <v>2</v>
      </c>
      <c r="E4199">
        <v>0</v>
      </c>
      <c r="F4199">
        <f t="shared" si="65"/>
        <v>2</v>
      </c>
      <c r="I4199">
        <v>20140101</v>
      </c>
      <c r="J4199" t="s">
        <v>4346</v>
      </c>
      <c r="K4199" t="s">
        <v>4347</v>
      </c>
      <c r="L4199" t="s">
        <v>4348</v>
      </c>
      <c r="M4199" t="s">
        <v>4349</v>
      </c>
      <c r="N4199" t="s">
        <v>4332</v>
      </c>
      <c r="O4199" t="s">
        <v>4333</v>
      </c>
      <c r="P4199" t="s">
        <v>4350</v>
      </c>
    </row>
    <row r="4200" spans="1:16" x14ac:dyDescent="0.3">
      <c r="A4200" s="160">
        <v>37126</v>
      </c>
      <c r="B4200" t="s">
        <v>19398</v>
      </c>
      <c r="C4200" t="s">
        <v>19376</v>
      </c>
      <c r="D4200">
        <v>0.6</v>
      </c>
      <c r="E4200">
        <v>0</v>
      </c>
      <c r="F4200">
        <f t="shared" si="65"/>
        <v>0.6</v>
      </c>
      <c r="I4200">
        <v>20240101</v>
      </c>
      <c r="J4200" t="s">
        <v>19377</v>
      </c>
    </row>
    <row r="4201" spans="1:16" x14ac:dyDescent="0.3">
      <c r="A4201" s="160">
        <v>37139</v>
      </c>
      <c r="B4201" t="s">
        <v>19399</v>
      </c>
      <c r="C4201" t="s">
        <v>4331</v>
      </c>
      <c r="D4201">
        <v>2</v>
      </c>
      <c r="E4201">
        <v>0</v>
      </c>
      <c r="F4201">
        <f t="shared" si="65"/>
        <v>2</v>
      </c>
      <c r="I4201">
        <v>20140101</v>
      </c>
      <c r="J4201" t="s">
        <v>4351</v>
      </c>
      <c r="K4201" t="s">
        <v>4345</v>
      </c>
    </row>
    <row r="4202" spans="1:16" x14ac:dyDescent="0.3">
      <c r="A4202" s="160">
        <v>37144</v>
      </c>
      <c r="B4202" t="s">
        <v>19400</v>
      </c>
      <c r="C4202" t="s">
        <v>19376</v>
      </c>
      <c r="D4202">
        <v>0.6</v>
      </c>
      <c r="E4202">
        <v>0</v>
      </c>
      <c r="F4202">
        <f t="shared" si="65"/>
        <v>0.6</v>
      </c>
      <c r="I4202">
        <v>20240101</v>
      </c>
      <c r="J4202" t="s">
        <v>19377</v>
      </c>
    </row>
    <row r="4203" spans="1:16" x14ac:dyDescent="0.3">
      <c r="A4203" s="160">
        <v>37151</v>
      </c>
      <c r="B4203" t="s">
        <v>19401</v>
      </c>
      <c r="C4203" t="s">
        <v>4331</v>
      </c>
      <c r="D4203">
        <v>2</v>
      </c>
      <c r="E4203">
        <v>0</v>
      </c>
      <c r="F4203">
        <f t="shared" si="65"/>
        <v>2</v>
      </c>
      <c r="I4203">
        <v>20140101</v>
      </c>
      <c r="J4203" t="s">
        <v>4343</v>
      </c>
    </row>
    <row r="4204" spans="1:16" x14ac:dyDescent="0.3">
      <c r="A4204" s="160">
        <v>37152</v>
      </c>
      <c r="B4204" t="s">
        <v>19402</v>
      </c>
      <c r="C4204" t="s">
        <v>4331</v>
      </c>
      <c r="D4204">
        <v>2</v>
      </c>
      <c r="E4204">
        <v>0</v>
      </c>
      <c r="F4204">
        <f t="shared" si="65"/>
        <v>2</v>
      </c>
      <c r="I4204">
        <v>20140101</v>
      </c>
      <c r="J4204" t="s">
        <v>4352</v>
      </c>
      <c r="K4204" t="s">
        <v>4343</v>
      </c>
    </row>
    <row r="4205" spans="1:16" x14ac:dyDescent="0.3">
      <c r="A4205" s="160">
        <v>37172</v>
      </c>
      <c r="B4205" t="s">
        <v>19403</v>
      </c>
      <c r="C4205" t="s">
        <v>4331</v>
      </c>
      <c r="D4205">
        <v>2</v>
      </c>
      <c r="E4205">
        <v>0</v>
      </c>
      <c r="F4205">
        <f t="shared" si="65"/>
        <v>2</v>
      </c>
      <c r="I4205">
        <v>20140101</v>
      </c>
      <c r="J4205" t="s">
        <v>4353</v>
      </c>
      <c r="K4205" t="s">
        <v>4354</v>
      </c>
      <c r="L4205" t="s">
        <v>4352</v>
      </c>
      <c r="M4205" t="s">
        <v>4355</v>
      </c>
      <c r="N4205" t="s">
        <v>4356</v>
      </c>
      <c r="O4205" t="s">
        <v>4343</v>
      </c>
      <c r="P4205" t="s">
        <v>4357</v>
      </c>
    </row>
    <row r="4206" spans="1:16" x14ac:dyDescent="0.3">
      <c r="A4206" s="160">
        <v>37179</v>
      </c>
      <c r="B4206" t="s">
        <v>19404</v>
      </c>
      <c r="C4206" t="s">
        <v>4331</v>
      </c>
      <c r="D4206">
        <v>2</v>
      </c>
      <c r="E4206">
        <v>0</v>
      </c>
      <c r="F4206">
        <f t="shared" si="65"/>
        <v>2</v>
      </c>
      <c r="I4206">
        <v>20140101</v>
      </c>
      <c r="J4206" t="s">
        <v>4358</v>
      </c>
      <c r="K4206" t="s">
        <v>4352</v>
      </c>
      <c r="L4206" t="s">
        <v>4359</v>
      </c>
      <c r="M4206" t="s">
        <v>4360</v>
      </c>
      <c r="N4206" t="s">
        <v>4361</v>
      </c>
      <c r="O4206" t="s">
        <v>4362</v>
      </c>
    </row>
    <row r="4207" spans="1:16" x14ac:dyDescent="0.3">
      <c r="A4207" s="160">
        <v>37195</v>
      </c>
      <c r="B4207" t="s">
        <v>19405</v>
      </c>
      <c r="C4207" t="s">
        <v>4331</v>
      </c>
      <c r="D4207">
        <v>2</v>
      </c>
      <c r="E4207">
        <v>0</v>
      </c>
      <c r="F4207">
        <f t="shared" si="65"/>
        <v>2</v>
      </c>
      <c r="I4207">
        <v>20140101</v>
      </c>
      <c r="J4207" t="s">
        <v>4363</v>
      </c>
      <c r="K4207" t="s">
        <v>4364</v>
      </c>
      <c r="L4207" t="s">
        <v>4365</v>
      </c>
      <c r="M4207" t="s">
        <v>4366</v>
      </c>
      <c r="N4207" t="s">
        <v>4367</v>
      </c>
    </row>
    <row r="4208" spans="1:16" x14ac:dyDescent="0.3">
      <c r="A4208" s="160">
        <v>37201</v>
      </c>
      <c r="B4208" t="s">
        <v>19406</v>
      </c>
      <c r="C4208" t="s">
        <v>19376</v>
      </c>
      <c r="D4208">
        <v>0.6</v>
      </c>
      <c r="E4208">
        <v>0</v>
      </c>
      <c r="F4208">
        <f t="shared" si="65"/>
        <v>0.6</v>
      </c>
      <c r="I4208">
        <v>20240101</v>
      </c>
      <c r="J4208" t="s">
        <v>19377</v>
      </c>
    </row>
    <row r="4209" spans="1:78" x14ac:dyDescent="0.3">
      <c r="A4209" s="160">
        <v>37202</v>
      </c>
      <c r="B4209" t="s">
        <v>19407</v>
      </c>
      <c r="C4209" t="s">
        <v>19376</v>
      </c>
      <c r="D4209">
        <v>0.6</v>
      </c>
      <c r="E4209">
        <v>0</v>
      </c>
      <c r="F4209">
        <f t="shared" si="65"/>
        <v>0.6</v>
      </c>
      <c r="I4209">
        <v>20240101</v>
      </c>
      <c r="J4209" t="s">
        <v>19377</v>
      </c>
      <c r="K4209" t="s">
        <v>19387</v>
      </c>
    </row>
    <row r="4210" spans="1:78" x14ac:dyDescent="0.3">
      <c r="A4210" s="160">
        <v>37203</v>
      </c>
      <c r="B4210" t="s">
        <v>19408</v>
      </c>
      <c r="C4210" t="s">
        <v>4331</v>
      </c>
      <c r="D4210">
        <v>2</v>
      </c>
      <c r="E4210">
        <v>0</v>
      </c>
      <c r="F4210">
        <f t="shared" si="65"/>
        <v>2</v>
      </c>
      <c r="I4210">
        <v>20140101</v>
      </c>
      <c r="J4210" t="s">
        <v>4362</v>
      </c>
    </row>
    <row r="4211" spans="1:78" x14ac:dyDescent="0.3">
      <c r="A4211" s="160">
        <v>37208</v>
      </c>
      <c r="B4211" t="s">
        <v>19409</v>
      </c>
      <c r="C4211" t="s">
        <v>4331</v>
      </c>
      <c r="D4211">
        <v>2</v>
      </c>
      <c r="E4211">
        <v>0</v>
      </c>
      <c r="F4211">
        <f t="shared" si="65"/>
        <v>2</v>
      </c>
      <c r="I4211">
        <v>20140101</v>
      </c>
      <c r="J4211" t="s">
        <v>4368</v>
      </c>
      <c r="K4211" t="s">
        <v>4369</v>
      </c>
      <c r="L4211" t="s">
        <v>4370</v>
      </c>
      <c r="M4211" t="s">
        <v>4371</v>
      </c>
      <c r="N4211" t="s">
        <v>4372</v>
      </c>
      <c r="O4211" t="s">
        <v>4373</v>
      </c>
      <c r="P4211" t="s">
        <v>4374</v>
      </c>
      <c r="Q4211" t="s">
        <v>4375</v>
      </c>
    </row>
    <row r="4212" spans="1:78" x14ac:dyDescent="0.3">
      <c r="A4212" s="160">
        <v>37210</v>
      </c>
      <c r="B4212" t="s">
        <v>19410</v>
      </c>
      <c r="C4212" t="s">
        <v>19376</v>
      </c>
      <c r="D4212">
        <v>0.6</v>
      </c>
      <c r="E4212">
        <v>0</v>
      </c>
      <c r="F4212">
        <f t="shared" si="65"/>
        <v>0.6</v>
      </c>
      <c r="I4212">
        <v>20240101</v>
      </c>
      <c r="J4212" t="s">
        <v>19377</v>
      </c>
      <c r="K4212" t="s">
        <v>19387</v>
      </c>
      <c r="L4212" t="s">
        <v>19388</v>
      </c>
    </row>
    <row r="4213" spans="1:78" x14ac:dyDescent="0.3">
      <c r="A4213" s="160">
        <v>37214</v>
      </c>
      <c r="B4213" t="s">
        <v>19411</v>
      </c>
      <c r="C4213" t="s">
        <v>4331</v>
      </c>
      <c r="D4213">
        <v>2</v>
      </c>
      <c r="E4213">
        <v>0</v>
      </c>
      <c r="F4213">
        <f t="shared" si="65"/>
        <v>2</v>
      </c>
      <c r="I4213">
        <v>20140101</v>
      </c>
      <c r="J4213" t="s">
        <v>4352</v>
      </c>
      <c r="K4213" t="s">
        <v>4376</v>
      </c>
      <c r="L4213" t="s">
        <v>4357</v>
      </c>
      <c r="M4213" t="s">
        <v>4377</v>
      </c>
    </row>
    <row r="4214" spans="1:78" x14ac:dyDescent="0.3">
      <c r="A4214" s="160">
        <v>37217</v>
      </c>
      <c r="B4214" t="s">
        <v>19412</v>
      </c>
      <c r="C4214" t="s">
        <v>4331</v>
      </c>
      <c r="D4214">
        <v>2</v>
      </c>
      <c r="E4214">
        <v>0</v>
      </c>
      <c r="F4214">
        <f t="shared" si="65"/>
        <v>2</v>
      </c>
      <c r="I4214">
        <v>20140101</v>
      </c>
      <c r="J4214" t="s">
        <v>4345</v>
      </c>
    </row>
    <row r="4215" spans="1:78" x14ac:dyDescent="0.3">
      <c r="A4215" s="160">
        <v>37219</v>
      </c>
      <c r="B4215" t="s">
        <v>19413</v>
      </c>
      <c r="C4215" t="s">
        <v>4331</v>
      </c>
      <c r="D4215">
        <v>2</v>
      </c>
      <c r="E4215">
        <v>0</v>
      </c>
      <c r="F4215">
        <f t="shared" si="65"/>
        <v>2</v>
      </c>
      <c r="I4215">
        <v>20140101</v>
      </c>
      <c r="J4215" t="s">
        <v>4334</v>
      </c>
      <c r="BP4215" t="s">
        <v>4430</v>
      </c>
      <c r="BQ4215" t="s">
        <v>4431</v>
      </c>
      <c r="BR4215" t="s">
        <v>4432</v>
      </c>
      <c r="BS4215" t="s">
        <v>4433</v>
      </c>
      <c r="BT4215" t="s">
        <v>4434</v>
      </c>
      <c r="BU4215" t="s">
        <v>4435</v>
      </c>
      <c r="BV4215" t="s">
        <v>4436</v>
      </c>
      <c r="BW4215" t="s">
        <v>4437</v>
      </c>
      <c r="BX4215" t="s">
        <v>4438</v>
      </c>
      <c r="BY4215" t="s">
        <v>4439</v>
      </c>
      <c r="BZ4215" t="s">
        <v>4440</v>
      </c>
    </row>
    <row r="4216" spans="1:78" x14ac:dyDescent="0.3">
      <c r="A4216" s="160">
        <v>37220</v>
      </c>
      <c r="B4216" t="s">
        <v>19414</v>
      </c>
      <c r="C4216" t="s">
        <v>19376</v>
      </c>
      <c r="D4216">
        <v>0.6</v>
      </c>
      <c r="E4216">
        <v>0</v>
      </c>
      <c r="F4216">
        <f t="shared" si="65"/>
        <v>0.6</v>
      </c>
      <c r="I4216">
        <v>20240101</v>
      </c>
      <c r="J4216" t="s">
        <v>19377</v>
      </c>
    </row>
    <row r="4217" spans="1:78" x14ac:dyDescent="0.3">
      <c r="A4217" s="160">
        <v>37233</v>
      </c>
      <c r="B4217" t="s">
        <v>19415</v>
      </c>
      <c r="C4217" t="s">
        <v>4331</v>
      </c>
      <c r="D4217">
        <v>2</v>
      </c>
      <c r="E4217">
        <v>0</v>
      </c>
      <c r="F4217">
        <f t="shared" si="65"/>
        <v>2</v>
      </c>
      <c r="I4217">
        <v>20140101</v>
      </c>
      <c r="J4217" t="s">
        <v>4378</v>
      </c>
      <c r="K4217" t="s">
        <v>4379</v>
      </c>
      <c r="L4217" t="s">
        <v>4380</v>
      </c>
      <c r="M4217" t="s">
        <v>4381</v>
      </c>
      <c r="N4217" t="s">
        <v>4382</v>
      </c>
      <c r="O4217" t="s">
        <v>4383</v>
      </c>
    </row>
    <row r="4218" spans="1:78" x14ac:dyDescent="0.3">
      <c r="A4218" s="160">
        <v>37242</v>
      </c>
      <c r="B4218" t="s">
        <v>19416</v>
      </c>
      <c r="C4218" t="s">
        <v>19376</v>
      </c>
      <c r="D4218">
        <v>0.6</v>
      </c>
      <c r="E4218">
        <v>0</v>
      </c>
      <c r="F4218">
        <f t="shared" si="65"/>
        <v>0.6</v>
      </c>
      <c r="I4218">
        <v>20240101</v>
      </c>
      <c r="J4218" t="s">
        <v>19379</v>
      </c>
    </row>
    <row r="4219" spans="1:78" x14ac:dyDescent="0.3">
      <c r="A4219" s="160">
        <v>37243</v>
      </c>
      <c r="B4219" t="s">
        <v>19417</v>
      </c>
      <c r="C4219" t="s">
        <v>4331</v>
      </c>
      <c r="D4219">
        <v>2</v>
      </c>
      <c r="E4219">
        <v>0</v>
      </c>
      <c r="F4219">
        <f t="shared" si="65"/>
        <v>2</v>
      </c>
      <c r="I4219">
        <v>20140101</v>
      </c>
      <c r="J4219" t="s">
        <v>4334</v>
      </c>
    </row>
    <row r="4220" spans="1:78" x14ac:dyDescent="0.3">
      <c r="A4220" s="160">
        <v>37248</v>
      </c>
      <c r="B4220" t="s">
        <v>19418</v>
      </c>
      <c r="C4220" t="s">
        <v>19376</v>
      </c>
      <c r="D4220">
        <v>0.6</v>
      </c>
      <c r="E4220">
        <v>0</v>
      </c>
      <c r="F4220">
        <f t="shared" si="65"/>
        <v>0.6</v>
      </c>
      <c r="I4220">
        <v>20240101</v>
      </c>
      <c r="J4220" t="s">
        <v>19377</v>
      </c>
    </row>
    <row r="4221" spans="1:78" x14ac:dyDescent="0.3">
      <c r="A4221" s="160">
        <v>37258</v>
      </c>
      <c r="B4221" t="s">
        <v>19419</v>
      </c>
      <c r="C4221" t="s">
        <v>19376</v>
      </c>
      <c r="D4221">
        <v>0.6</v>
      </c>
      <c r="E4221">
        <v>0</v>
      </c>
      <c r="F4221">
        <f t="shared" si="65"/>
        <v>0.6</v>
      </c>
      <c r="I4221">
        <v>20240101</v>
      </c>
      <c r="J4221" t="s">
        <v>19377</v>
      </c>
    </row>
    <row r="4222" spans="1:78" x14ac:dyDescent="0.3">
      <c r="A4222" s="160">
        <v>37261</v>
      </c>
      <c r="B4222" t="s">
        <v>19420</v>
      </c>
      <c r="C4222" t="s">
        <v>4331</v>
      </c>
      <c r="D4222">
        <v>2</v>
      </c>
      <c r="E4222">
        <v>0</v>
      </c>
      <c r="F4222">
        <f t="shared" si="65"/>
        <v>2</v>
      </c>
      <c r="I4222">
        <v>20140101</v>
      </c>
      <c r="J4222" t="s">
        <v>4384</v>
      </c>
      <c r="K4222" t="s">
        <v>4385</v>
      </c>
      <c r="L4222" t="s">
        <v>4386</v>
      </c>
      <c r="M4222" t="s">
        <v>4387</v>
      </c>
      <c r="N4222" t="s">
        <v>4388</v>
      </c>
      <c r="O4222" t="s">
        <v>4389</v>
      </c>
      <c r="P4222" t="s">
        <v>4390</v>
      </c>
      <c r="Q4222" t="s">
        <v>4391</v>
      </c>
      <c r="R4222" t="s">
        <v>4392</v>
      </c>
      <c r="S4222" t="s">
        <v>4393</v>
      </c>
      <c r="T4222" t="s">
        <v>4394</v>
      </c>
      <c r="U4222" t="s">
        <v>4395</v>
      </c>
      <c r="V4222" t="s">
        <v>4396</v>
      </c>
      <c r="W4222" t="s">
        <v>4397</v>
      </c>
      <c r="X4222" t="s">
        <v>4398</v>
      </c>
      <c r="Y4222" t="s">
        <v>4399</v>
      </c>
      <c r="Z4222" t="s">
        <v>4400</v>
      </c>
      <c r="AA4222" t="s">
        <v>4401</v>
      </c>
      <c r="AB4222" t="s">
        <v>4402</v>
      </c>
      <c r="AC4222" t="s">
        <v>4403</v>
      </c>
      <c r="AD4222" t="s">
        <v>4404</v>
      </c>
      <c r="AE4222" t="s">
        <v>4405</v>
      </c>
      <c r="AF4222" t="s">
        <v>4406</v>
      </c>
      <c r="AG4222" t="s">
        <v>4407</v>
      </c>
      <c r="AH4222" t="s">
        <v>4408</v>
      </c>
      <c r="AI4222" t="s">
        <v>4409</v>
      </c>
      <c r="AJ4222" t="s">
        <v>4410</v>
      </c>
      <c r="AK4222" t="s">
        <v>4411</v>
      </c>
      <c r="AL4222" t="s">
        <v>4412</v>
      </c>
      <c r="AM4222" t="s">
        <v>4413</v>
      </c>
      <c r="AN4222" t="s">
        <v>4414</v>
      </c>
      <c r="AO4222" t="s">
        <v>4415</v>
      </c>
      <c r="AP4222" t="s">
        <v>4416</v>
      </c>
      <c r="AQ4222" t="s">
        <v>4417</v>
      </c>
      <c r="AR4222" t="s">
        <v>4353</v>
      </c>
      <c r="AS4222" t="s">
        <v>4354</v>
      </c>
      <c r="AT4222" t="s">
        <v>4358</v>
      </c>
      <c r="AU4222" t="s">
        <v>4352</v>
      </c>
      <c r="AV4222" t="s">
        <v>4355</v>
      </c>
      <c r="AW4222" t="s">
        <v>4418</v>
      </c>
      <c r="AX4222" t="s">
        <v>4419</v>
      </c>
      <c r="AY4222" t="s">
        <v>4420</v>
      </c>
      <c r="AZ4222" t="s">
        <v>4421</v>
      </c>
      <c r="BA4222" t="s">
        <v>4422</v>
      </c>
      <c r="BB4222" t="s">
        <v>4360</v>
      </c>
      <c r="BC4222" t="s">
        <v>4423</v>
      </c>
      <c r="BD4222" t="s">
        <v>4361</v>
      </c>
      <c r="BE4222" t="s">
        <v>4356</v>
      </c>
      <c r="BF4222" t="s">
        <v>4424</v>
      </c>
      <c r="BG4222" t="s">
        <v>4425</v>
      </c>
      <c r="BH4222" t="s">
        <v>4426</v>
      </c>
      <c r="BI4222" t="s">
        <v>4427</v>
      </c>
      <c r="BJ4222" t="s">
        <v>4363</v>
      </c>
      <c r="BK4222" t="s">
        <v>4364</v>
      </c>
      <c r="BL4222" t="s">
        <v>4365</v>
      </c>
      <c r="BM4222" t="s">
        <v>4428</v>
      </c>
      <c r="BN4222" t="s">
        <v>4369</v>
      </c>
      <c r="BO4222" t="s">
        <v>4429</v>
      </c>
    </row>
    <row r="4223" spans="1:78" x14ac:dyDescent="0.3">
      <c r="A4223" s="160">
        <v>37270</v>
      </c>
      <c r="B4223" t="s">
        <v>19421</v>
      </c>
      <c r="C4223" t="s">
        <v>4331</v>
      </c>
      <c r="D4223">
        <v>2</v>
      </c>
      <c r="E4223">
        <v>0</v>
      </c>
      <c r="F4223">
        <f t="shared" si="65"/>
        <v>2</v>
      </c>
      <c r="I4223">
        <v>20190701</v>
      </c>
      <c r="J4223" t="s">
        <v>4362</v>
      </c>
    </row>
    <row r="4224" spans="1:78" x14ac:dyDescent="0.3">
      <c r="A4224" s="160">
        <v>37272</v>
      </c>
      <c r="B4224" t="s">
        <v>19422</v>
      </c>
      <c r="C4224" t="s">
        <v>4331</v>
      </c>
      <c r="D4224">
        <v>2</v>
      </c>
      <c r="E4224">
        <v>0</v>
      </c>
      <c r="F4224">
        <f t="shared" si="65"/>
        <v>2</v>
      </c>
      <c r="I4224">
        <v>20140101</v>
      </c>
      <c r="J4224" t="s">
        <v>4334</v>
      </c>
    </row>
    <row r="4225" spans="1:16" x14ac:dyDescent="0.3">
      <c r="A4225" s="160">
        <v>37273</v>
      </c>
      <c r="B4225" t="s">
        <v>19423</v>
      </c>
      <c r="C4225" t="s">
        <v>4331</v>
      </c>
      <c r="D4225">
        <v>2</v>
      </c>
      <c r="E4225">
        <v>0</v>
      </c>
      <c r="F4225">
        <f t="shared" si="65"/>
        <v>2</v>
      </c>
      <c r="I4225">
        <v>20190701</v>
      </c>
      <c r="J4225" t="s">
        <v>4379</v>
      </c>
      <c r="K4225" t="s">
        <v>4380</v>
      </c>
      <c r="L4225" t="s">
        <v>4381</v>
      </c>
      <c r="M4225" t="s">
        <v>4382</v>
      </c>
      <c r="N4225" t="s">
        <v>4383</v>
      </c>
    </row>
    <row r="4226" spans="1:16" x14ac:dyDescent="0.3">
      <c r="A4226" s="160">
        <v>37281</v>
      </c>
      <c r="B4226" t="s">
        <v>19424</v>
      </c>
      <c r="C4226" t="s">
        <v>4331</v>
      </c>
      <c r="D4226">
        <v>2</v>
      </c>
      <c r="E4226">
        <v>0</v>
      </c>
      <c r="F4226">
        <f t="shared" si="65"/>
        <v>2</v>
      </c>
      <c r="I4226">
        <v>20190701</v>
      </c>
      <c r="J4226" t="s">
        <v>4362</v>
      </c>
    </row>
    <row r="4227" spans="1:16" x14ac:dyDescent="0.3">
      <c r="A4227" s="160">
        <v>38002</v>
      </c>
      <c r="B4227" t="s">
        <v>19425</v>
      </c>
      <c r="C4227" t="s">
        <v>4441</v>
      </c>
      <c r="D4227">
        <v>1.7</v>
      </c>
      <c r="E4227">
        <v>0</v>
      </c>
      <c r="F4227">
        <f t="shared" si="65"/>
        <v>1.7</v>
      </c>
      <c r="I4227">
        <v>20250101</v>
      </c>
      <c r="J4227" t="s">
        <v>4442</v>
      </c>
      <c r="K4227" t="s">
        <v>4443</v>
      </c>
    </row>
    <row r="4228" spans="1:16" x14ac:dyDescent="0.3">
      <c r="A4228" s="160">
        <v>38006</v>
      </c>
      <c r="B4228" t="s">
        <v>19426</v>
      </c>
      <c r="C4228" t="s">
        <v>4441</v>
      </c>
      <c r="D4228">
        <v>1.7</v>
      </c>
      <c r="E4228">
        <v>0</v>
      </c>
      <c r="F4228">
        <f t="shared" si="65"/>
        <v>1.7</v>
      </c>
      <c r="I4228">
        <v>20250101</v>
      </c>
      <c r="J4228" t="s">
        <v>4444</v>
      </c>
    </row>
    <row r="4229" spans="1:16" x14ac:dyDescent="0.3">
      <c r="A4229" s="160">
        <v>38027</v>
      </c>
      <c r="B4229" t="s">
        <v>19427</v>
      </c>
      <c r="C4229" t="s">
        <v>4441</v>
      </c>
      <c r="D4229">
        <v>1.7</v>
      </c>
      <c r="E4229">
        <v>0</v>
      </c>
      <c r="F4229">
        <f t="shared" si="65"/>
        <v>1.7</v>
      </c>
      <c r="I4229">
        <v>20250101</v>
      </c>
      <c r="J4229" t="s">
        <v>4445</v>
      </c>
    </row>
    <row r="4230" spans="1:16" x14ac:dyDescent="0.3">
      <c r="A4230" s="160">
        <v>38039</v>
      </c>
      <c r="B4230" t="s">
        <v>19428</v>
      </c>
      <c r="C4230" t="s">
        <v>4441</v>
      </c>
      <c r="D4230">
        <v>1.7</v>
      </c>
      <c r="E4230">
        <v>0</v>
      </c>
      <c r="F4230">
        <f t="shared" si="65"/>
        <v>1.7</v>
      </c>
      <c r="I4230">
        <v>20250101</v>
      </c>
      <c r="J4230" t="s">
        <v>4442</v>
      </c>
      <c r="K4230" t="s">
        <v>4443</v>
      </c>
      <c r="L4230" t="s">
        <v>4446</v>
      </c>
    </row>
    <row r="4231" spans="1:16" x14ac:dyDescent="0.3">
      <c r="A4231" s="160">
        <v>38043</v>
      </c>
      <c r="B4231" t="s">
        <v>19429</v>
      </c>
      <c r="C4231" t="s">
        <v>4447</v>
      </c>
      <c r="D4231">
        <v>0.8</v>
      </c>
      <c r="E4231">
        <v>0</v>
      </c>
      <c r="F4231">
        <f t="shared" ref="F4231:F4294" si="66">D4231+E4231</f>
        <v>0.8</v>
      </c>
      <c r="I4231">
        <v>20110101</v>
      </c>
      <c r="J4231" t="s">
        <v>4448</v>
      </c>
    </row>
    <row r="4232" spans="1:16" x14ac:dyDescent="0.3">
      <c r="A4232" s="160">
        <v>38045</v>
      </c>
      <c r="B4232" t="s">
        <v>19430</v>
      </c>
      <c r="C4232" t="s">
        <v>4441</v>
      </c>
      <c r="D4232">
        <v>1.7</v>
      </c>
      <c r="E4232">
        <v>0</v>
      </c>
      <c r="F4232">
        <f t="shared" si="66"/>
        <v>1.7</v>
      </c>
      <c r="I4232">
        <v>20250101</v>
      </c>
      <c r="J4232" t="s">
        <v>4449</v>
      </c>
      <c r="K4232" t="s">
        <v>4450</v>
      </c>
    </row>
    <row r="4233" spans="1:16" x14ac:dyDescent="0.3">
      <c r="A4233" s="160">
        <v>38053</v>
      </c>
      <c r="B4233" t="s">
        <v>19431</v>
      </c>
      <c r="C4233" t="s">
        <v>4451</v>
      </c>
      <c r="D4233">
        <v>1.05</v>
      </c>
      <c r="E4233">
        <v>0</v>
      </c>
      <c r="F4233">
        <f t="shared" si="66"/>
        <v>1.05</v>
      </c>
      <c r="I4233">
        <v>20190101</v>
      </c>
      <c r="J4233" t="s">
        <v>4452</v>
      </c>
      <c r="K4233" t="s">
        <v>4453</v>
      </c>
      <c r="L4233" t="s">
        <v>4454</v>
      </c>
      <c r="M4233" t="s">
        <v>4455</v>
      </c>
      <c r="N4233" t="s">
        <v>4456</v>
      </c>
      <c r="O4233" t="s">
        <v>4457</v>
      </c>
      <c r="P4233" t="s">
        <v>4458</v>
      </c>
    </row>
    <row r="4234" spans="1:16" x14ac:dyDescent="0.3">
      <c r="A4234" s="160">
        <v>38057</v>
      </c>
      <c r="B4234" t="s">
        <v>19432</v>
      </c>
      <c r="C4234" t="s">
        <v>4441</v>
      </c>
      <c r="D4234">
        <v>2</v>
      </c>
      <c r="E4234">
        <v>0</v>
      </c>
      <c r="F4234">
        <f t="shared" si="66"/>
        <v>2</v>
      </c>
      <c r="I4234">
        <v>20140101</v>
      </c>
      <c r="J4234" t="s">
        <v>4459</v>
      </c>
      <c r="K4234" t="s">
        <v>4460</v>
      </c>
      <c r="L4234" t="s">
        <v>4461</v>
      </c>
    </row>
    <row r="4235" spans="1:16" x14ac:dyDescent="0.3">
      <c r="A4235" s="160">
        <v>38059</v>
      </c>
      <c r="B4235" t="s">
        <v>19433</v>
      </c>
      <c r="C4235" t="s">
        <v>4441</v>
      </c>
      <c r="D4235">
        <v>2</v>
      </c>
      <c r="E4235">
        <v>0</v>
      </c>
      <c r="F4235">
        <f t="shared" si="66"/>
        <v>2</v>
      </c>
      <c r="I4235">
        <v>20140101</v>
      </c>
      <c r="J4235" t="s">
        <v>4459</v>
      </c>
    </row>
    <row r="4236" spans="1:16" x14ac:dyDescent="0.3">
      <c r="A4236" s="160">
        <v>38061</v>
      </c>
      <c r="B4236" t="s">
        <v>19434</v>
      </c>
      <c r="C4236" t="s">
        <v>4447</v>
      </c>
      <c r="D4236">
        <v>0.8</v>
      </c>
      <c r="E4236">
        <v>0</v>
      </c>
      <c r="F4236">
        <f t="shared" si="66"/>
        <v>0.8</v>
      </c>
      <c r="I4236">
        <v>20110101</v>
      </c>
      <c r="J4236" t="s">
        <v>4462</v>
      </c>
      <c r="K4236" t="s">
        <v>4463</v>
      </c>
      <c r="L4236" t="s">
        <v>4464</v>
      </c>
    </row>
    <row r="4237" spans="1:16" x14ac:dyDescent="0.3">
      <c r="A4237" s="160">
        <v>38062</v>
      </c>
      <c r="B4237" t="s">
        <v>19435</v>
      </c>
      <c r="C4237" t="s">
        <v>4441</v>
      </c>
      <c r="D4237">
        <v>1.7</v>
      </c>
      <c r="E4237">
        <v>0</v>
      </c>
      <c r="F4237">
        <f t="shared" si="66"/>
        <v>1.7</v>
      </c>
      <c r="I4237">
        <v>20250101</v>
      </c>
      <c r="J4237" t="s">
        <v>4445</v>
      </c>
    </row>
    <row r="4238" spans="1:16" x14ac:dyDescent="0.3">
      <c r="A4238" s="160">
        <v>38068</v>
      </c>
      <c r="B4238" t="s">
        <v>19436</v>
      </c>
      <c r="C4238" t="s">
        <v>4441</v>
      </c>
      <c r="D4238">
        <v>2</v>
      </c>
      <c r="E4238">
        <v>0</v>
      </c>
      <c r="F4238">
        <f t="shared" si="66"/>
        <v>2</v>
      </c>
      <c r="I4238">
        <v>20140101</v>
      </c>
      <c r="J4238" t="s">
        <v>4465</v>
      </c>
      <c r="K4238" t="s">
        <v>4466</v>
      </c>
      <c r="L4238" t="s">
        <v>4467</v>
      </c>
    </row>
    <row r="4239" spans="1:16" x14ac:dyDescent="0.3">
      <c r="A4239" s="160">
        <v>38070</v>
      </c>
      <c r="B4239" t="s">
        <v>19437</v>
      </c>
      <c r="C4239" t="s">
        <v>4441</v>
      </c>
      <c r="D4239">
        <v>1.7</v>
      </c>
      <c r="E4239">
        <v>0</v>
      </c>
      <c r="F4239">
        <f t="shared" si="66"/>
        <v>1.7</v>
      </c>
      <c r="I4239">
        <v>20250101</v>
      </c>
      <c r="J4239" t="s">
        <v>4442</v>
      </c>
    </row>
    <row r="4240" spans="1:16" x14ac:dyDescent="0.3">
      <c r="A4240" s="160">
        <v>38071</v>
      </c>
      <c r="B4240" t="s">
        <v>19438</v>
      </c>
      <c r="C4240" t="s">
        <v>4441</v>
      </c>
      <c r="D4240">
        <v>2</v>
      </c>
      <c r="E4240">
        <v>0</v>
      </c>
      <c r="F4240">
        <f t="shared" si="66"/>
        <v>2</v>
      </c>
      <c r="I4240">
        <v>20140101</v>
      </c>
      <c r="J4240" t="s">
        <v>4468</v>
      </c>
    </row>
    <row r="4241" spans="1:11" x14ac:dyDescent="0.3">
      <c r="A4241" s="160">
        <v>38075</v>
      </c>
      <c r="B4241" t="s">
        <v>19439</v>
      </c>
      <c r="C4241" t="s">
        <v>4441</v>
      </c>
      <c r="D4241">
        <v>1.7</v>
      </c>
      <c r="E4241">
        <v>0</v>
      </c>
      <c r="F4241">
        <f t="shared" si="66"/>
        <v>1.7</v>
      </c>
      <c r="I4241">
        <v>20250101</v>
      </c>
      <c r="J4241" t="s">
        <v>4445</v>
      </c>
    </row>
    <row r="4242" spans="1:11" x14ac:dyDescent="0.3">
      <c r="A4242" s="160">
        <v>38078</v>
      </c>
      <c r="B4242" t="s">
        <v>19440</v>
      </c>
      <c r="C4242" t="s">
        <v>4441</v>
      </c>
      <c r="D4242">
        <v>1.7</v>
      </c>
      <c r="E4242">
        <v>0</v>
      </c>
      <c r="F4242">
        <f t="shared" si="66"/>
        <v>1.7</v>
      </c>
      <c r="I4242">
        <v>20250101</v>
      </c>
      <c r="J4242" t="s">
        <v>4444</v>
      </c>
    </row>
    <row r="4243" spans="1:11" x14ac:dyDescent="0.3">
      <c r="A4243" s="160">
        <v>38080</v>
      </c>
      <c r="B4243" t="s">
        <v>19441</v>
      </c>
      <c r="C4243" t="s">
        <v>4447</v>
      </c>
      <c r="D4243">
        <v>0.8</v>
      </c>
      <c r="E4243">
        <v>0</v>
      </c>
      <c r="F4243">
        <f t="shared" si="66"/>
        <v>0.8</v>
      </c>
      <c r="I4243">
        <v>20110101</v>
      </c>
      <c r="J4243" t="s">
        <v>4469</v>
      </c>
    </row>
    <row r="4244" spans="1:11" x14ac:dyDescent="0.3">
      <c r="A4244" s="160">
        <v>38082</v>
      </c>
      <c r="B4244" t="s">
        <v>19442</v>
      </c>
      <c r="C4244" t="s">
        <v>4447</v>
      </c>
      <c r="D4244">
        <v>0.8</v>
      </c>
      <c r="E4244">
        <v>0</v>
      </c>
      <c r="F4244">
        <f t="shared" si="66"/>
        <v>0.8</v>
      </c>
      <c r="I4244">
        <v>20110101</v>
      </c>
      <c r="J4244" t="s">
        <v>4448</v>
      </c>
    </row>
    <row r="4245" spans="1:11" x14ac:dyDescent="0.3">
      <c r="A4245" s="160">
        <v>38084</v>
      </c>
      <c r="B4245" t="s">
        <v>19443</v>
      </c>
      <c r="C4245" t="s">
        <v>4447</v>
      </c>
      <c r="D4245">
        <v>0.8</v>
      </c>
      <c r="E4245">
        <v>0</v>
      </c>
      <c r="F4245">
        <f t="shared" si="66"/>
        <v>0.8</v>
      </c>
      <c r="I4245">
        <v>20110101</v>
      </c>
      <c r="J4245" t="s">
        <v>4470</v>
      </c>
      <c r="K4245" t="s">
        <v>4471</v>
      </c>
    </row>
    <row r="4246" spans="1:11" x14ac:dyDescent="0.3">
      <c r="A4246" s="160">
        <v>38087</v>
      </c>
      <c r="B4246" t="s">
        <v>19444</v>
      </c>
      <c r="C4246" t="s">
        <v>4472</v>
      </c>
      <c r="D4246">
        <v>0.8</v>
      </c>
      <c r="E4246">
        <v>0</v>
      </c>
      <c r="F4246">
        <f t="shared" si="66"/>
        <v>0.8</v>
      </c>
      <c r="I4246">
        <v>20130701</v>
      </c>
      <c r="J4246" t="s">
        <v>4473</v>
      </c>
    </row>
    <row r="4247" spans="1:11" x14ac:dyDescent="0.3">
      <c r="A4247" s="160">
        <v>38091</v>
      </c>
      <c r="B4247" t="s">
        <v>19445</v>
      </c>
      <c r="C4247" t="s">
        <v>4451</v>
      </c>
      <c r="D4247">
        <v>1.05</v>
      </c>
      <c r="E4247">
        <v>0</v>
      </c>
      <c r="F4247">
        <f t="shared" si="66"/>
        <v>1.05</v>
      </c>
      <c r="I4247">
        <v>20190101</v>
      </c>
      <c r="J4247" t="s">
        <v>4452</v>
      </c>
    </row>
    <row r="4248" spans="1:11" x14ac:dyDescent="0.3">
      <c r="A4248" s="160">
        <v>38100</v>
      </c>
      <c r="B4248" t="s">
        <v>19446</v>
      </c>
      <c r="C4248" t="s">
        <v>4441</v>
      </c>
      <c r="D4248">
        <v>1.7</v>
      </c>
      <c r="E4248">
        <v>0</v>
      </c>
      <c r="F4248">
        <f t="shared" si="66"/>
        <v>1.7</v>
      </c>
      <c r="I4248">
        <v>20250101</v>
      </c>
      <c r="J4248" t="s">
        <v>4474</v>
      </c>
    </row>
    <row r="4249" spans="1:11" x14ac:dyDescent="0.3">
      <c r="A4249" s="160">
        <v>38102</v>
      </c>
      <c r="B4249" t="s">
        <v>19447</v>
      </c>
      <c r="C4249" t="s">
        <v>4451</v>
      </c>
      <c r="D4249">
        <v>1.05</v>
      </c>
      <c r="E4249">
        <v>0</v>
      </c>
      <c r="F4249">
        <f t="shared" si="66"/>
        <v>1.05</v>
      </c>
      <c r="I4249">
        <v>20190101</v>
      </c>
      <c r="J4249" t="s">
        <v>4452</v>
      </c>
    </row>
    <row r="4250" spans="1:11" x14ac:dyDescent="0.3">
      <c r="A4250" s="160">
        <v>38105</v>
      </c>
      <c r="B4250" t="s">
        <v>19448</v>
      </c>
      <c r="C4250" t="s">
        <v>4447</v>
      </c>
      <c r="D4250">
        <v>0.8</v>
      </c>
      <c r="E4250">
        <v>0</v>
      </c>
      <c r="F4250">
        <f t="shared" si="66"/>
        <v>0.8</v>
      </c>
      <c r="I4250">
        <v>20110101</v>
      </c>
      <c r="J4250" t="s">
        <v>4448</v>
      </c>
    </row>
    <row r="4251" spans="1:11" x14ac:dyDescent="0.3">
      <c r="A4251" s="160">
        <v>38107</v>
      </c>
      <c r="B4251" t="s">
        <v>19449</v>
      </c>
      <c r="C4251" t="s">
        <v>4472</v>
      </c>
      <c r="D4251">
        <v>0.8</v>
      </c>
      <c r="E4251">
        <v>0</v>
      </c>
      <c r="F4251">
        <f t="shared" si="66"/>
        <v>0.8</v>
      </c>
      <c r="I4251">
        <v>20130701</v>
      </c>
      <c r="J4251" t="s">
        <v>4475</v>
      </c>
      <c r="K4251" t="s">
        <v>4476</v>
      </c>
    </row>
    <row r="4252" spans="1:11" x14ac:dyDescent="0.3">
      <c r="A4252" s="160">
        <v>38110</v>
      </c>
      <c r="B4252" t="s">
        <v>19450</v>
      </c>
      <c r="C4252" t="s">
        <v>4472</v>
      </c>
      <c r="D4252">
        <v>0.8</v>
      </c>
      <c r="E4252">
        <v>0</v>
      </c>
      <c r="F4252">
        <f t="shared" si="66"/>
        <v>0.8</v>
      </c>
      <c r="I4252">
        <v>20130701</v>
      </c>
      <c r="J4252" t="s">
        <v>4477</v>
      </c>
    </row>
    <row r="4253" spans="1:11" x14ac:dyDescent="0.3">
      <c r="A4253" s="160">
        <v>38111</v>
      </c>
      <c r="B4253" t="s">
        <v>16639</v>
      </c>
      <c r="C4253" t="s">
        <v>4441</v>
      </c>
      <c r="D4253">
        <v>2</v>
      </c>
      <c r="E4253">
        <v>0</v>
      </c>
      <c r="F4253">
        <f t="shared" si="66"/>
        <v>2</v>
      </c>
      <c r="I4253">
        <v>20111101</v>
      </c>
      <c r="J4253" t="s">
        <v>4478</v>
      </c>
    </row>
    <row r="4254" spans="1:11" x14ac:dyDescent="0.3">
      <c r="A4254" s="160">
        <v>38120</v>
      </c>
      <c r="B4254" t="s">
        <v>19451</v>
      </c>
      <c r="C4254" t="s">
        <v>4441</v>
      </c>
      <c r="D4254">
        <v>1.7</v>
      </c>
      <c r="E4254">
        <v>0</v>
      </c>
      <c r="F4254">
        <f t="shared" si="66"/>
        <v>1.7</v>
      </c>
      <c r="I4254">
        <v>20250101</v>
      </c>
      <c r="J4254" t="s">
        <v>4442</v>
      </c>
    </row>
    <row r="4255" spans="1:11" x14ac:dyDescent="0.3">
      <c r="A4255" s="160">
        <v>38126</v>
      </c>
      <c r="B4255" t="s">
        <v>19452</v>
      </c>
      <c r="C4255" t="s">
        <v>4441</v>
      </c>
      <c r="D4255">
        <v>2</v>
      </c>
      <c r="E4255">
        <v>0</v>
      </c>
      <c r="F4255">
        <f t="shared" si="66"/>
        <v>2</v>
      </c>
      <c r="I4255">
        <v>20111101</v>
      </c>
      <c r="J4255" t="s">
        <v>4479</v>
      </c>
    </row>
    <row r="4256" spans="1:11" x14ac:dyDescent="0.3">
      <c r="A4256" s="160">
        <v>38131</v>
      </c>
      <c r="B4256" t="s">
        <v>19453</v>
      </c>
      <c r="C4256" t="s">
        <v>4472</v>
      </c>
      <c r="D4256">
        <v>0.8</v>
      </c>
      <c r="E4256">
        <v>0</v>
      </c>
      <c r="F4256">
        <f t="shared" si="66"/>
        <v>0.8</v>
      </c>
      <c r="I4256">
        <v>20130701</v>
      </c>
      <c r="J4256" t="s">
        <v>4480</v>
      </c>
    </row>
    <row r="4257" spans="1:16" x14ac:dyDescent="0.3">
      <c r="A4257" s="160">
        <v>38133</v>
      </c>
      <c r="B4257" t="s">
        <v>19454</v>
      </c>
      <c r="C4257" t="s">
        <v>4447</v>
      </c>
      <c r="D4257">
        <v>0.8</v>
      </c>
      <c r="E4257">
        <v>0</v>
      </c>
      <c r="F4257">
        <f t="shared" si="66"/>
        <v>0.8</v>
      </c>
      <c r="I4257">
        <v>20110101</v>
      </c>
      <c r="J4257" t="s">
        <v>4462</v>
      </c>
      <c r="K4257" t="s">
        <v>4481</v>
      </c>
      <c r="L4257" t="s">
        <v>4482</v>
      </c>
      <c r="M4257" t="s">
        <v>4463</v>
      </c>
      <c r="N4257" t="s">
        <v>4483</v>
      </c>
      <c r="O4257" t="s">
        <v>4484</v>
      </c>
      <c r="P4257" t="s">
        <v>4464</v>
      </c>
    </row>
    <row r="4258" spans="1:16" x14ac:dyDescent="0.3">
      <c r="A4258" s="160">
        <v>38136</v>
      </c>
      <c r="B4258" t="s">
        <v>19455</v>
      </c>
      <c r="C4258" t="s">
        <v>4451</v>
      </c>
      <c r="D4258">
        <v>1.05</v>
      </c>
      <c r="E4258">
        <v>0</v>
      </c>
      <c r="F4258">
        <f t="shared" si="66"/>
        <v>1.05</v>
      </c>
      <c r="I4258">
        <v>20190101</v>
      </c>
      <c r="J4258" t="s">
        <v>4452</v>
      </c>
    </row>
    <row r="4259" spans="1:16" x14ac:dyDescent="0.3">
      <c r="A4259" s="160">
        <v>38140</v>
      </c>
      <c r="B4259" t="s">
        <v>19456</v>
      </c>
      <c r="C4259" t="s">
        <v>4441</v>
      </c>
      <c r="D4259">
        <v>1.7</v>
      </c>
      <c r="E4259">
        <v>0</v>
      </c>
      <c r="F4259">
        <f t="shared" si="66"/>
        <v>1.7</v>
      </c>
      <c r="I4259">
        <v>20250101</v>
      </c>
      <c r="J4259" t="s">
        <v>4485</v>
      </c>
      <c r="K4259" t="s">
        <v>4486</v>
      </c>
      <c r="L4259" t="s">
        <v>4446</v>
      </c>
      <c r="M4259" t="s">
        <v>4487</v>
      </c>
    </row>
    <row r="4260" spans="1:16" x14ac:dyDescent="0.3">
      <c r="A4260" s="160">
        <v>38149</v>
      </c>
      <c r="B4260" t="s">
        <v>19457</v>
      </c>
      <c r="C4260" t="s">
        <v>4451</v>
      </c>
      <c r="D4260">
        <v>1.05</v>
      </c>
      <c r="E4260">
        <v>0</v>
      </c>
      <c r="F4260">
        <f t="shared" si="66"/>
        <v>1.05</v>
      </c>
      <c r="I4260">
        <v>20190101</v>
      </c>
      <c r="J4260" t="s">
        <v>4452</v>
      </c>
      <c r="K4260" t="s">
        <v>4453</v>
      </c>
      <c r="L4260" t="s">
        <v>4455</v>
      </c>
      <c r="M4260" t="s">
        <v>4456</v>
      </c>
      <c r="N4260" t="s">
        <v>4457</v>
      </c>
      <c r="O4260" t="s">
        <v>4458</v>
      </c>
    </row>
    <row r="4261" spans="1:16" x14ac:dyDescent="0.3">
      <c r="A4261" s="160">
        <v>38150</v>
      </c>
      <c r="B4261" t="s">
        <v>19458</v>
      </c>
      <c r="C4261" t="s">
        <v>4441</v>
      </c>
      <c r="D4261">
        <v>2</v>
      </c>
      <c r="E4261">
        <v>0</v>
      </c>
      <c r="F4261">
        <f t="shared" si="66"/>
        <v>2</v>
      </c>
      <c r="I4261">
        <v>20111101</v>
      </c>
      <c r="J4261" t="s">
        <v>4488</v>
      </c>
    </row>
    <row r="4262" spans="1:16" x14ac:dyDescent="0.3">
      <c r="A4262" s="160">
        <v>38151</v>
      </c>
      <c r="B4262" t="s">
        <v>19459</v>
      </c>
      <c r="C4262" t="s">
        <v>4441</v>
      </c>
      <c r="D4262">
        <v>2</v>
      </c>
      <c r="E4262">
        <v>0</v>
      </c>
      <c r="F4262">
        <f t="shared" si="66"/>
        <v>2</v>
      </c>
      <c r="I4262">
        <v>20111101</v>
      </c>
      <c r="J4262" t="s">
        <v>4489</v>
      </c>
      <c r="K4262" t="s">
        <v>4490</v>
      </c>
      <c r="L4262" t="s">
        <v>4491</v>
      </c>
      <c r="M4262" t="s">
        <v>4492</v>
      </c>
      <c r="N4262" t="s">
        <v>4493</v>
      </c>
      <c r="O4262" t="s">
        <v>4494</v>
      </c>
      <c r="P4262" t="s">
        <v>4495</v>
      </c>
    </row>
    <row r="4263" spans="1:16" x14ac:dyDescent="0.3">
      <c r="A4263" s="160">
        <v>38152</v>
      </c>
      <c r="B4263" t="s">
        <v>19460</v>
      </c>
      <c r="C4263" t="s">
        <v>4451</v>
      </c>
      <c r="D4263">
        <v>1.05</v>
      </c>
      <c r="E4263">
        <v>0</v>
      </c>
      <c r="F4263">
        <f t="shared" si="66"/>
        <v>1.05</v>
      </c>
      <c r="I4263">
        <v>20190101</v>
      </c>
      <c r="J4263" t="s">
        <v>4452</v>
      </c>
    </row>
    <row r="4264" spans="1:16" x14ac:dyDescent="0.3">
      <c r="A4264" s="160">
        <v>38156</v>
      </c>
      <c r="B4264" t="s">
        <v>19461</v>
      </c>
      <c r="C4264" t="s">
        <v>4451</v>
      </c>
      <c r="D4264">
        <v>1.05</v>
      </c>
      <c r="E4264">
        <v>0</v>
      </c>
      <c r="F4264">
        <f t="shared" si="66"/>
        <v>1.05</v>
      </c>
      <c r="I4264">
        <v>20190101</v>
      </c>
      <c r="J4264" t="s">
        <v>4452</v>
      </c>
    </row>
    <row r="4265" spans="1:16" x14ac:dyDescent="0.3">
      <c r="A4265" s="160">
        <v>38157</v>
      </c>
      <c r="B4265" t="s">
        <v>19462</v>
      </c>
      <c r="C4265" t="s">
        <v>4472</v>
      </c>
      <c r="D4265">
        <v>0.8</v>
      </c>
      <c r="E4265">
        <v>0</v>
      </c>
      <c r="F4265">
        <f t="shared" si="66"/>
        <v>0.8</v>
      </c>
      <c r="I4265">
        <v>20130701</v>
      </c>
      <c r="J4265" t="s">
        <v>4496</v>
      </c>
      <c r="K4265" t="s">
        <v>4497</v>
      </c>
      <c r="L4265" t="s">
        <v>4498</v>
      </c>
    </row>
    <row r="4266" spans="1:16" x14ac:dyDescent="0.3">
      <c r="A4266" s="160">
        <v>38158</v>
      </c>
      <c r="B4266" t="s">
        <v>19463</v>
      </c>
      <c r="C4266" t="s">
        <v>4441</v>
      </c>
      <c r="D4266">
        <v>2</v>
      </c>
      <c r="E4266">
        <v>0</v>
      </c>
      <c r="F4266">
        <f t="shared" si="66"/>
        <v>2</v>
      </c>
      <c r="I4266">
        <v>20111101</v>
      </c>
      <c r="J4266" t="s">
        <v>4459</v>
      </c>
      <c r="K4266" t="s">
        <v>4499</v>
      </c>
      <c r="L4266" t="s">
        <v>4460</v>
      </c>
      <c r="M4266" t="s">
        <v>4461</v>
      </c>
      <c r="N4266" t="s">
        <v>4500</v>
      </c>
    </row>
    <row r="4267" spans="1:16" x14ac:dyDescent="0.3">
      <c r="A4267" s="160">
        <v>38160</v>
      </c>
      <c r="B4267" t="s">
        <v>19464</v>
      </c>
      <c r="C4267" t="s">
        <v>4472</v>
      </c>
      <c r="D4267">
        <v>0.8</v>
      </c>
      <c r="E4267">
        <v>0</v>
      </c>
      <c r="F4267">
        <f t="shared" si="66"/>
        <v>0.8</v>
      </c>
      <c r="I4267">
        <v>20130701</v>
      </c>
      <c r="J4267" t="s">
        <v>4496</v>
      </c>
    </row>
    <row r="4268" spans="1:16" x14ac:dyDescent="0.3">
      <c r="A4268" s="160">
        <v>38163</v>
      </c>
      <c r="B4268" t="s">
        <v>19465</v>
      </c>
      <c r="C4268" t="s">
        <v>4441</v>
      </c>
      <c r="D4268">
        <v>1.7</v>
      </c>
      <c r="E4268">
        <v>0</v>
      </c>
      <c r="F4268">
        <f t="shared" si="66"/>
        <v>1.7</v>
      </c>
      <c r="I4268">
        <v>20250101</v>
      </c>
      <c r="J4268" t="s">
        <v>4444</v>
      </c>
    </row>
    <row r="4269" spans="1:16" x14ac:dyDescent="0.3">
      <c r="A4269" s="160">
        <v>38166</v>
      </c>
      <c r="B4269" t="s">
        <v>19466</v>
      </c>
      <c r="C4269" t="s">
        <v>4441</v>
      </c>
      <c r="D4269">
        <v>1.7</v>
      </c>
      <c r="E4269">
        <v>0</v>
      </c>
      <c r="F4269">
        <f t="shared" si="66"/>
        <v>1.7</v>
      </c>
      <c r="I4269">
        <v>20250101</v>
      </c>
      <c r="J4269" t="s">
        <v>4445</v>
      </c>
    </row>
    <row r="4270" spans="1:16" x14ac:dyDescent="0.3">
      <c r="A4270" s="160">
        <v>38169</v>
      </c>
      <c r="B4270" t="s">
        <v>19467</v>
      </c>
      <c r="C4270" t="s">
        <v>4441</v>
      </c>
      <c r="D4270">
        <v>2</v>
      </c>
      <c r="E4270">
        <v>0</v>
      </c>
      <c r="F4270">
        <f t="shared" si="66"/>
        <v>2</v>
      </c>
      <c r="I4270">
        <v>20111101</v>
      </c>
      <c r="J4270" t="s">
        <v>4501</v>
      </c>
      <c r="K4270" t="s">
        <v>4502</v>
      </c>
      <c r="L4270" t="s">
        <v>4503</v>
      </c>
      <c r="M4270" t="s">
        <v>4504</v>
      </c>
    </row>
    <row r="4271" spans="1:16" x14ac:dyDescent="0.3">
      <c r="A4271" s="160">
        <v>38170</v>
      </c>
      <c r="B4271" t="s">
        <v>19468</v>
      </c>
      <c r="C4271" t="s">
        <v>4441</v>
      </c>
      <c r="D4271">
        <v>2</v>
      </c>
      <c r="E4271">
        <v>0</v>
      </c>
      <c r="F4271">
        <f t="shared" si="66"/>
        <v>2</v>
      </c>
      <c r="I4271">
        <v>20111101</v>
      </c>
      <c r="J4271" t="s">
        <v>4505</v>
      </c>
      <c r="K4271" t="s">
        <v>4506</v>
      </c>
      <c r="L4271" t="s">
        <v>4507</v>
      </c>
      <c r="M4271" t="s">
        <v>4508</v>
      </c>
      <c r="N4271" t="s">
        <v>4509</v>
      </c>
    </row>
    <row r="4272" spans="1:16" x14ac:dyDescent="0.3">
      <c r="A4272" s="160">
        <v>38172</v>
      </c>
      <c r="B4272" t="s">
        <v>19469</v>
      </c>
      <c r="C4272" t="s">
        <v>4451</v>
      </c>
      <c r="D4272">
        <v>1.05</v>
      </c>
      <c r="E4272">
        <v>0</v>
      </c>
      <c r="F4272">
        <f t="shared" si="66"/>
        <v>1.05</v>
      </c>
      <c r="I4272">
        <v>20190101</v>
      </c>
      <c r="J4272" t="s">
        <v>4510</v>
      </c>
    </row>
    <row r="4273" spans="1:65" x14ac:dyDescent="0.3">
      <c r="A4273" s="160">
        <v>38175</v>
      </c>
      <c r="B4273" t="s">
        <v>19470</v>
      </c>
      <c r="C4273" t="s">
        <v>4441</v>
      </c>
      <c r="D4273">
        <v>1.7</v>
      </c>
      <c r="E4273">
        <v>0</v>
      </c>
      <c r="F4273">
        <f t="shared" si="66"/>
        <v>1.7</v>
      </c>
      <c r="I4273">
        <v>20250101</v>
      </c>
      <c r="J4273" t="s">
        <v>4442</v>
      </c>
      <c r="K4273" t="s">
        <v>4443</v>
      </c>
      <c r="L4273" t="s">
        <v>4511</v>
      </c>
    </row>
    <row r="4274" spans="1:65" x14ac:dyDescent="0.3">
      <c r="A4274" s="160">
        <v>38179</v>
      </c>
      <c r="B4274" t="s">
        <v>19471</v>
      </c>
      <c r="C4274" t="s">
        <v>4441</v>
      </c>
      <c r="D4274">
        <v>2</v>
      </c>
      <c r="E4274">
        <v>0</v>
      </c>
      <c r="F4274">
        <f t="shared" si="66"/>
        <v>2</v>
      </c>
      <c r="I4274">
        <v>20111101</v>
      </c>
      <c r="J4274" t="s">
        <v>4512</v>
      </c>
      <c r="K4274" t="s">
        <v>4513</v>
      </c>
      <c r="L4274" t="s">
        <v>4514</v>
      </c>
      <c r="M4274" t="s">
        <v>4515</v>
      </c>
    </row>
    <row r="4275" spans="1:65" x14ac:dyDescent="0.3">
      <c r="A4275" s="160">
        <v>38181</v>
      </c>
      <c r="B4275" t="s">
        <v>19472</v>
      </c>
      <c r="C4275" t="s">
        <v>4441</v>
      </c>
      <c r="D4275">
        <v>1.7</v>
      </c>
      <c r="E4275">
        <v>0</v>
      </c>
      <c r="F4275">
        <f t="shared" si="66"/>
        <v>1.7</v>
      </c>
      <c r="I4275">
        <v>20250101</v>
      </c>
      <c r="J4275" t="s">
        <v>4474</v>
      </c>
    </row>
    <row r="4276" spans="1:65" x14ac:dyDescent="0.3">
      <c r="A4276" s="160">
        <v>38185</v>
      </c>
      <c r="B4276" t="s">
        <v>19473</v>
      </c>
      <c r="C4276" t="s">
        <v>4441</v>
      </c>
      <c r="D4276">
        <v>2</v>
      </c>
      <c r="E4276">
        <v>0</v>
      </c>
      <c r="F4276">
        <f t="shared" si="66"/>
        <v>2</v>
      </c>
      <c r="I4276">
        <v>20111101</v>
      </c>
      <c r="J4276" t="s">
        <v>4516</v>
      </c>
      <c r="K4276" t="s">
        <v>4517</v>
      </c>
      <c r="L4276" t="s">
        <v>4518</v>
      </c>
      <c r="M4276" t="s">
        <v>4519</v>
      </c>
      <c r="N4276" t="s">
        <v>4520</v>
      </c>
      <c r="O4276" t="s">
        <v>4521</v>
      </c>
      <c r="P4276" t="s">
        <v>4522</v>
      </c>
      <c r="Q4276" t="s">
        <v>4523</v>
      </c>
      <c r="R4276" t="s">
        <v>4524</v>
      </c>
      <c r="S4276" t="s">
        <v>4525</v>
      </c>
      <c r="T4276" t="s">
        <v>4526</v>
      </c>
      <c r="U4276" t="s">
        <v>4512</v>
      </c>
      <c r="V4276" t="s">
        <v>4527</v>
      </c>
      <c r="W4276" t="s">
        <v>4528</v>
      </c>
      <c r="X4276" t="s">
        <v>4529</v>
      </c>
      <c r="Y4276" t="s">
        <v>4530</v>
      </c>
      <c r="Z4276" t="s">
        <v>4531</v>
      </c>
      <c r="AA4276" t="s">
        <v>4532</v>
      </c>
      <c r="AB4276" t="s">
        <v>4533</v>
      </c>
      <c r="AC4276" t="s">
        <v>4534</v>
      </c>
      <c r="AD4276" t="s">
        <v>4535</v>
      </c>
      <c r="AE4276" t="s">
        <v>4536</v>
      </c>
      <c r="AF4276" t="s">
        <v>4537</v>
      </c>
      <c r="AG4276" t="s">
        <v>4538</v>
      </c>
      <c r="AH4276" t="s">
        <v>4539</v>
      </c>
      <c r="AI4276" t="s">
        <v>4540</v>
      </c>
      <c r="AJ4276" t="s">
        <v>4541</v>
      </c>
      <c r="AK4276" t="s">
        <v>4542</v>
      </c>
      <c r="AL4276" t="s">
        <v>4543</v>
      </c>
      <c r="AM4276" t="s">
        <v>4544</v>
      </c>
      <c r="AN4276" t="s">
        <v>4545</v>
      </c>
      <c r="AO4276" t="s">
        <v>4546</v>
      </c>
      <c r="AP4276" t="s">
        <v>4547</v>
      </c>
      <c r="AQ4276" t="s">
        <v>4548</v>
      </c>
      <c r="AR4276" t="s">
        <v>4549</v>
      </c>
      <c r="AS4276" t="s">
        <v>4550</v>
      </c>
      <c r="AT4276" t="s">
        <v>4551</v>
      </c>
      <c r="AU4276" t="s">
        <v>4552</v>
      </c>
      <c r="AV4276" t="s">
        <v>4553</v>
      </c>
      <c r="AW4276" t="s">
        <v>4554</v>
      </c>
      <c r="AX4276" t="s">
        <v>4555</v>
      </c>
      <c r="AY4276" t="s">
        <v>4556</v>
      </c>
      <c r="AZ4276" t="s">
        <v>4557</v>
      </c>
      <c r="BA4276" t="s">
        <v>4558</v>
      </c>
      <c r="BB4276" t="s">
        <v>4559</v>
      </c>
      <c r="BC4276" t="s">
        <v>4560</v>
      </c>
      <c r="BD4276" t="s">
        <v>4561</v>
      </c>
      <c r="BE4276" t="s">
        <v>4562</v>
      </c>
      <c r="BF4276" t="s">
        <v>4563</v>
      </c>
      <c r="BG4276" t="s">
        <v>4564</v>
      </c>
      <c r="BH4276" t="s">
        <v>4565</v>
      </c>
      <c r="BI4276" t="s">
        <v>4566</v>
      </c>
      <c r="BJ4276" t="s">
        <v>4567</v>
      </c>
      <c r="BK4276" t="s">
        <v>4499</v>
      </c>
      <c r="BL4276" t="s">
        <v>4568</v>
      </c>
      <c r="BM4276" t="s">
        <v>4569</v>
      </c>
    </row>
    <row r="4277" spans="1:65" x14ac:dyDescent="0.3">
      <c r="A4277" s="160">
        <v>38187</v>
      </c>
      <c r="B4277" t="s">
        <v>19474</v>
      </c>
      <c r="C4277" t="s">
        <v>4441</v>
      </c>
      <c r="D4277">
        <v>2</v>
      </c>
      <c r="E4277">
        <v>0</v>
      </c>
      <c r="F4277">
        <f t="shared" si="66"/>
        <v>2</v>
      </c>
      <c r="I4277">
        <v>20111101</v>
      </c>
      <c r="J4277" t="s">
        <v>4570</v>
      </c>
    </row>
    <row r="4278" spans="1:65" x14ac:dyDescent="0.3">
      <c r="A4278" s="160">
        <v>38188</v>
      </c>
      <c r="B4278" t="s">
        <v>19475</v>
      </c>
      <c r="C4278" t="s">
        <v>4441</v>
      </c>
      <c r="D4278">
        <v>2</v>
      </c>
      <c r="E4278">
        <v>0</v>
      </c>
      <c r="F4278">
        <f t="shared" si="66"/>
        <v>2</v>
      </c>
      <c r="I4278">
        <v>20140101</v>
      </c>
      <c r="J4278" t="s">
        <v>4459</v>
      </c>
    </row>
    <row r="4279" spans="1:65" x14ac:dyDescent="0.3">
      <c r="A4279" s="160">
        <v>38192</v>
      </c>
      <c r="B4279" t="s">
        <v>19476</v>
      </c>
      <c r="C4279" t="s">
        <v>4441</v>
      </c>
      <c r="D4279">
        <v>1.7</v>
      </c>
      <c r="E4279">
        <v>0</v>
      </c>
      <c r="F4279">
        <f t="shared" si="66"/>
        <v>1.7</v>
      </c>
      <c r="I4279">
        <v>20250101</v>
      </c>
      <c r="J4279" t="s">
        <v>4474</v>
      </c>
    </row>
    <row r="4280" spans="1:65" x14ac:dyDescent="0.3">
      <c r="A4280" s="160">
        <v>38193</v>
      </c>
      <c r="B4280" t="s">
        <v>19477</v>
      </c>
      <c r="C4280" t="s">
        <v>4451</v>
      </c>
      <c r="D4280">
        <v>1.05</v>
      </c>
      <c r="E4280">
        <v>0</v>
      </c>
      <c r="F4280">
        <f t="shared" si="66"/>
        <v>1.05</v>
      </c>
      <c r="I4280">
        <v>20190101</v>
      </c>
      <c r="J4280" t="s">
        <v>4510</v>
      </c>
      <c r="K4280" t="s">
        <v>4571</v>
      </c>
    </row>
    <row r="4281" spans="1:65" x14ac:dyDescent="0.3">
      <c r="A4281" s="160">
        <v>38199</v>
      </c>
      <c r="B4281" t="s">
        <v>19478</v>
      </c>
      <c r="C4281" t="s">
        <v>4472</v>
      </c>
      <c r="D4281">
        <v>0.8</v>
      </c>
      <c r="E4281">
        <v>0</v>
      </c>
      <c r="F4281">
        <f t="shared" si="66"/>
        <v>0.8</v>
      </c>
      <c r="I4281">
        <v>20130701</v>
      </c>
      <c r="J4281" t="s">
        <v>4477</v>
      </c>
      <c r="K4281" t="s">
        <v>4572</v>
      </c>
      <c r="L4281" t="s">
        <v>4573</v>
      </c>
    </row>
    <row r="4282" spans="1:65" x14ac:dyDescent="0.3">
      <c r="A4282" s="160">
        <v>38200</v>
      </c>
      <c r="B4282" t="s">
        <v>19479</v>
      </c>
      <c r="C4282" t="s">
        <v>4441</v>
      </c>
      <c r="D4282">
        <v>2</v>
      </c>
      <c r="E4282">
        <v>0</v>
      </c>
      <c r="F4282">
        <f t="shared" si="66"/>
        <v>2</v>
      </c>
      <c r="I4282">
        <v>20140101</v>
      </c>
      <c r="J4282" t="s">
        <v>4468</v>
      </c>
    </row>
    <row r="4283" spans="1:65" x14ac:dyDescent="0.3">
      <c r="A4283" s="160">
        <v>38206</v>
      </c>
      <c r="B4283" t="s">
        <v>19480</v>
      </c>
      <c r="C4283" t="s">
        <v>4441</v>
      </c>
      <c r="D4283">
        <v>1.7</v>
      </c>
      <c r="E4283">
        <v>0</v>
      </c>
      <c r="F4283">
        <f t="shared" si="66"/>
        <v>1.7</v>
      </c>
      <c r="I4283">
        <v>20250101</v>
      </c>
      <c r="J4283" t="s">
        <v>4442</v>
      </c>
      <c r="K4283" t="s">
        <v>4443</v>
      </c>
    </row>
    <row r="4284" spans="1:65" x14ac:dyDescent="0.3">
      <c r="A4284" s="160">
        <v>38214</v>
      </c>
      <c r="B4284" t="s">
        <v>19481</v>
      </c>
      <c r="C4284" t="s">
        <v>4441</v>
      </c>
      <c r="D4284">
        <v>1.7</v>
      </c>
      <c r="E4284">
        <v>0</v>
      </c>
      <c r="F4284">
        <f t="shared" si="66"/>
        <v>1.7</v>
      </c>
      <c r="I4284">
        <v>20250101</v>
      </c>
      <c r="J4284" t="s">
        <v>4574</v>
      </c>
    </row>
    <row r="4285" spans="1:65" x14ac:dyDescent="0.3">
      <c r="A4285" s="160">
        <v>38215</v>
      </c>
      <c r="B4285" t="s">
        <v>19482</v>
      </c>
      <c r="C4285" t="s">
        <v>4472</v>
      </c>
      <c r="D4285">
        <v>0.8</v>
      </c>
      <c r="E4285">
        <v>0</v>
      </c>
      <c r="F4285">
        <f t="shared" si="66"/>
        <v>0.8</v>
      </c>
      <c r="I4285">
        <v>20130701</v>
      </c>
      <c r="J4285" t="s">
        <v>4477</v>
      </c>
    </row>
    <row r="4286" spans="1:65" x14ac:dyDescent="0.3">
      <c r="A4286" s="160">
        <v>38222</v>
      </c>
      <c r="B4286" t="s">
        <v>19483</v>
      </c>
      <c r="C4286" t="s">
        <v>4447</v>
      </c>
      <c r="D4286">
        <v>0.8</v>
      </c>
      <c r="E4286">
        <v>0</v>
      </c>
      <c r="F4286">
        <f t="shared" si="66"/>
        <v>0.8</v>
      </c>
      <c r="I4286">
        <v>20110101</v>
      </c>
      <c r="J4286" t="s">
        <v>4575</v>
      </c>
    </row>
    <row r="4287" spans="1:65" x14ac:dyDescent="0.3">
      <c r="A4287" s="160">
        <v>38223</v>
      </c>
      <c r="B4287" t="s">
        <v>19484</v>
      </c>
      <c r="C4287" t="s">
        <v>4451</v>
      </c>
      <c r="D4287">
        <v>1.05</v>
      </c>
      <c r="E4287">
        <v>0</v>
      </c>
      <c r="F4287">
        <f t="shared" si="66"/>
        <v>1.05</v>
      </c>
      <c r="I4287">
        <v>20190101</v>
      </c>
      <c r="J4287" t="s">
        <v>4452</v>
      </c>
      <c r="K4287" t="s">
        <v>4454</v>
      </c>
      <c r="L4287" t="s">
        <v>4455</v>
      </c>
      <c r="M4287" t="s">
        <v>4457</v>
      </c>
      <c r="N4287" t="s">
        <v>4458</v>
      </c>
    </row>
    <row r="4288" spans="1:65" x14ac:dyDescent="0.3">
      <c r="A4288" s="160">
        <v>38228</v>
      </c>
      <c r="B4288" t="s">
        <v>19485</v>
      </c>
      <c r="C4288" t="s">
        <v>4447</v>
      </c>
      <c r="D4288">
        <v>0.8</v>
      </c>
      <c r="E4288">
        <v>0</v>
      </c>
      <c r="F4288">
        <f t="shared" si="66"/>
        <v>0.8</v>
      </c>
      <c r="I4288">
        <v>20110101</v>
      </c>
      <c r="J4288" t="s">
        <v>4575</v>
      </c>
    </row>
    <row r="4289" spans="1:16" x14ac:dyDescent="0.3">
      <c r="A4289" s="160">
        <v>38229</v>
      </c>
      <c r="B4289" t="s">
        <v>19486</v>
      </c>
      <c r="C4289" t="s">
        <v>4441</v>
      </c>
      <c r="D4289">
        <v>2</v>
      </c>
      <c r="E4289">
        <v>0</v>
      </c>
      <c r="F4289">
        <f t="shared" si="66"/>
        <v>2</v>
      </c>
      <c r="I4289">
        <v>20111101</v>
      </c>
      <c r="J4289" t="s">
        <v>4576</v>
      </c>
      <c r="K4289" t="s">
        <v>4577</v>
      </c>
      <c r="L4289" t="s">
        <v>4578</v>
      </c>
      <c r="M4289" t="s">
        <v>4579</v>
      </c>
      <c r="N4289" t="s">
        <v>4580</v>
      </c>
      <c r="O4289" t="s">
        <v>4581</v>
      </c>
      <c r="P4289" t="s">
        <v>4582</v>
      </c>
    </row>
    <row r="4290" spans="1:16" x14ac:dyDescent="0.3">
      <c r="A4290" s="160">
        <v>38230</v>
      </c>
      <c r="B4290" t="s">
        <v>19487</v>
      </c>
      <c r="C4290" t="s">
        <v>4451</v>
      </c>
      <c r="D4290">
        <v>1.05</v>
      </c>
      <c r="E4290">
        <v>0</v>
      </c>
      <c r="F4290">
        <f t="shared" si="66"/>
        <v>1.05</v>
      </c>
      <c r="I4290">
        <v>20190101</v>
      </c>
      <c r="J4290" t="s">
        <v>4452</v>
      </c>
    </row>
    <row r="4291" spans="1:16" x14ac:dyDescent="0.3">
      <c r="A4291" s="160">
        <v>38232</v>
      </c>
      <c r="B4291" t="s">
        <v>19488</v>
      </c>
      <c r="C4291" t="s">
        <v>4472</v>
      </c>
      <c r="D4291">
        <v>0.8</v>
      </c>
      <c r="E4291">
        <v>0</v>
      </c>
      <c r="F4291">
        <f t="shared" si="66"/>
        <v>0.8</v>
      </c>
      <c r="I4291">
        <v>20180901</v>
      </c>
      <c r="J4291" t="s">
        <v>4583</v>
      </c>
    </row>
    <row r="4292" spans="1:16" x14ac:dyDescent="0.3">
      <c r="A4292" s="160">
        <v>38235</v>
      </c>
      <c r="B4292" t="s">
        <v>19489</v>
      </c>
      <c r="C4292" t="s">
        <v>4441</v>
      </c>
      <c r="D4292">
        <v>2</v>
      </c>
      <c r="E4292">
        <v>0</v>
      </c>
      <c r="F4292">
        <f t="shared" si="66"/>
        <v>2</v>
      </c>
      <c r="I4292">
        <v>20121201</v>
      </c>
      <c r="J4292" t="s">
        <v>4570</v>
      </c>
    </row>
    <row r="4293" spans="1:16" x14ac:dyDescent="0.3">
      <c r="A4293" s="160">
        <v>38238</v>
      </c>
      <c r="B4293" t="s">
        <v>19490</v>
      </c>
      <c r="C4293" t="s">
        <v>4472</v>
      </c>
      <c r="D4293">
        <v>0.8</v>
      </c>
      <c r="E4293">
        <v>0</v>
      </c>
      <c r="F4293">
        <f t="shared" si="66"/>
        <v>0.8</v>
      </c>
      <c r="I4293">
        <v>20130701</v>
      </c>
      <c r="J4293" t="s">
        <v>4583</v>
      </c>
    </row>
    <row r="4294" spans="1:16" x14ac:dyDescent="0.3">
      <c r="A4294" s="160">
        <v>38239</v>
      </c>
      <c r="B4294" t="s">
        <v>19491</v>
      </c>
      <c r="C4294" t="s">
        <v>4447</v>
      </c>
      <c r="D4294">
        <v>0.8</v>
      </c>
      <c r="E4294">
        <v>0</v>
      </c>
      <c r="F4294">
        <f t="shared" si="66"/>
        <v>0.8</v>
      </c>
      <c r="I4294">
        <v>20110101</v>
      </c>
      <c r="J4294" t="s">
        <v>4584</v>
      </c>
    </row>
    <row r="4295" spans="1:16" x14ac:dyDescent="0.3">
      <c r="A4295" s="160">
        <v>38249</v>
      </c>
      <c r="B4295" t="s">
        <v>19492</v>
      </c>
      <c r="C4295" t="s">
        <v>4441</v>
      </c>
      <c r="D4295">
        <v>1.7</v>
      </c>
      <c r="E4295">
        <v>0</v>
      </c>
      <c r="F4295">
        <f t="shared" ref="F4295:F4358" si="67">D4295+E4295</f>
        <v>1.7</v>
      </c>
      <c r="I4295">
        <v>20250101</v>
      </c>
      <c r="J4295" t="s">
        <v>4449</v>
      </c>
    </row>
    <row r="4296" spans="1:16" x14ac:dyDescent="0.3">
      <c r="A4296" s="160">
        <v>38252</v>
      </c>
      <c r="B4296" t="s">
        <v>19493</v>
      </c>
      <c r="C4296" t="s">
        <v>4441</v>
      </c>
      <c r="D4296">
        <v>2</v>
      </c>
      <c r="E4296">
        <v>0</v>
      </c>
      <c r="F4296">
        <f t="shared" si="67"/>
        <v>2</v>
      </c>
      <c r="I4296">
        <v>20140101</v>
      </c>
      <c r="J4296" t="s">
        <v>4585</v>
      </c>
    </row>
    <row r="4297" spans="1:16" x14ac:dyDescent="0.3">
      <c r="A4297" s="160">
        <v>38256</v>
      </c>
      <c r="B4297" t="s">
        <v>19494</v>
      </c>
      <c r="C4297" t="s">
        <v>4447</v>
      </c>
      <c r="D4297">
        <v>0.8</v>
      </c>
      <c r="E4297">
        <v>0</v>
      </c>
      <c r="F4297">
        <f t="shared" si="67"/>
        <v>0.8</v>
      </c>
      <c r="I4297">
        <v>20110101</v>
      </c>
      <c r="J4297" t="s">
        <v>4575</v>
      </c>
    </row>
    <row r="4298" spans="1:16" x14ac:dyDescent="0.3">
      <c r="A4298" s="160">
        <v>38258</v>
      </c>
      <c r="B4298" t="s">
        <v>19495</v>
      </c>
      <c r="C4298" t="s">
        <v>4441</v>
      </c>
      <c r="D4298">
        <v>2</v>
      </c>
      <c r="E4298">
        <v>0</v>
      </c>
      <c r="F4298">
        <f t="shared" si="67"/>
        <v>2</v>
      </c>
      <c r="I4298">
        <v>20140101</v>
      </c>
      <c r="J4298" t="s">
        <v>4505</v>
      </c>
    </row>
    <row r="4299" spans="1:16" x14ac:dyDescent="0.3">
      <c r="A4299" s="160">
        <v>38262</v>
      </c>
      <c r="B4299" t="s">
        <v>19496</v>
      </c>
      <c r="C4299" t="s">
        <v>4441</v>
      </c>
      <c r="D4299">
        <v>1.7</v>
      </c>
      <c r="E4299">
        <v>0</v>
      </c>
      <c r="F4299">
        <f t="shared" si="67"/>
        <v>1.7</v>
      </c>
      <c r="I4299">
        <v>20250101</v>
      </c>
      <c r="J4299" t="s">
        <v>4474</v>
      </c>
    </row>
    <row r="4300" spans="1:16" x14ac:dyDescent="0.3">
      <c r="A4300" s="160">
        <v>38268</v>
      </c>
      <c r="B4300" t="s">
        <v>19497</v>
      </c>
      <c r="C4300" t="s">
        <v>4441</v>
      </c>
      <c r="D4300">
        <v>1.7</v>
      </c>
      <c r="E4300">
        <v>0</v>
      </c>
      <c r="F4300">
        <f t="shared" si="67"/>
        <v>1.7</v>
      </c>
      <c r="I4300">
        <v>20250101</v>
      </c>
      <c r="J4300" t="s">
        <v>4444</v>
      </c>
    </row>
    <row r="4301" spans="1:16" x14ac:dyDescent="0.3">
      <c r="A4301" s="160">
        <v>38270</v>
      </c>
      <c r="B4301" t="s">
        <v>19498</v>
      </c>
      <c r="C4301" t="s">
        <v>4447</v>
      </c>
      <c r="D4301">
        <v>0.8</v>
      </c>
      <c r="E4301">
        <v>0</v>
      </c>
      <c r="F4301">
        <f t="shared" si="67"/>
        <v>0.8</v>
      </c>
      <c r="I4301">
        <v>20110101</v>
      </c>
      <c r="J4301" t="s">
        <v>4470</v>
      </c>
      <c r="K4301" t="s">
        <v>4586</v>
      </c>
    </row>
    <row r="4302" spans="1:16" x14ac:dyDescent="0.3">
      <c r="A4302" s="160">
        <v>38271</v>
      </c>
      <c r="B4302" t="s">
        <v>19499</v>
      </c>
      <c r="C4302" t="s">
        <v>4441</v>
      </c>
      <c r="D4302">
        <v>2</v>
      </c>
      <c r="E4302">
        <v>0</v>
      </c>
      <c r="F4302">
        <f t="shared" si="67"/>
        <v>2</v>
      </c>
      <c r="I4302">
        <v>20111101</v>
      </c>
      <c r="J4302" t="s">
        <v>4488</v>
      </c>
    </row>
    <row r="4303" spans="1:16" x14ac:dyDescent="0.3">
      <c r="A4303" s="160">
        <v>38276</v>
      </c>
      <c r="B4303" t="s">
        <v>19500</v>
      </c>
      <c r="C4303" t="s">
        <v>4451</v>
      </c>
      <c r="D4303">
        <v>1.05</v>
      </c>
      <c r="E4303">
        <v>0</v>
      </c>
      <c r="F4303">
        <f t="shared" si="67"/>
        <v>1.05</v>
      </c>
      <c r="I4303">
        <v>20190101</v>
      </c>
      <c r="J4303" t="s">
        <v>4452</v>
      </c>
      <c r="K4303" t="s">
        <v>4454</v>
      </c>
      <c r="L4303" t="s">
        <v>4457</v>
      </c>
      <c r="M4303" t="s">
        <v>4587</v>
      </c>
      <c r="N4303" t="s">
        <v>4458</v>
      </c>
    </row>
    <row r="4304" spans="1:16" x14ac:dyDescent="0.3">
      <c r="A4304" s="160">
        <v>38277</v>
      </c>
      <c r="B4304" t="s">
        <v>19501</v>
      </c>
      <c r="C4304" t="s">
        <v>4441</v>
      </c>
      <c r="D4304">
        <v>2</v>
      </c>
      <c r="E4304">
        <v>0</v>
      </c>
      <c r="F4304">
        <f t="shared" si="67"/>
        <v>2</v>
      </c>
      <c r="I4304">
        <v>20140101</v>
      </c>
      <c r="J4304" t="s">
        <v>4570</v>
      </c>
    </row>
    <row r="4305" spans="1:13" x14ac:dyDescent="0.3">
      <c r="A4305" s="160">
        <v>38279</v>
      </c>
      <c r="B4305" t="s">
        <v>19502</v>
      </c>
      <c r="C4305" t="s">
        <v>4441</v>
      </c>
      <c r="D4305">
        <v>2</v>
      </c>
      <c r="E4305">
        <v>0</v>
      </c>
      <c r="F4305">
        <f t="shared" si="67"/>
        <v>2</v>
      </c>
      <c r="I4305">
        <v>20140101</v>
      </c>
      <c r="J4305" t="s">
        <v>4585</v>
      </c>
    </row>
    <row r="4306" spans="1:13" x14ac:dyDescent="0.3">
      <c r="A4306" s="160">
        <v>38281</v>
      </c>
      <c r="B4306" t="s">
        <v>19503</v>
      </c>
      <c r="C4306" t="s">
        <v>4441</v>
      </c>
      <c r="D4306">
        <v>2</v>
      </c>
      <c r="E4306">
        <v>0</v>
      </c>
      <c r="F4306">
        <f t="shared" si="67"/>
        <v>2</v>
      </c>
      <c r="I4306">
        <v>20111101</v>
      </c>
      <c r="J4306" t="s">
        <v>4555</v>
      </c>
      <c r="K4306" t="s">
        <v>4588</v>
      </c>
      <c r="L4306" t="s">
        <v>4589</v>
      </c>
    </row>
    <row r="4307" spans="1:13" x14ac:dyDescent="0.3">
      <c r="A4307" s="160">
        <v>38292</v>
      </c>
      <c r="B4307" t="s">
        <v>19504</v>
      </c>
      <c r="C4307" t="s">
        <v>4447</v>
      </c>
      <c r="D4307">
        <v>0.8</v>
      </c>
      <c r="E4307">
        <v>0</v>
      </c>
      <c r="F4307">
        <f t="shared" si="67"/>
        <v>0.8</v>
      </c>
      <c r="I4307">
        <v>20110101</v>
      </c>
      <c r="J4307" t="s">
        <v>4590</v>
      </c>
      <c r="K4307" t="s">
        <v>4448</v>
      </c>
    </row>
    <row r="4308" spans="1:13" x14ac:dyDescent="0.3">
      <c r="A4308" s="160">
        <v>38303</v>
      </c>
      <c r="B4308" t="s">
        <v>19505</v>
      </c>
      <c r="C4308" t="s">
        <v>4441</v>
      </c>
      <c r="D4308">
        <v>1.7</v>
      </c>
      <c r="E4308">
        <v>0</v>
      </c>
      <c r="F4308">
        <f t="shared" si="67"/>
        <v>1.7</v>
      </c>
      <c r="I4308">
        <v>20250101</v>
      </c>
      <c r="J4308" t="s">
        <v>4474</v>
      </c>
    </row>
    <row r="4309" spans="1:13" x14ac:dyDescent="0.3">
      <c r="A4309" s="160">
        <v>38305</v>
      </c>
      <c r="B4309" t="s">
        <v>19506</v>
      </c>
      <c r="C4309" t="s">
        <v>4447</v>
      </c>
      <c r="D4309">
        <v>0.8</v>
      </c>
      <c r="E4309">
        <v>0</v>
      </c>
      <c r="F4309">
        <f t="shared" si="67"/>
        <v>0.8</v>
      </c>
      <c r="I4309">
        <v>20110101</v>
      </c>
      <c r="J4309" t="s">
        <v>4590</v>
      </c>
    </row>
    <row r="4310" spans="1:13" x14ac:dyDescent="0.3">
      <c r="A4310" s="160">
        <v>38306</v>
      </c>
      <c r="B4310" t="s">
        <v>19507</v>
      </c>
      <c r="C4310" t="s">
        <v>4441</v>
      </c>
      <c r="D4310">
        <v>1.7</v>
      </c>
      <c r="E4310">
        <v>0</v>
      </c>
      <c r="F4310">
        <f t="shared" si="67"/>
        <v>1.7</v>
      </c>
      <c r="I4310">
        <v>20250101</v>
      </c>
      <c r="J4310" t="s">
        <v>4444</v>
      </c>
    </row>
    <row r="4311" spans="1:13" x14ac:dyDescent="0.3">
      <c r="A4311" s="160">
        <v>38309</v>
      </c>
      <c r="B4311" t="s">
        <v>19508</v>
      </c>
      <c r="C4311" t="s">
        <v>4441</v>
      </c>
      <c r="D4311">
        <v>2</v>
      </c>
      <c r="E4311">
        <v>0</v>
      </c>
      <c r="F4311">
        <f t="shared" si="67"/>
        <v>2</v>
      </c>
      <c r="I4311">
        <v>20111101</v>
      </c>
      <c r="J4311" t="s">
        <v>4459</v>
      </c>
      <c r="K4311" t="s">
        <v>4499</v>
      </c>
      <c r="L4311" t="s">
        <v>4460</v>
      </c>
    </row>
    <row r="4312" spans="1:13" x14ac:dyDescent="0.3">
      <c r="A4312" s="160">
        <v>38312</v>
      </c>
      <c r="B4312" t="s">
        <v>19509</v>
      </c>
      <c r="C4312" t="s">
        <v>4447</v>
      </c>
      <c r="D4312">
        <v>0.8</v>
      </c>
      <c r="E4312">
        <v>0</v>
      </c>
      <c r="F4312">
        <f t="shared" si="67"/>
        <v>0.8</v>
      </c>
      <c r="I4312">
        <v>20110101</v>
      </c>
      <c r="J4312" t="s">
        <v>4591</v>
      </c>
    </row>
    <row r="4313" spans="1:13" x14ac:dyDescent="0.3">
      <c r="A4313" s="160">
        <v>38314</v>
      </c>
      <c r="B4313" t="s">
        <v>19510</v>
      </c>
      <c r="C4313" t="s">
        <v>4441</v>
      </c>
      <c r="D4313">
        <v>1.7</v>
      </c>
      <c r="E4313">
        <v>0</v>
      </c>
      <c r="F4313">
        <f t="shared" si="67"/>
        <v>1.7</v>
      </c>
      <c r="I4313">
        <v>20250101</v>
      </c>
      <c r="J4313" t="s">
        <v>4445</v>
      </c>
    </row>
    <row r="4314" spans="1:13" x14ac:dyDescent="0.3">
      <c r="A4314" s="160">
        <v>38317</v>
      </c>
      <c r="B4314" t="s">
        <v>19511</v>
      </c>
      <c r="C4314" t="s">
        <v>4441</v>
      </c>
      <c r="D4314">
        <v>2</v>
      </c>
      <c r="E4314">
        <v>0</v>
      </c>
      <c r="F4314">
        <f t="shared" si="67"/>
        <v>2</v>
      </c>
      <c r="I4314">
        <v>20111101</v>
      </c>
      <c r="J4314" t="s">
        <v>4465</v>
      </c>
      <c r="K4314" t="s">
        <v>4592</v>
      </c>
      <c r="L4314" t="s">
        <v>4466</v>
      </c>
      <c r="M4314" t="s">
        <v>4467</v>
      </c>
    </row>
    <row r="4315" spans="1:13" x14ac:dyDescent="0.3">
      <c r="A4315" s="160">
        <v>38318</v>
      </c>
      <c r="B4315" t="s">
        <v>19512</v>
      </c>
      <c r="C4315" t="s">
        <v>4472</v>
      </c>
      <c r="D4315">
        <v>0.8</v>
      </c>
      <c r="E4315">
        <v>0</v>
      </c>
      <c r="F4315">
        <f t="shared" si="67"/>
        <v>0.8</v>
      </c>
      <c r="I4315">
        <v>20130701</v>
      </c>
      <c r="J4315" t="s">
        <v>4496</v>
      </c>
      <c r="K4315" t="s">
        <v>4498</v>
      </c>
    </row>
    <row r="4316" spans="1:13" x14ac:dyDescent="0.3">
      <c r="A4316" s="160">
        <v>38325</v>
      </c>
      <c r="B4316" t="s">
        <v>19513</v>
      </c>
      <c r="C4316" t="s">
        <v>4441</v>
      </c>
      <c r="D4316">
        <v>2</v>
      </c>
      <c r="E4316">
        <v>0</v>
      </c>
      <c r="F4316">
        <f t="shared" si="67"/>
        <v>2</v>
      </c>
      <c r="I4316">
        <v>20140101</v>
      </c>
      <c r="J4316" t="s">
        <v>4505</v>
      </c>
    </row>
    <row r="4317" spans="1:13" x14ac:dyDescent="0.3">
      <c r="A4317" s="160">
        <v>38328</v>
      </c>
      <c r="B4317" t="s">
        <v>19514</v>
      </c>
      <c r="C4317" t="s">
        <v>4441</v>
      </c>
      <c r="D4317">
        <v>2</v>
      </c>
      <c r="E4317">
        <v>0</v>
      </c>
      <c r="F4317">
        <f t="shared" si="67"/>
        <v>2</v>
      </c>
      <c r="I4317">
        <v>20140101</v>
      </c>
      <c r="J4317" t="s">
        <v>4593</v>
      </c>
    </row>
    <row r="4318" spans="1:13" x14ac:dyDescent="0.3">
      <c r="A4318" s="160">
        <v>38331</v>
      </c>
      <c r="B4318" t="s">
        <v>19515</v>
      </c>
      <c r="C4318" t="s">
        <v>4447</v>
      </c>
      <c r="D4318">
        <v>0.8</v>
      </c>
      <c r="E4318">
        <v>0</v>
      </c>
      <c r="F4318">
        <f t="shared" si="67"/>
        <v>0.8</v>
      </c>
      <c r="I4318">
        <v>20110101</v>
      </c>
      <c r="J4318" t="s">
        <v>4470</v>
      </c>
      <c r="K4318" t="s">
        <v>4586</v>
      </c>
    </row>
    <row r="4319" spans="1:13" x14ac:dyDescent="0.3">
      <c r="A4319" s="160">
        <v>38334</v>
      </c>
      <c r="B4319" t="s">
        <v>19516</v>
      </c>
      <c r="C4319" t="s">
        <v>4441</v>
      </c>
      <c r="D4319">
        <v>1.7</v>
      </c>
      <c r="E4319">
        <v>0</v>
      </c>
      <c r="F4319">
        <f t="shared" si="67"/>
        <v>1.7</v>
      </c>
      <c r="I4319">
        <v>20250101</v>
      </c>
      <c r="J4319" t="s">
        <v>4488</v>
      </c>
    </row>
    <row r="4320" spans="1:13" x14ac:dyDescent="0.3">
      <c r="A4320" s="160">
        <v>38336</v>
      </c>
      <c r="B4320" t="s">
        <v>19517</v>
      </c>
      <c r="C4320" t="s">
        <v>4472</v>
      </c>
      <c r="D4320">
        <v>0.8</v>
      </c>
      <c r="E4320">
        <v>0</v>
      </c>
      <c r="F4320">
        <f t="shared" si="67"/>
        <v>0.8</v>
      </c>
      <c r="I4320">
        <v>20130701</v>
      </c>
      <c r="J4320" t="s">
        <v>4475</v>
      </c>
      <c r="K4320" t="s">
        <v>4573</v>
      </c>
      <c r="L4320" t="s">
        <v>4594</v>
      </c>
      <c r="M4320" t="s">
        <v>4476</v>
      </c>
    </row>
    <row r="4321" spans="1:15" x14ac:dyDescent="0.3">
      <c r="A4321" s="160">
        <v>38337</v>
      </c>
      <c r="B4321" t="s">
        <v>19518</v>
      </c>
      <c r="C4321" t="s">
        <v>4447</v>
      </c>
      <c r="D4321">
        <v>0.8</v>
      </c>
      <c r="E4321">
        <v>0</v>
      </c>
      <c r="F4321">
        <f t="shared" si="67"/>
        <v>0.8</v>
      </c>
      <c r="I4321">
        <v>20110101</v>
      </c>
      <c r="J4321" t="s">
        <v>4470</v>
      </c>
      <c r="K4321" t="s">
        <v>4471</v>
      </c>
      <c r="L4321" t="s">
        <v>4586</v>
      </c>
      <c r="M4321" t="s">
        <v>4595</v>
      </c>
      <c r="N4321" t="s">
        <v>4482</v>
      </c>
    </row>
    <row r="4322" spans="1:15" x14ac:dyDescent="0.3">
      <c r="A4322" s="160">
        <v>38344</v>
      </c>
      <c r="B4322" t="s">
        <v>27545</v>
      </c>
      <c r="C4322" t="s">
        <v>4451</v>
      </c>
      <c r="D4322">
        <v>1.05</v>
      </c>
      <c r="E4322">
        <v>0</v>
      </c>
      <c r="F4322">
        <f t="shared" si="67"/>
        <v>1.05</v>
      </c>
      <c r="I4322">
        <v>20190101</v>
      </c>
      <c r="J4322" s="158" t="s">
        <v>27546</v>
      </c>
      <c r="K4322" t="s">
        <v>4453</v>
      </c>
      <c r="L4322" t="s">
        <v>4455</v>
      </c>
      <c r="M4322" t="s">
        <v>4456</v>
      </c>
      <c r="N4322" t="s">
        <v>4458</v>
      </c>
    </row>
    <row r="4323" spans="1:15" x14ac:dyDescent="0.3">
      <c r="A4323" s="160">
        <v>38348</v>
      </c>
      <c r="B4323" t="s">
        <v>19519</v>
      </c>
      <c r="C4323" t="s">
        <v>4451</v>
      </c>
      <c r="D4323">
        <v>1.05</v>
      </c>
      <c r="E4323">
        <v>0</v>
      </c>
      <c r="F4323">
        <f t="shared" si="67"/>
        <v>1.05</v>
      </c>
      <c r="I4323">
        <v>20190101</v>
      </c>
      <c r="J4323" t="s">
        <v>4452</v>
      </c>
      <c r="K4323" t="s">
        <v>4453</v>
      </c>
      <c r="L4323" t="s">
        <v>4455</v>
      </c>
      <c r="M4323" t="s">
        <v>4456</v>
      </c>
      <c r="N4323" t="s">
        <v>4458</v>
      </c>
    </row>
    <row r="4324" spans="1:15" x14ac:dyDescent="0.3">
      <c r="A4324" s="160">
        <v>38350</v>
      </c>
      <c r="B4324" t="s">
        <v>15967</v>
      </c>
      <c r="C4324" t="s">
        <v>4441</v>
      </c>
      <c r="D4324">
        <v>1.7</v>
      </c>
      <c r="E4324">
        <v>0</v>
      </c>
      <c r="F4324">
        <f t="shared" si="67"/>
        <v>1.7</v>
      </c>
      <c r="I4324">
        <v>20250101</v>
      </c>
      <c r="J4324" t="s">
        <v>4442</v>
      </c>
    </row>
    <row r="4325" spans="1:15" x14ac:dyDescent="0.3">
      <c r="A4325" s="160">
        <v>38352</v>
      </c>
      <c r="B4325" t="s">
        <v>19520</v>
      </c>
      <c r="C4325" t="s">
        <v>4451</v>
      </c>
      <c r="D4325">
        <v>1.05</v>
      </c>
      <c r="E4325">
        <v>0</v>
      </c>
      <c r="F4325">
        <f t="shared" si="67"/>
        <v>1.05</v>
      </c>
      <c r="I4325">
        <v>20190101</v>
      </c>
      <c r="J4325" t="s">
        <v>4510</v>
      </c>
      <c r="K4325" t="s">
        <v>4571</v>
      </c>
      <c r="L4325" t="s">
        <v>4587</v>
      </c>
    </row>
    <row r="4326" spans="1:15" x14ac:dyDescent="0.3">
      <c r="A4326" s="160">
        <v>38362</v>
      </c>
      <c r="B4326" t="s">
        <v>19521</v>
      </c>
      <c r="C4326" t="s">
        <v>4447</v>
      </c>
      <c r="D4326">
        <v>0.8</v>
      </c>
      <c r="E4326">
        <v>0</v>
      </c>
      <c r="F4326">
        <f t="shared" si="67"/>
        <v>0.8</v>
      </c>
      <c r="I4326">
        <v>20110101</v>
      </c>
      <c r="J4326" t="s">
        <v>4596</v>
      </c>
    </row>
    <row r="4327" spans="1:15" x14ac:dyDescent="0.3">
      <c r="A4327" s="160">
        <v>38364</v>
      </c>
      <c r="B4327" t="s">
        <v>19522</v>
      </c>
      <c r="C4327" t="s">
        <v>4441</v>
      </c>
      <c r="D4327">
        <v>2</v>
      </c>
      <c r="E4327">
        <v>0</v>
      </c>
      <c r="F4327">
        <f t="shared" si="67"/>
        <v>2</v>
      </c>
      <c r="I4327">
        <v>20140101</v>
      </c>
      <c r="J4327" t="s">
        <v>4585</v>
      </c>
    </row>
    <row r="4328" spans="1:15" x14ac:dyDescent="0.3">
      <c r="A4328" s="160">
        <v>38367</v>
      </c>
      <c r="B4328" t="s">
        <v>19523</v>
      </c>
      <c r="C4328" t="s">
        <v>4441</v>
      </c>
      <c r="D4328">
        <v>1.7</v>
      </c>
      <c r="E4328">
        <v>0</v>
      </c>
      <c r="F4328">
        <f t="shared" si="67"/>
        <v>1.7</v>
      </c>
      <c r="I4328">
        <v>20250101</v>
      </c>
      <c r="J4328" t="s">
        <v>4574</v>
      </c>
    </row>
    <row r="4329" spans="1:15" x14ac:dyDescent="0.3">
      <c r="A4329" s="160">
        <v>38368</v>
      </c>
      <c r="B4329" t="s">
        <v>19524</v>
      </c>
      <c r="C4329" t="s">
        <v>4447</v>
      </c>
      <c r="D4329">
        <v>0.8</v>
      </c>
      <c r="E4329">
        <v>0</v>
      </c>
      <c r="F4329">
        <f t="shared" si="67"/>
        <v>0.8</v>
      </c>
      <c r="I4329">
        <v>20110101</v>
      </c>
      <c r="J4329" t="s">
        <v>4470</v>
      </c>
      <c r="K4329" t="s">
        <v>4595</v>
      </c>
      <c r="L4329" t="s">
        <v>4464</v>
      </c>
    </row>
    <row r="4330" spans="1:15" x14ac:dyDescent="0.3">
      <c r="A4330" s="160">
        <v>38372</v>
      </c>
      <c r="B4330" t="s">
        <v>19525</v>
      </c>
      <c r="C4330" t="s">
        <v>4447</v>
      </c>
      <c r="D4330">
        <v>0.8</v>
      </c>
      <c r="E4330">
        <v>0</v>
      </c>
      <c r="F4330">
        <f t="shared" si="67"/>
        <v>0.8</v>
      </c>
      <c r="I4330">
        <v>20110101</v>
      </c>
      <c r="J4330" t="s">
        <v>4575</v>
      </c>
    </row>
    <row r="4331" spans="1:15" x14ac:dyDescent="0.3">
      <c r="A4331" s="160">
        <v>38373</v>
      </c>
      <c r="B4331" t="s">
        <v>19526</v>
      </c>
      <c r="C4331" t="s">
        <v>4447</v>
      </c>
      <c r="D4331">
        <v>0.8</v>
      </c>
      <c r="E4331">
        <v>0</v>
      </c>
      <c r="F4331">
        <f t="shared" si="67"/>
        <v>0.8</v>
      </c>
      <c r="I4331">
        <v>20110101</v>
      </c>
      <c r="J4331" t="s">
        <v>4462</v>
      </c>
      <c r="K4331" t="s">
        <v>4481</v>
      </c>
      <c r="L4331" t="s">
        <v>4597</v>
      </c>
    </row>
    <row r="4332" spans="1:15" x14ac:dyDescent="0.3">
      <c r="A4332" s="160">
        <v>38382</v>
      </c>
      <c r="B4332" t="s">
        <v>19527</v>
      </c>
      <c r="C4332" t="s">
        <v>4441</v>
      </c>
      <c r="D4332">
        <v>2</v>
      </c>
      <c r="E4332">
        <v>0</v>
      </c>
      <c r="F4332">
        <f t="shared" si="67"/>
        <v>2</v>
      </c>
      <c r="I4332">
        <v>20111101</v>
      </c>
      <c r="J4332" t="s">
        <v>4505</v>
      </c>
      <c r="K4332" t="s">
        <v>4506</v>
      </c>
      <c r="L4332" t="s">
        <v>4507</v>
      </c>
      <c r="M4332" t="s">
        <v>4508</v>
      </c>
      <c r="N4332" t="s">
        <v>4509</v>
      </c>
      <c r="O4332" t="s">
        <v>4598</v>
      </c>
    </row>
    <row r="4333" spans="1:15" x14ac:dyDescent="0.3">
      <c r="A4333" s="160">
        <v>38383</v>
      </c>
      <c r="B4333" t="s">
        <v>19528</v>
      </c>
      <c r="C4333" t="s">
        <v>4447</v>
      </c>
      <c r="D4333">
        <v>0.8</v>
      </c>
      <c r="E4333">
        <v>0</v>
      </c>
      <c r="F4333">
        <f t="shared" si="67"/>
        <v>0.8</v>
      </c>
      <c r="I4333">
        <v>20110101</v>
      </c>
      <c r="J4333" t="s">
        <v>4596</v>
      </c>
    </row>
    <row r="4334" spans="1:15" x14ac:dyDescent="0.3">
      <c r="A4334" s="160">
        <v>38386</v>
      </c>
      <c r="B4334" t="s">
        <v>19529</v>
      </c>
      <c r="C4334" t="s">
        <v>4447</v>
      </c>
      <c r="D4334">
        <v>0.8</v>
      </c>
      <c r="E4334">
        <v>0</v>
      </c>
      <c r="F4334">
        <f t="shared" si="67"/>
        <v>0.8</v>
      </c>
      <c r="I4334">
        <v>20110101</v>
      </c>
      <c r="J4334" t="s">
        <v>4575</v>
      </c>
    </row>
    <row r="4335" spans="1:15" x14ac:dyDescent="0.3">
      <c r="A4335" s="160">
        <v>38388</v>
      </c>
      <c r="B4335" t="s">
        <v>19530</v>
      </c>
      <c r="C4335" t="s">
        <v>4441</v>
      </c>
      <c r="D4335">
        <v>2</v>
      </c>
      <c r="E4335">
        <v>0</v>
      </c>
      <c r="F4335">
        <f t="shared" si="67"/>
        <v>2</v>
      </c>
      <c r="I4335">
        <v>20140101</v>
      </c>
      <c r="J4335" t="s">
        <v>4570</v>
      </c>
    </row>
    <row r="4336" spans="1:15" x14ac:dyDescent="0.3">
      <c r="A4336" s="160">
        <v>38395</v>
      </c>
      <c r="B4336" t="s">
        <v>19531</v>
      </c>
      <c r="C4336" t="s">
        <v>4441</v>
      </c>
      <c r="D4336">
        <v>1.7</v>
      </c>
      <c r="E4336">
        <v>0</v>
      </c>
      <c r="F4336">
        <f t="shared" si="67"/>
        <v>1.7</v>
      </c>
      <c r="I4336">
        <v>20250101</v>
      </c>
      <c r="J4336" t="s">
        <v>4574</v>
      </c>
    </row>
    <row r="4337" spans="1:16" x14ac:dyDescent="0.3">
      <c r="A4337" s="160">
        <v>38397</v>
      </c>
      <c r="B4337" t="s">
        <v>19532</v>
      </c>
      <c r="C4337" t="s">
        <v>4441</v>
      </c>
      <c r="D4337">
        <v>1.7</v>
      </c>
      <c r="E4337">
        <v>0</v>
      </c>
      <c r="F4337">
        <f t="shared" si="67"/>
        <v>1.7</v>
      </c>
      <c r="I4337">
        <v>20250101</v>
      </c>
      <c r="J4337" t="s">
        <v>4449</v>
      </c>
      <c r="K4337" t="s">
        <v>4450</v>
      </c>
      <c r="L4337" t="s">
        <v>4599</v>
      </c>
      <c r="M4337" t="s">
        <v>4600</v>
      </c>
    </row>
    <row r="4338" spans="1:16" x14ac:dyDescent="0.3">
      <c r="A4338" s="160">
        <v>38400</v>
      </c>
      <c r="B4338" t="s">
        <v>19533</v>
      </c>
      <c r="C4338" t="s">
        <v>4447</v>
      </c>
      <c r="D4338">
        <v>0.8</v>
      </c>
      <c r="E4338">
        <v>0</v>
      </c>
      <c r="F4338">
        <f t="shared" si="67"/>
        <v>0.8</v>
      </c>
      <c r="I4338">
        <v>20110101</v>
      </c>
      <c r="J4338" t="s">
        <v>4584</v>
      </c>
    </row>
    <row r="4339" spans="1:16" x14ac:dyDescent="0.3">
      <c r="A4339" s="160">
        <v>38404</v>
      </c>
      <c r="B4339" t="s">
        <v>19534</v>
      </c>
      <c r="C4339" t="s">
        <v>4441</v>
      </c>
      <c r="D4339">
        <v>1.7</v>
      </c>
      <c r="E4339">
        <v>0</v>
      </c>
      <c r="F4339">
        <f t="shared" si="67"/>
        <v>1.7</v>
      </c>
      <c r="I4339">
        <v>20250101</v>
      </c>
      <c r="J4339" t="s">
        <v>4488</v>
      </c>
    </row>
    <row r="4340" spans="1:16" x14ac:dyDescent="0.3">
      <c r="A4340" s="160">
        <v>38407</v>
      </c>
      <c r="B4340" t="s">
        <v>19535</v>
      </c>
      <c r="C4340" t="s">
        <v>4447</v>
      </c>
      <c r="D4340">
        <v>0.8</v>
      </c>
      <c r="E4340">
        <v>0</v>
      </c>
      <c r="F4340">
        <f t="shared" si="67"/>
        <v>0.8</v>
      </c>
      <c r="I4340">
        <v>20110101</v>
      </c>
      <c r="J4340" t="s">
        <v>4601</v>
      </c>
      <c r="K4340" t="s">
        <v>4591</v>
      </c>
    </row>
    <row r="4341" spans="1:16" x14ac:dyDescent="0.3">
      <c r="A4341" s="160">
        <v>38417</v>
      </c>
      <c r="B4341" t="s">
        <v>19536</v>
      </c>
      <c r="C4341" t="s">
        <v>4441</v>
      </c>
      <c r="D4341">
        <v>1.7</v>
      </c>
      <c r="E4341">
        <v>0</v>
      </c>
      <c r="F4341">
        <f t="shared" si="67"/>
        <v>1.7</v>
      </c>
      <c r="I4341">
        <v>20250101</v>
      </c>
      <c r="J4341" t="s">
        <v>4574</v>
      </c>
    </row>
    <row r="4342" spans="1:16" x14ac:dyDescent="0.3">
      <c r="A4342" s="160">
        <v>38418</v>
      </c>
      <c r="B4342" t="s">
        <v>19537</v>
      </c>
      <c r="C4342" t="s">
        <v>4441</v>
      </c>
      <c r="D4342">
        <v>1.7</v>
      </c>
      <c r="E4342">
        <v>0</v>
      </c>
      <c r="F4342">
        <f t="shared" si="67"/>
        <v>1.7</v>
      </c>
      <c r="I4342">
        <v>20250101</v>
      </c>
      <c r="J4342" t="s">
        <v>4574</v>
      </c>
    </row>
    <row r="4343" spans="1:16" x14ac:dyDescent="0.3">
      <c r="A4343" s="160">
        <v>38421</v>
      </c>
      <c r="B4343" t="s">
        <v>19538</v>
      </c>
      <c r="C4343" t="s">
        <v>4441</v>
      </c>
      <c r="D4343">
        <v>2</v>
      </c>
      <c r="E4343">
        <v>0</v>
      </c>
      <c r="F4343">
        <f t="shared" si="67"/>
        <v>2</v>
      </c>
      <c r="I4343">
        <v>20111101</v>
      </c>
      <c r="J4343" t="s">
        <v>4602</v>
      </c>
      <c r="K4343" t="s">
        <v>4513</v>
      </c>
      <c r="L4343" t="s">
        <v>4603</v>
      </c>
      <c r="M4343" t="s">
        <v>4514</v>
      </c>
      <c r="N4343" t="s">
        <v>4604</v>
      </c>
      <c r="O4343" t="s">
        <v>4605</v>
      </c>
      <c r="P4343" t="s">
        <v>4606</v>
      </c>
    </row>
    <row r="4344" spans="1:16" x14ac:dyDescent="0.3">
      <c r="A4344" s="160">
        <v>38422</v>
      </c>
      <c r="B4344" t="s">
        <v>19539</v>
      </c>
      <c r="C4344" t="s">
        <v>4441</v>
      </c>
      <c r="D4344">
        <v>1.7</v>
      </c>
      <c r="E4344">
        <v>0</v>
      </c>
      <c r="F4344">
        <f t="shared" si="67"/>
        <v>1.7</v>
      </c>
      <c r="I4344">
        <v>20250101</v>
      </c>
      <c r="J4344" t="s">
        <v>4607</v>
      </c>
    </row>
    <row r="4345" spans="1:16" x14ac:dyDescent="0.3">
      <c r="A4345" s="160">
        <v>38423</v>
      </c>
      <c r="B4345" t="s">
        <v>19540</v>
      </c>
      <c r="C4345" t="s">
        <v>4441</v>
      </c>
      <c r="D4345">
        <v>2</v>
      </c>
      <c r="E4345">
        <v>0</v>
      </c>
      <c r="F4345">
        <f t="shared" si="67"/>
        <v>2</v>
      </c>
      <c r="I4345">
        <v>20111101</v>
      </c>
      <c r="J4345" t="s">
        <v>4593</v>
      </c>
    </row>
    <row r="4346" spans="1:16" x14ac:dyDescent="0.3">
      <c r="A4346" s="160">
        <v>38426</v>
      </c>
      <c r="B4346" t="s">
        <v>19541</v>
      </c>
      <c r="C4346" t="s">
        <v>4441</v>
      </c>
      <c r="D4346">
        <v>1.7</v>
      </c>
      <c r="E4346">
        <v>0</v>
      </c>
      <c r="F4346">
        <f t="shared" si="67"/>
        <v>1.7</v>
      </c>
      <c r="I4346">
        <v>20250101</v>
      </c>
      <c r="J4346" t="s">
        <v>4445</v>
      </c>
    </row>
    <row r="4347" spans="1:16" x14ac:dyDescent="0.3">
      <c r="A4347" s="160">
        <v>38430</v>
      </c>
      <c r="B4347" t="s">
        <v>19542</v>
      </c>
      <c r="C4347" t="s">
        <v>4441</v>
      </c>
      <c r="D4347">
        <v>1.7</v>
      </c>
      <c r="E4347">
        <v>0</v>
      </c>
      <c r="F4347">
        <f t="shared" si="67"/>
        <v>1.7</v>
      </c>
      <c r="I4347">
        <v>20250101</v>
      </c>
      <c r="J4347" t="s">
        <v>4442</v>
      </c>
    </row>
    <row r="4348" spans="1:16" x14ac:dyDescent="0.3">
      <c r="A4348" s="160">
        <v>38431</v>
      </c>
      <c r="B4348" t="s">
        <v>19543</v>
      </c>
      <c r="C4348" t="s">
        <v>4441</v>
      </c>
      <c r="D4348">
        <v>1.7</v>
      </c>
      <c r="E4348">
        <v>0</v>
      </c>
      <c r="F4348">
        <f t="shared" si="67"/>
        <v>1.7</v>
      </c>
      <c r="I4348">
        <v>20250101</v>
      </c>
      <c r="J4348" t="s">
        <v>4449</v>
      </c>
      <c r="K4348" t="s">
        <v>4450</v>
      </c>
    </row>
    <row r="4349" spans="1:16" x14ac:dyDescent="0.3">
      <c r="A4349" s="160">
        <v>38432</v>
      </c>
      <c r="B4349" t="s">
        <v>19544</v>
      </c>
      <c r="C4349" t="s">
        <v>4447</v>
      </c>
      <c r="D4349">
        <v>0.8</v>
      </c>
      <c r="E4349">
        <v>0</v>
      </c>
      <c r="F4349">
        <f t="shared" si="67"/>
        <v>0.8</v>
      </c>
      <c r="I4349">
        <v>20110101</v>
      </c>
      <c r="J4349" t="s">
        <v>4462</v>
      </c>
    </row>
    <row r="4350" spans="1:16" x14ac:dyDescent="0.3">
      <c r="A4350" s="160">
        <v>38435</v>
      </c>
      <c r="B4350" t="s">
        <v>19545</v>
      </c>
      <c r="C4350" t="s">
        <v>4441</v>
      </c>
      <c r="D4350">
        <v>1.7</v>
      </c>
      <c r="E4350">
        <v>0</v>
      </c>
      <c r="F4350">
        <f t="shared" si="67"/>
        <v>1.7</v>
      </c>
      <c r="I4350">
        <v>20250101</v>
      </c>
      <c r="J4350" t="s">
        <v>4574</v>
      </c>
    </row>
    <row r="4351" spans="1:16" x14ac:dyDescent="0.3">
      <c r="A4351" s="160">
        <v>38436</v>
      </c>
      <c r="B4351" t="s">
        <v>19546</v>
      </c>
      <c r="C4351" t="s">
        <v>4441</v>
      </c>
      <c r="D4351">
        <v>2</v>
      </c>
      <c r="E4351">
        <v>0</v>
      </c>
      <c r="F4351">
        <f t="shared" si="67"/>
        <v>2</v>
      </c>
      <c r="I4351">
        <v>20111101</v>
      </c>
      <c r="J4351" t="s">
        <v>4608</v>
      </c>
    </row>
    <row r="4352" spans="1:16" x14ac:dyDescent="0.3">
      <c r="A4352" s="160">
        <v>38439</v>
      </c>
      <c r="B4352" t="s">
        <v>19547</v>
      </c>
      <c r="C4352" t="s">
        <v>4441</v>
      </c>
      <c r="D4352">
        <v>1.7</v>
      </c>
      <c r="E4352">
        <v>0</v>
      </c>
      <c r="F4352">
        <f t="shared" si="67"/>
        <v>1.7</v>
      </c>
      <c r="I4352">
        <v>20250101</v>
      </c>
      <c r="J4352" t="s">
        <v>4609</v>
      </c>
    </row>
    <row r="4353" spans="1:17" x14ac:dyDescent="0.3">
      <c r="A4353" s="160">
        <v>38445</v>
      </c>
      <c r="B4353" t="s">
        <v>19548</v>
      </c>
      <c r="C4353" t="s">
        <v>4441</v>
      </c>
      <c r="D4353">
        <v>2</v>
      </c>
      <c r="E4353">
        <v>0</v>
      </c>
      <c r="F4353">
        <f t="shared" si="67"/>
        <v>2</v>
      </c>
      <c r="I4353">
        <v>20140101</v>
      </c>
      <c r="J4353" t="s">
        <v>4585</v>
      </c>
    </row>
    <row r="4354" spans="1:17" x14ac:dyDescent="0.3">
      <c r="A4354" s="160">
        <v>38449</v>
      </c>
      <c r="B4354" t="s">
        <v>19549</v>
      </c>
      <c r="C4354" t="s">
        <v>4451</v>
      </c>
      <c r="D4354">
        <v>1.05</v>
      </c>
      <c r="E4354">
        <v>0</v>
      </c>
      <c r="F4354">
        <f t="shared" si="67"/>
        <v>1.05</v>
      </c>
      <c r="I4354">
        <v>20190101</v>
      </c>
      <c r="J4354" t="s">
        <v>4610</v>
      </c>
      <c r="K4354" t="s">
        <v>4611</v>
      </c>
      <c r="L4354" t="s">
        <v>4612</v>
      </c>
      <c r="M4354" t="s">
        <v>4613</v>
      </c>
      <c r="N4354" t="s">
        <v>4614</v>
      </c>
      <c r="O4354" t="s">
        <v>4615</v>
      </c>
      <c r="P4354" t="s">
        <v>4616</v>
      </c>
      <c r="Q4354" t="s">
        <v>4617</v>
      </c>
    </row>
    <row r="4355" spans="1:17" x14ac:dyDescent="0.3">
      <c r="A4355" s="160">
        <v>38455</v>
      </c>
      <c r="B4355" t="s">
        <v>18941</v>
      </c>
      <c r="C4355" t="s">
        <v>4451</v>
      </c>
      <c r="D4355">
        <v>1.05</v>
      </c>
      <c r="E4355">
        <v>0</v>
      </c>
      <c r="F4355">
        <f t="shared" si="67"/>
        <v>1.05</v>
      </c>
      <c r="I4355">
        <v>20190101</v>
      </c>
      <c r="J4355" t="s">
        <v>4452</v>
      </c>
      <c r="K4355" t="s">
        <v>4455</v>
      </c>
      <c r="L4355" t="s">
        <v>4457</v>
      </c>
      <c r="M4355" t="s">
        <v>4458</v>
      </c>
    </row>
    <row r="4356" spans="1:17" x14ac:dyDescent="0.3">
      <c r="A4356" s="160">
        <v>38459</v>
      </c>
      <c r="B4356" t="s">
        <v>19550</v>
      </c>
      <c r="C4356" t="s">
        <v>4472</v>
      </c>
      <c r="D4356">
        <v>0.8</v>
      </c>
      <c r="E4356">
        <v>0</v>
      </c>
      <c r="F4356">
        <f t="shared" si="67"/>
        <v>0.8</v>
      </c>
      <c r="I4356">
        <v>20130701</v>
      </c>
      <c r="J4356" t="s">
        <v>4477</v>
      </c>
    </row>
    <row r="4357" spans="1:17" x14ac:dyDescent="0.3">
      <c r="A4357" s="160">
        <v>38460</v>
      </c>
      <c r="B4357" t="s">
        <v>19551</v>
      </c>
      <c r="C4357" t="s">
        <v>4447</v>
      </c>
      <c r="D4357">
        <v>0.8</v>
      </c>
      <c r="E4357">
        <v>0</v>
      </c>
      <c r="F4357">
        <f t="shared" si="67"/>
        <v>0.8</v>
      </c>
      <c r="I4357">
        <v>20110101</v>
      </c>
      <c r="J4357" t="s">
        <v>4575</v>
      </c>
    </row>
    <row r="4358" spans="1:17" x14ac:dyDescent="0.3">
      <c r="A4358" s="160">
        <v>38466</v>
      </c>
      <c r="B4358" t="s">
        <v>19552</v>
      </c>
      <c r="C4358" t="s">
        <v>4441</v>
      </c>
      <c r="D4358">
        <v>1.7</v>
      </c>
      <c r="E4358">
        <v>0</v>
      </c>
      <c r="F4358">
        <f t="shared" si="67"/>
        <v>1.7</v>
      </c>
      <c r="I4358">
        <v>20250101</v>
      </c>
      <c r="J4358" t="s">
        <v>4574</v>
      </c>
    </row>
    <row r="4359" spans="1:17" x14ac:dyDescent="0.3">
      <c r="A4359" s="160">
        <v>38471</v>
      </c>
      <c r="B4359" t="s">
        <v>19553</v>
      </c>
      <c r="C4359" t="s">
        <v>4441</v>
      </c>
      <c r="D4359">
        <v>2</v>
      </c>
      <c r="E4359">
        <v>0</v>
      </c>
      <c r="F4359">
        <f t="shared" ref="F4359:F4422" si="68">D4359+E4359</f>
        <v>2</v>
      </c>
      <c r="I4359">
        <v>20140101</v>
      </c>
      <c r="J4359" t="s">
        <v>4479</v>
      </c>
    </row>
    <row r="4360" spans="1:17" x14ac:dyDescent="0.3">
      <c r="A4360" s="160">
        <v>38472</v>
      </c>
      <c r="B4360" t="s">
        <v>19554</v>
      </c>
      <c r="C4360" t="s">
        <v>4441</v>
      </c>
      <c r="D4360">
        <v>2</v>
      </c>
      <c r="E4360">
        <v>0</v>
      </c>
      <c r="F4360">
        <f t="shared" si="68"/>
        <v>2</v>
      </c>
      <c r="I4360">
        <v>20140101</v>
      </c>
      <c r="J4360" t="s">
        <v>4479</v>
      </c>
    </row>
    <row r="4361" spans="1:17" x14ac:dyDescent="0.3">
      <c r="A4361" s="160">
        <v>38474</v>
      </c>
      <c r="B4361" t="s">
        <v>19555</v>
      </c>
      <c r="C4361" t="s">
        <v>4441</v>
      </c>
      <c r="D4361">
        <v>2</v>
      </c>
      <c r="E4361">
        <v>0</v>
      </c>
      <c r="F4361">
        <f t="shared" si="68"/>
        <v>2</v>
      </c>
      <c r="I4361">
        <v>20111101</v>
      </c>
      <c r="J4361" t="s">
        <v>4588</v>
      </c>
      <c r="K4361" t="s">
        <v>4589</v>
      </c>
    </row>
    <row r="4362" spans="1:17" x14ac:dyDescent="0.3">
      <c r="A4362" s="160">
        <v>38475</v>
      </c>
      <c r="B4362" t="s">
        <v>19556</v>
      </c>
      <c r="C4362" t="s">
        <v>4451</v>
      </c>
      <c r="D4362">
        <v>1.05</v>
      </c>
      <c r="E4362">
        <v>0</v>
      </c>
      <c r="F4362">
        <f t="shared" si="68"/>
        <v>1.05</v>
      </c>
      <c r="I4362">
        <v>20190101</v>
      </c>
      <c r="J4362" t="s">
        <v>4618</v>
      </c>
      <c r="K4362" t="s">
        <v>4614</v>
      </c>
      <c r="L4362" t="s">
        <v>4617</v>
      </c>
    </row>
    <row r="4363" spans="1:17" x14ac:dyDescent="0.3">
      <c r="A4363" s="160">
        <v>38478</v>
      </c>
      <c r="B4363" t="s">
        <v>19557</v>
      </c>
      <c r="C4363" t="s">
        <v>4441</v>
      </c>
      <c r="D4363">
        <v>2</v>
      </c>
      <c r="E4363">
        <v>0</v>
      </c>
      <c r="F4363">
        <f t="shared" si="68"/>
        <v>2</v>
      </c>
      <c r="I4363">
        <v>20140101</v>
      </c>
      <c r="J4363" t="s">
        <v>4585</v>
      </c>
    </row>
    <row r="4364" spans="1:17" x14ac:dyDescent="0.3">
      <c r="A4364" s="160">
        <v>38480</v>
      </c>
      <c r="B4364" t="s">
        <v>19558</v>
      </c>
      <c r="C4364" t="s">
        <v>4472</v>
      </c>
      <c r="D4364">
        <v>0.8</v>
      </c>
      <c r="E4364">
        <v>0</v>
      </c>
      <c r="F4364">
        <f t="shared" si="68"/>
        <v>0.8</v>
      </c>
      <c r="I4364">
        <v>20130701</v>
      </c>
      <c r="J4364" t="s">
        <v>4496</v>
      </c>
      <c r="K4364" t="s">
        <v>4498</v>
      </c>
    </row>
    <row r="4365" spans="1:17" x14ac:dyDescent="0.3">
      <c r="A4365" s="160">
        <v>38481</v>
      </c>
      <c r="B4365" t="s">
        <v>19559</v>
      </c>
      <c r="C4365" t="s">
        <v>4451</v>
      </c>
      <c r="D4365">
        <v>1.05</v>
      </c>
      <c r="E4365">
        <v>0</v>
      </c>
      <c r="F4365">
        <f t="shared" si="68"/>
        <v>1.05</v>
      </c>
      <c r="I4365">
        <v>20190101</v>
      </c>
      <c r="J4365" t="s">
        <v>4452</v>
      </c>
    </row>
    <row r="4366" spans="1:17" x14ac:dyDescent="0.3">
      <c r="A4366" s="160">
        <v>38484</v>
      </c>
      <c r="B4366" t="s">
        <v>19560</v>
      </c>
      <c r="C4366" t="s">
        <v>4472</v>
      </c>
      <c r="D4366">
        <v>0.8</v>
      </c>
      <c r="E4366">
        <v>0</v>
      </c>
      <c r="F4366">
        <f t="shared" si="68"/>
        <v>0.8</v>
      </c>
      <c r="I4366">
        <v>20130701</v>
      </c>
      <c r="J4366" t="s">
        <v>4477</v>
      </c>
    </row>
    <row r="4367" spans="1:17" x14ac:dyDescent="0.3">
      <c r="A4367" s="160">
        <v>38485</v>
      </c>
      <c r="B4367" t="s">
        <v>19561</v>
      </c>
      <c r="C4367" t="s">
        <v>4441</v>
      </c>
      <c r="D4367">
        <v>2</v>
      </c>
      <c r="E4367">
        <v>0</v>
      </c>
      <c r="F4367">
        <f t="shared" si="68"/>
        <v>2</v>
      </c>
      <c r="I4367">
        <v>20111101</v>
      </c>
      <c r="J4367" t="s">
        <v>4619</v>
      </c>
      <c r="K4367" t="s">
        <v>4620</v>
      </c>
      <c r="L4367" t="s">
        <v>4621</v>
      </c>
      <c r="M4367" t="s">
        <v>4622</v>
      </c>
      <c r="N4367" t="s">
        <v>4623</v>
      </c>
      <c r="O4367" t="s">
        <v>4624</v>
      </c>
    </row>
    <row r="4368" spans="1:17" x14ac:dyDescent="0.3">
      <c r="A4368" s="160">
        <v>38486</v>
      </c>
      <c r="B4368" t="s">
        <v>19562</v>
      </c>
      <c r="C4368" t="s">
        <v>4441</v>
      </c>
      <c r="D4368">
        <v>2</v>
      </c>
      <c r="E4368">
        <v>0</v>
      </c>
      <c r="F4368">
        <f t="shared" si="68"/>
        <v>2</v>
      </c>
      <c r="I4368">
        <v>20111101</v>
      </c>
      <c r="J4368" t="s">
        <v>4625</v>
      </c>
    </row>
    <row r="4369" spans="1:14" x14ac:dyDescent="0.3">
      <c r="A4369" s="160">
        <v>38487</v>
      </c>
      <c r="B4369" t="s">
        <v>19563</v>
      </c>
      <c r="C4369" t="s">
        <v>4472</v>
      </c>
      <c r="D4369">
        <v>0.8</v>
      </c>
      <c r="E4369">
        <v>0</v>
      </c>
      <c r="F4369">
        <f t="shared" si="68"/>
        <v>0.8</v>
      </c>
      <c r="I4369">
        <v>20130701</v>
      </c>
      <c r="J4369" t="s">
        <v>4477</v>
      </c>
      <c r="K4369" t="s">
        <v>4626</v>
      </c>
      <c r="L4369" t="s">
        <v>4627</v>
      </c>
    </row>
    <row r="4370" spans="1:14" x14ac:dyDescent="0.3">
      <c r="A4370" s="160">
        <v>38498</v>
      </c>
      <c r="B4370" t="s">
        <v>19564</v>
      </c>
      <c r="C4370" t="s">
        <v>4451</v>
      </c>
      <c r="D4370">
        <v>1.05</v>
      </c>
      <c r="E4370">
        <v>0</v>
      </c>
      <c r="F4370">
        <f t="shared" si="68"/>
        <v>1.05</v>
      </c>
      <c r="I4370">
        <v>20190101</v>
      </c>
      <c r="J4370" t="s">
        <v>4452</v>
      </c>
    </row>
    <row r="4371" spans="1:14" x14ac:dyDescent="0.3">
      <c r="A4371" s="160">
        <v>38501</v>
      </c>
      <c r="B4371" t="s">
        <v>19565</v>
      </c>
      <c r="C4371" t="s">
        <v>4441</v>
      </c>
      <c r="D4371">
        <v>1.7</v>
      </c>
      <c r="E4371">
        <v>0</v>
      </c>
      <c r="F4371">
        <f t="shared" si="68"/>
        <v>1.7</v>
      </c>
      <c r="I4371">
        <v>20250101</v>
      </c>
      <c r="J4371" t="s">
        <v>4474</v>
      </c>
    </row>
    <row r="4372" spans="1:14" x14ac:dyDescent="0.3">
      <c r="A4372" s="160">
        <v>38503</v>
      </c>
      <c r="B4372" t="s">
        <v>19566</v>
      </c>
      <c r="C4372" t="s">
        <v>4441</v>
      </c>
      <c r="D4372">
        <v>1.7</v>
      </c>
      <c r="E4372">
        <v>0</v>
      </c>
      <c r="F4372">
        <f t="shared" si="68"/>
        <v>1.7</v>
      </c>
      <c r="I4372">
        <v>20250101</v>
      </c>
      <c r="J4372" t="s">
        <v>4574</v>
      </c>
    </row>
    <row r="4373" spans="1:14" x14ac:dyDescent="0.3">
      <c r="A4373" s="160">
        <v>38504</v>
      </c>
      <c r="B4373" t="s">
        <v>19567</v>
      </c>
      <c r="C4373" t="s">
        <v>4441</v>
      </c>
      <c r="D4373">
        <v>1.7</v>
      </c>
      <c r="E4373">
        <v>0</v>
      </c>
      <c r="F4373">
        <f t="shared" si="68"/>
        <v>1.7</v>
      </c>
      <c r="I4373">
        <v>20250101</v>
      </c>
      <c r="J4373" t="s">
        <v>4474</v>
      </c>
    </row>
    <row r="4374" spans="1:14" x14ac:dyDescent="0.3">
      <c r="A4374" s="160">
        <v>38511</v>
      </c>
      <c r="B4374" t="s">
        <v>19568</v>
      </c>
      <c r="C4374" t="s">
        <v>4441</v>
      </c>
      <c r="D4374">
        <v>1.7</v>
      </c>
      <c r="E4374">
        <v>0</v>
      </c>
      <c r="F4374">
        <f t="shared" si="68"/>
        <v>1.7</v>
      </c>
      <c r="I4374">
        <v>20250101</v>
      </c>
      <c r="J4374" t="s">
        <v>4574</v>
      </c>
    </row>
    <row r="4375" spans="1:14" x14ac:dyDescent="0.3">
      <c r="A4375" s="160">
        <v>38516</v>
      </c>
      <c r="B4375" t="s">
        <v>19569</v>
      </c>
      <c r="C4375" t="s">
        <v>4441</v>
      </c>
      <c r="D4375">
        <v>2</v>
      </c>
      <c r="E4375">
        <v>0</v>
      </c>
      <c r="F4375">
        <f t="shared" si="68"/>
        <v>2</v>
      </c>
      <c r="I4375">
        <v>20111101</v>
      </c>
      <c r="J4375" t="s">
        <v>4479</v>
      </c>
      <c r="K4375" t="s">
        <v>4628</v>
      </c>
      <c r="L4375" t="s">
        <v>4629</v>
      </c>
      <c r="M4375" t="s">
        <v>4630</v>
      </c>
      <c r="N4375" t="s">
        <v>4631</v>
      </c>
    </row>
    <row r="4376" spans="1:14" x14ac:dyDescent="0.3">
      <c r="A4376" s="160">
        <v>38517</v>
      </c>
      <c r="B4376" t="s">
        <v>19570</v>
      </c>
      <c r="C4376" t="s">
        <v>4447</v>
      </c>
      <c r="D4376">
        <v>0.8</v>
      </c>
      <c r="E4376">
        <v>0</v>
      </c>
      <c r="F4376">
        <f t="shared" si="68"/>
        <v>0.8</v>
      </c>
      <c r="I4376">
        <v>20110101</v>
      </c>
      <c r="J4376" t="s">
        <v>4632</v>
      </c>
      <c r="K4376" t="s">
        <v>4633</v>
      </c>
    </row>
    <row r="4377" spans="1:14" x14ac:dyDescent="0.3">
      <c r="A4377" s="160">
        <v>38524</v>
      </c>
      <c r="B4377" t="s">
        <v>19571</v>
      </c>
      <c r="C4377" t="s">
        <v>4441</v>
      </c>
      <c r="D4377">
        <v>2</v>
      </c>
      <c r="E4377">
        <v>0</v>
      </c>
      <c r="F4377">
        <f t="shared" si="68"/>
        <v>2</v>
      </c>
      <c r="I4377">
        <v>20111101</v>
      </c>
      <c r="J4377" t="s">
        <v>4608</v>
      </c>
      <c r="K4377" t="s">
        <v>4634</v>
      </c>
      <c r="L4377" t="s">
        <v>4635</v>
      </c>
    </row>
    <row r="4378" spans="1:14" x14ac:dyDescent="0.3">
      <c r="A4378" s="160">
        <v>38528</v>
      </c>
      <c r="B4378" t="s">
        <v>19572</v>
      </c>
      <c r="C4378" t="s">
        <v>4441</v>
      </c>
      <c r="D4378">
        <v>2</v>
      </c>
      <c r="E4378">
        <v>0</v>
      </c>
      <c r="F4378">
        <f t="shared" si="68"/>
        <v>2</v>
      </c>
      <c r="I4378">
        <v>20140101</v>
      </c>
      <c r="J4378" t="s">
        <v>4607</v>
      </c>
    </row>
    <row r="4379" spans="1:14" x14ac:dyDescent="0.3">
      <c r="A4379" s="160">
        <v>38529</v>
      </c>
      <c r="B4379" t="s">
        <v>19573</v>
      </c>
      <c r="C4379" t="s">
        <v>4441</v>
      </c>
      <c r="D4379">
        <v>2</v>
      </c>
      <c r="E4379">
        <v>0</v>
      </c>
      <c r="F4379">
        <f t="shared" si="68"/>
        <v>2</v>
      </c>
      <c r="I4379">
        <v>20140101</v>
      </c>
      <c r="J4379" t="s">
        <v>4607</v>
      </c>
    </row>
    <row r="4380" spans="1:14" x14ac:dyDescent="0.3">
      <c r="A4380" s="160">
        <v>38530</v>
      </c>
      <c r="B4380" t="s">
        <v>19574</v>
      </c>
      <c r="C4380" t="s">
        <v>4451</v>
      </c>
      <c r="D4380">
        <v>1.05</v>
      </c>
      <c r="E4380">
        <v>0</v>
      </c>
      <c r="F4380">
        <f t="shared" si="68"/>
        <v>1.05</v>
      </c>
      <c r="I4380">
        <v>20190101</v>
      </c>
      <c r="J4380" t="s">
        <v>4636</v>
      </c>
      <c r="K4380" t="s">
        <v>4637</v>
      </c>
      <c r="L4380" t="s">
        <v>4638</v>
      </c>
    </row>
    <row r="4381" spans="1:14" x14ac:dyDescent="0.3">
      <c r="A4381" s="160">
        <v>38531</v>
      </c>
      <c r="B4381" t="s">
        <v>19575</v>
      </c>
      <c r="C4381" t="s">
        <v>4447</v>
      </c>
      <c r="D4381">
        <v>0.8</v>
      </c>
      <c r="E4381">
        <v>0</v>
      </c>
      <c r="F4381">
        <f t="shared" si="68"/>
        <v>0.8</v>
      </c>
      <c r="I4381">
        <v>20110101</v>
      </c>
      <c r="J4381" t="s">
        <v>4575</v>
      </c>
    </row>
    <row r="4382" spans="1:14" x14ac:dyDescent="0.3">
      <c r="A4382" s="160">
        <v>38533</v>
      </c>
      <c r="B4382" t="s">
        <v>19576</v>
      </c>
      <c r="C4382" t="s">
        <v>4441</v>
      </c>
      <c r="D4382">
        <v>2</v>
      </c>
      <c r="E4382">
        <v>0</v>
      </c>
      <c r="F4382">
        <f t="shared" si="68"/>
        <v>2</v>
      </c>
      <c r="I4382">
        <v>20111101</v>
      </c>
      <c r="J4382" t="s">
        <v>4513</v>
      </c>
      <c r="K4382" t="s">
        <v>4514</v>
      </c>
      <c r="L4382" t="s">
        <v>4515</v>
      </c>
    </row>
    <row r="4383" spans="1:14" x14ac:dyDescent="0.3">
      <c r="A4383" s="160">
        <v>38537</v>
      </c>
      <c r="B4383" t="s">
        <v>19577</v>
      </c>
      <c r="C4383" t="s">
        <v>4451</v>
      </c>
      <c r="D4383">
        <v>1.05</v>
      </c>
      <c r="E4383">
        <v>0</v>
      </c>
      <c r="F4383">
        <f t="shared" si="68"/>
        <v>1.05</v>
      </c>
      <c r="I4383">
        <v>20190101</v>
      </c>
      <c r="J4383" t="s">
        <v>4618</v>
      </c>
      <c r="K4383" t="s">
        <v>4614</v>
      </c>
      <c r="L4383" t="s">
        <v>4639</v>
      </c>
    </row>
    <row r="4384" spans="1:14" x14ac:dyDescent="0.3">
      <c r="A4384" s="160">
        <v>38538</v>
      </c>
      <c r="B4384" t="s">
        <v>19578</v>
      </c>
      <c r="C4384" t="s">
        <v>4441</v>
      </c>
      <c r="D4384">
        <v>1.7</v>
      </c>
      <c r="E4384">
        <v>0</v>
      </c>
      <c r="F4384">
        <f t="shared" si="68"/>
        <v>1.7</v>
      </c>
      <c r="I4384">
        <v>20250101</v>
      </c>
      <c r="J4384" t="s">
        <v>4488</v>
      </c>
    </row>
    <row r="4385" spans="1:22" x14ac:dyDescent="0.3">
      <c r="A4385" s="160">
        <v>38540</v>
      </c>
      <c r="B4385" t="s">
        <v>19579</v>
      </c>
      <c r="C4385" t="s">
        <v>4441</v>
      </c>
      <c r="D4385">
        <v>2</v>
      </c>
      <c r="E4385">
        <v>0</v>
      </c>
      <c r="F4385">
        <f t="shared" si="68"/>
        <v>2</v>
      </c>
      <c r="I4385">
        <v>20111101</v>
      </c>
      <c r="J4385" t="s">
        <v>4640</v>
      </c>
    </row>
    <row r="4386" spans="1:22" x14ac:dyDescent="0.3">
      <c r="A4386" s="160">
        <v>38544</v>
      </c>
      <c r="B4386" t="s">
        <v>19580</v>
      </c>
      <c r="C4386" t="s">
        <v>4472</v>
      </c>
      <c r="D4386">
        <v>0.8</v>
      </c>
      <c r="E4386">
        <v>0</v>
      </c>
      <c r="F4386">
        <f t="shared" si="68"/>
        <v>0.8</v>
      </c>
      <c r="I4386">
        <v>20130701</v>
      </c>
      <c r="J4386" t="s">
        <v>4477</v>
      </c>
      <c r="K4386" t="s">
        <v>4572</v>
      </c>
      <c r="L4386" t="s">
        <v>4641</v>
      </c>
      <c r="M4386" t="s">
        <v>4573</v>
      </c>
      <c r="N4386" t="s">
        <v>4594</v>
      </c>
      <c r="O4386" t="s">
        <v>4642</v>
      </c>
      <c r="P4386" t="s">
        <v>4643</v>
      </c>
      <c r="Q4386" t="s">
        <v>4476</v>
      </c>
      <c r="R4386" t="s">
        <v>4644</v>
      </c>
      <c r="S4386" t="s">
        <v>4645</v>
      </c>
      <c r="T4386" t="s">
        <v>4626</v>
      </c>
      <c r="U4386" t="s">
        <v>4627</v>
      </c>
      <c r="V4386" t="s">
        <v>4498</v>
      </c>
    </row>
    <row r="4387" spans="1:22" x14ac:dyDescent="0.3">
      <c r="A4387" s="160">
        <v>38545</v>
      </c>
      <c r="B4387" t="s">
        <v>19581</v>
      </c>
      <c r="C4387" t="s">
        <v>4441</v>
      </c>
      <c r="D4387">
        <v>2</v>
      </c>
      <c r="E4387">
        <v>0</v>
      </c>
      <c r="F4387">
        <f t="shared" si="68"/>
        <v>2</v>
      </c>
      <c r="I4387">
        <v>20111101</v>
      </c>
      <c r="J4387" t="s">
        <v>4570</v>
      </c>
    </row>
    <row r="4388" spans="1:22" x14ac:dyDescent="0.3">
      <c r="A4388" s="160">
        <v>38547</v>
      </c>
      <c r="B4388" t="s">
        <v>19582</v>
      </c>
      <c r="C4388" t="s">
        <v>4441</v>
      </c>
      <c r="D4388">
        <v>1.7</v>
      </c>
      <c r="E4388">
        <v>0</v>
      </c>
      <c r="F4388">
        <f t="shared" si="68"/>
        <v>1.7</v>
      </c>
      <c r="I4388">
        <v>20250101</v>
      </c>
      <c r="J4388" t="s">
        <v>4442</v>
      </c>
      <c r="K4388" t="s">
        <v>4443</v>
      </c>
      <c r="L4388" t="s">
        <v>4511</v>
      </c>
    </row>
    <row r="4389" spans="1:22" x14ac:dyDescent="0.3">
      <c r="A4389" s="160">
        <v>38553</v>
      </c>
      <c r="B4389" t="s">
        <v>19583</v>
      </c>
      <c r="C4389" t="s">
        <v>4451</v>
      </c>
      <c r="D4389">
        <v>1.05</v>
      </c>
      <c r="E4389">
        <v>0</v>
      </c>
      <c r="F4389">
        <f t="shared" si="68"/>
        <v>1.05</v>
      </c>
      <c r="I4389">
        <v>20190101</v>
      </c>
      <c r="J4389" t="s">
        <v>4636</v>
      </c>
      <c r="K4389" t="s">
        <v>4637</v>
      </c>
      <c r="L4389" t="s">
        <v>4646</v>
      </c>
      <c r="M4389" t="s">
        <v>4647</v>
      </c>
      <c r="N4389" t="s">
        <v>4638</v>
      </c>
      <c r="O4389" t="s">
        <v>4648</v>
      </c>
      <c r="P4389" t="s">
        <v>4649</v>
      </c>
    </row>
    <row r="4390" spans="1:22" x14ac:dyDescent="0.3">
      <c r="A4390" s="160">
        <v>38558</v>
      </c>
      <c r="B4390" t="s">
        <v>19584</v>
      </c>
      <c r="C4390" t="s">
        <v>4472</v>
      </c>
      <c r="D4390">
        <v>0.8</v>
      </c>
      <c r="E4390">
        <v>0</v>
      </c>
      <c r="F4390">
        <f t="shared" si="68"/>
        <v>0.8</v>
      </c>
      <c r="I4390">
        <v>20130701</v>
      </c>
      <c r="J4390" t="s">
        <v>4477</v>
      </c>
      <c r="K4390" t="s">
        <v>4594</v>
      </c>
    </row>
    <row r="4391" spans="1:22" x14ac:dyDescent="0.3">
      <c r="A4391" s="160">
        <v>38562</v>
      </c>
      <c r="B4391" t="s">
        <v>19585</v>
      </c>
      <c r="C4391" t="s">
        <v>4441</v>
      </c>
      <c r="D4391">
        <v>2</v>
      </c>
      <c r="E4391">
        <v>0</v>
      </c>
      <c r="F4391">
        <f t="shared" si="68"/>
        <v>2</v>
      </c>
      <c r="I4391">
        <v>20140101</v>
      </c>
      <c r="J4391" t="s">
        <v>4585</v>
      </c>
    </row>
    <row r="4392" spans="1:22" x14ac:dyDescent="0.3">
      <c r="A4392" s="160">
        <v>38563</v>
      </c>
      <c r="B4392" t="s">
        <v>19586</v>
      </c>
      <c r="C4392" t="s">
        <v>4447</v>
      </c>
      <c r="D4392">
        <v>0.8</v>
      </c>
      <c r="E4392">
        <v>0</v>
      </c>
      <c r="F4392">
        <f t="shared" si="68"/>
        <v>0.8</v>
      </c>
      <c r="I4392">
        <v>20110101</v>
      </c>
      <c r="J4392" t="s">
        <v>4462</v>
      </c>
    </row>
    <row r="4393" spans="1:22" x14ac:dyDescent="0.3">
      <c r="A4393" s="160">
        <v>38564</v>
      </c>
      <c r="B4393" t="s">
        <v>19587</v>
      </c>
      <c r="C4393" t="s">
        <v>4447</v>
      </c>
      <c r="D4393">
        <v>0.8</v>
      </c>
      <c r="E4393">
        <v>0</v>
      </c>
      <c r="F4393">
        <f t="shared" si="68"/>
        <v>0.8</v>
      </c>
      <c r="I4393">
        <v>20110101</v>
      </c>
      <c r="J4393" t="s">
        <v>4575</v>
      </c>
    </row>
    <row r="4394" spans="1:22" x14ac:dyDescent="0.3">
      <c r="A4394" s="160">
        <v>38565</v>
      </c>
      <c r="B4394" t="s">
        <v>19588</v>
      </c>
      <c r="C4394" t="s">
        <v>4447</v>
      </c>
      <c r="D4394">
        <v>0.8</v>
      </c>
      <c r="E4394">
        <v>0</v>
      </c>
      <c r="F4394">
        <f t="shared" si="68"/>
        <v>0.8</v>
      </c>
      <c r="I4394">
        <v>20110101</v>
      </c>
      <c r="J4394" t="s">
        <v>4591</v>
      </c>
      <c r="K4394" t="s">
        <v>4650</v>
      </c>
      <c r="L4394" t="s">
        <v>4651</v>
      </c>
      <c r="M4394" t="s">
        <v>4652</v>
      </c>
      <c r="N4394" t="s">
        <v>4653</v>
      </c>
    </row>
    <row r="4395" spans="1:22" x14ac:dyDescent="0.3">
      <c r="A4395" s="160">
        <v>38566</v>
      </c>
      <c r="B4395" t="s">
        <v>19589</v>
      </c>
      <c r="C4395" t="s">
        <v>4447</v>
      </c>
      <c r="D4395">
        <v>0.8</v>
      </c>
      <c r="E4395">
        <v>0</v>
      </c>
      <c r="F4395">
        <f t="shared" si="68"/>
        <v>0.8</v>
      </c>
      <c r="I4395">
        <v>20110101</v>
      </c>
      <c r="J4395" t="s">
        <v>4632</v>
      </c>
      <c r="K4395" t="s">
        <v>4653</v>
      </c>
      <c r="L4395" t="s">
        <v>4633</v>
      </c>
    </row>
    <row r="4396" spans="1:22" x14ac:dyDescent="0.3">
      <c r="A4396" s="160">
        <v>38567</v>
      </c>
      <c r="B4396" t="s">
        <v>19590</v>
      </c>
      <c r="C4396" t="s">
        <v>4441</v>
      </c>
      <c r="D4396">
        <v>1.7</v>
      </c>
      <c r="E4396">
        <v>0</v>
      </c>
      <c r="F4396">
        <f t="shared" si="68"/>
        <v>1.7</v>
      </c>
      <c r="I4396">
        <v>20250101</v>
      </c>
      <c r="J4396" t="s">
        <v>4460</v>
      </c>
      <c r="K4396" t="s">
        <v>4607</v>
      </c>
    </row>
    <row r="4397" spans="1:22" x14ac:dyDescent="0.3">
      <c r="A4397" s="160">
        <v>39001</v>
      </c>
      <c r="B4397" t="s">
        <v>19591</v>
      </c>
      <c r="C4397" t="s">
        <v>4654</v>
      </c>
      <c r="D4397">
        <v>0.6</v>
      </c>
      <c r="E4397">
        <v>0</v>
      </c>
      <c r="F4397">
        <f t="shared" si="68"/>
        <v>0.6</v>
      </c>
      <c r="I4397">
        <v>20180701</v>
      </c>
      <c r="J4397" t="s">
        <v>4655</v>
      </c>
    </row>
    <row r="4398" spans="1:22" x14ac:dyDescent="0.3">
      <c r="A4398" s="160">
        <v>39008</v>
      </c>
      <c r="B4398" t="s">
        <v>19592</v>
      </c>
      <c r="C4398" t="s">
        <v>4654</v>
      </c>
      <c r="D4398">
        <v>0.6</v>
      </c>
      <c r="E4398">
        <v>0</v>
      </c>
      <c r="F4398">
        <f t="shared" si="68"/>
        <v>0.6</v>
      </c>
      <c r="I4398">
        <v>20180701</v>
      </c>
      <c r="J4398" t="s">
        <v>4656</v>
      </c>
    </row>
    <row r="4399" spans="1:22" x14ac:dyDescent="0.3">
      <c r="A4399" s="160">
        <v>39014</v>
      </c>
      <c r="B4399" t="s">
        <v>19593</v>
      </c>
      <c r="C4399" t="s">
        <v>4654</v>
      </c>
      <c r="D4399">
        <v>0.6</v>
      </c>
      <c r="E4399">
        <v>0</v>
      </c>
      <c r="F4399">
        <f t="shared" si="68"/>
        <v>0.6</v>
      </c>
      <c r="I4399">
        <v>20180701</v>
      </c>
      <c r="J4399" t="s">
        <v>4657</v>
      </c>
    </row>
    <row r="4400" spans="1:22" x14ac:dyDescent="0.3">
      <c r="A4400" s="160">
        <v>39024</v>
      </c>
      <c r="B4400" t="s">
        <v>19594</v>
      </c>
      <c r="C4400" t="s">
        <v>4654</v>
      </c>
      <c r="D4400">
        <v>0.6</v>
      </c>
      <c r="E4400">
        <v>0</v>
      </c>
      <c r="F4400">
        <f t="shared" si="68"/>
        <v>0.6</v>
      </c>
      <c r="I4400">
        <v>20180701</v>
      </c>
      <c r="J4400" t="s">
        <v>4656</v>
      </c>
    </row>
    <row r="4401" spans="1:12" x14ac:dyDescent="0.3">
      <c r="A4401" s="160">
        <v>39029</v>
      </c>
      <c r="B4401" t="s">
        <v>19595</v>
      </c>
      <c r="C4401" t="s">
        <v>4654</v>
      </c>
      <c r="D4401">
        <v>0.6</v>
      </c>
      <c r="E4401">
        <v>0</v>
      </c>
      <c r="F4401">
        <f t="shared" si="68"/>
        <v>0.6</v>
      </c>
      <c r="I4401">
        <v>20180701</v>
      </c>
      <c r="J4401" t="s">
        <v>4658</v>
      </c>
    </row>
    <row r="4402" spans="1:12" x14ac:dyDescent="0.3">
      <c r="A4402" s="160">
        <v>39030</v>
      </c>
      <c r="B4402" t="s">
        <v>19596</v>
      </c>
      <c r="C4402" t="s">
        <v>4654</v>
      </c>
      <c r="D4402">
        <v>0.6</v>
      </c>
      <c r="E4402">
        <v>0</v>
      </c>
      <c r="F4402">
        <f t="shared" si="68"/>
        <v>0.6</v>
      </c>
      <c r="I4402">
        <v>20180701</v>
      </c>
      <c r="J4402" t="s">
        <v>4659</v>
      </c>
      <c r="K4402" t="s">
        <v>4660</v>
      </c>
    </row>
    <row r="4403" spans="1:12" x14ac:dyDescent="0.3">
      <c r="A4403" s="160">
        <v>39031</v>
      </c>
      <c r="B4403" t="s">
        <v>19597</v>
      </c>
      <c r="C4403" t="s">
        <v>4654</v>
      </c>
      <c r="D4403">
        <v>0.6</v>
      </c>
      <c r="E4403">
        <v>0</v>
      </c>
      <c r="F4403">
        <f t="shared" si="68"/>
        <v>0.6</v>
      </c>
      <c r="I4403">
        <v>20180701</v>
      </c>
      <c r="J4403" t="s">
        <v>4656</v>
      </c>
    </row>
    <row r="4404" spans="1:12" x14ac:dyDescent="0.3">
      <c r="A4404" s="160">
        <v>39032</v>
      </c>
      <c r="B4404" t="s">
        <v>19598</v>
      </c>
      <c r="C4404" t="s">
        <v>4661</v>
      </c>
      <c r="D4404">
        <v>0.12</v>
      </c>
      <c r="E4404">
        <v>0</v>
      </c>
      <c r="F4404">
        <f t="shared" si="68"/>
        <v>0.12</v>
      </c>
      <c r="I4404">
        <v>20250101</v>
      </c>
      <c r="J4404" t="s">
        <v>4662</v>
      </c>
    </row>
    <row r="4405" spans="1:12" x14ac:dyDescent="0.3">
      <c r="A4405" s="160">
        <v>39042</v>
      </c>
      <c r="B4405" t="s">
        <v>19599</v>
      </c>
      <c r="C4405" t="s">
        <v>4654</v>
      </c>
      <c r="D4405">
        <v>0.6</v>
      </c>
      <c r="E4405">
        <v>0</v>
      </c>
      <c r="F4405">
        <f t="shared" si="68"/>
        <v>0.6</v>
      </c>
      <c r="I4405">
        <v>20180701</v>
      </c>
      <c r="J4405" t="s">
        <v>4659</v>
      </c>
    </row>
    <row r="4406" spans="1:12" x14ac:dyDescent="0.3">
      <c r="A4406" s="160">
        <v>39046</v>
      </c>
      <c r="B4406" t="s">
        <v>19600</v>
      </c>
      <c r="C4406" t="s">
        <v>4661</v>
      </c>
      <c r="D4406">
        <v>0.12</v>
      </c>
      <c r="E4406">
        <v>0</v>
      </c>
      <c r="F4406">
        <f t="shared" si="68"/>
        <v>0.12</v>
      </c>
      <c r="I4406">
        <v>20250101</v>
      </c>
      <c r="J4406" t="s">
        <v>4663</v>
      </c>
    </row>
    <row r="4407" spans="1:12" x14ac:dyDescent="0.3">
      <c r="A4407" s="160">
        <v>39051</v>
      </c>
      <c r="B4407" t="s">
        <v>19601</v>
      </c>
      <c r="C4407" t="s">
        <v>4654</v>
      </c>
      <c r="D4407">
        <v>0.6</v>
      </c>
      <c r="E4407">
        <v>0</v>
      </c>
      <c r="F4407">
        <f t="shared" si="68"/>
        <v>0.6</v>
      </c>
      <c r="I4407">
        <v>20180701</v>
      </c>
      <c r="J4407" t="s">
        <v>4657</v>
      </c>
    </row>
    <row r="4408" spans="1:12" x14ac:dyDescent="0.3">
      <c r="A4408" s="160">
        <v>39066</v>
      </c>
      <c r="B4408" t="s">
        <v>19602</v>
      </c>
      <c r="C4408" t="s">
        <v>4664</v>
      </c>
      <c r="D4408">
        <v>0.35</v>
      </c>
      <c r="E4408">
        <v>0</v>
      </c>
      <c r="F4408">
        <f t="shared" si="68"/>
        <v>0.35</v>
      </c>
      <c r="I4408">
        <v>20180101</v>
      </c>
      <c r="J4408" t="s">
        <v>4665</v>
      </c>
    </row>
    <row r="4409" spans="1:12" x14ac:dyDescent="0.3">
      <c r="A4409" s="160">
        <v>39068</v>
      </c>
      <c r="B4409" t="s">
        <v>19603</v>
      </c>
      <c r="C4409" t="s">
        <v>4661</v>
      </c>
      <c r="D4409">
        <v>0.12</v>
      </c>
      <c r="E4409">
        <v>0</v>
      </c>
      <c r="F4409">
        <f t="shared" si="68"/>
        <v>0.12</v>
      </c>
      <c r="I4409">
        <v>20250101</v>
      </c>
      <c r="J4409" t="s">
        <v>4666</v>
      </c>
    </row>
    <row r="4410" spans="1:12" x14ac:dyDescent="0.3">
      <c r="A4410" s="160">
        <v>39078</v>
      </c>
      <c r="B4410" t="s">
        <v>19604</v>
      </c>
      <c r="C4410" t="s">
        <v>4654</v>
      </c>
      <c r="D4410">
        <v>0.6</v>
      </c>
      <c r="E4410">
        <v>0</v>
      </c>
      <c r="F4410">
        <f t="shared" si="68"/>
        <v>0.6</v>
      </c>
      <c r="I4410">
        <v>20180701</v>
      </c>
      <c r="J4410" t="s">
        <v>4659</v>
      </c>
      <c r="K4410" t="s">
        <v>4660</v>
      </c>
      <c r="L4410" t="s">
        <v>4667</v>
      </c>
    </row>
    <row r="4411" spans="1:12" x14ac:dyDescent="0.3">
      <c r="A4411" s="160">
        <v>39079</v>
      </c>
      <c r="B4411" t="s">
        <v>19605</v>
      </c>
      <c r="C4411" t="s">
        <v>4664</v>
      </c>
      <c r="D4411">
        <v>0.35</v>
      </c>
      <c r="E4411">
        <v>0</v>
      </c>
      <c r="F4411">
        <f t="shared" si="68"/>
        <v>0.35</v>
      </c>
      <c r="I4411">
        <v>20240101</v>
      </c>
      <c r="J4411" t="s">
        <v>4665</v>
      </c>
    </row>
    <row r="4412" spans="1:12" x14ac:dyDescent="0.3">
      <c r="A4412" s="160">
        <v>39088</v>
      </c>
      <c r="B4412" t="s">
        <v>19606</v>
      </c>
      <c r="C4412" t="s">
        <v>4664</v>
      </c>
      <c r="D4412">
        <v>0.35</v>
      </c>
      <c r="E4412">
        <v>0</v>
      </c>
      <c r="F4412">
        <f t="shared" si="68"/>
        <v>0.35</v>
      </c>
      <c r="I4412">
        <v>20180101</v>
      </c>
      <c r="J4412" t="s">
        <v>4665</v>
      </c>
    </row>
    <row r="4413" spans="1:12" x14ac:dyDescent="0.3">
      <c r="A4413" s="160">
        <v>39096</v>
      </c>
      <c r="B4413" t="s">
        <v>17421</v>
      </c>
      <c r="C4413" t="s">
        <v>4654</v>
      </c>
      <c r="D4413">
        <v>0.6</v>
      </c>
      <c r="E4413">
        <v>0</v>
      </c>
      <c r="F4413">
        <f t="shared" si="68"/>
        <v>0.6</v>
      </c>
      <c r="I4413">
        <v>20180701</v>
      </c>
      <c r="J4413" t="s">
        <v>4657</v>
      </c>
    </row>
    <row r="4414" spans="1:12" x14ac:dyDescent="0.3">
      <c r="A4414" s="160">
        <v>39099</v>
      </c>
      <c r="B4414" t="s">
        <v>19607</v>
      </c>
      <c r="C4414" t="s">
        <v>4654</v>
      </c>
      <c r="D4414">
        <v>0.6</v>
      </c>
      <c r="E4414">
        <v>0</v>
      </c>
      <c r="F4414">
        <f t="shared" si="68"/>
        <v>0.6</v>
      </c>
      <c r="I4414">
        <v>20180701</v>
      </c>
      <c r="J4414" t="s">
        <v>4655</v>
      </c>
    </row>
    <row r="4415" spans="1:12" x14ac:dyDescent="0.3">
      <c r="A4415" s="160">
        <v>39101</v>
      </c>
      <c r="B4415" t="s">
        <v>19608</v>
      </c>
      <c r="C4415" t="s">
        <v>4654</v>
      </c>
      <c r="D4415">
        <v>0.6</v>
      </c>
      <c r="E4415">
        <v>0</v>
      </c>
      <c r="F4415">
        <f t="shared" si="68"/>
        <v>0.6</v>
      </c>
      <c r="I4415">
        <v>20180701</v>
      </c>
      <c r="J4415" t="s">
        <v>4659</v>
      </c>
      <c r="K4415" t="s">
        <v>4660</v>
      </c>
      <c r="L4415" t="s">
        <v>4668</v>
      </c>
    </row>
    <row r="4416" spans="1:12" x14ac:dyDescent="0.3">
      <c r="A4416" s="160">
        <v>39121</v>
      </c>
      <c r="B4416" t="s">
        <v>19609</v>
      </c>
      <c r="C4416" t="s">
        <v>4654</v>
      </c>
      <c r="D4416">
        <v>0.6</v>
      </c>
      <c r="E4416">
        <v>0</v>
      </c>
      <c r="F4416">
        <f t="shared" si="68"/>
        <v>0.6</v>
      </c>
      <c r="I4416">
        <v>20180701</v>
      </c>
      <c r="J4416" t="s">
        <v>4656</v>
      </c>
    </row>
    <row r="4417" spans="1:20" x14ac:dyDescent="0.3">
      <c r="A4417" s="160">
        <v>39141</v>
      </c>
      <c r="B4417" t="s">
        <v>19610</v>
      </c>
      <c r="C4417" t="s">
        <v>4654</v>
      </c>
      <c r="D4417">
        <v>0.6</v>
      </c>
      <c r="E4417">
        <v>0</v>
      </c>
      <c r="F4417">
        <f t="shared" si="68"/>
        <v>0.6</v>
      </c>
      <c r="I4417">
        <v>20240101</v>
      </c>
      <c r="J4417" t="s">
        <v>4657</v>
      </c>
    </row>
    <row r="4418" spans="1:20" x14ac:dyDescent="0.3">
      <c r="A4418" s="160">
        <v>39145</v>
      </c>
      <c r="B4418" t="s">
        <v>19611</v>
      </c>
      <c r="C4418" t="s">
        <v>4664</v>
      </c>
      <c r="D4418">
        <v>0.35</v>
      </c>
      <c r="E4418">
        <v>0</v>
      </c>
      <c r="F4418">
        <f t="shared" si="68"/>
        <v>0.35</v>
      </c>
      <c r="I4418">
        <v>20180101</v>
      </c>
      <c r="J4418" t="s">
        <v>4669</v>
      </c>
      <c r="K4418" t="s">
        <v>4665</v>
      </c>
    </row>
    <row r="4419" spans="1:20" x14ac:dyDescent="0.3">
      <c r="A4419" s="160">
        <v>39146</v>
      </c>
      <c r="B4419" t="s">
        <v>19612</v>
      </c>
      <c r="C4419" t="s">
        <v>4664</v>
      </c>
      <c r="D4419">
        <v>0.35</v>
      </c>
      <c r="E4419">
        <v>0</v>
      </c>
      <c r="F4419">
        <f t="shared" si="68"/>
        <v>0.35</v>
      </c>
      <c r="I4419">
        <v>20180101</v>
      </c>
      <c r="J4419" t="s">
        <v>4665</v>
      </c>
    </row>
    <row r="4420" spans="1:20" x14ac:dyDescent="0.3">
      <c r="A4420" s="160">
        <v>39150</v>
      </c>
      <c r="B4420" t="s">
        <v>19613</v>
      </c>
      <c r="C4420" t="s">
        <v>4654</v>
      </c>
      <c r="D4420">
        <v>0.6</v>
      </c>
      <c r="E4420">
        <v>0</v>
      </c>
      <c r="F4420">
        <f t="shared" si="68"/>
        <v>0.6</v>
      </c>
      <c r="I4420">
        <v>20180701</v>
      </c>
      <c r="J4420" t="s">
        <v>4659</v>
      </c>
      <c r="K4420" t="s">
        <v>4670</v>
      </c>
      <c r="L4420" t="s">
        <v>4671</v>
      </c>
      <c r="M4420" t="s">
        <v>4667</v>
      </c>
    </row>
    <row r="4421" spans="1:20" x14ac:dyDescent="0.3">
      <c r="A4421" s="160">
        <v>39151</v>
      </c>
      <c r="B4421" t="s">
        <v>19614</v>
      </c>
      <c r="C4421" t="s">
        <v>4661</v>
      </c>
      <c r="D4421">
        <v>0.12</v>
      </c>
      <c r="E4421">
        <v>0</v>
      </c>
      <c r="F4421">
        <f t="shared" si="68"/>
        <v>0.12</v>
      </c>
      <c r="I4421">
        <v>20250101</v>
      </c>
      <c r="J4421" t="s">
        <v>4666</v>
      </c>
    </row>
    <row r="4422" spans="1:20" x14ac:dyDescent="0.3">
      <c r="A4422" s="160">
        <v>39157</v>
      </c>
      <c r="B4422" t="s">
        <v>19615</v>
      </c>
      <c r="C4422" t="s">
        <v>4661</v>
      </c>
      <c r="D4422">
        <v>0.12</v>
      </c>
      <c r="E4422">
        <v>0</v>
      </c>
      <c r="F4422">
        <f t="shared" si="68"/>
        <v>0.12</v>
      </c>
      <c r="I4422">
        <v>20250101</v>
      </c>
      <c r="J4422" t="s">
        <v>4662</v>
      </c>
      <c r="K4422" t="s">
        <v>4672</v>
      </c>
    </row>
    <row r="4423" spans="1:20" x14ac:dyDescent="0.3">
      <c r="A4423" s="160">
        <v>39162</v>
      </c>
      <c r="B4423" t="s">
        <v>19616</v>
      </c>
      <c r="C4423" t="s">
        <v>4664</v>
      </c>
      <c r="D4423">
        <v>0.35</v>
      </c>
      <c r="E4423">
        <v>0</v>
      </c>
      <c r="F4423">
        <f t="shared" ref="F4423:F4486" si="69">D4423+E4423</f>
        <v>0.35</v>
      </c>
      <c r="I4423">
        <v>20180101</v>
      </c>
      <c r="J4423" t="s">
        <v>4665</v>
      </c>
    </row>
    <row r="4424" spans="1:20" x14ac:dyDescent="0.3">
      <c r="A4424" s="160">
        <v>39164</v>
      </c>
      <c r="B4424" t="s">
        <v>19617</v>
      </c>
      <c r="C4424" t="s">
        <v>4664</v>
      </c>
      <c r="D4424">
        <v>0.35</v>
      </c>
      <c r="E4424">
        <v>0</v>
      </c>
      <c r="F4424">
        <f t="shared" si="69"/>
        <v>0.35</v>
      </c>
      <c r="I4424">
        <v>20180101</v>
      </c>
      <c r="J4424" t="s">
        <v>4673</v>
      </c>
      <c r="K4424" t="s">
        <v>4665</v>
      </c>
    </row>
    <row r="4425" spans="1:20" x14ac:dyDescent="0.3">
      <c r="A4425" s="160">
        <v>39169</v>
      </c>
      <c r="B4425" t="s">
        <v>19618</v>
      </c>
      <c r="C4425" t="s">
        <v>4664</v>
      </c>
      <c r="D4425">
        <v>0.35</v>
      </c>
      <c r="E4425">
        <v>0</v>
      </c>
      <c r="F4425">
        <f t="shared" si="69"/>
        <v>0.35</v>
      </c>
      <c r="I4425">
        <v>20180101</v>
      </c>
      <c r="J4425" t="s">
        <v>4674</v>
      </c>
      <c r="K4425" t="s">
        <v>4665</v>
      </c>
    </row>
    <row r="4426" spans="1:20" x14ac:dyDescent="0.3">
      <c r="A4426" s="160">
        <v>39170</v>
      </c>
      <c r="B4426" t="s">
        <v>19619</v>
      </c>
      <c r="C4426" t="s">
        <v>4664</v>
      </c>
      <c r="D4426">
        <v>0.35</v>
      </c>
      <c r="E4426">
        <v>0</v>
      </c>
      <c r="F4426">
        <f t="shared" si="69"/>
        <v>0.35</v>
      </c>
      <c r="I4426">
        <v>20180101</v>
      </c>
      <c r="J4426" t="s">
        <v>4675</v>
      </c>
      <c r="K4426" t="s">
        <v>4665</v>
      </c>
    </row>
    <row r="4427" spans="1:20" x14ac:dyDescent="0.3">
      <c r="A4427" s="160">
        <v>39171</v>
      </c>
      <c r="B4427" t="s">
        <v>19620</v>
      </c>
      <c r="C4427" t="s">
        <v>4664</v>
      </c>
      <c r="D4427">
        <v>0.35</v>
      </c>
      <c r="E4427">
        <v>0</v>
      </c>
      <c r="F4427">
        <f t="shared" si="69"/>
        <v>0.35</v>
      </c>
      <c r="I4427">
        <v>20180101</v>
      </c>
      <c r="J4427" t="s">
        <v>4674</v>
      </c>
      <c r="K4427" t="s">
        <v>4675</v>
      </c>
      <c r="L4427" t="s">
        <v>4673</v>
      </c>
      <c r="M4427" t="s">
        <v>4676</v>
      </c>
      <c r="N4427" t="s">
        <v>4677</v>
      </c>
      <c r="O4427" t="s">
        <v>4665</v>
      </c>
    </row>
    <row r="4428" spans="1:20" x14ac:dyDescent="0.3">
      <c r="A4428" s="160">
        <v>39174</v>
      </c>
      <c r="B4428" t="s">
        <v>19621</v>
      </c>
      <c r="C4428" t="s">
        <v>4661</v>
      </c>
      <c r="D4428">
        <v>0.12</v>
      </c>
      <c r="E4428">
        <v>0</v>
      </c>
      <c r="F4428">
        <f t="shared" si="69"/>
        <v>0.12</v>
      </c>
      <c r="I4428">
        <v>20250101</v>
      </c>
      <c r="J4428" t="s">
        <v>4662</v>
      </c>
    </row>
    <row r="4429" spans="1:20" x14ac:dyDescent="0.3">
      <c r="A4429" s="160">
        <v>39182</v>
      </c>
      <c r="B4429" t="s">
        <v>19622</v>
      </c>
      <c r="C4429" t="s">
        <v>4654</v>
      </c>
      <c r="D4429">
        <v>0.6</v>
      </c>
      <c r="E4429">
        <v>0</v>
      </c>
      <c r="F4429">
        <f t="shared" si="69"/>
        <v>0.6</v>
      </c>
      <c r="I4429">
        <v>20180701</v>
      </c>
      <c r="J4429" t="s">
        <v>4659</v>
      </c>
      <c r="K4429" t="s">
        <v>4670</v>
      </c>
    </row>
    <row r="4430" spans="1:20" x14ac:dyDescent="0.3">
      <c r="A4430" s="160">
        <v>39189</v>
      </c>
      <c r="B4430" t="s">
        <v>19623</v>
      </c>
      <c r="C4430" t="s">
        <v>4654</v>
      </c>
      <c r="D4430">
        <v>0.6</v>
      </c>
      <c r="E4430">
        <v>0</v>
      </c>
      <c r="F4430">
        <f t="shared" si="69"/>
        <v>0.6</v>
      </c>
      <c r="I4430">
        <v>20180701</v>
      </c>
      <c r="J4430" t="s">
        <v>4668</v>
      </c>
      <c r="K4430" t="s">
        <v>4655</v>
      </c>
    </row>
    <row r="4431" spans="1:20" x14ac:dyDescent="0.3">
      <c r="A4431" s="160">
        <v>39193</v>
      </c>
      <c r="B4431" t="s">
        <v>19624</v>
      </c>
      <c r="C4431" t="s">
        <v>4654</v>
      </c>
      <c r="D4431">
        <v>0.6</v>
      </c>
      <c r="E4431">
        <v>0</v>
      </c>
      <c r="F4431">
        <f t="shared" si="69"/>
        <v>0.6</v>
      </c>
      <c r="I4431">
        <v>20180701</v>
      </c>
      <c r="J4431" t="s">
        <v>4678</v>
      </c>
    </row>
    <row r="4432" spans="1:20" x14ac:dyDescent="0.3">
      <c r="A4432" s="160">
        <v>39198</v>
      </c>
      <c r="B4432" t="s">
        <v>19625</v>
      </c>
      <c r="C4432" t="s">
        <v>4654</v>
      </c>
      <c r="D4432">
        <v>0.6</v>
      </c>
      <c r="E4432">
        <v>0</v>
      </c>
      <c r="F4432">
        <f t="shared" si="69"/>
        <v>0.6</v>
      </c>
      <c r="I4432">
        <v>20180701</v>
      </c>
      <c r="J4432" t="s">
        <v>4659</v>
      </c>
      <c r="K4432" t="s">
        <v>4670</v>
      </c>
      <c r="L4432" t="s">
        <v>4671</v>
      </c>
      <c r="M4432" t="s">
        <v>4660</v>
      </c>
      <c r="N4432" t="s">
        <v>4667</v>
      </c>
      <c r="O4432" t="s">
        <v>4668</v>
      </c>
      <c r="P4432" t="s">
        <v>4679</v>
      </c>
      <c r="Q4432" t="s">
        <v>4680</v>
      </c>
      <c r="R4432" t="s">
        <v>4681</v>
      </c>
      <c r="S4432" t="s">
        <v>4682</v>
      </c>
      <c r="T4432" t="s">
        <v>4683</v>
      </c>
    </row>
    <row r="4433" spans="1:14" x14ac:dyDescent="0.3">
      <c r="A4433" s="160">
        <v>39205</v>
      </c>
      <c r="B4433" t="s">
        <v>19626</v>
      </c>
      <c r="C4433" t="s">
        <v>4654</v>
      </c>
      <c r="D4433">
        <v>0.6</v>
      </c>
      <c r="E4433">
        <v>0</v>
      </c>
      <c r="F4433">
        <f t="shared" si="69"/>
        <v>0.6</v>
      </c>
      <c r="I4433">
        <v>20180701</v>
      </c>
      <c r="J4433" t="s">
        <v>4656</v>
      </c>
    </row>
    <row r="4434" spans="1:14" x14ac:dyDescent="0.3">
      <c r="A4434" s="160">
        <v>39217</v>
      </c>
      <c r="B4434" t="s">
        <v>19627</v>
      </c>
      <c r="C4434" t="s">
        <v>4664</v>
      </c>
      <c r="D4434">
        <v>0.35</v>
      </c>
      <c r="E4434">
        <v>0</v>
      </c>
      <c r="F4434">
        <f t="shared" si="69"/>
        <v>0.35</v>
      </c>
      <c r="I4434">
        <v>20180101</v>
      </c>
      <c r="J4434" t="s">
        <v>4676</v>
      </c>
      <c r="K4434" t="s">
        <v>4684</v>
      </c>
      <c r="L4434" t="s">
        <v>4665</v>
      </c>
    </row>
    <row r="4435" spans="1:14" x14ac:dyDescent="0.3">
      <c r="A4435" s="160">
        <v>39220</v>
      </c>
      <c r="B4435" t="s">
        <v>19628</v>
      </c>
      <c r="C4435" t="s">
        <v>4654</v>
      </c>
      <c r="D4435">
        <v>0.6</v>
      </c>
      <c r="E4435">
        <v>0</v>
      </c>
      <c r="F4435">
        <f t="shared" si="69"/>
        <v>0.6</v>
      </c>
      <c r="I4435">
        <v>20180701</v>
      </c>
      <c r="J4435" t="s">
        <v>4656</v>
      </c>
    </row>
    <row r="4436" spans="1:14" x14ac:dyDescent="0.3">
      <c r="A4436" s="160">
        <v>39233</v>
      </c>
      <c r="B4436" t="s">
        <v>19629</v>
      </c>
      <c r="C4436" t="s">
        <v>4654</v>
      </c>
      <c r="D4436">
        <v>0.6</v>
      </c>
      <c r="E4436">
        <v>0</v>
      </c>
      <c r="F4436">
        <f t="shared" si="69"/>
        <v>0.6</v>
      </c>
      <c r="I4436">
        <v>20180701</v>
      </c>
      <c r="J4436" t="s">
        <v>4659</v>
      </c>
      <c r="K4436" t="s">
        <v>4671</v>
      </c>
      <c r="L4436" t="s">
        <v>4681</v>
      </c>
      <c r="M4436" t="s">
        <v>4682</v>
      </c>
      <c r="N4436" t="s">
        <v>4683</v>
      </c>
    </row>
    <row r="4437" spans="1:14" x14ac:dyDescent="0.3">
      <c r="A4437" s="160">
        <v>39238</v>
      </c>
      <c r="B4437" t="s">
        <v>19630</v>
      </c>
      <c r="C4437" t="s">
        <v>4654</v>
      </c>
      <c r="D4437">
        <v>0.6</v>
      </c>
      <c r="E4437">
        <v>0</v>
      </c>
      <c r="F4437">
        <f t="shared" si="69"/>
        <v>0.6</v>
      </c>
      <c r="I4437">
        <v>20240101</v>
      </c>
      <c r="J4437" t="s">
        <v>4657</v>
      </c>
    </row>
    <row r="4438" spans="1:14" x14ac:dyDescent="0.3">
      <c r="A4438" s="160">
        <v>39241</v>
      </c>
      <c r="B4438" t="s">
        <v>19631</v>
      </c>
      <c r="C4438" t="s">
        <v>4664</v>
      </c>
      <c r="D4438">
        <v>0.35</v>
      </c>
      <c r="E4438">
        <v>0</v>
      </c>
      <c r="F4438">
        <f t="shared" si="69"/>
        <v>0.35</v>
      </c>
      <c r="I4438">
        <v>20180101</v>
      </c>
      <c r="J4438" t="s">
        <v>4665</v>
      </c>
    </row>
    <row r="4439" spans="1:14" x14ac:dyDescent="0.3">
      <c r="A4439" s="160">
        <v>39250</v>
      </c>
      <c r="B4439" t="s">
        <v>19632</v>
      </c>
      <c r="C4439" t="s">
        <v>4664</v>
      </c>
      <c r="D4439">
        <v>0.35</v>
      </c>
      <c r="E4439">
        <v>0</v>
      </c>
      <c r="F4439">
        <f t="shared" si="69"/>
        <v>0.35</v>
      </c>
      <c r="I4439">
        <v>20180101</v>
      </c>
      <c r="J4439" t="s">
        <v>4665</v>
      </c>
    </row>
    <row r="4440" spans="1:14" x14ac:dyDescent="0.3">
      <c r="A4440" s="160">
        <v>39251</v>
      </c>
      <c r="B4440" t="s">
        <v>19633</v>
      </c>
      <c r="C4440" t="s">
        <v>4664</v>
      </c>
      <c r="D4440">
        <v>0.35</v>
      </c>
      <c r="E4440">
        <v>0</v>
      </c>
      <c r="F4440">
        <f t="shared" si="69"/>
        <v>0.35</v>
      </c>
      <c r="I4440">
        <v>20180101</v>
      </c>
      <c r="J4440" t="s">
        <v>4665</v>
      </c>
    </row>
    <row r="4441" spans="1:14" x14ac:dyDescent="0.3">
      <c r="A4441" s="160">
        <v>39252</v>
      </c>
      <c r="B4441" t="s">
        <v>19634</v>
      </c>
      <c r="C4441" t="s">
        <v>4654</v>
      </c>
      <c r="D4441">
        <v>0.6</v>
      </c>
      <c r="E4441">
        <v>0</v>
      </c>
      <c r="F4441">
        <f t="shared" si="69"/>
        <v>0.6</v>
      </c>
      <c r="I4441">
        <v>20180701</v>
      </c>
      <c r="J4441" t="s">
        <v>4659</v>
      </c>
    </row>
    <row r="4442" spans="1:14" x14ac:dyDescent="0.3">
      <c r="A4442" s="160">
        <v>39262</v>
      </c>
      <c r="B4442" t="s">
        <v>19635</v>
      </c>
      <c r="C4442" t="s">
        <v>4654</v>
      </c>
      <c r="D4442">
        <v>0.6</v>
      </c>
      <c r="E4442">
        <v>0</v>
      </c>
      <c r="F4442">
        <f t="shared" si="69"/>
        <v>0.6</v>
      </c>
      <c r="I4442">
        <v>20180701</v>
      </c>
      <c r="J4442" t="s">
        <v>4657</v>
      </c>
    </row>
    <row r="4443" spans="1:14" x14ac:dyDescent="0.3">
      <c r="A4443" s="160">
        <v>39270</v>
      </c>
      <c r="B4443" t="s">
        <v>19636</v>
      </c>
      <c r="C4443" t="s">
        <v>4654</v>
      </c>
      <c r="D4443">
        <v>0.6</v>
      </c>
      <c r="E4443">
        <v>0</v>
      </c>
      <c r="F4443">
        <f t="shared" si="69"/>
        <v>0.6</v>
      </c>
      <c r="I4443">
        <v>20180701</v>
      </c>
      <c r="J4443" t="s">
        <v>4659</v>
      </c>
    </row>
    <row r="4444" spans="1:14" x14ac:dyDescent="0.3">
      <c r="A4444" s="160">
        <v>39274</v>
      </c>
      <c r="B4444" t="s">
        <v>19637</v>
      </c>
      <c r="C4444" t="s">
        <v>4661</v>
      </c>
      <c r="D4444">
        <v>0.12</v>
      </c>
      <c r="E4444">
        <v>0</v>
      </c>
      <c r="F4444">
        <f t="shared" si="69"/>
        <v>0.12</v>
      </c>
      <c r="I4444">
        <v>20250101</v>
      </c>
      <c r="J4444" t="s">
        <v>4685</v>
      </c>
      <c r="K4444" t="s">
        <v>4663</v>
      </c>
    </row>
    <row r="4445" spans="1:14" x14ac:dyDescent="0.3">
      <c r="A4445" s="160">
        <v>39280</v>
      </c>
      <c r="B4445" t="s">
        <v>19638</v>
      </c>
      <c r="C4445" t="s">
        <v>4661</v>
      </c>
      <c r="D4445">
        <v>0.12</v>
      </c>
      <c r="E4445">
        <v>0</v>
      </c>
      <c r="F4445">
        <f t="shared" si="69"/>
        <v>0.12</v>
      </c>
      <c r="I4445">
        <v>20250101</v>
      </c>
      <c r="J4445" t="s">
        <v>4686</v>
      </c>
    </row>
    <row r="4446" spans="1:14" x14ac:dyDescent="0.3">
      <c r="A4446" s="160">
        <v>39284</v>
      </c>
      <c r="B4446" t="s">
        <v>19639</v>
      </c>
      <c r="C4446" t="s">
        <v>4654</v>
      </c>
      <c r="D4446">
        <v>0.6</v>
      </c>
      <c r="E4446">
        <v>0</v>
      </c>
      <c r="F4446">
        <f t="shared" si="69"/>
        <v>0.6</v>
      </c>
      <c r="I4446">
        <v>20180701</v>
      </c>
      <c r="J4446" t="s">
        <v>4656</v>
      </c>
    </row>
    <row r="4447" spans="1:14" x14ac:dyDescent="0.3">
      <c r="A4447" s="160">
        <v>39285</v>
      </c>
      <c r="B4447" t="s">
        <v>19640</v>
      </c>
      <c r="C4447" t="s">
        <v>4654</v>
      </c>
      <c r="D4447">
        <v>0.6</v>
      </c>
      <c r="E4447">
        <v>0</v>
      </c>
      <c r="F4447">
        <f t="shared" si="69"/>
        <v>0.6</v>
      </c>
      <c r="I4447">
        <v>20180701</v>
      </c>
      <c r="J4447" t="s">
        <v>4656</v>
      </c>
    </row>
    <row r="4448" spans="1:14" x14ac:dyDescent="0.3">
      <c r="A4448" s="160">
        <v>39286</v>
      </c>
      <c r="B4448" t="s">
        <v>19641</v>
      </c>
      <c r="C4448" t="s">
        <v>4661</v>
      </c>
      <c r="D4448">
        <v>0.12</v>
      </c>
      <c r="E4448">
        <v>0</v>
      </c>
      <c r="F4448">
        <f t="shared" si="69"/>
        <v>0.12</v>
      </c>
      <c r="I4448">
        <v>20250101</v>
      </c>
      <c r="J4448" t="s">
        <v>4687</v>
      </c>
      <c r="K4448" t="s">
        <v>4688</v>
      </c>
    </row>
    <row r="4449" spans="1:30" x14ac:dyDescent="0.3">
      <c r="A4449" s="160">
        <v>39293</v>
      </c>
      <c r="B4449" t="s">
        <v>19642</v>
      </c>
      <c r="C4449" t="s">
        <v>4661</v>
      </c>
      <c r="D4449">
        <v>0.12</v>
      </c>
      <c r="E4449">
        <v>0</v>
      </c>
      <c r="F4449">
        <f t="shared" si="69"/>
        <v>0.12</v>
      </c>
      <c r="I4449">
        <v>20250101</v>
      </c>
      <c r="J4449" t="s">
        <v>4687</v>
      </c>
    </row>
    <row r="4450" spans="1:30" x14ac:dyDescent="0.3">
      <c r="A4450" s="160">
        <v>39300</v>
      </c>
      <c r="B4450" t="s">
        <v>19643</v>
      </c>
      <c r="C4450" t="s">
        <v>4664</v>
      </c>
      <c r="D4450">
        <v>0.35</v>
      </c>
      <c r="E4450">
        <v>0</v>
      </c>
      <c r="F4450">
        <f t="shared" si="69"/>
        <v>0.35</v>
      </c>
      <c r="I4450">
        <v>20180101</v>
      </c>
      <c r="J4450" t="s">
        <v>4689</v>
      </c>
      <c r="K4450" t="s">
        <v>4674</v>
      </c>
      <c r="L4450" t="s">
        <v>4675</v>
      </c>
      <c r="M4450" t="s">
        <v>4673</v>
      </c>
      <c r="N4450" t="s">
        <v>4690</v>
      </c>
      <c r="O4450" t="s">
        <v>4676</v>
      </c>
      <c r="P4450" t="s">
        <v>4691</v>
      </c>
      <c r="Q4450" t="s">
        <v>4669</v>
      </c>
      <c r="R4450" t="s">
        <v>4692</v>
      </c>
      <c r="S4450" t="s">
        <v>4684</v>
      </c>
      <c r="T4450" t="s">
        <v>4693</v>
      </c>
      <c r="U4450" t="s">
        <v>4694</v>
      </c>
      <c r="V4450" t="s">
        <v>4695</v>
      </c>
      <c r="W4450" t="s">
        <v>4677</v>
      </c>
      <c r="X4450" t="s">
        <v>4696</v>
      </c>
      <c r="Y4450" t="s">
        <v>4697</v>
      </c>
      <c r="Z4450" t="s">
        <v>4698</v>
      </c>
      <c r="AA4450" t="s">
        <v>4699</v>
      </c>
      <c r="AB4450" t="s">
        <v>4700</v>
      </c>
      <c r="AC4450" t="s">
        <v>4701</v>
      </c>
      <c r="AD4450" t="s">
        <v>4702</v>
      </c>
    </row>
    <row r="4451" spans="1:30" x14ac:dyDescent="0.3">
      <c r="A4451" s="160">
        <v>39306</v>
      </c>
      <c r="B4451" t="s">
        <v>19644</v>
      </c>
      <c r="C4451" t="s">
        <v>4664</v>
      </c>
      <c r="D4451">
        <v>0.35</v>
      </c>
      <c r="E4451">
        <v>0</v>
      </c>
      <c r="F4451">
        <f t="shared" si="69"/>
        <v>0.35</v>
      </c>
      <c r="I4451">
        <v>20180101</v>
      </c>
      <c r="J4451" t="s">
        <v>4674</v>
      </c>
      <c r="K4451" t="s">
        <v>4665</v>
      </c>
    </row>
    <row r="4452" spans="1:30" x14ac:dyDescent="0.3">
      <c r="A4452" s="160">
        <v>39308</v>
      </c>
      <c r="B4452" t="s">
        <v>19645</v>
      </c>
      <c r="C4452" t="s">
        <v>4654</v>
      </c>
      <c r="D4452">
        <v>0.6</v>
      </c>
      <c r="E4452">
        <v>0</v>
      </c>
      <c r="F4452">
        <f t="shared" si="69"/>
        <v>0.6</v>
      </c>
      <c r="I4452">
        <v>20240101</v>
      </c>
      <c r="J4452" t="s">
        <v>4656</v>
      </c>
    </row>
    <row r="4453" spans="1:30" x14ac:dyDescent="0.3">
      <c r="A4453" s="160">
        <v>39323</v>
      </c>
      <c r="B4453" t="s">
        <v>19646</v>
      </c>
      <c r="C4453" t="s">
        <v>4654</v>
      </c>
      <c r="D4453">
        <v>0.6</v>
      </c>
      <c r="E4453">
        <v>0</v>
      </c>
      <c r="F4453">
        <f t="shared" si="69"/>
        <v>0.6</v>
      </c>
      <c r="I4453">
        <v>20180701</v>
      </c>
      <c r="J4453" t="s">
        <v>4657</v>
      </c>
    </row>
    <row r="4454" spans="1:30" x14ac:dyDescent="0.3">
      <c r="A4454" s="160">
        <v>39327</v>
      </c>
      <c r="B4454" t="s">
        <v>19647</v>
      </c>
      <c r="C4454" t="s">
        <v>4664</v>
      </c>
      <c r="D4454">
        <v>0.35</v>
      </c>
      <c r="E4454">
        <v>0</v>
      </c>
      <c r="F4454">
        <f t="shared" si="69"/>
        <v>0.35</v>
      </c>
      <c r="I4454">
        <v>20180101</v>
      </c>
      <c r="J4454" t="s">
        <v>4675</v>
      </c>
      <c r="K4454" t="s">
        <v>4676</v>
      </c>
      <c r="L4454" t="s">
        <v>4665</v>
      </c>
    </row>
    <row r="4455" spans="1:30" x14ac:dyDescent="0.3">
      <c r="A4455" s="160">
        <v>39334</v>
      </c>
      <c r="B4455" t="s">
        <v>19648</v>
      </c>
      <c r="C4455" t="s">
        <v>4664</v>
      </c>
      <c r="D4455">
        <v>0.35</v>
      </c>
      <c r="E4455">
        <v>0</v>
      </c>
      <c r="F4455">
        <f t="shared" si="69"/>
        <v>0.35</v>
      </c>
      <c r="I4455">
        <v>20180101</v>
      </c>
      <c r="J4455" t="s">
        <v>4665</v>
      </c>
    </row>
    <row r="4456" spans="1:30" x14ac:dyDescent="0.3">
      <c r="A4456" s="160">
        <v>39335</v>
      </c>
      <c r="B4456" t="s">
        <v>19649</v>
      </c>
      <c r="C4456" t="s">
        <v>4654</v>
      </c>
      <c r="D4456">
        <v>0.6</v>
      </c>
      <c r="E4456">
        <v>0</v>
      </c>
      <c r="F4456">
        <f t="shared" si="69"/>
        <v>0.6</v>
      </c>
      <c r="I4456">
        <v>20240101</v>
      </c>
      <c r="J4456" t="s">
        <v>4657</v>
      </c>
    </row>
    <row r="4457" spans="1:30" x14ac:dyDescent="0.3">
      <c r="A4457" s="160">
        <v>39339</v>
      </c>
      <c r="B4457" t="s">
        <v>19650</v>
      </c>
      <c r="C4457" t="s">
        <v>4661</v>
      </c>
      <c r="D4457">
        <v>0.12</v>
      </c>
      <c r="E4457">
        <v>0</v>
      </c>
      <c r="F4457">
        <f t="shared" si="69"/>
        <v>0.12</v>
      </c>
      <c r="I4457">
        <v>20250101</v>
      </c>
      <c r="J4457" t="s">
        <v>4686</v>
      </c>
    </row>
    <row r="4458" spans="1:30" x14ac:dyDescent="0.3">
      <c r="A4458" s="160">
        <v>39345</v>
      </c>
      <c r="B4458" t="s">
        <v>19651</v>
      </c>
      <c r="C4458" t="s">
        <v>4654</v>
      </c>
      <c r="D4458">
        <v>0.6</v>
      </c>
      <c r="E4458">
        <v>0</v>
      </c>
      <c r="F4458">
        <f t="shared" si="69"/>
        <v>0.6</v>
      </c>
      <c r="I4458">
        <v>20180701</v>
      </c>
      <c r="J4458" t="s">
        <v>4659</v>
      </c>
    </row>
    <row r="4459" spans="1:30" x14ac:dyDescent="0.3">
      <c r="A4459" s="160">
        <v>39348</v>
      </c>
      <c r="B4459" t="s">
        <v>19652</v>
      </c>
      <c r="C4459" t="s">
        <v>4664</v>
      </c>
      <c r="D4459">
        <v>0.35</v>
      </c>
      <c r="E4459">
        <v>0</v>
      </c>
      <c r="F4459">
        <f t="shared" si="69"/>
        <v>0.35</v>
      </c>
      <c r="I4459">
        <v>20180101</v>
      </c>
      <c r="J4459" t="s">
        <v>4665</v>
      </c>
    </row>
    <row r="4460" spans="1:30" x14ac:dyDescent="0.3">
      <c r="A4460" s="160">
        <v>39362</v>
      </c>
      <c r="B4460" t="s">
        <v>19653</v>
      </c>
      <c r="C4460" t="s">
        <v>4664</v>
      </c>
      <c r="D4460">
        <v>0.35</v>
      </c>
      <c r="E4460">
        <v>0</v>
      </c>
      <c r="F4460">
        <f t="shared" si="69"/>
        <v>0.35</v>
      </c>
      <c r="I4460">
        <v>20180101</v>
      </c>
      <c r="J4460" t="s">
        <v>4674</v>
      </c>
      <c r="K4460" t="s">
        <v>4675</v>
      </c>
      <c r="L4460" t="s">
        <v>4673</v>
      </c>
      <c r="M4460" t="s">
        <v>4690</v>
      </c>
      <c r="N4460" t="s">
        <v>4676</v>
      </c>
      <c r="O4460" t="s">
        <v>4691</v>
      </c>
      <c r="P4460" t="s">
        <v>4669</v>
      </c>
      <c r="Q4460" t="s">
        <v>4692</v>
      </c>
      <c r="R4460" t="s">
        <v>4693</v>
      </c>
      <c r="S4460" t="s">
        <v>4665</v>
      </c>
    </row>
    <row r="4461" spans="1:30" x14ac:dyDescent="0.3">
      <c r="A4461" s="160">
        <v>39373</v>
      </c>
      <c r="B4461" t="s">
        <v>19654</v>
      </c>
      <c r="C4461" t="s">
        <v>4661</v>
      </c>
      <c r="D4461">
        <v>0.12</v>
      </c>
      <c r="E4461">
        <v>0</v>
      </c>
      <c r="F4461">
        <f t="shared" si="69"/>
        <v>0.12</v>
      </c>
      <c r="I4461">
        <v>20250101</v>
      </c>
      <c r="J4461" t="s">
        <v>4663</v>
      </c>
    </row>
    <row r="4462" spans="1:30" x14ac:dyDescent="0.3">
      <c r="A4462" s="160">
        <v>39387</v>
      </c>
      <c r="B4462" t="s">
        <v>19655</v>
      </c>
      <c r="C4462" t="s">
        <v>4654</v>
      </c>
      <c r="D4462">
        <v>0.6</v>
      </c>
      <c r="E4462">
        <v>0</v>
      </c>
      <c r="F4462">
        <f t="shared" si="69"/>
        <v>0.6</v>
      </c>
      <c r="I4462">
        <v>20180701</v>
      </c>
      <c r="J4462" t="s">
        <v>4703</v>
      </c>
    </row>
    <row r="4463" spans="1:30" x14ac:dyDescent="0.3">
      <c r="A4463" s="160">
        <v>39404</v>
      </c>
      <c r="B4463" t="s">
        <v>19656</v>
      </c>
      <c r="C4463" t="s">
        <v>4664</v>
      </c>
      <c r="D4463">
        <v>0.35</v>
      </c>
      <c r="E4463">
        <v>0</v>
      </c>
      <c r="F4463">
        <f t="shared" si="69"/>
        <v>0.35</v>
      </c>
      <c r="I4463">
        <v>20180101</v>
      </c>
      <c r="J4463" t="s">
        <v>4676</v>
      </c>
      <c r="K4463" t="s">
        <v>4665</v>
      </c>
    </row>
    <row r="4464" spans="1:30" x14ac:dyDescent="0.3">
      <c r="A4464" s="160">
        <v>39405</v>
      </c>
      <c r="B4464" t="s">
        <v>19657</v>
      </c>
      <c r="C4464" t="s">
        <v>4654</v>
      </c>
      <c r="D4464">
        <v>0.6</v>
      </c>
      <c r="E4464">
        <v>0</v>
      </c>
      <c r="F4464">
        <f t="shared" si="69"/>
        <v>0.6</v>
      </c>
      <c r="I4464">
        <v>20180701</v>
      </c>
      <c r="J4464" t="s">
        <v>4659</v>
      </c>
      <c r="K4464" t="s">
        <v>4671</v>
      </c>
    </row>
    <row r="4465" spans="1:19" x14ac:dyDescent="0.3">
      <c r="A4465" s="160">
        <v>39409</v>
      </c>
      <c r="B4465" t="s">
        <v>19658</v>
      </c>
      <c r="C4465" t="s">
        <v>4654</v>
      </c>
      <c r="D4465">
        <v>0.6</v>
      </c>
      <c r="E4465">
        <v>0</v>
      </c>
      <c r="F4465">
        <f t="shared" si="69"/>
        <v>0.6</v>
      </c>
      <c r="I4465">
        <v>20240101</v>
      </c>
      <c r="J4465" t="s">
        <v>4657</v>
      </c>
    </row>
    <row r="4466" spans="1:19" x14ac:dyDescent="0.3">
      <c r="A4466" s="160">
        <v>39411</v>
      </c>
      <c r="B4466" t="s">
        <v>19659</v>
      </c>
      <c r="C4466" t="s">
        <v>4664</v>
      </c>
      <c r="D4466">
        <v>0.35</v>
      </c>
      <c r="E4466">
        <v>0</v>
      </c>
      <c r="F4466">
        <f t="shared" si="69"/>
        <v>0.35</v>
      </c>
      <c r="I4466">
        <v>20180101</v>
      </c>
      <c r="J4466" t="s">
        <v>4674</v>
      </c>
      <c r="K4466" t="s">
        <v>4675</v>
      </c>
      <c r="L4466" t="s">
        <v>4673</v>
      </c>
      <c r="M4466" t="s">
        <v>4690</v>
      </c>
      <c r="N4466" t="s">
        <v>4676</v>
      </c>
      <c r="O4466" t="s">
        <v>4669</v>
      </c>
      <c r="P4466" t="s">
        <v>4692</v>
      </c>
      <c r="Q4466" t="s">
        <v>4684</v>
      </c>
      <c r="R4466" t="s">
        <v>4695</v>
      </c>
      <c r="S4466" t="s">
        <v>4665</v>
      </c>
    </row>
    <row r="4467" spans="1:19" x14ac:dyDescent="0.3">
      <c r="A4467" s="160">
        <v>39412</v>
      </c>
      <c r="B4467" t="s">
        <v>19660</v>
      </c>
      <c r="C4467" t="s">
        <v>4654</v>
      </c>
      <c r="D4467">
        <v>0.6</v>
      </c>
      <c r="E4467">
        <v>0</v>
      </c>
      <c r="F4467">
        <f t="shared" si="69"/>
        <v>0.6</v>
      </c>
      <c r="I4467">
        <v>20180701</v>
      </c>
      <c r="J4467" t="s">
        <v>4678</v>
      </c>
    </row>
    <row r="4468" spans="1:19" x14ac:dyDescent="0.3">
      <c r="A4468" s="160">
        <v>39413</v>
      </c>
      <c r="B4468" t="s">
        <v>19661</v>
      </c>
      <c r="C4468" t="s">
        <v>4661</v>
      </c>
      <c r="D4468">
        <v>0.12</v>
      </c>
      <c r="E4468">
        <v>0</v>
      </c>
      <c r="F4468">
        <f t="shared" si="69"/>
        <v>0.12</v>
      </c>
      <c r="I4468">
        <v>20250101</v>
      </c>
      <c r="J4468" t="s">
        <v>4666</v>
      </c>
    </row>
    <row r="4469" spans="1:19" x14ac:dyDescent="0.3">
      <c r="A4469" s="160">
        <v>39421</v>
      </c>
      <c r="B4469" t="s">
        <v>18359</v>
      </c>
      <c r="C4469" t="s">
        <v>4664</v>
      </c>
      <c r="D4469">
        <v>0.35</v>
      </c>
      <c r="E4469">
        <v>0</v>
      </c>
      <c r="F4469">
        <f t="shared" si="69"/>
        <v>0.35</v>
      </c>
      <c r="I4469">
        <v>20180101</v>
      </c>
      <c r="J4469" t="s">
        <v>4704</v>
      </c>
    </row>
    <row r="4470" spans="1:19" x14ac:dyDescent="0.3">
      <c r="A4470" s="160">
        <v>39432</v>
      </c>
      <c r="B4470" t="s">
        <v>19662</v>
      </c>
      <c r="C4470" t="s">
        <v>4654</v>
      </c>
      <c r="D4470">
        <v>0.6</v>
      </c>
      <c r="E4470">
        <v>0</v>
      </c>
      <c r="F4470">
        <f t="shared" si="69"/>
        <v>0.6</v>
      </c>
      <c r="I4470">
        <v>20240101</v>
      </c>
      <c r="J4470" t="s">
        <v>4657</v>
      </c>
    </row>
    <row r="4471" spans="1:19" x14ac:dyDescent="0.3">
      <c r="A4471" s="160">
        <v>39445</v>
      </c>
      <c r="B4471" t="s">
        <v>19663</v>
      </c>
      <c r="C4471" t="s">
        <v>4664</v>
      </c>
      <c r="D4471">
        <v>0.35</v>
      </c>
      <c r="E4471">
        <v>0</v>
      </c>
      <c r="F4471">
        <f t="shared" si="69"/>
        <v>0.35</v>
      </c>
      <c r="I4471">
        <v>20240101</v>
      </c>
      <c r="J4471" t="s">
        <v>4665</v>
      </c>
    </row>
    <row r="4472" spans="1:19" x14ac:dyDescent="0.3">
      <c r="A4472" s="160">
        <v>39449</v>
      </c>
      <c r="B4472" t="s">
        <v>19664</v>
      </c>
      <c r="C4472" t="s">
        <v>4654</v>
      </c>
      <c r="D4472">
        <v>0.6</v>
      </c>
      <c r="E4472">
        <v>0</v>
      </c>
      <c r="F4472">
        <f t="shared" si="69"/>
        <v>0.6</v>
      </c>
      <c r="I4472">
        <v>20180701</v>
      </c>
      <c r="J4472" t="s">
        <v>4657</v>
      </c>
    </row>
    <row r="4473" spans="1:19" x14ac:dyDescent="0.3">
      <c r="A4473" s="160">
        <v>39453</v>
      </c>
      <c r="B4473" t="s">
        <v>19665</v>
      </c>
      <c r="C4473" t="s">
        <v>4661</v>
      </c>
      <c r="D4473">
        <v>0.12</v>
      </c>
      <c r="E4473">
        <v>0</v>
      </c>
      <c r="F4473">
        <f t="shared" si="69"/>
        <v>0.12</v>
      </c>
      <c r="I4473">
        <v>20250101</v>
      </c>
      <c r="J4473" t="s">
        <v>4687</v>
      </c>
    </row>
    <row r="4474" spans="1:19" x14ac:dyDescent="0.3">
      <c r="A4474" s="160">
        <v>39458</v>
      </c>
      <c r="B4474" t="s">
        <v>19666</v>
      </c>
      <c r="C4474" t="s">
        <v>4664</v>
      </c>
      <c r="D4474">
        <v>0.35</v>
      </c>
      <c r="E4474">
        <v>0</v>
      </c>
      <c r="F4474">
        <f t="shared" si="69"/>
        <v>0.35</v>
      </c>
      <c r="I4474">
        <v>20180101</v>
      </c>
      <c r="J4474" t="s">
        <v>4673</v>
      </c>
      <c r="K4474" t="s">
        <v>4665</v>
      </c>
    </row>
    <row r="4475" spans="1:19" x14ac:dyDescent="0.3">
      <c r="A4475" s="160">
        <v>39460</v>
      </c>
      <c r="B4475" t="s">
        <v>19667</v>
      </c>
      <c r="C4475" t="s">
        <v>4661</v>
      </c>
      <c r="D4475">
        <v>0.12</v>
      </c>
      <c r="E4475">
        <v>0</v>
      </c>
      <c r="F4475">
        <f t="shared" si="69"/>
        <v>0.12</v>
      </c>
      <c r="I4475">
        <v>20250101</v>
      </c>
      <c r="J4475" t="s">
        <v>4662</v>
      </c>
    </row>
    <row r="4476" spans="1:19" x14ac:dyDescent="0.3">
      <c r="A4476" s="160">
        <v>39462</v>
      </c>
      <c r="B4476" t="s">
        <v>19668</v>
      </c>
      <c r="C4476" t="s">
        <v>4654</v>
      </c>
      <c r="D4476">
        <v>0.6</v>
      </c>
      <c r="E4476">
        <v>0</v>
      </c>
      <c r="F4476">
        <f t="shared" si="69"/>
        <v>0.6</v>
      </c>
      <c r="I4476">
        <v>20180701</v>
      </c>
      <c r="J4476" t="s">
        <v>4656</v>
      </c>
    </row>
    <row r="4477" spans="1:19" x14ac:dyDescent="0.3">
      <c r="A4477" s="160">
        <v>39463</v>
      </c>
      <c r="B4477" t="s">
        <v>19669</v>
      </c>
      <c r="C4477" t="s">
        <v>4661</v>
      </c>
      <c r="D4477">
        <v>0.12</v>
      </c>
      <c r="E4477">
        <v>0</v>
      </c>
      <c r="F4477">
        <f t="shared" si="69"/>
        <v>0.12</v>
      </c>
      <c r="I4477">
        <v>20250101</v>
      </c>
      <c r="J4477" t="s">
        <v>4686</v>
      </c>
    </row>
    <row r="4478" spans="1:19" x14ac:dyDescent="0.3">
      <c r="A4478" s="160">
        <v>39465</v>
      </c>
      <c r="B4478" t="s">
        <v>19670</v>
      </c>
      <c r="C4478" t="s">
        <v>4654</v>
      </c>
      <c r="D4478">
        <v>0.6</v>
      </c>
      <c r="E4478">
        <v>0</v>
      </c>
      <c r="F4478">
        <f t="shared" si="69"/>
        <v>0.6</v>
      </c>
      <c r="I4478">
        <v>20180701</v>
      </c>
      <c r="J4478" t="s">
        <v>4656</v>
      </c>
    </row>
    <row r="4479" spans="1:19" x14ac:dyDescent="0.3">
      <c r="A4479" s="160">
        <v>39476</v>
      </c>
      <c r="B4479" t="s">
        <v>16999</v>
      </c>
      <c r="C4479" t="s">
        <v>4654</v>
      </c>
      <c r="D4479">
        <v>0.6</v>
      </c>
      <c r="E4479">
        <v>0</v>
      </c>
      <c r="F4479">
        <f t="shared" si="69"/>
        <v>0.6</v>
      </c>
      <c r="I4479">
        <v>20180701</v>
      </c>
      <c r="J4479" t="s">
        <v>4658</v>
      </c>
    </row>
    <row r="4480" spans="1:19" x14ac:dyDescent="0.3">
      <c r="A4480" s="160">
        <v>39478</v>
      </c>
      <c r="B4480" t="s">
        <v>19671</v>
      </c>
      <c r="C4480" t="s">
        <v>4661</v>
      </c>
      <c r="D4480">
        <v>0.4</v>
      </c>
      <c r="E4480">
        <v>0</v>
      </c>
      <c r="F4480">
        <f t="shared" si="69"/>
        <v>0.4</v>
      </c>
      <c r="I4480">
        <v>20210701</v>
      </c>
      <c r="J4480" t="s">
        <v>4662</v>
      </c>
      <c r="K4480" t="s">
        <v>4705</v>
      </c>
      <c r="L4480" t="s">
        <v>4706</v>
      </c>
      <c r="M4480" t="s">
        <v>4672</v>
      </c>
      <c r="N4480" t="s">
        <v>4707</v>
      </c>
      <c r="O4480" t="s">
        <v>4708</v>
      </c>
      <c r="P4480" t="s">
        <v>4709</v>
      </c>
      <c r="Q4480" t="s">
        <v>4710</v>
      </c>
    </row>
    <row r="4481" spans="1:12" x14ac:dyDescent="0.3">
      <c r="A4481" s="160">
        <v>39480</v>
      </c>
      <c r="B4481" t="s">
        <v>19320</v>
      </c>
      <c r="C4481" t="s">
        <v>4664</v>
      </c>
      <c r="D4481">
        <v>0.35</v>
      </c>
      <c r="E4481">
        <v>0</v>
      </c>
      <c r="F4481">
        <f t="shared" si="69"/>
        <v>0.35</v>
      </c>
      <c r="I4481">
        <v>20180101</v>
      </c>
      <c r="J4481" t="s">
        <v>4665</v>
      </c>
    </row>
    <row r="4482" spans="1:12" x14ac:dyDescent="0.3">
      <c r="A4482" s="160">
        <v>39491</v>
      </c>
      <c r="B4482" t="s">
        <v>19672</v>
      </c>
      <c r="C4482" t="s">
        <v>4661</v>
      </c>
      <c r="D4482">
        <v>0.12</v>
      </c>
      <c r="E4482">
        <v>0</v>
      </c>
      <c r="F4482">
        <f t="shared" si="69"/>
        <v>0.12</v>
      </c>
      <c r="I4482">
        <v>20250101</v>
      </c>
      <c r="J4482" t="s">
        <v>4687</v>
      </c>
      <c r="K4482" t="s">
        <v>4688</v>
      </c>
    </row>
    <row r="4483" spans="1:12" x14ac:dyDescent="0.3">
      <c r="A4483" s="160">
        <v>39501</v>
      </c>
      <c r="B4483" t="s">
        <v>19673</v>
      </c>
      <c r="C4483" t="s">
        <v>4654</v>
      </c>
      <c r="D4483">
        <v>0.6</v>
      </c>
      <c r="E4483">
        <v>0</v>
      </c>
      <c r="F4483">
        <f t="shared" si="69"/>
        <v>0.6</v>
      </c>
      <c r="I4483">
        <v>20180701</v>
      </c>
      <c r="J4483" t="s">
        <v>4659</v>
      </c>
    </row>
    <row r="4484" spans="1:12" x14ac:dyDescent="0.3">
      <c r="A4484" s="160">
        <v>39510</v>
      </c>
      <c r="B4484" t="s">
        <v>19674</v>
      </c>
      <c r="C4484" t="s">
        <v>4661</v>
      </c>
      <c r="D4484">
        <v>0.12</v>
      </c>
      <c r="E4484">
        <v>0</v>
      </c>
      <c r="F4484">
        <f t="shared" si="69"/>
        <v>0.12</v>
      </c>
      <c r="I4484">
        <v>20250101</v>
      </c>
      <c r="J4484" t="s">
        <v>4663</v>
      </c>
    </row>
    <row r="4485" spans="1:12" x14ac:dyDescent="0.3">
      <c r="A4485" s="160">
        <v>39526</v>
      </c>
      <c r="B4485" t="s">
        <v>19675</v>
      </c>
      <c r="C4485" t="s">
        <v>4654</v>
      </c>
      <c r="D4485">
        <v>0.6</v>
      </c>
      <c r="E4485">
        <v>0</v>
      </c>
      <c r="F4485">
        <f t="shared" si="69"/>
        <v>0.6</v>
      </c>
      <c r="I4485">
        <v>20180701</v>
      </c>
      <c r="J4485" t="s">
        <v>4655</v>
      </c>
      <c r="K4485" t="s">
        <v>4711</v>
      </c>
      <c r="L4485" t="s">
        <v>4712</v>
      </c>
    </row>
    <row r="4486" spans="1:12" x14ac:dyDescent="0.3">
      <c r="A4486" s="160">
        <v>39537</v>
      </c>
      <c r="B4486" t="s">
        <v>19676</v>
      </c>
      <c r="C4486" t="s">
        <v>4664</v>
      </c>
      <c r="D4486">
        <v>0.35</v>
      </c>
      <c r="E4486">
        <v>0</v>
      </c>
      <c r="F4486">
        <f t="shared" si="69"/>
        <v>0.35</v>
      </c>
      <c r="I4486">
        <v>20180101</v>
      </c>
      <c r="J4486" t="s">
        <v>4713</v>
      </c>
      <c r="K4486" t="s">
        <v>4665</v>
      </c>
    </row>
    <row r="4487" spans="1:12" x14ac:dyDescent="0.3">
      <c r="A4487" s="160">
        <v>39550</v>
      </c>
      <c r="B4487" t="s">
        <v>19677</v>
      </c>
      <c r="C4487" t="s">
        <v>4664</v>
      </c>
      <c r="D4487">
        <v>0.35</v>
      </c>
      <c r="E4487">
        <v>0</v>
      </c>
      <c r="F4487">
        <f t="shared" ref="F4487:F4550" si="70">D4487+E4487</f>
        <v>0.35</v>
      </c>
      <c r="I4487">
        <v>20240101</v>
      </c>
      <c r="J4487" t="s">
        <v>4665</v>
      </c>
    </row>
    <row r="4488" spans="1:12" x14ac:dyDescent="0.3">
      <c r="A4488" s="160">
        <v>39552</v>
      </c>
      <c r="B4488" t="s">
        <v>19678</v>
      </c>
      <c r="C4488" t="s">
        <v>4664</v>
      </c>
      <c r="D4488">
        <v>0.35</v>
      </c>
      <c r="E4488">
        <v>0</v>
      </c>
      <c r="F4488">
        <f t="shared" si="70"/>
        <v>0.35</v>
      </c>
      <c r="I4488">
        <v>20180101</v>
      </c>
      <c r="J4488" t="s">
        <v>4665</v>
      </c>
    </row>
    <row r="4489" spans="1:12" x14ac:dyDescent="0.3">
      <c r="A4489" s="160">
        <v>39558</v>
      </c>
      <c r="B4489" t="s">
        <v>19679</v>
      </c>
      <c r="C4489" t="s">
        <v>4664</v>
      </c>
      <c r="D4489">
        <v>0.35</v>
      </c>
      <c r="E4489">
        <v>0</v>
      </c>
      <c r="F4489">
        <f t="shared" si="70"/>
        <v>0.35</v>
      </c>
      <c r="I4489">
        <v>20180101</v>
      </c>
      <c r="J4489" t="s">
        <v>4665</v>
      </c>
    </row>
    <row r="4490" spans="1:12" x14ac:dyDescent="0.3">
      <c r="A4490" s="160">
        <v>39560</v>
      </c>
      <c r="B4490" t="s">
        <v>19680</v>
      </c>
      <c r="C4490" t="s">
        <v>4661</v>
      </c>
      <c r="D4490">
        <v>0.12</v>
      </c>
      <c r="E4490">
        <v>0</v>
      </c>
      <c r="F4490">
        <f t="shared" si="70"/>
        <v>0.12</v>
      </c>
      <c r="I4490">
        <v>20250101</v>
      </c>
      <c r="J4490" t="s">
        <v>4662</v>
      </c>
      <c r="K4490" t="s">
        <v>4672</v>
      </c>
    </row>
    <row r="4491" spans="1:12" x14ac:dyDescent="0.3">
      <c r="A4491" s="160">
        <v>39567</v>
      </c>
      <c r="B4491" t="s">
        <v>19681</v>
      </c>
      <c r="C4491" t="s">
        <v>4664</v>
      </c>
      <c r="D4491">
        <v>0.35</v>
      </c>
      <c r="E4491">
        <v>0</v>
      </c>
      <c r="F4491">
        <f t="shared" si="70"/>
        <v>0.35</v>
      </c>
      <c r="I4491">
        <v>20180101</v>
      </c>
      <c r="J4491" t="s">
        <v>4675</v>
      </c>
      <c r="K4491" t="s">
        <v>4669</v>
      </c>
      <c r="L4491" t="s">
        <v>4665</v>
      </c>
    </row>
    <row r="4492" spans="1:12" x14ac:dyDescent="0.3">
      <c r="A4492" s="160">
        <v>39571</v>
      </c>
      <c r="B4492" t="s">
        <v>19682</v>
      </c>
      <c r="C4492" t="s">
        <v>4654</v>
      </c>
      <c r="D4492">
        <v>0.6</v>
      </c>
      <c r="E4492">
        <v>0</v>
      </c>
      <c r="F4492">
        <f t="shared" si="70"/>
        <v>0.6</v>
      </c>
      <c r="I4492">
        <v>20180701</v>
      </c>
      <c r="J4492" t="s">
        <v>4678</v>
      </c>
    </row>
    <row r="4493" spans="1:12" x14ac:dyDescent="0.3">
      <c r="A4493" s="160">
        <v>39573</v>
      </c>
      <c r="B4493" t="s">
        <v>19683</v>
      </c>
      <c r="C4493" t="s">
        <v>4654</v>
      </c>
      <c r="D4493">
        <v>0.6</v>
      </c>
      <c r="E4493">
        <v>0</v>
      </c>
      <c r="F4493">
        <f t="shared" si="70"/>
        <v>0.6</v>
      </c>
      <c r="I4493">
        <v>20180701</v>
      </c>
      <c r="J4493" t="s">
        <v>4659</v>
      </c>
      <c r="K4493" t="s">
        <v>4671</v>
      </c>
    </row>
    <row r="4494" spans="1:12" x14ac:dyDescent="0.3">
      <c r="A4494" s="160">
        <v>39579</v>
      </c>
      <c r="B4494" t="s">
        <v>19684</v>
      </c>
      <c r="C4494" t="s">
        <v>4661</v>
      </c>
      <c r="D4494">
        <v>0.12</v>
      </c>
      <c r="E4494">
        <v>0</v>
      </c>
      <c r="F4494">
        <f t="shared" si="70"/>
        <v>0.12</v>
      </c>
      <c r="I4494">
        <v>20250101</v>
      </c>
      <c r="J4494" t="s">
        <v>4686</v>
      </c>
    </row>
    <row r="4495" spans="1:12" x14ac:dyDescent="0.3">
      <c r="A4495" s="160">
        <v>39584</v>
      </c>
      <c r="B4495" t="s">
        <v>19685</v>
      </c>
      <c r="C4495" t="s">
        <v>4654</v>
      </c>
      <c r="D4495">
        <v>0.6</v>
      </c>
      <c r="E4495">
        <v>0</v>
      </c>
      <c r="F4495">
        <f t="shared" si="70"/>
        <v>0.6</v>
      </c>
      <c r="I4495">
        <v>20180701</v>
      </c>
      <c r="J4495" t="s">
        <v>4656</v>
      </c>
    </row>
    <row r="4496" spans="1:12" x14ac:dyDescent="0.3">
      <c r="A4496" s="160">
        <v>39585</v>
      </c>
      <c r="B4496" t="s">
        <v>19686</v>
      </c>
      <c r="C4496" t="s">
        <v>4661</v>
      </c>
      <c r="D4496">
        <v>0.12</v>
      </c>
      <c r="E4496">
        <v>0</v>
      </c>
      <c r="F4496">
        <f t="shared" si="70"/>
        <v>0.12</v>
      </c>
      <c r="I4496">
        <v>20250101</v>
      </c>
      <c r="J4496" t="s">
        <v>4686</v>
      </c>
    </row>
    <row r="4497" spans="1:19" x14ac:dyDescent="0.3">
      <c r="A4497" s="160">
        <v>40003</v>
      </c>
      <c r="B4497" t="s">
        <v>19687</v>
      </c>
      <c r="C4497" t="s">
        <v>4714</v>
      </c>
      <c r="D4497">
        <v>1.1000000000000001</v>
      </c>
      <c r="E4497">
        <v>0</v>
      </c>
      <c r="F4497">
        <f t="shared" si="70"/>
        <v>1.1000000000000001</v>
      </c>
      <c r="I4497">
        <v>20120601</v>
      </c>
      <c r="J4497" t="s">
        <v>4715</v>
      </c>
    </row>
    <row r="4498" spans="1:19" x14ac:dyDescent="0.3">
      <c r="A4498" s="160">
        <v>40004</v>
      </c>
      <c r="B4498" t="s">
        <v>19688</v>
      </c>
      <c r="C4498" t="s">
        <v>4716</v>
      </c>
      <c r="D4498">
        <v>0.6</v>
      </c>
      <c r="E4498">
        <v>0</v>
      </c>
      <c r="F4498">
        <f t="shared" si="70"/>
        <v>0.6</v>
      </c>
      <c r="I4498">
        <v>20140701</v>
      </c>
      <c r="J4498" t="s">
        <v>4717</v>
      </c>
    </row>
    <row r="4499" spans="1:19" x14ac:dyDescent="0.3">
      <c r="A4499" s="160">
        <v>40021</v>
      </c>
      <c r="B4499" t="s">
        <v>19689</v>
      </c>
      <c r="C4499" t="s">
        <v>4716</v>
      </c>
      <c r="D4499">
        <v>0.6</v>
      </c>
      <c r="E4499">
        <v>0</v>
      </c>
      <c r="F4499">
        <f t="shared" si="70"/>
        <v>0.6</v>
      </c>
      <c r="I4499">
        <v>20140701</v>
      </c>
      <c r="J4499" t="s">
        <v>4718</v>
      </c>
    </row>
    <row r="4500" spans="1:19" x14ac:dyDescent="0.3">
      <c r="A4500" s="160">
        <v>40035</v>
      </c>
      <c r="B4500" t="s">
        <v>19690</v>
      </c>
      <c r="C4500" t="s">
        <v>4714</v>
      </c>
      <c r="D4500">
        <v>1.1000000000000001</v>
      </c>
      <c r="E4500">
        <v>0</v>
      </c>
      <c r="F4500">
        <f t="shared" si="70"/>
        <v>1.1000000000000001</v>
      </c>
      <c r="I4500">
        <v>20120601</v>
      </c>
      <c r="J4500" t="s">
        <v>4719</v>
      </c>
    </row>
    <row r="4501" spans="1:19" x14ac:dyDescent="0.3">
      <c r="A4501" s="160">
        <v>40036</v>
      </c>
      <c r="B4501" t="s">
        <v>19691</v>
      </c>
      <c r="C4501" t="s">
        <v>4716</v>
      </c>
      <c r="D4501">
        <v>0.6</v>
      </c>
      <c r="E4501">
        <v>0</v>
      </c>
      <c r="F4501">
        <f t="shared" si="70"/>
        <v>0.6</v>
      </c>
      <c r="I4501">
        <v>20140701</v>
      </c>
      <c r="J4501" t="s">
        <v>4720</v>
      </c>
      <c r="K4501" t="s">
        <v>4721</v>
      </c>
    </row>
    <row r="4502" spans="1:19" x14ac:dyDescent="0.3">
      <c r="A4502" s="160">
        <v>40037</v>
      </c>
      <c r="B4502" t="s">
        <v>19692</v>
      </c>
      <c r="C4502" t="s">
        <v>4722</v>
      </c>
      <c r="D4502">
        <v>0.6</v>
      </c>
      <c r="E4502">
        <v>0</v>
      </c>
      <c r="F4502">
        <f t="shared" si="70"/>
        <v>0.6</v>
      </c>
      <c r="I4502">
        <v>20240101</v>
      </c>
      <c r="J4502" t="s">
        <v>4723</v>
      </c>
    </row>
    <row r="4503" spans="1:19" x14ac:dyDescent="0.3">
      <c r="A4503" s="160">
        <v>40050</v>
      </c>
      <c r="B4503" t="s">
        <v>19693</v>
      </c>
      <c r="C4503" t="s">
        <v>4722</v>
      </c>
      <c r="D4503">
        <v>0.6</v>
      </c>
      <c r="E4503">
        <v>0</v>
      </c>
      <c r="F4503">
        <f t="shared" si="70"/>
        <v>0.6</v>
      </c>
      <c r="I4503">
        <v>20240101</v>
      </c>
      <c r="J4503" t="s">
        <v>4724</v>
      </c>
    </row>
    <row r="4504" spans="1:19" x14ac:dyDescent="0.3">
      <c r="A4504" s="160">
        <v>40051</v>
      </c>
      <c r="B4504" t="s">
        <v>19694</v>
      </c>
      <c r="C4504" t="s">
        <v>4722</v>
      </c>
      <c r="D4504">
        <v>0.6</v>
      </c>
      <c r="E4504">
        <v>0</v>
      </c>
      <c r="F4504">
        <f t="shared" si="70"/>
        <v>0.6</v>
      </c>
      <c r="I4504">
        <v>20240101</v>
      </c>
      <c r="J4504" t="s">
        <v>4724</v>
      </c>
    </row>
    <row r="4505" spans="1:19" x14ac:dyDescent="0.3">
      <c r="A4505" s="160">
        <v>40055</v>
      </c>
      <c r="B4505" t="s">
        <v>19695</v>
      </c>
      <c r="C4505" t="s">
        <v>4722</v>
      </c>
      <c r="D4505">
        <v>0.6</v>
      </c>
      <c r="E4505">
        <v>0</v>
      </c>
      <c r="F4505">
        <f t="shared" si="70"/>
        <v>0.6</v>
      </c>
      <c r="I4505">
        <v>20240101</v>
      </c>
      <c r="J4505" t="s">
        <v>4723</v>
      </c>
      <c r="K4505" t="s">
        <v>4725</v>
      </c>
    </row>
    <row r="4506" spans="1:19" x14ac:dyDescent="0.3">
      <c r="A4506" s="160">
        <v>40061</v>
      </c>
      <c r="B4506" t="s">
        <v>19026</v>
      </c>
      <c r="C4506" t="s">
        <v>4722</v>
      </c>
      <c r="D4506">
        <v>0.6</v>
      </c>
      <c r="E4506">
        <v>0</v>
      </c>
      <c r="F4506">
        <f t="shared" si="70"/>
        <v>0.6</v>
      </c>
      <c r="I4506">
        <v>20240101</v>
      </c>
      <c r="J4506" t="s">
        <v>4724</v>
      </c>
    </row>
    <row r="4507" spans="1:19" x14ac:dyDescent="0.3">
      <c r="A4507" s="160">
        <v>40062</v>
      </c>
      <c r="B4507" t="s">
        <v>19696</v>
      </c>
      <c r="C4507" t="s">
        <v>4722</v>
      </c>
      <c r="D4507">
        <v>0.6</v>
      </c>
      <c r="E4507">
        <v>0</v>
      </c>
      <c r="F4507">
        <f t="shared" si="70"/>
        <v>0.6</v>
      </c>
      <c r="I4507">
        <v>20240101</v>
      </c>
      <c r="J4507" t="s">
        <v>4724</v>
      </c>
    </row>
    <row r="4508" spans="1:19" x14ac:dyDescent="0.3">
      <c r="A4508" s="160">
        <v>40063</v>
      </c>
      <c r="B4508" t="s">
        <v>19697</v>
      </c>
      <c r="C4508" t="s">
        <v>4714</v>
      </c>
      <c r="D4508">
        <v>1.1000000000000001</v>
      </c>
      <c r="E4508">
        <v>0</v>
      </c>
      <c r="F4508">
        <f t="shared" si="70"/>
        <v>1.1000000000000001</v>
      </c>
      <c r="I4508">
        <v>20120601</v>
      </c>
      <c r="J4508" t="s">
        <v>4719</v>
      </c>
    </row>
    <row r="4509" spans="1:19" x14ac:dyDescent="0.3">
      <c r="A4509" s="160">
        <v>40065</v>
      </c>
      <c r="B4509" t="s">
        <v>19698</v>
      </c>
      <c r="C4509" t="s">
        <v>4716</v>
      </c>
      <c r="D4509">
        <v>0.6</v>
      </c>
      <c r="E4509">
        <v>0</v>
      </c>
      <c r="F4509">
        <f t="shared" si="70"/>
        <v>0.6</v>
      </c>
      <c r="I4509">
        <v>20140701</v>
      </c>
      <c r="J4509" t="s">
        <v>4726</v>
      </c>
    </row>
    <row r="4510" spans="1:19" x14ac:dyDescent="0.3">
      <c r="A4510" s="160">
        <v>40088</v>
      </c>
      <c r="B4510" t="s">
        <v>19699</v>
      </c>
      <c r="C4510" t="s">
        <v>4714</v>
      </c>
      <c r="D4510">
        <v>1.1000000000000001</v>
      </c>
      <c r="E4510">
        <v>0</v>
      </c>
      <c r="F4510">
        <f t="shared" si="70"/>
        <v>1.1000000000000001</v>
      </c>
      <c r="I4510">
        <v>20120601</v>
      </c>
      <c r="J4510" t="s">
        <v>4727</v>
      </c>
      <c r="K4510" t="s">
        <v>4728</v>
      </c>
      <c r="L4510" t="s">
        <v>4729</v>
      </c>
      <c r="M4510" t="s">
        <v>4730</v>
      </c>
      <c r="N4510" t="s">
        <v>4731</v>
      </c>
      <c r="O4510" t="s">
        <v>4732</v>
      </c>
      <c r="P4510" t="s">
        <v>4733</v>
      </c>
      <c r="Q4510" t="s">
        <v>4734</v>
      </c>
      <c r="R4510" t="s">
        <v>4735</v>
      </c>
      <c r="S4510" t="s">
        <v>4736</v>
      </c>
    </row>
    <row r="4511" spans="1:19" x14ac:dyDescent="0.3">
      <c r="A4511" s="160">
        <v>40103</v>
      </c>
      <c r="B4511" t="s">
        <v>19700</v>
      </c>
      <c r="C4511" t="s">
        <v>4722</v>
      </c>
      <c r="D4511">
        <v>0.6</v>
      </c>
      <c r="E4511">
        <v>0</v>
      </c>
      <c r="F4511">
        <f t="shared" si="70"/>
        <v>0.6</v>
      </c>
      <c r="I4511">
        <v>20240101</v>
      </c>
      <c r="J4511" t="s">
        <v>4724</v>
      </c>
    </row>
    <row r="4512" spans="1:19" x14ac:dyDescent="0.3">
      <c r="A4512" s="160">
        <v>40111</v>
      </c>
      <c r="B4512" t="s">
        <v>19701</v>
      </c>
      <c r="C4512" t="s">
        <v>4722</v>
      </c>
      <c r="D4512">
        <v>0.6</v>
      </c>
      <c r="E4512">
        <v>0</v>
      </c>
      <c r="F4512">
        <f t="shared" si="70"/>
        <v>0.6</v>
      </c>
      <c r="I4512">
        <v>20240101</v>
      </c>
      <c r="J4512" t="s">
        <v>4724</v>
      </c>
    </row>
    <row r="4513" spans="1:31" x14ac:dyDescent="0.3">
      <c r="A4513" s="160">
        <v>40114</v>
      </c>
      <c r="B4513" t="s">
        <v>19702</v>
      </c>
      <c r="C4513" t="s">
        <v>4714</v>
      </c>
      <c r="D4513">
        <v>1.1000000000000001</v>
      </c>
      <c r="E4513">
        <v>0</v>
      </c>
      <c r="F4513">
        <f t="shared" si="70"/>
        <v>1.1000000000000001</v>
      </c>
      <c r="I4513">
        <v>20120601</v>
      </c>
      <c r="J4513" t="s">
        <v>4715</v>
      </c>
    </row>
    <row r="4514" spans="1:31" x14ac:dyDescent="0.3">
      <c r="A4514" s="160">
        <v>40123</v>
      </c>
      <c r="B4514" t="s">
        <v>19703</v>
      </c>
      <c r="C4514" t="s">
        <v>4714</v>
      </c>
      <c r="D4514">
        <v>1.1000000000000001</v>
      </c>
      <c r="E4514">
        <v>0</v>
      </c>
      <c r="F4514">
        <f t="shared" si="70"/>
        <v>1.1000000000000001</v>
      </c>
      <c r="I4514">
        <v>20120601</v>
      </c>
      <c r="J4514" t="s">
        <v>4715</v>
      </c>
    </row>
    <row r="4515" spans="1:31" x14ac:dyDescent="0.3">
      <c r="A4515" s="160">
        <v>40125</v>
      </c>
      <c r="B4515" t="s">
        <v>19704</v>
      </c>
      <c r="C4515" t="s">
        <v>4714</v>
      </c>
      <c r="D4515">
        <v>1.1000000000000001</v>
      </c>
      <c r="E4515">
        <v>0</v>
      </c>
      <c r="F4515">
        <f t="shared" si="70"/>
        <v>1.1000000000000001</v>
      </c>
      <c r="I4515">
        <v>20120601</v>
      </c>
      <c r="J4515" t="s">
        <v>4719</v>
      </c>
    </row>
    <row r="4516" spans="1:31" x14ac:dyDescent="0.3">
      <c r="A4516" s="160">
        <v>40129</v>
      </c>
      <c r="B4516" t="s">
        <v>19705</v>
      </c>
      <c r="C4516" t="s">
        <v>4716</v>
      </c>
      <c r="D4516">
        <v>0.6</v>
      </c>
      <c r="E4516">
        <v>0</v>
      </c>
      <c r="F4516">
        <f t="shared" si="70"/>
        <v>0.6</v>
      </c>
      <c r="I4516">
        <v>20140701</v>
      </c>
      <c r="J4516" t="s">
        <v>4720</v>
      </c>
      <c r="K4516" t="s">
        <v>4721</v>
      </c>
    </row>
    <row r="4517" spans="1:31" x14ac:dyDescent="0.3">
      <c r="A4517" s="160">
        <v>40133</v>
      </c>
      <c r="B4517" t="s">
        <v>19706</v>
      </c>
      <c r="C4517" t="s">
        <v>4716</v>
      </c>
      <c r="D4517">
        <v>0.6</v>
      </c>
      <c r="E4517">
        <v>0</v>
      </c>
      <c r="F4517">
        <f t="shared" si="70"/>
        <v>0.6</v>
      </c>
      <c r="I4517">
        <v>20140701</v>
      </c>
      <c r="J4517" t="s">
        <v>4737</v>
      </c>
    </row>
    <row r="4518" spans="1:31" x14ac:dyDescent="0.3">
      <c r="A4518" s="160">
        <v>40139</v>
      </c>
      <c r="B4518" t="s">
        <v>19707</v>
      </c>
      <c r="C4518" t="s">
        <v>4722</v>
      </c>
      <c r="D4518">
        <v>0.6</v>
      </c>
      <c r="E4518">
        <v>0</v>
      </c>
      <c r="F4518">
        <f t="shared" si="70"/>
        <v>0.6</v>
      </c>
      <c r="I4518">
        <v>20240101</v>
      </c>
      <c r="J4518" t="s">
        <v>4724</v>
      </c>
    </row>
    <row r="4519" spans="1:31" x14ac:dyDescent="0.3">
      <c r="A4519" s="160">
        <v>40162</v>
      </c>
      <c r="B4519" t="s">
        <v>19708</v>
      </c>
      <c r="C4519" t="s">
        <v>4722</v>
      </c>
      <c r="D4519">
        <v>0.6</v>
      </c>
      <c r="E4519">
        <v>0</v>
      </c>
      <c r="F4519">
        <f t="shared" si="70"/>
        <v>0.6</v>
      </c>
      <c r="I4519">
        <v>20240101</v>
      </c>
      <c r="J4519" t="s">
        <v>4724</v>
      </c>
    </row>
    <row r="4520" spans="1:31" x14ac:dyDescent="0.3">
      <c r="A4520" s="160">
        <v>40168</v>
      </c>
      <c r="B4520" t="s">
        <v>19709</v>
      </c>
      <c r="C4520" t="s">
        <v>4716</v>
      </c>
      <c r="D4520">
        <v>0.6</v>
      </c>
      <c r="E4520">
        <v>0</v>
      </c>
      <c r="F4520">
        <f t="shared" si="70"/>
        <v>0.6</v>
      </c>
      <c r="I4520">
        <v>20140701</v>
      </c>
      <c r="J4520" t="s">
        <v>4718</v>
      </c>
    </row>
    <row r="4521" spans="1:31" x14ac:dyDescent="0.3">
      <c r="A4521" s="160">
        <v>40178</v>
      </c>
      <c r="B4521" t="s">
        <v>19710</v>
      </c>
      <c r="C4521" t="s">
        <v>4722</v>
      </c>
      <c r="D4521">
        <v>0.6</v>
      </c>
      <c r="E4521">
        <v>0</v>
      </c>
      <c r="F4521">
        <f t="shared" si="70"/>
        <v>0.6</v>
      </c>
      <c r="I4521">
        <v>20240101</v>
      </c>
      <c r="J4521" t="s">
        <v>4724</v>
      </c>
    </row>
    <row r="4522" spans="1:31" x14ac:dyDescent="0.3">
      <c r="A4522" s="160">
        <v>40179</v>
      </c>
      <c r="B4522" t="s">
        <v>19711</v>
      </c>
      <c r="C4522" t="s">
        <v>4714</v>
      </c>
      <c r="D4522">
        <v>1.1000000000000001</v>
      </c>
      <c r="E4522">
        <v>0</v>
      </c>
      <c r="F4522">
        <f t="shared" si="70"/>
        <v>1.1000000000000001</v>
      </c>
      <c r="I4522">
        <v>20120601</v>
      </c>
      <c r="J4522" t="s">
        <v>4715</v>
      </c>
      <c r="K4522" t="s">
        <v>4738</v>
      </c>
    </row>
    <row r="4523" spans="1:31" x14ac:dyDescent="0.3">
      <c r="A4523" s="160">
        <v>40181</v>
      </c>
      <c r="B4523" t="s">
        <v>19712</v>
      </c>
      <c r="C4523" t="s">
        <v>4716</v>
      </c>
      <c r="D4523">
        <v>0.6</v>
      </c>
      <c r="E4523">
        <v>0</v>
      </c>
      <c r="F4523">
        <f t="shared" si="70"/>
        <v>0.6</v>
      </c>
      <c r="I4523">
        <v>20140701</v>
      </c>
      <c r="J4523" t="s">
        <v>4739</v>
      </c>
    </row>
    <row r="4524" spans="1:31" x14ac:dyDescent="0.3">
      <c r="A4524" s="160">
        <v>40187</v>
      </c>
      <c r="B4524" t="s">
        <v>19713</v>
      </c>
      <c r="C4524" t="s">
        <v>4716</v>
      </c>
      <c r="D4524">
        <v>0.6</v>
      </c>
      <c r="E4524">
        <v>0</v>
      </c>
      <c r="F4524">
        <f t="shared" si="70"/>
        <v>0.6</v>
      </c>
      <c r="I4524">
        <v>20140701</v>
      </c>
      <c r="J4524" t="s">
        <v>4739</v>
      </c>
    </row>
    <row r="4525" spans="1:31" x14ac:dyDescent="0.3">
      <c r="A4525" s="160">
        <v>40192</v>
      </c>
      <c r="B4525" t="s">
        <v>19714</v>
      </c>
      <c r="C4525" t="s">
        <v>4722</v>
      </c>
      <c r="D4525">
        <v>0.6</v>
      </c>
      <c r="E4525">
        <v>0</v>
      </c>
      <c r="F4525">
        <f t="shared" si="70"/>
        <v>0.6</v>
      </c>
      <c r="I4525">
        <v>20240101</v>
      </c>
      <c r="J4525" t="s">
        <v>4740</v>
      </c>
      <c r="K4525" t="s">
        <v>4741</v>
      </c>
      <c r="L4525" t="s">
        <v>4742</v>
      </c>
      <c r="M4525" t="s">
        <v>4743</v>
      </c>
      <c r="N4525" t="s">
        <v>4744</v>
      </c>
      <c r="O4525" t="s">
        <v>4745</v>
      </c>
      <c r="P4525" t="s">
        <v>4746</v>
      </c>
      <c r="Q4525" t="s">
        <v>4747</v>
      </c>
      <c r="R4525" t="s">
        <v>4748</v>
      </c>
      <c r="S4525" t="s">
        <v>4749</v>
      </c>
      <c r="T4525" t="s">
        <v>4750</v>
      </c>
      <c r="U4525" t="s">
        <v>4751</v>
      </c>
      <c r="V4525" t="s">
        <v>4752</v>
      </c>
      <c r="W4525" t="s">
        <v>4753</v>
      </c>
      <c r="X4525" t="s">
        <v>4754</v>
      </c>
      <c r="Y4525" t="s">
        <v>4755</v>
      </c>
      <c r="Z4525" t="s">
        <v>4756</v>
      </c>
      <c r="AA4525" t="s">
        <v>4757</v>
      </c>
      <c r="AB4525" t="s">
        <v>4758</v>
      </c>
      <c r="AC4525" t="s">
        <v>4759</v>
      </c>
      <c r="AD4525" t="s">
        <v>4760</v>
      </c>
      <c r="AE4525" t="s">
        <v>4761</v>
      </c>
    </row>
    <row r="4526" spans="1:31" x14ac:dyDescent="0.3">
      <c r="A4526" s="160">
        <v>40202</v>
      </c>
      <c r="B4526" t="s">
        <v>19715</v>
      </c>
      <c r="C4526" t="s">
        <v>4714</v>
      </c>
      <c r="D4526">
        <v>1.1000000000000001</v>
      </c>
      <c r="E4526">
        <v>0</v>
      </c>
      <c r="F4526">
        <f t="shared" si="70"/>
        <v>1.1000000000000001</v>
      </c>
      <c r="I4526">
        <v>20120601</v>
      </c>
      <c r="J4526" t="s">
        <v>4719</v>
      </c>
    </row>
    <row r="4527" spans="1:31" x14ac:dyDescent="0.3">
      <c r="A4527" s="160">
        <v>40207</v>
      </c>
      <c r="B4527" t="s">
        <v>19716</v>
      </c>
      <c r="C4527" t="s">
        <v>4714</v>
      </c>
      <c r="D4527">
        <v>1.1000000000000001</v>
      </c>
      <c r="E4527">
        <v>0</v>
      </c>
      <c r="F4527">
        <f t="shared" si="70"/>
        <v>1.1000000000000001</v>
      </c>
      <c r="I4527">
        <v>20120601</v>
      </c>
      <c r="J4527" t="s">
        <v>4719</v>
      </c>
    </row>
    <row r="4528" spans="1:31" x14ac:dyDescent="0.3">
      <c r="A4528" s="160">
        <v>40209</v>
      </c>
      <c r="B4528" t="s">
        <v>19717</v>
      </c>
      <c r="C4528" t="s">
        <v>4762</v>
      </c>
      <c r="D4528">
        <v>2</v>
      </c>
      <c r="E4528">
        <v>0</v>
      </c>
      <c r="F4528">
        <f t="shared" si="70"/>
        <v>2</v>
      </c>
      <c r="I4528">
        <v>20240101</v>
      </c>
      <c r="J4528" t="s">
        <v>4763</v>
      </c>
    </row>
    <row r="4529" spans="1:14" x14ac:dyDescent="0.3">
      <c r="A4529" s="160">
        <v>40213</v>
      </c>
      <c r="B4529" t="s">
        <v>19718</v>
      </c>
      <c r="C4529" t="s">
        <v>4716</v>
      </c>
      <c r="D4529">
        <v>0.6</v>
      </c>
      <c r="E4529">
        <v>0</v>
      </c>
      <c r="F4529">
        <f t="shared" si="70"/>
        <v>0.6</v>
      </c>
      <c r="I4529">
        <v>20140701</v>
      </c>
      <c r="J4529" t="s">
        <v>4720</v>
      </c>
    </row>
    <row r="4530" spans="1:14" x14ac:dyDescent="0.3">
      <c r="A4530" s="160">
        <v>40234</v>
      </c>
      <c r="B4530" t="s">
        <v>19719</v>
      </c>
      <c r="C4530" t="s">
        <v>4722</v>
      </c>
      <c r="D4530">
        <v>0.6</v>
      </c>
      <c r="E4530">
        <v>0</v>
      </c>
      <c r="F4530">
        <f t="shared" si="70"/>
        <v>0.6</v>
      </c>
      <c r="I4530">
        <v>20240101</v>
      </c>
      <c r="J4530" t="s">
        <v>4764</v>
      </c>
    </row>
    <row r="4531" spans="1:14" x14ac:dyDescent="0.3">
      <c r="A4531" s="160">
        <v>40244</v>
      </c>
      <c r="B4531" t="s">
        <v>19720</v>
      </c>
      <c r="C4531" t="s">
        <v>4714</v>
      </c>
      <c r="D4531">
        <v>1.1000000000000001</v>
      </c>
      <c r="E4531">
        <v>0</v>
      </c>
      <c r="F4531">
        <f t="shared" si="70"/>
        <v>1.1000000000000001</v>
      </c>
      <c r="I4531">
        <v>20120601</v>
      </c>
      <c r="J4531" t="s">
        <v>4719</v>
      </c>
    </row>
    <row r="4532" spans="1:14" x14ac:dyDescent="0.3">
      <c r="A4532" s="160">
        <v>40250</v>
      </c>
      <c r="B4532" t="s">
        <v>19721</v>
      </c>
      <c r="C4532" t="s">
        <v>4722</v>
      </c>
      <c r="D4532">
        <v>0.6</v>
      </c>
      <c r="E4532">
        <v>0</v>
      </c>
      <c r="F4532">
        <f t="shared" si="70"/>
        <v>0.6</v>
      </c>
      <c r="I4532">
        <v>20240101</v>
      </c>
      <c r="J4532" t="s">
        <v>4724</v>
      </c>
    </row>
    <row r="4533" spans="1:14" x14ac:dyDescent="0.3">
      <c r="A4533" s="160">
        <v>40261</v>
      </c>
      <c r="B4533" t="s">
        <v>19722</v>
      </c>
      <c r="C4533" t="s">
        <v>4716</v>
      </c>
      <c r="D4533">
        <v>0.6</v>
      </c>
      <c r="E4533">
        <v>0</v>
      </c>
      <c r="F4533">
        <f t="shared" si="70"/>
        <v>0.6</v>
      </c>
      <c r="I4533">
        <v>20140701</v>
      </c>
      <c r="J4533" t="s">
        <v>4720</v>
      </c>
      <c r="K4533" t="s">
        <v>4721</v>
      </c>
    </row>
    <row r="4534" spans="1:14" x14ac:dyDescent="0.3">
      <c r="A4534" s="160">
        <v>40264</v>
      </c>
      <c r="B4534" t="s">
        <v>19723</v>
      </c>
      <c r="C4534" t="s">
        <v>4716</v>
      </c>
      <c r="D4534">
        <v>0.6</v>
      </c>
      <c r="E4534">
        <v>0</v>
      </c>
      <c r="F4534">
        <f t="shared" si="70"/>
        <v>0.6</v>
      </c>
      <c r="I4534">
        <v>20140701</v>
      </c>
      <c r="J4534" t="s">
        <v>4720</v>
      </c>
    </row>
    <row r="4535" spans="1:14" x14ac:dyDescent="0.3">
      <c r="A4535" s="160">
        <v>40271</v>
      </c>
      <c r="B4535" t="s">
        <v>19724</v>
      </c>
      <c r="C4535" t="s">
        <v>4716</v>
      </c>
      <c r="D4535">
        <v>0.6</v>
      </c>
      <c r="E4535">
        <v>0</v>
      </c>
      <c r="F4535">
        <f t="shared" si="70"/>
        <v>0.6</v>
      </c>
      <c r="I4535">
        <v>20140701</v>
      </c>
      <c r="J4535" t="s">
        <v>4765</v>
      </c>
    </row>
    <row r="4536" spans="1:14" x14ac:dyDescent="0.3">
      <c r="A4536" s="160">
        <v>40272</v>
      </c>
      <c r="B4536" t="s">
        <v>19725</v>
      </c>
      <c r="C4536" t="s">
        <v>4716</v>
      </c>
      <c r="D4536">
        <v>0.6</v>
      </c>
      <c r="E4536">
        <v>0</v>
      </c>
      <c r="F4536">
        <f t="shared" si="70"/>
        <v>0.6</v>
      </c>
      <c r="I4536">
        <v>20140701</v>
      </c>
      <c r="J4536" t="s">
        <v>4765</v>
      </c>
    </row>
    <row r="4537" spans="1:14" x14ac:dyDescent="0.3">
      <c r="A4537" s="160">
        <v>40273</v>
      </c>
      <c r="B4537" t="s">
        <v>19726</v>
      </c>
      <c r="C4537" t="s">
        <v>4762</v>
      </c>
      <c r="D4537">
        <v>2</v>
      </c>
      <c r="E4537">
        <v>0</v>
      </c>
      <c r="F4537">
        <f t="shared" si="70"/>
        <v>2</v>
      </c>
      <c r="I4537">
        <v>20240101</v>
      </c>
      <c r="J4537" t="s">
        <v>4765</v>
      </c>
    </row>
    <row r="4538" spans="1:14" x14ac:dyDescent="0.3">
      <c r="A4538" s="160">
        <v>40274</v>
      </c>
      <c r="B4538" t="s">
        <v>19727</v>
      </c>
      <c r="C4538" t="s">
        <v>4722</v>
      </c>
      <c r="D4538">
        <v>0.6</v>
      </c>
      <c r="E4538">
        <v>0</v>
      </c>
      <c r="F4538">
        <f t="shared" si="70"/>
        <v>0.6</v>
      </c>
      <c r="I4538">
        <v>20240101</v>
      </c>
      <c r="J4538" t="s">
        <v>4724</v>
      </c>
    </row>
    <row r="4539" spans="1:14" x14ac:dyDescent="0.3">
      <c r="A4539" s="160">
        <v>40277</v>
      </c>
      <c r="B4539" t="s">
        <v>19728</v>
      </c>
      <c r="C4539" t="s">
        <v>4714</v>
      </c>
      <c r="D4539">
        <v>1.1000000000000001</v>
      </c>
      <c r="E4539">
        <v>0</v>
      </c>
      <c r="F4539">
        <f t="shared" si="70"/>
        <v>1.1000000000000001</v>
      </c>
      <c r="I4539">
        <v>20120601</v>
      </c>
      <c r="J4539" t="s">
        <v>4719</v>
      </c>
    </row>
    <row r="4540" spans="1:14" x14ac:dyDescent="0.3">
      <c r="A4540" s="160">
        <v>40279</v>
      </c>
      <c r="B4540" t="s">
        <v>19729</v>
      </c>
      <c r="C4540" t="s">
        <v>4714</v>
      </c>
      <c r="D4540">
        <v>1.1000000000000001</v>
      </c>
      <c r="E4540">
        <v>0</v>
      </c>
      <c r="F4540">
        <f t="shared" si="70"/>
        <v>1.1000000000000001</v>
      </c>
      <c r="I4540">
        <v>20120601</v>
      </c>
      <c r="J4540" t="s">
        <v>4715</v>
      </c>
      <c r="K4540" t="s">
        <v>4736</v>
      </c>
      <c r="L4540" t="s">
        <v>4738</v>
      </c>
      <c r="M4540" t="s">
        <v>4766</v>
      </c>
      <c r="N4540" t="s">
        <v>4767</v>
      </c>
    </row>
    <row r="4541" spans="1:14" x14ac:dyDescent="0.3">
      <c r="A4541" s="160">
        <v>40280</v>
      </c>
      <c r="B4541" t="s">
        <v>19730</v>
      </c>
      <c r="C4541" t="s">
        <v>4722</v>
      </c>
      <c r="D4541">
        <v>0.6</v>
      </c>
      <c r="E4541">
        <v>0</v>
      </c>
      <c r="F4541">
        <f t="shared" si="70"/>
        <v>0.6</v>
      </c>
      <c r="I4541">
        <v>20240101</v>
      </c>
      <c r="J4541" t="s">
        <v>4724</v>
      </c>
    </row>
    <row r="4542" spans="1:14" x14ac:dyDescent="0.3">
      <c r="A4542" s="160">
        <v>40281</v>
      </c>
      <c r="B4542" t="s">
        <v>19731</v>
      </c>
      <c r="C4542" t="s">
        <v>4722</v>
      </c>
      <c r="D4542">
        <v>0.6</v>
      </c>
      <c r="E4542">
        <v>0</v>
      </c>
      <c r="F4542">
        <f t="shared" si="70"/>
        <v>0.6</v>
      </c>
      <c r="I4542">
        <v>20240101</v>
      </c>
      <c r="J4542" t="s">
        <v>4723</v>
      </c>
      <c r="K4542" t="s">
        <v>4768</v>
      </c>
      <c r="L4542" t="s">
        <v>4725</v>
      </c>
      <c r="M4542" t="s">
        <v>4769</v>
      </c>
    </row>
    <row r="4543" spans="1:14" x14ac:dyDescent="0.3">
      <c r="A4543" s="160">
        <v>40283</v>
      </c>
      <c r="B4543" t="s">
        <v>18951</v>
      </c>
      <c r="C4543" t="s">
        <v>4714</v>
      </c>
      <c r="D4543">
        <v>1.1000000000000001</v>
      </c>
      <c r="E4543">
        <v>0</v>
      </c>
      <c r="F4543">
        <f t="shared" si="70"/>
        <v>1.1000000000000001</v>
      </c>
      <c r="I4543">
        <v>20120601</v>
      </c>
      <c r="J4543" t="s">
        <v>4715</v>
      </c>
    </row>
    <row r="4544" spans="1:14" x14ac:dyDescent="0.3">
      <c r="A4544" s="160">
        <v>40284</v>
      </c>
      <c r="B4544" t="s">
        <v>19732</v>
      </c>
      <c r="C4544" t="s">
        <v>4716</v>
      </c>
      <c r="D4544">
        <v>0.6</v>
      </c>
      <c r="E4544">
        <v>0</v>
      </c>
      <c r="F4544">
        <f t="shared" si="70"/>
        <v>0.6</v>
      </c>
      <c r="I4544">
        <v>20140701</v>
      </c>
      <c r="J4544" t="s">
        <v>4720</v>
      </c>
      <c r="K4544" t="s">
        <v>4721</v>
      </c>
    </row>
    <row r="4545" spans="1:11" x14ac:dyDescent="0.3">
      <c r="A4545" s="160">
        <v>40291</v>
      </c>
      <c r="B4545" t="s">
        <v>19733</v>
      </c>
      <c r="C4545" t="s">
        <v>4716</v>
      </c>
      <c r="D4545">
        <v>0.6</v>
      </c>
      <c r="E4545">
        <v>0</v>
      </c>
      <c r="F4545">
        <f t="shared" si="70"/>
        <v>0.6</v>
      </c>
      <c r="I4545">
        <v>20140701</v>
      </c>
      <c r="J4545" t="s">
        <v>4720</v>
      </c>
      <c r="K4545" t="s">
        <v>4721</v>
      </c>
    </row>
    <row r="4546" spans="1:11" x14ac:dyDescent="0.3">
      <c r="A4546" s="160">
        <v>40292</v>
      </c>
      <c r="B4546" t="s">
        <v>19734</v>
      </c>
      <c r="C4546" t="s">
        <v>4716</v>
      </c>
      <c r="D4546">
        <v>0.6</v>
      </c>
      <c r="E4546">
        <v>0</v>
      </c>
      <c r="F4546">
        <f t="shared" si="70"/>
        <v>0.6</v>
      </c>
      <c r="I4546">
        <v>20140701</v>
      </c>
      <c r="J4546" t="s">
        <v>4720</v>
      </c>
    </row>
    <row r="4547" spans="1:11" x14ac:dyDescent="0.3">
      <c r="A4547" s="160">
        <v>40293</v>
      </c>
      <c r="B4547" t="s">
        <v>19735</v>
      </c>
      <c r="C4547" t="s">
        <v>4716</v>
      </c>
      <c r="D4547">
        <v>0.6</v>
      </c>
      <c r="E4547">
        <v>0</v>
      </c>
      <c r="F4547">
        <f t="shared" si="70"/>
        <v>0.6</v>
      </c>
      <c r="I4547">
        <v>20140701</v>
      </c>
      <c r="J4547" t="s">
        <v>4719</v>
      </c>
    </row>
    <row r="4548" spans="1:11" x14ac:dyDescent="0.3">
      <c r="A4548" s="160">
        <v>40294</v>
      </c>
      <c r="B4548" t="s">
        <v>19736</v>
      </c>
      <c r="C4548" t="s">
        <v>4714</v>
      </c>
      <c r="D4548">
        <v>1.1000000000000001</v>
      </c>
      <c r="E4548">
        <v>0</v>
      </c>
      <c r="F4548">
        <f t="shared" si="70"/>
        <v>1.1000000000000001</v>
      </c>
      <c r="I4548">
        <v>20120601</v>
      </c>
      <c r="J4548" t="s">
        <v>4719</v>
      </c>
    </row>
    <row r="4549" spans="1:11" x14ac:dyDescent="0.3">
      <c r="A4549" s="160">
        <v>40296</v>
      </c>
      <c r="B4549" t="s">
        <v>19737</v>
      </c>
      <c r="C4549" t="s">
        <v>4716</v>
      </c>
      <c r="D4549">
        <v>0.6</v>
      </c>
      <c r="E4549">
        <v>0</v>
      </c>
      <c r="F4549">
        <f t="shared" si="70"/>
        <v>0.6</v>
      </c>
      <c r="I4549">
        <v>20140701</v>
      </c>
      <c r="J4549" t="s">
        <v>4770</v>
      </c>
    </row>
    <row r="4550" spans="1:11" x14ac:dyDescent="0.3">
      <c r="A4550" s="160">
        <v>40300</v>
      </c>
      <c r="B4550" t="s">
        <v>19738</v>
      </c>
      <c r="C4550" t="s">
        <v>4714</v>
      </c>
      <c r="D4550">
        <v>1.1000000000000001</v>
      </c>
      <c r="E4550">
        <v>0</v>
      </c>
      <c r="F4550">
        <f t="shared" si="70"/>
        <v>1.1000000000000001</v>
      </c>
      <c r="I4550">
        <v>20120601</v>
      </c>
      <c r="J4550" t="s">
        <v>4719</v>
      </c>
    </row>
    <row r="4551" spans="1:11" x14ac:dyDescent="0.3">
      <c r="A4551" s="160">
        <v>40301</v>
      </c>
      <c r="B4551" t="s">
        <v>19739</v>
      </c>
      <c r="C4551" t="s">
        <v>4714</v>
      </c>
      <c r="D4551">
        <v>1.1000000000000001</v>
      </c>
      <c r="E4551">
        <v>0</v>
      </c>
      <c r="F4551">
        <f t="shared" ref="F4551:F4614" si="71">D4551+E4551</f>
        <v>1.1000000000000001</v>
      </c>
      <c r="I4551">
        <v>20120601</v>
      </c>
      <c r="J4551" t="s">
        <v>4719</v>
      </c>
    </row>
    <row r="4552" spans="1:11" x14ac:dyDescent="0.3">
      <c r="A4552" s="160">
        <v>40304</v>
      </c>
      <c r="B4552" t="s">
        <v>19740</v>
      </c>
      <c r="C4552" t="s">
        <v>4716</v>
      </c>
      <c r="D4552">
        <v>0.6</v>
      </c>
      <c r="E4552">
        <v>0</v>
      </c>
      <c r="F4552">
        <f t="shared" si="71"/>
        <v>0.6</v>
      </c>
      <c r="I4552">
        <v>20140701</v>
      </c>
      <c r="J4552" t="s">
        <v>4717</v>
      </c>
    </row>
    <row r="4553" spans="1:11" x14ac:dyDescent="0.3">
      <c r="A4553" s="160">
        <v>40310</v>
      </c>
      <c r="B4553" t="s">
        <v>19741</v>
      </c>
      <c r="C4553" t="s">
        <v>4716</v>
      </c>
      <c r="D4553">
        <v>0.6</v>
      </c>
      <c r="E4553">
        <v>0</v>
      </c>
      <c r="F4553">
        <f t="shared" si="71"/>
        <v>0.6</v>
      </c>
      <c r="I4553">
        <v>20140701</v>
      </c>
      <c r="J4553" t="s">
        <v>4718</v>
      </c>
      <c r="K4553" t="s">
        <v>4771</v>
      </c>
    </row>
    <row r="4554" spans="1:11" x14ac:dyDescent="0.3">
      <c r="A4554" s="160">
        <v>40312</v>
      </c>
      <c r="B4554" t="s">
        <v>19742</v>
      </c>
      <c r="C4554" t="s">
        <v>4762</v>
      </c>
      <c r="D4554">
        <v>2</v>
      </c>
      <c r="E4554">
        <v>0</v>
      </c>
      <c r="F4554">
        <f t="shared" si="71"/>
        <v>2</v>
      </c>
      <c r="I4554">
        <v>20160101</v>
      </c>
      <c r="J4554" t="s">
        <v>4772</v>
      </c>
    </row>
    <row r="4555" spans="1:11" x14ac:dyDescent="0.3">
      <c r="A4555" s="160">
        <v>40314</v>
      </c>
      <c r="B4555" t="s">
        <v>19743</v>
      </c>
      <c r="C4555" t="s">
        <v>4714</v>
      </c>
      <c r="D4555">
        <v>1.1000000000000001</v>
      </c>
      <c r="E4555">
        <v>0</v>
      </c>
      <c r="F4555">
        <f t="shared" si="71"/>
        <v>1.1000000000000001</v>
      </c>
      <c r="I4555">
        <v>20120601</v>
      </c>
      <c r="J4555" t="s">
        <v>4719</v>
      </c>
    </row>
    <row r="4556" spans="1:11" x14ac:dyDescent="0.3">
      <c r="A4556" s="160">
        <v>40315</v>
      </c>
      <c r="B4556" t="s">
        <v>19744</v>
      </c>
      <c r="C4556" t="s">
        <v>4714</v>
      </c>
      <c r="D4556">
        <v>1.1000000000000001</v>
      </c>
      <c r="E4556">
        <v>0</v>
      </c>
      <c r="F4556">
        <f t="shared" si="71"/>
        <v>1.1000000000000001</v>
      </c>
      <c r="I4556">
        <v>20120601</v>
      </c>
      <c r="J4556" t="s">
        <v>4715</v>
      </c>
    </row>
    <row r="4557" spans="1:11" x14ac:dyDescent="0.3">
      <c r="A4557" s="160">
        <v>40317</v>
      </c>
      <c r="B4557" t="s">
        <v>19745</v>
      </c>
      <c r="C4557" t="s">
        <v>4716</v>
      </c>
      <c r="D4557">
        <v>0.6</v>
      </c>
      <c r="E4557">
        <v>0</v>
      </c>
      <c r="F4557">
        <f t="shared" si="71"/>
        <v>0.6</v>
      </c>
      <c r="I4557">
        <v>20140701</v>
      </c>
      <c r="J4557" t="s">
        <v>4720</v>
      </c>
    </row>
    <row r="4558" spans="1:11" x14ac:dyDescent="0.3">
      <c r="A4558" s="160">
        <v>40320</v>
      </c>
      <c r="B4558" t="s">
        <v>19746</v>
      </c>
      <c r="C4558" t="s">
        <v>4722</v>
      </c>
      <c r="D4558">
        <v>0.6</v>
      </c>
      <c r="E4558">
        <v>0</v>
      </c>
      <c r="F4558">
        <f t="shared" si="71"/>
        <v>0.6</v>
      </c>
      <c r="I4558">
        <v>20240101</v>
      </c>
      <c r="J4558" t="s">
        <v>4724</v>
      </c>
    </row>
    <row r="4559" spans="1:11" x14ac:dyDescent="0.3">
      <c r="A4559" s="160">
        <v>40328</v>
      </c>
      <c r="B4559" t="s">
        <v>19747</v>
      </c>
      <c r="C4559" t="s">
        <v>4716</v>
      </c>
      <c r="D4559">
        <v>0.6</v>
      </c>
      <c r="E4559">
        <v>0</v>
      </c>
      <c r="F4559">
        <f t="shared" si="71"/>
        <v>0.6</v>
      </c>
      <c r="I4559">
        <v>20140701</v>
      </c>
      <c r="J4559" t="s">
        <v>4773</v>
      </c>
    </row>
    <row r="4560" spans="1:11" x14ac:dyDescent="0.3">
      <c r="A4560" s="160">
        <v>40334</v>
      </c>
      <c r="B4560" t="s">
        <v>19748</v>
      </c>
      <c r="C4560" t="s">
        <v>4714</v>
      </c>
      <c r="D4560">
        <v>1.1000000000000001</v>
      </c>
      <c r="E4560">
        <v>0</v>
      </c>
      <c r="F4560">
        <f t="shared" si="71"/>
        <v>1.1000000000000001</v>
      </c>
      <c r="I4560">
        <v>20120601</v>
      </c>
      <c r="J4560" t="s">
        <v>4719</v>
      </c>
    </row>
    <row r="4561" spans="1:47" x14ac:dyDescent="0.3">
      <c r="A4561" s="160">
        <v>41001</v>
      </c>
      <c r="B4561" t="s">
        <v>19749</v>
      </c>
      <c r="C4561" t="s">
        <v>4774</v>
      </c>
      <c r="D4561">
        <v>0.4</v>
      </c>
      <c r="E4561">
        <v>0</v>
      </c>
      <c r="F4561">
        <f t="shared" si="71"/>
        <v>0.4</v>
      </c>
      <c r="I4561">
        <v>20250101</v>
      </c>
      <c r="J4561" t="s">
        <v>4775</v>
      </c>
    </row>
    <row r="4562" spans="1:47" x14ac:dyDescent="0.3">
      <c r="A4562" s="160">
        <v>41003</v>
      </c>
      <c r="B4562" t="s">
        <v>19750</v>
      </c>
      <c r="C4562" t="s">
        <v>4774</v>
      </c>
      <c r="D4562">
        <v>0.6</v>
      </c>
      <c r="E4562">
        <v>0</v>
      </c>
      <c r="F4562">
        <f t="shared" si="71"/>
        <v>0.6</v>
      </c>
      <c r="I4562">
        <v>20180701</v>
      </c>
      <c r="J4562" t="s">
        <v>4776</v>
      </c>
      <c r="K4562" t="s">
        <v>4777</v>
      </c>
    </row>
    <row r="4563" spans="1:47" x14ac:dyDescent="0.3">
      <c r="A4563" s="160">
        <v>41004</v>
      </c>
      <c r="B4563" t="s">
        <v>19751</v>
      </c>
      <c r="C4563" t="s">
        <v>4774</v>
      </c>
      <c r="D4563">
        <v>0.4</v>
      </c>
      <c r="E4563">
        <v>0</v>
      </c>
      <c r="F4563">
        <f t="shared" si="71"/>
        <v>0.4</v>
      </c>
      <c r="I4563">
        <v>20250101</v>
      </c>
      <c r="J4563" t="s">
        <v>4778</v>
      </c>
    </row>
    <row r="4564" spans="1:47" x14ac:dyDescent="0.3">
      <c r="A4564" s="160">
        <v>41007</v>
      </c>
      <c r="B4564" t="s">
        <v>19752</v>
      </c>
      <c r="C4564" t="s">
        <v>4774</v>
      </c>
      <c r="D4564">
        <v>0.4</v>
      </c>
      <c r="E4564">
        <v>0</v>
      </c>
      <c r="F4564">
        <f t="shared" si="71"/>
        <v>0.4</v>
      </c>
      <c r="I4564">
        <v>20250101</v>
      </c>
      <c r="J4564" t="s">
        <v>4775</v>
      </c>
    </row>
    <row r="4565" spans="1:47" x14ac:dyDescent="0.3">
      <c r="A4565" s="160">
        <v>41009</v>
      </c>
      <c r="B4565" t="s">
        <v>19753</v>
      </c>
      <c r="C4565" t="s">
        <v>4779</v>
      </c>
      <c r="D4565">
        <v>1.1499999999999999</v>
      </c>
      <c r="E4565">
        <v>0</v>
      </c>
      <c r="F4565">
        <f t="shared" si="71"/>
        <v>1.1499999999999999</v>
      </c>
      <c r="I4565">
        <v>20230701</v>
      </c>
      <c r="J4565" t="s">
        <v>4780</v>
      </c>
    </row>
    <row r="4566" spans="1:47" x14ac:dyDescent="0.3">
      <c r="A4566" s="160">
        <v>41010</v>
      </c>
      <c r="B4566" t="s">
        <v>19754</v>
      </c>
      <c r="C4566" t="s">
        <v>4774</v>
      </c>
      <c r="D4566">
        <v>0.4</v>
      </c>
      <c r="E4566">
        <v>0</v>
      </c>
      <c r="F4566">
        <f t="shared" si="71"/>
        <v>0.4</v>
      </c>
      <c r="I4566">
        <v>20250101</v>
      </c>
      <c r="J4566" t="s">
        <v>4776</v>
      </c>
    </row>
    <row r="4567" spans="1:47" x14ac:dyDescent="0.3">
      <c r="A4567" s="160">
        <v>41018</v>
      </c>
      <c r="B4567" t="s">
        <v>19755</v>
      </c>
      <c r="C4567" t="s">
        <v>4779</v>
      </c>
      <c r="D4567">
        <v>1.1499999999999999</v>
      </c>
      <c r="E4567">
        <v>0</v>
      </c>
      <c r="F4567">
        <f t="shared" si="71"/>
        <v>1.1499999999999999</v>
      </c>
      <c r="I4567">
        <v>20230701</v>
      </c>
      <c r="J4567" t="s">
        <v>4781</v>
      </c>
      <c r="K4567" t="s">
        <v>4782</v>
      </c>
      <c r="L4567" t="s">
        <v>4783</v>
      </c>
      <c r="M4567" t="s">
        <v>4784</v>
      </c>
      <c r="N4567" t="s">
        <v>4785</v>
      </c>
      <c r="O4567" t="s">
        <v>4786</v>
      </c>
      <c r="P4567" t="s">
        <v>4787</v>
      </c>
      <c r="Q4567" t="s">
        <v>4788</v>
      </c>
      <c r="R4567" t="s">
        <v>4789</v>
      </c>
      <c r="S4567" t="s">
        <v>4790</v>
      </c>
      <c r="T4567" t="s">
        <v>4791</v>
      </c>
      <c r="U4567" t="s">
        <v>4792</v>
      </c>
      <c r="V4567" t="s">
        <v>4793</v>
      </c>
      <c r="W4567" t="s">
        <v>4794</v>
      </c>
      <c r="X4567" t="s">
        <v>4795</v>
      </c>
      <c r="Y4567" t="s">
        <v>4796</v>
      </c>
      <c r="Z4567" t="s">
        <v>4797</v>
      </c>
      <c r="AA4567" t="s">
        <v>4798</v>
      </c>
      <c r="AB4567" t="s">
        <v>4799</v>
      </c>
      <c r="AC4567" t="s">
        <v>4800</v>
      </c>
      <c r="AD4567" t="s">
        <v>4801</v>
      </c>
      <c r="AE4567" t="s">
        <v>4802</v>
      </c>
      <c r="AF4567" t="s">
        <v>4803</v>
      </c>
      <c r="AG4567" t="s">
        <v>4804</v>
      </c>
      <c r="AH4567" t="s">
        <v>4805</v>
      </c>
      <c r="AI4567" t="s">
        <v>4806</v>
      </c>
      <c r="AJ4567" t="s">
        <v>4807</v>
      </c>
      <c r="AK4567" t="s">
        <v>4808</v>
      </c>
      <c r="AL4567" t="s">
        <v>4809</v>
      </c>
      <c r="AM4567" t="s">
        <v>4810</v>
      </c>
      <c r="AN4567" t="s">
        <v>4811</v>
      </c>
      <c r="AO4567" t="s">
        <v>4812</v>
      </c>
      <c r="AP4567" t="s">
        <v>4813</v>
      </c>
      <c r="AQ4567" t="s">
        <v>4814</v>
      </c>
      <c r="AR4567" t="s">
        <v>4815</v>
      </c>
      <c r="AS4567" t="s">
        <v>4816</v>
      </c>
      <c r="AT4567" t="s">
        <v>4817</v>
      </c>
      <c r="AU4567" t="s">
        <v>4818</v>
      </c>
    </row>
    <row r="4568" spans="1:47" x14ac:dyDescent="0.3">
      <c r="A4568" s="160">
        <v>41020</v>
      </c>
      <c r="B4568" t="s">
        <v>19756</v>
      </c>
      <c r="C4568" t="s">
        <v>4774</v>
      </c>
      <c r="D4568">
        <v>0.4</v>
      </c>
      <c r="E4568">
        <v>0</v>
      </c>
      <c r="F4568">
        <f t="shared" si="71"/>
        <v>0.4</v>
      </c>
      <c r="I4568">
        <v>20250101</v>
      </c>
      <c r="J4568" t="s">
        <v>4778</v>
      </c>
    </row>
    <row r="4569" spans="1:47" x14ac:dyDescent="0.3">
      <c r="A4569" s="160">
        <v>41029</v>
      </c>
      <c r="B4569" t="s">
        <v>19757</v>
      </c>
      <c r="C4569" t="s">
        <v>4779</v>
      </c>
      <c r="D4569">
        <v>1.1499999999999999</v>
      </c>
      <c r="E4569">
        <v>0</v>
      </c>
      <c r="F4569">
        <f t="shared" si="71"/>
        <v>1.1499999999999999</v>
      </c>
      <c r="I4569">
        <v>20230701</v>
      </c>
      <c r="J4569" t="s">
        <v>4819</v>
      </c>
      <c r="K4569" t="s">
        <v>4820</v>
      </c>
    </row>
    <row r="4570" spans="1:47" x14ac:dyDescent="0.3">
      <c r="A4570" s="160">
        <v>41030</v>
      </c>
      <c r="B4570" t="s">
        <v>19758</v>
      </c>
      <c r="C4570" t="s">
        <v>4774</v>
      </c>
      <c r="D4570">
        <v>0.4</v>
      </c>
      <c r="E4570">
        <v>0</v>
      </c>
      <c r="F4570">
        <f t="shared" si="71"/>
        <v>0.4</v>
      </c>
      <c r="I4570">
        <v>20250101</v>
      </c>
      <c r="J4570" t="s">
        <v>4821</v>
      </c>
    </row>
    <row r="4571" spans="1:47" x14ac:dyDescent="0.3">
      <c r="A4571" s="160">
        <v>41031</v>
      </c>
      <c r="B4571" t="s">
        <v>19759</v>
      </c>
      <c r="C4571" t="s">
        <v>4779</v>
      </c>
      <c r="D4571">
        <v>1.1499999999999999</v>
      </c>
      <c r="E4571">
        <v>0</v>
      </c>
      <c r="F4571">
        <f t="shared" si="71"/>
        <v>1.1499999999999999</v>
      </c>
      <c r="I4571">
        <v>20230701</v>
      </c>
      <c r="J4571" t="s">
        <v>4819</v>
      </c>
      <c r="K4571" t="s">
        <v>4820</v>
      </c>
    </row>
    <row r="4572" spans="1:47" x14ac:dyDescent="0.3">
      <c r="A4572" s="160">
        <v>41032</v>
      </c>
      <c r="B4572" t="s">
        <v>19760</v>
      </c>
      <c r="C4572" t="s">
        <v>4779</v>
      </c>
      <c r="D4572">
        <v>1.1499999999999999</v>
      </c>
      <c r="E4572">
        <v>0</v>
      </c>
      <c r="F4572">
        <f t="shared" si="71"/>
        <v>1.1499999999999999</v>
      </c>
      <c r="I4572">
        <v>20230701</v>
      </c>
      <c r="J4572" t="s">
        <v>4819</v>
      </c>
      <c r="K4572" t="s">
        <v>4820</v>
      </c>
    </row>
    <row r="4573" spans="1:47" x14ac:dyDescent="0.3">
      <c r="A4573" s="160">
        <v>41033</v>
      </c>
      <c r="B4573" t="s">
        <v>19761</v>
      </c>
      <c r="C4573" t="s">
        <v>4779</v>
      </c>
      <c r="D4573">
        <v>1.1499999999999999</v>
      </c>
      <c r="E4573">
        <v>0</v>
      </c>
      <c r="F4573">
        <f t="shared" si="71"/>
        <v>1.1499999999999999</v>
      </c>
      <c r="I4573">
        <v>20230701</v>
      </c>
      <c r="J4573" t="s">
        <v>4822</v>
      </c>
    </row>
    <row r="4574" spans="1:47" x14ac:dyDescent="0.3">
      <c r="A4574" s="160">
        <v>41035</v>
      </c>
      <c r="B4574" t="s">
        <v>19762</v>
      </c>
      <c r="C4574" t="s">
        <v>4779</v>
      </c>
      <c r="D4574">
        <v>1.1499999999999999</v>
      </c>
      <c r="E4574">
        <v>0</v>
      </c>
      <c r="F4574">
        <f t="shared" si="71"/>
        <v>1.1499999999999999</v>
      </c>
      <c r="I4574">
        <v>20230701</v>
      </c>
      <c r="J4574" t="s">
        <v>4780</v>
      </c>
    </row>
    <row r="4575" spans="1:47" x14ac:dyDescent="0.3">
      <c r="A4575" s="160">
        <v>41040</v>
      </c>
      <c r="B4575" t="s">
        <v>19763</v>
      </c>
      <c r="C4575" t="s">
        <v>4779</v>
      </c>
      <c r="D4575">
        <v>1.1499999999999999</v>
      </c>
      <c r="E4575">
        <v>0</v>
      </c>
      <c r="F4575">
        <f t="shared" si="71"/>
        <v>1.1499999999999999</v>
      </c>
      <c r="I4575">
        <v>20230701</v>
      </c>
      <c r="J4575" t="s">
        <v>4780</v>
      </c>
    </row>
    <row r="4576" spans="1:47" x14ac:dyDescent="0.3">
      <c r="A4576" s="160">
        <v>41045</v>
      </c>
      <c r="B4576" t="s">
        <v>19764</v>
      </c>
      <c r="C4576" t="s">
        <v>4779</v>
      </c>
      <c r="D4576">
        <v>1.1499999999999999</v>
      </c>
      <c r="E4576">
        <v>0</v>
      </c>
      <c r="F4576">
        <f t="shared" si="71"/>
        <v>1.1499999999999999</v>
      </c>
      <c r="I4576">
        <v>20230701</v>
      </c>
      <c r="J4576" t="s">
        <v>4823</v>
      </c>
      <c r="K4576" t="s">
        <v>4824</v>
      </c>
    </row>
    <row r="4577" spans="1:22" x14ac:dyDescent="0.3">
      <c r="A4577" s="160">
        <v>41047</v>
      </c>
      <c r="B4577" t="s">
        <v>19765</v>
      </c>
      <c r="C4577" t="s">
        <v>4779</v>
      </c>
      <c r="D4577">
        <v>1.1499999999999999</v>
      </c>
      <c r="E4577">
        <v>0</v>
      </c>
      <c r="F4577">
        <f t="shared" si="71"/>
        <v>1.1499999999999999</v>
      </c>
      <c r="I4577">
        <v>20230701</v>
      </c>
      <c r="J4577" t="s">
        <v>4787</v>
      </c>
      <c r="K4577" t="s">
        <v>4789</v>
      </c>
      <c r="L4577" t="s">
        <v>4793</v>
      </c>
      <c r="M4577" t="s">
        <v>4796</v>
      </c>
      <c r="N4577" t="s">
        <v>4803</v>
      </c>
      <c r="O4577" t="s">
        <v>4804</v>
      </c>
      <c r="P4577" t="s">
        <v>4805</v>
      </c>
      <c r="Q4577" t="s">
        <v>4808</v>
      </c>
      <c r="R4577" t="s">
        <v>4825</v>
      </c>
      <c r="S4577" t="s">
        <v>4826</v>
      </c>
      <c r="T4577" t="s">
        <v>4827</v>
      </c>
      <c r="U4577" t="s">
        <v>4828</v>
      </c>
      <c r="V4577" t="s">
        <v>4829</v>
      </c>
    </row>
    <row r="4578" spans="1:22" x14ac:dyDescent="0.3">
      <c r="A4578" s="160">
        <v>41050</v>
      </c>
      <c r="B4578" t="s">
        <v>19766</v>
      </c>
      <c r="C4578" t="s">
        <v>4779</v>
      </c>
      <c r="D4578">
        <v>1.1499999999999999</v>
      </c>
      <c r="E4578">
        <v>0</v>
      </c>
      <c r="F4578">
        <f t="shared" si="71"/>
        <v>1.1499999999999999</v>
      </c>
      <c r="I4578">
        <v>20230701</v>
      </c>
      <c r="J4578" t="s">
        <v>4830</v>
      </c>
    </row>
    <row r="4579" spans="1:22" x14ac:dyDescent="0.3">
      <c r="A4579" s="160">
        <v>41052</v>
      </c>
      <c r="B4579" t="s">
        <v>19767</v>
      </c>
      <c r="C4579" t="s">
        <v>4779</v>
      </c>
      <c r="D4579">
        <v>1.1499999999999999</v>
      </c>
      <c r="E4579">
        <v>0</v>
      </c>
      <c r="F4579">
        <f t="shared" si="71"/>
        <v>1.1499999999999999</v>
      </c>
      <c r="I4579">
        <v>20230701</v>
      </c>
      <c r="J4579" t="s">
        <v>4819</v>
      </c>
    </row>
    <row r="4580" spans="1:22" x14ac:dyDescent="0.3">
      <c r="A4580" s="160">
        <v>41055</v>
      </c>
      <c r="B4580" t="s">
        <v>19768</v>
      </c>
      <c r="C4580" t="s">
        <v>4779</v>
      </c>
      <c r="D4580">
        <v>1.1499999999999999</v>
      </c>
      <c r="E4580">
        <v>0</v>
      </c>
      <c r="F4580">
        <f t="shared" si="71"/>
        <v>1.1499999999999999</v>
      </c>
      <c r="I4580">
        <v>20230701</v>
      </c>
      <c r="J4580" t="s">
        <v>4820</v>
      </c>
      <c r="K4580" t="s">
        <v>4823</v>
      </c>
      <c r="L4580" t="s">
        <v>4824</v>
      </c>
    </row>
    <row r="4581" spans="1:22" x14ac:dyDescent="0.3">
      <c r="A4581" s="160">
        <v>41061</v>
      </c>
      <c r="B4581" t="s">
        <v>19769</v>
      </c>
      <c r="C4581" t="s">
        <v>4779</v>
      </c>
      <c r="D4581">
        <v>1.1499999999999999</v>
      </c>
      <c r="E4581">
        <v>0</v>
      </c>
      <c r="F4581">
        <f t="shared" si="71"/>
        <v>1.1499999999999999</v>
      </c>
      <c r="I4581">
        <v>20230701</v>
      </c>
      <c r="J4581" t="s">
        <v>4819</v>
      </c>
    </row>
    <row r="4582" spans="1:22" x14ac:dyDescent="0.3">
      <c r="A4582" s="160">
        <v>41064</v>
      </c>
      <c r="B4582" t="s">
        <v>19770</v>
      </c>
      <c r="C4582" t="s">
        <v>4779</v>
      </c>
      <c r="D4582">
        <v>1.1499999999999999</v>
      </c>
      <c r="E4582">
        <v>0</v>
      </c>
      <c r="F4582">
        <f t="shared" si="71"/>
        <v>1.1499999999999999</v>
      </c>
      <c r="I4582">
        <v>20230701</v>
      </c>
      <c r="J4582" t="s">
        <v>4823</v>
      </c>
    </row>
    <row r="4583" spans="1:22" x14ac:dyDescent="0.3">
      <c r="A4583" s="160">
        <v>41065</v>
      </c>
      <c r="B4583" t="s">
        <v>19771</v>
      </c>
      <c r="C4583" t="s">
        <v>4774</v>
      </c>
      <c r="D4583">
        <v>0.4</v>
      </c>
      <c r="E4583">
        <v>0</v>
      </c>
      <c r="F4583">
        <f t="shared" si="71"/>
        <v>0.4</v>
      </c>
      <c r="I4583">
        <v>20250101</v>
      </c>
      <c r="J4583" t="s">
        <v>4776</v>
      </c>
    </row>
    <row r="4584" spans="1:22" x14ac:dyDescent="0.3">
      <c r="A4584" s="160">
        <v>41067</v>
      </c>
      <c r="B4584" t="s">
        <v>19772</v>
      </c>
      <c r="C4584" t="s">
        <v>4779</v>
      </c>
      <c r="D4584">
        <v>1.1499999999999999</v>
      </c>
      <c r="E4584">
        <v>0</v>
      </c>
      <c r="F4584">
        <f t="shared" si="71"/>
        <v>1.1499999999999999</v>
      </c>
      <c r="I4584">
        <v>20230701</v>
      </c>
      <c r="J4584" t="s">
        <v>4830</v>
      </c>
    </row>
    <row r="4585" spans="1:22" x14ac:dyDescent="0.3">
      <c r="A4585" s="160">
        <v>41070</v>
      </c>
      <c r="B4585" t="s">
        <v>19773</v>
      </c>
      <c r="C4585" t="s">
        <v>4774</v>
      </c>
      <c r="D4585">
        <v>0.4</v>
      </c>
      <c r="E4585">
        <v>0</v>
      </c>
      <c r="F4585">
        <f t="shared" si="71"/>
        <v>0.4</v>
      </c>
      <c r="I4585">
        <v>20250101</v>
      </c>
      <c r="J4585" t="s">
        <v>4778</v>
      </c>
    </row>
    <row r="4586" spans="1:22" x14ac:dyDescent="0.3">
      <c r="A4586" s="160">
        <v>41072</v>
      </c>
      <c r="B4586" t="s">
        <v>19774</v>
      </c>
      <c r="C4586" t="s">
        <v>4774</v>
      </c>
      <c r="D4586">
        <v>0.4</v>
      </c>
      <c r="E4586">
        <v>0</v>
      </c>
      <c r="F4586">
        <f t="shared" si="71"/>
        <v>0.4</v>
      </c>
      <c r="I4586">
        <v>20250101</v>
      </c>
      <c r="J4586" t="s">
        <v>4776</v>
      </c>
    </row>
    <row r="4587" spans="1:22" x14ac:dyDescent="0.3">
      <c r="A4587" s="160">
        <v>41073</v>
      </c>
      <c r="B4587" t="s">
        <v>19775</v>
      </c>
      <c r="C4587" t="s">
        <v>4774</v>
      </c>
      <c r="D4587">
        <v>0.4</v>
      </c>
      <c r="E4587">
        <v>0</v>
      </c>
      <c r="F4587">
        <f t="shared" si="71"/>
        <v>0.4</v>
      </c>
      <c r="I4587">
        <v>20250101</v>
      </c>
      <c r="J4587" t="s">
        <v>4831</v>
      </c>
    </row>
    <row r="4588" spans="1:22" x14ac:dyDescent="0.3">
      <c r="A4588" s="160">
        <v>41078</v>
      </c>
      <c r="B4588" t="s">
        <v>19776</v>
      </c>
      <c r="C4588" t="s">
        <v>4774</v>
      </c>
      <c r="D4588">
        <v>0.4</v>
      </c>
      <c r="E4588">
        <v>0</v>
      </c>
      <c r="F4588">
        <f t="shared" si="71"/>
        <v>0.4</v>
      </c>
      <c r="I4588">
        <v>20250101</v>
      </c>
      <c r="J4588" t="s">
        <v>4821</v>
      </c>
    </row>
    <row r="4589" spans="1:22" x14ac:dyDescent="0.3">
      <c r="A4589" s="160">
        <v>41079</v>
      </c>
      <c r="B4589" t="s">
        <v>19777</v>
      </c>
      <c r="C4589" t="s">
        <v>4774</v>
      </c>
      <c r="D4589">
        <v>0.4</v>
      </c>
      <c r="E4589">
        <v>0</v>
      </c>
      <c r="F4589">
        <f t="shared" si="71"/>
        <v>0.4</v>
      </c>
      <c r="I4589">
        <v>20250101</v>
      </c>
      <c r="J4589" t="s">
        <v>4778</v>
      </c>
    </row>
    <row r="4590" spans="1:22" x14ac:dyDescent="0.3">
      <c r="A4590" s="160">
        <v>41081</v>
      </c>
      <c r="B4590" t="s">
        <v>19778</v>
      </c>
      <c r="C4590" t="s">
        <v>4774</v>
      </c>
      <c r="D4590">
        <v>0.4</v>
      </c>
      <c r="E4590">
        <v>0</v>
      </c>
      <c r="F4590">
        <f t="shared" si="71"/>
        <v>0.4</v>
      </c>
      <c r="I4590">
        <v>20250101</v>
      </c>
      <c r="J4590" t="s">
        <v>4776</v>
      </c>
    </row>
    <row r="4591" spans="1:22" x14ac:dyDescent="0.3">
      <c r="A4591" s="160">
        <v>41087</v>
      </c>
      <c r="B4591" t="s">
        <v>19779</v>
      </c>
      <c r="C4591" t="s">
        <v>4774</v>
      </c>
      <c r="D4591">
        <v>0.4</v>
      </c>
      <c r="E4591">
        <v>0</v>
      </c>
      <c r="F4591">
        <f t="shared" si="71"/>
        <v>0.4</v>
      </c>
      <c r="I4591">
        <v>20250101</v>
      </c>
      <c r="J4591" t="s">
        <v>4778</v>
      </c>
    </row>
    <row r="4592" spans="1:22" x14ac:dyDescent="0.3">
      <c r="A4592" s="160">
        <v>41090</v>
      </c>
      <c r="B4592" t="s">
        <v>19780</v>
      </c>
      <c r="C4592" t="s">
        <v>4774</v>
      </c>
      <c r="D4592">
        <v>0.4</v>
      </c>
      <c r="E4592">
        <v>0</v>
      </c>
      <c r="F4592">
        <f t="shared" si="71"/>
        <v>0.4</v>
      </c>
      <c r="I4592">
        <v>20250101</v>
      </c>
      <c r="J4592" t="s">
        <v>4821</v>
      </c>
    </row>
    <row r="4593" spans="1:12" x14ac:dyDescent="0.3">
      <c r="A4593" s="160">
        <v>41091</v>
      </c>
      <c r="B4593" t="s">
        <v>19781</v>
      </c>
      <c r="C4593" t="s">
        <v>4779</v>
      </c>
      <c r="D4593">
        <v>1.1499999999999999</v>
      </c>
      <c r="E4593">
        <v>0</v>
      </c>
      <c r="F4593">
        <f t="shared" si="71"/>
        <v>1.1499999999999999</v>
      </c>
      <c r="I4593">
        <v>20230701</v>
      </c>
      <c r="J4593" t="s">
        <v>4796</v>
      </c>
      <c r="K4593" t="s">
        <v>4804</v>
      </c>
      <c r="L4593" t="s">
        <v>4780</v>
      </c>
    </row>
    <row r="4594" spans="1:12" x14ac:dyDescent="0.3">
      <c r="A4594" s="160">
        <v>41093</v>
      </c>
      <c r="B4594" t="s">
        <v>19782</v>
      </c>
      <c r="C4594" t="s">
        <v>4779</v>
      </c>
      <c r="D4594">
        <v>1.1499999999999999</v>
      </c>
      <c r="E4594">
        <v>0</v>
      </c>
      <c r="F4594">
        <f t="shared" si="71"/>
        <v>1.1499999999999999</v>
      </c>
      <c r="I4594">
        <v>20230701</v>
      </c>
      <c r="J4594" t="s">
        <v>4822</v>
      </c>
    </row>
    <row r="4595" spans="1:12" x14ac:dyDescent="0.3">
      <c r="A4595" s="160">
        <v>41098</v>
      </c>
      <c r="B4595" t="s">
        <v>19783</v>
      </c>
      <c r="C4595" t="s">
        <v>4774</v>
      </c>
      <c r="D4595">
        <v>0.4</v>
      </c>
      <c r="E4595">
        <v>0</v>
      </c>
      <c r="F4595">
        <f t="shared" si="71"/>
        <v>0.4</v>
      </c>
      <c r="I4595">
        <v>20250101</v>
      </c>
      <c r="J4595" t="s">
        <v>4775</v>
      </c>
    </row>
    <row r="4596" spans="1:12" x14ac:dyDescent="0.3">
      <c r="A4596" s="160">
        <v>41100</v>
      </c>
      <c r="B4596" t="s">
        <v>19784</v>
      </c>
      <c r="C4596" t="s">
        <v>4774</v>
      </c>
      <c r="D4596">
        <v>0.4</v>
      </c>
      <c r="E4596">
        <v>0</v>
      </c>
      <c r="F4596">
        <f t="shared" si="71"/>
        <v>0.4</v>
      </c>
      <c r="I4596">
        <v>20250101</v>
      </c>
      <c r="J4596" t="s">
        <v>4778</v>
      </c>
    </row>
    <row r="4597" spans="1:12" x14ac:dyDescent="0.3">
      <c r="A4597" s="160">
        <v>41101</v>
      </c>
      <c r="B4597" t="s">
        <v>19785</v>
      </c>
      <c r="C4597" t="s">
        <v>4779</v>
      </c>
      <c r="D4597">
        <v>1.1499999999999999</v>
      </c>
      <c r="E4597">
        <v>0</v>
      </c>
      <c r="F4597">
        <f t="shared" si="71"/>
        <v>1.1499999999999999</v>
      </c>
      <c r="I4597">
        <v>20230701</v>
      </c>
      <c r="J4597" t="s">
        <v>4822</v>
      </c>
    </row>
    <row r="4598" spans="1:12" x14ac:dyDescent="0.3">
      <c r="A4598" s="160">
        <v>41102</v>
      </c>
      <c r="B4598" t="s">
        <v>19786</v>
      </c>
      <c r="C4598" t="s">
        <v>4774</v>
      </c>
      <c r="D4598">
        <v>0.4</v>
      </c>
      <c r="E4598">
        <v>0</v>
      </c>
      <c r="F4598">
        <f t="shared" si="71"/>
        <v>0.4</v>
      </c>
      <c r="I4598">
        <v>20250101</v>
      </c>
      <c r="J4598" t="s">
        <v>4778</v>
      </c>
    </row>
    <row r="4599" spans="1:12" x14ac:dyDescent="0.3">
      <c r="A4599" s="160">
        <v>41103</v>
      </c>
      <c r="B4599" t="s">
        <v>19787</v>
      </c>
      <c r="C4599" t="s">
        <v>4774</v>
      </c>
      <c r="D4599">
        <v>0.4</v>
      </c>
      <c r="E4599">
        <v>0</v>
      </c>
      <c r="F4599">
        <f t="shared" si="71"/>
        <v>0.4</v>
      </c>
      <c r="I4599">
        <v>20250101</v>
      </c>
      <c r="J4599" t="s">
        <v>4775</v>
      </c>
    </row>
    <row r="4600" spans="1:12" x14ac:dyDescent="0.3">
      <c r="A4600" s="160">
        <v>41107</v>
      </c>
      <c r="B4600" t="s">
        <v>19788</v>
      </c>
      <c r="C4600" t="s">
        <v>4774</v>
      </c>
      <c r="D4600">
        <v>0.4</v>
      </c>
      <c r="E4600">
        <v>0</v>
      </c>
      <c r="F4600">
        <f t="shared" si="71"/>
        <v>0.4</v>
      </c>
      <c r="I4600">
        <v>20250101</v>
      </c>
      <c r="J4600" t="s">
        <v>4775</v>
      </c>
    </row>
    <row r="4601" spans="1:12" x14ac:dyDescent="0.3">
      <c r="A4601" s="160">
        <v>41108</v>
      </c>
      <c r="B4601" t="s">
        <v>19789</v>
      </c>
      <c r="C4601" t="s">
        <v>4779</v>
      </c>
      <c r="D4601">
        <v>1.1499999999999999</v>
      </c>
      <c r="E4601">
        <v>0</v>
      </c>
      <c r="F4601">
        <f t="shared" si="71"/>
        <v>1.1499999999999999</v>
      </c>
      <c r="I4601">
        <v>20230701</v>
      </c>
      <c r="J4601" t="s">
        <v>4822</v>
      </c>
    </row>
    <row r="4602" spans="1:12" x14ac:dyDescent="0.3">
      <c r="A4602" s="160">
        <v>41109</v>
      </c>
      <c r="B4602" t="s">
        <v>19790</v>
      </c>
      <c r="C4602" t="s">
        <v>4779</v>
      </c>
      <c r="D4602">
        <v>1.1499999999999999</v>
      </c>
      <c r="E4602">
        <v>0</v>
      </c>
      <c r="F4602">
        <f t="shared" si="71"/>
        <v>1.1499999999999999</v>
      </c>
      <c r="I4602">
        <v>20230701</v>
      </c>
      <c r="J4602" t="s">
        <v>4822</v>
      </c>
    </row>
    <row r="4603" spans="1:12" x14ac:dyDescent="0.3">
      <c r="A4603" s="160">
        <v>41113</v>
      </c>
      <c r="B4603" t="s">
        <v>19791</v>
      </c>
      <c r="C4603" t="s">
        <v>4774</v>
      </c>
      <c r="D4603">
        <v>0.4</v>
      </c>
      <c r="E4603">
        <v>0</v>
      </c>
      <c r="F4603">
        <f t="shared" si="71"/>
        <v>0.4</v>
      </c>
      <c r="I4603">
        <v>20250101</v>
      </c>
      <c r="J4603" t="s">
        <v>4778</v>
      </c>
    </row>
    <row r="4604" spans="1:12" x14ac:dyDescent="0.3">
      <c r="A4604" s="160">
        <v>41120</v>
      </c>
      <c r="B4604" t="s">
        <v>19792</v>
      </c>
      <c r="C4604" t="s">
        <v>4774</v>
      </c>
      <c r="D4604">
        <v>0.4</v>
      </c>
      <c r="E4604">
        <v>0</v>
      </c>
      <c r="F4604">
        <f t="shared" si="71"/>
        <v>0.4</v>
      </c>
      <c r="I4604">
        <v>20250101</v>
      </c>
      <c r="J4604" t="s">
        <v>4821</v>
      </c>
    </row>
    <row r="4605" spans="1:12" x14ac:dyDescent="0.3">
      <c r="A4605" s="160">
        <v>41124</v>
      </c>
      <c r="B4605" t="s">
        <v>19793</v>
      </c>
      <c r="C4605" t="s">
        <v>4774</v>
      </c>
      <c r="D4605">
        <v>0.4</v>
      </c>
      <c r="E4605">
        <v>0</v>
      </c>
      <c r="F4605">
        <f t="shared" si="71"/>
        <v>0.4</v>
      </c>
      <c r="I4605">
        <v>20250101</v>
      </c>
      <c r="J4605" t="s">
        <v>4776</v>
      </c>
    </row>
    <row r="4606" spans="1:12" x14ac:dyDescent="0.3">
      <c r="A4606" s="160">
        <v>41128</v>
      </c>
      <c r="B4606" t="s">
        <v>19794</v>
      </c>
      <c r="C4606" t="s">
        <v>4779</v>
      </c>
      <c r="D4606">
        <v>1.1499999999999999</v>
      </c>
      <c r="E4606">
        <v>0</v>
      </c>
      <c r="F4606">
        <f t="shared" si="71"/>
        <v>1.1499999999999999</v>
      </c>
      <c r="I4606">
        <v>20230701</v>
      </c>
      <c r="J4606" t="s">
        <v>4780</v>
      </c>
    </row>
    <row r="4607" spans="1:12" x14ac:dyDescent="0.3">
      <c r="A4607" s="160">
        <v>41131</v>
      </c>
      <c r="B4607" t="s">
        <v>19795</v>
      </c>
      <c r="C4607" t="s">
        <v>4774</v>
      </c>
      <c r="D4607">
        <v>0.4</v>
      </c>
      <c r="E4607">
        <v>0</v>
      </c>
      <c r="F4607">
        <f t="shared" si="71"/>
        <v>0.4</v>
      </c>
      <c r="I4607">
        <v>20250101</v>
      </c>
      <c r="J4607" t="s">
        <v>4776</v>
      </c>
      <c r="K4607" t="s">
        <v>4832</v>
      </c>
    </row>
    <row r="4608" spans="1:12" x14ac:dyDescent="0.3">
      <c r="A4608" s="160">
        <v>41134</v>
      </c>
      <c r="B4608" t="s">
        <v>19796</v>
      </c>
      <c r="C4608" t="s">
        <v>4779</v>
      </c>
      <c r="D4608">
        <v>1.1499999999999999</v>
      </c>
      <c r="E4608">
        <v>0</v>
      </c>
      <c r="F4608">
        <f t="shared" si="71"/>
        <v>1.1499999999999999</v>
      </c>
      <c r="I4608">
        <v>20230701</v>
      </c>
      <c r="J4608" t="s">
        <v>4833</v>
      </c>
    </row>
    <row r="4609" spans="1:12" x14ac:dyDescent="0.3">
      <c r="A4609" s="160">
        <v>41137</v>
      </c>
      <c r="B4609" t="s">
        <v>19797</v>
      </c>
      <c r="C4609" t="s">
        <v>4779</v>
      </c>
      <c r="D4609">
        <v>1.1499999999999999</v>
      </c>
      <c r="E4609">
        <v>0</v>
      </c>
      <c r="F4609">
        <f t="shared" si="71"/>
        <v>1.1499999999999999</v>
      </c>
      <c r="I4609">
        <v>20230701</v>
      </c>
      <c r="J4609" t="s">
        <v>4823</v>
      </c>
    </row>
    <row r="4610" spans="1:12" x14ac:dyDescent="0.3">
      <c r="A4610" s="160">
        <v>41138</v>
      </c>
      <c r="B4610" t="s">
        <v>19798</v>
      </c>
      <c r="C4610" t="s">
        <v>4774</v>
      </c>
      <c r="D4610">
        <v>0.6</v>
      </c>
      <c r="E4610">
        <v>0</v>
      </c>
      <c r="F4610">
        <f t="shared" si="71"/>
        <v>0.6</v>
      </c>
      <c r="I4610">
        <v>20180701</v>
      </c>
      <c r="J4610" t="s">
        <v>4776</v>
      </c>
    </row>
    <row r="4611" spans="1:12" x14ac:dyDescent="0.3">
      <c r="A4611" s="160">
        <v>41142</v>
      </c>
      <c r="B4611" t="s">
        <v>19799</v>
      </c>
      <c r="C4611" t="s">
        <v>4779</v>
      </c>
      <c r="D4611">
        <v>1.1499999999999999</v>
      </c>
      <c r="E4611">
        <v>0</v>
      </c>
      <c r="F4611">
        <f t="shared" si="71"/>
        <v>1.1499999999999999</v>
      </c>
      <c r="I4611">
        <v>20230701</v>
      </c>
      <c r="J4611" t="s">
        <v>4822</v>
      </c>
    </row>
    <row r="4612" spans="1:12" x14ac:dyDescent="0.3">
      <c r="A4612" s="160">
        <v>41144</v>
      </c>
      <c r="B4612" t="s">
        <v>19800</v>
      </c>
      <c r="C4612" t="s">
        <v>4779</v>
      </c>
      <c r="D4612">
        <v>1.1499999999999999</v>
      </c>
      <c r="E4612">
        <v>0</v>
      </c>
      <c r="F4612">
        <f t="shared" si="71"/>
        <v>1.1499999999999999</v>
      </c>
      <c r="I4612">
        <v>20230701</v>
      </c>
      <c r="J4612" t="s">
        <v>4823</v>
      </c>
    </row>
    <row r="4613" spans="1:12" x14ac:dyDescent="0.3">
      <c r="A4613" s="160">
        <v>41145</v>
      </c>
      <c r="B4613" t="s">
        <v>19801</v>
      </c>
      <c r="C4613" t="s">
        <v>4779</v>
      </c>
      <c r="D4613">
        <v>1.1499999999999999</v>
      </c>
      <c r="E4613">
        <v>0</v>
      </c>
      <c r="F4613">
        <f t="shared" si="71"/>
        <v>1.1499999999999999</v>
      </c>
      <c r="I4613">
        <v>20230701</v>
      </c>
      <c r="J4613" t="s">
        <v>4819</v>
      </c>
    </row>
    <row r="4614" spans="1:12" x14ac:dyDescent="0.3">
      <c r="A4614" s="160">
        <v>41147</v>
      </c>
      <c r="B4614" t="s">
        <v>19802</v>
      </c>
      <c r="C4614" t="s">
        <v>4779</v>
      </c>
      <c r="D4614">
        <v>1.1499999999999999</v>
      </c>
      <c r="E4614">
        <v>0</v>
      </c>
      <c r="F4614">
        <f t="shared" si="71"/>
        <v>1.1499999999999999</v>
      </c>
      <c r="I4614">
        <v>20230701</v>
      </c>
      <c r="J4614" t="s">
        <v>4819</v>
      </c>
      <c r="K4614" t="s">
        <v>4820</v>
      </c>
    </row>
    <row r="4615" spans="1:12" x14ac:dyDescent="0.3">
      <c r="A4615" s="160">
        <v>41149</v>
      </c>
      <c r="B4615" t="s">
        <v>19803</v>
      </c>
      <c r="C4615" t="s">
        <v>4774</v>
      </c>
      <c r="D4615">
        <v>0.4</v>
      </c>
      <c r="E4615">
        <v>0</v>
      </c>
      <c r="F4615">
        <f t="shared" ref="F4615:F4678" si="72">D4615+E4615</f>
        <v>0.4</v>
      </c>
      <c r="I4615">
        <v>20250101</v>
      </c>
      <c r="J4615" t="s">
        <v>4778</v>
      </c>
    </row>
    <row r="4616" spans="1:12" x14ac:dyDescent="0.3">
      <c r="A4616" s="160">
        <v>41153</v>
      </c>
      <c r="B4616" t="s">
        <v>19804</v>
      </c>
      <c r="C4616" t="s">
        <v>4774</v>
      </c>
      <c r="D4616">
        <v>0.4</v>
      </c>
      <c r="E4616">
        <v>0</v>
      </c>
      <c r="F4616">
        <f t="shared" si="72"/>
        <v>0.4</v>
      </c>
      <c r="I4616">
        <v>20250101</v>
      </c>
      <c r="J4616" t="s">
        <v>4778</v>
      </c>
    </row>
    <row r="4617" spans="1:12" x14ac:dyDescent="0.3">
      <c r="A4617" s="160">
        <v>41158</v>
      </c>
      <c r="B4617" t="s">
        <v>19805</v>
      </c>
      <c r="C4617" t="s">
        <v>4774</v>
      </c>
      <c r="D4617">
        <v>0.4</v>
      </c>
      <c r="E4617">
        <v>0</v>
      </c>
      <c r="F4617">
        <f t="shared" si="72"/>
        <v>0.4</v>
      </c>
      <c r="I4617">
        <v>20250101</v>
      </c>
      <c r="J4617" t="s">
        <v>4776</v>
      </c>
      <c r="K4617" t="s">
        <v>4832</v>
      </c>
      <c r="L4617" t="s">
        <v>4834</v>
      </c>
    </row>
    <row r="4618" spans="1:12" x14ac:dyDescent="0.3">
      <c r="A4618" s="160">
        <v>41163</v>
      </c>
      <c r="B4618" t="s">
        <v>19806</v>
      </c>
      <c r="C4618" t="s">
        <v>4774</v>
      </c>
      <c r="D4618">
        <v>0.4</v>
      </c>
      <c r="E4618">
        <v>0</v>
      </c>
      <c r="F4618">
        <f t="shared" si="72"/>
        <v>0.4</v>
      </c>
      <c r="I4618">
        <v>20250101</v>
      </c>
      <c r="J4618" t="s">
        <v>4775</v>
      </c>
    </row>
    <row r="4619" spans="1:12" x14ac:dyDescent="0.3">
      <c r="A4619" s="160">
        <v>41167</v>
      </c>
      <c r="B4619" t="s">
        <v>19807</v>
      </c>
      <c r="C4619" t="s">
        <v>4779</v>
      </c>
      <c r="D4619">
        <v>1.1499999999999999</v>
      </c>
      <c r="E4619">
        <v>0</v>
      </c>
      <c r="F4619">
        <f t="shared" si="72"/>
        <v>1.1499999999999999</v>
      </c>
      <c r="I4619">
        <v>20230701</v>
      </c>
      <c r="J4619" t="s">
        <v>4823</v>
      </c>
      <c r="K4619" t="s">
        <v>4824</v>
      </c>
    </row>
    <row r="4620" spans="1:12" x14ac:dyDescent="0.3">
      <c r="A4620" s="160">
        <v>41174</v>
      </c>
      <c r="B4620" t="s">
        <v>16784</v>
      </c>
      <c r="C4620" t="s">
        <v>4774</v>
      </c>
      <c r="D4620">
        <v>0.4</v>
      </c>
      <c r="E4620">
        <v>0</v>
      </c>
      <c r="F4620">
        <f t="shared" si="72"/>
        <v>0.4</v>
      </c>
      <c r="I4620">
        <v>20250101</v>
      </c>
      <c r="J4620" t="s">
        <v>4776</v>
      </c>
    </row>
    <row r="4621" spans="1:12" x14ac:dyDescent="0.3">
      <c r="A4621" s="160">
        <v>41182</v>
      </c>
      <c r="B4621" t="s">
        <v>19808</v>
      </c>
      <c r="C4621" t="s">
        <v>4774</v>
      </c>
      <c r="D4621">
        <v>0.4</v>
      </c>
      <c r="E4621">
        <v>0</v>
      </c>
      <c r="F4621">
        <f t="shared" si="72"/>
        <v>0.4</v>
      </c>
      <c r="I4621">
        <v>20250101</v>
      </c>
      <c r="J4621" t="s">
        <v>4822</v>
      </c>
    </row>
    <row r="4622" spans="1:12" x14ac:dyDescent="0.3">
      <c r="A4622" s="160">
        <v>41184</v>
      </c>
      <c r="B4622" t="s">
        <v>19809</v>
      </c>
      <c r="C4622" t="s">
        <v>4774</v>
      </c>
      <c r="D4622">
        <v>0.4</v>
      </c>
      <c r="E4622">
        <v>0</v>
      </c>
      <c r="F4622">
        <f t="shared" si="72"/>
        <v>0.4</v>
      </c>
      <c r="I4622">
        <v>20250101</v>
      </c>
      <c r="J4622" t="s">
        <v>4775</v>
      </c>
    </row>
    <row r="4623" spans="1:12" x14ac:dyDescent="0.3">
      <c r="A4623" s="160">
        <v>41186</v>
      </c>
      <c r="B4623" t="s">
        <v>19810</v>
      </c>
      <c r="C4623" t="s">
        <v>4774</v>
      </c>
      <c r="D4623">
        <v>0.4</v>
      </c>
      <c r="E4623">
        <v>0</v>
      </c>
      <c r="F4623">
        <f t="shared" si="72"/>
        <v>0.4</v>
      </c>
      <c r="I4623">
        <v>20250101</v>
      </c>
      <c r="J4623" t="s">
        <v>4831</v>
      </c>
    </row>
    <row r="4624" spans="1:12" x14ac:dyDescent="0.3">
      <c r="A4624" s="160">
        <v>41189</v>
      </c>
      <c r="B4624" t="s">
        <v>19811</v>
      </c>
      <c r="C4624" t="s">
        <v>4779</v>
      </c>
      <c r="D4624">
        <v>1.1499999999999999</v>
      </c>
      <c r="E4624">
        <v>0</v>
      </c>
      <c r="F4624">
        <f t="shared" si="72"/>
        <v>1.1499999999999999</v>
      </c>
      <c r="I4624">
        <v>20230701</v>
      </c>
      <c r="J4624" t="s">
        <v>4823</v>
      </c>
    </row>
    <row r="4625" spans="1:16" x14ac:dyDescent="0.3">
      <c r="A4625" s="160">
        <v>41190</v>
      </c>
      <c r="B4625" t="s">
        <v>19812</v>
      </c>
      <c r="C4625" t="s">
        <v>4774</v>
      </c>
      <c r="D4625">
        <v>0.4</v>
      </c>
      <c r="E4625">
        <v>0</v>
      </c>
      <c r="F4625">
        <f t="shared" si="72"/>
        <v>0.4</v>
      </c>
      <c r="I4625">
        <v>20250101</v>
      </c>
      <c r="J4625" t="s">
        <v>4776</v>
      </c>
    </row>
    <row r="4626" spans="1:16" x14ac:dyDescent="0.3">
      <c r="A4626" s="160">
        <v>41192</v>
      </c>
      <c r="B4626" t="s">
        <v>19813</v>
      </c>
      <c r="C4626" t="s">
        <v>4774</v>
      </c>
      <c r="D4626">
        <v>0.4</v>
      </c>
      <c r="E4626">
        <v>0</v>
      </c>
      <c r="F4626">
        <f t="shared" si="72"/>
        <v>0.4</v>
      </c>
      <c r="I4626">
        <v>20250101</v>
      </c>
      <c r="J4626" t="s">
        <v>4778</v>
      </c>
    </row>
    <row r="4627" spans="1:16" x14ac:dyDescent="0.3">
      <c r="A4627" s="160">
        <v>41199</v>
      </c>
      <c r="B4627" t="s">
        <v>19814</v>
      </c>
      <c r="C4627" t="s">
        <v>4774</v>
      </c>
      <c r="D4627">
        <v>0.4</v>
      </c>
      <c r="E4627">
        <v>0</v>
      </c>
      <c r="F4627">
        <f t="shared" si="72"/>
        <v>0.4</v>
      </c>
      <c r="I4627">
        <v>20250101</v>
      </c>
      <c r="J4627" t="s">
        <v>4775</v>
      </c>
    </row>
    <row r="4628" spans="1:16" x14ac:dyDescent="0.3">
      <c r="A4628" s="160">
        <v>41200</v>
      </c>
      <c r="B4628" t="s">
        <v>19815</v>
      </c>
      <c r="C4628" t="s">
        <v>4774</v>
      </c>
      <c r="D4628">
        <v>0.4</v>
      </c>
      <c r="E4628">
        <v>0</v>
      </c>
      <c r="F4628">
        <f t="shared" si="72"/>
        <v>0.4</v>
      </c>
      <c r="I4628">
        <v>20250101</v>
      </c>
      <c r="J4628" t="s">
        <v>4776</v>
      </c>
      <c r="K4628" t="s">
        <v>4832</v>
      </c>
    </row>
    <row r="4629" spans="1:16" x14ac:dyDescent="0.3">
      <c r="A4629" s="160">
        <v>41201</v>
      </c>
      <c r="B4629" t="s">
        <v>19816</v>
      </c>
      <c r="C4629" t="s">
        <v>4774</v>
      </c>
      <c r="D4629">
        <v>0.4</v>
      </c>
      <c r="E4629">
        <v>0</v>
      </c>
      <c r="F4629">
        <f t="shared" si="72"/>
        <v>0.4</v>
      </c>
      <c r="I4629">
        <v>20250101</v>
      </c>
      <c r="J4629" t="s">
        <v>4778</v>
      </c>
    </row>
    <row r="4630" spans="1:16" x14ac:dyDescent="0.3">
      <c r="A4630" s="160">
        <v>41203</v>
      </c>
      <c r="B4630" t="s">
        <v>19817</v>
      </c>
      <c r="C4630" t="s">
        <v>4779</v>
      </c>
      <c r="D4630">
        <v>1.1499999999999999</v>
      </c>
      <c r="E4630">
        <v>0</v>
      </c>
      <c r="F4630">
        <f t="shared" si="72"/>
        <v>1.1499999999999999</v>
      </c>
      <c r="I4630">
        <v>20230701</v>
      </c>
      <c r="J4630" t="s">
        <v>4780</v>
      </c>
    </row>
    <row r="4631" spans="1:16" x14ac:dyDescent="0.3">
      <c r="A4631" s="160">
        <v>41205</v>
      </c>
      <c r="B4631" t="s">
        <v>19818</v>
      </c>
      <c r="C4631" t="s">
        <v>4779</v>
      </c>
      <c r="D4631">
        <v>1.1499999999999999</v>
      </c>
      <c r="E4631">
        <v>0</v>
      </c>
      <c r="F4631">
        <f t="shared" si="72"/>
        <v>1.1499999999999999</v>
      </c>
      <c r="I4631">
        <v>20230701</v>
      </c>
      <c r="J4631" t="s">
        <v>4822</v>
      </c>
    </row>
    <row r="4632" spans="1:16" x14ac:dyDescent="0.3">
      <c r="A4632" s="160">
        <v>41206</v>
      </c>
      <c r="B4632" t="s">
        <v>19819</v>
      </c>
      <c r="C4632" t="s">
        <v>4779</v>
      </c>
      <c r="D4632">
        <v>1.1499999999999999</v>
      </c>
      <c r="E4632">
        <v>0</v>
      </c>
      <c r="F4632">
        <f t="shared" si="72"/>
        <v>1.1499999999999999</v>
      </c>
      <c r="I4632">
        <v>20230701</v>
      </c>
      <c r="J4632" t="s">
        <v>4781</v>
      </c>
    </row>
    <row r="4633" spans="1:16" x14ac:dyDescent="0.3">
      <c r="A4633" s="160">
        <v>41208</v>
      </c>
      <c r="B4633" t="s">
        <v>19820</v>
      </c>
      <c r="C4633" t="s">
        <v>4779</v>
      </c>
      <c r="D4633">
        <v>1.1499999999999999</v>
      </c>
      <c r="E4633">
        <v>0</v>
      </c>
      <c r="F4633">
        <f t="shared" si="72"/>
        <v>1.1499999999999999</v>
      </c>
      <c r="I4633">
        <v>20230701</v>
      </c>
      <c r="J4633" t="s">
        <v>4822</v>
      </c>
    </row>
    <row r="4634" spans="1:16" x14ac:dyDescent="0.3">
      <c r="A4634" s="160">
        <v>41209</v>
      </c>
      <c r="B4634" t="s">
        <v>19821</v>
      </c>
      <c r="C4634" t="s">
        <v>4774</v>
      </c>
      <c r="D4634">
        <v>0.4</v>
      </c>
      <c r="E4634">
        <v>0</v>
      </c>
      <c r="F4634">
        <f t="shared" si="72"/>
        <v>0.4</v>
      </c>
      <c r="I4634">
        <v>20250101</v>
      </c>
      <c r="J4634" t="s">
        <v>4776</v>
      </c>
      <c r="K4634" t="s">
        <v>4832</v>
      </c>
      <c r="L4634" t="s">
        <v>4834</v>
      </c>
      <c r="M4634" t="s">
        <v>4835</v>
      </c>
    </row>
    <row r="4635" spans="1:16" x14ac:dyDescent="0.3">
      <c r="A4635" s="160">
        <v>41212</v>
      </c>
      <c r="B4635" t="s">
        <v>19822</v>
      </c>
      <c r="C4635" t="s">
        <v>4779</v>
      </c>
      <c r="D4635">
        <v>1.1499999999999999</v>
      </c>
      <c r="E4635">
        <v>0</v>
      </c>
      <c r="F4635">
        <f t="shared" si="72"/>
        <v>1.1499999999999999</v>
      </c>
      <c r="I4635">
        <v>20230701</v>
      </c>
      <c r="J4635" t="s">
        <v>4786</v>
      </c>
      <c r="K4635" t="s">
        <v>4793</v>
      </c>
      <c r="L4635" t="s">
        <v>4802</v>
      </c>
      <c r="M4635" t="s">
        <v>4836</v>
      </c>
      <c r="N4635" t="s">
        <v>4837</v>
      </c>
      <c r="O4635" t="s">
        <v>4838</v>
      </c>
      <c r="P4635" t="s">
        <v>4839</v>
      </c>
    </row>
    <row r="4636" spans="1:16" x14ac:dyDescent="0.3">
      <c r="A4636" s="160">
        <v>41213</v>
      </c>
      <c r="B4636" t="s">
        <v>19823</v>
      </c>
      <c r="C4636" t="s">
        <v>4774</v>
      </c>
      <c r="D4636">
        <v>0.4</v>
      </c>
      <c r="E4636">
        <v>0</v>
      </c>
      <c r="F4636">
        <f t="shared" si="72"/>
        <v>0.4</v>
      </c>
      <c r="I4636">
        <v>20250101</v>
      </c>
      <c r="J4636" t="s">
        <v>4775</v>
      </c>
    </row>
    <row r="4637" spans="1:16" x14ac:dyDescent="0.3">
      <c r="A4637" s="160">
        <v>41215</v>
      </c>
      <c r="B4637" t="s">
        <v>19824</v>
      </c>
      <c r="C4637" t="s">
        <v>4774</v>
      </c>
      <c r="D4637">
        <v>0.4</v>
      </c>
      <c r="E4637">
        <v>0</v>
      </c>
      <c r="F4637">
        <f t="shared" si="72"/>
        <v>0.4</v>
      </c>
      <c r="I4637">
        <v>20250101</v>
      </c>
      <c r="J4637" t="s">
        <v>4778</v>
      </c>
    </row>
    <row r="4638" spans="1:16" x14ac:dyDescent="0.3">
      <c r="A4638" s="160">
        <v>41223</v>
      </c>
      <c r="B4638" t="s">
        <v>19825</v>
      </c>
      <c r="C4638" t="s">
        <v>4779</v>
      </c>
      <c r="D4638">
        <v>1.1499999999999999</v>
      </c>
      <c r="E4638">
        <v>0</v>
      </c>
      <c r="F4638">
        <f t="shared" si="72"/>
        <v>1.1499999999999999</v>
      </c>
      <c r="I4638">
        <v>20230701</v>
      </c>
      <c r="J4638" t="s">
        <v>4822</v>
      </c>
    </row>
    <row r="4639" spans="1:16" x14ac:dyDescent="0.3">
      <c r="A4639" s="160">
        <v>41225</v>
      </c>
      <c r="B4639" t="s">
        <v>19826</v>
      </c>
      <c r="C4639" t="s">
        <v>4774</v>
      </c>
      <c r="D4639">
        <v>0.4</v>
      </c>
      <c r="E4639">
        <v>0</v>
      </c>
      <c r="F4639">
        <f t="shared" si="72"/>
        <v>0.4</v>
      </c>
      <c r="I4639">
        <v>20250101</v>
      </c>
      <c r="J4639" t="s">
        <v>4778</v>
      </c>
    </row>
    <row r="4640" spans="1:16" x14ac:dyDescent="0.3">
      <c r="A4640" s="160">
        <v>41226</v>
      </c>
      <c r="B4640" t="s">
        <v>19827</v>
      </c>
      <c r="C4640" t="s">
        <v>4774</v>
      </c>
      <c r="D4640">
        <v>0.6</v>
      </c>
      <c r="E4640">
        <v>0</v>
      </c>
      <c r="F4640">
        <f t="shared" si="72"/>
        <v>0.6</v>
      </c>
      <c r="I4640">
        <v>20180701</v>
      </c>
      <c r="J4640" t="s">
        <v>4776</v>
      </c>
      <c r="K4640" t="s">
        <v>4832</v>
      </c>
      <c r="L4640" t="s">
        <v>4834</v>
      </c>
      <c r="M4640" t="s">
        <v>4835</v>
      </c>
    </row>
    <row r="4641" spans="1:13" x14ac:dyDescent="0.3">
      <c r="A4641" s="160">
        <v>41228</v>
      </c>
      <c r="B4641" t="s">
        <v>19828</v>
      </c>
      <c r="C4641" t="s">
        <v>4774</v>
      </c>
      <c r="D4641">
        <v>0.4</v>
      </c>
      <c r="E4641">
        <v>0</v>
      </c>
      <c r="F4641">
        <f t="shared" si="72"/>
        <v>0.4</v>
      </c>
      <c r="I4641">
        <v>20250101</v>
      </c>
      <c r="J4641" t="s">
        <v>4778</v>
      </c>
    </row>
    <row r="4642" spans="1:13" x14ac:dyDescent="0.3">
      <c r="A4642" s="160">
        <v>41230</v>
      </c>
      <c r="B4642" t="s">
        <v>19829</v>
      </c>
      <c r="C4642" t="s">
        <v>4779</v>
      </c>
      <c r="D4642">
        <v>1.1499999999999999</v>
      </c>
      <c r="E4642">
        <v>0</v>
      </c>
      <c r="F4642">
        <f t="shared" si="72"/>
        <v>1.1499999999999999</v>
      </c>
      <c r="I4642">
        <v>20230701</v>
      </c>
      <c r="J4642" t="s">
        <v>4781</v>
      </c>
      <c r="K4642" t="s">
        <v>4787</v>
      </c>
      <c r="L4642" t="s">
        <v>4796</v>
      </c>
      <c r="M4642" t="s">
        <v>4803</v>
      </c>
    </row>
    <row r="4643" spans="1:13" x14ac:dyDescent="0.3">
      <c r="A4643" s="160">
        <v>41233</v>
      </c>
      <c r="B4643" t="s">
        <v>19830</v>
      </c>
      <c r="C4643" t="s">
        <v>4779</v>
      </c>
      <c r="D4643">
        <v>1.1499999999999999</v>
      </c>
      <c r="E4643">
        <v>0</v>
      </c>
      <c r="F4643">
        <f t="shared" si="72"/>
        <v>1.1499999999999999</v>
      </c>
      <c r="I4643">
        <v>20230701</v>
      </c>
      <c r="J4643" t="s">
        <v>4819</v>
      </c>
    </row>
    <row r="4644" spans="1:13" x14ac:dyDescent="0.3">
      <c r="A4644" s="160">
        <v>41234</v>
      </c>
      <c r="B4644" t="s">
        <v>17002</v>
      </c>
      <c r="C4644" t="s">
        <v>4779</v>
      </c>
      <c r="D4644">
        <v>1.1499999999999999</v>
      </c>
      <c r="E4644">
        <v>0</v>
      </c>
      <c r="F4644">
        <f t="shared" si="72"/>
        <v>1.1499999999999999</v>
      </c>
      <c r="I4644">
        <v>20230701</v>
      </c>
      <c r="J4644" t="s">
        <v>4822</v>
      </c>
    </row>
    <row r="4645" spans="1:13" x14ac:dyDescent="0.3">
      <c r="A4645" s="160">
        <v>41236</v>
      </c>
      <c r="B4645" t="s">
        <v>19831</v>
      </c>
      <c r="C4645" t="s">
        <v>4774</v>
      </c>
      <c r="D4645">
        <v>0.4</v>
      </c>
      <c r="E4645">
        <v>0</v>
      </c>
      <c r="F4645">
        <f t="shared" si="72"/>
        <v>0.4</v>
      </c>
      <c r="I4645">
        <v>20250101</v>
      </c>
      <c r="J4645" t="s">
        <v>4775</v>
      </c>
    </row>
    <row r="4646" spans="1:13" x14ac:dyDescent="0.3">
      <c r="A4646" s="160">
        <v>41238</v>
      </c>
      <c r="B4646" t="s">
        <v>19832</v>
      </c>
      <c r="C4646" t="s">
        <v>4774</v>
      </c>
      <c r="D4646">
        <v>0.4</v>
      </c>
      <c r="E4646">
        <v>0</v>
      </c>
      <c r="F4646">
        <f t="shared" si="72"/>
        <v>0.4</v>
      </c>
      <c r="I4646">
        <v>20250101</v>
      </c>
      <c r="J4646" t="s">
        <v>4821</v>
      </c>
    </row>
    <row r="4647" spans="1:13" x14ac:dyDescent="0.3">
      <c r="A4647" s="160">
        <v>41240</v>
      </c>
      <c r="B4647" t="s">
        <v>19833</v>
      </c>
      <c r="C4647" t="s">
        <v>4779</v>
      </c>
      <c r="D4647">
        <v>1.1499999999999999</v>
      </c>
      <c r="E4647">
        <v>0</v>
      </c>
      <c r="F4647">
        <f t="shared" si="72"/>
        <v>1.1499999999999999</v>
      </c>
      <c r="I4647">
        <v>20230701</v>
      </c>
      <c r="J4647" t="s">
        <v>4820</v>
      </c>
      <c r="K4647" t="s">
        <v>4823</v>
      </c>
    </row>
    <row r="4648" spans="1:13" x14ac:dyDescent="0.3">
      <c r="A4648" s="160">
        <v>41243</v>
      </c>
      <c r="B4648" t="s">
        <v>19834</v>
      </c>
      <c r="C4648" t="s">
        <v>4774</v>
      </c>
      <c r="D4648">
        <v>0.4</v>
      </c>
      <c r="E4648">
        <v>0</v>
      </c>
      <c r="F4648">
        <f t="shared" si="72"/>
        <v>0.4</v>
      </c>
      <c r="I4648">
        <v>20250101</v>
      </c>
      <c r="J4648" t="s">
        <v>4776</v>
      </c>
    </row>
    <row r="4649" spans="1:13" x14ac:dyDescent="0.3">
      <c r="A4649" s="160">
        <v>41246</v>
      </c>
      <c r="B4649" t="s">
        <v>19835</v>
      </c>
      <c r="C4649" t="s">
        <v>4779</v>
      </c>
      <c r="D4649">
        <v>1.1499999999999999</v>
      </c>
      <c r="E4649">
        <v>0</v>
      </c>
      <c r="F4649">
        <f t="shared" si="72"/>
        <v>1.1499999999999999</v>
      </c>
      <c r="I4649">
        <v>20230701</v>
      </c>
      <c r="J4649" t="s">
        <v>4819</v>
      </c>
    </row>
    <row r="4650" spans="1:13" x14ac:dyDescent="0.3">
      <c r="A4650" s="160">
        <v>41250</v>
      </c>
      <c r="B4650" t="s">
        <v>19836</v>
      </c>
      <c r="C4650" t="s">
        <v>4774</v>
      </c>
      <c r="D4650">
        <v>0.4</v>
      </c>
      <c r="E4650">
        <v>0</v>
      </c>
      <c r="F4650">
        <f t="shared" si="72"/>
        <v>0.4</v>
      </c>
      <c r="I4650">
        <v>20250101</v>
      </c>
      <c r="J4650" t="s">
        <v>4778</v>
      </c>
    </row>
    <row r="4651" spans="1:13" x14ac:dyDescent="0.3">
      <c r="A4651" s="160">
        <v>41255</v>
      </c>
      <c r="B4651" t="s">
        <v>19837</v>
      </c>
      <c r="C4651" t="s">
        <v>4774</v>
      </c>
      <c r="D4651">
        <v>0.4</v>
      </c>
      <c r="E4651">
        <v>0</v>
      </c>
      <c r="F4651">
        <f t="shared" si="72"/>
        <v>0.4</v>
      </c>
      <c r="I4651">
        <v>20250101</v>
      </c>
      <c r="J4651" t="s">
        <v>4778</v>
      </c>
    </row>
    <row r="4652" spans="1:13" x14ac:dyDescent="0.3">
      <c r="A4652" s="160">
        <v>41259</v>
      </c>
      <c r="B4652" t="s">
        <v>19838</v>
      </c>
      <c r="C4652" t="s">
        <v>4774</v>
      </c>
      <c r="D4652">
        <v>0.4</v>
      </c>
      <c r="E4652">
        <v>0</v>
      </c>
      <c r="F4652">
        <f t="shared" si="72"/>
        <v>0.4</v>
      </c>
      <c r="I4652">
        <v>20250101</v>
      </c>
      <c r="J4652" t="s">
        <v>4776</v>
      </c>
    </row>
    <row r="4653" spans="1:13" x14ac:dyDescent="0.3">
      <c r="A4653" s="160">
        <v>41261</v>
      </c>
      <c r="B4653" t="s">
        <v>19839</v>
      </c>
      <c r="C4653" t="s">
        <v>4774</v>
      </c>
      <c r="D4653">
        <v>0.4</v>
      </c>
      <c r="E4653">
        <v>0</v>
      </c>
      <c r="F4653">
        <f t="shared" si="72"/>
        <v>0.4</v>
      </c>
      <c r="I4653">
        <v>20250101</v>
      </c>
      <c r="J4653" t="s">
        <v>4822</v>
      </c>
    </row>
    <row r="4654" spans="1:13" x14ac:dyDescent="0.3">
      <c r="A4654" s="160">
        <v>41263</v>
      </c>
      <c r="B4654" t="s">
        <v>19840</v>
      </c>
      <c r="C4654" t="s">
        <v>4774</v>
      </c>
      <c r="D4654">
        <v>0.4</v>
      </c>
      <c r="E4654">
        <v>0</v>
      </c>
      <c r="F4654">
        <f t="shared" si="72"/>
        <v>0.4</v>
      </c>
      <c r="I4654">
        <v>20250101</v>
      </c>
      <c r="J4654" t="s">
        <v>4778</v>
      </c>
    </row>
    <row r="4655" spans="1:13" x14ac:dyDescent="0.3">
      <c r="A4655" s="160">
        <v>41265</v>
      </c>
      <c r="B4655" t="s">
        <v>19841</v>
      </c>
      <c r="C4655" t="s">
        <v>4774</v>
      </c>
      <c r="D4655">
        <v>0.4</v>
      </c>
      <c r="E4655">
        <v>0</v>
      </c>
      <c r="F4655">
        <f t="shared" si="72"/>
        <v>0.4</v>
      </c>
      <c r="I4655">
        <v>20250101</v>
      </c>
      <c r="J4655" t="s">
        <v>4778</v>
      </c>
    </row>
    <row r="4656" spans="1:13" x14ac:dyDescent="0.3">
      <c r="A4656" s="160">
        <v>41266</v>
      </c>
      <c r="B4656" t="s">
        <v>19842</v>
      </c>
      <c r="C4656" t="s">
        <v>4779</v>
      </c>
      <c r="D4656">
        <v>1.1499999999999999</v>
      </c>
      <c r="E4656">
        <v>0</v>
      </c>
      <c r="F4656">
        <f t="shared" si="72"/>
        <v>1.1499999999999999</v>
      </c>
      <c r="I4656">
        <v>20230701</v>
      </c>
      <c r="J4656" t="s">
        <v>4819</v>
      </c>
    </row>
    <row r="4657" spans="1:18" x14ac:dyDescent="0.3">
      <c r="A4657" s="160">
        <v>41269</v>
      </c>
      <c r="B4657" t="s">
        <v>19843</v>
      </c>
      <c r="C4657" t="s">
        <v>4774</v>
      </c>
      <c r="D4657">
        <v>0.6</v>
      </c>
      <c r="E4657">
        <v>0</v>
      </c>
      <c r="F4657">
        <f t="shared" si="72"/>
        <v>0.6</v>
      </c>
      <c r="I4657">
        <v>20180701</v>
      </c>
      <c r="J4657" t="s">
        <v>4776</v>
      </c>
      <c r="K4657" t="s">
        <v>4832</v>
      </c>
      <c r="L4657" t="s">
        <v>4834</v>
      </c>
      <c r="M4657" t="s">
        <v>4840</v>
      </c>
      <c r="N4657" t="s">
        <v>4835</v>
      </c>
      <c r="O4657" t="s">
        <v>4777</v>
      </c>
    </row>
    <row r="4658" spans="1:18" x14ac:dyDescent="0.3">
      <c r="A4658" s="160">
        <v>41272</v>
      </c>
      <c r="B4658" t="s">
        <v>19844</v>
      </c>
      <c r="C4658" t="s">
        <v>4779</v>
      </c>
      <c r="D4658">
        <v>1.1499999999999999</v>
      </c>
      <c r="E4658">
        <v>0</v>
      </c>
      <c r="F4658">
        <f t="shared" si="72"/>
        <v>1.1499999999999999</v>
      </c>
      <c r="I4658">
        <v>20230701</v>
      </c>
      <c r="J4658" t="s">
        <v>4823</v>
      </c>
    </row>
    <row r="4659" spans="1:18" x14ac:dyDescent="0.3">
      <c r="A4659" s="160">
        <v>41274</v>
      </c>
      <c r="B4659" t="s">
        <v>19845</v>
      </c>
      <c r="C4659" t="s">
        <v>4774</v>
      </c>
      <c r="D4659">
        <v>0.4</v>
      </c>
      <c r="E4659">
        <v>0</v>
      </c>
      <c r="F4659">
        <f t="shared" si="72"/>
        <v>0.4</v>
      </c>
      <c r="I4659">
        <v>20250101</v>
      </c>
      <c r="J4659" t="s">
        <v>4778</v>
      </c>
    </row>
    <row r="4660" spans="1:18" x14ac:dyDescent="0.3">
      <c r="A4660" s="160">
        <v>41275</v>
      </c>
      <c r="B4660" t="s">
        <v>19846</v>
      </c>
      <c r="C4660" t="s">
        <v>4774</v>
      </c>
      <c r="D4660">
        <v>0.4</v>
      </c>
      <c r="E4660">
        <v>0</v>
      </c>
      <c r="F4660">
        <f t="shared" si="72"/>
        <v>0.4</v>
      </c>
      <c r="I4660">
        <v>20250101</v>
      </c>
      <c r="J4660" t="s">
        <v>4831</v>
      </c>
    </row>
    <row r="4661" spans="1:18" x14ac:dyDescent="0.3">
      <c r="A4661" s="160">
        <v>41276</v>
      </c>
      <c r="B4661" t="s">
        <v>19847</v>
      </c>
      <c r="C4661" t="s">
        <v>4779</v>
      </c>
      <c r="D4661">
        <v>1.1499999999999999</v>
      </c>
      <c r="E4661">
        <v>0</v>
      </c>
      <c r="F4661">
        <f t="shared" si="72"/>
        <v>1.1499999999999999</v>
      </c>
      <c r="I4661">
        <v>20230701</v>
      </c>
      <c r="J4661" t="s">
        <v>4781</v>
      </c>
      <c r="K4661" t="s">
        <v>4785</v>
      </c>
      <c r="L4661" t="s">
        <v>4793</v>
      </c>
      <c r="M4661" t="s">
        <v>4796</v>
      </c>
      <c r="N4661" t="s">
        <v>4803</v>
      </c>
      <c r="O4661" t="s">
        <v>4804</v>
      </c>
      <c r="P4661" t="s">
        <v>4805</v>
      </c>
      <c r="Q4661" t="s">
        <v>4808</v>
      </c>
      <c r="R4661" t="s">
        <v>4809</v>
      </c>
    </row>
    <row r="4662" spans="1:18" x14ac:dyDescent="0.3">
      <c r="A4662" s="160">
        <v>41278</v>
      </c>
      <c r="B4662" t="s">
        <v>19848</v>
      </c>
      <c r="C4662" t="s">
        <v>4774</v>
      </c>
      <c r="D4662">
        <v>0.4</v>
      </c>
      <c r="E4662">
        <v>0</v>
      </c>
      <c r="F4662">
        <f t="shared" si="72"/>
        <v>0.4</v>
      </c>
      <c r="I4662">
        <v>20250101</v>
      </c>
      <c r="J4662" t="s">
        <v>4775</v>
      </c>
    </row>
    <row r="4663" spans="1:18" x14ac:dyDescent="0.3">
      <c r="A4663" s="160">
        <v>41279</v>
      </c>
      <c r="B4663" t="s">
        <v>19849</v>
      </c>
      <c r="C4663" t="s">
        <v>4774</v>
      </c>
      <c r="D4663">
        <v>0.4</v>
      </c>
      <c r="E4663">
        <v>0</v>
      </c>
      <c r="F4663">
        <f t="shared" si="72"/>
        <v>0.4</v>
      </c>
      <c r="I4663">
        <v>20250101</v>
      </c>
      <c r="J4663" t="s">
        <v>4778</v>
      </c>
    </row>
    <row r="4664" spans="1:18" x14ac:dyDescent="0.3">
      <c r="A4664" s="160">
        <v>41281</v>
      </c>
      <c r="B4664" t="s">
        <v>19850</v>
      </c>
      <c r="C4664" t="s">
        <v>4779</v>
      </c>
      <c r="D4664">
        <v>1.1499999999999999</v>
      </c>
      <c r="E4664">
        <v>0</v>
      </c>
      <c r="F4664">
        <f t="shared" si="72"/>
        <v>1.1499999999999999</v>
      </c>
      <c r="I4664">
        <v>20230701</v>
      </c>
      <c r="J4664" t="s">
        <v>4780</v>
      </c>
    </row>
    <row r="4665" spans="1:18" x14ac:dyDescent="0.3">
      <c r="A4665" s="160">
        <v>41283</v>
      </c>
      <c r="B4665" t="s">
        <v>19851</v>
      </c>
      <c r="C4665" t="s">
        <v>4774</v>
      </c>
      <c r="D4665">
        <v>0.4</v>
      </c>
      <c r="E4665">
        <v>0</v>
      </c>
      <c r="F4665">
        <f t="shared" si="72"/>
        <v>0.4</v>
      </c>
      <c r="I4665">
        <v>20250101</v>
      </c>
      <c r="J4665" t="s">
        <v>4776</v>
      </c>
    </row>
    <row r="4666" spans="1:18" x14ac:dyDescent="0.3">
      <c r="A4666" s="160">
        <v>41286</v>
      </c>
      <c r="B4666" t="s">
        <v>19852</v>
      </c>
      <c r="C4666" t="s">
        <v>4774</v>
      </c>
      <c r="D4666">
        <v>0.4</v>
      </c>
      <c r="E4666">
        <v>0</v>
      </c>
      <c r="F4666">
        <f t="shared" si="72"/>
        <v>0.4</v>
      </c>
      <c r="I4666">
        <v>20250101</v>
      </c>
      <c r="J4666" t="s">
        <v>4775</v>
      </c>
    </row>
    <row r="4667" spans="1:18" x14ac:dyDescent="0.3">
      <c r="A4667" s="160">
        <v>41287</v>
      </c>
      <c r="B4667" t="s">
        <v>19853</v>
      </c>
      <c r="C4667" t="s">
        <v>4774</v>
      </c>
      <c r="D4667">
        <v>0.4</v>
      </c>
      <c r="E4667">
        <v>0</v>
      </c>
      <c r="F4667">
        <f t="shared" si="72"/>
        <v>0.4</v>
      </c>
      <c r="I4667">
        <v>20250101</v>
      </c>
      <c r="J4667" t="s">
        <v>4776</v>
      </c>
      <c r="K4667" t="s">
        <v>4832</v>
      </c>
    </row>
    <row r="4668" spans="1:18" x14ac:dyDescent="0.3">
      <c r="A4668" s="160">
        <v>41288</v>
      </c>
      <c r="B4668" t="s">
        <v>19854</v>
      </c>
      <c r="C4668" t="s">
        <v>4779</v>
      </c>
      <c r="D4668">
        <v>1.1499999999999999</v>
      </c>
      <c r="E4668">
        <v>0</v>
      </c>
      <c r="F4668">
        <f t="shared" si="72"/>
        <v>1.1499999999999999</v>
      </c>
      <c r="I4668">
        <v>20230701</v>
      </c>
      <c r="J4668" t="s">
        <v>4781</v>
      </c>
    </row>
    <row r="4669" spans="1:18" x14ac:dyDescent="0.3">
      <c r="A4669" s="160">
        <v>41290</v>
      </c>
      <c r="B4669" t="s">
        <v>19855</v>
      </c>
      <c r="C4669" t="s">
        <v>4774</v>
      </c>
      <c r="D4669">
        <v>0.4</v>
      </c>
      <c r="E4669">
        <v>0</v>
      </c>
      <c r="F4669">
        <f t="shared" si="72"/>
        <v>0.4</v>
      </c>
      <c r="I4669">
        <v>20250101</v>
      </c>
      <c r="J4669" t="s">
        <v>4776</v>
      </c>
      <c r="K4669" t="s">
        <v>4840</v>
      </c>
    </row>
    <row r="4670" spans="1:18" x14ac:dyDescent="0.3">
      <c r="A4670" s="160">
        <v>41291</v>
      </c>
      <c r="B4670" t="s">
        <v>19856</v>
      </c>
      <c r="C4670" t="s">
        <v>4774</v>
      </c>
      <c r="D4670">
        <v>0.4</v>
      </c>
      <c r="E4670">
        <v>0</v>
      </c>
      <c r="F4670">
        <f t="shared" si="72"/>
        <v>0.4</v>
      </c>
      <c r="I4670">
        <v>20250101</v>
      </c>
      <c r="J4670" t="s">
        <v>4776</v>
      </c>
    </row>
    <row r="4671" spans="1:18" x14ac:dyDescent="0.3">
      <c r="A4671" s="160">
        <v>41293</v>
      </c>
      <c r="B4671" t="s">
        <v>19857</v>
      </c>
      <c r="C4671" t="s">
        <v>4774</v>
      </c>
      <c r="D4671">
        <v>0.4</v>
      </c>
      <c r="E4671">
        <v>0</v>
      </c>
      <c r="F4671">
        <f t="shared" si="72"/>
        <v>0.4</v>
      </c>
      <c r="I4671">
        <v>20250101</v>
      </c>
      <c r="J4671" t="s">
        <v>4776</v>
      </c>
    </row>
    <row r="4672" spans="1:18" x14ac:dyDescent="0.3">
      <c r="A4672" s="160">
        <v>41294</v>
      </c>
      <c r="B4672" t="s">
        <v>19858</v>
      </c>
      <c r="C4672" t="s">
        <v>4774</v>
      </c>
      <c r="D4672">
        <v>0.4</v>
      </c>
      <c r="E4672">
        <v>0</v>
      </c>
      <c r="F4672">
        <f t="shared" si="72"/>
        <v>0.4</v>
      </c>
      <c r="I4672">
        <v>20250101</v>
      </c>
      <c r="J4672" t="s">
        <v>4776</v>
      </c>
      <c r="K4672" t="s">
        <v>4834</v>
      </c>
    </row>
    <row r="4673" spans="1:19" x14ac:dyDescent="0.3">
      <c r="A4673" s="160">
        <v>41295</v>
      </c>
      <c r="B4673" t="s">
        <v>19859</v>
      </c>
      <c r="C4673" t="s">
        <v>4779</v>
      </c>
      <c r="D4673">
        <v>1.1499999999999999</v>
      </c>
      <c r="E4673">
        <v>0</v>
      </c>
      <c r="F4673">
        <f t="shared" si="72"/>
        <v>1.1499999999999999</v>
      </c>
      <c r="I4673">
        <v>20230701</v>
      </c>
      <c r="J4673" t="s">
        <v>4784</v>
      </c>
      <c r="K4673" t="s">
        <v>4787</v>
      </c>
      <c r="L4673" t="s">
        <v>4793</v>
      </c>
      <c r="M4673" t="s">
        <v>4796</v>
      </c>
      <c r="N4673" t="s">
        <v>4804</v>
      </c>
      <c r="O4673" t="s">
        <v>4808</v>
      </c>
      <c r="P4673" t="s">
        <v>4836</v>
      </c>
      <c r="Q4673" t="s">
        <v>4837</v>
      </c>
      <c r="R4673" t="s">
        <v>4838</v>
      </c>
      <c r="S4673" t="s">
        <v>4839</v>
      </c>
    </row>
    <row r="4674" spans="1:19" x14ac:dyDescent="0.3">
      <c r="A4674" s="160">
        <v>42001</v>
      </c>
      <c r="B4674" t="s">
        <v>19860</v>
      </c>
      <c r="C4674" t="s">
        <v>4841</v>
      </c>
      <c r="D4674">
        <v>2</v>
      </c>
      <c r="E4674">
        <v>0</v>
      </c>
      <c r="F4674">
        <f t="shared" si="72"/>
        <v>2</v>
      </c>
      <c r="I4674">
        <v>20220101</v>
      </c>
      <c r="J4674" t="s">
        <v>4842</v>
      </c>
    </row>
    <row r="4675" spans="1:19" x14ac:dyDescent="0.3">
      <c r="A4675" s="160">
        <v>42003</v>
      </c>
      <c r="B4675" t="s">
        <v>19861</v>
      </c>
      <c r="C4675" t="s">
        <v>4843</v>
      </c>
      <c r="D4675">
        <v>1.2</v>
      </c>
      <c r="E4675">
        <v>0</v>
      </c>
      <c r="F4675">
        <f t="shared" si="72"/>
        <v>1.2</v>
      </c>
      <c r="I4675">
        <v>20240101</v>
      </c>
      <c r="J4675" t="s">
        <v>4844</v>
      </c>
    </row>
    <row r="4676" spans="1:19" x14ac:dyDescent="0.3">
      <c r="A4676" s="160">
        <v>42005</v>
      </c>
      <c r="B4676" t="s">
        <v>19862</v>
      </c>
      <c r="C4676" t="s">
        <v>4841</v>
      </c>
      <c r="D4676">
        <v>2</v>
      </c>
      <c r="E4676">
        <v>0</v>
      </c>
      <c r="F4676">
        <f t="shared" si="72"/>
        <v>2</v>
      </c>
      <c r="I4676">
        <v>20220101</v>
      </c>
      <c r="J4676" t="s">
        <v>4845</v>
      </c>
      <c r="K4676" t="s">
        <v>4846</v>
      </c>
      <c r="L4676" t="s">
        <v>4847</v>
      </c>
      <c r="M4676" t="s">
        <v>4848</v>
      </c>
      <c r="N4676" t="s">
        <v>4849</v>
      </c>
      <c r="O4676" t="s">
        <v>4850</v>
      </c>
      <c r="P4676" t="s">
        <v>4851</v>
      </c>
    </row>
    <row r="4677" spans="1:19" x14ac:dyDescent="0.3">
      <c r="A4677" s="160">
        <v>42008</v>
      </c>
      <c r="B4677" t="s">
        <v>19863</v>
      </c>
      <c r="C4677" t="s">
        <v>4843</v>
      </c>
      <c r="D4677">
        <v>1.2</v>
      </c>
      <c r="E4677">
        <v>0</v>
      </c>
      <c r="F4677">
        <f t="shared" si="72"/>
        <v>1.2</v>
      </c>
      <c r="I4677">
        <v>20240101</v>
      </c>
      <c r="J4677" t="s">
        <v>4852</v>
      </c>
    </row>
    <row r="4678" spans="1:19" x14ac:dyDescent="0.3">
      <c r="A4678" s="160">
        <v>42031</v>
      </c>
      <c r="B4678" t="s">
        <v>19864</v>
      </c>
      <c r="C4678" t="s">
        <v>4841</v>
      </c>
      <c r="D4678">
        <v>2</v>
      </c>
      <c r="E4678">
        <v>0</v>
      </c>
      <c r="F4678">
        <f t="shared" si="72"/>
        <v>2</v>
      </c>
      <c r="I4678">
        <v>20220101</v>
      </c>
      <c r="J4678" t="s">
        <v>4853</v>
      </c>
    </row>
    <row r="4679" spans="1:19" x14ac:dyDescent="0.3">
      <c r="A4679" s="160">
        <v>42032</v>
      </c>
      <c r="B4679" t="s">
        <v>19865</v>
      </c>
      <c r="C4679" t="s">
        <v>4841</v>
      </c>
      <c r="D4679">
        <v>2</v>
      </c>
      <c r="E4679">
        <v>0</v>
      </c>
      <c r="F4679">
        <f t="shared" ref="F4679:F4742" si="73">D4679+E4679</f>
        <v>2</v>
      </c>
      <c r="I4679">
        <v>20220101</v>
      </c>
      <c r="J4679" t="s">
        <v>4854</v>
      </c>
    </row>
    <row r="4680" spans="1:19" x14ac:dyDescent="0.3">
      <c r="A4680" s="160">
        <v>42036</v>
      </c>
      <c r="B4680" t="s">
        <v>19866</v>
      </c>
      <c r="C4680" t="s">
        <v>4841</v>
      </c>
      <c r="D4680">
        <v>2</v>
      </c>
      <c r="E4680">
        <v>0</v>
      </c>
      <c r="F4680">
        <f t="shared" si="73"/>
        <v>2</v>
      </c>
      <c r="I4680">
        <v>20220101</v>
      </c>
      <c r="J4680" t="s">
        <v>4855</v>
      </c>
    </row>
    <row r="4681" spans="1:19" x14ac:dyDescent="0.3">
      <c r="A4681" s="160">
        <v>42043</v>
      </c>
      <c r="B4681" t="s">
        <v>19867</v>
      </c>
      <c r="C4681" t="s">
        <v>4841</v>
      </c>
      <c r="D4681">
        <v>2</v>
      </c>
      <c r="E4681">
        <v>0</v>
      </c>
      <c r="F4681">
        <f t="shared" si="73"/>
        <v>2</v>
      </c>
      <c r="I4681">
        <v>20220101</v>
      </c>
      <c r="J4681" t="s">
        <v>4856</v>
      </c>
    </row>
    <row r="4682" spans="1:19" x14ac:dyDescent="0.3">
      <c r="A4682" s="160">
        <v>42044</v>
      </c>
      <c r="B4682" t="s">
        <v>19868</v>
      </c>
      <c r="C4682" t="s">
        <v>4841</v>
      </c>
      <c r="D4682">
        <v>2</v>
      </c>
      <c r="E4682">
        <v>0</v>
      </c>
      <c r="F4682">
        <f t="shared" si="73"/>
        <v>2</v>
      </c>
      <c r="I4682">
        <v>20220101</v>
      </c>
      <c r="J4682" t="s">
        <v>4857</v>
      </c>
      <c r="K4682" t="s">
        <v>4858</v>
      </c>
      <c r="L4682" t="s">
        <v>4859</v>
      </c>
    </row>
    <row r="4683" spans="1:19" x14ac:dyDescent="0.3">
      <c r="A4683" s="160">
        <v>42049</v>
      </c>
      <c r="B4683" t="s">
        <v>19869</v>
      </c>
      <c r="C4683" t="s">
        <v>4843</v>
      </c>
      <c r="D4683">
        <v>1.2</v>
      </c>
      <c r="E4683">
        <v>0</v>
      </c>
      <c r="F4683">
        <f t="shared" si="73"/>
        <v>1.2</v>
      </c>
      <c r="I4683">
        <v>20240101</v>
      </c>
      <c r="J4683" t="s">
        <v>4860</v>
      </c>
    </row>
    <row r="4684" spans="1:19" x14ac:dyDescent="0.3">
      <c r="A4684" s="160">
        <v>42053</v>
      </c>
      <c r="B4684" t="s">
        <v>19870</v>
      </c>
      <c r="C4684" t="s">
        <v>4841</v>
      </c>
      <c r="D4684">
        <v>2</v>
      </c>
      <c r="E4684">
        <v>0</v>
      </c>
      <c r="F4684">
        <f t="shared" si="73"/>
        <v>2</v>
      </c>
      <c r="I4684">
        <v>20220101</v>
      </c>
      <c r="J4684" t="s">
        <v>4855</v>
      </c>
      <c r="K4684" t="s">
        <v>4861</v>
      </c>
      <c r="L4684" t="s">
        <v>4862</v>
      </c>
    </row>
    <row r="4685" spans="1:19" x14ac:dyDescent="0.3">
      <c r="A4685" s="160">
        <v>42055</v>
      </c>
      <c r="B4685" t="s">
        <v>15710</v>
      </c>
      <c r="C4685" t="s">
        <v>177</v>
      </c>
      <c r="D4685">
        <v>0.65</v>
      </c>
      <c r="E4685">
        <v>0</v>
      </c>
      <c r="F4685">
        <f t="shared" si="73"/>
        <v>0.65</v>
      </c>
      <c r="G4685">
        <v>0.75</v>
      </c>
      <c r="H4685">
        <f>G4685*F4685</f>
        <v>0.48750000000000004</v>
      </c>
      <c r="I4685">
        <v>20240701</v>
      </c>
      <c r="J4685" t="s">
        <v>4863</v>
      </c>
    </row>
    <row r="4686" spans="1:19" x14ac:dyDescent="0.3">
      <c r="A4686" s="160">
        <v>42062</v>
      </c>
      <c r="B4686" t="s">
        <v>19871</v>
      </c>
      <c r="C4686" t="s">
        <v>177</v>
      </c>
      <c r="D4686">
        <v>0.65</v>
      </c>
      <c r="E4686">
        <v>0</v>
      </c>
      <c r="F4686">
        <f t="shared" si="73"/>
        <v>0.65</v>
      </c>
      <c r="G4686">
        <v>0.75</v>
      </c>
      <c r="H4686">
        <f>G4686*F4686</f>
        <v>0.48750000000000004</v>
      </c>
      <c r="I4686">
        <v>20240701</v>
      </c>
      <c r="J4686" t="s">
        <v>4863</v>
      </c>
    </row>
    <row r="4687" spans="1:19" x14ac:dyDescent="0.3">
      <c r="A4687" s="160">
        <v>42068</v>
      </c>
      <c r="B4687" t="s">
        <v>19872</v>
      </c>
      <c r="C4687" t="s">
        <v>4843</v>
      </c>
      <c r="D4687">
        <v>1.2</v>
      </c>
      <c r="E4687">
        <v>0</v>
      </c>
      <c r="F4687">
        <f t="shared" si="73"/>
        <v>1.2</v>
      </c>
      <c r="I4687">
        <v>20240101</v>
      </c>
      <c r="J4687" t="s">
        <v>4864</v>
      </c>
    </row>
    <row r="4688" spans="1:19" x14ac:dyDescent="0.3">
      <c r="A4688" s="160">
        <v>42069</v>
      </c>
      <c r="B4688" t="s">
        <v>19873</v>
      </c>
      <c r="C4688" t="s">
        <v>4843</v>
      </c>
      <c r="D4688">
        <v>1.2</v>
      </c>
      <c r="E4688">
        <v>0</v>
      </c>
      <c r="F4688">
        <f t="shared" si="73"/>
        <v>1.2</v>
      </c>
      <c r="I4688">
        <v>20240101</v>
      </c>
      <c r="J4688" t="s">
        <v>4865</v>
      </c>
      <c r="K4688" t="s">
        <v>4866</v>
      </c>
    </row>
    <row r="4689" spans="1:16" x14ac:dyDescent="0.3">
      <c r="A4689" s="160">
        <v>42071</v>
      </c>
      <c r="B4689" t="s">
        <v>19874</v>
      </c>
      <c r="C4689" t="s">
        <v>4843</v>
      </c>
      <c r="D4689">
        <v>1.2</v>
      </c>
      <c r="E4689">
        <v>0</v>
      </c>
      <c r="F4689">
        <f t="shared" si="73"/>
        <v>1.2</v>
      </c>
      <c r="I4689">
        <v>20240101</v>
      </c>
      <c r="J4689" t="s">
        <v>4865</v>
      </c>
      <c r="K4689" t="s">
        <v>4866</v>
      </c>
      <c r="L4689" t="s">
        <v>4867</v>
      </c>
      <c r="M4689" t="s">
        <v>4868</v>
      </c>
      <c r="N4689" t="s">
        <v>4869</v>
      </c>
      <c r="O4689" t="s">
        <v>4870</v>
      </c>
      <c r="P4689" t="s">
        <v>4871</v>
      </c>
    </row>
    <row r="4690" spans="1:16" x14ac:dyDescent="0.3">
      <c r="A4690" s="160">
        <v>42074</v>
      </c>
      <c r="B4690" t="s">
        <v>19875</v>
      </c>
      <c r="C4690" t="s">
        <v>4843</v>
      </c>
      <c r="D4690">
        <v>1.2</v>
      </c>
      <c r="E4690">
        <v>0</v>
      </c>
      <c r="F4690">
        <f t="shared" si="73"/>
        <v>1.2</v>
      </c>
      <c r="I4690">
        <v>20240101</v>
      </c>
      <c r="J4690" t="s">
        <v>4872</v>
      </c>
    </row>
    <row r="4691" spans="1:16" x14ac:dyDescent="0.3">
      <c r="A4691" s="160">
        <v>42078</v>
      </c>
      <c r="B4691" t="s">
        <v>19876</v>
      </c>
      <c r="C4691" t="s">
        <v>4843</v>
      </c>
      <c r="D4691">
        <v>1.2</v>
      </c>
      <c r="E4691">
        <v>0</v>
      </c>
      <c r="F4691">
        <f t="shared" si="73"/>
        <v>1.2</v>
      </c>
      <c r="I4691">
        <v>20240101</v>
      </c>
      <c r="J4691" t="s">
        <v>4860</v>
      </c>
    </row>
    <row r="4692" spans="1:16" x14ac:dyDescent="0.3">
      <c r="A4692" s="160">
        <v>42083</v>
      </c>
      <c r="B4692" t="s">
        <v>19877</v>
      </c>
      <c r="C4692" t="s">
        <v>4841</v>
      </c>
      <c r="D4692">
        <v>2</v>
      </c>
      <c r="E4692">
        <v>0</v>
      </c>
      <c r="F4692">
        <f t="shared" si="73"/>
        <v>2</v>
      </c>
      <c r="I4692">
        <v>20220101</v>
      </c>
      <c r="J4692" t="s">
        <v>4855</v>
      </c>
    </row>
    <row r="4693" spans="1:16" x14ac:dyDescent="0.3">
      <c r="A4693" s="160">
        <v>42085</v>
      </c>
      <c r="B4693" t="s">
        <v>19878</v>
      </c>
      <c r="C4693" t="s">
        <v>4841</v>
      </c>
      <c r="D4693">
        <v>2</v>
      </c>
      <c r="E4693">
        <v>0</v>
      </c>
      <c r="F4693">
        <f t="shared" si="73"/>
        <v>2</v>
      </c>
      <c r="I4693">
        <v>20220101</v>
      </c>
      <c r="J4693" t="s">
        <v>4873</v>
      </c>
    </row>
    <row r="4694" spans="1:16" x14ac:dyDescent="0.3">
      <c r="A4694" s="160">
        <v>42092</v>
      </c>
      <c r="B4694" t="s">
        <v>19879</v>
      </c>
      <c r="C4694" t="s">
        <v>4841</v>
      </c>
      <c r="D4694">
        <v>2</v>
      </c>
      <c r="E4694">
        <v>0</v>
      </c>
      <c r="F4694">
        <f t="shared" si="73"/>
        <v>2</v>
      </c>
      <c r="I4694">
        <v>20220101</v>
      </c>
      <c r="J4694" t="s">
        <v>4874</v>
      </c>
    </row>
    <row r="4695" spans="1:16" x14ac:dyDescent="0.3">
      <c r="A4695" s="160">
        <v>42093</v>
      </c>
      <c r="B4695" t="s">
        <v>19880</v>
      </c>
      <c r="C4695" t="s">
        <v>4841</v>
      </c>
      <c r="D4695">
        <v>2</v>
      </c>
      <c r="E4695">
        <v>0</v>
      </c>
      <c r="F4695">
        <f t="shared" si="73"/>
        <v>2</v>
      </c>
      <c r="I4695">
        <v>20220101</v>
      </c>
      <c r="J4695" t="s">
        <v>4854</v>
      </c>
    </row>
    <row r="4696" spans="1:16" x14ac:dyDescent="0.3">
      <c r="A4696" s="160">
        <v>42095</v>
      </c>
      <c r="B4696" t="s">
        <v>19881</v>
      </c>
      <c r="C4696" t="s">
        <v>4841</v>
      </c>
      <c r="D4696">
        <v>2</v>
      </c>
      <c r="E4696">
        <v>0</v>
      </c>
      <c r="F4696">
        <f t="shared" si="73"/>
        <v>2</v>
      </c>
      <c r="I4696">
        <v>20220101</v>
      </c>
      <c r="J4696" t="s">
        <v>4875</v>
      </c>
      <c r="K4696" t="s">
        <v>4876</v>
      </c>
      <c r="L4696" t="s">
        <v>4877</v>
      </c>
      <c r="M4696" t="s">
        <v>4878</v>
      </c>
    </row>
    <row r="4697" spans="1:16" x14ac:dyDescent="0.3">
      <c r="A4697" s="160">
        <v>42096</v>
      </c>
      <c r="B4697" t="s">
        <v>19056</v>
      </c>
      <c r="C4697" t="s">
        <v>4841</v>
      </c>
      <c r="D4697">
        <v>2</v>
      </c>
      <c r="E4697">
        <v>0</v>
      </c>
      <c r="F4697">
        <f t="shared" si="73"/>
        <v>2</v>
      </c>
      <c r="I4697">
        <v>20220101</v>
      </c>
      <c r="J4697" t="s">
        <v>4863</v>
      </c>
    </row>
    <row r="4698" spans="1:16" x14ac:dyDescent="0.3">
      <c r="A4698" s="160">
        <v>42097</v>
      </c>
      <c r="B4698" t="s">
        <v>19882</v>
      </c>
      <c r="C4698" t="s">
        <v>4841</v>
      </c>
      <c r="D4698">
        <v>2</v>
      </c>
      <c r="E4698">
        <v>0</v>
      </c>
      <c r="F4698">
        <f t="shared" si="73"/>
        <v>2</v>
      </c>
      <c r="I4698">
        <v>20220101</v>
      </c>
      <c r="J4698" t="s">
        <v>4847</v>
      </c>
      <c r="K4698" t="s">
        <v>4879</v>
      </c>
      <c r="L4698" t="s">
        <v>4880</v>
      </c>
      <c r="M4698" t="s">
        <v>4881</v>
      </c>
      <c r="N4698" t="s">
        <v>4882</v>
      </c>
    </row>
    <row r="4699" spans="1:16" x14ac:dyDescent="0.3">
      <c r="A4699" s="160">
        <v>42099</v>
      </c>
      <c r="B4699" t="s">
        <v>19883</v>
      </c>
      <c r="C4699" t="s">
        <v>4841</v>
      </c>
      <c r="D4699">
        <v>2</v>
      </c>
      <c r="E4699">
        <v>0</v>
      </c>
      <c r="F4699">
        <f t="shared" si="73"/>
        <v>2</v>
      </c>
      <c r="I4699">
        <v>20220101</v>
      </c>
      <c r="J4699" t="s">
        <v>4883</v>
      </c>
      <c r="K4699" t="s">
        <v>4884</v>
      </c>
      <c r="L4699" t="s">
        <v>4885</v>
      </c>
    </row>
    <row r="4700" spans="1:16" x14ac:dyDescent="0.3">
      <c r="A4700" s="160">
        <v>42100</v>
      </c>
      <c r="B4700" t="s">
        <v>19884</v>
      </c>
      <c r="C4700" t="s">
        <v>4841</v>
      </c>
      <c r="D4700">
        <v>2</v>
      </c>
      <c r="E4700">
        <v>0</v>
      </c>
      <c r="F4700">
        <f t="shared" si="73"/>
        <v>2</v>
      </c>
      <c r="I4700">
        <v>20220101</v>
      </c>
      <c r="J4700" t="s">
        <v>4863</v>
      </c>
    </row>
    <row r="4701" spans="1:16" x14ac:dyDescent="0.3">
      <c r="A4701" s="160">
        <v>42102</v>
      </c>
      <c r="B4701" t="s">
        <v>19885</v>
      </c>
      <c r="C4701" t="s">
        <v>177</v>
      </c>
      <c r="D4701">
        <v>0.65</v>
      </c>
      <c r="E4701">
        <v>0</v>
      </c>
      <c r="F4701">
        <f t="shared" si="73"/>
        <v>0.65</v>
      </c>
      <c r="G4701">
        <v>0.75</v>
      </c>
      <c r="H4701">
        <f>G4701*F4701</f>
        <v>0.48750000000000004</v>
      </c>
      <c r="I4701">
        <v>20240701</v>
      </c>
      <c r="J4701" t="s">
        <v>4863</v>
      </c>
    </row>
    <row r="4702" spans="1:16" x14ac:dyDescent="0.3">
      <c r="A4702" s="160">
        <v>42103</v>
      </c>
      <c r="B4702" t="s">
        <v>19886</v>
      </c>
      <c r="C4702" t="s">
        <v>4841</v>
      </c>
      <c r="D4702">
        <v>2</v>
      </c>
      <c r="E4702">
        <v>0</v>
      </c>
      <c r="F4702">
        <f t="shared" si="73"/>
        <v>2</v>
      </c>
      <c r="I4702">
        <v>20220101</v>
      </c>
      <c r="J4702" t="s">
        <v>4854</v>
      </c>
    </row>
    <row r="4703" spans="1:16" x14ac:dyDescent="0.3">
      <c r="A4703" s="160">
        <v>42110</v>
      </c>
      <c r="B4703" t="s">
        <v>19887</v>
      </c>
      <c r="C4703" t="s">
        <v>4841</v>
      </c>
      <c r="D4703">
        <v>2</v>
      </c>
      <c r="E4703">
        <v>0</v>
      </c>
      <c r="F4703">
        <f t="shared" si="73"/>
        <v>2</v>
      </c>
      <c r="I4703">
        <v>20220101</v>
      </c>
      <c r="J4703" t="s">
        <v>4886</v>
      </c>
      <c r="K4703" t="s">
        <v>4887</v>
      </c>
    </row>
    <row r="4704" spans="1:16" x14ac:dyDescent="0.3">
      <c r="A4704" s="160">
        <v>42120</v>
      </c>
      <c r="B4704" t="s">
        <v>19888</v>
      </c>
      <c r="C4704" t="s">
        <v>4843</v>
      </c>
      <c r="D4704">
        <v>1.2</v>
      </c>
      <c r="E4704">
        <v>0</v>
      </c>
      <c r="F4704">
        <f t="shared" si="73"/>
        <v>1.2</v>
      </c>
      <c r="I4704">
        <v>20240101</v>
      </c>
      <c r="J4704" t="s">
        <v>4888</v>
      </c>
    </row>
    <row r="4705" spans="1:19" x14ac:dyDescent="0.3">
      <c r="A4705" s="160">
        <v>42123</v>
      </c>
      <c r="B4705" t="s">
        <v>19889</v>
      </c>
      <c r="C4705" t="s">
        <v>4841</v>
      </c>
      <c r="D4705">
        <v>2</v>
      </c>
      <c r="E4705">
        <v>0</v>
      </c>
      <c r="F4705">
        <f t="shared" si="73"/>
        <v>2</v>
      </c>
      <c r="I4705">
        <v>20220101</v>
      </c>
      <c r="J4705" t="s">
        <v>4889</v>
      </c>
    </row>
    <row r="4706" spans="1:19" x14ac:dyDescent="0.3">
      <c r="A4706" s="160">
        <v>42127</v>
      </c>
      <c r="B4706" t="s">
        <v>19890</v>
      </c>
      <c r="C4706" t="s">
        <v>4843</v>
      </c>
      <c r="D4706">
        <v>1.2</v>
      </c>
      <c r="E4706">
        <v>0</v>
      </c>
      <c r="F4706">
        <f t="shared" si="73"/>
        <v>1.2</v>
      </c>
      <c r="I4706">
        <v>20240101</v>
      </c>
      <c r="J4706" t="s">
        <v>4890</v>
      </c>
      <c r="K4706" t="s">
        <v>4869</v>
      </c>
      <c r="L4706" t="s">
        <v>4891</v>
      </c>
      <c r="M4706" t="s">
        <v>4892</v>
      </c>
      <c r="N4706" t="s">
        <v>4893</v>
      </c>
      <c r="O4706" t="s">
        <v>4894</v>
      </c>
      <c r="P4706" t="s">
        <v>4895</v>
      </c>
      <c r="Q4706" t="s">
        <v>4896</v>
      </c>
      <c r="R4706" t="s">
        <v>4897</v>
      </c>
      <c r="S4706" t="s">
        <v>4898</v>
      </c>
    </row>
    <row r="4707" spans="1:19" x14ac:dyDescent="0.3">
      <c r="A4707" s="160">
        <v>42133</v>
      </c>
      <c r="B4707" t="s">
        <v>19891</v>
      </c>
      <c r="C4707" t="s">
        <v>4841</v>
      </c>
      <c r="D4707">
        <v>2</v>
      </c>
      <c r="E4707">
        <v>0</v>
      </c>
      <c r="F4707">
        <f t="shared" si="73"/>
        <v>2</v>
      </c>
      <c r="I4707">
        <v>20220101</v>
      </c>
      <c r="J4707" t="s">
        <v>4863</v>
      </c>
    </row>
    <row r="4708" spans="1:19" x14ac:dyDescent="0.3">
      <c r="A4708" s="160">
        <v>42138</v>
      </c>
      <c r="B4708" t="s">
        <v>19892</v>
      </c>
      <c r="C4708" t="s">
        <v>177</v>
      </c>
      <c r="D4708">
        <v>0.65</v>
      </c>
      <c r="E4708">
        <v>0</v>
      </c>
      <c r="F4708">
        <f t="shared" si="73"/>
        <v>0.65</v>
      </c>
      <c r="G4708">
        <v>0.75</v>
      </c>
      <c r="H4708">
        <f>G4708*F4708</f>
        <v>0.48750000000000004</v>
      </c>
      <c r="I4708">
        <v>20240701</v>
      </c>
      <c r="J4708" t="s">
        <v>4863</v>
      </c>
    </row>
    <row r="4709" spans="1:19" x14ac:dyDescent="0.3">
      <c r="A4709" s="160">
        <v>42145</v>
      </c>
      <c r="B4709" t="s">
        <v>19893</v>
      </c>
      <c r="C4709" t="s">
        <v>4843</v>
      </c>
      <c r="D4709">
        <v>1.2</v>
      </c>
      <c r="E4709">
        <v>0</v>
      </c>
      <c r="F4709">
        <f t="shared" si="73"/>
        <v>1.2</v>
      </c>
      <c r="I4709">
        <v>20240101</v>
      </c>
      <c r="J4709" t="s">
        <v>4864</v>
      </c>
    </row>
    <row r="4710" spans="1:19" x14ac:dyDescent="0.3">
      <c r="A4710" s="160">
        <v>42157</v>
      </c>
      <c r="B4710" t="s">
        <v>19894</v>
      </c>
      <c r="C4710" t="s">
        <v>4843</v>
      </c>
      <c r="D4710">
        <v>1.2</v>
      </c>
      <c r="E4710">
        <v>0</v>
      </c>
      <c r="F4710">
        <f t="shared" si="73"/>
        <v>1.2</v>
      </c>
      <c r="I4710">
        <v>20240101</v>
      </c>
      <c r="J4710" t="s">
        <v>4899</v>
      </c>
    </row>
    <row r="4711" spans="1:19" x14ac:dyDescent="0.3">
      <c r="A4711" s="160">
        <v>42158</v>
      </c>
      <c r="B4711" t="s">
        <v>19895</v>
      </c>
      <c r="C4711" t="s">
        <v>4843</v>
      </c>
      <c r="D4711">
        <v>1.2</v>
      </c>
      <c r="E4711">
        <v>0</v>
      </c>
      <c r="F4711">
        <f t="shared" si="73"/>
        <v>1.2</v>
      </c>
      <c r="I4711">
        <v>20240101</v>
      </c>
      <c r="J4711" t="s">
        <v>4852</v>
      </c>
    </row>
    <row r="4712" spans="1:19" x14ac:dyDescent="0.3">
      <c r="A4712" s="160">
        <v>42161</v>
      </c>
      <c r="B4712" t="s">
        <v>19896</v>
      </c>
      <c r="C4712" t="s">
        <v>4843</v>
      </c>
      <c r="D4712">
        <v>1.2</v>
      </c>
      <c r="E4712">
        <v>0</v>
      </c>
      <c r="F4712">
        <f t="shared" si="73"/>
        <v>1.2</v>
      </c>
      <c r="I4712">
        <v>20240101</v>
      </c>
      <c r="J4712" t="s">
        <v>4865</v>
      </c>
    </row>
    <row r="4713" spans="1:19" x14ac:dyDescent="0.3">
      <c r="A4713" s="160">
        <v>42162</v>
      </c>
      <c r="B4713" t="s">
        <v>19897</v>
      </c>
      <c r="C4713" t="s">
        <v>4843</v>
      </c>
      <c r="D4713">
        <v>1.2</v>
      </c>
      <c r="E4713">
        <v>0</v>
      </c>
      <c r="F4713">
        <f t="shared" si="73"/>
        <v>1.2</v>
      </c>
      <c r="I4713">
        <v>20240101</v>
      </c>
      <c r="J4713" t="s">
        <v>4888</v>
      </c>
    </row>
    <row r="4714" spans="1:19" x14ac:dyDescent="0.3">
      <c r="A4714" s="160">
        <v>42163</v>
      </c>
      <c r="B4714" t="s">
        <v>19898</v>
      </c>
      <c r="C4714" t="s">
        <v>4843</v>
      </c>
      <c r="D4714">
        <v>1.2</v>
      </c>
      <c r="E4714">
        <v>0</v>
      </c>
      <c r="F4714">
        <f t="shared" si="73"/>
        <v>1.2</v>
      </c>
      <c r="I4714">
        <v>20240101</v>
      </c>
      <c r="J4714" t="s">
        <v>4860</v>
      </c>
    </row>
    <row r="4715" spans="1:19" x14ac:dyDescent="0.3">
      <c r="A4715" s="160">
        <v>42166</v>
      </c>
      <c r="B4715" t="s">
        <v>19899</v>
      </c>
      <c r="C4715" t="s">
        <v>4843</v>
      </c>
      <c r="D4715">
        <v>1.2</v>
      </c>
      <c r="E4715">
        <v>0</v>
      </c>
      <c r="F4715">
        <f t="shared" si="73"/>
        <v>1.2</v>
      </c>
      <c r="I4715">
        <v>20240101</v>
      </c>
      <c r="J4715" t="s">
        <v>4865</v>
      </c>
      <c r="K4715" t="s">
        <v>4867</v>
      </c>
      <c r="L4715" t="s">
        <v>4868</v>
      </c>
    </row>
    <row r="4716" spans="1:19" x14ac:dyDescent="0.3">
      <c r="A4716" s="160">
        <v>42167</v>
      </c>
      <c r="B4716" t="s">
        <v>19900</v>
      </c>
      <c r="C4716" t="s">
        <v>4841</v>
      </c>
      <c r="D4716">
        <v>2</v>
      </c>
      <c r="E4716">
        <v>0</v>
      </c>
      <c r="F4716">
        <f t="shared" si="73"/>
        <v>2</v>
      </c>
      <c r="I4716">
        <v>20220101</v>
      </c>
      <c r="J4716" t="s">
        <v>4900</v>
      </c>
    </row>
    <row r="4717" spans="1:19" x14ac:dyDescent="0.3">
      <c r="A4717" s="160">
        <v>42170</v>
      </c>
      <c r="B4717" t="s">
        <v>19901</v>
      </c>
      <c r="C4717" t="s">
        <v>4843</v>
      </c>
      <c r="D4717">
        <v>1.2</v>
      </c>
      <c r="E4717">
        <v>0</v>
      </c>
      <c r="F4717">
        <f t="shared" si="73"/>
        <v>1.2</v>
      </c>
      <c r="I4717">
        <v>20240101</v>
      </c>
      <c r="J4717" t="s">
        <v>4865</v>
      </c>
      <c r="K4717" t="s">
        <v>4866</v>
      </c>
      <c r="L4717" t="s">
        <v>4868</v>
      </c>
      <c r="M4717" t="s">
        <v>4891</v>
      </c>
      <c r="N4717" t="s">
        <v>4871</v>
      </c>
    </row>
    <row r="4718" spans="1:19" x14ac:dyDescent="0.3">
      <c r="A4718" s="160">
        <v>42176</v>
      </c>
      <c r="B4718" t="s">
        <v>19902</v>
      </c>
      <c r="C4718" t="s">
        <v>4843</v>
      </c>
      <c r="D4718">
        <v>1.2</v>
      </c>
      <c r="E4718">
        <v>0</v>
      </c>
      <c r="F4718">
        <f t="shared" si="73"/>
        <v>1.2</v>
      </c>
      <c r="I4718">
        <v>20240101</v>
      </c>
      <c r="J4718" t="s">
        <v>4888</v>
      </c>
    </row>
    <row r="4719" spans="1:19" x14ac:dyDescent="0.3">
      <c r="A4719" s="160">
        <v>42182</v>
      </c>
      <c r="B4719" t="s">
        <v>19903</v>
      </c>
      <c r="C4719" t="s">
        <v>4843</v>
      </c>
      <c r="D4719">
        <v>1.2</v>
      </c>
      <c r="E4719">
        <v>0</v>
      </c>
      <c r="F4719">
        <f t="shared" si="73"/>
        <v>1.2</v>
      </c>
      <c r="I4719">
        <v>20240101</v>
      </c>
      <c r="J4719" t="s">
        <v>4852</v>
      </c>
    </row>
    <row r="4720" spans="1:19" x14ac:dyDescent="0.3">
      <c r="A4720" s="160">
        <v>42183</v>
      </c>
      <c r="B4720" t="s">
        <v>19904</v>
      </c>
      <c r="C4720" t="s">
        <v>4841</v>
      </c>
      <c r="D4720">
        <v>2</v>
      </c>
      <c r="E4720">
        <v>0</v>
      </c>
      <c r="F4720">
        <f t="shared" si="73"/>
        <v>2</v>
      </c>
      <c r="I4720">
        <v>20220101</v>
      </c>
      <c r="J4720" t="s">
        <v>4901</v>
      </c>
      <c r="K4720" t="s">
        <v>4859</v>
      </c>
      <c r="L4720" t="s">
        <v>4902</v>
      </c>
    </row>
    <row r="4721" spans="1:54" x14ac:dyDescent="0.3">
      <c r="A4721" s="160">
        <v>42184</v>
      </c>
      <c r="B4721" t="s">
        <v>19905</v>
      </c>
      <c r="C4721" t="s">
        <v>4843</v>
      </c>
      <c r="D4721">
        <v>1.2</v>
      </c>
      <c r="E4721">
        <v>0</v>
      </c>
      <c r="F4721">
        <f t="shared" si="73"/>
        <v>1.2</v>
      </c>
      <c r="I4721">
        <v>20240101</v>
      </c>
      <c r="J4721" t="s">
        <v>4903</v>
      </c>
      <c r="K4721" t="s">
        <v>4892</v>
      </c>
      <c r="L4721" t="s">
        <v>4893</v>
      </c>
    </row>
    <row r="4722" spans="1:54" x14ac:dyDescent="0.3">
      <c r="A4722" s="160">
        <v>42186</v>
      </c>
      <c r="B4722" t="s">
        <v>19906</v>
      </c>
      <c r="C4722" t="s">
        <v>4841</v>
      </c>
      <c r="D4722">
        <v>2</v>
      </c>
      <c r="E4722">
        <v>0</v>
      </c>
      <c r="F4722">
        <f t="shared" si="73"/>
        <v>2</v>
      </c>
      <c r="I4722">
        <v>20220101</v>
      </c>
      <c r="J4722" t="s">
        <v>4855</v>
      </c>
      <c r="K4722" t="s">
        <v>4861</v>
      </c>
      <c r="L4722" t="s">
        <v>4904</v>
      </c>
      <c r="M4722" t="s">
        <v>4862</v>
      </c>
      <c r="N4722" t="s">
        <v>4905</v>
      </c>
    </row>
    <row r="4723" spans="1:54" x14ac:dyDescent="0.3">
      <c r="A4723" s="160">
        <v>42187</v>
      </c>
      <c r="B4723" t="s">
        <v>19907</v>
      </c>
      <c r="C4723" t="s">
        <v>4843</v>
      </c>
      <c r="D4723">
        <v>1.2</v>
      </c>
      <c r="E4723">
        <v>0</v>
      </c>
      <c r="F4723">
        <f t="shared" si="73"/>
        <v>1.2</v>
      </c>
      <c r="I4723">
        <v>20240101</v>
      </c>
      <c r="J4723" t="s">
        <v>4890</v>
      </c>
      <c r="K4723" t="s">
        <v>4869</v>
      </c>
      <c r="L4723" t="s">
        <v>4891</v>
      </c>
      <c r="M4723" t="s">
        <v>4892</v>
      </c>
      <c r="N4723" t="s">
        <v>4906</v>
      </c>
      <c r="O4723" t="s">
        <v>4893</v>
      </c>
      <c r="P4723" t="s">
        <v>4894</v>
      </c>
      <c r="Q4723" t="s">
        <v>4870</v>
      </c>
      <c r="R4723" t="s">
        <v>4907</v>
      </c>
      <c r="S4723" t="s">
        <v>4908</v>
      </c>
      <c r="T4723" t="s">
        <v>4909</v>
      </c>
      <c r="U4723" t="s">
        <v>4896</v>
      </c>
      <c r="V4723" t="s">
        <v>4897</v>
      </c>
      <c r="W4723" t="s">
        <v>4871</v>
      </c>
      <c r="X4723" t="s">
        <v>4898</v>
      </c>
      <c r="Y4723" t="s">
        <v>4910</v>
      </c>
    </row>
    <row r="4724" spans="1:54" x14ac:dyDescent="0.3">
      <c r="A4724" s="160">
        <v>42189</v>
      </c>
      <c r="B4724" t="s">
        <v>19908</v>
      </c>
      <c r="C4724" t="s">
        <v>4841</v>
      </c>
      <c r="D4724">
        <v>2</v>
      </c>
      <c r="E4724">
        <v>0</v>
      </c>
      <c r="F4724">
        <f t="shared" si="73"/>
        <v>2</v>
      </c>
      <c r="I4724">
        <v>20220101</v>
      </c>
      <c r="J4724" t="s">
        <v>4911</v>
      </c>
    </row>
    <row r="4725" spans="1:54" x14ac:dyDescent="0.3">
      <c r="A4725" s="160">
        <v>42192</v>
      </c>
      <c r="B4725" t="s">
        <v>19909</v>
      </c>
      <c r="C4725" t="s">
        <v>4841</v>
      </c>
      <c r="D4725">
        <v>2</v>
      </c>
      <c r="E4725">
        <v>0</v>
      </c>
      <c r="F4725">
        <f t="shared" si="73"/>
        <v>2</v>
      </c>
      <c r="I4725">
        <v>20220101</v>
      </c>
      <c r="J4725" t="s">
        <v>4842</v>
      </c>
    </row>
    <row r="4726" spans="1:54" x14ac:dyDescent="0.3">
      <c r="A4726" s="160">
        <v>42194</v>
      </c>
      <c r="B4726" t="s">
        <v>19910</v>
      </c>
      <c r="C4726" t="s">
        <v>4843</v>
      </c>
      <c r="D4726">
        <v>1.2</v>
      </c>
      <c r="E4726">
        <v>0</v>
      </c>
      <c r="F4726">
        <f t="shared" si="73"/>
        <v>1.2</v>
      </c>
      <c r="I4726">
        <v>20240101</v>
      </c>
      <c r="J4726" t="s">
        <v>4860</v>
      </c>
    </row>
    <row r="4727" spans="1:54" x14ac:dyDescent="0.3">
      <c r="A4727" s="160">
        <v>42198</v>
      </c>
      <c r="B4727" t="s">
        <v>19911</v>
      </c>
      <c r="C4727" t="s">
        <v>4843</v>
      </c>
      <c r="D4727">
        <v>1.2</v>
      </c>
      <c r="E4727">
        <v>0</v>
      </c>
      <c r="F4727">
        <f t="shared" si="73"/>
        <v>1.2</v>
      </c>
      <c r="I4727">
        <v>20240101</v>
      </c>
      <c r="J4727" t="s">
        <v>4852</v>
      </c>
    </row>
    <row r="4728" spans="1:54" x14ac:dyDescent="0.3">
      <c r="A4728" s="160">
        <v>42199</v>
      </c>
      <c r="B4728" t="s">
        <v>19912</v>
      </c>
      <c r="C4728" t="s">
        <v>4843</v>
      </c>
      <c r="D4728">
        <v>1.2</v>
      </c>
      <c r="E4728">
        <v>0</v>
      </c>
      <c r="F4728">
        <f t="shared" si="73"/>
        <v>1.2</v>
      </c>
      <c r="I4728">
        <v>20240101</v>
      </c>
      <c r="J4728" t="s">
        <v>4852</v>
      </c>
    </row>
    <row r="4729" spans="1:54" x14ac:dyDescent="0.3">
      <c r="A4729" s="160">
        <v>42203</v>
      </c>
      <c r="B4729" t="s">
        <v>19913</v>
      </c>
      <c r="C4729" t="s">
        <v>4843</v>
      </c>
      <c r="D4729">
        <v>1.2</v>
      </c>
      <c r="E4729">
        <v>0</v>
      </c>
      <c r="F4729">
        <f t="shared" si="73"/>
        <v>1.2</v>
      </c>
      <c r="I4729">
        <v>20240101</v>
      </c>
      <c r="J4729" t="s">
        <v>4860</v>
      </c>
    </row>
    <row r="4730" spans="1:54" x14ac:dyDescent="0.3">
      <c r="A4730" s="160">
        <v>42206</v>
      </c>
      <c r="B4730" t="s">
        <v>19914</v>
      </c>
      <c r="C4730" t="s">
        <v>4841</v>
      </c>
      <c r="D4730">
        <v>2</v>
      </c>
      <c r="E4730">
        <v>0</v>
      </c>
      <c r="F4730">
        <f t="shared" si="73"/>
        <v>2</v>
      </c>
      <c r="I4730">
        <v>20220101</v>
      </c>
      <c r="J4730" t="s">
        <v>4856</v>
      </c>
    </row>
    <row r="4731" spans="1:54" x14ac:dyDescent="0.3">
      <c r="A4731" s="160">
        <v>42207</v>
      </c>
      <c r="B4731" t="s">
        <v>19915</v>
      </c>
      <c r="C4731" t="s">
        <v>4841</v>
      </c>
      <c r="D4731">
        <v>2</v>
      </c>
      <c r="E4731">
        <v>0</v>
      </c>
      <c r="F4731">
        <f t="shared" si="73"/>
        <v>2</v>
      </c>
      <c r="I4731">
        <v>20220101</v>
      </c>
      <c r="J4731" t="s">
        <v>4912</v>
      </c>
      <c r="K4731" t="s">
        <v>4913</v>
      </c>
      <c r="L4731" t="s">
        <v>4914</v>
      </c>
      <c r="M4731" t="s">
        <v>4915</v>
      </c>
      <c r="N4731" t="s">
        <v>4916</v>
      </c>
      <c r="O4731" t="s">
        <v>4887</v>
      </c>
      <c r="P4731" t="s">
        <v>4917</v>
      </c>
    </row>
    <row r="4732" spans="1:54" x14ac:dyDescent="0.3">
      <c r="A4732" s="160">
        <v>42208</v>
      </c>
      <c r="B4732" t="s">
        <v>19916</v>
      </c>
      <c r="C4732" t="s">
        <v>4841</v>
      </c>
      <c r="D4732">
        <v>2</v>
      </c>
      <c r="E4732">
        <v>0</v>
      </c>
      <c r="F4732">
        <f t="shared" si="73"/>
        <v>2</v>
      </c>
      <c r="I4732">
        <v>20220101</v>
      </c>
      <c r="J4732" t="s">
        <v>4854</v>
      </c>
    </row>
    <row r="4733" spans="1:54" x14ac:dyDescent="0.3">
      <c r="A4733" s="160">
        <v>42210</v>
      </c>
      <c r="B4733" t="s">
        <v>19917</v>
      </c>
      <c r="C4733" t="s">
        <v>4841</v>
      </c>
      <c r="D4733">
        <v>2</v>
      </c>
      <c r="E4733">
        <v>0</v>
      </c>
      <c r="F4733">
        <f t="shared" si="73"/>
        <v>2</v>
      </c>
      <c r="I4733">
        <v>20220101</v>
      </c>
      <c r="J4733" t="s">
        <v>4855</v>
      </c>
    </row>
    <row r="4734" spans="1:54" x14ac:dyDescent="0.3">
      <c r="A4734" s="160">
        <v>42216</v>
      </c>
      <c r="B4734" t="s">
        <v>19918</v>
      </c>
      <c r="C4734" t="s">
        <v>177</v>
      </c>
      <c r="D4734">
        <v>0.65</v>
      </c>
      <c r="E4734">
        <v>0</v>
      </c>
      <c r="F4734">
        <f t="shared" si="73"/>
        <v>0.65</v>
      </c>
      <c r="G4734">
        <v>0.75</v>
      </c>
      <c r="H4734">
        <f>G4734*F4734</f>
        <v>0.48750000000000004</v>
      </c>
      <c r="I4734">
        <v>20240701</v>
      </c>
      <c r="J4734" t="s">
        <v>4863</v>
      </c>
    </row>
    <row r="4735" spans="1:54" x14ac:dyDescent="0.3">
      <c r="A4735" s="160">
        <v>42218</v>
      </c>
      <c r="B4735" t="s">
        <v>19919</v>
      </c>
      <c r="C4735" t="s">
        <v>4841</v>
      </c>
      <c r="D4735">
        <v>2</v>
      </c>
      <c r="E4735">
        <v>0</v>
      </c>
      <c r="F4735">
        <f t="shared" si="73"/>
        <v>2</v>
      </c>
      <c r="I4735">
        <v>20220101</v>
      </c>
      <c r="J4735" t="s">
        <v>4918</v>
      </c>
      <c r="K4735" t="s">
        <v>4919</v>
      </c>
      <c r="L4735" t="s">
        <v>4920</v>
      </c>
      <c r="M4735" t="s">
        <v>4921</v>
      </c>
      <c r="N4735" t="s">
        <v>4922</v>
      </c>
      <c r="O4735" t="s">
        <v>4923</v>
      </c>
      <c r="P4735" t="s">
        <v>4924</v>
      </c>
      <c r="Q4735" t="s">
        <v>4925</v>
      </c>
      <c r="R4735" t="s">
        <v>4926</v>
      </c>
      <c r="S4735" t="s">
        <v>4927</v>
      </c>
      <c r="T4735" t="s">
        <v>4928</v>
      </c>
      <c r="U4735" t="s">
        <v>4929</v>
      </c>
      <c r="V4735" t="s">
        <v>4930</v>
      </c>
      <c r="W4735" t="s">
        <v>4931</v>
      </c>
      <c r="X4735" t="s">
        <v>4932</v>
      </c>
      <c r="Y4735" t="s">
        <v>4933</v>
      </c>
      <c r="Z4735" t="s">
        <v>4934</v>
      </c>
      <c r="AA4735" t="s">
        <v>4935</v>
      </c>
      <c r="AB4735" t="s">
        <v>4936</v>
      </c>
      <c r="AC4735" t="s">
        <v>4937</v>
      </c>
      <c r="AD4735" t="s">
        <v>4938</v>
      </c>
      <c r="AE4735" t="s">
        <v>4939</v>
      </c>
      <c r="AF4735" t="s">
        <v>4940</v>
      </c>
      <c r="AG4735" t="s">
        <v>4941</v>
      </c>
      <c r="AH4735" t="s">
        <v>4942</v>
      </c>
      <c r="AI4735" t="s">
        <v>4943</v>
      </c>
      <c r="AJ4735" t="s">
        <v>4944</v>
      </c>
      <c r="AK4735" t="s">
        <v>4945</v>
      </c>
      <c r="AL4735" t="s">
        <v>4946</v>
      </c>
      <c r="AM4735" t="s">
        <v>4947</v>
      </c>
      <c r="AN4735" t="s">
        <v>4948</v>
      </c>
      <c r="AO4735" t="s">
        <v>4949</v>
      </c>
      <c r="AP4735" t="s">
        <v>4950</v>
      </c>
      <c r="AQ4735" t="s">
        <v>4951</v>
      </c>
      <c r="AR4735" t="s">
        <v>4952</v>
      </c>
      <c r="AS4735" t="s">
        <v>4953</v>
      </c>
      <c r="AT4735" t="s">
        <v>4911</v>
      </c>
      <c r="AU4735" t="s">
        <v>4954</v>
      </c>
      <c r="AV4735" t="s">
        <v>4955</v>
      </c>
      <c r="AW4735" t="s">
        <v>4956</v>
      </c>
      <c r="AX4735" t="s">
        <v>4957</v>
      </c>
      <c r="AY4735" t="s">
        <v>4958</v>
      </c>
      <c r="AZ4735" t="s">
        <v>4959</v>
      </c>
      <c r="BA4735" t="s">
        <v>4960</v>
      </c>
      <c r="BB4735" t="s">
        <v>4961</v>
      </c>
    </row>
    <row r="4736" spans="1:54" x14ac:dyDescent="0.3">
      <c r="A4736" s="160">
        <v>42220</v>
      </c>
      <c r="B4736" t="s">
        <v>19920</v>
      </c>
      <c r="C4736" t="s">
        <v>4843</v>
      </c>
      <c r="D4736">
        <v>1.2</v>
      </c>
      <c r="E4736">
        <v>0</v>
      </c>
      <c r="F4736">
        <f t="shared" si="73"/>
        <v>1.2</v>
      </c>
      <c r="I4736">
        <v>20240101</v>
      </c>
      <c r="J4736" t="s">
        <v>4899</v>
      </c>
    </row>
    <row r="4737" spans="1:12" x14ac:dyDescent="0.3">
      <c r="A4737" s="160">
        <v>42222</v>
      </c>
      <c r="B4737" t="s">
        <v>19921</v>
      </c>
      <c r="C4737" t="s">
        <v>4841</v>
      </c>
      <c r="D4737">
        <v>2</v>
      </c>
      <c r="E4737">
        <v>0</v>
      </c>
      <c r="F4737">
        <f t="shared" si="73"/>
        <v>2</v>
      </c>
      <c r="I4737">
        <v>20220101</v>
      </c>
      <c r="J4737" t="s">
        <v>4856</v>
      </c>
    </row>
    <row r="4738" spans="1:12" x14ac:dyDescent="0.3">
      <c r="A4738" s="160">
        <v>42223</v>
      </c>
      <c r="B4738" t="s">
        <v>19922</v>
      </c>
      <c r="C4738" t="s">
        <v>4841</v>
      </c>
      <c r="D4738">
        <v>2</v>
      </c>
      <c r="E4738">
        <v>0</v>
      </c>
      <c r="F4738">
        <f t="shared" si="73"/>
        <v>2</v>
      </c>
      <c r="I4738">
        <v>20220101</v>
      </c>
      <c r="J4738" t="s">
        <v>4962</v>
      </c>
    </row>
    <row r="4739" spans="1:12" x14ac:dyDescent="0.3">
      <c r="A4739" s="160">
        <v>42225</v>
      </c>
      <c r="B4739" t="s">
        <v>19923</v>
      </c>
      <c r="C4739" t="s">
        <v>4841</v>
      </c>
      <c r="D4739">
        <v>2</v>
      </c>
      <c r="E4739">
        <v>0</v>
      </c>
      <c r="F4739">
        <f t="shared" si="73"/>
        <v>2</v>
      </c>
      <c r="I4739">
        <v>20220101</v>
      </c>
      <c r="J4739" t="s">
        <v>4855</v>
      </c>
      <c r="K4739" t="s">
        <v>4963</v>
      </c>
    </row>
    <row r="4740" spans="1:12" x14ac:dyDescent="0.3">
      <c r="A4740" s="160">
        <v>42231</v>
      </c>
      <c r="B4740" t="s">
        <v>19924</v>
      </c>
      <c r="C4740" t="s">
        <v>4843</v>
      </c>
      <c r="D4740">
        <v>1.2</v>
      </c>
      <c r="E4740">
        <v>0</v>
      </c>
      <c r="F4740">
        <f t="shared" si="73"/>
        <v>1.2</v>
      </c>
      <c r="I4740">
        <v>20240101</v>
      </c>
      <c r="J4740" t="s">
        <v>4899</v>
      </c>
    </row>
    <row r="4741" spans="1:12" x14ac:dyDescent="0.3">
      <c r="A4741" s="160">
        <v>42232</v>
      </c>
      <c r="B4741" t="s">
        <v>19925</v>
      </c>
      <c r="C4741" t="s">
        <v>4843</v>
      </c>
      <c r="D4741">
        <v>1.2</v>
      </c>
      <c r="E4741">
        <v>0</v>
      </c>
      <c r="F4741">
        <f t="shared" si="73"/>
        <v>1.2</v>
      </c>
      <c r="I4741">
        <v>20240101</v>
      </c>
      <c r="J4741" t="s">
        <v>4852</v>
      </c>
    </row>
    <row r="4742" spans="1:12" x14ac:dyDescent="0.3">
      <c r="A4742" s="160">
        <v>42233</v>
      </c>
      <c r="B4742" t="s">
        <v>19926</v>
      </c>
      <c r="C4742" t="s">
        <v>4843</v>
      </c>
      <c r="D4742">
        <v>1.2</v>
      </c>
      <c r="E4742">
        <v>0</v>
      </c>
      <c r="F4742">
        <f t="shared" si="73"/>
        <v>1.2</v>
      </c>
      <c r="I4742">
        <v>20240101</v>
      </c>
      <c r="J4742" t="s">
        <v>4852</v>
      </c>
    </row>
    <row r="4743" spans="1:12" x14ac:dyDescent="0.3">
      <c r="A4743" s="160">
        <v>42234</v>
      </c>
      <c r="B4743" t="s">
        <v>19927</v>
      </c>
      <c r="C4743" t="s">
        <v>4841</v>
      </c>
      <c r="D4743">
        <v>2</v>
      </c>
      <c r="E4743">
        <v>0</v>
      </c>
      <c r="F4743">
        <f t="shared" ref="F4743:F4806" si="74">D4743+E4743</f>
        <v>2</v>
      </c>
      <c r="I4743">
        <v>20220101</v>
      </c>
      <c r="J4743" t="s">
        <v>4964</v>
      </c>
    </row>
    <row r="4744" spans="1:12" x14ac:dyDescent="0.3">
      <c r="A4744" s="160">
        <v>42237</v>
      </c>
      <c r="B4744" t="s">
        <v>19928</v>
      </c>
      <c r="C4744" t="s">
        <v>4841</v>
      </c>
      <c r="D4744">
        <v>2</v>
      </c>
      <c r="E4744">
        <v>0</v>
      </c>
      <c r="F4744">
        <f t="shared" si="74"/>
        <v>2</v>
      </c>
      <c r="I4744">
        <v>20220101</v>
      </c>
      <c r="J4744" t="s">
        <v>4965</v>
      </c>
      <c r="K4744" t="s">
        <v>4966</v>
      </c>
      <c r="L4744" t="s">
        <v>4967</v>
      </c>
    </row>
    <row r="4745" spans="1:12" x14ac:dyDescent="0.3">
      <c r="A4745" s="160">
        <v>42239</v>
      </c>
      <c r="B4745" t="s">
        <v>19929</v>
      </c>
      <c r="C4745" t="s">
        <v>4843</v>
      </c>
      <c r="D4745">
        <v>1.2</v>
      </c>
      <c r="E4745">
        <v>0</v>
      </c>
      <c r="F4745">
        <f t="shared" si="74"/>
        <v>1.2</v>
      </c>
      <c r="I4745">
        <v>20240101</v>
      </c>
      <c r="J4745" t="s">
        <v>4888</v>
      </c>
    </row>
    <row r="4746" spans="1:12" x14ac:dyDescent="0.3">
      <c r="A4746" s="160">
        <v>42242</v>
      </c>
      <c r="B4746" t="s">
        <v>19930</v>
      </c>
      <c r="C4746" t="s">
        <v>4841</v>
      </c>
      <c r="D4746">
        <v>2</v>
      </c>
      <c r="E4746">
        <v>0</v>
      </c>
      <c r="F4746">
        <f t="shared" si="74"/>
        <v>2</v>
      </c>
      <c r="I4746">
        <v>20220101</v>
      </c>
      <c r="J4746" t="s">
        <v>4855</v>
      </c>
    </row>
    <row r="4747" spans="1:12" x14ac:dyDescent="0.3">
      <c r="A4747" s="160">
        <v>42253</v>
      </c>
      <c r="B4747" t="s">
        <v>19931</v>
      </c>
      <c r="C4747" t="s">
        <v>4843</v>
      </c>
      <c r="D4747">
        <v>1.2</v>
      </c>
      <c r="E4747">
        <v>0</v>
      </c>
      <c r="F4747">
        <f t="shared" si="74"/>
        <v>1.2</v>
      </c>
      <c r="I4747">
        <v>20240101</v>
      </c>
      <c r="J4747" t="s">
        <v>4888</v>
      </c>
    </row>
    <row r="4748" spans="1:12" x14ac:dyDescent="0.3">
      <c r="A4748" s="160">
        <v>42257</v>
      </c>
      <c r="B4748" t="s">
        <v>19932</v>
      </c>
      <c r="C4748" t="s">
        <v>4843</v>
      </c>
      <c r="D4748">
        <v>1.2</v>
      </c>
      <c r="E4748">
        <v>0</v>
      </c>
      <c r="F4748">
        <f t="shared" si="74"/>
        <v>1.2</v>
      </c>
      <c r="I4748">
        <v>20240101</v>
      </c>
      <c r="J4748" t="s">
        <v>4968</v>
      </c>
    </row>
    <row r="4749" spans="1:12" x14ac:dyDescent="0.3">
      <c r="A4749" s="160">
        <v>42259</v>
      </c>
      <c r="B4749" t="s">
        <v>19933</v>
      </c>
      <c r="C4749" t="s">
        <v>4841</v>
      </c>
      <c r="D4749">
        <v>2</v>
      </c>
      <c r="E4749">
        <v>0</v>
      </c>
      <c r="F4749">
        <f t="shared" si="74"/>
        <v>2</v>
      </c>
      <c r="I4749">
        <v>20220101</v>
      </c>
      <c r="J4749" t="s">
        <v>4855</v>
      </c>
      <c r="K4749" t="s">
        <v>4861</v>
      </c>
      <c r="L4749" t="s">
        <v>4969</v>
      </c>
    </row>
    <row r="4750" spans="1:12" x14ac:dyDescent="0.3">
      <c r="A4750" s="160">
        <v>42262</v>
      </c>
      <c r="B4750" t="s">
        <v>19934</v>
      </c>
      <c r="C4750" t="s">
        <v>4841</v>
      </c>
      <c r="D4750">
        <v>2</v>
      </c>
      <c r="E4750">
        <v>0</v>
      </c>
      <c r="F4750">
        <f t="shared" si="74"/>
        <v>2</v>
      </c>
      <c r="I4750">
        <v>20220101</v>
      </c>
      <c r="J4750" t="s">
        <v>4853</v>
      </c>
    </row>
    <row r="4751" spans="1:12" x14ac:dyDescent="0.3">
      <c r="A4751" s="160">
        <v>42266</v>
      </c>
      <c r="B4751" t="s">
        <v>19935</v>
      </c>
      <c r="C4751" t="s">
        <v>4841</v>
      </c>
      <c r="D4751">
        <v>2</v>
      </c>
      <c r="E4751">
        <v>0</v>
      </c>
      <c r="F4751">
        <f t="shared" si="74"/>
        <v>2</v>
      </c>
      <c r="I4751">
        <v>20220101</v>
      </c>
      <c r="J4751" t="s">
        <v>4842</v>
      </c>
    </row>
    <row r="4752" spans="1:12" x14ac:dyDescent="0.3">
      <c r="A4752" s="160">
        <v>42270</v>
      </c>
      <c r="B4752" t="s">
        <v>19936</v>
      </c>
      <c r="C4752" t="s">
        <v>4841</v>
      </c>
      <c r="D4752">
        <v>2</v>
      </c>
      <c r="E4752">
        <v>0</v>
      </c>
      <c r="F4752">
        <f t="shared" si="74"/>
        <v>2</v>
      </c>
      <c r="I4752">
        <v>20220101</v>
      </c>
      <c r="J4752" t="s">
        <v>4853</v>
      </c>
      <c r="K4752" t="s">
        <v>4970</v>
      </c>
    </row>
    <row r="4753" spans="1:16" x14ac:dyDescent="0.3">
      <c r="A4753" s="160">
        <v>42271</v>
      </c>
      <c r="B4753" t="s">
        <v>19937</v>
      </c>
      <c r="C4753" t="s">
        <v>4841</v>
      </c>
      <c r="D4753">
        <v>2</v>
      </c>
      <c r="E4753">
        <v>0</v>
      </c>
      <c r="F4753">
        <f t="shared" si="74"/>
        <v>2</v>
      </c>
      <c r="I4753">
        <v>20220101</v>
      </c>
      <c r="J4753" t="s">
        <v>4873</v>
      </c>
    </row>
    <row r="4754" spans="1:16" x14ac:dyDescent="0.3">
      <c r="A4754" s="160">
        <v>42275</v>
      </c>
      <c r="B4754" t="s">
        <v>19938</v>
      </c>
      <c r="C4754" t="s">
        <v>4841</v>
      </c>
      <c r="D4754">
        <v>2</v>
      </c>
      <c r="E4754">
        <v>0</v>
      </c>
      <c r="F4754">
        <f t="shared" si="74"/>
        <v>2</v>
      </c>
      <c r="I4754">
        <v>20220101</v>
      </c>
      <c r="J4754" t="s">
        <v>4971</v>
      </c>
      <c r="K4754" t="s">
        <v>4972</v>
      </c>
      <c r="L4754" t="s">
        <v>4973</v>
      </c>
      <c r="M4754" t="s">
        <v>4974</v>
      </c>
      <c r="N4754" t="s">
        <v>4975</v>
      </c>
      <c r="O4754" t="s">
        <v>4976</v>
      </c>
      <c r="P4754" t="s">
        <v>4977</v>
      </c>
    </row>
    <row r="4755" spans="1:16" x14ac:dyDescent="0.3">
      <c r="A4755" s="160">
        <v>42281</v>
      </c>
      <c r="B4755" t="s">
        <v>19939</v>
      </c>
      <c r="C4755" t="s">
        <v>4843</v>
      </c>
      <c r="D4755">
        <v>1.2</v>
      </c>
      <c r="E4755">
        <v>0</v>
      </c>
      <c r="F4755">
        <f t="shared" si="74"/>
        <v>1.2</v>
      </c>
      <c r="I4755">
        <v>20240101</v>
      </c>
      <c r="J4755" t="s">
        <v>4852</v>
      </c>
    </row>
    <row r="4756" spans="1:16" x14ac:dyDescent="0.3">
      <c r="A4756" s="160">
        <v>42283</v>
      </c>
      <c r="B4756" t="s">
        <v>19940</v>
      </c>
      <c r="C4756" t="s">
        <v>4841</v>
      </c>
      <c r="D4756">
        <v>2</v>
      </c>
      <c r="E4756">
        <v>0</v>
      </c>
      <c r="F4756">
        <f t="shared" si="74"/>
        <v>2</v>
      </c>
      <c r="I4756">
        <v>20220101</v>
      </c>
      <c r="J4756" t="s">
        <v>4855</v>
      </c>
    </row>
    <row r="4757" spans="1:16" x14ac:dyDescent="0.3">
      <c r="A4757" s="160">
        <v>42284</v>
      </c>
      <c r="B4757" t="s">
        <v>19941</v>
      </c>
      <c r="C4757" t="s">
        <v>4843</v>
      </c>
      <c r="D4757">
        <v>1.2</v>
      </c>
      <c r="E4757">
        <v>0</v>
      </c>
      <c r="F4757">
        <f t="shared" si="74"/>
        <v>1.2</v>
      </c>
      <c r="I4757">
        <v>20240101</v>
      </c>
      <c r="J4757" t="s">
        <v>4899</v>
      </c>
    </row>
    <row r="4758" spans="1:16" x14ac:dyDescent="0.3">
      <c r="A4758" s="160">
        <v>42294</v>
      </c>
      <c r="B4758" t="s">
        <v>19942</v>
      </c>
      <c r="C4758" t="s">
        <v>4843</v>
      </c>
      <c r="D4758">
        <v>1.2</v>
      </c>
      <c r="E4758">
        <v>0</v>
      </c>
      <c r="F4758">
        <f t="shared" si="74"/>
        <v>1.2</v>
      </c>
      <c r="I4758">
        <v>20240101</v>
      </c>
      <c r="J4758" t="s">
        <v>4865</v>
      </c>
    </row>
    <row r="4759" spans="1:16" x14ac:dyDescent="0.3">
      <c r="A4759" s="160">
        <v>42302</v>
      </c>
      <c r="B4759" t="s">
        <v>19943</v>
      </c>
      <c r="C4759" t="s">
        <v>4841</v>
      </c>
      <c r="D4759">
        <v>2</v>
      </c>
      <c r="E4759">
        <v>0</v>
      </c>
      <c r="F4759">
        <f t="shared" si="74"/>
        <v>2</v>
      </c>
      <c r="I4759">
        <v>20220101</v>
      </c>
      <c r="J4759" t="s">
        <v>4978</v>
      </c>
    </row>
    <row r="4760" spans="1:16" x14ac:dyDescent="0.3">
      <c r="A4760" s="160">
        <v>42305</v>
      </c>
      <c r="B4760" t="s">
        <v>19944</v>
      </c>
      <c r="C4760" t="s">
        <v>4841</v>
      </c>
      <c r="D4760">
        <v>2</v>
      </c>
      <c r="E4760">
        <v>0</v>
      </c>
      <c r="F4760">
        <f t="shared" si="74"/>
        <v>2</v>
      </c>
      <c r="I4760">
        <v>20220101</v>
      </c>
      <c r="J4760" t="s">
        <v>4979</v>
      </c>
      <c r="K4760" t="s">
        <v>4980</v>
      </c>
      <c r="L4760" t="s">
        <v>4981</v>
      </c>
      <c r="M4760" t="s">
        <v>4982</v>
      </c>
      <c r="N4760" t="s">
        <v>4983</v>
      </c>
    </row>
    <row r="4761" spans="1:16" x14ac:dyDescent="0.3">
      <c r="A4761" s="160">
        <v>42307</v>
      </c>
      <c r="B4761" t="s">
        <v>19945</v>
      </c>
      <c r="C4761" t="s">
        <v>4841</v>
      </c>
      <c r="D4761">
        <v>2</v>
      </c>
      <c r="E4761">
        <v>0</v>
      </c>
      <c r="F4761">
        <f t="shared" si="74"/>
        <v>2</v>
      </c>
      <c r="I4761">
        <v>20220101</v>
      </c>
      <c r="J4761" t="s">
        <v>4855</v>
      </c>
    </row>
    <row r="4762" spans="1:16" x14ac:dyDescent="0.3">
      <c r="A4762" s="160">
        <v>42308</v>
      </c>
      <c r="B4762" t="s">
        <v>19946</v>
      </c>
      <c r="C4762" t="s">
        <v>4841</v>
      </c>
      <c r="D4762">
        <v>2</v>
      </c>
      <c r="E4762">
        <v>0</v>
      </c>
      <c r="F4762">
        <f t="shared" si="74"/>
        <v>2</v>
      </c>
      <c r="I4762">
        <v>20220101</v>
      </c>
      <c r="J4762" t="s">
        <v>4873</v>
      </c>
    </row>
    <row r="4763" spans="1:16" x14ac:dyDescent="0.3">
      <c r="A4763" s="160">
        <v>42311</v>
      </c>
      <c r="B4763" t="s">
        <v>19947</v>
      </c>
      <c r="C4763" t="s">
        <v>4841</v>
      </c>
      <c r="D4763">
        <v>2</v>
      </c>
      <c r="E4763">
        <v>0</v>
      </c>
      <c r="F4763">
        <f t="shared" si="74"/>
        <v>2</v>
      </c>
      <c r="I4763">
        <v>20220101</v>
      </c>
      <c r="J4763" t="s">
        <v>4874</v>
      </c>
    </row>
    <row r="4764" spans="1:16" x14ac:dyDescent="0.3">
      <c r="A4764" s="160">
        <v>42316</v>
      </c>
      <c r="B4764" t="s">
        <v>19948</v>
      </c>
      <c r="C4764" t="s">
        <v>4841</v>
      </c>
      <c r="D4764">
        <v>2</v>
      </c>
      <c r="E4764">
        <v>0</v>
      </c>
      <c r="F4764">
        <f t="shared" si="74"/>
        <v>2</v>
      </c>
      <c r="I4764">
        <v>20220101</v>
      </c>
      <c r="J4764" t="s">
        <v>4853</v>
      </c>
      <c r="K4764" t="s">
        <v>4970</v>
      </c>
    </row>
    <row r="4765" spans="1:16" x14ac:dyDescent="0.3">
      <c r="A4765" s="160">
        <v>42317</v>
      </c>
      <c r="B4765" t="s">
        <v>19949</v>
      </c>
      <c r="C4765" t="s">
        <v>4843</v>
      </c>
      <c r="D4765">
        <v>1.2</v>
      </c>
      <c r="E4765">
        <v>0</v>
      </c>
      <c r="F4765">
        <f t="shared" si="74"/>
        <v>1.2</v>
      </c>
      <c r="I4765">
        <v>20240101</v>
      </c>
      <c r="J4765" t="s">
        <v>4860</v>
      </c>
    </row>
    <row r="4766" spans="1:16" x14ac:dyDescent="0.3">
      <c r="A4766" s="160">
        <v>42320</v>
      </c>
      <c r="B4766" t="s">
        <v>19950</v>
      </c>
      <c r="C4766" t="s">
        <v>4841</v>
      </c>
      <c r="D4766">
        <v>2</v>
      </c>
      <c r="E4766">
        <v>0</v>
      </c>
      <c r="F4766">
        <f t="shared" si="74"/>
        <v>2</v>
      </c>
      <c r="I4766">
        <v>20220101</v>
      </c>
      <c r="J4766" t="s">
        <v>4854</v>
      </c>
    </row>
    <row r="4767" spans="1:16" x14ac:dyDescent="0.3">
      <c r="A4767" s="160">
        <v>42322</v>
      </c>
      <c r="B4767" t="s">
        <v>19951</v>
      </c>
      <c r="C4767" t="s">
        <v>4841</v>
      </c>
      <c r="D4767">
        <v>2</v>
      </c>
      <c r="E4767">
        <v>0</v>
      </c>
      <c r="F4767">
        <f t="shared" si="74"/>
        <v>2</v>
      </c>
      <c r="I4767">
        <v>20220101</v>
      </c>
      <c r="J4767" t="s">
        <v>4984</v>
      </c>
    </row>
    <row r="4768" spans="1:16" x14ac:dyDescent="0.3">
      <c r="A4768" s="160">
        <v>42330</v>
      </c>
      <c r="B4768" t="s">
        <v>18110</v>
      </c>
      <c r="C4768" t="s">
        <v>4841</v>
      </c>
      <c r="D4768">
        <v>2</v>
      </c>
      <c r="E4768">
        <v>0</v>
      </c>
      <c r="F4768">
        <f t="shared" si="74"/>
        <v>2</v>
      </c>
      <c r="I4768">
        <v>20220101</v>
      </c>
      <c r="J4768" t="s">
        <v>4985</v>
      </c>
    </row>
    <row r="4769" spans="1:12" x14ac:dyDescent="0.3">
      <c r="A4769" s="160">
        <v>42331</v>
      </c>
      <c r="B4769" t="s">
        <v>19952</v>
      </c>
      <c r="C4769" t="s">
        <v>4843</v>
      </c>
      <c r="D4769">
        <v>1.2</v>
      </c>
      <c r="E4769">
        <v>0</v>
      </c>
      <c r="F4769">
        <f t="shared" si="74"/>
        <v>1.2</v>
      </c>
      <c r="I4769">
        <v>20240101</v>
      </c>
      <c r="J4769" t="s">
        <v>4888</v>
      </c>
    </row>
    <row r="4770" spans="1:12" x14ac:dyDescent="0.3">
      <c r="A4770" s="160">
        <v>42332</v>
      </c>
      <c r="B4770" t="s">
        <v>19953</v>
      </c>
      <c r="C4770" t="s">
        <v>4843</v>
      </c>
      <c r="D4770">
        <v>1.2</v>
      </c>
      <c r="E4770">
        <v>0</v>
      </c>
      <c r="F4770">
        <f t="shared" si="74"/>
        <v>1.2</v>
      </c>
      <c r="I4770">
        <v>20240101</v>
      </c>
      <c r="J4770" t="s">
        <v>4890</v>
      </c>
      <c r="K4770" t="s">
        <v>4891</v>
      </c>
      <c r="L4770" t="s">
        <v>4898</v>
      </c>
    </row>
    <row r="4771" spans="1:12" x14ac:dyDescent="0.3">
      <c r="A4771" s="160">
        <v>42335</v>
      </c>
      <c r="B4771" t="s">
        <v>19954</v>
      </c>
      <c r="C4771" t="s">
        <v>177</v>
      </c>
      <c r="D4771">
        <v>0.65</v>
      </c>
      <c r="E4771">
        <v>0</v>
      </c>
      <c r="F4771">
        <f t="shared" si="74"/>
        <v>0.65</v>
      </c>
      <c r="G4771">
        <v>0.75</v>
      </c>
      <c r="H4771">
        <f>G4771*F4771</f>
        <v>0.48750000000000004</v>
      </c>
      <c r="I4771">
        <v>20240701</v>
      </c>
      <c r="J4771" t="s">
        <v>4863</v>
      </c>
    </row>
    <row r="4772" spans="1:12" x14ac:dyDescent="0.3">
      <c r="A4772" s="160">
        <v>42336</v>
      </c>
      <c r="B4772" t="s">
        <v>19955</v>
      </c>
      <c r="C4772" t="s">
        <v>177</v>
      </c>
      <c r="D4772">
        <v>0.65</v>
      </c>
      <c r="E4772">
        <v>0</v>
      </c>
      <c r="F4772">
        <f t="shared" si="74"/>
        <v>0.65</v>
      </c>
      <c r="G4772">
        <v>0.75</v>
      </c>
      <c r="H4772">
        <f>G4772*F4772</f>
        <v>0.48750000000000004</v>
      </c>
      <c r="I4772">
        <v>20240701</v>
      </c>
      <c r="J4772" t="s">
        <v>4863</v>
      </c>
    </row>
    <row r="4773" spans="1:12" x14ac:dyDescent="0.3">
      <c r="A4773" s="160">
        <v>42337</v>
      </c>
      <c r="B4773" t="s">
        <v>19956</v>
      </c>
      <c r="C4773" t="s">
        <v>4843</v>
      </c>
      <c r="D4773">
        <v>1.2</v>
      </c>
      <c r="E4773">
        <v>0</v>
      </c>
      <c r="F4773">
        <f t="shared" si="74"/>
        <v>1.2</v>
      </c>
      <c r="I4773">
        <v>20240101</v>
      </c>
      <c r="J4773" t="s">
        <v>4860</v>
      </c>
    </row>
    <row r="4774" spans="1:12" x14ac:dyDescent="0.3">
      <c r="A4774" s="160">
        <v>43002</v>
      </c>
      <c r="B4774" t="s">
        <v>19957</v>
      </c>
      <c r="C4774" t="s">
        <v>4986</v>
      </c>
      <c r="D4774">
        <v>0.8</v>
      </c>
      <c r="E4774">
        <v>0</v>
      </c>
      <c r="F4774">
        <f t="shared" si="74"/>
        <v>0.8</v>
      </c>
      <c r="I4774">
        <v>20170701</v>
      </c>
      <c r="J4774" t="s">
        <v>4987</v>
      </c>
      <c r="K4774" t="s">
        <v>4988</v>
      </c>
    </row>
    <row r="4775" spans="1:12" x14ac:dyDescent="0.3">
      <c r="A4775" s="160">
        <v>43003</v>
      </c>
      <c r="B4775" t="s">
        <v>19958</v>
      </c>
      <c r="C4775" t="s">
        <v>4986</v>
      </c>
      <c r="D4775">
        <v>0.8</v>
      </c>
      <c r="E4775">
        <v>0</v>
      </c>
      <c r="F4775">
        <f t="shared" si="74"/>
        <v>0.8</v>
      </c>
      <c r="I4775">
        <v>20210101</v>
      </c>
      <c r="J4775" t="s">
        <v>4989</v>
      </c>
    </row>
    <row r="4776" spans="1:12" x14ac:dyDescent="0.3">
      <c r="A4776" s="160">
        <v>43010</v>
      </c>
      <c r="B4776" t="s">
        <v>19959</v>
      </c>
      <c r="C4776" t="s">
        <v>4986</v>
      </c>
      <c r="D4776">
        <v>0.8</v>
      </c>
      <c r="E4776">
        <v>0</v>
      </c>
      <c r="F4776">
        <f t="shared" si="74"/>
        <v>0.8</v>
      </c>
      <c r="I4776">
        <v>20170701</v>
      </c>
      <c r="J4776" t="s">
        <v>4990</v>
      </c>
    </row>
    <row r="4777" spans="1:12" x14ac:dyDescent="0.3">
      <c r="A4777" s="160">
        <v>43018</v>
      </c>
      <c r="B4777" t="s">
        <v>19960</v>
      </c>
      <c r="C4777" t="s">
        <v>4986</v>
      </c>
      <c r="D4777">
        <v>0.8</v>
      </c>
      <c r="E4777">
        <v>0</v>
      </c>
      <c r="F4777">
        <f t="shared" si="74"/>
        <v>0.8</v>
      </c>
      <c r="I4777">
        <v>20170701</v>
      </c>
      <c r="J4777" t="s">
        <v>4991</v>
      </c>
    </row>
    <row r="4778" spans="1:12" x14ac:dyDescent="0.3">
      <c r="A4778" s="160">
        <v>43021</v>
      </c>
      <c r="B4778" t="s">
        <v>19016</v>
      </c>
      <c r="C4778" t="s">
        <v>4986</v>
      </c>
      <c r="D4778">
        <v>0.8</v>
      </c>
      <c r="E4778">
        <v>0</v>
      </c>
      <c r="F4778">
        <f t="shared" si="74"/>
        <v>0.8</v>
      </c>
      <c r="I4778">
        <v>20210101</v>
      </c>
      <c r="J4778" t="s">
        <v>4992</v>
      </c>
    </row>
    <row r="4779" spans="1:12" x14ac:dyDescent="0.3">
      <c r="A4779" s="160">
        <v>43023</v>
      </c>
      <c r="B4779" t="s">
        <v>19961</v>
      </c>
      <c r="C4779" t="s">
        <v>4986</v>
      </c>
      <c r="D4779">
        <v>0.8</v>
      </c>
      <c r="E4779">
        <v>0</v>
      </c>
      <c r="F4779">
        <f t="shared" si="74"/>
        <v>0.8</v>
      </c>
      <c r="I4779">
        <v>20210101</v>
      </c>
      <c r="J4779" t="s">
        <v>4993</v>
      </c>
    </row>
    <row r="4780" spans="1:12" x14ac:dyDescent="0.3">
      <c r="A4780" s="160">
        <v>43026</v>
      </c>
      <c r="B4780" t="s">
        <v>19962</v>
      </c>
      <c r="C4780" t="s">
        <v>4986</v>
      </c>
      <c r="D4780">
        <v>0.8</v>
      </c>
      <c r="E4780">
        <v>0</v>
      </c>
      <c r="F4780">
        <f t="shared" si="74"/>
        <v>0.8</v>
      </c>
      <c r="I4780">
        <v>20210101</v>
      </c>
      <c r="J4780" t="s">
        <v>4994</v>
      </c>
    </row>
    <row r="4781" spans="1:12" x14ac:dyDescent="0.3">
      <c r="A4781" s="160">
        <v>43030</v>
      </c>
      <c r="B4781" t="s">
        <v>19963</v>
      </c>
      <c r="C4781" t="s">
        <v>4986</v>
      </c>
      <c r="D4781">
        <v>0.8</v>
      </c>
      <c r="E4781">
        <v>0</v>
      </c>
      <c r="F4781">
        <f t="shared" si="74"/>
        <v>0.8</v>
      </c>
      <c r="I4781">
        <v>20210101</v>
      </c>
      <c r="J4781" t="s">
        <v>4994</v>
      </c>
    </row>
    <row r="4782" spans="1:12" x14ac:dyDescent="0.3">
      <c r="A4782" s="160">
        <v>43032</v>
      </c>
      <c r="B4782" t="s">
        <v>19964</v>
      </c>
      <c r="C4782" t="s">
        <v>4986</v>
      </c>
      <c r="D4782">
        <v>0.8</v>
      </c>
      <c r="E4782">
        <v>0</v>
      </c>
      <c r="F4782">
        <f t="shared" si="74"/>
        <v>0.8</v>
      </c>
      <c r="I4782">
        <v>20170701</v>
      </c>
      <c r="J4782" t="s">
        <v>4995</v>
      </c>
      <c r="K4782" t="s">
        <v>4990</v>
      </c>
    </row>
    <row r="4783" spans="1:12" x14ac:dyDescent="0.3">
      <c r="A4783" s="160">
        <v>43035</v>
      </c>
      <c r="B4783" t="s">
        <v>19965</v>
      </c>
      <c r="C4783" t="s">
        <v>4986</v>
      </c>
      <c r="D4783">
        <v>0.8</v>
      </c>
      <c r="E4783">
        <v>0</v>
      </c>
      <c r="F4783">
        <f t="shared" si="74"/>
        <v>0.8</v>
      </c>
      <c r="I4783">
        <v>20210101</v>
      </c>
      <c r="J4783" t="s">
        <v>4996</v>
      </c>
    </row>
    <row r="4784" spans="1:12" x14ac:dyDescent="0.3">
      <c r="A4784" s="160">
        <v>43036</v>
      </c>
      <c r="B4784" t="s">
        <v>19966</v>
      </c>
      <c r="C4784" t="s">
        <v>4986</v>
      </c>
      <c r="D4784">
        <v>0.8</v>
      </c>
      <c r="E4784">
        <v>0</v>
      </c>
      <c r="F4784">
        <f t="shared" si="74"/>
        <v>0.8</v>
      </c>
      <c r="I4784">
        <v>20210101</v>
      </c>
      <c r="J4784" t="s">
        <v>4994</v>
      </c>
    </row>
    <row r="4785" spans="1:14" x14ac:dyDescent="0.3">
      <c r="A4785" s="160">
        <v>43039</v>
      </c>
      <c r="B4785" t="s">
        <v>19967</v>
      </c>
      <c r="C4785" t="s">
        <v>4986</v>
      </c>
      <c r="D4785">
        <v>0.8</v>
      </c>
      <c r="E4785">
        <v>0</v>
      </c>
      <c r="F4785">
        <f t="shared" si="74"/>
        <v>0.8</v>
      </c>
      <c r="I4785">
        <v>20170701</v>
      </c>
      <c r="J4785" t="s">
        <v>4991</v>
      </c>
    </row>
    <row r="4786" spans="1:14" x14ac:dyDescent="0.3">
      <c r="A4786" s="160">
        <v>43041</v>
      </c>
      <c r="B4786" t="s">
        <v>19968</v>
      </c>
      <c r="C4786" t="s">
        <v>4986</v>
      </c>
      <c r="D4786">
        <v>0.8</v>
      </c>
      <c r="E4786">
        <v>0</v>
      </c>
      <c r="F4786">
        <f t="shared" si="74"/>
        <v>0.8</v>
      </c>
      <c r="I4786">
        <v>20170701</v>
      </c>
      <c r="J4786" t="s">
        <v>4997</v>
      </c>
      <c r="K4786" t="s">
        <v>4998</v>
      </c>
      <c r="L4786" t="s">
        <v>4999</v>
      </c>
      <c r="M4786" t="s">
        <v>4995</v>
      </c>
      <c r="N4786" t="s">
        <v>4990</v>
      </c>
    </row>
    <row r="4787" spans="1:14" x14ac:dyDescent="0.3">
      <c r="A4787" s="160">
        <v>43043</v>
      </c>
      <c r="B4787" t="s">
        <v>19969</v>
      </c>
      <c r="C4787" t="s">
        <v>4986</v>
      </c>
      <c r="D4787">
        <v>0.8</v>
      </c>
      <c r="E4787">
        <v>0</v>
      </c>
      <c r="F4787">
        <f t="shared" si="74"/>
        <v>0.8</v>
      </c>
      <c r="I4787">
        <v>20210101</v>
      </c>
      <c r="J4787" t="s">
        <v>4989</v>
      </c>
    </row>
    <row r="4788" spans="1:14" x14ac:dyDescent="0.3">
      <c r="A4788" s="160">
        <v>43045</v>
      </c>
      <c r="B4788" t="s">
        <v>19970</v>
      </c>
      <c r="C4788" t="s">
        <v>4986</v>
      </c>
      <c r="D4788">
        <v>0.8</v>
      </c>
      <c r="E4788">
        <v>0</v>
      </c>
      <c r="F4788">
        <f t="shared" si="74"/>
        <v>0.8</v>
      </c>
      <c r="I4788">
        <v>20170701</v>
      </c>
      <c r="J4788" t="s">
        <v>4987</v>
      </c>
    </row>
    <row r="4789" spans="1:14" x14ac:dyDescent="0.3">
      <c r="A4789" s="160">
        <v>43046</v>
      </c>
      <c r="B4789" t="s">
        <v>19971</v>
      </c>
      <c r="C4789" t="s">
        <v>4986</v>
      </c>
      <c r="D4789">
        <v>0.8</v>
      </c>
      <c r="E4789">
        <v>0</v>
      </c>
      <c r="F4789">
        <f t="shared" si="74"/>
        <v>0.8</v>
      </c>
      <c r="I4789">
        <v>20170701</v>
      </c>
      <c r="J4789" t="s">
        <v>5000</v>
      </c>
      <c r="K4789" t="s">
        <v>4998</v>
      </c>
      <c r="L4789" t="s">
        <v>4999</v>
      </c>
      <c r="M4789" t="s">
        <v>5001</v>
      </c>
    </row>
    <row r="4790" spans="1:14" x14ac:dyDescent="0.3">
      <c r="A4790" s="160">
        <v>43048</v>
      </c>
      <c r="B4790" t="s">
        <v>19972</v>
      </c>
      <c r="C4790" t="s">
        <v>4986</v>
      </c>
      <c r="D4790">
        <v>0.8</v>
      </c>
      <c r="E4790">
        <v>0</v>
      </c>
      <c r="F4790">
        <f t="shared" si="74"/>
        <v>0.8</v>
      </c>
      <c r="I4790">
        <v>20210101</v>
      </c>
      <c r="J4790" t="s">
        <v>4996</v>
      </c>
    </row>
    <row r="4791" spans="1:14" x14ac:dyDescent="0.3">
      <c r="A4791" s="160">
        <v>43049</v>
      </c>
      <c r="B4791" t="s">
        <v>19973</v>
      </c>
      <c r="C4791" t="s">
        <v>4986</v>
      </c>
      <c r="D4791">
        <v>0.8</v>
      </c>
      <c r="E4791">
        <v>0</v>
      </c>
      <c r="F4791">
        <f t="shared" si="74"/>
        <v>0.8</v>
      </c>
      <c r="I4791">
        <v>20210101</v>
      </c>
      <c r="J4791" t="s">
        <v>4992</v>
      </c>
    </row>
    <row r="4792" spans="1:14" x14ac:dyDescent="0.3">
      <c r="A4792" s="160">
        <v>43057</v>
      </c>
      <c r="B4792" t="s">
        <v>19974</v>
      </c>
      <c r="C4792" t="s">
        <v>4986</v>
      </c>
      <c r="D4792">
        <v>0.8</v>
      </c>
      <c r="E4792">
        <v>0</v>
      </c>
      <c r="F4792">
        <f t="shared" si="74"/>
        <v>0.8</v>
      </c>
      <c r="I4792">
        <v>20210101</v>
      </c>
      <c r="J4792" t="s">
        <v>4989</v>
      </c>
    </row>
    <row r="4793" spans="1:14" x14ac:dyDescent="0.3">
      <c r="A4793" s="160">
        <v>43059</v>
      </c>
      <c r="B4793" t="s">
        <v>19975</v>
      </c>
      <c r="C4793" t="s">
        <v>4986</v>
      </c>
      <c r="D4793">
        <v>0.8</v>
      </c>
      <c r="E4793">
        <v>0</v>
      </c>
      <c r="F4793">
        <f t="shared" si="74"/>
        <v>0.8</v>
      </c>
      <c r="I4793">
        <v>20210101</v>
      </c>
      <c r="J4793" t="s">
        <v>4996</v>
      </c>
    </row>
    <row r="4794" spans="1:14" x14ac:dyDescent="0.3">
      <c r="A4794" s="160">
        <v>43061</v>
      </c>
      <c r="B4794" t="s">
        <v>19976</v>
      </c>
      <c r="C4794" t="s">
        <v>4986</v>
      </c>
      <c r="D4794">
        <v>0.8</v>
      </c>
      <c r="E4794">
        <v>0</v>
      </c>
      <c r="F4794">
        <f t="shared" si="74"/>
        <v>0.8</v>
      </c>
      <c r="I4794">
        <v>20170701</v>
      </c>
      <c r="J4794" t="s">
        <v>4990</v>
      </c>
    </row>
    <row r="4795" spans="1:14" x14ac:dyDescent="0.3">
      <c r="A4795" s="160">
        <v>43062</v>
      </c>
      <c r="B4795" t="s">
        <v>19977</v>
      </c>
      <c r="C4795" t="s">
        <v>4986</v>
      </c>
      <c r="D4795">
        <v>0.8</v>
      </c>
      <c r="E4795">
        <v>0</v>
      </c>
      <c r="F4795">
        <f t="shared" si="74"/>
        <v>0.8</v>
      </c>
      <c r="I4795">
        <v>20160701</v>
      </c>
      <c r="J4795" t="s">
        <v>5002</v>
      </c>
    </row>
    <row r="4796" spans="1:14" x14ac:dyDescent="0.3">
      <c r="A4796" s="160">
        <v>43071</v>
      </c>
      <c r="B4796" t="s">
        <v>19978</v>
      </c>
      <c r="C4796" t="s">
        <v>4986</v>
      </c>
      <c r="D4796">
        <v>0.8</v>
      </c>
      <c r="E4796">
        <v>0</v>
      </c>
      <c r="F4796">
        <f t="shared" si="74"/>
        <v>0.8</v>
      </c>
      <c r="I4796">
        <v>20210101</v>
      </c>
      <c r="J4796" t="s">
        <v>4993</v>
      </c>
    </row>
    <row r="4797" spans="1:14" x14ac:dyDescent="0.3">
      <c r="A4797" s="160">
        <v>43073</v>
      </c>
      <c r="B4797" t="s">
        <v>19979</v>
      </c>
      <c r="C4797" t="s">
        <v>4986</v>
      </c>
      <c r="D4797">
        <v>0.8</v>
      </c>
      <c r="E4797">
        <v>0</v>
      </c>
      <c r="F4797">
        <f t="shared" si="74"/>
        <v>0.8</v>
      </c>
      <c r="I4797">
        <v>20210101</v>
      </c>
      <c r="J4797" t="s">
        <v>4996</v>
      </c>
    </row>
    <row r="4798" spans="1:14" x14ac:dyDescent="0.3">
      <c r="A4798" s="160">
        <v>43076</v>
      </c>
      <c r="B4798" t="s">
        <v>19980</v>
      </c>
      <c r="C4798" t="s">
        <v>4986</v>
      </c>
      <c r="D4798">
        <v>0.8</v>
      </c>
      <c r="E4798">
        <v>0</v>
      </c>
      <c r="F4798">
        <f t="shared" si="74"/>
        <v>0.8</v>
      </c>
      <c r="I4798">
        <v>20210101</v>
      </c>
      <c r="J4798" t="s">
        <v>4996</v>
      </c>
    </row>
    <row r="4799" spans="1:14" x14ac:dyDescent="0.3">
      <c r="A4799" s="160">
        <v>43078</v>
      </c>
      <c r="B4799" t="s">
        <v>19981</v>
      </c>
      <c r="C4799" t="s">
        <v>4986</v>
      </c>
      <c r="D4799">
        <v>0.8</v>
      </c>
      <c r="E4799">
        <v>0</v>
      </c>
      <c r="F4799">
        <f t="shared" si="74"/>
        <v>0.8</v>
      </c>
      <c r="I4799">
        <v>20170701</v>
      </c>
      <c r="J4799" t="s">
        <v>4995</v>
      </c>
      <c r="K4799" t="s">
        <v>4990</v>
      </c>
    </row>
    <row r="4800" spans="1:14" x14ac:dyDescent="0.3">
      <c r="A4800" s="160">
        <v>43080</v>
      </c>
      <c r="B4800" t="s">
        <v>19982</v>
      </c>
      <c r="C4800" t="s">
        <v>4986</v>
      </c>
      <c r="D4800">
        <v>0.8</v>
      </c>
      <c r="E4800">
        <v>0</v>
      </c>
      <c r="F4800">
        <f t="shared" si="74"/>
        <v>0.8</v>
      </c>
      <c r="I4800">
        <v>20210101</v>
      </c>
      <c r="J4800" t="s">
        <v>4993</v>
      </c>
    </row>
    <row r="4801" spans="1:12" x14ac:dyDescent="0.3">
      <c r="A4801" s="160">
        <v>43084</v>
      </c>
      <c r="B4801" t="s">
        <v>19983</v>
      </c>
      <c r="C4801" t="s">
        <v>4986</v>
      </c>
      <c r="D4801">
        <v>0.8</v>
      </c>
      <c r="E4801">
        <v>0</v>
      </c>
      <c r="F4801">
        <f t="shared" si="74"/>
        <v>0.8</v>
      </c>
      <c r="I4801">
        <v>20170701</v>
      </c>
      <c r="J4801" t="s">
        <v>4997</v>
      </c>
      <c r="K4801" t="s">
        <v>4999</v>
      </c>
      <c r="L4801" t="s">
        <v>4991</v>
      </c>
    </row>
    <row r="4802" spans="1:12" x14ac:dyDescent="0.3">
      <c r="A4802" s="160">
        <v>43089</v>
      </c>
      <c r="B4802" t="s">
        <v>19984</v>
      </c>
      <c r="C4802" t="s">
        <v>4986</v>
      </c>
      <c r="D4802">
        <v>0.8</v>
      </c>
      <c r="E4802">
        <v>0</v>
      </c>
      <c r="F4802">
        <f t="shared" si="74"/>
        <v>0.8</v>
      </c>
      <c r="I4802">
        <v>20170701</v>
      </c>
      <c r="J4802" t="s">
        <v>4987</v>
      </c>
      <c r="K4802" t="s">
        <v>4998</v>
      </c>
      <c r="L4802" t="s">
        <v>4999</v>
      </c>
    </row>
    <row r="4803" spans="1:12" x14ac:dyDescent="0.3">
      <c r="A4803" s="160">
        <v>43093</v>
      </c>
      <c r="B4803" t="s">
        <v>16037</v>
      </c>
      <c r="C4803" t="s">
        <v>4986</v>
      </c>
      <c r="D4803">
        <v>0.8</v>
      </c>
      <c r="E4803">
        <v>0</v>
      </c>
      <c r="F4803">
        <f t="shared" si="74"/>
        <v>0.8</v>
      </c>
      <c r="I4803">
        <v>20210101</v>
      </c>
      <c r="J4803" t="s">
        <v>4996</v>
      </c>
    </row>
    <row r="4804" spans="1:12" x14ac:dyDescent="0.3">
      <c r="A4804" s="160">
        <v>43095</v>
      </c>
      <c r="B4804" t="s">
        <v>19985</v>
      </c>
      <c r="C4804" t="s">
        <v>4986</v>
      </c>
      <c r="D4804">
        <v>0.8</v>
      </c>
      <c r="E4804">
        <v>0</v>
      </c>
      <c r="F4804">
        <f t="shared" si="74"/>
        <v>0.8</v>
      </c>
      <c r="I4804">
        <v>20210101</v>
      </c>
      <c r="J4804" t="s">
        <v>5002</v>
      </c>
    </row>
    <row r="4805" spans="1:12" x14ac:dyDescent="0.3">
      <c r="A4805" s="160">
        <v>43108</v>
      </c>
      <c r="B4805" t="s">
        <v>19986</v>
      </c>
      <c r="C4805" t="s">
        <v>4986</v>
      </c>
      <c r="D4805">
        <v>0.8</v>
      </c>
      <c r="E4805">
        <v>0</v>
      </c>
      <c r="F4805">
        <f t="shared" si="74"/>
        <v>0.8</v>
      </c>
      <c r="I4805">
        <v>20210101</v>
      </c>
      <c r="J4805" t="s">
        <v>4993</v>
      </c>
    </row>
    <row r="4806" spans="1:12" x14ac:dyDescent="0.3">
      <c r="A4806" s="160">
        <v>43116</v>
      </c>
      <c r="B4806" t="s">
        <v>19987</v>
      </c>
      <c r="C4806" t="s">
        <v>4986</v>
      </c>
      <c r="D4806">
        <v>0.8</v>
      </c>
      <c r="E4806">
        <v>0</v>
      </c>
      <c r="F4806">
        <f t="shared" si="74"/>
        <v>0.8</v>
      </c>
      <c r="I4806">
        <v>20210101</v>
      </c>
      <c r="J4806" t="s">
        <v>5003</v>
      </c>
    </row>
    <row r="4807" spans="1:12" x14ac:dyDescent="0.3">
      <c r="A4807" s="160">
        <v>43119</v>
      </c>
      <c r="B4807" t="s">
        <v>19988</v>
      </c>
      <c r="C4807" t="s">
        <v>4986</v>
      </c>
      <c r="D4807">
        <v>0.8</v>
      </c>
      <c r="E4807">
        <v>0</v>
      </c>
      <c r="F4807">
        <f t="shared" ref="F4807:F4870" si="75">D4807+E4807</f>
        <v>0.8</v>
      </c>
      <c r="I4807">
        <v>20210101</v>
      </c>
      <c r="J4807" t="s">
        <v>4992</v>
      </c>
    </row>
    <row r="4808" spans="1:12" x14ac:dyDescent="0.3">
      <c r="A4808" s="160">
        <v>43122</v>
      </c>
      <c r="B4808" t="s">
        <v>19989</v>
      </c>
      <c r="C4808" t="s">
        <v>4986</v>
      </c>
      <c r="D4808">
        <v>0.8</v>
      </c>
      <c r="E4808">
        <v>0</v>
      </c>
      <c r="F4808">
        <f t="shared" si="75"/>
        <v>0.8</v>
      </c>
      <c r="I4808">
        <v>20210101</v>
      </c>
      <c r="J4808" t="s">
        <v>4994</v>
      </c>
    </row>
    <row r="4809" spans="1:12" x14ac:dyDescent="0.3">
      <c r="A4809" s="160">
        <v>43124</v>
      </c>
      <c r="B4809" t="s">
        <v>19990</v>
      </c>
      <c r="C4809" t="s">
        <v>4986</v>
      </c>
      <c r="D4809">
        <v>0.8</v>
      </c>
      <c r="E4809">
        <v>0</v>
      </c>
      <c r="F4809">
        <f t="shared" si="75"/>
        <v>0.8</v>
      </c>
      <c r="I4809">
        <v>20160701</v>
      </c>
      <c r="J4809" t="s">
        <v>5002</v>
      </c>
    </row>
    <row r="4810" spans="1:12" x14ac:dyDescent="0.3">
      <c r="A4810" s="160">
        <v>43126</v>
      </c>
      <c r="B4810" t="s">
        <v>19991</v>
      </c>
      <c r="C4810" t="s">
        <v>4986</v>
      </c>
      <c r="D4810">
        <v>0.8</v>
      </c>
      <c r="E4810">
        <v>0</v>
      </c>
      <c r="F4810">
        <f t="shared" si="75"/>
        <v>0.8</v>
      </c>
      <c r="I4810">
        <v>20210101</v>
      </c>
      <c r="J4810" t="s">
        <v>4992</v>
      </c>
    </row>
    <row r="4811" spans="1:12" x14ac:dyDescent="0.3">
      <c r="A4811" s="160">
        <v>43128</v>
      </c>
      <c r="B4811" t="s">
        <v>19992</v>
      </c>
      <c r="C4811" t="s">
        <v>4986</v>
      </c>
      <c r="D4811">
        <v>0.8</v>
      </c>
      <c r="E4811">
        <v>0</v>
      </c>
      <c r="F4811">
        <f t="shared" si="75"/>
        <v>0.8</v>
      </c>
      <c r="I4811">
        <v>20210101</v>
      </c>
      <c r="J4811" t="s">
        <v>4996</v>
      </c>
    </row>
    <row r="4812" spans="1:12" x14ac:dyDescent="0.3">
      <c r="A4812" s="160">
        <v>43134</v>
      </c>
      <c r="B4812" t="s">
        <v>19993</v>
      </c>
      <c r="C4812" t="s">
        <v>4986</v>
      </c>
      <c r="D4812">
        <v>0.8</v>
      </c>
      <c r="E4812">
        <v>0</v>
      </c>
      <c r="F4812">
        <f t="shared" si="75"/>
        <v>0.8</v>
      </c>
      <c r="I4812">
        <v>20210101</v>
      </c>
      <c r="J4812" t="s">
        <v>4992</v>
      </c>
    </row>
    <row r="4813" spans="1:12" x14ac:dyDescent="0.3">
      <c r="A4813" s="160">
        <v>43136</v>
      </c>
      <c r="B4813" t="s">
        <v>19994</v>
      </c>
      <c r="C4813" t="s">
        <v>4986</v>
      </c>
      <c r="D4813">
        <v>0.8</v>
      </c>
      <c r="E4813">
        <v>0</v>
      </c>
      <c r="F4813">
        <f t="shared" si="75"/>
        <v>0.8</v>
      </c>
      <c r="I4813">
        <v>20210101</v>
      </c>
      <c r="J4813" t="s">
        <v>5004</v>
      </c>
    </row>
    <row r="4814" spans="1:12" x14ac:dyDescent="0.3">
      <c r="A4814" s="160">
        <v>43138</v>
      </c>
      <c r="B4814" t="s">
        <v>19995</v>
      </c>
      <c r="C4814" t="s">
        <v>4986</v>
      </c>
      <c r="D4814">
        <v>0.8</v>
      </c>
      <c r="E4814">
        <v>0</v>
      </c>
      <c r="F4814">
        <f t="shared" si="75"/>
        <v>0.8</v>
      </c>
      <c r="I4814">
        <v>20210101</v>
      </c>
      <c r="J4814" t="s">
        <v>4989</v>
      </c>
    </row>
    <row r="4815" spans="1:12" x14ac:dyDescent="0.3">
      <c r="A4815" s="160">
        <v>43140</v>
      </c>
      <c r="B4815" t="s">
        <v>19996</v>
      </c>
      <c r="C4815" t="s">
        <v>4986</v>
      </c>
      <c r="D4815">
        <v>0.8</v>
      </c>
      <c r="E4815">
        <v>0</v>
      </c>
      <c r="F4815">
        <f t="shared" si="75"/>
        <v>0.8</v>
      </c>
      <c r="I4815">
        <v>20170701</v>
      </c>
      <c r="J4815" t="s">
        <v>4990</v>
      </c>
    </row>
    <row r="4816" spans="1:12" x14ac:dyDescent="0.3">
      <c r="A4816" s="160">
        <v>43150</v>
      </c>
      <c r="B4816" t="s">
        <v>19997</v>
      </c>
      <c r="C4816" t="s">
        <v>4986</v>
      </c>
      <c r="D4816">
        <v>0.8</v>
      </c>
      <c r="E4816">
        <v>0</v>
      </c>
      <c r="F4816">
        <f t="shared" si="75"/>
        <v>0.8</v>
      </c>
      <c r="I4816">
        <v>20210101</v>
      </c>
      <c r="J4816" t="s">
        <v>5005</v>
      </c>
    </row>
    <row r="4817" spans="1:23" x14ac:dyDescent="0.3">
      <c r="A4817" s="160">
        <v>43152</v>
      </c>
      <c r="B4817" t="s">
        <v>19998</v>
      </c>
      <c r="C4817" t="s">
        <v>4986</v>
      </c>
      <c r="D4817">
        <v>0.8</v>
      </c>
      <c r="E4817">
        <v>0</v>
      </c>
      <c r="F4817">
        <f t="shared" si="75"/>
        <v>0.8</v>
      </c>
      <c r="I4817">
        <v>20170701</v>
      </c>
      <c r="J4817" t="s">
        <v>4987</v>
      </c>
    </row>
    <row r="4818" spans="1:23" x14ac:dyDescent="0.3">
      <c r="A4818" s="160">
        <v>43157</v>
      </c>
      <c r="B4818" t="s">
        <v>19999</v>
      </c>
      <c r="C4818" t="s">
        <v>4986</v>
      </c>
      <c r="D4818">
        <v>0.8</v>
      </c>
      <c r="E4818">
        <v>0</v>
      </c>
      <c r="F4818">
        <f t="shared" si="75"/>
        <v>0.8</v>
      </c>
      <c r="I4818">
        <v>20170701</v>
      </c>
      <c r="J4818" t="s">
        <v>4987</v>
      </c>
      <c r="K4818" t="s">
        <v>5006</v>
      </c>
      <c r="L4818" t="s">
        <v>4997</v>
      </c>
      <c r="M4818" t="s">
        <v>5000</v>
      </c>
      <c r="N4818" t="s">
        <v>5007</v>
      </c>
      <c r="O4818" t="s">
        <v>4988</v>
      </c>
      <c r="P4818" t="s">
        <v>5008</v>
      </c>
      <c r="Q4818" t="s">
        <v>4998</v>
      </c>
      <c r="R4818" t="s">
        <v>4999</v>
      </c>
      <c r="S4818" t="s">
        <v>5009</v>
      </c>
      <c r="T4818" t="s">
        <v>5010</v>
      </c>
      <c r="U4818" t="s">
        <v>5011</v>
      </c>
      <c r="V4818" t="s">
        <v>5012</v>
      </c>
      <c r="W4818" t="s">
        <v>5013</v>
      </c>
    </row>
    <row r="4819" spans="1:23" x14ac:dyDescent="0.3">
      <c r="A4819" s="160">
        <v>43164</v>
      </c>
      <c r="B4819" t="s">
        <v>20000</v>
      </c>
      <c r="C4819" t="s">
        <v>4986</v>
      </c>
      <c r="D4819">
        <v>0.8</v>
      </c>
      <c r="E4819">
        <v>0</v>
      </c>
      <c r="F4819">
        <f t="shared" si="75"/>
        <v>0.8</v>
      </c>
      <c r="I4819">
        <v>20210101</v>
      </c>
      <c r="J4819" t="s">
        <v>5014</v>
      </c>
    </row>
    <row r="4820" spans="1:23" x14ac:dyDescent="0.3">
      <c r="A4820" s="160">
        <v>43165</v>
      </c>
      <c r="B4820" t="s">
        <v>20001</v>
      </c>
      <c r="C4820" t="s">
        <v>4986</v>
      </c>
      <c r="D4820">
        <v>0.8</v>
      </c>
      <c r="E4820">
        <v>0</v>
      </c>
      <c r="F4820">
        <f t="shared" si="75"/>
        <v>0.8</v>
      </c>
      <c r="I4820">
        <v>20210101</v>
      </c>
      <c r="J4820" t="s">
        <v>4992</v>
      </c>
    </row>
    <row r="4821" spans="1:23" x14ac:dyDescent="0.3">
      <c r="A4821" s="160">
        <v>43174</v>
      </c>
      <c r="B4821" t="s">
        <v>20002</v>
      </c>
      <c r="C4821" t="s">
        <v>4986</v>
      </c>
      <c r="D4821">
        <v>0.8</v>
      </c>
      <c r="E4821">
        <v>0</v>
      </c>
      <c r="F4821">
        <f t="shared" si="75"/>
        <v>0.8</v>
      </c>
      <c r="I4821">
        <v>20170701</v>
      </c>
      <c r="J4821" t="s">
        <v>4991</v>
      </c>
    </row>
    <row r="4822" spans="1:23" x14ac:dyDescent="0.3">
      <c r="A4822" s="160">
        <v>43181</v>
      </c>
      <c r="B4822" t="s">
        <v>20003</v>
      </c>
      <c r="C4822" t="s">
        <v>4986</v>
      </c>
      <c r="D4822">
        <v>0.8</v>
      </c>
      <c r="E4822">
        <v>0</v>
      </c>
      <c r="F4822">
        <f t="shared" si="75"/>
        <v>0.8</v>
      </c>
      <c r="I4822">
        <v>20210101</v>
      </c>
      <c r="J4822" t="s">
        <v>5015</v>
      </c>
    </row>
    <row r="4823" spans="1:23" x14ac:dyDescent="0.3">
      <c r="A4823" s="160">
        <v>43187</v>
      </c>
      <c r="B4823" t="s">
        <v>20004</v>
      </c>
      <c r="C4823" t="s">
        <v>4986</v>
      </c>
      <c r="D4823">
        <v>0.8</v>
      </c>
      <c r="E4823">
        <v>0</v>
      </c>
      <c r="F4823">
        <f t="shared" si="75"/>
        <v>0.8</v>
      </c>
      <c r="I4823">
        <v>20210101</v>
      </c>
      <c r="J4823" t="s">
        <v>4994</v>
      </c>
    </row>
    <row r="4824" spans="1:23" x14ac:dyDescent="0.3">
      <c r="A4824" s="160">
        <v>43189</v>
      </c>
      <c r="B4824" t="s">
        <v>20005</v>
      </c>
      <c r="C4824" t="s">
        <v>4986</v>
      </c>
      <c r="D4824">
        <v>0.8</v>
      </c>
      <c r="E4824">
        <v>0</v>
      </c>
      <c r="F4824">
        <f t="shared" si="75"/>
        <v>0.8</v>
      </c>
      <c r="I4824">
        <v>20210101</v>
      </c>
      <c r="J4824" t="s">
        <v>4993</v>
      </c>
    </row>
    <row r="4825" spans="1:23" x14ac:dyDescent="0.3">
      <c r="A4825" s="160">
        <v>43190</v>
      </c>
      <c r="B4825" t="s">
        <v>20006</v>
      </c>
      <c r="C4825" t="s">
        <v>4986</v>
      </c>
      <c r="D4825">
        <v>0.8</v>
      </c>
      <c r="E4825">
        <v>0</v>
      </c>
      <c r="F4825">
        <f t="shared" si="75"/>
        <v>0.8</v>
      </c>
      <c r="I4825">
        <v>20170701</v>
      </c>
      <c r="J4825" t="s">
        <v>4990</v>
      </c>
    </row>
    <row r="4826" spans="1:23" x14ac:dyDescent="0.3">
      <c r="A4826" s="160">
        <v>43194</v>
      </c>
      <c r="B4826" t="s">
        <v>20007</v>
      </c>
      <c r="C4826" t="s">
        <v>4986</v>
      </c>
      <c r="D4826">
        <v>0.8</v>
      </c>
      <c r="E4826">
        <v>0</v>
      </c>
      <c r="F4826">
        <f t="shared" si="75"/>
        <v>0.8</v>
      </c>
      <c r="I4826">
        <v>20210101</v>
      </c>
      <c r="J4826" t="s">
        <v>5015</v>
      </c>
    </row>
    <row r="4827" spans="1:23" x14ac:dyDescent="0.3">
      <c r="A4827" s="160">
        <v>43196</v>
      </c>
      <c r="B4827" t="s">
        <v>20008</v>
      </c>
      <c r="C4827" t="s">
        <v>4986</v>
      </c>
      <c r="D4827">
        <v>0.8</v>
      </c>
      <c r="E4827">
        <v>0</v>
      </c>
      <c r="F4827">
        <f t="shared" si="75"/>
        <v>0.8</v>
      </c>
      <c r="I4827">
        <v>20210101</v>
      </c>
      <c r="J4827" t="s">
        <v>4993</v>
      </c>
    </row>
    <row r="4828" spans="1:23" x14ac:dyDescent="0.3">
      <c r="A4828" s="160">
        <v>43197</v>
      </c>
      <c r="B4828" t="s">
        <v>20009</v>
      </c>
      <c r="C4828" t="s">
        <v>4986</v>
      </c>
      <c r="D4828">
        <v>0.8</v>
      </c>
      <c r="E4828">
        <v>0</v>
      </c>
      <c r="F4828">
        <f t="shared" si="75"/>
        <v>0.8</v>
      </c>
      <c r="I4828">
        <v>20160701</v>
      </c>
      <c r="J4828" t="s">
        <v>5002</v>
      </c>
    </row>
    <row r="4829" spans="1:23" x14ac:dyDescent="0.3">
      <c r="A4829" s="160">
        <v>43201</v>
      </c>
      <c r="B4829" t="s">
        <v>20010</v>
      </c>
      <c r="C4829" t="s">
        <v>4986</v>
      </c>
      <c r="D4829">
        <v>0.8</v>
      </c>
      <c r="E4829">
        <v>0</v>
      </c>
      <c r="F4829">
        <f t="shared" si="75"/>
        <v>0.8</v>
      </c>
      <c r="I4829">
        <v>20210101</v>
      </c>
      <c r="J4829" t="s">
        <v>4993</v>
      </c>
    </row>
    <row r="4830" spans="1:23" x14ac:dyDescent="0.3">
      <c r="A4830" s="160">
        <v>43214</v>
      </c>
      <c r="B4830" t="s">
        <v>20011</v>
      </c>
      <c r="C4830" t="s">
        <v>4986</v>
      </c>
      <c r="D4830">
        <v>0</v>
      </c>
      <c r="E4830">
        <v>0</v>
      </c>
      <c r="F4830">
        <f t="shared" si="75"/>
        <v>0</v>
      </c>
      <c r="I4830">
        <v>20220101</v>
      </c>
      <c r="J4830" t="s">
        <v>4996</v>
      </c>
    </row>
    <row r="4831" spans="1:23" x14ac:dyDescent="0.3">
      <c r="A4831" s="160">
        <v>43216</v>
      </c>
      <c r="B4831" t="s">
        <v>20012</v>
      </c>
      <c r="C4831" t="s">
        <v>4986</v>
      </c>
      <c r="D4831">
        <v>0.8</v>
      </c>
      <c r="E4831">
        <v>0</v>
      </c>
      <c r="F4831">
        <f t="shared" si="75"/>
        <v>0.8</v>
      </c>
      <c r="I4831">
        <v>20210101</v>
      </c>
      <c r="J4831" t="s">
        <v>4994</v>
      </c>
    </row>
    <row r="4832" spans="1:23" x14ac:dyDescent="0.3">
      <c r="A4832" s="160">
        <v>43217</v>
      </c>
      <c r="B4832" t="s">
        <v>20013</v>
      </c>
      <c r="C4832" t="s">
        <v>4986</v>
      </c>
      <c r="D4832">
        <v>0.8</v>
      </c>
      <c r="E4832">
        <v>0</v>
      </c>
      <c r="F4832">
        <f t="shared" si="75"/>
        <v>0.8</v>
      </c>
      <c r="I4832">
        <v>20210101</v>
      </c>
      <c r="J4832" t="s">
        <v>5014</v>
      </c>
    </row>
    <row r="4833" spans="1:17" x14ac:dyDescent="0.3">
      <c r="A4833" s="160">
        <v>43220</v>
      </c>
      <c r="B4833" t="s">
        <v>20014</v>
      </c>
      <c r="C4833" t="s">
        <v>4986</v>
      </c>
      <c r="D4833">
        <v>0.8</v>
      </c>
      <c r="E4833">
        <v>0</v>
      </c>
      <c r="F4833">
        <f t="shared" si="75"/>
        <v>0.8</v>
      </c>
      <c r="I4833">
        <v>20210101</v>
      </c>
      <c r="J4833" t="s">
        <v>5004</v>
      </c>
    </row>
    <row r="4834" spans="1:17" x14ac:dyDescent="0.3">
      <c r="A4834" s="160">
        <v>43221</v>
      </c>
      <c r="B4834" t="s">
        <v>20015</v>
      </c>
      <c r="C4834" t="s">
        <v>4986</v>
      </c>
      <c r="D4834">
        <v>0.8</v>
      </c>
      <c r="E4834">
        <v>0</v>
      </c>
      <c r="F4834">
        <f t="shared" si="75"/>
        <v>0.8</v>
      </c>
      <c r="I4834">
        <v>20160701</v>
      </c>
      <c r="J4834" t="s">
        <v>5004</v>
      </c>
    </row>
    <row r="4835" spans="1:17" x14ac:dyDescent="0.3">
      <c r="A4835" s="160">
        <v>43228</v>
      </c>
      <c r="B4835" t="s">
        <v>20016</v>
      </c>
      <c r="C4835" t="s">
        <v>4986</v>
      </c>
      <c r="D4835">
        <v>0.8</v>
      </c>
      <c r="E4835">
        <v>0</v>
      </c>
      <c r="F4835">
        <f t="shared" si="75"/>
        <v>0.8</v>
      </c>
      <c r="I4835">
        <v>20210101</v>
      </c>
      <c r="J4835" t="s">
        <v>4993</v>
      </c>
    </row>
    <row r="4836" spans="1:17" x14ac:dyDescent="0.3">
      <c r="A4836" s="160">
        <v>43229</v>
      </c>
      <c r="B4836" t="s">
        <v>20017</v>
      </c>
      <c r="C4836" t="s">
        <v>4986</v>
      </c>
      <c r="D4836">
        <v>0.8</v>
      </c>
      <c r="E4836">
        <v>0</v>
      </c>
      <c r="F4836">
        <f t="shared" si="75"/>
        <v>0.8</v>
      </c>
      <c r="I4836">
        <v>20160701</v>
      </c>
      <c r="J4836" t="s">
        <v>5002</v>
      </c>
    </row>
    <row r="4837" spans="1:17" x14ac:dyDescent="0.3">
      <c r="A4837" s="160">
        <v>43230</v>
      </c>
      <c r="B4837" t="s">
        <v>20018</v>
      </c>
      <c r="C4837" t="s">
        <v>4986</v>
      </c>
      <c r="D4837">
        <v>0.8</v>
      </c>
      <c r="E4837">
        <v>0</v>
      </c>
      <c r="F4837">
        <f t="shared" si="75"/>
        <v>0.8</v>
      </c>
      <c r="I4837">
        <v>20210101</v>
      </c>
      <c r="J4837" t="s">
        <v>4992</v>
      </c>
    </row>
    <row r="4838" spans="1:17" x14ac:dyDescent="0.3">
      <c r="A4838" s="160">
        <v>43233</v>
      </c>
      <c r="B4838" t="s">
        <v>20019</v>
      </c>
      <c r="C4838" t="s">
        <v>4986</v>
      </c>
      <c r="D4838">
        <v>0.8</v>
      </c>
      <c r="E4838">
        <v>0</v>
      </c>
      <c r="F4838">
        <f t="shared" si="75"/>
        <v>0.8</v>
      </c>
      <c r="I4838">
        <v>20160701</v>
      </c>
      <c r="J4838" t="s">
        <v>5002</v>
      </c>
    </row>
    <row r="4839" spans="1:17" x14ac:dyDescent="0.3">
      <c r="A4839" s="160">
        <v>43237</v>
      </c>
      <c r="B4839" t="s">
        <v>20020</v>
      </c>
      <c r="C4839" t="s">
        <v>4986</v>
      </c>
      <c r="D4839">
        <v>0.8</v>
      </c>
      <c r="E4839">
        <v>0</v>
      </c>
      <c r="F4839">
        <f t="shared" si="75"/>
        <v>0.8</v>
      </c>
      <c r="I4839">
        <v>20210101</v>
      </c>
      <c r="J4839" t="s">
        <v>4996</v>
      </c>
    </row>
    <row r="4840" spans="1:17" x14ac:dyDescent="0.3">
      <c r="A4840" s="160">
        <v>43241</v>
      </c>
      <c r="B4840" t="s">
        <v>20021</v>
      </c>
      <c r="C4840" t="s">
        <v>4986</v>
      </c>
      <c r="D4840">
        <v>0.8</v>
      </c>
      <c r="E4840">
        <v>0</v>
      </c>
      <c r="F4840">
        <f t="shared" si="75"/>
        <v>0.8</v>
      </c>
      <c r="I4840">
        <v>20170701</v>
      </c>
      <c r="J4840" t="s">
        <v>4991</v>
      </c>
    </row>
    <row r="4841" spans="1:17" x14ac:dyDescent="0.3">
      <c r="A4841" s="160">
        <v>43251</v>
      </c>
      <c r="B4841" t="s">
        <v>20022</v>
      </c>
      <c r="C4841" t="s">
        <v>4986</v>
      </c>
      <c r="D4841">
        <v>0.8</v>
      </c>
      <c r="E4841">
        <v>0</v>
      </c>
      <c r="F4841">
        <f t="shared" si="75"/>
        <v>0.8</v>
      </c>
      <c r="I4841">
        <v>20170701</v>
      </c>
      <c r="J4841" t="s">
        <v>4997</v>
      </c>
      <c r="K4841" t="s">
        <v>5007</v>
      </c>
      <c r="L4841" t="s">
        <v>5008</v>
      </c>
      <c r="M4841" t="s">
        <v>4998</v>
      </c>
      <c r="N4841" t="s">
        <v>4999</v>
      </c>
      <c r="O4841" t="s">
        <v>5009</v>
      </c>
      <c r="P4841" t="s">
        <v>5011</v>
      </c>
      <c r="Q4841" t="s">
        <v>5016</v>
      </c>
    </row>
    <row r="4842" spans="1:17" x14ac:dyDescent="0.3">
      <c r="A4842" s="160">
        <v>43254</v>
      </c>
      <c r="B4842" t="s">
        <v>20023</v>
      </c>
      <c r="C4842" t="s">
        <v>4986</v>
      </c>
      <c r="D4842">
        <v>0.8</v>
      </c>
      <c r="E4842">
        <v>0</v>
      </c>
      <c r="F4842">
        <f t="shared" si="75"/>
        <v>0.8</v>
      </c>
      <c r="I4842">
        <v>20160701</v>
      </c>
      <c r="J4842" t="s">
        <v>5002</v>
      </c>
    </row>
    <row r="4843" spans="1:17" x14ac:dyDescent="0.3">
      <c r="A4843" s="160">
        <v>43257</v>
      </c>
      <c r="B4843" t="s">
        <v>20024</v>
      </c>
      <c r="C4843" t="s">
        <v>4986</v>
      </c>
      <c r="D4843">
        <v>0.8</v>
      </c>
      <c r="E4843">
        <v>0</v>
      </c>
      <c r="F4843">
        <f t="shared" si="75"/>
        <v>0.8</v>
      </c>
      <c r="I4843">
        <v>20160701</v>
      </c>
      <c r="J4843" t="s">
        <v>5002</v>
      </c>
    </row>
    <row r="4844" spans="1:17" x14ac:dyDescent="0.3">
      <c r="A4844" s="160">
        <v>43259</v>
      </c>
      <c r="B4844" t="s">
        <v>20025</v>
      </c>
      <c r="C4844" t="s">
        <v>4986</v>
      </c>
      <c r="D4844">
        <v>0.8</v>
      </c>
      <c r="E4844">
        <v>0</v>
      </c>
      <c r="F4844">
        <f t="shared" si="75"/>
        <v>0.8</v>
      </c>
      <c r="I4844">
        <v>20210101</v>
      </c>
      <c r="J4844" t="s">
        <v>4989</v>
      </c>
    </row>
    <row r="4845" spans="1:17" x14ac:dyDescent="0.3">
      <c r="A4845" s="160">
        <v>43260</v>
      </c>
      <c r="B4845" t="s">
        <v>15758</v>
      </c>
      <c r="C4845" t="s">
        <v>4986</v>
      </c>
      <c r="D4845">
        <v>0.8</v>
      </c>
      <c r="E4845">
        <v>0</v>
      </c>
      <c r="F4845">
        <f t="shared" si="75"/>
        <v>0.8</v>
      </c>
      <c r="I4845">
        <v>20160701</v>
      </c>
      <c r="J4845" t="s">
        <v>5002</v>
      </c>
    </row>
    <row r="4846" spans="1:17" x14ac:dyDescent="0.3">
      <c r="A4846" s="160">
        <v>43267</v>
      </c>
      <c r="B4846" t="s">
        <v>20026</v>
      </c>
      <c r="C4846" t="s">
        <v>4986</v>
      </c>
      <c r="D4846">
        <v>0.8</v>
      </c>
      <c r="E4846">
        <v>0</v>
      </c>
      <c r="F4846">
        <f t="shared" si="75"/>
        <v>0.8</v>
      </c>
      <c r="I4846">
        <v>20210101</v>
      </c>
      <c r="J4846" t="s">
        <v>4992</v>
      </c>
    </row>
    <row r="4847" spans="1:17" x14ac:dyDescent="0.3">
      <c r="A4847" s="160">
        <v>44002</v>
      </c>
      <c r="B4847" t="s">
        <v>20027</v>
      </c>
      <c r="C4847" t="s">
        <v>20028</v>
      </c>
      <c r="D4847">
        <v>0.8</v>
      </c>
      <c r="E4847">
        <v>0</v>
      </c>
      <c r="F4847">
        <f t="shared" si="75"/>
        <v>0.8</v>
      </c>
      <c r="I4847">
        <v>20240101</v>
      </c>
      <c r="J4847" t="s">
        <v>20029</v>
      </c>
    </row>
    <row r="4848" spans="1:17" x14ac:dyDescent="0.3">
      <c r="A4848" s="160">
        <v>44006</v>
      </c>
      <c r="B4848" t="s">
        <v>20030</v>
      </c>
      <c r="C4848" t="s">
        <v>5017</v>
      </c>
      <c r="D4848">
        <v>0.6</v>
      </c>
      <c r="E4848">
        <v>0</v>
      </c>
      <c r="F4848">
        <f t="shared" si="75"/>
        <v>0.6</v>
      </c>
      <c r="I4848">
        <v>20040101</v>
      </c>
      <c r="J4848" t="s">
        <v>5018</v>
      </c>
    </row>
    <row r="4849" spans="1:27" x14ac:dyDescent="0.3">
      <c r="A4849" s="160">
        <v>44009</v>
      </c>
      <c r="B4849" t="s">
        <v>20031</v>
      </c>
      <c r="C4849" t="s">
        <v>5019</v>
      </c>
      <c r="D4849">
        <v>2</v>
      </c>
      <c r="E4849">
        <v>0</v>
      </c>
      <c r="F4849">
        <f t="shared" si="75"/>
        <v>2</v>
      </c>
      <c r="I4849">
        <v>20110701</v>
      </c>
      <c r="J4849" t="s">
        <v>5020</v>
      </c>
      <c r="K4849" t="s">
        <v>5021</v>
      </c>
      <c r="L4849" t="s">
        <v>5022</v>
      </c>
      <c r="M4849" t="s">
        <v>5023</v>
      </c>
      <c r="N4849" t="s">
        <v>5024</v>
      </c>
      <c r="O4849" t="s">
        <v>5025</v>
      </c>
    </row>
    <row r="4850" spans="1:27" x14ac:dyDescent="0.3">
      <c r="A4850" s="160">
        <v>44010</v>
      </c>
      <c r="B4850" t="s">
        <v>20032</v>
      </c>
      <c r="C4850" t="s">
        <v>5017</v>
      </c>
      <c r="D4850">
        <v>0.6</v>
      </c>
      <c r="E4850">
        <v>0</v>
      </c>
      <c r="F4850">
        <f t="shared" si="75"/>
        <v>0.6</v>
      </c>
      <c r="I4850">
        <v>20040101</v>
      </c>
      <c r="J4850" t="s">
        <v>5026</v>
      </c>
    </row>
    <row r="4851" spans="1:27" x14ac:dyDescent="0.3">
      <c r="A4851" s="160">
        <v>44013</v>
      </c>
      <c r="B4851" t="s">
        <v>20033</v>
      </c>
      <c r="C4851" t="s">
        <v>5027</v>
      </c>
      <c r="D4851">
        <v>2</v>
      </c>
      <c r="E4851">
        <v>0</v>
      </c>
      <c r="F4851">
        <f t="shared" si="75"/>
        <v>2</v>
      </c>
      <c r="I4851">
        <v>20230101</v>
      </c>
      <c r="J4851" t="s">
        <v>5028</v>
      </c>
    </row>
    <row r="4852" spans="1:27" x14ac:dyDescent="0.3">
      <c r="A4852" s="160">
        <v>44018</v>
      </c>
      <c r="B4852" t="s">
        <v>20034</v>
      </c>
      <c r="C4852" t="s">
        <v>5019</v>
      </c>
      <c r="D4852">
        <v>2</v>
      </c>
      <c r="E4852">
        <v>0</v>
      </c>
      <c r="F4852">
        <f t="shared" si="75"/>
        <v>2</v>
      </c>
      <c r="I4852">
        <v>20110701</v>
      </c>
      <c r="J4852" t="s">
        <v>5029</v>
      </c>
    </row>
    <row r="4853" spans="1:27" x14ac:dyDescent="0.3">
      <c r="A4853" s="160">
        <v>44020</v>
      </c>
      <c r="B4853" t="s">
        <v>20035</v>
      </c>
      <c r="C4853" t="s">
        <v>5019</v>
      </c>
      <c r="D4853">
        <v>2</v>
      </c>
      <c r="E4853">
        <v>0</v>
      </c>
      <c r="F4853">
        <f t="shared" si="75"/>
        <v>2</v>
      </c>
      <c r="I4853">
        <v>20110701</v>
      </c>
      <c r="J4853" t="s">
        <v>5030</v>
      </c>
      <c r="K4853" t="s">
        <v>5031</v>
      </c>
      <c r="L4853" t="s">
        <v>5032</v>
      </c>
      <c r="M4853" t="s">
        <v>5033</v>
      </c>
      <c r="N4853" t="s">
        <v>5034</v>
      </c>
      <c r="O4853" t="s">
        <v>5035</v>
      </c>
      <c r="P4853" t="s">
        <v>5036</v>
      </c>
      <c r="Q4853" t="s">
        <v>5037</v>
      </c>
      <c r="R4853" t="s">
        <v>5038</v>
      </c>
    </row>
    <row r="4854" spans="1:27" x14ac:dyDescent="0.3">
      <c r="A4854" s="160">
        <v>44022</v>
      </c>
      <c r="B4854" t="s">
        <v>20036</v>
      </c>
      <c r="C4854" t="s">
        <v>20028</v>
      </c>
      <c r="D4854">
        <v>0.8</v>
      </c>
      <c r="E4854">
        <v>0</v>
      </c>
      <c r="F4854">
        <f t="shared" si="75"/>
        <v>0.8</v>
      </c>
      <c r="I4854">
        <v>20240101</v>
      </c>
      <c r="J4854" t="s">
        <v>20037</v>
      </c>
    </row>
    <row r="4855" spans="1:27" x14ac:dyDescent="0.3">
      <c r="A4855" s="160">
        <v>44024</v>
      </c>
      <c r="B4855" t="s">
        <v>20038</v>
      </c>
      <c r="C4855" t="s">
        <v>5019</v>
      </c>
      <c r="D4855">
        <v>2</v>
      </c>
      <c r="E4855">
        <v>0</v>
      </c>
      <c r="F4855">
        <f t="shared" si="75"/>
        <v>2</v>
      </c>
      <c r="I4855">
        <v>20110701</v>
      </c>
      <c r="J4855" t="s">
        <v>5029</v>
      </c>
    </row>
    <row r="4856" spans="1:27" x14ac:dyDescent="0.3">
      <c r="A4856" s="160">
        <v>44026</v>
      </c>
      <c r="B4856" t="s">
        <v>20039</v>
      </c>
      <c r="C4856" t="s">
        <v>5019</v>
      </c>
      <c r="D4856">
        <v>2</v>
      </c>
      <c r="E4856">
        <v>0</v>
      </c>
      <c r="F4856">
        <f t="shared" si="75"/>
        <v>2</v>
      </c>
      <c r="I4856">
        <v>20110701</v>
      </c>
      <c r="J4856" t="s">
        <v>5039</v>
      </c>
      <c r="K4856" t="s">
        <v>5040</v>
      </c>
      <c r="L4856" t="s">
        <v>5041</v>
      </c>
      <c r="M4856" t="s">
        <v>5042</v>
      </c>
      <c r="N4856" t="s">
        <v>5043</v>
      </c>
      <c r="O4856" t="s">
        <v>5044</v>
      </c>
      <c r="P4856" t="s">
        <v>5045</v>
      </c>
      <c r="Q4856" t="s">
        <v>5046</v>
      </c>
      <c r="R4856" t="s">
        <v>5047</v>
      </c>
      <c r="S4856" t="s">
        <v>5048</v>
      </c>
      <c r="T4856" t="s">
        <v>5049</v>
      </c>
      <c r="U4856" t="s">
        <v>5050</v>
      </c>
      <c r="V4856" t="s">
        <v>5051</v>
      </c>
      <c r="W4856" t="s">
        <v>5052</v>
      </c>
      <c r="X4856" t="s">
        <v>5053</v>
      </c>
      <c r="Y4856" t="s">
        <v>5054</v>
      </c>
      <c r="Z4856" t="s">
        <v>5055</v>
      </c>
      <c r="AA4856" t="s">
        <v>5056</v>
      </c>
    </row>
    <row r="4857" spans="1:27" x14ac:dyDescent="0.3">
      <c r="A4857" s="160">
        <v>44030</v>
      </c>
      <c r="B4857" t="s">
        <v>20040</v>
      </c>
      <c r="C4857" t="s">
        <v>5027</v>
      </c>
      <c r="D4857">
        <v>2</v>
      </c>
      <c r="E4857">
        <v>0</v>
      </c>
      <c r="F4857">
        <f t="shared" si="75"/>
        <v>2</v>
      </c>
      <c r="I4857">
        <v>20230101</v>
      </c>
      <c r="J4857" t="s">
        <v>5018</v>
      </c>
    </row>
    <row r="4858" spans="1:27" x14ac:dyDescent="0.3">
      <c r="A4858" s="160">
        <v>44035</v>
      </c>
      <c r="B4858" t="s">
        <v>20041</v>
      </c>
      <c r="C4858" t="s">
        <v>5019</v>
      </c>
      <c r="D4858">
        <v>2</v>
      </c>
      <c r="E4858">
        <v>0</v>
      </c>
      <c r="F4858">
        <f t="shared" si="75"/>
        <v>2</v>
      </c>
      <c r="I4858">
        <v>20110701</v>
      </c>
      <c r="J4858" t="s">
        <v>5057</v>
      </c>
      <c r="K4858" t="s">
        <v>5058</v>
      </c>
      <c r="L4858" t="s">
        <v>5059</v>
      </c>
      <c r="M4858" t="s">
        <v>5060</v>
      </c>
      <c r="N4858" t="s">
        <v>5061</v>
      </c>
      <c r="O4858" t="s">
        <v>5062</v>
      </c>
      <c r="P4858" t="s">
        <v>5063</v>
      </c>
      <c r="Q4858" t="s">
        <v>5041</v>
      </c>
    </row>
    <row r="4859" spans="1:27" x14ac:dyDescent="0.3">
      <c r="A4859" s="160">
        <v>44037</v>
      </c>
      <c r="B4859" t="s">
        <v>20042</v>
      </c>
      <c r="C4859" t="s">
        <v>20028</v>
      </c>
      <c r="D4859">
        <v>0.8</v>
      </c>
      <c r="E4859">
        <v>0</v>
      </c>
      <c r="F4859">
        <f t="shared" si="75"/>
        <v>0.8</v>
      </c>
      <c r="I4859">
        <v>20240101</v>
      </c>
      <c r="J4859" t="s">
        <v>20043</v>
      </c>
    </row>
    <row r="4860" spans="1:27" x14ac:dyDescent="0.3">
      <c r="A4860" s="160">
        <v>44043</v>
      </c>
      <c r="B4860" t="s">
        <v>20044</v>
      </c>
      <c r="C4860" t="s">
        <v>20028</v>
      </c>
      <c r="D4860">
        <v>0.8</v>
      </c>
      <c r="E4860">
        <v>0</v>
      </c>
      <c r="F4860">
        <f t="shared" si="75"/>
        <v>0.8</v>
      </c>
      <c r="I4860">
        <v>20240101</v>
      </c>
      <c r="J4860" t="s">
        <v>20037</v>
      </c>
      <c r="K4860" t="s">
        <v>20045</v>
      </c>
      <c r="L4860" t="s">
        <v>20046</v>
      </c>
      <c r="M4860" t="s">
        <v>20047</v>
      </c>
      <c r="N4860" t="s">
        <v>20048</v>
      </c>
      <c r="O4860" t="s">
        <v>20049</v>
      </c>
      <c r="P4860" t="s">
        <v>20050</v>
      </c>
    </row>
    <row r="4861" spans="1:27" x14ac:dyDescent="0.3">
      <c r="A4861" s="160">
        <v>44046</v>
      </c>
      <c r="B4861" t="s">
        <v>20051</v>
      </c>
      <c r="C4861" t="s">
        <v>5064</v>
      </c>
      <c r="D4861">
        <v>0.55000000000000004</v>
      </c>
      <c r="E4861">
        <v>0</v>
      </c>
      <c r="F4861">
        <f t="shared" si="75"/>
        <v>0.55000000000000004</v>
      </c>
      <c r="I4861">
        <v>20210701</v>
      </c>
      <c r="J4861" t="s">
        <v>5065</v>
      </c>
    </row>
    <row r="4862" spans="1:27" x14ac:dyDescent="0.3">
      <c r="A4862" s="160">
        <v>44047</v>
      </c>
      <c r="B4862" t="s">
        <v>20052</v>
      </c>
      <c r="C4862" t="s">
        <v>5019</v>
      </c>
      <c r="D4862">
        <v>2</v>
      </c>
      <c r="E4862">
        <v>0</v>
      </c>
      <c r="F4862">
        <f t="shared" si="75"/>
        <v>2</v>
      </c>
      <c r="I4862">
        <v>20110701</v>
      </c>
      <c r="J4862" t="s">
        <v>5066</v>
      </c>
    </row>
    <row r="4863" spans="1:27" x14ac:dyDescent="0.3">
      <c r="A4863" s="160">
        <v>44049</v>
      </c>
      <c r="B4863" t="s">
        <v>20053</v>
      </c>
      <c r="C4863" t="s">
        <v>5017</v>
      </c>
      <c r="D4863">
        <v>0.6</v>
      </c>
      <c r="E4863">
        <v>0</v>
      </c>
      <c r="F4863">
        <f t="shared" si="75"/>
        <v>0.6</v>
      </c>
      <c r="I4863">
        <v>20040101</v>
      </c>
      <c r="J4863" t="s">
        <v>5067</v>
      </c>
    </row>
    <row r="4864" spans="1:27" x14ac:dyDescent="0.3">
      <c r="A4864" s="160">
        <v>44052</v>
      </c>
      <c r="B4864" t="s">
        <v>20054</v>
      </c>
      <c r="C4864" t="s">
        <v>5027</v>
      </c>
      <c r="D4864">
        <v>2</v>
      </c>
      <c r="E4864">
        <v>0</v>
      </c>
      <c r="F4864">
        <f t="shared" si="75"/>
        <v>2</v>
      </c>
      <c r="I4864">
        <v>20230101</v>
      </c>
      <c r="J4864" t="s">
        <v>5068</v>
      </c>
    </row>
    <row r="4865" spans="1:149" x14ac:dyDescent="0.3">
      <c r="A4865" s="160">
        <v>44055</v>
      </c>
      <c r="B4865" t="s">
        <v>20055</v>
      </c>
      <c r="C4865" t="s">
        <v>5017</v>
      </c>
      <c r="D4865">
        <v>0.6</v>
      </c>
      <c r="E4865">
        <v>0</v>
      </c>
      <c r="F4865">
        <f t="shared" si="75"/>
        <v>0.6</v>
      </c>
      <c r="I4865">
        <v>20040101</v>
      </c>
      <c r="J4865" t="s">
        <v>5069</v>
      </c>
      <c r="K4865" t="s">
        <v>5070</v>
      </c>
      <c r="L4865" t="s">
        <v>5071</v>
      </c>
      <c r="M4865" t="s">
        <v>5072</v>
      </c>
      <c r="N4865" t="s">
        <v>5073</v>
      </c>
      <c r="O4865" t="s">
        <v>5074</v>
      </c>
      <c r="P4865" t="s">
        <v>5075</v>
      </c>
    </row>
    <row r="4866" spans="1:149" x14ac:dyDescent="0.3">
      <c r="A4866" s="160">
        <v>44061</v>
      </c>
      <c r="B4866" t="s">
        <v>20056</v>
      </c>
      <c r="C4866" t="s">
        <v>5064</v>
      </c>
      <c r="D4866">
        <v>0.55000000000000004</v>
      </c>
      <c r="E4866">
        <v>0</v>
      </c>
      <c r="F4866">
        <f t="shared" si="75"/>
        <v>0.55000000000000004</v>
      </c>
      <c r="I4866">
        <v>20210701</v>
      </c>
      <c r="J4866" t="s">
        <v>5076</v>
      </c>
    </row>
    <row r="4867" spans="1:149" x14ac:dyDescent="0.3">
      <c r="A4867" s="160">
        <v>44063</v>
      </c>
      <c r="B4867" t="s">
        <v>20057</v>
      </c>
      <c r="C4867" t="s">
        <v>20028</v>
      </c>
      <c r="D4867">
        <v>0.8</v>
      </c>
      <c r="E4867">
        <v>0</v>
      </c>
      <c r="F4867">
        <f t="shared" si="75"/>
        <v>0.8</v>
      </c>
      <c r="I4867">
        <v>20240101</v>
      </c>
      <c r="J4867" t="s">
        <v>20037</v>
      </c>
      <c r="K4867" t="s">
        <v>20046</v>
      </c>
      <c r="L4867" t="s">
        <v>20047</v>
      </c>
      <c r="M4867" t="s">
        <v>20048</v>
      </c>
      <c r="N4867" t="s">
        <v>20050</v>
      </c>
    </row>
    <row r="4868" spans="1:149" x14ac:dyDescent="0.3">
      <c r="A4868" s="160">
        <v>44064</v>
      </c>
      <c r="B4868" t="s">
        <v>20058</v>
      </c>
      <c r="C4868" t="s">
        <v>20028</v>
      </c>
      <c r="D4868">
        <v>0.8</v>
      </c>
      <c r="E4868">
        <v>0</v>
      </c>
      <c r="F4868">
        <f t="shared" si="75"/>
        <v>0.8</v>
      </c>
      <c r="I4868">
        <v>20240101</v>
      </c>
      <c r="J4868" t="s">
        <v>20037</v>
      </c>
      <c r="K4868" t="s">
        <v>20048</v>
      </c>
      <c r="L4868" t="s">
        <v>20050</v>
      </c>
    </row>
    <row r="4869" spans="1:149" x14ac:dyDescent="0.3">
      <c r="A4869" s="160">
        <v>44069</v>
      </c>
      <c r="B4869" t="s">
        <v>20059</v>
      </c>
      <c r="C4869" t="s">
        <v>5017</v>
      </c>
      <c r="D4869">
        <v>0.6</v>
      </c>
      <c r="E4869">
        <v>0</v>
      </c>
      <c r="F4869">
        <f t="shared" si="75"/>
        <v>0.6</v>
      </c>
      <c r="I4869">
        <v>20040101</v>
      </c>
      <c r="J4869" t="s">
        <v>5077</v>
      </c>
      <c r="K4869" t="s">
        <v>5078</v>
      </c>
      <c r="L4869" t="s">
        <v>5079</v>
      </c>
      <c r="M4869" t="s">
        <v>5080</v>
      </c>
      <c r="N4869" t="s">
        <v>5081</v>
      </c>
    </row>
    <row r="4870" spans="1:149" x14ac:dyDescent="0.3">
      <c r="A4870" s="160">
        <v>44070</v>
      </c>
      <c r="B4870" t="s">
        <v>20060</v>
      </c>
      <c r="C4870" t="s">
        <v>20028</v>
      </c>
      <c r="D4870">
        <v>0.8</v>
      </c>
      <c r="E4870">
        <v>0</v>
      </c>
      <c r="F4870">
        <f t="shared" si="75"/>
        <v>0.8</v>
      </c>
      <c r="I4870">
        <v>20240101</v>
      </c>
      <c r="J4870" t="s">
        <v>20043</v>
      </c>
    </row>
    <row r="4871" spans="1:149" x14ac:dyDescent="0.3">
      <c r="A4871" s="160">
        <v>44071</v>
      </c>
      <c r="B4871" t="s">
        <v>20061</v>
      </c>
      <c r="C4871" t="s">
        <v>20028</v>
      </c>
      <c r="D4871">
        <v>0.8</v>
      </c>
      <c r="E4871">
        <v>0</v>
      </c>
      <c r="F4871">
        <f t="shared" ref="F4871:F4934" si="76">D4871+E4871</f>
        <v>0.8</v>
      </c>
      <c r="I4871">
        <v>20240101</v>
      </c>
      <c r="J4871" t="s">
        <v>5020</v>
      </c>
      <c r="K4871" t="s">
        <v>5022</v>
      </c>
      <c r="L4871" t="s">
        <v>5023</v>
      </c>
      <c r="M4871" t="s">
        <v>5024</v>
      </c>
      <c r="N4871" t="s">
        <v>5025</v>
      </c>
    </row>
    <row r="4872" spans="1:149" x14ac:dyDescent="0.3">
      <c r="A4872" s="160">
        <v>44072</v>
      </c>
      <c r="B4872" t="s">
        <v>20062</v>
      </c>
      <c r="C4872" t="s">
        <v>5017</v>
      </c>
      <c r="D4872">
        <v>0.6</v>
      </c>
      <c r="E4872">
        <v>0</v>
      </c>
      <c r="F4872">
        <f t="shared" si="76"/>
        <v>0.6</v>
      </c>
      <c r="I4872">
        <v>20040101</v>
      </c>
      <c r="J4872" t="s">
        <v>5018</v>
      </c>
      <c r="BP4872" t="s">
        <v>5145</v>
      </c>
      <c r="BQ4872" t="s">
        <v>5146</v>
      </c>
      <c r="BR4872" t="s">
        <v>5147</v>
      </c>
      <c r="BS4872" t="s">
        <v>5148</v>
      </c>
      <c r="BT4872" t="s">
        <v>5149</v>
      </c>
      <c r="BU4872" t="s">
        <v>5150</v>
      </c>
      <c r="BV4872" t="s">
        <v>5151</v>
      </c>
      <c r="BW4872" t="s">
        <v>5152</v>
      </c>
      <c r="BX4872" t="s">
        <v>5153</v>
      </c>
      <c r="BY4872" t="s">
        <v>5154</v>
      </c>
      <c r="BZ4872" t="s">
        <v>5155</v>
      </c>
      <c r="CA4872" t="s">
        <v>5156</v>
      </c>
      <c r="CB4872" t="s">
        <v>5157</v>
      </c>
      <c r="CC4872" t="s">
        <v>5158</v>
      </c>
      <c r="CD4872" t="s">
        <v>5159</v>
      </c>
      <c r="CE4872" t="s">
        <v>5160</v>
      </c>
      <c r="CF4872" t="s">
        <v>5161</v>
      </c>
      <c r="CG4872" t="s">
        <v>5162</v>
      </c>
      <c r="CH4872" t="s">
        <v>5163</v>
      </c>
      <c r="CI4872" t="s">
        <v>5164</v>
      </c>
      <c r="CJ4872" t="s">
        <v>5165</v>
      </c>
      <c r="CK4872" t="s">
        <v>5166</v>
      </c>
      <c r="CL4872" t="s">
        <v>5167</v>
      </c>
      <c r="CM4872" t="s">
        <v>5168</v>
      </c>
      <c r="CN4872" t="s">
        <v>5169</v>
      </c>
      <c r="CO4872" t="s">
        <v>5170</v>
      </c>
      <c r="CP4872" t="s">
        <v>5063</v>
      </c>
      <c r="CQ4872" t="s">
        <v>5171</v>
      </c>
      <c r="CR4872" t="s">
        <v>5172</v>
      </c>
      <c r="CS4872" t="s">
        <v>5173</v>
      </c>
      <c r="CT4872" t="s">
        <v>5174</v>
      </c>
      <c r="CU4872" t="s">
        <v>5175</v>
      </c>
      <c r="CV4872" t="s">
        <v>5176</v>
      </c>
      <c r="CW4872" t="s">
        <v>5177</v>
      </c>
      <c r="CX4872" t="s">
        <v>5178</v>
      </c>
      <c r="CY4872" t="s">
        <v>5179</v>
      </c>
      <c r="CZ4872" t="s">
        <v>5180</v>
      </c>
      <c r="DA4872" t="s">
        <v>5181</v>
      </c>
      <c r="DB4872" t="s">
        <v>5182</v>
      </c>
      <c r="DC4872" t="s">
        <v>5183</v>
      </c>
      <c r="DD4872" t="s">
        <v>5184</v>
      </c>
      <c r="DE4872" t="s">
        <v>5185</v>
      </c>
      <c r="DF4872" t="s">
        <v>5186</v>
      </c>
      <c r="DG4872" t="s">
        <v>5187</v>
      </c>
      <c r="DH4872" t="s">
        <v>5188</v>
      </c>
      <c r="DI4872" t="s">
        <v>5189</v>
      </c>
      <c r="DJ4872" t="s">
        <v>5190</v>
      </c>
      <c r="DK4872" t="s">
        <v>5191</v>
      </c>
      <c r="DL4872" t="s">
        <v>5192</v>
      </c>
      <c r="DM4872" t="s">
        <v>5193</v>
      </c>
      <c r="DN4872" t="s">
        <v>5194</v>
      </c>
      <c r="DO4872" t="s">
        <v>5195</v>
      </c>
      <c r="DP4872" t="s">
        <v>5196</v>
      </c>
      <c r="DQ4872" t="s">
        <v>5197</v>
      </c>
      <c r="DR4872" t="s">
        <v>5198</v>
      </c>
      <c r="DS4872" t="s">
        <v>5199</v>
      </c>
      <c r="DT4872" t="s">
        <v>5200</v>
      </c>
      <c r="DU4872" t="s">
        <v>5201</v>
      </c>
      <c r="DV4872" t="s">
        <v>5202</v>
      </c>
      <c r="DW4872" t="s">
        <v>5203</v>
      </c>
      <c r="DX4872" t="s">
        <v>5204</v>
      </c>
      <c r="DY4872" t="s">
        <v>5205</v>
      </c>
      <c r="DZ4872" t="s">
        <v>5206</v>
      </c>
      <c r="EA4872" t="s">
        <v>5207</v>
      </c>
      <c r="EB4872" t="s">
        <v>5208</v>
      </c>
      <c r="EC4872" t="s">
        <v>5209</v>
      </c>
      <c r="ED4872" t="s">
        <v>5210</v>
      </c>
      <c r="EE4872" t="s">
        <v>5211</v>
      </c>
      <c r="EF4872" t="s">
        <v>5212</v>
      </c>
      <c r="EG4872" t="s">
        <v>5213</v>
      </c>
      <c r="EH4872" t="s">
        <v>5214</v>
      </c>
      <c r="EI4872" t="s">
        <v>5215</v>
      </c>
      <c r="EJ4872" t="s">
        <v>5216</v>
      </c>
      <c r="EK4872" t="s">
        <v>5217</v>
      </c>
      <c r="EL4872" t="s">
        <v>5218</v>
      </c>
      <c r="EM4872" t="s">
        <v>5219</v>
      </c>
      <c r="EN4872" t="s">
        <v>5220</v>
      </c>
      <c r="EO4872" t="s">
        <v>5221</v>
      </c>
      <c r="EP4872" t="s">
        <v>5222</v>
      </c>
      <c r="EQ4872" t="s">
        <v>5223</v>
      </c>
      <c r="ER4872" t="s">
        <v>5224</v>
      </c>
      <c r="ES4872" t="s">
        <v>5225</v>
      </c>
    </row>
    <row r="4873" spans="1:149" x14ac:dyDescent="0.3">
      <c r="A4873" s="160">
        <v>44074</v>
      </c>
      <c r="B4873" t="s">
        <v>20063</v>
      </c>
      <c r="C4873" t="s">
        <v>5019</v>
      </c>
      <c r="D4873">
        <v>2</v>
      </c>
      <c r="E4873">
        <v>0</v>
      </c>
      <c r="F4873">
        <f t="shared" si="76"/>
        <v>2</v>
      </c>
      <c r="I4873">
        <v>20110701</v>
      </c>
      <c r="J4873" t="s">
        <v>5082</v>
      </c>
    </row>
    <row r="4874" spans="1:149" x14ac:dyDescent="0.3">
      <c r="A4874" s="160">
        <v>44088</v>
      </c>
      <c r="B4874" t="s">
        <v>20064</v>
      </c>
      <c r="C4874" t="s">
        <v>20028</v>
      </c>
      <c r="D4874">
        <v>0.8</v>
      </c>
      <c r="E4874">
        <v>0</v>
      </c>
      <c r="F4874">
        <f t="shared" si="76"/>
        <v>0.8</v>
      </c>
      <c r="I4874">
        <v>20240101</v>
      </c>
      <c r="J4874" t="s">
        <v>20043</v>
      </c>
    </row>
    <row r="4875" spans="1:149" x14ac:dyDescent="0.3">
      <c r="A4875" s="160">
        <v>44094</v>
      </c>
      <c r="B4875" t="s">
        <v>20065</v>
      </c>
      <c r="C4875" t="s">
        <v>5019</v>
      </c>
      <c r="D4875">
        <v>2</v>
      </c>
      <c r="E4875">
        <v>0</v>
      </c>
      <c r="F4875">
        <f t="shared" si="76"/>
        <v>2</v>
      </c>
      <c r="I4875">
        <v>20110701</v>
      </c>
      <c r="J4875" t="s">
        <v>5039</v>
      </c>
      <c r="K4875" t="s">
        <v>5041</v>
      </c>
    </row>
    <row r="4876" spans="1:149" x14ac:dyDescent="0.3">
      <c r="A4876" s="160">
        <v>44097</v>
      </c>
      <c r="B4876" t="s">
        <v>20066</v>
      </c>
      <c r="C4876" t="s">
        <v>5017</v>
      </c>
      <c r="D4876">
        <v>0.6</v>
      </c>
      <c r="E4876">
        <v>0</v>
      </c>
      <c r="F4876">
        <f t="shared" si="76"/>
        <v>0.6</v>
      </c>
      <c r="I4876">
        <v>20040101</v>
      </c>
      <c r="J4876" t="s">
        <v>5080</v>
      </c>
      <c r="K4876" t="s">
        <v>5083</v>
      </c>
    </row>
    <row r="4877" spans="1:149" x14ac:dyDescent="0.3">
      <c r="A4877" s="160">
        <v>44100</v>
      </c>
      <c r="B4877" t="s">
        <v>19651</v>
      </c>
      <c r="C4877" t="s">
        <v>20028</v>
      </c>
      <c r="D4877">
        <v>0.8</v>
      </c>
      <c r="E4877">
        <v>0</v>
      </c>
      <c r="F4877">
        <f t="shared" si="76"/>
        <v>0.8</v>
      </c>
      <c r="I4877">
        <v>20240101</v>
      </c>
      <c r="J4877" t="s">
        <v>20043</v>
      </c>
    </row>
    <row r="4878" spans="1:149" x14ac:dyDescent="0.3">
      <c r="A4878" s="160">
        <v>44101</v>
      </c>
      <c r="B4878" t="s">
        <v>20067</v>
      </c>
      <c r="C4878" t="s">
        <v>5019</v>
      </c>
      <c r="D4878">
        <v>2</v>
      </c>
      <c r="E4878">
        <v>0</v>
      </c>
      <c r="F4878">
        <f t="shared" si="76"/>
        <v>2</v>
      </c>
      <c r="I4878">
        <v>20110701</v>
      </c>
      <c r="J4878" t="s">
        <v>5084</v>
      </c>
    </row>
    <row r="4879" spans="1:149" x14ac:dyDescent="0.3">
      <c r="A4879" s="160">
        <v>44103</v>
      </c>
      <c r="B4879" t="s">
        <v>20068</v>
      </c>
      <c r="C4879" t="s">
        <v>5027</v>
      </c>
      <c r="D4879">
        <v>2</v>
      </c>
      <c r="E4879">
        <v>0</v>
      </c>
      <c r="F4879">
        <f t="shared" si="76"/>
        <v>2</v>
      </c>
      <c r="I4879">
        <v>20230101</v>
      </c>
      <c r="J4879" t="s">
        <v>5085</v>
      </c>
      <c r="K4879" t="s">
        <v>5086</v>
      </c>
      <c r="L4879" t="s">
        <v>5087</v>
      </c>
    </row>
    <row r="4880" spans="1:149" x14ac:dyDescent="0.3">
      <c r="A4880" s="160">
        <v>44109</v>
      </c>
      <c r="B4880" t="s">
        <v>20069</v>
      </c>
      <c r="C4880" t="s">
        <v>5019</v>
      </c>
      <c r="D4880">
        <v>2</v>
      </c>
      <c r="E4880">
        <v>0</v>
      </c>
      <c r="F4880">
        <f t="shared" si="76"/>
        <v>2</v>
      </c>
      <c r="I4880">
        <v>20110701</v>
      </c>
      <c r="J4880" t="s">
        <v>5088</v>
      </c>
      <c r="K4880" t="s">
        <v>5089</v>
      </c>
      <c r="L4880" t="s">
        <v>5090</v>
      </c>
      <c r="M4880" t="s">
        <v>5091</v>
      </c>
      <c r="N4880" t="s">
        <v>5092</v>
      </c>
      <c r="O4880" t="s">
        <v>5093</v>
      </c>
      <c r="P4880" t="s">
        <v>5094</v>
      </c>
      <c r="Q4880" t="s">
        <v>5095</v>
      </c>
      <c r="R4880" t="s">
        <v>5096</v>
      </c>
      <c r="S4880" t="s">
        <v>5097</v>
      </c>
      <c r="T4880" t="s">
        <v>5098</v>
      </c>
      <c r="U4880" t="s">
        <v>5099</v>
      </c>
      <c r="V4880" t="s">
        <v>5100</v>
      </c>
      <c r="W4880" t="s">
        <v>5101</v>
      </c>
      <c r="X4880" t="s">
        <v>5102</v>
      </c>
      <c r="Y4880" t="s">
        <v>5103</v>
      </c>
      <c r="Z4880" t="s">
        <v>5104</v>
      </c>
      <c r="AA4880" t="s">
        <v>5105</v>
      </c>
      <c r="AB4880" t="s">
        <v>5106</v>
      </c>
      <c r="AC4880" t="s">
        <v>5030</v>
      </c>
      <c r="AD4880" t="s">
        <v>5107</v>
      </c>
      <c r="AE4880" t="s">
        <v>5108</v>
      </c>
      <c r="AF4880" t="s">
        <v>5109</v>
      </c>
      <c r="AG4880" t="s">
        <v>5110</v>
      </c>
      <c r="AH4880" t="s">
        <v>5111</v>
      </c>
      <c r="AI4880" t="s">
        <v>5112</v>
      </c>
      <c r="AJ4880" t="s">
        <v>5113</v>
      </c>
      <c r="AK4880" t="s">
        <v>5114</v>
      </c>
      <c r="AL4880" t="s">
        <v>5115</v>
      </c>
      <c r="AM4880" t="s">
        <v>5116</v>
      </c>
      <c r="AN4880" t="s">
        <v>5117</v>
      </c>
      <c r="AO4880" t="s">
        <v>5118</v>
      </c>
      <c r="AP4880" t="s">
        <v>5119</v>
      </c>
      <c r="AQ4880" t="s">
        <v>5120</v>
      </c>
      <c r="AR4880" t="s">
        <v>5121</v>
      </c>
      <c r="AS4880" t="s">
        <v>5122</v>
      </c>
      <c r="AT4880" t="s">
        <v>5123</v>
      </c>
      <c r="AU4880" t="s">
        <v>5124</v>
      </c>
      <c r="AV4880" t="s">
        <v>5125</v>
      </c>
      <c r="AW4880" t="s">
        <v>5126</v>
      </c>
      <c r="AX4880" t="s">
        <v>5127</v>
      </c>
      <c r="AY4880" t="s">
        <v>5128</v>
      </c>
      <c r="AZ4880" t="s">
        <v>5129</v>
      </c>
      <c r="BA4880" t="s">
        <v>5130</v>
      </c>
      <c r="BB4880" t="s">
        <v>5131</v>
      </c>
      <c r="BC4880" t="s">
        <v>5132</v>
      </c>
      <c r="BD4880" t="s">
        <v>5133</v>
      </c>
      <c r="BE4880" t="s">
        <v>5134</v>
      </c>
      <c r="BF4880" t="s">
        <v>5135</v>
      </c>
      <c r="BG4880" t="s">
        <v>5136</v>
      </c>
      <c r="BH4880" t="s">
        <v>5137</v>
      </c>
      <c r="BI4880" t="s">
        <v>5138</v>
      </c>
      <c r="BJ4880" t="s">
        <v>5139</v>
      </c>
      <c r="BK4880" t="s">
        <v>5140</v>
      </c>
      <c r="BL4880" t="s">
        <v>5141</v>
      </c>
      <c r="BM4880" t="s">
        <v>5142</v>
      </c>
      <c r="BN4880" t="s">
        <v>5143</v>
      </c>
      <c r="BO4880" t="s">
        <v>5144</v>
      </c>
    </row>
    <row r="4881" spans="1:45" x14ac:dyDescent="0.3">
      <c r="A4881" s="160">
        <v>44114</v>
      </c>
      <c r="B4881" t="s">
        <v>20070</v>
      </c>
      <c r="C4881" t="s">
        <v>5019</v>
      </c>
      <c r="D4881">
        <v>2</v>
      </c>
      <c r="E4881">
        <v>0</v>
      </c>
      <c r="F4881">
        <f t="shared" si="76"/>
        <v>2</v>
      </c>
      <c r="I4881">
        <v>20110701</v>
      </c>
      <c r="J4881" t="s">
        <v>5176</v>
      </c>
      <c r="K4881" t="s">
        <v>5226</v>
      </c>
      <c r="L4881" t="s">
        <v>5227</v>
      </c>
      <c r="M4881" t="s">
        <v>5228</v>
      </c>
      <c r="N4881" t="s">
        <v>5229</v>
      </c>
      <c r="O4881" t="s">
        <v>5230</v>
      </c>
      <c r="P4881" t="s">
        <v>5231</v>
      </c>
      <c r="Q4881" t="s">
        <v>5232</v>
      </c>
      <c r="R4881" t="s">
        <v>5233</v>
      </c>
      <c r="S4881" t="s">
        <v>5234</v>
      </c>
      <c r="T4881" t="s">
        <v>5235</v>
      </c>
      <c r="U4881" t="s">
        <v>5236</v>
      </c>
      <c r="V4881" t="s">
        <v>5237</v>
      </c>
      <c r="W4881" t="s">
        <v>5238</v>
      </c>
      <c r="X4881" t="s">
        <v>5239</v>
      </c>
      <c r="Y4881" t="s">
        <v>5240</v>
      </c>
    </row>
    <row r="4882" spans="1:45" x14ac:dyDescent="0.3">
      <c r="A4882" s="160">
        <v>44116</v>
      </c>
      <c r="B4882" t="s">
        <v>20071</v>
      </c>
      <c r="C4882" t="s">
        <v>5064</v>
      </c>
      <c r="D4882">
        <v>0.55000000000000004</v>
      </c>
      <c r="E4882">
        <v>0</v>
      </c>
      <c r="F4882">
        <f t="shared" si="76"/>
        <v>0.55000000000000004</v>
      </c>
      <c r="I4882">
        <v>20210701</v>
      </c>
      <c r="J4882" t="s">
        <v>5065</v>
      </c>
    </row>
    <row r="4883" spans="1:45" x14ac:dyDescent="0.3">
      <c r="A4883" s="160">
        <v>44120</v>
      </c>
      <c r="B4883" t="s">
        <v>20072</v>
      </c>
      <c r="C4883" t="s">
        <v>5019</v>
      </c>
      <c r="D4883">
        <v>2</v>
      </c>
      <c r="E4883">
        <v>0</v>
      </c>
      <c r="F4883">
        <f t="shared" si="76"/>
        <v>2</v>
      </c>
      <c r="I4883">
        <v>20110701</v>
      </c>
      <c r="J4883" t="s">
        <v>5241</v>
      </c>
    </row>
    <row r="4884" spans="1:45" x14ac:dyDescent="0.3">
      <c r="A4884" s="160">
        <v>44125</v>
      </c>
      <c r="B4884" t="s">
        <v>20073</v>
      </c>
      <c r="C4884" t="s">
        <v>5017</v>
      </c>
      <c r="D4884">
        <v>0.6</v>
      </c>
      <c r="E4884">
        <v>0</v>
      </c>
      <c r="F4884">
        <f t="shared" si="76"/>
        <v>0.6</v>
      </c>
      <c r="I4884">
        <v>20040101</v>
      </c>
      <c r="J4884" t="s">
        <v>5079</v>
      </c>
      <c r="K4884" t="s">
        <v>5242</v>
      </c>
      <c r="L4884" t="s">
        <v>5243</v>
      </c>
      <c r="M4884" t="s">
        <v>5083</v>
      </c>
    </row>
    <row r="4885" spans="1:45" x14ac:dyDescent="0.3">
      <c r="A4885" s="160">
        <v>44127</v>
      </c>
      <c r="B4885" t="s">
        <v>20074</v>
      </c>
      <c r="C4885" t="s">
        <v>20028</v>
      </c>
      <c r="D4885">
        <v>0.8</v>
      </c>
      <c r="E4885">
        <v>0</v>
      </c>
      <c r="F4885">
        <f t="shared" si="76"/>
        <v>0.8</v>
      </c>
      <c r="I4885">
        <v>20240101</v>
      </c>
      <c r="J4885" t="s">
        <v>20029</v>
      </c>
    </row>
    <row r="4886" spans="1:45" x14ac:dyDescent="0.3">
      <c r="A4886" s="160">
        <v>44132</v>
      </c>
      <c r="B4886" t="s">
        <v>20075</v>
      </c>
      <c r="C4886" t="s">
        <v>5027</v>
      </c>
      <c r="D4886">
        <v>2</v>
      </c>
      <c r="E4886">
        <v>0</v>
      </c>
      <c r="F4886">
        <f t="shared" si="76"/>
        <v>2</v>
      </c>
      <c r="I4886">
        <v>20230101</v>
      </c>
      <c r="J4886" t="s">
        <v>5244</v>
      </c>
    </row>
    <row r="4887" spans="1:45" x14ac:dyDescent="0.3">
      <c r="A4887" s="160">
        <v>44135</v>
      </c>
      <c r="B4887" t="s">
        <v>20076</v>
      </c>
      <c r="C4887" t="s">
        <v>5017</v>
      </c>
      <c r="D4887">
        <v>0.6</v>
      </c>
      <c r="E4887">
        <v>0</v>
      </c>
      <c r="F4887">
        <f t="shared" si="76"/>
        <v>0.6</v>
      </c>
      <c r="I4887">
        <v>20040101</v>
      </c>
      <c r="J4887" t="s">
        <v>5245</v>
      </c>
    </row>
    <row r="4888" spans="1:45" x14ac:dyDescent="0.3">
      <c r="A4888" s="160">
        <v>44142</v>
      </c>
      <c r="B4888" t="s">
        <v>20077</v>
      </c>
      <c r="C4888" t="s">
        <v>20028</v>
      </c>
      <c r="D4888">
        <v>0.8</v>
      </c>
      <c r="E4888">
        <v>0</v>
      </c>
      <c r="F4888">
        <f t="shared" si="76"/>
        <v>0.8</v>
      </c>
      <c r="I4888">
        <v>20240101</v>
      </c>
      <c r="J4888" t="s">
        <v>20029</v>
      </c>
    </row>
    <row r="4889" spans="1:45" x14ac:dyDescent="0.3">
      <c r="A4889" s="160">
        <v>44143</v>
      </c>
      <c r="B4889" t="s">
        <v>20078</v>
      </c>
      <c r="C4889" t="s">
        <v>5019</v>
      </c>
      <c r="D4889">
        <v>2</v>
      </c>
      <c r="E4889">
        <v>0</v>
      </c>
      <c r="F4889">
        <f t="shared" si="76"/>
        <v>2</v>
      </c>
      <c r="I4889">
        <v>20110701</v>
      </c>
      <c r="J4889" t="s">
        <v>5246</v>
      </c>
      <c r="K4889" t="s">
        <v>5247</v>
      </c>
      <c r="L4889" t="s">
        <v>5248</v>
      </c>
      <c r="M4889" t="s">
        <v>5249</v>
      </c>
      <c r="N4889" t="s">
        <v>5250</v>
      </c>
      <c r="O4889" t="s">
        <v>5251</v>
      </c>
      <c r="P4889" t="s">
        <v>5252</v>
      </c>
      <c r="Q4889" t="s">
        <v>5253</v>
      </c>
      <c r="R4889" t="s">
        <v>5254</v>
      </c>
      <c r="S4889" t="s">
        <v>5255</v>
      </c>
      <c r="T4889" t="s">
        <v>5256</v>
      </c>
      <c r="U4889" t="s">
        <v>5232</v>
      </c>
      <c r="V4889" t="s">
        <v>5240</v>
      </c>
    </row>
    <row r="4890" spans="1:45" x14ac:dyDescent="0.3">
      <c r="A4890" s="160">
        <v>44150</v>
      </c>
      <c r="B4890" t="s">
        <v>20079</v>
      </c>
      <c r="C4890" t="s">
        <v>5019</v>
      </c>
      <c r="D4890">
        <v>2</v>
      </c>
      <c r="E4890">
        <v>0</v>
      </c>
      <c r="F4890">
        <f t="shared" si="76"/>
        <v>2</v>
      </c>
      <c r="I4890">
        <v>20110701</v>
      </c>
      <c r="J4890" t="s">
        <v>5257</v>
      </c>
    </row>
    <row r="4891" spans="1:45" x14ac:dyDescent="0.3">
      <c r="A4891" s="160">
        <v>44151</v>
      </c>
      <c r="B4891" t="s">
        <v>17200</v>
      </c>
      <c r="C4891" t="s">
        <v>5027</v>
      </c>
      <c r="D4891">
        <v>2</v>
      </c>
      <c r="E4891">
        <v>0</v>
      </c>
      <c r="F4891">
        <f t="shared" si="76"/>
        <v>2</v>
      </c>
      <c r="I4891">
        <v>20230101</v>
      </c>
      <c r="J4891" t="s">
        <v>5258</v>
      </c>
      <c r="K4891" t="s">
        <v>5072</v>
      </c>
    </row>
    <row r="4892" spans="1:45" x14ac:dyDescent="0.3">
      <c r="A4892" s="160">
        <v>44154</v>
      </c>
      <c r="B4892" t="s">
        <v>20080</v>
      </c>
      <c r="C4892" t="s">
        <v>5064</v>
      </c>
      <c r="D4892">
        <v>0.55000000000000004</v>
      </c>
      <c r="E4892">
        <v>0</v>
      </c>
      <c r="F4892">
        <f t="shared" si="76"/>
        <v>0.55000000000000004</v>
      </c>
      <c r="I4892">
        <v>20210701</v>
      </c>
      <c r="J4892" t="s">
        <v>5259</v>
      </c>
    </row>
    <row r="4893" spans="1:45" x14ac:dyDescent="0.3">
      <c r="A4893" s="160">
        <v>44159</v>
      </c>
      <c r="B4893" t="s">
        <v>20081</v>
      </c>
      <c r="C4893" t="s">
        <v>20028</v>
      </c>
      <c r="D4893">
        <v>0.8</v>
      </c>
      <c r="E4893">
        <v>0</v>
      </c>
      <c r="F4893">
        <f t="shared" si="76"/>
        <v>0.8</v>
      </c>
      <c r="I4893">
        <v>20240101</v>
      </c>
      <c r="J4893" t="s">
        <v>20043</v>
      </c>
    </row>
    <row r="4894" spans="1:45" x14ac:dyDescent="0.3">
      <c r="A4894" s="160">
        <v>44162</v>
      </c>
      <c r="B4894" t="s">
        <v>20082</v>
      </c>
      <c r="C4894" t="s">
        <v>5019</v>
      </c>
      <c r="D4894">
        <v>2</v>
      </c>
      <c r="E4894">
        <v>0</v>
      </c>
      <c r="F4894">
        <f t="shared" si="76"/>
        <v>2</v>
      </c>
      <c r="I4894">
        <v>20110701</v>
      </c>
      <c r="J4894" t="s">
        <v>5260</v>
      </c>
      <c r="K4894" t="s">
        <v>5261</v>
      </c>
      <c r="L4894" t="s">
        <v>5262</v>
      </c>
      <c r="M4894" t="s">
        <v>5263</v>
      </c>
      <c r="N4894" t="s">
        <v>5264</v>
      </c>
      <c r="O4894" t="s">
        <v>5265</v>
      </c>
      <c r="P4894" t="s">
        <v>5266</v>
      </c>
      <c r="Q4894" t="s">
        <v>5267</v>
      </c>
      <c r="R4894" t="s">
        <v>5268</v>
      </c>
      <c r="S4894" t="s">
        <v>5269</v>
      </c>
      <c r="T4894" t="s">
        <v>5270</v>
      </c>
      <c r="U4894" t="s">
        <v>5271</v>
      </c>
      <c r="V4894" t="s">
        <v>5272</v>
      </c>
      <c r="W4894" t="s">
        <v>5273</v>
      </c>
      <c r="X4894" t="s">
        <v>5274</v>
      </c>
      <c r="Y4894" t="s">
        <v>5275</v>
      </c>
      <c r="Z4894" t="s">
        <v>5276</v>
      </c>
      <c r="AA4894" t="s">
        <v>5277</v>
      </c>
      <c r="AB4894" t="s">
        <v>5278</v>
      </c>
      <c r="AC4894" t="s">
        <v>5279</v>
      </c>
      <c r="AD4894" t="s">
        <v>5280</v>
      </c>
      <c r="AE4894" t="s">
        <v>5281</v>
      </c>
      <c r="AF4894" t="s">
        <v>5282</v>
      </c>
      <c r="AG4894" t="s">
        <v>5283</v>
      </c>
      <c r="AH4894" t="s">
        <v>5284</v>
      </c>
      <c r="AI4894" t="s">
        <v>5285</v>
      </c>
      <c r="AJ4894" t="s">
        <v>5286</v>
      </c>
      <c r="AK4894" t="s">
        <v>5287</v>
      </c>
      <c r="AL4894" t="s">
        <v>5288</v>
      </c>
      <c r="AM4894" t="s">
        <v>5289</v>
      </c>
      <c r="AN4894" t="s">
        <v>5290</v>
      </c>
      <c r="AO4894" t="s">
        <v>5291</v>
      </c>
      <c r="AP4894" t="s">
        <v>5292</v>
      </c>
      <c r="AQ4894" t="s">
        <v>5293</v>
      </c>
      <c r="AR4894" t="s">
        <v>5240</v>
      </c>
      <c r="AS4894" t="s">
        <v>5294</v>
      </c>
    </row>
    <row r="4895" spans="1:45" x14ac:dyDescent="0.3">
      <c r="A4895" s="160">
        <v>44165</v>
      </c>
      <c r="B4895" t="s">
        <v>20083</v>
      </c>
      <c r="C4895" t="s">
        <v>20028</v>
      </c>
      <c r="D4895">
        <v>0.8</v>
      </c>
      <c r="E4895">
        <v>0</v>
      </c>
      <c r="F4895">
        <f t="shared" si="76"/>
        <v>0.8</v>
      </c>
      <c r="I4895">
        <v>20240101</v>
      </c>
      <c r="J4895" t="s">
        <v>20037</v>
      </c>
    </row>
    <row r="4896" spans="1:45" x14ac:dyDescent="0.3">
      <c r="A4896" s="160">
        <v>44166</v>
      </c>
      <c r="B4896" t="s">
        <v>20084</v>
      </c>
      <c r="C4896" t="s">
        <v>5019</v>
      </c>
      <c r="D4896">
        <v>2</v>
      </c>
      <c r="E4896">
        <v>0</v>
      </c>
      <c r="F4896">
        <f t="shared" si="76"/>
        <v>2</v>
      </c>
      <c r="I4896">
        <v>20110701</v>
      </c>
      <c r="J4896" t="s">
        <v>5241</v>
      </c>
    </row>
    <row r="4897" spans="1:23" x14ac:dyDescent="0.3">
      <c r="A4897" s="160">
        <v>44168</v>
      </c>
      <c r="B4897" t="s">
        <v>20085</v>
      </c>
      <c r="C4897" t="s">
        <v>5027</v>
      </c>
      <c r="D4897">
        <v>2</v>
      </c>
      <c r="E4897">
        <v>0</v>
      </c>
      <c r="F4897">
        <f t="shared" si="76"/>
        <v>2</v>
      </c>
      <c r="I4897">
        <v>20230101</v>
      </c>
      <c r="J4897" t="s">
        <v>5295</v>
      </c>
    </row>
    <row r="4898" spans="1:23" x14ac:dyDescent="0.3">
      <c r="A4898" s="160">
        <v>44171</v>
      </c>
      <c r="B4898" t="s">
        <v>20086</v>
      </c>
      <c r="C4898" t="s">
        <v>5019</v>
      </c>
      <c r="D4898">
        <v>2</v>
      </c>
      <c r="E4898">
        <v>0</v>
      </c>
      <c r="F4898">
        <f t="shared" si="76"/>
        <v>2</v>
      </c>
      <c r="I4898">
        <v>20110701</v>
      </c>
      <c r="J4898" t="s">
        <v>5296</v>
      </c>
    </row>
    <row r="4899" spans="1:23" x14ac:dyDescent="0.3">
      <c r="A4899" s="160">
        <v>44172</v>
      </c>
      <c r="B4899" t="s">
        <v>20087</v>
      </c>
      <c r="C4899" t="s">
        <v>5019</v>
      </c>
      <c r="D4899">
        <v>2</v>
      </c>
      <c r="E4899">
        <v>0</v>
      </c>
      <c r="F4899">
        <f t="shared" si="76"/>
        <v>2</v>
      </c>
      <c r="I4899">
        <v>20110701</v>
      </c>
      <c r="J4899" t="s">
        <v>5297</v>
      </c>
      <c r="K4899" t="s">
        <v>5298</v>
      </c>
      <c r="L4899" t="s">
        <v>5299</v>
      </c>
      <c r="M4899" t="s">
        <v>5056</v>
      </c>
      <c r="N4899" t="s">
        <v>5300</v>
      </c>
      <c r="O4899" t="s">
        <v>5301</v>
      </c>
      <c r="P4899" t="s">
        <v>5302</v>
      </c>
    </row>
    <row r="4900" spans="1:23" x14ac:dyDescent="0.3">
      <c r="A4900" s="160">
        <v>44173</v>
      </c>
      <c r="B4900" t="s">
        <v>20088</v>
      </c>
      <c r="C4900" t="s">
        <v>20028</v>
      </c>
      <c r="D4900">
        <v>0.8</v>
      </c>
      <c r="E4900">
        <v>0</v>
      </c>
      <c r="F4900">
        <f t="shared" si="76"/>
        <v>0.8</v>
      </c>
      <c r="I4900">
        <v>20240101</v>
      </c>
      <c r="J4900" t="s">
        <v>20037</v>
      </c>
      <c r="K4900" t="s">
        <v>20046</v>
      </c>
    </row>
    <row r="4901" spans="1:23" x14ac:dyDescent="0.3">
      <c r="A4901" s="160">
        <v>44175</v>
      </c>
      <c r="B4901" t="s">
        <v>20089</v>
      </c>
      <c r="C4901" t="s">
        <v>5017</v>
      </c>
      <c r="D4901">
        <v>0.6</v>
      </c>
      <c r="E4901">
        <v>0</v>
      </c>
      <c r="F4901">
        <f t="shared" si="76"/>
        <v>0.6</v>
      </c>
      <c r="I4901">
        <v>20040101</v>
      </c>
      <c r="J4901" t="s">
        <v>5018</v>
      </c>
    </row>
    <row r="4902" spans="1:23" x14ac:dyDescent="0.3">
      <c r="A4902" s="160">
        <v>44176</v>
      </c>
      <c r="B4902" t="s">
        <v>20090</v>
      </c>
      <c r="C4902" t="s">
        <v>5027</v>
      </c>
      <c r="D4902">
        <v>2</v>
      </c>
      <c r="E4902">
        <v>0</v>
      </c>
      <c r="F4902">
        <f t="shared" si="76"/>
        <v>2</v>
      </c>
      <c r="I4902">
        <v>20230101</v>
      </c>
      <c r="J4902" t="s">
        <v>5085</v>
      </c>
    </row>
    <row r="4903" spans="1:23" x14ac:dyDescent="0.3">
      <c r="A4903" s="160">
        <v>44183</v>
      </c>
      <c r="B4903" t="s">
        <v>20091</v>
      </c>
      <c r="C4903" t="s">
        <v>5017</v>
      </c>
      <c r="D4903">
        <v>0.6</v>
      </c>
      <c r="E4903">
        <v>0</v>
      </c>
      <c r="F4903">
        <f t="shared" si="76"/>
        <v>0.6</v>
      </c>
      <c r="I4903">
        <v>20040101</v>
      </c>
      <c r="J4903" t="s">
        <v>5077</v>
      </c>
      <c r="K4903" t="s">
        <v>5078</v>
      </c>
    </row>
    <row r="4904" spans="1:23" x14ac:dyDescent="0.3">
      <c r="A4904" s="160">
        <v>44184</v>
      </c>
      <c r="B4904" t="s">
        <v>18415</v>
      </c>
      <c r="C4904" t="s">
        <v>5027</v>
      </c>
      <c r="D4904">
        <v>2</v>
      </c>
      <c r="E4904">
        <v>0</v>
      </c>
      <c r="F4904">
        <f t="shared" si="76"/>
        <v>2</v>
      </c>
      <c r="I4904">
        <v>20230101</v>
      </c>
      <c r="J4904" t="s">
        <v>5303</v>
      </c>
      <c r="K4904" t="s">
        <v>5304</v>
      </c>
      <c r="L4904" t="s">
        <v>5086</v>
      </c>
      <c r="M4904" t="s">
        <v>5305</v>
      </c>
      <c r="N4904" t="s">
        <v>5087</v>
      </c>
      <c r="O4904" t="s">
        <v>5306</v>
      </c>
      <c r="P4904" t="s">
        <v>5307</v>
      </c>
      <c r="Q4904" t="s">
        <v>5308</v>
      </c>
      <c r="R4904" t="s">
        <v>5309</v>
      </c>
      <c r="S4904" t="s">
        <v>5310</v>
      </c>
      <c r="T4904" t="s">
        <v>5311</v>
      </c>
      <c r="U4904" t="s">
        <v>5312</v>
      </c>
      <c r="V4904" t="s">
        <v>5313</v>
      </c>
      <c r="W4904" t="s">
        <v>5314</v>
      </c>
    </row>
    <row r="4905" spans="1:23" x14ac:dyDescent="0.3">
      <c r="A4905" s="160">
        <v>44187</v>
      </c>
      <c r="B4905" t="s">
        <v>20092</v>
      </c>
      <c r="C4905" t="s">
        <v>5064</v>
      </c>
      <c r="D4905">
        <v>0.55000000000000004</v>
      </c>
      <c r="E4905">
        <v>0</v>
      </c>
      <c r="F4905">
        <f t="shared" si="76"/>
        <v>0.55000000000000004</v>
      </c>
      <c r="I4905">
        <v>20210701</v>
      </c>
      <c r="J4905" t="s">
        <v>5076</v>
      </c>
    </row>
    <row r="4906" spans="1:23" x14ac:dyDescent="0.3">
      <c r="A4906" s="160">
        <v>44190</v>
      </c>
      <c r="B4906" t="s">
        <v>20093</v>
      </c>
      <c r="C4906" t="s">
        <v>5019</v>
      </c>
      <c r="D4906">
        <v>2</v>
      </c>
      <c r="E4906">
        <v>0</v>
      </c>
      <c r="F4906">
        <f t="shared" si="76"/>
        <v>2</v>
      </c>
      <c r="I4906">
        <v>20110701</v>
      </c>
      <c r="J4906" t="s">
        <v>5315</v>
      </c>
      <c r="K4906" t="s">
        <v>5316</v>
      </c>
      <c r="L4906" t="s">
        <v>5317</v>
      </c>
      <c r="M4906" t="s">
        <v>5318</v>
      </c>
      <c r="N4906" t="s">
        <v>5319</v>
      </c>
      <c r="O4906" t="s">
        <v>5320</v>
      </c>
      <c r="P4906" t="s">
        <v>5321</v>
      </c>
    </row>
    <row r="4907" spans="1:23" x14ac:dyDescent="0.3">
      <c r="A4907" s="160">
        <v>44192</v>
      </c>
      <c r="B4907" t="s">
        <v>20094</v>
      </c>
      <c r="C4907" t="s">
        <v>5064</v>
      </c>
      <c r="D4907">
        <v>0.55000000000000004</v>
      </c>
      <c r="E4907">
        <v>0</v>
      </c>
      <c r="F4907">
        <f t="shared" si="76"/>
        <v>0.55000000000000004</v>
      </c>
      <c r="I4907">
        <v>20210701</v>
      </c>
      <c r="J4907" t="s">
        <v>5076</v>
      </c>
    </row>
    <row r="4908" spans="1:23" x14ac:dyDescent="0.3">
      <c r="A4908" s="160">
        <v>44194</v>
      </c>
      <c r="B4908" t="s">
        <v>20095</v>
      </c>
      <c r="C4908" t="s">
        <v>5019</v>
      </c>
      <c r="D4908">
        <v>2</v>
      </c>
      <c r="E4908">
        <v>0</v>
      </c>
      <c r="F4908">
        <f t="shared" si="76"/>
        <v>2</v>
      </c>
      <c r="I4908">
        <v>20110701</v>
      </c>
      <c r="J4908" t="s">
        <v>5322</v>
      </c>
    </row>
    <row r="4909" spans="1:23" x14ac:dyDescent="0.3">
      <c r="A4909" s="160">
        <v>44198</v>
      </c>
      <c r="B4909" t="s">
        <v>20096</v>
      </c>
      <c r="C4909" t="s">
        <v>5019</v>
      </c>
      <c r="D4909">
        <v>2</v>
      </c>
      <c r="E4909">
        <v>0</v>
      </c>
      <c r="F4909">
        <f t="shared" si="76"/>
        <v>2</v>
      </c>
      <c r="I4909">
        <v>20110701</v>
      </c>
      <c r="J4909" t="s">
        <v>5323</v>
      </c>
    </row>
    <row r="4910" spans="1:23" x14ac:dyDescent="0.3">
      <c r="A4910" s="160">
        <v>44204</v>
      </c>
      <c r="B4910" t="s">
        <v>20097</v>
      </c>
      <c r="C4910" t="s">
        <v>5019</v>
      </c>
      <c r="D4910">
        <v>2</v>
      </c>
      <c r="E4910">
        <v>0</v>
      </c>
      <c r="F4910">
        <f t="shared" si="76"/>
        <v>2</v>
      </c>
      <c r="I4910">
        <v>20110701</v>
      </c>
      <c r="J4910" t="s">
        <v>5039</v>
      </c>
      <c r="K4910" t="s">
        <v>5040</v>
      </c>
      <c r="L4910" t="s">
        <v>5042</v>
      </c>
      <c r="M4910" t="s">
        <v>5043</v>
      </c>
      <c r="N4910" t="s">
        <v>5045</v>
      </c>
      <c r="O4910" t="s">
        <v>5324</v>
      </c>
    </row>
    <row r="4911" spans="1:23" x14ac:dyDescent="0.3">
      <c r="A4911" s="160">
        <v>44210</v>
      </c>
      <c r="B4911" t="s">
        <v>20098</v>
      </c>
      <c r="C4911" t="s">
        <v>5027</v>
      </c>
      <c r="D4911">
        <v>2</v>
      </c>
      <c r="E4911">
        <v>0</v>
      </c>
      <c r="F4911">
        <f t="shared" si="76"/>
        <v>2</v>
      </c>
      <c r="I4911">
        <v>20230101</v>
      </c>
      <c r="J4911" t="s">
        <v>5325</v>
      </c>
      <c r="K4911" t="s">
        <v>5304</v>
      </c>
      <c r="L4911" t="s">
        <v>5087</v>
      </c>
      <c r="M4911" t="s">
        <v>5308</v>
      </c>
      <c r="N4911" t="s">
        <v>5309</v>
      </c>
      <c r="O4911" t="s">
        <v>5310</v>
      </c>
      <c r="P4911" t="s">
        <v>5311</v>
      </c>
      <c r="Q4911" t="s">
        <v>5314</v>
      </c>
    </row>
    <row r="4912" spans="1:23" x14ac:dyDescent="0.3">
      <c r="A4912" s="160">
        <v>44211</v>
      </c>
      <c r="B4912" t="s">
        <v>20099</v>
      </c>
      <c r="C4912" t="s">
        <v>5017</v>
      </c>
      <c r="D4912">
        <v>0.6</v>
      </c>
      <c r="E4912">
        <v>0</v>
      </c>
      <c r="F4912">
        <f t="shared" si="76"/>
        <v>0.6</v>
      </c>
      <c r="I4912">
        <v>20040101</v>
      </c>
      <c r="J4912" t="s">
        <v>5326</v>
      </c>
      <c r="K4912" t="s">
        <v>5083</v>
      </c>
    </row>
    <row r="4913" spans="1:80" x14ac:dyDescent="0.3">
      <c r="A4913" s="160">
        <v>44215</v>
      </c>
      <c r="B4913" t="s">
        <v>20100</v>
      </c>
      <c r="C4913" t="s">
        <v>5019</v>
      </c>
      <c r="D4913">
        <v>2</v>
      </c>
      <c r="E4913">
        <v>0</v>
      </c>
      <c r="F4913">
        <f t="shared" si="76"/>
        <v>2</v>
      </c>
      <c r="I4913">
        <v>20110701</v>
      </c>
      <c r="J4913" t="s">
        <v>5327</v>
      </c>
      <c r="K4913" t="s">
        <v>5021</v>
      </c>
      <c r="L4913" t="s">
        <v>5022</v>
      </c>
      <c r="M4913" t="s">
        <v>5023</v>
      </c>
      <c r="N4913" t="s">
        <v>5024</v>
      </c>
    </row>
    <row r="4914" spans="1:80" x14ac:dyDescent="0.3">
      <c r="A4914" s="160">
        <v>44216</v>
      </c>
      <c r="B4914" t="s">
        <v>20101</v>
      </c>
      <c r="C4914" t="s">
        <v>20028</v>
      </c>
      <c r="D4914">
        <v>0.8</v>
      </c>
      <c r="E4914">
        <v>0</v>
      </c>
      <c r="F4914">
        <f t="shared" si="76"/>
        <v>0.8</v>
      </c>
      <c r="I4914">
        <v>20240101</v>
      </c>
      <c r="J4914" t="s">
        <v>20102</v>
      </c>
    </row>
    <row r="4915" spans="1:80" x14ac:dyDescent="0.3">
      <c r="A4915" s="160">
        <v>45004</v>
      </c>
      <c r="B4915" t="s">
        <v>17843</v>
      </c>
      <c r="C4915" t="s">
        <v>5328</v>
      </c>
      <c r="D4915">
        <v>0.55000000000000004</v>
      </c>
      <c r="E4915">
        <v>0</v>
      </c>
      <c r="F4915">
        <f t="shared" si="76"/>
        <v>0.55000000000000004</v>
      </c>
      <c r="I4915">
        <v>19930401</v>
      </c>
      <c r="J4915" t="s">
        <v>5329</v>
      </c>
      <c r="K4915" t="s">
        <v>5330</v>
      </c>
      <c r="L4915" t="s">
        <v>5331</v>
      </c>
      <c r="M4915" t="s">
        <v>5332</v>
      </c>
      <c r="N4915" t="s">
        <v>5333</v>
      </c>
      <c r="O4915" t="s">
        <v>5334</v>
      </c>
      <c r="P4915" t="s">
        <v>5335</v>
      </c>
      <c r="Q4915" t="s">
        <v>5336</v>
      </c>
      <c r="R4915" t="s">
        <v>5337</v>
      </c>
      <c r="S4915" t="s">
        <v>5338</v>
      </c>
      <c r="T4915" t="s">
        <v>5339</v>
      </c>
      <c r="U4915" t="s">
        <v>5340</v>
      </c>
      <c r="V4915" t="s">
        <v>5341</v>
      </c>
      <c r="W4915" t="s">
        <v>5342</v>
      </c>
    </row>
    <row r="4916" spans="1:80" x14ac:dyDescent="0.3">
      <c r="A4916" s="160">
        <v>45034</v>
      </c>
      <c r="B4916" t="s">
        <v>20103</v>
      </c>
      <c r="C4916" t="s">
        <v>5343</v>
      </c>
      <c r="D4916">
        <v>2</v>
      </c>
      <c r="E4916">
        <v>0</v>
      </c>
      <c r="F4916">
        <f t="shared" si="76"/>
        <v>2</v>
      </c>
      <c r="I4916">
        <v>20220701</v>
      </c>
      <c r="J4916" t="s">
        <v>5344</v>
      </c>
      <c r="K4916" t="s">
        <v>5345</v>
      </c>
      <c r="L4916" t="s">
        <v>5346</v>
      </c>
      <c r="M4916" t="s">
        <v>5347</v>
      </c>
      <c r="N4916" t="s">
        <v>5348</v>
      </c>
      <c r="O4916" t="s">
        <v>5349</v>
      </c>
    </row>
    <row r="4917" spans="1:80" x14ac:dyDescent="0.3">
      <c r="A4917" s="160">
        <v>45043</v>
      </c>
      <c r="B4917" t="s">
        <v>20104</v>
      </c>
      <c r="C4917" t="s">
        <v>5343</v>
      </c>
      <c r="D4917">
        <v>2</v>
      </c>
      <c r="E4917">
        <v>0</v>
      </c>
      <c r="F4917">
        <f t="shared" si="76"/>
        <v>2</v>
      </c>
      <c r="I4917">
        <v>20220701</v>
      </c>
      <c r="J4917" t="s">
        <v>5350</v>
      </c>
      <c r="K4917" t="s">
        <v>5345</v>
      </c>
    </row>
    <row r="4918" spans="1:80" x14ac:dyDescent="0.3">
      <c r="A4918" s="160">
        <v>45061</v>
      </c>
      <c r="B4918" t="s">
        <v>20105</v>
      </c>
      <c r="C4918" t="s">
        <v>5328</v>
      </c>
      <c r="D4918">
        <v>0.55000000000000004</v>
      </c>
      <c r="E4918">
        <v>0</v>
      </c>
      <c r="F4918">
        <f t="shared" si="76"/>
        <v>0.55000000000000004</v>
      </c>
      <c r="I4918">
        <v>19930401</v>
      </c>
      <c r="J4918" t="s">
        <v>5351</v>
      </c>
      <c r="K4918" t="s">
        <v>5329</v>
      </c>
      <c r="L4918" t="s">
        <v>5330</v>
      </c>
    </row>
    <row r="4919" spans="1:80" x14ac:dyDescent="0.3">
      <c r="A4919" s="160">
        <v>45068</v>
      </c>
      <c r="B4919" t="s">
        <v>20106</v>
      </c>
      <c r="C4919" t="s">
        <v>5328</v>
      </c>
      <c r="D4919">
        <v>0.55000000000000004</v>
      </c>
      <c r="E4919">
        <v>0</v>
      </c>
      <c r="F4919">
        <f t="shared" si="76"/>
        <v>0.55000000000000004</v>
      </c>
      <c r="I4919">
        <v>19930401</v>
      </c>
      <c r="J4919" t="s">
        <v>5351</v>
      </c>
      <c r="K4919" t="s">
        <v>5329</v>
      </c>
      <c r="L4919" t="s">
        <v>5330</v>
      </c>
      <c r="M4919" t="s">
        <v>5332</v>
      </c>
      <c r="N4919" t="s">
        <v>5338</v>
      </c>
    </row>
    <row r="4920" spans="1:80" x14ac:dyDescent="0.3">
      <c r="A4920" s="160">
        <v>45072</v>
      </c>
      <c r="B4920" t="s">
        <v>20107</v>
      </c>
      <c r="C4920" t="s">
        <v>5343</v>
      </c>
      <c r="D4920">
        <v>2</v>
      </c>
      <c r="E4920">
        <v>0</v>
      </c>
      <c r="F4920">
        <f t="shared" si="76"/>
        <v>2</v>
      </c>
      <c r="I4920">
        <v>20220701</v>
      </c>
      <c r="J4920" t="s">
        <v>5352</v>
      </c>
      <c r="K4920" t="s">
        <v>5353</v>
      </c>
    </row>
    <row r="4921" spans="1:80" x14ac:dyDescent="0.3">
      <c r="A4921" s="160">
        <v>45075</v>
      </c>
      <c r="B4921" t="s">
        <v>20108</v>
      </c>
      <c r="C4921" t="s">
        <v>5343</v>
      </c>
      <c r="D4921">
        <v>2</v>
      </c>
      <c r="E4921">
        <v>0</v>
      </c>
      <c r="F4921">
        <f t="shared" si="76"/>
        <v>2</v>
      </c>
      <c r="I4921">
        <v>20220701</v>
      </c>
      <c r="J4921" t="s">
        <v>5354</v>
      </c>
      <c r="K4921" t="s">
        <v>5355</v>
      </c>
      <c r="L4921" t="s">
        <v>5356</v>
      </c>
      <c r="M4921" t="s">
        <v>5357</v>
      </c>
      <c r="N4921" t="s">
        <v>5358</v>
      </c>
      <c r="O4921" t="s">
        <v>5359</v>
      </c>
      <c r="P4921" t="s">
        <v>5360</v>
      </c>
      <c r="Q4921" t="s">
        <v>5361</v>
      </c>
    </row>
    <row r="4922" spans="1:80" x14ac:dyDescent="0.3">
      <c r="A4922" s="160">
        <v>45089</v>
      </c>
      <c r="B4922" t="s">
        <v>20109</v>
      </c>
      <c r="C4922" t="s">
        <v>5343</v>
      </c>
      <c r="D4922">
        <v>2</v>
      </c>
      <c r="E4922">
        <v>0</v>
      </c>
      <c r="F4922">
        <f t="shared" si="76"/>
        <v>2</v>
      </c>
      <c r="I4922">
        <v>20220701</v>
      </c>
      <c r="J4922" t="s">
        <v>5350</v>
      </c>
      <c r="K4922" t="s">
        <v>5362</v>
      </c>
      <c r="L4922" t="s">
        <v>5344</v>
      </c>
      <c r="M4922" t="s">
        <v>5345</v>
      </c>
      <c r="N4922" t="s">
        <v>5347</v>
      </c>
    </row>
    <row r="4923" spans="1:80" x14ac:dyDescent="0.3">
      <c r="A4923" s="160">
        <v>45100</v>
      </c>
      <c r="B4923" t="s">
        <v>20110</v>
      </c>
      <c r="C4923" t="s">
        <v>5343</v>
      </c>
      <c r="D4923">
        <v>2</v>
      </c>
      <c r="E4923">
        <v>0</v>
      </c>
      <c r="F4923">
        <f t="shared" si="76"/>
        <v>2</v>
      </c>
      <c r="I4923">
        <v>20220701</v>
      </c>
      <c r="J4923" t="s">
        <v>5363</v>
      </c>
      <c r="K4923" t="s">
        <v>5347</v>
      </c>
    </row>
    <row r="4924" spans="1:80" x14ac:dyDescent="0.3">
      <c r="A4924" s="160">
        <v>45102</v>
      </c>
      <c r="B4924" t="s">
        <v>20111</v>
      </c>
      <c r="C4924" t="s">
        <v>5328</v>
      </c>
      <c r="D4924">
        <v>0.55000000000000004</v>
      </c>
      <c r="E4924">
        <v>0</v>
      </c>
      <c r="F4924">
        <f t="shared" si="76"/>
        <v>0.55000000000000004</v>
      </c>
      <c r="I4924">
        <v>20050601</v>
      </c>
      <c r="J4924" t="s">
        <v>5364</v>
      </c>
      <c r="K4924" t="s">
        <v>5365</v>
      </c>
      <c r="BP4924" t="s">
        <v>5370</v>
      </c>
      <c r="BQ4924" t="s">
        <v>5445</v>
      </c>
      <c r="BR4924" t="s">
        <v>5446</v>
      </c>
      <c r="BS4924" t="s">
        <v>5447</v>
      </c>
      <c r="BT4924" t="s">
        <v>5448</v>
      </c>
      <c r="BU4924" t="s">
        <v>5449</v>
      </c>
      <c r="BV4924" t="s">
        <v>5450</v>
      </c>
      <c r="BW4924" t="s">
        <v>5451</v>
      </c>
      <c r="BX4924" t="s">
        <v>5452</v>
      </c>
      <c r="BY4924" t="s">
        <v>5453</v>
      </c>
      <c r="BZ4924" t="s">
        <v>5454</v>
      </c>
      <c r="CA4924" t="s">
        <v>5455</v>
      </c>
      <c r="CB4924" t="s">
        <v>5456</v>
      </c>
    </row>
    <row r="4925" spans="1:80" x14ac:dyDescent="0.3">
      <c r="A4925" s="160">
        <v>45104</v>
      </c>
      <c r="B4925" t="s">
        <v>20112</v>
      </c>
      <c r="C4925" t="s">
        <v>5328</v>
      </c>
      <c r="D4925">
        <v>0.55000000000000004</v>
      </c>
      <c r="E4925">
        <v>0</v>
      </c>
      <c r="F4925">
        <f t="shared" si="76"/>
        <v>0.55000000000000004</v>
      </c>
      <c r="I4925">
        <v>19930401</v>
      </c>
      <c r="J4925" t="s">
        <v>5351</v>
      </c>
      <c r="K4925" t="s">
        <v>5329</v>
      </c>
      <c r="L4925" t="s">
        <v>5330</v>
      </c>
      <c r="M4925" t="s">
        <v>5332</v>
      </c>
    </row>
    <row r="4926" spans="1:80" x14ac:dyDescent="0.3">
      <c r="A4926" s="160">
        <v>45147</v>
      </c>
      <c r="B4926" t="s">
        <v>20113</v>
      </c>
      <c r="C4926" t="s">
        <v>5343</v>
      </c>
      <c r="D4926">
        <v>2</v>
      </c>
      <c r="E4926">
        <v>0</v>
      </c>
      <c r="F4926">
        <f t="shared" si="76"/>
        <v>2</v>
      </c>
      <c r="I4926">
        <v>20220701</v>
      </c>
      <c r="J4926" t="s">
        <v>5366</v>
      </c>
      <c r="K4926" t="s">
        <v>5352</v>
      </c>
      <c r="L4926" t="s">
        <v>5367</v>
      </c>
      <c r="M4926" t="s">
        <v>5368</v>
      </c>
      <c r="N4926" t="s">
        <v>5369</v>
      </c>
      <c r="O4926" t="s">
        <v>5353</v>
      </c>
      <c r="P4926" t="s">
        <v>5370</v>
      </c>
      <c r="Q4926" t="s">
        <v>5371</v>
      </c>
      <c r="R4926" t="s">
        <v>5372</v>
      </c>
      <c r="S4926" t="s">
        <v>5373</v>
      </c>
    </row>
    <row r="4927" spans="1:80" x14ac:dyDescent="0.3">
      <c r="A4927" s="160">
        <v>45169</v>
      </c>
      <c r="B4927" t="s">
        <v>20114</v>
      </c>
      <c r="C4927" t="s">
        <v>5343</v>
      </c>
      <c r="D4927">
        <v>2</v>
      </c>
      <c r="E4927">
        <v>0</v>
      </c>
      <c r="F4927">
        <f t="shared" si="76"/>
        <v>2</v>
      </c>
      <c r="I4927">
        <v>20220701</v>
      </c>
      <c r="J4927" t="s">
        <v>5374</v>
      </c>
      <c r="K4927" t="s">
        <v>5356</v>
      </c>
      <c r="L4927" t="s">
        <v>5357</v>
      </c>
      <c r="M4927" t="s">
        <v>5375</v>
      </c>
      <c r="N4927" t="s">
        <v>5376</v>
      </c>
      <c r="O4927" t="s">
        <v>5358</v>
      </c>
      <c r="P4927" t="s">
        <v>5359</v>
      </c>
      <c r="Q4927" t="s">
        <v>5360</v>
      </c>
      <c r="R4927" t="s">
        <v>5377</v>
      </c>
      <c r="S4927" t="s">
        <v>5378</v>
      </c>
      <c r="T4927" t="s">
        <v>5379</v>
      </c>
      <c r="U4927" t="s">
        <v>5380</v>
      </c>
    </row>
    <row r="4928" spans="1:80" x14ac:dyDescent="0.3">
      <c r="A4928" s="160">
        <v>45194</v>
      </c>
      <c r="B4928" t="s">
        <v>20115</v>
      </c>
      <c r="C4928" t="s">
        <v>5343</v>
      </c>
      <c r="D4928">
        <v>2</v>
      </c>
      <c r="E4928">
        <v>0</v>
      </c>
      <c r="F4928">
        <f t="shared" si="76"/>
        <v>2</v>
      </c>
      <c r="I4928">
        <v>20220701</v>
      </c>
      <c r="J4928" t="s">
        <v>5350</v>
      </c>
      <c r="K4928" t="s">
        <v>5345</v>
      </c>
    </row>
    <row r="4929" spans="1:67" x14ac:dyDescent="0.3">
      <c r="A4929" s="160">
        <v>45197</v>
      </c>
      <c r="B4929" t="s">
        <v>20116</v>
      </c>
      <c r="C4929" t="s">
        <v>5343</v>
      </c>
      <c r="D4929">
        <v>2</v>
      </c>
      <c r="E4929">
        <v>0</v>
      </c>
      <c r="F4929">
        <f t="shared" si="76"/>
        <v>2</v>
      </c>
      <c r="I4929">
        <v>20220701</v>
      </c>
      <c r="J4929" t="s">
        <v>5346</v>
      </c>
      <c r="K4929" t="s">
        <v>5348</v>
      </c>
    </row>
    <row r="4930" spans="1:67" x14ac:dyDescent="0.3">
      <c r="A4930" s="160">
        <v>45208</v>
      </c>
      <c r="B4930" t="s">
        <v>20117</v>
      </c>
      <c r="C4930" t="s">
        <v>5328</v>
      </c>
      <c r="D4930">
        <v>0.55000000000000004</v>
      </c>
      <c r="E4930">
        <v>0</v>
      </c>
      <c r="F4930">
        <f t="shared" si="76"/>
        <v>0.55000000000000004</v>
      </c>
      <c r="I4930">
        <v>19930401</v>
      </c>
      <c r="J4930" t="s">
        <v>5329</v>
      </c>
      <c r="K4930" t="s">
        <v>5330</v>
      </c>
      <c r="L4930" t="s">
        <v>5331</v>
      </c>
      <c r="M4930" t="s">
        <v>5332</v>
      </c>
      <c r="N4930" t="s">
        <v>5333</v>
      </c>
      <c r="O4930" t="s">
        <v>5334</v>
      </c>
      <c r="P4930" t="s">
        <v>5335</v>
      </c>
      <c r="Q4930" t="s">
        <v>5336</v>
      </c>
      <c r="R4930" t="s">
        <v>5338</v>
      </c>
      <c r="S4930" t="s">
        <v>5381</v>
      </c>
      <c r="T4930" t="s">
        <v>5382</v>
      </c>
      <c r="U4930" t="s">
        <v>5342</v>
      </c>
    </row>
    <row r="4931" spans="1:67" x14ac:dyDescent="0.3">
      <c r="A4931" s="160">
        <v>45232</v>
      </c>
      <c r="B4931" t="s">
        <v>20118</v>
      </c>
      <c r="C4931" t="s">
        <v>5343</v>
      </c>
      <c r="D4931">
        <v>2</v>
      </c>
      <c r="E4931">
        <v>0</v>
      </c>
      <c r="F4931">
        <f t="shared" si="76"/>
        <v>2</v>
      </c>
      <c r="I4931">
        <v>20220701</v>
      </c>
      <c r="J4931" t="s">
        <v>5383</v>
      </c>
      <c r="K4931" t="s">
        <v>5384</v>
      </c>
      <c r="L4931" t="s">
        <v>5385</v>
      </c>
      <c r="M4931" t="s">
        <v>5386</v>
      </c>
      <c r="N4931" t="s">
        <v>5387</v>
      </c>
      <c r="O4931" t="s">
        <v>5388</v>
      </c>
      <c r="P4931" t="s">
        <v>5389</v>
      </c>
      <c r="Q4931" t="s">
        <v>5390</v>
      </c>
      <c r="R4931" t="s">
        <v>5391</v>
      </c>
      <c r="S4931" t="s">
        <v>5392</v>
      </c>
      <c r="T4931" t="s">
        <v>5393</v>
      </c>
      <c r="U4931" t="s">
        <v>5348</v>
      </c>
    </row>
    <row r="4932" spans="1:67" x14ac:dyDescent="0.3">
      <c r="A4932" s="160">
        <v>45234</v>
      </c>
      <c r="B4932" t="s">
        <v>20119</v>
      </c>
      <c r="C4932" t="s">
        <v>5343</v>
      </c>
      <c r="D4932">
        <v>2</v>
      </c>
      <c r="E4932">
        <v>0</v>
      </c>
      <c r="F4932">
        <f t="shared" si="76"/>
        <v>2</v>
      </c>
      <c r="I4932">
        <v>20220701</v>
      </c>
      <c r="J4932" t="s">
        <v>5394</v>
      </c>
      <c r="K4932" t="s">
        <v>5354</v>
      </c>
      <c r="L4932" t="s">
        <v>5395</v>
      </c>
      <c r="M4932" t="s">
        <v>5396</v>
      </c>
      <c r="N4932" t="s">
        <v>5397</v>
      </c>
      <c r="O4932" t="s">
        <v>5398</v>
      </c>
      <c r="P4932" t="s">
        <v>5399</v>
      </c>
      <c r="Q4932" t="s">
        <v>5400</v>
      </c>
      <c r="R4932" t="s">
        <v>5401</v>
      </c>
      <c r="S4932" t="s">
        <v>5402</v>
      </c>
      <c r="T4932" t="s">
        <v>5403</v>
      </c>
      <c r="U4932" t="s">
        <v>5404</v>
      </c>
      <c r="V4932" t="s">
        <v>5405</v>
      </c>
      <c r="W4932" t="s">
        <v>5406</v>
      </c>
      <c r="X4932" t="s">
        <v>5355</v>
      </c>
      <c r="Y4932" t="s">
        <v>5407</v>
      </c>
      <c r="Z4932" t="s">
        <v>5408</v>
      </c>
      <c r="AA4932" t="s">
        <v>5409</v>
      </c>
      <c r="AB4932" t="s">
        <v>5410</v>
      </c>
      <c r="AC4932" t="s">
        <v>5411</v>
      </c>
      <c r="AD4932" t="s">
        <v>5412</v>
      </c>
      <c r="AE4932" t="s">
        <v>5413</v>
      </c>
      <c r="AF4932" t="s">
        <v>5414</v>
      </c>
      <c r="AG4932" t="s">
        <v>5415</v>
      </c>
      <c r="AH4932" t="s">
        <v>5416</v>
      </c>
      <c r="AI4932" t="s">
        <v>5417</v>
      </c>
      <c r="AJ4932" t="s">
        <v>5418</v>
      </c>
      <c r="AK4932" t="s">
        <v>5419</v>
      </c>
      <c r="AL4932" t="s">
        <v>5420</v>
      </c>
      <c r="AM4932" t="s">
        <v>5421</v>
      </c>
      <c r="AN4932" t="s">
        <v>5422</v>
      </c>
      <c r="AO4932" t="s">
        <v>5423</v>
      </c>
      <c r="AP4932" t="s">
        <v>5424</v>
      </c>
      <c r="AQ4932" t="s">
        <v>5425</v>
      </c>
      <c r="AR4932" t="s">
        <v>5426</v>
      </c>
      <c r="AS4932" t="s">
        <v>5427</v>
      </c>
      <c r="AT4932" t="s">
        <v>5366</v>
      </c>
      <c r="AU4932" t="s">
        <v>5428</v>
      </c>
      <c r="AV4932" t="s">
        <v>5429</v>
      </c>
      <c r="AW4932" t="s">
        <v>5430</v>
      </c>
      <c r="AX4932" t="s">
        <v>5431</v>
      </c>
      <c r="AY4932" t="s">
        <v>5383</v>
      </c>
      <c r="AZ4932" t="s">
        <v>5384</v>
      </c>
      <c r="BA4932" t="s">
        <v>5432</v>
      </c>
      <c r="BB4932" t="s">
        <v>5433</v>
      </c>
      <c r="BC4932" t="s">
        <v>5385</v>
      </c>
      <c r="BD4932" t="s">
        <v>5434</v>
      </c>
      <c r="BE4932" t="s">
        <v>5435</v>
      </c>
      <c r="BF4932" t="s">
        <v>5436</v>
      </c>
      <c r="BG4932" t="s">
        <v>5437</v>
      </c>
      <c r="BH4932" t="s">
        <v>5438</v>
      </c>
      <c r="BI4932" t="s">
        <v>5439</v>
      </c>
      <c r="BJ4932" t="s">
        <v>5440</v>
      </c>
      <c r="BK4932" t="s">
        <v>5441</v>
      </c>
      <c r="BL4932" t="s">
        <v>5386</v>
      </c>
      <c r="BM4932" t="s">
        <v>5442</v>
      </c>
      <c r="BN4932" t="s">
        <v>5443</v>
      </c>
      <c r="BO4932" t="s">
        <v>5444</v>
      </c>
    </row>
    <row r="4933" spans="1:67" x14ac:dyDescent="0.3">
      <c r="A4933" s="160">
        <v>45235</v>
      </c>
      <c r="B4933" t="s">
        <v>20120</v>
      </c>
      <c r="C4933" t="s">
        <v>5343</v>
      </c>
      <c r="D4933">
        <v>2</v>
      </c>
      <c r="E4933">
        <v>0</v>
      </c>
      <c r="F4933">
        <f t="shared" si="76"/>
        <v>2</v>
      </c>
      <c r="I4933">
        <v>20220701</v>
      </c>
      <c r="J4933" t="s">
        <v>5374</v>
      </c>
      <c r="K4933" t="s">
        <v>5356</v>
      </c>
      <c r="L4933" t="s">
        <v>5357</v>
      </c>
      <c r="M4933" t="s">
        <v>5375</v>
      </c>
      <c r="N4933" t="s">
        <v>5376</v>
      </c>
      <c r="O4933" t="s">
        <v>5359</v>
      </c>
      <c r="P4933" t="s">
        <v>5360</v>
      </c>
      <c r="Q4933" t="s">
        <v>5377</v>
      </c>
      <c r="R4933" t="s">
        <v>5457</v>
      </c>
      <c r="S4933" t="s">
        <v>5458</v>
      </c>
      <c r="T4933" t="s">
        <v>5459</v>
      </c>
      <c r="U4933" t="s">
        <v>5460</v>
      </c>
    </row>
    <row r="4934" spans="1:67" x14ac:dyDescent="0.3">
      <c r="A4934" s="160">
        <v>45247</v>
      </c>
      <c r="B4934" t="s">
        <v>20121</v>
      </c>
      <c r="C4934" t="s">
        <v>5328</v>
      </c>
      <c r="D4934">
        <v>0.55000000000000004</v>
      </c>
      <c r="E4934">
        <v>0</v>
      </c>
      <c r="F4934">
        <f t="shared" si="76"/>
        <v>0.55000000000000004</v>
      </c>
      <c r="I4934">
        <v>19930401</v>
      </c>
      <c r="J4934" t="s">
        <v>5329</v>
      </c>
      <c r="K4934" t="s">
        <v>5330</v>
      </c>
      <c r="L4934" t="s">
        <v>5334</v>
      </c>
      <c r="M4934" t="s">
        <v>5364</v>
      </c>
      <c r="N4934" t="s">
        <v>5342</v>
      </c>
    </row>
    <row r="4935" spans="1:67" x14ac:dyDescent="0.3">
      <c r="A4935" s="160">
        <v>45249</v>
      </c>
      <c r="B4935" t="s">
        <v>20122</v>
      </c>
      <c r="C4935" t="s">
        <v>5328</v>
      </c>
      <c r="D4935">
        <v>0.55000000000000004</v>
      </c>
      <c r="E4935">
        <v>0</v>
      </c>
      <c r="F4935">
        <f t="shared" ref="F4935:F4998" si="77">D4935+E4935</f>
        <v>0.55000000000000004</v>
      </c>
      <c r="I4935">
        <v>19930401</v>
      </c>
      <c r="J4935" t="s">
        <v>5330</v>
      </c>
      <c r="K4935" t="s">
        <v>5331</v>
      </c>
    </row>
    <row r="4936" spans="1:67" x14ac:dyDescent="0.3">
      <c r="A4936" s="160">
        <v>45272</v>
      </c>
      <c r="B4936" t="s">
        <v>20123</v>
      </c>
      <c r="C4936" t="s">
        <v>5343</v>
      </c>
      <c r="D4936">
        <v>2</v>
      </c>
      <c r="E4936">
        <v>0</v>
      </c>
      <c r="F4936">
        <f t="shared" si="77"/>
        <v>2</v>
      </c>
      <c r="I4936">
        <v>20220701</v>
      </c>
      <c r="J4936" t="s">
        <v>5441</v>
      </c>
      <c r="K4936" t="s">
        <v>5386</v>
      </c>
      <c r="L4936" t="s">
        <v>5461</v>
      </c>
      <c r="M4936" t="s">
        <v>5462</v>
      </c>
    </row>
    <row r="4937" spans="1:67" x14ac:dyDescent="0.3">
      <c r="A4937" s="160">
        <v>45274</v>
      </c>
      <c r="B4937" t="s">
        <v>20124</v>
      </c>
      <c r="C4937" t="s">
        <v>5343</v>
      </c>
      <c r="D4937">
        <v>2</v>
      </c>
      <c r="E4937">
        <v>0</v>
      </c>
      <c r="F4937">
        <f t="shared" si="77"/>
        <v>2</v>
      </c>
      <c r="I4937">
        <v>20220701</v>
      </c>
      <c r="J4937" t="s">
        <v>5463</v>
      </c>
      <c r="K4937" t="s">
        <v>5393</v>
      </c>
    </row>
    <row r="4938" spans="1:67" x14ac:dyDescent="0.3">
      <c r="A4938" s="160">
        <v>45282</v>
      </c>
      <c r="B4938" t="s">
        <v>20125</v>
      </c>
      <c r="C4938" t="s">
        <v>5343</v>
      </c>
      <c r="D4938">
        <v>2</v>
      </c>
      <c r="E4938">
        <v>0</v>
      </c>
      <c r="F4938">
        <f t="shared" si="77"/>
        <v>2</v>
      </c>
      <c r="I4938">
        <v>20220701</v>
      </c>
      <c r="J4938" t="s">
        <v>5387</v>
      </c>
      <c r="K4938" t="s">
        <v>5464</v>
      </c>
    </row>
    <row r="4939" spans="1:67" x14ac:dyDescent="0.3">
      <c r="A4939" s="160">
        <v>45284</v>
      </c>
      <c r="B4939" t="s">
        <v>20126</v>
      </c>
      <c r="C4939" t="s">
        <v>5343</v>
      </c>
      <c r="D4939">
        <v>2</v>
      </c>
      <c r="E4939">
        <v>0</v>
      </c>
      <c r="F4939">
        <f t="shared" si="77"/>
        <v>2</v>
      </c>
      <c r="I4939">
        <v>20220701</v>
      </c>
      <c r="J4939" t="s">
        <v>5404</v>
      </c>
      <c r="K4939" t="s">
        <v>5412</v>
      </c>
      <c r="L4939" t="s">
        <v>5366</v>
      </c>
      <c r="M4939" t="s">
        <v>5363</v>
      </c>
      <c r="N4939" t="s">
        <v>5347</v>
      </c>
      <c r="O4939" t="s">
        <v>5465</v>
      </c>
      <c r="P4939" t="s">
        <v>5466</v>
      </c>
      <c r="Q4939" t="s">
        <v>5467</v>
      </c>
      <c r="R4939" t="s">
        <v>5468</v>
      </c>
      <c r="S4939" t="s">
        <v>5469</v>
      </c>
      <c r="T4939" t="s">
        <v>5470</v>
      </c>
      <c r="U4939" t="s">
        <v>5348</v>
      </c>
    </row>
    <row r="4940" spans="1:67" x14ac:dyDescent="0.3">
      <c r="A4940" s="160">
        <v>45285</v>
      </c>
      <c r="B4940" t="s">
        <v>20127</v>
      </c>
      <c r="C4940" t="s">
        <v>5343</v>
      </c>
      <c r="D4940">
        <v>2</v>
      </c>
      <c r="E4940">
        <v>0</v>
      </c>
      <c r="F4940">
        <f t="shared" si="77"/>
        <v>2</v>
      </c>
      <c r="I4940">
        <v>20220701</v>
      </c>
      <c r="J4940" t="s">
        <v>5374</v>
      </c>
      <c r="K4940" t="s">
        <v>5356</v>
      </c>
      <c r="L4940" t="s">
        <v>5357</v>
      </c>
      <c r="M4940" t="s">
        <v>5375</v>
      </c>
      <c r="N4940" t="s">
        <v>5376</v>
      </c>
      <c r="O4940" t="s">
        <v>5358</v>
      </c>
      <c r="P4940" t="s">
        <v>5359</v>
      </c>
      <c r="Q4940" t="s">
        <v>5360</v>
      </c>
      <c r="R4940" t="s">
        <v>5380</v>
      </c>
    </row>
    <row r="4941" spans="1:67" x14ac:dyDescent="0.3">
      <c r="A4941" s="160">
        <v>45286</v>
      </c>
      <c r="B4941" t="s">
        <v>20128</v>
      </c>
      <c r="C4941" t="s">
        <v>5343</v>
      </c>
      <c r="D4941">
        <v>2</v>
      </c>
      <c r="E4941">
        <v>0</v>
      </c>
      <c r="F4941">
        <f t="shared" si="77"/>
        <v>2</v>
      </c>
      <c r="I4941">
        <v>20220701</v>
      </c>
      <c r="J4941" t="s">
        <v>5442</v>
      </c>
      <c r="K4941" t="s">
        <v>5471</v>
      </c>
      <c r="L4941" t="s">
        <v>5393</v>
      </c>
      <c r="M4941" t="s">
        <v>5472</v>
      </c>
    </row>
    <row r="4942" spans="1:67" x14ac:dyDescent="0.3">
      <c r="A4942" s="160">
        <v>45298</v>
      </c>
      <c r="B4942" t="s">
        <v>20129</v>
      </c>
      <c r="C4942" t="s">
        <v>5343</v>
      </c>
      <c r="D4942">
        <v>2</v>
      </c>
      <c r="E4942">
        <v>0</v>
      </c>
      <c r="F4942">
        <f t="shared" si="77"/>
        <v>2</v>
      </c>
      <c r="I4942">
        <v>20220701</v>
      </c>
      <c r="J4942" t="s">
        <v>5473</v>
      </c>
    </row>
    <row r="4943" spans="1:67" x14ac:dyDescent="0.3">
      <c r="A4943" s="160">
        <v>45302</v>
      </c>
      <c r="B4943" t="s">
        <v>20130</v>
      </c>
      <c r="C4943" t="s">
        <v>5343</v>
      </c>
      <c r="D4943">
        <v>2</v>
      </c>
      <c r="E4943">
        <v>0</v>
      </c>
      <c r="F4943">
        <f t="shared" si="77"/>
        <v>2</v>
      </c>
      <c r="I4943">
        <v>20220701</v>
      </c>
      <c r="J4943" t="s">
        <v>5474</v>
      </c>
      <c r="K4943" t="s">
        <v>5475</v>
      </c>
      <c r="L4943" t="s">
        <v>5457</v>
      </c>
      <c r="M4943" t="s">
        <v>5476</v>
      </c>
      <c r="N4943" t="s">
        <v>5477</v>
      </c>
    </row>
    <row r="4944" spans="1:67" x14ac:dyDescent="0.3">
      <c r="A4944" s="160">
        <v>45308</v>
      </c>
      <c r="B4944" t="s">
        <v>20131</v>
      </c>
      <c r="C4944" t="s">
        <v>5343</v>
      </c>
      <c r="D4944">
        <v>2</v>
      </c>
      <c r="E4944">
        <v>0</v>
      </c>
      <c r="F4944">
        <f t="shared" si="77"/>
        <v>2</v>
      </c>
      <c r="I4944">
        <v>20220701</v>
      </c>
      <c r="J4944" t="s">
        <v>5352</v>
      </c>
      <c r="K4944" t="s">
        <v>5367</v>
      </c>
      <c r="L4944" t="s">
        <v>5368</v>
      </c>
      <c r="M4944" t="s">
        <v>5369</v>
      </c>
      <c r="N4944" t="s">
        <v>5353</v>
      </c>
    </row>
    <row r="4945" spans="1:25" x14ac:dyDescent="0.3">
      <c r="A4945" s="160">
        <v>45338</v>
      </c>
      <c r="B4945" t="s">
        <v>20132</v>
      </c>
      <c r="C4945" t="s">
        <v>5328</v>
      </c>
      <c r="D4945">
        <v>0.55000000000000004</v>
      </c>
      <c r="E4945">
        <v>0</v>
      </c>
      <c r="F4945">
        <f t="shared" si="77"/>
        <v>0.55000000000000004</v>
      </c>
      <c r="I4945">
        <v>19930401</v>
      </c>
      <c r="J4945" t="s">
        <v>5330</v>
      </c>
      <c r="K4945" t="s">
        <v>5334</v>
      </c>
      <c r="L4945" t="s">
        <v>5364</v>
      </c>
      <c r="M4945" t="s">
        <v>5342</v>
      </c>
      <c r="N4945" t="s">
        <v>5365</v>
      </c>
    </row>
    <row r="4946" spans="1:25" x14ac:dyDescent="0.3">
      <c r="A4946" s="160">
        <v>45345</v>
      </c>
      <c r="B4946" t="s">
        <v>20133</v>
      </c>
      <c r="C4946" t="s">
        <v>5328</v>
      </c>
      <c r="D4946">
        <v>0.55000000000000004</v>
      </c>
      <c r="E4946">
        <v>0</v>
      </c>
      <c r="F4946">
        <f t="shared" si="77"/>
        <v>0.55000000000000004</v>
      </c>
      <c r="I4946">
        <v>20050601</v>
      </c>
      <c r="J4946" t="s">
        <v>5329</v>
      </c>
      <c r="K4946" t="s">
        <v>5364</v>
      </c>
      <c r="L4946" t="s">
        <v>5342</v>
      </c>
    </row>
    <row r="4947" spans="1:25" x14ac:dyDescent="0.3">
      <c r="A4947" s="160">
        <v>46007</v>
      </c>
      <c r="B4947" t="s">
        <v>20134</v>
      </c>
      <c r="C4947" t="s">
        <v>5478</v>
      </c>
      <c r="D4947">
        <v>0.7</v>
      </c>
      <c r="E4947">
        <v>0</v>
      </c>
      <c r="F4947">
        <f t="shared" si="77"/>
        <v>0.7</v>
      </c>
      <c r="I4947">
        <v>20240101</v>
      </c>
      <c r="J4947" t="s">
        <v>5479</v>
      </c>
    </row>
    <row r="4948" spans="1:25" x14ac:dyDescent="0.3">
      <c r="A4948" s="160">
        <v>46032</v>
      </c>
      <c r="B4948" t="s">
        <v>20135</v>
      </c>
      <c r="C4948" t="s">
        <v>5478</v>
      </c>
      <c r="D4948">
        <v>0.7</v>
      </c>
      <c r="E4948">
        <v>0</v>
      </c>
      <c r="F4948">
        <f t="shared" si="77"/>
        <v>0.7</v>
      </c>
      <c r="I4948">
        <v>20240101</v>
      </c>
      <c r="J4948" t="s">
        <v>5480</v>
      </c>
    </row>
    <row r="4949" spans="1:25" x14ac:dyDescent="0.3">
      <c r="A4949" s="160">
        <v>46037</v>
      </c>
      <c r="B4949" t="s">
        <v>20136</v>
      </c>
      <c r="C4949" t="s">
        <v>5478</v>
      </c>
      <c r="D4949">
        <v>0.7</v>
      </c>
      <c r="E4949">
        <v>0</v>
      </c>
      <c r="F4949">
        <f t="shared" si="77"/>
        <v>0.7</v>
      </c>
      <c r="I4949">
        <v>20240101</v>
      </c>
      <c r="J4949" t="s">
        <v>5481</v>
      </c>
    </row>
    <row r="4950" spans="1:25" x14ac:dyDescent="0.3">
      <c r="A4950" s="160">
        <v>46040</v>
      </c>
      <c r="B4950" t="s">
        <v>20137</v>
      </c>
      <c r="C4950" t="s">
        <v>5478</v>
      </c>
      <c r="D4950">
        <v>0.7</v>
      </c>
      <c r="E4950">
        <v>0</v>
      </c>
      <c r="F4950">
        <f t="shared" si="77"/>
        <v>0.7</v>
      </c>
      <c r="I4950">
        <v>20240101</v>
      </c>
      <c r="J4950" t="s">
        <v>5481</v>
      </c>
    </row>
    <row r="4951" spans="1:25" x14ac:dyDescent="0.3">
      <c r="A4951" s="160">
        <v>46042</v>
      </c>
      <c r="B4951" t="s">
        <v>20138</v>
      </c>
      <c r="C4951" t="s">
        <v>5478</v>
      </c>
      <c r="D4951">
        <v>0.7</v>
      </c>
      <c r="E4951">
        <v>0</v>
      </c>
      <c r="F4951">
        <f t="shared" si="77"/>
        <v>0.7</v>
      </c>
      <c r="I4951">
        <v>20240101</v>
      </c>
      <c r="J4951" t="s">
        <v>5482</v>
      </c>
      <c r="K4951" t="s">
        <v>5483</v>
      </c>
      <c r="L4951" t="s">
        <v>5484</v>
      </c>
      <c r="M4951" t="s">
        <v>5485</v>
      </c>
      <c r="N4951" t="s">
        <v>5486</v>
      </c>
      <c r="O4951" t="s">
        <v>5487</v>
      </c>
      <c r="P4951" t="s">
        <v>5488</v>
      </c>
      <c r="Q4951" t="s">
        <v>5489</v>
      </c>
      <c r="R4951" t="s">
        <v>5490</v>
      </c>
      <c r="S4951" t="s">
        <v>5491</v>
      </c>
      <c r="T4951" t="s">
        <v>5492</v>
      </c>
      <c r="U4951" t="s">
        <v>5493</v>
      </c>
      <c r="V4951" t="s">
        <v>5494</v>
      </c>
      <c r="W4951" t="s">
        <v>5495</v>
      </c>
      <c r="X4951" t="s">
        <v>5496</v>
      </c>
      <c r="Y4951" t="s">
        <v>5497</v>
      </c>
    </row>
    <row r="4952" spans="1:25" x14ac:dyDescent="0.3">
      <c r="A4952" s="160">
        <v>46044</v>
      </c>
      <c r="B4952" t="s">
        <v>20139</v>
      </c>
      <c r="C4952" t="s">
        <v>5478</v>
      </c>
      <c r="D4952">
        <v>0.7</v>
      </c>
      <c r="E4952">
        <v>0</v>
      </c>
      <c r="F4952">
        <f t="shared" si="77"/>
        <v>0.7</v>
      </c>
      <c r="I4952">
        <v>20240101</v>
      </c>
      <c r="J4952" t="s">
        <v>5498</v>
      </c>
    </row>
    <row r="4953" spans="1:25" x14ac:dyDescent="0.3">
      <c r="A4953" s="160">
        <v>46046</v>
      </c>
      <c r="B4953" t="s">
        <v>20140</v>
      </c>
      <c r="C4953" t="s">
        <v>5478</v>
      </c>
      <c r="D4953">
        <v>0.7</v>
      </c>
      <c r="E4953">
        <v>0</v>
      </c>
      <c r="F4953">
        <f t="shared" si="77"/>
        <v>0.7</v>
      </c>
      <c r="I4953">
        <v>20240101</v>
      </c>
      <c r="J4953" t="s">
        <v>5480</v>
      </c>
    </row>
    <row r="4954" spans="1:25" x14ac:dyDescent="0.3">
      <c r="A4954" s="160">
        <v>46064</v>
      </c>
      <c r="B4954" t="s">
        <v>20141</v>
      </c>
      <c r="C4954" t="s">
        <v>5478</v>
      </c>
      <c r="D4954">
        <v>0.7</v>
      </c>
      <c r="E4954">
        <v>0</v>
      </c>
      <c r="F4954">
        <f t="shared" si="77"/>
        <v>0.7</v>
      </c>
      <c r="I4954">
        <v>20240101</v>
      </c>
      <c r="J4954" t="s">
        <v>5480</v>
      </c>
    </row>
    <row r="4955" spans="1:25" x14ac:dyDescent="0.3">
      <c r="A4955" s="160">
        <v>46070</v>
      </c>
      <c r="B4955" t="s">
        <v>20142</v>
      </c>
      <c r="C4955" t="s">
        <v>5478</v>
      </c>
      <c r="D4955">
        <v>0.7</v>
      </c>
      <c r="E4955">
        <v>0</v>
      </c>
      <c r="F4955">
        <f t="shared" si="77"/>
        <v>0.7</v>
      </c>
      <c r="I4955">
        <v>20240101</v>
      </c>
      <c r="J4955" t="s">
        <v>5483</v>
      </c>
      <c r="K4955" t="s">
        <v>5499</v>
      </c>
    </row>
    <row r="4956" spans="1:25" x14ac:dyDescent="0.3">
      <c r="A4956" s="160">
        <v>46077</v>
      </c>
      <c r="B4956" t="s">
        <v>20143</v>
      </c>
      <c r="C4956" t="s">
        <v>5478</v>
      </c>
      <c r="D4956">
        <v>0.7</v>
      </c>
      <c r="E4956">
        <v>0</v>
      </c>
      <c r="F4956">
        <f t="shared" si="77"/>
        <v>0.7</v>
      </c>
      <c r="I4956">
        <v>20230101</v>
      </c>
      <c r="J4956" t="s">
        <v>5479</v>
      </c>
    </row>
    <row r="4957" spans="1:25" x14ac:dyDescent="0.3">
      <c r="A4957" s="160">
        <v>46080</v>
      </c>
      <c r="B4957" t="s">
        <v>20144</v>
      </c>
      <c r="C4957" t="s">
        <v>5478</v>
      </c>
      <c r="D4957">
        <v>0.7</v>
      </c>
      <c r="E4957">
        <v>0</v>
      </c>
      <c r="F4957">
        <f t="shared" si="77"/>
        <v>0.7</v>
      </c>
      <c r="I4957">
        <v>20240101</v>
      </c>
      <c r="J4957" t="s">
        <v>5480</v>
      </c>
    </row>
    <row r="4958" spans="1:25" x14ac:dyDescent="0.3">
      <c r="A4958" s="160">
        <v>46088</v>
      </c>
      <c r="B4958" t="s">
        <v>20145</v>
      </c>
      <c r="C4958" t="s">
        <v>5478</v>
      </c>
      <c r="D4958">
        <v>0.7</v>
      </c>
      <c r="E4958">
        <v>0</v>
      </c>
      <c r="F4958">
        <f t="shared" si="77"/>
        <v>0.7</v>
      </c>
      <c r="I4958">
        <v>20240101</v>
      </c>
      <c r="J4958" t="s">
        <v>5498</v>
      </c>
    </row>
    <row r="4959" spans="1:25" x14ac:dyDescent="0.3">
      <c r="A4959" s="160">
        <v>46095</v>
      </c>
      <c r="B4959" t="s">
        <v>20146</v>
      </c>
      <c r="C4959" t="s">
        <v>5478</v>
      </c>
      <c r="D4959">
        <v>0.7</v>
      </c>
      <c r="E4959">
        <v>0</v>
      </c>
      <c r="F4959">
        <f t="shared" si="77"/>
        <v>0.7</v>
      </c>
      <c r="I4959">
        <v>20240101</v>
      </c>
      <c r="J4959" t="s">
        <v>5479</v>
      </c>
    </row>
    <row r="4960" spans="1:25" x14ac:dyDescent="0.3">
      <c r="A4960" s="160">
        <v>46102</v>
      </c>
      <c r="B4960" t="s">
        <v>20147</v>
      </c>
      <c r="C4960" t="s">
        <v>5500</v>
      </c>
      <c r="D4960">
        <v>0.53</v>
      </c>
      <c r="E4960">
        <v>0</v>
      </c>
      <c r="F4960">
        <f t="shared" si="77"/>
        <v>0.53</v>
      </c>
      <c r="I4960">
        <v>20240101</v>
      </c>
      <c r="J4960" t="s">
        <v>5501</v>
      </c>
      <c r="K4960" t="s">
        <v>5502</v>
      </c>
      <c r="L4960" t="s">
        <v>5503</v>
      </c>
      <c r="M4960" t="s">
        <v>5504</v>
      </c>
      <c r="N4960" t="s">
        <v>5505</v>
      </c>
    </row>
    <row r="4961" spans="1:12" x14ac:dyDescent="0.3">
      <c r="A4961" s="160">
        <v>46109</v>
      </c>
      <c r="B4961" t="s">
        <v>20148</v>
      </c>
      <c r="C4961" t="s">
        <v>5478</v>
      </c>
      <c r="D4961">
        <v>0.7</v>
      </c>
      <c r="E4961">
        <v>0</v>
      </c>
      <c r="F4961">
        <f t="shared" si="77"/>
        <v>0.7</v>
      </c>
      <c r="I4961">
        <v>20240101</v>
      </c>
      <c r="J4961" t="s">
        <v>5506</v>
      </c>
      <c r="K4961" t="s">
        <v>5499</v>
      </c>
    </row>
    <row r="4962" spans="1:12" x14ac:dyDescent="0.3">
      <c r="A4962" s="160">
        <v>46112</v>
      </c>
      <c r="B4962" t="s">
        <v>20149</v>
      </c>
      <c r="C4962" t="s">
        <v>5478</v>
      </c>
      <c r="D4962">
        <v>0.7</v>
      </c>
      <c r="E4962">
        <v>0</v>
      </c>
      <c r="F4962">
        <f t="shared" si="77"/>
        <v>0.7</v>
      </c>
      <c r="I4962">
        <v>20240101</v>
      </c>
      <c r="J4962" t="s">
        <v>5479</v>
      </c>
    </row>
    <row r="4963" spans="1:12" x14ac:dyDescent="0.3">
      <c r="A4963" s="160">
        <v>46119</v>
      </c>
      <c r="B4963" t="s">
        <v>20150</v>
      </c>
      <c r="C4963" t="s">
        <v>5478</v>
      </c>
      <c r="D4963">
        <v>0.7</v>
      </c>
      <c r="E4963">
        <v>0</v>
      </c>
      <c r="F4963">
        <f t="shared" si="77"/>
        <v>0.7</v>
      </c>
      <c r="I4963">
        <v>20240101</v>
      </c>
      <c r="J4963" t="s">
        <v>5480</v>
      </c>
    </row>
    <row r="4964" spans="1:12" x14ac:dyDescent="0.3">
      <c r="A4964" s="160">
        <v>46134</v>
      </c>
      <c r="B4964" t="s">
        <v>20151</v>
      </c>
      <c r="C4964" t="s">
        <v>5478</v>
      </c>
      <c r="D4964">
        <v>0.7</v>
      </c>
      <c r="E4964">
        <v>0</v>
      </c>
      <c r="F4964">
        <f t="shared" si="77"/>
        <v>0.7</v>
      </c>
      <c r="I4964">
        <v>20240101</v>
      </c>
      <c r="J4964" t="s">
        <v>5480</v>
      </c>
    </row>
    <row r="4965" spans="1:12" x14ac:dyDescent="0.3">
      <c r="A4965" s="160">
        <v>46136</v>
      </c>
      <c r="B4965" t="s">
        <v>20152</v>
      </c>
      <c r="C4965" t="s">
        <v>5478</v>
      </c>
      <c r="D4965">
        <v>0.7</v>
      </c>
      <c r="E4965">
        <v>0</v>
      </c>
      <c r="F4965">
        <f t="shared" si="77"/>
        <v>0.7</v>
      </c>
      <c r="I4965">
        <v>20240101</v>
      </c>
      <c r="J4965" t="s">
        <v>5480</v>
      </c>
    </row>
    <row r="4966" spans="1:12" x14ac:dyDescent="0.3">
      <c r="A4966" s="160">
        <v>46137</v>
      </c>
      <c r="B4966" t="s">
        <v>20153</v>
      </c>
      <c r="C4966" t="s">
        <v>5478</v>
      </c>
      <c r="D4966">
        <v>0.7</v>
      </c>
      <c r="E4966">
        <v>0</v>
      </c>
      <c r="F4966">
        <f t="shared" si="77"/>
        <v>0.7</v>
      </c>
      <c r="I4966">
        <v>20240101</v>
      </c>
      <c r="J4966" t="s">
        <v>5479</v>
      </c>
    </row>
    <row r="4967" spans="1:12" x14ac:dyDescent="0.3">
      <c r="A4967" s="160">
        <v>46149</v>
      </c>
      <c r="B4967" t="s">
        <v>20154</v>
      </c>
      <c r="C4967" t="s">
        <v>5478</v>
      </c>
      <c r="D4967">
        <v>0.7</v>
      </c>
      <c r="E4967">
        <v>0</v>
      </c>
      <c r="F4967">
        <f t="shared" si="77"/>
        <v>0.7</v>
      </c>
      <c r="I4967">
        <v>20240101</v>
      </c>
      <c r="J4967" t="s">
        <v>5479</v>
      </c>
    </row>
    <row r="4968" spans="1:12" x14ac:dyDescent="0.3">
      <c r="A4968" s="160">
        <v>46156</v>
      </c>
      <c r="B4968" t="s">
        <v>20155</v>
      </c>
      <c r="C4968" t="s">
        <v>5478</v>
      </c>
      <c r="D4968">
        <v>0.7</v>
      </c>
      <c r="E4968">
        <v>0</v>
      </c>
      <c r="F4968">
        <f t="shared" si="77"/>
        <v>0.7</v>
      </c>
      <c r="I4968">
        <v>20240101</v>
      </c>
      <c r="J4968" t="s">
        <v>5479</v>
      </c>
    </row>
    <row r="4969" spans="1:12" x14ac:dyDescent="0.3">
      <c r="A4969" s="160">
        <v>46171</v>
      </c>
      <c r="B4969" t="s">
        <v>20156</v>
      </c>
      <c r="C4969" t="s">
        <v>5478</v>
      </c>
      <c r="D4969">
        <v>0.7</v>
      </c>
      <c r="E4969">
        <v>0</v>
      </c>
      <c r="F4969">
        <f t="shared" si="77"/>
        <v>0.7</v>
      </c>
      <c r="I4969">
        <v>20240101</v>
      </c>
      <c r="J4969" t="s">
        <v>5480</v>
      </c>
    </row>
    <row r="4970" spans="1:12" x14ac:dyDescent="0.3">
      <c r="A4970" s="160">
        <v>46188</v>
      </c>
      <c r="B4970" t="s">
        <v>20157</v>
      </c>
      <c r="C4970" t="s">
        <v>5478</v>
      </c>
      <c r="D4970">
        <v>0.7</v>
      </c>
      <c r="E4970">
        <v>0</v>
      </c>
      <c r="F4970">
        <f t="shared" si="77"/>
        <v>0.7</v>
      </c>
      <c r="I4970">
        <v>20240101</v>
      </c>
      <c r="J4970" t="s">
        <v>5479</v>
      </c>
    </row>
    <row r="4971" spans="1:12" x14ac:dyDescent="0.3">
      <c r="A4971" s="160">
        <v>46190</v>
      </c>
      <c r="B4971" t="s">
        <v>20158</v>
      </c>
      <c r="C4971" t="s">
        <v>5478</v>
      </c>
      <c r="D4971">
        <v>0.7</v>
      </c>
      <c r="E4971">
        <v>0</v>
      </c>
      <c r="F4971">
        <f t="shared" si="77"/>
        <v>0.7</v>
      </c>
      <c r="I4971">
        <v>20240101</v>
      </c>
      <c r="J4971" t="s">
        <v>5480</v>
      </c>
    </row>
    <row r="4972" spans="1:12" x14ac:dyDescent="0.3">
      <c r="A4972" s="160">
        <v>46191</v>
      </c>
      <c r="B4972" t="s">
        <v>20159</v>
      </c>
      <c r="C4972" t="s">
        <v>5478</v>
      </c>
      <c r="D4972">
        <v>0.7</v>
      </c>
      <c r="E4972">
        <v>0</v>
      </c>
      <c r="F4972">
        <f t="shared" si="77"/>
        <v>0.7</v>
      </c>
      <c r="I4972">
        <v>20240101</v>
      </c>
      <c r="J4972" t="s">
        <v>5483</v>
      </c>
      <c r="K4972" t="s">
        <v>5486</v>
      </c>
      <c r="L4972" t="s">
        <v>5479</v>
      </c>
    </row>
    <row r="4973" spans="1:12" x14ac:dyDescent="0.3">
      <c r="A4973" s="160">
        <v>46197</v>
      </c>
      <c r="B4973" t="s">
        <v>20160</v>
      </c>
      <c r="C4973" t="s">
        <v>5478</v>
      </c>
      <c r="D4973">
        <v>0.7</v>
      </c>
      <c r="E4973">
        <v>0</v>
      </c>
      <c r="F4973">
        <f t="shared" si="77"/>
        <v>0.7</v>
      </c>
      <c r="I4973">
        <v>20240101</v>
      </c>
      <c r="J4973" t="s">
        <v>5479</v>
      </c>
    </row>
    <row r="4974" spans="1:12" x14ac:dyDescent="0.3">
      <c r="A4974" s="160">
        <v>46205</v>
      </c>
      <c r="B4974" t="s">
        <v>20161</v>
      </c>
      <c r="C4974" t="s">
        <v>5478</v>
      </c>
      <c r="D4974">
        <v>0.7</v>
      </c>
      <c r="E4974">
        <v>0</v>
      </c>
      <c r="F4974">
        <f t="shared" si="77"/>
        <v>0.7</v>
      </c>
      <c r="I4974">
        <v>20240101</v>
      </c>
      <c r="J4974" t="s">
        <v>5480</v>
      </c>
    </row>
    <row r="4975" spans="1:12" x14ac:dyDescent="0.3">
      <c r="A4975" s="160">
        <v>46211</v>
      </c>
      <c r="B4975" t="s">
        <v>20162</v>
      </c>
      <c r="C4975" t="s">
        <v>5478</v>
      </c>
      <c r="D4975">
        <v>0.7</v>
      </c>
      <c r="E4975">
        <v>0</v>
      </c>
      <c r="F4975">
        <f t="shared" si="77"/>
        <v>0.7</v>
      </c>
      <c r="I4975">
        <v>20240101</v>
      </c>
      <c r="J4975" t="s">
        <v>5480</v>
      </c>
    </row>
    <row r="4976" spans="1:12" x14ac:dyDescent="0.3">
      <c r="A4976" s="160">
        <v>46223</v>
      </c>
      <c r="B4976" t="s">
        <v>20163</v>
      </c>
      <c r="C4976" t="s">
        <v>5478</v>
      </c>
      <c r="D4976">
        <v>0.7</v>
      </c>
      <c r="E4976">
        <v>0</v>
      </c>
      <c r="F4976">
        <f t="shared" si="77"/>
        <v>0.7</v>
      </c>
      <c r="I4976">
        <v>20240101</v>
      </c>
      <c r="J4976" t="s">
        <v>5480</v>
      </c>
    </row>
    <row r="4977" spans="1:37" x14ac:dyDescent="0.3">
      <c r="A4977" s="160">
        <v>46224</v>
      </c>
      <c r="B4977" t="s">
        <v>20164</v>
      </c>
      <c r="C4977" t="s">
        <v>5478</v>
      </c>
      <c r="D4977">
        <v>0.7</v>
      </c>
      <c r="E4977">
        <v>0</v>
      </c>
      <c r="F4977">
        <f t="shared" si="77"/>
        <v>0.7</v>
      </c>
      <c r="I4977">
        <v>20240101</v>
      </c>
      <c r="J4977" t="s">
        <v>5483</v>
      </c>
      <c r="K4977" t="s">
        <v>5479</v>
      </c>
    </row>
    <row r="4978" spans="1:37" x14ac:dyDescent="0.3">
      <c r="A4978" s="160">
        <v>46256</v>
      </c>
      <c r="B4978" t="s">
        <v>20165</v>
      </c>
      <c r="C4978" t="s">
        <v>5478</v>
      </c>
      <c r="D4978">
        <v>0.7</v>
      </c>
      <c r="E4978">
        <v>0</v>
      </c>
      <c r="F4978">
        <f t="shared" si="77"/>
        <v>0.7</v>
      </c>
      <c r="I4978">
        <v>20240101</v>
      </c>
      <c r="J4978" t="s">
        <v>5481</v>
      </c>
    </row>
    <row r="4979" spans="1:37" x14ac:dyDescent="0.3">
      <c r="A4979" s="160">
        <v>46264</v>
      </c>
      <c r="B4979" t="s">
        <v>20166</v>
      </c>
      <c r="C4979" t="s">
        <v>5478</v>
      </c>
      <c r="D4979">
        <v>0.7</v>
      </c>
      <c r="E4979">
        <v>0</v>
      </c>
      <c r="F4979">
        <f t="shared" si="77"/>
        <v>0.7</v>
      </c>
      <c r="I4979">
        <v>20240101</v>
      </c>
      <c r="J4979" t="s">
        <v>5480</v>
      </c>
    </row>
    <row r="4980" spans="1:37" x14ac:dyDescent="0.3">
      <c r="A4980" s="160">
        <v>46268</v>
      </c>
      <c r="B4980" t="s">
        <v>20167</v>
      </c>
      <c r="C4980" t="s">
        <v>5478</v>
      </c>
      <c r="D4980">
        <v>0.7</v>
      </c>
      <c r="E4980">
        <v>0</v>
      </c>
      <c r="F4980">
        <f t="shared" si="77"/>
        <v>0.7</v>
      </c>
      <c r="I4980">
        <v>20240101</v>
      </c>
      <c r="J4980" t="s">
        <v>5479</v>
      </c>
      <c r="K4980" t="s">
        <v>5481</v>
      </c>
    </row>
    <row r="4981" spans="1:37" x14ac:dyDescent="0.3">
      <c r="A4981" s="160">
        <v>46280</v>
      </c>
      <c r="B4981" t="s">
        <v>20168</v>
      </c>
      <c r="C4981" t="s">
        <v>5478</v>
      </c>
      <c r="D4981">
        <v>0.7</v>
      </c>
      <c r="E4981">
        <v>0</v>
      </c>
      <c r="F4981">
        <f t="shared" si="77"/>
        <v>0.7</v>
      </c>
      <c r="I4981">
        <v>20240101</v>
      </c>
      <c r="J4981" t="s">
        <v>5480</v>
      </c>
    </row>
    <row r="4982" spans="1:37" x14ac:dyDescent="0.3">
      <c r="A4982" s="160">
        <v>46320</v>
      </c>
      <c r="B4982" t="s">
        <v>20169</v>
      </c>
      <c r="C4982" t="s">
        <v>5478</v>
      </c>
      <c r="D4982">
        <v>0.7</v>
      </c>
      <c r="E4982">
        <v>0</v>
      </c>
      <c r="F4982">
        <f t="shared" si="77"/>
        <v>0.7</v>
      </c>
      <c r="I4982">
        <v>20240101</v>
      </c>
      <c r="J4982" t="s">
        <v>5481</v>
      </c>
    </row>
    <row r="4983" spans="1:37" x14ac:dyDescent="0.3">
      <c r="A4983" s="160">
        <v>46322</v>
      </c>
      <c r="B4983" t="s">
        <v>20170</v>
      </c>
      <c r="C4983" t="s">
        <v>5478</v>
      </c>
      <c r="D4983">
        <v>0.7</v>
      </c>
      <c r="E4983">
        <v>0</v>
      </c>
      <c r="F4983">
        <f t="shared" si="77"/>
        <v>0.7</v>
      </c>
      <c r="I4983">
        <v>20240101</v>
      </c>
      <c r="J4983" t="s">
        <v>5485</v>
      </c>
      <c r="K4983" t="s">
        <v>5479</v>
      </c>
    </row>
    <row r="4984" spans="1:37" x14ac:dyDescent="0.3">
      <c r="A4984" s="160">
        <v>46327</v>
      </c>
      <c r="B4984" t="s">
        <v>20171</v>
      </c>
      <c r="C4984" t="s">
        <v>5478</v>
      </c>
      <c r="D4984">
        <v>0.7</v>
      </c>
      <c r="E4984">
        <v>0</v>
      </c>
      <c r="F4984">
        <f t="shared" si="77"/>
        <v>0.7</v>
      </c>
      <c r="I4984">
        <v>20230101</v>
      </c>
      <c r="J4984" t="s">
        <v>5479</v>
      </c>
    </row>
    <row r="4985" spans="1:37" x14ac:dyDescent="0.3">
      <c r="A4985" s="160">
        <v>46331</v>
      </c>
      <c r="B4985" t="s">
        <v>20172</v>
      </c>
      <c r="C4985" t="s">
        <v>5478</v>
      </c>
      <c r="D4985">
        <v>0.7</v>
      </c>
      <c r="E4985">
        <v>0</v>
      </c>
      <c r="F4985">
        <f t="shared" si="77"/>
        <v>0.7</v>
      </c>
      <c r="I4985">
        <v>20230101</v>
      </c>
      <c r="J4985" t="s">
        <v>5479</v>
      </c>
    </row>
    <row r="4986" spans="1:37" x14ac:dyDescent="0.3">
      <c r="A4986" s="160">
        <v>46340</v>
      </c>
      <c r="B4986" t="s">
        <v>20173</v>
      </c>
      <c r="C4986" t="s">
        <v>5478</v>
      </c>
      <c r="D4986">
        <v>0.7</v>
      </c>
      <c r="E4986">
        <v>0</v>
      </c>
      <c r="F4986">
        <f t="shared" si="77"/>
        <v>0.7</v>
      </c>
      <c r="I4986">
        <v>20240101</v>
      </c>
      <c r="J4986" t="s">
        <v>5479</v>
      </c>
    </row>
    <row r="4987" spans="1:37" x14ac:dyDescent="0.3">
      <c r="A4987" s="160">
        <v>47001</v>
      </c>
      <c r="B4987" t="s">
        <v>20174</v>
      </c>
      <c r="C4987" t="s">
        <v>5507</v>
      </c>
      <c r="D4987">
        <v>0.75</v>
      </c>
      <c r="E4987">
        <v>0</v>
      </c>
      <c r="F4987">
        <f t="shared" si="77"/>
        <v>0.75</v>
      </c>
      <c r="I4987">
        <v>20130101</v>
      </c>
      <c r="J4987" t="s">
        <v>5508</v>
      </c>
      <c r="K4987" t="s">
        <v>5509</v>
      </c>
      <c r="L4987" t="s">
        <v>5510</v>
      </c>
      <c r="M4987" t="s">
        <v>5511</v>
      </c>
      <c r="N4987" t="s">
        <v>5512</v>
      </c>
      <c r="O4987" t="s">
        <v>5513</v>
      </c>
      <c r="P4987" t="s">
        <v>5514</v>
      </c>
      <c r="Q4987" t="s">
        <v>5515</v>
      </c>
      <c r="R4987" t="s">
        <v>5516</v>
      </c>
      <c r="S4987" t="s">
        <v>5517</v>
      </c>
      <c r="T4987" t="s">
        <v>5518</v>
      </c>
      <c r="U4987" t="s">
        <v>5519</v>
      </c>
      <c r="V4987" t="s">
        <v>5520</v>
      </c>
      <c r="W4987" t="s">
        <v>5521</v>
      </c>
      <c r="X4987" t="s">
        <v>5522</v>
      </c>
      <c r="Y4987" t="s">
        <v>5523</v>
      </c>
      <c r="Z4987" t="s">
        <v>5524</v>
      </c>
      <c r="AA4987" t="s">
        <v>5525</v>
      </c>
      <c r="AB4987" t="s">
        <v>5526</v>
      </c>
      <c r="AC4987" t="s">
        <v>5527</v>
      </c>
      <c r="AD4987" t="s">
        <v>5528</v>
      </c>
      <c r="AE4987" t="s">
        <v>5529</v>
      </c>
      <c r="AF4987" t="s">
        <v>5530</v>
      </c>
      <c r="AG4987" t="s">
        <v>5531</v>
      </c>
      <c r="AH4987" t="s">
        <v>5532</v>
      </c>
      <c r="AI4987" t="s">
        <v>5533</v>
      </c>
      <c r="AJ4987" t="s">
        <v>5534</v>
      </c>
      <c r="AK4987" t="s">
        <v>5535</v>
      </c>
    </row>
    <row r="4988" spans="1:37" x14ac:dyDescent="0.3">
      <c r="A4988" s="160">
        <v>47002</v>
      </c>
      <c r="B4988" t="s">
        <v>20175</v>
      </c>
      <c r="C4988" t="s">
        <v>5536</v>
      </c>
      <c r="D4988">
        <v>0.6</v>
      </c>
      <c r="E4988">
        <v>0</v>
      </c>
      <c r="F4988">
        <f t="shared" si="77"/>
        <v>0.6</v>
      </c>
      <c r="I4988">
        <v>20240101</v>
      </c>
      <c r="J4988" t="s">
        <v>5537</v>
      </c>
    </row>
    <row r="4989" spans="1:37" x14ac:dyDescent="0.3">
      <c r="A4989" s="160">
        <v>47006</v>
      </c>
      <c r="B4989" t="s">
        <v>20176</v>
      </c>
      <c r="C4989" t="s">
        <v>5538</v>
      </c>
      <c r="D4989">
        <v>0.6</v>
      </c>
      <c r="E4989">
        <v>0</v>
      </c>
      <c r="F4989">
        <f t="shared" si="77"/>
        <v>0.6</v>
      </c>
      <c r="I4989">
        <v>20160101</v>
      </c>
      <c r="J4989" t="s">
        <v>5539</v>
      </c>
    </row>
    <row r="4990" spans="1:37" x14ac:dyDescent="0.3">
      <c r="A4990" s="160">
        <v>47015</v>
      </c>
      <c r="B4990" t="s">
        <v>20177</v>
      </c>
      <c r="C4990" t="s">
        <v>5507</v>
      </c>
      <c r="D4990">
        <v>0.75</v>
      </c>
      <c r="E4990">
        <v>0</v>
      </c>
      <c r="F4990">
        <f t="shared" si="77"/>
        <v>0.75</v>
      </c>
      <c r="I4990">
        <v>20130101</v>
      </c>
      <c r="J4990" t="s">
        <v>5540</v>
      </c>
    </row>
    <row r="4991" spans="1:37" x14ac:dyDescent="0.3">
      <c r="A4991" s="160">
        <v>47016</v>
      </c>
      <c r="B4991" t="s">
        <v>20178</v>
      </c>
      <c r="C4991" t="s">
        <v>5507</v>
      </c>
      <c r="D4991">
        <v>0.75</v>
      </c>
      <c r="E4991">
        <v>0</v>
      </c>
      <c r="F4991">
        <f t="shared" si="77"/>
        <v>0.75</v>
      </c>
      <c r="I4991">
        <v>20130101</v>
      </c>
      <c r="J4991" t="s">
        <v>5541</v>
      </c>
    </row>
    <row r="4992" spans="1:37" x14ac:dyDescent="0.3">
      <c r="A4992" s="160">
        <v>47019</v>
      </c>
      <c r="B4992" t="s">
        <v>20179</v>
      </c>
      <c r="C4992" t="s">
        <v>5507</v>
      </c>
      <c r="D4992">
        <v>0.75</v>
      </c>
      <c r="E4992">
        <v>0</v>
      </c>
      <c r="F4992">
        <f t="shared" si="77"/>
        <v>0.75</v>
      </c>
      <c r="I4992">
        <v>20130101</v>
      </c>
      <c r="J4992" t="s">
        <v>5542</v>
      </c>
    </row>
    <row r="4993" spans="1:15" x14ac:dyDescent="0.3">
      <c r="A4993" s="160">
        <v>47024</v>
      </c>
      <c r="B4993" t="s">
        <v>18453</v>
      </c>
      <c r="C4993" t="s">
        <v>5536</v>
      </c>
      <c r="D4993">
        <v>0.6</v>
      </c>
      <c r="E4993">
        <v>0</v>
      </c>
      <c r="F4993">
        <f t="shared" si="77"/>
        <v>0.6</v>
      </c>
      <c r="I4993">
        <v>20220701</v>
      </c>
      <c r="J4993" t="s">
        <v>5543</v>
      </c>
      <c r="K4993" t="s">
        <v>5544</v>
      </c>
      <c r="L4993" t="s">
        <v>5545</v>
      </c>
    </row>
    <row r="4994" spans="1:15" x14ac:dyDescent="0.3">
      <c r="A4994" s="160">
        <v>47025</v>
      </c>
      <c r="B4994" t="s">
        <v>20180</v>
      </c>
      <c r="C4994" t="s">
        <v>5507</v>
      </c>
      <c r="D4994">
        <v>0.75</v>
      </c>
      <c r="E4994">
        <v>0</v>
      </c>
      <c r="F4994">
        <f t="shared" si="77"/>
        <v>0.75</v>
      </c>
      <c r="I4994">
        <v>20240701</v>
      </c>
      <c r="J4994" t="s">
        <v>5546</v>
      </c>
    </row>
    <row r="4995" spans="1:15" x14ac:dyDescent="0.3">
      <c r="A4995" s="160">
        <v>47027</v>
      </c>
      <c r="B4995" t="s">
        <v>20181</v>
      </c>
      <c r="C4995" t="s">
        <v>5538</v>
      </c>
      <c r="D4995">
        <v>0.6</v>
      </c>
      <c r="E4995">
        <v>0</v>
      </c>
      <c r="F4995">
        <f t="shared" si="77"/>
        <v>0.6</v>
      </c>
      <c r="I4995">
        <v>20160101</v>
      </c>
      <c r="J4995" t="s">
        <v>5547</v>
      </c>
      <c r="K4995" t="s">
        <v>5548</v>
      </c>
      <c r="L4995" t="s">
        <v>5549</v>
      </c>
      <c r="M4995" t="s">
        <v>5550</v>
      </c>
      <c r="N4995" t="s">
        <v>5551</v>
      </c>
      <c r="O4995" t="s">
        <v>5552</v>
      </c>
    </row>
    <row r="4996" spans="1:15" x14ac:dyDescent="0.3">
      <c r="A4996" s="160">
        <v>47028</v>
      </c>
      <c r="B4996" t="s">
        <v>20182</v>
      </c>
      <c r="C4996" t="s">
        <v>5536</v>
      </c>
      <c r="D4996">
        <v>0.6</v>
      </c>
      <c r="E4996">
        <v>0</v>
      </c>
      <c r="F4996">
        <f t="shared" si="77"/>
        <v>0.6</v>
      </c>
      <c r="I4996">
        <v>20220701</v>
      </c>
      <c r="J4996" t="s">
        <v>5543</v>
      </c>
    </row>
    <row r="4997" spans="1:15" x14ac:dyDescent="0.3">
      <c r="A4997" s="160">
        <v>47030</v>
      </c>
      <c r="B4997" t="s">
        <v>20183</v>
      </c>
      <c r="C4997" t="s">
        <v>5507</v>
      </c>
      <c r="D4997">
        <v>0.75</v>
      </c>
      <c r="E4997">
        <v>0</v>
      </c>
      <c r="F4997">
        <f t="shared" si="77"/>
        <v>0.75</v>
      </c>
      <c r="I4997">
        <v>20240701</v>
      </c>
      <c r="J4997" t="s">
        <v>5546</v>
      </c>
    </row>
    <row r="4998" spans="1:15" x14ac:dyDescent="0.3">
      <c r="A4998" s="160">
        <v>47031</v>
      </c>
      <c r="B4998" t="s">
        <v>20184</v>
      </c>
      <c r="C4998" t="s">
        <v>5507</v>
      </c>
      <c r="D4998">
        <v>0.75</v>
      </c>
      <c r="E4998">
        <v>0</v>
      </c>
      <c r="F4998">
        <f t="shared" si="77"/>
        <v>0.75</v>
      </c>
      <c r="I4998">
        <v>20130101</v>
      </c>
      <c r="J4998" t="s">
        <v>5553</v>
      </c>
      <c r="K4998" t="s">
        <v>5519</v>
      </c>
      <c r="L4998" t="s">
        <v>5520</v>
      </c>
      <c r="M4998" t="s">
        <v>5521</v>
      </c>
      <c r="N4998" t="s">
        <v>5554</v>
      </c>
    </row>
    <row r="4999" spans="1:15" x14ac:dyDescent="0.3">
      <c r="A4999" s="160">
        <v>47032</v>
      </c>
      <c r="B4999" t="s">
        <v>20185</v>
      </c>
      <c r="C4999" t="s">
        <v>5507</v>
      </c>
      <c r="D4999">
        <v>0.75</v>
      </c>
      <c r="E4999">
        <v>0</v>
      </c>
      <c r="F4999">
        <f t="shared" ref="F4999:F5062" si="78">D4999+E4999</f>
        <v>0.75</v>
      </c>
      <c r="I4999">
        <v>20130101</v>
      </c>
      <c r="J4999" t="s">
        <v>5555</v>
      </c>
    </row>
    <row r="5000" spans="1:15" x14ac:dyDescent="0.3">
      <c r="A5000" s="160">
        <v>47040</v>
      </c>
      <c r="B5000" t="s">
        <v>18458</v>
      </c>
      <c r="C5000" t="s">
        <v>5507</v>
      </c>
      <c r="D5000">
        <v>0.75</v>
      </c>
      <c r="E5000">
        <v>0</v>
      </c>
      <c r="F5000">
        <f t="shared" si="78"/>
        <v>0.75</v>
      </c>
      <c r="I5000">
        <v>20130101</v>
      </c>
      <c r="J5000" t="s">
        <v>5541</v>
      </c>
    </row>
    <row r="5001" spans="1:15" x14ac:dyDescent="0.3">
      <c r="A5001" s="160">
        <v>47046</v>
      </c>
      <c r="B5001" t="s">
        <v>20186</v>
      </c>
      <c r="C5001" t="s">
        <v>5536</v>
      </c>
      <c r="D5001">
        <v>0.6</v>
      </c>
      <c r="E5001">
        <v>0</v>
      </c>
      <c r="F5001">
        <f t="shared" si="78"/>
        <v>0.6</v>
      </c>
      <c r="I5001">
        <v>20220701</v>
      </c>
      <c r="J5001" t="s">
        <v>5556</v>
      </c>
    </row>
    <row r="5002" spans="1:15" x14ac:dyDescent="0.3">
      <c r="A5002" s="160">
        <v>47049</v>
      </c>
      <c r="B5002" t="s">
        <v>20187</v>
      </c>
      <c r="C5002" t="s">
        <v>5538</v>
      </c>
      <c r="D5002">
        <v>0.6</v>
      </c>
      <c r="E5002">
        <v>0</v>
      </c>
      <c r="F5002">
        <f t="shared" si="78"/>
        <v>0.6</v>
      </c>
      <c r="I5002">
        <v>20160101</v>
      </c>
      <c r="J5002" t="s">
        <v>5557</v>
      </c>
    </row>
    <row r="5003" spans="1:15" x14ac:dyDescent="0.3">
      <c r="A5003" s="160">
        <v>47050</v>
      </c>
      <c r="B5003" t="s">
        <v>20188</v>
      </c>
      <c r="C5003" t="s">
        <v>5538</v>
      </c>
      <c r="D5003">
        <v>0.6</v>
      </c>
      <c r="E5003">
        <v>0</v>
      </c>
      <c r="F5003">
        <f t="shared" si="78"/>
        <v>0.6</v>
      </c>
      <c r="I5003">
        <v>20160101</v>
      </c>
      <c r="J5003" t="s">
        <v>5558</v>
      </c>
    </row>
    <row r="5004" spans="1:15" x14ac:dyDescent="0.3">
      <c r="A5004" s="160">
        <v>47051</v>
      </c>
      <c r="B5004" t="s">
        <v>20189</v>
      </c>
      <c r="C5004" t="s">
        <v>5507</v>
      </c>
      <c r="D5004">
        <v>0.75</v>
      </c>
      <c r="E5004">
        <v>0</v>
      </c>
      <c r="F5004">
        <f t="shared" si="78"/>
        <v>0.75</v>
      </c>
      <c r="I5004">
        <v>20160701</v>
      </c>
      <c r="J5004" t="s">
        <v>5555</v>
      </c>
    </row>
    <row r="5005" spans="1:15" x14ac:dyDescent="0.3">
      <c r="A5005" s="160">
        <v>47053</v>
      </c>
      <c r="B5005" t="s">
        <v>20190</v>
      </c>
      <c r="C5005" t="s">
        <v>5538</v>
      </c>
      <c r="D5005">
        <v>0.6</v>
      </c>
      <c r="E5005">
        <v>0</v>
      </c>
      <c r="F5005">
        <f t="shared" si="78"/>
        <v>0.6</v>
      </c>
      <c r="I5005">
        <v>20160101</v>
      </c>
      <c r="J5005" t="s">
        <v>5558</v>
      </c>
    </row>
    <row r="5006" spans="1:15" x14ac:dyDescent="0.3">
      <c r="A5006" s="160">
        <v>47056</v>
      </c>
      <c r="B5006" t="s">
        <v>20191</v>
      </c>
      <c r="C5006" t="s">
        <v>5536</v>
      </c>
      <c r="D5006">
        <v>0.6</v>
      </c>
      <c r="E5006">
        <v>0</v>
      </c>
      <c r="F5006">
        <f t="shared" si="78"/>
        <v>0.6</v>
      </c>
      <c r="I5006">
        <v>20240101</v>
      </c>
      <c r="J5006" t="s">
        <v>5559</v>
      </c>
    </row>
    <row r="5007" spans="1:15" x14ac:dyDescent="0.3">
      <c r="A5007" s="160">
        <v>47059</v>
      </c>
      <c r="B5007" t="s">
        <v>20192</v>
      </c>
      <c r="C5007" t="s">
        <v>5536</v>
      </c>
      <c r="D5007">
        <v>0.6</v>
      </c>
      <c r="E5007">
        <v>0</v>
      </c>
      <c r="F5007">
        <f t="shared" si="78"/>
        <v>0.6</v>
      </c>
      <c r="I5007">
        <v>20240101</v>
      </c>
      <c r="J5007" t="s">
        <v>5560</v>
      </c>
    </row>
    <row r="5008" spans="1:15" x14ac:dyDescent="0.3">
      <c r="A5008" s="160">
        <v>47060</v>
      </c>
      <c r="B5008" t="s">
        <v>20193</v>
      </c>
      <c r="C5008" t="s">
        <v>5507</v>
      </c>
      <c r="D5008">
        <v>0.75</v>
      </c>
      <c r="E5008">
        <v>0</v>
      </c>
      <c r="F5008">
        <f t="shared" si="78"/>
        <v>0.75</v>
      </c>
      <c r="I5008">
        <v>20130101</v>
      </c>
      <c r="J5008" t="s">
        <v>5540</v>
      </c>
    </row>
    <row r="5009" spans="1:10" x14ac:dyDescent="0.3">
      <c r="A5009" s="160">
        <v>47061</v>
      </c>
      <c r="B5009" t="s">
        <v>20194</v>
      </c>
      <c r="C5009" t="s">
        <v>5536</v>
      </c>
      <c r="D5009">
        <v>0.6</v>
      </c>
      <c r="E5009">
        <v>0</v>
      </c>
      <c r="F5009">
        <f t="shared" si="78"/>
        <v>0.6</v>
      </c>
      <c r="I5009">
        <v>20220701</v>
      </c>
      <c r="J5009" t="s">
        <v>5556</v>
      </c>
    </row>
    <row r="5010" spans="1:10" x14ac:dyDescent="0.3">
      <c r="A5010" s="160">
        <v>47062</v>
      </c>
      <c r="B5010" t="s">
        <v>20195</v>
      </c>
      <c r="C5010" t="s">
        <v>5507</v>
      </c>
      <c r="D5010">
        <v>0.75</v>
      </c>
      <c r="E5010">
        <v>0</v>
      </c>
      <c r="F5010">
        <f t="shared" si="78"/>
        <v>0.75</v>
      </c>
      <c r="I5010">
        <v>20240701</v>
      </c>
      <c r="J5010" t="s">
        <v>5546</v>
      </c>
    </row>
    <row r="5011" spans="1:10" x14ac:dyDescent="0.3">
      <c r="A5011" s="160">
        <v>47065</v>
      </c>
      <c r="B5011" t="s">
        <v>20196</v>
      </c>
      <c r="C5011" t="s">
        <v>5536</v>
      </c>
      <c r="D5011">
        <v>0.6</v>
      </c>
      <c r="E5011">
        <v>0</v>
      </c>
      <c r="F5011">
        <f t="shared" si="78"/>
        <v>0.6</v>
      </c>
      <c r="I5011">
        <v>20220701</v>
      </c>
      <c r="J5011" t="s">
        <v>5561</v>
      </c>
    </row>
    <row r="5012" spans="1:10" x14ac:dyDescent="0.3">
      <c r="A5012" s="160">
        <v>47068</v>
      </c>
      <c r="B5012" t="s">
        <v>20197</v>
      </c>
      <c r="C5012" t="s">
        <v>5536</v>
      </c>
      <c r="D5012">
        <v>0.6</v>
      </c>
      <c r="E5012">
        <v>0</v>
      </c>
      <c r="F5012">
        <f t="shared" si="78"/>
        <v>0.6</v>
      </c>
      <c r="I5012">
        <v>20220701</v>
      </c>
      <c r="J5012" t="s">
        <v>5562</v>
      </c>
    </row>
    <row r="5013" spans="1:10" x14ac:dyDescent="0.3">
      <c r="A5013" s="160">
        <v>47069</v>
      </c>
      <c r="B5013" t="s">
        <v>20198</v>
      </c>
      <c r="C5013" t="s">
        <v>5507</v>
      </c>
      <c r="D5013">
        <v>0.75</v>
      </c>
      <c r="E5013">
        <v>0</v>
      </c>
      <c r="F5013">
        <f t="shared" si="78"/>
        <v>0.75</v>
      </c>
      <c r="I5013">
        <v>20130101</v>
      </c>
      <c r="J5013" t="s">
        <v>5563</v>
      </c>
    </row>
    <row r="5014" spans="1:10" x14ac:dyDescent="0.3">
      <c r="A5014" s="160">
        <v>47074</v>
      </c>
      <c r="B5014" t="s">
        <v>20199</v>
      </c>
      <c r="C5014" t="s">
        <v>5536</v>
      </c>
      <c r="D5014">
        <v>0.6</v>
      </c>
      <c r="E5014">
        <v>0</v>
      </c>
      <c r="F5014">
        <f t="shared" si="78"/>
        <v>0.6</v>
      </c>
      <c r="I5014">
        <v>20220701</v>
      </c>
      <c r="J5014" t="s">
        <v>5559</v>
      </c>
    </row>
    <row r="5015" spans="1:10" x14ac:dyDescent="0.3">
      <c r="A5015" s="160">
        <v>47075</v>
      </c>
      <c r="B5015" t="s">
        <v>20200</v>
      </c>
      <c r="C5015" t="s">
        <v>5538</v>
      </c>
      <c r="D5015">
        <v>0.6</v>
      </c>
      <c r="E5015">
        <v>0</v>
      </c>
      <c r="F5015">
        <f t="shared" si="78"/>
        <v>0.6</v>
      </c>
      <c r="I5015">
        <v>20160101</v>
      </c>
      <c r="J5015" t="s">
        <v>5558</v>
      </c>
    </row>
    <row r="5016" spans="1:10" x14ac:dyDescent="0.3">
      <c r="A5016" s="160">
        <v>47076</v>
      </c>
      <c r="B5016" t="s">
        <v>20201</v>
      </c>
      <c r="C5016" t="s">
        <v>5507</v>
      </c>
      <c r="D5016">
        <v>0.75</v>
      </c>
      <c r="E5016">
        <v>0</v>
      </c>
      <c r="F5016">
        <f t="shared" si="78"/>
        <v>0.75</v>
      </c>
      <c r="I5016">
        <v>20130101</v>
      </c>
      <c r="J5016" t="s">
        <v>5540</v>
      </c>
    </row>
    <row r="5017" spans="1:10" x14ac:dyDescent="0.3">
      <c r="A5017" s="160">
        <v>47081</v>
      </c>
      <c r="B5017" t="s">
        <v>20202</v>
      </c>
      <c r="C5017" t="s">
        <v>5538</v>
      </c>
      <c r="D5017">
        <v>0.6</v>
      </c>
      <c r="E5017">
        <v>0</v>
      </c>
      <c r="F5017">
        <f t="shared" si="78"/>
        <v>0.6</v>
      </c>
      <c r="I5017">
        <v>20160101</v>
      </c>
      <c r="J5017" t="s">
        <v>5539</v>
      </c>
    </row>
    <row r="5018" spans="1:10" x14ac:dyDescent="0.3">
      <c r="A5018" s="160">
        <v>47082</v>
      </c>
      <c r="B5018" t="s">
        <v>20203</v>
      </c>
      <c r="C5018" t="s">
        <v>5507</v>
      </c>
      <c r="D5018">
        <v>0.75</v>
      </c>
      <c r="E5018">
        <v>0</v>
      </c>
      <c r="F5018">
        <f t="shared" si="78"/>
        <v>0.75</v>
      </c>
      <c r="I5018">
        <v>20240701</v>
      </c>
      <c r="J5018" t="s">
        <v>5546</v>
      </c>
    </row>
    <row r="5019" spans="1:10" x14ac:dyDescent="0.3">
      <c r="A5019" s="160">
        <v>47087</v>
      </c>
      <c r="B5019" t="s">
        <v>20204</v>
      </c>
      <c r="C5019" t="s">
        <v>5507</v>
      </c>
      <c r="D5019">
        <v>0.75</v>
      </c>
      <c r="E5019">
        <v>0</v>
      </c>
      <c r="F5019">
        <f t="shared" si="78"/>
        <v>0.75</v>
      </c>
      <c r="I5019">
        <v>20240701</v>
      </c>
      <c r="J5019" t="s">
        <v>5546</v>
      </c>
    </row>
    <row r="5020" spans="1:10" x14ac:dyDescent="0.3">
      <c r="A5020" s="160">
        <v>47088</v>
      </c>
      <c r="B5020" t="s">
        <v>20205</v>
      </c>
      <c r="C5020" t="s">
        <v>5536</v>
      </c>
      <c r="D5020">
        <v>0.6</v>
      </c>
      <c r="E5020">
        <v>0</v>
      </c>
      <c r="F5020">
        <f t="shared" si="78"/>
        <v>0.6</v>
      </c>
      <c r="I5020">
        <v>20240101</v>
      </c>
      <c r="J5020" t="s">
        <v>5537</v>
      </c>
    </row>
    <row r="5021" spans="1:10" x14ac:dyDescent="0.3">
      <c r="A5021" s="160">
        <v>47091</v>
      </c>
      <c r="B5021" t="s">
        <v>20206</v>
      </c>
      <c r="C5021" t="s">
        <v>5507</v>
      </c>
      <c r="D5021">
        <v>0.75</v>
      </c>
      <c r="E5021">
        <v>0</v>
      </c>
      <c r="F5021">
        <f t="shared" si="78"/>
        <v>0.75</v>
      </c>
      <c r="I5021">
        <v>20130101</v>
      </c>
      <c r="J5021" t="s">
        <v>5541</v>
      </c>
    </row>
    <row r="5022" spans="1:10" x14ac:dyDescent="0.3">
      <c r="A5022" s="160">
        <v>47092</v>
      </c>
      <c r="B5022" t="s">
        <v>20207</v>
      </c>
      <c r="C5022" t="s">
        <v>5507</v>
      </c>
      <c r="D5022">
        <v>0.75</v>
      </c>
      <c r="E5022">
        <v>0</v>
      </c>
      <c r="F5022">
        <f t="shared" si="78"/>
        <v>0.75</v>
      </c>
      <c r="I5022">
        <v>20130101</v>
      </c>
      <c r="J5022" t="s">
        <v>5540</v>
      </c>
    </row>
    <row r="5023" spans="1:10" x14ac:dyDescent="0.3">
      <c r="A5023" s="160">
        <v>47094</v>
      </c>
      <c r="B5023" t="s">
        <v>20208</v>
      </c>
      <c r="C5023" t="s">
        <v>5536</v>
      </c>
      <c r="D5023">
        <v>0.6</v>
      </c>
      <c r="E5023">
        <v>0</v>
      </c>
      <c r="F5023">
        <f t="shared" si="78"/>
        <v>0.6</v>
      </c>
      <c r="I5023">
        <v>20220701</v>
      </c>
      <c r="J5023" t="s">
        <v>5564</v>
      </c>
    </row>
    <row r="5024" spans="1:10" x14ac:dyDescent="0.3">
      <c r="A5024" s="160">
        <v>47095</v>
      </c>
      <c r="B5024" t="s">
        <v>20209</v>
      </c>
      <c r="C5024" t="s">
        <v>5536</v>
      </c>
      <c r="D5024">
        <v>0.6</v>
      </c>
      <c r="E5024">
        <v>0</v>
      </c>
      <c r="F5024">
        <f t="shared" si="78"/>
        <v>0.6</v>
      </c>
      <c r="I5024">
        <v>20220701</v>
      </c>
      <c r="J5024" t="s">
        <v>5564</v>
      </c>
    </row>
    <row r="5025" spans="1:11" x14ac:dyDescent="0.3">
      <c r="A5025" s="160">
        <v>47099</v>
      </c>
      <c r="B5025" t="s">
        <v>20210</v>
      </c>
      <c r="C5025" t="s">
        <v>5538</v>
      </c>
      <c r="D5025">
        <v>0.6</v>
      </c>
      <c r="E5025">
        <v>0</v>
      </c>
      <c r="F5025">
        <f t="shared" si="78"/>
        <v>0.6</v>
      </c>
      <c r="I5025">
        <v>20240101</v>
      </c>
      <c r="J5025" t="s">
        <v>5565</v>
      </c>
    </row>
    <row r="5026" spans="1:11" x14ac:dyDescent="0.3">
      <c r="A5026" s="160">
        <v>47100</v>
      </c>
      <c r="B5026" t="s">
        <v>20211</v>
      </c>
      <c r="C5026" t="s">
        <v>5507</v>
      </c>
      <c r="D5026">
        <v>0.75</v>
      </c>
      <c r="E5026">
        <v>0</v>
      </c>
      <c r="F5026">
        <f t="shared" si="78"/>
        <v>0.75</v>
      </c>
      <c r="I5026">
        <v>20130101</v>
      </c>
      <c r="J5026" t="s">
        <v>5566</v>
      </c>
    </row>
    <row r="5027" spans="1:11" x14ac:dyDescent="0.3">
      <c r="A5027" s="160">
        <v>47101</v>
      </c>
      <c r="B5027" t="s">
        <v>20212</v>
      </c>
      <c r="C5027" t="s">
        <v>5536</v>
      </c>
      <c r="D5027">
        <v>0.6</v>
      </c>
      <c r="E5027">
        <v>0</v>
      </c>
      <c r="F5027">
        <f t="shared" si="78"/>
        <v>0.6</v>
      </c>
      <c r="I5027">
        <v>20220701</v>
      </c>
      <c r="J5027" t="s">
        <v>5543</v>
      </c>
      <c r="K5027" t="s">
        <v>5567</v>
      </c>
    </row>
    <row r="5028" spans="1:11" x14ac:dyDescent="0.3">
      <c r="A5028" s="160">
        <v>47108</v>
      </c>
      <c r="B5028" t="s">
        <v>18321</v>
      </c>
      <c r="C5028" t="s">
        <v>5536</v>
      </c>
      <c r="D5028">
        <v>0.6</v>
      </c>
      <c r="E5028">
        <v>0</v>
      </c>
      <c r="F5028">
        <f t="shared" si="78"/>
        <v>0.6</v>
      </c>
      <c r="I5028">
        <v>20220701</v>
      </c>
      <c r="J5028" t="s">
        <v>5543</v>
      </c>
    </row>
    <row r="5029" spans="1:11" x14ac:dyDescent="0.3">
      <c r="A5029" s="160">
        <v>47110</v>
      </c>
      <c r="B5029" t="s">
        <v>20213</v>
      </c>
      <c r="C5029" t="s">
        <v>5536</v>
      </c>
      <c r="D5029">
        <v>0.6</v>
      </c>
      <c r="E5029">
        <v>0</v>
      </c>
      <c r="F5029">
        <f t="shared" si="78"/>
        <v>0.6</v>
      </c>
      <c r="I5029">
        <v>20220701</v>
      </c>
      <c r="J5029" t="s">
        <v>5564</v>
      </c>
    </row>
    <row r="5030" spans="1:11" x14ac:dyDescent="0.3">
      <c r="A5030" s="160">
        <v>47112</v>
      </c>
      <c r="B5030" t="s">
        <v>20214</v>
      </c>
      <c r="C5030" t="s">
        <v>5536</v>
      </c>
      <c r="D5030">
        <v>0.6</v>
      </c>
      <c r="E5030">
        <v>0</v>
      </c>
      <c r="F5030">
        <f t="shared" si="78"/>
        <v>0.6</v>
      </c>
      <c r="I5030">
        <v>20240101</v>
      </c>
      <c r="J5030" t="s">
        <v>5564</v>
      </c>
    </row>
    <row r="5031" spans="1:11" x14ac:dyDescent="0.3">
      <c r="A5031" s="160">
        <v>47117</v>
      </c>
      <c r="B5031" t="s">
        <v>20215</v>
      </c>
      <c r="C5031" t="s">
        <v>5538</v>
      </c>
      <c r="D5031">
        <v>0.6</v>
      </c>
      <c r="E5031">
        <v>0</v>
      </c>
      <c r="F5031">
        <f t="shared" si="78"/>
        <v>0.6</v>
      </c>
      <c r="I5031">
        <v>20160101</v>
      </c>
      <c r="J5031" t="s">
        <v>5558</v>
      </c>
    </row>
    <row r="5032" spans="1:11" x14ac:dyDescent="0.3">
      <c r="A5032" s="160">
        <v>47120</v>
      </c>
      <c r="B5032" t="s">
        <v>20216</v>
      </c>
      <c r="C5032" t="s">
        <v>5536</v>
      </c>
      <c r="D5032">
        <v>0.6</v>
      </c>
      <c r="E5032">
        <v>0</v>
      </c>
      <c r="F5032">
        <f t="shared" si="78"/>
        <v>0.6</v>
      </c>
      <c r="I5032">
        <v>20220701</v>
      </c>
      <c r="J5032" t="s">
        <v>5559</v>
      </c>
    </row>
    <row r="5033" spans="1:11" x14ac:dyDescent="0.3">
      <c r="A5033" s="160">
        <v>47127</v>
      </c>
      <c r="B5033" t="s">
        <v>20217</v>
      </c>
      <c r="C5033" t="s">
        <v>5536</v>
      </c>
      <c r="D5033">
        <v>0.6</v>
      </c>
      <c r="E5033">
        <v>0</v>
      </c>
      <c r="F5033">
        <f t="shared" si="78"/>
        <v>0.6</v>
      </c>
      <c r="I5033">
        <v>20220701</v>
      </c>
      <c r="J5033" t="s">
        <v>5561</v>
      </c>
    </row>
    <row r="5034" spans="1:11" x14ac:dyDescent="0.3">
      <c r="A5034" s="160">
        <v>47128</v>
      </c>
      <c r="B5034" t="s">
        <v>20218</v>
      </c>
      <c r="C5034" t="s">
        <v>5507</v>
      </c>
      <c r="D5034">
        <v>0.75</v>
      </c>
      <c r="E5034">
        <v>0</v>
      </c>
      <c r="F5034">
        <f t="shared" si="78"/>
        <v>0.75</v>
      </c>
      <c r="I5034">
        <v>20130101</v>
      </c>
      <c r="J5034" t="s">
        <v>5555</v>
      </c>
    </row>
    <row r="5035" spans="1:11" x14ac:dyDescent="0.3">
      <c r="A5035" s="160">
        <v>47130</v>
      </c>
      <c r="B5035" t="s">
        <v>20219</v>
      </c>
      <c r="C5035" t="s">
        <v>5536</v>
      </c>
      <c r="D5035">
        <v>0.6</v>
      </c>
      <c r="E5035">
        <v>0</v>
      </c>
      <c r="F5035">
        <f t="shared" si="78"/>
        <v>0.6</v>
      </c>
      <c r="I5035">
        <v>20220701</v>
      </c>
      <c r="J5035" t="s">
        <v>5564</v>
      </c>
    </row>
    <row r="5036" spans="1:11" x14ac:dyDescent="0.3">
      <c r="A5036" s="160">
        <v>47131</v>
      </c>
      <c r="B5036" t="s">
        <v>20220</v>
      </c>
      <c r="C5036" t="s">
        <v>5536</v>
      </c>
      <c r="D5036">
        <v>0.6</v>
      </c>
      <c r="E5036">
        <v>0</v>
      </c>
      <c r="F5036">
        <f t="shared" si="78"/>
        <v>0.6</v>
      </c>
      <c r="I5036">
        <v>20240101</v>
      </c>
      <c r="J5036" t="s">
        <v>5559</v>
      </c>
    </row>
    <row r="5037" spans="1:11" x14ac:dyDescent="0.3">
      <c r="A5037" s="160">
        <v>47137</v>
      </c>
      <c r="B5037" t="s">
        <v>20221</v>
      </c>
      <c r="C5037" t="s">
        <v>5507</v>
      </c>
      <c r="D5037">
        <v>0.75</v>
      </c>
      <c r="E5037">
        <v>0</v>
      </c>
      <c r="F5037">
        <f t="shared" si="78"/>
        <v>0.75</v>
      </c>
      <c r="I5037">
        <v>20130101</v>
      </c>
      <c r="J5037" t="s">
        <v>5541</v>
      </c>
    </row>
    <row r="5038" spans="1:11" x14ac:dyDescent="0.3">
      <c r="A5038" s="160">
        <v>47138</v>
      </c>
      <c r="B5038" t="s">
        <v>20222</v>
      </c>
      <c r="C5038" t="s">
        <v>5538</v>
      </c>
      <c r="D5038">
        <v>0.6</v>
      </c>
      <c r="E5038">
        <v>0</v>
      </c>
      <c r="F5038">
        <f t="shared" si="78"/>
        <v>0.6</v>
      </c>
      <c r="I5038">
        <v>20160101</v>
      </c>
      <c r="J5038" t="s">
        <v>5558</v>
      </c>
    </row>
    <row r="5039" spans="1:11" x14ac:dyDescent="0.3">
      <c r="A5039" s="160">
        <v>47145</v>
      </c>
      <c r="B5039" t="s">
        <v>20223</v>
      </c>
      <c r="C5039" t="s">
        <v>5507</v>
      </c>
      <c r="D5039">
        <v>0.75</v>
      </c>
      <c r="E5039">
        <v>0</v>
      </c>
      <c r="F5039">
        <f t="shared" si="78"/>
        <v>0.75</v>
      </c>
      <c r="I5039">
        <v>20130101</v>
      </c>
      <c r="J5039" t="s">
        <v>5568</v>
      </c>
    </row>
    <row r="5040" spans="1:11" x14ac:dyDescent="0.3">
      <c r="A5040" s="160">
        <v>47146</v>
      </c>
      <c r="B5040" t="s">
        <v>20224</v>
      </c>
      <c r="C5040" t="s">
        <v>5538</v>
      </c>
      <c r="D5040">
        <v>0.6</v>
      </c>
      <c r="E5040">
        <v>0</v>
      </c>
      <c r="F5040">
        <f t="shared" si="78"/>
        <v>0.6</v>
      </c>
      <c r="I5040">
        <v>20160101</v>
      </c>
      <c r="J5040" t="s">
        <v>5547</v>
      </c>
      <c r="K5040" t="s">
        <v>5552</v>
      </c>
    </row>
    <row r="5041" spans="1:18" x14ac:dyDescent="0.3">
      <c r="A5041" s="160">
        <v>47150</v>
      </c>
      <c r="B5041" t="s">
        <v>20225</v>
      </c>
      <c r="C5041" t="s">
        <v>5536</v>
      </c>
      <c r="D5041">
        <v>0.6</v>
      </c>
      <c r="E5041">
        <v>0</v>
      </c>
      <c r="F5041">
        <f t="shared" si="78"/>
        <v>0.6</v>
      </c>
      <c r="I5041">
        <v>20220701</v>
      </c>
      <c r="J5041" t="s">
        <v>5543</v>
      </c>
    </row>
    <row r="5042" spans="1:18" x14ac:dyDescent="0.3">
      <c r="A5042" s="160">
        <v>47156</v>
      </c>
      <c r="B5042" t="s">
        <v>20226</v>
      </c>
      <c r="C5042" t="s">
        <v>5536</v>
      </c>
      <c r="D5042">
        <v>0.6</v>
      </c>
      <c r="E5042">
        <v>0</v>
      </c>
      <c r="F5042">
        <f t="shared" si="78"/>
        <v>0.6</v>
      </c>
      <c r="I5042">
        <v>20220701</v>
      </c>
      <c r="J5042" t="s">
        <v>5543</v>
      </c>
    </row>
    <row r="5043" spans="1:18" x14ac:dyDescent="0.3">
      <c r="A5043" s="160">
        <v>47157</v>
      </c>
      <c r="B5043" t="s">
        <v>20227</v>
      </c>
      <c r="C5043" t="s">
        <v>5536</v>
      </c>
      <c r="D5043">
        <v>0.6</v>
      </c>
      <c r="E5043">
        <v>0</v>
      </c>
      <c r="F5043">
        <f t="shared" si="78"/>
        <v>0.6</v>
      </c>
      <c r="I5043">
        <v>20220701</v>
      </c>
      <c r="J5043" t="s">
        <v>5543</v>
      </c>
      <c r="K5043" t="s">
        <v>5569</v>
      </c>
      <c r="L5043" t="s">
        <v>5570</v>
      </c>
      <c r="M5043" t="s">
        <v>5544</v>
      </c>
      <c r="N5043" t="s">
        <v>5545</v>
      </c>
      <c r="O5043" t="s">
        <v>5571</v>
      </c>
      <c r="P5043" t="s">
        <v>5572</v>
      </c>
      <c r="Q5043" t="s">
        <v>5573</v>
      </c>
      <c r="R5043" t="s">
        <v>5567</v>
      </c>
    </row>
    <row r="5044" spans="1:18" x14ac:dyDescent="0.3">
      <c r="A5044" s="160">
        <v>47158</v>
      </c>
      <c r="B5044" t="s">
        <v>20228</v>
      </c>
      <c r="C5044" t="s">
        <v>5507</v>
      </c>
      <c r="D5044">
        <v>0.75</v>
      </c>
      <c r="E5044">
        <v>0</v>
      </c>
      <c r="F5044">
        <f t="shared" si="78"/>
        <v>0.75</v>
      </c>
      <c r="I5044">
        <v>20130101</v>
      </c>
      <c r="J5044" t="s">
        <v>5540</v>
      </c>
    </row>
    <row r="5045" spans="1:18" x14ac:dyDescent="0.3">
      <c r="A5045" s="160">
        <v>47159</v>
      </c>
      <c r="B5045" t="s">
        <v>20229</v>
      </c>
      <c r="C5045" t="s">
        <v>5536</v>
      </c>
      <c r="D5045">
        <v>0.6</v>
      </c>
      <c r="E5045">
        <v>0</v>
      </c>
      <c r="F5045">
        <f t="shared" si="78"/>
        <v>0.6</v>
      </c>
      <c r="I5045">
        <v>20220701</v>
      </c>
      <c r="J5045" t="s">
        <v>5556</v>
      </c>
    </row>
    <row r="5046" spans="1:18" x14ac:dyDescent="0.3">
      <c r="A5046" s="160">
        <v>47163</v>
      </c>
      <c r="B5046" t="s">
        <v>20230</v>
      </c>
      <c r="C5046" t="s">
        <v>5536</v>
      </c>
      <c r="D5046">
        <v>0.6</v>
      </c>
      <c r="E5046">
        <v>0</v>
      </c>
      <c r="F5046">
        <f t="shared" si="78"/>
        <v>0.6</v>
      </c>
      <c r="I5046">
        <v>20220701</v>
      </c>
      <c r="J5046" t="s">
        <v>5543</v>
      </c>
      <c r="K5046" t="s">
        <v>5544</v>
      </c>
    </row>
    <row r="5047" spans="1:18" x14ac:dyDescent="0.3">
      <c r="A5047" s="160">
        <v>47165</v>
      </c>
      <c r="B5047" t="s">
        <v>20231</v>
      </c>
      <c r="C5047" t="s">
        <v>5536</v>
      </c>
      <c r="D5047">
        <v>0.6</v>
      </c>
      <c r="E5047">
        <v>0</v>
      </c>
      <c r="F5047">
        <f t="shared" si="78"/>
        <v>0.6</v>
      </c>
      <c r="I5047">
        <v>20220701</v>
      </c>
      <c r="J5047" t="s">
        <v>5559</v>
      </c>
    </row>
    <row r="5048" spans="1:18" x14ac:dyDescent="0.3">
      <c r="A5048" s="160">
        <v>47169</v>
      </c>
      <c r="B5048" t="s">
        <v>20232</v>
      </c>
      <c r="C5048" t="s">
        <v>5507</v>
      </c>
      <c r="D5048">
        <v>0.75</v>
      </c>
      <c r="E5048">
        <v>0</v>
      </c>
      <c r="F5048">
        <f t="shared" si="78"/>
        <v>0.75</v>
      </c>
      <c r="I5048">
        <v>20130101</v>
      </c>
      <c r="J5048" t="s">
        <v>5541</v>
      </c>
    </row>
    <row r="5049" spans="1:18" x14ac:dyDescent="0.3">
      <c r="A5049" s="160">
        <v>47171</v>
      </c>
      <c r="B5049" t="s">
        <v>20233</v>
      </c>
      <c r="C5049" t="s">
        <v>5538</v>
      </c>
      <c r="D5049">
        <v>0.6</v>
      </c>
      <c r="E5049">
        <v>0</v>
      </c>
      <c r="F5049">
        <f t="shared" si="78"/>
        <v>0.6</v>
      </c>
      <c r="I5049">
        <v>20160101</v>
      </c>
      <c r="J5049" t="s">
        <v>5558</v>
      </c>
    </row>
    <row r="5050" spans="1:18" x14ac:dyDescent="0.3">
      <c r="A5050" s="160">
        <v>47191</v>
      </c>
      <c r="B5050" t="s">
        <v>20234</v>
      </c>
      <c r="C5050" t="s">
        <v>5536</v>
      </c>
      <c r="D5050">
        <v>0.6</v>
      </c>
      <c r="E5050">
        <v>0</v>
      </c>
      <c r="F5050">
        <f t="shared" si="78"/>
        <v>0.6</v>
      </c>
      <c r="I5050">
        <v>20220701</v>
      </c>
      <c r="J5050" t="s">
        <v>5543</v>
      </c>
    </row>
    <row r="5051" spans="1:18" x14ac:dyDescent="0.3">
      <c r="A5051" s="160">
        <v>47201</v>
      </c>
      <c r="B5051" t="s">
        <v>20235</v>
      </c>
      <c r="C5051" t="s">
        <v>5507</v>
      </c>
      <c r="D5051">
        <v>0.75</v>
      </c>
      <c r="E5051">
        <v>0</v>
      </c>
      <c r="F5051">
        <f t="shared" si="78"/>
        <v>0.75</v>
      </c>
      <c r="I5051">
        <v>20130101</v>
      </c>
      <c r="J5051" t="s">
        <v>5574</v>
      </c>
      <c r="K5051" t="s">
        <v>5522</v>
      </c>
      <c r="L5051" t="s">
        <v>5527</v>
      </c>
    </row>
    <row r="5052" spans="1:18" x14ac:dyDescent="0.3">
      <c r="A5052" s="160">
        <v>47209</v>
      </c>
      <c r="B5052" t="s">
        <v>20236</v>
      </c>
      <c r="C5052" t="s">
        <v>5507</v>
      </c>
      <c r="D5052">
        <v>0.75</v>
      </c>
      <c r="E5052">
        <v>0</v>
      </c>
      <c r="F5052">
        <f t="shared" si="78"/>
        <v>0.75</v>
      </c>
      <c r="I5052">
        <v>20130101</v>
      </c>
      <c r="J5052" t="s">
        <v>5542</v>
      </c>
      <c r="K5052" t="s">
        <v>5528</v>
      </c>
    </row>
    <row r="5053" spans="1:18" x14ac:dyDescent="0.3">
      <c r="A5053" s="160">
        <v>47215</v>
      </c>
      <c r="B5053" t="s">
        <v>20237</v>
      </c>
      <c r="C5053" t="s">
        <v>5538</v>
      </c>
      <c r="D5053">
        <v>0.6</v>
      </c>
      <c r="E5053">
        <v>0</v>
      </c>
      <c r="F5053">
        <f t="shared" si="78"/>
        <v>0.6</v>
      </c>
      <c r="I5053">
        <v>20160101</v>
      </c>
      <c r="J5053" t="s">
        <v>5547</v>
      </c>
      <c r="K5053" t="s">
        <v>5548</v>
      </c>
      <c r="L5053" t="s">
        <v>5575</v>
      </c>
      <c r="M5053" t="s">
        <v>5550</v>
      </c>
      <c r="N5053" t="s">
        <v>5551</v>
      </c>
      <c r="O5053" t="s">
        <v>5552</v>
      </c>
    </row>
    <row r="5054" spans="1:18" x14ac:dyDescent="0.3">
      <c r="A5054" s="160">
        <v>47216</v>
      </c>
      <c r="B5054" t="s">
        <v>20238</v>
      </c>
      <c r="C5054" t="s">
        <v>5536</v>
      </c>
      <c r="D5054">
        <v>0.6</v>
      </c>
      <c r="E5054">
        <v>0</v>
      </c>
      <c r="F5054">
        <f t="shared" si="78"/>
        <v>0.6</v>
      </c>
      <c r="I5054">
        <v>20240101</v>
      </c>
      <c r="J5054" t="s">
        <v>5537</v>
      </c>
    </row>
    <row r="5055" spans="1:18" x14ac:dyDescent="0.3">
      <c r="A5055" s="160">
        <v>47217</v>
      </c>
      <c r="B5055" t="s">
        <v>20239</v>
      </c>
      <c r="C5055" t="s">
        <v>5507</v>
      </c>
      <c r="D5055">
        <v>0.75</v>
      </c>
      <c r="E5055">
        <v>0</v>
      </c>
      <c r="F5055">
        <f t="shared" si="78"/>
        <v>0.75</v>
      </c>
      <c r="I5055">
        <v>20240701</v>
      </c>
      <c r="J5055" t="s">
        <v>5576</v>
      </c>
    </row>
    <row r="5056" spans="1:18" x14ac:dyDescent="0.3">
      <c r="A5056" s="160">
        <v>47225</v>
      </c>
      <c r="B5056" t="s">
        <v>18571</v>
      </c>
      <c r="C5056" t="s">
        <v>5507</v>
      </c>
      <c r="D5056">
        <v>0.75</v>
      </c>
      <c r="E5056">
        <v>0</v>
      </c>
      <c r="F5056">
        <f t="shared" si="78"/>
        <v>0.75</v>
      </c>
      <c r="I5056">
        <v>20130101</v>
      </c>
      <c r="J5056" t="s">
        <v>5541</v>
      </c>
      <c r="K5056" t="s">
        <v>5522</v>
      </c>
    </row>
    <row r="5057" spans="1:11" x14ac:dyDescent="0.3">
      <c r="A5057" s="160">
        <v>47228</v>
      </c>
      <c r="B5057" t="s">
        <v>20240</v>
      </c>
      <c r="C5057" t="s">
        <v>5538</v>
      </c>
      <c r="D5057">
        <v>0.6</v>
      </c>
      <c r="E5057">
        <v>0</v>
      </c>
      <c r="F5057">
        <f t="shared" si="78"/>
        <v>0.6</v>
      </c>
      <c r="I5057">
        <v>20160101</v>
      </c>
      <c r="J5057" t="s">
        <v>5558</v>
      </c>
    </row>
    <row r="5058" spans="1:11" x14ac:dyDescent="0.3">
      <c r="A5058" s="160">
        <v>47231</v>
      </c>
      <c r="B5058" t="s">
        <v>19721</v>
      </c>
      <c r="C5058" t="s">
        <v>5536</v>
      </c>
      <c r="D5058">
        <v>0.6</v>
      </c>
      <c r="E5058">
        <v>0</v>
      </c>
      <c r="F5058">
        <f t="shared" si="78"/>
        <v>0.6</v>
      </c>
      <c r="I5058">
        <v>20240101</v>
      </c>
      <c r="J5058" t="s">
        <v>5537</v>
      </c>
    </row>
    <row r="5059" spans="1:11" x14ac:dyDescent="0.3">
      <c r="A5059" s="160">
        <v>47232</v>
      </c>
      <c r="B5059" t="s">
        <v>20241</v>
      </c>
      <c r="C5059" t="s">
        <v>5536</v>
      </c>
      <c r="D5059">
        <v>0.6</v>
      </c>
      <c r="E5059">
        <v>0</v>
      </c>
      <c r="F5059">
        <f t="shared" si="78"/>
        <v>0.6</v>
      </c>
      <c r="I5059">
        <v>20240101</v>
      </c>
      <c r="J5059" t="s">
        <v>5537</v>
      </c>
    </row>
    <row r="5060" spans="1:11" x14ac:dyDescent="0.3">
      <c r="A5060" s="160">
        <v>47233</v>
      </c>
      <c r="B5060" t="s">
        <v>20242</v>
      </c>
      <c r="C5060" t="s">
        <v>5536</v>
      </c>
      <c r="D5060">
        <v>0.6</v>
      </c>
      <c r="E5060">
        <v>0</v>
      </c>
      <c r="F5060">
        <f t="shared" si="78"/>
        <v>0.6</v>
      </c>
      <c r="I5060">
        <v>20220701</v>
      </c>
      <c r="J5060" t="s">
        <v>5559</v>
      </c>
      <c r="K5060" t="s">
        <v>5569</v>
      </c>
    </row>
    <row r="5061" spans="1:11" x14ac:dyDescent="0.3">
      <c r="A5061" s="160">
        <v>47234</v>
      </c>
      <c r="B5061" t="s">
        <v>20243</v>
      </c>
      <c r="C5061" t="s">
        <v>5507</v>
      </c>
      <c r="D5061">
        <v>0.75</v>
      </c>
      <c r="E5061">
        <v>0</v>
      </c>
      <c r="F5061">
        <f t="shared" si="78"/>
        <v>0.75</v>
      </c>
      <c r="I5061">
        <v>20130101</v>
      </c>
      <c r="J5061" t="s">
        <v>5576</v>
      </c>
    </row>
    <row r="5062" spans="1:11" x14ac:dyDescent="0.3">
      <c r="A5062" s="160">
        <v>47237</v>
      </c>
      <c r="B5062" t="s">
        <v>20244</v>
      </c>
      <c r="C5062" t="s">
        <v>5538</v>
      </c>
      <c r="D5062">
        <v>0.6</v>
      </c>
      <c r="E5062">
        <v>0</v>
      </c>
      <c r="F5062">
        <f t="shared" si="78"/>
        <v>0.6</v>
      </c>
      <c r="I5062">
        <v>20160101</v>
      </c>
      <c r="J5062" t="s">
        <v>5547</v>
      </c>
      <c r="K5062" t="s">
        <v>5550</v>
      </c>
    </row>
    <row r="5063" spans="1:11" x14ac:dyDescent="0.3">
      <c r="A5063" s="160">
        <v>47238</v>
      </c>
      <c r="B5063" t="s">
        <v>20245</v>
      </c>
      <c r="C5063" t="s">
        <v>5507</v>
      </c>
      <c r="D5063">
        <v>0.75</v>
      </c>
      <c r="E5063">
        <v>0</v>
      </c>
      <c r="F5063">
        <f t="shared" ref="F5063:F5126" si="79">D5063+E5063</f>
        <v>0.75</v>
      </c>
      <c r="I5063">
        <v>20130101</v>
      </c>
      <c r="J5063" t="s">
        <v>5541</v>
      </c>
    </row>
    <row r="5064" spans="1:11" x14ac:dyDescent="0.3">
      <c r="A5064" s="160">
        <v>47239</v>
      </c>
      <c r="B5064" t="s">
        <v>20246</v>
      </c>
      <c r="C5064" t="s">
        <v>5538</v>
      </c>
      <c r="D5064">
        <v>0.6</v>
      </c>
      <c r="E5064">
        <v>0</v>
      </c>
      <c r="F5064">
        <f t="shared" si="79"/>
        <v>0.6</v>
      </c>
      <c r="I5064">
        <v>20240101</v>
      </c>
      <c r="J5064" t="s">
        <v>5577</v>
      </c>
    </row>
    <row r="5065" spans="1:11" x14ac:dyDescent="0.3">
      <c r="A5065" s="160">
        <v>47246</v>
      </c>
      <c r="B5065" t="s">
        <v>20247</v>
      </c>
      <c r="C5065" t="s">
        <v>5507</v>
      </c>
      <c r="D5065">
        <v>0.75</v>
      </c>
      <c r="E5065">
        <v>0</v>
      </c>
      <c r="F5065">
        <f t="shared" si="79"/>
        <v>0.75</v>
      </c>
      <c r="I5065">
        <v>20130101</v>
      </c>
      <c r="J5065" t="s">
        <v>5563</v>
      </c>
    </row>
    <row r="5066" spans="1:11" x14ac:dyDescent="0.3">
      <c r="A5066" s="160">
        <v>47248</v>
      </c>
      <c r="B5066" t="s">
        <v>20248</v>
      </c>
      <c r="C5066" t="s">
        <v>5507</v>
      </c>
      <c r="D5066">
        <v>0.75</v>
      </c>
      <c r="E5066">
        <v>0</v>
      </c>
      <c r="F5066">
        <f t="shared" si="79"/>
        <v>0.75</v>
      </c>
      <c r="I5066">
        <v>20240701</v>
      </c>
      <c r="J5066" t="s">
        <v>5576</v>
      </c>
    </row>
    <row r="5067" spans="1:11" x14ac:dyDescent="0.3">
      <c r="A5067" s="160">
        <v>47252</v>
      </c>
      <c r="B5067" t="s">
        <v>20249</v>
      </c>
      <c r="C5067" t="s">
        <v>5538</v>
      </c>
      <c r="D5067">
        <v>0.6</v>
      </c>
      <c r="E5067">
        <v>0</v>
      </c>
      <c r="F5067">
        <f t="shared" si="79"/>
        <v>0.6</v>
      </c>
      <c r="I5067">
        <v>20160101</v>
      </c>
      <c r="J5067" t="s">
        <v>5539</v>
      </c>
    </row>
    <row r="5068" spans="1:11" x14ac:dyDescent="0.3">
      <c r="A5068" s="160">
        <v>47255</v>
      </c>
      <c r="B5068" t="s">
        <v>20250</v>
      </c>
      <c r="C5068" t="s">
        <v>5507</v>
      </c>
      <c r="D5068">
        <v>0.75</v>
      </c>
      <c r="E5068">
        <v>0</v>
      </c>
      <c r="F5068">
        <f t="shared" si="79"/>
        <v>0.75</v>
      </c>
      <c r="I5068">
        <v>20240701</v>
      </c>
      <c r="J5068" t="s">
        <v>5576</v>
      </c>
    </row>
    <row r="5069" spans="1:11" x14ac:dyDescent="0.3">
      <c r="A5069" s="160">
        <v>47257</v>
      </c>
      <c r="B5069" t="s">
        <v>20251</v>
      </c>
      <c r="C5069" t="s">
        <v>5536</v>
      </c>
      <c r="D5069">
        <v>0.6</v>
      </c>
      <c r="E5069">
        <v>0</v>
      </c>
      <c r="F5069">
        <f t="shared" si="79"/>
        <v>0.6</v>
      </c>
      <c r="I5069">
        <v>20220701</v>
      </c>
      <c r="J5069" t="s">
        <v>5559</v>
      </c>
    </row>
    <row r="5070" spans="1:11" x14ac:dyDescent="0.3">
      <c r="A5070" s="160">
        <v>47260</v>
      </c>
      <c r="B5070" t="s">
        <v>20252</v>
      </c>
      <c r="C5070" t="s">
        <v>5507</v>
      </c>
      <c r="D5070">
        <v>0.75</v>
      </c>
      <c r="E5070">
        <v>0</v>
      </c>
      <c r="F5070">
        <f t="shared" si="79"/>
        <v>0.75</v>
      </c>
      <c r="I5070">
        <v>20240701</v>
      </c>
      <c r="J5070" t="s">
        <v>5576</v>
      </c>
    </row>
    <row r="5071" spans="1:11" x14ac:dyDescent="0.3">
      <c r="A5071" s="160">
        <v>47262</v>
      </c>
      <c r="B5071" t="s">
        <v>20253</v>
      </c>
      <c r="C5071" t="s">
        <v>5507</v>
      </c>
      <c r="D5071">
        <v>0.75</v>
      </c>
      <c r="E5071">
        <v>0</v>
      </c>
      <c r="F5071">
        <f t="shared" si="79"/>
        <v>0.75</v>
      </c>
      <c r="I5071">
        <v>20130101</v>
      </c>
      <c r="J5071" t="s">
        <v>5540</v>
      </c>
    </row>
    <row r="5072" spans="1:11" x14ac:dyDescent="0.3">
      <c r="A5072" s="160">
        <v>47263</v>
      </c>
      <c r="B5072" t="s">
        <v>20254</v>
      </c>
      <c r="C5072" t="s">
        <v>5536</v>
      </c>
      <c r="D5072">
        <v>0.6</v>
      </c>
      <c r="E5072">
        <v>0</v>
      </c>
      <c r="F5072">
        <f t="shared" si="79"/>
        <v>0.6</v>
      </c>
      <c r="I5072">
        <v>20220701</v>
      </c>
      <c r="J5072" t="s">
        <v>5543</v>
      </c>
    </row>
    <row r="5073" spans="1:71" x14ac:dyDescent="0.3">
      <c r="A5073" s="160">
        <v>47269</v>
      </c>
      <c r="B5073" t="s">
        <v>20255</v>
      </c>
      <c r="C5073" t="s">
        <v>5507</v>
      </c>
      <c r="D5073">
        <v>0.75</v>
      </c>
      <c r="E5073">
        <v>0</v>
      </c>
      <c r="F5073">
        <f t="shared" si="79"/>
        <v>0.75</v>
      </c>
      <c r="I5073">
        <v>20160701</v>
      </c>
      <c r="J5073" t="s">
        <v>5576</v>
      </c>
    </row>
    <row r="5074" spans="1:71" x14ac:dyDescent="0.3">
      <c r="A5074" s="160">
        <v>47273</v>
      </c>
      <c r="B5074" t="s">
        <v>16927</v>
      </c>
      <c r="C5074" t="s">
        <v>5538</v>
      </c>
      <c r="D5074">
        <v>0.6</v>
      </c>
      <c r="E5074">
        <v>0</v>
      </c>
      <c r="F5074">
        <f t="shared" si="79"/>
        <v>0.6</v>
      </c>
      <c r="I5074">
        <v>20160101</v>
      </c>
      <c r="J5074" t="s">
        <v>5558</v>
      </c>
    </row>
    <row r="5075" spans="1:71" x14ac:dyDescent="0.3">
      <c r="A5075" s="160">
        <v>47274</v>
      </c>
      <c r="B5075" t="s">
        <v>20256</v>
      </c>
      <c r="C5075" t="s">
        <v>5507</v>
      </c>
      <c r="D5075">
        <v>0.75</v>
      </c>
      <c r="E5075">
        <v>0</v>
      </c>
      <c r="F5075">
        <f t="shared" si="79"/>
        <v>0.75</v>
      </c>
      <c r="I5075">
        <v>20240701</v>
      </c>
      <c r="J5075" t="s">
        <v>5576</v>
      </c>
    </row>
    <row r="5076" spans="1:71" x14ac:dyDescent="0.3">
      <c r="A5076" s="160">
        <v>47277</v>
      </c>
      <c r="B5076" t="s">
        <v>20257</v>
      </c>
      <c r="C5076" t="s">
        <v>5536</v>
      </c>
      <c r="D5076">
        <v>0.6</v>
      </c>
      <c r="E5076">
        <v>0</v>
      </c>
      <c r="F5076">
        <f t="shared" si="79"/>
        <v>0.6</v>
      </c>
      <c r="I5076">
        <v>20220701</v>
      </c>
      <c r="J5076" t="s">
        <v>5559</v>
      </c>
    </row>
    <row r="5077" spans="1:71" x14ac:dyDescent="0.3">
      <c r="A5077" s="160">
        <v>47279</v>
      </c>
      <c r="B5077" t="s">
        <v>20258</v>
      </c>
      <c r="C5077" t="s">
        <v>5507</v>
      </c>
      <c r="D5077">
        <v>0.75</v>
      </c>
      <c r="E5077">
        <v>0</v>
      </c>
      <c r="F5077">
        <f t="shared" si="79"/>
        <v>0.75</v>
      </c>
      <c r="I5077">
        <v>20240701</v>
      </c>
      <c r="J5077" t="s">
        <v>5540</v>
      </c>
    </row>
    <row r="5078" spans="1:71" x14ac:dyDescent="0.3">
      <c r="A5078" s="160">
        <v>47281</v>
      </c>
      <c r="B5078" t="s">
        <v>20259</v>
      </c>
      <c r="C5078" t="s">
        <v>5507</v>
      </c>
      <c r="D5078">
        <v>0.75</v>
      </c>
      <c r="E5078">
        <v>0</v>
      </c>
      <c r="F5078">
        <f t="shared" si="79"/>
        <v>0.75</v>
      </c>
      <c r="I5078">
        <v>20240701</v>
      </c>
      <c r="J5078" t="s">
        <v>5576</v>
      </c>
    </row>
    <row r="5079" spans="1:71" x14ac:dyDescent="0.3">
      <c r="A5079" s="160">
        <v>47285</v>
      </c>
      <c r="B5079" t="s">
        <v>20260</v>
      </c>
      <c r="C5079" t="s">
        <v>5536</v>
      </c>
      <c r="D5079">
        <v>0.6</v>
      </c>
      <c r="E5079">
        <v>0</v>
      </c>
      <c r="F5079">
        <f t="shared" si="79"/>
        <v>0.6</v>
      </c>
      <c r="I5079">
        <v>20220701</v>
      </c>
      <c r="J5079" t="s">
        <v>5562</v>
      </c>
    </row>
    <row r="5080" spans="1:71" x14ac:dyDescent="0.3">
      <c r="A5080" s="160">
        <v>47288</v>
      </c>
      <c r="B5080" t="s">
        <v>20261</v>
      </c>
      <c r="C5080" t="s">
        <v>5507</v>
      </c>
      <c r="D5080">
        <v>0.75</v>
      </c>
      <c r="E5080">
        <v>0</v>
      </c>
      <c r="F5080">
        <f t="shared" si="79"/>
        <v>0.75</v>
      </c>
      <c r="I5080">
        <v>20130101</v>
      </c>
      <c r="J5080" t="s">
        <v>5558</v>
      </c>
    </row>
    <row r="5081" spans="1:71" x14ac:dyDescent="0.3">
      <c r="A5081" s="160">
        <v>47289</v>
      </c>
      <c r="B5081" t="s">
        <v>20262</v>
      </c>
      <c r="C5081" t="s">
        <v>5507</v>
      </c>
      <c r="D5081">
        <v>0.75</v>
      </c>
      <c r="E5081">
        <v>0</v>
      </c>
      <c r="F5081">
        <f t="shared" si="79"/>
        <v>0.75</v>
      </c>
      <c r="I5081">
        <v>20240701</v>
      </c>
      <c r="J5081" t="s">
        <v>5576</v>
      </c>
    </row>
    <row r="5082" spans="1:71" x14ac:dyDescent="0.3">
      <c r="A5082" s="160">
        <v>47293</v>
      </c>
      <c r="B5082" t="s">
        <v>20263</v>
      </c>
      <c r="C5082" t="s">
        <v>5507</v>
      </c>
      <c r="D5082">
        <v>0.75</v>
      </c>
      <c r="E5082">
        <v>0</v>
      </c>
      <c r="F5082">
        <f t="shared" si="79"/>
        <v>0.75</v>
      </c>
      <c r="I5082">
        <v>20130101</v>
      </c>
      <c r="J5082" t="s">
        <v>5540</v>
      </c>
    </row>
    <row r="5083" spans="1:71" x14ac:dyDescent="0.3">
      <c r="A5083" s="160">
        <v>47298</v>
      </c>
      <c r="B5083" t="s">
        <v>20264</v>
      </c>
      <c r="C5083" t="s">
        <v>5536</v>
      </c>
      <c r="D5083">
        <v>0.6</v>
      </c>
      <c r="E5083">
        <v>0</v>
      </c>
      <c r="F5083">
        <f t="shared" si="79"/>
        <v>0.6</v>
      </c>
      <c r="I5083">
        <v>20220701</v>
      </c>
      <c r="J5083" t="s">
        <v>5556</v>
      </c>
    </row>
    <row r="5084" spans="1:71" x14ac:dyDescent="0.3">
      <c r="A5084" s="160">
        <v>47300</v>
      </c>
      <c r="B5084" t="s">
        <v>20265</v>
      </c>
      <c r="C5084" t="s">
        <v>5507</v>
      </c>
      <c r="D5084">
        <v>0.75</v>
      </c>
      <c r="E5084">
        <v>0</v>
      </c>
      <c r="F5084">
        <f t="shared" si="79"/>
        <v>0.75</v>
      </c>
      <c r="I5084">
        <v>20130101</v>
      </c>
      <c r="J5084" t="s">
        <v>5541</v>
      </c>
      <c r="K5084" t="s">
        <v>5522</v>
      </c>
    </row>
    <row r="5085" spans="1:71" x14ac:dyDescent="0.3">
      <c r="A5085" s="160">
        <v>47301</v>
      </c>
      <c r="B5085" t="s">
        <v>20266</v>
      </c>
      <c r="C5085" t="s">
        <v>5536</v>
      </c>
      <c r="D5085">
        <v>0.6</v>
      </c>
      <c r="E5085">
        <v>0</v>
      </c>
      <c r="F5085">
        <f t="shared" si="79"/>
        <v>0.6</v>
      </c>
      <c r="I5085">
        <v>20240101</v>
      </c>
      <c r="J5085" t="s">
        <v>5537</v>
      </c>
    </row>
    <row r="5086" spans="1:71" x14ac:dyDescent="0.3">
      <c r="A5086" s="160">
        <v>47304</v>
      </c>
      <c r="B5086" t="s">
        <v>20267</v>
      </c>
      <c r="C5086" t="s">
        <v>5536</v>
      </c>
      <c r="D5086">
        <v>0.6</v>
      </c>
      <c r="E5086">
        <v>0</v>
      </c>
      <c r="F5086">
        <f t="shared" si="79"/>
        <v>0.6</v>
      </c>
      <c r="I5086">
        <v>20220701</v>
      </c>
      <c r="J5086" t="s">
        <v>5543</v>
      </c>
    </row>
    <row r="5087" spans="1:71" x14ac:dyDescent="0.3">
      <c r="A5087" s="160">
        <v>47305</v>
      </c>
      <c r="B5087" t="s">
        <v>20268</v>
      </c>
      <c r="C5087" t="s">
        <v>5507</v>
      </c>
      <c r="D5087">
        <v>0.75</v>
      </c>
      <c r="E5087">
        <v>0</v>
      </c>
      <c r="F5087">
        <f t="shared" si="79"/>
        <v>0.75</v>
      </c>
      <c r="I5087">
        <v>20240701</v>
      </c>
      <c r="J5087" t="s">
        <v>5576</v>
      </c>
    </row>
    <row r="5088" spans="1:71" x14ac:dyDescent="0.3">
      <c r="A5088" s="160">
        <v>47310</v>
      </c>
      <c r="B5088" t="s">
        <v>20269</v>
      </c>
      <c r="C5088" t="s">
        <v>5536</v>
      </c>
      <c r="D5088">
        <v>0.6</v>
      </c>
      <c r="E5088">
        <v>0</v>
      </c>
      <c r="F5088">
        <f t="shared" si="79"/>
        <v>0.6</v>
      </c>
      <c r="I5088">
        <v>20220701</v>
      </c>
      <c r="J5088" t="s">
        <v>5564</v>
      </c>
      <c r="BP5088" t="s">
        <v>5655</v>
      </c>
      <c r="BQ5088" t="s">
        <v>5656</v>
      </c>
      <c r="BR5088" t="s">
        <v>5657</v>
      </c>
      <c r="BS5088" t="s">
        <v>5658</v>
      </c>
    </row>
    <row r="5089" spans="1:67" x14ac:dyDescent="0.3">
      <c r="A5089" s="160">
        <v>47316</v>
      </c>
      <c r="B5089" t="s">
        <v>20270</v>
      </c>
      <c r="C5089" t="s">
        <v>5536</v>
      </c>
      <c r="D5089">
        <v>0.6</v>
      </c>
      <c r="E5089">
        <v>0</v>
      </c>
      <c r="F5089">
        <f t="shared" si="79"/>
        <v>0.6</v>
      </c>
      <c r="I5089">
        <v>20220701</v>
      </c>
      <c r="J5089" t="s">
        <v>5564</v>
      </c>
    </row>
    <row r="5090" spans="1:67" x14ac:dyDescent="0.3">
      <c r="A5090" s="160">
        <v>47323</v>
      </c>
      <c r="B5090" t="s">
        <v>20271</v>
      </c>
      <c r="C5090" t="s">
        <v>5538</v>
      </c>
      <c r="D5090">
        <v>0.6</v>
      </c>
      <c r="E5090">
        <v>0</v>
      </c>
      <c r="F5090">
        <f t="shared" si="79"/>
        <v>0.6</v>
      </c>
      <c r="I5090">
        <v>20160101</v>
      </c>
      <c r="J5090" t="s">
        <v>5547</v>
      </c>
      <c r="K5090" t="s">
        <v>5548</v>
      </c>
      <c r="L5090" t="s">
        <v>5549</v>
      </c>
      <c r="M5090" t="s">
        <v>5575</v>
      </c>
      <c r="N5090" t="s">
        <v>5550</v>
      </c>
      <c r="O5090" t="s">
        <v>5551</v>
      </c>
      <c r="P5090" t="s">
        <v>5552</v>
      </c>
      <c r="Q5090" t="s">
        <v>5578</v>
      </c>
      <c r="R5090" t="s">
        <v>5579</v>
      </c>
      <c r="S5090" t="s">
        <v>5580</v>
      </c>
    </row>
    <row r="5091" spans="1:67" x14ac:dyDescent="0.3">
      <c r="A5091" s="160">
        <v>47325</v>
      </c>
      <c r="B5091" t="s">
        <v>20272</v>
      </c>
      <c r="C5091" t="s">
        <v>5536</v>
      </c>
      <c r="D5091">
        <v>0.6</v>
      </c>
      <c r="E5091">
        <v>0</v>
      </c>
      <c r="F5091">
        <f t="shared" si="79"/>
        <v>0.6</v>
      </c>
      <c r="I5091">
        <v>20220701</v>
      </c>
      <c r="J5091" t="s">
        <v>5564</v>
      </c>
    </row>
    <row r="5092" spans="1:67" x14ac:dyDescent="0.3">
      <c r="A5092" s="160">
        <v>47326</v>
      </c>
      <c r="B5092" t="s">
        <v>20273</v>
      </c>
      <c r="C5092" t="s">
        <v>5536</v>
      </c>
      <c r="D5092">
        <v>0.6</v>
      </c>
      <c r="E5092">
        <v>0</v>
      </c>
      <c r="F5092">
        <f t="shared" si="79"/>
        <v>0.6</v>
      </c>
      <c r="I5092">
        <v>20220701</v>
      </c>
      <c r="J5092" t="s">
        <v>5543</v>
      </c>
      <c r="K5092" t="s">
        <v>5570</v>
      </c>
      <c r="L5092" t="s">
        <v>5545</v>
      </c>
      <c r="M5092" t="s">
        <v>5571</v>
      </c>
    </row>
    <row r="5093" spans="1:67" x14ac:dyDescent="0.3">
      <c r="A5093" s="160">
        <v>48095</v>
      </c>
      <c r="B5093" t="s">
        <v>20274</v>
      </c>
      <c r="C5093" t="s">
        <v>5581</v>
      </c>
      <c r="D5093">
        <v>0.45</v>
      </c>
      <c r="E5093">
        <v>0</v>
      </c>
      <c r="F5093">
        <f t="shared" si="79"/>
        <v>0.45</v>
      </c>
      <c r="I5093">
        <v>20240101</v>
      </c>
      <c r="J5093" t="s">
        <v>5582</v>
      </c>
      <c r="K5093" t="s">
        <v>5583</v>
      </c>
      <c r="L5093" t="s">
        <v>5584</v>
      </c>
      <c r="M5093" t="s">
        <v>5585</v>
      </c>
      <c r="N5093" t="s">
        <v>5586</v>
      </c>
      <c r="O5093" t="s">
        <v>5587</v>
      </c>
      <c r="P5093" t="s">
        <v>5588</v>
      </c>
      <c r="Q5093" t="s">
        <v>5589</v>
      </c>
      <c r="R5093" t="s">
        <v>5590</v>
      </c>
      <c r="S5093" t="s">
        <v>5591</v>
      </c>
    </row>
    <row r="5094" spans="1:67" x14ac:dyDescent="0.3">
      <c r="A5094" s="160">
        <v>49002</v>
      </c>
      <c r="B5094" t="s">
        <v>17842</v>
      </c>
      <c r="C5094" t="s">
        <v>5592</v>
      </c>
      <c r="D5094">
        <v>0.8</v>
      </c>
      <c r="E5094">
        <v>0</v>
      </c>
      <c r="F5094">
        <f t="shared" si="79"/>
        <v>0.8</v>
      </c>
      <c r="I5094">
        <v>20230701</v>
      </c>
      <c r="J5094" t="s">
        <v>5593</v>
      </c>
      <c r="K5094" t="s">
        <v>5594</v>
      </c>
    </row>
    <row r="5095" spans="1:67" x14ac:dyDescent="0.3">
      <c r="A5095" s="160">
        <v>49003</v>
      </c>
      <c r="B5095" t="s">
        <v>20275</v>
      </c>
      <c r="C5095" t="s">
        <v>5592</v>
      </c>
      <c r="D5095">
        <v>0.8</v>
      </c>
      <c r="E5095">
        <v>0</v>
      </c>
      <c r="F5095">
        <f t="shared" si="79"/>
        <v>0.8</v>
      </c>
      <c r="I5095">
        <v>20230701</v>
      </c>
      <c r="J5095" t="s">
        <v>5595</v>
      </c>
    </row>
    <row r="5096" spans="1:67" x14ac:dyDescent="0.3">
      <c r="A5096" s="160">
        <v>49007</v>
      </c>
      <c r="B5096" t="s">
        <v>20276</v>
      </c>
      <c r="C5096" t="s">
        <v>5596</v>
      </c>
      <c r="D5096">
        <v>2</v>
      </c>
      <c r="E5096">
        <v>0</v>
      </c>
      <c r="F5096">
        <f t="shared" si="79"/>
        <v>2</v>
      </c>
      <c r="I5096">
        <v>20120301</v>
      </c>
      <c r="J5096" t="s">
        <v>5597</v>
      </c>
      <c r="K5096" t="s">
        <v>5598</v>
      </c>
      <c r="L5096" t="s">
        <v>5599</v>
      </c>
      <c r="M5096" t="s">
        <v>5600</v>
      </c>
      <c r="N5096" t="s">
        <v>5601</v>
      </c>
      <c r="O5096" t="s">
        <v>5602</v>
      </c>
      <c r="P5096" t="s">
        <v>5603</v>
      </c>
      <c r="Q5096" t="s">
        <v>5604</v>
      </c>
      <c r="R5096" t="s">
        <v>5605</v>
      </c>
      <c r="S5096" t="s">
        <v>5606</v>
      </c>
      <c r="T5096" t="s">
        <v>5607</v>
      </c>
      <c r="U5096" t="s">
        <v>5608</v>
      </c>
      <c r="V5096" t="s">
        <v>5609</v>
      </c>
      <c r="W5096" t="s">
        <v>5610</v>
      </c>
      <c r="X5096" t="s">
        <v>5611</v>
      </c>
      <c r="Y5096" t="s">
        <v>5612</v>
      </c>
      <c r="Z5096" t="s">
        <v>5613</v>
      </c>
      <c r="AA5096" t="s">
        <v>5614</v>
      </c>
      <c r="AB5096" t="s">
        <v>5615</v>
      </c>
      <c r="AC5096" t="s">
        <v>5616</v>
      </c>
      <c r="AD5096" t="s">
        <v>5617</v>
      </c>
      <c r="AE5096" t="s">
        <v>5618</v>
      </c>
      <c r="AF5096" t="s">
        <v>5619</v>
      </c>
      <c r="AG5096" t="s">
        <v>5620</v>
      </c>
      <c r="AH5096" t="s">
        <v>5621</v>
      </c>
      <c r="AI5096" t="s">
        <v>5622</v>
      </c>
      <c r="AJ5096" t="s">
        <v>5623</v>
      </c>
      <c r="AK5096" t="s">
        <v>5624</v>
      </c>
      <c r="AL5096" t="s">
        <v>5625</v>
      </c>
      <c r="AM5096" t="s">
        <v>5626</v>
      </c>
      <c r="AN5096" t="s">
        <v>5627</v>
      </c>
      <c r="AO5096" t="s">
        <v>5628</v>
      </c>
      <c r="AP5096" t="s">
        <v>5629</v>
      </c>
      <c r="AQ5096" t="s">
        <v>5630</v>
      </c>
      <c r="AR5096" t="s">
        <v>5631</v>
      </c>
      <c r="AS5096" t="s">
        <v>5632</v>
      </c>
      <c r="AT5096" t="s">
        <v>5633</v>
      </c>
      <c r="AU5096" t="s">
        <v>5634</v>
      </c>
      <c r="AV5096" t="s">
        <v>5635</v>
      </c>
      <c r="AW5096" t="s">
        <v>5636</v>
      </c>
      <c r="AX5096" t="s">
        <v>5637</v>
      </c>
      <c r="AY5096" t="s">
        <v>5638</v>
      </c>
      <c r="AZ5096" t="s">
        <v>5639</v>
      </c>
      <c r="BA5096" t="s">
        <v>5640</v>
      </c>
      <c r="BB5096" t="s">
        <v>5641</v>
      </c>
      <c r="BC5096" t="s">
        <v>5642</v>
      </c>
      <c r="BD5096" t="s">
        <v>5643</v>
      </c>
      <c r="BE5096" t="s">
        <v>5644</v>
      </c>
      <c r="BF5096" t="s">
        <v>5645</v>
      </c>
      <c r="BG5096" t="s">
        <v>5646</v>
      </c>
      <c r="BH5096" t="s">
        <v>5647</v>
      </c>
      <c r="BI5096" t="s">
        <v>5648</v>
      </c>
      <c r="BJ5096" t="s">
        <v>5649</v>
      </c>
      <c r="BK5096" t="s">
        <v>5650</v>
      </c>
      <c r="BL5096" t="s">
        <v>5651</v>
      </c>
      <c r="BM5096" t="s">
        <v>5652</v>
      </c>
      <c r="BN5096" t="s">
        <v>5653</v>
      </c>
      <c r="BO5096" t="s">
        <v>5654</v>
      </c>
    </row>
    <row r="5097" spans="1:67" x14ac:dyDescent="0.3">
      <c r="A5097" s="160">
        <v>49009</v>
      </c>
      <c r="B5097" t="s">
        <v>20277</v>
      </c>
      <c r="C5097" t="s">
        <v>5592</v>
      </c>
      <c r="D5097">
        <v>0.8</v>
      </c>
      <c r="E5097">
        <v>0</v>
      </c>
      <c r="F5097">
        <f t="shared" si="79"/>
        <v>0.8</v>
      </c>
      <c r="I5097">
        <v>20230701</v>
      </c>
      <c r="J5097" t="s">
        <v>5659</v>
      </c>
    </row>
    <row r="5098" spans="1:67" x14ac:dyDescent="0.3">
      <c r="A5098" s="160">
        <v>49011</v>
      </c>
      <c r="B5098" t="s">
        <v>20278</v>
      </c>
      <c r="C5098" t="s">
        <v>5592</v>
      </c>
      <c r="D5098">
        <v>0.8</v>
      </c>
      <c r="E5098">
        <v>0</v>
      </c>
      <c r="F5098">
        <f t="shared" si="79"/>
        <v>0.8</v>
      </c>
      <c r="I5098">
        <v>20230701</v>
      </c>
      <c r="J5098" t="s">
        <v>5659</v>
      </c>
    </row>
    <row r="5099" spans="1:67" x14ac:dyDescent="0.3">
      <c r="A5099" s="160">
        <v>49015</v>
      </c>
      <c r="B5099" t="s">
        <v>20279</v>
      </c>
      <c r="C5099" t="s">
        <v>5596</v>
      </c>
      <c r="D5099">
        <v>2</v>
      </c>
      <c r="E5099">
        <v>0</v>
      </c>
      <c r="F5099">
        <f t="shared" si="79"/>
        <v>2</v>
      </c>
      <c r="I5099">
        <v>20120301</v>
      </c>
      <c r="J5099" t="s">
        <v>5660</v>
      </c>
      <c r="K5099" t="s">
        <v>5661</v>
      </c>
      <c r="L5099" t="s">
        <v>5662</v>
      </c>
      <c r="M5099" t="s">
        <v>5663</v>
      </c>
    </row>
    <row r="5100" spans="1:67" x14ac:dyDescent="0.3">
      <c r="A5100" s="160">
        <v>49020</v>
      </c>
      <c r="B5100" t="s">
        <v>20280</v>
      </c>
      <c r="C5100" t="s">
        <v>5596</v>
      </c>
      <c r="D5100">
        <v>2</v>
      </c>
      <c r="E5100">
        <v>0</v>
      </c>
      <c r="F5100">
        <f t="shared" si="79"/>
        <v>2</v>
      </c>
      <c r="I5100">
        <v>20120301</v>
      </c>
      <c r="J5100" t="s">
        <v>5664</v>
      </c>
      <c r="K5100" t="s">
        <v>5665</v>
      </c>
      <c r="L5100" t="s">
        <v>5637</v>
      </c>
      <c r="M5100" t="s">
        <v>5666</v>
      </c>
      <c r="N5100" t="s">
        <v>5667</v>
      </c>
    </row>
    <row r="5101" spans="1:67" x14ac:dyDescent="0.3">
      <c r="A5101" s="160">
        <v>49023</v>
      </c>
      <c r="B5101" t="s">
        <v>20281</v>
      </c>
      <c r="C5101" t="s">
        <v>20282</v>
      </c>
      <c r="D5101">
        <v>0</v>
      </c>
      <c r="E5101">
        <v>0</v>
      </c>
      <c r="F5101">
        <f t="shared" si="79"/>
        <v>0</v>
      </c>
      <c r="I5101">
        <v>20240701</v>
      </c>
      <c r="J5101" t="s">
        <v>20283</v>
      </c>
      <c r="K5101" t="s">
        <v>20284</v>
      </c>
      <c r="L5101" t="s">
        <v>20285</v>
      </c>
      <c r="M5101" t="s">
        <v>20286</v>
      </c>
      <c r="N5101" t="s">
        <v>20287</v>
      </c>
      <c r="O5101" t="s">
        <v>20288</v>
      </c>
      <c r="P5101" t="s">
        <v>20289</v>
      </c>
    </row>
    <row r="5102" spans="1:67" x14ac:dyDescent="0.3">
      <c r="A5102" s="160">
        <v>49027</v>
      </c>
      <c r="B5102" t="s">
        <v>20290</v>
      </c>
      <c r="C5102" t="s">
        <v>20291</v>
      </c>
      <c r="D5102">
        <v>0.6</v>
      </c>
      <c r="E5102">
        <v>0</v>
      </c>
      <c r="F5102">
        <f t="shared" si="79"/>
        <v>0.6</v>
      </c>
      <c r="I5102">
        <v>20160101</v>
      </c>
      <c r="J5102" t="s">
        <v>5668</v>
      </c>
    </row>
    <row r="5103" spans="1:67" x14ac:dyDescent="0.3">
      <c r="A5103" s="160">
        <v>49028</v>
      </c>
      <c r="B5103" t="s">
        <v>20292</v>
      </c>
      <c r="C5103" t="s">
        <v>5596</v>
      </c>
      <c r="D5103">
        <v>2</v>
      </c>
      <c r="E5103">
        <v>0</v>
      </c>
      <c r="F5103">
        <f t="shared" si="79"/>
        <v>2</v>
      </c>
      <c r="I5103">
        <v>20120301</v>
      </c>
      <c r="J5103" t="s">
        <v>5669</v>
      </c>
    </row>
    <row r="5104" spans="1:67" x14ac:dyDescent="0.3">
      <c r="A5104" s="160">
        <v>49030</v>
      </c>
      <c r="B5104" t="s">
        <v>20293</v>
      </c>
      <c r="C5104" t="s">
        <v>5592</v>
      </c>
      <c r="D5104">
        <v>0.8</v>
      </c>
      <c r="E5104">
        <v>0</v>
      </c>
      <c r="F5104">
        <f t="shared" si="79"/>
        <v>0.8</v>
      </c>
      <c r="I5104">
        <v>20230701</v>
      </c>
      <c r="J5104" t="s">
        <v>5670</v>
      </c>
    </row>
    <row r="5105" spans="1:27" x14ac:dyDescent="0.3">
      <c r="A5105" s="160">
        <v>49035</v>
      </c>
      <c r="B5105" t="s">
        <v>20294</v>
      </c>
      <c r="C5105" t="s">
        <v>5596</v>
      </c>
      <c r="D5105">
        <v>2</v>
      </c>
      <c r="E5105">
        <v>0</v>
      </c>
      <c r="F5105">
        <f t="shared" si="79"/>
        <v>2</v>
      </c>
      <c r="I5105">
        <v>20120301</v>
      </c>
      <c r="J5105" t="s">
        <v>5637</v>
      </c>
      <c r="K5105" t="s">
        <v>5671</v>
      </c>
      <c r="L5105" t="s">
        <v>5672</v>
      </c>
    </row>
    <row r="5106" spans="1:27" x14ac:dyDescent="0.3">
      <c r="A5106" s="160">
        <v>49041</v>
      </c>
      <c r="B5106" t="s">
        <v>20295</v>
      </c>
      <c r="C5106" t="s">
        <v>5592</v>
      </c>
      <c r="D5106">
        <v>0.8</v>
      </c>
      <c r="E5106">
        <v>0</v>
      </c>
      <c r="F5106">
        <f t="shared" si="79"/>
        <v>0.8</v>
      </c>
      <c r="I5106">
        <v>20230701</v>
      </c>
      <c r="J5106" t="s">
        <v>5594</v>
      </c>
    </row>
    <row r="5107" spans="1:27" x14ac:dyDescent="0.3">
      <c r="A5107" s="160">
        <v>49045</v>
      </c>
      <c r="B5107" t="s">
        <v>20296</v>
      </c>
      <c r="C5107" t="s">
        <v>5592</v>
      </c>
      <c r="D5107">
        <v>0.8</v>
      </c>
      <c r="E5107">
        <v>0</v>
      </c>
      <c r="F5107">
        <f t="shared" si="79"/>
        <v>0.8</v>
      </c>
      <c r="I5107">
        <v>20230701</v>
      </c>
      <c r="J5107" t="s">
        <v>5673</v>
      </c>
    </row>
    <row r="5108" spans="1:27" x14ac:dyDescent="0.3">
      <c r="A5108" s="160">
        <v>49046</v>
      </c>
      <c r="B5108" t="s">
        <v>20297</v>
      </c>
      <c r="C5108" t="s">
        <v>5592</v>
      </c>
      <c r="D5108">
        <v>0.8</v>
      </c>
      <c r="E5108">
        <v>0</v>
      </c>
      <c r="F5108">
        <f t="shared" si="79"/>
        <v>0.8</v>
      </c>
      <c r="I5108">
        <v>20230701</v>
      </c>
      <c r="J5108" t="s">
        <v>5659</v>
      </c>
    </row>
    <row r="5109" spans="1:27" x14ac:dyDescent="0.3">
      <c r="A5109" s="160">
        <v>49047</v>
      </c>
      <c r="B5109" t="s">
        <v>20298</v>
      </c>
      <c r="C5109" t="s">
        <v>5592</v>
      </c>
      <c r="D5109">
        <v>0.8</v>
      </c>
      <c r="E5109">
        <v>0</v>
      </c>
      <c r="F5109">
        <f t="shared" si="79"/>
        <v>0.8</v>
      </c>
      <c r="I5109">
        <v>20230701</v>
      </c>
      <c r="J5109" t="s">
        <v>5595</v>
      </c>
    </row>
    <row r="5110" spans="1:27" x14ac:dyDescent="0.3">
      <c r="A5110" s="160">
        <v>49048</v>
      </c>
      <c r="B5110" t="s">
        <v>20299</v>
      </c>
      <c r="C5110" t="s">
        <v>5596</v>
      </c>
      <c r="D5110">
        <v>2</v>
      </c>
      <c r="E5110">
        <v>0</v>
      </c>
      <c r="F5110">
        <f t="shared" si="79"/>
        <v>2</v>
      </c>
      <c r="I5110">
        <v>20120301</v>
      </c>
      <c r="J5110" t="s">
        <v>5674</v>
      </c>
    </row>
    <row r="5111" spans="1:27" x14ac:dyDescent="0.3">
      <c r="A5111" s="160">
        <v>49053</v>
      </c>
      <c r="B5111" t="s">
        <v>20300</v>
      </c>
      <c r="C5111" t="s">
        <v>5592</v>
      </c>
      <c r="D5111">
        <v>0.8</v>
      </c>
      <c r="E5111">
        <v>0</v>
      </c>
      <c r="F5111">
        <f t="shared" si="79"/>
        <v>0.8</v>
      </c>
      <c r="I5111">
        <v>20230701</v>
      </c>
      <c r="J5111" t="s">
        <v>5595</v>
      </c>
    </row>
    <row r="5112" spans="1:27" x14ac:dyDescent="0.3">
      <c r="A5112" s="160">
        <v>49055</v>
      </c>
      <c r="B5112" t="s">
        <v>20301</v>
      </c>
      <c r="C5112" t="s">
        <v>5596</v>
      </c>
      <c r="D5112">
        <v>2</v>
      </c>
      <c r="E5112">
        <v>0</v>
      </c>
      <c r="F5112">
        <f t="shared" si="79"/>
        <v>2</v>
      </c>
      <c r="I5112">
        <v>20120301</v>
      </c>
      <c r="J5112" t="s">
        <v>5675</v>
      </c>
      <c r="K5112" t="s">
        <v>5676</v>
      </c>
    </row>
    <row r="5113" spans="1:27" x14ac:dyDescent="0.3">
      <c r="A5113" s="160">
        <v>49057</v>
      </c>
      <c r="B5113" t="s">
        <v>20302</v>
      </c>
      <c r="C5113" t="s">
        <v>20291</v>
      </c>
      <c r="D5113">
        <v>0.6</v>
      </c>
      <c r="E5113">
        <v>0</v>
      </c>
      <c r="F5113">
        <f t="shared" si="79"/>
        <v>0.6</v>
      </c>
      <c r="I5113">
        <v>20211101</v>
      </c>
      <c r="J5113" t="s">
        <v>5677</v>
      </c>
    </row>
    <row r="5114" spans="1:27" x14ac:dyDescent="0.3">
      <c r="A5114" s="160">
        <v>49058</v>
      </c>
      <c r="B5114" t="s">
        <v>20303</v>
      </c>
      <c r="C5114" t="s">
        <v>20291</v>
      </c>
      <c r="D5114">
        <v>0.6</v>
      </c>
      <c r="E5114">
        <v>0</v>
      </c>
      <c r="F5114">
        <f t="shared" si="79"/>
        <v>0.6</v>
      </c>
      <c r="I5114">
        <v>20211101</v>
      </c>
      <c r="J5114" t="s">
        <v>5678</v>
      </c>
    </row>
    <row r="5115" spans="1:27" x14ac:dyDescent="0.3">
      <c r="A5115" s="160">
        <v>49060</v>
      </c>
      <c r="B5115" t="s">
        <v>20304</v>
      </c>
      <c r="C5115" t="s">
        <v>5592</v>
      </c>
      <c r="D5115">
        <v>0.8</v>
      </c>
      <c r="E5115">
        <v>0</v>
      </c>
      <c r="F5115">
        <f t="shared" si="79"/>
        <v>0.8</v>
      </c>
      <c r="I5115">
        <v>20230701</v>
      </c>
      <c r="J5115" t="s">
        <v>5679</v>
      </c>
      <c r="K5115" t="s">
        <v>5680</v>
      </c>
      <c r="L5115" t="s">
        <v>5681</v>
      </c>
      <c r="M5115" t="s">
        <v>5682</v>
      </c>
    </row>
    <row r="5116" spans="1:27" x14ac:dyDescent="0.3">
      <c r="A5116" s="160">
        <v>49069</v>
      </c>
      <c r="B5116" t="s">
        <v>20305</v>
      </c>
      <c r="C5116" t="s">
        <v>20282</v>
      </c>
      <c r="D5116">
        <v>0</v>
      </c>
      <c r="E5116">
        <v>0</v>
      </c>
      <c r="F5116">
        <f t="shared" si="79"/>
        <v>0</v>
      </c>
      <c r="I5116">
        <v>20240701</v>
      </c>
      <c r="J5116" t="s">
        <v>20306</v>
      </c>
      <c r="K5116" t="s">
        <v>20307</v>
      </c>
    </row>
    <row r="5117" spans="1:27" x14ac:dyDescent="0.3">
      <c r="A5117" s="160">
        <v>49070</v>
      </c>
      <c r="B5117" t="s">
        <v>20308</v>
      </c>
      <c r="C5117" t="s">
        <v>20291</v>
      </c>
      <c r="D5117">
        <v>0.6</v>
      </c>
      <c r="E5117">
        <v>0</v>
      </c>
      <c r="F5117">
        <f t="shared" si="79"/>
        <v>0.6</v>
      </c>
      <c r="I5117">
        <v>20110101</v>
      </c>
      <c r="J5117" t="s">
        <v>5683</v>
      </c>
    </row>
    <row r="5118" spans="1:27" x14ac:dyDescent="0.3">
      <c r="A5118" s="160">
        <v>49092</v>
      </c>
      <c r="B5118" t="s">
        <v>20309</v>
      </c>
      <c r="C5118" t="s">
        <v>20282</v>
      </c>
      <c r="D5118">
        <v>0</v>
      </c>
      <c r="E5118">
        <v>0</v>
      </c>
      <c r="F5118">
        <f t="shared" si="79"/>
        <v>0</v>
      </c>
      <c r="I5118">
        <v>20240701</v>
      </c>
      <c r="J5118" t="s">
        <v>20310</v>
      </c>
      <c r="K5118" t="s">
        <v>5677</v>
      </c>
      <c r="L5118" t="s">
        <v>20311</v>
      </c>
      <c r="M5118" t="s">
        <v>20312</v>
      </c>
    </row>
    <row r="5119" spans="1:27" x14ac:dyDescent="0.3">
      <c r="A5119" s="160">
        <v>49099</v>
      </c>
      <c r="B5119" t="s">
        <v>20313</v>
      </c>
      <c r="C5119" t="s">
        <v>20291</v>
      </c>
      <c r="D5119">
        <v>0.6</v>
      </c>
      <c r="E5119">
        <v>0</v>
      </c>
      <c r="F5119">
        <f t="shared" si="79"/>
        <v>0.6</v>
      </c>
      <c r="I5119">
        <v>20110101</v>
      </c>
      <c r="J5119" t="s">
        <v>5684</v>
      </c>
      <c r="K5119" t="s">
        <v>5685</v>
      </c>
      <c r="L5119" t="s">
        <v>5686</v>
      </c>
      <c r="M5119" t="s">
        <v>5687</v>
      </c>
      <c r="N5119" t="s">
        <v>5688</v>
      </c>
      <c r="O5119" t="s">
        <v>5689</v>
      </c>
      <c r="P5119" t="s">
        <v>5690</v>
      </c>
      <c r="Q5119" t="s">
        <v>5691</v>
      </c>
      <c r="R5119" t="s">
        <v>5692</v>
      </c>
      <c r="S5119" t="s">
        <v>5693</v>
      </c>
      <c r="T5119" t="s">
        <v>5694</v>
      </c>
      <c r="U5119" t="s">
        <v>5695</v>
      </c>
      <c r="V5119" t="s">
        <v>5696</v>
      </c>
      <c r="W5119" t="s">
        <v>5697</v>
      </c>
      <c r="X5119" t="s">
        <v>5698</v>
      </c>
      <c r="Y5119" t="s">
        <v>5699</v>
      </c>
      <c r="Z5119" t="s">
        <v>5700</v>
      </c>
      <c r="AA5119" t="s">
        <v>5701</v>
      </c>
    </row>
    <row r="5120" spans="1:27" x14ac:dyDescent="0.3">
      <c r="A5120" s="160">
        <v>49100</v>
      </c>
      <c r="B5120" t="s">
        <v>20314</v>
      </c>
      <c r="C5120" t="s">
        <v>5592</v>
      </c>
      <c r="D5120">
        <v>0.8</v>
      </c>
      <c r="E5120">
        <v>0</v>
      </c>
      <c r="F5120">
        <f t="shared" si="79"/>
        <v>0.8</v>
      </c>
      <c r="I5120">
        <v>20230701</v>
      </c>
      <c r="J5120" t="s">
        <v>5595</v>
      </c>
    </row>
    <row r="5121" spans="1:25" x14ac:dyDescent="0.3">
      <c r="A5121" s="160">
        <v>49102</v>
      </c>
      <c r="B5121" t="s">
        <v>20315</v>
      </c>
      <c r="C5121" t="s">
        <v>20291</v>
      </c>
      <c r="D5121">
        <v>0.6</v>
      </c>
      <c r="E5121">
        <v>0</v>
      </c>
      <c r="F5121">
        <f t="shared" si="79"/>
        <v>0.6</v>
      </c>
      <c r="I5121">
        <v>20211101</v>
      </c>
      <c r="J5121" t="s">
        <v>5702</v>
      </c>
    </row>
    <row r="5122" spans="1:25" x14ac:dyDescent="0.3">
      <c r="A5122" s="160">
        <v>49104</v>
      </c>
      <c r="B5122" t="s">
        <v>20316</v>
      </c>
      <c r="C5122" t="s">
        <v>5592</v>
      </c>
      <c r="D5122">
        <v>0.8</v>
      </c>
      <c r="E5122">
        <v>0</v>
      </c>
      <c r="F5122">
        <f t="shared" si="79"/>
        <v>0.8</v>
      </c>
      <c r="I5122">
        <v>20230701</v>
      </c>
      <c r="J5122" t="s">
        <v>5595</v>
      </c>
    </row>
    <row r="5123" spans="1:25" x14ac:dyDescent="0.3">
      <c r="A5123" s="160">
        <v>49109</v>
      </c>
      <c r="B5123" t="s">
        <v>20317</v>
      </c>
      <c r="C5123" t="s">
        <v>20291</v>
      </c>
      <c r="D5123">
        <v>0.6</v>
      </c>
      <c r="E5123">
        <v>0</v>
      </c>
      <c r="F5123">
        <f t="shared" si="79"/>
        <v>0.6</v>
      </c>
      <c r="I5123">
        <v>20211101</v>
      </c>
      <c r="J5123" t="s">
        <v>5703</v>
      </c>
    </row>
    <row r="5124" spans="1:25" x14ac:dyDescent="0.3">
      <c r="A5124" s="160">
        <v>49112</v>
      </c>
      <c r="B5124" t="s">
        <v>20318</v>
      </c>
      <c r="C5124" t="s">
        <v>5592</v>
      </c>
      <c r="D5124">
        <v>0.8</v>
      </c>
      <c r="E5124">
        <v>0</v>
      </c>
      <c r="F5124">
        <f t="shared" si="79"/>
        <v>0.8</v>
      </c>
      <c r="I5124">
        <v>20230701</v>
      </c>
      <c r="J5124" t="s">
        <v>5659</v>
      </c>
    </row>
    <row r="5125" spans="1:25" x14ac:dyDescent="0.3">
      <c r="A5125" s="160">
        <v>49113</v>
      </c>
      <c r="B5125" t="s">
        <v>15408</v>
      </c>
      <c r="C5125" t="s">
        <v>5592</v>
      </c>
      <c r="D5125">
        <v>0.8</v>
      </c>
      <c r="E5125">
        <v>0</v>
      </c>
      <c r="F5125">
        <f t="shared" si="79"/>
        <v>0.8</v>
      </c>
      <c r="I5125">
        <v>20230701</v>
      </c>
      <c r="J5125" t="s">
        <v>5659</v>
      </c>
    </row>
    <row r="5126" spans="1:25" x14ac:dyDescent="0.3">
      <c r="A5126" s="160">
        <v>49114</v>
      </c>
      <c r="B5126" t="s">
        <v>20319</v>
      </c>
      <c r="C5126" t="s">
        <v>5592</v>
      </c>
      <c r="D5126">
        <v>0.8</v>
      </c>
      <c r="E5126">
        <v>0</v>
      </c>
      <c r="F5126">
        <f t="shared" si="79"/>
        <v>0.8</v>
      </c>
      <c r="I5126">
        <v>20230701</v>
      </c>
      <c r="J5126" t="s">
        <v>5673</v>
      </c>
    </row>
    <row r="5127" spans="1:25" x14ac:dyDescent="0.3">
      <c r="A5127" s="160">
        <v>49121</v>
      </c>
      <c r="B5127" t="s">
        <v>20320</v>
      </c>
      <c r="C5127" t="s">
        <v>5592</v>
      </c>
      <c r="D5127">
        <v>0.8</v>
      </c>
      <c r="E5127">
        <v>0</v>
      </c>
      <c r="F5127">
        <f t="shared" ref="F5127:F5190" si="80">D5127+E5127</f>
        <v>0.8</v>
      </c>
      <c r="I5127">
        <v>20230701</v>
      </c>
      <c r="J5127" t="s">
        <v>5595</v>
      </c>
    </row>
    <row r="5128" spans="1:25" x14ac:dyDescent="0.3">
      <c r="A5128" s="160">
        <v>49123</v>
      </c>
      <c r="B5128" t="s">
        <v>20321</v>
      </c>
      <c r="C5128" t="s">
        <v>5592</v>
      </c>
      <c r="D5128">
        <v>0.8</v>
      </c>
      <c r="E5128">
        <v>0</v>
      </c>
      <c r="F5128">
        <f t="shared" si="80"/>
        <v>0.8</v>
      </c>
      <c r="I5128">
        <v>20230701</v>
      </c>
      <c r="J5128" t="s">
        <v>5679</v>
      </c>
      <c r="K5128" t="s">
        <v>5680</v>
      </c>
      <c r="L5128" t="s">
        <v>5704</v>
      </c>
      <c r="M5128" t="s">
        <v>5681</v>
      </c>
      <c r="N5128" t="s">
        <v>5705</v>
      </c>
    </row>
    <row r="5129" spans="1:25" x14ac:dyDescent="0.3">
      <c r="A5129" s="160">
        <v>49125</v>
      </c>
      <c r="B5129" t="s">
        <v>20322</v>
      </c>
      <c r="C5129" t="s">
        <v>5592</v>
      </c>
      <c r="D5129">
        <v>0.8</v>
      </c>
      <c r="E5129">
        <v>0</v>
      </c>
      <c r="F5129">
        <f t="shared" si="80"/>
        <v>0.8</v>
      </c>
      <c r="I5129">
        <v>20230701</v>
      </c>
      <c r="J5129" t="s">
        <v>5595</v>
      </c>
    </row>
    <row r="5130" spans="1:25" x14ac:dyDescent="0.3">
      <c r="A5130" s="160">
        <v>49129</v>
      </c>
      <c r="B5130" t="s">
        <v>20323</v>
      </c>
      <c r="C5130" t="s">
        <v>5596</v>
      </c>
      <c r="D5130">
        <v>2</v>
      </c>
      <c r="E5130">
        <v>0</v>
      </c>
      <c r="F5130">
        <f t="shared" si="80"/>
        <v>2</v>
      </c>
      <c r="I5130">
        <v>20120301</v>
      </c>
      <c r="J5130" t="s">
        <v>5597</v>
      </c>
      <c r="K5130" t="s">
        <v>5598</v>
      </c>
      <c r="L5130" t="s">
        <v>5599</v>
      </c>
      <c r="M5130" t="s">
        <v>5601</v>
      </c>
      <c r="N5130" t="s">
        <v>5604</v>
      </c>
      <c r="O5130" t="s">
        <v>5605</v>
      </c>
      <c r="P5130" t="s">
        <v>5606</v>
      </c>
      <c r="Q5130" t="s">
        <v>5610</v>
      </c>
      <c r="R5130" t="s">
        <v>5612</v>
      </c>
      <c r="S5130" t="s">
        <v>5613</v>
      </c>
      <c r="T5130" t="s">
        <v>5622</v>
      </c>
      <c r="U5130" t="s">
        <v>5635</v>
      </c>
      <c r="V5130" t="s">
        <v>5641</v>
      </c>
      <c r="W5130" t="s">
        <v>5642</v>
      </c>
      <c r="X5130" t="s">
        <v>5643</v>
      </c>
      <c r="Y5130" t="s">
        <v>5644</v>
      </c>
    </row>
    <row r="5131" spans="1:25" x14ac:dyDescent="0.3">
      <c r="A5131" s="160">
        <v>49130</v>
      </c>
      <c r="B5131" t="s">
        <v>20324</v>
      </c>
      <c r="C5131" t="s">
        <v>5596</v>
      </c>
      <c r="D5131">
        <v>2</v>
      </c>
      <c r="E5131">
        <v>0</v>
      </c>
      <c r="F5131">
        <f t="shared" si="80"/>
        <v>2</v>
      </c>
      <c r="I5131">
        <v>20120301</v>
      </c>
      <c r="J5131" t="s">
        <v>5676</v>
      </c>
    </row>
    <row r="5132" spans="1:25" x14ac:dyDescent="0.3">
      <c r="A5132" s="160">
        <v>49131</v>
      </c>
      <c r="B5132" t="s">
        <v>15435</v>
      </c>
      <c r="C5132" t="s">
        <v>5592</v>
      </c>
      <c r="D5132">
        <v>0.8</v>
      </c>
      <c r="E5132">
        <v>0</v>
      </c>
      <c r="F5132">
        <f t="shared" si="80"/>
        <v>0.8</v>
      </c>
      <c r="I5132">
        <v>20230701</v>
      </c>
      <c r="J5132" t="s">
        <v>5659</v>
      </c>
    </row>
    <row r="5133" spans="1:25" x14ac:dyDescent="0.3">
      <c r="A5133" s="160">
        <v>49135</v>
      </c>
      <c r="B5133" t="s">
        <v>20325</v>
      </c>
      <c r="C5133" t="s">
        <v>5596</v>
      </c>
      <c r="D5133">
        <v>2</v>
      </c>
      <c r="E5133">
        <v>0</v>
      </c>
      <c r="F5133">
        <f t="shared" si="80"/>
        <v>2</v>
      </c>
      <c r="I5133">
        <v>20120301</v>
      </c>
      <c r="J5133" t="s">
        <v>5675</v>
      </c>
      <c r="K5133" t="s">
        <v>5706</v>
      </c>
      <c r="L5133" t="s">
        <v>5676</v>
      </c>
    </row>
    <row r="5134" spans="1:25" x14ac:dyDescent="0.3">
      <c r="A5134" s="160">
        <v>49140</v>
      </c>
      <c r="B5134" t="s">
        <v>20326</v>
      </c>
      <c r="C5134" t="s">
        <v>5592</v>
      </c>
      <c r="D5134">
        <v>0.8</v>
      </c>
      <c r="E5134">
        <v>0</v>
      </c>
      <c r="F5134">
        <f t="shared" si="80"/>
        <v>0.8</v>
      </c>
      <c r="I5134">
        <v>20230701</v>
      </c>
      <c r="J5134" t="s">
        <v>5707</v>
      </c>
    </row>
    <row r="5135" spans="1:25" x14ac:dyDescent="0.3">
      <c r="A5135" s="160">
        <v>49141</v>
      </c>
      <c r="B5135" t="s">
        <v>20327</v>
      </c>
      <c r="C5135" t="s">
        <v>5592</v>
      </c>
      <c r="D5135">
        <v>0.8</v>
      </c>
      <c r="E5135">
        <v>0</v>
      </c>
      <c r="F5135">
        <f t="shared" si="80"/>
        <v>0.8</v>
      </c>
      <c r="I5135">
        <v>20230701</v>
      </c>
      <c r="J5135" t="s">
        <v>5595</v>
      </c>
    </row>
    <row r="5136" spans="1:25" x14ac:dyDescent="0.3">
      <c r="A5136" s="160">
        <v>49149</v>
      </c>
      <c r="B5136" t="s">
        <v>20328</v>
      </c>
      <c r="C5136" t="s">
        <v>5592</v>
      </c>
      <c r="D5136">
        <v>0.8</v>
      </c>
      <c r="E5136">
        <v>0</v>
      </c>
      <c r="F5136">
        <f t="shared" si="80"/>
        <v>0.8</v>
      </c>
      <c r="I5136">
        <v>20230701</v>
      </c>
      <c r="J5136" t="s">
        <v>5708</v>
      </c>
      <c r="K5136" t="s">
        <v>5709</v>
      </c>
    </row>
    <row r="5137" spans="1:16" x14ac:dyDescent="0.3">
      <c r="A5137" s="160">
        <v>49171</v>
      </c>
      <c r="B5137" t="s">
        <v>20329</v>
      </c>
      <c r="C5137" t="s">
        <v>5592</v>
      </c>
      <c r="D5137">
        <v>0.8</v>
      </c>
      <c r="E5137">
        <v>0</v>
      </c>
      <c r="F5137">
        <f t="shared" si="80"/>
        <v>0.8</v>
      </c>
      <c r="I5137">
        <v>20230701</v>
      </c>
      <c r="J5137" t="s">
        <v>5710</v>
      </c>
    </row>
    <row r="5138" spans="1:16" x14ac:dyDescent="0.3">
      <c r="A5138" s="160">
        <v>49180</v>
      </c>
      <c r="B5138" t="s">
        <v>20330</v>
      </c>
      <c r="C5138" t="s">
        <v>5592</v>
      </c>
      <c r="D5138">
        <v>0.8</v>
      </c>
      <c r="E5138">
        <v>0</v>
      </c>
      <c r="F5138">
        <f t="shared" si="80"/>
        <v>0.8</v>
      </c>
      <c r="I5138">
        <v>20230701</v>
      </c>
      <c r="J5138" t="s">
        <v>5670</v>
      </c>
    </row>
    <row r="5139" spans="1:16" x14ac:dyDescent="0.3">
      <c r="A5139" s="160">
        <v>49182</v>
      </c>
      <c r="B5139" t="s">
        <v>20331</v>
      </c>
      <c r="C5139" t="s">
        <v>5592</v>
      </c>
      <c r="D5139">
        <v>0.8</v>
      </c>
      <c r="E5139">
        <v>0</v>
      </c>
      <c r="F5139">
        <f t="shared" si="80"/>
        <v>0.8</v>
      </c>
      <c r="I5139">
        <v>20230701</v>
      </c>
      <c r="J5139" t="s">
        <v>5595</v>
      </c>
    </row>
    <row r="5140" spans="1:16" x14ac:dyDescent="0.3">
      <c r="A5140" s="160">
        <v>49192</v>
      </c>
      <c r="B5140" t="s">
        <v>20332</v>
      </c>
      <c r="C5140" t="s">
        <v>20291</v>
      </c>
      <c r="D5140">
        <v>0.6</v>
      </c>
      <c r="E5140">
        <v>0</v>
      </c>
      <c r="F5140">
        <f t="shared" si="80"/>
        <v>0.6</v>
      </c>
      <c r="I5140">
        <v>20211101</v>
      </c>
      <c r="J5140" t="s">
        <v>5678</v>
      </c>
    </row>
    <row r="5141" spans="1:16" x14ac:dyDescent="0.3">
      <c r="A5141" s="160">
        <v>49193</v>
      </c>
      <c r="B5141" t="s">
        <v>20333</v>
      </c>
      <c r="C5141" t="s">
        <v>20291</v>
      </c>
      <c r="D5141">
        <v>0.6</v>
      </c>
      <c r="E5141">
        <v>0</v>
      </c>
      <c r="F5141">
        <f t="shared" si="80"/>
        <v>0.6</v>
      </c>
      <c r="I5141">
        <v>20110101</v>
      </c>
      <c r="J5141" t="s">
        <v>5668</v>
      </c>
    </row>
    <row r="5142" spans="1:16" x14ac:dyDescent="0.3">
      <c r="A5142" s="160">
        <v>49195</v>
      </c>
      <c r="B5142" t="s">
        <v>20334</v>
      </c>
      <c r="C5142" t="s">
        <v>20291</v>
      </c>
      <c r="D5142">
        <v>0.6</v>
      </c>
      <c r="E5142">
        <v>0</v>
      </c>
      <c r="F5142">
        <f t="shared" si="80"/>
        <v>0.6</v>
      </c>
      <c r="I5142">
        <v>20110101</v>
      </c>
      <c r="J5142" t="s">
        <v>5711</v>
      </c>
      <c r="K5142" t="s">
        <v>5686</v>
      </c>
      <c r="L5142" t="s">
        <v>5689</v>
      </c>
      <c r="M5142" t="s">
        <v>5690</v>
      </c>
      <c r="N5142" t="s">
        <v>5691</v>
      </c>
      <c r="O5142" t="s">
        <v>5692</v>
      </c>
    </row>
    <row r="5143" spans="1:16" x14ac:dyDescent="0.3">
      <c r="A5143" s="160">
        <v>49196</v>
      </c>
      <c r="B5143" t="s">
        <v>20335</v>
      </c>
      <c r="C5143" t="s">
        <v>5596</v>
      </c>
      <c r="D5143">
        <v>2</v>
      </c>
      <c r="E5143">
        <v>0</v>
      </c>
      <c r="F5143">
        <f t="shared" si="80"/>
        <v>2</v>
      </c>
      <c r="I5143">
        <v>20120301</v>
      </c>
      <c r="J5143" t="s">
        <v>5712</v>
      </c>
    </row>
    <row r="5144" spans="1:16" x14ac:dyDescent="0.3">
      <c r="A5144" s="160">
        <v>49198</v>
      </c>
      <c r="B5144" t="s">
        <v>20336</v>
      </c>
      <c r="C5144" t="s">
        <v>5592</v>
      </c>
      <c r="D5144">
        <v>0.8</v>
      </c>
      <c r="E5144">
        <v>0</v>
      </c>
      <c r="F5144">
        <f t="shared" si="80"/>
        <v>0.8</v>
      </c>
      <c r="I5144">
        <v>20230701</v>
      </c>
      <c r="J5144" t="s">
        <v>5595</v>
      </c>
    </row>
    <row r="5145" spans="1:16" x14ac:dyDescent="0.3">
      <c r="A5145" s="160">
        <v>49200</v>
      </c>
      <c r="B5145" t="s">
        <v>20337</v>
      </c>
      <c r="C5145" t="s">
        <v>5596</v>
      </c>
      <c r="D5145">
        <v>2</v>
      </c>
      <c r="E5145">
        <v>0</v>
      </c>
      <c r="F5145">
        <f t="shared" si="80"/>
        <v>2</v>
      </c>
      <c r="I5145">
        <v>20120301</v>
      </c>
      <c r="J5145" t="s">
        <v>5713</v>
      </c>
      <c r="K5145" t="s">
        <v>5706</v>
      </c>
      <c r="L5145" t="s">
        <v>5712</v>
      </c>
    </row>
    <row r="5146" spans="1:16" x14ac:dyDescent="0.3">
      <c r="A5146" s="160">
        <v>49207</v>
      </c>
      <c r="B5146" t="s">
        <v>20338</v>
      </c>
      <c r="C5146" t="s">
        <v>5592</v>
      </c>
      <c r="D5146">
        <v>0.8</v>
      </c>
      <c r="E5146">
        <v>0</v>
      </c>
      <c r="F5146">
        <f t="shared" si="80"/>
        <v>0.8</v>
      </c>
      <c r="I5146">
        <v>20230701</v>
      </c>
      <c r="J5146" t="s">
        <v>5595</v>
      </c>
    </row>
    <row r="5147" spans="1:16" x14ac:dyDescent="0.3">
      <c r="A5147" s="160">
        <v>49211</v>
      </c>
      <c r="B5147" t="s">
        <v>20339</v>
      </c>
      <c r="C5147" t="s">
        <v>20291</v>
      </c>
      <c r="D5147">
        <v>0.6</v>
      </c>
      <c r="E5147">
        <v>0</v>
      </c>
      <c r="F5147">
        <f t="shared" si="80"/>
        <v>0.6</v>
      </c>
      <c r="I5147">
        <v>20211101</v>
      </c>
      <c r="J5147" t="s">
        <v>5677</v>
      </c>
    </row>
    <row r="5148" spans="1:16" x14ac:dyDescent="0.3">
      <c r="A5148" s="160">
        <v>49214</v>
      </c>
      <c r="B5148" t="s">
        <v>20340</v>
      </c>
      <c r="C5148" t="s">
        <v>5596</v>
      </c>
      <c r="D5148">
        <v>2</v>
      </c>
      <c r="E5148">
        <v>0</v>
      </c>
      <c r="F5148">
        <f t="shared" si="80"/>
        <v>2</v>
      </c>
      <c r="I5148">
        <v>20120301</v>
      </c>
      <c r="J5148" t="s">
        <v>5675</v>
      </c>
      <c r="K5148" t="s">
        <v>5706</v>
      </c>
      <c r="L5148" t="s">
        <v>5676</v>
      </c>
    </row>
    <row r="5149" spans="1:16" x14ac:dyDescent="0.3">
      <c r="A5149" s="160">
        <v>49215</v>
      </c>
      <c r="B5149" t="s">
        <v>20341</v>
      </c>
      <c r="C5149" t="s">
        <v>5592</v>
      </c>
      <c r="D5149">
        <v>0.8</v>
      </c>
      <c r="E5149">
        <v>0</v>
      </c>
      <c r="F5149">
        <f t="shared" si="80"/>
        <v>0.8</v>
      </c>
      <c r="I5149">
        <v>20230701</v>
      </c>
      <c r="J5149" t="s">
        <v>5659</v>
      </c>
    </row>
    <row r="5150" spans="1:16" x14ac:dyDescent="0.3">
      <c r="A5150" s="160">
        <v>49218</v>
      </c>
      <c r="B5150" t="s">
        <v>20342</v>
      </c>
      <c r="C5150" t="s">
        <v>20282</v>
      </c>
      <c r="D5150">
        <v>0</v>
      </c>
      <c r="E5150">
        <v>0</v>
      </c>
      <c r="F5150">
        <f t="shared" si="80"/>
        <v>0</v>
      </c>
      <c r="I5150">
        <v>20240701</v>
      </c>
      <c r="J5150" t="s">
        <v>20283</v>
      </c>
      <c r="K5150" t="s">
        <v>20343</v>
      </c>
      <c r="L5150" t="s">
        <v>20344</v>
      </c>
      <c r="M5150" t="s">
        <v>20345</v>
      </c>
      <c r="N5150" t="s">
        <v>20346</v>
      </c>
      <c r="O5150" t="s">
        <v>20306</v>
      </c>
      <c r="P5150" t="s">
        <v>20287</v>
      </c>
    </row>
    <row r="5151" spans="1:16" x14ac:dyDescent="0.3">
      <c r="A5151" s="160">
        <v>49219</v>
      </c>
      <c r="B5151" t="s">
        <v>20347</v>
      </c>
      <c r="C5151" t="s">
        <v>5592</v>
      </c>
      <c r="D5151">
        <v>0.8</v>
      </c>
      <c r="E5151">
        <v>0</v>
      </c>
      <c r="F5151">
        <f t="shared" si="80"/>
        <v>0.8</v>
      </c>
      <c r="I5151">
        <v>20230701</v>
      </c>
      <c r="J5151" t="s">
        <v>5714</v>
      </c>
    </row>
    <row r="5152" spans="1:16" x14ac:dyDescent="0.3">
      <c r="A5152" s="160">
        <v>49221</v>
      </c>
      <c r="B5152" t="s">
        <v>20348</v>
      </c>
      <c r="C5152" t="s">
        <v>5592</v>
      </c>
      <c r="D5152">
        <v>0.8</v>
      </c>
      <c r="E5152">
        <v>0</v>
      </c>
      <c r="F5152">
        <f t="shared" si="80"/>
        <v>0.8</v>
      </c>
      <c r="I5152">
        <v>20230701</v>
      </c>
      <c r="J5152" t="s">
        <v>5673</v>
      </c>
    </row>
    <row r="5153" spans="1:15" x14ac:dyDescent="0.3">
      <c r="A5153" s="160">
        <v>49223</v>
      </c>
      <c r="B5153" t="s">
        <v>20349</v>
      </c>
      <c r="C5153" t="s">
        <v>5596</v>
      </c>
      <c r="D5153">
        <v>2</v>
      </c>
      <c r="E5153">
        <v>0</v>
      </c>
      <c r="F5153">
        <f t="shared" si="80"/>
        <v>2</v>
      </c>
      <c r="I5153">
        <v>20120301</v>
      </c>
      <c r="J5153" t="s">
        <v>5715</v>
      </c>
    </row>
    <row r="5154" spans="1:15" x14ac:dyDescent="0.3">
      <c r="A5154" s="160">
        <v>49224</v>
      </c>
      <c r="B5154" t="s">
        <v>20350</v>
      </c>
      <c r="C5154" t="s">
        <v>5592</v>
      </c>
      <c r="D5154">
        <v>0.8</v>
      </c>
      <c r="E5154">
        <v>0</v>
      </c>
      <c r="F5154">
        <f t="shared" si="80"/>
        <v>0.8</v>
      </c>
      <c r="I5154">
        <v>20230701</v>
      </c>
      <c r="J5154" t="s">
        <v>5716</v>
      </c>
    </row>
    <row r="5155" spans="1:15" x14ac:dyDescent="0.3">
      <c r="A5155" s="160">
        <v>49231</v>
      </c>
      <c r="B5155" t="s">
        <v>20351</v>
      </c>
      <c r="C5155" t="s">
        <v>20291</v>
      </c>
      <c r="D5155">
        <v>0.6</v>
      </c>
      <c r="E5155">
        <v>0</v>
      </c>
      <c r="F5155">
        <f t="shared" si="80"/>
        <v>0.6</v>
      </c>
      <c r="I5155">
        <v>20110101</v>
      </c>
      <c r="J5155" t="s">
        <v>5683</v>
      </c>
    </row>
    <row r="5156" spans="1:15" x14ac:dyDescent="0.3">
      <c r="A5156" s="160">
        <v>49235</v>
      </c>
      <c r="B5156" t="s">
        <v>20352</v>
      </c>
      <c r="C5156" t="s">
        <v>5592</v>
      </c>
      <c r="D5156">
        <v>0.8</v>
      </c>
      <c r="E5156">
        <v>0</v>
      </c>
      <c r="F5156">
        <f t="shared" si="80"/>
        <v>0.8</v>
      </c>
      <c r="I5156">
        <v>20230701</v>
      </c>
      <c r="J5156" t="s">
        <v>5714</v>
      </c>
    </row>
    <row r="5157" spans="1:15" x14ac:dyDescent="0.3">
      <c r="A5157" s="160">
        <v>49236</v>
      </c>
      <c r="B5157" t="s">
        <v>20353</v>
      </c>
      <c r="C5157" t="s">
        <v>20291</v>
      </c>
      <c r="D5157">
        <v>0.6</v>
      </c>
      <c r="E5157">
        <v>0</v>
      </c>
      <c r="F5157">
        <f t="shared" si="80"/>
        <v>0.6</v>
      </c>
      <c r="I5157">
        <v>20211101</v>
      </c>
      <c r="J5157" t="s">
        <v>5702</v>
      </c>
    </row>
    <row r="5158" spans="1:15" x14ac:dyDescent="0.3">
      <c r="A5158" s="160">
        <v>49238</v>
      </c>
      <c r="B5158" t="s">
        <v>20354</v>
      </c>
      <c r="C5158" t="s">
        <v>5596</v>
      </c>
      <c r="D5158">
        <v>2</v>
      </c>
      <c r="E5158">
        <v>0</v>
      </c>
      <c r="F5158">
        <f t="shared" si="80"/>
        <v>2</v>
      </c>
      <c r="I5158">
        <v>20120301</v>
      </c>
      <c r="J5158" t="s">
        <v>5717</v>
      </c>
    </row>
    <row r="5159" spans="1:15" x14ac:dyDescent="0.3">
      <c r="A5159" s="160">
        <v>49240</v>
      </c>
      <c r="B5159" t="s">
        <v>20355</v>
      </c>
      <c r="C5159" t="s">
        <v>20291</v>
      </c>
      <c r="D5159">
        <v>0.6</v>
      </c>
      <c r="E5159">
        <v>0</v>
      </c>
      <c r="F5159">
        <f t="shared" si="80"/>
        <v>0.6</v>
      </c>
      <c r="I5159">
        <v>20211101</v>
      </c>
      <c r="J5159" t="s">
        <v>5678</v>
      </c>
    </row>
    <row r="5160" spans="1:15" x14ac:dyDescent="0.3">
      <c r="A5160" s="160">
        <v>49241</v>
      </c>
      <c r="B5160" t="s">
        <v>20356</v>
      </c>
      <c r="C5160" t="s">
        <v>5596</v>
      </c>
      <c r="D5160">
        <v>2</v>
      </c>
      <c r="E5160">
        <v>0</v>
      </c>
      <c r="F5160">
        <f t="shared" si="80"/>
        <v>2</v>
      </c>
      <c r="I5160">
        <v>20120301</v>
      </c>
      <c r="J5160" t="s">
        <v>5718</v>
      </c>
    </row>
    <row r="5161" spans="1:15" x14ac:dyDescent="0.3">
      <c r="A5161" s="160">
        <v>49242</v>
      </c>
      <c r="B5161" t="s">
        <v>20357</v>
      </c>
      <c r="C5161" t="s">
        <v>5596</v>
      </c>
      <c r="D5161">
        <v>2</v>
      </c>
      <c r="E5161">
        <v>0</v>
      </c>
      <c r="F5161">
        <f t="shared" si="80"/>
        <v>2</v>
      </c>
      <c r="I5161">
        <v>20120301</v>
      </c>
      <c r="J5161" t="s">
        <v>5706</v>
      </c>
      <c r="K5161" t="s">
        <v>5712</v>
      </c>
    </row>
    <row r="5162" spans="1:15" x14ac:dyDescent="0.3">
      <c r="A5162" s="160">
        <v>49244</v>
      </c>
      <c r="B5162" t="s">
        <v>20358</v>
      </c>
      <c r="C5162" t="s">
        <v>20282</v>
      </c>
      <c r="D5162">
        <v>0</v>
      </c>
      <c r="E5162">
        <v>0</v>
      </c>
      <c r="F5162">
        <f t="shared" si="80"/>
        <v>0</v>
      </c>
      <c r="I5162">
        <v>20240701</v>
      </c>
      <c r="J5162" t="s">
        <v>20283</v>
      </c>
      <c r="K5162" t="s">
        <v>20344</v>
      </c>
      <c r="L5162" t="s">
        <v>20359</v>
      </c>
      <c r="M5162" t="s">
        <v>20360</v>
      </c>
      <c r="N5162" t="s">
        <v>20361</v>
      </c>
      <c r="O5162" t="s">
        <v>20362</v>
      </c>
    </row>
    <row r="5163" spans="1:15" x14ac:dyDescent="0.3">
      <c r="A5163" s="160">
        <v>49246</v>
      </c>
      <c r="B5163" t="s">
        <v>20363</v>
      </c>
      <c r="C5163" t="s">
        <v>5596</v>
      </c>
      <c r="D5163">
        <v>2</v>
      </c>
      <c r="E5163">
        <v>0</v>
      </c>
      <c r="F5163">
        <f t="shared" si="80"/>
        <v>2</v>
      </c>
      <c r="I5163">
        <v>20120301</v>
      </c>
      <c r="J5163" t="s">
        <v>5719</v>
      </c>
      <c r="K5163" t="s">
        <v>5720</v>
      </c>
      <c r="L5163" t="s">
        <v>5721</v>
      </c>
      <c r="M5163" t="s">
        <v>5722</v>
      </c>
      <c r="N5163" t="s">
        <v>5723</v>
      </c>
      <c r="O5163" t="s">
        <v>5724</v>
      </c>
    </row>
    <row r="5164" spans="1:15" x14ac:dyDescent="0.3">
      <c r="A5164" s="160">
        <v>49251</v>
      </c>
      <c r="B5164" t="s">
        <v>20364</v>
      </c>
      <c r="C5164" t="s">
        <v>5596</v>
      </c>
      <c r="D5164">
        <v>2</v>
      </c>
      <c r="E5164">
        <v>0</v>
      </c>
      <c r="F5164">
        <f t="shared" si="80"/>
        <v>2</v>
      </c>
      <c r="I5164">
        <v>20160101</v>
      </c>
      <c r="J5164" t="s">
        <v>5713</v>
      </c>
    </row>
    <row r="5165" spans="1:15" x14ac:dyDescent="0.3">
      <c r="A5165" s="160">
        <v>49253</v>
      </c>
      <c r="B5165" t="s">
        <v>20365</v>
      </c>
      <c r="C5165" t="s">
        <v>5592</v>
      </c>
      <c r="D5165">
        <v>0.8</v>
      </c>
      <c r="E5165">
        <v>0</v>
      </c>
      <c r="F5165">
        <f t="shared" si="80"/>
        <v>0.8</v>
      </c>
      <c r="I5165">
        <v>20230701</v>
      </c>
      <c r="J5165" t="s">
        <v>5659</v>
      </c>
    </row>
    <row r="5166" spans="1:15" x14ac:dyDescent="0.3">
      <c r="A5166" s="160">
        <v>49260</v>
      </c>
      <c r="B5166" t="s">
        <v>20366</v>
      </c>
      <c r="C5166" t="s">
        <v>20291</v>
      </c>
      <c r="D5166">
        <v>0.6</v>
      </c>
      <c r="E5166">
        <v>0</v>
      </c>
      <c r="F5166">
        <f t="shared" si="80"/>
        <v>0.6</v>
      </c>
      <c r="I5166">
        <v>20110101</v>
      </c>
      <c r="J5166" t="s">
        <v>5685</v>
      </c>
      <c r="K5166" t="s">
        <v>5725</v>
      </c>
    </row>
    <row r="5167" spans="1:15" x14ac:dyDescent="0.3">
      <c r="A5167" s="160">
        <v>49261</v>
      </c>
      <c r="B5167" t="s">
        <v>20367</v>
      </c>
      <c r="C5167" t="s">
        <v>5592</v>
      </c>
      <c r="D5167">
        <v>0.8</v>
      </c>
      <c r="E5167">
        <v>0</v>
      </c>
      <c r="F5167">
        <f t="shared" si="80"/>
        <v>0.8</v>
      </c>
      <c r="I5167">
        <v>20230701</v>
      </c>
      <c r="J5167" t="s">
        <v>5670</v>
      </c>
      <c r="K5167" t="s">
        <v>5708</v>
      </c>
      <c r="L5167" t="s">
        <v>5709</v>
      </c>
    </row>
    <row r="5168" spans="1:15" x14ac:dyDescent="0.3">
      <c r="A5168" s="160">
        <v>49262</v>
      </c>
      <c r="B5168" t="s">
        <v>20368</v>
      </c>
      <c r="C5168" t="s">
        <v>5592</v>
      </c>
      <c r="D5168">
        <v>0.8</v>
      </c>
      <c r="E5168">
        <v>0</v>
      </c>
      <c r="F5168">
        <f t="shared" si="80"/>
        <v>0.8</v>
      </c>
      <c r="I5168">
        <v>20230701</v>
      </c>
      <c r="J5168" t="s">
        <v>5679</v>
      </c>
    </row>
    <row r="5169" spans="1:18" x14ac:dyDescent="0.3">
      <c r="A5169" s="160">
        <v>49267</v>
      </c>
      <c r="B5169" t="s">
        <v>20369</v>
      </c>
      <c r="C5169" t="s">
        <v>5596</v>
      </c>
      <c r="D5169">
        <v>2</v>
      </c>
      <c r="E5169">
        <v>0</v>
      </c>
      <c r="F5169">
        <f t="shared" si="80"/>
        <v>2</v>
      </c>
      <c r="I5169">
        <v>20120301</v>
      </c>
      <c r="J5169" t="s">
        <v>5598</v>
      </c>
      <c r="K5169" t="s">
        <v>5603</v>
      </c>
      <c r="L5169" t="s">
        <v>5605</v>
      </c>
      <c r="M5169" t="s">
        <v>5718</v>
      </c>
      <c r="N5169" t="s">
        <v>5726</v>
      </c>
      <c r="O5169" t="s">
        <v>5727</v>
      </c>
      <c r="P5169" t="s">
        <v>5728</v>
      </c>
      <c r="Q5169" t="s">
        <v>5729</v>
      </c>
      <c r="R5169" t="s">
        <v>5730</v>
      </c>
    </row>
    <row r="5170" spans="1:18" x14ac:dyDescent="0.3">
      <c r="A5170" s="160">
        <v>49269</v>
      </c>
      <c r="B5170" t="s">
        <v>20370</v>
      </c>
      <c r="C5170" t="s">
        <v>20291</v>
      </c>
      <c r="D5170">
        <v>0.6</v>
      </c>
      <c r="E5170">
        <v>0</v>
      </c>
      <c r="F5170">
        <f t="shared" si="80"/>
        <v>0.6</v>
      </c>
      <c r="I5170">
        <v>20110101</v>
      </c>
      <c r="J5170" t="s">
        <v>5711</v>
      </c>
    </row>
    <row r="5171" spans="1:18" x14ac:dyDescent="0.3">
      <c r="A5171" s="160">
        <v>49271</v>
      </c>
      <c r="B5171" t="s">
        <v>20371</v>
      </c>
      <c r="C5171" t="s">
        <v>5596</v>
      </c>
      <c r="D5171">
        <v>2</v>
      </c>
      <c r="E5171">
        <v>0</v>
      </c>
      <c r="F5171">
        <f t="shared" si="80"/>
        <v>2</v>
      </c>
      <c r="I5171">
        <v>20120301</v>
      </c>
      <c r="J5171" t="s">
        <v>5731</v>
      </c>
    </row>
    <row r="5172" spans="1:18" x14ac:dyDescent="0.3">
      <c r="A5172" s="160">
        <v>49272</v>
      </c>
      <c r="B5172" t="s">
        <v>20372</v>
      </c>
      <c r="C5172" t="s">
        <v>5592</v>
      </c>
      <c r="D5172">
        <v>0.8</v>
      </c>
      <c r="E5172">
        <v>0</v>
      </c>
      <c r="F5172">
        <f t="shared" si="80"/>
        <v>0.8</v>
      </c>
      <c r="I5172">
        <v>20230701</v>
      </c>
      <c r="J5172" t="s">
        <v>5709</v>
      </c>
    </row>
    <row r="5173" spans="1:18" x14ac:dyDescent="0.3">
      <c r="A5173" s="160">
        <v>49274</v>
      </c>
      <c r="B5173" t="s">
        <v>20373</v>
      </c>
      <c r="C5173" t="s">
        <v>5592</v>
      </c>
      <c r="D5173">
        <v>0.8</v>
      </c>
      <c r="E5173">
        <v>0</v>
      </c>
      <c r="F5173">
        <f t="shared" si="80"/>
        <v>0.8</v>
      </c>
      <c r="I5173">
        <v>20230701</v>
      </c>
      <c r="J5173" t="s">
        <v>5659</v>
      </c>
      <c r="K5173" t="s">
        <v>5681</v>
      </c>
    </row>
    <row r="5174" spans="1:18" x14ac:dyDescent="0.3">
      <c r="A5174" s="160">
        <v>49278</v>
      </c>
      <c r="B5174" t="s">
        <v>20374</v>
      </c>
      <c r="C5174" t="s">
        <v>5596</v>
      </c>
      <c r="D5174">
        <v>2</v>
      </c>
      <c r="E5174">
        <v>0</v>
      </c>
      <c r="F5174">
        <f t="shared" si="80"/>
        <v>2</v>
      </c>
      <c r="I5174">
        <v>20120301</v>
      </c>
      <c r="J5174" t="s">
        <v>5600</v>
      </c>
      <c r="K5174" t="s">
        <v>5609</v>
      </c>
      <c r="L5174" t="s">
        <v>5623</v>
      </c>
      <c r="M5174" t="s">
        <v>5719</v>
      </c>
      <c r="N5174" t="s">
        <v>5722</v>
      </c>
    </row>
    <row r="5175" spans="1:18" x14ac:dyDescent="0.3">
      <c r="A5175" s="160">
        <v>49282</v>
      </c>
      <c r="B5175" t="s">
        <v>20375</v>
      </c>
      <c r="C5175" t="s">
        <v>5592</v>
      </c>
      <c r="D5175">
        <v>0.8</v>
      </c>
      <c r="E5175">
        <v>0</v>
      </c>
      <c r="F5175">
        <f t="shared" si="80"/>
        <v>0.8</v>
      </c>
      <c r="I5175">
        <v>20230701</v>
      </c>
      <c r="J5175" t="s">
        <v>5595</v>
      </c>
    </row>
    <row r="5176" spans="1:18" x14ac:dyDescent="0.3">
      <c r="A5176" s="160">
        <v>49289</v>
      </c>
      <c r="B5176" t="s">
        <v>20376</v>
      </c>
      <c r="C5176" t="s">
        <v>5596</v>
      </c>
      <c r="D5176">
        <v>2</v>
      </c>
      <c r="E5176">
        <v>0</v>
      </c>
      <c r="F5176">
        <f t="shared" si="80"/>
        <v>2</v>
      </c>
      <c r="I5176">
        <v>20120301</v>
      </c>
      <c r="J5176" t="s">
        <v>5664</v>
      </c>
      <c r="K5176" t="s">
        <v>5665</v>
      </c>
      <c r="L5176" t="s">
        <v>5637</v>
      </c>
    </row>
    <row r="5177" spans="1:18" x14ac:dyDescent="0.3">
      <c r="A5177" s="160">
        <v>49291</v>
      </c>
      <c r="B5177" t="s">
        <v>20377</v>
      </c>
      <c r="C5177" t="s">
        <v>5592</v>
      </c>
      <c r="D5177">
        <v>0.8</v>
      </c>
      <c r="E5177">
        <v>0</v>
      </c>
      <c r="F5177">
        <f t="shared" si="80"/>
        <v>0.8</v>
      </c>
      <c r="I5177">
        <v>20230701</v>
      </c>
      <c r="J5177" t="s">
        <v>5659</v>
      </c>
    </row>
    <row r="5178" spans="1:18" x14ac:dyDescent="0.3">
      <c r="A5178" s="160">
        <v>49294</v>
      </c>
      <c r="B5178" t="s">
        <v>20378</v>
      </c>
      <c r="C5178" t="s">
        <v>5596</v>
      </c>
      <c r="D5178">
        <v>2</v>
      </c>
      <c r="E5178">
        <v>0</v>
      </c>
      <c r="F5178">
        <f t="shared" si="80"/>
        <v>2</v>
      </c>
      <c r="I5178">
        <v>20120301</v>
      </c>
      <c r="J5178" t="s">
        <v>5664</v>
      </c>
      <c r="K5178" t="s">
        <v>5665</v>
      </c>
      <c r="L5178" t="s">
        <v>5637</v>
      </c>
    </row>
    <row r="5179" spans="1:18" x14ac:dyDescent="0.3">
      <c r="A5179" s="160">
        <v>49298</v>
      </c>
      <c r="B5179" t="s">
        <v>20379</v>
      </c>
      <c r="C5179" t="s">
        <v>5596</v>
      </c>
      <c r="D5179">
        <v>2</v>
      </c>
      <c r="E5179">
        <v>0</v>
      </c>
      <c r="F5179">
        <f t="shared" si="80"/>
        <v>2</v>
      </c>
      <c r="I5179">
        <v>20120301</v>
      </c>
      <c r="J5179" t="s">
        <v>5669</v>
      </c>
    </row>
    <row r="5180" spans="1:18" x14ac:dyDescent="0.3">
      <c r="A5180" s="160">
        <v>49299</v>
      </c>
      <c r="B5180" t="s">
        <v>20380</v>
      </c>
      <c r="C5180" t="s">
        <v>20291</v>
      </c>
      <c r="D5180">
        <v>0.6</v>
      </c>
      <c r="E5180">
        <v>0</v>
      </c>
      <c r="F5180">
        <f t="shared" si="80"/>
        <v>0.6</v>
      </c>
      <c r="I5180">
        <v>20110101</v>
      </c>
      <c r="J5180" t="s">
        <v>5711</v>
      </c>
      <c r="K5180" t="s">
        <v>5685</v>
      </c>
      <c r="L5180" t="s">
        <v>5689</v>
      </c>
    </row>
    <row r="5181" spans="1:18" x14ac:dyDescent="0.3">
      <c r="A5181" s="160">
        <v>49301</v>
      </c>
      <c r="B5181" t="s">
        <v>20381</v>
      </c>
      <c r="C5181" t="s">
        <v>20282</v>
      </c>
      <c r="D5181">
        <v>0</v>
      </c>
      <c r="E5181">
        <v>0</v>
      </c>
      <c r="F5181">
        <f t="shared" si="80"/>
        <v>0</v>
      </c>
      <c r="I5181">
        <v>20240701</v>
      </c>
      <c r="J5181" t="s">
        <v>20382</v>
      </c>
      <c r="K5181" t="s">
        <v>20284</v>
      </c>
      <c r="L5181" t="s">
        <v>20285</v>
      </c>
      <c r="M5181" t="s">
        <v>20383</v>
      </c>
      <c r="N5181" t="s">
        <v>20384</v>
      </c>
    </row>
    <row r="5182" spans="1:18" x14ac:dyDescent="0.3">
      <c r="A5182" s="160">
        <v>49302</v>
      </c>
      <c r="B5182" t="s">
        <v>20385</v>
      </c>
      <c r="C5182" t="s">
        <v>5592</v>
      </c>
      <c r="D5182">
        <v>0.8</v>
      </c>
      <c r="E5182">
        <v>0</v>
      </c>
      <c r="F5182">
        <f t="shared" si="80"/>
        <v>0.8</v>
      </c>
      <c r="I5182">
        <v>20230701</v>
      </c>
      <c r="J5182" t="s">
        <v>5659</v>
      </c>
    </row>
    <row r="5183" spans="1:18" x14ac:dyDescent="0.3">
      <c r="A5183" s="160">
        <v>49304</v>
      </c>
      <c r="B5183" t="s">
        <v>20386</v>
      </c>
      <c r="C5183" t="s">
        <v>5592</v>
      </c>
      <c r="D5183">
        <v>0.8</v>
      </c>
      <c r="E5183">
        <v>0</v>
      </c>
      <c r="F5183">
        <f t="shared" si="80"/>
        <v>0.8</v>
      </c>
      <c r="I5183">
        <v>20230701</v>
      </c>
      <c r="J5183" t="s">
        <v>5670</v>
      </c>
    </row>
    <row r="5184" spans="1:18" x14ac:dyDescent="0.3">
      <c r="A5184" s="160">
        <v>49306</v>
      </c>
      <c r="B5184" t="s">
        <v>20387</v>
      </c>
      <c r="C5184" t="s">
        <v>5596</v>
      </c>
      <c r="D5184">
        <v>2</v>
      </c>
      <c r="E5184">
        <v>0</v>
      </c>
      <c r="F5184">
        <f t="shared" si="80"/>
        <v>2</v>
      </c>
      <c r="I5184">
        <v>20120301</v>
      </c>
      <c r="J5184" t="s">
        <v>5669</v>
      </c>
    </row>
    <row r="5185" spans="1:28" x14ac:dyDescent="0.3">
      <c r="A5185" s="160">
        <v>49307</v>
      </c>
      <c r="B5185" t="s">
        <v>20388</v>
      </c>
      <c r="C5185" t="s">
        <v>5596</v>
      </c>
      <c r="D5185">
        <v>2</v>
      </c>
      <c r="E5185">
        <v>0</v>
      </c>
      <c r="F5185">
        <f t="shared" si="80"/>
        <v>2</v>
      </c>
      <c r="I5185">
        <v>20180901</v>
      </c>
      <c r="J5185" t="s">
        <v>5732</v>
      </c>
      <c r="K5185" t="s">
        <v>5733</v>
      </c>
      <c r="L5185" t="s">
        <v>5734</v>
      </c>
      <c r="M5185" t="s">
        <v>5735</v>
      </c>
      <c r="N5185" t="s">
        <v>5736</v>
      </c>
      <c r="O5185" t="s">
        <v>5723</v>
      </c>
      <c r="P5185" t="s">
        <v>5737</v>
      </c>
    </row>
    <row r="5186" spans="1:28" x14ac:dyDescent="0.3">
      <c r="A5186" s="160">
        <v>49310</v>
      </c>
      <c r="B5186" t="s">
        <v>20389</v>
      </c>
      <c r="C5186" t="s">
        <v>20291</v>
      </c>
      <c r="D5186">
        <v>0.6</v>
      </c>
      <c r="E5186">
        <v>0</v>
      </c>
      <c r="F5186">
        <f t="shared" si="80"/>
        <v>0.6</v>
      </c>
      <c r="I5186">
        <v>20211101</v>
      </c>
      <c r="J5186" t="s">
        <v>5677</v>
      </c>
    </row>
    <row r="5187" spans="1:28" x14ac:dyDescent="0.3">
      <c r="A5187" s="160">
        <v>49311</v>
      </c>
      <c r="B5187" t="s">
        <v>20390</v>
      </c>
      <c r="C5187" t="s">
        <v>5592</v>
      </c>
      <c r="D5187">
        <v>0.8</v>
      </c>
      <c r="E5187">
        <v>0</v>
      </c>
      <c r="F5187">
        <f t="shared" si="80"/>
        <v>0.8</v>
      </c>
      <c r="I5187">
        <v>20230701</v>
      </c>
      <c r="J5187" t="s">
        <v>5670</v>
      </c>
    </row>
    <row r="5188" spans="1:28" x14ac:dyDescent="0.3">
      <c r="A5188" s="160">
        <v>49323</v>
      </c>
      <c r="B5188" t="s">
        <v>20391</v>
      </c>
      <c r="C5188" t="s">
        <v>5596</v>
      </c>
      <c r="D5188">
        <v>2</v>
      </c>
      <c r="E5188">
        <v>0</v>
      </c>
      <c r="F5188">
        <f t="shared" si="80"/>
        <v>2</v>
      </c>
      <c r="I5188">
        <v>20120301</v>
      </c>
      <c r="J5188" t="s">
        <v>5717</v>
      </c>
      <c r="K5188" t="s">
        <v>5726</v>
      </c>
      <c r="L5188" t="s">
        <v>5738</v>
      </c>
      <c r="M5188" t="s">
        <v>5739</v>
      </c>
      <c r="N5188" t="s">
        <v>5740</v>
      </c>
      <c r="O5188" t="s">
        <v>5741</v>
      </c>
    </row>
    <row r="5189" spans="1:28" x14ac:dyDescent="0.3">
      <c r="A5189" s="160">
        <v>49326</v>
      </c>
      <c r="B5189" t="s">
        <v>20392</v>
      </c>
      <c r="C5189" t="s">
        <v>5596</v>
      </c>
      <c r="D5189">
        <v>2</v>
      </c>
      <c r="E5189">
        <v>0</v>
      </c>
      <c r="F5189">
        <f t="shared" si="80"/>
        <v>2</v>
      </c>
      <c r="I5189">
        <v>20120301</v>
      </c>
      <c r="J5189" t="s">
        <v>5735</v>
      </c>
    </row>
    <row r="5190" spans="1:28" x14ac:dyDescent="0.3">
      <c r="A5190" s="160">
        <v>49328</v>
      </c>
      <c r="B5190" t="s">
        <v>20393</v>
      </c>
      <c r="C5190" t="s">
        <v>5592</v>
      </c>
      <c r="D5190">
        <v>0.8</v>
      </c>
      <c r="E5190">
        <v>0</v>
      </c>
      <c r="F5190">
        <f t="shared" si="80"/>
        <v>0.8</v>
      </c>
      <c r="I5190">
        <v>20230701</v>
      </c>
      <c r="J5190" t="s">
        <v>5679</v>
      </c>
      <c r="K5190" t="s">
        <v>5680</v>
      </c>
      <c r="L5190" t="s">
        <v>5704</v>
      </c>
      <c r="M5190" t="s">
        <v>5742</v>
      </c>
      <c r="N5190" t="s">
        <v>5743</v>
      </c>
      <c r="O5190" t="s">
        <v>5744</v>
      </c>
      <c r="P5190" t="s">
        <v>5593</v>
      </c>
      <c r="Q5190" t="s">
        <v>5745</v>
      </c>
      <c r="R5190" t="s">
        <v>5746</v>
      </c>
      <c r="S5190" t="s">
        <v>5747</v>
      </c>
      <c r="T5190" t="s">
        <v>5681</v>
      </c>
      <c r="U5190" t="s">
        <v>5748</v>
      </c>
      <c r="V5190" t="s">
        <v>5749</v>
      </c>
      <c r="W5190" t="s">
        <v>5750</v>
      </c>
      <c r="X5190" t="s">
        <v>5751</v>
      </c>
      <c r="Y5190" t="s">
        <v>5752</v>
      </c>
      <c r="Z5190" t="s">
        <v>5753</v>
      </c>
      <c r="AA5190" t="s">
        <v>5754</v>
      </c>
      <c r="AB5190" t="s">
        <v>5705</v>
      </c>
    </row>
    <row r="5191" spans="1:28" x14ac:dyDescent="0.3">
      <c r="A5191" s="160">
        <v>49329</v>
      </c>
      <c r="B5191" t="s">
        <v>20394</v>
      </c>
      <c r="C5191" t="s">
        <v>5596</v>
      </c>
      <c r="D5191">
        <v>2</v>
      </c>
      <c r="E5191">
        <v>0</v>
      </c>
      <c r="F5191">
        <f t="shared" ref="F5191:F5254" si="81">D5191+E5191</f>
        <v>2</v>
      </c>
      <c r="I5191">
        <v>20120301</v>
      </c>
      <c r="J5191" t="s">
        <v>5669</v>
      </c>
    </row>
    <row r="5192" spans="1:28" x14ac:dyDescent="0.3">
      <c r="A5192" s="160">
        <v>49332</v>
      </c>
      <c r="B5192" t="s">
        <v>20395</v>
      </c>
      <c r="C5192" t="s">
        <v>20291</v>
      </c>
      <c r="D5192">
        <v>0.6</v>
      </c>
      <c r="E5192">
        <v>0</v>
      </c>
      <c r="F5192">
        <f t="shared" si="81"/>
        <v>0.6</v>
      </c>
      <c r="I5192">
        <v>20110101</v>
      </c>
      <c r="J5192" t="s">
        <v>5711</v>
      </c>
      <c r="K5192" t="s">
        <v>5685</v>
      </c>
      <c r="L5192" t="s">
        <v>5689</v>
      </c>
      <c r="M5192" t="s">
        <v>5693</v>
      </c>
    </row>
    <row r="5193" spans="1:28" x14ac:dyDescent="0.3">
      <c r="A5193" s="160">
        <v>49336</v>
      </c>
      <c r="B5193" t="s">
        <v>20396</v>
      </c>
      <c r="C5193" t="s">
        <v>20291</v>
      </c>
      <c r="D5193">
        <v>0.6</v>
      </c>
      <c r="E5193">
        <v>0</v>
      </c>
      <c r="F5193">
        <f t="shared" si="81"/>
        <v>0.6</v>
      </c>
      <c r="I5193">
        <v>20211101</v>
      </c>
      <c r="J5193" t="s">
        <v>5678</v>
      </c>
    </row>
    <row r="5194" spans="1:28" x14ac:dyDescent="0.3">
      <c r="A5194" s="160">
        <v>49337</v>
      </c>
      <c r="B5194" t="s">
        <v>20397</v>
      </c>
      <c r="C5194" t="s">
        <v>5596</v>
      </c>
      <c r="D5194">
        <v>2</v>
      </c>
      <c r="E5194">
        <v>0</v>
      </c>
      <c r="F5194">
        <f t="shared" si="81"/>
        <v>2</v>
      </c>
      <c r="I5194">
        <v>20120301</v>
      </c>
      <c r="J5194" t="s">
        <v>5732</v>
      </c>
    </row>
    <row r="5195" spans="1:28" x14ac:dyDescent="0.3">
      <c r="A5195" s="160">
        <v>49338</v>
      </c>
      <c r="B5195" t="s">
        <v>20398</v>
      </c>
      <c r="C5195" t="s">
        <v>5596</v>
      </c>
      <c r="D5195">
        <v>2</v>
      </c>
      <c r="E5195">
        <v>0</v>
      </c>
      <c r="F5195">
        <f t="shared" si="81"/>
        <v>2</v>
      </c>
      <c r="I5195">
        <v>20120301</v>
      </c>
      <c r="J5195" t="s">
        <v>5715</v>
      </c>
    </row>
    <row r="5196" spans="1:28" x14ac:dyDescent="0.3">
      <c r="A5196" s="160">
        <v>49339</v>
      </c>
      <c r="B5196" t="s">
        <v>20399</v>
      </c>
      <c r="C5196" t="s">
        <v>5596</v>
      </c>
      <c r="D5196">
        <v>2</v>
      </c>
      <c r="E5196">
        <v>0</v>
      </c>
      <c r="F5196">
        <f t="shared" si="81"/>
        <v>2</v>
      </c>
      <c r="I5196">
        <v>20120301</v>
      </c>
      <c r="J5196" t="s">
        <v>5676</v>
      </c>
    </row>
    <row r="5197" spans="1:28" x14ac:dyDescent="0.3">
      <c r="A5197" s="160">
        <v>49341</v>
      </c>
      <c r="B5197" t="s">
        <v>20400</v>
      </c>
      <c r="C5197" t="s">
        <v>5592</v>
      </c>
      <c r="D5197">
        <v>0.8</v>
      </c>
      <c r="E5197">
        <v>0</v>
      </c>
      <c r="F5197">
        <f t="shared" si="81"/>
        <v>0.8</v>
      </c>
      <c r="I5197">
        <v>20230701</v>
      </c>
      <c r="J5197" t="s">
        <v>5679</v>
      </c>
      <c r="K5197" t="s">
        <v>5680</v>
      </c>
    </row>
    <row r="5198" spans="1:28" x14ac:dyDescent="0.3">
      <c r="A5198" s="160">
        <v>49343</v>
      </c>
      <c r="B5198" t="s">
        <v>20401</v>
      </c>
      <c r="C5198" t="s">
        <v>20291</v>
      </c>
      <c r="D5198">
        <v>0.6</v>
      </c>
      <c r="E5198">
        <v>0</v>
      </c>
      <c r="F5198">
        <f t="shared" si="81"/>
        <v>0.6</v>
      </c>
      <c r="I5198">
        <v>20110101</v>
      </c>
      <c r="J5198" t="s">
        <v>5711</v>
      </c>
      <c r="K5198" t="s">
        <v>5687</v>
      </c>
    </row>
    <row r="5199" spans="1:28" x14ac:dyDescent="0.3">
      <c r="A5199" s="160">
        <v>49352</v>
      </c>
      <c r="B5199" t="s">
        <v>20402</v>
      </c>
      <c r="C5199" t="s">
        <v>20291</v>
      </c>
      <c r="D5199">
        <v>0.6</v>
      </c>
      <c r="E5199">
        <v>0</v>
      </c>
      <c r="F5199">
        <f t="shared" si="81"/>
        <v>0.6</v>
      </c>
      <c r="I5199">
        <v>20110101</v>
      </c>
      <c r="J5199" t="s">
        <v>5678</v>
      </c>
    </row>
    <row r="5200" spans="1:28" x14ac:dyDescent="0.3">
      <c r="A5200" s="160">
        <v>49353</v>
      </c>
      <c r="B5200" t="s">
        <v>20403</v>
      </c>
      <c r="C5200" t="s">
        <v>5596</v>
      </c>
      <c r="D5200">
        <v>2</v>
      </c>
      <c r="E5200">
        <v>0</v>
      </c>
      <c r="F5200">
        <f t="shared" si="81"/>
        <v>2</v>
      </c>
      <c r="I5200">
        <v>20120301</v>
      </c>
      <c r="J5200" t="s">
        <v>5735</v>
      </c>
      <c r="K5200" t="s">
        <v>5736</v>
      </c>
      <c r="L5200" t="s">
        <v>5723</v>
      </c>
      <c r="M5200" t="s">
        <v>5755</v>
      </c>
      <c r="N5200" t="s">
        <v>5724</v>
      </c>
      <c r="O5200" t="s">
        <v>5737</v>
      </c>
    </row>
    <row r="5201" spans="1:12" x14ac:dyDescent="0.3">
      <c r="A5201" s="160">
        <v>49355</v>
      </c>
      <c r="B5201" t="s">
        <v>20404</v>
      </c>
      <c r="C5201" t="s">
        <v>20291</v>
      </c>
      <c r="D5201">
        <v>0.6</v>
      </c>
      <c r="E5201">
        <v>0</v>
      </c>
      <c r="F5201">
        <f t="shared" si="81"/>
        <v>0.6</v>
      </c>
      <c r="I5201">
        <v>20110101</v>
      </c>
      <c r="J5201" t="s">
        <v>5683</v>
      </c>
    </row>
    <row r="5202" spans="1:12" x14ac:dyDescent="0.3">
      <c r="A5202" s="160">
        <v>49358</v>
      </c>
      <c r="B5202" t="s">
        <v>20405</v>
      </c>
      <c r="C5202" t="s">
        <v>5592</v>
      </c>
      <c r="D5202">
        <v>0.8</v>
      </c>
      <c r="E5202">
        <v>0</v>
      </c>
      <c r="F5202">
        <f t="shared" si="81"/>
        <v>0.8</v>
      </c>
      <c r="I5202">
        <v>20230701</v>
      </c>
      <c r="J5202" t="s">
        <v>5714</v>
      </c>
    </row>
    <row r="5203" spans="1:12" x14ac:dyDescent="0.3">
      <c r="A5203" s="160">
        <v>49359</v>
      </c>
      <c r="B5203" t="s">
        <v>20406</v>
      </c>
      <c r="C5203" t="s">
        <v>5592</v>
      </c>
      <c r="D5203">
        <v>0.8</v>
      </c>
      <c r="E5203">
        <v>0</v>
      </c>
      <c r="F5203">
        <f t="shared" si="81"/>
        <v>0.8</v>
      </c>
      <c r="I5203">
        <v>20230701</v>
      </c>
      <c r="J5203" t="s">
        <v>5595</v>
      </c>
    </row>
    <row r="5204" spans="1:12" x14ac:dyDescent="0.3">
      <c r="A5204" s="160">
        <v>49361</v>
      </c>
      <c r="B5204" t="s">
        <v>20407</v>
      </c>
      <c r="C5204" t="s">
        <v>5592</v>
      </c>
      <c r="D5204">
        <v>0.8</v>
      </c>
      <c r="E5204">
        <v>0</v>
      </c>
      <c r="F5204">
        <f t="shared" si="81"/>
        <v>0.8</v>
      </c>
      <c r="I5204">
        <v>20230701</v>
      </c>
      <c r="J5204" t="s">
        <v>5714</v>
      </c>
    </row>
    <row r="5205" spans="1:12" x14ac:dyDescent="0.3">
      <c r="A5205" s="160">
        <v>49362</v>
      </c>
      <c r="B5205" t="s">
        <v>20408</v>
      </c>
      <c r="C5205" t="s">
        <v>5592</v>
      </c>
      <c r="D5205">
        <v>0.8</v>
      </c>
      <c r="E5205">
        <v>0</v>
      </c>
      <c r="F5205">
        <f t="shared" si="81"/>
        <v>0.8</v>
      </c>
      <c r="I5205">
        <v>20230701</v>
      </c>
      <c r="J5205" t="s">
        <v>5679</v>
      </c>
      <c r="K5205" t="s">
        <v>5680</v>
      </c>
    </row>
    <row r="5206" spans="1:12" x14ac:dyDescent="0.3">
      <c r="A5206" s="160">
        <v>49364</v>
      </c>
      <c r="B5206" t="s">
        <v>20409</v>
      </c>
      <c r="C5206" t="s">
        <v>5592</v>
      </c>
      <c r="D5206">
        <v>0.8</v>
      </c>
      <c r="E5206">
        <v>0</v>
      </c>
      <c r="F5206">
        <f t="shared" si="81"/>
        <v>0.8</v>
      </c>
      <c r="I5206">
        <v>20230701</v>
      </c>
      <c r="J5206" t="s">
        <v>5659</v>
      </c>
    </row>
    <row r="5207" spans="1:12" x14ac:dyDescent="0.3">
      <c r="A5207" s="160">
        <v>49365</v>
      </c>
      <c r="B5207" t="s">
        <v>20410</v>
      </c>
      <c r="C5207" t="s">
        <v>5592</v>
      </c>
      <c r="D5207">
        <v>0.8</v>
      </c>
      <c r="E5207">
        <v>0</v>
      </c>
      <c r="F5207">
        <f t="shared" si="81"/>
        <v>0.8</v>
      </c>
      <c r="I5207">
        <v>20230701</v>
      </c>
      <c r="J5207" t="s">
        <v>5595</v>
      </c>
    </row>
    <row r="5208" spans="1:12" x14ac:dyDescent="0.3">
      <c r="A5208" s="160">
        <v>49368</v>
      </c>
      <c r="B5208" t="s">
        <v>20411</v>
      </c>
      <c r="C5208" t="s">
        <v>5592</v>
      </c>
      <c r="D5208">
        <v>0.8</v>
      </c>
      <c r="E5208">
        <v>0</v>
      </c>
      <c r="F5208">
        <f t="shared" si="81"/>
        <v>0.8</v>
      </c>
      <c r="I5208">
        <v>20230701</v>
      </c>
      <c r="J5208" t="s">
        <v>5673</v>
      </c>
    </row>
    <row r="5209" spans="1:12" x14ac:dyDescent="0.3">
      <c r="A5209" s="160">
        <v>49369</v>
      </c>
      <c r="B5209" t="s">
        <v>20412</v>
      </c>
      <c r="C5209" t="s">
        <v>5592</v>
      </c>
      <c r="D5209">
        <v>0.8</v>
      </c>
      <c r="E5209">
        <v>0</v>
      </c>
      <c r="F5209">
        <f t="shared" si="81"/>
        <v>0.8</v>
      </c>
      <c r="I5209">
        <v>20230701</v>
      </c>
      <c r="J5209" t="s">
        <v>5673</v>
      </c>
    </row>
    <row r="5210" spans="1:12" x14ac:dyDescent="0.3">
      <c r="A5210" s="160">
        <v>49370</v>
      </c>
      <c r="B5210" t="s">
        <v>20413</v>
      </c>
      <c r="C5210" t="s">
        <v>5592</v>
      </c>
      <c r="D5210">
        <v>0.8</v>
      </c>
      <c r="E5210">
        <v>0</v>
      </c>
      <c r="F5210">
        <f t="shared" si="81"/>
        <v>0.8</v>
      </c>
      <c r="I5210">
        <v>20230701</v>
      </c>
      <c r="J5210" t="s">
        <v>5679</v>
      </c>
    </row>
    <row r="5211" spans="1:12" x14ac:dyDescent="0.3">
      <c r="A5211" s="160">
        <v>49371</v>
      </c>
      <c r="B5211" t="s">
        <v>20414</v>
      </c>
      <c r="C5211" t="s">
        <v>20291</v>
      </c>
      <c r="D5211">
        <v>0.6</v>
      </c>
      <c r="E5211">
        <v>0</v>
      </c>
      <c r="F5211">
        <f t="shared" si="81"/>
        <v>0.6</v>
      </c>
      <c r="I5211">
        <v>20110101</v>
      </c>
      <c r="J5211" t="s">
        <v>5683</v>
      </c>
    </row>
    <row r="5212" spans="1:12" x14ac:dyDescent="0.3">
      <c r="A5212" s="160">
        <v>49373</v>
      </c>
      <c r="B5212" t="s">
        <v>20415</v>
      </c>
      <c r="C5212" t="s">
        <v>20291</v>
      </c>
      <c r="D5212">
        <v>0.6</v>
      </c>
      <c r="E5212">
        <v>0</v>
      </c>
      <c r="F5212">
        <f t="shared" si="81"/>
        <v>0.6</v>
      </c>
      <c r="I5212">
        <v>20211101</v>
      </c>
      <c r="J5212" t="s">
        <v>5677</v>
      </c>
      <c r="K5212" t="s">
        <v>5756</v>
      </c>
      <c r="L5212" t="s">
        <v>5702</v>
      </c>
    </row>
    <row r="5213" spans="1:12" x14ac:dyDescent="0.3">
      <c r="A5213" s="160">
        <v>49374</v>
      </c>
      <c r="B5213" t="s">
        <v>20416</v>
      </c>
      <c r="C5213" t="s">
        <v>5592</v>
      </c>
      <c r="D5213">
        <v>0.8</v>
      </c>
      <c r="E5213">
        <v>0</v>
      </c>
      <c r="F5213">
        <f t="shared" si="81"/>
        <v>0.8</v>
      </c>
      <c r="I5213">
        <v>20230701</v>
      </c>
      <c r="J5213" t="s">
        <v>5679</v>
      </c>
    </row>
    <row r="5214" spans="1:12" x14ac:dyDescent="0.3">
      <c r="A5214" s="160">
        <v>49377</v>
      </c>
      <c r="B5214" t="s">
        <v>20417</v>
      </c>
      <c r="C5214" t="s">
        <v>5596</v>
      </c>
      <c r="D5214">
        <v>2</v>
      </c>
      <c r="E5214">
        <v>0</v>
      </c>
      <c r="F5214">
        <f t="shared" si="81"/>
        <v>2</v>
      </c>
      <c r="I5214">
        <v>20120301</v>
      </c>
      <c r="J5214" t="s">
        <v>5732</v>
      </c>
    </row>
    <row r="5215" spans="1:12" x14ac:dyDescent="0.3">
      <c r="A5215" s="160">
        <v>49378</v>
      </c>
      <c r="B5215" t="s">
        <v>20418</v>
      </c>
      <c r="C5215" t="s">
        <v>5592</v>
      </c>
      <c r="D5215">
        <v>0.8</v>
      </c>
      <c r="E5215">
        <v>0</v>
      </c>
      <c r="F5215">
        <f t="shared" si="81"/>
        <v>0.8</v>
      </c>
      <c r="I5215">
        <v>20230701</v>
      </c>
      <c r="J5215" t="s">
        <v>5716</v>
      </c>
    </row>
    <row r="5216" spans="1:12" x14ac:dyDescent="0.3">
      <c r="A5216" s="160">
        <v>49381</v>
      </c>
      <c r="B5216" t="s">
        <v>20419</v>
      </c>
      <c r="C5216" t="s">
        <v>20291</v>
      </c>
      <c r="D5216">
        <v>0.6</v>
      </c>
      <c r="E5216">
        <v>0</v>
      </c>
      <c r="F5216">
        <f t="shared" si="81"/>
        <v>0.6</v>
      </c>
      <c r="I5216">
        <v>20211101</v>
      </c>
      <c r="J5216" t="s">
        <v>5678</v>
      </c>
    </row>
    <row r="5217" spans="1:17" x14ac:dyDescent="0.3">
      <c r="A5217" s="160">
        <v>50002</v>
      </c>
      <c r="B5217" t="s">
        <v>20420</v>
      </c>
      <c r="C5217" t="s">
        <v>5757</v>
      </c>
      <c r="D5217">
        <v>0.6</v>
      </c>
      <c r="E5217">
        <v>0</v>
      </c>
      <c r="F5217">
        <f t="shared" si="81"/>
        <v>0.6</v>
      </c>
      <c r="I5217">
        <v>20230101</v>
      </c>
      <c r="J5217" t="s">
        <v>5758</v>
      </c>
      <c r="K5217" t="s">
        <v>5759</v>
      </c>
      <c r="L5217" t="s">
        <v>5760</v>
      </c>
      <c r="M5217" t="s">
        <v>5761</v>
      </c>
      <c r="N5217" t="s">
        <v>5762</v>
      </c>
      <c r="O5217" t="s">
        <v>5763</v>
      </c>
      <c r="P5217" t="s">
        <v>5764</v>
      </c>
      <c r="Q5217" t="s">
        <v>5765</v>
      </c>
    </row>
    <row r="5218" spans="1:17" x14ac:dyDescent="0.3">
      <c r="A5218" s="160">
        <v>50003</v>
      </c>
      <c r="B5218" t="s">
        <v>20421</v>
      </c>
      <c r="C5218" t="s">
        <v>5766</v>
      </c>
      <c r="D5218">
        <v>0.32</v>
      </c>
      <c r="E5218">
        <v>0</v>
      </c>
      <c r="F5218">
        <f t="shared" si="81"/>
        <v>0.32</v>
      </c>
      <c r="I5218">
        <v>20220701</v>
      </c>
      <c r="J5218" t="s">
        <v>5767</v>
      </c>
    </row>
    <row r="5219" spans="1:17" x14ac:dyDescent="0.3">
      <c r="A5219" s="160">
        <v>50004</v>
      </c>
      <c r="B5219" t="s">
        <v>20422</v>
      </c>
      <c r="C5219" t="s">
        <v>5757</v>
      </c>
      <c r="D5219">
        <v>0.6</v>
      </c>
      <c r="E5219">
        <v>0</v>
      </c>
      <c r="F5219">
        <f t="shared" si="81"/>
        <v>0.6</v>
      </c>
      <c r="I5219">
        <v>20230101</v>
      </c>
      <c r="J5219" t="s">
        <v>5768</v>
      </c>
    </row>
    <row r="5220" spans="1:17" x14ac:dyDescent="0.3">
      <c r="A5220" s="160">
        <v>50006</v>
      </c>
      <c r="B5220" t="s">
        <v>20423</v>
      </c>
      <c r="C5220" t="s">
        <v>5757</v>
      </c>
      <c r="D5220">
        <v>0.6</v>
      </c>
      <c r="E5220">
        <v>0</v>
      </c>
      <c r="F5220">
        <f t="shared" si="81"/>
        <v>0.6</v>
      </c>
      <c r="I5220">
        <v>20230101</v>
      </c>
      <c r="J5220" t="s">
        <v>5769</v>
      </c>
    </row>
    <row r="5221" spans="1:17" x14ac:dyDescent="0.3">
      <c r="A5221" s="160">
        <v>50008</v>
      </c>
      <c r="B5221" t="s">
        <v>20424</v>
      </c>
      <c r="C5221" t="s">
        <v>5770</v>
      </c>
      <c r="D5221">
        <v>0.25</v>
      </c>
      <c r="E5221">
        <v>0</v>
      </c>
      <c r="F5221">
        <f t="shared" si="81"/>
        <v>0.25</v>
      </c>
      <c r="I5221">
        <v>20220501</v>
      </c>
      <c r="J5221" t="s">
        <v>5771</v>
      </c>
    </row>
    <row r="5222" spans="1:17" x14ac:dyDescent="0.3">
      <c r="A5222" s="160">
        <v>50013</v>
      </c>
      <c r="B5222" t="s">
        <v>20425</v>
      </c>
      <c r="C5222" t="s">
        <v>5772</v>
      </c>
      <c r="D5222">
        <v>1.5</v>
      </c>
      <c r="E5222">
        <v>0</v>
      </c>
      <c r="F5222">
        <f t="shared" si="81"/>
        <v>1.5</v>
      </c>
      <c r="I5222">
        <v>20210701</v>
      </c>
      <c r="J5222" t="s">
        <v>5773</v>
      </c>
    </row>
    <row r="5223" spans="1:17" x14ac:dyDescent="0.3">
      <c r="A5223" s="160">
        <v>50015</v>
      </c>
      <c r="B5223" t="s">
        <v>20426</v>
      </c>
      <c r="C5223" t="s">
        <v>5766</v>
      </c>
      <c r="D5223">
        <v>0.32</v>
      </c>
      <c r="E5223">
        <v>0</v>
      </c>
      <c r="F5223">
        <f t="shared" si="81"/>
        <v>0.32</v>
      </c>
      <c r="I5223">
        <v>20220701</v>
      </c>
      <c r="J5223" t="s">
        <v>5774</v>
      </c>
    </row>
    <row r="5224" spans="1:17" x14ac:dyDescent="0.3">
      <c r="A5224" s="160">
        <v>50022</v>
      </c>
      <c r="B5224" t="s">
        <v>20427</v>
      </c>
      <c r="C5224" t="s">
        <v>5772</v>
      </c>
      <c r="D5224">
        <v>1.5</v>
      </c>
      <c r="E5224">
        <v>0</v>
      </c>
      <c r="F5224">
        <f t="shared" si="81"/>
        <v>1.5</v>
      </c>
      <c r="I5224">
        <v>20210701</v>
      </c>
      <c r="J5224" t="s">
        <v>5775</v>
      </c>
    </row>
    <row r="5225" spans="1:17" x14ac:dyDescent="0.3">
      <c r="A5225" s="160">
        <v>50026</v>
      </c>
      <c r="B5225" t="s">
        <v>20428</v>
      </c>
      <c r="C5225" t="s">
        <v>5772</v>
      </c>
      <c r="D5225">
        <v>1.5</v>
      </c>
      <c r="E5225">
        <v>0</v>
      </c>
      <c r="F5225">
        <f t="shared" si="81"/>
        <v>1.5</v>
      </c>
      <c r="I5225">
        <v>20210701</v>
      </c>
      <c r="J5225" t="s">
        <v>5776</v>
      </c>
    </row>
    <row r="5226" spans="1:17" x14ac:dyDescent="0.3">
      <c r="A5226" s="160">
        <v>50028</v>
      </c>
      <c r="B5226" t="s">
        <v>20429</v>
      </c>
      <c r="C5226" t="s">
        <v>5766</v>
      </c>
      <c r="D5226">
        <v>0.32</v>
      </c>
      <c r="E5226">
        <v>0</v>
      </c>
      <c r="F5226">
        <f t="shared" si="81"/>
        <v>0.32</v>
      </c>
      <c r="I5226">
        <v>20220701</v>
      </c>
      <c r="J5226" t="s">
        <v>5777</v>
      </c>
    </row>
    <row r="5227" spans="1:17" x14ac:dyDescent="0.3">
      <c r="A5227" s="160">
        <v>50030</v>
      </c>
      <c r="B5227" t="s">
        <v>20430</v>
      </c>
      <c r="C5227" t="s">
        <v>5772</v>
      </c>
      <c r="D5227">
        <v>1.5</v>
      </c>
      <c r="E5227">
        <v>0</v>
      </c>
      <c r="F5227">
        <f t="shared" si="81"/>
        <v>1.5</v>
      </c>
      <c r="I5227">
        <v>20210701</v>
      </c>
      <c r="J5227" t="s">
        <v>5773</v>
      </c>
    </row>
    <row r="5228" spans="1:17" x14ac:dyDescent="0.3">
      <c r="A5228" s="160">
        <v>50031</v>
      </c>
      <c r="B5228" t="s">
        <v>20431</v>
      </c>
      <c r="C5228" t="s">
        <v>5772</v>
      </c>
      <c r="D5228">
        <v>1.5</v>
      </c>
      <c r="E5228">
        <v>0</v>
      </c>
      <c r="F5228">
        <f t="shared" si="81"/>
        <v>1.5</v>
      </c>
      <c r="I5228">
        <v>20210701</v>
      </c>
      <c r="J5228" t="s">
        <v>5778</v>
      </c>
    </row>
    <row r="5229" spans="1:17" x14ac:dyDescent="0.3">
      <c r="A5229" s="160">
        <v>50032</v>
      </c>
      <c r="B5229" t="s">
        <v>20432</v>
      </c>
      <c r="C5229" t="s">
        <v>5757</v>
      </c>
      <c r="D5229">
        <v>0.6</v>
      </c>
      <c r="E5229">
        <v>0</v>
      </c>
      <c r="F5229">
        <f t="shared" si="81"/>
        <v>0.6</v>
      </c>
      <c r="I5229">
        <v>20230101</v>
      </c>
      <c r="J5229" t="s">
        <v>5779</v>
      </c>
    </row>
    <row r="5230" spans="1:17" x14ac:dyDescent="0.3">
      <c r="A5230" s="160">
        <v>50033</v>
      </c>
      <c r="B5230" t="s">
        <v>16946</v>
      </c>
      <c r="C5230" t="s">
        <v>5772</v>
      </c>
      <c r="D5230">
        <v>1.5</v>
      </c>
      <c r="E5230">
        <v>0</v>
      </c>
      <c r="F5230">
        <f t="shared" si="81"/>
        <v>1.5</v>
      </c>
      <c r="I5230">
        <v>20210701</v>
      </c>
      <c r="J5230" t="s">
        <v>5778</v>
      </c>
    </row>
    <row r="5231" spans="1:17" x14ac:dyDescent="0.3">
      <c r="A5231" s="160">
        <v>50034</v>
      </c>
      <c r="B5231" t="s">
        <v>20433</v>
      </c>
      <c r="C5231" t="s">
        <v>5757</v>
      </c>
      <c r="D5231">
        <v>0.6</v>
      </c>
      <c r="E5231">
        <v>0</v>
      </c>
      <c r="F5231">
        <f t="shared" si="81"/>
        <v>0.6</v>
      </c>
      <c r="I5231">
        <v>20230101</v>
      </c>
      <c r="J5231" t="s">
        <v>5780</v>
      </c>
    </row>
    <row r="5232" spans="1:17" x14ac:dyDescent="0.3">
      <c r="A5232" s="160">
        <v>50038</v>
      </c>
      <c r="B5232" t="s">
        <v>20434</v>
      </c>
      <c r="C5232" t="s">
        <v>5770</v>
      </c>
      <c r="D5232">
        <v>0.25</v>
      </c>
      <c r="E5232">
        <v>0</v>
      </c>
      <c r="F5232">
        <f t="shared" si="81"/>
        <v>0.25</v>
      </c>
      <c r="I5232">
        <v>20220501</v>
      </c>
      <c r="J5232" t="s">
        <v>5781</v>
      </c>
    </row>
    <row r="5233" spans="1:20" x14ac:dyDescent="0.3">
      <c r="A5233" s="160">
        <v>50039</v>
      </c>
      <c r="B5233" t="s">
        <v>20435</v>
      </c>
      <c r="C5233" t="s">
        <v>5757</v>
      </c>
      <c r="D5233">
        <v>0.6</v>
      </c>
      <c r="E5233">
        <v>0</v>
      </c>
      <c r="F5233">
        <f t="shared" si="81"/>
        <v>0.6</v>
      </c>
      <c r="I5233">
        <v>20230101</v>
      </c>
      <c r="J5233" t="s">
        <v>5782</v>
      </c>
    </row>
    <row r="5234" spans="1:20" x14ac:dyDescent="0.3">
      <c r="A5234" s="160">
        <v>50041</v>
      </c>
      <c r="B5234" t="s">
        <v>20436</v>
      </c>
      <c r="C5234" t="s">
        <v>5772</v>
      </c>
      <c r="D5234">
        <v>1.5</v>
      </c>
      <c r="E5234">
        <v>0</v>
      </c>
      <c r="F5234">
        <f t="shared" si="81"/>
        <v>1.5</v>
      </c>
      <c r="I5234">
        <v>20210701</v>
      </c>
      <c r="J5234" t="s">
        <v>5783</v>
      </c>
      <c r="K5234" t="s">
        <v>5784</v>
      </c>
      <c r="L5234" t="s">
        <v>5785</v>
      </c>
      <c r="M5234" t="s">
        <v>5786</v>
      </c>
      <c r="N5234" t="s">
        <v>5787</v>
      </c>
      <c r="O5234" t="s">
        <v>5788</v>
      </c>
      <c r="P5234" t="s">
        <v>5789</v>
      </c>
      <c r="Q5234" t="s">
        <v>5790</v>
      </c>
      <c r="R5234" t="s">
        <v>5791</v>
      </c>
      <c r="S5234" t="s">
        <v>5792</v>
      </c>
      <c r="T5234" t="s">
        <v>5793</v>
      </c>
    </row>
    <row r="5235" spans="1:20" x14ac:dyDescent="0.3">
      <c r="A5235" s="160">
        <v>50044</v>
      </c>
      <c r="B5235" t="s">
        <v>16114</v>
      </c>
      <c r="C5235" t="s">
        <v>5766</v>
      </c>
      <c r="D5235">
        <v>0.32</v>
      </c>
      <c r="E5235">
        <v>0</v>
      </c>
      <c r="F5235">
        <f t="shared" si="81"/>
        <v>0.32</v>
      </c>
      <c r="I5235">
        <v>20220701</v>
      </c>
      <c r="J5235" t="s">
        <v>5794</v>
      </c>
    </row>
    <row r="5236" spans="1:20" x14ac:dyDescent="0.3">
      <c r="A5236" s="160">
        <v>50045</v>
      </c>
      <c r="B5236" t="s">
        <v>20437</v>
      </c>
      <c r="C5236" t="s">
        <v>5772</v>
      </c>
      <c r="D5236">
        <v>1.5</v>
      </c>
      <c r="E5236">
        <v>0</v>
      </c>
      <c r="F5236">
        <f t="shared" si="81"/>
        <v>1.5</v>
      </c>
      <c r="I5236">
        <v>20210701</v>
      </c>
      <c r="J5236" t="s">
        <v>5795</v>
      </c>
    </row>
    <row r="5237" spans="1:20" x14ac:dyDescent="0.3">
      <c r="A5237" s="160">
        <v>50046</v>
      </c>
      <c r="B5237" t="s">
        <v>20438</v>
      </c>
      <c r="C5237" t="s">
        <v>5757</v>
      </c>
      <c r="D5237">
        <v>0.6</v>
      </c>
      <c r="E5237">
        <v>0</v>
      </c>
      <c r="F5237">
        <f t="shared" si="81"/>
        <v>0.6</v>
      </c>
      <c r="I5237">
        <v>20230101</v>
      </c>
      <c r="J5237" t="s">
        <v>5779</v>
      </c>
    </row>
    <row r="5238" spans="1:20" x14ac:dyDescent="0.3">
      <c r="A5238" s="160">
        <v>50049</v>
      </c>
      <c r="B5238" t="s">
        <v>20439</v>
      </c>
      <c r="C5238" t="s">
        <v>5772</v>
      </c>
      <c r="D5238">
        <v>1.5</v>
      </c>
      <c r="E5238">
        <v>0</v>
      </c>
      <c r="F5238">
        <f t="shared" si="81"/>
        <v>1.5</v>
      </c>
      <c r="I5238">
        <v>20210701</v>
      </c>
      <c r="J5238" t="s">
        <v>5796</v>
      </c>
    </row>
    <row r="5239" spans="1:20" x14ac:dyDescent="0.3">
      <c r="A5239" s="160">
        <v>50050</v>
      </c>
      <c r="B5239" t="s">
        <v>20440</v>
      </c>
      <c r="C5239" t="s">
        <v>5757</v>
      </c>
      <c r="D5239">
        <v>0.6</v>
      </c>
      <c r="E5239">
        <v>0</v>
      </c>
      <c r="F5239">
        <f t="shared" si="81"/>
        <v>0.6</v>
      </c>
      <c r="I5239">
        <v>20230101</v>
      </c>
      <c r="J5239" t="s">
        <v>5782</v>
      </c>
    </row>
    <row r="5240" spans="1:20" x14ac:dyDescent="0.3">
      <c r="A5240" s="160">
        <v>50054</v>
      </c>
      <c r="B5240" t="s">
        <v>20441</v>
      </c>
      <c r="C5240" t="s">
        <v>5757</v>
      </c>
      <c r="D5240">
        <v>0.6</v>
      </c>
      <c r="E5240">
        <v>0</v>
      </c>
      <c r="F5240">
        <f t="shared" si="81"/>
        <v>0.6</v>
      </c>
      <c r="I5240">
        <v>20230101</v>
      </c>
      <c r="J5240" t="s">
        <v>5797</v>
      </c>
    </row>
    <row r="5241" spans="1:20" x14ac:dyDescent="0.3">
      <c r="A5241" s="160">
        <v>50055</v>
      </c>
      <c r="B5241" t="s">
        <v>20442</v>
      </c>
      <c r="C5241" t="s">
        <v>5772</v>
      </c>
      <c r="D5241">
        <v>1.5</v>
      </c>
      <c r="E5241">
        <v>0</v>
      </c>
      <c r="F5241">
        <f t="shared" si="81"/>
        <v>1.5</v>
      </c>
      <c r="I5241">
        <v>20210701</v>
      </c>
      <c r="J5241" t="s">
        <v>5796</v>
      </c>
    </row>
    <row r="5242" spans="1:20" x14ac:dyDescent="0.3">
      <c r="A5242" s="160">
        <v>50058</v>
      </c>
      <c r="B5242" t="s">
        <v>20443</v>
      </c>
      <c r="C5242" t="s">
        <v>5766</v>
      </c>
      <c r="D5242">
        <v>0.32</v>
      </c>
      <c r="E5242">
        <v>0</v>
      </c>
      <c r="F5242">
        <f t="shared" si="81"/>
        <v>0.32</v>
      </c>
      <c r="I5242">
        <v>20220701</v>
      </c>
      <c r="J5242" t="s">
        <v>5798</v>
      </c>
    </row>
    <row r="5243" spans="1:20" x14ac:dyDescent="0.3">
      <c r="A5243" s="160">
        <v>50064</v>
      </c>
      <c r="B5243" t="s">
        <v>20444</v>
      </c>
      <c r="C5243" t="s">
        <v>5772</v>
      </c>
      <c r="D5243">
        <v>1.5</v>
      </c>
      <c r="E5243">
        <v>0</v>
      </c>
      <c r="F5243">
        <f t="shared" si="81"/>
        <v>1.5</v>
      </c>
      <c r="I5243">
        <v>20210701</v>
      </c>
      <c r="J5243" t="s">
        <v>5799</v>
      </c>
    </row>
    <row r="5244" spans="1:20" x14ac:dyDescent="0.3">
      <c r="A5244" s="160">
        <v>50066</v>
      </c>
      <c r="B5244" t="s">
        <v>20445</v>
      </c>
      <c r="C5244" t="s">
        <v>5770</v>
      </c>
      <c r="D5244">
        <v>0.25</v>
      </c>
      <c r="E5244">
        <v>0</v>
      </c>
      <c r="F5244">
        <f t="shared" si="81"/>
        <v>0.25</v>
      </c>
      <c r="I5244">
        <v>20220501</v>
      </c>
      <c r="J5244" t="s">
        <v>5800</v>
      </c>
    </row>
    <row r="5245" spans="1:20" x14ac:dyDescent="0.3">
      <c r="A5245" s="160">
        <v>50072</v>
      </c>
      <c r="B5245" t="s">
        <v>20446</v>
      </c>
      <c r="C5245" t="s">
        <v>5766</v>
      </c>
      <c r="D5245">
        <v>0.32</v>
      </c>
      <c r="E5245">
        <v>0</v>
      </c>
      <c r="F5245">
        <f t="shared" si="81"/>
        <v>0.32</v>
      </c>
      <c r="I5245">
        <v>20220701</v>
      </c>
      <c r="J5245" t="s">
        <v>5801</v>
      </c>
    </row>
    <row r="5246" spans="1:20" x14ac:dyDescent="0.3">
      <c r="A5246" s="160">
        <v>50075</v>
      </c>
      <c r="B5246" t="s">
        <v>20447</v>
      </c>
      <c r="C5246" t="s">
        <v>5757</v>
      </c>
      <c r="D5246">
        <v>0.6</v>
      </c>
      <c r="E5246">
        <v>0</v>
      </c>
      <c r="F5246">
        <f t="shared" si="81"/>
        <v>0.6</v>
      </c>
      <c r="I5246">
        <v>20230101</v>
      </c>
      <c r="J5246" t="s">
        <v>5797</v>
      </c>
    </row>
    <row r="5247" spans="1:20" x14ac:dyDescent="0.3">
      <c r="A5247" s="160">
        <v>50076</v>
      </c>
      <c r="B5247" t="s">
        <v>20448</v>
      </c>
      <c r="C5247" t="s">
        <v>5770</v>
      </c>
      <c r="D5247">
        <v>0.25</v>
      </c>
      <c r="E5247">
        <v>0</v>
      </c>
      <c r="F5247">
        <f t="shared" si="81"/>
        <v>0.25</v>
      </c>
      <c r="I5247">
        <v>20220501</v>
      </c>
      <c r="J5247" t="s">
        <v>5802</v>
      </c>
    </row>
    <row r="5248" spans="1:20" x14ac:dyDescent="0.3">
      <c r="A5248" s="160">
        <v>50077</v>
      </c>
      <c r="B5248" t="s">
        <v>20449</v>
      </c>
      <c r="C5248" t="s">
        <v>5772</v>
      </c>
      <c r="D5248">
        <v>1.5</v>
      </c>
      <c r="E5248">
        <v>0</v>
      </c>
      <c r="F5248">
        <f t="shared" si="81"/>
        <v>1.5</v>
      </c>
      <c r="I5248">
        <v>20210701</v>
      </c>
      <c r="J5248" t="s">
        <v>5803</v>
      </c>
    </row>
    <row r="5249" spans="1:12" x14ac:dyDescent="0.3">
      <c r="A5249" s="160">
        <v>50079</v>
      </c>
      <c r="B5249" t="s">
        <v>20450</v>
      </c>
      <c r="C5249" t="s">
        <v>5772</v>
      </c>
      <c r="D5249">
        <v>1.5</v>
      </c>
      <c r="E5249">
        <v>0</v>
      </c>
      <c r="F5249">
        <f t="shared" si="81"/>
        <v>1.5</v>
      </c>
      <c r="I5249">
        <v>20210701</v>
      </c>
      <c r="J5249" t="s">
        <v>5804</v>
      </c>
    </row>
    <row r="5250" spans="1:12" x14ac:dyDescent="0.3">
      <c r="A5250" s="160">
        <v>50081</v>
      </c>
      <c r="B5250" t="s">
        <v>20451</v>
      </c>
      <c r="C5250" t="s">
        <v>5770</v>
      </c>
      <c r="D5250">
        <v>0.25</v>
      </c>
      <c r="E5250">
        <v>0</v>
      </c>
      <c r="F5250">
        <f t="shared" si="81"/>
        <v>0.25</v>
      </c>
      <c r="I5250">
        <v>20220501</v>
      </c>
      <c r="J5250" t="s">
        <v>5802</v>
      </c>
    </row>
    <row r="5251" spans="1:12" x14ac:dyDescent="0.3">
      <c r="A5251" s="160">
        <v>50082</v>
      </c>
      <c r="B5251" t="s">
        <v>20452</v>
      </c>
      <c r="C5251" t="s">
        <v>5772</v>
      </c>
      <c r="D5251">
        <v>1.5</v>
      </c>
      <c r="E5251">
        <v>0</v>
      </c>
      <c r="F5251">
        <f t="shared" si="81"/>
        <v>1.5</v>
      </c>
      <c r="I5251">
        <v>20210701</v>
      </c>
      <c r="J5251" t="s">
        <v>5804</v>
      </c>
    </row>
    <row r="5252" spans="1:12" x14ac:dyDescent="0.3">
      <c r="A5252" s="160">
        <v>50083</v>
      </c>
      <c r="B5252" t="s">
        <v>20453</v>
      </c>
      <c r="C5252" t="s">
        <v>5772</v>
      </c>
      <c r="D5252">
        <v>1.5</v>
      </c>
      <c r="E5252">
        <v>0</v>
      </c>
      <c r="F5252">
        <f t="shared" si="81"/>
        <v>1.5</v>
      </c>
      <c r="I5252">
        <v>20210701</v>
      </c>
      <c r="J5252" t="s">
        <v>5795</v>
      </c>
    </row>
    <row r="5253" spans="1:12" x14ac:dyDescent="0.3">
      <c r="A5253" s="160">
        <v>50084</v>
      </c>
      <c r="B5253" t="s">
        <v>20454</v>
      </c>
      <c r="C5253" t="s">
        <v>5766</v>
      </c>
      <c r="D5253">
        <v>0.32</v>
      </c>
      <c r="E5253">
        <v>0</v>
      </c>
      <c r="F5253">
        <f t="shared" si="81"/>
        <v>0.32</v>
      </c>
      <c r="I5253">
        <v>20220701</v>
      </c>
      <c r="J5253" t="s">
        <v>5801</v>
      </c>
    </row>
    <row r="5254" spans="1:12" x14ac:dyDescent="0.3">
      <c r="A5254" s="160">
        <v>50085</v>
      </c>
      <c r="B5254" t="s">
        <v>20455</v>
      </c>
      <c r="C5254" t="s">
        <v>5770</v>
      </c>
      <c r="D5254">
        <v>0.25</v>
      </c>
      <c r="E5254">
        <v>0</v>
      </c>
      <c r="F5254">
        <f t="shared" si="81"/>
        <v>0.25</v>
      </c>
      <c r="I5254">
        <v>20220501</v>
      </c>
      <c r="J5254" t="s">
        <v>5802</v>
      </c>
    </row>
    <row r="5255" spans="1:12" x14ac:dyDescent="0.3">
      <c r="A5255" s="160">
        <v>50086</v>
      </c>
      <c r="B5255" t="s">
        <v>20456</v>
      </c>
      <c r="C5255" t="s">
        <v>5772</v>
      </c>
      <c r="D5255">
        <v>1.5</v>
      </c>
      <c r="E5255">
        <v>0</v>
      </c>
      <c r="F5255">
        <f t="shared" ref="F5255:F5318" si="82">D5255+E5255</f>
        <v>1.5</v>
      </c>
      <c r="I5255">
        <v>20210701</v>
      </c>
      <c r="J5255" t="s">
        <v>5805</v>
      </c>
    </row>
    <row r="5256" spans="1:12" x14ac:dyDescent="0.3">
      <c r="A5256" s="160">
        <v>50087</v>
      </c>
      <c r="B5256" t="s">
        <v>20457</v>
      </c>
      <c r="C5256" t="s">
        <v>5772</v>
      </c>
      <c r="D5256">
        <v>1.5</v>
      </c>
      <c r="E5256">
        <v>0</v>
      </c>
      <c r="F5256">
        <f t="shared" si="82"/>
        <v>1.5</v>
      </c>
      <c r="I5256">
        <v>20210701</v>
      </c>
      <c r="J5256" t="s">
        <v>5806</v>
      </c>
    </row>
    <row r="5257" spans="1:12" x14ac:dyDescent="0.3">
      <c r="A5257" s="160">
        <v>50092</v>
      </c>
      <c r="B5257" t="s">
        <v>20458</v>
      </c>
      <c r="C5257" t="s">
        <v>5766</v>
      </c>
      <c r="D5257">
        <v>0.32</v>
      </c>
      <c r="E5257">
        <v>0</v>
      </c>
      <c r="F5257">
        <f t="shared" si="82"/>
        <v>0.32</v>
      </c>
      <c r="I5257">
        <v>20220701</v>
      </c>
      <c r="J5257" t="s">
        <v>5801</v>
      </c>
    </row>
    <row r="5258" spans="1:12" x14ac:dyDescent="0.3">
      <c r="A5258" s="160">
        <v>50093</v>
      </c>
      <c r="B5258" t="s">
        <v>20459</v>
      </c>
      <c r="C5258" t="s">
        <v>5766</v>
      </c>
      <c r="D5258">
        <v>0.32</v>
      </c>
      <c r="E5258">
        <v>0</v>
      </c>
      <c r="F5258">
        <f t="shared" si="82"/>
        <v>0.32</v>
      </c>
      <c r="I5258">
        <v>20220701</v>
      </c>
      <c r="J5258" t="s">
        <v>5807</v>
      </c>
    </row>
    <row r="5259" spans="1:12" x14ac:dyDescent="0.3">
      <c r="A5259" s="160">
        <v>50094</v>
      </c>
      <c r="B5259" t="s">
        <v>20460</v>
      </c>
      <c r="C5259" t="s">
        <v>5766</v>
      </c>
      <c r="D5259">
        <v>0.32</v>
      </c>
      <c r="E5259">
        <v>0</v>
      </c>
      <c r="F5259">
        <f t="shared" si="82"/>
        <v>0.32</v>
      </c>
      <c r="I5259">
        <v>20220701</v>
      </c>
      <c r="J5259" t="s">
        <v>5794</v>
      </c>
    </row>
    <row r="5260" spans="1:12" x14ac:dyDescent="0.3">
      <c r="A5260" s="160">
        <v>50095</v>
      </c>
      <c r="B5260" t="s">
        <v>20461</v>
      </c>
      <c r="C5260" t="s">
        <v>5757</v>
      </c>
      <c r="D5260">
        <v>0.6</v>
      </c>
      <c r="E5260">
        <v>0</v>
      </c>
      <c r="F5260">
        <f t="shared" si="82"/>
        <v>0.6</v>
      </c>
      <c r="I5260">
        <v>20230101</v>
      </c>
      <c r="J5260" t="s">
        <v>5760</v>
      </c>
      <c r="K5260" t="s">
        <v>5762</v>
      </c>
      <c r="L5260" t="s">
        <v>5808</v>
      </c>
    </row>
    <row r="5261" spans="1:12" x14ac:dyDescent="0.3">
      <c r="A5261" s="160">
        <v>50096</v>
      </c>
      <c r="B5261" t="s">
        <v>20462</v>
      </c>
      <c r="C5261" t="s">
        <v>5772</v>
      </c>
      <c r="D5261">
        <v>1.5</v>
      </c>
      <c r="E5261">
        <v>0</v>
      </c>
      <c r="F5261">
        <f t="shared" si="82"/>
        <v>1.5</v>
      </c>
      <c r="I5261">
        <v>20210701</v>
      </c>
      <c r="J5261" t="s">
        <v>5805</v>
      </c>
    </row>
    <row r="5262" spans="1:12" x14ac:dyDescent="0.3">
      <c r="A5262" s="160">
        <v>50097</v>
      </c>
      <c r="B5262" t="s">
        <v>20463</v>
      </c>
      <c r="C5262" t="s">
        <v>5772</v>
      </c>
      <c r="D5262">
        <v>1.5</v>
      </c>
      <c r="E5262">
        <v>0</v>
      </c>
      <c r="F5262">
        <f t="shared" si="82"/>
        <v>1.5</v>
      </c>
      <c r="I5262">
        <v>20210701</v>
      </c>
      <c r="J5262" t="s">
        <v>5809</v>
      </c>
    </row>
    <row r="5263" spans="1:12" x14ac:dyDescent="0.3">
      <c r="A5263" s="160">
        <v>50098</v>
      </c>
      <c r="B5263" t="s">
        <v>20464</v>
      </c>
      <c r="C5263" t="s">
        <v>5757</v>
      </c>
      <c r="D5263">
        <v>0.6</v>
      </c>
      <c r="E5263">
        <v>0</v>
      </c>
      <c r="F5263">
        <f t="shared" si="82"/>
        <v>0.6</v>
      </c>
      <c r="I5263">
        <v>20230101</v>
      </c>
      <c r="J5263" t="s">
        <v>5807</v>
      </c>
    </row>
    <row r="5264" spans="1:12" x14ac:dyDescent="0.3">
      <c r="A5264" s="160">
        <v>50101</v>
      </c>
      <c r="B5264" t="s">
        <v>20465</v>
      </c>
      <c r="C5264" t="s">
        <v>5772</v>
      </c>
      <c r="D5264">
        <v>1.5</v>
      </c>
      <c r="E5264">
        <v>0</v>
      </c>
      <c r="F5264">
        <f t="shared" si="82"/>
        <v>1.5</v>
      </c>
      <c r="I5264">
        <v>20210701</v>
      </c>
      <c r="J5264" t="s">
        <v>5805</v>
      </c>
    </row>
    <row r="5265" spans="1:29" x14ac:dyDescent="0.3">
      <c r="A5265" s="160">
        <v>50102</v>
      </c>
      <c r="B5265" t="s">
        <v>20466</v>
      </c>
      <c r="C5265" t="s">
        <v>5770</v>
      </c>
      <c r="D5265">
        <v>0.25</v>
      </c>
      <c r="E5265">
        <v>0</v>
      </c>
      <c r="F5265">
        <f t="shared" si="82"/>
        <v>0.25</v>
      </c>
      <c r="I5265">
        <v>20220501</v>
      </c>
      <c r="J5265" t="s">
        <v>5810</v>
      </c>
    </row>
    <row r="5266" spans="1:29" x14ac:dyDescent="0.3">
      <c r="A5266" s="160">
        <v>50105</v>
      </c>
      <c r="B5266" t="s">
        <v>20467</v>
      </c>
      <c r="C5266" t="s">
        <v>5772</v>
      </c>
      <c r="D5266">
        <v>1.5</v>
      </c>
      <c r="E5266">
        <v>0</v>
      </c>
      <c r="F5266">
        <f t="shared" si="82"/>
        <v>1.5</v>
      </c>
      <c r="I5266">
        <v>20210701</v>
      </c>
      <c r="J5266" t="s">
        <v>5796</v>
      </c>
    </row>
    <row r="5267" spans="1:29" x14ac:dyDescent="0.3">
      <c r="A5267" s="160">
        <v>50106</v>
      </c>
      <c r="B5267" t="s">
        <v>20468</v>
      </c>
      <c r="C5267" t="s">
        <v>5757</v>
      </c>
      <c r="D5267">
        <v>0.6</v>
      </c>
      <c r="E5267">
        <v>0</v>
      </c>
      <c r="F5267">
        <f t="shared" si="82"/>
        <v>0.6</v>
      </c>
      <c r="I5267">
        <v>20230101</v>
      </c>
      <c r="J5267" t="s">
        <v>5769</v>
      </c>
    </row>
    <row r="5268" spans="1:29" x14ac:dyDescent="0.3">
      <c r="A5268" s="160">
        <v>50109</v>
      </c>
      <c r="B5268" t="s">
        <v>20469</v>
      </c>
      <c r="C5268" t="s">
        <v>5770</v>
      </c>
      <c r="D5268">
        <v>0.25</v>
      </c>
      <c r="E5268">
        <v>0</v>
      </c>
      <c r="F5268">
        <f t="shared" si="82"/>
        <v>0.25</v>
      </c>
      <c r="I5268">
        <v>20220501</v>
      </c>
      <c r="J5268" t="s">
        <v>5811</v>
      </c>
    </row>
    <row r="5269" spans="1:29" x14ac:dyDescent="0.3">
      <c r="A5269" s="160">
        <v>50110</v>
      </c>
      <c r="B5269" t="s">
        <v>20470</v>
      </c>
      <c r="C5269" t="s">
        <v>5757</v>
      </c>
      <c r="D5269">
        <v>0.6</v>
      </c>
      <c r="E5269">
        <v>0</v>
      </c>
      <c r="F5269">
        <f t="shared" si="82"/>
        <v>0.6</v>
      </c>
      <c r="I5269">
        <v>20230101</v>
      </c>
      <c r="J5269" t="s">
        <v>5768</v>
      </c>
    </row>
    <row r="5270" spans="1:29" x14ac:dyDescent="0.3">
      <c r="A5270" s="160">
        <v>50111</v>
      </c>
      <c r="B5270" t="s">
        <v>20471</v>
      </c>
      <c r="C5270" t="s">
        <v>5766</v>
      </c>
      <c r="D5270">
        <v>0.32</v>
      </c>
      <c r="E5270">
        <v>0</v>
      </c>
      <c r="F5270">
        <f t="shared" si="82"/>
        <v>0.32</v>
      </c>
      <c r="I5270">
        <v>20220701</v>
      </c>
      <c r="J5270" t="s">
        <v>5794</v>
      </c>
    </row>
    <row r="5271" spans="1:29" x14ac:dyDescent="0.3">
      <c r="A5271" s="160">
        <v>50117</v>
      </c>
      <c r="B5271" t="s">
        <v>19225</v>
      </c>
      <c r="C5271" t="s">
        <v>5770</v>
      </c>
      <c r="D5271">
        <v>0.25</v>
      </c>
      <c r="E5271">
        <v>0</v>
      </c>
      <c r="F5271">
        <f t="shared" si="82"/>
        <v>0.25</v>
      </c>
      <c r="I5271">
        <v>20220501</v>
      </c>
      <c r="J5271" t="s">
        <v>5812</v>
      </c>
    </row>
    <row r="5272" spans="1:29" x14ac:dyDescent="0.3">
      <c r="A5272" s="160">
        <v>50119</v>
      </c>
      <c r="B5272" t="s">
        <v>20472</v>
      </c>
      <c r="C5272" t="s">
        <v>5757</v>
      </c>
      <c r="D5272">
        <v>0.6</v>
      </c>
      <c r="E5272">
        <v>0</v>
      </c>
      <c r="F5272">
        <f t="shared" si="82"/>
        <v>0.6</v>
      </c>
      <c r="I5272">
        <v>20230101</v>
      </c>
      <c r="J5272" t="s">
        <v>5769</v>
      </c>
    </row>
    <row r="5273" spans="1:29" x14ac:dyDescent="0.3">
      <c r="A5273" s="160">
        <v>50120</v>
      </c>
      <c r="B5273" t="s">
        <v>20473</v>
      </c>
      <c r="C5273" t="s">
        <v>5770</v>
      </c>
      <c r="D5273">
        <v>0.25</v>
      </c>
      <c r="E5273">
        <v>0</v>
      </c>
      <c r="F5273">
        <f t="shared" si="82"/>
        <v>0.25</v>
      </c>
      <c r="I5273">
        <v>20220501</v>
      </c>
      <c r="J5273" t="s">
        <v>5811</v>
      </c>
    </row>
    <row r="5274" spans="1:29" x14ac:dyDescent="0.3">
      <c r="A5274" s="160">
        <v>50123</v>
      </c>
      <c r="B5274" t="s">
        <v>20474</v>
      </c>
      <c r="C5274" t="s">
        <v>5757</v>
      </c>
      <c r="D5274">
        <v>0.6</v>
      </c>
      <c r="E5274">
        <v>0</v>
      </c>
      <c r="F5274">
        <f t="shared" si="82"/>
        <v>0.6</v>
      </c>
      <c r="I5274">
        <v>20230101</v>
      </c>
      <c r="J5274" t="s">
        <v>5807</v>
      </c>
    </row>
    <row r="5275" spans="1:29" x14ac:dyDescent="0.3">
      <c r="A5275" s="160">
        <v>50129</v>
      </c>
      <c r="B5275" t="s">
        <v>20475</v>
      </c>
      <c r="C5275" t="s">
        <v>5772</v>
      </c>
      <c r="D5275">
        <v>1.5</v>
      </c>
      <c r="E5275">
        <v>0</v>
      </c>
      <c r="F5275">
        <f t="shared" si="82"/>
        <v>1.5</v>
      </c>
      <c r="I5275">
        <v>20210701</v>
      </c>
      <c r="J5275" t="s">
        <v>5813</v>
      </c>
      <c r="K5275" t="s">
        <v>5814</v>
      </c>
      <c r="L5275" t="s">
        <v>5815</v>
      </c>
      <c r="M5275" t="s">
        <v>5816</v>
      </c>
      <c r="N5275" t="s">
        <v>5817</v>
      </c>
      <c r="O5275" t="s">
        <v>5818</v>
      </c>
      <c r="P5275" t="s">
        <v>5819</v>
      </c>
      <c r="Q5275" t="s">
        <v>5820</v>
      </c>
      <c r="R5275" t="s">
        <v>5821</v>
      </c>
      <c r="S5275" t="s">
        <v>5803</v>
      </c>
      <c r="T5275" t="s">
        <v>5822</v>
      </c>
      <c r="U5275" t="s">
        <v>5823</v>
      </c>
      <c r="V5275" t="s">
        <v>5824</v>
      </c>
      <c r="W5275" t="s">
        <v>5825</v>
      </c>
      <c r="X5275" t="s">
        <v>5826</v>
      </c>
      <c r="Y5275" t="s">
        <v>5790</v>
      </c>
      <c r="Z5275" t="s">
        <v>5792</v>
      </c>
      <c r="AA5275" t="s">
        <v>5827</v>
      </c>
      <c r="AB5275" t="s">
        <v>5828</v>
      </c>
      <c r="AC5275" t="s">
        <v>5829</v>
      </c>
    </row>
    <row r="5276" spans="1:29" x14ac:dyDescent="0.3">
      <c r="A5276" s="160">
        <v>50134</v>
      </c>
      <c r="B5276" t="s">
        <v>20476</v>
      </c>
      <c r="C5276" t="s">
        <v>5757</v>
      </c>
      <c r="D5276">
        <v>0.6</v>
      </c>
      <c r="E5276">
        <v>0</v>
      </c>
      <c r="F5276">
        <f t="shared" si="82"/>
        <v>0.6</v>
      </c>
      <c r="I5276">
        <v>20230101</v>
      </c>
      <c r="J5276" t="s">
        <v>5782</v>
      </c>
    </row>
    <row r="5277" spans="1:29" x14ac:dyDescent="0.3">
      <c r="A5277" s="160">
        <v>50135</v>
      </c>
      <c r="B5277" t="s">
        <v>20477</v>
      </c>
      <c r="C5277" t="s">
        <v>5772</v>
      </c>
      <c r="D5277">
        <v>1.5</v>
      </c>
      <c r="E5277">
        <v>0</v>
      </c>
      <c r="F5277">
        <f t="shared" si="82"/>
        <v>1.5</v>
      </c>
      <c r="I5277">
        <v>20210701</v>
      </c>
      <c r="J5277" t="s">
        <v>5805</v>
      </c>
    </row>
    <row r="5278" spans="1:29" x14ac:dyDescent="0.3">
      <c r="A5278" s="160">
        <v>50138</v>
      </c>
      <c r="B5278" t="s">
        <v>20478</v>
      </c>
      <c r="C5278" t="s">
        <v>5772</v>
      </c>
      <c r="D5278">
        <v>1.5</v>
      </c>
      <c r="E5278">
        <v>0</v>
      </c>
      <c r="F5278">
        <f t="shared" si="82"/>
        <v>1.5</v>
      </c>
      <c r="I5278">
        <v>20210701</v>
      </c>
      <c r="J5278" t="s">
        <v>5806</v>
      </c>
    </row>
    <row r="5279" spans="1:29" x14ac:dyDescent="0.3">
      <c r="A5279" s="160">
        <v>50139</v>
      </c>
      <c r="B5279" t="s">
        <v>20479</v>
      </c>
      <c r="C5279" t="s">
        <v>5757</v>
      </c>
      <c r="D5279">
        <v>0.6</v>
      </c>
      <c r="E5279">
        <v>0</v>
      </c>
      <c r="F5279">
        <f t="shared" si="82"/>
        <v>0.6</v>
      </c>
      <c r="I5279">
        <v>20230101</v>
      </c>
      <c r="J5279" t="s">
        <v>5782</v>
      </c>
      <c r="K5279" t="s">
        <v>5830</v>
      </c>
    </row>
    <row r="5280" spans="1:29" x14ac:dyDescent="0.3">
      <c r="A5280" s="160">
        <v>50142</v>
      </c>
      <c r="B5280" t="s">
        <v>20480</v>
      </c>
      <c r="C5280" t="s">
        <v>5772</v>
      </c>
      <c r="D5280">
        <v>1.5</v>
      </c>
      <c r="E5280">
        <v>0</v>
      </c>
      <c r="F5280">
        <f t="shared" si="82"/>
        <v>1.5</v>
      </c>
      <c r="I5280">
        <v>20210701</v>
      </c>
      <c r="J5280" t="s">
        <v>5805</v>
      </c>
    </row>
    <row r="5281" spans="1:18" x14ac:dyDescent="0.3">
      <c r="A5281" s="160">
        <v>50143</v>
      </c>
      <c r="B5281" t="s">
        <v>20481</v>
      </c>
      <c r="C5281" t="s">
        <v>5770</v>
      </c>
      <c r="D5281">
        <v>0.25</v>
      </c>
      <c r="E5281">
        <v>0</v>
      </c>
      <c r="F5281">
        <f t="shared" si="82"/>
        <v>0.25</v>
      </c>
      <c r="I5281">
        <v>20220501</v>
      </c>
      <c r="J5281" t="s">
        <v>5802</v>
      </c>
    </row>
    <row r="5282" spans="1:18" x14ac:dyDescent="0.3">
      <c r="A5282" s="160">
        <v>50145</v>
      </c>
      <c r="B5282" t="s">
        <v>20482</v>
      </c>
      <c r="C5282" t="s">
        <v>5766</v>
      </c>
      <c r="D5282">
        <v>0.32</v>
      </c>
      <c r="E5282">
        <v>0</v>
      </c>
      <c r="F5282">
        <f t="shared" si="82"/>
        <v>0.32</v>
      </c>
      <c r="I5282">
        <v>20220701</v>
      </c>
      <c r="J5282" t="s">
        <v>5801</v>
      </c>
    </row>
    <row r="5283" spans="1:18" x14ac:dyDescent="0.3">
      <c r="A5283" s="160">
        <v>50147</v>
      </c>
      <c r="B5283" t="s">
        <v>20483</v>
      </c>
      <c r="C5283" t="s">
        <v>5766</v>
      </c>
      <c r="D5283">
        <v>0.32</v>
      </c>
      <c r="E5283">
        <v>0</v>
      </c>
      <c r="F5283">
        <f t="shared" si="82"/>
        <v>0.32</v>
      </c>
      <c r="I5283">
        <v>20220701</v>
      </c>
      <c r="J5283" t="s">
        <v>5801</v>
      </c>
      <c r="K5283" t="s">
        <v>5831</v>
      </c>
      <c r="L5283" t="s">
        <v>5832</v>
      </c>
      <c r="M5283" t="s">
        <v>5833</v>
      </c>
      <c r="N5283" t="s">
        <v>5834</v>
      </c>
      <c r="O5283" t="s">
        <v>5835</v>
      </c>
      <c r="P5283" t="s">
        <v>5836</v>
      </c>
      <c r="Q5283" t="s">
        <v>5837</v>
      </c>
      <c r="R5283" t="s">
        <v>5838</v>
      </c>
    </row>
    <row r="5284" spans="1:18" x14ac:dyDescent="0.3">
      <c r="A5284" s="160">
        <v>50148</v>
      </c>
      <c r="B5284" t="s">
        <v>20484</v>
      </c>
      <c r="C5284" t="s">
        <v>5757</v>
      </c>
      <c r="D5284">
        <v>0.6</v>
      </c>
      <c r="E5284">
        <v>0</v>
      </c>
      <c r="F5284">
        <f t="shared" si="82"/>
        <v>0.6</v>
      </c>
      <c r="I5284">
        <v>20230101</v>
      </c>
      <c r="J5284" t="s">
        <v>5768</v>
      </c>
    </row>
    <row r="5285" spans="1:18" x14ac:dyDescent="0.3">
      <c r="A5285" s="160">
        <v>50149</v>
      </c>
      <c r="B5285" t="s">
        <v>20485</v>
      </c>
      <c r="C5285" t="s">
        <v>5772</v>
      </c>
      <c r="D5285">
        <v>1.5</v>
      </c>
      <c r="E5285">
        <v>0</v>
      </c>
      <c r="F5285">
        <f t="shared" si="82"/>
        <v>1.5</v>
      </c>
      <c r="I5285">
        <v>20210701</v>
      </c>
      <c r="J5285" t="s">
        <v>5793</v>
      </c>
    </row>
    <row r="5286" spans="1:18" x14ac:dyDescent="0.3">
      <c r="A5286" s="160">
        <v>50150</v>
      </c>
      <c r="B5286" t="s">
        <v>17686</v>
      </c>
      <c r="C5286" t="s">
        <v>5772</v>
      </c>
      <c r="D5286">
        <v>1.5</v>
      </c>
      <c r="E5286">
        <v>0</v>
      </c>
      <c r="F5286">
        <f t="shared" si="82"/>
        <v>1.5</v>
      </c>
      <c r="I5286">
        <v>20210701</v>
      </c>
      <c r="J5286" t="s">
        <v>5775</v>
      </c>
    </row>
    <row r="5287" spans="1:18" x14ac:dyDescent="0.3">
      <c r="A5287" s="160">
        <v>50156</v>
      </c>
      <c r="B5287" t="s">
        <v>20486</v>
      </c>
      <c r="C5287" t="s">
        <v>5772</v>
      </c>
      <c r="D5287">
        <v>1.5</v>
      </c>
      <c r="E5287">
        <v>0</v>
      </c>
      <c r="F5287">
        <f t="shared" si="82"/>
        <v>1.5</v>
      </c>
      <c r="I5287">
        <v>20210701</v>
      </c>
      <c r="J5287" t="s">
        <v>5799</v>
      </c>
    </row>
    <row r="5288" spans="1:18" x14ac:dyDescent="0.3">
      <c r="A5288" s="160">
        <v>50159</v>
      </c>
      <c r="B5288" t="s">
        <v>20487</v>
      </c>
      <c r="C5288" t="s">
        <v>5757</v>
      </c>
      <c r="D5288">
        <v>0.6</v>
      </c>
      <c r="E5288">
        <v>0</v>
      </c>
      <c r="F5288">
        <f t="shared" si="82"/>
        <v>0.6</v>
      </c>
      <c r="I5288">
        <v>20230101</v>
      </c>
      <c r="J5288" t="s">
        <v>5808</v>
      </c>
    </row>
    <row r="5289" spans="1:18" x14ac:dyDescent="0.3">
      <c r="A5289" s="160">
        <v>50160</v>
      </c>
      <c r="B5289" t="s">
        <v>20488</v>
      </c>
      <c r="C5289" t="s">
        <v>5772</v>
      </c>
      <c r="D5289">
        <v>1.5</v>
      </c>
      <c r="E5289">
        <v>0</v>
      </c>
      <c r="F5289">
        <f t="shared" si="82"/>
        <v>1.5</v>
      </c>
      <c r="I5289">
        <v>20210701</v>
      </c>
      <c r="J5289" t="s">
        <v>5809</v>
      </c>
    </row>
    <row r="5290" spans="1:18" x14ac:dyDescent="0.3">
      <c r="A5290" s="160">
        <v>50161</v>
      </c>
      <c r="B5290" t="s">
        <v>20489</v>
      </c>
      <c r="C5290" t="s">
        <v>5757</v>
      </c>
      <c r="D5290">
        <v>0.6</v>
      </c>
      <c r="E5290">
        <v>0</v>
      </c>
      <c r="F5290">
        <f t="shared" si="82"/>
        <v>0.6</v>
      </c>
      <c r="I5290">
        <v>20230101</v>
      </c>
      <c r="J5290" t="s">
        <v>5769</v>
      </c>
    </row>
    <row r="5291" spans="1:18" x14ac:dyDescent="0.3">
      <c r="A5291" s="160">
        <v>50162</v>
      </c>
      <c r="B5291" t="s">
        <v>20490</v>
      </c>
      <c r="C5291" t="s">
        <v>5772</v>
      </c>
      <c r="D5291">
        <v>1.5</v>
      </c>
      <c r="E5291">
        <v>0</v>
      </c>
      <c r="F5291">
        <f t="shared" si="82"/>
        <v>1.5</v>
      </c>
      <c r="I5291">
        <v>20210701</v>
      </c>
      <c r="J5291" t="s">
        <v>5803</v>
      </c>
    </row>
    <row r="5292" spans="1:18" x14ac:dyDescent="0.3">
      <c r="A5292" s="160">
        <v>50164</v>
      </c>
      <c r="B5292" t="s">
        <v>20491</v>
      </c>
      <c r="C5292" t="s">
        <v>5757</v>
      </c>
      <c r="D5292">
        <v>0.6</v>
      </c>
      <c r="E5292">
        <v>0</v>
      </c>
      <c r="F5292">
        <f t="shared" si="82"/>
        <v>0.6</v>
      </c>
      <c r="I5292">
        <v>20230101</v>
      </c>
      <c r="J5292" t="s">
        <v>5782</v>
      </c>
    </row>
    <row r="5293" spans="1:18" x14ac:dyDescent="0.3">
      <c r="A5293" s="160">
        <v>50165</v>
      </c>
      <c r="B5293" t="s">
        <v>20492</v>
      </c>
      <c r="C5293" t="s">
        <v>5770</v>
      </c>
      <c r="D5293">
        <v>0.45</v>
      </c>
      <c r="E5293">
        <v>0</v>
      </c>
      <c r="F5293">
        <f t="shared" si="82"/>
        <v>0.45</v>
      </c>
      <c r="I5293">
        <v>20220501</v>
      </c>
      <c r="J5293" t="s">
        <v>5839</v>
      </c>
      <c r="K5293" t="s">
        <v>5840</v>
      </c>
      <c r="L5293" t="s">
        <v>5841</v>
      </c>
      <c r="M5293" t="s">
        <v>5842</v>
      </c>
    </row>
    <row r="5294" spans="1:18" x14ac:dyDescent="0.3">
      <c r="A5294" s="160">
        <v>50169</v>
      </c>
      <c r="B5294" t="s">
        <v>20493</v>
      </c>
      <c r="C5294" t="s">
        <v>5772</v>
      </c>
      <c r="D5294">
        <v>1.5</v>
      </c>
      <c r="E5294">
        <v>0</v>
      </c>
      <c r="F5294">
        <f t="shared" si="82"/>
        <v>1.5</v>
      </c>
      <c r="I5294">
        <v>20210701</v>
      </c>
      <c r="J5294" t="s">
        <v>5776</v>
      </c>
    </row>
    <row r="5295" spans="1:18" x14ac:dyDescent="0.3">
      <c r="A5295" s="160">
        <v>50172</v>
      </c>
      <c r="B5295" t="s">
        <v>20494</v>
      </c>
      <c r="C5295" t="s">
        <v>5772</v>
      </c>
      <c r="D5295">
        <v>1.5</v>
      </c>
      <c r="E5295">
        <v>0</v>
      </c>
      <c r="F5295">
        <f t="shared" si="82"/>
        <v>1.5</v>
      </c>
      <c r="I5295">
        <v>20210701</v>
      </c>
      <c r="J5295" t="s">
        <v>5776</v>
      </c>
    </row>
    <row r="5296" spans="1:18" x14ac:dyDescent="0.3">
      <c r="A5296" s="160">
        <v>50173</v>
      </c>
      <c r="B5296" t="s">
        <v>20495</v>
      </c>
      <c r="C5296" t="s">
        <v>5772</v>
      </c>
      <c r="D5296">
        <v>1.5</v>
      </c>
      <c r="E5296">
        <v>0</v>
      </c>
      <c r="F5296">
        <f t="shared" si="82"/>
        <v>1.5</v>
      </c>
      <c r="I5296">
        <v>20210701</v>
      </c>
      <c r="J5296" t="s">
        <v>5814</v>
      </c>
      <c r="K5296" t="s">
        <v>5817</v>
      </c>
      <c r="L5296" t="s">
        <v>5825</v>
      </c>
    </row>
    <row r="5297" spans="1:10" x14ac:dyDescent="0.3">
      <c r="A5297" s="160">
        <v>50174</v>
      </c>
      <c r="B5297" t="s">
        <v>20496</v>
      </c>
      <c r="C5297" t="s">
        <v>5770</v>
      </c>
      <c r="D5297">
        <v>0.25</v>
      </c>
      <c r="E5297">
        <v>0</v>
      </c>
      <c r="F5297">
        <f t="shared" si="82"/>
        <v>0.25</v>
      </c>
      <c r="I5297">
        <v>20220501</v>
      </c>
      <c r="J5297" t="s">
        <v>5781</v>
      </c>
    </row>
    <row r="5298" spans="1:10" x14ac:dyDescent="0.3">
      <c r="A5298" s="160">
        <v>50175</v>
      </c>
      <c r="B5298" t="s">
        <v>20497</v>
      </c>
      <c r="C5298" t="s">
        <v>5772</v>
      </c>
      <c r="D5298">
        <v>1.5</v>
      </c>
      <c r="E5298">
        <v>0</v>
      </c>
      <c r="F5298">
        <f t="shared" si="82"/>
        <v>1.5</v>
      </c>
      <c r="I5298">
        <v>20210701</v>
      </c>
      <c r="J5298" t="s">
        <v>5776</v>
      </c>
    </row>
    <row r="5299" spans="1:10" x14ac:dyDescent="0.3">
      <c r="A5299" s="160">
        <v>50176</v>
      </c>
      <c r="B5299" t="s">
        <v>20498</v>
      </c>
      <c r="C5299" t="s">
        <v>5772</v>
      </c>
      <c r="D5299">
        <v>1.5</v>
      </c>
      <c r="E5299">
        <v>0</v>
      </c>
      <c r="F5299">
        <f t="shared" si="82"/>
        <v>1.5</v>
      </c>
      <c r="I5299">
        <v>20210701</v>
      </c>
      <c r="J5299" t="s">
        <v>5804</v>
      </c>
    </row>
    <row r="5300" spans="1:10" x14ac:dyDescent="0.3">
      <c r="A5300" s="160">
        <v>50178</v>
      </c>
      <c r="B5300" t="s">
        <v>20499</v>
      </c>
      <c r="C5300" t="s">
        <v>5772</v>
      </c>
      <c r="D5300">
        <v>1.5</v>
      </c>
      <c r="E5300">
        <v>0</v>
      </c>
      <c r="F5300">
        <f t="shared" si="82"/>
        <v>1.5</v>
      </c>
      <c r="I5300">
        <v>20210701</v>
      </c>
      <c r="J5300" t="s">
        <v>5843</v>
      </c>
    </row>
    <row r="5301" spans="1:10" x14ac:dyDescent="0.3">
      <c r="A5301" s="160">
        <v>50180</v>
      </c>
      <c r="B5301" t="s">
        <v>20500</v>
      </c>
      <c r="C5301" t="s">
        <v>5757</v>
      </c>
      <c r="D5301">
        <v>0.6</v>
      </c>
      <c r="E5301">
        <v>0</v>
      </c>
      <c r="F5301">
        <f t="shared" si="82"/>
        <v>0.6</v>
      </c>
      <c r="I5301">
        <v>20230101</v>
      </c>
      <c r="J5301" t="s">
        <v>5782</v>
      </c>
    </row>
    <row r="5302" spans="1:10" x14ac:dyDescent="0.3">
      <c r="A5302" s="160">
        <v>50183</v>
      </c>
      <c r="B5302" t="s">
        <v>20501</v>
      </c>
      <c r="C5302" t="s">
        <v>5772</v>
      </c>
      <c r="D5302">
        <v>1.5</v>
      </c>
      <c r="E5302">
        <v>0</v>
      </c>
      <c r="F5302">
        <f t="shared" si="82"/>
        <v>1.5</v>
      </c>
      <c r="I5302">
        <v>20210701</v>
      </c>
      <c r="J5302" t="s">
        <v>5809</v>
      </c>
    </row>
    <row r="5303" spans="1:10" x14ac:dyDescent="0.3">
      <c r="A5303" s="160">
        <v>50184</v>
      </c>
      <c r="B5303" t="s">
        <v>20502</v>
      </c>
      <c r="C5303" t="s">
        <v>5772</v>
      </c>
      <c r="D5303">
        <v>1.5</v>
      </c>
      <c r="E5303">
        <v>0</v>
      </c>
      <c r="F5303">
        <f t="shared" si="82"/>
        <v>1.5</v>
      </c>
      <c r="I5303">
        <v>20210701</v>
      </c>
      <c r="J5303" t="s">
        <v>5795</v>
      </c>
    </row>
    <row r="5304" spans="1:10" x14ac:dyDescent="0.3">
      <c r="A5304" s="160">
        <v>50186</v>
      </c>
      <c r="B5304" t="s">
        <v>20503</v>
      </c>
      <c r="C5304" t="s">
        <v>5772</v>
      </c>
      <c r="D5304">
        <v>1.5</v>
      </c>
      <c r="E5304">
        <v>0</v>
      </c>
      <c r="F5304">
        <f t="shared" si="82"/>
        <v>1.5</v>
      </c>
      <c r="I5304">
        <v>20210701</v>
      </c>
      <c r="J5304" t="s">
        <v>5806</v>
      </c>
    </row>
    <row r="5305" spans="1:10" x14ac:dyDescent="0.3">
      <c r="A5305" s="160">
        <v>50188</v>
      </c>
      <c r="B5305" t="s">
        <v>20504</v>
      </c>
      <c r="C5305" t="s">
        <v>5770</v>
      </c>
      <c r="D5305">
        <v>0.25</v>
      </c>
      <c r="E5305">
        <v>0</v>
      </c>
      <c r="F5305">
        <f t="shared" si="82"/>
        <v>0.25</v>
      </c>
      <c r="I5305">
        <v>20220501</v>
      </c>
      <c r="J5305" t="s">
        <v>5781</v>
      </c>
    </row>
    <row r="5306" spans="1:10" x14ac:dyDescent="0.3">
      <c r="A5306" s="160">
        <v>50190</v>
      </c>
      <c r="B5306" t="s">
        <v>20505</v>
      </c>
      <c r="C5306" t="s">
        <v>5772</v>
      </c>
      <c r="D5306">
        <v>1.5</v>
      </c>
      <c r="E5306">
        <v>0</v>
      </c>
      <c r="F5306">
        <f t="shared" si="82"/>
        <v>1.5</v>
      </c>
      <c r="I5306">
        <v>20210701</v>
      </c>
      <c r="J5306" t="s">
        <v>5776</v>
      </c>
    </row>
    <row r="5307" spans="1:10" x14ac:dyDescent="0.3">
      <c r="A5307" s="160">
        <v>50192</v>
      </c>
      <c r="B5307" t="s">
        <v>20506</v>
      </c>
      <c r="C5307" t="s">
        <v>5757</v>
      </c>
      <c r="D5307">
        <v>0.6</v>
      </c>
      <c r="E5307">
        <v>0</v>
      </c>
      <c r="F5307">
        <f t="shared" si="82"/>
        <v>0.6</v>
      </c>
      <c r="I5307">
        <v>20230101</v>
      </c>
      <c r="J5307" t="s">
        <v>5782</v>
      </c>
    </row>
    <row r="5308" spans="1:10" x14ac:dyDescent="0.3">
      <c r="A5308" s="160">
        <v>50194</v>
      </c>
      <c r="B5308" t="s">
        <v>20507</v>
      </c>
      <c r="C5308" t="s">
        <v>5772</v>
      </c>
      <c r="D5308">
        <v>1.5</v>
      </c>
      <c r="E5308">
        <v>0</v>
      </c>
      <c r="F5308">
        <f t="shared" si="82"/>
        <v>1.5</v>
      </c>
      <c r="I5308">
        <v>20210701</v>
      </c>
      <c r="J5308" t="s">
        <v>5776</v>
      </c>
    </row>
    <row r="5309" spans="1:10" x14ac:dyDescent="0.3">
      <c r="A5309" s="160">
        <v>50196</v>
      </c>
      <c r="B5309" t="s">
        <v>20508</v>
      </c>
      <c r="C5309" t="s">
        <v>5772</v>
      </c>
      <c r="D5309">
        <v>1.5</v>
      </c>
      <c r="E5309">
        <v>0</v>
      </c>
      <c r="F5309">
        <f t="shared" si="82"/>
        <v>1.5</v>
      </c>
      <c r="I5309">
        <v>20210701</v>
      </c>
      <c r="J5309" t="s">
        <v>5773</v>
      </c>
    </row>
    <row r="5310" spans="1:10" x14ac:dyDescent="0.3">
      <c r="A5310" s="160">
        <v>50197</v>
      </c>
      <c r="B5310" t="s">
        <v>20509</v>
      </c>
      <c r="C5310" t="s">
        <v>5766</v>
      </c>
      <c r="D5310">
        <v>0.32</v>
      </c>
      <c r="E5310">
        <v>0</v>
      </c>
      <c r="F5310">
        <f t="shared" si="82"/>
        <v>0.32</v>
      </c>
      <c r="I5310">
        <v>20220701</v>
      </c>
      <c r="J5310" t="s">
        <v>5777</v>
      </c>
    </row>
    <row r="5311" spans="1:10" x14ac:dyDescent="0.3">
      <c r="A5311" s="160">
        <v>50202</v>
      </c>
      <c r="B5311" t="s">
        <v>20510</v>
      </c>
      <c r="C5311" t="s">
        <v>5757</v>
      </c>
      <c r="D5311">
        <v>0.6</v>
      </c>
      <c r="E5311">
        <v>0</v>
      </c>
      <c r="F5311">
        <f t="shared" si="82"/>
        <v>0.6</v>
      </c>
      <c r="I5311">
        <v>20230101</v>
      </c>
      <c r="J5311" t="s">
        <v>5797</v>
      </c>
    </row>
    <row r="5312" spans="1:10" x14ac:dyDescent="0.3">
      <c r="A5312" s="160">
        <v>50203</v>
      </c>
      <c r="B5312" t="s">
        <v>20511</v>
      </c>
      <c r="C5312" t="s">
        <v>5772</v>
      </c>
      <c r="D5312">
        <v>1.5</v>
      </c>
      <c r="E5312">
        <v>0</v>
      </c>
      <c r="F5312">
        <f t="shared" si="82"/>
        <v>1.5</v>
      </c>
      <c r="I5312">
        <v>20210701</v>
      </c>
      <c r="J5312" t="s">
        <v>5827</v>
      </c>
    </row>
    <row r="5313" spans="1:17" x14ac:dyDescent="0.3">
      <c r="A5313" s="160">
        <v>50207</v>
      </c>
      <c r="B5313" t="s">
        <v>20512</v>
      </c>
      <c r="C5313" t="s">
        <v>5772</v>
      </c>
      <c r="D5313">
        <v>1.5</v>
      </c>
      <c r="E5313">
        <v>0</v>
      </c>
      <c r="F5313">
        <f t="shared" si="82"/>
        <v>1.5</v>
      </c>
      <c r="I5313">
        <v>20210701</v>
      </c>
      <c r="J5313" t="s">
        <v>5796</v>
      </c>
    </row>
    <row r="5314" spans="1:17" x14ac:dyDescent="0.3">
      <c r="A5314" s="160">
        <v>50209</v>
      </c>
      <c r="B5314" t="s">
        <v>20513</v>
      </c>
      <c r="C5314" t="s">
        <v>5772</v>
      </c>
      <c r="D5314">
        <v>1.5</v>
      </c>
      <c r="E5314">
        <v>0</v>
      </c>
      <c r="F5314">
        <f t="shared" si="82"/>
        <v>1.5</v>
      </c>
      <c r="I5314">
        <v>20210701</v>
      </c>
      <c r="J5314" t="s">
        <v>5805</v>
      </c>
    </row>
    <row r="5315" spans="1:17" x14ac:dyDescent="0.3">
      <c r="A5315" s="160">
        <v>50214</v>
      </c>
      <c r="B5315" t="s">
        <v>20514</v>
      </c>
      <c r="C5315" t="s">
        <v>5757</v>
      </c>
      <c r="D5315">
        <v>0.6</v>
      </c>
      <c r="E5315">
        <v>0</v>
      </c>
      <c r="F5315">
        <f t="shared" si="82"/>
        <v>0.6</v>
      </c>
      <c r="I5315">
        <v>20230101</v>
      </c>
      <c r="J5315" t="s">
        <v>5782</v>
      </c>
    </row>
    <row r="5316" spans="1:17" x14ac:dyDescent="0.3">
      <c r="A5316" s="160">
        <v>50215</v>
      </c>
      <c r="B5316" t="s">
        <v>20515</v>
      </c>
      <c r="C5316" t="s">
        <v>5766</v>
      </c>
      <c r="D5316">
        <v>0.32</v>
      </c>
      <c r="E5316">
        <v>0</v>
      </c>
      <c r="F5316">
        <f t="shared" si="82"/>
        <v>0.32</v>
      </c>
      <c r="I5316">
        <v>20220701</v>
      </c>
      <c r="J5316" t="s">
        <v>5801</v>
      </c>
      <c r="K5316" t="s">
        <v>5836</v>
      </c>
      <c r="L5316" t="s">
        <v>5798</v>
      </c>
    </row>
    <row r="5317" spans="1:17" x14ac:dyDescent="0.3">
      <c r="A5317" s="160">
        <v>50216</v>
      </c>
      <c r="B5317" t="s">
        <v>20516</v>
      </c>
      <c r="C5317" t="s">
        <v>5757</v>
      </c>
      <c r="D5317">
        <v>0.6</v>
      </c>
      <c r="E5317">
        <v>0</v>
      </c>
      <c r="F5317">
        <f t="shared" si="82"/>
        <v>0.6</v>
      </c>
      <c r="I5317">
        <v>20230101</v>
      </c>
      <c r="J5317" t="s">
        <v>5769</v>
      </c>
    </row>
    <row r="5318" spans="1:17" x14ac:dyDescent="0.3">
      <c r="A5318" s="160">
        <v>50218</v>
      </c>
      <c r="B5318" t="s">
        <v>20517</v>
      </c>
      <c r="C5318" t="s">
        <v>5770</v>
      </c>
      <c r="D5318">
        <v>0.45</v>
      </c>
      <c r="E5318">
        <v>0</v>
      </c>
      <c r="F5318">
        <f t="shared" si="82"/>
        <v>0.45</v>
      </c>
      <c r="I5318">
        <v>20220501</v>
      </c>
      <c r="J5318" t="s">
        <v>5771</v>
      </c>
      <c r="K5318" t="s">
        <v>5844</v>
      </c>
      <c r="L5318" t="s">
        <v>5840</v>
      </c>
      <c r="M5318" t="s">
        <v>5841</v>
      </c>
      <c r="N5318" t="s">
        <v>5845</v>
      </c>
      <c r="O5318" t="s">
        <v>5846</v>
      </c>
      <c r="P5318" t="s">
        <v>5842</v>
      </c>
      <c r="Q5318" t="s">
        <v>5847</v>
      </c>
    </row>
    <row r="5319" spans="1:17" x14ac:dyDescent="0.3">
      <c r="A5319" s="160">
        <v>50219</v>
      </c>
      <c r="B5319" t="s">
        <v>20518</v>
      </c>
      <c r="C5319" t="s">
        <v>5766</v>
      </c>
      <c r="D5319">
        <v>0.32</v>
      </c>
      <c r="E5319">
        <v>0</v>
      </c>
      <c r="F5319">
        <f t="shared" ref="F5319:F5382" si="83">D5319+E5319</f>
        <v>0.32</v>
      </c>
      <c r="I5319">
        <v>20220701</v>
      </c>
      <c r="J5319" t="s">
        <v>5801</v>
      </c>
      <c r="K5319" t="s">
        <v>5833</v>
      </c>
      <c r="L5319" t="s">
        <v>5836</v>
      </c>
    </row>
    <row r="5320" spans="1:17" x14ac:dyDescent="0.3">
      <c r="A5320" s="160">
        <v>50221</v>
      </c>
      <c r="B5320" t="s">
        <v>20519</v>
      </c>
      <c r="C5320" t="s">
        <v>5766</v>
      </c>
      <c r="D5320">
        <v>0.32</v>
      </c>
      <c r="E5320">
        <v>0</v>
      </c>
      <c r="F5320">
        <f t="shared" si="83"/>
        <v>0.32</v>
      </c>
      <c r="I5320">
        <v>20220701</v>
      </c>
      <c r="J5320" t="s">
        <v>5777</v>
      </c>
    </row>
    <row r="5321" spans="1:17" x14ac:dyDescent="0.3">
      <c r="A5321" s="160">
        <v>50222</v>
      </c>
      <c r="B5321" t="s">
        <v>20520</v>
      </c>
      <c r="C5321" t="s">
        <v>5772</v>
      </c>
      <c r="D5321">
        <v>1.5</v>
      </c>
      <c r="E5321">
        <v>0</v>
      </c>
      <c r="F5321">
        <f t="shared" si="83"/>
        <v>1.5</v>
      </c>
      <c r="I5321">
        <v>20210701</v>
      </c>
      <c r="J5321" t="s">
        <v>5795</v>
      </c>
    </row>
    <row r="5322" spans="1:17" x14ac:dyDescent="0.3">
      <c r="A5322" s="160">
        <v>50224</v>
      </c>
      <c r="B5322" t="s">
        <v>20521</v>
      </c>
      <c r="C5322" t="s">
        <v>5757</v>
      </c>
      <c r="D5322">
        <v>0.6</v>
      </c>
      <c r="E5322">
        <v>0</v>
      </c>
      <c r="F5322">
        <f t="shared" si="83"/>
        <v>0.6</v>
      </c>
      <c r="I5322">
        <v>20230101</v>
      </c>
      <c r="J5322" t="s">
        <v>5797</v>
      </c>
    </row>
    <row r="5323" spans="1:17" x14ac:dyDescent="0.3">
      <c r="A5323" s="160">
        <v>50227</v>
      </c>
      <c r="B5323" t="s">
        <v>20522</v>
      </c>
      <c r="C5323" t="s">
        <v>5772</v>
      </c>
      <c r="D5323">
        <v>1.5</v>
      </c>
      <c r="E5323">
        <v>0</v>
      </c>
      <c r="F5323">
        <f t="shared" si="83"/>
        <v>1.5</v>
      </c>
      <c r="I5323">
        <v>20210701</v>
      </c>
      <c r="J5323" t="s">
        <v>5776</v>
      </c>
    </row>
    <row r="5324" spans="1:17" x14ac:dyDescent="0.3">
      <c r="A5324" s="160">
        <v>50228</v>
      </c>
      <c r="B5324" t="s">
        <v>20523</v>
      </c>
      <c r="C5324" t="s">
        <v>5766</v>
      </c>
      <c r="D5324">
        <v>0.32</v>
      </c>
      <c r="E5324">
        <v>0</v>
      </c>
      <c r="F5324">
        <f t="shared" si="83"/>
        <v>0.32</v>
      </c>
      <c r="I5324">
        <v>20220701</v>
      </c>
      <c r="J5324" t="s">
        <v>5777</v>
      </c>
    </row>
    <row r="5325" spans="1:17" x14ac:dyDescent="0.3">
      <c r="A5325" s="160">
        <v>50230</v>
      </c>
      <c r="B5325" t="s">
        <v>20524</v>
      </c>
      <c r="C5325" t="s">
        <v>5772</v>
      </c>
      <c r="D5325">
        <v>1.5</v>
      </c>
      <c r="E5325">
        <v>0</v>
      </c>
      <c r="F5325">
        <f t="shared" si="83"/>
        <v>1.5</v>
      </c>
      <c r="I5325">
        <v>20210701</v>
      </c>
      <c r="J5325" t="s">
        <v>5793</v>
      </c>
    </row>
    <row r="5326" spans="1:17" x14ac:dyDescent="0.3">
      <c r="A5326" s="160">
        <v>50231</v>
      </c>
      <c r="B5326" t="s">
        <v>20525</v>
      </c>
      <c r="C5326" t="s">
        <v>5766</v>
      </c>
      <c r="D5326">
        <v>0.32</v>
      </c>
      <c r="E5326">
        <v>0</v>
      </c>
      <c r="F5326">
        <f t="shared" si="83"/>
        <v>0.32</v>
      </c>
      <c r="I5326">
        <v>20220701</v>
      </c>
      <c r="J5326" t="s">
        <v>5848</v>
      </c>
    </row>
    <row r="5327" spans="1:17" x14ac:dyDescent="0.3">
      <c r="A5327" s="160">
        <v>50232</v>
      </c>
      <c r="B5327" t="s">
        <v>20526</v>
      </c>
      <c r="C5327" t="s">
        <v>5766</v>
      </c>
      <c r="D5327">
        <v>0.32</v>
      </c>
      <c r="E5327">
        <v>0</v>
      </c>
      <c r="F5327">
        <f t="shared" si="83"/>
        <v>0.32</v>
      </c>
      <c r="I5327">
        <v>20220701</v>
      </c>
      <c r="J5327" t="s">
        <v>5807</v>
      </c>
    </row>
    <row r="5328" spans="1:17" x14ac:dyDescent="0.3">
      <c r="A5328" s="160">
        <v>50233</v>
      </c>
      <c r="B5328" t="s">
        <v>20527</v>
      </c>
      <c r="C5328" t="s">
        <v>5772</v>
      </c>
      <c r="D5328">
        <v>1.5</v>
      </c>
      <c r="E5328">
        <v>0</v>
      </c>
      <c r="F5328">
        <f t="shared" si="83"/>
        <v>1.5</v>
      </c>
      <c r="I5328">
        <v>20210701</v>
      </c>
      <c r="J5328" t="s">
        <v>5796</v>
      </c>
    </row>
    <row r="5329" spans="1:12" x14ac:dyDescent="0.3">
      <c r="A5329" s="160">
        <v>50235</v>
      </c>
      <c r="B5329" t="s">
        <v>20528</v>
      </c>
      <c r="C5329" t="s">
        <v>5772</v>
      </c>
      <c r="D5329">
        <v>1.5</v>
      </c>
      <c r="E5329">
        <v>0</v>
      </c>
      <c r="F5329">
        <f t="shared" si="83"/>
        <v>1.5</v>
      </c>
      <c r="I5329">
        <v>20210701</v>
      </c>
      <c r="J5329" t="s">
        <v>5778</v>
      </c>
    </row>
    <row r="5330" spans="1:12" x14ac:dyDescent="0.3">
      <c r="A5330" s="160">
        <v>50237</v>
      </c>
      <c r="B5330" t="s">
        <v>20529</v>
      </c>
      <c r="C5330" t="s">
        <v>5770</v>
      </c>
      <c r="D5330">
        <v>0.25</v>
      </c>
      <c r="E5330">
        <v>0</v>
      </c>
      <c r="F5330">
        <f t="shared" si="83"/>
        <v>0.25</v>
      </c>
      <c r="I5330">
        <v>20220501</v>
      </c>
      <c r="J5330" t="s">
        <v>5781</v>
      </c>
    </row>
    <row r="5331" spans="1:12" x14ac:dyDescent="0.3">
      <c r="A5331" s="160">
        <v>50238</v>
      </c>
      <c r="B5331" t="s">
        <v>20530</v>
      </c>
      <c r="C5331" t="s">
        <v>5772</v>
      </c>
      <c r="D5331">
        <v>1.5</v>
      </c>
      <c r="E5331">
        <v>0</v>
      </c>
      <c r="F5331">
        <f t="shared" si="83"/>
        <v>1.5</v>
      </c>
      <c r="I5331">
        <v>20210701</v>
      </c>
      <c r="J5331" t="s">
        <v>5795</v>
      </c>
    </row>
    <row r="5332" spans="1:12" x14ac:dyDescent="0.3">
      <c r="A5332" s="160">
        <v>50239</v>
      </c>
      <c r="B5332" t="s">
        <v>20531</v>
      </c>
      <c r="C5332" t="s">
        <v>5757</v>
      </c>
      <c r="D5332">
        <v>0.6</v>
      </c>
      <c r="E5332">
        <v>0</v>
      </c>
      <c r="F5332">
        <f t="shared" si="83"/>
        <v>0.6</v>
      </c>
      <c r="I5332">
        <v>20230101</v>
      </c>
      <c r="J5332" t="s">
        <v>5849</v>
      </c>
      <c r="K5332" t="s">
        <v>5765</v>
      </c>
      <c r="L5332" t="s">
        <v>5807</v>
      </c>
    </row>
    <row r="5333" spans="1:12" x14ac:dyDescent="0.3">
      <c r="A5333" s="160">
        <v>50240</v>
      </c>
      <c r="B5333" t="s">
        <v>20532</v>
      </c>
      <c r="C5333" t="s">
        <v>5772</v>
      </c>
      <c r="D5333">
        <v>1.5</v>
      </c>
      <c r="E5333">
        <v>0</v>
      </c>
      <c r="F5333">
        <f t="shared" si="83"/>
        <v>1.5</v>
      </c>
      <c r="I5333">
        <v>20210701</v>
      </c>
      <c r="J5333" t="s">
        <v>5795</v>
      </c>
    </row>
    <row r="5334" spans="1:12" x14ac:dyDescent="0.3">
      <c r="A5334" s="160">
        <v>50241</v>
      </c>
      <c r="B5334" t="s">
        <v>20533</v>
      </c>
      <c r="C5334" t="s">
        <v>5772</v>
      </c>
      <c r="D5334">
        <v>1.5</v>
      </c>
      <c r="E5334">
        <v>0</v>
      </c>
      <c r="F5334">
        <f t="shared" si="83"/>
        <v>1.5</v>
      </c>
      <c r="I5334">
        <v>20210701</v>
      </c>
      <c r="J5334" t="s">
        <v>5806</v>
      </c>
    </row>
    <row r="5335" spans="1:12" x14ac:dyDescent="0.3">
      <c r="A5335" s="160">
        <v>50243</v>
      </c>
      <c r="B5335" t="s">
        <v>20534</v>
      </c>
      <c r="C5335" t="s">
        <v>5766</v>
      </c>
      <c r="D5335">
        <v>0.32</v>
      </c>
      <c r="E5335">
        <v>0</v>
      </c>
      <c r="F5335">
        <f t="shared" si="83"/>
        <v>0.32</v>
      </c>
      <c r="I5335">
        <v>20220701</v>
      </c>
      <c r="J5335" t="s">
        <v>5801</v>
      </c>
    </row>
    <row r="5336" spans="1:12" x14ac:dyDescent="0.3">
      <c r="A5336" s="160">
        <v>50247</v>
      </c>
      <c r="B5336" t="s">
        <v>20535</v>
      </c>
      <c r="C5336" t="s">
        <v>5770</v>
      </c>
      <c r="D5336">
        <v>0.25</v>
      </c>
      <c r="E5336">
        <v>0</v>
      </c>
      <c r="F5336">
        <f t="shared" si="83"/>
        <v>0.25</v>
      </c>
      <c r="I5336">
        <v>20220501</v>
      </c>
      <c r="J5336" t="s">
        <v>5781</v>
      </c>
    </row>
    <row r="5337" spans="1:12" x14ac:dyDescent="0.3">
      <c r="A5337" s="160">
        <v>50248</v>
      </c>
      <c r="B5337" t="s">
        <v>20536</v>
      </c>
      <c r="C5337" t="s">
        <v>5757</v>
      </c>
      <c r="D5337">
        <v>0.6</v>
      </c>
      <c r="E5337">
        <v>0</v>
      </c>
      <c r="F5337">
        <f t="shared" si="83"/>
        <v>0.6</v>
      </c>
      <c r="I5337">
        <v>20230101</v>
      </c>
      <c r="J5337" t="s">
        <v>5769</v>
      </c>
    </row>
    <row r="5338" spans="1:12" x14ac:dyDescent="0.3">
      <c r="A5338" s="160">
        <v>50251</v>
      </c>
      <c r="B5338" t="s">
        <v>20537</v>
      </c>
      <c r="C5338" t="s">
        <v>5772</v>
      </c>
      <c r="D5338">
        <v>1.5</v>
      </c>
      <c r="E5338">
        <v>0</v>
      </c>
      <c r="F5338">
        <f t="shared" si="83"/>
        <v>1.5</v>
      </c>
      <c r="I5338">
        <v>20210701</v>
      </c>
      <c r="J5338" t="s">
        <v>5806</v>
      </c>
    </row>
    <row r="5339" spans="1:12" x14ac:dyDescent="0.3">
      <c r="A5339" s="160">
        <v>50252</v>
      </c>
      <c r="B5339" t="s">
        <v>20538</v>
      </c>
      <c r="C5339" t="s">
        <v>5770</v>
      </c>
      <c r="D5339">
        <v>0.25</v>
      </c>
      <c r="E5339">
        <v>0</v>
      </c>
      <c r="F5339">
        <f t="shared" si="83"/>
        <v>0.25</v>
      </c>
      <c r="I5339">
        <v>20220501</v>
      </c>
      <c r="J5339" t="s">
        <v>5811</v>
      </c>
    </row>
    <row r="5340" spans="1:12" x14ac:dyDescent="0.3">
      <c r="A5340" s="160">
        <v>50258</v>
      </c>
      <c r="B5340" t="s">
        <v>20539</v>
      </c>
      <c r="C5340" t="s">
        <v>5772</v>
      </c>
      <c r="D5340">
        <v>1.5</v>
      </c>
      <c r="E5340">
        <v>0</v>
      </c>
      <c r="F5340">
        <f t="shared" si="83"/>
        <v>1.5</v>
      </c>
      <c r="I5340">
        <v>20210701</v>
      </c>
      <c r="J5340" t="s">
        <v>5776</v>
      </c>
    </row>
    <row r="5341" spans="1:12" x14ac:dyDescent="0.3">
      <c r="A5341" s="160">
        <v>50261</v>
      </c>
      <c r="B5341" t="s">
        <v>20540</v>
      </c>
      <c r="C5341" t="s">
        <v>5757</v>
      </c>
      <c r="D5341">
        <v>0.6</v>
      </c>
      <c r="E5341">
        <v>0</v>
      </c>
      <c r="F5341">
        <f t="shared" si="83"/>
        <v>0.6</v>
      </c>
      <c r="I5341">
        <v>20230101</v>
      </c>
      <c r="J5341" t="s">
        <v>5797</v>
      </c>
    </row>
    <row r="5342" spans="1:12" x14ac:dyDescent="0.3">
      <c r="A5342" s="160">
        <v>50266</v>
      </c>
      <c r="B5342" t="s">
        <v>20541</v>
      </c>
      <c r="C5342" t="s">
        <v>5766</v>
      </c>
      <c r="D5342">
        <v>0.32</v>
      </c>
      <c r="E5342">
        <v>0</v>
      </c>
      <c r="F5342">
        <f t="shared" si="83"/>
        <v>0.32</v>
      </c>
      <c r="I5342">
        <v>20220701</v>
      </c>
      <c r="J5342" t="s">
        <v>5777</v>
      </c>
    </row>
    <row r="5343" spans="1:12" x14ac:dyDescent="0.3">
      <c r="A5343" s="160">
        <v>50268</v>
      </c>
      <c r="B5343" t="s">
        <v>20542</v>
      </c>
      <c r="C5343" t="s">
        <v>5772</v>
      </c>
      <c r="D5343">
        <v>1.5</v>
      </c>
      <c r="E5343">
        <v>0</v>
      </c>
      <c r="F5343">
        <f t="shared" si="83"/>
        <v>1.5</v>
      </c>
      <c r="I5343">
        <v>20210701</v>
      </c>
      <c r="J5343" t="s">
        <v>5776</v>
      </c>
    </row>
    <row r="5344" spans="1:12" x14ac:dyDescent="0.3">
      <c r="A5344" s="160">
        <v>50270</v>
      </c>
      <c r="B5344" t="s">
        <v>20543</v>
      </c>
      <c r="C5344" t="s">
        <v>5772</v>
      </c>
      <c r="D5344">
        <v>1.5</v>
      </c>
      <c r="E5344">
        <v>0</v>
      </c>
      <c r="F5344">
        <f t="shared" si="83"/>
        <v>1.5</v>
      </c>
      <c r="I5344">
        <v>20210701</v>
      </c>
      <c r="J5344" t="s">
        <v>5806</v>
      </c>
    </row>
    <row r="5345" spans="1:11" x14ac:dyDescent="0.3">
      <c r="A5345" s="160">
        <v>50272</v>
      </c>
      <c r="B5345" t="s">
        <v>20544</v>
      </c>
      <c r="C5345" t="s">
        <v>5766</v>
      </c>
      <c r="D5345">
        <v>0.32</v>
      </c>
      <c r="E5345">
        <v>0</v>
      </c>
      <c r="F5345">
        <f t="shared" si="83"/>
        <v>0.32</v>
      </c>
      <c r="I5345">
        <v>20220701</v>
      </c>
      <c r="J5345" t="s">
        <v>5774</v>
      </c>
    </row>
    <row r="5346" spans="1:11" x14ac:dyDescent="0.3">
      <c r="A5346" s="160">
        <v>50277</v>
      </c>
      <c r="B5346" t="s">
        <v>20225</v>
      </c>
      <c r="C5346" t="s">
        <v>5770</v>
      </c>
      <c r="D5346">
        <v>0.25</v>
      </c>
      <c r="E5346">
        <v>0</v>
      </c>
      <c r="F5346">
        <f t="shared" si="83"/>
        <v>0.25</v>
      </c>
      <c r="I5346">
        <v>20220501</v>
      </c>
      <c r="J5346" t="s">
        <v>5802</v>
      </c>
      <c r="K5346" t="s">
        <v>5840</v>
      </c>
    </row>
    <row r="5347" spans="1:11" x14ac:dyDescent="0.3">
      <c r="A5347" s="160">
        <v>50278</v>
      </c>
      <c r="B5347" t="s">
        <v>20545</v>
      </c>
      <c r="C5347" t="s">
        <v>5770</v>
      </c>
      <c r="D5347">
        <v>0.25</v>
      </c>
      <c r="E5347">
        <v>0</v>
      </c>
      <c r="F5347">
        <f t="shared" si="83"/>
        <v>0.25</v>
      </c>
      <c r="I5347">
        <v>20220501</v>
      </c>
      <c r="J5347" t="s">
        <v>5811</v>
      </c>
    </row>
    <row r="5348" spans="1:11" x14ac:dyDescent="0.3">
      <c r="A5348" s="160">
        <v>50279</v>
      </c>
      <c r="B5348" t="s">
        <v>20546</v>
      </c>
      <c r="C5348" t="s">
        <v>5757</v>
      </c>
      <c r="D5348">
        <v>0.6</v>
      </c>
      <c r="E5348">
        <v>0</v>
      </c>
      <c r="F5348">
        <f t="shared" si="83"/>
        <v>0.6</v>
      </c>
      <c r="I5348">
        <v>20230101</v>
      </c>
      <c r="J5348" t="s">
        <v>5807</v>
      </c>
    </row>
    <row r="5349" spans="1:11" x14ac:dyDescent="0.3">
      <c r="A5349" s="160">
        <v>50280</v>
      </c>
      <c r="B5349" t="s">
        <v>20547</v>
      </c>
      <c r="C5349" t="s">
        <v>5757</v>
      </c>
      <c r="D5349">
        <v>0.6</v>
      </c>
      <c r="E5349">
        <v>0</v>
      </c>
      <c r="F5349">
        <f t="shared" si="83"/>
        <v>0.6</v>
      </c>
      <c r="I5349">
        <v>20230101</v>
      </c>
      <c r="J5349" t="s">
        <v>5807</v>
      </c>
    </row>
    <row r="5350" spans="1:11" x14ac:dyDescent="0.3">
      <c r="A5350" s="160">
        <v>50281</v>
      </c>
      <c r="B5350" t="s">
        <v>20548</v>
      </c>
      <c r="C5350" t="s">
        <v>5770</v>
      </c>
      <c r="D5350">
        <v>0.25</v>
      </c>
      <c r="E5350">
        <v>0</v>
      </c>
      <c r="F5350">
        <f t="shared" si="83"/>
        <v>0.25</v>
      </c>
      <c r="I5350">
        <v>20220501</v>
      </c>
      <c r="J5350" t="s">
        <v>5781</v>
      </c>
    </row>
    <row r="5351" spans="1:11" x14ac:dyDescent="0.3">
      <c r="A5351" s="160">
        <v>50283</v>
      </c>
      <c r="B5351" t="s">
        <v>20549</v>
      </c>
      <c r="C5351" t="s">
        <v>5757</v>
      </c>
      <c r="D5351">
        <v>0.6</v>
      </c>
      <c r="E5351">
        <v>0</v>
      </c>
      <c r="F5351">
        <f t="shared" si="83"/>
        <v>0.6</v>
      </c>
      <c r="I5351">
        <v>20230101</v>
      </c>
      <c r="J5351" t="s">
        <v>5768</v>
      </c>
    </row>
    <row r="5352" spans="1:11" x14ac:dyDescent="0.3">
      <c r="A5352" s="160">
        <v>50285</v>
      </c>
      <c r="B5352" t="s">
        <v>20550</v>
      </c>
      <c r="C5352" t="s">
        <v>5772</v>
      </c>
      <c r="D5352">
        <v>1.5</v>
      </c>
      <c r="E5352">
        <v>0</v>
      </c>
      <c r="F5352">
        <f t="shared" si="83"/>
        <v>1.5</v>
      </c>
      <c r="I5352">
        <v>20210701</v>
      </c>
      <c r="J5352" t="s">
        <v>5804</v>
      </c>
    </row>
    <row r="5353" spans="1:11" x14ac:dyDescent="0.3">
      <c r="A5353" s="160">
        <v>50292</v>
      </c>
      <c r="B5353" t="s">
        <v>20551</v>
      </c>
      <c r="C5353" t="s">
        <v>5757</v>
      </c>
      <c r="D5353">
        <v>0.6</v>
      </c>
      <c r="E5353">
        <v>0</v>
      </c>
      <c r="F5353">
        <f t="shared" si="83"/>
        <v>0.6</v>
      </c>
      <c r="I5353">
        <v>20230101</v>
      </c>
      <c r="J5353" t="s">
        <v>5807</v>
      </c>
    </row>
    <row r="5354" spans="1:11" x14ac:dyDescent="0.3">
      <c r="A5354" s="160">
        <v>50294</v>
      </c>
      <c r="B5354" t="s">
        <v>20552</v>
      </c>
      <c r="C5354" t="s">
        <v>5772</v>
      </c>
      <c r="D5354">
        <v>1.5</v>
      </c>
      <c r="E5354">
        <v>0</v>
      </c>
      <c r="F5354">
        <f t="shared" si="83"/>
        <v>1.5</v>
      </c>
      <c r="I5354">
        <v>20210701</v>
      </c>
      <c r="J5354" t="s">
        <v>5793</v>
      </c>
    </row>
    <row r="5355" spans="1:11" x14ac:dyDescent="0.3">
      <c r="A5355" s="160">
        <v>50296</v>
      </c>
      <c r="B5355" t="s">
        <v>20553</v>
      </c>
      <c r="C5355" t="s">
        <v>5772</v>
      </c>
      <c r="D5355">
        <v>1.5</v>
      </c>
      <c r="E5355">
        <v>0</v>
      </c>
      <c r="F5355">
        <f t="shared" si="83"/>
        <v>1.5</v>
      </c>
      <c r="I5355">
        <v>20210701</v>
      </c>
      <c r="J5355" t="s">
        <v>5805</v>
      </c>
    </row>
    <row r="5356" spans="1:11" x14ac:dyDescent="0.3">
      <c r="A5356" s="160">
        <v>50297</v>
      </c>
      <c r="B5356" t="s">
        <v>20554</v>
      </c>
      <c r="C5356" t="s">
        <v>5757</v>
      </c>
      <c r="D5356">
        <v>0.6</v>
      </c>
      <c r="E5356">
        <v>0</v>
      </c>
      <c r="F5356">
        <f t="shared" si="83"/>
        <v>0.6</v>
      </c>
      <c r="I5356">
        <v>20230101</v>
      </c>
      <c r="J5356" t="s">
        <v>5850</v>
      </c>
    </row>
    <row r="5357" spans="1:11" x14ac:dyDescent="0.3">
      <c r="A5357" s="160">
        <v>50299</v>
      </c>
      <c r="B5357" t="s">
        <v>20555</v>
      </c>
      <c r="C5357" t="s">
        <v>5772</v>
      </c>
      <c r="D5357">
        <v>1.5</v>
      </c>
      <c r="E5357">
        <v>0</v>
      </c>
      <c r="F5357">
        <f t="shared" si="83"/>
        <v>1.5</v>
      </c>
      <c r="I5357">
        <v>20210701</v>
      </c>
      <c r="J5357" t="s">
        <v>5809</v>
      </c>
    </row>
    <row r="5358" spans="1:11" x14ac:dyDescent="0.3">
      <c r="A5358" s="160">
        <v>50302</v>
      </c>
      <c r="B5358" t="s">
        <v>20556</v>
      </c>
      <c r="C5358" t="s">
        <v>5757</v>
      </c>
      <c r="D5358">
        <v>0.6</v>
      </c>
      <c r="E5358">
        <v>0</v>
      </c>
      <c r="F5358">
        <f t="shared" si="83"/>
        <v>0.6</v>
      </c>
      <c r="I5358">
        <v>20230101</v>
      </c>
      <c r="J5358" t="s">
        <v>5807</v>
      </c>
    </row>
    <row r="5359" spans="1:11" x14ac:dyDescent="0.3">
      <c r="A5359" s="160">
        <v>50304</v>
      </c>
      <c r="B5359" t="s">
        <v>20557</v>
      </c>
      <c r="C5359" t="s">
        <v>5770</v>
      </c>
      <c r="D5359">
        <v>0.25</v>
      </c>
      <c r="E5359">
        <v>0</v>
      </c>
      <c r="F5359">
        <f t="shared" si="83"/>
        <v>0.25</v>
      </c>
      <c r="I5359">
        <v>20220501</v>
      </c>
      <c r="J5359" t="s">
        <v>5811</v>
      </c>
    </row>
    <row r="5360" spans="1:11" x14ac:dyDescent="0.3">
      <c r="A5360" s="160">
        <v>50305</v>
      </c>
      <c r="B5360" t="s">
        <v>20558</v>
      </c>
      <c r="C5360" t="s">
        <v>5772</v>
      </c>
      <c r="D5360">
        <v>1.5</v>
      </c>
      <c r="E5360">
        <v>0</v>
      </c>
      <c r="F5360">
        <f t="shared" si="83"/>
        <v>1.5</v>
      </c>
      <c r="I5360">
        <v>20210701</v>
      </c>
      <c r="J5360" t="s">
        <v>5803</v>
      </c>
    </row>
    <row r="5361" spans="1:10" x14ac:dyDescent="0.3">
      <c r="A5361" s="160">
        <v>50310</v>
      </c>
      <c r="B5361" t="s">
        <v>20559</v>
      </c>
      <c r="C5361" t="s">
        <v>5757</v>
      </c>
      <c r="D5361">
        <v>0.6</v>
      </c>
      <c r="E5361">
        <v>0</v>
      </c>
      <c r="F5361">
        <f t="shared" si="83"/>
        <v>0.6</v>
      </c>
      <c r="I5361">
        <v>20230101</v>
      </c>
      <c r="J5361" t="s">
        <v>5807</v>
      </c>
    </row>
    <row r="5362" spans="1:10" x14ac:dyDescent="0.3">
      <c r="A5362" s="160">
        <v>50311</v>
      </c>
      <c r="B5362" t="s">
        <v>20560</v>
      </c>
      <c r="C5362" t="s">
        <v>5766</v>
      </c>
      <c r="D5362">
        <v>0.32</v>
      </c>
      <c r="E5362">
        <v>0</v>
      </c>
      <c r="F5362">
        <f t="shared" si="83"/>
        <v>0.32</v>
      </c>
      <c r="I5362">
        <v>20220701</v>
      </c>
      <c r="J5362" t="s">
        <v>5777</v>
      </c>
    </row>
    <row r="5363" spans="1:10" x14ac:dyDescent="0.3">
      <c r="A5363" s="160">
        <v>50313</v>
      </c>
      <c r="B5363" t="s">
        <v>20561</v>
      </c>
      <c r="C5363" t="s">
        <v>5757</v>
      </c>
      <c r="D5363">
        <v>0.6</v>
      </c>
      <c r="E5363">
        <v>0</v>
      </c>
      <c r="F5363">
        <f t="shared" si="83"/>
        <v>0.6</v>
      </c>
      <c r="I5363">
        <v>20230101</v>
      </c>
      <c r="J5363" t="s">
        <v>5808</v>
      </c>
    </row>
    <row r="5364" spans="1:10" x14ac:dyDescent="0.3">
      <c r="A5364" s="160">
        <v>50316</v>
      </c>
      <c r="B5364" t="s">
        <v>20562</v>
      </c>
      <c r="C5364" t="s">
        <v>5757</v>
      </c>
      <c r="D5364">
        <v>0.6</v>
      </c>
      <c r="E5364">
        <v>0</v>
      </c>
      <c r="F5364">
        <f t="shared" si="83"/>
        <v>0.6</v>
      </c>
      <c r="I5364">
        <v>20230101</v>
      </c>
      <c r="J5364" t="s">
        <v>5851</v>
      </c>
    </row>
    <row r="5365" spans="1:10" x14ac:dyDescent="0.3">
      <c r="A5365" s="160">
        <v>50319</v>
      </c>
      <c r="B5365" t="s">
        <v>20563</v>
      </c>
      <c r="C5365" t="s">
        <v>5757</v>
      </c>
      <c r="D5365">
        <v>0.6</v>
      </c>
      <c r="E5365">
        <v>0</v>
      </c>
      <c r="F5365">
        <f t="shared" si="83"/>
        <v>0.6</v>
      </c>
      <c r="I5365">
        <v>20230101</v>
      </c>
      <c r="J5365" t="s">
        <v>5782</v>
      </c>
    </row>
    <row r="5366" spans="1:10" x14ac:dyDescent="0.3">
      <c r="A5366" s="160">
        <v>50321</v>
      </c>
      <c r="B5366" t="s">
        <v>20564</v>
      </c>
      <c r="C5366" t="s">
        <v>5757</v>
      </c>
      <c r="D5366">
        <v>0.6</v>
      </c>
      <c r="E5366">
        <v>0</v>
      </c>
      <c r="F5366">
        <f t="shared" si="83"/>
        <v>0.6</v>
      </c>
      <c r="I5366">
        <v>20230101</v>
      </c>
      <c r="J5366" t="s">
        <v>5780</v>
      </c>
    </row>
    <row r="5367" spans="1:10" x14ac:dyDescent="0.3">
      <c r="A5367" s="160">
        <v>50324</v>
      </c>
      <c r="B5367" t="s">
        <v>20565</v>
      </c>
      <c r="C5367" t="s">
        <v>5757</v>
      </c>
      <c r="D5367">
        <v>0.6</v>
      </c>
      <c r="E5367">
        <v>0</v>
      </c>
      <c r="F5367">
        <f t="shared" si="83"/>
        <v>0.6</v>
      </c>
      <c r="I5367">
        <v>20230101</v>
      </c>
      <c r="J5367" t="s">
        <v>5769</v>
      </c>
    </row>
    <row r="5368" spans="1:10" x14ac:dyDescent="0.3">
      <c r="A5368" s="160">
        <v>50325</v>
      </c>
      <c r="B5368" t="s">
        <v>20566</v>
      </c>
      <c r="C5368" t="s">
        <v>5757</v>
      </c>
      <c r="D5368">
        <v>0.6</v>
      </c>
      <c r="E5368">
        <v>0</v>
      </c>
      <c r="F5368">
        <f t="shared" si="83"/>
        <v>0.6</v>
      </c>
      <c r="I5368">
        <v>20230101</v>
      </c>
      <c r="J5368" t="s">
        <v>5807</v>
      </c>
    </row>
    <row r="5369" spans="1:10" x14ac:dyDescent="0.3">
      <c r="A5369" s="160">
        <v>50326</v>
      </c>
      <c r="B5369" t="s">
        <v>20567</v>
      </c>
      <c r="C5369" t="s">
        <v>5766</v>
      </c>
      <c r="D5369">
        <v>0.32</v>
      </c>
      <c r="E5369">
        <v>0</v>
      </c>
      <c r="F5369">
        <f t="shared" si="83"/>
        <v>0.32</v>
      </c>
      <c r="I5369">
        <v>20220701</v>
      </c>
      <c r="J5369" t="s">
        <v>5777</v>
      </c>
    </row>
    <row r="5370" spans="1:10" x14ac:dyDescent="0.3">
      <c r="A5370" s="160">
        <v>50327</v>
      </c>
      <c r="B5370" t="s">
        <v>20568</v>
      </c>
      <c r="C5370" t="s">
        <v>5770</v>
      </c>
      <c r="D5370">
        <v>0.25</v>
      </c>
      <c r="E5370">
        <v>0</v>
      </c>
      <c r="F5370">
        <f t="shared" si="83"/>
        <v>0.25</v>
      </c>
      <c r="I5370">
        <v>20220501</v>
      </c>
      <c r="J5370" t="s">
        <v>5811</v>
      </c>
    </row>
    <row r="5371" spans="1:10" x14ac:dyDescent="0.3">
      <c r="A5371" s="160">
        <v>50332</v>
      </c>
      <c r="B5371" t="s">
        <v>20569</v>
      </c>
      <c r="C5371" t="s">
        <v>5772</v>
      </c>
      <c r="D5371">
        <v>1.5</v>
      </c>
      <c r="E5371">
        <v>0</v>
      </c>
      <c r="F5371">
        <f t="shared" si="83"/>
        <v>1.5</v>
      </c>
      <c r="I5371">
        <v>20210701</v>
      </c>
      <c r="J5371" t="s">
        <v>5778</v>
      </c>
    </row>
    <row r="5372" spans="1:10" x14ac:dyDescent="0.3">
      <c r="A5372" s="160">
        <v>50335</v>
      </c>
      <c r="B5372" t="s">
        <v>20570</v>
      </c>
      <c r="C5372" t="s">
        <v>5772</v>
      </c>
      <c r="D5372">
        <v>1.5</v>
      </c>
      <c r="E5372">
        <v>0</v>
      </c>
      <c r="F5372">
        <f t="shared" si="83"/>
        <v>1.5</v>
      </c>
      <c r="I5372">
        <v>20210701</v>
      </c>
      <c r="J5372" t="s">
        <v>5806</v>
      </c>
    </row>
    <row r="5373" spans="1:10" x14ac:dyDescent="0.3">
      <c r="A5373" s="160">
        <v>50336</v>
      </c>
      <c r="B5373" t="s">
        <v>20571</v>
      </c>
      <c r="C5373" t="s">
        <v>5766</v>
      </c>
      <c r="D5373">
        <v>0.32</v>
      </c>
      <c r="E5373">
        <v>0</v>
      </c>
      <c r="F5373">
        <f t="shared" si="83"/>
        <v>0.32</v>
      </c>
      <c r="I5373">
        <v>20220701</v>
      </c>
      <c r="J5373" t="s">
        <v>5777</v>
      </c>
    </row>
    <row r="5374" spans="1:10" x14ac:dyDescent="0.3">
      <c r="A5374" s="160">
        <v>50340</v>
      </c>
      <c r="B5374" t="s">
        <v>20572</v>
      </c>
      <c r="C5374" t="s">
        <v>5766</v>
      </c>
      <c r="D5374">
        <v>0.32</v>
      </c>
      <c r="E5374">
        <v>0</v>
      </c>
      <c r="F5374">
        <f t="shared" si="83"/>
        <v>0.32</v>
      </c>
      <c r="I5374">
        <v>20220701</v>
      </c>
      <c r="J5374" t="s">
        <v>5852</v>
      </c>
    </row>
    <row r="5375" spans="1:10" x14ac:dyDescent="0.3">
      <c r="A5375" s="160">
        <v>50341</v>
      </c>
      <c r="B5375" t="s">
        <v>20573</v>
      </c>
      <c r="C5375" t="s">
        <v>5772</v>
      </c>
      <c r="D5375">
        <v>1.5</v>
      </c>
      <c r="E5375">
        <v>0</v>
      </c>
      <c r="F5375">
        <f t="shared" si="83"/>
        <v>1.5</v>
      </c>
      <c r="I5375">
        <v>20210701</v>
      </c>
      <c r="J5375" t="s">
        <v>5776</v>
      </c>
    </row>
    <row r="5376" spans="1:10" x14ac:dyDescent="0.3">
      <c r="A5376" s="160">
        <v>50342</v>
      </c>
      <c r="B5376" t="s">
        <v>20574</v>
      </c>
      <c r="C5376" t="s">
        <v>5772</v>
      </c>
      <c r="D5376">
        <v>1.5</v>
      </c>
      <c r="E5376">
        <v>0</v>
      </c>
      <c r="F5376">
        <f t="shared" si="83"/>
        <v>1.5</v>
      </c>
      <c r="I5376">
        <v>20210701</v>
      </c>
      <c r="J5376" t="s">
        <v>5773</v>
      </c>
    </row>
    <row r="5377" spans="1:11" x14ac:dyDescent="0.3">
      <c r="A5377" s="160">
        <v>50345</v>
      </c>
      <c r="B5377" t="s">
        <v>20575</v>
      </c>
      <c r="C5377" t="s">
        <v>5766</v>
      </c>
      <c r="D5377">
        <v>0.32</v>
      </c>
      <c r="E5377">
        <v>0</v>
      </c>
      <c r="F5377">
        <f t="shared" si="83"/>
        <v>0.32</v>
      </c>
      <c r="I5377">
        <v>20220701</v>
      </c>
      <c r="J5377" t="s">
        <v>5801</v>
      </c>
    </row>
    <row r="5378" spans="1:11" x14ac:dyDescent="0.3">
      <c r="A5378" s="160">
        <v>50349</v>
      </c>
      <c r="B5378" t="s">
        <v>20576</v>
      </c>
      <c r="C5378" t="s">
        <v>5766</v>
      </c>
      <c r="D5378">
        <v>0.32</v>
      </c>
      <c r="E5378">
        <v>0</v>
      </c>
      <c r="F5378">
        <f t="shared" si="83"/>
        <v>0.32</v>
      </c>
      <c r="I5378">
        <v>20220701</v>
      </c>
      <c r="J5378" t="s">
        <v>5848</v>
      </c>
    </row>
    <row r="5379" spans="1:11" x14ac:dyDescent="0.3">
      <c r="A5379" s="160">
        <v>50350</v>
      </c>
      <c r="B5379" t="s">
        <v>20577</v>
      </c>
      <c r="C5379" t="s">
        <v>5766</v>
      </c>
      <c r="D5379">
        <v>0.32</v>
      </c>
      <c r="E5379">
        <v>0</v>
      </c>
      <c r="F5379">
        <f t="shared" si="83"/>
        <v>0.32</v>
      </c>
      <c r="I5379">
        <v>20220701</v>
      </c>
      <c r="J5379" t="s">
        <v>5794</v>
      </c>
    </row>
    <row r="5380" spans="1:11" x14ac:dyDescent="0.3">
      <c r="A5380" s="160">
        <v>50351</v>
      </c>
      <c r="B5380" t="s">
        <v>20578</v>
      </c>
      <c r="C5380" t="s">
        <v>5757</v>
      </c>
      <c r="D5380">
        <v>0.6</v>
      </c>
      <c r="E5380">
        <v>0</v>
      </c>
      <c r="F5380">
        <f t="shared" si="83"/>
        <v>0.6</v>
      </c>
      <c r="I5380">
        <v>20230101</v>
      </c>
      <c r="J5380" t="s">
        <v>5779</v>
      </c>
    </row>
    <row r="5381" spans="1:11" x14ac:dyDescent="0.3">
      <c r="A5381" s="160">
        <v>50352</v>
      </c>
      <c r="B5381" t="s">
        <v>20579</v>
      </c>
      <c r="C5381" t="s">
        <v>5757</v>
      </c>
      <c r="D5381">
        <v>0.6</v>
      </c>
      <c r="E5381">
        <v>0</v>
      </c>
      <c r="F5381">
        <f t="shared" si="83"/>
        <v>0.6</v>
      </c>
      <c r="I5381">
        <v>20230101</v>
      </c>
      <c r="J5381" t="s">
        <v>5807</v>
      </c>
    </row>
    <row r="5382" spans="1:11" x14ac:dyDescent="0.3">
      <c r="A5382" s="160">
        <v>50356</v>
      </c>
      <c r="B5382" t="s">
        <v>20580</v>
      </c>
      <c r="C5382" t="s">
        <v>5757</v>
      </c>
      <c r="D5382">
        <v>0.6</v>
      </c>
      <c r="E5382">
        <v>0</v>
      </c>
      <c r="F5382">
        <f t="shared" si="83"/>
        <v>0.6</v>
      </c>
      <c r="I5382">
        <v>20230101</v>
      </c>
      <c r="J5382" t="s">
        <v>5768</v>
      </c>
    </row>
    <row r="5383" spans="1:11" x14ac:dyDescent="0.3">
      <c r="A5383" s="160">
        <v>50358</v>
      </c>
      <c r="B5383" t="s">
        <v>20581</v>
      </c>
      <c r="C5383" t="s">
        <v>5772</v>
      </c>
      <c r="D5383">
        <v>1.5</v>
      </c>
      <c r="E5383">
        <v>0</v>
      </c>
      <c r="F5383">
        <f t="shared" ref="F5383:F5446" si="84">D5383+E5383</f>
        <v>1.5</v>
      </c>
      <c r="I5383">
        <v>20210701</v>
      </c>
      <c r="J5383" t="s">
        <v>5775</v>
      </c>
    </row>
    <row r="5384" spans="1:11" x14ac:dyDescent="0.3">
      <c r="A5384" s="160">
        <v>50360</v>
      </c>
      <c r="B5384" t="s">
        <v>20582</v>
      </c>
      <c r="C5384" t="s">
        <v>5772</v>
      </c>
      <c r="D5384">
        <v>1.5</v>
      </c>
      <c r="E5384">
        <v>0</v>
      </c>
      <c r="F5384">
        <f t="shared" si="84"/>
        <v>1.5</v>
      </c>
      <c r="I5384">
        <v>20210701</v>
      </c>
      <c r="J5384" t="s">
        <v>5806</v>
      </c>
    </row>
    <row r="5385" spans="1:11" x14ac:dyDescent="0.3">
      <c r="A5385" s="160">
        <v>50361</v>
      </c>
      <c r="B5385" t="s">
        <v>20583</v>
      </c>
      <c r="C5385" t="s">
        <v>5770</v>
      </c>
      <c r="D5385">
        <v>0.25</v>
      </c>
      <c r="E5385">
        <v>0</v>
      </c>
      <c r="F5385">
        <f t="shared" si="84"/>
        <v>0.25</v>
      </c>
      <c r="I5385">
        <v>20220501</v>
      </c>
      <c r="J5385" t="s">
        <v>5781</v>
      </c>
    </row>
    <row r="5386" spans="1:11" x14ac:dyDescent="0.3">
      <c r="A5386" s="160">
        <v>50363</v>
      </c>
      <c r="B5386" t="s">
        <v>20584</v>
      </c>
      <c r="C5386" t="s">
        <v>5757</v>
      </c>
      <c r="D5386">
        <v>0.6</v>
      </c>
      <c r="E5386">
        <v>0</v>
      </c>
      <c r="F5386">
        <f t="shared" si="84"/>
        <v>0.6</v>
      </c>
      <c r="I5386">
        <v>20230101</v>
      </c>
      <c r="J5386" t="s">
        <v>5782</v>
      </c>
      <c r="K5386" t="s">
        <v>5851</v>
      </c>
    </row>
    <row r="5387" spans="1:11" x14ac:dyDescent="0.3">
      <c r="A5387" s="160">
        <v>50364</v>
      </c>
      <c r="B5387" t="s">
        <v>20585</v>
      </c>
      <c r="C5387" t="s">
        <v>5766</v>
      </c>
      <c r="D5387">
        <v>0.32</v>
      </c>
      <c r="E5387">
        <v>0</v>
      </c>
      <c r="F5387">
        <f t="shared" si="84"/>
        <v>0.32</v>
      </c>
      <c r="I5387">
        <v>20220701</v>
      </c>
      <c r="J5387" t="s">
        <v>5852</v>
      </c>
    </row>
    <row r="5388" spans="1:11" x14ac:dyDescent="0.3">
      <c r="A5388" s="160">
        <v>50365</v>
      </c>
      <c r="B5388" t="s">
        <v>20586</v>
      </c>
      <c r="C5388" t="s">
        <v>5770</v>
      </c>
      <c r="D5388">
        <v>0.25</v>
      </c>
      <c r="E5388">
        <v>0</v>
      </c>
      <c r="F5388">
        <f t="shared" si="84"/>
        <v>0.25</v>
      </c>
      <c r="I5388">
        <v>20220501</v>
      </c>
      <c r="J5388" t="s">
        <v>5802</v>
      </c>
    </row>
    <row r="5389" spans="1:11" x14ac:dyDescent="0.3">
      <c r="A5389" s="160">
        <v>50369</v>
      </c>
      <c r="B5389" t="s">
        <v>20587</v>
      </c>
      <c r="C5389" t="s">
        <v>5772</v>
      </c>
      <c r="D5389">
        <v>1.5</v>
      </c>
      <c r="E5389">
        <v>0</v>
      </c>
      <c r="F5389">
        <f t="shared" si="84"/>
        <v>1.5</v>
      </c>
      <c r="I5389">
        <v>20210701</v>
      </c>
      <c r="J5389" t="s">
        <v>5804</v>
      </c>
    </row>
    <row r="5390" spans="1:11" x14ac:dyDescent="0.3">
      <c r="A5390" s="160">
        <v>50370</v>
      </c>
      <c r="B5390" t="s">
        <v>20588</v>
      </c>
      <c r="C5390" t="s">
        <v>5772</v>
      </c>
      <c r="D5390">
        <v>1.5</v>
      </c>
      <c r="E5390">
        <v>0</v>
      </c>
      <c r="F5390">
        <f t="shared" si="84"/>
        <v>1.5</v>
      </c>
      <c r="I5390">
        <v>20210701</v>
      </c>
      <c r="J5390" t="s">
        <v>5796</v>
      </c>
    </row>
    <row r="5391" spans="1:11" x14ac:dyDescent="0.3">
      <c r="A5391" s="160">
        <v>50374</v>
      </c>
      <c r="B5391" t="s">
        <v>20589</v>
      </c>
      <c r="C5391" t="s">
        <v>5772</v>
      </c>
      <c r="D5391">
        <v>1.5</v>
      </c>
      <c r="E5391">
        <v>0</v>
      </c>
      <c r="F5391">
        <f t="shared" si="84"/>
        <v>1.5</v>
      </c>
      <c r="I5391">
        <v>20210701</v>
      </c>
      <c r="J5391" t="s">
        <v>5853</v>
      </c>
    </row>
    <row r="5392" spans="1:11" x14ac:dyDescent="0.3">
      <c r="A5392" s="160">
        <v>50376</v>
      </c>
      <c r="B5392" t="s">
        <v>20590</v>
      </c>
      <c r="C5392" t="s">
        <v>5766</v>
      </c>
      <c r="D5392">
        <v>0.32</v>
      </c>
      <c r="E5392">
        <v>0</v>
      </c>
      <c r="F5392">
        <f t="shared" si="84"/>
        <v>0.32</v>
      </c>
      <c r="I5392">
        <v>20220701</v>
      </c>
      <c r="J5392" t="s">
        <v>5801</v>
      </c>
    </row>
    <row r="5393" spans="1:11" x14ac:dyDescent="0.3">
      <c r="A5393" s="160">
        <v>50378</v>
      </c>
      <c r="B5393" t="s">
        <v>20591</v>
      </c>
      <c r="C5393" t="s">
        <v>5766</v>
      </c>
      <c r="D5393">
        <v>0.32</v>
      </c>
      <c r="E5393">
        <v>0</v>
      </c>
      <c r="F5393">
        <f t="shared" si="84"/>
        <v>0.32</v>
      </c>
      <c r="I5393">
        <v>20220701</v>
      </c>
      <c r="J5393" t="s">
        <v>5794</v>
      </c>
    </row>
    <row r="5394" spans="1:11" x14ac:dyDescent="0.3">
      <c r="A5394" s="160">
        <v>50380</v>
      </c>
      <c r="B5394" t="s">
        <v>20592</v>
      </c>
      <c r="C5394" t="s">
        <v>5757</v>
      </c>
      <c r="D5394">
        <v>0.6</v>
      </c>
      <c r="E5394">
        <v>0</v>
      </c>
      <c r="F5394">
        <f t="shared" si="84"/>
        <v>0.6</v>
      </c>
      <c r="I5394">
        <v>20230101</v>
      </c>
      <c r="J5394" t="s">
        <v>5779</v>
      </c>
    </row>
    <row r="5395" spans="1:11" x14ac:dyDescent="0.3">
      <c r="A5395" s="160">
        <v>50382</v>
      </c>
      <c r="B5395" t="s">
        <v>20593</v>
      </c>
      <c r="C5395" t="s">
        <v>5772</v>
      </c>
      <c r="D5395">
        <v>1.5</v>
      </c>
      <c r="E5395">
        <v>0</v>
      </c>
      <c r="F5395">
        <f t="shared" si="84"/>
        <v>1.5</v>
      </c>
      <c r="I5395">
        <v>20210701</v>
      </c>
      <c r="J5395" t="s">
        <v>5793</v>
      </c>
    </row>
    <row r="5396" spans="1:11" x14ac:dyDescent="0.3">
      <c r="A5396" s="160">
        <v>50384</v>
      </c>
      <c r="B5396" t="s">
        <v>20594</v>
      </c>
      <c r="C5396" t="s">
        <v>5772</v>
      </c>
      <c r="D5396">
        <v>1.5</v>
      </c>
      <c r="E5396">
        <v>0</v>
      </c>
      <c r="F5396">
        <f t="shared" si="84"/>
        <v>1.5</v>
      </c>
      <c r="I5396">
        <v>20210701</v>
      </c>
      <c r="J5396" t="s">
        <v>5775</v>
      </c>
    </row>
    <row r="5397" spans="1:11" x14ac:dyDescent="0.3">
      <c r="A5397" s="160">
        <v>50387</v>
      </c>
      <c r="B5397" t="s">
        <v>20595</v>
      </c>
      <c r="C5397" t="s">
        <v>5772</v>
      </c>
      <c r="D5397">
        <v>1.5</v>
      </c>
      <c r="E5397">
        <v>0</v>
      </c>
      <c r="F5397">
        <f t="shared" si="84"/>
        <v>1.5</v>
      </c>
      <c r="I5397">
        <v>20210701</v>
      </c>
      <c r="J5397" t="s">
        <v>5796</v>
      </c>
    </row>
    <row r="5398" spans="1:11" x14ac:dyDescent="0.3">
      <c r="A5398" s="160">
        <v>50388</v>
      </c>
      <c r="B5398" t="s">
        <v>20596</v>
      </c>
      <c r="C5398" t="s">
        <v>5766</v>
      </c>
      <c r="D5398">
        <v>0.32</v>
      </c>
      <c r="E5398">
        <v>0</v>
      </c>
      <c r="F5398">
        <f t="shared" si="84"/>
        <v>0.32</v>
      </c>
      <c r="I5398">
        <v>20220701</v>
      </c>
      <c r="J5398" t="s">
        <v>5838</v>
      </c>
      <c r="K5398" t="s">
        <v>5774</v>
      </c>
    </row>
    <row r="5399" spans="1:11" x14ac:dyDescent="0.3">
      <c r="A5399" s="160">
        <v>50389</v>
      </c>
      <c r="B5399" t="s">
        <v>20597</v>
      </c>
      <c r="C5399" t="s">
        <v>5766</v>
      </c>
      <c r="D5399">
        <v>0.32</v>
      </c>
      <c r="E5399">
        <v>0</v>
      </c>
      <c r="F5399">
        <f t="shared" si="84"/>
        <v>0.32</v>
      </c>
      <c r="I5399">
        <v>20220701</v>
      </c>
      <c r="J5399" t="s">
        <v>5794</v>
      </c>
    </row>
    <row r="5400" spans="1:11" x14ac:dyDescent="0.3">
      <c r="A5400" s="160">
        <v>50390</v>
      </c>
      <c r="B5400" t="s">
        <v>20598</v>
      </c>
      <c r="C5400" t="s">
        <v>5772</v>
      </c>
      <c r="D5400">
        <v>1.5</v>
      </c>
      <c r="E5400">
        <v>0</v>
      </c>
      <c r="F5400">
        <f t="shared" si="84"/>
        <v>1.5</v>
      </c>
      <c r="I5400">
        <v>20210701</v>
      </c>
      <c r="J5400" t="s">
        <v>5776</v>
      </c>
    </row>
    <row r="5401" spans="1:11" x14ac:dyDescent="0.3">
      <c r="A5401" s="160">
        <v>50395</v>
      </c>
      <c r="B5401" t="s">
        <v>20599</v>
      </c>
      <c r="C5401" t="s">
        <v>5772</v>
      </c>
      <c r="D5401">
        <v>1.5</v>
      </c>
      <c r="E5401">
        <v>0</v>
      </c>
      <c r="F5401">
        <f t="shared" si="84"/>
        <v>1.5</v>
      </c>
      <c r="I5401">
        <v>20210701</v>
      </c>
      <c r="J5401" t="s">
        <v>5775</v>
      </c>
    </row>
    <row r="5402" spans="1:11" x14ac:dyDescent="0.3">
      <c r="A5402" s="160">
        <v>50398</v>
      </c>
      <c r="B5402" t="s">
        <v>20600</v>
      </c>
      <c r="C5402" t="s">
        <v>5757</v>
      </c>
      <c r="D5402">
        <v>0.6</v>
      </c>
      <c r="E5402">
        <v>0</v>
      </c>
      <c r="F5402">
        <f t="shared" si="84"/>
        <v>0.6</v>
      </c>
      <c r="I5402">
        <v>20230101</v>
      </c>
      <c r="J5402" t="s">
        <v>5797</v>
      </c>
    </row>
    <row r="5403" spans="1:11" x14ac:dyDescent="0.3">
      <c r="A5403" s="160">
        <v>50401</v>
      </c>
      <c r="B5403" t="s">
        <v>20601</v>
      </c>
      <c r="C5403" t="s">
        <v>5772</v>
      </c>
      <c r="D5403">
        <v>1.5</v>
      </c>
      <c r="E5403">
        <v>0</v>
      </c>
      <c r="F5403">
        <f t="shared" si="84"/>
        <v>1.5</v>
      </c>
      <c r="I5403">
        <v>20210701</v>
      </c>
      <c r="J5403" t="s">
        <v>5818</v>
      </c>
      <c r="K5403" t="s">
        <v>5795</v>
      </c>
    </row>
    <row r="5404" spans="1:11" x14ac:dyDescent="0.3">
      <c r="A5404" s="160">
        <v>50402</v>
      </c>
      <c r="B5404" t="s">
        <v>20602</v>
      </c>
      <c r="C5404" t="s">
        <v>5772</v>
      </c>
      <c r="D5404">
        <v>1.5</v>
      </c>
      <c r="E5404">
        <v>0</v>
      </c>
      <c r="F5404">
        <f t="shared" si="84"/>
        <v>1.5</v>
      </c>
      <c r="I5404">
        <v>20210701</v>
      </c>
      <c r="J5404" t="s">
        <v>5795</v>
      </c>
    </row>
    <row r="5405" spans="1:11" x14ac:dyDescent="0.3">
      <c r="A5405" s="160">
        <v>50404</v>
      </c>
      <c r="B5405" t="s">
        <v>20603</v>
      </c>
      <c r="C5405" t="s">
        <v>5757</v>
      </c>
      <c r="D5405">
        <v>0.6</v>
      </c>
      <c r="E5405">
        <v>0</v>
      </c>
      <c r="F5405">
        <f t="shared" si="84"/>
        <v>0.6</v>
      </c>
      <c r="I5405">
        <v>20230101</v>
      </c>
      <c r="J5405" t="s">
        <v>5797</v>
      </c>
    </row>
    <row r="5406" spans="1:11" x14ac:dyDescent="0.3">
      <c r="A5406" s="160">
        <v>50409</v>
      </c>
      <c r="B5406" t="s">
        <v>20604</v>
      </c>
      <c r="C5406" t="s">
        <v>5757</v>
      </c>
      <c r="D5406">
        <v>0.6</v>
      </c>
      <c r="E5406">
        <v>0</v>
      </c>
      <c r="F5406">
        <f t="shared" si="84"/>
        <v>0.6</v>
      </c>
      <c r="I5406">
        <v>20230101</v>
      </c>
      <c r="J5406" t="s">
        <v>5769</v>
      </c>
      <c r="K5406" t="s">
        <v>5850</v>
      </c>
    </row>
    <row r="5407" spans="1:11" x14ac:dyDescent="0.3">
      <c r="A5407" s="160">
        <v>50412</v>
      </c>
      <c r="B5407" t="s">
        <v>20605</v>
      </c>
      <c r="C5407" t="s">
        <v>5772</v>
      </c>
      <c r="D5407">
        <v>1.5</v>
      </c>
      <c r="E5407">
        <v>0</v>
      </c>
      <c r="F5407">
        <f t="shared" si="84"/>
        <v>1.5</v>
      </c>
      <c r="I5407">
        <v>20210701</v>
      </c>
      <c r="J5407" t="s">
        <v>5809</v>
      </c>
    </row>
    <row r="5408" spans="1:11" x14ac:dyDescent="0.3">
      <c r="A5408" s="160">
        <v>50414</v>
      </c>
      <c r="B5408" t="s">
        <v>20606</v>
      </c>
      <c r="C5408" t="s">
        <v>5757</v>
      </c>
      <c r="D5408">
        <v>0.6</v>
      </c>
      <c r="E5408">
        <v>0</v>
      </c>
      <c r="F5408">
        <f t="shared" si="84"/>
        <v>0.6</v>
      </c>
      <c r="I5408">
        <v>20230101</v>
      </c>
      <c r="J5408" t="s">
        <v>5779</v>
      </c>
    </row>
    <row r="5409" spans="1:11" x14ac:dyDescent="0.3">
      <c r="A5409" s="160">
        <v>50416</v>
      </c>
      <c r="B5409" t="s">
        <v>20607</v>
      </c>
      <c r="C5409" t="s">
        <v>5772</v>
      </c>
      <c r="D5409">
        <v>1.5</v>
      </c>
      <c r="E5409">
        <v>0</v>
      </c>
      <c r="F5409">
        <f t="shared" si="84"/>
        <v>1.5</v>
      </c>
      <c r="I5409">
        <v>20210701</v>
      </c>
      <c r="J5409" t="s">
        <v>5792</v>
      </c>
    </row>
    <row r="5410" spans="1:11" x14ac:dyDescent="0.3">
      <c r="A5410" s="160">
        <v>50417</v>
      </c>
      <c r="B5410" t="s">
        <v>20608</v>
      </c>
      <c r="C5410" t="s">
        <v>5772</v>
      </c>
      <c r="D5410">
        <v>1.5</v>
      </c>
      <c r="E5410">
        <v>0</v>
      </c>
      <c r="F5410">
        <f t="shared" si="84"/>
        <v>1.5</v>
      </c>
      <c r="I5410">
        <v>20210701</v>
      </c>
      <c r="J5410" t="s">
        <v>5775</v>
      </c>
    </row>
    <row r="5411" spans="1:11" x14ac:dyDescent="0.3">
      <c r="A5411" s="160">
        <v>50419</v>
      </c>
      <c r="B5411" t="s">
        <v>20609</v>
      </c>
      <c r="C5411" t="s">
        <v>5766</v>
      </c>
      <c r="D5411">
        <v>0.32</v>
      </c>
      <c r="E5411">
        <v>0</v>
      </c>
      <c r="F5411">
        <f t="shared" si="84"/>
        <v>0.32</v>
      </c>
      <c r="I5411">
        <v>20220701</v>
      </c>
      <c r="J5411" t="s">
        <v>5774</v>
      </c>
    </row>
    <row r="5412" spans="1:11" x14ac:dyDescent="0.3">
      <c r="A5412" s="160">
        <v>50420</v>
      </c>
      <c r="B5412" t="s">
        <v>20610</v>
      </c>
      <c r="C5412" t="s">
        <v>5757</v>
      </c>
      <c r="D5412">
        <v>0.6</v>
      </c>
      <c r="E5412">
        <v>0</v>
      </c>
      <c r="F5412">
        <f t="shared" si="84"/>
        <v>0.6</v>
      </c>
      <c r="I5412">
        <v>20230101</v>
      </c>
      <c r="J5412" t="s">
        <v>5808</v>
      </c>
    </row>
    <row r="5413" spans="1:11" x14ac:dyDescent="0.3">
      <c r="A5413" s="160">
        <v>50421</v>
      </c>
      <c r="B5413" t="s">
        <v>20611</v>
      </c>
      <c r="C5413" t="s">
        <v>5772</v>
      </c>
      <c r="D5413">
        <v>1.5</v>
      </c>
      <c r="E5413">
        <v>0</v>
      </c>
      <c r="F5413">
        <f t="shared" si="84"/>
        <v>1.5</v>
      </c>
      <c r="I5413">
        <v>20210701</v>
      </c>
      <c r="J5413" t="s">
        <v>5776</v>
      </c>
    </row>
    <row r="5414" spans="1:11" x14ac:dyDescent="0.3">
      <c r="A5414" s="160">
        <v>50423</v>
      </c>
      <c r="B5414" t="s">
        <v>20612</v>
      </c>
      <c r="C5414" t="s">
        <v>5757</v>
      </c>
      <c r="D5414">
        <v>0.6</v>
      </c>
      <c r="E5414">
        <v>0</v>
      </c>
      <c r="F5414">
        <f t="shared" si="84"/>
        <v>0.6</v>
      </c>
      <c r="I5414">
        <v>20230101</v>
      </c>
      <c r="J5414" t="s">
        <v>5780</v>
      </c>
    </row>
    <row r="5415" spans="1:11" x14ac:dyDescent="0.3">
      <c r="A5415" s="160">
        <v>50425</v>
      </c>
      <c r="B5415" t="s">
        <v>20613</v>
      </c>
      <c r="C5415" t="s">
        <v>5772</v>
      </c>
      <c r="D5415">
        <v>1.5</v>
      </c>
      <c r="E5415">
        <v>0</v>
      </c>
      <c r="F5415">
        <f t="shared" si="84"/>
        <v>1.5</v>
      </c>
      <c r="I5415">
        <v>20210701</v>
      </c>
      <c r="J5415" t="s">
        <v>5804</v>
      </c>
    </row>
    <row r="5416" spans="1:11" x14ac:dyDescent="0.3">
      <c r="A5416" s="160">
        <v>50426</v>
      </c>
      <c r="B5416" t="s">
        <v>20614</v>
      </c>
      <c r="C5416" t="s">
        <v>5772</v>
      </c>
      <c r="D5416">
        <v>1.5</v>
      </c>
      <c r="E5416">
        <v>0</v>
      </c>
      <c r="F5416">
        <f t="shared" si="84"/>
        <v>1.5</v>
      </c>
      <c r="I5416">
        <v>20210701</v>
      </c>
      <c r="J5416" t="s">
        <v>5796</v>
      </c>
    </row>
    <row r="5417" spans="1:11" x14ac:dyDescent="0.3">
      <c r="A5417" s="160">
        <v>50429</v>
      </c>
      <c r="B5417" t="s">
        <v>20615</v>
      </c>
      <c r="C5417" t="s">
        <v>5766</v>
      </c>
      <c r="D5417">
        <v>0.32</v>
      </c>
      <c r="E5417">
        <v>0</v>
      </c>
      <c r="F5417">
        <f t="shared" si="84"/>
        <v>0.32</v>
      </c>
      <c r="I5417">
        <v>20220701</v>
      </c>
      <c r="J5417" t="s">
        <v>5848</v>
      </c>
    </row>
    <row r="5418" spans="1:11" x14ac:dyDescent="0.3">
      <c r="A5418" s="160">
        <v>50430</v>
      </c>
      <c r="B5418" t="s">
        <v>20616</v>
      </c>
      <c r="C5418" t="s">
        <v>5772</v>
      </c>
      <c r="D5418">
        <v>1.5</v>
      </c>
      <c r="E5418">
        <v>0</v>
      </c>
      <c r="F5418">
        <f t="shared" si="84"/>
        <v>1.5</v>
      </c>
      <c r="I5418">
        <v>20210701</v>
      </c>
      <c r="J5418" t="s">
        <v>5796</v>
      </c>
    </row>
    <row r="5419" spans="1:11" x14ac:dyDescent="0.3">
      <c r="A5419" s="160">
        <v>50431</v>
      </c>
      <c r="B5419" t="s">
        <v>20617</v>
      </c>
      <c r="C5419" t="s">
        <v>5757</v>
      </c>
      <c r="D5419">
        <v>0.6</v>
      </c>
      <c r="E5419">
        <v>0</v>
      </c>
      <c r="F5419">
        <f t="shared" si="84"/>
        <v>0.6</v>
      </c>
      <c r="I5419">
        <v>20230101</v>
      </c>
      <c r="J5419" t="s">
        <v>5807</v>
      </c>
      <c r="K5419" t="s">
        <v>5769</v>
      </c>
    </row>
    <row r="5420" spans="1:11" x14ac:dyDescent="0.3">
      <c r="A5420" s="160">
        <v>50433</v>
      </c>
      <c r="B5420" t="s">
        <v>20618</v>
      </c>
      <c r="C5420" t="s">
        <v>5772</v>
      </c>
      <c r="D5420">
        <v>1.5</v>
      </c>
      <c r="E5420">
        <v>0</v>
      </c>
      <c r="F5420">
        <f t="shared" si="84"/>
        <v>1.5</v>
      </c>
      <c r="I5420">
        <v>20210701</v>
      </c>
      <c r="J5420" t="s">
        <v>5773</v>
      </c>
    </row>
    <row r="5421" spans="1:11" x14ac:dyDescent="0.3">
      <c r="A5421" s="160">
        <v>50435</v>
      </c>
      <c r="B5421" t="s">
        <v>20619</v>
      </c>
      <c r="C5421" t="s">
        <v>5772</v>
      </c>
      <c r="D5421">
        <v>1.5</v>
      </c>
      <c r="E5421">
        <v>0</v>
      </c>
      <c r="F5421">
        <f t="shared" si="84"/>
        <v>1.5</v>
      </c>
      <c r="I5421">
        <v>20210701</v>
      </c>
      <c r="J5421" t="s">
        <v>5804</v>
      </c>
    </row>
    <row r="5422" spans="1:11" x14ac:dyDescent="0.3">
      <c r="A5422" s="160">
        <v>50437</v>
      </c>
      <c r="B5422" t="s">
        <v>20620</v>
      </c>
      <c r="C5422" t="s">
        <v>5766</v>
      </c>
      <c r="D5422">
        <v>0.32</v>
      </c>
      <c r="E5422">
        <v>0</v>
      </c>
      <c r="F5422">
        <f t="shared" si="84"/>
        <v>0.32</v>
      </c>
      <c r="I5422">
        <v>20220701</v>
      </c>
      <c r="J5422" t="s">
        <v>5794</v>
      </c>
    </row>
    <row r="5423" spans="1:11" x14ac:dyDescent="0.3">
      <c r="A5423" s="160">
        <v>50441</v>
      </c>
      <c r="B5423" t="s">
        <v>20621</v>
      </c>
      <c r="C5423" t="s">
        <v>5757</v>
      </c>
      <c r="D5423">
        <v>0.6</v>
      </c>
      <c r="E5423">
        <v>0</v>
      </c>
      <c r="F5423">
        <f t="shared" si="84"/>
        <v>0.6</v>
      </c>
      <c r="I5423">
        <v>20230101</v>
      </c>
      <c r="J5423" t="s">
        <v>5779</v>
      </c>
    </row>
    <row r="5424" spans="1:11" x14ac:dyDescent="0.3">
      <c r="A5424" s="160">
        <v>50442</v>
      </c>
      <c r="B5424" t="s">
        <v>20622</v>
      </c>
      <c r="C5424" t="s">
        <v>5772</v>
      </c>
      <c r="D5424">
        <v>1.5</v>
      </c>
      <c r="E5424">
        <v>0</v>
      </c>
      <c r="F5424">
        <f t="shared" si="84"/>
        <v>1.5</v>
      </c>
      <c r="I5424">
        <v>20210701</v>
      </c>
      <c r="J5424" t="s">
        <v>5795</v>
      </c>
    </row>
    <row r="5425" spans="1:11" x14ac:dyDescent="0.3">
      <c r="A5425" s="160">
        <v>50444</v>
      </c>
      <c r="B5425" t="s">
        <v>20623</v>
      </c>
      <c r="C5425" t="s">
        <v>5757</v>
      </c>
      <c r="D5425">
        <v>0.6</v>
      </c>
      <c r="E5425">
        <v>0</v>
      </c>
      <c r="F5425">
        <f t="shared" si="84"/>
        <v>0.6</v>
      </c>
      <c r="I5425">
        <v>20230101</v>
      </c>
      <c r="J5425" t="s">
        <v>5797</v>
      </c>
    </row>
    <row r="5426" spans="1:11" x14ac:dyDescent="0.3">
      <c r="A5426" s="160">
        <v>50446</v>
      </c>
      <c r="B5426" t="s">
        <v>20624</v>
      </c>
      <c r="C5426" t="s">
        <v>5757</v>
      </c>
      <c r="D5426">
        <v>0.6</v>
      </c>
      <c r="E5426">
        <v>0</v>
      </c>
      <c r="F5426">
        <f t="shared" si="84"/>
        <v>0.6</v>
      </c>
      <c r="I5426">
        <v>20230101</v>
      </c>
      <c r="J5426" t="s">
        <v>5768</v>
      </c>
    </row>
    <row r="5427" spans="1:11" x14ac:dyDescent="0.3">
      <c r="A5427" s="160">
        <v>50447</v>
      </c>
      <c r="B5427" t="s">
        <v>20625</v>
      </c>
      <c r="C5427" t="s">
        <v>5770</v>
      </c>
      <c r="D5427">
        <v>0.25</v>
      </c>
      <c r="E5427">
        <v>0</v>
      </c>
      <c r="F5427">
        <f t="shared" si="84"/>
        <v>0.25</v>
      </c>
      <c r="I5427">
        <v>20220501</v>
      </c>
      <c r="J5427" t="s">
        <v>5854</v>
      </c>
    </row>
    <row r="5428" spans="1:11" x14ac:dyDescent="0.3">
      <c r="A5428" s="160">
        <v>50454</v>
      </c>
      <c r="B5428" t="s">
        <v>20626</v>
      </c>
      <c r="C5428" t="s">
        <v>5772</v>
      </c>
      <c r="D5428">
        <v>1.5</v>
      </c>
      <c r="E5428">
        <v>0</v>
      </c>
      <c r="F5428">
        <f t="shared" si="84"/>
        <v>1.5</v>
      </c>
      <c r="I5428">
        <v>20210701</v>
      </c>
      <c r="J5428" t="s">
        <v>5795</v>
      </c>
    </row>
    <row r="5429" spans="1:11" x14ac:dyDescent="0.3">
      <c r="A5429" s="160">
        <v>50455</v>
      </c>
      <c r="B5429" t="s">
        <v>20627</v>
      </c>
      <c r="C5429" t="s">
        <v>5757</v>
      </c>
      <c r="D5429">
        <v>0.6</v>
      </c>
      <c r="E5429">
        <v>0</v>
      </c>
      <c r="F5429">
        <f t="shared" si="84"/>
        <v>0.6</v>
      </c>
      <c r="I5429">
        <v>20230101</v>
      </c>
      <c r="J5429" t="s">
        <v>5768</v>
      </c>
    </row>
    <row r="5430" spans="1:11" x14ac:dyDescent="0.3">
      <c r="A5430" s="160">
        <v>50457</v>
      </c>
      <c r="B5430" t="s">
        <v>20628</v>
      </c>
      <c r="C5430" t="s">
        <v>5772</v>
      </c>
      <c r="D5430">
        <v>1.5</v>
      </c>
      <c r="E5430">
        <v>0</v>
      </c>
      <c r="F5430">
        <f t="shared" si="84"/>
        <v>1.5</v>
      </c>
      <c r="I5430">
        <v>20210701</v>
      </c>
      <c r="J5430" t="s">
        <v>5796</v>
      </c>
    </row>
    <row r="5431" spans="1:11" x14ac:dyDescent="0.3">
      <c r="A5431" s="160">
        <v>50461</v>
      </c>
      <c r="B5431" t="s">
        <v>16067</v>
      </c>
      <c r="C5431" t="s">
        <v>5772</v>
      </c>
      <c r="D5431">
        <v>1.5</v>
      </c>
      <c r="E5431">
        <v>0</v>
      </c>
      <c r="F5431">
        <f t="shared" si="84"/>
        <v>1.5</v>
      </c>
      <c r="I5431">
        <v>20210701</v>
      </c>
      <c r="J5431" t="s">
        <v>5776</v>
      </c>
    </row>
    <row r="5432" spans="1:11" x14ac:dyDescent="0.3">
      <c r="A5432" s="160">
        <v>50463</v>
      </c>
      <c r="B5432" t="s">
        <v>20629</v>
      </c>
      <c r="C5432" t="s">
        <v>5766</v>
      </c>
      <c r="D5432">
        <v>0.32</v>
      </c>
      <c r="E5432">
        <v>0</v>
      </c>
      <c r="F5432">
        <f t="shared" si="84"/>
        <v>0.32</v>
      </c>
      <c r="I5432">
        <v>20220701</v>
      </c>
      <c r="J5432" t="s">
        <v>5777</v>
      </c>
    </row>
    <row r="5433" spans="1:11" x14ac:dyDescent="0.3">
      <c r="A5433" s="160">
        <v>50464</v>
      </c>
      <c r="B5433" t="s">
        <v>20630</v>
      </c>
      <c r="C5433" t="s">
        <v>5766</v>
      </c>
      <c r="D5433">
        <v>0.32</v>
      </c>
      <c r="E5433">
        <v>0</v>
      </c>
      <c r="F5433">
        <f t="shared" si="84"/>
        <v>0.32</v>
      </c>
      <c r="I5433">
        <v>20220701</v>
      </c>
      <c r="J5433" t="s">
        <v>5794</v>
      </c>
    </row>
    <row r="5434" spans="1:11" x14ac:dyDescent="0.3">
      <c r="A5434" s="160">
        <v>50465</v>
      </c>
      <c r="B5434" t="s">
        <v>20631</v>
      </c>
      <c r="C5434" t="s">
        <v>5757</v>
      </c>
      <c r="D5434">
        <v>0.6</v>
      </c>
      <c r="E5434">
        <v>0</v>
      </c>
      <c r="F5434">
        <f t="shared" si="84"/>
        <v>0.6</v>
      </c>
      <c r="I5434">
        <v>20230101</v>
      </c>
      <c r="J5434" t="s">
        <v>5808</v>
      </c>
    </row>
    <row r="5435" spans="1:11" x14ac:dyDescent="0.3">
      <c r="A5435" s="160">
        <v>50467</v>
      </c>
      <c r="B5435" t="s">
        <v>20632</v>
      </c>
      <c r="C5435" t="s">
        <v>5772</v>
      </c>
      <c r="D5435">
        <v>1.5</v>
      </c>
      <c r="E5435">
        <v>0</v>
      </c>
      <c r="F5435">
        <f t="shared" si="84"/>
        <v>1.5</v>
      </c>
      <c r="I5435">
        <v>20210701</v>
      </c>
      <c r="J5435" t="s">
        <v>5776</v>
      </c>
    </row>
    <row r="5436" spans="1:11" x14ac:dyDescent="0.3">
      <c r="A5436" s="160">
        <v>50468</v>
      </c>
      <c r="B5436" t="s">
        <v>20633</v>
      </c>
      <c r="C5436" t="s">
        <v>5757</v>
      </c>
      <c r="D5436">
        <v>0.6</v>
      </c>
      <c r="E5436">
        <v>0</v>
      </c>
      <c r="F5436">
        <f t="shared" si="84"/>
        <v>0.6</v>
      </c>
      <c r="I5436">
        <v>20230101</v>
      </c>
      <c r="J5436" t="s">
        <v>5769</v>
      </c>
    </row>
    <row r="5437" spans="1:11" x14ac:dyDescent="0.3">
      <c r="A5437" s="160">
        <v>50469</v>
      </c>
      <c r="B5437" t="s">
        <v>20634</v>
      </c>
      <c r="C5437" t="s">
        <v>5772</v>
      </c>
      <c r="D5437">
        <v>1.5</v>
      </c>
      <c r="E5437">
        <v>0</v>
      </c>
      <c r="F5437">
        <f t="shared" si="84"/>
        <v>1.5</v>
      </c>
      <c r="I5437">
        <v>20210701</v>
      </c>
      <c r="J5437" t="s">
        <v>5773</v>
      </c>
    </row>
    <row r="5438" spans="1:11" x14ac:dyDescent="0.3">
      <c r="A5438" s="160">
        <v>50471</v>
      </c>
      <c r="B5438" t="s">
        <v>20635</v>
      </c>
      <c r="C5438" t="s">
        <v>5772</v>
      </c>
      <c r="D5438">
        <v>1.5</v>
      </c>
      <c r="E5438">
        <v>0</v>
      </c>
      <c r="F5438">
        <f t="shared" si="84"/>
        <v>1.5</v>
      </c>
      <c r="I5438">
        <v>20210701</v>
      </c>
      <c r="J5438" t="s">
        <v>5778</v>
      </c>
    </row>
    <row r="5439" spans="1:11" x14ac:dyDescent="0.3">
      <c r="A5439" s="160">
        <v>50473</v>
      </c>
      <c r="B5439" t="s">
        <v>20636</v>
      </c>
      <c r="C5439" t="s">
        <v>5757</v>
      </c>
      <c r="D5439">
        <v>0.6</v>
      </c>
      <c r="E5439">
        <v>0</v>
      </c>
      <c r="F5439">
        <f t="shared" si="84"/>
        <v>0.6</v>
      </c>
      <c r="I5439">
        <v>20230101</v>
      </c>
      <c r="J5439" t="s">
        <v>5768</v>
      </c>
    </row>
    <row r="5440" spans="1:11" x14ac:dyDescent="0.3">
      <c r="A5440" s="160">
        <v>50475</v>
      </c>
      <c r="B5440" t="s">
        <v>20637</v>
      </c>
      <c r="C5440" t="s">
        <v>5757</v>
      </c>
      <c r="D5440">
        <v>0.6</v>
      </c>
      <c r="E5440">
        <v>0</v>
      </c>
      <c r="F5440">
        <f t="shared" si="84"/>
        <v>0.6</v>
      </c>
      <c r="I5440">
        <v>20230101</v>
      </c>
      <c r="J5440" t="s">
        <v>5780</v>
      </c>
      <c r="K5440" t="s">
        <v>5855</v>
      </c>
    </row>
    <row r="5441" spans="1:24" x14ac:dyDescent="0.3">
      <c r="A5441" s="160">
        <v>50476</v>
      </c>
      <c r="B5441" t="s">
        <v>20638</v>
      </c>
      <c r="C5441" t="s">
        <v>5757</v>
      </c>
      <c r="D5441">
        <v>0.6</v>
      </c>
      <c r="E5441">
        <v>0</v>
      </c>
      <c r="F5441">
        <f t="shared" si="84"/>
        <v>0.6</v>
      </c>
      <c r="I5441">
        <v>20230101</v>
      </c>
      <c r="J5441" t="s">
        <v>5779</v>
      </c>
    </row>
    <row r="5442" spans="1:24" x14ac:dyDescent="0.3">
      <c r="A5442" s="160">
        <v>50478</v>
      </c>
      <c r="B5442" t="s">
        <v>20639</v>
      </c>
      <c r="C5442" t="s">
        <v>5772</v>
      </c>
      <c r="D5442">
        <v>1.5</v>
      </c>
      <c r="E5442">
        <v>0</v>
      </c>
      <c r="F5442">
        <f t="shared" si="84"/>
        <v>1.5</v>
      </c>
      <c r="I5442">
        <v>20210701</v>
      </c>
      <c r="J5442" t="s">
        <v>5806</v>
      </c>
    </row>
    <row r="5443" spans="1:24" x14ac:dyDescent="0.3">
      <c r="A5443" s="160">
        <v>50480</v>
      </c>
      <c r="B5443" t="s">
        <v>18062</v>
      </c>
      <c r="C5443" t="s">
        <v>5772</v>
      </c>
      <c r="D5443">
        <v>1.5</v>
      </c>
      <c r="E5443">
        <v>0</v>
      </c>
      <c r="F5443">
        <f t="shared" si="84"/>
        <v>1.5</v>
      </c>
      <c r="I5443">
        <v>20210701</v>
      </c>
      <c r="J5443" t="s">
        <v>5795</v>
      </c>
    </row>
    <row r="5444" spans="1:24" x14ac:dyDescent="0.3">
      <c r="A5444" s="160">
        <v>50483</v>
      </c>
      <c r="B5444" t="s">
        <v>18397</v>
      </c>
      <c r="C5444" t="s">
        <v>5757</v>
      </c>
      <c r="D5444">
        <v>0.6</v>
      </c>
      <c r="E5444">
        <v>0</v>
      </c>
      <c r="F5444">
        <f t="shared" si="84"/>
        <v>0.6</v>
      </c>
      <c r="I5444">
        <v>20230101</v>
      </c>
      <c r="J5444" t="s">
        <v>5765</v>
      </c>
    </row>
    <row r="5445" spans="1:24" x14ac:dyDescent="0.3">
      <c r="A5445" s="160">
        <v>50486</v>
      </c>
      <c r="B5445" t="s">
        <v>20640</v>
      </c>
      <c r="C5445" t="s">
        <v>5772</v>
      </c>
      <c r="D5445">
        <v>1.5</v>
      </c>
      <c r="E5445">
        <v>0</v>
      </c>
      <c r="F5445">
        <f t="shared" si="84"/>
        <v>1.5</v>
      </c>
      <c r="I5445">
        <v>20210701</v>
      </c>
      <c r="J5445" t="s">
        <v>5796</v>
      </c>
    </row>
    <row r="5446" spans="1:24" x14ac:dyDescent="0.3">
      <c r="A5446" s="160">
        <v>50488</v>
      </c>
      <c r="B5446" t="s">
        <v>20641</v>
      </c>
      <c r="C5446" t="s">
        <v>5757</v>
      </c>
      <c r="D5446">
        <v>0.6</v>
      </c>
      <c r="E5446">
        <v>0</v>
      </c>
      <c r="F5446">
        <f t="shared" si="84"/>
        <v>0.6</v>
      </c>
      <c r="I5446">
        <v>20230101</v>
      </c>
      <c r="J5446" t="s">
        <v>5769</v>
      </c>
    </row>
    <row r="5447" spans="1:24" x14ac:dyDescent="0.3">
      <c r="A5447" s="160">
        <v>50490</v>
      </c>
      <c r="B5447" t="s">
        <v>20642</v>
      </c>
      <c r="C5447" t="s">
        <v>5772</v>
      </c>
      <c r="D5447">
        <v>1.5</v>
      </c>
      <c r="E5447">
        <v>0</v>
      </c>
      <c r="F5447">
        <f t="shared" ref="F5447:F5510" si="85">D5447+E5447</f>
        <v>1.5</v>
      </c>
      <c r="I5447">
        <v>20210701</v>
      </c>
      <c r="J5447" t="s">
        <v>5778</v>
      </c>
    </row>
    <row r="5448" spans="1:24" x14ac:dyDescent="0.3">
      <c r="A5448" s="160">
        <v>50491</v>
      </c>
      <c r="B5448" t="s">
        <v>20643</v>
      </c>
      <c r="C5448" t="s">
        <v>5757</v>
      </c>
      <c r="D5448">
        <v>0.6</v>
      </c>
      <c r="E5448">
        <v>0</v>
      </c>
      <c r="F5448">
        <f t="shared" si="85"/>
        <v>0.6</v>
      </c>
      <c r="I5448">
        <v>20230101</v>
      </c>
      <c r="J5448" t="s">
        <v>5768</v>
      </c>
    </row>
    <row r="5449" spans="1:24" x14ac:dyDescent="0.3">
      <c r="A5449" s="160">
        <v>50492</v>
      </c>
      <c r="B5449" t="s">
        <v>20644</v>
      </c>
      <c r="C5449" t="s">
        <v>5757</v>
      </c>
      <c r="D5449">
        <v>0.6</v>
      </c>
      <c r="E5449">
        <v>0</v>
      </c>
      <c r="F5449">
        <f t="shared" si="85"/>
        <v>0.6</v>
      </c>
      <c r="I5449">
        <v>20230101</v>
      </c>
      <c r="J5449" t="s">
        <v>5779</v>
      </c>
    </row>
    <row r="5450" spans="1:24" x14ac:dyDescent="0.3">
      <c r="A5450" s="160">
        <v>50493</v>
      </c>
      <c r="B5450" t="s">
        <v>20645</v>
      </c>
      <c r="C5450" t="s">
        <v>5770</v>
      </c>
      <c r="D5450">
        <v>0.25</v>
      </c>
      <c r="E5450">
        <v>0</v>
      </c>
      <c r="F5450">
        <f t="shared" si="85"/>
        <v>0.25</v>
      </c>
      <c r="I5450">
        <v>20220501</v>
      </c>
      <c r="J5450" t="s">
        <v>5781</v>
      </c>
    </row>
    <row r="5451" spans="1:24" x14ac:dyDescent="0.3">
      <c r="A5451" s="160">
        <v>50498</v>
      </c>
      <c r="B5451" t="s">
        <v>19930</v>
      </c>
      <c r="C5451" t="s">
        <v>5772</v>
      </c>
      <c r="D5451">
        <v>1.5</v>
      </c>
      <c r="E5451">
        <v>0</v>
      </c>
      <c r="F5451">
        <f t="shared" si="85"/>
        <v>1.5</v>
      </c>
      <c r="I5451">
        <v>20210701</v>
      </c>
      <c r="J5451" t="s">
        <v>5806</v>
      </c>
    </row>
    <row r="5452" spans="1:24" x14ac:dyDescent="0.3">
      <c r="A5452" s="160">
        <v>50502</v>
      </c>
      <c r="B5452" t="s">
        <v>20646</v>
      </c>
      <c r="C5452" t="s">
        <v>5757</v>
      </c>
      <c r="D5452">
        <v>0.6</v>
      </c>
      <c r="E5452">
        <v>0</v>
      </c>
      <c r="F5452">
        <f t="shared" si="85"/>
        <v>0.6</v>
      </c>
      <c r="I5452">
        <v>20230101</v>
      </c>
      <c r="J5452" t="s">
        <v>5780</v>
      </c>
      <c r="K5452" t="s">
        <v>5758</v>
      </c>
      <c r="L5452" t="s">
        <v>5849</v>
      </c>
      <c r="M5452" t="s">
        <v>5759</v>
      </c>
      <c r="N5452" t="s">
        <v>5855</v>
      </c>
      <c r="O5452" t="s">
        <v>5856</v>
      </c>
      <c r="P5452" t="s">
        <v>5760</v>
      </c>
      <c r="Q5452" t="s">
        <v>5857</v>
      </c>
      <c r="R5452" t="s">
        <v>5761</v>
      </c>
      <c r="S5452" t="s">
        <v>5762</v>
      </c>
      <c r="T5452" t="s">
        <v>5763</v>
      </c>
      <c r="U5452" t="s">
        <v>5858</v>
      </c>
      <c r="V5452" t="s">
        <v>5859</v>
      </c>
      <c r="W5452" t="s">
        <v>5764</v>
      </c>
      <c r="X5452" t="s">
        <v>5860</v>
      </c>
    </row>
    <row r="5453" spans="1:24" x14ac:dyDescent="0.3">
      <c r="A5453" s="160">
        <v>50503</v>
      </c>
      <c r="B5453" t="s">
        <v>20647</v>
      </c>
      <c r="C5453" t="s">
        <v>5772</v>
      </c>
      <c r="D5453">
        <v>1.5</v>
      </c>
      <c r="E5453">
        <v>0</v>
      </c>
      <c r="F5453">
        <f t="shared" si="85"/>
        <v>1.5</v>
      </c>
      <c r="I5453">
        <v>20210701</v>
      </c>
      <c r="J5453" t="s">
        <v>5809</v>
      </c>
    </row>
    <row r="5454" spans="1:24" x14ac:dyDescent="0.3">
      <c r="A5454" s="160">
        <v>50504</v>
      </c>
      <c r="B5454" t="s">
        <v>20648</v>
      </c>
      <c r="C5454" t="s">
        <v>5757</v>
      </c>
      <c r="D5454">
        <v>0.6</v>
      </c>
      <c r="E5454">
        <v>0</v>
      </c>
      <c r="F5454">
        <f t="shared" si="85"/>
        <v>0.6</v>
      </c>
      <c r="I5454">
        <v>20230101</v>
      </c>
      <c r="J5454" t="s">
        <v>5782</v>
      </c>
    </row>
    <row r="5455" spans="1:24" x14ac:dyDescent="0.3">
      <c r="A5455" s="160">
        <v>50506</v>
      </c>
      <c r="B5455" t="s">
        <v>20649</v>
      </c>
      <c r="C5455" t="s">
        <v>5766</v>
      </c>
      <c r="D5455">
        <v>0.32</v>
      </c>
      <c r="E5455">
        <v>0</v>
      </c>
      <c r="F5455">
        <f t="shared" si="85"/>
        <v>0.32</v>
      </c>
      <c r="I5455">
        <v>20220701</v>
      </c>
      <c r="J5455" t="s">
        <v>5801</v>
      </c>
    </row>
    <row r="5456" spans="1:24" x14ac:dyDescent="0.3">
      <c r="A5456" s="160">
        <v>50507</v>
      </c>
      <c r="B5456" t="s">
        <v>20650</v>
      </c>
      <c r="C5456" t="s">
        <v>5772</v>
      </c>
      <c r="D5456">
        <v>1.5</v>
      </c>
      <c r="E5456">
        <v>0</v>
      </c>
      <c r="F5456">
        <f t="shared" si="85"/>
        <v>1.5</v>
      </c>
      <c r="I5456">
        <v>20210701</v>
      </c>
      <c r="J5456" t="s">
        <v>5776</v>
      </c>
    </row>
    <row r="5457" spans="1:13" x14ac:dyDescent="0.3">
      <c r="A5457" s="160">
        <v>50511</v>
      </c>
      <c r="B5457" t="s">
        <v>20651</v>
      </c>
      <c r="C5457" t="s">
        <v>5772</v>
      </c>
      <c r="D5457">
        <v>1.5</v>
      </c>
      <c r="E5457">
        <v>0</v>
      </c>
      <c r="F5457">
        <f t="shared" si="85"/>
        <v>1.5</v>
      </c>
      <c r="I5457">
        <v>20210701</v>
      </c>
      <c r="J5457" t="s">
        <v>5776</v>
      </c>
    </row>
    <row r="5458" spans="1:13" x14ac:dyDescent="0.3">
      <c r="A5458" s="160">
        <v>50512</v>
      </c>
      <c r="B5458" t="s">
        <v>20652</v>
      </c>
      <c r="C5458" t="s">
        <v>5757</v>
      </c>
      <c r="D5458">
        <v>0.6</v>
      </c>
      <c r="E5458">
        <v>0</v>
      </c>
      <c r="F5458">
        <f t="shared" si="85"/>
        <v>0.6</v>
      </c>
      <c r="I5458">
        <v>20230101</v>
      </c>
      <c r="J5458" t="s">
        <v>5808</v>
      </c>
    </row>
    <row r="5459" spans="1:13" x14ac:dyDescent="0.3">
      <c r="A5459" s="160">
        <v>50513</v>
      </c>
      <c r="B5459" t="s">
        <v>20653</v>
      </c>
      <c r="C5459" t="s">
        <v>5766</v>
      </c>
      <c r="D5459">
        <v>0.32</v>
      </c>
      <c r="E5459">
        <v>0</v>
      </c>
      <c r="F5459">
        <f t="shared" si="85"/>
        <v>0.32</v>
      </c>
      <c r="I5459">
        <v>20220701</v>
      </c>
      <c r="J5459" t="s">
        <v>5794</v>
      </c>
    </row>
    <row r="5460" spans="1:13" x14ac:dyDescent="0.3">
      <c r="A5460" s="160">
        <v>50519</v>
      </c>
      <c r="B5460" t="s">
        <v>20654</v>
      </c>
      <c r="C5460" t="s">
        <v>5772</v>
      </c>
      <c r="D5460">
        <v>1.5</v>
      </c>
      <c r="E5460">
        <v>0</v>
      </c>
      <c r="F5460">
        <f t="shared" si="85"/>
        <v>1.5</v>
      </c>
      <c r="I5460">
        <v>20210701</v>
      </c>
      <c r="J5460" t="s">
        <v>5793</v>
      </c>
    </row>
    <row r="5461" spans="1:13" x14ac:dyDescent="0.3">
      <c r="A5461" s="160">
        <v>50522</v>
      </c>
      <c r="B5461" t="s">
        <v>20655</v>
      </c>
      <c r="C5461" t="s">
        <v>5772</v>
      </c>
      <c r="D5461">
        <v>1.5</v>
      </c>
      <c r="E5461">
        <v>0</v>
      </c>
      <c r="F5461">
        <f t="shared" si="85"/>
        <v>1.5</v>
      </c>
      <c r="I5461">
        <v>20210701</v>
      </c>
      <c r="J5461" t="s">
        <v>5778</v>
      </c>
    </row>
    <row r="5462" spans="1:13" x14ac:dyDescent="0.3">
      <c r="A5462" s="160">
        <v>50532</v>
      </c>
      <c r="B5462" t="s">
        <v>20656</v>
      </c>
      <c r="C5462" t="s">
        <v>5770</v>
      </c>
      <c r="D5462">
        <v>0.45</v>
      </c>
      <c r="E5462">
        <v>0</v>
      </c>
      <c r="F5462">
        <f t="shared" si="85"/>
        <v>0.45</v>
      </c>
      <c r="I5462">
        <v>20220501</v>
      </c>
      <c r="J5462" t="s">
        <v>5854</v>
      </c>
      <c r="K5462" t="s">
        <v>5840</v>
      </c>
      <c r="L5462" t="s">
        <v>5841</v>
      </c>
      <c r="M5462" t="s">
        <v>5842</v>
      </c>
    </row>
    <row r="5463" spans="1:13" x14ac:dyDescent="0.3">
      <c r="A5463" s="160">
        <v>50536</v>
      </c>
      <c r="B5463" t="s">
        <v>20657</v>
      </c>
      <c r="C5463" t="s">
        <v>5772</v>
      </c>
      <c r="D5463">
        <v>1.5</v>
      </c>
      <c r="E5463">
        <v>0</v>
      </c>
      <c r="F5463">
        <f t="shared" si="85"/>
        <v>1.5</v>
      </c>
      <c r="I5463">
        <v>20210701</v>
      </c>
      <c r="J5463" t="s">
        <v>5778</v>
      </c>
    </row>
    <row r="5464" spans="1:13" x14ac:dyDescent="0.3">
      <c r="A5464" s="160">
        <v>50537</v>
      </c>
      <c r="B5464" t="s">
        <v>20658</v>
      </c>
      <c r="C5464" t="s">
        <v>5766</v>
      </c>
      <c r="D5464">
        <v>0.32</v>
      </c>
      <c r="E5464">
        <v>0</v>
      </c>
      <c r="F5464">
        <f t="shared" si="85"/>
        <v>0.32</v>
      </c>
      <c r="I5464">
        <v>20220701</v>
      </c>
      <c r="J5464" t="s">
        <v>5801</v>
      </c>
      <c r="K5464" t="s">
        <v>5835</v>
      </c>
    </row>
    <row r="5465" spans="1:13" x14ac:dyDescent="0.3">
      <c r="A5465" s="160">
        <v>50538</v>
      </c>
      <c r="B5465" t="s">
        <v>20659</v>
      </c>
      <c r="C5465" t="s">
        <v>5757</v>
      </c>
      <c r="D5465">
        <v>0.6</v>
      </c>
      <c r="E5465">
        <v>0</v>
      </c>
      <c r="F5465">
        <f t="shared" si="85"/>
        <v>0.6</v>
      </c>
      <c r="I5465">
        <v>20230101</v>
      </c>
      <c r="J5465" t="s">
        <v>5779</v>
      </c>
    </row>
    <row r="5466" spans="1:13" x14ac:dyDescent="0.3">
      <c r="A5466" s="160">
        <v>50539</v>
      </c>
      <c r="B5466" t="s">
        <v>20660</v>
      </c>
      <c r="C5466" t="s">
        <v>5772</v>
      </c>
      <c r="D5466">
        <v>1.5</v>
      </c>
      <c r="E5466">
        <v>0</v>
      </c>
      <c r="F5466">
        <f t="shared" si="85"/>
        <v>1.5</v>
      </c>
      <c r="I5466">
        <v>20210701</v>
      </c>
      <c r="J5466" t="s">
        <v>5805</v>
      </c>
    </row>
    <row r="5467" spans="1:13" x14ac:dyDescent="0.3">
      <c r="A5467" s="160">
        <v>50540</v>
      </c>
      <c r="B5467" t="s">
        <v>20661</v>
      </c>
      <c r="C5467" t="s">
        <v>5770</v>
      </c>
      <c r="D5467">
        <v>0.25</v>
      </c>
      <c r="E5467">
        <v>0</v>
      </c>
      <c r="F5467">
        <f t="shared" si="85"/>
        <v>0.25</v>
      </c>
      <c r="I5467">
        <v>20220501</v>
      </c>
      <c r="J5467" t="s">
        <v>5812</v>
      </c>
    </row>
    <row r="5468" spans="1:13" x14ac:dyDescent="0.3">
      <c r="A5468" s="160">
        <v>50541</v>
      </c>
      <c r="B5468" t="s">
        <v>20662</v>
      </c>
      <c r="C5468" t="s">
        <v>5770</v>
      </c>
      <c r="D5468">
        <v>0.25</v>
      </c>
      <c r="E5468">
        <v>0</v>
      </c>
      <c r="F5468">
        <f t="shared" si="85"/>
        <v>0.25</v>
      </c>
      <c r="I5468">
        <v>20220501</v>
      </c>
      <c r="J5468" t="s">
        <v>5771</v>
      </c>
      <c r="K5468" t="s">
        <v>5840</v>
      </c>
      <c r="L5468" t="s">
        <v>5841</v>
      </c>
      <c r="M5468" t="s">
        <v>5845</v>
      </c>
    </row>
    <row r="5469" spans="1:13" x14ac:dyDescent="0.3">
      <c r="A5469" s="160">
        <v>50546</v>
      </c>
      <c r="B5469" t="s">
        <v>20663</v>
      </c>
      <c r="C5469" t="s">
        <v>5757</v>
      </c>
      <c r="D5469">
        <v>0.6</v>
      </c>
      <c r="E5469">
        <v>0</v>
      </c>
      <c r="F5469">
        <f t="shared" si="85"/>
        <v>0.6</v>
      </c>
      <c r="I5469">
        <v>20230101</v>
      </c>
      <c r="J5469" t="s">
        <v>5808</v>
      </c>
    </row>
    <row r="5470" spans="1:13" x14ac:dyDescent="0.3">
      <c r="A5470" s="160">
        <v>50549</v>
      </c>
      <c r="B5470" t="s">
        <v>20664</v>
      </c>
      <c r="C5470" t="s">
        <v>5770</v>
      </c>
      <c r="D5470">
        <v>0.25</v>
      </c>
      <c r="E5470">
        <v>0</v>
      </c>
      <c r="F5470">
        <f t="shared" si="85"/>
        <v>0.25</v>
      </c>
      <c r="I5470">
        <v>20220501</v>
      </c>
      <c r="J5470" t="s">
        <v>5811</v>
      </c>
    </row>
    <row r="5471" spans="1:13" x14ac:dyDescent="0.3">
      <c r="A5471" s="160">
        <v>50550</v>
      </c>
      <c r="B5471" t="s">
        <v>20665</v>
      </c>
      <c r="C5471" t="s">
        <v>5766</v>
      </c>
      <c r="D5471">
        <v>0.32</v>
      </c>
      <c r="E5471">
        <v>0</v>
      </c>
      <c r="F5471">
        <f t="shared" si="85"/>
        <v>0.32</v>
      </c>
      <c r="I5471">
        <v>20220701</v>
      </c>
      <c r="J5471" t="s">
        <v>5852</v>
      </c>
    </row>
    <row r="5472" spans="1:13" x14ac:dyDescent="0.3">
      <c r="A5472" s="160">
        <v>50551</v>
      </c>
      <c r="B5472" t="s">
        <v>20666</v>
      </c>
      <c r="C5472" t="s">
        <v>5772</v>
      </c>
      <c r="D5472">
        <v>1.5</v>
      </c>
      <c r="E5472">
        <v>0</v>
      </c>
      <c r="F5472">
        <f t="shared" si="85"/>
        <v>1.5</v>
      </c>
      <c r="I5472">
        <v>20210701</v>
      </c>
      <c r="J5472" t="s">
        <v>5796</v>
      </c>
    </row>
    <row r="5473" spans="1:10" x14ac:dyDescent="0.3">
      <c r="A5473" s="160">
        <v>50556</v>
      </c>
      <c r="B5473" t="s">
        <v>20667</v>
      </c>
      <c r="C5473" t="s">
        <v>5757</v>
      </c>
      <c r="D5473">
        <v>0.6</v>
      </c>
      <c r="E5473">
        <v>0</v>
      </c>
      <c r="F5473">
        <f t="shared" si="85"/>
        <v>0.6</v>
      </c>
      <c r="I5473">
        <v>20230101</v>
      </c>
      <c r="J5473" t="s">
        <v>5808</v>
      </c>
    </row>
    <row r="5474" spans="1:10" x14ac:dyDescent="0.3">
      <c r="A5474" s="160">
        <v>50562</v>
      </c>
      <c r="B5474" t="s">
        <v>20668</v>
      </c>
      <c r="C5474" t="s">
        <v>5772</v>
      </c>
      <c r="D5474">
        <v>1.5</v>
      </c>
      <c r="E5474">
        <v>0</v>
      </c>
      <c r="F5474">
        <f t="shared" si="85"/>
        <v>1.5</v>
      </c>
      <c r="I5474">
        <v>20210701</v>
      </c>
      <c r="J5474" t="s">
        <v>5861</v>
      </c>
    </row>
    <row r="5475" spans="1:10" x14ac:dyDescent="0.3">
      <c r="A5475" s="160">
        <v>50563</v>
      </c>
      <c r="B5475" t="s">
        <v>20669</v>
      </c>
      <c r="C5475" t="s">
        <v>5757</v>
      </c>
      <c r="D5475">
        <v>0.6</v>
      </c>
      <c r="E5475">
        <v>0</v>
      </c>
      <c r="F5475">
        <f t="shared" si="85"/>
        <v>0.6</v>
      </c>
      <c r="I5475">
        <v>20230101</v>
      </c>
      <c r="J5475" t="s">
        <v>5782</v>
      </c>
    </row>
    <row r="5476" spans="1:10" x14ac:dyDescent="0.3">
      <c r="A5476" s="160">
        <v>50567</v>
      </c>
      <c r="B5476" t="s">
        <v>20670</v>
      </c>
      <c r="C5476" t="s">
        <v>5772</v>
      </c>
      <c r="D5476">
        <v>1.5</v>
      </c>
      <c r="E5476">
        <v>0</v>
      </c>
      <c r="F5476">
        <f t="shared" si="85"/>
        <v>1.5</v>
      </c>
      <c r="I5476">
        <v>20210701</v>
      </c>
      <c r="J5476" t="s">
        <v>5806</v>
      </c>
    </row>
    <row r="5477" spans="1:10" x14ac:dyDescent="0.3">
      <c r="A5477" s="160">
        <v>50568</v>
      </c>
      <c r="B5477" t="s">
        <v>20671</v>
      </c>
      <c r="C5477" t="s">
        <v>5766</v>
      </c>
      <c r="D5477">
        <v>0.32</v>
      </c>
      <c r="E5477">
        <v>0</v>
      </c>
      <c r="F5477">
        <f t="shared" si="85"/>
        <v>0.32</v>
      </c>
      <c r="I5477">
        <v>20220701</v>
      </c>
      <c r="J5477" t="s">
        <v>5801</v>
      </c>
    </row>
    <row r="5478" spans="1:10" x14ac:dyDescent="0.3">
      <c r="A5478" s="160">
        <v>50569</v>
      </c>
      <c r="B5478" t="s">
        <v>20672</v>
      </c>
      <c r="C5478" t="s">
        <v>5766</v>
      </c>
      <c r="D5478">
        <v>0.32</v>
      </c>
      <c r="E5478">
        <v>0</v>
      </c>
      <c r="F5478">
        <f t="shared" si="85"/>
        <v>0.32</v>
      </c>
      <c r="I5478">
        <v>20220701</v>
      </c>
      <c r="J5478" t="s">
        <v>5794</v>
      </c>
    </row>
    <row r="5479" spans="1:10" x14ac:dyDescent="0.3">
      <c r="A5479" s="160">
        <v>50572</v>
      </c>
      <c r="B5479" t="s">
        <v>20673</v>
      </c>
      <c r="C5479" t="s">
        <v>5772</v>
      </c>
      <c r="D5479">
        <v>1.5</v>
      </c>
      <c r="E5479">
        <v>0</v>
      </c>
      <c r="F5479">
        <f t="shared" si="85"/>
        <v>1.5</v>
      </c>
      <c r="I5479">
        <v>20210701</v>
      </c>
      <c r="J5479" t="s">
        <v>5778</v>
      </c>
    </row>
    <row r="5480" spans="1:10" x14ac:dyDescent="0.3">
      <c r="A5480" s="160">
        <v>50575</v>
      </c>
      <c r="B5480" t="s">
        <v>20674</v>
      </c>
      <c r="C5480" t="s">
        <v>5772</v>
      </c>
      <c r="D5480">
        <v>1.5</v>
      </c>
      <c r="E5480">
        <v>0</v>
      </c>
      <c r="F5480">
        <f t="shared" si="85"/>
        <v>1.5</v>
      </c>
      <c r="I5480">
        <v>20210701</v>
      </c>
      <c r="J5480" t="s">
        <v>5793</v>
      </c>
    </row>
    <row r="5481" spans="1:10" x14ac:dyDescent="0.3">
      <c r="A5481" s="160">
        <v>50576</v>
      </c>
      <c r="B5481" t="s">
        <v>20675</v>
      </c>
      <c r="C5481" t="s">
        <v>5772</v>
      </c>
      <c r="D5481">
        <v>1.5</v>
      </c>
      <c r="E5481">
        <v>0</v>
      </c>
      <c r="F5481">
        <f t="shared" si="85"/>
        <v>1.5</v>
      </c>
      <c r="I5481">
        <v>20210701</v>
      </c>
      <c r="J5481" t="s">
        <v>5795</v>
      </c>
    </row>
    <row r="5482" spans="1:10" x14ac:dyDescent="0.3">
      <c r="A5482" s="160">
        <v>50577</v>
      </c>
      <c r="B5482" t="s">
        <v>20676</v>
      </c>
      <c r="C5482" t="s">
        <v>5772</v>
      </c>
      <c r="D5482">
        <v>1.5</v>
      </c>
      <c r="E5482">
        <v>0</v>
      </c>
      <c r="F5482">
        <f t="shared" si="85"/>
        <v>1.5</v>
      </c>
      <c r="I5482">
        <v>20210701</v>
      </c>
      <c r="J5482" t="s">
        <v>5778</v>
      </c>
    </row>
    <row r="5483" spans="1:10" x14ac:dyDescent="0.3">
      <c r="A5483" s="160">
        <v>50578</v>
      </c>
      <c r="B5483" t="s">
        <v>20677</v>
      </c>
      <c r="C5483" t="s">
        <v>5772</v>
      </c>
      <c r="D5483">
        <v>1.5</v>
      </c>
      <c r="E5483">
        <v>0</v>
      </c>
      <c r="F5483">
        <f t="shared" si="85"/>
        <v>1.5</v>
      </c>
      <c r="I5483">
        <v>20210701</v>
      </c>
      <c r="J5483" t="s">
        <v>5776</v>
      </c>
    </row>
    <row r="5484" spans="1:10" x14ac:dyDescent="0.3">
      <c r="A5484" s="160">
        <v>50579</v>
      </c>
      <c r="B5484" t="s">
        <v>20678</v>
      </c>
      <c r="C5484" t="s">
        <v>5772</v>
      </c>
      <c r="D5484">
        <v>1.5</v>
      </c>
      <c r="E5484">
        <v>0</v>
      </c>
      <c r="F5484">
        <f t="shared" si="85"/>
        <v>1.5</v>
      </c>
      <c r="I5484">
        <v>20210701</v>
      </c>
      <c r="J5484" t="s">
        <v>5804</v>
      </c>
    </row>
    <row r="5485" spans="1:10" x14ac:dyDescent="0.3">
      <c r="A5485" s="160">
        <v>50580</v>
      </c>
      <c r="B5485" t="s">
        <v>20679</v>
      </c>
      <c r="C5485" t="s">
        <v>5772</v>
      </c>
      <c r="D5485">
        <v>1.5</v>
      </c>
      <c r="E5485">
        <v>0</v>
      </c>
      <c r="F5485">
        <f t="shared" si="85"/>
        <v>1.5</v>
      </c>
      <c r="I5485">
        <v>20210701</v>
      </c>
      <c r="J5485" t="s">
        <v>5795</v>
      </c>
    </row>
    <row r="5486" spans="1:10" x14ac:dyDescent="0.3">
      <c r="A5486" s="160">
        <v>50581</v>
      </c>
      <c r="B5486" t="s">
        <v>20679</v>
      </c>
      <c r="C5486" t="s">
        <v>5757</v>
      </c>
      <c r="D5486">
        <v>0.6</v>
      </c>
      <c r="E5486">
        <v>0</v>
      </c>
      <c r="F5486">
        <f t="shared" si="85"/>
        <v>0.6</v>
      </c>
      <c r="I5486">
        <v>20230101</v>
      </c>
      <c r="J5486" t="s">
        <v>5808</v>
      </c>
    </row>
    <row r="5487" spans="1:10" x14ac:dyDescent="0.3">
      <c r="A5487" s="160">
        <v>50585</v>
      </c>
      <c r="B5487" t="s">
        <v>20680</v>
      </c>
      <c r="C5487" t="s">
        <v>5772</v>
      </c>
      <c r="D5487">
        <v>1.5</v>
      </c>
      <c r="E5487">
        <v>0</v>
      </c>
      <c r="F5487">
        <f t="shared" si="85"/>
        <v>1.5</v>
      </c>
      <c r="I5487">
        <v>20210701</v>
      </c>
      <c r="J5487" t="s">
        <v>5778</v>
      </c>
    </row>
    <row r="5488" spans="1:10" x14ac:dyDescent="0.3">
      <c r="A5488" s="160">
        <v>50587</v>
      </c>
      <c r="B5488" t="s">
        <v>20681</v>
      </c>
      <c r="C5488" t="s">
        <v>5772</v>
      </c>
      <c r="D5488">
        <v>1.5</v>
      </c>
      <c r="E5488">
        <v>0</v>
      </c>
      <c r="F5488">
        <f t="shared" si="85"/>
        <v>1.5</v>
      </c>
      <c r="I5488">
        <v>20210701</v>
      </c>
      <c r="J5488" t="s">
        <v>5796</v>
      </c>
    </row>
    <row r="5489" spans="1:11" x14ac:dyDescent="0.3">
      <c r="A5489" s="160">
        <v>50588</v>
      </c>
      <c r="B5489" t="s">
        <v>20682</v>
      </c>
      <c r="C5489" t="s">
        <v>5772</v>
      </c>
      <c r="D5489">
        <v>1.5</v>
      </c>
      <c r="E5489">
        <v>0</v>
      </c>
      <c r="F5489">
        <f t="shared" si="85"/>
        <v>1.5</v>
      </c>
      <c r="I5489">
        <v>20210701</v>
      </c>
      <c r="J5489" t="s">
        <v>5806</v>
      </c>
    </row>
    <row r="5490" spans="1:11" x14ac:dyDescent="0.3">
      <c r="A5490" s="160">
        <v>50592</v>
      </c>
      <c r="B5490" t="s">
        <v>20683</v>
      </c>
      <c r="C5490" t="s">
        <v>5757</v>
      </c>
      <c r="D5490">
        <v>0.6</v>
      </c>
      <c r="E5490">
        <v>0</v>
      </c>
      <c r="F5490">
        <f t="shared" si="85"/>
        <v>0.6</v>
      </c>
      <c r="I5490">
        <v>20230101</v>
      </c>
      <c r="J5490" t="s">
        <v>5782</v>
      </c>
    </row>
    <row r="5491" spans="1:11" x14ac:dyDescent="0.3">
      <c r="A5491" s="160">
        <v>50593</v>
      </c>
      <c r="B5491" t="s">
        <v>20684</v>
      </c>
      <c r="C5491" t="s">
        <v>5772</v>
      </c>
      <c r="D5491">
        <v>1.5</v>
      </c>
      <c r="E5491">
        <v>0</v>
      </c>
      <c r="F5491">
        <f t="shared" si="85"/>
        <v>1.5</v>
      </c>
      <c r="I5491">
        <v>20210701</v>
      </c>
      <c r="J5491" t="s">
        <v>5775</v>
      </c>
    </row>
    <row r="5492" spans="1:11" x14ac:dyDescent="0.3">
      <c r="A5492" s="160">
        <v>50594</v>
      </c>
      <c r="B5492" t="s">
        <v>20685</v>
      </c>
      <c r="C5492" t="s">
        <v>5772</v>
      </c>
      <c r="D5492">
        <v>1.5</v>
      </c>
      <c r="E5492">
        <v>0</v>
      </c>
      <c r="F5492">
        <f t="shared" si="85"/>
        <v>1.5</v>
      </c>
      <c r="I5492">
        <v>20210701</v>
      </c>
      <c r="J5492" t="s">
        <v>5793</v>
      </c>
    </row>
    <row r="5493" spans="1:11" x14ac:dyDescent="0.3">
      <c r="A5493" s="160">
        <v>50596</v>
      </c>
      <c r="B5493" t="s">
        <v>20686</v>
      </c>
      <c r="C5493" t="s">
        <v>5772</v>
      </c>
      <c r="D5493">
        <v>1.5</v>
      </c>
      <c r="E5493">
        <v>0</v>
      </c>
      <c r="F5493">
        <f t="shared" si="85"/>
        <v>1.5</v>
      </c>
      <c r="I5493">
        <v>20210701</v>
      </c>
      <c r="J5493" t="s">
        <v>5805</v>
      </c>
    </row>
    <row r="5494" spans="1:11" x14ac:dyDescent="0.3">
      <c r="A5494" s="160">
        <v>50598</v>
      </c>
      <c r="B5494" t="s">
        <v>20687</v>
      </c>
      <c r="C5494" t="s">
        <v>5772</v>
      </c>
      <c r="D5494">
        <v>1.5</v>
      </c>
      <c r="E5494">
        <v>0</v>
      </c>
      <c r="F5494">
        <f t="shared" si="85"/>
        <v>1.5</v>
      </c>
      <c r="I5494">
        <v>20210701</v>
      </c>
      <c r="J5494" t="s">
        <v>5805</v>
      </c>
    </row>
    <row r="5495" spans="1:11" x14ac:dyDescent="0.3">
      <c r="A5495" s="160">
        <v>50599</v>
      </c>
      <c r="B5495" t="s">
        <v>20688</v>
      </c>
      <c r="C5495" t="s">
        <v>5772</v>
      </c>
      <c r="D5495">
        <v>1.5</v>
      </c>
      <c r="E5495">
        <v>0</v>
      </c>
      <c r="F5495">
        <f t="shared" si="85"/>
        <v>1.5</v>
      </c>
      <c r="I5495">
        <v>20210701</v>
      </c>
      <c r="J5495" t="s">
        <v>5827</v>
      </c>
    </row>
    <row r="5496" spans="1:11" x14ac:dyDescent="0.3">
      <c r="A5496" s="160">
        <v>50601</v>
      </c>
      <c r="B5496" t="s">
        <v>20689</v>
      </c>
      <c r="C5496" t="s">
        <v>5757</v>
      </c>
      <c r="D5496">
        <v>0.6</v>
      </c>
      <c r="E5496">
        <v>0</v>
      </c>
      <c r="F5496">
        <f t="shared" si="85"/>
        <v>0.6</v>
      </c>
      <c r="I5496">
        <v>20230101</v>
      </c>
      <c r="J5496" t="s">
        <v>5797</v>
      </c>
    </row>
    <row r="5497" spans="1:11" x14ac:dyDescent="0.3">
      <c r="A5497" s="160">
        <v>50602</v>
      </c>
      <c r="B5497" t="s">
        <v>20689</v>
      </c>
      <c r="C5497" t="s">
        <v>5772</v>
      </c>
      <c r="D5497">
        <v>1.5</v>
      </c>
      <c r="E5497">
        <v>0</v>
      </c>
      <c r="F5497">
        <f t="shared" si="85"/>
        <v>1.5</v>
      </c>
      <c r="I5497">
        <v>20210701</v>
      </c>
      <c r="J5497" t="s">
        <v>5816</v>
      </c>
      <c r="K5497" t="s">
        <v>5803</v>
      </c>
    </row>
    <row r="5498" spans="1:11" x14ac:dyDescent="0.3">
      <c r="A5498" s="160">
        <v>50603</v>
      </c>
      <c r="B5498" t="s">
        <v>20690</v>
      </c>
      <c r="C5498" t="s">
        <v>5766</v>
      </c>
      <c r="D5498">
        <v>0.32</v>
      </c>
      <c r="E5498">
        <v>0</v>
      </c>
      <c r="F5498">
        <f t="shared" si="85"/>
        <v>0.32</v>
      </c>
      <c r="I5498">
        <v>20220701</v>
      </c>
      <c r="J5498" t="s">
        <v>5801</v>
      </c>
    </row>
    <row r="5499" spans="1:11" x14ac:dyDescent="0.3">
      <c r="A5499" s="160">
        <v>50604</v>
      </c>
      <c r="B5499" t="s">
        <v>20691</v>
      </c>
      <c r="C5499" t="s">
        <v>5772</v>
      </c>
      <c r="D5499">
        <v>1.5</v>
      </c>
      <c r="E5499">
        <v>0</v>
      </c>
      <c r="F5499">
        <f t="shared" si="85"/>
        <v>1.5</v>
      </c>
      <c r="I5499">
        <v>20210701</v>
      </c>
      <c r="J5499" t="s">
        <v>5795</v>
      </c>
    </row>
    <row r="5500" spans="1:11" x14ac:dyDescent="0.3">
      <c r="A5500" s="160">
        <v>50608</v>
      </c>
      <c r="B5500" t="s">
        <v>15992</v>
      </c>
      <c r="C5500" t="s">
        <v>5757</v>
      </c>
      <c r="D5500">
        <v>0.6</v>
      </c>
      <c r="E5500">
        <v>0</v>
      </c>
      <c r="F5500">
        <f t="shared" si="85"/>
        <v>0.6</v>
      </c>
      <c r="I5500">
        <v>20230101</v>
      </c>
      <c r="J5500" t="s">
        <v>5782</v>
      </c>
    </row>
    <row r="5501" spans="1:11" x14ac:dyDescent="0.3">
      <c r="A5501" s="160">
        <v>50610</v>
      </c>
      <c r="B5501" t="s">
        <v>20692</v>
      </c>
      <c r="C5501" t="s">
        <v>5772</v>
      </c>
      <c r="D5501">
        <v>1.5</v>
      </c>
      <c r="E5501">
        <v>0</v>
      </c>
      <c r="F5501">
        <f t="shared" si="85"/>
        <v>1.5</v>
      </c>
      <c r="I5501">
        <v>20210701</v>
      </c>
      <c r="J5501" t="s">
        <v>5806</v>
      </c>
    </row>
    <row r="5502" spans="1:11" x14ac:dyDescent="0.3">
      <c r="A5502" s="160">
        <v>50613</v>
      </c>
      <c r="B5502" t="s">
        <v>20693</v>
      </c>
      <c r="C5502" t="s">
        <v>5772</v>
      </c>
      <c r="D5502">
        <v>1.5</v>
      </c>
      <c r="E5502">
        <v>0</v>
      </c>
      <c r="F5502">
        <f t="shared" si="85"/>
        <v>1.5</v>
      </c>
      <c r="I5502">
        <v>20210701</v>
      </c>
      <c r="J5502" t="s">
        <v>5773</v>
      </c>
    </row>
    <row r="5503" spans="1:11" x14ac:dyDescent="0.3">
      <c r="A5503" s="160">
        <v>50615</v>
      </c>
      <c r="B5503" t="s">
        <v>20694</v>
      </c>
      <c r="C5503" t="s">
        <v>5772</v>
      </c>
      <c r="D5503">
        <v>1.5</v>
      </c>
      <c r="E5503">
        <v>0</v>
      </c>
      <c r="F5503">
        <f t="shared" si="85"/>
        <v>1.5</v>
      </c>
      <c r="I5503">
        <v>20210701</v>
      </c>
      <c r="J5503" t="s">
        <v>5806</v>
      </c>
    </row>
    <row r="5504" spans="1:11" x14ac:dyDescent="0.3">
      <c r="A5504" s="160">
        <v>50618</v>
      </c>
      <c r="B5504" t="s">
        <v>20695</v>
      </c>
      <c r="C5504" t="s">
        <v>5772</v>
      </c>
      <c r="D5504">
        <v>1.5</v>
      </c>
      <c r="E5504">
        <v>0</v>
      </c>
      <c r="F5504">
        <f t="shared" si="85"/>
        <v>1.5</v>
      </c>
      <c r="I5504">
        <v>20210701</v>
      </c>
      <c r="J5504" t="s">
        <v>5805</v>
      </c>
    </row>
    <row r="5505" spans="1:14" x14ac:dyDescent="0.3">
      <c r="A5505" s="160">
        <v>50619</v>
      </c>
      <c r="B5505" t="s">
        <v>20696</v>
      </c>
      <c r="C5505" t="s">
        <v>5772</v>
      </c>
      <c r="D5505">
        <v>1.5</v>
      </c>
      <c r="E5505">
        <v>0</v>
      </c>
      <c r="F5505">
        <f t="shared" si="85"/>
        <v>1.5</v>
      </c>
      <c r="I5505">
        <v>20210701</v>
      </c>
      <c r="J5505" t="s">
        <v>5775</v>
      </c>
    </row>
    <row r="5506" spans="1:14" x14ac:dyDescent="0.3">
      <c r="A5506" s="160">
        <v>50621</v>
      </c>
      <c r="B5506" t="s">
        <v>20697</v>
      </c>
      <c r="C5506" t="s">
        <v>5772</v>
      </c>
      <c r="D5506">
        <v>1.5</v>
      </c>
      <c r="E5506">
        <v>0</v>
      </c>
      <c r="F5506">
        <f t="shared" si="85"/>
        <v>1.5</v>
      </c>
      <c r="I5506">
        <v>20210701</v>
      </c>
      <c r="J5506" t="s">
        <v>5776</v>
      </c>
    </row>
    <row r="5507" spans="1:14" x14ac:dyDescent="0.3">
      <c r="A5507" s="160">
        <v>50624</v>
      </c>
      <c r="B5507" t="s">
        <v>20698</v>
      </c>
      <c r="C5507" t="s">
        <v>5766</v>
      </c>
      <c r="D5507">
        <v>0.32</v>
      </c>
      <c r="E5507">
        <v>0</v>
      </c>
      <c r="F5507">
        <f t="shared" si="85"/>
        <v>0.32</v>
      </c>
      <c r="I5507">
        <v>20220701</v>
      </c>
      <c r="J5507" t="s">
        <v>5801</v>
      </c>
    </row>
    <row r="5508" spans="1:14" x14ac:dyDescent="0.3">
      <c r="A5508" s="160">
        <v>50626</v>
      </c>
      <c r="B5508" t="s">
        <v>20699</v>
      </c>
      <c r="C5508" t="s">
        <v>5766</v>
      </c>
      <c r="D5508">
        <v>0.32</v>
      </c>
      <c r="E5508">
        <v>0</v>
      </c>
      <c r="F5508">
        <f t="shared" si="85"/>
        <v>0.32</v>
      </c>
      <c r="I5508">
        <v>20220701</v>
      </c>
      <c r="J5508" t="s">
        <v>5777</v>
      </c>
    </row>
    <row r="5509" spans="1:14" x14ac:dyDescent="0.3">
      <c r="A5509" s="160">
        <v>50633</v>
      </c>
      <c r="B5509" t="s">
        <v>20700</v>
      </c>
      <c r="C5509" t="s">
        <v>5772</v>
      </c>
      <c r="D5509">
        <v>1.5</v>
      </c>
      <c r="E5509">
        <v>0</v>
      </c>
      <c r="F5509">
        <f t="shared" si="85"/>
        <v>1.5</v>
      </c>
      <c r="I5509">
        <v>20210701</v>
      </c>
      <c r="J5509" t="s">
        <v>5773</v>
      </c>
    </row>
    <row r="5510" spans="1:14" x14ac:dyDescent="0.3">
      <c r="A5510" s="160">
        <v>50634</v>
      </c>
      <c r="B5510" t="s">
        <v>20701</v>
      </c>
      <c r="C5510" t="s">
        <v>5772</v>
      </c>
      <c r="D5510">
        <v>1.5</v>
      </c>
      <c r="E5510">
        <v>0</v>
      </c>
      <c r="F5510">
        <f t="shared" si="85"/>
        <v>1.5</v>
      </c>
      <c r="I5510">
        <v>20210701</v>
      </c>
      <c r="J5510" t="s">
        <v>5775</v>
      </c>
    </row>
    <row r="5511" spans="1:14" x14ac:dyDescent="0.3">
      <c r="A5511" s="160">
        <v>50635</v>
      </c>
      <c r="B5511" t="s">
        <v>20701</v>
      </c>
      <c r="C5511" t="s">
        <v>5757</v>
      </c>
      <c r="D5511">
        <v>0.6</v>
      </c>
      <c r="E5511">
        <v>0</v>
      </c>
      <c r="F5511">
        <f t="shared" ref="F5511:F5574" si="86">D5511+E5511</f>
        <v>0.6</v>
      </c>
      <c r="I5511">
        <v>20230101</v>
      </c>
      <c r="J5511" t="s">
        <v>5779</v>
      </c>
    </row>
    <row r="5512" spans="1:14" x14ac:dyDescent="0.3">
      <c r="A5512" s="160">
        <v>50641</v>
      </c>
      <c r="B5512" t="s">
        <v>20702</v>
      </c>
      <c r="C5512" t="s">
        <v>5757</v>
      </c>
      <c r="D5512">
        <v>0.6</v>
      </c>
      <c r="E5512">
        <v>0</v>
      </c>
      <c r="F5512">
        <f t="shared" si="86"/>
        <v>0.6</v>
      </c>
      <c r="I5512">
        <v>20230101</v>
      </c>
      <c r="J5512" t="s">
        <v>5760</v>
      </c>
      <c r="K5512" t="s">
        <v>5768</v>
      </c>
    </row>
    <row r="5513" spans="1:14" x14ac:dyDescent="0.3">
      <c r="A5513" s="160">
        <v>50643</v>
      </c>
      <c r="B5513" t="s">
        <v>20703</v>
      </c>
      <c r="C5513" t="s">
        <v>5772</v>
      </c>
      <c r="D5513">
        <v>1.5</v>
      </c>
      <c r="E5513">
        <v>0</v>
      </c>
      <c r="F5513">
        <f t="shared" si="86"/>
        <v>1.5</v>
      </c>
      <c r="I5513">
        <v>20210701</v>
      </c>
      <c r="J5513" t="s">
        <v>5793</v>
      </c>
    </row>
    <row r="5514" spans="1:14" x14ac:dyDescent="0.3">
      <c r="A5514" s="160">
        <v>50647</v>
      </c>
      <c r="B5514" t="s">
        <v>20704</v>
      </c>
      <c r="C5514" t="s">
        <v>5770</v>
      </c>
      <c r="D5514">
        <v>0.45</v>
      </c>
      <c r="E5514">
        <v>0</v>
      </c>
      <c r="F5514">
        <f t="shared" si="86"/>
        <v>0.45</v>
      </c>
      <c r="I5514">
        <v>20220501</v>
      </c>
      <c r="J5514" t="s">
        <v>5771</v>
      </c>
      <c r="K5514" t="s">
        <v>5844</v>
      </c>
      <c r="L5514" t="s">
        <v>5841</v>
      </c>
      <c r="M5514" t="s">
        <v>5846</v>
      </c>
      <c r="N5514" t="s">
        <v>5847</v>
      </c>
    </row>
    <row r="5515" spans="1:14" x14ac:dyDescent="0.3">
      <c r="A5515" s="160">
        <v>50648</v>
      </c>
      <c r="B5515" t="s">
        <v>20705</v>
      </c>
      <c r="C5515" t="s">
        <v>5772</v>
      </c>
      <c r="D5515">
        <v>1.5</v>
      </c>
      <c r="E5515">
        <v>0</v>
      </c>
      <c r="F5515">
        <f t="shared" si="86"/>
        <v>1.5</v>
      </c>
      <c r="I5515">
        <v>20210701</v>
      </c>
      <c r="J5515" t="s">
        <v>5806</v>
      </c>
    </row>
    <row r="5516" spans="1:14" x14ac:dyDescent="0.3">
      <c r="A5516" s="160">
        <v>51003</v>
      </c>
      <c r="B5516" t="s">
        <v>20706</v>
      </c>
      <c r="C5516" t="s">
        <v>5862</v>
      </c>
      <c r="D5516">
        <v>0.6</v>
      </c>
      <c r="E5516">
        <v>0</v>
      </c>
      <c r="F5516">
        <f t="shared" si="86"/>
        <v>0.6</v>
      </c>
      <c r="I5516">
        <v>20240101</v>
      </c>
      <c r="J5516" t="s">
        <v>5863</v>
      </c>
    </row>
    <row r="5517" spans="1:14" x14ac:dyDescent="0.3">
      <c r="A5517" s="160">
        <v>51007</v>
      </c>
      <c r="B5517" t="s">
        <v>20707</v>
      </c>
      <c r="C5517" t="s">
        <v>5864</v>
      </c>
      <c r="D5517">
        <v>0.55000000000000004</v>
      </c>
      <c r="E5517">
        <v>0</v>
      </c>
      <c r="F5517">
        <f t="shared" si="86"/>
        <v>0.55000000000000004</v>
      </c>
      <c r="I5517">
        <v>20160101</v>
      </c>
      <c r="J5517" t="s">
        <v>5863</v>
      </c>
    </row>
    <row r="5518" spans="1:14" x14ac:dyDescent="0.3">
      <c r="A5518" s="160">
        <v>51008</v>
      </c>
      <c r="B5518" t="s">
        <v>20708</v>
      </c>
      <c r="C5518" t="s">
        <v>27547</v>
      </c>
      <c r="D5518">
        <v>0.55000000000000004</v>
      </c>
      <c r="E5518">
        <v>0</v>
      </c>
      <c r="F5518">
        <f t="shared" si="86"/>
        <v>0.55000000000000004</v>
      </c>
      <c r="I5518">
        <v>20240101</v>
      </c>
      <c r="J5518" t="s">
        <v>5865</v>
      </c>
    </row>
    <row r="5519" spans="1:14" x14ac:dyDescent="0.3">
      <c r="A5519" s="160">
        <v>51012</v>
      </c>
      <c r="B5519" t="s">
        <v>20709</v>
      </c>
      <c r="C5519" t="s">
        <v>5866</v>
      </c>
      <c r="D5519">
        <v>1.4</v>
      </c>
      <c r="E5519">
        <v>0</v>
      </c>
      <c r="F5519">
        <f t="shared" si="86"/>
        <v>1.4</v>
      </c>
      <c r="I5519">
        <v>20240701</v>
      </c>
      <c r="J5519" t="s">
        <v>5867</v>
      </c>
    </row>
    <row r="5520" spans="1:14" x14ac:dyDescent="0.3">
      <c r="A5520" s="160">
        <v>51013</v>
      </c>
      <c r="B5520" t="s">
        <v>20710</v>
      </c>
      <c r="C5520" t="s">
        <v>5866</v>
      </c>
      <c r="D5520">
        <v>1.4</v>
      </c>
      <c r="E5520">
        <v>0</v>
      </c>
      <c r="F5520">
        <f t="shared" si="86"/>
        <v>1.4</v>
      </c>
      <c r="I5520">
        <v>20240701</v>
      </c>
      <c r="J5520" t="s">
        <v>5868</v>
      </c>
    </row>
    <row r="5521" spans="1:11" x14ac:dyDescent="0.3">
      <c r="A5521" s="160">
        <v>51014</v>
      </c>
      <c r="B5521" t="s">
        <v>20711</v>
      </c>
      <c r="C5521" t="s">
        <v>5866</v>
      </c>
      <c r="D5521">
        <v>1.4</v>
      </c>
      <c r="E5521">
        <v>0</v>
      </c>
      <c r="F5521">
        <f t="shared" si="86"/>
        <v>1.4</v>
      </c>
      <c r="I5521">
        <v>20240701</v>
      </c>
      <c r="J5521" t="s">
        <v>5868</v>
      </c>
    </row>
    <row r="5522" spans="1:11" x14ac:dyDescent="0.3">
      <c r="A5522" s="160">
        <v>51018</v>
      </c>
      <c r="B5522" t="s">
        <v>20712</v>
      </c>
      <c r="C5522" t="s">
        <v>5869</v>
      </c>
      <c r="D5522">
        <v>0.55000000000000004</v>
      </c>
      <c r="E5522">
        <v>0</v>
      </c>
      <c r="F5522">
        <f t="shared" si="86"/>
        <v>0.55000000000000004</v>
      </c>
      <c r="I5522">
        <v>20240101</v>
      </c>
      <c r="J5522" t="s">
        <v>5863</v>
      </c>
    </row>
    <row r="5523" spans="1:11" x14ac:dyDescent="0.3">
      <c r="A5523" s="160">
        <v>51019</v>
      </c>
      <c r="B5523" t="s">
        <v>20713</v>
      </c>
      <c r="C5523" t="s">
        <v>5866</v>
      </c>
      <c r="D5523">
        <v>1.4</v>
      </c>
      <c r="E5523">
        <v>0</v>
      </c>
      <c r="F5523">
        <f t="shared" si="86"/>
        <v>1.4</v>
      </c>
      <c r="I5523" s="9">
        <v>20240701</v>
      </c>
      <c r="J5523" t="s">
        <v>5870</v>
      </c>
    </row>
    <row r="5524" spans="1:11" x14ac:dyDescent="0.3">
      <c r="A5524" s="160">
        <v>51020</v>
      </c>
      <c r="B5524" t="s">
        <v>20714</v>
      </c>
      <c r="C5524" t="s">
        <v>5866</v>
      </c>
      <c r="D5524">
        <v>1.4</v>
      </c>
      <c r="E5524">
        <v>0</v>
      </c>
      <c r="F5524">
        <f t="shared" si="86"/>
        <v>1.4</v>
      </c>
      <c r="I5524" s="9">
        <v>20240701</v>
      </c>
      <c r="J5524" t="s">
        <v>5868</v>
      </c>
    </row>
    <row r="5525" spans="1:11" x14ac:dyDescent="0.3">
      <c r="A5525" s="160">
        <v>51023</v>
      </c>
      <c r="B5525" t="s">
        <v>20715</v>
      </c>
      <c r="C5525" t="s">
        <v>5862</v>
      </c>
      <c r="D5525">
        <v>0.6</v>
      </c>
      <c r="E5525">
        <v>0</v>
      </c>
      <c r="F5525">
        <f t="shared" si="86"/>
        <v>0.6</v>
      </c>
      <c r="I5525">
        <v>20240101</v>
      </c>
      <c r="J5525" t="s">
        <v>5863</v>
      </c>
    </row>
    <row r="5526" spans="1:11" x14ac:dyDescent="0.3">
      <c r="A5526" s="160">
        <v>51025</v>
      </c>
      <c r="B5526" t="s">
        <v>20716</v>
      </c>
      <c r="C5526" t="s">
        <v>5866</v>
      </c>
      <c r="D5526">
        <v>1.4</v>
      </c>
      <c r="E5526">
        <v>0</v>
      </c>
      <c r="F5526">
        <f t="shared" si="86"/>
        <v>1.4</v>
      </c>
      <c r="I5526" s="9">
        <v>20240701</v>
      </c>
      <c r="J5526" t="s">
        <v>5871</v>
      </c>
    </row>
    <row r="5527" spans="1:11" x14ac:dyDescent="0.3">
      <c r="A5527" s="160">
        <v>51028</v>
      </c>
      <c r="B5527" t="s">
        <v>20717</v>
      </c>
      <c r="C5527" t="s">
        <v>5864</v>
      </c>
      <c r="D5527">
        <v>0.55000000000000004</v>
      </c>
      <c r="E5527">
        <v>0</v>
      </c>
      <c r="F5527">
        <f t="shared" si="86"/>
        <v>0.55000000000000004</v>
      </c>
      <c r="I5527">
        <v>20160101</v>
      </c>
      <c r="J5527" t="s">
        <v>5872</v>
      </c>
    </row>
    <row r="5528" spans="1:11" x14ac:dyDescent="0.3">
      <c r="A5528" s="160">
        <v>51029</v>
      </c>
      <c r="B5528" t="s">
        <v>20718</v>
      </c>
      <c r="C5528" t="s">
        <v>5869</v>
      </c>
      <c r="D5528">
        <v>0.55000000000000004</v>
      </c>
      <c r="E5528">
        <v>0</v>
      </c>
      <c r="F5528">
        <f t="shared" si="86"/>
        <v>0.55000000000000004</v>
      </c>
      <c r="I5528">
        <v>20110201</v>
      </c>
      <c r="J5528" t="s">
        <v>5873</v>
      </c>
    </row>
    <row r="5529" spans="1:11" x14ac:dyDescent="0.3">
      <c r="A5529" s="160">
        <v>51030</v>
      </c>
      <c r="B5529" t="s">
        <v>20719</v>
      </c>
      <c r="C5529" t="s">
        <v>5864</v>
      </c>
      <c r="D5529">
        <v>0.55000000000000004</v>
      </c>
      <c r="E5529">
        <v>0</v>
      </c>
      <c r="F5529">
        <f t="shared" si="86"/>
        <v>0.55000000000000004</v>
      </c>
      <c r="I5529">
        <v>20160101</v>
      </c>
      <c r="J5529" t="s">
        <v>5863</v>
      </c>
      <c r="K5529" t="s">
        <v>5872</v>
      </c>
    </row>
    <row r="5530" spans="1:11" x14ac:dyDescent="0.3">
      <c r="A5530" s="160">
        <v>51031</v>
      </c>
      <c r="B5530" t="s">
        <v>20720</v>
      </c>
      <c r="C5530" t="s">
        <v>5862</v>
      </c>
      <c r="D5530">
        <v>0.6</v>
      </c>
      <c r="E5530">
        <v>0</v>
      </c>
      <c r="F5530">
        <f t="shared" si="86"/>
        <v>0.6</v>
      </c>
      <c r="I5530">
        <v>20240101</v>
      </c>
      <c r="J5530" t="s">
        <v>5874</v>
      </c>
    </row>
    <row r="5531" spans="1:11" x14ac:dyDescent="0.3">
      <c r="A5531" s="160">
        <v>51037</v>
      </c>
      <c r="B5531" t="s">
        <v>20721</v>
      </c>
      <c r="C5531" t="s">
        <v>5866</v>
      </c>
      <c r="D5531">
        <v>1.4</v>
      </c>
      <c r="E5531">
        <v>0</v>
      </c>
      <c r="F5531">
        <f t="shared" si="86"/>
        <v>1.4</v>
      </c>
      <c r="I5531" s="9">
        <v>20240701</v>
      </c>
      <c r="J5531" t="s">
        <v>5868</v>
      </c>
    </row>
    <row r="5532" spans="1:11" x14ac:dyDescent="0.3">
      <c r="A5532" s="160">
        <v>51043</v>
      </c>
      <c r="B5532" t="s">
        <v>20722</v>
      </c>
      <c r="C5532" t="s">
        <v>5866</v>
      </c>
      <c r="D5532">
        <v>1.4</v>
      </c>
      <c r="E5532">
        <v>0</v>
      </c>
      <c r="F5532">
        <f t="shared" si="86"/>
        <v>1.4</v>
      </c>
      <c r="I5532" s="9">
        <v>20240701</v>
      </c>
      <c r="J5532" t="s">
        <v>5871</v>
      </c>
    </row>
    <row r="5533" spans="1:11" x14ac:dyDescent="0.3">
      <c r="A5533" s="160">
        <v>51044</v>
      </c>
      <c r="B5533" t="s">
        <v>20723</v>
      </c>
      <c r="C5533" t="s">
        <v>5866</v>
      </c>
      <c r="D5533">
        <v>1.4</v>
      </c>
      <c r="E5533">
        <v>0</v>
      </c>
      <c r="F5533">
        <f t="shared" si="86"/>
        <v>1.4</v>
      </c>
      <c r="I5533" s="9">
        <v>20240701</v>
      </c>
      <c r="J5533" t="s">
        <v>5875</v>
      </c>
    </row>
    <row r="5534" spans="1:11" x14ac:dyDescent="0.3">
      <c r="A5534" s="160">
        <v>51046</v>
      </c>
      <c r="B5534" t="s">
        <v>20724</v>
      </c>
      <c r="C5534" t="s">
        <v>5866</v>
      </c>
      <c r="D5534">
        <v>1.4</v>
      </c>
      <c r="E5534">
        <v>0</v>
      </c>
      <c r="F5534">
        <f t="shared" si="86"/>
        <v>1.4</v>
      </c>
      <c r="I5534" s="9">
        <v>20240701</v>
      </c>
      <c r="J5534" t="s">
        <v>5876</v>
      </c>
    </row>
    <row r="5535" spans="1:11" x14ac:dyDescent="0.3">
      <c r="A5535" s="160">
        <v>51049</v>
      </c>
      <c r="B5535" t="s">
        <v>20725</v>
      </c>
      <c r="C5535" t="s">
        <v>5869</v>
      </c>
      <c r="D5535">
        <v>0.55000000000000004</v>
      </c>
      <c r="E5535">
        <v>0</v>
      </c>
      <c r="F5535">
        <f t="shared" si="86"/>
        <v>0.55000000000000004</v>
      </c>
      <c r="I5535">
        <v>20240101</v>
      </c>
      <c r="J5535" t="s">
        <v>5877</v>
      </c>
    </row>
    <row r="5536" spans="1:11" x14ac:dyDescent="0.3">
      <c r="A5536" s="160">
        <v>51051</v>
      </c>
      <c r="B5536" t="s">
        <v>20726</v>
      </c>
      <c r="C5536" t="s">
        <v>5866</v>
      </c>
      <c r="D5536">
        <v>1.4</v>
      </c>
      <c r="E5536">
        <v>0</v>
      </c>
      <c r="F5536">
        <f t="shared" si="86"/>
        <v>1.4</v>
      </c>
      <c r="I5536" s="9">
        <v>20240701</v>
      </c>
      <c r="J5536" t="s">
        <v>5878</v>
      </c>
    </row>
    <row r="5537" spans="1:19" x14ac:dyDescent="0.3">
      <c r="A5537" s="160">
        <v>51052</v>
      </c>
      <c r="B5537" t="s">
        <v>20727</v>
      </c>
      <c r="C5537" t="s">
        <v>5866</v>
      </c>
      <c r="D5537">
        <v>1.4</v>
      </c>
      <c r="E5537">
        <v>0</v>
      </c>
      <c r="F5537">
        <f t="shared" si="86"/>
        <v>1.4</v>
      </c>
      <c r="I5537" s="9">
        <v>20240701</v>
      </c>
      <c r="J5537" t="s">
        <v>5879</v>
      </c>
    </row>
    <row r="5538" spans="1:19" x14ac:dyDescent="0.3">
      <c r="A5538" s="160">
        <v>51054</v>
      </c>
      <c r="B5538" t="s">
        <v>20728</v>
      </c>
      <c r="C5538" t="s">
        <v>5866</v>
      </c>
      <c r="D5538">
        <v>1.4</v>
      </c>
      <c r="E5538">
        <v>0</v>
      </c>
      <c r="F5538">
        <f t="shared" si="86"/>
        <v>1.4</v>
      </c>
      <c r="I5538" s="9">
        <v>20240701</v>
      </c>
      <c r="J5538" t="s">
        <v>5876</v>
      </c>
    </row>
    <row r="5539" spans="1:19" x14ac:dyDescent="0.3">
      <c r="A5539" s="160">
        <v>51055</v>
      </c>
      <c r="B5539" t="s">
        <v>20729</v>
      </c>
      <c r="C5539" t="s">
        <v>5866</v>
      </c>
      <c r="D5539">
        <v>2</v>
      </c>
      <c r="E5539">
        <v>0</v>
      </c>
      <c r="F5539">
        <f t="shared" si="86"/>
        <v>2</v>
      </c>
      <c r="I5539">
        <v>20240101</v>
      </c>
      <c r="J5539" t="s">
        <v>5880</v>
      </c>
      <c r="K5539" t="s">
        <v>5881</v>
      </c>
      <c r="L5539" t="s">
        <v>5882</v>
      </c>
      <c r="M5539" t="s">
        <v>5883</v>
      </c>
      <c r="N5539" t="s">
        <v>5884</v>
      </c>
      <c r="O5539" t="s">
        <v>5885</v>
      </c>
      <c r="P5539" t="s">
        <v>5886</v>
      </c>
      <c r="Q5539" t="s">
        <v>5887</v>
      </c>
    </row>
    <row r="5540" spans="1:19" x14ac:dyDescent="0.3">
      <c r="A5540" s="160">
        <v>51058</v>
      </c>
      <c r="B5540" t="s">
        <v>20730</v>
      </c>
      <c r="C5540" t="s">
        <v>5866</v>
      </c>
      <c r="D5540">
        <v>2</v>
      </c>
      <c r="E5540">
        <v>0</v>
      </c>
      <c r="F5540">
        <f t="shared" si="86"/>
        <v>2</v>
      </c>
      <c r="I5540">
        <v>20240101</v>
      </c>
      <c r="J5540" t="s">
        <v>5888</v>
      </c>
      <c r="K5540" t="s">
        <v>5889</v>
      </c>
      <c r="L5540" t="s">
        <v>5890</v>
      </c>
      <c r="M5540" t="s">
        <v>5891</v>
      </c>
      <c r="N5540" t="s">
        <v>5892</v>
      </c>
      <c r="O5540" t="s">
        <v>5893</v>
      </c>
      <c r="P5540" t="s">
        <v>5894</v>
      </c>
      <c r="Q5540" t="s">
        <v>5895</v>
      </c>
      <c r="R5540" t="s">
        <v>5887</v>
      </c>
      <c r="S5540" t="s">
        <v>5896</v>
      </c>
    </row>
    <row r="5541" spans="1:19" x14ac:dyDescent="0.3">
      <c r="A5541" s="160">
        <v>51061</v>
      </c>
      <c r="B5541" t="s">
        <v>20731</v>
      </c>
      <c r="C5541" t="s">
        <v>5866</v>
      </c>
      <c r="D5541">
        <v>1.4</v>
      </c>
      <c r="E5541">
        <v>0</v>
      </c>
      <c r="F5541">
        <f t="shared" si="86"/>
        <v>1.4</v>
      </c>
      <c r="I5541" s="9">
        <v>20240701</v>
      </c>
      <c r="J5541" t="s">
        <v>5874</v>
      </c>
    </row>
    <row r="5542" spans="1:19" x14ac:dyDescent="0.3">
      <c r="A5542" s="160">
        <v>51064</v>
      </c>
      <c r="B5542" t="s">
        <v>20732</v>
      </c>
      <c r="C5542" t="s">
        <v>5864</v>
      </c>
      <c r="D5542">
        <v>0.55000000000000004</v>
      </c>
      <c r="E5542">
        <v>0</v>
      </c>
      <c r="F5542">
        <f t="shared" si="86"/>
        <v>0.55000000000000004</v>
      </c>
      <c r="I5542">
        <v>20160101</v>
      </c>
      <c r="J5542" t="s">
        <v>5863</v>
      </c>
    </row>
    <row r="5543" spans="1:19" x14ac:dyDescent="0.3">
      <c r="A5543" s="160">
        <v>51069</v>
      </c>
      <c r="B5543" t="s">
        <v>20733</v>
      </c>
      <c r="C5543" t="s">
        <v>5866</v>
      </c>
      <c r="D5543">
        <v>1.4</v>
      </c>
      <c r="E5543">
        <v>0</v>
      </c>
      <c r="F5543">
        <f t="shared" si="86"/>
        <v>1.4</v>
      </c>
      <c r="I5543" s="9">
        <v>20240701</v>
      </c>
      <c r="J5543" t="s">
        <v>5868</v>
      </c>
    </row>
    <row r="5544" spans="1:19" x14ac:dyDescent="0.3">
      <c r="A5544" s="160">
        <v>51072</v>
      </c>
      <c r="B5544" t="s">
        <v>16217</v>
      </c>
      <c r="C5544" t="s">
        <v>5866</v>
      </c>
      <c r="D5544">
        <v>1.4</v>
      </c>
      <c r="E5544">
        <v>0</v>
      </c>
      <c r="F5544">
        <f t="shared" si="86"/>
        <v>1.4</v>
      </c>
      <c r="I5544" s="9">
        <v>20240701</v>
      </c>
      <c r="J5544" t="s">
        <v>5897</v>
      </c>
    </row>
    <row r="5545" spans="1:19" x14ac:dyDescent="0.3">
      <c r="A5545" s="160">
        <v>51073</v>
      </c>
      <c r="B5545" t="s">
        <v>20734</v>
      </c>
      <c r="C5545" t="s">
        <v>5866</v>
      </c>
      <c r="D5545">
        <v>1.4</v>
      </c>
      <c r="E5545">
        <v>0</v>
      </c>
      <c r="F5545">
        <f t="shared" si="86"/>
        <v>1.4</v>
      </c>
      <c r="I5545" s="9">
        <v>20240701</v>
      </c>
      <c r="J5545" t="s">
        <v>5868</v>
      </c>
    </row>
    <row r="5546" spans="1:19" x14ac:dyDescent="0.3">
      <c r="A5546" s="160">
        <v>51074</v>
      </c>
      <c r="B5546" t="s">
        <v>20735</v>
      </c>
      <c r="C5546" t="s">
        <v>5866</v>
      </c>
      <c r="D5546">
        <v>1.4</v>
      </c>
      <c r="E5546">
        <v>0</v>
      </c>
      <c r="F5546">
        <f t="shared" si="86"/>
        <v>1.4</v>
      </c>
      <c r="I5546" s="9">
        <v>20240701</v>
      </c>
      <c r="J5546" t="s">
        <v>5871</v>
      </c>
    </row>
    <row r="5547" spans="1:19" x14ac:dyDescent="0.3">
      <c r="A5547" s="160">
        <v>51075</v>
      </c>
      <c r="B5547" t="s">
        <v>20736</v>
      </c>
      <c r="C5547" t="s">
        <v>5866</v>
      </c>
      <c r="D5547">
        <v>1.4</v>
      </c>
      <c r="E5547">
        <v>0</v>
      </c>
      <c r="F5547">
        <f t="shared" si="86"/>
        <v>1.4</v>
      </c>
      <c r="I5547" s="9">
        <v>20240701</v>
      </c>
      <c r="J5547" t="s">
        <v>5881</v>
      </c>
      <c r="K5547" t="s">
        <v>5871</v>
      </c>
    </row>
    <row r="5548" spans="1:19" x14ac:dyDescent="0.3">
      <c r="A5548" s="160">
        <v>51077</v>
      </c>
      <c r="B5548" t="s">
        <v>20737</v>
      </c>
      <c r="C5548" t="s">
        <v>5866</v>
      </c>
      <c r="D5548">
        <v>1.4</v>
      </c>
      <c r="E5548">
        <v>0</v>
      </c>
      <c r="F5548">
        <f t="shared" si="86"/>
        <v>1.4</v>
      </c>
      <c r="I5548" s="9">
        <v>20240701</v>
      </c>
      <c r="J5548" t="s">
        <v>5898</v>
      </c>
    </row>
    <row r="5549" spans="1:19" x14ac:dyDescent="0.3">
      <c r="A5549" s="160">
        <v>51078</v>
      </c>
      <c r="B5549" t="s">
        <v>20738</v>
      </c>
      <c r="C5549" t="s">
        <v>5862</v>
      </c>
      <c r="D5549">
        <v>0.6</v>
      </c>
      <c r="E5549">
        <v>0</v>
      </c>
      <c r="F5549">
        <f t="shared" si="86"/>
        <v>0.6</v>
      </c>
      <c r="I5549">
        <v>20240101</v>
      </c>
      <c r="J5549" t="s">
        <v>5899</v>
      </c>
      <c r="K5549" t="s">
        <v>5874</v>
      </c>
    </row>
    <row r="5550" spans="1:19" x14ac:dyDescent="0.3">
      <c r="A5550" s="160">
        <v>51079</v>
      </c>
      <c r="B5550" t="s">
        <v>20739</v>
      </c>
      <c r="C5550" t="s">
        <v>5864</v>
      </c>
      <c r="D5550">
        <v>0.55000000000000004</v>
      </c>
      <c r="E5550">
        <v>0</v>
      </c>
      <c r="F5550">
        <f t="shared" si="86"/>
        <v>0.55000000000000004</v>
      </c>
      <c r="I5550">
        <v>20160101</v>
      </c>
      <c r="J5550" t="s">
        <v>5863</v>
      </c>
    </row>
    <row r="5551" spans="1:19" x14ac:dyDescent="0.3">
      <c r="A5551" s="160">
        <v>51081</v>
      </c>
      <c r="B5551" t="s">
        <v>20740</v>
      </c>
      <c r="C5551" t="s">
        <v>5866</v>
      </c>
      <c r="D5551">
        <v>1.4</v>
      </c>
      <c r="E5551">
        <v>0</v>
      </c>
      <c r="F5551">
        <f t="shared" si="86"/>
        <v>1.4</v>
      </c>
      <c r="I5551" s="9">
        <v>20240701</v>
      </c>
      <c r="J5551" t="s">
        <v>5898</v>
      </c>
    </row>
    <row r="5552" spans="1:19" x14ac:dyDescent="0.3">
      <c r="A5552" s="160">
        <v>51086</v>
      </c>
      <c r="B5552" t="s">
        <v>20741</v>
      </c>
      <c r="C5552" t="s">
        <v>5866</v>
      </c>
      <c r="D5552">
        <v>1.4</v>
      </c>
      <c r="E5552">
        <v>0</v>
      </c>
      <c r="F5552">
        <f t="shared" si="86"/>
        <v>1.4</v>
      </c>
      <c r="I5552" s="9">
        <v>20240701</v>
      </c>
      <c r="J5552" t="s">
        <v>5898</v>
      </c>
    </row>
    <row r="5553" spans="1:36" x14ac:dyDescent="0.3">
      <c r="A5553" s="160">
        <v>51088</v>
      </c>
      <c r="B5553" t="s">
        <v>20742</v>
      </c>
      <c r="C5553" t="s">
        <v>5866</v>
      </c>
      <c r="D5553">
        <v>1.4</v>
      </c>
      <c r="E5553">
        <v>0</v>
      </c>
      <c r="F5553">
        <f t="shared" si="86"/>
        <v>1.4</v>
      </c>
      <c r="I5553" s="9">
        <v>20240701</v>
      </c>
      <c r="J5553" t="s">
        <v>5878</v>
      </c>
    </row>
    <row r="5554" spans="1:36" x14ac:dyDescent="0.3">
      <c r="A5554" s="160">
        <v>51089</v>
      </c>
      <c r="B5554" t="s">
        <v>20743</v>
      </c>
      <c r="C5554" t="s">
        <v>5866</v>
      </c>
      <c r="D5554">
        <v>1.4</v>
      </c>
      <c r="E5554">
        <v>0</v>
      </c>
      <c r="F5554">
        <f t="shared" si="86"/>
        <v>1.4</v>
      </c>
      <c r="I5554" s="9">
        <v>20240701</v>
      </c>
      <c r="J5554" t="s">
        <v>5868</v>
      </c>
    </row>
    <row r="5555" spans="1:36" x14ac:dyDescent="0.3">
      <c r="A5555" s="160">
        <v>51093</v>
      </c>
      <c r="B5555" t="s">
        <v>20744</v>
      </c>
      <c r="C5555" t="s">
        <v>5869</v>
      </c>
      <c r="D5555">
        <v>0.55000000000000004</v>
      </c>
      <c r="E5555">
        <v>0</v>
      </c>
      <c r="F5555">
        <f t="shared" si="86"/>
        <v>0.55000000000000004</v>
      </c>
      <c r="I5555">
        <v>20110201</v>
      </c>
      <c r="J5555" t="s">
        <v>5900</v>
      </c>
    </row>
    <row r="5556" spans="1:36" x14ac:dyDescent="0.3">
      <c r="A5556" s="160">
        <v>51099</v>
      </c>
      <c r="B5556" t="s">
        <v>20745</v>
      </c>
      <c r="C5556" t="s">
        <v>5862</v>
      </c>
      <c r="D5556">
        <v>0.6</v>
      </c>
      <c r="E5556">
        <v>0</v>
      </c>
      <c r="F5556">
        <f t="shared" si="86"/>
        <v>0.6</v>
      </c>
      <c r="I5556">
        <v>20240101</v>
      </c>
      <c r="J5556" t="s">
        <v>5901</v>
      </c>
    </row>
    <row r="5557" spans="1:36" x14ac:dyDescent="0.3">
      <c r="A5557" s="160">
        <v>51101</v>
      </c>
      <c r="B5557" t="s">
        <v>20746</v>
      </c>
      <c r="C5557" t="s">
        <v>5866</v>
      </c>
      <c r="D5557">
        <v>1.4</v>
      </c>
      <c r="E5557">
        <v>0</v>
      </c>
      <c r="F5557">
        <f t="shared" si="86"/>
        <v>1.4</v>
      </c>
      <c r="I5557" s="9">
        <v>20240701</v>
      </c>
      <c r="J5557" t="s">
        <v>5871</v>
      </c>
    </row>
    <row r="5558" spans="1:36" x14ac:dyDescent="0.3">
      <c r="A5558" s="160">
        <v>51102</v>
      </c>
      <c r="B5558" t="s">
        <v>20747</v>
      </c>
      <c r="C5558" t="s">
        <v>5866</v>
      </c>
      <c r="D5558">
        <v>1.4</v>
      </c>
      <c r="E5558">
        <v>0</v>
      </c>
      <c r="F5558">
        <f t="shared" si="86"/>
        <v>1.4</v>
      </c>
      <c r="I5558" s="9">
        <v>20240701</v>
      </c>
      <c r="J5558" t="s">
        <v>5878</v>
      </c>
    </row>
    <row r="5559" spans="1:36" x14ac:dyDescent="0.3">
      <c r="A5559" s="160">
        <v>51105</v>
      </c>
      <c r="B5559" t="s">
        <v>20748</v>
      </c>
      <c r="C5559" t="s">
        <v>5866</v>
      </c>
      <c r="D5559">
        <v>2</v>
      </c>
      <c r="E5559">
        <v>0</v>
      </c>
      <c r="F5559">
        <f t="shared" si="86"/>
        <v>2</v>
      </c>
      <c r="I5559">
        <v>20240101</v>
      </c>
      <c r="J5559" t="s">
        <v>5879</v>
      </c>
    </row>
    <row r="5560" spans="1:36" x14ac:dyDescent="0.3">
      <c r="A5560" s="160">
        <v>51107</v>
      </c>
      <c r="B5560" t="s">
        <v>20749</v>
      </c>
      <c r="C5560" t="s">
        <v>5869</v>
      </c>
      <c r="D5560">
        <v>0.55000000000000004</v>
      </c>
      <c r="E5560">
        <v>0</v>
      </c>
      <c r="F5560">
        <f t="shared" si="86"/>
        <v>0.55000000000000004</v>
      </c>
      <c r="I5560">
        <v>20240101</v>
      </c>
      <c r="J5560" t="s">
        <v>5877</v>
      </c>
    </row>
    <row r="5561" spans="1:36" x14ac:dyDescent="0.3">
      <c r="A5561" s="160">
        <v>51108</v>
      </c>
      <c r="B5561" t="s">
        <v>20750</v>
      </c>
      <c r="C5561" t="s">
        <v>5862</v>
      </c>
      <c r="D5561">
        <v>0.6</v>
      </c>
      <c r="E5561">
        <v>0</v>
      </c>
      <c r="F5561">
        <f t="shared" si="86"/>
        <v>0.6</v>
      </c>
      <c r="I5561">
        <v>20040701</v>
      </c>
      <c r="J5561" t="s">
        <v>5902</v>
      </c>
      <c r="K5561" t="s">
        <v>5903</v>
      </c>
      <c r="L5561" t="s">
        <v>5904</v>
      </c>
      <c r="M5561" t="s">
        <v>5905</v>
      </c>
      <c r="N5561" t="s">
        <v>5906</v>
      </c>
      <c r="O5561" t="s">
        <v>5907</v>
      </c>
      <c r="P5561" t="s">
        <v>5908</v>
      </c>
      <c r="Q5561" t="s">
        <v>5899</v>
      </c>
      <c r="R5561" t="s">
        <v>5909</v>
      </c>
      <c r="S5561" t="s">
        <v>5910</v>
      </c>
      <c r="T5561" t="s">
        <v>5911</v>
      </c>
      <c r="U5561" t="s">
        <v>5912</v>
      </c>
      <c r="V5561" t="s">
        <v>5913</v>
      </c>
      <c r="W5561" t="s">
        <v>5914</v>
      </c>
      <c r="X5561" t="s">
        <v>5915</v>
      </c>
      <c r="Y5561" t="s">
        <v>5916</v>
      </c>
      <c r="Z5561" t="s">
        <v>5917</v>
      </c>
      <c r="AA5561" t="s">
        <v>5918</v>
      </c>
      <c r="AB5561" t="s">
        <v>5919</v>
      </c>
      <c r="AC5561" t="s">
        <v>5920</v>
      </c>
      <c r="AD5561" t="s">
        <v>5921</v>
      </c>
      <c r="AE5561" t="s">
        <v>5922</v>
      </c>
      <c r="AF5561" t="s">
        <v>5923</v>
      </c>
      <c r="AG5561" t="s">
        <v>5924</v>
      </c>
      <c r="AH5561" t="s">
        <v>5925</v>
      </c>
      <c r="AI5561" t="s">
        <v>5926</v>
      </c>
      <c r="AJ5561" t="s">
        <v>5927</v>
      </c>
    </row>
    <row r="5562" spans="1:36" x14ac:dyDescent="0.3">
      <c r="A5562" s="160">
        <v>51109</v>
      </c>
      <c r="B5562" t="s">
        <v>20751</v>
      </c>
      <c r="C5562" t="s">
        <v>5866</v>
      </c>
      <c r="D5562">
        <v>1.4</v>
      </c>
      <c r="E5562">
        <v>0</v>
      </c>
      <c r="F5562">
        <f t="shared" si="86"/>
        <v>1.4</v>
      </c>
      <c r="I5562" s="9">
        <v>20240701</v>
      </c>
      <c r="J5562" t="s">
        <v>5898</v>
      </c>
    </row>
    <row r="5563" spans="1:36" x14ac:dyDescent="0.3">
      <c r="A5563" s="160">
        <v>51110</v>
      </c>
      <c r="B5563" t="s">
        <v>20752</v>
      </c>
      <c r="C5563" t="s">
        <v>5869</v>
      </c>
      <c r="D5563">
        <v>0.55000000000000004</v>
      </c>
      <c r="E5563">
        <v>0</v>
      </c>
      <c r="F5563">
        <f t="shared" si="86"/>
        <v>0.55000000000000004</v>
      </c>
      <c r="I5563">
        <v>20240101</v>
      </c>
      <c r="J5563" t="s">
        <v>5877</v>
      </c>
    </row>
    <row r="5564" spans="1:36" x14ac:dyDescent="0.3">
      <c r="A5564" s="160">
        <v>51111</v>
      </c>
      <c r="B5564" t="s">
        <v>20753</v>
      </c>
      <c r="C5564" t="s">
        <v>5866</v>
      </c>
      <c r="D5564">
        <v>1.4</v>
      </c>
      <c r="E5564">
        <v>0</v>
      </c>
      <c r="F5564">
        <f t="shared" si="86"/>
        <v>1.4</v>
      </c>
      <c r="I5564" s="9">
        <v>20240701</v>
      </c>
      <c r="J5564" t="s">
        <v>5868</v>
      </c>
    </row>
    <row r="5565" spans="1:36" x14ac:dyDescent="0.3">
      <c r="A5565" s="160">
        <v>51112</v>
      </c>
      <c r="B5565" t="s">
        <v>20754</v>
      </c>
      <c r="C5565" t="s">
        <v>5866</v>
      </c>
      <c r="D5565">
        <v>1.4</v>
      </c>
      <c r="E5565">
        <v>0</v>
      </c>
      <c r="F5565">
        <f t="shared" si="86"/>
        <v>1.4</v>
      </c>
      <c r="I5565" s="9">
        <v>20240701</v>
      </c>
      <c r="J5565" t="s">
        <v>5928</v>
      </c>
    </row>
    <row r="5566" spans="1:36" x14ac:dyDescent="0.3">
      <c r="A5566" s="160">
        <v>51115</v>
      </c>
      <c r="B5566" t="s">
        <v>20755</v>
      </c>
      <c r="C5566" t="s">
        <v>5866</v>
      </c>
      <c r="D5566">
        <v>2</v>
      </c>
      <c r="E5566">
        <v>0</v>
      </c>
      <c r="F5566">
        <f t="shared" si="86"/>
        <v>2</v>
      </c>
      <c r="I5566">
        <v>20240101</v>
      </c>
      <c r="J5566" t="s">
        <v>5928</v>
      </c>
    </row>
    <row r="5567" spans="1:36" x14ac:dyDescent="0.3">
      <c r="A5567" s="160">
        <v>51117</v>
      </c>
      <c r="B5567" t="s">
        <v>20756</v>
      </c>
      <c r="C5567" t="s">
        <v>5862</v>
      </c>
      <c r="D5567">
        <v>0.6</v>
      </c>
      <c r="E5567">
        <v>0</v>
      </c>
      <c r="F5567">
        <f t="shared" si="86"/>
        <v>0.6</v>
      </c>
      <c r="I5567">
        <v>20240101</v>
      </c>
      <c r="J5567" t="s">
        <v>5863</v>
      </c>
    </row>
    <row r="5568" spans="1:36" x14ac:dyDescent="0.3">
      <c r="A5568" s="160">
        <v>51118</v>
      </c>
      <c r="B5568" t="s">
        <v>20757</v>
      </c>
      <c r="C5568" t="s">
        <v>5866</v>
      </c>
      <c r="D5568">
        <v>2</v>
      </c>
      <c r="E5568">
        <v>0</v>
      </c>
      <c r="F5568">
        <f t="shared" si="86"/>
        <v>2</v>
      </c>
      <c r="I5568">
        <v>20240101</v>
      </c>
      <c r="J5568" t="s">
        <v>5929</v>
      </c>
      <c r="K5568" t="s">
        <v>5930</v>
      </c>
      <c r="L5568" t="s">
        <v>5931</v>
      </c>
      <c r="M5568" t="s">
        <v>5932</v>
      </c>
    </row>
    <row r="5569" spans="1:21" x14ac:dyDescent="0.3">
      <c r="A5569" s="160">
        <v>51119</v>
      </c>
      <c r="B5569" t="s">
        <v>20758</v>
      </c>
      <c r="C5569" t="s">
        <v>5864</v>
      </c>
      <c r="D5569">
        <v>0.55000000000000004</v>
      </c>
      <c r="E5569">
        <v>0</v>
      </c>
      <c r="F5569">
        <f t="shared" si="86"/>
        <v>0.55000000000000004</v>
      </c>
      <c r="I5569">
        <v>20160101</v>
      </c>
      <c r="J5569" t="s">
        <v>5872</v>
      </c>
    </row>
    <row r="5570" spans="1:21" x14ac:dyDescent="0.3">
      <c r="A5570" s="160">
        <v>51140</v>
      </c>
      <c r="B5570" t="s">
        <v>20759</v>
      </c>
      <c r="C5570" t="s">
        <v>5866</v>
      </c>
      <c r="D5570">
        <v>1.4</v>
      </c>
      <c r="E5570">
        <v>0</v>
      </c>
      <c r="F5570">
        <f t="shared" si="86"/>
        <v>1.4</v>
      </c>
      <c r="I5570" s="9">
        <v>20240701</v>
      </c>
      <c r="J5570" t="s">
        <v>5868</v>
      </c>
    </row>
    <row r="5571" spans="1:21" x14ac:dyDescent="0.3">
      <c r="A5571" s="160">
        <v>51142</v>
      </c>
      <c r="B5571" t="s">
        <v>20760</v>
      </c>
      <c r="C5571" t="s">
        <v>5869</v>
      </c>
      <c r="D5571">
        <v>0.55000000000000004</v>
      </c>
      <c r="E5571">
        <v>0</v>
      </c>
      <c r="F5571">
        <f t="shared" si="86"/>
        <v>0.55000000000000004</v>
      </c>
      <c r="I5571">
        <v>20220101</v>
      </c>
      <c r="J5571" t="s">
        <v>5933</v>
      </c>
      <c r="K5571" t="s">
        <v>5900</v>
      </c>
    </row>
    <row r="5572" spans="1:21" x14ac:dyDescent="0.3">
      <c r="A5572" s="160">
        <v>51145</v>
      </c>
      <c r="B5572" t="s">
        <v>20761</v>
      </c>
      <c r="C5572" t="s">
        <v>5866</v>
      </c>
      <c r="D5572">
        <v>1.4</v>
      </c>
      <c r="E5572">
        <v>0</v>
      </c>
      <c r="F5572">
        <f t="shared" si="86"/>
        <v>1.4</v>
      </c>
      <c r="I5572" s="9">
        <v>20240701</v>
      </c>
      <c r="J5572" t="s">
        <v>5898</v>
      </c>
    </row>
    <row r="5573" spans="1:21" x14ac:dyDescent="0.3">
      <c r="A5573" s="160">
        <v>51146</v>
      </c>
      <c r="B5573" t="s">
        <v>20762</v>
      </c>
      <c r="C5573" t="s">
        <v>5862</v>
      </c>
      <c r="D5573">
        <v>0.6</v>
      </c>
      <c r="E5573">
        <v>0</v>
      </c>
      <c r="F5573">
        <f t="shared" si="86"/>
        <v>0.6</v>
      </c>
      <c r="I5573">
        <v>20240101</v>
      </c>
      <c r="J5573" t="s">
        <v>5934</v>
      </c>
    </row>
    <row r="5574" spans="1:21" x14ac:dyDescent="0.3">
      <c r="A5574" s="160">
        <v>51150</v>
      </c>
      <c r="B5574" t="s">
        <v>20763</v>
      </c>
      <c r="C5574" t="s">
        <v>5862</v>
      </c>
      <c r="D5574">
        <v>0.6</v>
      </c>
      <c r="E5574">
        <v>0</v>
      </c>
      <c r="F5574">
        <f t="shared" si="86"/>
        <v>0.6</v>
      </c>
      <c r="I5574">
        <v>20240101</v>
      </c>
      <c r="J5574" t="s">
        <v>5863</v>
      </c>
    </row>
    <row r="5575" spans="1:21" x14ac:dyDescent="0.3">
      <c r="A5575" s="160">
        <v>51152</v>
      </c>
      <c r="B5575" t="s">
        <v>20764</v>
      </c>
      <c r="C5575" t="s">
        <v>5866</v>
      </c>
      <c r="D5575">
        <v>1.4</v>
      </c>
      <c r="E5575">
        <v>0</v>
      </c>
      <c r="F5575">
        <f t="shared" ref="F5575:F5638" si="87">D5575+E5575</f>
        <v>1.4</v>
      </c>
      <c r="I5575" s="9">
        <v>20240701</v>
      </c>
      <c r="J5575" t="s">
        <v>5881</v>
      </c>
      <c r="K5575" t="s">
        <v>5928</v>
      </c>
      <c r="L5575" t="s">
        <v>5935</v>
      </c>
    </row>
    <row r="5576" spans="1:21" x14ac:dyDescent="0.3">
      <c r="A5576" s="160">
        <v>51153</v>
      </c>
      <c r="B5576" t="s">
        <v>20765</v>
      </c>
      <c r="C5576" t="s">
        <v>5869</v>
      </c>
      <c r="D5576">
        <v>0.55000000000000004</v>
      </c>
      <c r="E5576">
        <v>0</v>
      </c>
      <c r="F5576">
        <f t="shared" si="87"/>
        <v>0.55000000000000004</v>
      </c>
      <c r="I5576">
        <v>20060101</v>
      </c>
      <c r="J5576" t="s">
        <v>5933</v>
      </c>
      <c r="K5576" t="s">
        <v>5900</v>
      </c>
    </row>
    <row r="5577" spans="1:21" x14ac:dyDescent="0.3">
      <c r="A5577" s="160">
        <v>51154</v>
      </c>
      <c r="B5577" t="s">
        <v>20766</v>
      </c>
      <c r="C5577" t="s">
        <v>5869</v>
      </c>
      <c r="D5577">
        <v>0.55000000000000004</v>
      </c>
      <c r="E5577">
        <v>0</v>
      </c>
      <c r="F5577">
        <f t="shared" si="87"/>
        <v>0.55000000000000004</v>
      </c>
      <c r="I5577">
        <v>20240101</v>
      </c>
      <c r="J5577" t="s">
        <v>5877</v>
      </c>
    </row>
    <row r="5578" spans="1:21" x14ac:dyDescent="0.3">
      <c r="A5578" s="160">
        <v>51158</v>
      </c>
      <c r="B5578" t="s">
        <v>20767</v>
      </c>
      <c r="C5578" t="s">
        <v>5869</v>
      </c>
      <c r="D5578">
        <v>0.55000000000000004</v>
      </c>
      <c r="E5578">
        <v>0</v>
      </c>
      <c r="F5578">
        <f t="shared" si="87"/>
        <v>0.55000000000000004</v>
      </c>
      <c r="I5578">
        <v>20240101</v>
      </c>
      <c r="J5578" t="s">
        <v>5877</v>
      </c>
    </row>
    <row r="5579" spans="1:21" x14ac:dyDescent="0.3">
      <c r="A5579" s="160">
        <v>51160</v>
      </c>
      <c r="B5579" t="s">
        <v>20768</v>
      </c>
      <c r="C5579" t="s">
        <v>5862</v>
      </c>
      <c r="D5579">
        <v>0.6</v>
      </c>
      <c r="E5579">
        <v>0</v>
      </c>
      <c r="F5579">
        <f t="shared" si="87"/>
        <v>0.6</v>
      </c>
      <c r="I5579">
        <v>20040701</v>
      </c>
      <c r="J5579" t="s">
        <v>5905</v>
      </c>
      <c r="K5579" t="s">
        <v>5911</v>
      </c>
      <c r="L5579" t="s">
        <v>5934</v>
      </c>
    </row>
    <row r="5580" spans="1:21" x14ac:dyDescent="0.3">
      <c r="A5580" s="160">
        <v>51161</v>
      </c>
      <c r="B5580" t="s">
        <v>20769</v>
      </c>
      <c r="C5580" t="s">
        <v>5862</v>
      </c>
      <c r="D5580">
        <v>0.6</v>
      </c>
      <c r="E5580">
        <v>0</v>
      </c>
      <c r="F5580">
        <f t="shared" si="87"/>
        <v>0.6</v>
      </c>
      <c r="I5580">
        <v>20240101</v>
      </c>
      <c r="J5580" t="s">
        <v>5863</v>
      </c>
    </row>
    <row r="5581" spans="1:21" x14ac:dyDescent="0.3">
      <c r="A5581" s="160">
        <v>51168</v>
      </c>
      <c r="B5581" t="s">
        <v>20770</v>
      </c>
      <c r="C5581" t="s">
        <v>5862</v>
      </c>
      <c r="D5581">
        <v>0.6</v>
      </c>
      <c r="E5581">
        <v>0</v>
      </c>
      <c r="F5581">
        <f t="shared" si="87"/>
        <v>0.6</v>
      </c>
      <c r="I5581">
        <v>20040701</v>
      </c>
      <c r="J5581" t="s">
        <v>5934</v>
      </c>
    </row>
    <row r="5582" spans="1:21" x14ac:dyDescent="0.3">
      <c r="A5582" s="160">
        <v>51171</v>
      </c>
      <c r="B5582" t="s">
        <v>20771</v>
      </c>
      <c r="C5582" t="s">
        <v>5866</v>
      </c>
      <c r="D5582">
        <v>1.4</v>
      </c>
      <c r="E5582">
        <v>0</v>
      </c>
      <c r="F5582">
        <f t="shared" si="87"/>
        <v>1.4</v>
      </c>
      <c r="I5582" s="9">
        <v>20240701</v>
      </c>
      <c r="J5582" t="s">
        <v>5881</v>
      </c>
      <c r="K5582" t="s">
        <v>5878</v>
      </c>
    </row>
    <row r="5583" spans="1:21" x14ac:dyDescent="0.3">
      <c r="A5583" s="160">
        <v>51172</v>
      </c>
      <c r="B5583" t="s">
        <v>20772</v>
      </c>
      <c r="C5583" t="s">
        <v>5866</v>
      </c>
      <c r="D5583">
        <v>2</v>
      </c>
      <c r="E5583">
        <v>0</v>
      </c>
      <c r="F5583">
        <f t="shared" si="87"/>
        <v>2</v>
      </c>
      <c r="I5583">
        <v>20240101</v>
      </c>
      <c r="J5583" t="s">
        <v>5936</v>
      </c>
      <c r="K5583" t="s">
        <v>5937</v>
      </c>
      <c r="L5583" t="s">
        <v>5881</v>
      </c>
      <c r="M5583" t="s">
        <v>5938</v>
      </c>
      <c r="N5583" t="s">
        <v>5939</v>
      </c>
      <c r="O5583" t="s">
        <v>5940</v>
      </c>
      <c r="P5583" t="s">
        <v>5941</v>
      </c>
      <c r="Q5583" t="s">
        <v>5942</v>
      </c>
      <c r="R5583" t="s">
        <v>5943</v>
      </c>
      <c r="S5583" t="s">
        <v>5944</v>
      </c>
      <c r="T5583" t="s">
        <v>5945</v>
      </c>
      <c r="U5583" t="s">
        <v>5896</v>
      </c>
    </row>
    <row r="5584" spans="1:21" x14ac:dyDescent="0.3">
      <c r="A5584" s="160">
        <v>51177</v>
      </c>
      <c r="B5584" t="s">
        <v>20773</v>
      </c>
      <c r="C5584" t="s">
        <v>5866</v>
      </c>
      <c r="D5584">
        <v>1.4</v>
      </c>
      <c r="E5584">
        <v>0</v>
      </c>
      <c r="F5584">
        <f t="shared" si="87"/>
        <v>1.4</v>
      </c>
      <c r="I5584" s="9">
        <v>20240701</v>
      </c>
      <c r="J5584" t="s">
        <v>5897</v>
      </c>
    </row>
    <row r="5585" spans="1:15" x14ac:dyDescent="0.3">
      <c r="A5585" s="160">
        <v>51181</v>
      </c>
      <c r="B5585" t="s">
        <v>20774</v>
      </c>
      <c r="C5585" t="s">
        <v>5866</v>
      </c>
      <c r="D5585">
        <v>1.4</v>
      </c>
      <c r="E5585">
        <v>0</v>
      </c>
      <c r="F5585">
        <f t="shared" si="87"/>
        <v>1.4</v>
      </c>
      <c r="I5585" s="9">
        <v>20240701</v>
      </c>
      <c r="J5585" t="s">
        <v>5898</v>
      </c>
    </row>
    <row r="5586" spans="1:15" x14ac:dyDescent="0.3">
      <c r="A5586" s="160">
        <v>51183</v>
      </c>
      <c r="B5586" t="s">
        <v>20482</v>
      </c>
      <c r="C5586" t="s">
        <v>5866</v>
      </c>
      <c r="D5586">
        <v>1.4</v>
      </c>
      <c r="E5586">
        <v>0</v>
      </c>
      <c r="F5586">
        <f t="shared" si="87"/>
        <v>1.4</v>
      </c>
      <c r="I5586" s="9">
        <v>20240701</v>
      </c>
      <c r="J5586" t="s">
        <v>5881</v>
      </c>
      <c r="K5586" t="s">
        <v>5878</v>
      </c>
    </row>
    <row r="5587" spans="1:15" x14ac:dyDescent="0.3">
      <c r="A5587" s="160">
        <v>51187</v>
      </c>
      <c r="B5587" t="s">
        <v>20775</v>
      </c>
      <c r="C5587" t="s">
        <v>5866</v>
      </c>
      <c r="D5587">
        <v>1.4</v>
      </c>
      <c r="E5587">
        <v>0</v>
      </c>
      <c r="F5587">
        <f t="shared" si="87"/>
        <v>1.4</v>
      </c>
      <c r="I5587" s="9">
        <v>20240701</v>
      </c>
      <c r="J5587" t="s">
        <v>5868</v>
      </c>
    </row>
    <row r="5588" spans="1:15" x14ac:dyDescent="0.3">
      <c r="A5588" s="160">
        <v>51188</v>
      </c>
      <c r="B5588" t="s">
        <v>20776</v>
      </c>
      <c r="C5588" t="s">
        <v>5866</v>
      </c>
      <c r="D5588">
        <v>1.4</v>
      </c>
      <c r="E5588">
        <v>0</v>
      </c>
      <c r="F5588">
        <f t="shared" si="87"/>
        <v>1.4</v>
      </c>
      <c r="I5588" s="9">
        <v>20240701</v>
      </c>
      <c r="J5588" t="s">
        <v>5897</v>
      </c>
    </row>
    <row r="5589" spans="1:15" x14ac:dyDescent="0.3">
      <c r="A5589" s="160">
        <v>51190</v>
      </c>
      <c r="B5589" t="s">
        <v>20777</v>
      </c>
      <c r="C5589" t="s">
        <v>5866</v>
      </c>
      <c r="D5589">
        <v>1.4</v>
      </c>
      <c r="E5589">
        <v>0</v>
      </c>
      <c r="F5589">
        <f t="shared" si="87"/>
        <v>1.4</v>
      </c>
      <c r="I5589" s="9">
        <v>20240701</v>
      </c>
      <c r="J5589" t="s">
        <v>5946</v>
      </c>
    </row>
    <row r="5590" spans="1:15" x14ac:dyDescent="0.3">
      <c r="A5590" s="160">
        <v>51194</v>
      </c>
      <c r="B5590" t="s">
        <v>20778</v>
      </c>
      <c r="C5590" t="s">
        <v>5866</v>
      </c>
      <c r="D5590">
        <v>1.4</v>
      </c>
      <c r="E5590">
        <v>0</v>
      </c>
      <c r="F5590">
        <f t="shared" si="87"/>
        <v>1.4</v>
      </c>
      <c r="I5590" s="9">
        <v>20240701</v>
      </c>
      <c r="J5590" t="s">
        <v>5868</v>
      </c>
    </row>
    <row r="5591" spans="1:15" x14ac:dyDescent="0.3">
      <c r="A5591" s="160">
        <v>51196</v>
      </c>
      <c r="B5591" t="s">
        <v>20779</v>
      </c>
      <c r="C5591" t="s">
        <v>5869</v>
      </c>
      <c r="D5591">
        <v>0.55000000000000004</v>
      </c>
      <c r="E5591">
        <v>0</v>
      </c>
      <c r="F5591">
        <f t="shared" si="87"/>
        <v>0.55000000000000004</v>
      </c>
      <c r="I5591">
        <v>20110201</v>
      </c>
      <c r="J5591" t="s">
        <v>5900</v>
      </c>
    </row>
    <row r="5592" spans="1:15" x14ac:dyDescent="0.3">
      <c r="A5592" s="160">
        <v>51198</v>
      </c>
      <c r="B5592" t="s">
        <v>20780</v>
      </c>
      <c r="C5592" t="s">
        <v>5866</v>
      </c>
      <c r="D5592">
        <v>1.4</v>
      </c>
      <c r="E5592">
        <v>0</v>
      </c>
      <c r="F5592">
        <f t="shared" si="87"/>
        <v>1.4</v>
      </c>
      <c r="I5592" s="9">
        <v>20240701</v>
      </c>
      <c r="J5592" t="s">
        <v>5868</v>
      </c>
    </row>
    <row r="5593" spans="1:15" x14ac:dyDescent="0.3">
      <c r="A5593" s="160">
        <v>51200</v>
      </c>
      <c r="B5593" t="s">
        <v>20781</v>
      </c>
      <c r="C5593" t="s">
        <v>5869</v>
      </c>
      <c r="D5593">
        <v>0.55000000000000004</v>
      </c>
      <c r="E5593">
        <v>0</v>
      </c>
      <c r="F5593">
        <f t="shared" si="87"/>
        <v>0.55000000000000004</v>
      </c>
      <c r="I5593">
        <v>20110201</v>
      </c>
      <c r="J5593" t="s">
        <v>5900</v>
      </c>
    </row>
    <row r="5594" spans="1:15" x14ac:dyDescent="0.3">
      <c r="A5594" s="160">
        <v>51201</v>
      </c>
      <c r="B5594" t="s">
        <v>20782</v>
      </c>
      <c r="C5594" t="s">
        <v>5866</v>
      </c>
      <c r="D5594">
        <v>1.4</v>
      </c>
      <c r="E5594">
        <v>0</v>
      </c>
      <c r="F5594">
        <f t="shared" si="87"/>
        <v>1.4</v>
      </c>
      <c r="I5594" s="9">
        <v>20240701</v>
      </c>
      <c r="J5594" t="s">
        <v>5867</v>
      </c>
    </row>
    <row r="5595" spans="1:15" x14ac:dyDescent="0.3">
      <c r="A5595" s="160">
        <v>51202</v>
      </c>
      <c r="B5595" t="s">
        <v>20783</v>
      </c>
      <c r="C5595" t="s">
        <v>5869</v>
      </c>
      <c r="D5595">
        <v>0.55000000000000004</v>
      </c>
      <c r="E5595">
        <v>0</v>
      </c>
      <c r="F5595">
        <f t="shared" si="87"/>
        <v>0.55000000000000004</v>
      </c>
      <c r="I5595">
        <v>20110201</v>
      </c>
      <c r="J5595" t="s">
        <v>5946</v>
      </c>
    </row>
    <row r="5596" spans="1:15" x14ac:dyDescent="0.3">
      <c r="A5596" s="160">
        <v>51205</v>
      </c>
      <c r="B5596" t="s">
        <v>20784</v>
      </c>
      <c r="C5596" t="s">
        <v>5862</v>
      </c>
      <c r="D5596">
        <v>0.6</v>
      </c>
      <c r="E5596">
        <v>0</v>
      </c>
      <c r="F5596">
        <f t="shared" si="87"/>
        <v>0.6</v>
      </c>
      <c r="I5596">
        <v>20240101</v>
      </c>
      <c r="J5596" t="s">
        <v>5874</v>
      </c>
    </row>
    <row r="5597" spans="1:15" x14ac:dyDescent="0.3">
      <c r="A5597" s="160">
        <v>51210</v>
      </c>
      <c r="B5597" t="s">
        <v>20785</v>
      </c>
      <c r="C5597" t="s">
        <v>5864</v>
      </c>
      <c r="D5597">
        <v>0.55000000000000004</v>
      </c>
      <c r="E5597">
        <v>0</v>
      </c>
      <c r="F5597">
        <f t="shared" si="87"/>
        <v>0.55000000000000004</v>
      </c>
      <c r="I5597">
        <v>20160101</v>
      </c>
      <c r="J5597" t="s">
        <v>5947</v>
      </c>
      <c r="K5597" t="s">
        <v>5948</v>
      </c>
      <c r="L5597" t="s">
        <v>5949</v>
      </c>
      <c r="M5597" t="s">
        <v>5950</v>
      </c>
      <c r="N5597" t="s">
        <v>5951</v>
      </c>
      <c r="O5597" t="s">
        <v>5900</v>
      </c>
    </row>
    <row r="5598" spans="1:15" x14ac:dyDescent="0.3">
      <c r="A5598" s="160">
        <v>51212</v>
      </c>
      <c r="B5598" t="s">
        <v>20786</v>
      </c>
      <c r="C5598" t="s">
        <v>5862</v>
      </c>
      <c r="D5598">
        <v>0.6</v>
      </c>
      <c r="E5598">
        <v>0</v>
      </c>
      <c r="F5598">
        <f t="shared" si="87"/>
        <v>0.6</v>
      </c>
      <c r="I5598">
        <v>20240101</v>
      </c>
      <c r="J5598" t="s">
        <v>5901</v>
      </c>
    </row>
    <row r="5599" spans="1:15" x14ac:dyDescent="0.3">
      <c r="A5599" s="160">
        <v>51216</v>
      </c>
      <c r="B5599" t="s">
        <v>20787</v>
      </c>
      <c r="C5599" t="s">
        <v>5866</v>
      </c>
      <c r="D5599">
        <v>1.4</v>
      </c>
      <c r="E5599">
        <v>0</v>
      </c>
      <c r="F5599">
        <f t="shared" si="87"/>
        <v>1.4</v>
      </c>
      <c r="I5599" s="9">
        <v>20240701</v>
      </c>
      <c r="J5599" t="s">
        <v>5876</v>
      </c>
    </row>
    <row r="5600" spans="1:15" x14ac:dyDescent="0.3">
      <c r="A5600" s="160">
        <v>51225</v>
      </c>
      <c r="B5600" t="s">
        <v>20788</v>
      </c>
      <c r="C5600" t="s">
        <v>5866</v>
      </c>
      <c r="D5600">
        <v>1.4</v>
      </c>
      <c r="E5600">
        <v>0</v>
      </c>
      <c r="F5600">
        <f t="shared" si="87"/>
        <v>1.4</v>
      </c>
      <c r="I5600" s="9">
        <v>20240701</v>
      </c>
      <c r="J5600" t="s">
        <v>5928</v>
      </c>
    </row>
    <row r="5601" spans="1:25" x14ac:dyDescent="0.3">
      <c r="A5601" s="160">
        <v>51226</v>
      </c>
      <c r="B5601" t="s">
        <v>20789</v>
      </c>
      <c r="C5601" t="s">
        <v>5869</v>
      </c>
      <c r="D5601">
        <v>0.55000000000000004</v>
      </c>
      <c r="E5601">
        <v>0</v>
      </c>
      <c r="F5601">
        <f t="shared" si="87"/>
        <v>0.55000000000000004</v>
      </c>
      <c r="I5601">
        <v>20240101</v>
      </c>
      <c r="J5601" t="s">
        <v>5952</v>
      </c>
    </row>
    <row r="5602" spans="1:25" x14ac:dyDescent="0.3">
      <c r="A5602" s="160">
        <v>51230</v>
      </c>
      <c r="B5602" t="s">
        <v>20790</v>
      </c>
      <c r="C5602" t="s">
        <v>5869</v>
      </c>
      <c r="D5602">
        <v>0.55000000000000004</v>
      </c>
      <c r="E5602">
        <v>0</v>
      </c>
      <c r="F5602">
        <f t="shared" si="87"/>
        <v>0.55000000000000004</v>
      </c>
      <c r="I5602">
        <v>20060101</v>
      </c>
      <c r="J5602" t="s">
        <v>5953</v>
      </c>
      <c r="K5602" t="s">
        <v>5954</v>
      </c>
      <c r="L5602" t="s">
        <v>5955</v>
      </c>
      <c r="M5602" t="s">
        <v>5956</v>
      </c>
      <c r="N5602" t="s">
        <v>5947</v>
      </c>
      <c r="O5602" t="s">
        <v>5957</v>
      </c>
      <c r="P5602" t="s">
        <v>5933</v>
      </c>
      <c r="Q5602" t="s">
        <v>5958</v>
      </c>
      <c r="R5602" t="s">
        <v>5948</v>
      </c>
      <c r="S5602" t="s">
        <v>5949</v>
      </c>
      <c r="T5602" t="s">
        <v>5950</v>
      </c>
      <c r="U5602" t="s">
        <v>5951</v>
      </c>
      <c r="V5602" t="s">
        <v>5959</v>
      </c>
      <c r="W5602" t="s">
        <v>5960</v>
      </c>
      <c r="X5602" t="s">
        <v>5961</v>
      </c>
      <c r="Y5602" t="s">
        <v>5962</v>
      </c>
    </row>
    <row r="5603" spans="1:25" x14ac:dyDescent="0.3">
      <c r="A5603" s="160">
        <v>51231</v>
      </c>
      <c r="B5603" t="s">
        <v>20791</v>
      </c>
      <c r="C5603" t="s">
        <v>5862</v>
      </c>
      <c r="D5603">
        <v>0.6</v>
      </c>
      <c r="E5603">
        <v>0</v>
      </c>
      <c r="F5603">
        <f t="shared" si="87"/>
        <v>0.6</v>
      </c>
      <c r="I5603">
        <v>20240101</v>
      </c>
      <c r="J5603" t="s">
        <v>5963</v>
      </c>
    </row>
    <row r="5604" spans="1:25" x14ac:dyDescent="0.3">
      <c r="A5604" s="160">
        <v>51232</v>
      </c>
      <c r="B5604" t="s">
        <v>20792</v>
      </c>
      <c r="C5604" t="s">
        <v>5866</v>
      </c>
      <c r="D5604">
        <v>1.4</v>
      </c>
      <c r="E5604">
        <v>0</v>
      </c>
      <c r="F5604">
        <f t="shared" si="87"/>
        <v>1.4</v>
      </c>
      <c r="I5604" s="9">
        <v>20240701</v>
      </c>
      <c r="J5604" t="s">
        <v>5876</v>
      </c>
    </row>
    <row r="5605" spans="1:25" x14ac:dyDescent="0.3">
      <c r="A5605" s="160">
        <v>51239</v>
      </c>
      <c r="B5605" t="s">
        <v>20793</v>
      </c>
      <c r="C5605" t="s">
        <v>5869</v>
      </c>
      <c r="D5605">
        <v>0.55000000000000004</v>
      </c>
      <c r="E5605">
        <v>0</v>
      </c>
      <c r="F5605">
        <f t="shared" si="87"/>
        <v>0.55000000000000004</v>
      </c>
      <c r="I5605">
        <v>20240101</v>
      </c>
      <c r="J5605" t="s">
        <v>5877</v>
      </c>
    </row>
    <row r="5606" spans="1:25" x14ac:dyDescent="0.3">
      <c r="A5606" s="160">
        <v>51242</v>
      </c>
      <c r="B5606" t="s">
        <v>20794</v>
      </c>
      <c r="C5606" t="s">
        <v>5862</v>
      </c>
      <c r="D5606">
        <v>0.6</v>
      </c>
      <c r="E5606">
        <v>0</v>
      </c>
      <c r="F5606">
        <f t="shared" si="87"/>
        <v>0.6</v>
      </c>
      <c r="I5606" s="9">
        <v>20040701</v>
      </c>
      <c r="J5606" t="s">
        <v>5908</v>
      </c>
      <c r="K5606" t="s">
        <v>5934</v>
      </c>
    </row>
    <row r="5607" spans="1:25" x14ac:dyDescent="0.3">
      <c r="A5607" s="160">
        <v>51245</v>
      </c>
      <c r="B5607" t="s">
        <v>20795</v>
      </c>
      <c r="C5607" t="s">
        <v>5866</v>
      </c>
      <c r="D5607">
        <v>1.4</v>
      </c>
      <c r="E5607">
        <v>0</v>
      </c>
      <c r="F5607">
        <f t="shared" si="87"/>
        <v>1.4</v>
      </c>
      <c r="I5607" s="9">
        <v>20240701</v>
      </c>
      <c r="J5607" t="s">
        <v>5868</v>
      </c>
    </row>
    <row r="5608" spans="1:25" x14ac:dyDescent="0.3">
      <c r="A5608" s="160">
        <v>51250</v>
      </c>
      <c r="B5608" t="s">
        <v>20796</v>
      </c>
      <c r="C5608" t="s">
        <v>5866</v>
      </c>
      <c r="D5608">
        <v>1.4</v>
      </c>
      <c r="E5608">
        <v>0</v>
      </c>
      <c r="F5608">
        <f t="shared" si="87"/>
        <v>1.4</v>
      </c>
      <c r="I5608" s="9">
        <v>20240701</v>
      </c>
      <c r="J5608" t="s">
        <v>5881</v>
      </c>
      <c r="K5608" t="s">
        <v>5868</v>
      </c>
    </row>
    <row r="5609" spans="1:25" x14ac:dyDescent="0.3">
      <c r="A5609" s="160">
        <v>51251</v>
      </c>
      <c r="B5609" t="s">
        <v>20797</v>
      </c>
      <c r="C5609" t="s">
        <v>5869</v>
      </c>
      <c r="D5609">
        <v>0.55000000000000004</v>
      </c>
      <c r="E5609">
        <v>0</v>
      </c>
      <c r="F5609">
        <f t="shared" si="87"/>
        <v>0.55000000000000004</v>
      </c>
      <c r="I5609">
        <v>20110201</v>
      </c>
      <c r="J5609" t="s">
        <v>5873</v>
      </c>
    </row>
    <row r="5610" spans="1:25" x14ac:dyDescent="0.3">
      <c r="A5610" s="160">
        <v>51256</v>
      </c>
      <c r="B5610" t="s">
        <v>20798</v>
      </c>
      <c r="C5610" t="s">
        <v>5864</v>
      </c>
      <c r="D5610">
        <v>0.55000000000000004</v>
      </c>
      <c r="E5610">
        <v>0</v>
      </c>
      <c r="F5610">
        <f t="shared" si="87"/>
        <v>0.55000000000000004</v>
      </c>
      <c r="I5610">
        <v>20160101</v>
      </c>
      <c r="J5610" t="s">
        <v>5872</v>
      </c>
    </row>
    <row r="5611" spans="1:25" x14ac:dyDescent="0.3">
      <c r="A5611" s="160">
        <v>51266</v>
      </c>
      <c r="B5611" t="s">
        <v>20799</v>
      </c>
      <c r="C5611" t="s">
        <v>5864</v>
      </c>
      <c r="D5611">
        <v>0.55000000000000004</v>
      </c>
      <c r="E5611">
        <v>0</v>
      </c>
      <c r="F5611">
        <f t="shared" si="87"/>
        <v>0.55000000000000004</v>
      </c>
      <c r="I5611">
        <v>20160101</v>
      </c>
      <c r="J5611" t="s">
        <v>5872</v>
      </c>
    </row>
    <row r="5612" spans="1:25" x14ac:dyDescent="0.3">
      <c r="A5612" s="160">
        <v>51267</v>
      </c>
      <c r="B5612" t="s">
        <v>20800</v>
      </c>
      <c r="C5612" t="s">
        <v>5866</v>
      </c>
      <c r="D5612">
        <v>1.4</v>
      </c>
      <c r="E5612">
        <v>0</v>
      </c>
      <c r="F5612">
        <f t="shared" si="87"/>
        <v>1.4</v>
      </c>
      <c r="I5612" s="9">
        <v>20240701</v>
      </c>
      <c r="J5612" t="s">
        <v>5897</v>
      </c>
    </row>
    <row r="5613" spans="1:25" x14ac:dyDescent="0.3">
      <c r="A5613" s="160">
        <v>51268</v>
      </c>
      <c r="B5613" t="s">
        <v>20801</v>
      </c>
      <c r="C5613" t="s">
        <v>5869</v>
      </c>
      <c r="D5613">
        <v>0.55000000000000004</v>
      </c>
      <c r="E5613">
        <v>0</v>
      </c>
      <c r="F5613">
        <f t="shared" si="87"/>
        <v>0.55000000000000004</v>
      </c>
      <c r="I5613">
        <v>20240101</v>
      </c>
      <c r="J5613" t="s">
        <v>5877</v>
      </c>
    </row>
    <row r="5614" spans="1:25" x14ac:dyDescent="0.3">
      <c r="A5614" s="160">
        <v>51271</v>
      </c>
      <c r="B5614" t="s">
        <v>20802</v>
      </c>
      <c r="C5614" t="s">
        <v>5869</v>
      </c>
      <c r="D5614">
        <v>0.55000000000000004</v>
      </c>
      <c r="E5614">
        <v>0</v>
      </c>
      <c r="F5614">
        <f t="shared" si="87"/>
        <v>0.55000000000000004</v>
      </c>
      <c r="I5614">
        <v>20240101</v>
      </c>
      <c r="J5614" t="s">
        <v>5877</v>
      </c>
    </row>
    <row r="5615" spans="1:25" x14ac:dyDescent="0.3">
      <c r="A5615" s="160">
        <v>51273</v>
      </c>
      <c r="B5615" t="s">
        <v>20803</v>
      </c>
      <c r="C5615" t="s">
        <v>5869</v>
      </c>
      <c r="D5615">
        <v>0.55000000000000004</v>
      </c>
      <c r="E5615">
        <v>0</v>
      </c>
      <c r="F5615">
        <f t="shared" si="87"/>
        <v>0.55000000000000004</v>
      </c>
      <c r="I5615">
        <v>20240101</v>
      </c>
      <c r="J5615" t="s">
        <v>5877</v>
      </c>
    </row>
    <row r="5616" spans="1:25" x14ac:dyDescent="0.3">
      <c r="A5616" s="160">
        <v>51278</v>
      </c>
      <c r="B5616" t="s">
        <v>20804</v>
      </c>
      <c r="C5616" t="s">
        <v>5862</v>
      </c>
      <c r="D5616">
        <v>0.6</v>
      </c>
      <c r="E5616">
        <v>0</v>
      </c>
      <c r="F5616">
        <f t="shared" si="87"/>
        <v>0.6</v>
      </c>
      <c r="I5616">
        <v>20130401</v>
      </c>
      <c r="J5616" t="s">
        <v>5874</v>
      </c>
    </row>
    <row r="5617" spans="1:11" x14ac:dyDescent="0.3">
      <c r="A5617" s="160">
        <v>51281</v>
      </c>
      <c r="B5617" t="s">
        <v>20805</v>
      </c>
      <c r="C5617" t="s">
        <v>5869</v>
      </c>
      <c r="D5617">
        <v>0.55000000000000004</v>
      </c>
      <c r="E5617">
        <v>0</v>
      </c>
      <c r="F5617">
        <f t="shared" si="87"/>
        <v>0.55000000000000004</v>
      </c>
      <c r="I5617">
        <v>20220101</v>
      </c>
      <c r="J5617" t="s">
        <v>5873</v>
      </c>
    </row>
    <row r="5618" spans="1:11" x14ac:dyDescent="0.3">
      <c r="A5618" s="160">
        <v>51282</v>
      </c>
      <c r="B5618" t="s">
        <v>20806</v>
      </c>
      <c r="C5618" t="s">
        <v>5866</v>
      </c>
      <c r="D5618">
        <v>1.4</v>
      </c>
      <c r="E5618">
        <v>0</v>
      </c>
      <c r="F5618">
        <f t="shared" si="87"/>
        <v>1.4</v>
      </c>
      <c r="I5618" s="9">
        <v>20240701</v>
      </c>
      <c r="J5618" t="s">
        <v>5881</v>
      </c>
      <c r="K5618" t="s">
        <v>5897</v>
      </c>
    </row>
    <row r="5619" spans="1:11" x14ac:dyDescent="0.3">
      <c r="A5619" s="160">
        <v>51285</v>
      </c>
      <c r="B5619" t="s">
        <v>20807</v>
      </c>
      <c r="C5619" t="s">
        <v>5862</v>
      </c>
      <c r="D5619">
        <v>0.6</v>
      </c>
      <c r="E5619">
        <v>0</v>
      </c>
      <c r="F5619">
        <f t="shared" si="87"/>
        <v>0.6</v>
      </c>
      <c r="I5619">
        <v>20240101</v>
      </c>
      <c r="J5619" t="s">
        <v>5901</v>
      </c>
    </row>
    <row r="5620" spans="1:11" x14ac:dyDescent="0.3">
      <c r="A5620" s="160">
        <v>51286</v>
      </c>
      <c r="B5620" t="s">
        <v>15482</v>
      </c>
      <c r="C5620" t="s">
        <v>27547</v>
      </c>
      <c r="D5620">
        <v>0.55000000000000004</v>
      </c>
      <c r="E5620">
        <v>0</v>
      </c>
      <c r="F5620">
        <f t="shared" si="87"/>
        <v>0.55000000000000004</v>
      </c>
      <c r="I5620">
        <v>20240101</v>
      </c>
      <c r="J5620" t="s">
        <v>5865</v>
      </c>
    </row>
    <row r="5621" spans="1:11" x14ac:dyDescent="0.3">
      <c r="A5621" s="160">
        <v>51287</v>
      </c>
      <c r="B5621" t="s">
        <v>20808</v>
      </c>
      <c r="C5621" t="s">
        <v>5864</v>
      </c>
      <c r="D5621">
        <v>0.55000000000000004</v>
      </c>
      <c r="E5621">
        <v>0</v>
      </c>
      <c r="F5621">
        <f t="shared" si="87"/>
        <v>0.55000000000000004</v>
      </c>
      <c r="I5621">
        <v>20160101</v>
      </c>
      <c r="J5621" t="s">
        <v>5872</v>
      </c>
    </row>
    <row r="5622" spans="1:11" x14ac:dyDescent="0.3">
      <c r="A5622" s="160">
        <v>51291</v>
      </c>
      <c r="B5622" t="s">
        <v>20809</v>
      </c>
      <c r="C5622" t="s">
        <v>5866</v>
      </c>
      <c r="D5622">
        <v>1.4</v>
      </c>
      <c r="E5622">
        <v>0</v>
      </c>
      <c r="F5622">
        <f t="shared" si="87"/>
        <v>1.4</v>
      </c>
      <c r="I5622" s="9">
        <v>20240701</v>
      </c>
      <c r="J5622" t="s">
        <v>5881</v>
      </c>
      <c r="K5622" t="s">
        <v>5878</v>
      </c>
    </row>
    <row r="5623" spans="1:11" x14ac:dyDescent="0.3">
      <c r="A5623" s="160">
        <v>51293</v>
      </c>
      <c r="B5623" t="s">
        <v>20810</v>
      </c>
      <c r="C5623" t="s">
        <v>5866</v>
      </c>
      <c r="D5623">
        <v>1.4</v>
      </c>
      <c r="E5623">
        <v>0</v>
      </c>
      <c r="F5623">
        <f t="shared" si="87"/>
        <v>1.4</v>
      </c>
      <c r="I5623" s="9">
        <v>20240701</v>
      </c>
      <c r="J5623" t="s">
        <v>5871</v>
      </c>
    </row>
    <row r="5624" spans="1:11" x14ac:dyDescent="0.3">
      <c r="A5624" s="160">
        <v>51294</v>
      </c>
      <c r="B5624" t="s">
        <v>20811</v>
      </c>
      <c r="C5624" t="s">
        <v>5866</v>
      </c>
      <c r="D5624">
        <v>1.4</v>
      </c>
      <c r="E5624">
        <v>0</v>
      </c>
      <c r="F5624">
        <f t="shared" si="87"/>
        <v>1.4</v>
      </c>
      <c r="I5624" s="9">
        <v>20240701</v>
      </c>
      <c r="J5624" t="s">
        <v>5898</v>
      </c>
    </row>
    <row r="5625" spans="1:11" x14ac:dyDescent="0.3">
      <c r="A5625" s="160">
        <v>51299</v>
      </c>
      <c r="B5625" t="s">
        <v>20812</v>
      </c>
      <c r="C5625" t="s">
        <v>5866</v>
      </c>
      <c r="D5625">
        <v>1.4</v>
      </c>
      <c r="E5625">
        <v>0</v>
      </c>
      <c r="F5625">
        <f t="shared" si="87"/>
        <v>1.4</v>
      </c>
      <c r="I5625" s="9">
        <v>20240701</v>
      </c>
      <c r="J5625" t="s">
        <v>5871</v>
      </c>
    </row>
    <row r="5626" spans="1:11" x14ac:dyDescent="0.3">
      <c r="A5626" s="160">
        <v>51301</v>
      </c>
      <c r="B5626" t="s">
        <v>20813</v>
      </c>
      <c r="C5626" t="s">
        <v>5862</v>
      </c>
      <c r="D5626">
        <v>0.6</v>
      </c>
      <c r="E5626">
        <v>0</v>
      </c>
      <c r="F5626">
        <f t="shared" si="87"/>
        <v>0.6</v>
      </c>
      <c r="I5626">
        <v>20240101</v>
      </c>
      <c r="J5626" t="s">
        <v>5863</v>
      </c>
    </row>
    <row r="5627" spans="1:11" x14ac:dyDescent="0.3">
      <c r="A5627" s="160">
        <v>51302</v>
      </c>
      <c r="B5627" t="s">
        <v>20814</v>
      </c>
      <c r="C5627" t="s">
        <v>5869</v>
      </c>
      <c r="D5627">
        <v>0.55000000000000004</v>
      </c>
      <c r="E5627">
        <v>0</v>
      </c>
      <c r="F5627">
        <f t="shared" si="87"/>
        <v>0.55000000000000004</v>
      </c>
      <c r="I5627">
        <v>20110201</v>
      </c>
      <c r="J5627" t="s">
        <v>5873</v>
      </c>
    </row>
    <row r="5628" spans="1:11" x14ac:dyDescent="0.3">
      <c r="A5628" s="160">
        <v>51303</v>
      </c>
      <c r="B5628" t="s">
        <v>20815</v>
      </c>
      <c r="C5628" t="s">
        <v>5862</v>
      </c>
      <c r="D5628">
        <v>0.6</v>
      </c>
      <c r="E5628">
        <v>0</v>
      </c>
      <c r="F5628">
        <f t="shared" si="87"/>
        <v>0.6</v>
      </c>
      <c r="I5628">
        <v>20240101</v>
      </c>
      <c r="J5628" t="s">
        <v>5863</v>
      </c>
    </row>
    <row r="5629" spans="1:11" x14ac:dyDescent="0.3">
      <c r="A5629" s="160">
        <v>51305</v>
      </c>
      <c r="B5629" t="s">
        <v>20816</v>
      </c>
      <c r="C5629" t="s">
        <v>5866</v>
      </c>
      <c r="D5629">
        <v>1.4</v>
      </c>
      <c r="E5629">
        <v>0</v>
      </c>
      <c r="F5629">
        <f t="shared" si="87"/>
        <v>1.4</v>
      </c>
      <c r="I5629" s="9">
        <v>20240701</v>
      </c>
      <c r="J5629" t="s">
        <v>5897</v>
      </c>
    </row>
    <row r="5630" spans="1:11" x14ac:dyDescent="0.3">
      <c r="A5630" s="160">
        <v>51308</v>
      </c>
      <c r="B5630" t="s">
        <v>20817</v>
      </c>
      <c r="C5630" t="s">
        <v>5866</v>
      </c>
      <c r="D5630">
        <v>1.4</v>
      </c>
      <c r="E5630">
        <v>0</v>
      </c>
      <c r="F5630">
        <f t="shared" si="87"/>
        <v>1.4</v>
      </c>
      <c r="I5630" s="9">
        <v>20240701</v>
      </c>
      <c r="J5630" t="s">
        <v>5898</v>
      </c>
    </row>
    <row r="5631" spans="1:11" x14ac:dyDescent="0.3">
      <c r="A5631" s="160">
        <v>51309</v>
      </c>
      <c r="B5631" t="s">
        <v>20818</v>
      </c>
      <c r="C5631" t="s">
        <v>5866</v>
      </c>
      <c r="D5631">
        <v>1.4</v>
      </c>
      <c r="E5631">
        <v>0</v>
      </c>
      <c r="F5631">
        <f t="shared" si="87"/>
        <v>1.4</v>
      </c>
      <c r="I5631" s="9">
        <v>20240701</v>
      </c>
      <c r="J5631" t="s">
        <v>5867</v>
      </c>
    </row>
    <row r="5632" spans="1:11" x14ac:dyDescent="0.3">
      <c r="A5632" s="160">
        <v>51310</v>
      </c>
      <c r="B5632" t="s">
        <v>20819</v>
      </c>
      <c r="C5632" t="s">
        <v>5866</v>
      </c>
      <c r="D5632">
        <v>1.4</v>
      </c>
      <c r="E5632">
        <v>0</v>
      </c>
      <c r="F5632">
        <f t="shared" si="87"/>
        <v>1.4</v>
      </c>
      <c r="I5632" s="9">
        <v>20240701</v>
      </c>
      <c r="J5632" t="s">
        <v>5897</v>
      </c>
    </row>
    <row r="5633" spans="1:18" x14ac:dyDescent="0.3">
      <c r="A5633" s="160">
        <v>51312</v>
      </c>
      <c r="B5633" t="s">
        <v>15491</v>
      </c>
      <c r="C5633" t="s">
        <v>5862</v>
      </c>
      <c r="D5633">
        <v>0.6</v>
      </c>
      <c r="E5633">
        <v>0</v>
      </c>
      <c r="F5633">
        <f t="shared" si="87"/>
        <v>0.6</v>
      </c>
      <c r="I5633">
        <v>20240101</v>
      </c>
      <c r="J5633" t="s">
        <v>5863</v>
      </c>
    </row>
    <row r="5634" spans="1:18" x14ac:dyDescent="0.3">
      <c r="A5634" s="160">
        <v>51314</v>
      </c>
      <c r="B5634" t="s">
        <v>20820</v>
      </c>
      <c r="C5634" t="s">
        <v>5866</v>
      </c>
      <c r="D5634">
        <v>1.4</v>
      </c>
      <c r="E5634">
        <v>0</v>
      </c>
      <c r="F5634">
        <f t="shared" si="87"/>
        <v>1.4</v>
      </c>
      <c r="I5634" s="9">
        <v>20240701</v>
      </c>
      <c r="J5634" t="s">
        <v>5868</v>
      </c>
    </row>
    <row r="5635" spans="1:18" x14ac:dyDescent="0.3">
      <c r="A5635" s="160">
        <v>51315</v>
      </c>
      <c r="B5635" t="s">
        <v>20821</v>
      </c>
      <c r="C5635" t="s">
        <v>27547</v>
      </c>
      <c r="D5635">
        <v>0.55000000000000004</v>
      </c>
      <c r="E5635">
        <v>0</v>
      </c>
      <c r="F5635">
        <f t="shared" si="87"/>
        <v>0.55000000000000004</v>
      </c>
      <c r="I5635">
        <v>20240101</v>
      </c>
      <c r="J5635" t="s">
        <v>5865</v>
      </c>
    </row>
    <row r="5636" spans="1:18" x14ac:dyDescent="0.3">
      <c r="A5636" s="160">
        <v>51318</v>
      </c>
      <c r="B5636" t="s">
        <v>20822</v>
      </c>
      <c r="C5636" t="s">
        <v>5866</v>
      </c>
      <c r="D5636">
        <v>1.4</v>
      </c>
      <c r="E5636">
        <v>0</v>
      </c>
      <c r="F5636">
        <f t="shared" si="87"/>
        <v>1.4</v>
      </c>
      <c r="I5636" s="9">
        <v>20240701</v>
      </c>
      <c r="J5636" t="s">
        <v>5871</v>
      </c>
    </row>
    <row r="5637" spans="1:18" x14ac:dyDescent="0.3">
      <c r="A5637" s="160">
        <v>51319</v>
      </c>
      <c r="B5637" t="s">
        <v>20823</v>
      </c>
      <c r="C5637" t="s">
        <v>5862</v>
      </c>
      <c r="D5637">
        <v>0.6</v>
      </c>
      <c r="E5637">
        <v>0</v>
      </c>
      <c r="F5637">
        <f t="shared" si="87"/>
        <v>0.6</v>
      </c>
      <c r="I5637">
        <v>20240101</v>
      </c>
      <c r="J5637" t="s">
        <v>5952</v>
      </c>
    </row>
    <row r="5638" spans="1:18" x14ac:dyDescent="0.3">
      <c r="A5638" s="160">
        <v>51321</v>
      </c>
      <c r="B5638" t="s">
        <v>20824</v>
      </c>
      <c r="C5638" t="s">
        <v>5866</v>
      </c>
      <c r="D5638">
        <v>1.4</v>
      </c>
      <c r="E5638">
        <v>0</v>
      </c>
      <c r="F5638">
        <f t="shared" si="87"/>
        <v>1.4</v>
      </c>
      <c r="I5638" s="9">
        <v>20240701</v>
      </c>
      <c r="J5638" t="s">
        <v>5868</v>
      </c>
    </row>
    <row r="5639" spans="1:18" x14ac:dyDescent="0.3">
      <c r="A5639" s="160">
        <v>51326</v>
      </c>
      <c r="B5639" t="s">
        <v>20825</v>
      </c>
      <c r="C5639" t="s">
        <v>5862</v>
      </c>
      <c r="D5639">
        <v>0.6</v>
      </c>
      <c r="E5639">
        <v>0</v>
      </c>
      <c r="F5639">
        <f t="shared" ref="F5639:F5702" si="88">D5639+E5639</f>
        <v>0.6</v>
      </c>
      <c r="I5639">
        <v>20240101</v>
      </c>
      <c r="J5639" t="s">
        <v>5874</v>
      </c>
    </row>
    <row r="5640" spans="1:18" x14ac:dyDescent="0.3">
      <c r="A5640" s="160">
        <v>51327</v>
      </c>
      <c r="B5640" t="s">
        <v>20826</v>
      </c>
      <c r="C5640" t="s">
        <v>5869</v>
      </c>
      <c r="D5640">
        <v>0.55000000000000004</v>
      </c>
      <c r="E5640">
        <v>0</v>
      </c>
      <c r="F5640">
        <f t="shared" si="88"/>
        <v>0.55000000000000004</v>
      </c>
      <c r="I5640">
        <v>20240101</v>
      </c>
      <c r="J5640" t="s">
        <v>5877</v>
      </c>
    </row>
    <row r="5641" spans="1:18" x14ac:dyDescent="0.3">
      <c r="A5641" s="160">
        <v>51329</v>
      </c>
      <c r="B5641" t="s">
        <v>20827</v>
      </c>
      <c r="C5641" t="s">
        <v>5866</v>
      </c>
      <c r="D5641">
        <v>1.4</v>
      </c>
      <c r="E5641">
        <v>0</v>
      </c>
      <c r="F5641">
        <f t="shared" si="88"/>
        <v>1.4</v>
      </c>
      <c r="I5641" s="9">
        <v>20240701</v>
      </c>
      <c r="J5641" t="s">
        <v>5881</v>
      </c>
      <c r="K5641" t="s">
        <v>5878</v>
      </c>
    </row>
    <row r="5642" spans="1:18" x14ac:dyDescent="0.3">
      <c r="A5642" s="160">
        <v>51331</v>
      </c>
      <c r="B5642" t="s">
        <v>20827</v>
      </c>
      <c r="C5642" t="s">
        <v>5864</v>
      </c>
      <c r="D5642">
        <v>0.55000000000000004</v>
      </c>
      <c r="E5642">
        <v>0</v>
      </c>
      <c r="F5642">
        <f t="shared" si="88"/>
        <v>0.55000000000000004</v>
      </c>
      <c r="I5642">
        <v>20160101</v>
      </c>
      <c r="J5642" t="s">
        <v>5863</v>
      </c>
    </row>
    <row r="5643" spans="1:18" x14ac:dyDescent="0.3">
      <c r="A5643" s="160">
        <v>51333</v>
      </c>
      <c r="B5643" t="s">
        <v>20828</v>
      </c>
      <c r="C5643" t="s">
        <v>5866</v>
      </c>
      <c r="D5643">
        <v>1.4</v>
      </c>
      <c r="E5643">
        <v>0</v>
      </c>
      <c r="F5643">
        <f t="shared" si="88"/>
        <v>1.4</v>
      </c>
      <c r="I5643" s="9">
        <v>20240701</v>
      </c>
      <c r="J5643" t="s">
        <v>5881</v>
      </c>
      <c r="K5643" t="s">
        <v>5928</v>
      </c>
    </row>
    <row r="5644" spans="1:18" x14ac:dyDescent="0.3">
      <c r="A5644" s="160">
        <v>51337</v>
      </c>
      <c r="B5644" t="s">
        <v>20829</v>
      </c>
      <c r="C5644" t="s">
        <v>5866</v>
      </c>
      <c r="D5644">
        <v>1.4</v>
      </c>
      <c r="E5644">
        <v>0</v>
      </c>
      <c r="F5644">
        <f t="shared" si="88"/>
        <v>1.4</v>
      </c>
      <c r="I5644" s="9">
        <v>20240701</v>
      </c>
      <c r="J5644" t="s">
        <v>5868</v>
      </c>
    </row>
    <row r="5645" spans="1:18" x14ac:dyDescent="0.3">
      <c r="A5645" s="160">
        <v>51338</v>
      </c>
      <c r="B5645" t="s">
        <v>20830</v>
      </c>
      <c r="C5645" t="s">
        <v>5866</v>
      </c>
      <c r="D5645">
        <v>1.4</v>
      </c>
      <c r="E5645">
        <v>0</v>
      </c>
      <c r="F5645">
        <f t="shared" si="88"/>
        <v>1.4</v>
      </c>
      <c r="I5645" s="9">
        <v>20240701</v>
      </c>
      <c r="J5645" t="s">
        <v>5928</v>
      </c>
    </row>
    <row r="5646" spans="1:18" x14ac:dyDescent="0.3">
      <c r="A5646" s="160">
        <v>51342</v>
      </c>
      <c r="B5646" t="s">
        <v>20831</v>
      </c>
      <c r="C5646" t="s">
        <v>5869</v>
      </c>
      <c r="D5646">
        <v>0.55000000000000004</v>
      </c>
      <c r="E5646">
        <v>0</v>
      </c>
      <c r="F5646">
        <f t="shared" si="88"/>
        <v>0.55000000000000004</v>
      </c>
      <c r="I5646">
        <v>20220101</v>
      </c>
      <c r="J5646" t="s">
        <v>5900</v>
      </c>
    </row>
    <row r="5647" spans="1:18" x14ac:dyDescent="0.3">
      <c r="A5647" s="160">
        <v>51344</v>
      </c>
      <c r="B5647" t="s">
        <v>20832</v>
      </c>
      <c r="C5647" t="s">
        <v>5869</v>
      </c>
      <c r="D5647">
        <v>0.55000000000000004</v>
      </c>
      <c r="E5647">
        <v>0</v>
      </c>
      <c r="F5647">
        <f t="shared" si="88"/>
        <v>0.55000000000000004</v>
      </c>
      <c r="I5647">
        <v>20060101</v>
      </c>
      <c r="J5647" t="s">
        <v>5954</v>
      </c>
      <c r="K5647" t="s">
        <v>5955</v>
      </c>
      <c r="L5647" t="s">
        <v>5956</v>
      </c>
      <c r="M5647" t="s">
        <v>5947</v>
      </c>
      <c r="N5647" t="s">
        <v>5933</v>
      </c>
      <c r="O5647" t="s">
        <v>5958</v>
      </c>
      <c r="P5647" t="s">
        <v>5950</v>
      </c>
      <c r="Q5647" t="s">
        <v>5962</v>
      </c>
      <c r="R5647" t="s">
        <v>5900</v>
      </c>
    </row>
    <row r="5648" spans="1:18" x14ac:dyDescent="0.3">
      <c r="A5648" s="160">
        <v>51347</v>
      </c>
      <c r="B5648" t="s">
        <v>20833</v>
      </c>
      <c r="C5648" t="s">
        <v>5864</v>
      </c>
      <c r="D5648">
        <v>0.55000000000000004</v>
      </c>
      <c r="E5648">
        <v>0</v>
      </c>
      <c r="F5648">
        <f t="shared" si="88"/>
        <v>0.55000000000000004</v>
      </c>
      <c r="I5648">
        <v>20160101</v>
      </c>
      <c r="J5648" t="s">
        <v>5872</v>
      </c>
    </row>
    <row r="5649" spans="1:12" x14ac:dyDescent="0.3">
      <c r="A5649" s="160">
        <v>51348</v>
      </c>
      <c r="B5649" t="s">
        <v>20834</v>
      </c>
      <c r="C5649" t="s">
        <v>5866</v>
      </c>
      <c r="D5649">
        <v>1.4</v>
      </c>
      <c r="E5649">
        <v>0</v>
      </c>
      <c r="F5649">
        <f t="shared" si="88"/>
        <v>1.4</v>
      </c>
      <c r="I5649" s="9">
        <v>20240701</v>
      </c>
      <c r="J5649" t="s">
        <v>5868</v>
      </c>
    </row>
    <row r="5650" spans="1:12" x14ac:dyDescent="0.3">
      <c r="A5650" s="160">
        <v>51357</v>
      </c>
      <c r="B5650" t="s">
        <v>20835</v>
      </c>
      <c r="C5650" t="s">
        <v>5862</v>
      </c>
      <c r="D5650">
        <v>0.6</v>
      </c>
      <c r="E5650">
        <v>0</v>
      </c>
      <c r="F5650">
        <f t="shared" si="88"/>
        <v>0.6</v>
      </c>
      <c r="I5650">
        <v>20240101</v>
      </c>
      <c r="J5650" t="s">
        <v>5934</v>
      </c>
    </row>
    <row r="5651" spans="1:12" x14ac:dyDescent="0.3">
      <c r="A5651" s="160">
        <v>51362</v>
      </c>
      <c r="B5651" t="s">
        <v>20836</v>
      </c>
      <c r="C5651" t="s">
        <v>5866</v>
      </c>
      <c r="D5651">
        <v>1.4</v>
      </c>
      <c r="E5651">
        <v>0</v>
      </c>
      <c r="F5651">
        <f t="shared" si="88"/>
        <v>1.4</v>
      </c>
      <c r="I5651" s="9">
        <v>20240701</v>
      </c>
      <c r="J5651" t="s">
        <v>5878</v>
      </c>
    </row>
    <row r="5652" spans="1:12" x14ac:dyDescent="0.3">
      <c r="A5652" s="160">
        <v>51364</v>
      </c>
      <c r="B5652" t="s">
        <v>20837</v>
      </c>
      <c r="C5652" t="s">
        <v>5866</v>
      </c>
      <c r="D5652">
        <v>1.4</v>
      </c>
      <c r="E5652">
        <v>0</v>
      </c>
      <c r="F5652">
        <f t="shared" si="88"/>
        <v>1.4</v>
      </c>
      <c r="I5652" s="9">
        <v>20240701</v>
      </c>
      <c r="J5652" t="s">
        <v>5897</v>
      </c>
    </row>
    <row r="5653" spans="1:12" x14ac:dyDescent="0.3">
      <c r="A5653" s="160">
        <v>51365</v>
      </c>
      <c r="B5653" t="s">
        <v>20838</v>
      </c>
      <c r="C5653" t="s">
        <v>5866</v>
      </c>
      <c r="D5653">
        <v>1.4</v>
      </c>
      <c r="E5653">
        <v>0</v>
      </c>
      <c r="F5653">
        <f t="shared" si="88"/>
        <v>1.4</v>
      </c>
      <c r="I5653" s="9">
        <v>20240701</v>
      </c>
      <c r="J5653" t="s">
        <v>5930</v>
      </c>
    </row>
    <row r="5654" spans="1:12" x14ac:dyDescent="0.3">
      <c r="A5654" s="160">
        <v>51367</v>
      </c>
      <c r="B5654" t="s">
        <v>20839</v>
      </c>
      <c r="C5654" t="s">
        <v>5869</v>
      </c>
      <c r="D5654">
        <v>0.55000000000000004</v>
      </c>
      <c r="E5654">
        <v>0</v>
      </c>
      <c r="F5654">
        <f t="shared" si="88"/>
        <v>0.55000000000000004</v>
      </c>
      <c r="I5654">
        <v>20240101</v>
      </c>
      <c r="J5654" t="s">
        <v>5873</v>
      </c>
    </row>
    <row r="5655" spans="1:12" x14ac:dyDescent="0.3">
      <c r="A5655" s="160">
        <v>51372</v>
      </c>
      <c r="B5655" t="s">
        <v>20840</v>
      </c>
      <c r="C5655" t="s">
        <v>5862</v>
      </c>
      <c r="D5655">
        <v>0.6</v>
      </c>
      <c r="E5655">
        <v>0</v>
      </c>
      <c r="F5655">
        <f t="shared" si="88"/>
        <v>0.6</v>
      </c>
      <c r="I5655">
        <v>20240101</v>
      </c>
      <c r="J5655" t="s">
        <v>5964</v>
      </c>
    </row>
    <row r="5656" spans="1:12" x14ac:dyDescent="0.3">
      <c r="A5656" s="160">
        <v>51375</v>
      </c>
      <c r="B5656" t="s">
        <v>20841</v>
      </c>
      <c r="C5656" t="s">
        <v>5866</v>
      </c>
      <c r="D5656">
        <v>1.4</v>
      </c>
      <c r="E5656">
        <v>0</v>
      </c>
      <c r="F5656">
        <f t="shared" si="88"/>
        <v>1.4</v>
      </c>
      <c r="I5656" s="9">
        <v>20240701</v>
      </c>
      <c r="J5656" t="s">
        <v>5928</v>
      </c>
    </row>
    <row r="5657" spans="1:12" x14ac:dyDescent="0.3">
      <c r="A5657" s="160">
        <v>51377</v>
      </c>
      <c r="B5657" t="s">
        <v>20842</v>
      </c>
      <c r="C5657" t="s">
        <v>5862</v>
      </c>
      <c r="D5657">
        <v>0.6</v>
      </c>
      <c r="E5657">
        <v>0</v>
      </c>
      <c r="F5657">
        <f t="shared" si="88"/>
        <v>0.6</v>
      </c>
      <c r="I5657">
        <v>20240101</v>
      </c>
      <c r="J5657" t="s">
        <v>5901</v>
      </c>
    </row>
    <row r="5658" spans="1:12" x14ac:dyDescent="0.3">
      <c r="A5658" s="160">
        <v>51378</v>
      </c>
      <c r="B5658" t="s">
        <v>20843</v>
      </c>
      <c r="C5658" t="s">
        <v>5869</v>
      </c>
      <c r="D5658">
        <v>0.55000000000000004</v>
      </c>
      <c r="E5658">
        <v>0</v>
      </c>
      <c r="F5658">
        <f t="shared" si="88"/>
        <v>0.55000000000000004</v>
      </c>
      <c r="I5658">
        <v>20220101</v>
      </c>
      <c r="J5658" t="s">
        <v>5900</v>
      </c>
    </row>
    <row r="5659" spans="1:12" x14ac:dyDescent="0.3">
      <c r="A5659" s="160">
        <v>51379</v>
      </c>
      <c r="B5659" t="s">
        <v>20844</v>
      </c>
      <c r="C5659" t="s">
        <v>5866</v>
      </c>
      <c r="D5659">
        <v>1.4</v>
      </c>
      <c r="E5659">
        <v>0</v>
      </c>
      <c r="F5659">
        <f t="shared" si="88"/>
        <v>1.4</v>
      </c>
      <c r="I5659" s="9">
        <v>20240701</v>
      </c>
      <c r="J5659" t="s">
        <v>5898</v>
      </c>
    </row>
    <row r="5660" spans="1:12" x14ac:dyDescent="0.3">
      <c r="A5660" s="160">
        <v>51382</v>
      </c>
      <c r="B5660" t="s">
        <v>20845</v>
      </c>
      <c r="C5660" t="s">
        <v>5866</v>
      </c>
      <c r="D5660">
        <v>1.4</v>
      </c>
      <c r="E5660">
        <v>0</v>
      </c>
      <c r="F5660">
        <f t="shared" si="88"/>
        <v>1.4</v>
      </c>
      <c r="I5660" s="9">
        <v>20240701</v>
      </c>
      <c r="J5660" t="s">
        <v>5868</v>
      </c>
    </row>
    <row r="5661" spans="1:12" x14ac:dyDescent="0.3">
      <c r="A5661" s="160">
        <v>51384</v>
      </c>
      <c r="B5661" t="s">
        <v>20846</v>
      </c>
      <c r="C5661" t="s">
        <v>5869</v>
      </c>
      <c r="D5661">
        <v>0.55000000000000004</v>
      </c>
      <c r="E5661">
        <v>0</v>
      </c>
      <c r="F5661">
        <f t="shared" si="88"/>
        <v>0.55000000000000004</v>
      </c>
      <c r="I5661">
        <v>20220101</v>
      </c>
      <c r="J5661" t="s">
        <v>5900</v>
      </c>
    </row>
    <row r="5662" spans="1:12" x14ac:dyDescent="0.3">
      <c r="A5662" s="160">
        <v>51387</v>
      </c>
      <c r="B5662" t="s">
        <v>20847</v>
      </c>
      <c r="C5662" t="s">
        <v>5869</v>
      </c>
      <c r="D5662">
        <v>0.55000000000000004</v>
      </c>
      <c r="E5662">
        <v>0</v>
      </c>
      <c r="F5662">
        <f t="shared" si="88"/>
        <v>0.55000000000000004</v>
      </c>
      <c r="I5662">
        <v>20240101</v>
      </c>
      <c r="J5662" t="s">
        <v>5900</v>
      </c>
    </row>
    <row r="5663" spans="1:12" x14ac:dyDescent="0.3">
      <c r="A5663" s="160">
        <v>51388</v>
      </c>
      <c r="B5663" t="s">
        <v>20848</v>
      </c>
      <c r="C5663" t="s">
        <v>5862</v>
      </c>
      <c r="D5663">
        <v>0.6</v>
      </c>
      <c r="E5663">
        <v>0</v>
      </c>
      <c r="F5663">
        <f t="shared" si="88"/>
        <v>0.6</v>
      </c>
      <c r="I5663">
        <v>20240101</v>
      </c>
      <c r="J5663" t="s">
        <v>5899</v>
      </c>
      <c r="K5663" t="s">
        <v>5874</v>
      </c>
      <c r="L5663" t="s">
        <v>5965</v>
      </c>
    </row>
    <row r="5664" spans="1:12" x14ac:dyDescent="0.3">
      <c r="A5664" s="160">
        <v>51389</v>
      </c>
      <c r="B5664" t="s">
        <v>20849</v>
      </c>
      <c r="C5664" t="s">
        <v>5862</v>
      </c>
      <c r="D5664">
        <v>0.6</v>
      </c>
      <c r="E5664">
        <v>0</v>
      </c>
      <c r="F5664">
        <f t="shared" si="88"/>
        <v>0.6</v>
      </c>
      <c r="I5664">
        <v>20240101</v>
      </c>
      <c r="J5664" t="s">
        <v>5874</v>
      </c>
    </row>
    <row r="5665" spans="1:14" x14ac:dyDescent="0.3">
      <c r="A5665" s="160">
        <v>51390</v>
      </c>
      <c r="B5665" t="s">
        <v>20850</v>
      </c>
      <c r="C5665" t="s">
        <v>5869</v>
      </c>
      <c r="D5665">
        <v>0.55000000000000004</v>
      </c>
      <c r="E5665">
        <v>0</v>
      </c>
      <c r="F5665">
        <f t="shared" si="88"/>
        <v>0.55000000000000004</v>
      </c>
      <c r="I5665">
        <v>20110201</v>
      </c>
      <c r="J5665" t="s">
        <v>5955</v>
      </c>
      <c r="K5665" t="s">
        <v>5947</v>
      </c>
      <c r="L5665" t="s">
        <v>5900</v>
      </c>
    </row>
    <row r="5666" spans="1:14" x14ac:dyDescent="0.3">
      <c r="A5666" s="160">
        <v>51391</v>
      </c>
      <c r="B5666" t="s">
        <v>20851</v>
      </c>
      <c r="C5666" t="s">
        <v>5866</v>
      </c>
      <c r="D5666">
        <v>1.4</v>
      </c>
      <c r="E5666">
        <v>0</v>
      </c>
      <c r="F5666">
        <f t="shared" si="88"/>
        <v>1.4</v>
      </c>
      <c r="I5666" s="9">
        <v>20240701</v>
      </c>
      <c r="J5666" t="s">
        <v>5898</v>
      </c>
    </row>
    <row r="5667" spans="1:14" x14ac:dyDescent="0.3">
      <c r="A5667" s="160">
        <v>51392</v>
      </c>
      <c r="B5667" t="s">
        <v>20852</v>
      </c>
      <c r="C5667" t="s">
        <v>5864</v>
      </c>
      <c r="D5667">
        <v>0.55000000000000004</v>
      </c>
      <c r="E5667">
        <v>0</v>
      </c>
      <c r="F5667">
        <f t="shared" si="88"/>
        <v>0.55000000000000004</v>
      </c>
      <c r="I5667">
        <v>20160101</v>
      </c>
      <c r="J5667" t="s">
        <v>5872</v>
      </c>
    </row>
    <row r="5668" spans="1:14" x14ac:dyDescent="0.3">
      <c r="A5668" s="160">
        <v>51393</v>
      </c>
      <c r="B5668" t="s">
        <v>20853</v>
      </c>
      <c r="C5668" t="s">
        <v>5864</v>
      </c>
      <c r="D5668">
        <v>0.55000000000000004</v>
      </c>
      <c r="E5668">
        <v>0</v>
      </c>
      <c r="F5668">
        <f t="shared" si="88"/>
        <v>0.55000000000000004</v>
      </c>
      <c r="I5668">
        <v>20240101</v>
      </c>
      <c r="J5668" t="s">
        <v>5946</v>
      </c>
    </row>
    <row r="5669" spans="1:14" x14ac:dyDescent="0.3">
      <c r="A5669" s="160">
        <v>51403</v>
      </c>
      <c r="B5669" t="s">
        <v>20854</v>
      </c>
      <c r="C5669" t="s">
        <v>5866</v>
      </c>
      <c r="D5669">
        <v>1.4</v>
      </c>
      <c r="E5669">
        <v>0</v>
      </c>
      <c r="F5669">
        <f t="shared" si="88"/>
        <v>1.4</v>
      </c>
      <c r="I5669" s="9">
        <v>20240701</v>
      </c>
      <c r="J5669" t="s">
        <v>5879</v>
      </c>
    </row>
    <row r="5670" spans="1:14" x14ac:dyDescent="0.3">
      <c r="A5670" s="160">
        <v>51411</v>
      </c>
      <c r="B5670" t="s">
        <v>20855</v>
      </c>
      <c r="C5670" t="s">
        <v>5869</v>
      </c>
      <c r="D5670">
        <v>0.55000000000000004</v>
      </c>
      <c r="E5670">
        <v>0</v>
      </c>
      <c r="F5670">
        <f t="shared" si="88"/>
        <v>0.55000000000000004</v>
      </c>
      <c r="I5670">
        <v>20240101</v>
      </c>
      <c r="J5670" t="s">
        <v>5873</v>
      </c>
    </row>
    <row r="5671" spans="1:14" x14ac:dyDescent="0.3">
      <c r="A5671" s="160">
        <v>51413</v>
      </c>
      <c r="B5671" t="s">
        <v>20856</v>
      </c>
      <c r="C5671" t="s">
        <v>5869</v>
      </c>
      <c r="D5671">
        <v>0.55000000000000004</v>
      </c>
      <c r="E5671">
        <v>0</v>
      </c>
      <c r="F5671">
        <f t="shared" si="88"/>
        <v>0.55000000000000004</v>
      </c>
      <c r="I5671">
        <v>20060101</v>
      </c>
      <c r="J5671" t="s">
        <v>5900</v>
      </c>
    </row>
    <row r="5672" spans="1:14" x14ac:dyDescent="0.3">
      <c r="A5672" s="160">
        <v>51414</v>
      </c>
      <c r="B5672" t="s">
        <v>20857</v>
      </c>
      <c r="C5672" t="s">
        <v>5866</v>
      </c>
      <c r="D5672">
        <v>1.4</v>
      </c>
      <c r="E5672">
        <v>0</v>
      </c>
      <c r="F5672">
        <f t="shared" si="88"/>
        <v>1.4</v>
      </c>
      <c r="I5672" s="9">
        <v>20240701</v>
      </c>
      <c r="J5672" t="s">
        <v>5867</v>
      </c>
    </row>
    <row r="5673" spans="1:14" x14ac:dyDescent="0.3">
      <c r="A5673" s="160">
        <v>51418</v>
      </c>
      <c r="B5673" t="s">
        <v>20120</v>
      </c>
      <c r="C5673" t="s">
        <v>5866</v>
      </c>
      <c r="D5673">
        <v>1.4</v>
      </c>
      <c r="E5673">
        <v>0</v>
      </c>
      <c r="F5673">
        <f t="shared" si="88"/>
        <v>1.4</v>
      </c>
      <c r="I5673" s="9">
        <v>20240701</v>
      </c>
      <c r="J5673" t="s">
        <v>5930</v>
      </c>
      <c r="K5673" t="s">
        <v>5891</v>
      </c>
      <c r="L5673" t="s">
        <v>5966</v>
      </c>
      <c r="M5673" t="s">
        <v>5892</v>
      </c>
    </row>
    <row r="5674" spans="1:14" x14ac:dyDescent="0.3">
      <c r="A5674" s="160">
        <v>51422</v>
      </c>
      <c r="B5674" t="s">
        <v>20858</v>
      </c>
      <c r="C5674" t="s">
        <v>5866</v>
      </c>
      <c r="D5674">
        <v>1.4</v>
      </c>
      <c r="E5674">
        <v>0</v>
      </c>
      <c r="F5674">
        <f t="shared" si="88"/>
        <v>1.4</v>
      </c>
      <c r="I5674" s="9">
        <v>20240701</v>
      </c>
      <c r="J5674" t="s">
        <v>5897</v>
      </c>
    </row>
    <row r="5675" spans="1:14" x14ac:dyDescent="0.3">
      <c r="A5675" s="160">
        <v>51428</v>
      </c>
      <c r="B5675" t="s">
        <v>20859</v>
      </c>
      <c r="C5675" t="s">
        <v>5866</v>
      </c>
      <c r="D5675">
        <v>1.4</v>
      </c>
      <c r="E5675">
        <v>0</v>
      </c>
      <c r="F5675">
        <f t="shared" si="88"/>
        <v>1.4</v>
      </c>
      <c r="I5675" s="9">
        <v>20240701</v>
      </c>
      <c r="J5675" t="s">
        <v>5909</v>
      </c>
      <c r="K5675" t="s">
        <v>5874</v>
      </c>
    </row>
    <row r="5676" spans="1:14" x14ac:dyDescent="0.3">
      <c r="A5676" s="160">
        <v>51429</v>
      </c>
      <c r="B5676" t="s">
        <v>20860</v>
      </c>
      <c r="C5676" t="s">
        <v>5866</v>
      </c>
      <c r="D5676">
        <v>1.4</v>
      </c>
      <c r="E5676">
        <v>0</v>
      </c>
      <c r="F5676">
        <f t="shared" si="88"/>
        <v>1.4</v>
      </c>
      <c r="I5676" s="9">
        <v>20240701</v>
      </c>
      <c r="J5676" t="s">
        <v>5898</v>
      </c>
    </row>
    <row r="5677" spans="1:14" x14ac:dyDescent="0.3">
      <c r="A5677" s="160">
        <v>51430</v>
      </c>
      <c r="B5677" t="s">
        <v>20861</v>
      </c>
      <c r="C5677" t="s">
        <v>5869</v>
      </c>
      <c r="D5677">
        <v>0.55000000000000004</v>
      </c>
      <c r="E5677">
        <v>0</v>
      </c>
      <c r="F5677">
        <f t="shared" si="88"/>
        <v>0.55000000000000004</v>
      </c>
      <c r="I5677">
        <v>20240101</v>
      </c>
      <c r="J5677" t="s">
        <v>5877</v>
      </c>
    </row>
    <row r="5678" spans="1:14" x14ac:dyDescent="0.3">
      <c r="A5678" s="160">
        <v>51431</v>
      </c>
      <c r="B5678" t="s">
        <v>20862</v>
      </c>
      <c r="C5678" t="s">
        <v>5869</v>
      </c>
      <c r="D5678">
        <v>0.55000000000000004</v>
      </c>
      <c r="E5678">
        <v>0</v>
      </c>
      <c r="F5678">
        <f t="shared" si="88"/>
        <v>0.55000000000000004</v>
      </c>
      <c r="I5678">
        <v>20060101</v>
      </c>
      <c r="J5678" t="s">
        <v>5954</v>
      </c>
      <c r="K5678" t="s">
        <v>5956</v>
      </c>
      <c r="L5678" t="s">
        <v>5947</v>
      </c>
      <c r="M5678" t="s">
        <v>5957</v>
      </c>
      <c r="N5678" t="s">
        <v>5900</v>
      </c>
    </row>
    <row r="5679" spans="1:14" x14ac:dyDescent="0.3">
      <c r="A5679" s="160">
        <v>51434</v>
      </c>
      <c r="B5679" t="s">
        <v>20863</v>
      </c>
      <c r="C5679" t="s">
        <v>5869</v>
      </c>
      <c r="D5679">
        <v>0.55000000000000004</v>
      </c>
      <c r="E5679">
        <v>0</v>
      </c>
      <c r="F5679">
        <f t="shared" si="88"/>
        <v>0.55000000000000004</v>
      </c>
      <c r="I5679">
        <v>20060101</v>
      </c>
      <c r="J5679" t="s">
        <v>5863</v>
      </c>
    </row>
    <row r="5680" spans="1:14" x14ac:dyDescent="0.3">
      <c r="A5680" s="160">
        <v>51435</v>
      </c>
      <c r="B5680" t="s">
        <v>20864</v>
      </c>
      <c r="C5680" t="s">
        <v>5869</v>
      </c>
      <c r="D5680">
        <v>0.55000000000000004</v>
      </c>
      <c r="E5680">
        <v>0</v>
      </c>
      <c r="F5680">
        <f t="shared" si="88"/>
        <v>0.55000000000000004</v>
      </c>
      <c r="I5680">
        <v>20240101</v>
      </c>
      <c r="J5680" t="s">
        <v>5877</v>
      </c>
    </row>
    <row r="5681" spans="1:67" x14ac:dyDescent="0.3">
      <c r="A5681" s="160">
        <v>51437</v>
      </c>
      <c r="B5681" t="s">
        <v>20865</v>
      </c>
      <c r="C5681" t="s">
        <v>5866</v>
      </c>
      <c r="D5681">
        <v>1.4</v>
      </c>
      <c r="E5681">
        <v>0</v>
      </c>
      <c r="F5681">
        <f t="shared" si="88"/>
        <v>1.4</v>
      </c>
      <c r="I5681" s="9">
        <v>20240701</v>
      </c>
      <c r="J5681" t="s">
        <v>5868</v>
      </c>
    </row>
    <row r="5682" spans="1:67" x14ac:dyDescent="0.3">
      <c r="A5682" s="160">
        <v>51439</v>
      </c>
      <c r="B5682" t="s">
        <v>20866</v>
      </c>
      <c r="C5682" t="s">
        <v>5866</v>
      </c>
      <c r="D5682">
        <v>1.4</v>
      </c>
      <c r="E5682">
        <v>0</v>
      </c>
      <c r="F5682">
        <f t="shared" si="88"/>
        <v>1.4</v>
      </c>
      <c r="I5682" s="9">
        <v>20240701</v>
      </c>
      <c r="J5682" t="s">
        <v>5871</v>
      </c>
    </row>
    <row r="5683" spans="1:67" x14ac:dyDescent="0.3">
      <c r="A5683" s="160">
        <v>51440</v>
      </c>
      <c r="B5683" t="s">
        <v>20867</v>
      </c>
      <c r="C5683" t="s">
        <v>5866</v>
      </c>
      <c r="D5683">
        <v>1.4</v>
      </c>
      <c r="E5683">
        <v>0</v>
      </c>
      <c r="F5683">
        <f t="shared" si="88"/>
        <v>1.4</v>
      </c>
      <c r="I5683" s="9">
        <v>20240701</v>
      </c>
      <c r="J5683" t="s">
        <v>5876</v>
      </c>
    </row>
    <row r="5684" spans="1:67" x14ac:dyDescent="0.3">
      <c r="A5684" s="160">
        <v>51444</v>
      </c>
      <c r="B5684" t="s">
        <v>20868</v>
      </c>
      <c r="C5684" t="s">
        <v>5866</v>
      </c>
      <c r="D5684">
        <v>1.4</v>
      </c>
      <c r="E5684">
        <v>0</v>
      </c>
      <c r="F5684">
        <f t="shared" si="88"/>
        <v>1.4</v>
      </c>
      <c r="I5684" s="9">
        <v>20240701</v>
      </c>
      <c r="J5684" t="s">
        <v>5878</v>
      </c>
    </row>
    <row r="5685" spans="1:67" x14ac:dyDescent="0.3">
      <c r="A5685" s="160">
        <v>51445</v>
      </c>
      <c r="B5685" t="s">
        <v>20869</v>
      </c>
      <c r="C5685" t="s">
        <v>5866</v>
      </c>
      <c r="D5685">
        <v>1.4</v>
      </c>
      <c r="E5685">
        <v>0</v>
      </c>
      <c r="F5685">
        <f t="shared" si="88"/>
        <v>1.4</v>
      </c>
      <c r="I5685" s="9">
        <v>20240701</v>
      </c>
      <c r="J5685" t="s">
        <v>5946</v>
      </c>
    </row>
    <row r="5686" spans="1:67" x14ac:dyDescent="0.3">
      <c r="A5686" s="160">
        <v>51447</v>
      </c>
      <c r="B5686" t="s">
        <v>20870</v>
      </c>
      <c r="C5686" t="s">
        <v>5866</v>
      </c>
      <c r="D5686">
        <v>1.4</v>
      </c>
      <c r="E5686">
        <v>0</v>
      </c>
      <c r="F5686">
        <f t="shared" si="88"/>
        <v>1.4</v>
      </c>
      <c r="I5686" s="9">
        <v>20240701</v>
      </c>
      <c r="J5686" t="s">
        <v>5874</v>
      </c>
    </row>
    <row r="5687" spans="1:67" x14ac:dyDescent="0.3">
      <c r="A5687" s="160">
        <v>51448</v>
      </c>
      <c r="B5687" t="s">
        <v>20871</v>
      </c>
      <c r="C5687" t="s">
        <v>5866</v>
      </c>
      <c r="D5687">
        <v>1.4</v>
      </c>
      <c r="E5687">
        <v>0</v>
      </c>
      <c r="F5687">
        <f t="shared" si="88"/>
        <v>1.4</v>
      </c>
      <c r="I5687" s="9">
        <v>20240701</v>
      </c>
      <c r="J5687" t="s">
        <v>5898</v>
      </c>
    </row>
    <row r="5688" spans="1:67" x14ac:dyDescent="0.3">
      <c r="A5688" s="160">
        <v>51449</v>
      </c>
      <c r="B5688" t="s">
        <v>20872</v>
      </c>
      <c r="C5688" t="s">
        <v>5866</v>
      </c>
      <c r="D5688">
        <v>2</v>
      </c>
      <c r="E5688">
        <v>0</v>
      </c>
      <c r="F5688">
        <f t="shared" si="88"/>
        <v>2</v>
      </c>
      <c r="I5688">
        <v>20240101</v>
      </c>
      <c r="J5688" t="s">
        <v>5875</v>
      </c>
    </row>
    <row r="5689" spans="1:67" x14ac:dyDescent="0.3">
      <c r="A5689" s="160">
        <v>51450</v>
      </c>
      <c r="B5689" t="s">
        <v>20873</v>
      </c>
      <c r="C5689" t="s">
        <v>5866</v>
      </c>
      <c r="D5689">
        <v>2</v>
      </c>
      <c r="E5689">
        <v>0</v>
      </c>
      <c r="F5689">
        <f t="shared" si="88"/>
        <v>2</v>
      </c>
      <c r="I5689">
        <v>20240101</v>
      </c>
      <c r="J5689" t="s">
        <v>5928</v>
      </c>
    </row>
    <row r="5690" spans="1:67" x14ac:dyDescent="0.3">
      <c r="A5690" s="160">
        <v>51453</v>
      </c>
      <c r="B5690" t="s">
        <v>20874</v>
      </c>
      <c r="C5690" t="s">
        <v>5862</v>
      </c>
      <c r="D5690">
        <v>0.6</v>
      </c>
      <c r="E5690">
        <v>0</v>
      </c>
      <c r="F5690">
        <f t="shared" si="88"/>
        <v>0.6</v>
      </c>
      <c r="I5690">
        <v>20040701</v>
      </c>
      <c r="J5690" t="s">
        <v>5967</v>
      </c>
    </row>
    <row r="5691" spans="1:67" x14ac:dyDescent="0.3">
      <c r="A5691" s="160">
        <v>51454</v>
      </c>
      <c r="B5691" t="s">
        <v>20875</v>
      </c>
      <c r="C5691" t="s">
        <v>5866</v>
      </c>
      <c r="D5691">
        <v>2</v>
      </c>
      <c r="E5691">
        <v>0</v>
      </c>
      <c r="F5691">
        <f t="shared" si="88"/>
        <v>2</v>
      </c>
      <c r="I5691">
        <v>20240101</v>
      </c>
      <c r="J5691" t="s">
        <v>5968</v>
      </c>
      <c r="K5691" t="s">
        <v>5929</v>
      </c>
      <c r="L5691" t="s">
        <v>5969</v>
      </c>
      <c r="M5691" t="s">
        <v>5970</v>
      </c>
      <c r="N5691" t="s">
        <v>5888</v>
      </c>
      <c r="O5691" t="s">
        <v>5971</v>
      </c>
      <c r="P5691" t="s">
        <v>5972</v>
      </c>
      <c r="Q5691" t="s">
        <v>5936</v>
      </c>
      <c r="R5691" t="s">
        <v>5973</v>
      </c>
      <c r="S5691" t="s">
        <v>5880</v>
      </c>
      <c r="T5691" t="s">
        <v>5974</v>
      </c>
      <c r="U5691" t="s">
        <v>5975</v>
      </c>
      <c r="V5691" t="s">
        <v>5976</v>
      </c>
      <c r="W5691" t="s">
        <v>5977</v>
      </c>
      <c r="X5691" t="s">
        <v>5978</v>
      </c>
      <c r="Y5691" t="s">
        <v>5979</v>
      </c>
      <c r="Z5691" t="s">
        <v>5980</v>
      </c>
      <c r="AA5691" t="s">
        <v>5981</v>
      </c>
      <c r="AB5691" t="s">
        <v>5982</v>
      </c>
      <c r="AC5691" t="s">
        <v>5983</v>
      </c>
      <c r="AD5691" t="s">
        <v>5984</v>
      </c>
      <c r="AE5691" t="s">
        <v>5985</v>
      </c>
      <c r="AF5691" t="s">
        <v>5889</v>
      </c>
      <c r="AG5691" t="s">
        <v>5986</v>
      </c>
      <c r="AH5691" t="s">
        <v>5987</v>
      </c>
      <c r="AI5691" t="s">
        <v>5988</v>
      </c>
      <c r="AJ5691" t="s">
        <v>5937</v>
      </c>
      <c r="AK5691" t="s">
        <v>5989</v>
      </c>
      <c r="AL5691" t="s">
        <v>5990</v>
      </c>
      <c r="AM5691" t="s">
        <v>5881</v>
      </c>
      <c r="AN5691" t="s">
        <v>5991</v>
      </c>
      <c r="AO5691" t="s">
        <v>5992</v>
      </c>
      <c r="AP5691" t="s">
        <v>5993</v>
      </c>
      <c r="AQ5691" t="s">
        <v>5994</v>
      </c>
      <c r="AR5691" t="s">
        <v>5995</v>
      </c>
      <c r="AS5691" t="s">
        <v>5996</v>
      </c>
      <c r="AT5691" t="s">
        <v>5997</v>
      </c>
      <c r="AU5691" t="s">
        <v>5998</v>
      </c>
      <c r="AV5691" t="s">
        <v>5882</v>
      </c>
      <c r="AW5691" t="s">
        <v>5999</v>
      </c>
      <c r="AX5691" t="s">
        <v>5966</v>
      </c>
      <c r="AY5691" t="s">
        <v>5894</v>
      </c>
      <c r="AZ5691" t="s">
        <v>5895</v>
      </c>
      <c r="BA5691" t="s">
        <v>6000</v>
      </c>
      <c r="BB5691" t="s">
        <v>6001</v>
      </c>
      <c r="BC5691" t="s">
        <v>5943</v>
      </c>
      <c r="BD5691" t="s">
        <v>6002</v>
      </c>
      <c r="BE5691" t="s">
        <v>6003</v>
      </c>
      <c r="BF5691" t="s">
        <v>6004</v>
      </c>
      <c r="BG5691" t="s">
        <v>5944</v>
      </c>
      <c r="BH5691" t="s">
        <v>6005</v>
      </c>
      <c r="BI5691" t="s">
        <v>6006</v>
      </c>
      <c r="BJ5691" t="s">
        <v>5945</v>
      </c>
      <c r="BK5691" t="s">
        <v>6007</v>
      </c>
      <c r="BL5691" t="s">
        <v>6008</v>
      </c>
      <c r="BM5691" t="s">
        <v>5884</v>
      </c>
      <c r="BN5691" t="s">
        <v>5885</v>
      </c>
      <c r="BO5691" t="s">
        <v>5886</v>
      </c>
    </row>
    <row r="5692" spans="1:67" x14ac:dyDescent="0.3">
      <c r="A5692" s="160">
        <v>51461</v>
      </c>
      <c r="B5692" t="s">
        <v>20876</v>
      </c>
      <c r="C5692" t="s">
        <v>5866</v>
      </c>
      <c r="D5692">
        <v>1.4</v>
      </c>
      <c r="E5692">
        <v>0</v>
      </c>
      <c r="F5692">
        <f t="shared" si="88"/>
        <v>1.4</v>
      </c>
      <c r="I5692" s="9">
        <v>20240701</v>
      </c>
      <c r="J5692" t="s">
        <v>5928</v>
      </c>
    </row>
    <row r="5693" spans="1:67" x14ac:dyDescent="0.3">
      <c r="A5693" s="160">
        <v>51464</v>
      </c>
      <c r="B5693" t="s">
        <v>20877</v>
      </c>
      <c r="C5693" t="s">
        <v>5866</v>
      </c>
      <c r="D5693">
        <v>1.4</v>
      </c>
      <c r="E5693">
        <v>0</v>
      </c>
      <c r="F5693">
        <f t="shared" si="88"/>
        <v>1.4</v>
      </c>
      <c r="I5693" s="9">
        <v>20240701</v>
      </c>
      <c r="J5693" t="s">
        <v>5898</v>
      </c>
    </row>
    <row r="5694" spans="1:67" x14ac:dyDescent="0.3">
      <c r="A5694" s="160">
        <v>51466</v>
      </c>
      <c r="B5694" t="s">
        <v>20878</v>
      </c>
      <c r="C5694" t="s">
        <v>5866</v>
      </c>
      <c r="D5694">
        <v>1.4</v>
      </c>
      <c r="E5694">
        <v>0</v>
      </c>
      <c r="F5694">
        <f t="shared" si="88"/>
        <v>1.4</v>
      </c>
      <c r="I5694" s="9">
        <v>20240701</v>
      </c>
      <c r="J5694" t="s">
        <v>5868</v>
      </c>
    </row>
    <row r="5695" spans="1:67" x14ac:dyDescent="0.3">
      <c r="A5695" s="160">
        <v>51468</v>
      </c>
      <c r="B5695" t="s">
        <v>20879</v>
      </c>
      <c r="C5695" t="s">
        <v>5866</v>
      </c>
      <c r="D5695">
        <v>1.4</v>
      </c>
      <c r="E5695">
        <v>0</v>
      </c>
      <c r="F5695">
        <f t="shared" si="88"/>
        <v>1.4</v>
      </c>
      <c r="I5695" s="9">
        <v>20240701</v>
      </c>
      <c r="J5695" t="s">
        <v>5897</v>
      </c>
    </row>
    <row r="5696" spans="1:67" x14ac:dyDescent="0.3">
      <c r="A5696" s="160">
        <v>51469</v>
      </c>
      <c r="B5696" t="s">
        <v>20880</v>
      </c>
      <c r="C5696" t="s">
        <v>5869</v>
      </c>
      <c r="D5696">
        <v>0.55000000000000004</v>
      </c>
      <c r="E5696">
        <v>0</v>
      </c>
      <c r="F5696">
        <f t="shared" si="88"/>
        <v>0.55000000000000004</v>
      </c>
      <c r="I5696">
        <v>20240101</v>
      </c>
      <c r="J5696" t="s">
        <v>5877</v>
      </c>
    </row>
    <row r="5697" spans="1:22" x14ac:dyDescent="0.3">
      <c r="A5697" s="160">
        <v>51471</v>
      </c>
      <c r="B5697" t="s">
        <v>20881</v>
      </c>
      <c r="C5697" t="s">
        <v>5866</v>
      </c>
      <c r="D5697">
        <v>1.4</v>
      </c>
      <c r="E5697">
        <v>0</v>
      </c>
      <c r="F5697">
        <f t="shared" si="88"/>
        <v>1.4</v>
      </c>
      <c r="I5697" s="9">
        <v>20240701</v>
      </c>
      <c r="J5697" t="s">
        <v>5928</v>
      </c>
    </row>
    <row r="5698" spans="1:22" x14ac:dyDescent="0.3">
      <c r="A5698" s="160">
        <v>51474</v>
      </c>
      <c r="B5698" t="s">
        <v>20882</v>
      </c>
      <c r="C5698" t="s">
        <v>5866</v>
      </c>
      <c r="D5698">
        <v>2</v>
      </c>
      <c r="E5698">
        <v>0</v>
      </c>
      <c r="F5698">
        <f t="shared" si="88"/>
        <v>2</v>
      </c>
      <c r="I5698">
        <v>20240101</v>
      </c>
      <c r="J5698" t="s">
        <v>5888</v>
      </c>
      <c r="K5698" t="s">
        <v>5936</v>
      </c>
      <c r="L5698" t="s">
        <v>5987</v>
      </c>
      <c r="M5698" t="s">
        <v>5930</v>
      </c>
      <c r="N5698" t="s">
        <v>5891</v>
      </c>
      <c r="O5698" t="s">
        <v>5894</v>
      </c>
      <c r="P5698" t="s">
        <v>6010</v>
      </c>
      <c r="Q5698" t="s">
        <v>5931</v>
      </c>
      <c r="R5698" t="s">
        <v>5932</v>
      </c>
    </row>
    <row r="5699" spans="1:22" x14ac:dyDescent="0.3">
      <c r="A5699" s="160">
        <v>51476</v>
      </c>
      <c r="B5699" t="s">
        <v>20883</v>
      </c>
      <c r="C5699" t="s">
        <v>5862</v>
      </c>
      <c r="D5699">
        <v>0.6</v>
      </c>
      <c r="E5699">
        <v>0</v>
      </c>
      <c r="F5699">
        <f t="shared" si="88"/>
        <v>0.6</v>
      </c>
      <c r="I5699" s="9">
        <v>20040701</v>
      </c>
      <c r="J5699" t="s">
        <v>5963</v>
      </c>
    </row>
    <row r="5700" spans="1:22" x14ac:dyDescent="0.3">
      <c r="A5700" s="160">
        <v>51477</v>
      </c>
      <c r="B5700" t="s">
        <v>20884</v>
      </c>
      <c r="C5700" t="s">
        <v>5866</v>
      </c>
      <c r="D5700">
        <v>1.4</v>
      </c>
      <c r="E5700">
        <v>0</v>
      </c>
      <c r="F5700">
        <f t="shared" si="88"/>
        <v>1.4</v>
      </c>
      <c r="I5700" s="9">
        <v>20240701</v>
      </c>
      <c r="J5700" t="s">
        <v>5871</v>
      </c>
    </row>
    <row r="5701" spans="1:22" x14ac:dyDescent="0.3">
      <c r="A5701" s="160">
        <v>51478</v>
      </c>
      <c r="B5701" t="s">
        <v>20885</v>
      </c>
      <c r="C5701" t="s">
        <v>27547</v>
      </c>
      <c r="D5701">
        <v>0.55000000000000004</v>
      </c>
      <c r="E5701">
        <v>0</v>
      </c>
      <c r="F5701">
        <f t="shared" si="88"/>
        <v>0.55000000000000004</v>
      </c>
      <c r="I5701">
        <v>20240101</v>
      </c>
      <c r="J5701" t="s">
        <v>6014</v>
      </c>
    </row>
    <row r="5702" spans="1:22" x14ac:dyDescent="0.3">
      <c r="A5702" s="160">
        <v>51479</v>
      </c>
      <c r="B5702" t="s">
        <v>20886</v>
      </c>
      <c r="C5702" t="s">
        <v>5866</v>
      </c>
      <c r="D5702">
        <v>1.4</v>
      </c>
      <c r="E5702">
        <v>0</v>
      </c>
      <c r="F5702">
        <f t="shared" si="88"/>
        <v>1.4</v>
      </c>
      <c r="I5702" s="9">
        <v>20240701</v>
      </c>
      <c r="J5702" t="s">
        <v>5897</v>
      </c>
    </row>
    <row r="5703" spans="1:22" x14ac:dyDescent="0.3">
      <c r="A5703" s="160">
        <v>51483</v>
      </c>
      <c r="B5703" t="s">
        <v>20887</v>
      </c>
      <c r="C5703" t="s">
        <v>5862</v>
      </c>
      <c r="D5703">
        <v>0.6</v>
      </c>
      <c r="E5703">
        <v>0</v>
      </c>
      <c r="F5703">
        <f t="shared" ref="F5703:F5766" si="89">D5703+E5703</f>
        <v>0.6</v>
      </c>
      <c r="I5703" s="9">
        <v>20040701</v>
      </c>
      <c r="J5703" t="s">
        <v>5908</v>
      </c>
      <c r="K5703" t="s">
        <v>5899</v>
      </c>
      <c r="L5703" t="s">
        <v>5934</v>
      </c>
      <c r="M5703" t="s">
        <v>6015</v>
      </c>
    </row>
    <row r="5704" spans="1:22" x14ac:dyDescent="0.3">
      <c r="A5704" s="160">
        <v>51484</v>
      </c>
      <c r="B5704" t="s">
        <v>18397</v>
      </c>
      <c r="C5704" t="s">
        <v>5866</v>
      </c>
      <c r="D5704">
        <v>1.4</v>
      </c>
      <c r="E5704">
        <v>0</v>
      </c>
      <c r="F5704">
        <f t="shared" si="89"/>
        <v>1.4</v>
      </c>
      <c r="I5704" s="9">
        <v>20240701</v>
      </c>
      <c r="J5704" t="s">
        <v>5868</v>
      </c>
    </row>
    <row r="5705" spans="1:22" x14ac:dyDescent="0.3">
      <c r="A5705" s="160">
        <v>51485</v>
      </c>
      <c r="B5705" t="s">
        <v>20888</v>
      </c>
      <c r="C5705" t="s">
        <v>5862</v>
      </c>
      <c r="D5705">
        <v>0.6</v>
      </c>
      <c r="E5705">
        <v>0</v>
      </c>
      <c r="F5705">
        <f t="shared" si="89"/>
        <v>0.6</v>
      </c>
      <c r="I5705">
        <v>20240101</v>
      </c>
      <c r="J5705" t="s">
        <v>5874</v>
      </c>
    </row>
    <row r="5706" spans="1:22" x14ac:dyDescent="0.3">
      <c r="A5706" s="160">
        <v>51487</v>
      </c>
      <c r="B5706" t="s">
        <v>20889</v>
      </c>
      <c r="C5706" t="s">
        <v>5866</v>
      </c>
      <c r="D5706">
        <v>1.4</v>
      </c>
      <c r="E5706">
        <v>0</v>
      </c>
      <c r="F5706">
        <f t="shared" si="89"/>
        <v>1.4</v>
      </c>
      <c r="I5706" s="9">
        <v>20240701</v>
      </c>
      <c r="J5706" t="s">
        <v>5876</v>
      </c>
    </row>
    <row r="5707" spans="1:22" x14ac:dyDescent="0.3">
      <c r="A5707" s="160">
        <v>51488</v>
      </c>
      <c r="B5707" t="s">
        <v>20890</v>
      </c>
      <c r="C5707" t="s">
        <v>5864</v>
      </c>
      <c r="D5707">
        <v>0.55000000000000004</v>
      </c>
      <c r="E5707">
        <v>0</v>
      </c>
      <c r="F5707">
        <f t="shared" si="89"/>
        <v>0.55000000000000004</v>
      </c>
      <c r="I5707">
        <v>20160101</v>
      </c>
      <c r="J5707" t="s">
        <v>5872</v>
      </c>
    </row>
    <row r="5708" spans="1:22" x14ac:dyDescent="0.3">
      <c r="A5708" s="160">
        <v>51493</v>
      </c>
      <c r="B5708" t="s">
        <v>20891</v>
      </c>
      <c r="C5708" t="s">
        <v>5866</v>
      </c>
      <c r="D5708">
        <v>2</v>
      </c>
      <c r="E5708">
        <v>0</v>
      </c>
      <c r="F5708">
        <f t="shared" si="89"/>
        <v>2</v>
      </c>
      <c r="I5708">
        <v>20240101</v>
      </c>
      <c r="J5708" t="s">
        <v>5928</v>
      </c>
    </row>
    <row r="5709" spans="1:22" x14ac:dyDescent="0.3">
      <c r="A5709" s="160">
        <v>51499</v>
      </c>
      <c r="B5709" t="s">
        <v>20892</v>
      </c>
      <c r="C5709" t="s">
        <v>5869</v>
      </c>
      <c r="D5709">
        <v>0.55000000000000004</v>
      </c>
      <c r="E5709">
        <v>0</v>
      </c>
      <c r="F5709">
        <f t="shared" si="89"/>
        <v>0.55000000000000004</v>
      </c>
      <c r="I5709">
        <v>20240101</v>
      </c>
      <c r="J5709" t="s">
        <v>5877</v>
      </c>
    </row>
    <row r="5710" spans="1:22" x14ac:dyDescent="0.3">
      <c r="A5710" s="160">
        <v>51503</v>
      </c>
      <c r="B5710" t="s">
        <v>20893</v>
      </c>
      <c r="C5710" t="s">
        <v>5866</v>
      </c>
      <c r="D5710">
        <v>1.4</v>
      </c>
      <c r="E5710">
        <v>0</v>
      </c>
      <c r="F5710">
        <f t="shared" si="89"/>
        <v>1.4</v>
      </c>
      <c r="I5710" s="9">
        <v>20240701</v>
      </c>
      <c r="J5710" t="s">
        <v>5876</v>
      </c>
    </row>
    <row r="5711" spans="1:22" x14ac:dyDescent="0.3">
      <c r="A5711" s="160">
        <v>51504</v>
      </c>
      <c r="B5711" t="s">
        <v>20894</v>
      </c>
      <c r="C5711" t="s">
        <v>5862</v>
      </c>
      <c r="D5711">
        <v>0.6</v>
      </c>
      <c r="E5711">
        <v>0</v>
      </c>
      <c r="F5711">
        <f t="shared" si="89"/>
        <v>0.6</v>
      </c>
      <c r="I5711" s="9">
        <v>20040701</v>
      </c>
      <c r="J5711" t="s">
        <v>5903</v>
      </c>
      <c r="K5711" t="s">
        <v>5904</v>
      </c>
      <c r="L5711" t="s">
        <v>5905</v>
      </c>
      <c r="M5711" t="s">
        <v>5906</v>
      </c>
      <c r="N5711" t="s">
        <v>5907</v>
      </c>
      <c r="O5711" t="s">
        <v>5908</v>
      </c>
      <c r="P5711" t="s">
        <v>5899</v>
      </c>
      <c r="Q5711" t="s">
        <v>5909</v>
      </c>
      <c r="R5711" t="s">
        <v>5910</v>
      </c>
      <c r="S5711" t="s">
        <v>5911</v>
      </c>
      <c r="T5711" t="s">
        <v>5916</v>
      </c>
      <c r="U5711" t="s">
        <v>5920</v>
      </c>
      <c r="V5711" t="s">
        <v>5967</v>
      </c>
    </row>
    <row r="5712" spans="1:22" x14ac:dyDescent="0.3">
      <c r="A5712" s="160">
        <v>51505</v>
      </c>
      <c r="B5712" t="s">
        <v>20895</v>
      </c>
      <c r="C5712" t="s">
        <v>5866</v>
      </c>
      <c r="D5712">
        <v>1.4</v>
      </c>
      <c r="E5712">
        <v>0</v>
      </c>
      <c r="F5712">
        <f t="shared" si="89"/>
        <v>1.4</v>
      </c>
      <c r="I5712" s="9">
        <v>20240701</v>
      </c>
      <c r="J5712" t="s">
        <v>5876</v>
      </c>
    </row>
    <row r="5713" spans="1:18" x14ac:dyDescent="0.3">
      <c r="A5713" s="160">
        <v>51506</v>
      </c>
      <c r="B5713" t="s">
        <v>20896</v>
      </c>
      <c r="C5713" t="s">
        <v>5862</v>
      </c>
      <c r="D5713">
        <v>0.6</v>
      </c>
      <c r="E5713">
        <v>0</v>
      </c>
      <c r="F5713">
        <f t="shared" si="89"/>
        <v>0.6</v>
      </c>
      <c r="I5713" s="9">
        <v>20040701</v>
      </c>
      <c r="J5713" t="s">
        <v>5904</v>
      </c>
      <c r="K5713" t="s">
        <v>5905</v>
      </c>
      <c r="L5713" t="s">
        <v>5906</v>
      </c>
      <c r="M5713" t="s">
        <v>5907</v>
      </c>
      <c r="N5713" t="s">
        <v>5899</v>
      </c>
      <c r="O5713" t="s">
        <v>5909</v>
      </c>
      <c r="P5713" t="s">
        <v>5910</v>
      </c>
      <c r="Q5713" t="s">
        <v>5911</v>
      </c>
      <c r="R5713" t="s">
        <v>5964</v>
      </c>
    </row>
    <row r="5714" spans="1:18" x14ac:dyDescent="0.3">
      <c r="A5714" s="160">
        <v>51509</v>
      </c>
      <c r="B5714" t="s">
        <v>20897</v>
      </c>
      <c r="C5714" t="s">
        <v>5862</v>
      </c>
      <c r="D5714">
        <v>0.6</v>
      </c>
      <c r="E5714">
        <v>0</v>
      </c>
      <c r="F5714">
        <f t="shared" si="89"/>
        <v>0.6</v>
      </c>
      <c r="I5714">
        <v>20240101</v>
      </c>
      <c r="J5714" t="s">
        <v>5934</v>
      </c>
    </row>
    <row r="5715" spans="1:18" x14ac:dyDescent="0.3">
      <c r="A5715" s="160">
        <v>51517</v>
      </c>
      <c r="B5715" t="s">
        <v>20898</v>
      </c>
      <c r="C5715" t="s">
        <v>5866</v>
      </c>
      <c r="D5715">
        <v>1.4</v>
      </c>
      <c r="E5715">
        <v>0</v>
      </c>
      <c r="F5715">
        <f t="shared" si="89"/>
        <v>1.4</v>
      </c>
      <c r="I5715" s="9">
        <v>20240701</v>
      </c>
      <c r="J5715" t="s">
        <v>5870</v>
      </c>
    </row>
    <row r="5716" spans="1:18" x14ac:dyDescent="0.3">
      <c r="A5716" s="160">
        <v>51518</v>
      </c>
      <c r="B5716" t="s">
        <v>20899</v>
      </c>
      <c r="C5716" t="s">
        <v>5866</v>
      </c>
      <c r="D5716">
        <v>1.4</v>
      </c>
      <c r="E5716">
        <v>0</v>
      </c>
      <c r="F5716">
        <f t="shared" si="89"/>
        <v>1.4</v>
      </c>
      <c r="I5716" s="9">
        <v>20240701</v>
      </c>
      <c r="J5716" t="s">
        <v>5878</v>
      </c>
    </row>
    <row r="5717" spans="1:18" x14ac:dyDescent="0.3">
      <c r="A5717" s="160">
        <v>51521</v>
      </c>
      <c r="B5717" t="s">
        <v>20900</v>
      </c>
      <c r="C5717" t="s">
        <v>27547</v>
      </c>
      <c r="D5717">
        <v>0.55000000000000004</v>
      </c>
      <c r="E5717">
        <v>0</v>
      </c>
      <c r="F5717">
        <f t="shared" si="89"/>
        <v>0.55000000000000004</v>
      </c>
      <c r="I5717">
        <v>20240101</v>
      </c>
      <c r="J5717" t="s">
        <v>6016</v>
      </c>
    </row>
    <row r="5718" spans="1:18" x14ac:dyDescent="0.3">
      <c r="A5718" s="160">
        <v>51522</v>
      </c>
      <c r="B5718" t="s">
        <v>20901</v>
      </c>
      <c r="C5718" t="s">
        <v>27547</v>
      </c>
      <c r="D5718">
        <v>0.55000000000000004</v>
      </c>
      <c r="E5718">
        <v>0</v>
      </c>
      <c r="F5718">
        <f t="shared" si="89"/>
        <v>0.55000000000000004</v>
      </c>
      <c r="I5718">
        <v>20240101</v>
      </c>
      <c r="J5718" t="s">
        <v>6014</v>
      </c>
    </row>
    <row r="5719" spans="1:18" x14ac:dyDescent="0.3">
      <c r="A5719" s="160">
        <v>51523</v>
      </c>
      <c r="B5719" t="s">
        <v>20902</v>
      </c>
      <c r="C5719" t="s">
        <v>5866</v>
      </c>
      <c r="D5719">
        <v>1.4</v>
      </c>
      <c r="E5719">
        <v>0</v>
      </c>
      <c r="F5719">
        <f t="shared" si="89"/>
        <v>1.4</v>
      </c>
      <c r="I5719" s="9">
        <v>20240701</v>
      </c>
      <c r="J5719" t="s">
        <v>5868</v>
      </c>
    </row>
    <row r="5720" spans="1:18" x14ac:dyDescent="0.3">
      <c r="A5720" s="160">
        <v>51525</v>
      </c>
      <c r="B5720" t="s">
        <v>20903</v>
      </c>
      <c r="C5720" t="s">
        <v>5862</v>
      </c>
      <c r="D5720">
        <v>0.6</v>
      </c>
      <c r="E5720">
        <v>0</v>
      </c>
      <c r="F5720">
        <f t="shared" si="89"/>
        <v>0.6</v>
      </c>
      <c r="I5720">
        <v>20240101</v>
      </c>
      <c r="J5720" t="s">
        <v>5967</v>
      </c>
    </row>
    <row r="5721" spans="1:18" x14ac:dyDescent="0.3">
      <c r="A5721" s="160">
        <v>51527</v>
      </c>
      <c r="B5721" t="s">
        <v>20904</v>
      </c>
      <c r="C5721" t="s">
        <v>5866</v>
      </c>
      <c r="D5721">
        <v>1.4</v>
      </c>
      <c r="E5721">
        <v>0</v>
      </c>
      <c r="F5721">
        <f t="shared" si="89"/>
        <v>1.4</v>
      </c>
      <c r="I5721" s="9">
        <v>20240701</v>
      </c>
      <c r="J5721" t="s">
        <v>5868</v>
      </c>
    </row>
    <row r="5722" spans="1:18" x14ac:dyDescent="0.3">
      <c r="A5722" s="160">
        <v>51529</v>
      </c>
      <c r="B5722" t="s">
        <v>20905</v>
      </c>
      <c r="C5722" t="s">
        <v>5866</v>
      </c>
      <c r="D5722">
        <v>1.4</v>
      </c>
      <c r="E5722">
        <v>0</v>
      </c>
      <c r="F5722">
        <f t="shared" si="89"/>
        <v>1.4</v>
      </c>
      <c r="I5722" s="9">
        <v>20240701</v>
      </c>
      <c r="J5722" t="s">
        <v>5876</v>
      </c>
    </row>
    <row r="5723" spans="1:18" x14ac:dyDescent="0.3">
      <c r="A5723" s="160">
        <v>51530</v>
      </c>
      <c r="B5723" t="s">
        <v>20906</v>
      </c>
      <c r="C5723" t="s">
        <v>5866</v>
      </c>
      <c r="D5723">
        <v>1.4</v>
      </c>
      <c r="E5723">
        <v>0</v>
      </c>
      <c r="F5723">
        <f t="shared" si="89"/>
        <v>1.4</v>
      </c>
      <c r="I5723" s="9">
        <v>20240701</v>
      </c>
      <c r="J5723" t="s">
        <v>5874</v>
      </c>
    </row>
    <row r="5724" spans="1:18" x14ac:dyDescent="0.3">
      <c r="A5724" s="160">
        <v>51532</v>
      </c>
      <c r="B5724" t="s">
        <v>20907</v>
      </c>
      <c r="C5724" t="s">
        <v>5866</v>
      </c>
      <c r="D5724">
        <v>1.4</v>
      </c>
      <c r="E5724">
        <v>0</v>
      </c>
      <c r="F5724">
        <f t="shared" si="89"/>
        <v>1.4</v>
      </c>
      <c r="I5724" s="9">
        <v>20240701</v>
      </c>
      <c r="J5724" t="s">
        <v>5928</v>
      </c>
    </row>
    <row r="5725" spans="1:18" x14ac:dyDescent="0.3">
      <c r="A5725" s="160">
        <v>51534</v>
      </c>
      <c r="B5725" t="s">
        <v>20908</v>
      </c>
      <c r="C5725" t="s">
        <v>5866</v>
      </c>
      <c r="D5725">
        <v>1.4</v>
      </c>
      <c r="E5725">
        <v>0</v>
      </c>
      <c r="F5725">
        <f t="shared" si="89"/>
        <v>1.4</v>
      </c>
      <c r="I5725" s="9">
        <v>20240701</v>
      </c>
      <c r="J5725" t="s">
        <v>5868</v>
      </c>
    </row>
    <row r="5726" spans="1:18" x14ac:dyDescent="0.3">
      <c r="A5726" s="160">
        <v>51536</v>
      </c>
      <c r="B5726" t="s">
        <v>20909</v>
      </c>
      <c r="C5726" t="s">
        <v>5866</v>
      </c>
      <c r="D5726">
        <v>2</v>
      </c>
      <c r="E5726">
        <v>0</v>
      </c>
      <c r="F5726">
        <f t="shared" si="89"/>
        <v>2</v>
      </c>
      <c r="I5726">
        <v>20240101</v>
      </c>
      <c r="J5726" t="s">
        <v>5928</v>
      </c>
    </row>
    <row r="5727" spans="1:18" x14ac:dyDescent="0.3">
      <c r="A5727" s="160">
        <v>51545</v>
      </c>
      <c r="B5727" t="s">
        <v>20910</v>
      </c>
      <c r="C5727" t="s">
        <v>5862</v>
      </c>
      <c r="D5727">
        <v>0.6</v>
      </c>
      <c r="E5727">
        <v>0</v>
      </c>
      <c r="F5727">
        <f t="shared" si="89"/>
        <v>0.6</v>
      </c>
      <c r="I5727">
        <v>20240101</v>
      </c>
      <c r="J5727" t="s">
        <v>5901</v>
      </c>
    </row>
    <row r="5728" spans="1:18" x14ac:dyDescent="0.3">
      <c r="A5728" s="160">
        <v>51555</v>
      </c>
      <c r="B5728" t="s">
        <v>20911</v>
      </c>
      <c r="C5728" t="s">
        <v>5862</v>
      </c>
      <c r="D5728">
        <v>0.6</v>
      </c>
      <c r="E5728">
        <v>0</v>
      </c>
      <c r="F5728">
        <f t="shared" si="89"/>
        <v>0.6</v>
      </c>
      <c r="I5728">
        <v>20240101</v>
      </c>
      <c r="J5728" t="s">
        <v>5901</v>
      </c>
    </row>
    <row r="5729" spans="1:17" x14ac:dyDescent="0.3">
      <c r="A5729" s="160">
        <v>51556</v>
      </c>
      <c r="B5729" t="s">
        <v>20912</v>
      </c>
      <c r="C5729" t="s">
        <v>5862</v>
      </c>
      <c r="D5729">
        <v>0.6</v>
      </c>
      <c r="E5729">
        <v>0</v>
      </c>
      <c r="F5729">
        <f t="shared" si="89"/>
        <v>0.6</v>
      </c>
      <c r="I5729">
        <v>20240101</v>
      </c>
      <c r="J5729" t="s">
        <v>5901</v>
      </c>
    </row>
    <row r="5730" spans="1:17" x14ac:dyDescent="0.3">
      <c r="A5730" s="160">
        <v>51558</v>
      </c>
      <c r="B5730" t="s">
        <v>20913</v>
      </c>
      <c r="C5730" t="s">
        <v>5869</v>
      </c>
      <c r="D5730">
        <v>0.55000000000000004</v>
      </c>
      <c r="E5730">
        <v>0</v>
      </c>
      <c r="F5730">
        <f t="shared" si="89"/>
        <v>0.55000000000000004</v>
      </c>
      <c r="I5730">
        <v>20240101</v>
      </c>
      <c r="J5730" t="s">
        <v>5877</v>
      </c>
    </row>
    <row r="5731" spans="1:17" x14ac:dyDescent="0.3">
      <c r="A5731" s="160">
        <v>51562</v>
      </c>
      <c r="B5731" t="s">
        <v>20914</v>
      </c>
      <c r="C5731" t="s">
        <v>5866</v>
      </c>
      <c r="D5731">
        <v>2</v>
      </c>
      <c r="E5731">
        <v>0</v>
      </c>
      <c r="F5731">
        <f t="shared" si="89"/>
        <v>2</v>
      </c>
      <c r="I5731">
        <v>20240101</v>
      </c>
      <c r="J5731" t="s">
        <v>5969</v>
      </c>
      <c r="K5731" t="s">
        <v>5881</v>
      </c>
      <c r="L5731" t="s">
        <v>5928</v>
      </c>
      <c r="M5731" t="s">
        <v>5943</v>
      </c>
      <c r="N5731" t="s">
        <v>6006</v>
      </c>
    </row>
    <row r="5732" spans="1:17" x14ac:dyDescent="0.3">
      <c r="A5732" s="160">
        <v>51564</v>
      </c>
      <c r="B5732" t="s">
        <v>20915</v>
      </c>
      <c r="C5732" t="s">
        <v>5864</v>
      </c>
      <c r="D5732">
        <v>0.55000000000000004</v>
      </c>
      <c r="E5732">
        <v>0</v>
      </c>
      <c r="F5732">
        <f t="shared" si="89"/>
        <v>0.55000000000000004</v>
      </c>
      <c r="I5732">
        <v>20160101</v>
      </c>
      <c r="J5732" t="s">
        <v>5863</v>
      </c>
    </row>
    <row r="5733" spans="1:17" x14ac:dyDescent="0.3">
      <c r="A5733" s="160">
        <v>51566</v>
      </c>
      <c r="B5733" t="s">
        <v>20916</v>
      </c>
      <c r="C5733" t="s">
        <v>5862</v>
      </c>
      <c r="D5733">
        <v>0.6</v>
      </c>
      <c r="E5733">
        <v>0</v>
      </c>
      <c r="F5733">
        <f t="shared" si="89"/>
        <v>0.6</v>
      </c>
      <c r="I5733">
        <v>20240101</v>
      </c>
      <c r="J5733" t="s">
        <v>5934</v>
      </c>
    </row>
    <row r="5734" spans="1:17" x14ac:dyDescent="0.3">
      <c r="A5734" s="160">
        <v>51568</v>
      </c>
      <c r="B5734" t="s">
        <v>15283</v>
      </c>
      <c r="C5734" t="s">
        <v>5866</v>
      </c>
      <c r="D5734">
        <v>1.4</v>
      </c>
      <c r="E5734">
        <v>0</v>
      </c>
      <c r="F5734">
        <f t="shared" si="89"/>
        <v>1.4</v>
      </c>
      <c r="I5734" s="9">
        <v>20240701</v>
      </c>
      <c r="J5734" t="s">
        <v>5878</v>
      </c>
    </row>
    <row r="5735" spans="1:17" x14ac:dyDescent="0.3">
      <c r="A5735" s="160">
        <v>51569</v>
      </c>
      <c r="B5735" t="s">
        <v>20917</v>
      </c>
      <c r="C5735" t="s">
        <v>5866</v>
      </c>
      <c r="D5735">
        <v>1.57</v>
      </c>
      <c r="E5735">
        <v>0</v>
      </c>
      <c r="F5735">
        <f t="shared" si="89"/>
        <v>1.57</v>
      </c>
      <c r="I5735" s="9">
        <v>20240701</v>
      </c>
      <c r="J5735" t="s">
        <v>5930</v>
      </c>
      <c r="K5735" t="s">
        <v>5891</v>
      </c>
      <c r="L5735" t="s">
        <v>6017</v>
      </c>
      <c r="M5735" t="s">
        <v>5896</v>
      </c>
      <c r="N5735" t="s">
        <v>5931</v>
      </c>
      <c r="O5735" t="s">
        <v>5932</v>
      </c>
    </row>
    <row r="5736" spans="1:17" x14ac:dyDescent="0.3">
      <c r="A5736" s="160">
        <v>51571</v>
      </c>
      <c r="B5736" t="s">
        <v>20918</v>
      </c>
      <c r="C5736" t="s">
        <v>5866</v>
      </c>
      <c r="D5736">
        <v>1.4</v>
      </c>
      <c r="E5736">
        <v>0</v>
      </c>
      <c r="F5736">
        <f t="shared" si="89"/>
        <v>1.4</v>
      </c>
      <c r="I5736" s="9">
        <v>20240701</v>
      </c>
      <c r="J5736" t="s">
        <v>5875</v>
      </c>
    </row>
    <row r="5737" spans="1:17" x14ac:dyDescent="0.3">
      <c r="A5737" s="160">
        <v>51573</v>
      </c>
      <c r="B5737" t="s">
        <v>20919</v>
      </c>
      <c r="C5737" t="s">
        <v>5866</v>
      </c>
      <c r="D5737">
        <v>2</v>
      </c>
      <c r="E5737">
        <v>0</v>
      </c>
      <c r="F5737">
        <f t="shared" si="89"/>
        <v>2</v>
      </c>
      <c r="I5737">
        <v>20240101</v>
      </c>
      <c r="J5737" t="s">
        <v>5890</v>
      </c>
      <c r="K5737" t="s">
        <v>5891</v>
      </c>
      <c r="L5737" t="s">
        <v>6017</v>
      </c>
      <c r="M5737" t="s">
        <v>5966</v>
      </c>
      <c r="N5737" t="s">
        <v>5892</v>
      </c>
      <c r="O5737" t="s">
        <v>5893</v>
      </c>
      <c r="P5737" t="s">
        <v>6007</v>
      </c>
      <c r="Q5737" t="s">
        <v>5886</v>
      </c>
    </row>
    <row r="5738" spans="1:17" x14ac:dyDescent="0.3">
      <c r="A5738" s="160">
        <v>51576</v>
      </c>
      <c r="B5738" t="s">
        <v>20920</v>
      </c>
      <c r="C5738" t="s">
        <v>5864</v>
      </c>
      <c r="D5738">
        <v>0.55000000000000004</v>
      </c>
      <c r="E5738">
        <v>0</v>
      </c>
      <c r="F5738">
        <f t="shared" si="89"/>
        <v>0.55000000000000004</v>
      </c>
      <c r="I5738">
        <v>20160101</v>
      </c>
      <c r="J5738" t="s">
        <v>5863</v>
      </c>
    </row>
    <row r="5739" spans="1:17" x14ac:dyDescent="0.3">
      <c r="A5739" s="160">
        <v>51577</v>
      </c>
      <c r="B5739" t="s">
        <v>20921</v>
      </c>
      <c r="C5739" t="s">
        <v>5866</v>
      </c>
      <c r="D5739">
        <v>1.4</v>
      </c>
      <c r="E5739">
        <v>0</v>
      </c>
      <c r="F5739">
        <f t="shared" si="89"/>
        <v>1.4</v>
      </c>
      <c r="I5739" s="9">
        <v>20240701</v>
      </c>
      <c r="J5739" t="s">
        <v>5868</v>
      </c>
    </row>
    <row r="5740" spans="1:17" x14ac:dyDescent="0.3">
      <c r="A5740" s="160">
        <v>51578</v>
      </c>
      <c r="B5740" t="s">
        <v>20922</v>
      </c>
      <c r="C5740" t="s">
        <v>5869</v>
      </c>
      <c r="D5740">
        <v>0.55000000000000004</v>
      </c>
      <c r="E5740">
        <v>0</v>
      </c>
      <c r="F5740">
        <f t="shared" si="89"/>
        <v>0.55000000000000004</v>
      </c>
      <c r="I5740">
        <v>20240101</v>
      </c>
      <c r="J5740" t="s">
        <v>5877</v>
      </c>
    </row>
    <row r="5741" spans="1:17" x14ac:dyDescent="0.3">
      <c r="A5741" s="160">
        <v>51580</v>
      </c>
      <c r="B5741" t="s">
        <v>20923</v>
      </c>
      <c r="C5741" t="s">
        <v>5866</v>
      </c>
      <c r="D5741">
        <v>1.4</v>
      </c>
      <c r="E5741">
        <v>0</v>
      </c>
      <c r="F5741">
        <f t="shared" si="89"/>
        <v>1.4</v>
      </c>
      <c r="I5741" s="9">
        <v>20240701</v>
      </c>
      <c r="J5741" t="s">
        <v>6018</v>
      </c>
    </row>
    <row r="5742" spans="1:17" x14ac:dyDescent="0.3">
      <c r="A5742" s="160">
        <v>51581</v>
      </c>
      <c r="B5742" t="s">
        <v>20924</v>
      </c>
      <c r="C5742" t="s">
        <v>5866</v>
      </c>
      <c r="D5742">
        <v>1.4</v>
      </c>
      <c r="E5742">
        <v>0</v>
      </c>
      <c r="F5742">
        <f t="shared" si="89"/>
        <v>1.4</v>
      </c>
      <c r="I5742" s="9">
        <v>20240701</v>
      </c>
      <c r="J5742" t="s">
        <v>5898</v>
      </c>
    </row>
    <row r="5743" spans="1:17" x14ac:dyDescent="0.3">
      <c r="A5743" s="160">
        <v>51582</v>
      </c>
      <c r="B5743" t="s">
        <v>20925</v>
      </c>
      <c r="C5743" t="s">
        <v>5866</v>
      </c>
      <c r="D5743">
        <v>1.4</v>
      </c>
      <c r="E5743">
        <v>0</v>
      </c>
      <c r="F5743">
        <f t="shared" si="89"/>
        <v>1.4</v>
      </c>
      <c r="I5743" s="9">
        <v>20240701</v>
      </c>
      <c r="J5743" t="s">
        <v>5881</v>
      </c>
      <c r="K5743" t="s">
        <v>5898</v>
      </c>
    </row>
    <row r="5744" spans="1:17" x14ac:dyDescent="0.3">
      <c r="A5744" s="160">
        <v>51583</v>
      </c>
      <c r="B5744" t="s">
        <v>20926</v>
      </c>
      <c r="C5744" t="s">
        <v>27547</v>
      </c>
      <c r="D5744">
        <v>0.55000000000000004</v>
      </c>
      <c r="E5744">
        <v>0</v>
      </c>
      <c r="F5744">
        <f t="shared" si="89"/>
        <v>0.55000000000000004</v>
      </c>
      <c r="I5744">
        <v>20240101</v>
      </c>
      <c r="J5744" t="s">
        <v>6016</v>
      </c>
    </row>
    <row r="5745" spans="1:13" x14ac:dyDescent="0.3">
      <c r="A5745" s="160">
        <v>51584</v>
      </c>
      <c r="B5745" t="s">
        <v>20927</v>
      </c>
      <c r="C5745" t="s">
        <v>5866</v>
      </c>
      <c r="D5745">
        <v>2</v>
      </c>
      <c r="E5745">
        <v>0</v>
      </c>
      <c r="F5745">
        <f t="shared" si="89"/>
        <v>2</v>
      </c>
      <c r="I5745">
        <v>20240101</v>
      </c>
      <c r="J5745" t="s">
        <v>5928</v>
      </c>
    </row>
    <row r="5746" spans="1:13" x14ac:dyDescent="0.3">
      <c r="A5746" s="160">
        <v>51586</v>
      </c>
      <c r="B5746" t="s">
        <v>20928</v>
      </c>
      <c r="C5746" t="s">
        <v>5866</v>
      </c>
      <c r="D5746">
        <v>1.4</v>
      </c>
      <c r="E5746">
        <v>0</v>
      </c>
      <c r="F5746">
        <f t="shared" si="89"/>
        <v>1.4</v>
      </c>
      <c r="I5746" s="9">
        <v>20240701</v>
      </c>
      <c r="J5746" t="s">
        <v>5868</v>
      </c>
    </row>
    <row r="5747" spans="1:13" x14ac:dyDescent="0.3">
      <c r="A5747" s="160">
        <v>51587</v>
      </c>
      <c r="B5747" t="s">
        <v>20929</v>
      </c>
      <c r="C5747" t="s">
        <v>5862</v>
      </c>
      <c r="D5747">
        <v>0.6</v>
      </c>
      <c r="E5747">
        <v>0</v>
      </c>
      <c r="F5747">
        <f t="shared" si="89"/>
        <v>0.6</v>
      </c>
      <c r="I5747">
        <v>20240101</v>
      </c>
      <c r="J5747" t="s">
        <v>5874</v>
      </c>
    </row>
    <row r="5748" spans="1:13" x14ac:dyDescent="0.3">
      <c r="A5748" s="160">
        <v>51591</v>
      </c>
      <c r="B5748" t="s">
        <v>20930</v>
      </c>
      <c r="C5748" t="s">
        <v>5866</v>
      </c>
      <c r="D5748">
        <v>1.4</v>
      </c>
      <c r="E5748">
        <v>0</v>
      </c>
      <c r="F5748">
        <f t="shared" si="89"/>
        <v>1.4</v>
      </c>
      <c r="I5748" s="9">
        <v>20240701</v>
      </c>
      <c r="J5748" t="s">
        <v>5898</v>
      </c>
    </row>
    <row r="5749" spans="1:13" x14ac:dyDescent="0.3">
      <c r="A5749" s="160">
        <v>51594</v>
      </c>
      <c r="B5749" t="s">
        <v>20931</v>
      </c>
      <c r="C5749" t="s">
        <v>5862</v>
      </c>
      <c r="D5749">
        <v>0.6</v>
      </c>
      <c r="E5749">
        <v>0</v>
      </c>
      <c r="F5749">
        <f t="shared" si="89"/>
        <v>0.6</v>
      </c>
      <c r="I5749">
        <v>20240101</v>
      </c>
      <c r="J5749" t="s">
        <v>5901</v>
      </c>
    </row>
    <row r="5750" spans="1:13" x14ac:dyDescent="0.3">
      <c r="A5750" s="160">
        <v>51595</v>
      </c>
      <c r="B5750" t="s">
        <v>20932</v>
      </c>
      <c r="C5750" t="s">
        <v>5862</v>
      </c>
      <c r="D5750">
        <v>0.6</v>
      </c>
      <c r="E5750">
        <v>0</v>
      </c>
      <c r="F5750">
        <f t="shared" si="89"/>
        <v>0.6</v>
      </c>
      <c r="I5750">
        <v>20240101</v>
      </c>
      <c r="J5750" t="s">
        <v>5901</v>
      </c>
      <c r="K5750" t="s">
        <v>5925</v>
      </c>
    </row>
    <row r="5751" spans="1:13" x14ac:dyDescent="0.3">
      <c r="A5751" s="160">
        <v>51599</v>
      </c>
      <c r="B5751" t="s">
        <v>20933</v>
      </c>
      <c r="C5751" t="s">
        <v>5866</v>
      </c>
      <c r="D5751">
        <v>1.4</v>
      </c>
      <c r="E5751">
        <v>0</v>
      </c>
      <c r="F5751">
        <f t="shared" si="89"/>
        <v>1.4</v>
      </c>
      <c r="I5751" s="9">
        <v>20240701</v>
      </c>
      <c r="J5751" t="s">
        <v>6018</v>
      </c>
    </row>
    <row r="5752" spans="1:13" x14ac:dyDescent="0.3">
      <c r="A5752" s="160">
        <v>51600</v>
      </c>
      <c r="B5752" t="s">
        <v>20934</v>
      </c>
      <c r="C5752" t="s">
        <v>5866</v>
      </c>
      <c r="D5752">
        <v>1.4</v>
      </c>
      <c r="E5752">
        <v>0</v>
      </c>
      <c r="F5752">
        <f t="shared" si="89"/>
        <v>1.4</v>
      </c>
      <c r="I5752" s="9">
        <v>20240701</v>
      </c>
      <c r="J5752" t="s">
        <v>5870</v>
      </c>
    </row>
    <row r="5753" spans="1:13" x14ac:dyDescent="0.3">
      <c r="A5753" s="160">
        <v>51603</v>
      </c>
      <c r="B5753" t="s">
        <v>20935</v>
      </c>
      <c r="C5753" t="s">
        <v>5869</v>
      </c>
      <c r="D5753">
        <v>0.55000000000000004</v>
      </c>
      <c r="E5753">
        <v>0</v>
      </c>
      <c r="F5753">
        <f t="shared" si="89"/>
        <v>0.55000000000000004</v>
      </c>
      <c r="I5753">
        <v>20240101</v>
      </c>
      <c r="J5753" t="s">
        <v>5877</v>
      </c>
    </row>
    <row r="5754" spans="1:13" x14ac:dyDescent="0.3">
      <c r="A5754" s="160">
        <v>51604</v>
      </c>
      <c r="B5754" t="s">
        <v>20936</v>
      </c>
      <c r="C5754" t="s">
        <v>5866</v>
      </c>
      <c r="D5754">
        <v>1.4</v>
      </c>
      <c r="E5754">
        <v>0</v>
      </c>
      <c r="F5754">
        <f t="shared" si="89"/>
        <v>1.4</v>
      </c>
      <c r="I5754" s="9">
        <v>20240701</v>
      </c>
      <c r="J5754" t="s">
        <v>5898</v>
      </c>
    </row>
    <row r="5755" spans="1:13" x14ac:dyDescent="0.3">
      <c r="A5755" s="160">
        <v>51611</v>
      </c>
      <c r="B5755" t="s">
        <v>20937</v>
      </c>
      <c r="C5755" t="s">
        <v>5869</v>
      </c>
      <c r="D5755">
        <v>0.55000000000000004</v>
      </c>
      <c r="E5755">
        <v>0</v>
      </c>
      <c r="F5755">
        <f t="shared" si="89"/>
        <v>0.55000000000000004</v>
      </c>
      <c r="I5755">
        <v>20240101</v>
      </c>
      <c r="J5755" t="s">
        <v>5877</v>
      </c>
    </row>
    <row r="5756" spans="1:13" x14ac:dyDescent="0.3">
      <c r="A5756" s="160">
        <v>51612</v>
      </c>
      <c r="B5756" t="s">
        <v>20938</v>
      </c>
      <c r="C5756" t="s">
        <v>5869</v>
      </c>
      <c r="D5756">
        <v>0.55000000000000004</v>
      </c>
      <c r="E5756">
        <v>0</v>
      </c>
      <c r="F5756">
        <f t="shared" si="89"/>
        <v>0.55000000000000004</v>
      </c>
      <c r="I5756">
        <v>20240101</v>
      </c>
      <c r="J5756" t="s">
        <v>5877</v>
      </c>
      <c r="K5756" t="s">
        <v>5873</v>
      </c>
    </row>
    <row r="5757" spans="1:13" x14ac:dyDescent="0.3">
      <c r="A5757" s="160">
        <v>51613</v>
      </c>
      <c r="B5757" t="s">
        <v>20939</v>
      </c>
      <c r="C5757" t="s">
        <v>5866</v>
      </c>
      <c r="D5757">
        <v>1.4</v>
      </c>
      <c r="E5757">
        <v>0</v>
      </c>
      <c r="F5757">
        <f t="shared" si="89"/>
        <v>1.4</v>
      </c>
      <c r="I5757" s="9">
        <v>20240701</v>
      </c>
      <c r="J5757" t="s">
        <v>5881</v>
      </c>
      <c r="K5757" t="s">
        <v>5875</v>
      </c>
    </row>
    <row r="5758" spans="1:13" x14ac:dyDescent="0.3">
      <c r="A5758" s="160">
        <v>51614</v>
      </c>
      <c r="B5758" t="s">
        <v>20940</v>
      </c>
      <c r="C5758" t="s">
        <v>5866</v>
      </c>
      <c r="D5758">
        <v>1.4</v>
      </c>
      <c r="E5758">
        <v>0</v>
      </c>
      <c r="F5758">
        <f t="shared" si="89"/>
        <v>1.4</v>
      </c>
      <c r="I5758" s="9">
        <v>20240701</v>
      </c>
      <c r="J5758" t="s">
        <v>5881</v>
      </c>
      <c r="K5758" t="s">
        <v>6018</v>
      </c>
    </row>
    <row r="5759" spans="1:13" x14ac:dyDescent="0.3">
      <c r="A5759" s="160">
        <v>51617</v>
      </c>
      <c r="B5759" t="s">
        <v>20941</v>
      </c>
      <c r="C5759" t="s">
        <v>5862</v>
      </c>
      <c r="D5759">
        <v>0.6</v>
      </c>
      <c r="E5759">
        <v>0</v>
      </c>
      <c r="F5759">
        <f t="shared" si="89"/>
        <v>0.6</v>
      </c>
      <c r="I5759">
        <v>20110101</v>
      </c>
      <c r="J5759" t="s">
        <v>5906</v>
      </c>
      <c r="K5759" t="s">
        <v>5899</v>
      </c>
      <c r="L5759" t="s">
        <v>5915</v>
      </c>
      <c r="M5759" t="s">
        <v>5967</v>
      </c>
    </row>
    <row r="5760" spans="1:13" x14ac:dyDescent="0.3">
      <c r="A5760" s="160">
        <v>51622</v>
      </c>
      <c r="B5760" t="s">
        <v>20942</v>
      </c>
      <c r="C5760" t="s">
        <v>5866</v>
      </c>
      <c r="D5760">
        <v>1.4</v>
      </c>
      <c r="E5760">
        <v>0</v>
      </c>
      <c r="F5760">
        <f t="shared" si="89"/>
        <v>1.4</v>
      </c>
      <c r="I5760" s="9">
        <v>20240701</v>
      </c>
      <c r="J5760" t="s">
        <v>5897</v>
      </c>
    </row>
    <row r="5761" spans="1:77" x14ac:dyDescent="0.3">
      <c r="A5761" s="160">
        <v>51623</v>
      </c>
      <c r="B5761" t="s">
        <v>20943</v>
      </c>
      <c r="C5761" t="s">
        <v>5866</v>
      </c>
      <c r="D5761">
        <v>1.4</v>
      </c>
      <c r="E5761">
        <v>0</v>
      </c>
      <c r="F5761">
        <f t="shared" si="89"/>
        <v>1.4</v>
      </c>
      <c r="I5761" s="9">
        <v>20240701</v>
      </c>
      <c r="J5761" t="s">
        <v>5928</v>
      </c>
    </row>
    <row r="5762" spans="1:77" x14ac:dyDescent="0.3">
      <c r="A5762" s="160">
        <v>51624</v>
      </c>
      <c r="B5762" t="s">
        <v>20944</v>
      </c>
      <c r="C5762" t="s">
        <v>5866</v>
      </c>
      <c r="D5762">
        <v>1.4</v>
      </c>
      <c r="E5762">
        <v>0</v>
      </c>
      <c r="F5762">
        <f t="shared" si="89"/>
        <v>1.4</v>
      </c>
      <c r="I5762" s="9">
        <v>20240701</v>
      </c>
      <c r="J5762" t="s">
        <v>5868</v>
      </c>
    </row>
    <row r="5763" spans="1:77" x14ac:dyDescent="0.3">
      <c r="A5763" s="160">
        <v>51627</v>
      </c>
      <c r="B5763" t="s">
        <v>20945</v>
      </c>
      <c r="C5763" t="s">
        <v>5869</v>
      </c>
      <c r="D5763">
        <v>0.55000000000000004</v>
      </c>
      <c r="E5763">
        <v>0</v>
      </c>
      <c r="F5763">
        <f t="shared" si="89"/>
        <v>0.55000000000000004</v>
      </c>
      <c r="I5763">
        <v>20240101</v>
      </c>
      <c r="J5763" t="s">
        <v>5877</v>
      </c>
    </row>
    <row r="5764" spans="1:77" x14ac:dyDescent="0.3">
      <c r="A5764" s="160">
        <v>51629</v>
      </c>
      <c r="B5764" t="s">
        <v>20946</v>
      </c>
      <c r="C5764" t="s">
        <v>5866</v>
      </c>
      <c r="D5764">
        <v>1.4</v>
      </c>
      <c r="E5764">
        <v>0</v>
      </c>
      <c r="F5764">
        <f t="shared" si="89"/>
        <v>1.4</v>
      </c>
      <c r="I5764" s="9">
        <v>20240701</v>
      </c>
      <c r="J5764" t="s">
        <v>5928</v>
      </c>
    </row>
    <row r="5765" spans="1:77" x14ac:dyDescent="0.3">
      <c r="A5765" s="160">
        <v>51630</v>
      </c>
      <c r="B5765" t="s">
        <v>20947</v>
      </c>
      <c r="C5765" t="s">
        <v>5869</v>
      </c>
      <c r="D5765">
        <v>0.55000000000000004</v>
      </c>
      <c r="E5765">
        <v>0</v>
      </c>
      <c r="F5765">
        <f t="shared" si="89"/>
        <v>0.55000000000000004</v>
      </c>
      <c r="I5765">
        <v>20240101</v>
      </c>
      <c r="J5765" t="s">
        <v>5877</v>
      </c>
      <c r="BP5765" t="s">
        <v>5935</v>
      </c>
      <c r="BQ5765" t="s">
        <v>6009</v>
      </c>
      <c r="BR5765" t="s">
        <v>5887</v>
      </c>
      <c r="BS5765" t="s">
        <v>5896</v>
      </c>
      <c r="BT5765" t="s">
        <v>6010</v>
      </c>
      <c r="BU5765" t="s">
        <v>6011</v>
      </c>
      <c r="BV5765" t="s">
        <v>5931</v>
      </c>
      <c r="BW5765" t="s">
        <v>6012</v>
      </c>
      <c r="BX5765" t="s">
        <v>5932</v>
      </c>
      <c r="BY5765" t="s">
        <v>6013</v>
      </c>
    </row>
    <row r="5766" spans="1:77" x14ac:dyDescent="0.3">
      <c r="A5766" s="160">
        <v>51631</v>
      </c>
      <c r="B5766" t="s">
        <v>20948</v>
      </c>
      <c r="C5766" t="s">
        <v>5866</v>
      </c>
      <c r="D5766">
        <v>2</v>
      </c>
      <c r="E5766">
        <v>0</v>
      </c>
      <c r="F5766">
        <f t="shared" si="89"/>
        <v>2</v>
      </c>
      <c r="I5766">
        <v>20240101</v>
      </c>
      <c r="J5766" t="s">
        <v>5928</v>
      </c>
    </row>
    <row r="5767" spans="1:77" x14ac:dyDescent="0.3">
      <c r="A5767" s="160">
        <v>51633</v>
      </c>
      <c r="B5767" t="s">
        <v>20949</v>
      </c>
      <c r="C5767" t="s">
        <v>5866</v>
      </c>
      <c r="D5767">
        <v>1.4</v>
      </c>
      <c r="E5767">
        <v>0</v>
      </c>
      <c r="F5767">
        <f t="shared" ref="F5767:F5830" si="90">D5767+E5767</f>
        <v>1.4</v>
      </c>
      <c r="I5767" s="9">
        <v>20240701</v>
      </c>
      <c r="J5767" t="s">
        <v>5878</v>
      </c>
    </row>
    <row r="5768" spans="1:77" x14ac:dyDescent="0.3">
      <c r="A5768" s="160">
        <v>51634</v>
      </c>
      <c r="B5768" t="s">
        <v>20950</v>
      </c>
      <c r="C5768" t="s">
        <v>5862</v>
      </c>
      <c r="D5768">
        <v>0.6</v>
      </c>
      <c r="E5768">
        <v>0</v>
      </c>
      <c r="F5768">
        <f t="shared" si="90"/>
        <v>0.6</v>
      </c>
      <c r="I5768">
        <v>20240101</v>
      </c>
      <c r="J5768" t="s">
        <v>5934</v>
      </c>
    </row>
    <row r="5769" spans="1:77" x14ac:dyDescent="0.3">
      <c r="A5769" s="160">
        <v>51636</v>
      </c>
      <c r="B5769" t="s">
        <v>20951</v>
      </c>
      <c r="C5769" t="s">
        <v>5866</v>
      </c>
      <c r="D5769">
        <v>1.4</v>
      </c>
      <c r="E5769">
        <v>0</v>
      </c>
      <c r="F5769">
        <f t="shared" si="90"/>
        <v>1.4</v>
      </c>
      <c r="I5769" s="9">
        <v>20240701</v>
      </c>
      <c r="J5769" t="s">
        <v>6018</v>
      </c>
    </row>
    <row r="5770" spans="1:77" x14ac:dyDescent="0.3">
      <c r="A5770" s="160">
        <v>51638</v>
      </c>
      <c r="B5770" t="s">
        <v>20952</v>
      </c>
      <c r="C5770" t="s">
        <v>5869</v>
      </c>
      <c r="D5770">
        <v>0.55000000000000004</v>
      </c>
      <c r="E5770">
        <v>0</v>
      </c>
      <c r="F5770">
        <f t="shared" si="90"/>
        <v>0.55000000000000004</v>
      </c>
      <c r="I5770">
        <v>20240101</v>
      </c>
      <c r="J5770" t="s">
        <v>5877</v>
      </c>
    </row>
    <row r="5771" spans="1:77" x14ac:dyDescent="0.3">
      <c r="A5771" s="160">
        <v>51643</v>
      </c>
      <c r="B5771" t="s">
        <v>20953</v>
      </c>
      <c r="C5771" t="s">
        <v>5869</v>
      </c>
      <c r="D5771">
        <v>0.55000000000000004</v>
      </c>
      <c r="E5771">
        <v>0</v>
      </c>
      <c r="F5771">
        <f t="shared" si="90"/>
        <v>0.55000000000000004</v>
      </c>
      <c r="I5771">
        <v>20110201</v>
      </c>
      <c r="J5771" t="s">
        <v>5900</v>
      </c>
    </row>
    <row r="5772" spans="1:77" x14ac:dyDescent="0.3">
      <c r="A5772" s="160">
        <v>51651</v>
      </c>
      <c r="B5772" t="s">
        <v>20954</v>
      </c>
      <c r="C5772" t="s">
        <v>5869</v>
      </c>
      <c r="D5772">
        <v>0.55000000000000004</v>
      </c>
      <c r="E5772">
        <v>0</v>
      </c>
      <c r="F5772">
        <f t="shared" si="90"/>
        <v>0.55000000000000004</v>
      </c>
      <c r="I5772">
        <v>20240101</v>
      </c>
      <c r="J5772" t="s">
        <v>5877</v>
      </c>
    </row>
    <row r="5773" spans="1:77" x14ac:dyDescent="0.3">
      <c r="A5773" s="160">
        <v>51654</v>
      </c>
      <c r="B5773" t="s">
        <v>20955</v>
      </c>
      <c r="C5773" t="s">
        <v>27547</v>
      </c>
      <c r="D5773">
        <v>0.55000000000000004</v>
      </c>
      <c r="E5773">
        <v>0</v>
      </c>
      <c r="F5773">
        <f t="shared" si="90"/>
        <v>0.55000000000000004</v>
      </c>
      <c r="I5773">
        <v>20240101</v>
      </c>
      <c r="J5773" t="s">
        <v>6016</v>
      </c>
    </row>
    <row r="5774" spans="1:77" x14ac:dyDescent="0.3">
      <c r="A5774" s="160">
        <v>51655</v>
      </c>
      <c r="B5774" t="s">
        <v>20956</v>
      </c>
      <c r="C5774" t="s">
        <v>5869</v>
      </c>
      <c r="D5774">
        <v>0.55000000000000004</v>
      </c>
      <c r="E5774">
        <v>0</v>
      </c>
      <c r="F5774">
        <f t="shared" si="90"/>
        <v>0.55000000000000004</v>
      </c>
      <c r="I5774">
        <v>20240101</v>
      </c>
      <c r="J5774" t="s">
        <v>5877</v>
      </c>
    </row>
    <row r="5775" spans="1:77" x14ac:dyDescent="0.3">
      <c r="A5775" s="160">
        <v>51656</v>
      </c>
      <c r="B5775" t="s">
        <v>20957</v>
      </c>
      <c r="C5775" t="s">
        <v>5862</v>
      </c>
      <c r="D5775">
        <v>0.6</v>
      </c>
      <c r="E5775">
        <v>0</v>
      </c>
      <c r="F5775">
        <f t="shared" si="90"/>
        <v>0.6</v>
      </c>
      <c r="I5775">
        <v>20240101</v>
      </c>
      <c r="J5775" t="s">
        <v>5863</v>
      </c>
    </row>
    <row r="5776" spans="1:77" x14ac:dyDescent="0.3">
      <c r="A5776" s="160">
        <v>51657</v>
      </c>
      <c r="B5776" t="s">
        <v>20958</v>
      </c>
      <c r="C5776" t="s">
        <v>5866</v>
      </c>
      <c r="D5776">
        <v>1.4</v>
      </c>
      <c r="E5776">
        <v>0</v>
      </c>
      <c r="F5776">
        <f t="shared" si="90"/>
        <v>1.4</v>
      </c>
      <c r="I5776" s="9">
        <v>20240701</v>
      </c>
      <c r="J5776" t="s">
        <v>5897</v>
      </c>
    </row>
    <row r="5777" spans="1:17" x14ac:dyDescent="0.3">
      <c r="A5777" s="160">
        <v>51660</v>
      </c>
      <c r="B5777" t="s">
        <v>20959</v>
      </c>
      <c r="C5777" t="s">
        <v>5866</v>
      </c>
      <c r="D5777">
        <v>1.4</v>
      </c>
      <c r="E5777">
        <v>0</v>
      </c>
      <c r="F5777">
        <f t="shared" si="90"/>
        <v>1.4</v>
      </c>
      <c r="I5777" s="9">
        <v>20240701</v>
      </c>
      <c r="J5777" t="s">
        <v>5871</v>
      </c>
    </row>
    <row r="5778" spans="1:17" x14ac:dyDescent="0.3">
      <c r="A5778" s="160">
        <v>51662</v>
      </c>
      <c r="B5778" t="s">
        <v>20960</v>
      </c>
      <c r="C5778" t="s">
        <v>5866</v>
      </c>
      <c r="D5778">
        <v>1.4</v>
      </c>
      <c r="E5778">
        <v>0</v>
      </c>
      <c r="F5778">
        <f t="shared" si="90"/>
        <v>1.4</v>
      </c>
      <c r="I5778" s="9">
        <v>20240701</v>
      </c>
      <c r="J5778" t="s">
        <v>5879</v>
      </c>
    </row>
    <row r="5779" spans="1:17" x14ac:dyDescent="0.3">
      <c r="A5779" s="160">
        <v>51663</v>
      </c>
      <c r="B5779" t="s">
        <v>20961</v>
      </c>
      <c r="C5779" t="s">
        <v>5869</v>
      </c>
      <c r="D5779">
        <v>0.55000000000000004</v>
      </c>
      <c r="E5779">
        <v>0</v>
      </c>
      <c r="F5779">
        <f t="shared" si="90"/>
        <v>0.55000000000000004</v>
      </c>
      <c r="I5779">
        <v>20060101</v>
      </c>
      <c r="J5779" t="s">
        <v>5954</v>
      </c>
      <c r="K5779" t="s">
        <v>5956</v>
      </c>
      <c r="L5779" t="s">
        <v>5950</v>
      </c>
      <c r="M5779" t="s">
        <v>5951</v>
      </c>
      <c r="N5779" t="s">
        <v>5900</v>
      </c>
    </row>
    <row r="5780" spans="1:17" x14ac:dyDescent="0.3">
      <c r="A5780" s="160">
        <v>52001</v>
      </c>
      <c r="B5780" t="s">
        <v>20962</v>
      </c>
      <c r="C5780" t="s">
        <v>6019</v>
      </c>
      <c r="D5780">
        <v>0.6</v>
      </c>
      <c r="E5780">
        <v>0</v>
      </c>
      <c r="F5780">
        <f t="shared" si="90"/>
        <v>0.6</v>
      </c>
      <c r="I5780">
        <v>20240101</v>
      </c>
      <c r="J5780" t="s">
        <v>6020</v>
      </c>
    </row>
    <row r="5781" spans="1:17" x14ac:dyDescent="0.3">
      <c r="A5781" s="160">
        <v>52006</v>
      </c>
      <c r="B5781" t="s">
        <v>20963</v>
      </c>
      <c r="C5781" t="s">
        <v>27547</v>
      </c>
      <c r="D5781">
        <v>0.55000000000000004</v>
      </c>
      <c r="E5781">
        <v>0</v>
      </c>
      <c r="F5781">
        <f t="shared" si="90"/>
        <v>0.55000000000000004</v>
      </c>
      <c r="I5781">
        <v>20150101</v>
      </c>
      <c r="J5781" t="s">
        <v>6021</v>
      </c>
    </row>
    <row r="5782" spans="1:17" x14ac:dyDescent="0.3">
      <c r="A5782" s="160">
        <v>52011</v>
      </c>
      <c r="B5782" t="s">
        <v>20964</v>
      </c>
      <c r="C5782" t="s">
        <v>6019</v>
      </c>
      <c r="D5782">
        <v>0.6</v>
      </c>
      <c r="E5782">
        <v>0</v>
      </c>
      <c r="F5782">
        <f t="shared" si="90"/>
        <v>0.6</v>
      </c>
      <c r="I5782">
        <v>20240101</v>
      </c>
      <c r="J5782" t="s">
        <v>6022</v>
      </c>
    </row>
    <row r="5783" spans="1:17" x14ac:dyDescent="0.3">
      <c r="A5783" s="160">
        <v>52021</v>
      </c>
      <c r="B5783" t="s">
        <v>20965</v>
      </c>
      <c r="C5783" t="s">
        <v>27547</v>
      </c>
      <c r="D5783">
        <v>0.55000000000000004</v>
      </c>
      <c r="E5783">
        <v>0</v>
      </c>
      <c r="F5783">
        <f t="shared" si="90"/>
        <v>0.55000000000000004</v>
      </c>
      <c r="I5783">
        <v>20150101</v>
      </c>
      <c r="J5783" t="s">
        <v>6021</v>
      </c>
    </row>
    <row r="5784" spans="1:17" x14ac:dyDescent="0.3">
      <c r="A5784" s="160">
        <v>52034</v>
      </c>
      <c r="B5784" t="s">
        <v>20966</v>
      </c>
      <c r="C5784" t="s">
        <v>27547</v>
      </c>
      <c r="D5784">
        <v>0.55000000000000004</v>
      </c>
      <c r="E5784">
        <v>0</v>
      </c>
      <c r="F5784">
        <f t="shared" si="90"/>
        <v>0.55000000000000004</v>
      </c>
      <c r="I5784">
        <v>20150101</v>
      </c>
      <c r="J5784" t="s">
        <v>6021</v>
      </c>
    </row>
    <row r="5785" spans="1:17" x14ac:dyDescent="0.3">
      <c r="A5785" s="160">
        <v>52045</v>
      </c>
      <c r="B5785" t="s">
        <v>20967</v>
      </c>
      <c r="C5785" t="s">
        <v>27547</v>
      </c>
      <c r="D5785">
        <v>0.55000000000000004</v>
      </c>
      <c r="E5785">
        <v>0</v>
      </c>
      <c r="F5785">
        <f t="shared" si="90"/>
        <v>0.55000000000000004</v>
      </c>
      <c r="I5785">
        <v>20240701</v>
      </c>
      <c r="J5785" t="s">
        <v>6014</v>
      </c>
      <c r="K5785" t="s">
        <v>6023</v>
      </c>
      <c r="L5785" t="s">
        <v>6024</v>
      </c>
      <c r="M5785" t="s">
        <v>6025</v>
      </c>
      <c r="N5785" t="s">
        <v>6026</v>
      </c>
      <c r="O5785" t="s">
        <v>6027</v>
      </c>
      <c r="P5785" t="s">
        <v>6028</v>
      </c>
      <c r="Q5785" t="s">
        <v>6029</v>
      </c>
    </row>
    <row r="5786" spans="1:17" x14ac:dyDescent="0.3">
      <c r="A5786" s="160">
        <v>52050</v>
      </c>
      <c r="B5786" t="s">
        <v>20968</v>
      </c>
      <c r="C5786" t="s">
        <v>6019</v>
      </c>
      <c r="D5786">
        <v>0.6</v>
      </c>
      <c r="E5786">
        <v>0</v>
      </c>
      <c r="F5786">
        <f t="shared" si="90"/>
        <v>0.6</v>
      </c>
      <c r="I5786">
        <v>20240101</v>
      </c>
      <c r="J5786" t="s">
        <v>6020</v>
      </c>
    </row>
    <row r="5787" spans="1:17" x14ac:dyDescent="0.3">
      <c r="A5787" s="160">
        <v>52053</v>
      </c>
      <c r="B5787" t="s">
        <v>20969</v>
      </c>
      <c r="C5787" t="s">
        <v>6019</v>
      </c>
      <c r="D5787">
        <v>0.6</v>
      </c>
      <c r="E5787">
        <v>0</v>
      </c>
      <c r="F5787">
        <f t="shared" si="90"/>
        <v>0.6</v>
      </c>
      <c r="I5787">
        <v>20240101</v>
      </c>
      <c r="J5787" t="s">
        <v>6030</v>
      </c>
    </row>
    <row r="5788" spans="1:17" x14ac:dyDescent="0.3">
      <c r="A5788" s="160">
        <v>52058</v>
      </c>
      <c r="B5788" t="s">
        <v>20970</v>
      </c>
      <c r="C5788" t="s">
        <v>6019</v>
      </c>
      <c r="D5788">
        <v>0.6</v>
      </c>
      <c r="E5788">
        <v>0</v>
      </c>
      <c r="F5788">
        <f t="shared" si="90"/>
        <v>0.6</v>
      </c>
      <c r="I5788">
        <v>20240101</v>
      </c>
      <c r="J5788" t="s">
        <v>6022</v>
      </c>
      <c r="K5788" t="s">
        <v>6031</v>
      </c>
    </row>
    <row r="5789" spans="1:17" x14ac:dyDescent="0.3">
      <c r="A5789" s="160">
        <v>52072</v>
      </c>
      <c r="B5789" t="s">
        <v>20971</v>
      </c>
      <c r="C5789" t="s">
        <v>6019</v>
      </c>
      <c r="D5789">
        <v>0.6</v>
      </c>
      <c r="E5789">
        <v>0</v>
      </c>
      <c r="F5789">
        <f t="shared" si="90"/>
        <v>0.6</v>
      </c>
      <c r="I5789">
        <v>20240101</v>
      </c>
      <c r="J5789" t="s">
        <v>6032</v>
      </c>
    </row>
    <row r="5790" spans="1:17" x14ac:dyDescent="0.3">
      <c r="A5790" s="160">
        <v>52075</v>
      </c>
      <c r="B5790" t="s">
        <v>20972</v>
      </c>
      <c r="C5790" t="s">
        <v>6019</v>
      </c>
      <c r="D5790">
        <v>0.6</v>
      </c>
      <c r="E5790">
        <v>0</v>
      </c>
      <c r="F5790">
        <f t="shared" si="90"/>
        <v>0.6</v>
      </c>
      <c r="I5790">
        <v>20240101</v>
      </c>
      <c r="J5790" t="s">
        <v>6033</v>
      </c>
    </row>
    <row r="5791" spans="1:17" x14ac:dyDescent="0.3">
      <c r="A5791" s="160">
        <v>52079</v>
      </c>
      <c r="B5791" t="s">
        <v>20973</v>
      </c>
      <c r="C5791" t="s">
        <v>27547</v>
      </c>
      <c r="D5791">
        <v>0.55000000000000004</v>
      </c>
      <c r="E5791">
        <v>0</v>
      </c>
      <c r="F5791">
        <f t="shared" si="90"/>
        <v>0.55000000000000004</v>
      </c>
      <c r="I5791">
        <v>20240701</v>
      </c>
      <c r="J5791" t="s">
        <v>6021</v>
      </c>
    </row>
    <row r="5792" spans="1:17" x14ac:dyDescent="0.3">
      <c r="A5792" s="160">
        <v>52087</v>
      </c>
      <c r="B5792" t="s">
        <v>20974</v>
      </c>
      <c r="C5792" t="s">
        <v>6019</v>
      </c>
      <c r="D5792">
        <v>0.6</v>
      </c>
      <c r="E5792">
        <v>0</v>
      </c>
      <c r="F5792">
        <f t="shared" si="90"/>
        <v>0.6</v>
      </c>
      <c r="I5792">
        <v>20240101</v>
      </c>
      <c r="J5792" t="s">
        <v>6032</v>
      </c>
    </row>
    <row r="5793" spans="1:31" x14ac:dyDescent="0.3">
      <c r="A5793" s="160">
        <v>52091</v>
      </c>
      <c r="B5793" t="s">
        <v>20975</v>
      </c>
      <c r="C5793" t="s">
        <v>6019</v>
      </c>
      <c r="D5793">
        <v>0.6</v>
      </c>
      <c r="E5793">
        <v>0</v>
      </c>
      <c r="F5793">
        <f t="shared" si="90"/>
        <v>0.6</v>
      </c>
      <c r="I5793">
        <v>20240101</v>
      </c>
      <c r="J5793" t="s">
        <v>6035</v>
      </c>
    </row>
    <row r="5794" spans="1:31" x14ac:dyDescent="0.3">
      <c r="A5794" s="160">
        <v>52104</v>
      </c>
      <c r="B5794" t="s">
        <v>20976</v>
      </c>
      <c r="C5794" t="s">
        <v>27547</v>
      </c>
      <c r="D5794">
        <v>0.55000000000000004</v>
      </c>
      <c r="E5794">
        <v>0</v>
      </c>
      <c r="F5794">
        <f t="shared" si="90"/>
        <v>0.55000000000000004</v>
      </c>
      <c r="I5794">
        <v>20240701</v>
      </c>
      <c r="J5794" t="s">
        <v>6014</v>
      </c>
      <c r="K5794" t="s">
        <v>6024</v>
      </c>
    </row>
    <row r="5795" spans="1:31" x14ac:dyDescent="0.3">
      <c r="A5795" s="160">
        <v>52121</v>
      </c>
      <c r="B5795" t="s">
        <v>20977</v>
      </c>
      <c r="C5795" t="s">
        <v>6019</v>
      </c>
      <c r="D5795">
        <v>0.6</v>
      </c>
      <c r="E5795">
        <v>0</v>
      </c>
      <c r="F5795">
        <f t="shared" si="90"/>
        <v>0.6</v>
      </c>
      <c r="I5795">
        <v>20240101</v>
      </c>
      <c r="J5795" t="s">
        <v>6032</v>
      </c>
      <c r="K5795" t="s">
        <v>6036</v>
      </c>
      <c r="L5795" t="s">
        <v>6037</v>
      </c>
      <c r="M5795" t="s">
        <v>6038</v>
      </c>
      <c r="N5795" t="s">
        <v>6039</v>
      </c>
      <c r="O5795" t="s">
        <v>6040</v>
      </c>
      <c r="P5795" t="s">
        <v>6041</v>
      </c>
      <c r="Q5795" t="s">
        <v>6042</v>
      </c>
      <c r="R5795" t="s">
        <v>6043</v>
      </c>
      <c r="S5795" t="s">
        <v>6044</v>
      </c>
      <c r="T5795" t="s">
        <v>6045</v>
      </c>
      <c r="U5795" t="s">
        <v>6046</v>
      </c>
      <c r="V5795" t="s">
        <v>6047</v>
      </c>
      <c r="W5795" t="s">
        <v>6048</v>
      </c>
      <c r="X5795" t="s">
        <v>6049</v>
      </c>
      <c r="Y5795" t="s">
        <v>6050</v>
      </c>
      <c r="Z5795" t="s">
        <v>6051</v>
      </c>
      <c r="AA5795" t="s">
        <v>6031</v>
      </c>
      <c r="AB5795" t="s">
        <v>6052</v>
      </c>
      <c r="AC5795" t="s">
        <v>6053</v>
      </c>
      <c r="AD5795" t="s">
        <v>6054</v>
      </c>
      <c r="AE5795" t="s">
        <v>6055</v>
      </c>
    </row>
    <row r="5796" spans="1:31" x14ac:dyDescent="0.3">
      <c r="A5796" s="160">
        <v>52125</v>
      </c>
      <c r="B5796" t="s">
        <v>20978</v>
      </c>
      <c r="C5796" t="s">
        <v>6019</v>
      </c>
      <c r="D5796">
        <v>0.6</v>
      </c>
      <c r="E5796">
        <v>0</v>
      </c>
      <c r="F5796">
        <f t="shared" si="90"/>
        <v>0.6</v>
      </c>
      <c r="I5796">
        <v>20240101</v>
      </c>
      <c r="J5796" t="s">
        <v>6032</v>
      </c>
      <c r="K5796" t="s">
        <v>6049</v>
      </c>
      <c r="L5796" t="s">
        <v>6050</v>
      </c>
      <c r="M5796" t="s">
        <v>6051</v>
      </c>
    </row>
    <row r="5797" spans="1:31" x14ac:dyDescent="0.3">
      <c r="A5797" s="160">
        <v>52140</v>
      </c>
      <c r="B5797" t="s">
        <v>20979</v>
      </c>
      <c r="C5797" t="s">
        <v>6019</v>
      </c>
      <c r="D5797">
        <v>0.6</v>
      </c>
      <c r="E5797">
        <v>0</v>
      </c>
      <c r="F5797">
        <f t="shared" si="90"/>
        <v>0.6</v>
      </c>
      <c r="I5797">
        <v>20240101</v>
      </c>
      <c r="J5797" t="s">
        <v>6030</v>
      </c>
    </row>
    <row r="5798" spans="1:31" x14ac:dyDescent="0.3">
      <c r="A5798" s="160">
        <v>52141</v>
      </c>
      <c r="B5798" t="s">
        <v>20980</v>
      </c>
      <c r="C5798" t="s">
        <v>6019</v>
      </c>
      <c r="D5798">
        <v>0.6</v>
      </c>
      <c r="E5798">
        <v>0</v>
      </c>
      <c r="F5798">
        <f t="shared" si="90"/>
        <v>0.6</v>
      </c>
      <c r="I5798">
        <v>20240101</v>
      </c>
      <c r="J5798" t="s">
        <v>6032</v>
      </c>
      <c r="K5798" t="s">
        <v>6037</v>
      </c>
    </row>
    <row r="5799" spans="1:31" x14ac:dyDescent="0.3">
      <c r="A5799" s="160">
        <v>52157</v>
      </c>
      <c r="B5799" t="s">
        <v>20981</v>
      </c>
      <c r="C5799" t="s">
        <v>6019</v>
      </c>
      <c r="D5799">
        <v>0.6</v>
      </c>
      <c r="E5799">
        <v>0</v>
      </c>
      <c r="F5799">
        <f t="shared" si="90"/>
        <v>0.6</v>
      </c>
      <c r="I5799">
        <v>20240101</v>
      </c>
      <c r="J5799" t="s">
        <v>6030</v>
      </c>
      <c r="K5799" t="s">
        <v>6051</v>
      </c>
    </row>
    <row r="5800" spans="1:31" x14ac:dyDescent="0.3">
      <c r="A5800" s="160">
        <v>52159</v>
      </c>
      <c r="B5800" t="s">
        <v>20982</v>
      </c>
      <c r="C5800" t="s">
        <v>6019</v>
      </c>
      <c r="D5800">
        <v>0.6</v>
      </c>
      <c r="E5800">
        <v>0</v>
      </c>
      <c r="F5800">
        <f t="shared" si="90"/>
        <v>0.6</v>
      </c>
      <c r="I5800">
        <v>20240101</v>
      </c>
      <c r="J5800" t="s">
        <v>6034</v>
      </c>
    </row>
    <row r="5801" spans="1:31" x14ac:dyDescent="0.3">
      <c r="A5801" s="160">
        <v>52160</v>
      </c>
      <c r="B5801" t="s">
        <v>20983</v>
      </c>
      <c r="C5801" t="s">
        <v>6019</v>
      </c>
      <c r="D5801">
        <v>0.6</v>
      </c>
      <c r="E5801">
        <v>0</v>
      </c>
      <c r="F5801">
        <f t="shared" si="90"/>
        <v>0.6</v>
      </c>
      <c r="I5801">
        <v>20240101</v>
      </c>
      <c r="J5801" t="s">
        <v>6056</v>
      </c>
    </row>
    <row r="5802" spans="1:31" x14ac:dyDescent="0.3">
      <c r="A5802" s="160">
        <v>52169</v>
      </c>
      <c r="B5802" t="s">
        <v>20984</v>
      </c>
      <c r="C5802" t="s">
        <v>27547</v>
      </c>
      <c r="D5802">
        <v>0.55000000000000004</v>
      </c>
      <c r="E5802">
        <v>0</v>
      </c>
      <c r="F5802">
        <f t="shared" si="90"/>
        <v>0.55000000000000004</v>
      </c>
      <c r="I5802">
        <v>20240701</v>
      </c>
      <c r="J5802" t="s">
        <v>6021</v>
      </c>
    </row>
    <row r="5803" spans="1:31" x14ac:dyDescent="0.3">
      <c r="A5803" s="160">
        <v>52171</v>
      </c>
      <c r="B5803" t="s">
        <v>20985</v>
      </c>
      <c r="C5803" t="s">
        <v>27547</v>
      </c>
      <c r="D5803">
        <v>0.55000000000000004</v>
      </c>
      <c r="E5803">
        <v>0</v>
      </c>
      <c r="F5803">
        <f t="shared" si="90"/>
        <v>0.55000000000000004</v>
      </c>
      <c r="I5803">
        <v>20240701</v>
      </c>
      <c r="J5803" t="s">
        <v>6056</v>
      </c>
      <c r="K5803" t="s">
        <v>6057</v>
      </c>
    </row>
    <row r="5804" spans="1:31" x14ac:dyDescent="0.3">
      <c r="A5804" s="160">
        <v>52179</v>
      </c>
      <c r="B5804" t="s">
        <v>20986</v>
      </c>
      <c r="C5804" t="s">
        <v>27547</v>
      </c>
      <c r="D5804">
        <v>0.55000000000000004</v>
      </c>
      <c r="E5804">
        <v>0</v>
      </c>
      <c r="F5804">
        <f t="shared" si="90"/>
        <v>0.55000000000000004</v>
      </c>
      <c r="I5804">
        <v>20240701</v>
      </c>
      <c r="J5804" t="s">
        <v>6021</v>
      </c>
    </row>
    <row r="5805" spans="1:31" x14ac:dyDescent="0.3">
      <c r="A5805" s="160">
        <v>52182</v>
      </c>
      <c r="B5805" t="s">
        <v>20987</v>
      </c>
      <c r="C5805" t="s">
        <v>27547</v>
      </c>
      <c r="D5805">
        <v>0.55000000000000004</v>
      </c>
      <c r="E5805">
        <v>0</v>
      </c>
      <c r="F5805">
        <f t="shared" si="90"/>
        <v>0.55000000000000004</v>
      </c>
      <c r="I5805">
        <v>20240701</v>
      </c>
      <c r="J5805" t="s">
        <v>6023</v>
      </c>
      <c r="K5805" t="s">
        <v>6025</v>
      </c>
      <c r="L5805" t="s">
        <v>6027</v>
      </c>
      <c r="M5805" t="s">
        <v>6058</v>
      </c>
    </row>
    <row r="5806" spans="1:31" x14ac:dyDescent="0.3">
      <c r="A5806" s="160">
        <v>52190</v>
      </c>
      <c r="B5806" t="s">
        <v>20988</v>
      </c>
      <c r="C5806" t="s">
        <v>6019</v>
      </c>
      <c r="D5806">
        <v>0.6</v>
      </c>
      <c r="E5806">
        <v>0</v>
      </c>
      <c r="F5806">
        <f t="shared" si="90"/>
        <v>0.6</v>
      </c>
      <c r="I5806">
        <v>20240101</v>
      </c>
      <c r="J5806" t="s">
        <v>6020</v>
      </c>
    </row>
    <row r="5807" spans="1:31" x14ac:dyDescent="0.3">
      <c r="A5807" s="160">
        <v>52193</v>
      </c>
      <c r="B5807" t="s">
        <v>20989</v>
      </c>
      <c r="C5807" t="s">
        <v>6019</v>
      </c>
      <c r="D5807">
        <v>0.6</v>
      </c>
      <c r="E5807">
        <v>0</v>
      </c>
      <c r="F5807">
        <f t="shared" si="90"/>
        <v>0.6</v>
      </c>
      <c r="I5807">
        <v>20240101</v>
      </c>
      <c r="J5807" t="s">
        <v>6032</v>
      </c>
    </row>
    <row r="5808" spans="1:31" x14ac:dyDescent="0.3">
      <c r="A5808" s="160">
        <v>52198</v>
      </c>
      <c r="B5808" t="s">
        <v>20990</v>
      </c>
      <c r="C5808" t="s">
        <v>27547</v>
      </c>
      <c r="D5808">
        <v>0.55000000000000004</v>
      </c>
      <c r="E5808">
        <v>0</v>
      </c>
      <c r="F5808">
        <f t="shared" si="90"/>
        <v>0.55000000000000004</v>
      </c>
      <c r="I5808">
        <v>20240701</v>
      </c>
      <c r="J5808" t="s">
        <v>6021</v>
      </c>
    </row>
    <row r="5809" spans="1:11" x14ac:dyDescent="0.3">
      <c r="A5809" s="160">
        <v>52204</v>
      </c>
      <c r="B5809" t="s">
        <v>20991</v>
      </c>
      <c r="C5809" t="s">
        <v>6019</v>
      </c>
      <c r="D5809">
        <v>0.6</v>
      </c>
      <c r="E5809">
        <v>0</v>
      </c>
      <c r="F5809">
        <f t="shared" si="90"/>
        <v>0.6</v>
      </c>
      <c r="I5809">
        <v>20240101</v>
      </c>
      <c r="J5809" t="s">
        <v>6033</v>
      </c>
    </row>
    <row r="5810" spans="1:11" x14ac:dyDescent="0.3">
      <c r="A5810" s="160">
        <v>52205</v>
      </c>
      <c r="B5810" t="s">
        <v>20992</v>
      </c>
      <c r="C5810" t="s">
        <v>6019</v>
      </c>
      <c r="D5810">
        <v>0.6</v>
      </c>
      <c r="E5810">
        <v>0</v>
      </c>
      <c r="F5810">
        <f t="shared" si="90"/>
        <v>0.6</v>
      </c>
      <c r="I5810">
        <v>20240101</v>
      </c>
      <c r="J5810" t="s">
        <v>6032</v>
      </c>
      <c r="K5810" t="s">
        <v>6059</v>
      </c>
    </row>
    <row r="5811" spans="1:11" x14ac:dyDescent="0.3">
      <c r="A5811" s="160">
        <v>52211</v>
      </c>
      <c r="B5811" t="s">
        <v>20993</v>
      </c>
      <c r="C5811" t="s">
        <v>6019</v>
      </c>
      <c r="D5811">
        <v>0.6</v>
      </c>
      <c r="E5811">
        <v>0</v>
      </c>
      <c r="F5811">
        <f t="shared" si="90"/>
        <v>0.6</v>
      </c>
      <c r="I5811">
        <v>20240101</v>
      </c>
      <c r="J5811" t="s">
        <v>6035</v>
      </c>
    </row>
    <row r="5812" spans="1:11" x14ac:dyDescent="0.3">
      <c r="A5812" s="160">
        <v>52214</v>
      </c>
      <c r="B5812" t="s">
        <v>20994</v>
      </c>
      <c r="C5812" t="s">
        <v>6019</v>
      </c>
      <c r="D5812">
        <v>0.6</v>
      </c>
      <c r="E5812">
        <v>0</v>
      </c>
      <c r="F5812">
        <f t="shared" si="90"/>
        <v>0.6</v>
      </c>
      <c r="I5812">
        <v>20240101</v>
      </c>
      <c r="J5812" t="s">
        <v>6035</v>
      </c>
    </row>
    <row r="5813" spans="1:11" x14ac:dyDescent="0.3">
      <c r="A5813" s="160">
        <v>52221</v>
      </c>
      <c r="B5813" t="s">
        <v>20995</v>
      </c>
      <c r="C5813" t="s">
        <v>6019</v>
      </c>
      <c r="D5813">
        <v>0.6</v>
      </c>
      <c r="E5813">
        <v>0</v>
      </c>
      <c r="F5813">
        <f t="shared" si="90"/>
        <v>0.6</v>
      </c>
      <c r="I5813">
        <v>20240101</v>
      </c>
      <c r="J5813" t="s">
        <v>6030</v>
      </c>
    </row>
    <row r="5814" spans="1:11" x14ac:dyDescent="0.3">
      <c r="A5814" s="160">
        <v>52232</v>
      </c>
      <c r="B5814" t="s">
        <v>20996</v>
      </c>
      <c r="C5814" t="s">
        <v>6019</v>
      </c>
      <c r="D5814">
        <v>0.6</v>
      </c>
      <c r="E5814">
        <v>0</v>
      </c>
      <c r="F5814">
        <f t="shared" si="90"/>
        <v>0.6</v>
      </c>
      <c r="I5814">
        <v>20240101</v>
      </c>
      <c r="J5814" t="s">
        <v>6030</v>
      </c>
    </row>
    <row r="5815" spans="1:11" x14ac:dyDescent="0.3">
      <c r="A5815" s="160">
        <v>52235</v>
      </c>
      <c r="B5815" t="s">
        <v>20997</v>
      </c>
      <c r="C5815" t="s">
        <v>27547</v>
      </c>
      <c r="D5815">
        <v>0.55000000000000004</v>
      </c>
      <c r="E5815">
        <v>0</v>
      </c>
      <c r="F5815">
        <f t="shared" si="90"/>
        <v>0.55000000000000004</v>
      </c>
      <c r="I5815">
        <v>20240701</v>
      </c>
      <c r="J5815" t="s">
        <v>6014</v>
      </c>
    </row>
    <row r="5816" spans="1:11" x14ac:dyDescent="0.3">
      <c r="A5816" s="160">
        <v>52244</v>
      </c>
      <c r="B5816" t="s">
        <v>20998</v>
      </c>
      <c r="C5816" t="s">
        <v>27547</v>
      </c>
      <c r="D5816">
        <v>0.55000000000000004</v>
      </c>
      <c r="E5816">
        <v>0</v>
      </c>
      <c r="F5816">
        <f t="shared" si="90"/>
        <v>0.55000000000000004</v>
      </c>
      <c r="I5816">
        <v>20240701</v>
      </c>
      <c r="J5816" t="s">
        <v>6058</v>
      </c>
    </row>
    <row r="5817" spans="1:11" x14ac:dyDescent="0.3">
      <c r="A5817" s="160">
        <v>52251</v>
      </c>
      <c r="B5817" t="s">
        <v>20999</v>
      </c>
      <c r="C5817" t="s">
        <v>6019</v>
      </c>
      <c r="D5817">
        <v>0.6</v>
      </c>
      <c r="E5817">
        <v>0</v>
      </c>
      <c r="F5817">
        <f t="shared" si="90"/>
        <v>0.6</v>
      </c>
      <c r="I5817">
        <v>20240101</v>
      </c>
      <c r="J5817" t="s">
        <v>6032</v>
      </c>
      <c r="K5817" t="s">
        <v>6038</v>
      </c>
    </row>
    <row r="5818" spans="1:11" x14ac:dyDescent="0.3">
      <c r="A5818" s="160">
        <v>52253</v>
      </c>
      <c r="B5818" t="s">
        <v>21000</v>
      </c>
      <c r="C5818" t="s">
        <v>6019</v>
      </c>
      <c r="D5818">
        <v>0.6</v>
      </c>
      <c r="E5818">
        <v>0</v>
      </c>
      <c r="F5818">
        <f t="shared" si="90"/>
        <v>0.6</v>
      </c>
      <c r="I5818">
        <v>20240101</v>
      </c>
      <c r="J5818" t="s">
        <v>6030</v>
      </c>
    </row>
    <row r="5819" spans="1:11" x14ac:dyDescent="0.3">
      <c r="A5819" s="160">
        <v>52254</v>
      </c>
      <c r="B5819" t="s">
        <v>21001</v>
      </c>
      <c r="C5819" t="s">
        <v>6019</v>
      </c>
      <c r="D5819">
        <v>0.6</v>
      </c>
      <c r="E5819">
        <v>0</v>
      </c>
      <c r="F5819">
        <f t="shared" si="90"/>
        <v>0.6</v>
      </c>
      <c r="I5819">
        <v>20240101</v>
      </c>
      <c r="J5819" t="s">
        <v>6030</v>
      </c>
    </row>
    <row r="5820" spans="1:11" x14ac:dyDescent="0.3">
      <c r="A5820" s="160">
        <v>52260</v>
      </c>
      <c r="B5820" t="s">
        <v>21002</v>
      </c>
      <c r="C5820" t="s">
        <v>6019</v>
      </c>
      <c r="D5820">
        <v>0.6</v>
      </c>
      <c r="E5820">
        <v>0</v>
      </c>
      <c r="F5820">
        <f t="shared" si="90"/>
        <v>0.6</v>
      </c>
      <c r="I5820">
        <v>20240101</v>
      </c>
      <c r="J5820" t="s">
        <v>6022</v>
      </c>
    </row>
    <row r="5821" spans="1:11" x14ac:dyDescent="0.3">
      <c r="A5821" s="160">
        <v>52262</v>
      </c>
      <c r="B5821" t="s">
        <v>21002</v>
      </c>
      <c r="C5821" t="s">
        <v>6019</v>
      </c>
      <c r="D5821">
        <v>0.6</v>
      </c>
      <c r="E5821">
        <v>0</v>
      </c>
      <c r="F5821">
        <f t="shared" si="90"/>
        <v>0.6</v>
      </c>
      <c r="I5821">
        <v>20040101</v>
      </c>
      <c r="J5821" t="s">
        <v>6030</v>
      </c>
    </row>
    <row r="5822" spans="1:11" x14ac:dyDescent="0.3">
      <c r="A5822" s="160">
        <v>52267</v>
      </c>
      <c r="B5822" t="s">
        <v>21003</v>
      </c>
      <c r="C5822" t="s">
        <v>27547</v>
      </c>
      <c r="D5822">
        <v>0.55000000000000004</v>
      </c>
      <c r="E5822">
        <v>0</v>
      </c>
      <c r="F5822">
        <f t="shared" si="90"/>
        <v>0.55000000000000004</v>
      </c>
      <c r="I5822">
        <v>20240701</v>
      </c>
      <c r="J5822" t="s">
        <v>6014</v>
      </c>
    </row>
    <row r="5823" spans="1:11" x14ac:dyDescent="0.3">
      <c r="A5823" s="160">
        <v>52271</v>
      </c>
      <c r="B5823" t="s">
        <v>21004</v>
      </c>
      <c r="C5823" t="s">
        <v>6019</v>
      </c>
      <c r="D5823">
        <v>0.6</v>
      </c>
      <c r="E5823">
        <v>0</v>
      </c>
      <c r="F5823">
        <f t="shared" si="90"/>
        <v>0.6</v>
      </c>
      <c r="I5823">
        <v>20240101</v>
      </c>
      <c r="J5823" t="s">
        <v>6059</v>
      </c>
    </row>
    <row r="5824" spans="1:11" x14ac:dyDescent="0.3">
      <c r="A5824" s="160">
        <v>52276</v>
      </c>
      <c r="B5824" t="s">
        <v>21005</v>
      </c>
      <c r="C5824" t="s">
        <v>6019</v>
      </c>
      <c r="D5824">
        <v>0.6</v>
      </c>
      <c r="E5824">
        <v>0</v>
      </c>
      <c r="F5824">
        <f t="shared" si="90"/>
        <v>0.6</v>
      </c>
      <c r="I5824">
        <v>20240101</v>
      </c>
      <c r="J5824" t="s">
        <v>6032</v>
      </c>
    </row>
    <row r="5825" spans="1:11" x14ac:dyDescent="0.3">
      <c r="A5825" s="160">
        <v>52294</v>
      </c>
      <c r="B5825" t="s">
        <v>21006</v>
      </c>
      <c r="C5825" t="s">
        <v>27547</v>
      </c>
      <c r="D5825">
        <v>0.55000000000000004</v>
      </c>
      <c r="E5825">
        <v>0</v>
      </c>
      <c r="F5825">
        <f t="shared" si="90"/>
        <v>0.55000000000000004</v>
      </c>
      <c r="I5825">
        <v>20240701</v>
      </c>
      <c r="J5825" t="s">
        <v>6021</v>
      </c>
    </row>
    <row r="5826" spans="1:11" x14ac:dyDescent="0.3">
      <c r="A5826" s="160">
        <v>52295</v>
      </c>
      <c r="B5826" t="s">
        <v>21007</v>
      </c>
      <c r="C5826" t="s">
        <v>6019</v>
      </c>
      <c r="D5826">
        <v>0.6</v>
      </c>
      <c r="E5826">
        <v>0</v>
      </c>
      <c r="F5826">
        <f t="shared" si="90"/>
        <v>0.6</v>
      </c>
      <c r="I5826">
        <v>20240101</v>
      </c>
      <c r="J5826" t="s">
        <v>6059</v>
      </c>
    </row>
    <row r="5827" spans="1:11" x14ac:dyDescent="0.3">
      <c r="A5827" s="160">
        <v>52297</v>
      </c>
      <c r="B5827" t="s">
        <v>21008</v>
      </c>
      <c r="C5827" t="s">
        <v>6019</v>
      </c>
      <c r="D5827">
        <v>0.6</v>
      </c>
      <c r="E5827">
        <v>0</v>
      </c>
      <c r="F5827">
        <f t="shared" si="90"/>
        <v>0.6</v>
      </c>
      <c r="I5827">
        <v>20240101</v>
      </c>
      <c r="J5827" t="s">
        <v>6032</v>
      </c>
    </row>
    <row r="5828" spans="1:11" x14ac:dyDescent="0.3">
      <c r="A5828" s="160">
        <v>52300</v>
      </c>
      <c r="B5828" t="s">
        <v>20829</v>
      </c>
      <c r="C5828" t="s">
        <v>27547</v>
      </c>
      <c r="D5828">
        <v>0.55000000000000004</v>
      </c>
      <c r="E5828">
        <v>0</v>
      </c>
      <c r="F5828">
        <f t="shared" si="90"/>
        <v>0.55000000000000004</v>
      </c>
      <c r="I5828">
        <v>20240701</v>
      </c>
      <c r="J5828" t="s">
        <v>6021</v>
      </c>
    </row>
    <row r="5829" spans="1:11" x14ac:dyDescent="0.3">
      <c r="A5829" s="160">
        <v>52305</v>
      </c>
      <c r="B5829" t="s">
        <v>21009</v>
      </c>
      <c r="C5829" t="s">
        <v>6019</v>
      </c>
      <c r="D5829">
        <v>0.6</v>
      </c>
      <c r="E5829">
        <v>0</v>
      </c>
      <c r="F5829">
        <f t="shared" si="90"/>
        <v>0.6</v>
      </c>
      <c r="I5829">
        <v>20240101</v>
      </c>
      <c r="J5829" t="s">
        <v>6059</v>
      </c>
    </row>
    <row r="5830" spans="1:11" x14ac:dyDescent="0.3">
      <c r="A5830" s="160">
        <v>52310</v>
      </c>
      <c r="B5830" t="s">
        <v>21010</v>
      </c>
      <c r="C5830" t="s">
        <v>6019</v>
      </c>
      <c r="D5830">
        <v>0.6</v>
      </c>
      <c r="E5830">
        <v>0</v>
      </c>
      <c r="F5830">
        <f t="shared" si="90"/>
        <v>0.6</v>
      </c>
      <c r="I5830">
        <v>20240101</v>
      </c>
      <c r="J5830" t="s">
        <v>6035</v>
      </c>
    </row>
    <row r="5831" spans="1:11" x14ac:dyDescent="0.3">
      <c r="A5831" s="160">
        <v>52315</v>
      </c>
      <c r="B5831" t="s">
        <v>21011</v>
      </c>
      <c r="C5831" t="s">
        <v>6019</v>
      </c>
      <c r="D5831">
        <v>0.6</v>
      </c>
      <c r="E5831">
        <v>0</v>
      </c>
      <c r="F5831">
        <f t="shared" ref="F5831:F5894" si="91">D5831+E5831</f>
        <v>0.6</v>
      </c>
      <c r="I5831">
        <v>20240101</v>
      </c>
      <c r="J5831" t="s">
        <v>6059</v>
      </c>
    </row>
    <row r="5832" spans="1:11" x14ac:dyDescent="0.3">
      <c r="A5832" s="160">
        <v>52322</v>
      </c>
      <c r="B5832" t="s">
        <v>21012</v>
      </c>
      <c r="C5832" t="s">
        <v>6019</v>
      </c>
      <c r="D5832">
        <v>0.6</v>
      </c>
      <c r="E5832">
        <v>0</v>
      </c>
      <c r="F5832">
        <f t="shared" si="91"/>
        <v>0.6</v>
      </c>
      <c r="I5832">
        <v>20240101</v>
      </c>
      <c r="J5832" t="s">
        <v>6022</v>
      </c>
    </row>
    <row r="5833" spans="1:11" x14ac:dyDescent="0.3">
      <c r="A5833" s="160">
        <v>52326</v>
      </c>
      <c r="B5833" t="s">
        <v>21013</v>
      </c>
      <c r="C5833" t="s">
        <v>6019</v>
      </c>
      <c r="D5833">
        <v>0.6</v>
      </c>
      <c r="E5833">
        <v>0</v>
      </c>
      <c r="F5833">
        <f t="shared" si="91"/>
        <v>0.6</v>
      </c>
      <c r="I5833">
        <v>20240101</v>
      </c>
      <c r="J5833" t="s">
        <v>6035</v>
      </c>
    </row>
    <row r="5834" spans="1:11" x14ac:dyDescent="0.3">
      <c r="A5834" s="160">
        <v>52327</v>
      </c>
      <c r="B5834" t="s">
        <v>21014</v>
      </c>
      <c r="C5834" t="s">
        <v>27547</v>
      </c>
      <c r="D5834">
        <v>0.55000000000000004</v>
      </c>
      <c r="E5834">
        <v>0</v>
      </c>
      <c r="F5834">
        <f t="shared" si="91"/>
        <v>0.55000000000000004</v>
      </c>
      <c r="I5834">
        <v>20240701</v>
      </c>
      <c r="J5834" t="s">
        <v>6014</v>
      </c>
      <c r="K5834" t="s">
        <v>6028</v>
      </c>
    </row>
    <row r="5835" spans="1:11" x14ac:dyDescent="0.3">
      <c r="A5835" s="160">
        <v>52336</v>
      </c>
      <c r="B5835" t="s">
        <v>21015</v>
      </c>
      <c r="C5835" t="s">
        <v>27547</v>
      </c>
      <c r="D5835">
        <v>0.55000000000000004</v>
      </c>
      <c r="E5835">
        <v>0</v>
      </c>
      <c r="F5835">
        <f t="shared" si="91"/>
        <v>0.55000000000000004</v>
      </c>
      <c r="I5835">
        <v>20240701</v>
      </c>
      <c r="J5835" t="s">
        <v>6021</v>
      </c>
    </row>
    <row r="5836" spans="1:11" x14ac:dyDescent="0.3">
      <c r="A5836" s="160">
        <v>52341</v>
      </c>
      <c r="B5836" t="s">
        <v>21016</v>
      </c>
      <c r="C5836" t="s">
        <v>27547</v>
      </c>
      <c r="D5836">
        <v>0.55000000000000004</v>
      </c>
      <c r="E5836">
        <v>0</v>
      </c>
      <c r="F5836">
        <f t="shared" si="91"/>
        <v>0.55000000000000004</v>
      </c>
      <c r="I5836">
        <v>20240701</v>
      </c>
      <c r="J5836" t="s">
        <v>6056</v>
      </c>
    </row>
    <row r="5837" spans="1:11" x14ac:dyDescent="0.3">
      <c r="A5837" s="160">
        <v>52349</v>
      </c>
      <c r="B5837" t="s">
        <v>21017</v>
      </c>
      <c r="C5837" t="s">
        <v>6019</v>
      </c>
      <c r="D5837">
        <v>0.6</v>
      </c>
      <c r="E5837">
        <v>0</v>
      </c>
      <c r="F5837">
        <f t="shared" si="91"/>
        <v>0.6</v>
      </c>
      <c r="I5837">
        <v>20240101</v>
      </c>
      <c r="J5837" t="s">
        <v>6032</v>
      </c>
      <c r="K5837" t="s">
        <v>6048</v>
      </c>
    </row>
    <row r="5838" spans="1:11" x14ac:dyDescent="0.3">
      <c r="A5838" s="160">
        <v>52352</v>
      </c>
      <c r="B5838" t="s">
        <v>21018</v>
      </c>
      <c r="C5838" t="s">
        <v>6019</v>
      </c>
      <c r="D5838">
        <v>0.6</v>
      </c>
      <c r="E5838">
        <v>0</v>
      </c>
      <c r="F5838">
        <f t="shared" si="91"/>
        <v>0.6</v>
      </c>
      <c r="I5838">
        <v>20240101</v>
      </c>
      <c r="J5838" t="s">
        <v>6059</v>
      </c>
    </row>
    <row r="5839" spans="1:11" x14ac:dyDescent="0.3">
      <c r="A5839" s="160">
        <v>52353</v>
      </c>
      <c r="B5839" t="s">
        <v>21019</v>
      </c>
      <c r="C5839" t="s">
        <v>6019</v>
      </c>
      <c r="D5839">
        <v>0.6</v>
      </c>
      <c r="E5839">
        <v>0</v>
      </c>
      <c r="F5839">
        <f t="shared" si="91"/>
        <v>0.6</v>
      </c>
      <c r="I5839">
        <v>20240101</v>
      </c>
      <c r="J5839" t="s">
        <v>6059</v>
      </c>
    </row>
    <row r="5840" spans="1:11" x14ac:dyDescent="0.3">
      <c r="A5840" s="160">
        <v>52367</v>
      </c>
      <c r="B5840" t="s">
        <v>21020</v>
      </c>
      <c r="C5840" t="s">
        <v>6019</v>
      </c>
      <c r="D5840">
        <v>0.6</v>
      </c>
      <c r="E5840">
        <v>0</v>
      </c>
      <c r="F5840">
        <f t="shared" si="91"/>
        <v>0.6</v>
      </c>
      <c r="I5840">
        <v>20240101</v>
      </c>
      <c r="J5840" t="s">
        <v>6022</v>
      </c>
    </row>
    <row r="5841" spans="1:21" x14ac:dyDescent="0.3">
      <c r="A5841" s="160">
        <v>52371</v>
      </c>
      <c r="B5841" t="s">
        <v>21021</v>
      </c>
      <c r="C5841" t="s">
        <v>6019</v>
      </c>
      <c r="D5841">
        <v>0.6</v>
      </c>
      <c r="E5841">
        <v>0</v>
      </c>
      <c r="F5841">
        <f t="shared" si="91"/>
        <v>0.6</v>
      </c>
      <c r="I5841">
        <v>20240101</v>
      </c>
      <c r="J5841" t="s">
        <v>6022</v>
      </c>
      <c r="K5841" t="s">
        <v>6031</v>
      </c>
    </row>
    <row r="5842" spans="1:21" x14ac:dyDescent="0.3">
      <c r="A5842" s="160">
        <v>52386</v>
      </c>
      <c r="B5842" t="s">
        <v>21022</v>
      </c>
      <c r="C5842" t="s">
        <v>27547</v>
      </c>
      <c r="D5842">
        <v>0.55000000000000004</v>
      </c>
      <c r="E5842">
        <v>0</v>
      </c>
      <c r="F5842">
        <f t="shared" si="91"/>
        <v>0.55000000000000004</v>
      </c>
      <c r="I5842">
        <v>20240701</v>
      </c>
      <c r="J5842" t="s">
        <v>6014</v>
      </c>
    </row>
    <row r="5843" spans="1:21" x14ac:dyDescent="0.3">
      <c r="A5843" s="160">
        <v>52396</v>
      </c>
      <c r="B5843" t="s">
        <v>21023</v>
      </c>
      <c r="C5843" t="s">
        <v>6019</v>
      </c>
      <c r="D5843">
        <v>0.6</v>
      </c>
      <c r="E5843">
        <v>0</v>
      </c>
      <c r="F5843">
        <f t="shared" si="91"/>
        <v>0.6</v>
      </c>
      <c r="I5843">
        <v>20240101</v>
      </c>
      <c r="J5843" t="s">
        <v>6059</v>
      </c>
    </row>
    <row r="5844" spans="1:21" x14ac:dyDescent="0.3">
      <c r="A5844" s="160">
        <v>52401</v>
      </c>
      <c r="B5844" t="s">
        <v>21024</v>
      </c>
      <c r="C5844" t="s">
        <v>6019</v>
      </c>
      <c r="D5844">
        <v>0.6</v>
      </c>
      <c r="E5844">
        <v>0</v>
      </c>
      <c r="F5844">
        <f t="shared" si="91"/>
        <v>0.6</v>
      </c>
      <c r="I5844">
        <v>20240101</v>
      </c>
      <c r="J5844" t="s">
        <v>6059</v>
      </c>
    </row>
    <row r="5845" spans="1:21" x14ac:dyDescent="0.3">
      <c r="A5845" s="160">
        <v>52413</v>
      </c>
      <c r="B5845" t="s">
        <v>21025</v>
      </c>
      <c r="C5845" t="s">
        <v>27547</v>
      </c>
      <c r="D5845">
        <v>0.55000000000000004</v>
      </c>
      <c r="E5845">
        <v>0</v>
      </c>
      <c r="F5845">
        <f t="shared" si="91"/>
        <v>0.55000000000000004</v>
      </c>
      <c r="I5845">
        <v>20240701</v>
      </c>
      <c r="J5845" t="s">
        <v>6021</v>
      </c>
    </row>
    <row r="5846" spans="1:21" x14ac:dyDescent="0.3">
      <c r="A5846" s="160">
        <v>52419</v>
      </c>
      <c r="B5846" t="s">
        <v>21026</v>
      </c>
      <c r="C5846" t="s">
        <v>6019</v>
      </c>
      <c r="D5846">
        <v>0.6</v>
      </c>
      <c r="E5846">
        <v>0</v>
      </c>
      <c r="F5846">
        <f t="shared" si="91"/>
        <v>0.6</v>
      </c>
      <c r="I5846">
        <v>20240101</v>
      </c>
      <c r="J5846" t="s">
        <v>6060</v>
      </c>
    </row>
    <row r="5847" spans="1:21" x14ac:dyDescent="0.3">
      <c r="A5847" s="160">
        <v>52421</v>
      </c>
      <c r="B5847" t="s">
        <v>21027</v>
      </c>
      <c r="C5847" t="s">
        <v>6019</v>
      </c>
      <c r="D5847">
        <v>0.6</v>
      </c>
      <c r="E5847">
        <v>0</v>
      </c>
      <c r="F5847">
        <f t="shared" si="91"/>
        <v>0.6</v>
      </c>
      <c r="I5847">
        <v>20240101</v>
      </c>
      <c r="J5847" t="s">
        <v>6032</v>
      </c>
    </row>
    <row r="5848" spans="1:21" x14ac:dyDescent="0.3">
      <c r="A5848" s="160">
        <v>52426</v>
      </c>
      <c r="B5848" t="s">
        <v>21028</v>
      </c>
      <c r="C5848" t="s">
        <v>6019</v>
      </c>
      <c r="D5848">
        <v>0.6</v>
      </c>
      <c r="E5848">
        <v>0</v>
      </c>
      <c r="F5848">
        <f t="shared" si="91"/>
        <v>0.6</v>
      </c>
      <c r="I5848">
        <v>20240101</v>
      </c>
      <c r="J5848" t="s">
        <v>6030</v>
      </c>
    </row>
    <row r="5849" spans="1:21" x14ac:dyDescent="0.3">
      <c r="A5849" s="160">
        <v>52428</v>
      </c>
      <c r="B5849" t="s">
        <v>21029</v>
      </c>
      <c r="C5849" t="s">
        <v>6019</v>
      </c>
      <c r="D5849">
        <v>0.6</v>
      </c>
      <c r="E5849">
        <v>0</v>
      </c>
      <c r="F5849">
        <f t="shared" si="91"/>
        <v>0.6</v>
      </c>
      <c r="I5849">
        <v>20240101</v>
      </c>
      <c r="J5849" t="s">
        <v>6033</v>
      </c>
    </row>
    <row r="5850" spans="1:21" x14ac:dyDescent="0.3">
      <c r="A5850" s="160">
        <v>52436</v>
      </c>
      <c r="B5850" t="s">
        <v>21030</v>
      </c>
      <c r="C5850" t="s">
        <v>6019</v>
      </c>
      <c r="D5850">
        <v>0.6</v>
      </c>
      <c r="E5850">
        <v>0</v>
      </c>
      <c r="F5850">
        <f t="shared" si="91"/>
        <v>0.6</v>
      </c>
      <c r="I5850">
        <v>20240101</v>
      </c>
      <c r="J5850" t="s">
        <v>6035</v>
      </c>
    </row>
    <row r="5851" spans="1:21" x14ac:dyDescent="0.3">
      <c r="A5851" s="160">
        <v>52448</v>
      </c>
      <c r="B5851" t="s">
        <v>21031</v>
      </c>
      <c r="C5851" t="s">
        <v>27547</v>
      </c>
      <c r="D5851">
        <v>0.55000000000000004</v>
      </c>
      <c r="E5851">
        <v>0</v>
      </c>
      <c r="F5851">
        <f t="shared" si="91"/>
        <v>0.55000000000000004</v>
      </c>
      <c r="I5851">
        <v>20240701</v>
      </c>
      <c r="J5851" t="s">
        <v>6014</v>
      </c>
      <c r="K5851" t="s">
        <v>6061</v>
      </c>
      <c r="L5851" t="s">
        <v>6023</v>
      </c>
      <c r="M5851" t="s">
        <v>6024</v>
      </c>
      <c r="N5851" t="s">
        <v>6025</v>
      </c>
      <c r="O5851" t="s">
        <v>6062</v>
      </c>
      <c r="P5851" t="s">
        <v>6026</v>
      </c>
      <c r="Q5851" t="s">
        <v>6063</v>
      </c>
      <c r="R5851" t="s">
        <v>6027</v>
      </c>
      <c r="S5851" t="s">
        <v>6064</v>
      </c>
      <c r="T5851" t="s">
        <v>6028</v>
      </c>
      <c r="U5851" t="s">
        <v>6029</v>
      </c>
    </row>
    <row r="5852" spans="1:21" x14ac:dyDescent="0.3">
      <c r="A5852" s="160">
        <v>52459</v>
      </c>
      <c r="B5852" t="s">
        <v>21032</v>
      </c>
      <c r="C5852" t="s">
        <v>6019</v>
      </c>
      <c r="D5852">
        <v>0.6</v>
      </c>
      <c r="E5852">
        <v>0</v>
      </c>
      <c r="F5852">
        <f t="shared" si="91"/>
        <v>0.6</v>
      </c>
      <c r="I5852">
        <v>20240101</v>
      </c>
      <c r="J5852" t="s">
        <v>6059</v>
      </c>
    </row>
    <row r="5853" spans="1:21" x14ac:dyDescent="0.3">
      <c r="A5853" s="160">
        <v>52469</v>
      </c>
      <c r="B5853" t="s">
        <v>21033</v>
      </c>
      <c r="C5853" t="s">
        <v>6019</v>
      </c>
      <c r="D5853">
        <v>0.6</v>
      </c>
      <c r="E5853">
        <v>0</v>
      </c>
      <c r="F5853">
        <f t="shared" si="91"/>
        <v>0.6</v>
      </c>
      <c r="I5853">
        <v>20240101</v>
      </c>
      <c r="J5853" t="s">
        <v>6032</v>
      </c>
      <c r="K5853" t="s">
        <v>6048</v>
      </c>
      <c r="L5853" t="s">
        <v>6049</v>
      </c>
      <c r="M5853" t="s">
        <v>6050</v>
      </c>
    </row>
    <row r="5854" spans="1:21" x14ac:dyDescent="0.3">
      <c r="A5854" s="160">
        <v>52472</v>
      </c>
      <c r="B5854" t="s">
        <v>21034</v>
      </c>
      <c r="C5854" t="s">
        <v>6019</v>
      </c>
      <c r="D5854">
        <v>0.6</v>
      </c>
      <c r="E5854">
        <v>0</v>
      </c>
      <c r="F5854">
        <f t="shared" si="91"/>
        <v>0.6</v>
      </c>
      <c r="I5854">
        <v>20240101</v>
      </c>
      <c r="J5854" t="s">
        <v>6030</v>
      </c>
    </row>
    <row r="5855" spans="1:21" x14ac:dyDescent="0.3">
      <c r="A5855" s="160">
        <v>52475</v>
      </c>
      <c r="B5855" t="s">
        <v>21035</v>
      </c>
      <c r="C5855" t="s">
        <v>27547</v>
      </c>
      <c r="D5855">
        <v>0.55000000000000004</v>
      </c>
      <c r="E5855">
        <v>0</v>
      </c>
      <c r="F5855">
        <f t="shared" si="91"/>
        <v>0.55000000000000004</v>
      </c>
      <c r="I5855">
        <v>20240701</v>
      </c>
      <c r="J5855" t="s">
        <v>6021</v>
      </c>
    </row>
    <row r="5856" spans="1:21" x14ac:dyDescent="0.3">
      <c r="A5856" s="160">
        <v>52480</v>
      </c>
      <c r="B5856" t="s">
        <v>21036</v>
      </c>
      <c r="C5856" t="s">
        <v>6019</v>
      </c>
      <c r="D5856">
        <v>0.6</v>
      </c>
      <c r="E5856">
        <v>0</v>
      </c>
      <c r="F5856">
        <f t="shared" si="91"/>
        <v>0.6</v>
      </c>
      <c r="I5856">
        <v>20240101</v>
      </c>
      <c r="J5856" t="s">
        <v>6035</v>
      </c>
    </row>
    <row r="5857" spans="1:12" x14ac:dyDescent="0.3">
      <c r="A5857" s="160">
        <v>52488</v>
      </c>
      <c r="B5857" t="s">
        <v>21037</v>
      </c>
      <c r="C5857" t="s">
        <v>6019</v>
      </c>
      <c r="D5857">
        <v>0.6</v>
      </c>
      <c r="E5857">
        <v>0</v>
      </c>
      <c r="F5857">
        <f t="shared" si="91"/>
        <v>0.6</v>
      </c>
      <c r="I5857">
        <v>20240101</v>
      </c>
      <c r="J5857" t="s">
        <v>6059</v>
      </c>
    </row>
    <row r="5858" spans="1:12" x14ac:dyDescent="0.3">
      <c r="A5858" s="160">
        <v>52494</v>
      </c>
      <c r="B5858" t="s">
        <v>21038</v>
      </c>
      <c r="C5858" t="s">
        <v>6019</v>
      </c>
      <c r="D5858">
        <v>0.6</v>
      </c>
      <c r="E5858">
        <v>0</v>
      </c>
      <c r="F5858">
        <f t="shared" si="91"/>
        <v>0.6</v>
      </c>
      <c r="I5858">
        <v>20240101</v>
      </c>
      <c r="J5858" t="s">
        <v>6032</v>
      </c>
    </row>
    <row r="5859" spans="1:12" x14ac:dyDescent="0.3">
      <c r="A5859" s="160">
        <v>52497</v>
      </c>
      <c r="B5859" t="s">
        <v>21039</v>
      </c>
      <c r="C5859" t="s">
        <v>27547</v>
      </c>
      <c r="D5859">
        <v>0.55000000000000004</v>
      </c>
      <c r="E5859">
        <v>0</v>
      </c>
      <c r="F5859">
        <f t="shared" si="91"/>
        <v>0.55000000000000004</v>
      </c>
      <c r="I5859">
        <v>20240701</v>
      </c>
      <c r="J5859" t="s">
        <v>6021</v>
      </c>
    </row>
    <row r="5860" spans="1:12" x14ac:dyDescent="0.3">
      <c r="A5860" s="160">
        <v>52500</v>
      </c>
      <c r="B5860" t="s">
        <v>21040</v>
      </c>
      <c r="C5860" t="s">
        <v>27547</v>
      </c>
      <c r="D5860">
        <v>0.55000000000000004</v>
      </c>
      <c r="E5860">
        <v>0</v>
      </c>
      <c r="F5860">
        <f t="shared" si="91"/>
        <v>0.55000000000000004</v>
      </c>
      <c r="I5860">
        <v>20240701</v>
      </c>
      <c r="J5860" t="s">
        <v>6014</v>
      </c>
      <c r="K5860" t="s">
        <v>6024</v>
      </c>
      <c r="L5860" t="s">
        <v>6027</v>
      </c>
    </row>
    <row r="5861" spans="1:12" x14ac:dyDescent="0.3">
      <c r="A5861" s="160">
        <v>52502</v>
      </c>
      <c r="B5861" t="s">
        <v>21041</v>
      </c>
      <c r="C5861" t="s">
        <v>27547</v>
      </c>
      <c r="D5861">
        <v>0.55000000000000004</v>
      </c>
      <c r="E5861">
        <v>0</v>
      </c>
      <c r="F5861">
        <f t="shared" si="91"/>
        <v>0.55000000000000004</v>
      </c>
      <c r="I5861">
        <v>20240701</v>
      </c>
      <c r="J5861" t="s">
        <v>6021</v>
      </c>
    </row>
    <row r="5862" spans="1:12" x14ac:dyDescent="0.3">
      <c r="A5862" s="160">
        <v>52510</v>
      </c>
      <c r="B5862" t="s">
        <v>21042</v>
      </c>
      <c r="C5862" t="s">
        <v>27547</v>
      </c>
      <c r="D5862">
        <v>0.55000000000000004</v>
      </c>
      <c r="E5862">
        <v>0</v>
      </c>
      <c r="F5862">
        <f t="shared" si="91"/>
        <v>0.55000000000000004</v>
      </c>
      <c r="I5862">
        <v>20240701</v>
      </c>
      <c r="J5862" t="s">
        <v>6021</v>
      </c>
    </row>
    <row r="5863" spans="1:12" x14ac:dyDescent="0.3">
      <c r="A5863" s="160">
        <v>52514</v>
      </c>
      <c r="B5863" t="s">
        <v>21043</v>
      </c>
      <c r="C5863" t="s">
        <v>6019</v>
      </c>
      <c r="D5863">
        <v>0.6</v>
      </c>
      <c r="E5863">
        <v>0</v>
      </c>
      <c r="F5863">
        <f t="shared" si="91"/>
        <v>0.6</v>
      </c>
      <c r="I5863">
        <v>20240101</v>
      </c>
      <c r="J5863" t="s">
        <v>6032</v>
      </c>
    </row>
    <row r="5864" spans="1:12" x14ac:dyDescent="0.3">
      <c r="A5864" s="160">
        <v>52518</v>
      </c>
      <c r="B5864" t="s">
        <v>21044</v>
      </c>
      <c r="C5864" t="s">
        <v>6019</v>
      </c>
      <c r="D5864">
        <v>0.6</v>
      </c>
      <c r="E5864">
        <v>0</v>
      </c>
      <c r="F5864">
        <f t="shared" si="91"/>
        <v>0.6</v>
      </c>
      <c r="I5864">
        <v>20240101</v>
      </c>
      <c r="J5864" t="s">
        <v>6059</v>
      </c>
    </row>
    <row r="5865" spans="1:12" x14ac:dyDescent="0.3">
      <c r="A5865" s="160">
        <v>52522</v>
      </c>
      <c r="B5865" t="s">
        <v>21045</v>
      </c>
      <c r="C5865" t="s">
        <v>6019</v>
      </c>
      <c r="D5865">
        <v>0.6</v>
      </c>
      <c r="E5865">
        <v>0</v>
      </c>
      <c r="F5865">
        <f t="shared" si="91"/>
        <v>0.6</v>
      </c>
      <c r="I5865">
        <v>20240101</v>
      </c>
      <c r="J5865" t="s">
        <v>6022</v>
      </c>
    </row>
    <row r="5866" spans="1:12" x14ac:dyDescent="0.3">
      <c r="A5866" s="160">
        <v>52528</v>
      </c>
      <c r="B5866" t="s">
        <v>21046</v>
      </c>
      <c r="C5866" t="s">
        <v>27547</v>
      </c>
      <c r="D5866">
        <v>0.55000000000000004</v>
      </c>
      <c r="E5866">
        <v>0</v>
      </c>
      <c r="F5866">
        <f t="shared" si="91"/>
        <v>0.55000000000000004</v>
      </c>
      <c r="I5866">
        <v>20240701</v>
      </c>
      <c r="J5866" t="s">
        <v>6021</v>
      </c>
    </row>
    <row r="5867" spans="1:12" x14ac:dyDescent="0.3">
      <c r="A5867" s="160">
        <v>52534</v>
      </c>
      <c r="B5867" t="s">
        <v>21047</v>
      </c>
      <c r="C5867" t="s">
        <v>27547</v>
      </c>
      <c r="D5867">
        <v>0.55000000000000004</v>
      </c>
      <c r="E5867">
        <v>0</v>
      </c>
      <c r="F5867">
        <f t="shared" si="91"/>
        <v>0.55000000000000004</v>
      </c>
      <c r="I5867">
        <v>20240701</v>
      </c>
      <c r="J5867" t="s">
        <v>6014</v>
      </c>
      <c r="K5867" t="s">
        <v>6026</v>
      </c>
      <c r="L5867" t="s">
        <v>6027</v>
      </c>
    </row>
    <row r="5868" spans="1:12" x14ac:dyDescent="0.3">
      <c r="A5868" s="160">
        <v>52535</v>
      </c>
      <c r="B5868" t="s">
        <v>21048</v>
      </c>
      <c r="C5868" t="s">
        <v>6019</v>
      </c>
      <c r="D5868">
        <v>0.6</v>
      </c>
      <c r="E5868">
        <v>0</v>
      </c>
      <c r="F5868">
        <f t="shared" si="91"/>
        <v>0.6</v>
      </c>
      <c r="I5868">
        <v>20240101</v>
      </c>
      <c r="J5868" t="s">
        <v>6032</v>
      </c>
      <c r="K5868" t="s">
        <v>6036</v>
      </c>
    </row>
    <row r="5869" spans="1:12" x14ac:dyDescent="0.3">
      <c r="A5869" s="160">
        <v>52541</v>
      </c>
      <c r="B5869" t="s">
        <v>21049</v>
      </c>
      <c r="C5869" t="s">
        <v>6019</v>
      </c>
      <c r="D5869">
        <v>0.6</v>
      </c>
      <c r="E5869">
        <v>0</v>
      </c>
      <c r="F5869">
        <f t="shared" si="91"/>
        <v>0.6</v>
      </c>
      <c r="I5869">
        <v>20240101</v>
      </c>
      <c r="J5869" t="s">
        <v>6059</v>
      </c>
    </row>
    <row r="5870" spans="1:12" x14ac:dyDescent="0.3">
      <c r="A5870" s="160">
        <v>52543</v>
      </c>
      <c r="B5870" t="s">
        <v>21050</v>
      </c>
      <c r="C5870" t="s">
        <v>27547</v>
      </c>
      <c r="D5870">
        <v>0.55000000000000004</v>
      </c>
      <c r="E5870">
        <v>0</v>
      </c>
      <c r="F5870">
        <f t="shared" si="91"/>
        <v>0.55000000000000004</v>
      </c>
      <c r="I5870">
        <v>20240701</v>
      </c>
      <c r="J5870" t="s">
        <v>6021</v>
      </c>
    </row>
    <row r="5871" spans="1:12" x14ac:dyDescent="0.3">
      <c r="A5871" s="160">
        <v>52547</v>
      </c>
      <c r="B5871" t="s">
        <v>21051</v>
      </c>
      <c r="C5871" t="s">
        <v>6019</v>
      </c>
      <c r="D5871">
        <v>0.6</v>
      </c>
      <c r="E5871">
        <v>0</v>
      </c>
      <c r="F5871">
        <f t="shared" si="91"/>
        <v>0.6</v>
      </c>
      <c r="I5871">
        <v>20240101</v>
      </c>
      <c r="J5871" t="s">
        <v>6035</v>
      </c>
    </row>
    <row r="5872" spans="1:12" x14ac:dyDescent="0.3">
      <c r="A5872" s="160">
        <v>52548</v>
      </c>
      <c r="B5872" t="s">
        <v>21052</v>
      </c>
      <c r="C5872" t="s">
        <v>6019</v>
      </c>
      <c r="D5872">
        <v>0.6</v>
      </c>
      <c r="E5872">
        <v>0</v>
      </c>
      <c r="F5872">
        <f t="shared" si="91"/>
        <v>0.6</v>
      </c>
      <c r="I5872">
        <v>20240101</v>
      </c>
      <c r="J5872" t="s">
        <v>6022</v>
      </c>
    </row>
    <row r="5873" spans="1:29" x14ac:dyDescent="0.3">
      <c r="A5873" s="160">
        <v>52550</v>
      </c>
      <c r="B5873" t="s">
        <v>21053</v>
      </c>
      <c r="C5873" t="s">
        <v>27547</v>
      </c>
      <c r="D5873">
        <v>0.55000000000000004</v>
      </c>
      <c r="E5873">
        <v>0</v>
      </c>
      <c r="F5873">
        <f t="shared" si="91"/>
        <v>0.55000000000000004</v>
      </c>
      <c r="I5873">
        <v>20240701</v>
      </c>
      <c r="J5873" t="s">
        <v>6021</v>
      </c>
    </row>
    <row r="5874" spans="1:29" x14ac:dyDescent="0.3">
      <c r="A5874" s="160">
        <v>53001</v>
      </c>
      <c r="B5874" t="s">
        <v>21054</v>
      </c>
      <c r="C5874" t="s">
        <v>6065</v>
      </c>
      <c r="D5874">
        <v>0.8</v>
      </c>
      <c r="E5874">
        <v>0</v>
      </c>
      <c r="F5874">
        <f t="shared" si="91"/>
        <v>0.8</v>
      </c>
      <c r="I5874">
        <v>20230701</v>
      </c>
      <c r="J5874" t="s">
        <v>6066</v>
      </c>
    </row>
    <row r="5875" spans="1:29" x14ac:dyDescent="0.3">
      <c r="A5875" s="160">
        <v>53002</v>
      </c>
      <c r="B5875" t="s">
        <v>21055</v>
      </c>
      <c r="C5875" t="s">
        <v>6067</v>
      </c>
      <c r="D5875">
        <v>0.2</v>
      </c>
      <c r="E5875">
        <v>0</v>
      </c>
      <c r="F5875">
        <f t="shared" si="91"/>
        <v>0.2</v>
      </c>
      <c r="I5875">
        <v>20210701</v>
      </c>
      <c r="J5875" t="s">
        <v>6068</v>
      </c>
    </row>
    <row r="5876" spans="1:29" x14ac:dyDescent="0.3">
      <c r="A5876" s="160">
        <v>53007</v>
      </c>
      <c r="B5876" t="s">
        <v>21056</v>
      </c>
      <c r="C5876" t="s">
        <v>6065</v>
      </c>
      <c r="D5876">
        <v>0.8</v>
      </c>
      <c r="E5876">
        <v>0</v>
      </c>
      <c r="F5876">
        <f t="shared" si="91"/>
        <v>0.8</v>
      </c>
      <c r="I5876">
        <v>20230701</v>
      </c>
      <c r="J5876" t="s">
        <v>6069</v>
      </c>
    </row>
    <row r="5877" spans="1:29" x14ac:dyDescent="0.3">
      <c r="A5877" s="160">
        <v>53008</v>
      </c>
      <c r="B5877" t="s">
        <v>21057</v>
      </c>
      <c r="C5877" t="s">
        <v>6067</v>
      </c>
      <c r="D5877">
        <v>0.2</v>
      </c>
      <c r="E5877">
        <v>0</v>
      </c>
      <c r="F5877">
        <f t="shared" si="91"/>
        <v>0.2</v>
      </c>
      <c r="I5877">
        <v>20210701</v>
      </c>
      <c r="J5877" t="s">
        <v>6070</v>
      </c>
      <c r="K5877" t="s">
        <v>6071</v>
      </c>
      <c r="L5877" t="s">
        <v>6072</v>
      </c>
    </row>
    <row r="5878" spans="1:29" x14ac:dyDescent="0.3">
      <c r="A5878" s="160">
        <v>53021</v>
      </c>
      <c r="B5878" t="s">
        <v>21058</v>
      </c>
      <c r="C5878" t="s">
        <v>6067</v>
      </c>
      <c r="D5878">
        <v>0.2</v>
      </c>
      <c r="E5878">
        <v>0</v>
      </c>
      <c r="F5878">
        <f t="shared" si="91"/>
        <v>0.2</v>
      </c>
      <c r="I5878">
        <v>20210701</v>
      </c>
      <c r="J5878" t="s">
        <v>6072</v>
      </c>
    </row>
    <row r="5879" spans="1:29" x14ac:dyDescent="0.3">
      <c r="A5879" s="160">
        <v>53026</v>
      </c>
      <c r="B5879" t="s">
        <v>21059</v>
      </c>
      <c r="C5879" t="s">
        <v>6065</v>
      </c>
      <c r="D5879">
        <v>0.8</v>
      </c>
      <c r="E5879">
        <v>0</v>
      </c>
      <c r="F5879">
        <f t="shared" si="91"/>
        <v>0.8</v>
      </c>
      <c r="I5879">
        <v>20230701</v>
      </c>
      <c r="J5879" t="s">
        <v>6073</v>
      </c>
    </row>
    <row r="5880" spans="1:29" x14ac:dyDescent="0.3">
      <c r="A5880" s="160">
        <v>53028</v>
      </c>
      <c r="B5880" t="s">
        <v>21060</v>
      </c>
      <c r="C5880" t="s">
        <v>6067</v>
      </c>
      <c r="D5880">
        <v>0.2</v>
      </c>
      <c r="E5880">
        <v>0</v>
      </c>
      <c r="F5880">
        <f t="shared" si="91"/>
        <v>0.2</v>
      </c>
      <c r="I5880">
        <v>20210701</v>
      </c>
      <c r="J5880" t="s">
        <v>6072</v>
      </c>
    </row>
    <row r="5881" spans="1:29" x14ac:dyDescent="0.3">
      <c r="A5881" s="160">
        <v>53034</v>
      </c>
      <c r="B5881" t="s">
        <v>21061</v>
      </c>
      <c r="C5881" t="s">
        <v>6065</v>
      </c>
      <c r="D5881">
        <v>0.8</v>
      </c>
      <c r="E5881">
        <v>0</v>
      </c>
      <c r="F5881">
        <f t="shared" si="91"/>
        <v>0.8</v>
      </c>
      <c r="I5881">
        <v>20230701</v>
      </c>
      <c r="J5881" t="s">
        <v>6074</v>
      </c>
      <c r="K5881" t="s">
        <v>6075</v>
      </c>
      <c r="L5881" t="s">
        <v>6076</v>
      </c>
      <c r="M5881" t="s">
        <v>6077</v>
      </c>
      <c r="N5881" t="s">
        <v>6078</v>
      </c>
      <c r="O5881" t="s">
        <v>6079</v>
      </c>
      <c r="P5881" t="s">
        <v>6080</v>
      </c>
    </row>
    <row r="5882" spans="1:29" x14ac:dyDescent="0.3">
      <c r="A5882" s="160">
        <v>53039</v>
      </c>
      <c r="B5882" t="s">
        <v>21062</v>
      </c>
      <c r="C5882" t="s">
        <v>6065</v>
      </c>
      <c r="D5882">
        <v>0.8</v>
      </c>
      <c r="E5882">
        <v>0</v>
      </c>
      <c r="F5882">
        <f t="shared" si="91"/>
        <v>0.8</v>
      </c>
      <c r="I5882">
        <v>20230701</v>
      </c>
      <c r="J5882" t="s">
        <v>6081</v>
      </c>
    </row>
    <row r="5883" spans="1:29" x14ac:dyDescent="0.3">
      <c r="A5883" s="160">
        <v>53040</v>
      </c>
      <c r="B5883" t="s">
        <v>21063</v>
      </c>
      <c r="C5883" t="s">
        <v>6065</v>
      </c>
      <c r="D5883">
        <v>0.8</v>
      </c>
      <c r="E5883">
        <v>0</v>
      </c>
      <c r="F5883">
        <f t="shared" si="91"/>
        <v>0.8</v>
      </c>
      <c r="I5883">
        <v>20230701</v>
      </c>
      <c r="J5883" t="s">
        <v>6081</v>
      </c>
    </row>
    <row r="5884" spans="1:29" x14ac:dyDescent="0.3">
      <c r="A5884" s="160">
        <v>53045</v>
      </c>
      <c r="B5884" t="s">
        <v>21064</v>
      </c>
      <c r="C5884" t="s">
        <v>6065</v>
      </c>
      <c r="D5884">
        <v>0.8</v>
      </c>
      <c r="E5884">
        <v>0</v>
      </c>
      <c r="F5884">
        <f t="shared" si="91"/>
        <v>0.8</v>
      </c>
      <c r="I5884">
        <v>20230701</v>
      </c>
      <c r="J5884" t="s">
        <v>6081</v>
      </c>
    </row>
    <row r="5885" spans="1:29" x14ac:dyDescent="0.3">
      <c r="A5885" s="160">
        <v>53049</v>
      </c>
      <c r="B5885" t="s">
        <v>21065</v>
      </c>
      <c r="C5885" t="s">
        <v>6065</v>
      </c>
      <c r="D5885">
        <v>0.8</v>
      </c>
      <c r="E5885">
        <v>0</v>
      </c>
      <c r="F5885">
        <f t="shared" si="91"/>
        <v>0.8</v>
      </c>
      <c r="I5885">
        <v>20230701</v>
      </c>
      <c r="J5885" t="s">
        <v>6082</v>
      </c>
    </row>
    <row r="5886" spans="1:29" x14ac:dyDescent="0.3">
      <c r="A5886" s="160">
        <v>53051</v>
      </c>
      <c r="B5886" t="s">
        <v>21066</v>
      </c>
      <c r="C5886" t="s">
        <v>6067</v>
      </c>
      <c r="D5886">
        <v>0.2</v>
      </c>
      <c r="E5886">
        <v>0</v>
      </c>
      <c r="F5886">
        <f t="shared" si="91"/>
        <v>0.2</v>
      </c>
      <c r="I5886">
        <v>20240101</v>
      </c>
      <c r="J5886" t="s">
        <v>6083</v>
      </c>
    </row>
    <row r="5887" spans="1:29" x14ac:dyDescent="0.3">
      <c r="A5887" s="160">
        <v>53054</v>
      </c>
      <c r="B5887" t="s">
        <v>21067</v>
      </c>
      <c r="C5887" t="s">
        <v>6065</v>
      </c>
      <c r="D5887">
        <v>0.8</v>
      </c>
      <c r="E5887">
        <v>0</v>
      </c>
      <c r="F5887">
        <f t="shared" si="91"/>
        <v>0.8</v>
      </c>
      <c r="I5887">
        <v>20230701</v>
      </c>
      <c r="J5887" t="s">
        <v>6084</v>
      </c>
      <c r="K5887" t="s">
        <v>6085</v>
      </c>
      <c r="L5887" t="s">
        <v>6086</v>
      </c>
      <c r="M5887" t="s">
        <v>6087</v>
      </c>
      <c r="N5887" t="s">
        <v>6088</v>
      </c>
      <c r="O5887" t="s">
        <v>6089</v>
      </c>
      <c r="P5887" t="s">
        <v>6090</v>
      </c>
      <c r="Q5887" t="s">
        <v>6074</v>
      </c>
      <c r="R5887" t="s">
        <v>6091</v>
      </c>
      <c r="S5887" t="s">
        <v>6092</v>
      </c>
      <c r="T5887" t="s">
        <v>6093</v>
      </c>
      <c r="U5887" t="s">
        <v>6075</v>
      </c>
      <c r="V5887" t="s">
        <v>6094</v>
      </c>
      <c r="W5887" t="s">
        <v>6095</v>
      </c>
      <c r="X5887" t="s">
        <v>6077</v>
      </c>
      <c r="Y5887" t="s">
        <v>6078</v>
      </c>
      <c r="Z5887" t="s">
        <v>6096</v>
      </c>
      <c r="AA5887" t="s">
        <v>6097</v>
      </c>
      <c r="AB5887" t="s">
        <v>6098</v>
      </c>
      <c r="AC5887" t="s">
        <v>6099</v>
      </c>
    </row>
    <row r="5888" spans="1:29" x14ac:dyDescent="0.3">
      <c r="A5888" s="160">
        <v>53056</v>
      </c>
      <c r="B5888" t="s">
        <v>21068</v>
      </c>
      <c r="C5888" t="s">
        <v>6065</v>
      </c>
      <c r="D5888">
        <v>0.8</v>
      </c>
      <c r="E5888">
        <v>0</v>
      </c>
      <c r="F5888">
        <f t="shared" si="91"/>
        <v>0.8</v>
      </c>
      <c r="I5888">
        <v>20230701</v>
      </c>
      <c r="J5888" t="s">
        <v>6100</v>
      </c>
    </row>
    <row r="5889" spans="1:11" x14ac:dyDescent="0.3">
      <c r="A5889" s="160">
        <v>53057</v>
      </c>
      <c r="B5889" t="s">
        <v>21069</v>
      </c>
      <c r="C5889" t="s">
        <v>6067</v>
      </c>
      <c r="D5889">
        <v>0.2</v>
      </c>
      <c r="E5889">
        <v>0</v>
      </c>
      <c r="F5889">
        <f t="shared" si="91"/>
        <v>0.2</v>
      </c>
      <c r="I5889">
        <v>20240101</v>
      </c>
      <c r="J5889" t="s">
        <v>6072</v>
      </c>
    </row>
    <row r="5890" spans="1:11" x14ac:dyDescent="0.3">
      <c r="A5890" s="160">
        <v>53061</v>
      </c>
      <c r="B5890" t="s">
        <v>21070</v>
      </c>
      <c r="C5890" t="s">
        <v>6067</v>
      </c>
      <c r="D5890">
        <v>0.2</v>
      </c>
      <c r="E5890">
        <v>0</v>
      </c>
      <c r="F5890">
        <f t="shared" si="91"/>
        <v>0.2</v>
      </c>
      <c r="I5890">
        <v>20240101</v>
      </c>
      <c r="J5890" t="s">
        <v>6101</v>
      </c>
    </row>
    <row r="5891" spans="1:11" x14ac:dyDescent="0.3">
      <c r="A5891" s="160">
        <v>53072</v>
      </c>
      <c r="B5891" t="s">
        <v>21071</v>
      </c>
      <c r="C5891" t="s">
        <v>6067</v>
      </c>
      <c r="D5891">
        <v>0.2</v>
      </c>
      <c r="E5891">
        <v>0</v>
      </c>
      <c r="F5891">
        <f t="shared" si="91"/>
        <v>0.2</v>
      </c>
      <c r="I5891">
        <v>20210701</v>
      </c>
      <c r="J5891" t="s">
        <v>6082</v>
      </c>
    </row>
    <row r="5892" spans="1:11" x14ac:dyDescent="0.3">
      <c r="A5892" s="160">
        <v>53074</v>
      </c>
      <c r="B5892" t="s">
        <v>21072</v>
      </c>
      <c r="C5892" t="s">
        <v>6067</v>
      </c>
      <c r="D5892">
        <v>0.2</v>
      </c>
      <c r="E5892">
        <v>0</v>
      </c>
      <c r="F5892">
        <f t="shared" si="91"/>
        <v>0.2</v>
      </c>
      <c r="I5892">
        <v>20210701</v>
      </c>
      <c r="J5892" t="s">
        <v>6102</v>
      </c>
    </row>
    <row r="5893" spans="1:11" x14ac:dyDescent="0.3">
      <c r="A5893" s="160">
        <v>53094</v>
      </c>
      <c r="B5893" t="s">
        <v>21073</v>
      </c>
      <c r="C5893" t="s">
        <v>6065</v>
      </c>
      <c r="D5893">
        <v>0.8</v>
      </c>
      <c r="E5893">
        <v>0</v>
      </c>
      <c r="F5893">
        <f t="shared" si="91"/>
        <v>0.8</v>
      </c>
      <c r="I5893">
        <v>20230701</v>
      </c>
      <c r="J5893" t="s">
        <v>6103</v>
      </c>
    </row>
    <row r="5894" spans="1:11" x14ac:dyDescent="0.3">
      <c r="A5894" s="160">
        <v>53099</v>
      </c>
      <c r="B5894" t="s">
        <v>21074</v>
      </c>
      <c r="C5894" t="s">
        <v>6065</v>
      </c>
      <c r="D5894">
        <v>0.8</v>
      </c>
      <c r="E5894">
        <v>0</v>
      </c>
      <c r="F5894">
        <f t="shared" si="91"/>
        <v>0.8</v>
      </c>
      <c r="I5894">
        <v>20230701</v>
      </c>
      <c r="J5894" t="s">
        <v>6103</v>
      </c>
    </row>
    <row r="5895" spans="1:11" x14ac:dyDescent="0.3">
      <c r="A5895" s="160">
        <v>53103</v>
      </c>
      <c r="B5895" t="s">
        <v>21075</v>
      </c>
      <c r="C5895" t="s">
        <v>6065</v>
      </c>
      <c r="D5895">
        <v>0.8</v>
      </c>
      <c r="E5895">
        <v>0</v>
      </c>
      <c r="F5895">
        <f t="shared" ref="F5895:F5958" si="92">D5895+E5895</f>
        <v>0.8</v>
      </c>
      <c r="I5895">
        <v>20230701</v>
      </c>
      <c r="J5895" t="s">
        <v>6066</v>
      </c>
      <c r="K5895" t="s">
        <v>6104</v>
      </c>
    </row>
    <row r="5896" spans="1:11" x14ac:dyDescent="0.3">
      <c r="A5896" s="160">
        <v>53108</v>
      </c>
      <c r="B5896" t="s">
        <v>21076</v>
      </c>
      <c r="C5896" t="s">
        <v>6065</v>
      </c>
      <c r="D5896">
        <v>0.8</v>
      </c>
      <c r="E5896">
        <v>0</v>
      </c>
      <c r="F5896">
        <f t="shared" si="92"/>
        <v>0.8</v>
      </c>
      <c r="I5896">
        <v>20230701</v>
      </c>
      <c r="J5896" t="s">
        <v>6081</v>
      </c>
    </row>
    <row r="5897" spans="1:11" x14ac:dyDescent="0.3">
      <c r="A5897" s="160">
        <v>53109</v>
      </c>
      <c r="B5897" t="s">
        <v>21077</v>
      </c>
      <c r="C5897" t="s">
        <v>6067</v>
      </c>
      <c r="D5897">
        <v>0.2</v>
      </c>
      <c r="E5897">
        <v>0</v>
      </c>
      <c r="F5897">
        <f t="shared" si="92"/>
        <v>0.2</v>
      </c>
      <c r="I5897">
        <v>20210701</v>
      </c>
      <c r="J5897" t="s">
        <v>6072</v>
      </c>
    </row>
    <row r="5898" spans="1:11" x14ac:dyDescent="0.3">
      <c r="A5898" s="160">
        <v>53111</v>
      </c>
      <c r="B5898" t="s">
        <v>21078</v>
      </c>
      <c r="C5898" t="s">
        <v>6067</v>
      </c>
      <c r="D5898">
        <v>0.2</v>
      </c>
      <c r="E5898">
        <v>0</v>
      </c>
      <c r="F5898">
        <f t="shared" si="92"/>
        <v>0.2</v>
      </c>
      <c r="I5898">
        <v>20210701</v>
      </c>
      <c r="J5898" t="s">
        <v>6105</v>
      </c>
    </row>
    <row r="5899" spans="1:11" x14ac:dyDescent="0.3">
      <c r="A5899" s="160">
        <v>53114</v>
      </c>
      <c r="B5899" t="s">
        <v>21079</v>
      </c>
      <c r="C5899" t="s">
        <v>6067</v>
      </c>
      <c r="D5899">
        <v>0.2</v>
      </c>
      <c r="E5899">
        <v>0</v>
      </c>
      <c r="F5899">
        <f t="shared" si="92"/>
        <v>0.2</v>
      </c>
      <c r="I5899">
        <v>20240101</v>
      </c>
      <c r="J5899" t="s">
        <v>6083</v>
      </c>
    </row>
    <row r="5900" spans="1:11" x14ac:dyDescent="0.3">
      <c r="A5900" s="160">
        <v>53116</v>
      </c>
      <c r="B5900" t="s">
        <v>21080</v>
      </c>
      <c r="C5900" t="s">
        <v>6067</v>
      </c>
      <c r="D5900">
        <v>0.2</v>
      </c>
      <c r="E5900">
        <v>0</v>
      </c>
      <c r="F5900">
        <f t="shared" si="92"/>
        <v>0.2</v>
      </c>
      <c r="I5900">
        <v>20240101</v>
      </c>
      <c r="J5900" t="s">
        <v>6083</v>
      </c>
    </row>
    <row r="5901" spans="1:11" x14ac:dyDescent="0.3">
      <c r="A5901" s="160">
        <v>53118</v>
      </c>
      <c r="B5901" t="s">
        <v>21081</v>
      </c>
      <c r="C5901" t="s">
        <v>6067</v>
      </c>
      <c r="D5901">
        <v>0.2</v>
      </c>
      <c r="E5901">
        <v>0</v>
      </c>
      <c r="F5901">
        <f t="shared" si="92"/>
        <v>0.2</v>
      </c>
      <c r="I5901">
        <v>20240101</v>
      </c>
      <c r="J5901" t="s">
        <v>6106</v>
      </c>
    </row>
    <row r="5902" spans="1:11" x14ac:dyDescent="0.3">
      <c r="A5902" s="160">
        <v>53119</v>
      </c>
      <c r="B5902" t="s">
        <v>21082</v>
      </c>
      <c r="C5902" t="s">
        <v>6065</v>
      </c>
      <c r="D5902">
        <v>0.8</v>
      </c>
      <c r="E5902">
        <v>0</v>
      </c>
      <c r="F5902">
        <f t="shared" si="92"/>
        <v>0.8</v>
      </c>
      <c r="I5902">
        <v>20230701</v>
      </c>
      <c r="J5902" t="s">
        <v>6107</v>
      </c>
      <c r="K5902" t="s">
        <v>6108</v>
      </c>
    </row>
    <row r="5903" spans="1:11" x14ac:dyDescent="0.3">
      <c r="A5903" s="160">
        <v>53122</v>
      </c>
      <c r="B5903" t="s">
        <v>21083</v>
      </c>
      <c r="C5903" t="s">
        <v>6067</v>
      </c>
      <c r="D5903">
        <v>0.2</v>
      </c>
      <c r="E5903">
        <v>0</v>
      </c>
      <c r="F5903">
        <f t="shared" si="92"/>
        <v>0.2</v>
      </c>
      <c r="I5903">
        <v>20240101</v>
      </c>
      <c r="J5903" t="s">
        <v>6109</v>
      </c>
    </row>
    <row r="5904" spans="1:11" x14ac:dyDescent="0.3">
      <c r="A5904" s="160">
        <v>53127</v>
      </c>
      <c r="B5904" t="s">
        <v>21084</v>
      </c>
      <c r="C5904" t="s">
        <v>6067</v>
      </c>
      <c r="D5904">
        <v>0.2</v>
      </c>
      <c r="E5904">
        <v>0</v>
      </c>
      <c r="F5904">
        <f t="shared" si="92"/>
        <v>0.2</v>
      </c>
      <c r="I5904">
        <v>20240101</v>
      </c>
      <c r="J5904" t="s">
        <v>6106</v>
      </c>
    </row>
    <row r="5905" spans="1:48" x14ac:dyDescent="0.3">
      <c r="A5905" s="160">
        <v>53129</v>
      </c>
      <c r="B5905" t="s">
        <v>21085</v>
      </c>
      <c r="C5905" t="s">
        <v>6065</v>
      </c>
      <c r="D5905">
        <v>0.8</v>
      </c>
      <c r="E5905">
        <v>0</v>
      </c>
      <c r="F5905">
        <f t="shared" si="92"/>
        <v>0.8</v>
      </c>
      <c r="I5905">
        <v>20230701</v>
      </c>
      <c r="J5905" t="s">
        <v>6081</v>
      </c>
    </row>
    <row r="5906" spans="1:48" x14ac:dyDescent="0.3">
      <c r="A5906" s="160">
        <v>53130</v>
      </c>
      <c r="B5906" t="s">
        <v>21086</v>
      </c>
      <c r="C5906" t="s">
        <v>6065</v>
      </c>
      <c r="D5906">
        <v>0.8</v>
      </c>
      <c r="E5906">
        <v>0</v>
      </c>
      <c r="F5906">
        <f t="shared" si="92"/>
        <v>0.8</v>
      </c>
      <c r="I5906">
        <v>20230701</v>
      </c>
      <c r="J5906" t="s">
        <v>6110</v>
      </c>
      <c r="K5906" t="s">
        <v>6084</v>
      </c>
      <c r="L5906" t="s">
        <v>6111</v>
      </c>
      <c r="M5906" t="s">
        <v>6085</v>
      </c>
      <c r="N5906" t="s">
        <v>6112</v>
      </c>
      <c r="O5906" t="s">
        <v>6086</v>
      </c>
      <c r="P5906" t="s">
        <v>6087</v>
      </c>
      <c r="Q5906" t="s">
        <v>6088</v>
      </c>
      <c r="R5906" t="s">
        <v>6089</v>
      </c>
      <c r="S5906" t="s">
        <v>6090</v>
      </c>
      <c r="T5906" t="s">
        <v>6074</v>
      </c>
      <c r="U5906" t="s">
        <v>6091</v>
      </c>
      <c r="V5906" t="s">
        <v>6113</v>
      </c>
      <c r="W5906" t="s">
        <v>6092</v>
      </c>
      <c r="X5906" t="s">
        <v>6093</v>
      </c>
      <c r="Y5906" t="s">
        <v>6114</v>
      </c>
      <c r="Z5906" t="s">
        <v>6075</v>
      </c>
      <c r="AA5906" t="s">
        <v>6094</v>
      </c>
      <c r="AB5906" t="s">
        <v>6095</v>
      </c>
      <c r="AC5906" t="s">
        <v>6115</v>
      </c>
      <c r="AD5906" t="s">
        <v>6076</v>
      </c>
      <c r="AE5906" t="s">
        <v>6116</v>
      </c>
      <c r="AF5906" t="s">
        <v>6077</v>
      </c>
      <c r="AG5906" t="s">
        <v>6078</v>
      </c>
      <c r="AH5906" t="s">
        <v>6096</v>
      </c>
      <c r="AI5906" t="s">
        <v>6117</v>
      </c>
      <c r="AJ5906" t="s">
        <v>6097</v>
      </c>
      <c r="AK5906" t="s">
        <v>6118</v>
      </c>
      <c r="AL5906" t="s">
        <v>6119</v>
      </c>
      <c r="AM5906" t="s">
        <v>6120</v>
      </c>
      <c r="AN5906" t="s">
        <v>6121</v>
      </c>
      <c r="AO5906" t="s">
        <v>6122</v>
      </c>
      <c r="AP5906" t="s">
        <v>6123</v>
      </c>
      <c r="AQ5906" t="s">
        <v>6124</v>
      </c>
      <c r="AR5906" t="s">
        <v>6125</v>
      </c>
      <c r="AS5906" t="s">
        <v>6126</v>
      </c>
      <c r="AT5906" t="s">
        <v>6127</v>
      </c>
      <c r="AU5906" t="s">
        <v>6128</v>
      </c>
      <c r="AV5906" t="s">
        <v>6129</v>
      </c>
    </row>
    <row r="5907" spans="1:48" x14ac:dyDescent="0.3">
      <c r="A5907" s="160">
        <v>53137</v>
      </c>
      <c r="B5907" t="s">
        <v>21087</v>
      </c>
      <c r="C5907" t="s">
        <v>6065</v>
      </c>
      <c r="D5907">
        <v>0.8</v>
      </c>
      <c r="E5907">
        <v>0</v>
      </c>
      <c r="F5907">
        <f t="shared" si="92"/>
        <v>0.8</v>
      </c>
      <c r="I5907">
        <v>20230701</v>
      </c>
      <c r="J5907" t="s">
        <v>6073</v>
      </c>
    </row>
    <row r="5908" spans="1:48" x14ac:dyDescent="0.3">
      <c r="A5908" s="160">
        <v>53140</v>
      </c>
      <c r="B5908" t="s">
        <v>21088</v>
      </c>
      <c r="C5908" t="s">
        <v>6065</v>
      </c>
      <c r="D5908">
        <v>0.8</v>
      </c>
      <c r="E5908">
        <v>0</v>
      </c>
      <c r="F5908">
        <f t="shared" si="92"/>
        <v>0.8</v>
      </c>
      <c r="I5908">
        <v>20230701</v>
      </c>
      <c r="J5908" t="s">
        <v>6077</v>
      </c>
      <c r="K5908" t="s">
        <v>6078</v>
      </c>
      <c r="L5908" t="s">
        <v>6100</v>
      </c>
      <c r="M5908" t="s">
        <v>6130</v>
      </c>
    </row>
    <row r="5909" spans="1:48" x14ac:dyDescent="0.3">
      <c r="A5909" s="160">
        <v>53141</v>
      </c>
      <c r="B5909" t="s">
        <v>21089</v>
      </c>
      <c r="C5909" t="s">
        <v>6065</v>
      </c>
      <c r="D5909">
        <v>0.8</v>
      </c>
      <c r="E5909">
        <v>0</v>
      </c>
      <c r="F5909">
        <f t="shared" si="92"/>
        <v>0.8</v>
      </c>
      <c r="I5909">
        <v>20230701</v>
      </c>
      <c r="J5909" t="s">
        <v>6069</v>
      </c>
    </row>
    <row r="5910" spans="1:48" x14ac:dyDescent="0.3">
      <c r="A5910" s="160">
        <v>53144</v>
      </c>
      <c r="B5910" t="s">
        <v>21090</v>
      </c>
      <c r="C5910" t="s">
        <v>6067</v>
      </c>
      <c r="D5910">
        <v>0.2</v>
      </c>
      <c r="E5910">
        <v>0</v>
      </c>
      <c r="F5910">
        <f t="shared" si="92"/>
        <v>0.2</v>
      </c>
      <c r="I5910">
        <v>20210701</v>
      </c>
      <c r="J5910" t="s">
        <v>6131</v>
      </c>
      <c r="K5910" t="s">
        <v>6072</v>
      </c>
    </row>
    <row r="5911" spans="1:48" x14ac:dyDescent="0.3">
      <c r="A5911" s="160">
        <v>53146</v>
      </c>
      <c r="B5911" t="s">
        <v>21091</v>
      </c>
      <c r="C5911" t="s">
        <v>6067</v>
      </c>
      <c r="D5911">
        <v>0.2</v>
      </c>
      <c r="E5911">
        <v>0</v>
      </c>
      <c r="F5911">
        <f t="shared" si="92"/>
        <v>0.2</v>
      </c>
      <c r="I5911">
        <v>20210701</v>
      </c>
      <c r="J5911" t="s">
        <v>6082</v>
      </c>
    </row>
    <row r="5912" spans="1:48" x14ac:dyDescent="0.3">
      <c r="A5912" s="160">
        <v>53147</v>
      </c>
      <c r="B5912" t="s">
        <v>21092</v>
      </c>
      <c r="C5912" t="s">
        <v>6067</v>
      </c>
      <c r="D5912">
        <v>0.2</v>
      </c>
      <c r="E5912">
        <v>0</v>
      </c>
      <c r="F5912">
        <f t="shared" si="92"/>
        <v>0.2</v>
      </c>
      <c r="I5912">
        <v>20210701</v>
      </c>
      <c r="J5912" t="s">
        <v>6132</v>
      </c>
      <c r="K5912" t="s">
        <v>6102</v>
      </c>
      <c r="L5912" t="s">
        <v>6070</v>
      </c>
      <c r="M5912" t="s">
        <v>6131</v>
      </c>
      <c r="N5912" t="s">
        <v>6133</v>
      </c>
      <c r="O5912" t="s">
        <v>6071</v>
      </c>
      <c r="P5912" t="s">
        <v>6134</v>
      </c>
    </row>
    <row r="5913" spans="1:48" x14ac:dyDescent="0.3">
      <c r="A5913" s="160">
        <v>53156</v>
      </c>
      <c r="B5913" t="s">
        <v>21093</v>
      </c>
      <c r="C5913" t="s">
        <v>6065</v>
      </c>
      <c r="D5913">
        <v>0.8</v>
      </c>
      <c r="E5913">
        <v>0</v>
      </c>
      <c r="F5913">
        <f t="shared" si="92"/>
        <v>0.8</v>
      </c>
      <c r="I5913">
        <v>20230701</v>
      </c>
      <c r="J5913" t="s">
        <v>6068</v>
      </c>
    </row>
    <row r="5914" spans="1:48" x14ac:dyDescent="0.3">
      <c r="A5914" s="160">
        <v>53157</v>
      </c>
      <c r="B5914" t="s">
        <v>21094</v>
      </c>
      <c r="C5914" t="s">
        <v>6065</v>
      </c>
      <c r="D5914">
        <v>0.8</v>
      </c>
      <c r="E5914">
        <v>0</v>
      </c>
      <c r="F5914">
        <f t="shared" si="92"/>
        <v>0.8</v>
      </c>
      <c r="I5914">
        <v>20230701</v>
      </c>
      <c r="J5914" t="s">
        <v>6107</v>
      </c>
    </row>
    <row r="5915" spans="1:48" x14ac:dyDescent="0.3">
      <c r="A5915" s="160">
        <v>53158</v>
      </c>
      <c r="B5915" t="s">
        <v>21095</v>
      </c>
      <c r="C5915" t="s">
        <v>6065</v>
      </c>
      <c r="D5915">
        <v>0.8</v>
      </c>
      <c r="E5915">
        <v>0</v>
      </c>
      <c r="F5915">
        <f t="shared" si="92"/>
        <v>0.8</v>
      </c>
      <c r="I5915">
        <v>20230701</v>
      </c>
      <c r="J5915" t="s">
        <v>6073</v>
      </c>
    </row>
    <row r="5916" spans="1:48" x14ac:dyDescent="0.3">
      <c r="A5916" s="160">
        <v>53160</v>
      </c>
      <c r="B5916" t="s">
        <v>21096</v>
      </c>
      <c r="C5916" t="s">
        <v>6067</v>
      </c>
      <c r="D5916">
        <v>0.2</v>
      </c>
      <c r="E5916">
        <v>0</v>
      </c>
      <c r="F5916">
        <f t="shared" si="92"/>
        <v>0.2</v>
      </c>
      <c r="I5916">
        <v>20240101</v>
      </c>
      <c r="J5916" t="s">
        <v>6083</v>
      </c>
    </row>
    <row r="5917" spans="1:48" x14ac:dyDescent="0.3">
      <c r="A5917" s="160">
        <v>53162</v>
      </c>
      <c r="B5917" t="s">
        <v>21097</v>
      </c>
      <c r="C5917" t="s">
        <v>6067</v>
      </c>
      <c r="D5917">
        <v>0.2</v>
      </c>
      <c r="E5917">
        <v>0</v>
      </c>
      <c r="F5917">
        <f t="shared" si="92"/>
        <v>0.2</v>
      </c>
      <c r="I5917">
        <v>20210701</v>
      </c>
      <c r="J5917" t="s">
        <v>6102</v>
      </c>
      <c r="K5917" t="s">
        <v>6131</v>
      </c>
    </row>
    <row r="5918" spans="1:48" x14ac:dyDescent="0.3">
      <c r="A5918" s="160">
        <v>53168</v>
      </c>
      <c r="B5918" t="s">
        <v>21098</v>
      </c>
      <c r="C5918" t="s">
        <v>6065</v>
      </c>
      <c r="D5918">
        <v>0.8</v>
      </c>
      <c r="E5918">
        <v>0</v>
      </c>
      <c r="F5918">
        <f t="shared" si="92"/>
        <v>0.8</v>
      </c>
      <c r="I5918">
        <v>20230701</v>
      </c>
      <c r="J5918" t="s">
        <v>6096</v>
      </c>
      <c r="K5918" t="s">
        <v>6107</v>
      </c>
    </row>
    <row r="5919" spans="1:48" x14ac:dyDescent="0.3">
      <c r="A5919" s="160">
        <v>53169</v>
      </c>
      <c r="B5919" t="s">
        <v>20118</v>
      </c>
      <c r="C5919" t="s">
        <v>6065</v>
      </c>
      <c r="D5919">
        <v>0.8</v>
      </c>
      <c r="E5919">
        <v>0</v>
      </c>
      <c r="F5919">
        <f t="shared" si="92"/>
        <v>0.8</v>
      </c>
      <c r="I5919">
        <v>20230701</v>
      </c>
      <c r="J5919" t="s">
        <v>6081</v>
      </c>
    </row>
    <row r="5920" spans="1:48" x14ac:dyDescent="0.3">
      <c r="A5920" s="160">
        <v>53174</v>
      </c>
      <c r="B5920" t="s">
        <v>21099</v>
      </c>
      <c r="C5920" t="s">
        <v>6067</v>
      </c>
      <c r="D5920">
        <v>0.2</v>
      </c>
      <c r="E5920">
        <v>0</v>
      </c>
      <c r="F5920">
        <f t="shared" si="92"/>
        <v>0.2</v>
      </c>
      <c r="I5920">
        <v>20210701</v>
      </c>
      <c r="J5920" t="s">
        <v>6102</v>
      </c>
      <c r="K5920" t="s">
        <v>6070</v>
      </c>
      <c r="L5920" t="s">
        <v>6071</v>
      </c>
    </row>
    <row r="5921" spans="1:19" x14ac:dyDescent="0.3">
      <c r="A5921" s="160">
        <v>53175</v>
      </c>
      <c r="B5921" t="s">
        <v>21100</v>
      </c>
      <c r="C5921" t="s">
        <v>6065</v>
      </c>
      <c r="D5921">
        <v>0.8</v>
      </c>
      <c r="E5921">
        <v>0</v>
      </c>
      <c r="F5921">
        <f t="shared" si="92"/>
        <v>0.8</v>
      </c>
      <c r="I5921">
        <v>20230701</v>
      </c>
      <c r="J5921" t="s">
        <v>6078</v>
      </c>
      <c r="K5921" t="s">
        <v>6103</v>
      </c>
    </row>
    <row r="5922" spans="1:19" x14ac:dyDescent="0.3">
      <c r="A5922" s="160">
        <v>53179</v>
      </c>
      <c r="B5922" t="s">
        <v>21101</v>
      </c>
      <c r="C5922" t="s">
        <v>6067</v>
      </c>
      <c r="D5922">
        <v>0.2</v>
      </c>
      <c r="E5922">
        <v>0</v>
      </c>
      <c r="F5922">
        <f t="shared" si="92"/>
        <v>0.2</v>
      </c>
      <c r="I5922">
        <v>20210701</v>
      </c>
      <c r="J5922" t="s">
        <v>6068</v>
      </c>
    </row>
    <row r="5923" spans="1:19" x14ac:dyDescent="0.3">
      <c r="A5923" s="160">
        <v>53182</v>
      </c>
      <c r="B5923" t="s">
        <v>21102</v>
      </c>
      <c r="C5923" t="s">
        <v>6065</v>
      </c>
      <c r="D5923">
        <v>0.8</v>
      </c>
      <c r="E5923">
        <v>0</v>
      </c>
      <c r="F5923">
        <f t="shared" si="92"/>
        <v>0.8</v>
      </c>
      <c r="I5923">
        <v>20230701</v>
      </c>
      <c r="J5923" t="s">
        <v>6081</v>
      </c>
    </row>
    <row r="5924" spans="1:19" x14ac:dyDescent="0.3">
      <c r="A5924" s="160">
        <v>53189</v>
      </c>
      <c r="B5924" t="s">
        <v>21103</v>
      </c>
      <c r="C5924" t="s">
        <v>6067</v>
      </c>
      <c r="D5924">
        <v>0.2</v>
      </c>
      <c r="E5924">
        <v>0</v>
      </c>
      <c r="F5924">
        <f t="shared" si="92"/>
        <v>0.2</v>
      </c>
      <c r="I5924">
        <v>20240101</v>
      </c>
      <c r="J5924" t="s">
        <v>6106</v>
      </c>
    </row>
    <row r="5925" spans="1:19" x14ac:dyDescent="0.3">
      <c r="A5925" s="160">
        <v>53190</v>
      </c>
      <c r="B5925" t="s">
        <v>21104</v>
      </c>
      <c r="C5925" t="s">
        <v>6067</v>
      </c>
      <c r="D5925">
        <v>0.2</v>
      </c>
      <c r="E5925">
        <v>0</v>
      </c>
      <c r="F5925">
        <f t="shared" si="92"/>
        <v>0.2</v>
      </c>
      <c r="I5925">
        <v>20240101</v>
      </c>
      <c r="J5925" t="s">
        <v>6083</v>
      </c>
    </row>
    <row r="5926" spans="1:19" x14ac:dyDescent="0.3">
      <c r="A5926" s="160">
        <v>53195</v>
      </c>
      <c r="B5926" t="s">
        <v>21105</v>
      </c>
      <c r="C5926" t="s">
        <v>6067</v>
      </c>
      <c r="D5926">
        <v>0.2</v>
      </c>
      <c r="E5926">
        <v>0</v>
      </c>
      <c r="F5926">
        <f t="shared" si="92"/>
        <v>0.2</v>
      </c>
      <c r="I5926">
        <v>20210701</v>
      </c>
      <c r="J5926" t="s">
        <v>6082</v>
      </c>
    </row>
    <row r="5927" spans="1:19" x14ac:dyDescent="0.3">
      <c r="A5927" s="160">
        <v>53200</v>
      </c>
      <c r="B5927" t="s">
        <v>21106</v>
      </c>
      <c r="C5927" t="s">
        <v>6067</v>
      </c>
      <c r="D5927">
        <v>0.2</v>
      </c>
      <c r="E5927">
        <v>0</v>
      </c>
      <c r="F5927">
        <f t="shared" si="92"/>
        <v>0.2</v>
      </c>
      <c r="I5927">
        <v>20210701</v>
      </c>
      <c r="J5927" t="s">
        <v>6102</v>
      </c>
    </row>
    <row r="5928" spans="1:19" x14ac:dyDescent="0.3">
      <c r="A5928" s="160">
        <v>53201</v>
      </c>
      <c r="B5928" t="s">
        <v>21107</v>
      </c>
      <c r="C5928" t="s">
        <v>6065</v>
      </c>
      <c r="D5928">
        <v>0.8</v>
      </c>
      <c r="E5928">
        <v>0</v>
      </c>
      <c r="F5928">
        <f t="shared" si="92"/>
        <v>0.8</v>
      </c>
      <c r="I5928">
        <v>20230701</v>
      </c>
      <c r="J5928" t="s">
        <v>6085</v>
      </c>
      <c r="K5928" t="s">
        <v>6086</v>
      </c>
      <c r="L5928" t="s">
        <v>6091</v>
      </c>
      <c r="M5928" t="s">
        <v>6113</v>
      </c>
      <c r="N5928" t="s">
        <v>6135</v>
      </c>
      <c r="O5928" t="s">
        <v>6077</v>
      </c>
      <c r="P5928" t="s">
        <v>6078</v>
      </c>
      <c r="Q5928" t="s">
        <v>6066</v>
      </c>
      <c r="R5928" t="s">
        <v>6104</v>
      </c>
      <c r="S5928" t="s">
        <v>6136</v>
      </c>
    </row>
    <row r="5929" spans="1:19" x14ac:dyDescent="0.3">
      <c r="A5929" s="160">
        <v>53209</v>
      </c>
      <c r="B5929" t="s">
        <v>21108</v>
      </c>
      <c r="C5929" t="s">
        <v>6065</v>
      </c>
      <c r="D5929">
        <v>0.8</v>
      </c>
      <c r="E5929">
        <v>0</v>
      </c>
      <c r="F5929">
        <f t="shared" si="92"/>
        <v>0.8</v>
      </c>
      <c r="I5929">
        <v>20230701</v>
      </c>
      <c r="J5929" t="s">
        <v>6073</v>
      </c>
    </row>
    <row r="5930" spans="1:19" x14ac:dyDescent="0.3">
      <c r="A5930" s="160">
        <v>53216</v>
      </c>
      <c r="B5930" t="s">
        <v>21109</v>
      </c>
      <c r="C5930" t="s">
        <v>6067</v>
      </c>
      <c r="D5930">
        <v>0.2</v>
      </c>
      <c r="E5930">
        <v>0</v>
      </c>
      <c r="F5930">
        <f t="shared" si="92"/>
        <v>0.2</v>
      </c>
      <c r="I5930">
        <v>20210701</v>
      </c>
      <c r="J5930" t="s">
        <v>6105</v>
      </c>
    </row>
    <row r="5931" spans="1:19" x14ac:dyDescent="0.3">
      <c r="A5931" s="160">
        <v>53219</v>
      </c>
      <c r="B5931" t="s">
        <v>21110</v>
      </c>
      <c r="C5931" t="s">
        <v>6067</v>
      </c>
      <c r="D5931">
        <v>0.2</v>
      </c>
      <c r="E5931">
        <v>0</v>
      </c>
      <c r="F5931">
        <f t="shared" si="92"/>
        <v>0.2</v>
      </c>
      <c r="I5931">
        <v>20210701</v>
      </c>
      <c r="J5931" t="s">
        <v>6102</v>
      </c>
    </row>
    <row r="5932" spans="1:19" x14ac:dyDescent="0.3">
      <c r="A5932" s="160">
        <v>53222</v>
      </c>
      <c r="B5932" t="s">
        <v>21111</v>
      </c>
      <c r="C5932" t="s">
        <v>6067</v>
      </c>
      <c r="D5932">
        <v>0.2</v>
      </c>
      <c r="E5932">
        <v>0</v>
      </c>
      <c r="F5932">
        <f t="shared" si="92"/>
        <v>0.2</v>
      </c>
      <c r="I5932">
        <v>20210701</v>
      </c>
      <c r="J5932" t="s">
        <v>6068</v>
      </c>
    </row>
    <row r="5933" spans="1:19" x14ac:dyDescent="0.3">
      <c r="A5933" s="160">
        <v>53224</v>
      </c>
      <c r="B5933" t="s">
        <v>21112</v>
      </c>
      <c r="C5933" t="s">
        <v>6065</v>
      </c>
      <c r="D5933">
        <v>0.8</v>
      </c>
      <c r="E5933">
        <v>0</v>
      </c>
      <c r="F5933">
        <f t="shared" si="92"/>
        <v>0.8</v>
      </c>
      <c r="I5933">
        <v>20230701</v>
      </c>
      <c r="J5933" t="s">
        <v>6068</v>
      </c>
    </row>
    <row r="5934" spans="1:19" x14ac:dyDescent="0.3">
      <c r="A5934" s="160">
        <v>53229</v>
      </c>
      <c r="B5934" t="s">
        <v>21113</v>
      </c>
      <c r="C5934" t="s">
        <v>6065</v>
      </c>
      <c r="D5934">
        <v>0.8</v>
      </c>
      <c r="E5934">
        <v>0</v>
      </c>
      <c r="F5934">
        <f t="shared" si="92"/>
        <v>0.8</v>
      </c>
      <c r="I5934">
        <v>20230701</v>
      </c>
      <c r="J5934" t="s">
        <v>6068</v>
      </c>
    </row>
    <row r="5935" spans="1:19" x14ac:dyDescent="0.3">
      <c r="A5935" s="160">
        <v>53230</v>
      </c>
      <c r="B5935" t="s">
        <v>21114</v>
      </c>
      <c r="C5935" t="s">
        <v>6067</v>
      </c>
      <c r="D5935">
        <v>0.2</v>
      </c>
      <c r="E5935">
        <v>0</v>
      </c>
      <c r="F5935">
        <f t="shared" si="92"/>
        <v>0.2</v>
      </c>
      <c r="I5935">
        <v>20240101</v>
      </c>
      <c r="J5935" t="s">
        <v>6106</v>
      </c>
    </row>
    <row r="5936" spans="1:19" x14ac:dyDescent="0.3">
      <c r="A5936" s="160">
        <v>53235</v>
      </c>
      <c r="B5936" t="s">
        <v>21115</v>
      </c>
      <c r="C5936" t="s">
        <v>6067</v>
      </c>
      <c r="D5936">
        <v>0.2</v>
      </c>
      <c r="E5936">
        <v>0</v>
      </c>
      <c r="F5936">
        <f t="shared" si="92"/>
        <v>0.2</v>
      </c>
      <c r="I5936">
        <v>20240101</v>
      </c>
      <c r="J5936" t="s">
        <v>6106</v>
      </c>
    </row>
    <row r="5937" spans="1:11" x14ac:dyDescent="0.3">
      <c r="A5937" s="160">
        <v>53243</v>
      </c>
      <c r="B5937" t="s">
        <v>21116</v>
      </c>
      <c r="C5937" t="s">
        <v>6065</v>
      </c>
      <c r="D5937">
        <v>0.8</v>
      </c>
      <c r="E5937">
        <v>0</v>
      </c>
      <c r="F5937">
        <f t="shared" si="92"/>
        <v>0.8</v>
      </c>
      <c r="I5937">
        <v>20230701</v>
      </c>
      <c r="J5937" t="s">
        <v>6081</v>
      </c>
    </row>
    <row r="5938" spans="1:11" x14ac:dyDescent="0.3">
      <c r="A5938" s="160">
        <v>53247</v>
      </c>
      <c r="B5938" t="s">
        <v>21117</v>
      </c>
      <c r="C5938" t="s">
        <v>6065</v>
      </c>
      <c r="D5938">
        <v>0.8</v>
      </c>
      <c r="E5938">
        <v>0</v>
      </c>
      <c r="F5938">
        <f t="shared" si="92"/>
        <v>0.8</v>
      </c>
      <c r="I5938">
        <v>20230701</v>
      </c>
      <c r="J5938" t="s">
        <v>6081</v>
      </c>
    </row>
    <row r="5939" spans="1:11" x14ac:dyDescent="0.3">
      <c r="A5939" s="160">
        <v>53262</v>
      </c>
      <c r="B5939" t="s">
        <v>21118</v>
      </c>
      <c r="C5939" t="s">
        <v>6065</v>
      </c>
      <c r="D5939">
        <v>0.8</v>
      </c>
      <c r="E5939">
        <v>0</v>
      </c>
      <c r="F5939">
        <f t="shared" si="92"/>
        <v>0.8</v>
      </c>
      <c r="I5939">
        <v>20230701</v>
      </c>
      <c r="J5939" t="s">
        <v>6069</v>
      </c>
    </row>
    <row r="5940" spans="1:11" x14ac:dyDescent="0.3">
      <c r="A5940" s="160">
        <v>53263</v>
      </c>
      <c r="B5940" t="s">
        <v>21119</v>
      </c>
      <c r="C5940" t="s">
        <v>6067</v>
      </c>
      <c r="D5940">
        <v>0.2</v>
      </c>
      <c r="E5940">
        <v>0</v>
      </c>
      <c r="F5940">
        <f t="shared" si="92"/>
        <v>0.2</v>
      </c>
      <c r="I5940">
        <v>20240101</v>
      </c>
      <c r="J5940" t="s">
        <v>6106</v>
      </c>
    </row>
    <row r="5941" spans="1:11" x14ac:dyDescent="0.3">
      <c r="A5941" s="160">
        <v>54002</v>
      </c>
      <c r="B5941" t="s">
        <v>21120</v>
      </c>
      <c r="C5941" t="s">
        <v>6137</v>
      </c>
      <c r="D5941">
        <v>0.6</v>
      </c>
      <c r="E5941">
        <v>0</v>
      </c>
      <c r="F5941">
        <f t="shared" si="92"/>
        <v>0.6</v>
      </c>
      <c r="I5941">
        <v>20160701</v>
      </c>
      <c r="J5941" t="s">
        <v>6138</v>
      </c>
    </row>
    <row r="5942" spans="1:11" x14ac:dyDescent="0.3">
      <c r="A5942" s="160">
        <v>54004</v>
      </c>
      <c r="B5942" t="s">
        <v>21121</v>
      </c>
      <c r="C5942" t="s">
        <v>6137</v>
      </c>
      <c r="D5942">
        <v>0.6</v>
      </c>
      <c r="E5942">
        <v>0</v>
      </c>
      <c r="F5942">
        <f t="shared" si="92"/>
        <v>0.6</v>
      </c>
      <c r="I5942">
        <v>20160701</v>
      </c>
      <c r="J5942" t="s">
        <v>6138</v>
      </c>
    </row>
    <row r="5943" spans="1:11" x14ac:dyDescent="0.3">
      <c r="A5943" s="160">
        <v>54007</v>
      </c>
      <c r="B5943" t="s">
        <v>21122</v>
      </c>
      <c r="C5943" t="s">
        <v>6139</v>
      </c>
      <c r="D5943">
        <v>0.55000000000000004</v>
      </c>
      <c r="E5943">
        <v>0</v>
      </c>
      <c r="F5943">
        <f t="shared" si="92"/>
        <v>0.55000000000000004</v>
      </c>
      <c r="I5943">
        <v>20180701</v>
      </c>
      <c r="J5943" t="s">
        <v>6140</v>
      </c>
    </row>
    <row r="5944" spans="1:11" x14ac:dyDescent="0.3">
      <c r="A5944" s="160">
        <v>54009</v>
      </c>
      <c r="B5944" t="s">
        <v>21123</v>
      </c>
      <c r="C5944" t="s">
        <v>6137</v>
      </c>
      <c r="D5944">
        <v>0.6</v>
      </c>
      <c r="E5944">
        <v>0</v>
      </c>
      <c r="F5944">
        <f t="shared" si="92"/>
        <v>0.6</v>
      </c>
      <c r="I5944">
        <v>20160701</v>
      </c>
      <c r="J5944" t="s">
        <v>6138</v>
      </c>
    </row>
    <row r="5945" spans="1:11" x14ac:dyDescent="0.3">
      <c r="A5945" s="160">
        <v>54013</v>
      </c>
      <c r="B5945" t="s">
        <v>21124</v>
      </c>
      <c r="C5945" t="s">
        <v>6141</v>
      </c>
      <c r="D5945">
        <v>0.6</v>
      </c>
      <c r="E5945">
        <v>0</v>
      </c>
      <c r="F5945">
        <f t="shared" si="92"/>
        <v>0.6</v>
      </c>
      <c r="I5945">
        <v>20180701</v>
      </c>
      <c r="J5945" t="s">
        <v>6142</v>
      </c>
    </row>
    <row r="5946" spans="1:11" x14ac:dyDescent="0.3">
      <c r="A5946" s="160">
        <v>54014</v>
      </c>
      <c r="B5946" t="s">
        <v>21125</v>
      </c>
      <c r="C5946" t="s">
        <v>6141</v>
      </c>
      <c r="D5946">
        <v>0.6</v>
      </c>
      <c r="E5946">
        <v>0</v>
      </c>
      <c r="F5946">
        <f t="shared" si="92"/>
        <v>0.6</v>
      </c>
      <c r="I5946">
        <v>20180701</v>
      </c>
      <c r="J5946" t="s">
        <v>6142</v>
      </c>
    </row>
    <row r="5947" spans="1:11" x14ac:dyDescent="0.3">
      <c r="A5947" s="160">
        <v>54015</v>
      </c>
      <c r="B5947" t="s">
        <v>21126</v>
      </c>
      <c r="C5947" t="s">
        <v>6137</v>
      </c>
      <c r="D5947">
        <v>0.6</v>
      </c>
      <c r="E5947">
        <v>0</v>
      </c>
      <c r="F5947">
        <f t="shared" si="92"/>
        <v>0.6</v>
      </c>
      <c r="I5947">
        <v>20160701</v>
      </c>
      <c r="J5947" t="s">
        <v>6143</v>
      </c>
    </row>
    <row r="5948" spans="1:11" x14ac:dyDescent="0.3">
      <c r="A5948" s="160">
        <v>54016</v>
      </c>
      <c r="B5948" t="s">
        <v>21127</v>
      </c>
      <c r="C5948" t="s">
        <v>6139</v>
      </c>
      <c r="D5948">
        <v>0.55000000000000004</v>
      </c>
      <c r="E5948">
        <v>0</v>
      </c>
      <c r="F5948">
        <f t="shared" si="92"/>
        <v>0.55000000000000004</v>
      </c>
      <c r="I5948">
        <v>20180701</v>
      </c>
      <c r="J5948" t="s">
        <v>6144</v>
      </c>
      <c r="K5948" t="s">
        <v>6145</v>
      </c>
    </row>
    <row r="5949" spans="1:11" x14ac:dyDescent="0.3">
      <c r="A5949" s="160">
        <v>54018</v>
      </c>
      <c r="B5949" t="s">
        <v>21128</v>
      </c>
      <c r="C5949" t="s">
        <v>6137</v>
      </c>
      <c r="D5949">
        <v>0.6</v>
      </c>
      <c r="E5949">
        <v>0</v>
      </c>
      <c r="F5949">
        <f t="shared" si="92"/>
        <v>0.6</v>
      </c>
      <c r="I5949">
        <v>20160701</v>
      </c>
      <c r="J5949" t="s">
        <v>6146</v>
      </c>
    </row>
    <row r="5950" spans="1:11" x14ac:dyDescent="0.3">
      <c r="A5950" s="160">
        <v>54019</v>
      </c>
      <c r="B5950" t="s">
        <v>21129</v>
      </c>
      <c r="C5950" t="s">
        <v>6139</v>
      </c>
      <c r="D5950">
        <v>0.55000000000000004</v>
      </c>
      <c r="E5950">
        <v>0</v>
      </c>
      <c r="F5950">
        <f t="shared" si="92"/>
        <v>0.55000000000000004</v>
      </c>
      <c r="I5950">
        <v>20240101</v>
      </c>
      <c r="J5950" t="s">
        <v>6147</v>
      </c>
    </row>
    <row r="5951" spans="1:11" x14ac:dyDescent="0.3">
      <c r="A5951" s="160">
        <v>54020</v>
      </c>
      <c r="B5951" t="s">
        <v>21130</v>
      </c>
      <c r="C5951" t="s">
        <v>6141</v>
      </c>
      <c r="D5951">
        <v>0.6</v>
      </c>
      <c r="E5951">
        <v>0</v>
      </c>
      <c r="F5951">
        <f t="shared" si="92"/>
        <v>0.6</v>
      </c>
      <c r="I5951">
        <v>20240101</v>
      </c>
      <c r="J5951" t="s">
        <v>6148</v>
      </c>
    </row>
    <row r="5952" spans="1:11" x14ac:dyDescent="0.3">
      <c r="A5952" s="160">
        <v>54022</v>
      </c>
      <c r="B5952" t="s">
        <v>21131</v>
      </c>
      <c r="C5952" t="s">
        <v>6149</v>
      </c>
      <c r="D5952">
        <v>0.55000000000000004</v>
      </c>
      <c r="E5952">
        <v>0</v>
      </c>
      <c r="F5952">
        <f t="shared" si="92"/>
        <v>0.55000000000000004</v>
      </c>
      <c r="I5952">
        <v>20240101</v>
      </c>
      <c r="J5952" t="s">
        <v>6150</v>
      </c>
    </row>
    <row r="5953" spans="1:14" x14ac:dyDescent="0.3">
      <c r="A5953" s="160">
        <v>54023</v>
      </c>
      <c r="B5953" t="s">
        <v>21132</v>
      </c>
      <c r="C5953" t="s">
        <v>6141</v>
      </c>
      <c r="D5953">
        <v>0.6</v>
      </c>
      <c r="E5953">
        <v>0</v>
      </c>
      <c r="F5953">
        <f t="shared" si="92"/>
        <v>0.6</v>
      </c>
      <c r="I5953">
        <v>20240101</v>
      </c>
      <c r="J5953" t="s">
        <v>6151</v>
      </c>
    </row>
    <row r="5954" spans="1:14" x14ac:dyDescent="0.3">
      <c r="A5954" s="160">
        <v>54025</v>
      </c>
      <c r="B5954" t="s">
        <v>21133</v>
      </c>
      <c r="C5954" t="s">
        <v>6152</v>
      </c>
      <c r="D5954">
        <v>2</v>
      </c>
      <c r="E5954">
        <v>0</v>
      </c>
      <c r="F5954">
        <f t="shared" si="92"/>
        <v>2</v>
      </c>
      <c r="I5954">
        <v>20120701</v>
      </c>
      <c r="J5954" t="s">
        <v>6153</v>
      </c>
    </row>
    <row r="5955" spans="1:14" x14ac:dyDescent="0.3">
      <c r="A5955" s="160">
        <v>54026</v>
      </c>
      <c r="B5955" t="s">
        <v>21134</v>
      </c>
      <c r="C5955" t="s">
        <v>6141</v>
      </c>
      <c r="D5955">
        <v>0.6</v>
      </c>
      <c r="E5955">
        <v>0</v>
      </c>
      <c r="F5955">
        <f t="shared" si="92"/>
        <v>0.6</v>
      </c>
      <c r="I5955">
        <v>20240101</v>
      </c>
      <c r="J5955" t="s">
        <v>6151</v>
      </c>
    </row>
    <row r="5956" spans="1:14" x14ac:dyDescent="0.3">
      <c r="A5956" s="160">
        <v>54027</v>
      </c>
      <c r="B5956" t="s">
        <v>21135</v>
      </c>
      <c r="C5956" t="s">
        <v>6154</v>
      </c>
      <c r="D5956">
        <v>0.6</v>
      </c>
      <c r="E5956">
        <v>0</v>
      </c>
      <c r="F5956">
        <f t="shared" si="92"/>
        <v>0.6</v>
      </c>
      <c r="I5956">
        <v>20100601</v>
      </c>
      <c r="J5956" t="s">
        <v>6155</v>
      </c>
      <c r="K5956" t="s">
        <v>6156</v>
      </c>
      <c r="L5956" t="s">
        <v>6157</v>
      </c>
      <c r="M5956" t="s">
        <v>6158</v>
      </c>
      <c r="N5956" t="s">
        <v>6159</v>
      </c>
    </row>
    <row r="5957" spans="1:14" x14ac:dyDescent="0.3">
      <c r="A5957" s="160">
        <v>54028</v>
      </c>
      <c r="B5957" t="s">
        <v>21136</v>
      </c>
      <c r="C5957" t="s">
        <v>6137</v>
      </c>
      <c r="D5957">
        <v>0.6</v>
      </c>
      <c r="E5957">
        <v>0</v>
      </c>
      <c r="F5957">
        <f t="shared" si="92"/>
        <v>0.6</v>
      </c>
      <c r="I5957">
        <v>20160701</v>
      </c>
      <c r="J5957" t="s">
        <v>6160</v>
      </c>
      <c r="K5957" t="s">
        <v>6161</v>
      </c>
      <c r="L5957" t="s">
        <v>6162</v>
      </c>
    </row>
    <row r="5958" spans="1:14" x14ac:dyDescent="0.3">
      <c r="A5958" s="160">
        <v>54029</v>
      </c>
      <c r="B5958" t="s">
        <v>21137</v>
      </c>
      <c r="C5958" t="s">
        <v>6137</v>
      </c>
      <c r="D5958">
        <v>0.6</v>
      </c>
      <c r="E5958">
        <v>0</v>
      </c>
      <c r="F5958">
        <f t="shared" si="92"/>
        <v>0.6</v>
      </c>
      <c r="I5958">
        <v>20160701</v>
      </c>
      <c r="J5958" t="s">
        <v>6160</v>
      </c>
      <c r="K5958" t="s">
        <v>6161</v>
      </c>
      <c r="L5958" t="s">
        <v>6143</v>
      </c>
    </row>
    <row r="5959" spans="1:14" x14ac:dyDescent="0.3">
      <c r="A5959" s="160">
        <v>54030</v>
      </c>
      <c r="B5959" t="s">
        <v>21138</v>
      </c>
      <c r="C5959" t="s">
        <v>6141</v>
      </c>
      <c r="D5959">
        <v>0.6</v>
      </c>
      <c r="E5959">
        <v>0</v>
      </c>
      <c r="F5959">
        <f t="shared" ref="F5959:F6022" si="93">D5959+E5959</f>
        <v>0.6</v>
      </c>
      <c r="I5959">
        <v>20180701</v>
      </c>
      <c r="J5959" t="s">
        <v>6142</v>
      </c>
    </row>
    <row r="5960" spans="1:14" x14ac:dyDescent="0.3">
      <c r="A5960" s="160">
        <v>54031</v>
      </c>
      <c r="B5960" t="s">
        <v>21139</v>
      </c>
      <c r="C5960" t="s">
        <v>6154</v>
      </c>
      <c r="D5960">
        <v>0.6</v>
      </c>
      <c r="E5960">
        <v>0</v>
      </c>
      <c r="F5960">
        <f t="shared" si="93"/>
        <v>0.6</v>
      </c>
      <c r="I5960">
        <v>20150101</v>
      </c>
      <c r="J5960" t="s">
        <v>6163</v>
      </c>
    </row>
    <row r="5961" spans="1:14" x14ac:dyDescent="0.3">
      <c r="A5961" s="160">
        <v>54033</v>
      </c>
      <c r="B5961" t="s">
        <v>21140</v>
      </c>
      <c r="C5961" t="s">
        <v>6137</v>
      </c>
      <c r="D5961">
        <v>0.6</v>
      </c>
      <c r="E5961">
        <v>0</v>
      </c>
      <c r="F5961">
        <f t="shared" si="93"/>
        <v>0.6</v>
      </c>
      <c r="I5961">
        <v>20160701</v>
      </c>
      <c r="J5961" t="s">
        <v>6164</v>
      </c>
    </row>
    <row r="5962" spans="1:14" x14ac:dyDescent="0.3">
      <c r="A5962" s="160">
        <v>54034</v>
      </c>
      <c r="B5962" t="s">
        <v>21141</v>
      </c>
      <c r="C5962" t="s">
        <v>6139</v>
      </c>
      <c r="D5962">
        <v>0.55000000000000004</v>
      </c>
      <c r="E5962">
        <v>0</v>
      </c>
      <c r="F5962">
        <f t="shared" si="93"/>
        <v>0.55000000000000004</v>
      </c>
      <c r="I5962">
        <v>20180701</v>
      </c>
      <c r="J5962" t="s">
        <v>6165</v>
      </c>
    </row>
    <row r="5963" spans="1:14" x14ac:dyDescent="0.3">
      <c r="A5963" s="160">
        <v>54035</v>
      </c>
      <c r="B5963" t="s">
        <v>21142</v>
      </c>
      <c r="C5963" t="s">
        <v>6141</v>
      </c>
      <c r="D5963">
        <v>0.6</v>
      </c>
      <c r="E5963">
        <v>0</v>
      </c>
      <c r="F5963">
        <f t="shared" si="93"/>
        <v>0.6</v>
      </c>
      <c r="I5963">
        <v>20180701</v>
      </c>
      <c r="J5963" t="s">
        <v>6142</v>
      </c>
    </row>
    <row r="5964" spans="1:14" x14ac:dyDescent="0.3">
      <c r="A5964" s="160">
        <v>54036</v>
      </c>
      <c r="B5964" t="s">
        <v>21143</v>
      </c>
      <c r="C5964" t="s">
        <v>6137</v>
      </c>
      <c r="D5964">
        <v>0.6</v>
      </c>
      <c r="E5964">
        <v>0</v>
      </c>
      <c r="F5964">
        <f t="shared" si="93"/>
        <v>0.6</v>
      </c>
      <c r="I5964">
        <v>20160701</v>
      </c>
      <c r="J5964" t="s">
        <v>6146</v>
      </c>
      <c r="K5964" t="s">
        <v>6166</v>
      </c>
    </row>
    <row r="5965" spans="1:14" x14ac:dyDescent="0.3">
      <c r="A5965" s="160">
        <v>54037</v>
      </c>
      <c r="B5965" t="s">
        <v>21144</v>
      </c>
      <c r="C5965" t="s">
        <v>6167</v>
      </c>
      <c r="D5965">
        <v>0.6</v>
      </c>
      <c r="E5965">
        <v>0</v>
      </c>
      <c r="F5965">
        <f t="shared" si="93"/>
        <v>0.6</v>
      </c>
      <c r="I5965">
        <v>20180701</v>
      </c>
      <c r="J5965" t="s">
        <v>6168</v>
      </c>
    </row>
    <row r="5966" spans="1:14" x14ac:dyDescent="0.3">
      <c r="A5966" s="160">
        <v>54038</v>
      </c>
      <c r="B5966" t="s">
        <v>21145</v>
      </c>
      <c r="C5966" t="s">
        <v>6141</v>
      </c>
      <c r="D5966">
        <v>0.6</v>
      </c>
      <c r="E5966">
        <v>0</v>
      </c>
      <c r="F5966">
        <f t="shared" si="93"/>
        <v>0.6</v>
      </c>
      <c r="I5966">
        <v>20180701</v>
      </c>
      <c r="J5966" t="s">
        <v>6169</v>
      </c>
    </row>
    <row r="5967" spans="1:14" x14ac:dyDescent="0.3">
      <c r="A5967" s="160">
        <v>54039</v>
      </c>
      <c r="B5967" t="s">
        <v>21146</v>
      </c>
      <c r="C5967" t="s">
        <v>6141</v>
      </c>
      <c r="D5967">
        <v>0.6</v>
      </c>
      <c r="E5967">
        <v>0</v>
      </c>
      <c r="F5967">
        <f t="shared" si="93"/>
        <v>0.6</v>
      </c>
      <c r="I5967">
        <v>20180701</v>
      </c>
      <c r="J5967" t="s">
        <v>6170</v>
      </c>
    </row>
    <row r="5968" spans="1:14" x14ac:dyDescent="0.3">
      <c r="A5968" s="160">
        <v>54043</v>
      </c>
      <c r="B5968" t="s">
        <v>21147</v>
      </c>
      <c r="C5968" t="s">
        <v>6171</v>
      </c>
      <c r="D5968">
        <v>0.6</v>
      </c>
      <c r="E5968">
        <v>0</v>
      </c>
      <c r="F5968">
        <f t="shared" si="93"/>
        <v>0.6</v>
      </c>
      <c r="I5968">
        <v>20060101</v>
      </c>
      <c r="J5968" t="s">
        <v>6172</v>
      </c>
      <c r="K5968" t="s">
        <v>6173</v>
      </c>
    </row>
    <row r="5969" spans="1:11" x14ac:dyDescent="0.3">
      <c r="A5969" s="160">
        <v>54044</v>
      </c>
      <c r="B5969" t="s">
        <v>21148</v>
      </c>
      <c r="C5969" t="s">
        <v>6141</v>
      </c>
      <c r="D5969">
        <v>0.6</v>
      </c>
      <c r="E5969">
        <v>0</v>
      </c>
      <c r="F5969">
        <f t="shared" si="93"/>
        <v>0.6</v>
      </c>
      <c r="I5969">
        <v>20180701</v>
      </c>
      <c r="J5969" t="s">
        <v>6142</v>
      </c>
    </row>
    <row r="5970" spans="1:11" x14ac:dyDescent="0.3">
      <c r="A5970" s="160">
        <v>54045</v>
      </c>
      <c r="B5970" t="s">
        <v>21149</v>
      </c>
      <c r="C5970" t="s">
        <v>6141</v>
      </c>
      <c r="D5970">
        <v>0.6</v>
      </c>
      <c r="E5970">
        <v>0</v>
      </c>
      <c r="F5970">
        <f t="shared" si="93"/>
        <v>0.6</v>
      </c>
      <c r="I5970">
        <v>20180701</v>
      </c>
      <c r="J5970" t="s">
        <v>6174</v>
      </c>
    </row>
    <row r="5971" spans="1:11" x14ac:dyDescent="0.3">
      <c r="A5971" s="160">
        <v>54048</v>
      </c>
      <c r="B5971" t="s">
        <v>21150</v>
      </c>
      <c r="C5971" t="s">
        <v>6137</v>
      </c>
      <c r="D5971">
        <v>0.6</v>
      </c>
      <c r="E5971">
        <v>0</v>
      </c>
      <c r="F5971">
        <f t="shared" si="93"/>
        <v>0.6</v>
      </c>
      <c r="I5971">
        <v>20160701</v>
      </c>
      <c r="J5971" t="s">
        <v>6146</v>
      </c>
    </row>
    <row r="5972" spans="1:11" x14ac:dyDescent="0.3">
      <c r="A5972" s="160">
        <v>54050</v>
      </c>
      <c r="B5972" t="s">
        <v>21151</v>
      </c>
      <c r="C5972" t="s">
        <v>6141</v>
      </c>
      <c r="D5972">
        <v>0.6</v>
      </c>
      <c r="E5972">
        <v>0</v>
      </c>
      <c r="F5972">
        <f t="shared" si="93"/>
        <v>0.6</v>
      </c>
      <c r="I5972">
        <v>20240101</v>
      </c>
      <c r="J5972" t="s">
        <v>6151</v>
      </c>
    </row>
    <row r="5973" spans="1:11" x14ac:dyDescent="0.3">
      <c r="A5973" s="160">
        <v>54051</v>
      </c>
      <c r="B5973" t="s">
        <v>21152</v>
      </c>
      <c r="C5973" t="s">
        <v>6137</v>
      </c>
      <c r="D5973">
        <v>0.6</v>
      </c>
      <c r="E5973">
        <v>0</v>
      </c>
      <c r="F5973">
        <f t="shared" si="93"/>
        <v>0.6</v>
      </c>
      <c r="I5973">
        <v>20160701</v>
      </c>
      <c r="J5973" t="s">
        <v>6160</v>
      </c>
      <c r="K5973" t="s">
        <v>6175</v>
      </c>
    </row>
    <row r="5974" spans="1:11" x14ac:dyDescent="0.3">
      <c r="A5974" s="160">
        <v>54053</v>
      </c>
      <c r="B5974" t="s">
        <v>21153</v>
      </c>
      <c r="C5974" t="s">
        <v>6141</v>
      </c>
      <c r="D5974">
        <v>0.6</v>
      </c>
      <c r="E5974">
        <v>0</v>
      </c>
      <c r="F5974">
        <f t="shared" si="93"/>
        <v>0.6</v>
      </c>
      <c r="I5974">
        <v>20240101</v>
      </c>
      <c r="J5974" t="s">
        <v>6151</v>
      </c>
    </row>
    <row r="5975" spans="1:11" x14ac:dyDescent="0.3">
      <c r="A5975" s="160">
        <v>54054</v>
      </c>
      <c r="B5975" t="s">
        <v>21154</v>
      </c>
      <c r="C5975" t="s">
        <v>6141</v>
      </c>
      <c r="D5975">
        <v>0.6</v>
      </c>
      <c r="E5975">
        <v>0</v>
      </c>
      <c r="F5975">
        <f t="shared" si="93"/>
        <v>0.6</v>
      </c>
      <c r="I5975">
        <v>20180701</v>
      </c>
      <c r="J5975" t="s">
        <v>6176</v>
      </c>
    </row>
    <row r="5976" spans="1:11" x14ac:dyDescent="0.3">
      <c r="A5976" s="160">
        <v>54055</v>
      </c>
      <c r="B5976" t="s">
        <v>21155</v>
      </c>
      <c r="C5976" t="s">
        <v>6149</v>
      </c>
      <c r="D5976">
        <v>0.55000000000000004</v>
      </c>
      <c r="E5976">
        <v>0</v>
      </c>
      <c r="F5976">
        <f t="shared" si="93"/>
        <v>0.55000000000000004</v>
      </c>
      <c r="I5976">
        <v>20240101</v>
      </c>
      <c r="J5976" t="s">
        <v>6177</v>
      </c>
    </row>
    <row r="5977" spans="1:11" x14ac:dyDescent="0.3">
      <c r="A5977" s="160">
        <v>54057</v>
      </c>
      <c r="B5977" t="s">
        <v>16862</v>
      </c>
      <c r="C5977" t="s">
        <v>6149</v>
      </c>
      <c r="D5977">
        <v>0.55000000000000004</v>
      </c>
      <c r="E5977">
        <v>0</v>
      </c>
      <c r="F5977">
        <f t="shared" si="93"/>
        <v>0.55000000000000004</v>
      </c>
      <c r="I5977">
        <v>20240101</v>
      </c>
      <c r="J5977" t="s">
        <v>6147</v>
      </c>
    </row>
    <row r="5978" spans="1:11" x14ac:dyDescent="0.3">
      <c r="A5978" s="160">
        <v>54058</v>
      </c>
      <c r="B5978" t="s">
        <v>21156</v>
      </c>
      <c r="C5978" t="s">
        <v>6137</v>
      </c>
      <c r="D5978">
        <v>0.6</v>
      </c>
      <c r="E5978">
        <v>0</v>
      </c>
      <c r="F5978">
        <f t="shared" si="93"/>
        <v>0.6</v>
      </c>
      <c r="I5978">
        <v>20160701</v>
      </c>
      <c r="J5978" t="s">
        <v>6138</v>
      </c>
    </row>
    <row r="5979" spans="1:11" x14ac:dyDescent="0.3">
      <c r="A5979" s="160">
        <v>54060</v>
      </c>
      <c r="B5979" t="s">
        <v>21157</v>
      </c>
      <c r="C5979" t="s">
        <v>6154</v>
      </c>
      <c r="D5979">
        <v>0.6</v>
      </c>
      <c r="E5979">
        <v>0</v>
      </c>
      <c r="F5979">
        <f t="shared" si="93"/>
        <v>0.6</v>
      </c>
      <c r="I5979">
        <v>20150101</v>
      </c>
      <c r="J5979" t="s">
        <v>6178</v>
      </c>
    </row>
    <row r="5980" spans="1:11" x14ac:dyDescent="0.3">
      <c r="A5980" s="160">
        <v>54061</v>
      </c>
      <c r="B5980" t="s">
        <v>21158</v>
      </c>
      <c r="C5980" t="s">
        <v>6141</v>
      </c>
      <c r="D5980">
        <v>0.6</v>
      </c>
      <c r="E5980">
        <v>0</v>
      </c>
      <c r="F5980">
        <f t="shared" si="93"/>
        <v>0.6</v>
      </c>
      <c r="I5980">
        <v>20180701</v>
      </c>
      <c r="J5980" t="s">
        <v>6142</v>
      </c>
    </row>
    <row r="5981" spans="1:11" x14ac:dyDescent="0.3">
      <c r="A5981" s="160">
        <v>54063</v>
      </c>
      <c r="B5981" t="s">
        <v>21159</v>
      </c>
      <c r="C5981" t="s">
        <v>6149</v>
      </c>
      <c r="D5981">
        <v>0.55000000000000004</v>
      </c>
      <c r="E5981">
        <v>0</v>
      </c>
      <c r="F5981">
        <f t="shared" si="93"/>
        <v>0.55000000000000004</v>
      </c>
      <c r="I5981">
        <v>20240101</v>
      </c>
      <c r="J5981" t="s">
        <v>6147</v>
      </c>
    </row>
    <row r="5982" spans="1:11" x14ac:dyDescent="0.3">
      <c r="A5982" s="160">
        <v>54065</v>
      </c>
      <c r="B5982" t="s">
        <v>21160</v>
      </c>
      <c r="C5982" t="s">
        <v>6141</v>
      </c>
      <c r="D5982">
        <v>0.6</v>
      </c>
      <c r="E5982">
        <v>0</v>
      </c>
      <c r="F5982">
        <f t="shared" si="93"/>
        <v>0.6</v>
      </c>
      <c r="I5982">
        <v>20180701</v>
      </c>
      <c r="J5982" t="s">
        <v>6170</v>
      </c>
    </row>
    <row r="5983" spans="1:11" x14ac:dyDescent="0.3">
      <c r="A5983" s="160">
        <v>54066</v>
      </c>
      <c r="B5983" t="s">
        <v>21161</v>
      </c>
      <c r="C5983" t="s">
        <v>6137</v>
      </c>
      <c r="D5983">
        <v>0.6</v>
      </c>
      <c r="E5983">
        <v>0</v>
      </c>
      <c r="F5983">
        <f t="shared" si="93"/>
        <v>0.6</v>
      </c>
      <c r="I5983">
        <v>20160701</v>
      </c>
      <c r="J5983" t="s">
        <v>6179</v>
      </c>
    </row>
    <row r="5984" spans="1:11" x14ac:dyDescent="0.3">
      <c r="A5984" s="160">
        <v>54069</v>
      </c>
      <c r="B5984" t="s">
        <v>21162</v>
      </c>
      <c r="C5984" t="s">
        <v>6137</v>
      </c>
      <c r="D5984">
        <v>0.6</v>
      </c>
      <c r="E5984">
        <v>0</v>
      </c>
      <c r="F5984">
        <f t="shared" si="93"/>
        <v>0.6</v>
      </c>
      <c r="I5984">
        <v>20160701</v>
      </c>
      <c r="J5984" t="s">
        <v>6161</v>
      </c>
      <c r="K5984" t="s">
        <v>6143</v>
      </c>
    </row>
    <row r="5985" spans="1:15" x14ac:dyDescent="0.3">
      <c r="A5985" s="160">
        <v>54071</v>
      </c>
      <c r="B5985" t="s">
        <v>21163</v>
      </c>
      <c r="C5985" t="s">
        <v>6141</v>
      </c>
      <c r="D5985">
        <v>0.6</v>
      </c>
      <c r="E5985">
        <v>0</v>
      </c>
      <c r="F5985">
        <f t="shared" si="93"/>
        <v>0.6</v>
      </c>
      <c r="I5985">
        <v>20240101</v>
      </c>
      <c r="J5985" t="s">
        <v>6151</v>
      </c>
    </row>
    <row r="5986" spans="1:15" x14ac:dyDescent="0.3">
      <c r="A5986" s="160">
        <v>54072</v>
      </c>
      <c r="B5986" t="s">
        <v>21164</v>
      </c>
      <c r="C5986" t="s">
        <v>6154</v>
      </c>
      <c r="D5986">
        <v>0.6</v>
      </c>
      <c r="E5986">
        <v>0</v>
      </c>
      <c r="F5986">
        <f t="shared" si="93"/>
        <v>0.6</v>
      </c>
      <c r="I5986">
        <v>20150101</v>
      </c>
      <c r="J5986" t="s">
        <v>6163</v>
      </c>
    </row>
    <row r="5987" spans="1:15" x14ac:dyDescent="0.3">
      <c r="A5987" s="160">
        <v>54073</v>
      </c>
      <c r="B5987" t="s">
        <v>21165</v>
      </c>
      <c r="C5987" t="s">
        <v>6139</v>
      </c>
      <c r="D5987">
        <v>0.55000000000000004</v>
      </c>
      <c r="E5987">
        <v>0</v>
      </c>
      <c r="F5987">
        <f t="shared" si="93"/>
        <v>0.55000000000000004</v>
      </c>
      <c r="I5987">
        <v>20180701</v>
      </c>
      <c r="J5987" t="s">
        <v>6144</v>
      </c>
      <c r="K5987" t="s">
        <v>6145</v>
      </c>
      <c r="L5987" t="s">
        <v>6180</v>
      </c>
    </row>
    <row r="5988" spans="1:15" x14ac:dyDescent="0.3">
      <c r="A5988" s="160">
        <v>54074</v>
      </c>
      <c r="B5988" t="s">
        <v>21166</v>
      </c>
      <c r="C5988" t="s">
        <v>6141</v>
      </c>
      <c r="D5988">
        <v>0.6</v>
      </c>
      <c r="E5988">
        <v>0</v>
      </c>
      <c r="F5988">
        <f t="shared" si="93"/>
        <v>0.6</v>
      </c>
      <c r="I5988">
        <v>20240101</v>
      </c>
      <c r="J5988" t="s">
        <v>6181</v>
      </c>
    </row>
    <row r="5989" spans="1:15" x14ac:dyDescent="0.3">
      <c r="A5989" s="160">
        <v>54075</v>
      </c>
      <c r="B5989" t="s">
        <v>21167</v>
      </c>
      <c r="C5989" t="s">
        <v>6182</v>
      </c>
      <c r="D5989">
        <v>0.55000000000000004</v>
      </c>
      <c r="E5989">
        <v>0</v>
      </c>
      <c r="F5989">
        <f t="shared" si="93"/>
        <v>0.55000000000000004</v>
      </c>
      <c r="I5989">
        <v>20240101</v>
      </c>
      <c r="J5989" t="s">
        <v>6183</v>
      </c>
    </row>
    <row r="5990" spans="1:15" x14ac:dyDescent="0.3">
      <c r="A5990" s="160">
        <v>54076</v>
      </c>
      <c r="B5990" t="s">
        <v>21168</v>
      </c>
      <c r="C5990" t="s">
        <v>6141</v>
      </c>
      <c r="D5990">
        <v>0.6</v>
      </c>
      <c r="E5990">
        <v>0</v>
      </c>
      <c r="F5990">
        <f t="shared" si="93"/>
        <v>0.6</v>
      </c>
      <c r="I5990">
        <v>20180701</v>
      </c>
      <c r="J5990" t="s">
        <v>6174</v>
      </c>
    </row>
    <row r="5991" spans="1:15" x14ac:dyDescent="0.3">
      <c r="A5991" s="160">
        <v>54077</v>
      </c>
      <c r="B5991" t="s">
        <v>21169</v>
      </c>
      <c r="C5991" t="s">
        <v>6141</v>
      </c>
      <c r="D5991">
        <v>0.6</v>
      </c>
      <c r="E5991">
        <v>0</v>
      </c>
      <c r="F5991">
        <f t="shared" si="93"/>
        <v>0.6</v>
      </c>
      <c r="I5991">
        <v>20180701</v>
      </c>
      <c r="J5991" t="s">
        <v>6142</v>
      </c>
    </row>
    <row r="5992" spans="1:15" x14ac:dyDescent="0.3">
      <c r="A5992" s="160">
        <v>54078</v>
      </c>
      <c r="B5992" t="s">
        <v>21170</v>
      </c>
      <c r="C5992" t="s">
        <v>6141</v>
      </c>
      <c r="D5992">
        <v>0.6</v>
      </c>
      <c r="E5992">
        <v>0</v>
      </c>
      <c r="F5992">
        <f t="shared" si="93"/>
        <v>0.6</v>
      </c>
      <c r="I5992">
        <v>20180701</v>
      </c>
      <c r="J5992" t="s">
        <v>6142</v>
      </c>
    </row>
    <row r="5993" spans="1:15" x14ac:dyDescent="0.3">
      <c r="A5993" s="160">
        <v>54079</v>
      </c>
      <c r="B5993" t="s">
        <v>21171</v>
      </c>
      <c r="C5993" t="s">
        <v>6154</v>
      </c>
      <c r="D5993">
        <v>0.6</v>
      </c>
      <c r="E5993">
        <v>0</v>
      </c>
      <c r="F5993">
        <f t="shared" si="93"/>
        <v>0.6</v>
      </c>
      <c r="I5993">
        <v>20100601</v>
      </c>
      <c r="J5993" t="s">
        <v>6155</v>
      </c>
      <c r="K5993" t="s">
        <v>6156</v>
      </c>
      <c r="L5993" t="s">
        <v>6157</v>
      </c>
      <c r="M5993" t="s">
        <v>6184</v>
      </c>
      <c r="N5993" t="s">
        <v>6158</v>
      </c>
      <c r="O5993" t="s">
        <v>6185</v>
      </c>
    </row>
    <row r="5994" spans="1:15" x14ac:dyDescent="0.3">
      <c r="A5994" s="160">
        <v>54082</v>
      </c>
      <c r="B5994" t="s">
        <v>17663</v>
      </c>
      <c r="C5994" t="s">
        <v>6137</v>
      </c>
      <c r="D5994">
        <v>0.6</v>
      </c>
      <c r="E5994">
        <v>0</v>
      </c>
      <c r="F5994">
        <f t="shared" si="93"/>
        <v>0.6</v>
      </c>
      <c r="I5994">
        <v>20160701</v>
      </c>
      <c r="J5994" t="s">
        <v>6138</v>
      </c>
    </row>
    <row r="5995" spans="1:15" x14ac:dyDescent="0.3">
      <c r="A5995" s="160">
        <v>54083</v>
      </c>
      <c r="B5995" t="s">
        <v>21172</v>
      </c>
      <c r="C5995" t="s">
        <v>6141</v>
      </c>
      <c r="D5995">
        <v>0.6</v>
      </c>
      <c r="E5995">
        <v>0</v>
      </c>
      <c r="F5995">
        <f t="shared" si="93"/>
        <v>0.6</v>
      </c>
      <c r="I5995">
        <v>20240101</v>
      </c>
      <c r="J5995" t="s">
        <v>6181</v>
      </c>
    </row>
    <row r="5996" spans="1:15" x14ac:dyDescent="0.3">
      <c r="A5996" s="160">
        <v>54084</v>
      </c>
      <c r="B5996" t="s">
        <v>21173</v>
      </c>
      <c r="C5996" t="s">
        <v>6137</v>
      </c>
      <c r="D5996">
        <v>0.6</v>
      </c>
      <c r="E5996">
        <v>0</v>
      </c>
      <c r="F5996">
        <f t="shared" si="93"/>
        <v>0.6</v>
      </c>
      <c r="I5996">
        <v>20160701</v>
      </c>
      <c r="J5996" t="s">
        <v>6186</v>
      </c>
    </row>
    <row r="5997" spans="1:15" x14ac:dyDescent="0.3">
      <c r="A5997" s="160">
        <v>54085</v>
      </c>
      <c r="B5997" t="s">
        <v>21174</v>
      </c>
      <c r="C5997" t="s">
        <v>6141</v>
      </c>
      <c r="D5997">
        <v>0.6</v>
      </c>
      <c r="E5997">
        <v>0</v>
      </c>
      <c r="F5997">
        <f t="shared" si="93"/>
        <v>0.6</v>
      </c>
      <c r="I5997">
        <v>20180701</v>
      </c>
      <c r="J5997" t="s">
        <v>6176</v>
      </c>
    </row>
    <row r="5998" spans="1:15" x14ac:dyDescent="0.3">
      <c r="A5998" s="160">
        <v>54086</v>
      </c>
      <c r="B5998" t="s">
        <v>21175</v>
      </c>
      <c r="C5998" t="s">
        <v>6139</v>
      </c>
      <c r="D5998">
        <v>0.55000000000000004</v>
      </c>
      <c r="E5998">
        <v>0</v>
      </c>
      <c r="F5998">
        <f t="shared" si="93"/>
        <v>0.55000000000000004</v>
      </c>
      <c r="I5998">
        <v>20180701</v>
      </c>
      <c r="J5998" t="s">
        <v>6144</v>
      </c>
    </row>
    <row r="5999" spans="1:15" x14ac:dyDescent="0.3">
      <c r="A5999" s="160">
        <v>54087</v>
      </c>
      <c r="B5999" t="s">
        <v>21176</v>
      </c>
      <c r="C5999" t="s">
        <v>6149</v>
      </c>
      <c r="D5999">
        <v>0.55000000000000004</v>
      </c>
      <c r="E5999">
        <v>0</v>
      </c>
      <c r="F5999">
        <f t="shared" si="93"/>
        <v>0.55000000000000004</v>
      </c>
      <c r="I5999">
        <v>20240101</v>
      </c>
      <c r="J5999" t="s">
        <v>6147</v>
      </c>
    </row>
    <row r="6000" spans="1:15" x14ac:dyDescent="0.3">
      <c r="A6000" s="160">
        <v>54088</v>
      </c>
      <c r="B6000" t="s">
        <v>21177</v>
      </c>
      <c r="C6000" t="s">
        <v>6139</v>
      </c>
      <c r="D6000">
        <v>0.55000000000000004</v>
      </c>
      <c r="E6000">
        <v>0</v>
      </c>
      <c r="F6000">
        <f t="shared" si="93"/>
        <v>0.55000000000000004</v>
      </c>
      <c r="I6000">
        <v>20180701</v>
      </c>
      <c r="J6000" t="s">
        <v>6144</v>
      </c>
    </row>
    <row r="6001" spans="1:15" x14ac:dyDescent="0.3">
      <c r="A6001" s="160">
        <v>54090</v>
      </c>
      <c r="B6001" t="s">
        <v>21178</v>
      </c>
      <c r="C6001" t="s">
        <v>6187</v>
      </c>
      <c r="D6001">
        <v>0.6</v>
      </c>
      <c r="E6001">
        <v>0</v>
      </c>
      <c r="F6001">
        <f t="shared" si="93"/>
        <v>0.6</v>
      </c>
      <c r="I6001">
        <v>20111101</v>
      </c>
      <c r="J6001" t="s">
        <v>6188</v>
      </c>
    </row>
    <row r="6002" spans="1:15" x14ac:dyDescent="0.3">
      <c r="A6002" s="160">
        <v>54091</v>
      </c>
      <c r="B6002" t="s">
        <v>21179</v>
      </c>
      <c r="C6002" t="s">
        <v>6154</v>
      </c>
      <c r="D6002">
        <v>0.6</v>
      </c>
      <c r="E6002">
        <v>0</v>
      </c>
      <c r="F6002">
        <f t="shared" si="93"/>
        <v>0.6</v>
      </c>
      <c r="I6002">
        <v>20150101</v>
      </c>
      <c r="J6002" t="s">
        <v>6155</v>
      </c>
    </row>
    <row r="6003" spans="1:15" x14ac:dyDescent="0.3">
      <c r="A6003" s="160">
        <v>54093</v>
      </c>
      <c r="B6003" t="s">
        <v>20446</v>
      </c>
      <c r="C6003" t="s">
        <v>6137</v>
      </c>
      <c r="D6003">
        <v>0.6</v>
      </c>
      <c r="E6003">
        <v>0</v>
      </c>
      <c r="F6003">
        <f t="shared" si="93"/>
        <v>0.6</v>
      </c>
      <c r="I6003">
        <v>20160701</v>
      </c>
      <c r="J6003" t="s">
        <v>6138</v>
      </c>
    </row>
    <row r="6004" spans="1:15" x14ac:dyDescent="0.3">
      <c r="A6004" s="160">
        <v>54098</v>
      </c>
      <c r="B6004" t="s">
        <v>21180</v>
      </c>
      <c r="C6004" t="s">
        <v>6141</v>
      </c>
      <c r="D6004">
        <v>0.6</v>
      </c>
      <c r="E6004">
        <v>0</v>
      </c>
      <c r="F6004">
        <f t="shared" si="93"/>
        <v>0.6</v>
      </c>
      <c r="I6004">
        <v>20180701</v>
      </c>
      <c r="J6004" t="s">
        <v>6176</v>
      </c>
    </row>
    <row r="6005" spans="1:15" x14ac:dyDescent="0.3">
      <c r="A6005" s="160">
        <v>54099</v>
      </c>
      <c r="B6005" t="s">
        <v>21181</v>
      </c>
      <c r="C6005" t="s">
        <v>6137</v>
      </c>
      <c r="D6005">
        <v>0.6</v>
      </c>
      <c r="E6005">
        <v>0</v>
      </c>
      <c r="F6005">
        <f t="shared" si="93"/>
        <v>0.6</v>
      </c>
      <c r="I6005">
        <v>20160701</v>
      </c>
      <c r="J6005" t="s">
        <v>6146</v>
      </c>
      <c r="K6005" t="s">
        <v>6189</v>
      </c>
      <c r="L6005" t="s">
        <v>6190</v>
      </c>
      <c r="M6005" t="s">
        <v>6191</v>
      </c>
      <c r="N6005" t="s">
        <v>6166</v>
      </c>
      <c r="O6005" t="s">
        <v>6192</v>
      </c>
    </row>
    <row r="6006" spans="1:15" x14ac:dyDescent="0.3">
      <c r="A6006" s="160">
        <v>54101</v>
      </c>
      <c r="B6006" t="s">
        <v>21182</v>
      </c>
      <c r="C6006" t="s">
        <v>6141</v>
      </c>
      <c r="D6006">
        <v>0.6</v>
      </c>
      <c r="E6006">
        <v>0</v>
      </c>
      <c r="F6006">
        <f t="shared" si="93"/>
        <v>0.6</v>
      </c>
      <c r="I6006">
        <v>20180701</v>
      </c>
      <c r="J6006" t="s">
        <v>6170</v>
      </c>
    </row>
    <row r="6007" spans="1:15" x14ac:dyDescent="0.3">
      <c r="A6007" s="160">
        <v>54102</v>
      </c>
      <c r="B6007" t="s">
        <v>21183</v>
      </c>
      <c r="C6007" t="s">
        <v>6139</v>
      </c>
      <c r="D6007">
        <v>0.55000000000000004</v>
      </c>
      <c r="E6007">
        <v>0</v>
      </c>
      <c r="F6007">
        <f t="shared" si="93"/>
        <v>0.55000000000000004</v>
      </c>
      <c r="I6007">
        <v>20180701</v>
      </c>
      <c r="J6007" t="s">
        <v>6144</v>
      </c>
    </row>
    <row r="6008" spans="1:15" x14ac:dyDescent="0.3">
      <c r="A6008" s="160">
        <v>54103</v>
      </c>
      <c r="B6008" t="s">
        <v>21184</v>
      </c>
      <c r="C6008" t="s">
        <v>6137</v>
      </c>
      <c r="D6008">
        <v>0.6</v>
      </c>
      <c r="E6008">
        <v>0</v>
      </c>
      <c r="F6008">
        <f t="shared" si="93"/>
        <v>0.6</v>
      </c>
      <c r="I6008">
        <v>20160701</v>
      </c>
      <c r="J6008" t="s">
        <v>6138</v>
      </c>
      <c r="K6008" t="s">
        <v>6193</v>
      </c>
    </row>
    <row r="6009" spans="1:15" x14ac:dyDescent="0.3">
      <c r="A6009" s="160">
        <v>54106</v>
      </c>
      <c r="B6009" t="s">
        <v>21185</v>
      </c>
      <c r="C6009" t="s">
        <v>6141</v>
      </c>
      <c r="D6009">
        <v>0.6</v>
      </c>
      <c r="E6009">
        <v>0</v>
      </c>
      <c r="F6009">
        <f t="shared" si="93"/>
        <v>0.6</v>
      </c>
      <c r="I6009">
        <v>20240101</v>
      </c>
      <c r="J6009" t="s">
        <v>6151</v>
      </c>
    </row>
    <row r="6010" spans="1:15" x14ac:dyDescent="0.3">
      <c r="A6010" s="160">
        <v>54107</v>
      </c>
      <c r="B6010" t="s">
        <v>21186</v>
      </c>
      <c r="C6010" t="s">
        <v>6141</v>
      </c>
      <c r="D6010">
        <v>0.6</v>
      </c>
      <c r="E6010">
        <v>0</v>
      </c>
      <c r="F6010">
        <f t="shared" si="93"/>
        <v>0.6</v>
      </c>
      <c r="I6010">
        <v>20180701</v>
      </c>
      <c r="J6010" t="s">
        <v>6142</v>
      </c>
    </row>
    <row r="6011" spans="1:15" x14ac:dyDescent="0.3">
      <c r="A6011" s="160">
        <v>54108</v>
      </c>
      <c r="B6011" t="s">
        <v>21187</v>
      </c>
      <c r="C6011" t="s">
        <v>6167</v>
      </c>
      <c r="D6011">
        <v>0.6</v>
      </c>
      <c r="E6011">
        <v>0</v>
      </c>
      <c r="F6011">
        <f t="shared" si="93"/>
        <v>0.6</v>
      </c>
      <c r="I6011">
        <v>20180701</v>
      </c>
      <c r="J6011" t="s">
        <v>6168</v>
      </c>
    </row>
    <row r="6012" spans="1:15" x14ac:dyDescent="0.3">
      <c r="A6012" s="160">
        <v>54111</v>
      </c>
      <c r="B6012" t="s">
        <v>21188</v>
      </c>
      <c r="C6012" t="s">
        <v>6171</v>
      </c>
      <c r="D6012">
        <v>0.6</v>
      </c>
      <c r="E6012">
        <v>0</v>
      </c>
      <c r="F6012">
        <f t="shared" si="93"/>
        <v>0.6</v>
      </c>
      <c r="I6012">
        <v>20060101</v>
      </c>
      <c r="J6012" t="s">
        <v>6194</v>
      </c>
    </row>
    <row r="6013" spans="1:15" x14ac:dyDescent="0.3">
      <c r="A6013" s="160">
        <v>54112</v>
      </c>
      <c r="B6013" t="s">
        <v>21189</v>
      </c>
      <c r="C6013" t="s">
        <v>6149</v>
      </c>
      <c r="D6013">
        <v>0.55000000000000004</v>
      </c>
      <c r="E6013">
        <v>0</v>
      </c>
      <c r="F6013">
        <f t="shared" si="93"/>
        <v>0.55000000000000004</v>
      </c>
      <c r="I6013">
        <v>20240101</v>
      </c>
      <c r="J6013" t="s">
        <v>6195</v>
      </c>
      <c r="K6013" t="s">
        <v>6177</v>
      </c>
    </row>
    <row r="6014" spans="1:15" x14ac:dyDescent="0.3">
      <c r="A6014" s="160">
        <v>54114</v>
      </c>
      <c r="B6014" t="s">
        <v>21190</v>
      </c>
      <c r="C6014" t="s">
        <v>6154</v>
      </c>
      <c r="D6014">
        <v>0.6</v>
      </c>
      <c r="E6014">
        <v>0</v>
      </c>
      <c r="F6014">
        <f t="shared" si="93"/>
        <v>0.6</v>
      </c>
      <c r="I6014">
        <v>20150101</v>
      </c>
      <c r="J6014" t="s">
        <v>6155</v>
      </c>
    </row>
    <row r="6015" spans="1:15" x14ac:dyDescent="0.3">
      <c r="A6015" s="160">
        <v>54115</v>
      </c>
      <c r="B6015" t="s">
        <v>21191</v>
      </c>
      <c r="C6015" t="s">
        <v>6187</v>
      </c>
      <c r="D6015">
        <v>0.6</v>
      </c>
      <c r="E6015">
        <v>0</v>
      </c>
      <c r="F6015">
        <f t="shared" si="93"/>
        <v>0.6</v>
      </c>
      <c r="I6015">
        <v>20111101</v>
      </c>
      <c r="J6015" t="s">
        <v>6196</v>
      </c>
    </row>
    <row r="6016" spans="1:15" x14ac:dyDescent="0.3">
      <c r="A6016" s="160">
        <v>54116</v>
      </c>
      <c r="B6016" t="s">
        <v>21192</v>
      </c>
      <c r="C6016" t="s">
        <v>6141</v>
      </c>
      <c r="D6016">
        <v>0.6</v>
      </c>
      <c r="E6016">
        <v>0</v>
      </c>
      <c r="F6016">
        <f t="shared" si="93"/>
        <v>0.6</v>
      </c>
      <c r="I6016">
        <v>20180701</v>
      </c>
      <c r="J6016" t="s">
        <v>6181</v>
      </c>
      <c r="K6016" t="s">
        <v>6197</v>
      </c>
      <c r="L6016" t="s">
        <v>6198</v>
      </c>
      <c r="M6016" t="s">
        <v>6199</v>
      </c>
      <c r="N6016" t="s">
        <v>6200</v>
      </c>
    </row>
    <row r="6017" spans="1:13" x14ac:dyDescent="0.3">
      <c r="A6017" s="160">
        <v>54119</v>
      </c>
      <c r="B6017" t="s">
        <v>21193</v>
      </c>
      <c r="C6017" t="s">
        <v>6149</v>
      </c>
      <c r="D6017">
        <v>0.55000000000000004</v>
      </c>
      <c r="E6017">
        <v>0</v>
      </c>
      <c r="F6017">
        <f t="shared" si="93"/>
        <v>0.55000000000000004</v>
      </c>
      <c r="I6017">
        <v>20240101</v>
      </c>
      <c r="J6017" t="s">
        <v>6147</v>
      </c>
    </row>
    <row r="6018" spans="1:13" x14ac:dyDescent="0.3">
      <c r="A6018" s="160">
        <v>54120</v>
      </c>
      <c r="B6018" t="s">
        <v>21194</v>
      </c>
      <c r="C6018" t="s">
        <v>6139</v>
      </c>
      <c r="D6018">
        <v>0.55000000000000004</v>
      </c>
      <c r="E6018">
        <v>0</v>
      </c>
      <c r="F6018">
        <f t="shared" si="93"/>
        <v>0.55000000000000004</v>
      </c>
      <c r="I6018">
        <v>20180701</v>
      </c>
      <c r="J6018" t="s">
        <v>6201</v>
      </c>
      <c r="K6018" t="s">
        <v>6202</v>
      </c>
    </row>
    <row r="6019" spans="1:13" x14ac:dyDescent="0.3">
      <c r="A6019" s="160">
        <v>54121</v>
      </c>
      <c r="B6019" t="s">
        <v>21195</v>
      </c>
      <c r="C6019" t="s">
        <v>6141</v>
      </c>
      <c r="D6019">
        <v>0.6</v>
      </c>
      <c r="E6019">
        <v>0</v>
      </c>
      <c r="F6019">
        <f t="shared" si="93"/>
        <v>0.6</v>
      </c>
      <c r="I6019">
        <v>20180701</v>
      </c>
      <c r="J6019" t="s">
        <v>6174</v>
      </c>
    </row>
    <row r="6020" spans="1:13" x14ac:dyDescent="0.3">
      <c r="A6020" s="160">
        <v>54122</v>
      </c>
      <c r="B6020" t="s">
        <v>21196</v>
      </c>
      <c r="C6020" t="s">
        <v>6139</v>
      </c>
      <c r="D6020">
        <v>0.55000000000000004</v>
      </c>
      <c r="E6020">
        <v>0</v>
      </c>
      <c r="F6020">
        <f t="shared" si="93"/>
        <v>0.55000000000000004</v>
      </c>
      <c r="I6020">
        <v>20060901</v>
      </c>
      <c r="J6020" t="s">
        <v>6144</v>
      </c>
      <c r="K6020" t="s">
        <v>6202</v>
      </c>
    </row>
    <row r="6021" spans="1:13" x14ac:dyDescent="0.3">
      <c r="A6021" s="160">
        <v>54123</v>
      </c>
      <c r="B6021" t="s">
        <v>15383</v>
      </c>
      <c r="C6021" t="s">
        <v>6171</v>
      </c>
      <c r="D6021">
        <v>0.6</v>
      </c>
      <c r="E6021">
        <v>0</v>
      </c>
      <c r="F6021">
        <f t="shared" si="93"/>
        <v>0.6</v>
      </c>
      <c r="I6021">
        <v>20060101</v>
      </c>
      <c r="J6021" t="s">
        <v>6194</v>
      </c>
    </row>
    <row r="6022" spans="1:13" x14ac:dyDescent="0.3">
      <c r="A6022" s="160">
        <v>54124</v>
      </c>
      <c r="B6022" t="s">
        <v>21197</v>
      </c>
      <c r="C6022" t="s">
        <v>6141</v>
      </c>
      <c r="D6022">
        <v>0.6</v>
      </c>
      <c r="E6022">
        <v>0</v>
      </c>
      <c r="F6022">
        <f t="shared" si="93"/>
        <v>0.6</v>
      </c>
      <c r="I6022">
        <v>20180701</v>
      </c>
      <c r="J6022" t="s">
        <v>6142</v>
      </c>
    </row>
    <row r="6023" spans="1:13" x14ac:dyDescent="0.3">
      <c r="A6023" s="160">
        <v>54125</v>
      </c>
      <c r="B6023" t="s">
        <v>21198</v>
      </c>
      <c r="C6023" t="s">
        <v>6141</v>
      </c>
      <c r="D6023">
        <v>0.6</v>
      </c>
      <c r="E6023">
        <v>0</v>
      </c>
      <c r="F6023">
        <f t="shared" ref="F6023:F6086" si="94">D6023+E6023</f>
        <v>0.6</v>
      </c>
      <c r="I6023">
        <v>20180701</v>
      </c>
      <c r="J6023" t="s">
        <v>6169</v>
      </c>
    </row>
    <row r="6024" spans="1:13" x14ac:dyDescent="0.3">
      <c r="A6024" s="160">
        <v>54127</v>
      </c>
      <c r="B6024" t="s">
        <v>21199</v>
      </c>
      <c r="C6024" t="s">
        <v>6203</v>
      </c>
      <c r="D6024">
        <v>0.6</v>
      </c>
      <c r="E6024">
        <v>0</v>
      </c>
      <c r="F6024">
        <f t="shared" si="94"/>
        <v>0.6</v>
      </c>
      <c r="I6024">
        <v>20170701</v>
      </c>
      <c r="J6024" t="s">
        <v>6204</v>
      </c>
    </row>
    <row r="6025" spans="1:13" x14ac:dyDescent="0.3">
      <c r="A6025" s="160">
        <v>54128</v>
      </c>
      <c r="B6025" t="s">
        <v>21200</v>
      </c>
      <c r="C6025" t="s">
        <v>6139</v>
      </c>
      <c r="D6025">
        <v>0.55000000000000004</v>
      </c>
      <c r="E6025">
        <v>0</v>
      </c>
      <c r="F6025">
        <f t="shared" si="94"/>
        <v>0.55000000000000004</v>
      </c>
      <c r="I6025">
        <v>20180701</v>
      </c>
      <c r="J6025" t="s">
        <v>6144</v>
      </c>
    </row>
    <row r="6026" spans="1:13" x14ac:dyDescent="0.3">
      <c r="A6026" s="160">
        <v>54130</v>
      </c>
      <c r="B6026" t="s">
        <v>21201</v>
      </c>
      <c r="C6026" t="s">
        <v>6141</v>
      </c>
      <c r="D6026">
        <v>0.6</v>
      </c>
      <c r="E6026">
        <v>0</v>
      </c>
      <c r="F6026">
        <f t="shared" si="94"/>
        <v>0.6</v>
      </c>
      <c r="I6026">
        <v>20180701</v>
      </c>
      <c r="J6026" t="s">
        <v>6176</v>
      </c>
    </row>
    <row r="6027" spans="1:13" x14ac:dyDescent="0.3">
      <c r="A6027" s="160">
        <v>54133</v>
      </c>
      <c r="B6027" t="s">
        <v>21202</v>
      </c>
      <c r="C6027" t="s">
        <v>6141</v>
      </c>
      <c r="D6027">
        <v>0.6</v>
      </c>
      <c r="E6027">
        <v>0</v>
      </c>
      <c r="F6027">
        <f t="shared" si="94"/>
        <v>0.6</v>
      </c>
      <c r="I6027">
        <v>20240101</v>
      </c>
      <c r="J6027" t="s">
        <v>6151</v>
      </c>
    </row>
    <row r="6028" spans="1:13" x14ac:dyDescent="0.3">
      <c r="A6028" s="160">
        <v>54136</v>
      </c>
      <c r="B6028" t="s">
        <v>21203</v>
      </c>
      <c r="C6028" t="s">
        <v>6137</v>
      </c>
      <c r="D6028">
        <v>0.6</v>
      </c>
      <c r="E6028">
        <v>0</v>
      </c>
      <c r="F6028">
        <f t="shared" si="94"/>
        <v>0.6</v>
      </c>
      <c r="I6028">
        <v>20160701</v>
      </c>
      <c r="J6028" t="s">
        <v>6138</v>
      </c>
      <c r="K6028" t="s">
        <v>6205</v>
      </c>
      <c r="L6028" t="s">
        <v>6195</v>
      </c>
    </row>
    <row r="6029" spans="1:13" x14ac:dyDescent="0.3">
      <c r="A6029" s="160">
        <v>54137</v>
      </c>
      <c r="B6029" t="s">
        <v>21204</v>
      </c>
      <c r="C6029" t="s">
        <v>6203</v>
      </c>
      <c r="D6029">
        <v>0.6</v>
      </c>
      <c r="E6029">
        <v>0</v>
      </c>
      <c r="F6029">
        <f t="shared" si="94"/>
        <v>0.6</v>
      </c>
      <c r="I6029">
        <v>20170701</v>
      </c>
      <c r="J6029" t="s">
        <v>6206</v>
      </c>
      <c r="K6029" t="s">
        <v>6207</v>
      </c>
    </row>
    <row r="6030" spans="1:13" x14ac:dyDescent="0.3">
      <c r="A6030" s="160">
        <v>54138</v>
      </c>
      <c r="B6030" t="s">
        <v>21205</v>
      </c>
      <c r="C6030" t="s">
        <v>6203</v>
      </c>
      <c r="D6030">
        <v>0.6</v>
      </c>
      <c r="E6030">
        <v>0</v>
      </c>
      <c r="F6030">
        <f t="shared" si="94"/>
        <v>0.6</v>
      </c>
      <c r="I6030">
        <v>20170701</v>
      </c>
      <c r="J6030" t="s">
        <v>6208</v>
      </c>
      <c r="K6030" t="s">
        <v>6209</v>
      </c>
      <c r="L6030" t="s">
        <v>6210</v>
      </c>
      <c r="M6030" t="s">
        <v>6211</v>
      </c>
    </row>
    <row r="6031" spans="1:13" x14ac:dyDescent="0.3">
      <c r="A6031" s="160">
        <v>54139</v>
      </c>
      <c r="B6031" t="s">
        <v>21206</v>
      </c>
      <c r="C6031" t="s">
        <v>6141</v>
      </c>
      <c r="D6031">
        <v>0.6</v>
      </c>
      <c r="E6031">
        <v>0</v>
      </c>
      <c r="F6031">
        <f t="shared" si="94"/>
        <v>0.6</v>
      </c>
      <c r="I6031">
        <v>20240101</v>
      </c>
      <c r="J6031" t="s">
        <v>6148</v>
      </c>
    </row>
    <row r="6032" spans="1:13" x14ac:dyDescent="0.3">
      <c r="A6032" s="160">
        <v>54141</v>
      </c>
      <c r="B6032" t="s">
        <v>21207</v>
      </c>
      <c r="C6032" t="s">
        <v>6167</v>
      </c>
      <c r="D6032">
        <v>0.6</v>
      </c>
      <c r="E6032">
        <v>0</v>
      </c>
      <c r="F6032">
        <f t="shared" si="94"/>
        <v>0.6</v>
      </c>
      <c r="I6032">
        <v>20180701</v>
      </c>
      <c r="J6032" t="s">
        <v>6168</v>
      </c>
    </row>
    <row r="6033" spans="1:10" x14ac:dyDescent="0.3">
      <c r="A6033" s="160">
        <v>54144</v>
      </c>
      <c r="B6033" t="s">
        <v>21208</v>
      </c>
      <c r="C6033" t="s">
        <v>6141</v>
      </c>
      <c r="D6033">
        <v>0.6</v>
      </c>
      <c r="E6033">
        <v>0</v>
      </c>
      <c r="F6033">
        <f t="shared" si="94"/>
        <v>0.6</v>
      </c>
      <c r="I6033">
        <v>20180701</v>
      </c>
      <c r="J6033" t="s">
        <v>6176</v>
      </c>
    </row>
    <row r="6034" spans="1:10" x14ac:dyDescent="0.3">
      <c r="A6034" s="160">
        <v>54145</v>
      </c>
      <c r="B6034" t="s">
        <v>21209</v>
      </c>
      <c r="C6034" t="s">
        <v>6167</v>
      </c>
      <c r="D6034">
        <v>0.6</v>
      </c>
      <c r="E6034">
        <v>0</v>
      </c>
      <c r="F6034">
        <f t="shared" si="94"/>
        <v>0.6</v>
      </c>
      <c r="I6034">
        <v>20240101</v>
      </c>
      <c r="J6034" t="s">
        <v>6148</v>
      </c>
    </row>
    <row r="6035" spans="1:10" x14ac:dyDescent="0.3">
      <c r="A6035" s="160">
        <v>54147</v>
      </c>
      <c r="B6035" t="s">
        <v>21210</v>
      </c>
      <c r="C6035" t="s">
        <v>6141</v>
      </c>
      <c r="D6035">
        <v>0.6</v>
      </c>
      <c r="E6035">
        <v>0</v>
      </c>
      <c r="F6035">
        <f t="shared" si="94"/>
        <v>0.6</v>
      </c>
      <c r="I6035">
        <v>20240101</v>
      </c>
      <c r="J6035" t="s">
        <v>6181</v>
      </c>
    </row>
    <row r="6036" spans="1:10" x14ac:dyDescent="0.3">
      <c r="A6036" s="160">
        <v>54148</v>
      </c>
      <c r="B6036" t="s">
        <v>21211</v>
      </c>
      <c r="C6036" t="s">
        <v>6141</v>
      </c>
      <c r="D6036">
        <v>0.6</v>
      </c>
      <c r="E6036">
        <v>0</v>
      </c>
      <c r="F6036">
        <f t="shared" si="94"/>
        <v>0.6</v>
      </c>
      <c r="I6036">
        <v>20180701</v>
      </c>
      <c r="J6036" t="s">
        <v>6181</v>
      </c>
    </row>
    <row r="6037" spans="1:10" x14ac:dyDescent="0.3">
      <c r="A6037" s="160">
        <v>54149</v>
      </c>
      <c r="B6037" t="s">
        <v>21212</v>
      </c>
      <c r="C6037" t="s">
        <v>6137</v>
      </c>
      <c r="D6037">
        <v>0.6</v>
      </c>
      <c r="E6037">
        <v>0</v>
      </c>
      <c r="F6037">
        <f t="shared" si="94"/>
        <v>0.6</v>
      </c>
      <c r="I6037">
        <v>20160701</v>
      </c>
      <c r="J6037" t="s">
        <v>6212</v>
      </c>
    </row>
    <row r="6038" spans="1:10" x14ac:dyDescent="0.3">
      <c r="A6038" s="160">
        <v>54150</v>
      </c>
      <c r="B6038" t="s">
        <v>21213</v>
      </c>
      <c r="C6038" t="s">
        <v>6187</v>
      </c>
      <c r="D6038">
        <v>0.6</v>
      </c>
      <c r="E6038">
        <v>0</v>
      </c>
      <c r="F6038">
        <f t="shared" si="94"/>
        <v>0.6</v>
      </c>
      <c r="I6038">
        <v>20111101</v>
      </c>
      <c r="J6038" t="s">
        <v>6213</v>
      </c>
    </row>
    <row r="6039" spans="1:10" x14ac:dyDescent="0.3">
      <c r="A6039" s="160">
        <v>54151</v>
      </c>
      <c r="B6039" t="s">
        <v>15422</v>
      </c>
      <c r="C6039" t="s">
        <v>6203</v>
      </c>
      <c r="D6039">
        <v>0.6</v>
      </c>
      <c r="E6039">
        <v>0</v>
      </c>
      <c r="F6039">
        <f t="shared" si="94"/>
        <v>0.6</v>
      </c>
      <c r="I6039">
        <v>20170701</v>
      </c>
      <c r="J6039" t="s">
        <v>6204</v>
      </c>
    </row>
    <row r="6040" spans="1:10" x14ac:dyDescent="0.3">
      <c r="A6040" s="160">
        <v>54152</v>
      </c>
      <c r="B6040" t="s">
        <v>21214</v>
      </c>
      <c r="C6040" t="s">
        <v>6141</v>
      </c>
      <c r="D6040">
        <v>0.6</v>
      </c>
      <c r="E6040">
        <v>0</v>
      </c>
      <c r="F6040">
        <f t="shared" si="94"/>
        <v>0.6</v>
      </c>
      <c r="I6040">
        <v>20180701</v>
      </c>
      <c r="J6040" t="s">
        <v>6174</v>
      </c>
    </row>
    <row r="6041" spans="1:10" x14ac:dyDescent="0.3">
      <c r="A6041" s="160">
        <v>54153</v>
      </c>
      <c r="B6041" t="s">
        <v>21215</v>
      </c>
      <c r="C6041" t="s">
        <v>6149</v>
      </c>
      <c r="D6041">
        <v>0.55000000000000004</v>
      </c>
      <c r="E6041">
        <v>0</v>
      </c>
      <c r="F6041">
        <f t="shared" si="94"/>
        <v>0.55000000000000004</v>
      </c>
      <c r="I6041">
        <v>20240101</v>
      </c>
      <c r="J6041" t="s">
        <v>6147</v>
      </c>
    </row>
    <row r="6042" spans="1:10" x14ac:dyDescent="0.3">
      <c r="A6042" s="160">
        <v>54154</v>
      </c>
      <c r="B6042" t="s">
        <v>21216</v>
      </c>
      <c r="C6042" t="s">
        <v>6141</v>
      </c>
      <c r="D6042">
        <v>0.6</v>
      </c>
      <c r="E6042">
        <v>0</v>
      </c>
      <c r="F6042">
        <f t="shared" si="94"/>
        <v>0.6</v>
      </c>
      <c r="I6042">
        <v>20180701</v>
      </c>
      <c r="J6042" t="s">
        <v>6170</v>
      </c>
    </row>
    <row r="6043" spans="1:10" x14ac:dyDescent="0.3">
      <c r="A6043" s="160">
        <v>54155</v>
      </c>
      <c r="B6043" t="s">
        <v>21217</v>
      </c>
      <c r="C6043" t="s">
        <v>6141</v>
      </c>
      <c r="D6043">
        <v>0.6</v>
      </c>
      <c r="E6043">
        <v>0</v>
      </c>
      <c r="F6043">
        <f t="shared" si="94"/>
        <v>0.6</v>
      </c>
      <c r="I6043">
        <v>20240101</v>
      </c>
      <c r="J6043" t="s">
        <v>6151</v>
      </c>
    </row>
    <row r="6044" spans="1:10" x14ac:dyDescent="0.3">
      <c r="A6044" s="160">
        <v>54157</v>
      </c>
      <c r="B6044" t="s">
        <v>21218</v>
      </c>
      <c r="C6044" t="s">
        <v>6154</v>
      </c>
      <c r="D6044">
        <v>0.6</v>
      </c>
      <c r="E6044">
        <v>0</v>
      </c>
      <c r="F6044">
        <f t="shared" si="94"/>
        <v>0.6</v>
      </c>
      <c r="I6044">
        <v>20150101</v>
      </c>
      <c r="J6044" t="s">
        <v>6163</v>
      </c>
    </row>
    <row r="6045" spans="1:10" x14ac:dyDescent="0.3">
      <c r="A6045" s="160">
        <v>54159</v>
      </c>
      <c r="B6045" t="s">
        <v>21219</v>
      </c>
      <c r="C6045" t="s">
        <v>6167</v>
      </c>
      <c r="D6045">
        <v>0.6</v>
      </c>
      <c r="E6045">
        <v>0</v>
      </c>
      <c r="F6045">
        <f t="shared" si="94"/>
        <v>0.6</v>
      </c>
      <c r="I6045">
        <v>20180701</v>
      </c>
      <c r="J6045" t="s">
        <v>6148</v>
      </c>
    </row>
    <row r="6046" spans="1:10" x14ac:dyDescent="0.3">
      <c r="A6046" s="160">
        <v>54160</v>
      </c>
      <c r="B6046" t="s">
        <v>21220</v>
      </c>
      <c r="C6046" t="s">
        <v>6139</v>
      </c>
      <c r="D6046">
        <v>0.55000000000000004</v>
      </c>
      <c r="E6046">
        <v>0</v>
      </c>
      <c r="F6046">
        <f t="shared" si="94"/>
        <v>0.55000000000000004</v>
      </c>
      <c r="I6046">
        <v>20240101</v>
      </c>
      <c r="J6046" t="s">
        <v>6165</v>
      </c>
    </row>
    <row r="6047" spans="1:10" x14ac:dyDescent="0.3">
      <c r="A6047" s="160">
        <v>54161</v>
      </c>
      <c r="B6047" t="s">
        <v>21221</v>
      </c>
      <c r="C6047" t="s">
        <v>6141</v>
      </c>
      <c r="D6047">
        <v>0.6</v>
      </c>
      <c r="E6047">
        <v>0</v>
      </c>
      <c r="F6047">
        <f t="shared" si="94"/>
        <v>0.6</v>
      </c>
      <c r="I6047">
        <v>20180701</v>
      </c>
      <c r="J6047" t="s">
        <v>6142</v>
      </c>
    </row>
    <row r="6048" spans="1:10" x14ac:dyDescent="0.3">
      <c r="A6048" s="160">
        <v>54162</v>
      </c>
      <c r="B6048" t="s">
        <v>21222</v>
      </c>
      <c r="C6048" t="s">
        <v>6139</v>
      </c>
      <c r="D6048">
        <v>0.55000000000000004</v>
      </c>
      <c r="E6048">
        <v>0</v>
      </c>
      <c r="F6048">
        <f t="shared" si="94"/>
        <v>0.55000000000000004</v>
      </c>
      <c r="I6048">
        <v>20170701</v>
      </c>
      <c r="J6048" t="s">
        <v>6214</v>
      </c>
    </row>
    <row r="6049" spans="1:14" x14ac:dyDescent="0.3">
      <c r="A6049" s="160">
        <v>54163</v>
      </c>
      <c r="B6049" t="s">
        <v>21223</v>
      </c>
      <c r="C6049" t="s">
        <v>6141</v>
      </c>
      <c r="D6049">
        <v>0.6</v>
      </c>
      <c r="E6049">
        <v>0</v>
      </c>
      <c r="F6049">
        <f t="shared" si="94"/>
        <v>0.6</v>
      </c>
      <c r="I6049">
        <v>20180701</v>
      </c>
      <c r="J6049" t="s">
        <v>6142</v>
      </c>
    </row>
    <row r="6050" spans="1:14" x14ac:dyDescent="0.3">
      <c r="A6050" s="160">
        <v>54165</v>
      </c>
      <c r="B6050" t="s">
        <v>21224</v>
      </c>
      <c r="C6050" t="s">
        <v>6152</v>
      </c>
      <c r="D6050">
        <v>2</v>
      </c>
      <c r="E6050">
        <v>0</v>
      </c>
      <c r="F6050">
        <f t="shared" si="94"/>
        <v>2</v>
      </c>
      <c r="I6050">
        <v>20120701</v>
      </c>
      <c r="J6050" t="s">
        <v>6215</v>
      </c>
      <c r="K6050" t="s">
        <v>6216</v>
      </c>
    </row>
    <row r="6051" spans="1:14" x14ac:dyDescent="0.3">
      <c r="A6051" s="160">
        <v>54166</v>
      </c>
      <c r="B6051" t="s">
        <v>21225</v>
      </c>
      <c r="C6051" t="s">
        <v>6149</v>
      </c>
      <c r="D6051">
        <v>0.55000000000000004</v>
      </c>
      <c r="E6051">
        <v>0</v>
      </c>
      <c r="F6051">
        <f t="shared" si="94"/>
        <v>0.55000000000000004</v>
      </c>
      <c r="I6051">
        <v>20240101</v>
      </c>
      <c r="J6051" t="s">
        <v>6147</v>
      </c>
    </row>
    <row r="6052" spans="1:14" x14ac:dyDescent="0.3">
      <c r="A6052" s="160">
        <v>54167</v>
      </c>
      <c r="B6052" t="s">
        <v>21226</v>
      </c>
      <c r="C6052" t="s">
        <v>6139</v>
      </c>
      <c r="D6052">
        <v>0.55000000000000004</v>
      </c>
      <c r="E6052">
        <v>0</v>
      </c>
      <c r="F6052">
        <f t="shared" si="94"/>
        <v>0.55000000000000004</v>
      </c>
      <c r="I6052">
        <v>20090801</v>
      </c>
      <c r="J6052" t="s">
        <v>6144</v>
      </c>
      <c r="K6052" t="s">
        <v>6145</v>
      </c>
      <c r="L6052" t="s">
        <v>6217</v>
      </c>
      <c r="M6052" t="s">
        <v>6218</v>
      </c>
    </row>
    <row r="6053" spans="1:14" x14ac:dyDescent="0.3">
      <c r="A6053" s="160">
        <v>54169</v>
      </c>
      <c r="B6053" t="s">
        <v>21227</v>
      </c>
      <c r="C6053" t="s">
        <v>6137</v>
      </c>
      <c r="D6053">
        <v>0.6</v>
      </c>
      <c r="E6053">
        <v>0</v>
      </c>
      <c r="F6053">
        <f t="shared" si="94"/>
        <v>0.6</v>
      </c>
      <c r="I6053">
        <v>20160701</v>
      </c>
      <c r="J6053" t="s">
        <v>6164</v>
      </c>
    </row>
    <row r="6054" spans="1:14" x14ac:dyDescent="0.3">
      <c r="A6054" s="160">
        <v>54170</v>
      </c>
      <c r="B6054" t="s">
        <v>21228</v>
      </c>
      <c r="C6054" t="s">
        <v>6141</v>
      </c>
      <c r="D6054">
        <v>0.6</v>
      </c>
      <c r="E6054">
        <v>0</v>
      </c>
      <c r="F6054">
        <f t="shared" si="94"/>
        <v>0.6</v>
      </c>
      <c r="I6054">
        <v>20180701</v>
      </c>
      <c r="J6054" t="s">
        <v>6176</v>
      </c>
    </row>
    <row r="6055" spans="1:14" x14ac:dyDescent="0.3">
      <c r="A6055" s="160">
        <v>54171</v>
      </c>
      <c r="B6055" t="s">
        <v>21229</v>
      </c>
      <c r="C6055" t="s">
        <v>6137</v>
      </c>
      <c r="D6055">
        <v>0.6</v>
      </c>
      <c r="E6055">
        <v>0</v>
      </c>
      <c r="F6055">
        <f t="shared" si="94"/>
        <v>0.6</v>
      </c>
      <c r="I6055">
        <v>20160701</v>
      </c>
      <c r="J6055" t="s">
        <v>6138</v>
      </c>
    </row>
    <row r="6056" spans="1:14" x14ac:dyDescent="0.3">
      <c r="A6056" s="160">
        <v>54173</v>
      </c>
      <c r="B6056" t="s">
        <v>21230</v>
      </c>
      <c r="C6056" t="s">
        <v>6141</v>
      </c>
      <c r="D6056">
        <v>0.6</v>
      </c>
      <c r="E6056">
        <v>0</v>
      </c>
      <c r="F6056">
        <f t="shared" si="94"/>
        <v>0.6</v>
      </c>
      <c r="I6056">
        <v>20240101</v>
      </c>
      <c r="J6056" t="s">
        <v>6151</v>
      </c>
    </row>
    <row r="6057" spans="1:14" x14ac:dyDescent="0.3">
      <c r="A6057" s="160">
        <v>54174</v>
      </c>
      <c r="B6057" t="s">
        <v>21231</v>
      </c>
      <c r="C6057" t="s">
        <v>6139</v>
      </c>
      <c r="D6057">
        <v>0.55000000000000004</v>
      </c>
      <c r="E6057">
        <v>0</v>
      </c>
      <c r="F6057">
        <f t="shared" si="94"/>
        <v>0.55000000000000004</v>
      </c>
      <c r="I6057">
        <v>20060901</v>
      </c>
      <c r="J6057" t="s">
        <v>6144</v>
      </c>
      <c r="K6057" t="s">
        <v>6219</v>
      </c>
      <c r="L6057" t="s">
        <v>6145</v>
      </c>
      <c r="M6057" t="s">
        <v>6217</v>
      </c>
      <c r="N6057" t="s">
        <v>6218</v>
      </c>
    </row>
    <row r="6058" spans="1:14" x14ac:dyDescent="0.3">
      <c r="A6058" s="160">
        <v>54175</v>
      </c>
      <c r="B6058" t="s">
        <v>21232</v>
      </c>
      <c r="C6058" t="s">
        <v>6141</v>
      </c>
      <c r="D6058">
        <v>0.6</v>
      </c>
      <c r="E6058">
        <v>0</v>
      </c>
      <c r="F6058">
        <f t="shared" si="94"/>
        <v>0.6</v>
      </c>
      <c r="I6058">
        <v>20180701</v>
      </c>
      <c r="J6058" t="s">
        <v>6174</v>
      </c>
    </row>
    <row r="6059" spans="1:14" x14ac:dyDescent="0.3">
      <c r="A6059" s="160">
        <v>54176</v>
      </c>
      <c r="B6059" t="s">
        <v>21233</v>
      </c>
      <c r="C6059" t="s">
        <v>6141</v>
      </c>
      <c r="D6059">
        <v>0.6</v>
      </c>
      <c r="E6059">
        <v>0</v>
      </c>
      <c r="F6059">
        <f t="shared" si="94"/>
        <v>0.6</v>
      </c>
      <c r="I6059">
        <v>20240101</v>
      </c>
      <c r="J6059" t="s">
        <v>6151</v>
      </c>
    </row>
    <row r="6060" spans="1:14" x14ac:dyDescent="0.3">
      <c r="A6060" s="160">
        <v>54177</v>
      </c>
      <c r="B6060" t="s">
        <v>21234</v>
      </c>
      <c r="C6060" t="s">
        <v>6141</v>
      </c>
      <c r="D6060">
        <v>0.6</v>
      </c>
      <c r="E6060">
        <v>0</v>
      </c>
      <c r="F6060">
        <f t="shared" si="94"/>
        <v>0.6</v>
      </c>
      <c r="I6060">
        <v>20180701</v>
      </c>
      <c r="J6060" t="s">
        <v>6151</v>
      </c>
    </row>
    <row r="6061" spans="1:14" x14ac:dyDescent="0.3">
      <c r="A6061" s="160">
        <v>54181</v>
      </c>
      <c r="B6061" t="s">
        <v>21235</v>
      </c>
      <c r="C6061" t="s">
        <v>6137</v>
      </c>
      <c r="D6061">
        <v>0.6</v>
      </c>
      <c r="E6061">
        <v>0</v>
      </c>
      <c r="F6061">
        <f t="shared" si="94"/>
        <v>0.6</v>
      </c>
      <c r="I6061">
        <v>20160701</v>
      </c>
      <c r="J6061" t="s">
        <v>6212</v>
      </c>
    </row>
    <row r="6062" spans="1:14" x14ac:dyDescent="0.3">
      <c r="A6062" s="160">
        <v>54182</v>
      </c>
      <c r="B6062" t="s">
        <v>21236</v>
      </c>
      <c r="C6062" t="s">
        <v>6149</v>
      </c>
      <c r="D6062">
        <v>0.55000000000000004</v>
      </c>
      <c r="E6062">
        <v>0</v>
      </c>
      <c r="F6062">
        <f t="shared" si="94"/>
        <v>0.55000000000000004</v>
      </c>
      <c r="I6062">
        <v>20240101</v>
      </c>
      <c r="J6062" t="s">
        <v>6147</v>
      </c>
    </row>
    <row r="6063" spans="1:14" x14ac:dyDescent="0.3">
      <c r="A6063" s="160">
        <v>54183</v>
      </c>
      <c r="B6063" t="s">
        <v>21237</v>
      </c>
      <c r="C6063" t="s">
        <v>6141</v>
      </c>
      <c r="D6063">
        <v>0.6</v>
      </c>
      <c r="E6063">
        <v>0</v>
      </c>
      <c r="F6063">
        <f t="shared" si="94"/>
        <v>0.6</v>
      </c>
      <c r="I6063">
        <v>20240101</v>
      </c>
      <c r="J6063" t="s">
        <v>6220</v>
      </c>
    </row>
    <row r="6064" spans="1:14" x14ac:dyDescent="0.3">
      <c r="A6064" s="160">
        <v>54184</v>
      </c>
      <c r="B6064" t="s">
        <v>21238</v>
      </c>
      <c r="C6064" t="s">
        <v>6152</v>
      </c>
      <c r="D6064">
        <v>2</v>
      </c>
      <c r="E6064">
        <v>0</v>
      </c>
      <c r="F6064">
        <f t="shared" si="94"/>
        <v>2</v>
      </c>
      <c r="I6064">
        <v>20120701</v>
      </c>
      <c r="J6064" t="s">
        <v>6221</v>
      </c>
      <c r="K6064" t="s">
        <v>6222</v>
      </c>
      <c r="L6064" t="s">
        <v>6223</v>
      </c>
      <c r="M6064" t="s">
        <v>6224</v>
      </c>
    </row>
    <row r="6065" spans="1:14" x14ac:dyDescent="0.3">
      <c r="A6065" s="160">
        <v>54187</v>
      </c>
      <c r="B6065" t="s">
        <v>21239</v>
      </c>
      <c r="C6065" t="s">
        <v>6149</v>
      </c>
      <c r="D6065">
        <v>0.55000000000000004</v>
      </c>
      <c r="E6065">
        <v>0</v>
      </c>
      <c r="F6065">
        <f t="shared" si="94"/>
        <v>0.55000000000000004</v>
      </c>
      <c r="I6065">
        <v>20240101</v>
      </c>
      <c r="J6065" t="s">
        <v>6147</v>
      </c>
    </row>
    <row r="6066" spans="1:14" x14ac:dyDescent="0.3">
      <c r="A6066" s="160">
        <v>54188</v>
      </c>
      <c r="B6066" t="s">
        <v>21240</v>
      </c>
      <c r="C6066" t="s">
        <v>6187</v>
      </c>
      <c r="D6066">
        <v>0.6</v>
      </c>
      <c r="E6066">
        <v>0</v>
      </c>
      <c r="F6066">
        <f t="shared" si="94"/>
        <v>0.6</v>
      </c>
      <c r="I6066">
        <v>20111101</v>
      </c>
      <c r="J6066" t="s">
        <v>6225</v>
      </c>
    </row>
    <row r="6067" spans="1:14" x14ac:dyDescent="0.3">
      <c r="A6067" s="160">
        <v>54192</v>
      </c>
      <c r="B6067" t="s">
        <v>21241</v>
      </c>
      <c r="C6067" t="s">
        <v>6167</v>
      </c>
      <c r="D6067">
        <v>0.6</v>
      </c>
      <c r="E6067">
        <v>0</v>
      </c>
      <c r="F6067">
        <f t="shared" si="94"/>
        <v>0.6</v>
      </c>
      <c r="I6067">
        <v>20180701</v>
      </c>
      <c r="J6067" t="s">
        <v>6168</v>
      </c>
    </row>
    <row r="6068" spans="1:14" x14ac:dyDescent="0.3">
      <c r="A6068" s="160">
        <v>54193</v>
      </c>
      <c r="B6068" t="s">
        <v>21242</v>
      </c>
      <c r="C6068" t="s">
        <v>6149</v>
      </c>
      <c r="D6068">
        <v>0.55000000000000004</v>
      </c>
      <c r="E6068">
        <v>0</v>
      </c>
      <c r="F6068">
        <f t="shared" si="94"/>
        <v>0.55000000000000004</v>
      </c>
      <c r="I6068">
        <v>20240101</v>
      </c>
      <c r="J6068" t="s">
        <v>6147</v>
      </c>
    </row>
    <row r="6069" spans="1:14" x14ac:dyDescent="0.3">
      <c r="A6069" s="160">
        <v>54194</v>
      </c>
      <c r="B6069" t="s">
        <v>21243</v>
      </c>
      <c r="C6069" t="s">
        <v>6203</v>
      </c>
      <c r="D6069">
        <v>0.6</v>
      </c>
      <c r="E6069">
        <v>0</v>
      </c>
      <c r="F6069">
        <f t="shared" si="94"/>
        <v>0.6</v>
      </c>
      <c r="I6069">
        <v>20170701</v>
      </c>
      <c r="J6069" t="s">
        <v>6143</v>
      </c>
    </row>
    <row r="6070" spans="1:14" x14ac:dyDescent="0.3">
      <c r="A6070" s="160">
        <v>54195</v>
      </c>
      <c r="B6070" t="s">
        <v>21244</v>
      </c>
      <c r="C6070" t="s">
        <v>6141</v>
      </c>
      <c r="D6070">
        <v>0.6</v>
      </c>
      <c r="E6070">
        <v>0</v>
      </c>
      <c r="F6070">
        <f t="shared" si="94"/>
        <v>0.6</v>
      </c>
      <c r="I6070">
        <v>20240101</v>
      </c>
      <c r="J6070" t="s">
        <v>6148</v>
      </c>
    </row>
    <row r="6071" spans="1:14" x14ac:dyDescent="0.3">
      <c r="A6071" s="160">
        <v>54196</v>
      </c>
      <c r="B6071" t="s">
        <v>21245</v>
      </c>
      <c r="C6071" t="s">
        <v>6171</v>
      </c>
      <c r="D6071">
        <v>0.6</v>
      </c>
      <c r="E6071">
        <v>0</v>
      </c>
      <c r="F6071">
        <f t="shared" si="94"/>
        <v>0.6</v>
      </c>
      <c r="I6071">
        <v>20150701</v>
      </c>
      <c r="J6071" t="s">
        <v>6226</v>
      </c>
      <c r="K6071" t="s">
        <v>6227</v>
      </c>
      <c r="L6071" t="s">
        <v>6228</v>
      </c>
    </row>
    <row r="6072" spans="1:14" x14ac:dyDescent="0.3">
      <c r="A6072" s="160">
        <v>54197</v>
      </c>
      <c r="B6072" t="s">
        <v>21246</v>
      </c>
      <c r="C6072" t="s">
        <v>6152</v>
      </c>
      <c r="D6072">
        <v>2</v>
      </c>
      <c r="E6072">
        <v>0</v>
      </c>
      <c r="F6072">
        <f t="shared" si="94"/>
        <v>2</v>
      </c>
      <c r="I6072">
        <v>20120701</v>
      </c>
      <c r="J6072" t="s">
        <v>6229</v>
      </c>
      <c r="K6072" t="s">
        <v>6230</v>
      </c>
      <c r="L6072" t="s">
        <v>6227</v>
      </c>
      <c r="M6072" t="s">
        <v>6231</v>
      </c>
      <c r="N6072" t="s">
        <v>6228</v>
      </c>
    </row>
    <row r="6073" spans="1:14" x14ac:dyDescent="0.3">
      <c r="A6073" s="160">
        <v>54198</v>
      </c>
      <c r="B6073" t="s">
        <v>21247</v>
      </c>
      <c r="C6073" t="s">
        <v>6137</v>
      </c>
      <c r="D6073">
        <v>0.6</v>
      </c>
      <c r="E6073">
        <v>0</v>
      </c>
      <c r="F6073">
        <f t="shared" si="94"/>
        <v>0.6</v>
      </c>
      <c r="I6073">
        <v>20160701</v>
      </c>
      <c r="J6073" t="s">
        <v>6146</v>
      </c>
    </row>
    <row r="6074" spans="1:14" x14ac:dyDescent="0.3">
      <c r="A6074" s="160">
        <v>54199</v>
      </c>
      <c r="B6074" t="s">
        <v>21248</v>
      </c>
      <c r="C6074" t="s">
        <v>6141</v>
      </c>
      <c r="D6074">
        <v>0.6</v>
      </c>
      <c r="E6074">
        <v>0</v>
      </c>
      <c r="F6074">
        <f t="shared" si="94"/>
        <v>0.6</v>
      </c>
      <c r="I6074">
        <v>20180701</v>
      </c>
      <c r="J6074" t="s">
        <v>6169</v>
      </c>
    </row>
    <row r="6075" spans="1:14" x14ac:dyDescent="0.3">
      <c r="A6075" s="160">
        <v>54200</v>
      </c>
      <c r="B6075" t="s">
        <v>21249</v>
      </c>
      <c r="C6075" t="s">
        <v>6149</v>
      </c>
      <c r="D6075">
        <v>0.55000000000000004</v>
      </c>
      <c r="E6075">
        <v>0</v>
      </c>
      <c r="F6075">
        <f t="shared" si="94"/>
        <v>0.55000000000000004</v>
      </c>
      <c r="I6075">
        <v>20240101</v>
      </c>
      <c r="J6075" t="s">
        <v>6147</v>
      </c>
    </row>
    <row r="6076" spans="1:14" x14ac:dyDescent="0.3">
      <c r="A6076" s="160">
        <v>54201</v>
      </c>
      <c r="B6076" t="s">
        <v>21250</v>
      </c>
      <c r="C6076" t="s">
        <v>6141</v>
      </c>
      <c r="D6076">
        <v>0.6</v>
      </c>
      <c r="E6076">
        <v>0</v>
      </c>
      <c r="F6076">
        <f t="shared" si="94"/>
        <v>0.6</v>
      </c>
      <c r="I6076">
        <v>20180701</v>
      </c>
      <c r="J6076" t="s">
        <v>6169</v>
      </c>
    </row>
    <row r="6077" spans="1:14" x14ac:dyDescent="0.3">
      <c r="A6077" s="160">
        <v>54202</v>
      </c>
      <c r="B6077" t="s">
        <v>21251</v>
      </c>
      <c r="C6077" t="s">
        <v>6139</v>
      </c>
      <c r="D6077">
        <v>0.55000000000000004</v>
      </c>
      <c r="E6077">
        <v>0</v>
      </c>
      <c r="F6077">
        <f t="shared" si="94"/>
        <v>0.55000000000000004</v>
      </c>
      <c r="I6077">
        <v>20180701</v>
      </c>
      <c r="J6077" t="s">
        <v>6232</v>
      </c>
    </row>
    <row r="6078" spans="1:14" x14ac:dyDescent="0.3">
      <c r="A6078" s="160">
        <v>54205</v>
      </c>
      <c r="B6078" t="s">
        <v>21252</v>
      </c>
      <c r="C6078" t="s">
        <v>6139</v>
      </c>
      <c r="D6078">
        <v>0.55000000000000004</v>
      </c>
      <c r="E6078">
        <v>0</v>
      </c>
      <c r="F6078">
        <f t="shared" si="94"/>
        <v>0.55000000000000004</v>
      </c>
      <c r="I6078">
        <v>20170701</v>
      </c>
      <c r="J6078" t="s">
        <v>6233</v>
      </c>
    </row>
    <row r="6079" spans="1:14" x14ac:dyDescent="0.3">
      <c r="A6079" s="160">
        <v>54206</v>
      </c>
      <c r="B6079" t="s">
        <v>21253</v>
      </c>
      <c r="C6079" t="s">
        <v>6141</v>
      </c>
      <c r="D6079">
        <v>0.6</v>
      </c>
      <c r="E6079">
        <v>0</v>
      </c>
      <c r="F6079">
        <f t="shared" si="94"/>
        <v>0.6</v>
      </c>
      <c r="I6079">
        <v>20240101</v>
      </c>
      <c r="J6079" t="s">
        <v>6181</v>
      </c>
    </row>
    <row r="6080" spans="1:14" x14ac:dyDescent="0.3">
      <c r="A6080" s="160">
        <v>54208</v>
      </c>
      <c r="B6080" t="s">
        <v>21254</v>
      </c>
      <c r="C6080" t="s">
        <v>6139</v>
      </c>
      <c r="D6080">
        <v>0.55000000000000004</v>
      </c>
      <c r="E6080">
        <v>0</v>
      </c>
      <c r="F6080">
        <f t="shared" si="94"/>
        <v>0.55000000000000004</v>
      </c>
      <c r="I6080">
        <v>20180701</v>
      </c>
      <c r="J6080" t="s">
        <v>6144</v>
      </c>
    </row>
    <row r="6081" spans="1:11" x14ac:dyDescent="0.3">
      <c r="A6081" s="160">
        <v>54209</v>
      </c>
      <c r="B6081" t="s">
        <v>21255</v>
      </c>
      <c r="C6081" t="s">
        <v>6141</v>
      </c>
      <c r="D6081">
        <v>0.6</v>
      </c>
      <c r="E6081">
        <v>0</v>
      </c>
      <c r="F6081">
        <f t="shared" si="94"/>
        <v>0.6</v>
      </c>
      <c r="I6081">
        <v>20240101</v>
      </c>
      <c r="J6081" t="s">
        <v>6220</v>
      </c>
    </row>
    <row r="6082" spans="1:11" x14ac:dyDescent="0.3">
      <c r="A6082" s="160">
        <v>54210</v>
      </c>
      <c r="B6082" t="s">
        <v>21256</v>
      </c>
      <c r="C6082" t="s">
        <v>6141</v>
      </c>
      <c r="D6082">
        <v>0.6</v>
      </c>
      <c r="E6082">
        <v>0</v>
      </c>
      <c r="F6082">
        <f t="shared" si="94"/>
        <v>0.6</v>
      </c>
      <c r="I6082">
        <v>20180701</v>
      </c>
      <c r="J6082" t="s">
        <v>6142</v>
      </c>
    </row>
    <row r="6083" spans="1:11" x14ac:dyDescent="0.3">
      <c r="A6083" s="160">
        <v>54211</v>
      </c>
      <c r="B6083" t="s">
        <v>21257</v>
      </c>
      <c r="C6083" t="s">
        <v>6141</v>
      </c>
      <c r="D6083">
        <v>0.6</v>
      </c>
      <c r="E6083">
        <v>0</v>
      </c>
      <c r="F6083">
        <f t="shared" si="94"/>
        <v>0.6</v>
      </c>
      <c r="I6083">
        <v>20180701</v>
      </c>
      <c r="J6083" t="s">
        <v>6142</v>
      </c>
    </row>
    <row r="6084" spans="1:11" x14ac:dyDescent="0.3">
      <c r="A6084" s="160">
        <v>54213</v>
      </c>
      <c r="B6084" t="s">
        <v>21258</v>
      </c>
      <c r="C6084" t="s">
        <v>6137</v>
      </c>
      <c r="D6084">
        <v>0.6</v>
      </c>
      <c r="E6084">
        <v>0</v>
      </c>
      <c r="F6084">
        <f t="shared" si="94"/>
        <v>0.6</v>
      </c>
      <c r="I6084">
        <v>20160701</v>
      </c>
      <c r="J6084" t="s">
        <v>6138</v>
      </c>
      <c r="K6084" t="s">
        <v>6195</v>
      </c>
    </row>
    <row r="6085" spans="1:11" x14ac:dyDescent="0.3">
      <c r="A6085" s="160">
        <v>54214</v>
      </c>
      <c r="B6085" t="s">
        <v>21259</v>
      </c>
      <c r="C6085" t="s">
        <v>6171</v>
      </c>
      <c r="D6085">
        <v>0.6</v>
      </c>
      <c r="E6085">
        <v>0</v>
      </c>
      <c r="F6085">
        <f t="shared" si="94"/>
        <v>0.6</v>
      </c>
      <c r="I6085">
        <v>20150701</v>
      </c>
      <c r="J6085" t="s">
        <v>6234</v>
      </c>
    </row>
    <row r="6086" spans="1:11" x14ac:dyDescent="0.3">
      <c r="A6086" s="160">
        <v>54215</v>
      </c>
      <c r="B6086" t="s">
        <v>21260</v>
      </c>
      <c r="C6086" t="s">
        <v>6187</v>
      </c>
      <c r="D6086">
        <v>0.6</v>
      </c>
      <c r="E6086">
        <v>0</v>
      </c>
      <c r="F6086">
        <f t="shared" si="94"/>
        <v>0.6</v>
      </c>
      <c r="I6086">
        <v>20111101</v>
      </c>
      <c r="J6086" t="s">
        <v>6235</v>
      </c>
    </row>
    <row r="6087" spans="1:11" x14ac:dyDescent="0.3">
      <c r="A6087" s="160">
        <v>54216</v>
      </c>
      <c r="B6087" t="s">
        <v>21261</v>
      </c>
      <c r="C6087" t="s">
        <v>6141</v>
      </c>
      <c r="D6087">
        <v>0.6</v>
      </c>
      <c r="E6087">
        <v>0</v>
      </c>
      <c r="F6087">
        <f t="shared" ref="F6087:F6150" si="95">D6087+E6087</f>
        <v>0.6</v>
      </c>
      <c r="I6087">
        <v>20180701</v>
      </c>
      <c r="J6087" t="s">
        <v>6176</v>
      </c>
    </row>
    <row r="6088" spans="1:11" x14ac:dyDescent="0.3">
      <c r="A6088" s="160">
        <v>54217</v>
      </c>
      <c r="B6088" t="s">
        <v>21262</v>
      </c>
      <c r="C6088" t="s">
        <v>6141</v>
      </c>
      <c r="D6088">
        <v>0.6</v>
      </c>
      <c r="E6088">
        <v>0</v>
      </c>
      <c r="F6088">
        <f t="shared" si="95"/>
        <v>0.6</v>
      </c>
      <c r="I6088">
        <v>20180701</v>
      </c>
      <c r="J6088" t="s">
        <v>6170</v>
      </c>
    </row>
    <row r="6089" spans="1:11" x14ac:dyDescent="0.3">
      <c r="A6089" s="160">
        <v>54222</v>
      </c>
      <c r="B6089" t="s">
        <v>21263</v>
      </c>
      <c r="C6089" t="s">
        <v>6141</v>
      </c>
      <c r="D6089">
        <v>0.6</v>
      </c>
      <c r="E6089">
        <v>0</v>
      </c>
      <c r="F6089">
        <f t="shared" si="95"/>
        <v>0.6</v>
      </c>
      <c r="I6089">
        <v>20240101</v>
      </c>
      <c r="J6089" t="s">
        <v>6220</v>
      </c>
    </row>
    <row r="6090" spans="1:11" x14ac:dyDescent="0.3">
      <c r="A6090" s="160">
        <v>54225</v>
      </c>
      <c r="B6090" t="s">
        <v>21264</v>
      </c>
      <c r="C6090" t="s">
        <v>6154</v>
      </c>
      <c r="D6090">
        <v>0.6</v>
      </c>
      <c r="E6090">
        <v>0</v>
      </c>
      <c r="F6090">
        <f t="shared" si="95"/>
        <v>0.6</v>
      </c>
      <c r="I6090">
        <v>20150101</v>
      </c>
      <c r="J6090" t="s">
        <v>6163</v>
      </c>
    </row>
    <row r="6091" spans="1:11" x14ac:dyDescent="0.3">
      <c r="A6091" s="160">
        <v>54227</v>
      </c>
      <c r="B6091" t="s">
        <v>21265</v>
      </c>
      <c r="C6091" t="s">
        <v>6137</v>
      </c>
      <c r="D6091">
        <v>0.6</v>
      </c>
      <c r="E6091">
        <v>0</v>
      </c>
      <c r="F6091">
        <f t="shared" si="95"/>
        <v>0.6</v>
      </c>
      <c r="I6091">
        <v>20160701</v>
      </c>
      <c r="J6091" t="s">
        <v>6236</v>
      </c>
    </row>
    <row r="6092" spans="1:11" x14ac:dyDescent="0.3">
      <c r="A6092" s="160">
        <v>54228</v>
      </c>
      <c r="B6092" t="s">
        <v>21266</v>
      </c>
      <c r="C6092" t="s">
        <v>6141</v>
      </c>
      <c r="D6092">
        <v>0.6</v>
      </c>
      <c r="E6092">
        <v>0</v>
      </c>
      <c r="F6092">
        <f t="shared" si="95"/>
        <v>0.6</v>
      </c>
      <c r="I6092">
        <v>20240101</v>
      </c>
      <c r="J6092" t="s">
        <v>6220</v>
      </c>
    </row>
    <row r="6093" spans="1:11" x14ac:dyDescent="0.3">
      <c r="A6093" s="160">
        <v>54229</v>
      </c>
      <c r="B6093" t="s">
        <v>21267</v>
      </c>
      <c r="C6093" t="s">
        <v>6141</v>
      </c>
      <c r="D6093">
        <v>0.6</v>
      </c>
      <c r="E6093">
        <v>0</v>
      </c>
      <c r="F6093">
        <f t="shared" si="95"/>
        <v>0.6</v>
      </c>
      <c r="I6093">
        <v>20180701</v>
      </c>
      <c r="J6093" t="s">
        <v>6169</v>
      </c>
    </row>
    <row r="6094" spans="1:11" x14ac:dyDescent="0.3">
      <c r="A6094" s="160">
        <v>54230</v>
      </c>
      <c r="B6094" t="s">
        <v>21268</v>
      </c>
      <c r="C6094" t="s">
        <v>6141</v>
      </c>
      <c r="D6094">
        <v>0.6</v>
      </c>
      <c r="E6094">
        <v>0</v>
      </c>
      <c r="F6094">
        <f t="shared" si="95"/>
        <v>0.6</v>
      </c>
      <c r="I6094">
        <v>20180701</v>
      </c>
      <c r="J6094" t="s">
        <v>6142</v>
      </c>
    </row>
    <row r="6095" spans="1:11" x14ac:dyDescent="0.3">
      <c r="A6095" s="160">
        <v>54231</v>
      </c>
      <c r="B6095" t="s">
        <v>21269</v>
      </c>
      <c r="C6095" t="s">
        <v>6137</v>
      </c>
      <c r="D6095">
        <v>0.6</v>
      </c>
      <c r="E6095">
        <v>0</v>
      </c>
      <c r="F6095">
        <f t="shared" si="95"/>
        <v>0.6</v>
      </c>
      <c r="I6095">
        <v>20160701</v>
      </c>
      <c r="J6095" t="s">
        <v>6138</v>
      </c>
    </row>
    <row r="6096" spans="1:11" x14ac:dyDescent="0.3">
      <c r="A6096" s="160">
        <v>54232</v>
      </c>
      <c r="B6096" t="s">
        <v>21270</v>
      </c>
      <c r="C6096" t="s">
        <v>6139</v>
      </c>
      <c r="D6096">
        <v>0.55000000000000004</v>
      </c>
      <c r="E6096">
        <v>0</v>
      </c>
      <c r="F6096">
        <f t="shared" si="95"/>
        <v>0.55000000000000004</v>
      </c>
      <c r="I6096">
        <v>20180701</v>
      </c>
      <c r="J6096" t="s">
        <v>6202</v>
      </c>
      <c r="K6096" t="s">
        <v>6232</v>
      </c>
    </row>
    <row r="6097" spans="1:11" x14ac:dyDescent="0.3">
      <c r="A6097" s="160">
        <v>54233</v>
      </c>
      <c r="B6097" t="s">
        <v>21271</v>
      </c>
      <c r="C6097" t="s">
        <v>6141</v>
      </c>
      <c r="D6097">
        <v>0.6</v>
      </c>
      <c r="E6097">
        <v>0</v>
      </c>
      <c r="F6097">
        <f t="shared" si="95"/>
        <v>0.6</v>
      </c>
      <c r="I6097">
        <v>20180701</v>
      </c>
      <c r="J6097" t="s">
        <v>6142</v>
      </c>
    </row>
    <row r="6098" spans="1:11" x14ac:dyDescent="0.3">
      <c r="A6098" s="160">
        <v>54234</v>
      </c>
      <c r="B6098" t="s">
        <v>21272</v>
      </c>
      <c r="C6098" t="s">
        <v>6203</v>
      </c>
      <c r="D6098">
        <v>0.6</v>
      </c>
      <c r="E6098">
        <v>0</v>
      </c>
      <c r="F6098">
        <f t="shared" si="95"/>
        <v>0.6</v>
      </c>
      <c r="I6098">
        <v>20170701</v>
      </c>
      <c r="J6098" t="s">
        <v>6237</v>
      </c>
    </row>
    <row r="6099" spans="1:11" x14ac:dyDescent="0.3">
      <c r="A6099" s="160">
        <v>54239</v>
      </c>
      <c r="B6099" t="s">
        <v>21273</v>
      </c>
      <c r="C6099" t="s">
        <v>6154</v>
      </c>
      <c r="D6099">
        <v>0.6</v>
      </c>
      <c r="E6099">
        <v>0</v>
      </c>
      <c r="F6099">
        <f t="shared" si="95"/>
        <v>0.6</v>
      </c>
      <c r="I6099">
        <v>20150101</v>
      </c>
      <c r="J6099" t="s">
        <v>6163</v>
      </c>
    </row>
    <row r="6100" spans="1:11" x14ac:dyDescent="0.3">
      <c r="A6100" s="160">
        <v>54240</v>
      </c>
      <c r="B6100" t="s">
        <v>21274</v>
      </c>
      <c r="C6100" t="s">
        <v>6139</v>
      </c>
      <c r="D6100">
        <v>0.55000000000000004</v>
      </c>
      <c r="E6100">
        <v>0</v>
      </c>
      <c r="F6100">
        <f t="shared" si="95"/>
        <v>0.55000000000000004</v>
      </c>
      <c r="I6100">
        <v>20240101</v>
      </c>
      <c r="J6100" t="s">
        <v>6147</v>
      </c>
    </row>
    <row r="6101" spans="1:11" x14ac:dyDescent="0.3">
      <c r="A6101" s="160">
        <v>54242</v>
      </c>
      <c r="B6101" t="s">
        <v>21275</v>
      </c>
      <c r="C6101" t="s">
        <v>6139</v>
      </c>
      <c r="D6101">
        <v>0.55000000000000004</v>
      </c>
      <c r="E6101">
        <v>0</v>
      </c>
      <c r="F6101">
        <f t="shared" si="95"/>
        <v>0.55000000000000004</v>
      </c>
      <c r="I6101">
        <v>20180701</v>
      </c>
      <c r="J6101" t="s">
        <v>6201</v>
      </c>
    </row>
    <row r="6102" spans="1:11" x14ac:dyDescent="0.3">
      <c r="A6102" s="160">
        <v>54243</v>
      </c>
      <c r="B6102" t="s">
        <v>21276</v>
      </c>
      <c r="C6102" t="s">
        <v>6141</v>
      </c>
      <c r="D6102">
        <v>0.6</v>
      </c>
      <c r="E6102">
        <v>0</v>
      </c>
      <c r="F6102">
        <f t="shared" si="95"/>
        <v>0.6</v>
      </c>
      <c r="I6102">
        <v>20180701</v>
      </c>
      <c r="J6102" t="s">
        <v>6170</v>
      </c>
    </row>
    <row r="6103" spans="1:11" x14ac:dyDescent="0.3">
      <c r="A6103" s="160">
        <v>54244</v>
      </c>
      <c r="B6103" t="s">
        <v>21277</v>
      </c>
      <c r="C6103" t="s">
        <v>6149</v>
      </c>
      <c r="D6103">
        <v>0.55000000000000004</v>
      </c>
      <c r="E6103">
        <v>0</v>
      </c>
      <c r="F6103">
        <f t="shared" si="95"/>
        <v>0.55000000000000004</v>
      </c>
      <c r="I6103">
        <v>20240101</v>
      </c>
      <c r="J6103" t="s">
        <v>6147</v>
      </c>
      <c r="K6103" t="s">
        <v>6195</v>
      </c>
    </row>
    <row r="6104" spans="1:11" x14ac:dyDescent="0.3">
      <c r="A6104" s="160">
        <v>54245</v>
      </c>
      <c r="B6104" t="s">
        <v>21278</v>
      </c>
      <c r="C6104" t="s">
        <v>6141</v>
      </c>
      <c r="D6104">
        <v>0.6</v>
      </c>
      <c r="E6104">
        <v>0</v>
      </c>
      <c r="F6104">
        <f t="shared" si="95"/>
        <v>0.6</v>
      </c>
      <c r="I6104">
        <v>20180701</v>
      </c>
      <c r="J6104" t="s">
        <v>6176</v>
      </c>
    </row>
    <row r="6105" spans="1:11" x14ac:dyDescent="0.3">
      <c r="A6105" s="160">
        <v>54246</v>
      </c>
      <c r="B6105" t="s">
        <v>21279</v>
      </c>
      <c r="C6105" t="s">
        <v>6141</v>
      </c>
      <c r="D6105">
        <v>0.6</v>
      </c>
      <c r="E6105">
        <v>0</v>
      </c>
      <c r="F6105">
        <f t="shared" si="95"/>
        <v>0.6</v>
      </c>
      <c r="I6105">
        <v>20180701</v>
      </c>
      <c r="J6105" t="s">
        <v>6142</v>
      </c>
    </row>
    <row r="6106" spans="1:11" x14ac:dyDescent="0.3">
      <c r="A6106" s="160">
        <v>54248</v>
      </c>
      <c r="B6106" t="s">
        <v>21280</v>
      </c>
      <c r="C6106" t="s">
        <v>6149</v>
      </c>
      <c r="D6106">
        <v>0.55000000000000004</v>
      </c>
      <c r="E6106">
        <v>0</v>
      </c>
      <c r="F6106">
        <f t="shared" si="95"/>
        <v>0.55000000000000004</v>
      </c>
      <c r="I6106">
        <v>20240101</v>
      </c>
      <c r="J6106" t="s">
        <v>6147</v>
      </c>
    </row>
    <row r="6107" spans="1:11" x14ac:dyDescent="0.3">
      <c r="A6107" s="160">
        <v>54249</v>
      </c>
      <c r="B6107" t="s">
        <v>21281</v>
      </c>
      <c r="C6107" t="s">
        <v>6149</v>
      </c>
      <c r="D6107">
        <v>0.55000000000000004</v>
      </c>
      <c r="E6107">
        <v>0</v>
      </c>
      <c r="F6107">
        <f t="shared" si="95"/>
        <v>0.55000000000000004</v>
      </c>
      <c r="I6107">
        <v>20240101</v>
      </c>
      <c r="J6107" t="s">
        <v>6138</v>
      </c>
    </row>
    <row r="6108" spans="1:11" x14ac:dyDescent="0.3">
      <c r="A6108" s="160">
        <v>54251</v>
      </c>
      <c r="B6108" t="s">
        <v>21282</v>
      </c>
      <c r="C6108" t="s">
        <v>6141</v>
      </c>
      <c r="D6108">
        <v>0.6</v>
      </c>
      <c r="E6108">
        <v>0</v>
      </c>
      <c r="F6108">
        <f t="shared" si="95"/>
        <v>0.6</v>
      </c>
      <c r="I6108">
        <v>20180701</v>
      </c>
      <c r="J6108" t="s">
        <v>6142</v>
      </c>
    </row>
    <row r="6109" spans="1:11" x14ac:dyDescent="0.3">
      <c r="A6109" s="160">
        <v>54253</v>
      </c>
      <c r="B6109" t="s">
        <v>21283</v>
      </c>
      <c r="C6109" t="s">
        <v>6137</v>
      </c>
      <c r="D6109">
        <v>0.6</v>
      </c>
      <c r="E6109">
        <v>0</v>
      </c>
      <c r="F6109">
        <f t="shared" si="95"/>
        <v>0.6</v>
      </c>
      <c r="I6109">
        <v>20160701</v>
      </c>
      <c r="J6109" t="s">
        <v>6138</v>
      </c>
      <c r="K6109" t="s">
        <v>6193</v>
      </c>
    </row>
    <row r="6110" spans="1:11" x14ac:dyDescent="0.3">
      <c r="A6110" s="160">
        <v>54254</v>
      </c>
      <c r="B6110" t="s">
        <v>21284</v>
      </c>
      <c r="C6110" t="s">
        <v>6203</v>
      </c>
      <c r="D6110">
        <v>0.6</v>
      </c>
      <c r="E6110">
        <v>0</v>
      </c>
      <c r="F6110">
        <f t="shared" si="95"/>
        <v>0.6</v>
      </c>
      <c r="I6110">
        <v>20170701</v>
      </c>
      <c r="J6110" t="s">
        <v>6238</v>
      </c>
    </row>
    <row r="6111" spans="1:11" x14ac:dyDescent="0.3">
      <c r="A6111" s="160">
        <v>54255</v>
      </c>
      <c r="B6111" t="s">
        <v>21285</v>
      </c>
      <c r="C6111" t="s">
        <v>6141</v>
      </c>
      <c r="D6111">
        <v>0.6</v>
      </c>
      <c r="E6111">
        <v>0</v>
      </c>
      <c r="F6111">
        <f t="shared" si="95"/>
        <v>0.6</v>
      </c>
      <c r="I6111">
        <v>20240101</v>
      </c>
      <c r="J6111" t="s">
        <v>6220</v>
      </c>
    </row>
    <row r="6112" spans="1:11" x14ac:dyDescent="0.3">
      <c r="A6112" s="160">
        <v>54256</v>
      </c>
      <c r="B6112" t="s">
        <v>21286</v>
      </c>
      <c r="C6112" t="s">
        <v>6141</v>
      </c>
      <c r="D6112">
        <v>0.6</v>
      </c>
      <c r="E6112">
        <v>0</v>
      </c>
      <c r="F6112">
        <f t="shared" si="95"/>
        <v>0.6</v>
      </c>
      <c r="I6112">
        <v>20180701</v>
      </c>
      <c r="J6112" t="s">
        <v>6176</v>
      </c>
    </row>
    <row r="6113" spans="1:15" x14ac:dyDescent="0.3">
      <c r="A6113" s="160">
        <v>54257</v>
      </c>
      <c r="B6113" t="s">
        <v>21287</v>
      </c>
      <c r="C6113" t="s">
        <v>6152</v>
      </c>
      <c r="D6113">
        <v>2</v>
      </c>
      <c r="E6113">
        <v>0</v>
      </c>
      <c r="F6113">
        <f t="shared" si="95"/>
        <v>2</v>
      </c>
      <c r="I6113">
        <v>20120701</v>
      </c>
      <c r="J6113" t="s">
        <v>6239</v>
      </c>
      <c r="K6113" t="s">
        <v>6229</v>
      </c>
      <c r="L6113" t="s">
        <v>6240</v>
      </c>
      <c r="M6113" t="s">
        <v>6241</v>
      </c>
      <c r="N6113" t="s">
        <v>6242</v>
      </c>
      <c r="O6113" t="s">
        <v>6243</v>
      </c>
    </row>
    <row r="6114" spans="1:15" x14ac:dyDescent="0.3">
      <c r="A6114" s="160">
        <v>54258</v>
      </c>
      <c r="B6114" t="s">
        <v>21288</v>
      </c>
      <c r="C6114" t="s">
        <v>6141</v>
      </c>
      <c r="D6114">
        <v>0.6</v>
      </c>
      <c r="E6114">
        <v>0</v>
      </c>
      <c r="F6114">
        <f t="shared" si="95"/>
        <v>0.6</v>
      </c>
      <c r="I6114">
        <v>20240101</v>
      </c>
      <c r="J6114" t="s">
        <v>6151</v>
      </c>
    </row>
    <row r="6115" spans="1:15" x14ac:dyDescent="0.3">
      <c r="A6115" s="160">
        <v>54259</v>
      </c>
      <c r="B6115" t="s">
        <v>21289</v>
      </c>
      <c r="C6115" t="s">
        <v>6141</v>
      </c>
      <c r="D6115">
        <v>0.6</v>
      </c>
      <c r="E6115">
        <v>0</v>
      </c>
      <c r="F6115">
        <f t="shared" si="95"/>
        <v>0.6</v>
      </c>
      <c r="I6115">
        <v>20180701</v>
      </c>
      <c r="J6115" t="s">
        <v>6142</v>
      </c>
    </row>
    <row r="6116" spans="1:15" x14ac:dyDescent="0.3">
      <c r="A6116" s="160">
        <v>54260</v>
      </c>
      <c r="B6116" t="s">
        <v>21290</v>
      </c>
      <c r="C6116" t="s">
        <v>6141</v>
      </c>
      <c r="D6116">
        <v>0.6</v>
      </c>
      <c r="E6116">
        <v>0</v>
      </c>
      <c r="F6116">
        <f t="shared" si="95"/>
        <v>0.6</v>
      </c>
      <c r="I6116">
        <v>20180701</v>
      </c>
      <c r="J6116" t="s">
        <v>6181</v>
      </c>
      <c r="K6116" t="s">
        <v>6200</v>
      </c>
    </row>
    <row r="6117" spans="1:15" x14ac:dyDescent="0.3">
      <c r="A6117" s="160">
        <v>54261</v>
      </c>
      <c r="B6117" t="s">
        <v>21291</v>
      </c>
      <c r="C6117" t="s">
        <v>6203</v>
      </c>
      <c r="D6117">
        <v>0.6</v>
      </c>
      <c r="E6117">
        <v>0</v>
      </c>
      <c r="F6117">
        <f t="shared" si="95"/>
        <v>0.6</v>
      </c>
      <c r="I6117">
        <v>20170701</v>
      </c>
      <c r="J6117" t="s">
        <v>6209</v>
      </c>
      <c r="K6117" t="s">
        <v>6244</v>
      </c>
    </row>
    <row r="6118" spans="1:15" x14ac:dyDescent="0.3">
      <c r="A6118" s="160">
        <v>54262</v>
      </c>
      <c r="B6118" t="s">
        <v>21292</v>
      </c>
      <c r="C6118" t="s">
        <v>6141</v>
      </c>
      <c r="D6118">
        <v>0.6</v>
      </c>
      <c r="E6118">
        <v>0</v>
      </c>
      <c r="F6118">
        <f t="shared" si="95"/>
        <v>0.6</v>
      </c>
      <c r="I6118">
        <v>20240101</v>
      </c>
      <c r="J6118" t="s">
        <v>6151</v>
      </c>
    </row>
    <row r="6119" spans="1:15" x14ac:dyDescent="0.3">
      <c r="A6119" s="160">
        <v>54263</v>
      </c>
      <c r="B6119" t="s">
        <v>21293</v>
      </c>
      <c r="C6119" t="s">
        <v>6137</v>
      </c>
      <c r="D6119">
        <v>0.6</v>
      </c>
      <c r="E6119">
        <v>0</v>
      </c>
      <c r="F6119">
        <f t="shared" si="95"/>
        <v>0.6</v>
      </c>
      <c r="I6119">
        <v>20160701</v>
      </c>
      <c r="J6119" t="s">
        <v>6245</v>
      </c>
      <c r="K6119" t="s">
        <v>6160</v>
      </c>
    </row>
    <row r="6120" spans="1:15" x14ac:dyDescent="0.3">
      <c r="A6120" s="160">
        <v>54265</v>
      </c>
      <c r="B6120" t="s">
        <v>21294</v>
      </c>
      <c r="C6120" t="s">
        <v>6152</v>
      </c>
      <c r="D6120">
        <v>2</v>
      </c>
      <c r="E6120">
        <v>0</v>
      </c>
      <c r="F6120">
        <f t="shared" si="95"/>
        <v>2</v>
      </c>
      <c r="I6120">
        <v>20120701</v>
      </c>
      <c r="J6120" t="s">
        <v>6239</v>
      </c>
      <c r="K6120" t="s">
        <v>6229</v>
      </c>
      <c r="L6120" t="s">
        <v>6240</v>
      </c>
      <c r="M6120" t="s">
        <v>6241</v>
      </c>
      <c r="N6120" t="s">
        <v>6242</v>
      </c>
      <c r="O6120" t="s">
        <v>6246</v>
      </c>
    </row>
    <row r="6121" spans="1:15" x14ac:dyDescent="0.3">
      <c r="A6121" s="160">
        <v>54269</v>
      </c>
      <c r="B6121" t="s">
        <v>21295</v>
      </c>
      <c r="C6121" t="s">
        <v>6167</v>
      </c>
      <c r="D6121">
        <v>0.6</v>
      </c>
      <c r="E6121">
        <v>0</v>
      </c>
      <c r="F6121">
        <f t="shared" si="95"/>
        <v>0.6</v>
      </c>
      <c r="I6121">
        <v>20180701</v>
      </c>
      <c r="J6121" t="s">
        <v>6148</v>
      </c>
    </row>
    <row r="6122" spans="1:15" x14ac:dyDescent="0.3">
      <c r="A6122" s="160">
        <v>54270</v>
      </c>
      <c r="B6122" t="s">
        <v>21296</v>
      </c>
      <c r="C6122" t="s">
        <v>6203</v>
      </c>
      <c r="D6122">
        <v>0.6</v>
      </c>
      <c r="E6122">
        <v>0</v>
      </c>
      <c r="F6122">
        <f t="shared" si="95"/>
        <v>0.6</v>
      </c>
      <c r="I6122">
        <v>20170701</v>
      </c>
      <c r="J6122" t="s">
        <v>6247</v>
      </c>
    </row>
    <row r="6123" spans="1:15" x14ac:dyDescent="0.3">
      <c r="A6123" s="160">
        <v>54271</v>
      </c>
      <c r="B6123" t="s">
        <v>21297</v>
      </c>
      <c r="C6123" t="s">
        <v>6141</v>
      </c>
      <c r="D6123">
        <v>0.6</v>
      </c>
      <c r="E6123">
        <v>0</v>
      </c>
      <c r="F6123">
        <f t="shared" si="95"/>
        <v>0.6</v>
      </c>
      <c r="I6123">
        <v>20180701</v>
      </c>
      <c r="J6123" t="s">
        <v>6142</v>
      </c>
    </row>
    <row r="6124" spans="1:15" x14ac:dyDescent="0.3">
      <c r="A6124" s="160">
        <v>54272</v>
      </c>
      <c r="B6124" t="s">
        <v>21298</v>
      </c>
      <c r="C6124" t="s">
        <v>6139</v>
      </c>
      <c r="D6124">
        <v>0.55000000000000004</v>
      </c>
      <c r="E6124">
        <v>0</v>
      </c>
      <c r="F6124">
        <f t="shared" si="95"/>
        <v>0.55000000000000004</v>
      </c>
      <c r="I6124">
        <v>20180701</v>
      </c>
      <c r="J6124" t="s">
        <v>6144</v>
      </c>
    </row>
    <row r="6125" spans="1:15" x14ac:dyDescent="0.3">
      <c r="A6125" s="160">
        <v>54273</v>
      </c>
      <c r="B6125" t="s">
        <v>21299</v>
      </c>
      <c r="C6125" t="s">
        <v>6137</v>
      </c>
      <c r="D6125">
        <v>0.6</v>
      </c>
      <c r="E6125">
        <v>0</v>
      </c>
      <c r="F6125">
        <f t="shared" si="95"/>
        <v>0.6</v>
      </c>
      <c r="I6125">
        <v>20160701</v>
      </c>
      <c r="J6125" t="s">
        <v>6138</v>
      </c>
      <c r="K6125" t="s">
        <v>6205</v>
      </c>
      <c r="L6125" t="s">
        <v>6195</v>
      </c>
      <c r="M6125" t="s">
        <v>6193</v>
      </c>
    </row>
    <row r="6126" spans="1:15" x14ac:dyDescent="0.3">
      <c r="A6126" s="160">
        <v>54274</v>
      </c>
      <c r="B6126" t="s">
        <v>21300</v>
      </c>
      <c r="C6126" t="s">
        <v>6152</v>
      </c>
      <c r="D6126">
        <v>2</v>
      </c>
      <c r="E6126">
        <v>0</v>
      </c>
      <c r="F6126">
        <f t="shared" si="95"/>
        <v>2</v>
      </c>
      <c r="I6126">
        <v>20120701</v>
      </c>
      <c r="J6126" t="s">
        <v>6248</v>
      </c>
      <c r="K6126" t="s">
        <v>6249</v>
      </c>
      <c r="L6126" t="s">
        <v>6240</v>
      </c>
      <c r="M6126" t="s">
        <v>6241</v>
      </c>
    </row>
    <row r="6127" spans="1:15" x14ac:dyDescent="0.3">
      <c r="A6127" s="160">
        <v>54275</v>
      </c>
      <c r="B6127" t="s">
        <v>21301</v>
      </c>
      <c r="C6127" t="s">
        <v>6149</v>
      </c>
      <c r="D6127">
        <v>0.55000000000000004</v>
      </c>
      <c r="E6127">
        <v>0</v>
      </c>
      <c r="F6127">
        <f t="shared" si="95"/>
        <v>0.55000000000000004</v>
      </c>
      <c r="I6127">
        <v>20240101</v>
      </c>
      <c r="J6127" t="s">
        <v>6147</v>
      </c>
    </row>
    <row r="6128" spans="1:15" x14ac:dyDescent="0.3">
      <c r="A6128" s="160">
        <v>54277</v>
      </c>
      <c r="B6128" t="s">
        <v>21302</v>
      </c>
      <c r="C6128" t="s">
        <v>6137</v>
      </c>
      <c r="D6128">
        <v>0.6</v>
      </c>
      <c r="E6128">
        <v>0</v>
      </c>
      <c r="F6128">
        <f t="shared" si="95"/>
        <v>0.6</v>
      </c>
      <c r="I6128">
        <v>20160701</v>
      </c>
      <c r="J6128" t="s">
        <v>6138</v>
      </c>
    </row>
    <row r="6129" spans="1:12" x14ac:dyDescent="0.3">
      <c r="A6129" s="160">
        <v>54279</v>
      </c>
      <c r="B6129" t="s">
        <v>21303</v>
      </c>
      <c r="C6129" t="s">
        <v>6154</v>
      </c>
      <c r="D6129">
        <v>0.6</v>
      </c>
      <c r="E6129">
        <v>0</v>
      </c>
      <c r="F6129">
        <f t="shared" si="95"/>
        <v>0.6</v>
      </c>
      <c r="I6129">
        <v>20100601</v>
      </c>
      <c r="J6129" t="s">
        <v>6155</v>
      </c>
    </row>
    <row r="6130" spans="1:12" x14ac:dyDescent="0.3">
      <c r="A6130" s="160">
        <v>54280</v>
      </c>
      <c r="B6130" t="s">
        <v>21304</v>
      </c>
      <c r="C6130" t="s">
        <v>6137</v>
      </c>
      <c r="D6130">
        <v>0.6</v>
      </c>
      <c r="E6130">
        <v>0</v>
      </c>
      <c r="F6130">
        <f t="shared" si="95"/>
        <v>0.6</v>
      </c>
      <c r="I6130">
        <v>20160701</v>
      </c>
      <c r="J6130" t="s">
        <v>6250</v>
      </c>
      <c r="K6130" t="s">
        <v>6160</v>
      </c>
    </row>
    <row r="6131" spans="1:12" x14ac:dyDescent="0.3">
      <c r="A6131" s="160">
        <v>54281</v>
      </c>
      <c r="B6131" t="s">
        <v>21305</v>
      </c>
      <c r="C6131" t="s">
        <v>6141</v>
      </c>
      <c r="D6131">
        <v>0.6</v>
      </c>
      <c r="E6131">
        <v>0</v>
      </c>
      <c r="F6131">
        <f t="shared" si="95"/>
        <v>0.6</v>
      </c>
      <c r="I6131">
        <v>20180701</v>
      </c>
      <c r="J6131" t="s">
        <v>6181</v>
      </c>
      <c r="K6131" t="s">
        <v>6198</v>
      </c>
    </row>
    <row r="6132" spans="1:12" x14ac:dyDescent="0.3">
      <c r="A6132" s="160">
        <v>54282</v>
      </c>
      <c r="B6132" t="s">
        <v>21306</v>
      </c>
      <c r="C6132" t="s">
        <v>6137</v>
      </c>
      <c r="D6132">
        <v>0.6</v>
      </c>
      <c r="E6132">
        <v>0</v>
      </c>
      <c r="F6132">
        <f t="shared" si="95"/>
        <v>0.6</v>
      </c>
      <c r="I6132">
        <v>20160701</v>
      </c>
      <c r="J6132" t="s">
        <v>6251</v>
      </c>
    </row>
    <row r="6133" spans="1:12" x14ac:dyDescent="0.3">
      <c r="A6133" s="160">
        <v>54283</v>
      </c>
      <c r="B6133" t="s">
        <v>21307</v>
      </c>
      <c r="C6133" t="s">
        <v>6137</v>
      </c>
      <c r="D6133">
        <v>0.6</v>
      </c>
      <c r="E6133">
        <v>0</v>
      </c>
      <c r="F6133">
        <f t="shared" si="95"/>
        <v>0.6</v>
      </c>
      <c r="I6133">
        <v>20160701</v>
      </c>
      <c r="J6133" t="s">
        <v>6138</v>
      </c>
    </row>
    <row r="6134" spans="1:12" x14ac:dyDescent="0.3">
      <c r="A6134" s="160">
        <v>54284</v>
      </c>
      <c r="B6134" t="s">
        <v>21308</v>
      </c>
      <c r="C6134" t="s">
        <v>6137</v>
      </c>
      <c r="D6134">
        <v>0.6</v>
      </c>
      <c r="E6134">
        <v>0</v>
      </c>
      <c r="F6134">
        <f t="shared" si="95"/>
        <v>0.6</v>
      </c>
      <c r="I6134">
        <v>20160701</v>
      </c>
      <c r="J6134" t="s">
        <v>6161</v>
      </c>
      <c r="K6134" t="s">
        <v>6164</v>
      </c>
    </row>
    <row r="6135" spans="1:12" x14ac:dyDescent="0.3">
      <c r="A6135" s="160">
        <v>54285</v>
      </c>
      <c r="B6135" t="s">
        <v>21309</v>
      </c>
      <c r="C6135" t="s">
        <v>6141</v>
      </c>
      <c r="D6135">
        <v>0.6</v>
      </c>
      <c r="E6135">
        <v>0</v>
      </c>
      <c r="F6135">
        <f t="shared" si="95"/>
        <v>0.6</v>
      </c>
      <c r="I6135">
        <v>20240101</v>
      </c>
      <c r="J6135" t="s">
        <v>6151</v>
      </c>
    </row>
    <row r="6136" spans="1:12" x14ac:dyDescent="0.3">
      <c r="A6136" s="160">
        <v>54286</v>
      </c>
      <c r="B6136" t="s">
        <v>21310</v>
      </c>
      <c r="C6136" t="s">
        <v>6137</v>
      </c>
      <c r="D6136">
        <v>0.6</v>
      </c>
      <c r="E6136">
        <v>0</v>
      </c>
      <c r="F6136">
        <f t="shared" si="95"/>
        <v>0.6</v>
      </c>
      <c r="I6136">
        <v>20160701</v>
      </c>
      <c r="J6136" t="s">
        <v>6138</v>
      </c>
      <c r="K6136" t="s">
        <v>6195</v>
      </c>
      <c r="L6136" t="s">
        <v>6193</v>
      </c>
    </row>
    <row r="6137" spans="1:12" x14ac:dyDescent="0.3">
      <c r="A6137" s="160">
        <v>54287</v>
      </c>
      <c r="B6137" t="s">
        <v>21311</v>
      </c>
      <c r="C6137" t="s">
        <v>6141</v>
      </c>
      <c r="D6137">
        <v>0.6</v>
      </c>
      <c r="E6137">
        <v>0</v>
      </c>
      <c r="F6137">
        <f t="shared" si="95"/>
        <v>0.6</v>
      </c>
      <c r="I6137">
        <v>20180701</v>
      </c>
      <c r="J6137" t="s">
        <v>6170</v>
      </c>
    </row>
    <row r="6138" spans="1:12" x14ac:dyDescent="0.3">
      <c r="A6138" s="160">
        <v>54288</v>
      </c>
      <c r="B6138" t="s">
        <v>21312</v>
      </c>
      <c r="C6138" t="s">
        <v>6139</v>
      </c>
      <c r="D6138">
        <v>0.55000000000000004</v>
      </c>
      <c r="E6138">
        <v>0</v>
      </c>
      <c r="F6138">
        <f t="shared" si="95"/>
        <v>0.55000000000000004</v>
      </c>
      <c r="I6138">
        <v>20180701</v>
      </c>
      <c r="J6138" t="s">
        <v>6144</v>
      </c>
    </row>
    <row r="6139" spans="1:12" x14ac:dyDescent="0.3">
      <c r="A6139" s="160">
        <v>54290</v>
      </c>
      <c r="B6139" t="s">
        <v>21313</v>
      </c>
      <c r="C6139" t="s">
        <v>6203</v>
      </c>
      <c r="D6139">
        <v>0.6</v>
      </c>
      <c r="E6139">
        <v>0</v>
      </c>
      <c r="F6139">
        <f t="shared" si="95"/>
        <v>0.6</v>
      </c>
      <c r="I6139">
        <v>20170701</v>
      </c>
      <c r="J6139" t="s">
        <v>6204</v>
      </c>
    </row>
    <row r="6140" spans="1:12" x14ac:dyDescent="0.3">
      <c r="A6140" s="160">
        <v>54292</v>
      </c>
      <c r="B6140" t="s">
        <v>21314</v>
      </c>
      <c r="C6140" t="s">
        <v>6141</v>
      </c>
      <c r="D6140">
        <v>0.6</v>
      </c>
      <c r="E6140">
        <v>0</v>
      </c>
      <c r="F6140">
        <f t="shared" si="95"/>
        <v>0.6</v>
      </c>
      <c r="I6140">
        <v>20240101</v>
      </c>
      <c r="J6140" t="s">
        <v>6181</v>
      </c>
    </row>
    <row r="6141" spans="1:12" x14ac:dyDescent="0.3">
      <c r="A6141" s="160">
        <v>54293</v>
      </c>
      <c r="B6141" t="s">
        <v>21315</v>
      </c>
      <c r="C6141" t="s">
        <v>6141</v>
      </c>
      <c r="D6141">
        <v>0.6</v>
      </c>
      <c r="E6141">
        <v>0</v>
      </c>
      <c r="F6141">
        <f t="shared" si="95"/>
        <v>0.6</v>
      </c>
      <c r="I6141">
        <v>20180701</v>
      </c>
      <c r="J6141" t="s">
        <v>6174</v>
      </c>
    </row>
    <row r="6142" spans="1:12" x14ac:dyDescent="0.3">
      <c r="A6142" s="160">
        <v>54294</v>
      </c>
      <c r="B6142" t="s">
        <v>21316</v>
      </c>
      <c r="C6142" t="s">
        <v>6154</v>
      </c>
      <c r="D6142">
        <v>0.6</v>
      </c>
      <c r="E6142">
        <v>0</v>
      </c>
      <c r="F6142">
        <f t="shared" si="95"/>
        <v>0.6</v>
      </c>
      <c r="I6142">
        <v>20150101</v>
      </c>
      <c r="J6142" t="s">
        <v>6163</v>
      </c>
    </row>
    <row r="6143" spans="1:12" x14ac:dyDescent="0.3">
      <c r="A6143" s="160">
        <v>54295</v>
      </c>
      <c r="B6143" t="s">
        <v>21317</v>
      </c>
      <c r="C6143" t="s">
        <v>6137</v>
      </c>
      <c r="D6143">
        <v>0.6</v>
      </c>
      <c r="E6143">
        <v>0</v>
      </c>
      <c r="F6143">
        <f t="shared" si="95"/>
        <v>0.6</v>
      </c>
      <c r="I6143">
        <v>20160701</v>
      </c>
      <c r="J6143" t="s">
        <v>6161</v>
      </c>
      <c r="K6143" t="s">
        <v>6252</v>
      </c>
    </row>
    <row r="6144" spans="1:12" x14ac:dyDescent="0.3">
      <c r="A6144" s="160">
        <v>54297</v>
      </c>
      <c r="B6144" t="s">
        <v>21318</v>
      </c>
      <c r="C6144" t="s">
        <v>6141</v>
      </c>
      <c r="D6144">
        <v>0.6</v>
      </c>
      <c r="E6144">
        <v>0</v>
      </c>
      <c r="F6144">
        <f t="shared" si="95"/>
        <v>0.6</v>
      </c>
      <c r="I6144">
        <v>20180701</v>
      </c>
      <c r="J6144" t="s">
        <v>6151</v>
      </c>
    </row>
    <row r="6145" spans="1:17" x14ac:dyDescent="0.3">
      <c r="A6145" s="160">
        <v>54298</v>
      </c>
      <c r="B6145" t="s">
        <v>21319</v>
      </c>
      <c r="C6145" t="s">
        <v>6139</v>
      </c>
      <c r="D6145">
        <v>0.55000000000000004</v>
      </c>
      <c r="E6145">
        <v>0</v>
      </c>
      <c r="F6145">
        <f t="shared" si="95"/>
        <v>0.55000000000000004</v>
      </c>
      <c r="I6145">
        <v>20180701</v>
      </c>
      <c r="J6145" t="s">
        <v>6233</v>
      </c>
    </row>
    <row r="6146" spans="1:17" x14ac:dyDescent="0.3">
      <c r="A6146" s="160">
        <v>54300</v>
      </c>
      <c r="B6146" t="s">
        <v>21320</v>
      </c>
      <c r="C6146" t="s">
        <v>6152</v>
      </c>
      <c r="D6146">
        <v>2</v>
      </c>
      <c r="E6146">
        <v>0</v>
      </c>
      <c r="F6146">
        <f t="shared" si="95"/>
        <v>2</v>
      </c>
      <c r="I6146">
        <v>20120701</v>
      </c>
      <c r="J6146" t="s">
        <v>6253</v>
      </c>
    </row>
    <row r="6147" spans="1:17" x14ac:dyDescent="0.3">
      <c r="A6147" s="160">
        <v>54302</v>
      </c>
      <c r="B6147" t="s">
        <v>21321</v>
      </c>
      <c r="C6147" t="s">
        <v>6137</v>
      </c>
      <c r="D6147">
        <v>0.6</v>
      </c>
      <c r="E6147">
        <v>0</v>
      </c>
      <c r="F6147">
        <f t="shared" si="95"/>
        <v>0.6</v>
      </c>
      <c r="I6147">
        <v>20160701</v>
      </c>
      <c r="J6147" t="s">
        <v>6146</v>
      </c>
      <c r="K6147" t="s">
        <v>6191</v>
      </c>
    </row>
    <row r="6148" spans="1:17" x14ac:dyDescent="0.3">
      <c r="A6148" s="160">
        <v>54303</v>
      </c>
      <c r="B6148" t="s">
        <v>21322</v>
      </c>
      <c r="C6148" t="s">
        <v>6141</v>
      </c>
      <c r="D6148">
        <v>0.6</v>
      </c>
      <c r="E6148">
        <v>0</v>
      </c>
      <c r="F6148">
        <f t="shared" si="95"/>
        <v>0.6</v>
      </c>
      <c r="I6148">
        <v>20180701</v>
      </c>
      <c r="J6148" t="s">
        <v>6254</v>
      </c>
    </row>
    <row r="6149" spans="1:17" x14ac:dyDescent="0.3">
      <c r="A6149" s="160">
        <v>54304</v>
      </c>
      <c r="B6149" t="s">
        <v>21323</v>
      </c>
      <c r="C6149" t="s">
        <v>6152</v>
      </c>
      <c r="D6149">
        <v>2</v>
      </c>
      <c r="E6149">
        <v>0</v>
      </c>
      <c r="F6149">
        <f t="shared" si="95"/>
        <v>2</v>
      </c>
      <c r="I6149">
        <v>20120701</v>
      </c>
      <c r="J6149" t="s">
        <v>6248</v>
      </c>
      <c r="K6149" t="s">
        <v>6255</v>
      </c>
      <c r="L6149" t="s">
        <v>6256</v>
      </c>
      <c r="M6149" t="s">
        <v>6257</v>
      </c>
      <c r="N6149" t="s">
        <v>6258</v>
      </c>
      <c r="O6149" t="s">
        <v>6259</v>
      </c>
      <c r="P6149" t="s">
        <v>6260</v>
      </c>
      <c r="Q6149" t="s">
        <v>6261</v>
      </c>
    </row>
    <row r="6150" spans="1:17" x14ac:dyDescent="0.3">
      <c r="A6150" s="160">
        <v>54305</v>
      </c>
      <c r="B6150" t="s">
        <v>21324</v>
      </c>
      <c r="C6150" t="s">
        <v>6187</v>
      </c>
      <c r="D6150">
        <v>0.6</v>
      </c>
      <c r="E6150">
        <v>0</v>
      </c>
      <c r="F6150">
        <f t="shared" si="95"/>
        <v>0.6</v>
      </c>
      <c r="I6150">
        <v>20111101</v>
      </c>
      <c r="J6150" t="s">
        <v>6262</v>
      </c>
    </row>
    <row r="6151" spans="1:17" x14ac:dyDescent="0.3">
      <c r="A6151" s="160">
        <v>54306</v>
      </c>
      <c r="B6151" t="s">
        <v>21325</v>
      </c>
      <c r="C6151" t="s">
        <v>6139</v>
      </c>
      <c r="D6151">
        <v>0.55000000000000004</v>
      </c>
      <c r="E6151">
        <v>0</v>
      </c>
      <c r="F6151">
        <f t="shared" ref="F6151:F6214" si="96">D6151+E6151</f>
        <v>0.55000000000000004</v>
      </c>
      <c r="I6151">
        <v>20180701</v>
      </c>
      <c r="J6151" t="s">
        <v>6233</v>
      </c>
    </row>
    <row r="6152" spans="1:17" x14ac:dyDescent="0.3">
      <c r="A6152" s="160">
        <v>54308</v>
      </c>
      <c r="B6152" t="s">
        <v>21326</v>
      </c>
      <c r="C6152" t="s">
        <v>6141</v>
      </c>
      <c r="D6152">
        <v>0.6</v>
      </c>
      <c r="E6152">
        <v>0</v>
      </c>
      <c r="F6152">
        <f t="shared" si="96"/>
        <v>0.6</v>
      </c>
      <c r="I6152">
        <v>20180701</v>
      </c>
      <c r="J6152" t="s">
        <v>6142</v>
      </c>
    </row>
    <row r="6153" spans="1:17" x14ac:dyDescent="0.3">
      <c r="A6153" s="160">
        <v>54312</v>
      </c>
      <c r="B6153" t="s">
        <v>21327</v>
      </c>
      <c r="C6153" t="s">
        <v>6154</v>
      </c>
      <c r="D6153">
        <v>0.6</v>
      </c>
      <c r="E6153">
        <v>0</v>
      </c>
      <c r="F6153">
        <f t="shared" si="96"/>
        <v>0.6</v>
      </c>
      <c r="I6153">
        <v>20150101</v>
      </c>
      <c r="J6153" t="s">
        <v>6155</v>
      </c>
      <c r="K6153" t="s">
        <v>6184</v>
      </c>
      <c r="L6153" t="s">
        <v>6158</v>
      </c>
      <c r="M6153" t="s">
        <v>6159</v>
      </c>
    </row>
    <row r="6154" spans="1:17" x14ac:dyDescent="0.3">
      <c r="A6154" s="160">
        <v>54314</v>
      </c>
      <c r="B6154" t="s">
        <v>21328</v>
      </c>
      <c r="C6154" t="s">
        <v>6203</v>
      </c>
      <c r="D6154">
        <v>0.6</v>
      </c>
      <c r="E6154">
        <v>0</v>
      </c>
      <c r="F6154">
        <f t="shared" si="96"/>
        <v>0.6</v>
      </c>
      <c r="I6154">
        <v>20170701</v>
      </c>
      <c r="J6154" t="s">
        <v>6209</v>
      </c>
      <c r="K6154" t="s">
        <v>6211</v>
      </c>
      <c r="L6154" t="s">
        <v>6204</v>
      </c>
    </row>
    <row r="6155" spans="1:17" x14ac:dyDescent="0.3">
      <c r="A6155" s="160">
        <v>54316</v>
      </c>
      <c r="B6155" t="s">
        <v>21329</v>
      </c>
      <c r="C6155" t="s">
        <v>6149</v>
      </c>
      <c r="D6155">
        <v>0.55000000000000004</v>
      </c>
      <c r="E6155">
        <v>0</v>
      </c>
      <c r="F6155">
        <f t="shared" si="96"/>
        <v>0.55000000000000004</v>
      </c>
      <c r="I6155">
        <v>20240101</v>
      </c>
      <c r="J6155" t="s">
        <v>6147</v>
      </c>
    </row>
    <row r="6156" spans="1:17" x14ac:dyDescent="0.3">
      <c r="A6156" s="160">
        <v>54317</v>
      </c>
      <c r="B6156" t="s">
        <v>21330</v>
      </c>
      <c r="C6156" t="s">
        <v>6149</v>
      </c>
      <c r="D6156">
        <v>0.55000000000000004</v>
      </c>
      <c r="E6156">
        <v>0</v>
      </c>
      <c r="F6156">
        <f t="shared" si="96"/>
        <v>0.55000000000000004</v>
      </c>
      <c r="I6156">
        <v>20240101</v>
      </c>
      <c r="J6156" t="s">
        <v>6147</v>
      </c>
    </row>
    <row r="6157" spans="1:17" x14ac:dyDescent="0.3">
      <c r="A6157" s="160">
        <v>54318</v>
      </c>
      <c r="B6157" t="s">
        <v>21331</v>
      </c>
      <c r="C6157" t="s">
        <v>6187</v>
      </c>
      <c r="D6157">
        <v>0.6</v>
      </c>
      <c r="E6157">
        <v>0</v>
      </c>
      <c r="F6157">
        <f t="shared" si="96"/>
        <v>0.6</v>
      </c>
      <c r="I6157">
        <v>20111101</v>
      </c>
      <c r="J6157" t="s">
        <v>6140</v>
      </c>
    </row>
    <row r="6158" spans="1:17" x14ac:dyDescent="0.3">
      <c r="A6158" s="160">
        <v>54320</v>
      </c>
      <c r="B6158" t="s">
        <v>21332</v>
      </c>
      <c r="C6158" t="s">
        <v>6154</v>
      </c>
      <c r="D6158">
        <v>0.6</v>
      </c>
      <c r="E6158">
        <v>0</v>
      </c>
      <c r="F6158">
        <f t="shared" si="96"/>
        <v>0.6</v>
      </c>
      <c r="I6158">
        <v>20150101</v>
      </c>
      <c r="J6158" t="s">
        <v>6155</v>
      </c>
      <c r="K6158" t="s">
        <v>6156</v>
      </c>
    </row>
    <row r="6159" spans="1:17" x14ac:dyDescent="0.3">
      <c r="A6159" s="160">
        <v>54321</v>
      </c>
      <c r="B6159" t="s">
        <v>21333</v>
      </c>
      <c r="C6159" t="s">
        <v>6203</v>
      </c>
      <c r="D6159">
        <v>0.6</v>
      </c>
      <c r="E6159">
        <v>0</v>
      </c>
      <c r="F6159">
        <f t="shared" si="96"/>
        <v>0.6</v>
      </c>
      <c r="I6159">
        <v>20170701</v>
      </c>
      <c r="J6159" t="s">
        <v>6209</v>
      </c>
      <c r="K6159" t="s">
        <v>6263</v>
      </c>
      <c r="L6159" t="s">
        <v>6264</v>
      </c>
      <c r="M6159" t="s">
        <v>6265</v>
      </c>
      <c r="N6159" t="s">
        <v>6266</v>
      </c>
      <c r="O6159" t="s">
        <v>6211</v>
      </c>
      <c r="P6159" t="s">
        <v>6267</v>
      </c>
    </row>
    <row r="6160" spans="1:17" x14ac:dyDescent="0.3">
      <c r="A6160" s="160">
        <v>54323</v>
      </c>
      <c r="B6160" t="s">
        <v>21334</v>
      </c>
      <c r="C6160" t="s">
        <v>6203</v>
      </c>
      <c r="D6160">
        <v>0.6</v>
      </c>
      <c r="E6160">
        <v>0</v>
      </c>
      <c r="F6160">
        <f t="shared" si="96"/>
        <v>0.6</v>
      </c>
      <c r="I6160">
        <v>20170701</v>
      </c>
      <c r="J6160" t="s">
        <v>6208</v>
      </c>
      <c r="K6160" t="s">
        <v>6209</v>
      </c>
      <c r="L6160" t="s">
        <v>6263</v>
      </c>
      <c r="M6160" t="s">
        <v>6264</v>
      </c>
      <c r="N6160" t="s">
        <v>6268</v>
      </c>
      <c r="O6160" t="s">
        <v>6265</v>
      </c>
      <c r="P6160" t="s">
        <v>6269</v>
      </c>
      <c r="Q6160" t="s">
        <v>6211</v>
      </c>
    </row>
    <row r="6161" spans="1:15" x14ac:dyDescent="0.3">
      <c r="A6161" s="160">
        <v>54324</v>
      </c>
      <c r="B6161" t="s">
        <v>21335</v>
      </c>
      <c r="C6161" t="s">
        <v>6141</v>
      </c>
      <c r="D6161">
        <v>0.6</v>
      </c>
      <c r="E6161">
        <v>0</v>
      </c>
      <c r="F6161">
        <f t="shared" si="96"/>
        <v>0.6</v>
      </c>
      <c r="I6161">
        <v>20180701</v>
      </c>
      <c r="J6161" t="s">
        <v>6176</v>
      </c>
    </row>
    <row r="6162" spans="1:15" x14ac:dyDescent="0.3">
      <c r="A6162" s="160">
        <v>54325</v>
      </c>
      <c r="B6162" t="s">
        <v>21336</v>
      </c>
      <c r="C6162" t="s">
        <v>6141</v>
      </c>
      <c r="D6162">
        <v>0.6</v>
      </c>
      <c r="E6162">
        <v>0</v>
      </c>
      <c r="F6162">
        <f t="shared" si="96"/>
        <v>0.6</v>
      </c>
      <c r="I6162">
        <v>20180701</v>
      </c>
      <c r="J6162" t="s">
        <v>6176</v>
      </c>
    </row>
    <row r="6163" spans="1:15" x14ac:dyDescent="0.3">
      <c r="A6163" s="160">
        <v>54326</v>
      </c>
      <c r="B6163" t="s">
        <v>21337</v>
      </c>
      <c r="C6163" t="s">
        <v>6137</v>
      </c>
      <c r="D6163">
        <v>0.6</v>
      </c>
      <c r="E6163">
        <v>0</v>
      </c>
      <c r="F6163">
        <f t="shared" si="96"/>
        <v>0.6</v>
      </c>
      <c r="I6163">
        <v>20160701</v>
      </c>
      <c r="J6163" t="s">
        <v>6146</v>
      </c>
    </row>
    <row r="6164" spans="1:15" x14ac:dyDescent="0.3">
      <c r="A6164" s="160">
        <v>54327</v>
      </c>
      <c r="B6164" t="s">
        <v>21338</v>
      </c>
      <c r="C6164" t="s">
        <v>6139</v>
      </c>
      <c r="D6164">
        <v>0.55000000000000004</v>
      </c>
      <c r="E6164">
        <v>0</v>
      </c>
      <c r="F6164">
        <f t="shared" si="96"/>
        <v>0.55000000000000004</v>
      </c>
      <c r="I6164">
        <v>20180701</v>
      </c>
      <c r="J6164" t="s">
        <v>6144</v>
      </c>
    </row>
    <row r="6165" spans="1:15" x14ac:dyDescent="0.3">
      <c r="A6165" s="160">
        <v>54328</v>
      </c>
      <c r="B6165" t="s">
        <v>21339</v>
      </c>
      <c r="C6165" t="s">
        <v>6152</v>
      </c>
      <c r="D6165">
        <v>2</v>
      </c>
      <c r="E6165">
        <v>0</v>
      </c>
      <c r="F6165">
        <f t="shared" si="96"/>
        <v>2</v>
      </c>
      <c r="I6165">
        <v>20120701</v>
      </c>
      <c r="J6165" t="s">
        <v>6230</v>
      </c>
      <c r="K6165" t="s">
        <v>6270</v>
      </c>
      <c r="L6165" t="s">
        <v>6227</v>
      </c>
      <c r="M6165" t="s">
        <v>6231</v>
      </c>
      <c r="N6165" t="s">
        <v>6228</v>
      </c>
      <c r="O6165" t="s">
        <v>6271</v>
      </c>
    </row>
    <row r="6166" spans="1:15" x14ac:dyDescent="0.3">
      <c r="A6166" s="160">
        <v>54329</v>
      </c>
      <c r="B6166" t="s">
        <v>21340</v>
      </c>
      <c r="C6166" t="s">
        <v>6141</v>
      </c>
      <c r="D6166">
        <v>0.6</v>
      </c>
      <c r="E6166">
        <v>0</v>
      </c>
      <c r="F6166">
        <f t="shared" si="96"/>
        <v>0.6</v>
      </c>
      <c r="I6166">
        <v>20180701</v>
      </c>
      <c r="J6166" t="s">
        <v>6181</v>
      </c>
      <c r="K6166" t="s">
        <v>6272</v>
      </c>
      <c r="L6166" t="s">
        <v>6197</v>
      </c>
      <c r="M6166" t="s">
        <v>6198</v>
      </c>
      <c r="N6166" t="s">
        <v>6199</v>
      </c>
      <c r="O6166" t="s">
        <v>6200</v>
      </c>
    </row>
    <row r="6167" spans="1:15" x14ac:dyDescent="0.3">
      <c r="A6167" s="160">
        <v>54330</v>
      </c>
      <c r="B6167" t="s">
        <v>21341</v>
      </c>
      <c r="C6167" t="s">
        <v>6167</v>
      </c>
      <c r="D6167">
        <v>0.6</v>
      </c>
      <c r="E6167">
        <v>0</v>
      </c>
      <c r="F6167">
        <f t="shared" si="96"/>
        <v>0.6</v>
      </c>
      <c r="I6167">
        <v>20180701</v>
      </c>
      <c r="J6167" t="s">
        <v>6168</v>
      </c>
    </row>
    <row r="6168" spans="1:15" x14ac:dyDescent="0.3">
      <c r="A6168" s="160">
        <v>54331</v>
      </c>
      <c r="B6168" t="s">
        <v>21342</v>
      </c>
      <c r="C6168" t="s">
        <v>6141</v>
      </c>
      <c r="D6168">
        <v>0.6</v>
      </c>
      <c r="E6168">
        <v>0</v>
      </c>
      <c r="F6168">
        <f t="shared" si="96"/>
        <v>0.6</v>
      </c>
      <c r="I6168">
        <v>20240101</v>
      </c>
      <c r="J6168" t="s">
        <v>6273</v>
      </c>
    </row>
    <row r="6169" spans="1:15" x14ac:dyDescent="0.3">
      <c r="A6169" s="160">
        <v>54332</v>
      </c>
      <c r="B6169" t="s">
        <v>21343</v>
      </c>
      <c r="C6169" t="s">
        <v>6154</v>
      </c>
      <c r="D6169">
        <v>0.6</v>
      </c>
      <c r="E6169">
        <v>0</v>
      </c>
      <c r="F6169">
        <f t="shared" si="96"/>
        <v>0.6</v>
      </c>
      <c r="I6169">
        <v>20100601</v>
      </c>
      <c r="J6169" t="s">
        <v>6155</v>
      </c>
      <c r="K6169" t="s">
        <v>6158</v>
      </c>
    </row>
    <row r="6170" spans="1:15" x14ac:dyDescent="0.3">
      <c r="A6170" s="160">
        <v>54334</v>
      </c>
      <c r="B6170" t="s">
        <v>21344</v>
      </c>
      <c r="C6170" t="s">
        <v>6137</v>
      </c>
      <c r="D6170">
        <v>0.6</v>
      </c>
      <c r="E6170">
        <v>0</v>
      </c>
      <c r="F6170">
        <f t="shared" si="96"/>
        <v>0.6</v>
      </c>
      <c r="I6170">
        <v>20160701</v>
      </c>
      <c r="J6170" t="s">
        <v>6146</v>
      </c>
    </row>
    <row r="6171" spans="1:15" x14ac:dyDescent="0.3">
      <c r="A6171" s="160">
        <v>54335</v>
      </c>
      <c r="B6171" t="s">
        <v>21345</v>
      </c>
      <c r="C6171" t="s">
        <v>6141</v>
      </c>
      <c r="D6171">
        <v>0.6</v>
      </c>
      <c r="E6171">
        <v>0</v>
      </c>
      <c r="F6171">
        <f t="shared" si="96"/>
        <v>0.6</v>
      </c>
      <c r="I6171">
        <v>20240101</v>
      </c>
      <c r="J6171" t="s">
        <v>6151</v>
      </c>
    </row>
    <row r="6172" spans="1:15" x14ac:dyDescent="0.3">
      <c r="A6172" s="160">
        <v>54336</v>
      </c>
      <c r="B6172" t="s">
        <v>21346</v>
      </c>
      <c r="C6172" t="s">
        <v>6171</v>
      </c>
      <c r="D6172">
        <v>0.6</v>
      </c>
      <c r="E6172">
        <v>0</v>
      </c>
      <c r="F6172">
        <f t="shared" si="96"/>
        <v>0.6</v>
      </c>
      <c r="I6172">
        <v>20060101</v>
      </c>
      <c r="J6172" t="s">
        <v>6172</v>
      </c>
    </row>
    <row r="6173" spans="1:15" x14ac:dyDescent="0.3">
      <c r="A6173" s="160">
        <v>54337</v>
      </c>
      <c r="B6173" t="s">
        <v>21347</v>
      </c>
      <c r="C6173" t="s">
        <v>6137</v>
      </c>
      <c r="D6173">
        <v>0.6</v>
      </c>
      <c r="E6173">
        <v>0</v>
      </c>
      <c r="F6173">
        <f t="shared" si="96"/>
        <v>0.6</v>
      </c>
      <c r="I6173">
        <v>20160701</v>
      </c>
      <c r="J6173" t="s">
        <v>6143</v>
      </c>
    </row>
    <row r="6174" spans="1:15" x14ac:dyDescent="0.3">
      <c r="A6174" s="160">
        <v>54338</v>
      </c>
      <c r="B6174" t="s">
        <v>21348</v>
      </c>
      <c r="C6174" t="s">
        <v>6187</v>
      </c>
      <c r="D6174">
        <v>0.6</v>
      </c>
      <c r="E6174">
        <v>0</v>
      </c>
      <c r="F6174">
        <f t="shared" si="96"/>
        <v>0.6</v>
      </c>
      <c r="I6174">
        <v>20111101</v>
      </c>
      <c r="J6174" t="s">
        <v>6213</v>
      </c>
    </row>
    <row r="6175" spans="1:15" x14ac:dyDescent="0.3">
      <c r="A6175" s="160">
        <v>54339</v>
      </c>
      <c r="B6175" t="s">
        <v>21349</v>
      </c>
      <c r="C6175" t="s">
        <v>6152</v>
      </c>
      <c r="D6175">
        <v>2</v>
      </c>
      <c r="E6175">
        <v>0</v>
      </c>
      <c r="F6175">
        <f t="shared" si="96"/>
        <v>2</v>
      </c>
      <c r="I6175">
        <v>20120701</v>
      </c>
      <c r="J6175" t="s">
        <v>6275</v>
      </c>
    </row>
    <row r="6176" spans="1:15" x14ac:dyDescent="0.3">
      <c r="A6176" s="160">
        <v>54340</v>
      </c>
      <c r="B6176" t="s">
        <v>21350</v>
      </c>
      <c r="C6176" t="s">
        <v>6149</v>
      </c>
      <c r="D6176">
        <v>0.55000000000000004</v>
      </c>
      <c r="E6176">
        <v>0</v>
      </c>
      <c r="F6176">
        <f t="shared" si="96"/>
        <v>0.55000000000000004</v>
      </c>
      <c r="I6176">
        <v>20240101</v>
      </c>
      <c r="J6176" t="s">
        <v>6147</v>
      </c>
    </row>
    <row r="6177" spans="1:15" x14ac:dyDescent="0.3">
      <c r="A6177" s="160">
        <v>54341</v>
      </c>
      <c r="B6177" t="s">
        <v>21350</v>
      </c>
      <c r="C6177" t="s">
        <v>6137</v>
      </c>
      <c r="D6177">
        <v>0.6</v>
      </c>
      <c r="E6177">
        <v>0</v>
      </c>
      <c r="F6177">
        <f t="shared" si="96"/>
        <v>0.6</v>
      </c>
      <c r="I6177">
        <v>20160701</v>
      </c>
      <c r="J6177" t="s">
        <v>6146</v>
      </c>
      <c r="K6177" t="s">
        <v>6191</v>
      </c>
    </row>
    <row r="6178" spans="1:15" x14ac:dyDescent="0.3">
      <c r="A6178" s="160">
        <v>54342</v>
      </c>
      <c r="B6178" t="s">
        <v>21350</v>
      </c>
      <c r="C6178" t="s">
        <v>6137</v>
      </c>
      <c r="D6178">
        <v>0.6</v>
      </c>
      <c r="E6178">
        <v>0</v>
      </c>
      <c r="F6178">
        <f t="shared" si="96"/>
        <v>0.6</v>
      </c>
      <c r="I6178">
        <v>20160701</v>
      </c>
      <c r="J6178" t="s">
        <v>6189</v>
      </c>
      <c r="K6178" t="s">
        <v>6190</v>
      </c>
      <c r="L6178" t="s">
        <v>6192</v>
      </c>
    </row>
    <row r="6179" spans="1:15" x14ac:dyDescent="0.3">
      <c r="A6179" s="160">
        <v>54343</v>
      </c>
      <c r="B6179" t="s">
        <v>21351</v>
      </c>
      <c r="C6179" t="s">
        <v>6149</v>
      </c>
      <c r="D6179">
        <v>0.55000000000000004</v>
      </c>
      <c r="E6179">
        <v>0</v>
      </c>
      <c r="F6179">
        <f t="shared" si="96"/>
        <v>0.55000000000000004</v>
      </c>
      <c r="I6179">
        <v>20240101</v>
      </c>
      <c r="J6179" t="s">
        <v>6147</v>
      </c>
    </row>
    <row r="6180" spans="1:15" x14ac:dyDescent="0.3">
      <c r="A6180" s="160">
        <v>54345</v>
      </c>
      <c r="B6180" t="s">
        <v>21352</v>
      </c>
      <c r="C6180" t="s">
        <v>6167</v>
      </c>
      <c r="D6180">
        <v>0.6</v>
      </c>
      <c r="E6180">
        <v>0</v>
      </c>
      <c r="F6180">
        <f t="shared" si="96"/>
        <v>0.6</v>
      </c>
      <c r="I6180">
        <v>20180701</v>
      </c>
      <c r="J6180" t="s">
        <v>6168</v>
      </c>
    </row>
    <row r="6181" spans="1:15" x14ac:dyDescent="0.3">
      <c r="A6181" s="160">
        <v>54346</v>
      </c>
      <c r="B6181" t="s">
        <v>21353</v>
      </c>
      <c r="C6181" t="s">
        <v>6139</v>
      </c>
      <c r="D6181">
        <v>0.55000000000000004</v>
      </c>
      <c r="E6181">
        <v>0</v>
      </c>
      <c r="F6181">
        <f t="shared" si="96"/>
        <v>0.55000000000000004</v>
      </c>
      <c r="I6181">
        <v>20180701</v>
      </c>
      <c r="J6181" t="s">
        <v>6165</v>
      </c>
    </row>
    <row r="6182" spans="1:15" x14ac:dyDescent="0.3">
      <c r="A6182" s="160">
        <v>54348</v>
      </c>
      <c r="B6182" t="s">
        <v>21354</v>
      </c>
      <c r="C6182" t="s">
        <v>6139</v>
      </c>
      <c r="D6182">
        <v>0.55000000000000004</v>
      </c>
      <c r="E6182">
        <v>0</v>
      </c>
      <c r="F6182">
        <f t="shared" si="96"/>
        <v>0.55000000000000004</v>
      </c>
      <c r="I6182">
        <v>20240101</v>
      </c>
      <c r="J6182" t="s">
        <v>6165</v>
      </c>
    </row>
    <row r="6183" spans="1:15" x14ac:dyDescent="0.3">
      <c r="A6183" s="160">
        <v>54349</v>
      </c>
      <c r="B6183" t="s">
        <v>21355</v>
      </c>
      <c r="C6183" t="s">
        <v>6141</v>
      </c>
      <c r="D6183">
        <v>0.6</v>
      </c>
      <c r="E6183">
        <v>0</v>
      </c>
      <c r="F6183">
        <f t="shared" si="96"/>
        <v>0.6</v>
      </c>
      <c r="I6183">
        <v>20180701</v>
      </c>
      <c r="J6183" t="s">
        <v>6181</v>
      </c>
    </row>
    <row r="6184" spans="1:15" x14ac:dyDescent="0.3">
      <c r="A6184" s="160">
        <v>54350</v>
      </c>
      <c r="B6184" t="s">
        <v>21356</v>
      </c>
      <c r="C6184" t="s">
        <v>6141</v>
      </c>
      <c r="D6184">
        <v>0.6</v>
      </c>
      <c r="E6184">
        <v>0</v>
      </c>
      <c r="F6184">
        <f t="shared" si="96"/>
        <v>0.6</v>
      </c>
      <c r="I6184">
        <v>20180701</v>
      </c>
      <c r="J6184" t="s">
        <v>6181</v>
      </c>
    </row>
    <row r="6185" spans="1:15" x14ac:dyDescent="0.3">
      <c r="A6185" s="160">
        <v>54351</v>
      </c>
      <c r="B6185" t="s">
        <v>21357</v>
      </c>
      <c r="C6185" t="s">
        <v>6187</v>
      </c>
      <c r="D6185">
        <v>0.6</v>
      </c>
      <c r="E6185">
        <v>0</v>
      </c>
      <c r="F6185">
        <f t="shared" si="96"/>
        <v>0.6</v>
      </c>
      <c r="I6185">
        <v>20111101</v>
      </c>
      <c r="J6185" t="s">
        <v>6276</v>
      </c>
    </row>
    <row r="6186" spans="1:15" x14ac:dyDescent="0.3">
      <c r="A6186" s="160">
        <v>54352</v>
      </c>
      <c r="B6186" t="s">
        <v>21358</v>
      </c>
      <c r="C6186" t="s">
        <v>6171</v>
      </c>
      <c r="D6186">
        <v>0.6</v>
      </c>
      <c r="E6186">
        <v>0</v>
      </c>
      <c r="F6186">
        <f t="shared" si="96"/>
        <v>0.6</v>
      </c>
      <c r="I6186">
        <v>20060101</v>
      </c>
      <c r="J6186" t="s">
        <v>6194</v>
      </c>
    </row>
    <row r="6187" spans="1:15" x14ac:dyDescent="0.3">
      <c r="A6187" s="160">
        <v>54353</v>
      </c>
      <c r="B6187" t="s">
        <v>21359</v>
      </c>
      <c r="C6187" t="s">
        <v>6149</v>
      </c>
      <c r="D6187">
        <v>0.55000000000000004</v>
      </c>
      <c r="E6187">
        <v>0</v>
      </c>
      <c r="F6187">
        <f t="shared" si="96"/>
        <v>0.55000000000000004</v>
      </c>
      <c r="I6187">
        <v>20240101</v>
      </c>
      <c r="J6187" t="s">
        <v>6138</v>
      </c>
    </row>
    <row r="6188" spans="1:15" x14ac:dyDescent="0.3">
      <c r="A6188" s="160">
        <v>54354</v>
      </c>
      <c r="B6188" t="s">
        <v>21360</v>
      </c>
      <c r="C6188" t="s">
        <v>6171</v>
      </c>
      <c r="D6188">
        <v>0.6</v>
      </c>
      <c r="E6188">
        <v>0</v>
      </c>
      <c r="F6188">
        <f t="shared" si="96"/>
        <v>0.6</v>
      </c>
      <c r="I6188">
        <v>20150701</v>
      </c>
      <c r="J6188" t="s">
        <v>6277</v>
      </c>
    </row>
    <row r="6189" spans="1:15" x14ac:dyDescent="0.3">
      <c r="A6189" s="160">
        <v>54355</v>
      </c>
      <c r="B6189" t="s">
        <v>21361</v>
      </c>
      <c r="C6189" t="s">
        <v>6154</v>
      </c>
      <c r="D6189">
        <v>0.6</v>
      </c>
      <c r="E6189">
        <v>0</v>
      </c>
      <c r="F6189">
        <f t="shared" si="96"/>
        <v>0.6</v>
      </c>
      <c r="I6189">
        <v>20240101</v>
      </c>
      <c r="J6189" t="s">
        <v>6163</v>
      </c>
    </row>
    <row r="6190" spans="1:15" x14ac:dyDescent="0.3">
      <c r="A6190" s="160">
        <v>54356</v>
      </c>
      <c r="B6190" t="s">
        <v>21362</v>
      </c>
      <c r="C6190" t="s">
        <v>6141</v>
      </c>
      <c r="D6190">
        <v>0.6</v>
      </c>
      <c r="E6190">
        <v>0</v>
      </c>
      <c r="F6190">
        <f t="shared" si="96"/>
        <v>0.6</v>
      </c>
      <c r="I6190">
        <v>20240101</v>
      </c>
      <c r="J6190" t="s">
        <v>6220</v>
      </c>
    </row>
    <row r="6191" spans="1:15" x14ac:dyDescent="0.3">
      <c r="A6191" s="160">
        <v>54357</v>
      </c>
      <c r="B6191" t="s">
        <v>21363</v>
      </c>
      <c r="C6191" t="s">
        <v>6152</v>
      </c>
      <c r="D6191">
        <v>2</v>
      </c>
      <c r="E6191">
        <v>0</v>
      </c>
      <c r="F6191">
        <f t="shared" si="96"/>
        <v>2</v>
      </c>
      <c r="I6191">
        <v>20120701</v>
      </c>
      <c r="J6191" t="s">
        <v>6279</v>
      </c>
      <c r="K6191" t="s">
        <v>6256</v>
      </c>
      <c r="L6191" t="s">
        <v>6257</v>
      </c>
      <c r="M6191" t="s">
        <v>6258</v>
      </c>
      <c r="N6191" t="s">
        <v>6259</v>
      </c>
      <c r="O6191" t="s">
        <v>6280</v>
      </c>
    </row>
    <row r="6192" spans="1:15" x14ac:dyDescent="0.3">
      <c r="A6192" s="160">
        <v>54359</v>
      </c>
      <c r="B6192" t="s">
        <v>21364</v>
      </c>
      <c r="C6192" t="s">
        <v>6141</v>
      </c>
      <c r="D6192">
        <v>0.6</v>
      </c>
      <c r="E6192">
        <v>0</v>
      </c>
      <c r="F6192">
        <f t="shared" si="96"/>
        <v>0.6</v>
      </c>
      <c r="I6192">
        <v>20180701</v>
      </c>
      <c r="J6192" t="s">
        <v>6174</v>
      </c>
    </row>
    <row r="6193" spans="1:13" x14ac:dyDescent="0.3">
      <c r="A6193" s="160">
        <v>54360</v>
      </c>
      <c r="B6193" t="s">
        <v>21365</v>
      </c>
      <c r="C6193" t="s">
        <v>6139</v>
      </c>
      <c r="D6193">
        <v>0.55000000000000004</v>
      </c>
      <c r="E6193">
        <v>0</v>
      </c>
      <c r="F6193">
        <f t="shared" si="96"/>
        <v>0.55000000000000004</v>
      </c>
      <c r="I6193">
        <v>20180701</v>
      </c>
      <c r="J6193" t="s">
        <v>6144</v>
      </c>
    </row>
    <row r="6194" spans="1:13" x14ac:dyDescent="0.3">
      <c r="A6194" s="160">
        <v>54362</v>
      </c>
      <c r="B6194" t="s">
        <v>21366</v>
      </c>
      <c r="C6194" t="s">
        <v>6137</v>
      </c>
      <c r="D6194">
        <v>0.6</v>
      </c>
      <c r="E6194">
        <v>0</v>
      </c>
      <c r="F6194">
        <f t="shared" si="96"/>
        <v>0.6</v>
      </c>
      <c r="I6194">
        <v>20160701</v>
      </c>
      <c r="J6194" t="s">
        <v>6281</v>
      </c>
    </row>
    <row r="6195" spans="1:13" x14ac:dyDescent="0.3">
      <c r="A6195" s="160">
        <v>54363</v>
      </c>
      <c r="B6195" t="s">
        <v>21367</v>
      </c>
      <c r="C6195" t="s">
        <v>6137</v>
      </c>
      <c r="D6195">
        <v>0.6</v>
      </c>
      <c r="E6195">
        <v>0</v>
      </c>
      <c r="F6195">
        <f t="shared" si="96"/>
        <v>0.6</v>
      </c>
      <c r="I6195">
        <v>20160701</v>
      </c>
      <c r="J6195" t="s">
        <v>6143</v>
      </c>
    </row>
    <row r="6196" spans="1:13" x14ac:dyDescent="0.3">
      <c r="A6196" s="160">
        <v>54364</v>
      </c>
      <c r="B6196" t="s">
        <v>21368</v>
      </c>
      <c r="C6196" t="s">
        <v>6171</v>
      </c>
      <c r="D6196">
        <v>0.6</v>
      </c>
      <c r="E6196">
        <v>0</v>
      </c>
      <c r="F6196">
        <f t="shared" si="96"/>
        <v>0.6</v>
      </c>
      <c r="I6196">
        <v>20150701</v>
      </c>
      <c r="J6196" t="s">
        <v>6282</v>
      </c>
    </row>
    <row r="6197" spans="1:13" x14ac:dyDescent="0.3">
      <c r="A6197" s="160">
        <v>54365</v>
      </c>
      <c r="B6197" t="s">
        <v>21369</v>
      </c>
      <c r="C6197" t="s">
        <v>6141</v>
      </c>
      <c r="D6197">
        <v>0.6</v>
      </c>
      <c r="E6197">
        <v>0</v>
      </c>
      <c r="F6197">
        <f t="shared" si="96"/>
        <v>0.6</v>
      </c>
      <c r="I6197">
        <v>20180701</v>
      </c>
      <c r="J6197" t="s">
        <v>6170</v>
      </c>
    </row>
    <row r="6198" spans="1:13" x14ac:dyDescent="0.3">
      <c r="A6198" s="160">
        <v>54366</v>
      </c>
      <c r="B6198" t="s">
        <v>21370</v>
      </c>
      <c r="C6198" t="s">
        <v>6171</v>
      </c>
      <c r="D6198">
        <v>0.6</v>
      </c>
      <c r="E6198">
        <v>0</v>
      </c>
      <c r="F6198">
        <f t="shared" si="96"/>
        <v>0.6</v>
      </c>
      <c r="I6198">
        <v>20060101</v>
      </c>
      <c r="J6198" t="s">
        <v>6231</v>
      </c>
      <c r="K6198" t="s">
        <v>6173</v>
      </c>
      <c r="L6198" t="s">
        <v>6282</v>
      </c>
    </row>
    <row r="6199" spans="1:13" x14ac:dyDescent="0.3">
      <c r="A6199" s="160">
        <v>54367</v>
      </c>
      <c r="B6199" t="s">
        <v>21371</v>
      </c>
      <c r="C6199" t="s">
        <v>6203</v>
      </c>
      <c r="D6199">
        <v>0.6</v>
      </c>
      <c r="E6199">
        <v>0</v>
      </c>
      <c r="F6199">
        <f t="shared" si="96"/>
        <v>0.6</v>
      </c>
      <c r="I6199">
        <v>20170701</v>
      </c>
      <c r="J6199" t="s">
        <v>6283</v>
      </c>
      <c r="K6199" t="s">
        <v>6209</v>
      </c>
    </row>
    <row r="6200" spans="1:13" x14ac:dyDescent="0.3">
      <c r="A6200" s="160">
        <v>54368</v>
      </c>
      <c r="B6200" t="s">
        <v>21372</v>
      </c>
      <c r="C6200" t="s">
        <v>6141</v>
      </c>
      <c r="D6200">
        <v>0.6</v>
      </c>
      <c r="E6200">
        <v>0</v>
      </c>
      <c r="F6200">
        <f t="shared" si="96"/>
        <v>0.6</v>
      </c>
      <c r="I6200">
        <v>20180701</v>
      </c>
      <c r="J6200" t="s">
        <v>6183</v>
      </c>
    </row>
    <row r="6201" spans="1:13" x14ac:dyDescent="0.3">
      <c r="A6201" s="160">
        <v>54370</v>
      </c>
      <c r="B6201" t="s">
        <v>21373</v>
      </c>
      <c r="C6201" t="s">
        <v>6139</v>
      </c>
      <c r="D6201">
        <v>0.55000000000000004</v>
      </c>
      <c r="E6201">
        <v>0</v>
      </c>
      <c r="F6201">
        <f t="shared" si="96"/>
        <v>0.55000000000000004</v>
      </c>
      <c r="I6201">
        <v>20240101</v>
      </c>
      <c r="J6201" t="s">
        <v>6165</v>
      </c>
    </row>
    <row r="6202" spans="1:13" x14ac:dyDescent="0.3">
      <c r="A6202" s="160">
        <v>54371</v>
      </c>
      <c r="B6202" t="s">
        <v>21374</v>
      </c>
      <c r="C6202" t="s">
        <v>6137</v>
      </c>
      <c r="D6202">
        <v>0.6</v>
      </c>
      <c r="E6202">
        <v>0</v>
      </c>
      <c r="F6202">
        <f t="shared" si="96"/>
        <v>0.6</v>
      </c>
      <c r="I6202">
        <v>20160701</v>
      </c>
      <c r="J6202" t="s">
        <v>6160</v>
      </c>
      <c r="K6202" t="s">
        <v>6162</v>
      </c>
    </row>
    <row r="6203" spans="1:13" x14ac:dyDescent="0.3">
      <c r="A6203" s="160">
        <v>54373</v>
      </c>
      <c r="B6203" t="s">
        <v>21375</v>
      </c>
      <c r="C6203" t="s">
        <v>6141</v>
      </c>
      <c r="D6203">
        <v>0.6</v>
      </c>
      <c r="E6203">
        <v>0</v>
      </c>
      <c r="F6203">
        <f t="shared" si="96"/>
        <v>0.6</v>
      </c>
      <c r="I6203">
        <v>20180701</v>
      </c>
      <c r="J6203" t="s">
        <v>6181</v>
      </c>
      <c r="K6203" t="s">
        <v>6197</v>
      </c>
      <c r="L6203" t="s">
        <v>6198</v>
      </c>
    </row>
    <row r="6204" spans="1:13" x14ac:dyDescent="0.3">
      <c r="A6204" s="160">
        <v>54375</v>
      </c>
      <c r="B6204" t="s">
        <v>21376</v>
      </c>
      <c r="C6204" t="s">
        <v>6154</v>
      </c>
      <c r="D6204">
        <v>0.6</v>
      </c>
      <c r="E6204">
        <v>0</v>
      </c>
      <c r="F6204">
        <f t="shared" si="96"/>
        <v>0.6</v>
      </c>
      <c r="I6204">
        <v>20100601</v>
      </c>
      <c r="J6204" t="s">
        <v>6155</v>
      </c>
    </row>
    <row r="6205" spans="1:13" x14ac:dyDescent="0.3">
      <c r="A6205" s="160">
        <v>54376</v>
      </c>
      <c r="B6205" t="s">
        <v>21377</v>
      </c>
      <c r="C6205" t="s">
        <v>6187</v>
      </c>
      <c r="D6205">
        <v>0.6</v>
      </c>
      <c r="E6205">
        <v>0</v>
      </c>
      <c r="F6205">
        <f t="shared" si="96"/>
        <v>0.6</v>
      </c>
      <c r="I6205">
        <v>20111101</v>
      </c>
      <c r="J6205" t="s">
        <v>6225</v>
      </c>
    </row>
    <row r="6206" spans="1:13" x14ac:dyDescent="0.3">
      <c r="A6206" s="160">
        <v>54381</v>
      </c>
      <c r="B6206" t="s">
        <v>21378</v>
      </c>
      <c r="C6206" t="s">
        <v>6141</v>
      </c>
      <c r="D6206">
        <v>0.6</v>
      </c>
      <c r="E6206">
        <v>0</v>
      </c>
      <c r="F6206">
        <f t="shared" si="96"/>
        <v>0.6</v>
      </c>
      <c r="I6206">
        <v>20180701</v>
      </c>
      <c r="J6206" t="s">
        <v>6142</v>
      </c>
    </row>
    <row r="6207" spans="1:13" x14ac:dyDescent="0.3">
      <c r="A6207" s="160">
        <v>54382</v>
      </c>
      <c r="B6207" t="s">
        <v>19495</v>
      </c>
      <c r="C6207" t="s">
        <v>6203</v>
      </c>
      <c r="D6207">
        <v>0.6</v>
      </c>
      <c r="E6207">
        <v>0</v>
      </c>
      <c r="F6207">
        <f t="shared" si="96"/>
        <v>0.6</v>
      </c>
      <c r="I6207">
        <v>20170701</v>
      </c>
      <c r="J6207" t="s">
        <v>6284</v>
      </c>
      <c r="K6207" t="s">
        <v>6209</v>
      </c>
      <c r="L6207" t="s">
        <v>6285</v>
      </c>
      <c r="M6207" t="s">
        <v>6211</v>
      </c>
    </row>
    <row r="6208" spans="1:13" x14ac:dyDescent="0.3">
      <c r="A6208" s="160">
        <v>54383</v>
      </c>
      <c r="B6208" t="s">
        <v>21379</v>
      </c>
      <c r="C6208" t="s">
        <v>6141</v>
      </c>
      <c r="D6208">
        <v>0.6</v>
      </c>
      <c r="E6208">
        <v>0</v>
      </c>
      <c r="F6208">
        <f t="shared" si="96"/>
        <v>0.6</v>
      </c>
      <c r="I6208">
        <v>20180701</v>
      </c>
      <c r="J6208" t="s">
        <v>6174</v>
      </c>
    </row>
    <row r="6209" spans="1:59" x14ac:dyDescent="0.3">
      <c r="A6209" s="160">
        <v>54385</v>
      </c>
      <c r="B6209" t="s">
        <v>21380</v>
      </c>
      <c r="C6209" t="s">
        <v>6203</v>
      </c>
      <c r="D6209">
        <v>0.6</v>
      </c>
      <c r="E6209">
        <v>0</v>
      </c>
      <c r="F6209">
        <f t="shared" si="96"/>
        <v>0.6</v>
      </c>
      <c r="I6209">
        <v>20170701</v>
      </c>
      <c r="J6209" t="s">
        <v>6286</v>
      </c>
    </row>
    <row r="6210" spans="1:59" x14ac:dyDescent="0.3">
      <c r="A6210" s="160">
        <v>54386</v>
      </c>
      <c r="B6210" t="s">
        <v>21381</v>
      </c>
      <c r="C6210" t="s">
        <v>6141</v>
      </c>
      <c r="D6210">
        <v>0.6</v>
      </c>
      <c r="E6210">
        <v>0</v>
      </c>
      <c r="F6210">
        <f t="shared" si="96"/>
        <v>0.6</v>
      </c>
      <c r="I6210">
        <v>20240101</v>
      </c>
      <c r="J6210" t="s">
        <v>6220</v>
      </c>
    </row>
    <row r="6211" spans="1:59" x14ac:dyDescent="0.3">
      <c r="A6211" s="160">
        <v>54387</v>
      </c>
      <c r="B6211" t="s">
        <v>21382</v>
      </c>
      <c r="C6211" t="s">
        <v>6154</v>
      </c>
      <c r="D6211">
        <v>0.6</v>
      </c>
      <c r="E6211">
        <v>0</v>
      </c>
      <c r="F6211">
        <f t="shared" si="96"/>
        <v>0.6</v>
      </c>
      <c r="I6211">
        <v>20100601</v>
      </c>
      <c r="J6211" t="s">
        <v>6155</v>
      </c>
    </row>
    <row r="6212" spans="1:59" x14ac:dyDescent="0.3">
      <c r="A6212" s="160">
        <v>54388</v>
      </c>
      <c r="B6212" t="s">
        <v>21383</v>
      </c>
      <c r="C6212" t="s">
        <v>6141</v>
      </c>
      <c r="D6212">
        <v>0.6</v>
      </c>
      <c r="E6212">
        <v>0</v>
      </c>
      <c r="F6212">
        <f t="shared" si="96"/>
        <v>0.6</v>
      </c>
      <c r="I6212">
        <v>20240101</v>
      </c>
      <c r="J6212" t="s">
        <v>6151</v>
      </c>
    </row>
    <row r="6213" spans="1:59" x14ac:dyDescent="0.3">
      <c r="A6213" s="160">
        <v>54389</v>
      </c>
      <c r="B6213" t="s">
        <v>21384</v>
      </c>
      <c r="C6213" t="s">
        <v>6137</v>
      </c>
      <c r="D6213">
        <v>0.6</v>
      </c>
      <c r="E6213">
        <v>0</v>
      </c>
      <c r="F6213">
        <f t="shared" si="96"/>
        <v>0.6</v>
      </c>
      <c r="I6213">
        <v>20160701</v>
      </c>
      <c r="J6213" t="s">
        <v>6138</v>
      </c>
    </row>
    <row r="6214" spans="1:59" x14ac:dyDescent="0.3">
      <c r="A6214" s="160">
        <v>54390</v>
      </c>
      <c r="B6214" t="s">
        <v>21385</v>
      </c>
      <c r="C6214" t="s">
        <v>6154</v>
      </c>
      <c r="D6214">
        <v>0.6</v>
      </c>
      <c r="E6214">
        <v>0</v>
      </c>
      <c r="F6214">
        <f t="shared" si="96"/>
        <v>0.6</v>
      </c>
      <c r="I6214">
        <v>20100601</v>
      </c>
      <c r="J6214" t="s">
        <v>6155</v>
      </c>
    </row>
    <row r="6215" spans="1:59" x14ac:dyDescent="0.3">
      <c r="A6215" s="160">
        <v>54391</v>
      </c>
      <c r="B6215" t="s">
        <v>18015</v>
      </c>
      <c r="C6215" t="s">
        <v>6137</v>
      </c>
      <c r="D6215">
        <v>0.6</v>
      </c>
      <c r="E6215">
        <v>0</v>
      </c>
      <c r="F6215">
        <f t="shared" ref="F6215:F6278" si="97">D6215+E6215</f>
        <v>0.6</v>
      </c>
      <c r="I6215">
        <v>20160701</v>
      </c>
      <c r="J6215" t="s">
        <v>6190</v>
      </c>
      <c r="K6215" t="s">
        <v>6166</v>
      </c>
      <c r="L6215" t="s">
        <v>6160</v>
      </c>
      <c r="M6215" t="s">
        <v>6287</v>
      </c>
    </row>
    <row r="6216" spans="1:59" x14ac:dyDescent="0.3">
      <c r="A6216" s="160">
        <v>54393</v>
      </c>
      <c r="B6216" t="s">
        <v>21386</v>
      </c>
      <c r="C6216" t="s">
        <v>6141</v>
      </c>
      <c r="D6216">
        <v>0.6</v>
      </c>
      <c r="E6216">
        <v>0</v>
      </c>
      <c r="F6216">
        <f t="shared" si="97"/>
        <v>0.6</v>
      </c>
      <c r="I6216">
        <v>20240101</v>
      </c>
      <c r="J6216" t="s">
        <v>6288</v>
      </c>
    </row>
    <row r="6217" spans="1:59" x14ac:dyDescent="0.3">
      <c r="A6217" s="160">
        <v>54394</v>
      </c>
      <c r="B6217" t="s">
        <v>21387</v>
      </c>
      <c r="C6217" t="s">
        <v>6137</v>
      </c>
      <c r="D6217">
        <v>0.6</v>
      </c>
      <c r="E6217">
        <v>0</v>
      </c>
      <c r="F6217">
        <f t="shared" si="97"/>
        <v>0.6</v>
      </c>
      <c r="I6217">
        <v>20160701</v>
      </c>
      <c r="J6217" t="s">
        <v>6164</v>
      </c>
    </row>
    <row r="6218" spans="1:59" x14ac:dyDescent="0.3">
      <c r="A6218" s="160">
        <v>54395</v>
      </c>
      <c r="B6218" t="s">
        <v>21388</v>
      </c>
      <c r="C6218" t="s">
        <v>6152</v>
      </c>
      <c r="D6218">
        <v>2</v>
      </c>
      <c r="E6218">
        <v>0</v>
      </c>
      <c r="F6218">
        <f t="shared" si="97"/>
        <v>2</v>
      </c>
      <c r="I6218">
        <v>20120701</v>
      </c>
      <c r="J6218" t="s">
        <v>6289</v>
      </c>
      <c r="K6218" t="s">
        <v>6290</v>
      </c>
      <c r="L6218" t="s">
        <v>6291</v>
      </c>
      <c r="M6218" t="s">
        <v>6292</v>
      </c>
      <c r="N6218" t="s">
        <v>6293</v>
      </c>
      <c r="O6218" t="s">
        <v>6294</v>
      </c>
      <c r="P6218" t="s">
        <v>6295</v>
      </c>
      <c r="Q6218" t="s">
        <v>6296</v>
      </c>
      <c r="R6218" t="s">
        <v>6297</v>
      </c>
      <c r="S6218" t="s">
        <v>6298</v>
      </c>
      <c r="T6218" t="s">
        <v>6299</v>
      </c>
      <c r="U6218" t="s">
        <v>6300</v>
      </c>
      <c r="V6218" t="s">
        <v>6301</v>
      </c>
      <c r="W6218" t="s">
        <v>6302</v>
      </c>
      <c r="X6218" t="s">
        <v>6303</v>
      </c>
      <c r="Y6218" t="s">
        <v>6304</v>
      </c>
      <c r="Z6218" t="s">
        <v>6305</v>
      </c>
      <c r="AA6218" t="s">
        <v>6248</v>
      </c>
      <c r="AB6218" t="s">
        <v>6306</v>
      </c>
      <c r="AC6218" t="s">
        <v>6307</v>
      </c>
      <c r="AD6218" t="s">
        <v>6308</v>
      </c>
      <c r="AE6218" t="s">
        <v>6309</v>
      </c>
      <c r="AF6218" t="s">
        <v>6310</v>
      </c>
      <c r="AG6218" t="s">
        <v>6311</v>
      </c>
      <c r="AH6218" t="s">
        <v>6278</v>
      </c>
      <c r="AI6218" t="s">
        <v>6312</v>
      </c>
      <c r="AJ6218" t="s">
        <v>6313</v>
      </c>
      <c r="AK6218" t="s">
        <v>6314</v>
      </c>
      <c r="AL6218" t="s">
        <v>6315</v>
      </c>
      <c r="AM6218" t="s">
        <v>6316</v>
      </c>
      <c r="AN6218" t="s">
        <v>6317</v>
      </c>
      <c r="AO6218" t="s">
        <v>6318</v>
      </c>
      <c r="AP6218" t="s">
        <v>6319</v>
      </c>
      <c r="AQ6218" t="s">
        <v>6320</v>
      </c>
      <c r="AR6218" t="s">
        <v>6321</v>
      </c>
      <c r="AS6218" t="s">
        <v>6322</v>
      </c>
      <c r="AT6218" t="s">
        <v>6323</v>
      </c>
      <c r="AU6218" t="s">
        <v>6324</v>
      </c>
      <c r="AV6218" t="s">
        <v>6325</v>
      </c>
      <c r="AW6218" t="s">
        <v>6326</v>
      </c>
      <c r="AX6218" t="s">
        <v>6327</v>
      </c>
      <c r="AY6218" t="s">
        <v>6328</v>
      </c>
      <c r="AZ6218" t="s">
        <v>6329</v>
      </c>
      <c r="BA6218" t="s">
        <v>6330</v>
      </c>
      <c r="BB6218" t="s">
        <v>6331</v>
      </c>
      <c r="BC6218" t="s">
        <v>6332</v>
      </c>
      <c r="BD6218" t="s">
        <v>6333</v>
      </c>
      <c r="BE6218" t="s">
        <v>6334</v>
      </c>
      <c r="BF6218" t="s">
        <v>6260</v>
      </c>
      <c r="BG6218" t="s">
        <v>6335</v>
      </c>
    </row>
    <row r="6219" spans="1:59" x14ac:dyDescent="0.3">
      <c r="A6219" s="160">
        <v>54397</v>
      </c>
      <c r="B6219" t="s">
        <v>21389</v>
      </c>
      <c r="C6219" t="s">
        <v>6171</v>
      </c>
      <c r="D6219">
        <v>0.6</v>
      </c>
      <c r="E6219">
        <v>0</v>
      </c>
      <c r="F6219">
        <f t="shared" si="97"/>
        <v>0.6</v>
      </c>
      <c r="I6219">
        <v>20060101</v>
      </c>
      <c r="J6219" t="s">
        <v>6194</v>
      </c>
    </row>
    <row r="6220" spans="1:59" x14ac:dyDescent="0.3">
      <c r="A6220" s="160">
        <v>54401</v>
      </c>
      <c r="B6220" t="s">
        <v>21390</v>
      </c>
      <c r="C6220" t="s">
        <v>6141</v>
      </c>
      <c r="D6220">
        <v>0.6</v>
      </c>
      <c r="E6220">
        <v>0</v>
      </c>
      <c r="F6220">
        <f t="shared" si="97"/>
        <v>0.6</v>
      </c>
      <c r="I6220">
        <v>20180701</v>
      </c>
      <c r="J6220" t="s">
        <v>6142</v>
      </c>
    </row>
    <row r="6221" spans="1:59" x14ac:dyDescent="0.3">
      <c r="A6221" s="160">
        <v>54402</v>
      </c>
      <c r="B6221" t="s">
        <v>21391</v>
      </c>
      <c r="C6221" t="s">
        <v>6137</v>
      </c>
      <c r="D6221">
        <v>0.6</v>
      </c>
      <c r="E6221">
        <v>0</v>
      </c>
      <c r="F6221">
        <f t="shared" si="97"/>
        <v>0.6</v>
      </c>
      <c r="I6221">
        <v>20160701</v>
      </c>
      <c r="J6221" t="s">
        <v>6146</v>
      </c>
    </row>
    <row r="6222" spans="1:59" x14ac:dyDescent="0.3">
      <c r="A6222" s="160">
        <v>54403</v>
      </c>
      <c r="B6222" t="s">
        <v>21392</v>
      </c>
      <c r="C6222" t="s">
        <v>6154</v>
      </c>
      <c r="D6222">
        <v>0.6</v>
      </c>
      <c r="E6222">
        <v>0</v>
      </c>
      <c r="F6222">
        <f t="shared" si="97"/>
        <v>0.6</v>
      </c>
      <c r="I6222">
        <v>20100601</v>
      </c>
      <c r="J6222" t="s">
        <v>6155</v>
      </c>
    </row>
    <row r="6223" spans="1:59" x14ac:dyDescent="0.3">
      <c r="A6223" s="160">
        <v>54404</v>
      </c>
      <c r="B6223" t="s">
        <v>21393</v>
      </c>
      <c r="C6223" t="s">
        <v>6139</v>
      </c>
      <c r="D6223">
        <v>0.55000000000000004</v>
      </c>
      <c r="E6223">
        <v>0</v>
      </c>
      <c r="F6223">
        <f t="shared" si="97"/>
        <v>0.55000000000000004</v>
      </c>
      <c r="I6223">
        <v>20240101</v>
      </c>
      <c r="J6223" t="s">
        <v>6165</v>
      </c>
    </row>
    <row r="6224" spans="1:59" x14ac:dyDescent="0.3">
      <c r="A6224" s="160">
        <v>54406</v>
      </c>
      <c r="B6224" t="s">
        <v>21394</v>
      </c>
      <c r="C6224" t="s">
        <v>6141</v>
      </c>
      <c r="D6224">
        <v>0.6</v>
      </c>
      <c r="E6224">
        <v>0</v>
      </c>
      <c r="F6224">
        <f t="shared" si="97"/>
        <v>0.6</v>
      </c>
      <c r="I6224">
        <v>20180701</v>
      </c>
      <c r="J6224" t="s">
        <v>6142</v>
      </c>
    </row>
    <row r="6225" spans="1:16" x14ac:dyDescent="0.3">
      <c r="A6225" s="160">
        <v>54408</v>
      </c>
      <c r="B6225" t="s">
        <v>21395</v>
      </c>
      <c r="C6225" t="s">
        <v>6137</v>
      </c>
      <c r="D6225">
        <v>0.6</v>
      </c>
      <c r="E6225">
        <v>0</v>
      </c>
      <c r="F6225">
        <f t="shared" si="97"/>
        <v>0.6</v>
      </c>
      <c r="I6225">
        <v>20160701</v>
      </c>
      <c r="J6225" t="s">
        <v>6138</v>
      </c>
    </row>
    <row r="6226" spans="1:16" x14ac:dyDescent="0.3">
      <c r="A6226" s="160">
        <v>54410</v>
      </c>
      <c r="B6226" t="s">
        <v>21396</v>
      </c>
      <c r="C6226" t="s">
        <v>6149</v>
      </c>
      <c r="D6226">
        <v>0.55000000000000004</v>
      </c>
      <c r="E6226">
        <v>0</v>
      </c>
      <c r="F6226">
        <f t="shared" si="97"/>
        <v>0.55000000000000004</v>
      </c>
      <c r="I6226">
        <v>20240101</v>
      </c>
      <c r="J6226" t="s">
        <v>6177</v>
      </c>
    </row>
    <row r="6227" spans="1:16" x14ac:dyDescent="0.3">
      <c r="A6227" s="160">
        <v>54413</v>
      </c>
      <c r="B6227" t="s">
        <v>21397</v>
      </c>
      <c r="C6227" t="s">
        <v>6137</v>
      </c>
      <c r="D6227">
        <v>0.6</v>
      </c>
      <c r="E6227">
        <v>0</v>
      </c>
      <c r="F6227">
        <f t="shared" si="97"/>
        <v>0.6</v>
      </c>
      <c r="I6227">
        <v>20160701</v>
      </c>
      <c r="J6227" t="s">
        <v>6146</v>
      </c>
    </row>
    <row r="6228" spans="1:16" x14ac:dyDescent="0.3">
      <c r="A6228" s="160">
        <v>54414</v>
      </c>
      <c r="B6228" t="s">
        <v>21398</v>
      </c>
      <c r="C6228" t="s">
        <v>6139</v>
      </c>
      <c r="D6228">
        <v>0.55000000000000004</v>
      </c>
      <c r="E6228">
        <v>0</v>
      </c>
      <c r="F6228">
        <f t="shared" si="97"/>
        <v>0.55000000000000004</v>
      </c>
      <c r="I6228">
        <v>20180701</v>
      </c>
      <c r="J6228" t="s">
        <v>6144</v>
      </c>
    </row>
    <row r="6229" spans="1:16" x14ac:dyDescent="0.3">
      <c r="A6229" s="160">
        <v>54415</v>
      </c>
      <c r="B6229" t="s">
        <v>21399</v>
      </c>
      <c r="C6229" t="s">
        <v>6154</v>
      </c>
      <c r="D6229">
        <v>0.6</v>
      </c>
      <c r="E6229">
        <v>0</v>
      </c>
      <c r="F6229">
        <f t="shared" si="97"/>
        <v>0.6</v>
      </c>
      <c r="I6229">
        <v>20150101</v>
      </c>
      <c r="J6229" t="s">
        <v>6150</v>
      </c>
      <c r="K6229" t="s">
        <v>6157</v>
      </c>
      <c r="L6229" t="s">
        <v>6184</v>
      </c>
    </row>
    <row r="6230" spans="1:16" x14ac:dyDescent="0.3">
      <c r="A6230" s="160">
        <v>54416</v>
      </c>
      <c r="B6230" t="s">
        <v>20121</v>
      </c>
      <c r="C6230" t="s">
        <v>6149</v>
      </c>
      <c r="D6230">
        <v>0.55000000000000004</v>
      </c>
      <c r="E6230">
        <v>0</v>
      </c>
      <c r="F6230">
        <f t="shared" si="97"/>
        <v>0.55000000000000004</v>
      </c>
      <c r="I6230">
        <v>20240101</v>
      </c>
      <c r="J6230" t="s">
        <v>6147</v>
      </c>
    </row>
    <row r="6231" spans="1:16" x14ac:dyDescent="0.3">
      <c r="A6231" s="160">
        <v>54418</v>
      </c>
      <c r="B6231" t="s">
        <v>21400</v>
      </c>
      <c r="C6231" t="s">
        <v>6141</v>
      </c>
      <c r="D6231">
        <v>0.6</v>
      </c>
      <c r="E6231">
        <v>0</v>
      </c>
      <c r="F6231">
        <f t="shared" si="97"/>
        <v>0.6</v>
      </c>
      <c r="I6231">
        <v>20240101</v>
      </c>
      <c r="J6231" t="s">
        <v>6151</v>
      </c>
    </row>
    <row r="6232" spans="1:16" x14ac:dyDescent="0.3">
      <c r="A6232" s="160">
        <v>54422</v>
      </c>
      <c r="B6232" t="s">
        <v>21401</v>
      </c>
      <c r="C6232" t="s">
        <v>6141</v>
      </c>
      <c r="D6232">
        <v>0.6</v>
      </c>
      <c r="E6232">
        <v>0</v>
      </c>
      <c r="F6232">
        <f t="shared" si="97"/>
        <v>0.6</v>
      </c>
      <c r="I6232">
        <v>20180701</v>
      </c>
      <c r="J6232" t="s">
        <v>6170</v>
      </c>
    </row>
    <row r="6233" spans="1:16" x14ac:dyDescent="0.3">
      <c r="A6233" s="160">
        <v>54425</v>
      </c>
      <c r="B6233" t="s">
        <v>21402</v>
      </c>
      <c r="C6233" t="s">
        <v>6137</v>
      </c>
      <c r="D6233">
        <v>0.6</v>
      </c>
      <c r="E6233">
        <v>0</v>
      </c>
      <c r="F6233">
        <f t="shared" si="97"/>
        <v>0.6</v>
      </c>
      <c r="I6233">
        <v>20160701</v>
      </c>
      <c r="J6233" t="s">
        <v>6161</v>
      </c>
      <c r="K6233" t="s">
        <v>6164</v>
      </c>
    </row>
    <row r="6234" spans="1:16" x14ac:dyDescent="0.3">
      <c r="A6234" s="160">
        <v>54426</v>
      </c>
      <c r="B6234" t="s">
        <v>21403</v>
      </c>
      <c r="C6234" t="s">
        <v>6139</v>
      </c>
      <c r="D6234">
        <v>0.55000000000000004</v>
      </c>
      <c r="E6234">
        <v>0</v>
      </c>
      <c r="F6234">
        <f t="shared" si="97"/>
        <v>0.55000000000000004</v>
      </c>
      <c r="I6234">
        <v>20180701</v>
      </c>
      <c r="J6234" t="s">
        <v>6144</v>
      </c>
      <c r="K6234" t="s">
        <v>6217</v>
      </c>
    </row>
    <row r="6235" spans="1:16" x14ac:dyDescent="0.3">
      <c r="A6235" s="160">
        <v>54427</v>
      </c>
      <c r="B6235" t="s">
        <v>21404</v>
      </c>
      <c r="C6235" t="s">
        <v>6182</v>
      </c>
      <c r="D6235">
        <v>0.55000000000000004</v>
      </c>
      <c r="E6235">
        <v>0</v>
      </c>
      <c r="F6235">
        <f t="shared" si="97"/>
        <v>0.55000000000000004</v>
      </c>
      <c r="I6235">
        <v>20240101</v>
      </c>
      <c r="J6235" t="s">
        <v>6183</v>
      </c>
    </row>
    <row r="6236" spans="1:16" x14ac:dyDescent="0.3">
      <c r="A6236" s="160">
        <v>54429</v>
      </c>
      <c r="B6236" t="s">
        <v>20601</v>
      </c>
      <c r="C6236" t="s">
        <v>6171</v>
      </c>
      <c r="D6236">
        <v>0.6</v>
      </c>
      <c r="E6236">
        <v>0</v>
      </c>
      <c r="F6236">
        <f t="shared" si="97"/>
        <v>0.6</v>
      </c>
      <c r="I6236">
        <v>20150701</v>
      </c>
      <c r="J6236" t="s">
        <v>6234</v>
      </c>
    </row>
    <row r="6237" spans="1:16" x14ac:dyDescent="0.3">
      <c r="A6237" s="160">
        <v>54430</v>
      </c>
      <c r="B6237" t="s">
        <v>21405</v>
      </c>
      <c r="C6237" t="s">
        <v>6187</v>
      </c>
      <c r="D6237">
        <v>0.6</v>
      </c>
      <c r="E6237">
        <v>0</v>
      </c>
      <c r="F6237">
        <f t="shared" si="97"/>
        <v>0.6</v>
      </c>
      <c r="I6237">
        <v>20111101</v>
      </c>
      <c r="J6237" t="s">
        <v>6336</v>
      </c>
    </row>
    <row r="6238" spans="1:16" x14ac:dyDescent="0.3">
      <c r="A6238" s="160">
        <v>54431</v>
      </c>
      <c r="B6238" t="s">
        <v>21406</v>
      </c>
      <c r="C6238" t="s">
        <v>6154</v>
      </c>
      <c r="D6238">
        <v>0.6</v>
      </c>
      <c r="E6238">
        <v>0</v>
      </c>
      <c r="F6238">
        <f t="shared" si="97"/>
        <v>0.6</v>
      </c>
      <c r="I6238">
        <v>20100601</v>
      </c>
      <c r="J6238" t="s">
        <v>6155</v>
      </c>
      <c r="K6238" t="s">
        <v>6156</v>
      </c>
      <c r="L6238" t="s">
        <v>6157</v>
      </c>
      <c r="M6238" t="s">
        <v>6184</v>
      </c>
      <c r="N6238" t="s">
        <v>6158</v>
      </c>
      <c r="O6238" t="s">
        <v>6185</v>
      </c>
      <c r="P6238" t="s">
        <v>6159</v>
      </c>
    </row>
    <row r="6239" spans="1:16" x14ac:dyDescent="0.3">
      <c r="A6239" s="160">
        <v>54432</v>
      </c>
      <c r="B6239" t="s">
        <v>21407</v>
      </c>
      <c r="C6239" t="s">
        <v>6171</v>
      </c>
      <c r="D6239">
        <v>0.6</v>
      </c>
      <c r="E6239">
        <v>0</v>
      </c>
      <c r="F6239">
        <f t="shared" si="97"/>
        <v>0.6</v>
      </c>
      <c r="I6239">
        <v>20060101</v>
      </c>
      <c r="J6239" t="s">
        <v>6172</v>
      </c>
    </row>
    <row r="6240" spans="1:16" x14ac:dyDescent="0.3">
      <c r="A6240" s="160">
        <v>54433</v>
      </c>
      <c r="B6240" t="s">
        <v>21408</v>
      </c>
      <c r="C6240" t="s">
        <v>6154</v>
      </c>
      <c r="D6240">
        <v>0.6</v>
      </c>
      <c r="E6240">
        <v>0</v>
      </c>
      <c r="F6240">
        <f t="shared" si="97"/>
        <v>0.6</v>
      </c>
      <c r="I6240">
        <v>20100601</v>
      </c>
      <c r="J6240" t="s">
        <v>6155</v>
      </c>
    </row>
    <row r="6241" spans="1:12" x14ac:dyDescent="0.3">
      <c r="A6241" s="160">
        <v>54435</v>
      </c>
      <c r="B6241" t="s">
        <v>21409</v>
      </c>
      <c r="C6241" t="s">
        <v>6149</v>
      </c>
      <c r="D6241">
        <v>0.55000000000000004</v>
      </c>
      <c r="E6241">
        <v>0</v>
      </c>
      <c r="F6241">
        <f t="shared" si="97"/>
        <v>0.55000000000000004</v>
      </c>
      <c r="I6241">
        <v>20190701</v>
      </c>
      <c r="J6241" t="s">
        <v>6150</v>
      </c>
    </row>
    <row r="6242" spans="1:12" x14ac:dyDescent="0.3">
      <c r="A6242" s="160">
        <v>54436</v>
      </c>
      <c r="B6242" t="s">
        <v>21410</v>
      </c>
      <c r="C6242" t="s">
        <v>6137</v>
      </c>
      <c r="D6242">
        <v>0.6</v>
      </c>
      <c r="E6242">
        <v>0</v>
      </c>
      <c r="F6242">
        <f t="shared" si="97"/>
        <v>0.6</v>
      </c>
      <c r="I6242">
        <v>20160701</v>
      </c>
      <c r="J6242" t="s">
        <v>6164</v>
      </c>
    </row>
    <row r="6243" spans="1:12" x14ac:dyDescent="0.3">
      <c r="A6243" s="160">
        <v>54437</v>
      </c>
      <c r="B6243" t="s">
        <v>21411</v>
      </c>
      <c r="C6243" t="s">
        <v>6171</v>
      </c>
      <c r="D6243">
        <v>0.6</v>
      </c>
      <c r="E6243">
        <v>0</v>
      </c>
      <c r="F6243">
        <f t="shared" si="97"/>
        <v>0.6</v>
      </c>
      <c r="I6243">
        <v>20150701</v>
      </c>
      <c r="J6243" t="s">
        <v>6234</v>
      </c>
    </row>
    <row r="6244" spans="1:12" x14ac:dyDescent="0.3">
      <c r="A6244" s="160">
        <v>54439</v>
      </c>
      <c r="B6244" t="s">
        <v>21412</v>
      </c>
      <c r="C6244" t="s">
        <v>6152</v>
      </c>
      <c r="D6244">
        <v>2</v>
      </c>
      <c r="E6244">
        <v>0</v>
      </c>
      <c r="F6244">
        <f t="shared" si="97"/>
        <v>2</v>
      </c>
      <c r="I6244">
        <v>20120701</v>
      </c>
      <c r="J6244" t="s">
        <v>6337</v>
      </c>
    </row>
    <row r="6245" spans="1:12" x14ac:dyDescent="0.3">
      <c r="A6245" s="160">
        <v>54440</v>
      </c>
      <c r="B6245" t="s">
        <v>21413</v>
      </c>
      <c r="C6245" t="s">
        <v>6137</v>
      </c>
      <c r="D6245">
        <v>0.6</v>
      </c>
      <c r="E6245">
        <v>0</v>
      </c>
      <c r="F6245">
        <f t="shared" si="97"/>
        <v>0.6</v>
      </c>
      <c r="I6245">
        <v>20160701</v>
      </c>
      <c r="J6245" t="s">
        <v>6138</v>
      </c>
    </row>
    <row r="6246" spans="1:12" x14ac:dyDescent="0.3">
      <c r="A6246" s="160">
        <v>54441</v>
      </c>
      <c r="B6246" t="s">
        <v>21414</v>
      </c>
      <c r="C6246" t="s">
        <v>6149</v>
      </c>
      <c r="D6246">
        <v>0.55000000000000004</v>
      </c>
      <c r="E6246">
        <v>0</v>
      </c>
      <c r="F6246">
        <f t="shared" si="97"/>
        <v>0.55000000000000004</v>
      </c>
      <c r="I6246">
        <v>20240101</v>
      </c>
      <c r="J6246" t="s">
        <v>6138</v>
      </c>
    </row>
    <row r="6247" spans="1:12" x14ac:dyDescent="0.3">
      <c r="A6247" s="160">
        <v>54443</v>
      </c>
      <c r="B6247" t="s">
        <v>21415</v>
      </c>
      <c r="C6247" t="s">
        <v>6182</v>
      </c>
      <c r="D6247">
        <v>0.55000000000000004</v>
      </c>
      <c r="E6247">
        <v>0</v>
      </c>
      <c r="F6247">
        <f t="shared" si="97"/>
        <v>0.55000000000000004</v>
      </c>
      <c r="I6247">
        <v>20240101</v>
      </c>
      <c r="J6247" t="s">
        <v>6183</v>
      </c>
    </row>
    <row r="6248" spans="1:12" x14ac:dyDescent="0.3">
      <c r="A6248" s="160">
        <v>54445</v>
      </c>
      <c r="B6248" t="s">
        <v>21416</v>
      </c>
      <c r="C6248" t="s">
        <v>6141</v>
      </c>
      <c r="D6248">
        <v>0.6</v>
      </c>
      <c r="E6248">
        <v>0</v>
      </c>
      <c r="F6248">
        <f t="shared" si="97"/>
        <v>0.6</v>
      </c>
      <c r="I6248">
        <v>20240101</v>
      </c>
      <c r="J6248" t="s">
        <v>6151</v>
      </c>
    </row>
    <row r="6249" spans="1:12" x14ac:dyDescent="0.3">
      <c r="A6249" s="160">
        <v>54446</v>
      </c>
      <c r="B6249" t="s">
        <v>21417</v>
      </c>
      <c r="C6249" t="s">
        <v>6141</v>
      </c>
      <c r="D6249">
        <v>0.6</v>
      </c>
      <c r="E6249">
        <v>0</v>
      </c>
      <c r="F6249">
        <f t="shared" si="97"/>
        <v>0.6</v>
      </c>
      <c r="I6249">
        <v>20240101</v>
      </c>
      <c r="J6249" t="s">
        <v>6151</v>
      </c>
    </row>
    <row r="6250" spans="1:12" x14ac:dyDescent="0.3">
      <c r="A6250" s="160">
        <v>54447</v>
      </c>
      <c r="B6250" t="s">
        <v>21418</v>
      </c>
      <c r="C6250" t="s">
        <v>6141</v>
      </c>
      <c r="D6250">
        <v>0.6</v>
      </c>
      <c r="E6250">
        <v>0</v>
      </c>
      <c r="F6250">
        <f t="shared" si="97"/>
        <v>0.6</v>
      </c>
      <c r="I6250">
        <v>20180701</v>
      </c>
      <c r="J6250" t="s">
        <v>6142</v>
      </c>
    </row>
    <row r="6251" spans="1:12" x14ac:dyDescent="0.3">
      <c r="A6251" s="160">
        <v>54449</v>
      </c>
      <c r="B6251" t="s">
        <v>21419</v>
      </c>
      <c r="C6251" t="s">
        <v>6141</v>
      </c>
      <c r="D6251">
        <v>0.6</v>
      </c>
      <c r="E6251">
        <v>0</v>
      </c>
      <c r="F6251">
        <f t="shared" si="97"/>
        <v>0.6</v>
      </c>
      <c r="I6251">
        <v>20180701</v>
      </c>
      <c r="J6251" t="s">
        <v>6181</v>
      </c>
      <c r="K6251" t="s">
        <v>6197</v>
      </c>
    </row>
    <row r="6252" spans="1:12" x14ac:dyDescent="0.3">
      <c r="A6252" s="160">
        <v>54450</v>
      </c>
      <c r="B6252" t="s">
        <v>21420</v>
      </c>
      <c r="C6252" t="s">
        <v>6141</v>
      </c>
      <c r="D6252">
        <v>0.6</v>
      </c>
      <c r="E6252">
        <v>0</v>
      </c>
      <c r="F6252">
        <f t="shared" si="97"/>
        <v>0.6</v>
      </c>
      <c r="I6252">
        <v>20180701</v>
      </c>
      <c r="J6252" t="s">
        <v>6170</v>
      </c>
    </row>
    <row r="6253" spans="1:12" x14ac:dyDescent="0.3">
      <c r="A6253" s="160">
        <v>54451</v>
      </c>
      <c r="B6253" t="s">
        <v>21421</v>
      </c>
      <c r="C6253" t="s">
        <v>6203</v>
      </c>
      <c r="D6253">
        <v>0.6</v>
      </c>
      <c r="E6253">
        <v>0</v>
      </c>
      <c r="F6253">
        <f t="shared" si="97"/>
        <v>0.6</v>
      </c>
      <c r="I6253">
        <v>20170701</v>
      </c>
      <c r="J6253" t="s">
        <v>6209</v>
      </c>
      <c r="K6253" t="s">
        <v>6211</v>
      </c>
      <c r="L6253" t="s">
        <v>6338</v>
      </c>
    </row>
    <row r="6254" spans="1:12" x14ac:dyDescent="0.3">
      <c r="A6254" s="160">
        <v>54452</v>
      </c>
      <c r="B6254" t="s">
        <v>21422</v>
      </c>
      <c r="C6254" t="s">
        <v>6141</v>
      </c>
      <c r="D6254">
        <v>0.6</v>
      </c>
      <c r="E6254">
        <v>0</v>
      </c>
      <c r="F6254">
        <f t="shared" si="97"/>
        <v>0.6</v>
      </c>
      <c r="I6254">
        <v>20180701</v>
      </c>
      <c r="J6254" t="s">
        <v>6142</v>
      </c>
    </row>
    <row r="6255" spans="1:12" x14ac:dyDescent="0.3">
      <c r="A6255" s="160">
        <v>54453</v>
      </c>
      <c r="B6255" t="s">
        <v>21423</v>
      </c>
      <c r="C6255" t="s">
        <v>6149</v>
      </c>
      <c r="D6255">
        <v>0.55000000000000004</v>
      </c>
      <c r="E6255">
        <v>0</v>
      </c>
      <c r="F6255">
        <f t="shared" si="97"/>
        <v>0.55000000000000004</v>
      </c>
      <c r="I6255">
        <v>20240101</v>
      </c>
      <c r="J6255" t="s">
        <v>6147</v>
      </c>
    </row>
    <row r="6256" spans="1:12" x14ac:dyDescent="0.3">
      <c r="A6256" s="160">
        <v>54455</v>
      </c>
      <c r="B6256" t="s">
        <v>21424</v>
      </c>
      <c r="C6256" t="s">
        <v>6141</v>
      </c>
      <c r="D6256">
        <v>0.6</v>
      </c>
      <c r="E6256">
        <v>0</v>
      </c>
      <c r="F6256">
        <f t="shared" si="97"/>
        <v>0.6</v>
      </c>
      <c r="I6256">
        <v>20240101</v>
      </c>
      <c r="J6256" t="s">
        <v>6220</v>
      </c>
    </row>
    <row r="6257" spans="1:12" x14ac:dyDescent="0.3">
      <c r="A6257" s="160">
        <v>54457</v>
      </c>
      <c r="B6257" t="s">
        <v>21425</v>
      </c>
      <c r="C6257" t="s">
        <v>6141</v>
      </c>
      <c r="D6257">
        <v>0.6</v>
      </c>
      <c r="E6257">
        <v>0</v>
      </c>
      <c r="F6257">
        <f t="shared" si="97"/>
        <v>0.6</v>
      </c>
      <c r="I6257">
        <v>20180701</v>
      </c>
      <c r="J6257" t="s">
        <v>6151</v>
      </c>
    </row>
    <row r="6258" spans="1:12" x14ac:dyDescent="0.3">
      <c r="A6258" s="160">
        <v>54458</v>
      </c>
      <c r="B6258" t="s">
        <v>21426</v>
      </c>
      <c r="C6258" t="s">
        <v>6141</v>
      </c>
      <c r="D6258">
        <v>0.6</v>
      </c>
      <c r="E6258">
        <v>0</v>
      </c>
      <c r="F6258">
        <f t="shared" si="97"/>
        <v>0.6</v>
      </c>
      <c r="I6258">
        <v>20180701</v>
      </c>
      <c r="J6258" t="s">
        <v>6142</v>
      </c>
    </row>
    <row r="6259" spans="1:12" x14ac:dyDescent="0.3">
      <c r="A6259" s="160">
        <v>54459</v>
      </c>
      <c r="B6259" t="s">
        <v>21427</v>
      </c>
      <c r="C6259" t="s">
        <v>6171</v>
      </c>
      <c r="D6259">
        <v>0.6</v>
      </c>
      <c r="E6259">
        <v>0</v>
      </c>
      <c r="F6259">
        <f t="shared" si="97"/>
        <v>0.6</v>
      </c>
      <c r="I6259">
        <v>20060101</v>
      </c>
      <c r="J6259" t="s">
        <v>6226</v>
      </c>
      <c r="K6259" t="s">
        <v>6270</v>
      </c>
      <c r="L6259" t="s">
        <v>6227</v>
      </c>
    </row>
    <row r="6260" spans="1:12" x14ac:dyDescent="0.3">
      <c r="A6260" s="160">
        <v>54460</v>
      </c>
      <c r="B6260" t="s">
        <v>21428</v>
      </c>
      <c r="C6260" t="s">
        <v>6154</v>
      </c>
      <c r="D6260">
        <v>0.6</v>
      </c>
      <c r="E6260">
        <v>0</v>
      </c>
      <c r="F6260">
        <f t="shared" si="97"/>
        <v>0.6</v>
      </c>
      <c r="I6260">
        <v>20150101</v>
      </c>
      <c r="J6260" t="s">
        <v>6163</v>
      </c>
    </row>
    <row r="6261" spans="1:12" x14ac:dyDescent="0.3">
      <c r="A6261" s="160">
        <v>54461</v>
      </c>
      <c r="B6261" t="s">
        <v>20877</v>
      </c>
      <c r="C6261" t="s">
        <v>6141</v>
      </c>
      <c r="D6261">
        <v>0.6</v>
      </c>
      <c r="E6261">
        <v>0</v>
      </c>
      <c r="F6261">
        <f t="shared" si="97"/>
        <v>0.6</v>
      </c>
      <c r="I6261">
        <v>20180701</v>
      </c>
      <c r="J6261" t="s">
        <v>6174</v>
      </c>
    </row>
    <row r="6262" spans="1:12" x14ac:dyDescent="0.3">
      <c r="A6262" s="160">
        <v>54462</v>
      </c>
      <c r="B6262" t="s">
        <v>21429</v>
      </c>
      <c r="C6262" t="s">
        <v>6167</v>
      </c>
      <c r="D6262">
        <v>0.6</v>
      </c>
      <c r="E6262">
        <v>0</v>
      </c>
      <c r="F6262">
        <f t="shared" si="97"/>
        <v>0.6</v>
      </c>
      <c r="I6262">
        <v>20180701</v>
      </c>
      <c r="J6262" t="s">
        <v>6148</v>
      </c>
    </row>
    <row r="6263" spans="1:12" x14ac:dyDescent="0.3">
      <c r="A6263" s="160">
        <v>54463</v>
      </c>
      <c r="B6263" t="s">
        <v>21430</v>
      </c>
      <c r="C6263" t="s">
        <v>6154</v>
      </c>
      <c r="D6263">
        <v>0.6</v>
      </c>
      <c r="E6263">
        <v>0</v>
      </c>
      <c r="F6263">
        <f t="shared" si="97"/>
        <v>0.6</v>
      </c>
      <c r="I6263">
        <v>20150101</v>
      </c>
      <c r="J6263" t="s">
        <v>6165</v>
      </c>
    </row>
    <row r="6264" spans="1:12" x14ac:dyDescent="0.3">
      <c r="A6264" s="160">
        <v>54466</v>
      </c>
      <c r="B6264" t="s">
        <v>21431</v>
      </c>
      <c r="C6264" t="s">
        <v>6139</v>
      </c>
      <c r="D6264">
        <v>0.55000000000000004</v>
      </c>
      <c r="E6264">
        <v>0</v>
      </c>
      <c r="F6264">
        <f t="shared" si="97"/>
        <v>0.55000000000000004</v>
      </c>
      <c r="I6264">
        <v>20180701</v>
      </c>
      <c r="J6264" t="s">
        <v>6144</v>
      </c>
    </row>
    <row r="6265" spans="1:12" x14ac:dyDescent="0.3">
      <c r="A6265" s="160">
        <v>54467</v>
      </c>
      <c r="B6265" t="s">
        <v>21432</v>
      </c>
      <c r="C6265" t="s">
        <v>6141</v>
      </c>
      <c r="D6265">
        <v>0.6</v>
      </c>
      <c r="E6265">
        <v>0</v>
      </c>
      <c r="F6265">
        <f t="shared" si="97"/>
        <v>0.6</v>
      </c>
      <c r="I6265">
        <v>20180701</v>
      </c>
      <c r="J6265" t="s">
        <v>6176</v>
      </c>
    </row>
    <row r="6266" spans="1:12" x14ac:dyDescent="0.3">
      <c r="A6266" s="160">
        <v>54468</v>
      </c>
      <c r="B6266" t="s">
        <v>21433</v>
      </c>
      <c r="C6266" t="s">
        <v>6167</v>
      </c>
      <c r="D6266">
        <v>0.6</v>
      </c>
      <c r="E6266">
        <v>0</v>
      </c>
      <c r="F6266">
        <f t="shared" si="97"/>
        <v>0.6</v>
      </c>
      <c r="I6266">
        <v>20180701</v>
      </c>
      <c r="J6266" t="s">
        <v>6168</v>
      </c>
    </row>
    <row r="6267" spans="1:12" x14ac:dyDescent="0.3">
      <c r="A6267" s="160">
        <v>54469</v>
      </c>
      <c r="B6267" t="s">
        <v>21434</v>
      </c>
      <c r="C6267" t="s">
        <v>6137</v>
      </c>
      <c r="D6267">
        <v>0.6</v>
      </c>
      <c r="E6267">
        <v>0</v>
      </c>
      <c r="F6267">
        <f t="shared" si="97"/>
        <v>0.6</v>
      </c>
      <c r="I6267">
        <v>20160701</v>
      </c>
      <c r="J6267" t="s">
        <v>6161</v>
      </c>
      <c r="K6267" t="s">
        <v>6162</v>
      </c>
    </row>
    <row r="6268" spans="1:12" x14ac:dyDescent="0.3">
      <c r="A6268" s="160">
        <v>54470</v>
      </c>
      <c r="B6268" t="s">
        <v>21435</v>
      </c>
      <c r="C6268" t="s">
        <v>6149</v>
      </c>
      <c r="D6268">
        <v>0.55000000000000004</v>
      </c>
      <c r="E6268">
        <v>0</v>
      </c>
      <c r="F6268">
        <f t="shared" si="97"/>
        <v>0.55000000000000004</v>
      </c>
      <c r="I6268">
        <v>20240101</v>
      </c>
      <c r="J6268" t="s">
        <v>6147</v>
      </c>
    </row>
    <row r="6269" spans="1:12" x14ac:dyDescent="0.3">
      <c r="A6269" s="160">
        <v>54471</v>
      </c>
      <c r="B6269" t="s">
        <v>21436</v>
      </c>
      <c r="C6269" t="s">
        <v>6141</v>
      </c>
      <c r="D6269">
        <v>0.6</v>
      </c>
      <c r="E6269">
        <v>0</v>
      </c>
      <c r="F6269">
        <f t="shared" si="97"/>
        <v>0.6</v>
      </c>
      <c r="I6269">
        <v>20180701</v>
      </c>
      <c r="J6269" t="s">
        <v>6176</v>
      </c>
    </row>
    <row r="6270" spans="1:12" x14ac:dyDescent="0.3">
      <c r="A6270" s="160">
        <v>54472</v>
      </c>
      <c r="B6270" t="s">
        <v>15744</v>
      </c>
      <c r="C6270" t="s">
        <v>6141</v>
      </c>
      <c r="D6270">
        <v>0.6</v>
      </c>
      <c r="E6270">
        <v>0</v>
      </c>
      <c r="F6270">
        <f t="shared" si="97"/>
        <v>0.6</v>
      </c>
      <c r="I6270">
        <v>20180701</v>
      </c>
      <c r="J6270" t="s">
        <v>6254</v>
      </c>
    </row>
    <row r="6271" spans="1:12" x14ac:dyDescent="0.3">
      <c r="A6271" s="160">
        <v>54474</v>
      </c>
      <c r="B6271" t="s">
        <v>20634</v>
      </c>
      <c r="C6271" t="s">
        <v>6154</v>
      </c>
      <c r="D6271">
        <v>0.6</v>
      </c>
      <c r="E6271">
        <v>0</v>
      </c>
      <c r="F6271">
        <f t="shared" si="97"/>
        <v>0.6</v>
      </c>
      <c r="I6271">
        <v>20150101</v>
      </c>
      <c r="J6271" t="s">
        <v>6155</v>
      </c>
    </row>
    <row r="6272" spans="1:12" x14ac:dyDescent="0.3">
      <c r="A6272" s="160">
        <v>54475</v>
      </c>
      <c r="B6272" t="s">
        <v>16268</v>
      </c>
      <c r="C6272" t="s">
        <v>6141</v>
      </c>
      <c r="D6272">
        <v>0.6</v>
      </c>
      <c r="E6272">
        <v>0</v>
      </c>
      <c r="F6272">
        <f t="shared" si="97"/>
        <v>0.6</v>
      </c>
      <c r="I6272">
        <v>20180701</v>
      </c>
      <c r="J6272" t="s">
        <v>6176</v>
      </c>
    </row>
    <row r="6273" spans="1:16" x14ac:dyDescent="0.3">
      <c r="A6273" s="160">
        <v>54477</v>
      </c>
      <c r="B6273" t="s">
        <v>21437</v>
      </c>
      <c r="C6273" t="s">
        <v>6149</v>
      </c>
      <c r="D6273">
        <v>0.55000000000000004</v>
      </c>
      <c r="E6273">
        <v>0</v>
      </c>
      <c r="F6273">
        <f t="shared" si="97"/>
        <v>0.55000000000000004</v>
      </c>
      <c r="I6273">
        <v>20240101</v>
      </c>
      <c r="J6273" t="s">
        <v>6147</v>
      </c>
      <c r="K6273" t="s">
        <v>6193</v>
      </c>
    </row>
    <row r="6274" spans="1:16" x14ac:dyDescent="0.3">
      <c r="A6274" s="160">
        <v>54478</v>
      </c>
      <c r="B6274" t="s">
        <v>17804</v>
      </c>
      <c r="C6274" t="s">
        <v>6137</v>
      </c>
      <c r="D6274">
        <v>0.6</v>
      </c>
      <c r="E6274">
        <v>0</v>
      </c>
      <c r="F6274">
        <f t="shared" si="97"/>
        <v>0.6</v>
      </c>
      <c r="I6274">
        <v>20160701</v>
      </c>
      <c r="J6274" t="s">
        <v>6138</v>
      </c>
    </row>
    <row r="6275" spans="1:16" x14ac:dyDescent="0.3">
      <c r="A6275" s="160">
        <v>54479</v>
      </c>
      <c r="B6275" t="s">
        <v>21438</v>
      </c>
      <c r="C6275" t="s">
        <v>6141</v>
      </c>
      <c r="D6275">
        <v>0.6</v>
      </c>
      <c r="E6275">
        <v>0</v>
      </c>
      <c r="F6275">
        <f t="shared" si="97"/>
        <v>0.6</v>
      </c>
      <c r="I6275">
        <v>20180701</v>
      </c>
      <c r="J6275" t="s">
        <v>6176</v>
      </c>
    </row>
    <row r="6276" spans="1:16" x14ac:dyDescent="0.3">
      <c r="A6276" s="160">
        <v>54480</v>
      </c>
      <c r="B6276" t="s">
        <v>21439</v>
      </c>
      <c r="C6276" t="s">
        <v>6141</v>
      </c>
      <c r="D6276">
        <v>0.6</v>
      </c>
      <c r="E6276">
        <v>0</v>
      </c>
      <c r="F6276">
        <f t="shared" si="97"/>
        <v>0.6</v>
      </c>
      <c r="I6276">
        <v>20180701</v>
      </c>
      <c r="J6276" t="s">
        <v>6142</v>
      </c>
    </row>
    <row r="6277" spans="1:16" x14ac:dyDescent="0.3">
      <c r="A6277" s="160">
        <v>54482</v>
      </c>
      <c r="B6277" t="s">
        <v>21440</v>
      </c>
      <c r="C6277" t="s">
        <v>6152</v>
      </c>
      <c r="D6277">
        <v>2</v>
      </c>
      <c r="E6277">
        <v>0</v>
      </c>
      <c r="F6277">
        <f t="shared" si="97"/>
        <v>2</v>
      </c>
      <c r="I6277">
        <v>20120701</v>
      </c>
      <c r="J6277" t="s">
        <v>6215</v>
      </c>
      <c r="K6277" t="s">
        <v>6216</v>
      </c>
      <c r="L6277" t="s">
        <v>6274</v>
      </c>
      <c r="M6277" t="s">
        <v>6339</v>
      </c>
      <c r="N6277" t="s">
        <v>6340</v>
      </c>
      <c r="O6277" t="s">
        <v>6222</v>
      </c>
      <c r="P6277" t="s">
        <v>6223</v>
      </c>
    </row>
    <row r="6278" spans="1:16" x14ac:dyDescent="0.3">
      <c r="A6278" s="160">
        <v>54483</v>
      </c>
      <c r="B6278" t="s">
        <v>21441</v>
      </c>
      <c r="C6278" t="s">
        <v>6167</v>
      </c>
      <c r="D6278">
        <v>0.6</v>
      </c>
      <c r="E6278">
        <v>0</v>
      </c>
      <c r="F6278">
        <f t="shared" si="97"/>
        <v>0.6</v>
      </c>
      <c r="I6278">
        <v>20180701</v>
      </c>
      <c r="J6278" t="s">
        <v>6168</v>
      </c>
    </row>
    <row r="6279" spans="1:16" x14ac:dyDescent="0.3">
      <c r="A6279" s="160">
        <v>54487</v>
      </c>
      <c r="B6279" t="s">
        <v>21442</v>
      </c>
      <c r="C6279" t="s">
        <v>6141</v>
      </c>
      <c r="D6279">
        <v>0.6</v>
      </c>
      <c r="E6279">
        <v>0</v>
      </c>
      <c r="F6279">
        <f t="shared" ref="F6279:F6342" si="98">D6279+E6279</f>
        <v>0.6</v>
      </c>
      <c r="I6279">
        <v>20180701</v>
      </c>
      <c r="J6279" t="s">
        <v>6176</v>
      </c>
    </row>
    <row r="6280" spans="1:16" x14ac:dyDescent="0.3">
      <c r="A6280" s="160">
        <v>54490</v>
      </c>
      <c r="B6280" t="s">
        <v>21443</v>
      </c>
      <c r="C6280" t="s">
        <v>6187</v>
      </c>
      <c r="D6280">
        <v>0.6</v>
      </c>
      <c r="E6280">
        <v>0</v>
      </c>
      <c r="F6280">
        <f t="shared" si="98"/>
        <v>0.6</v>
      </c>
      <c r="I6280">
        <v>20111101</v>
      </c>
      <c r="J6280" t="s">
        <v>6163</v>
      </c>
    </row>
    <row r="6281" spans="1:16" x14ac:dyDescent="0.3">
      <c r="A6281" s="160">
        <v>54491</v>
      </c>
      <c r="B6281" t="s">
        <v>21444</v>
      </c>
      <c r="C6281" t="s">
        <v>6137</v>
      </c>
      <c r="D6281">
        <v>0.6</v>
      </c>
      <c r="E6281">
        <v>0</v>
      </c>
      <c r="F6281">
        <f t="shared" si="98"/>
        <v>0.6</v>
      </c>
      <c r="I6281">
        <v>20160701</v>
      </c>
      <c r="J6281" t="s">
        <v>6143</v>
      </c>
    </row>
    <row r="6282" spans="1:16" x14ac:dyDescent="0.3">
      <c r="A6282" s="160">
        <v>54492</v>
      </c>
      <c r="B6282" t="s">
        <v>21445</v>
      </c>
      <c r="C6282" t="s">
        <v>6139</v>
      </c>
      <c r="D6282">
        <v>0.55000000000000004</v>
      </c>
      <c r="E6282">
        <v>0</v>
      </c>
      <c r="F6282">
        <f t="shared" si="98"/>
        <v>0.55000000000000004</v>
      </c>
      <c r="I6282">
        <v>20180701</v>
      </c>
      <c r="J6282" t="s">
        <v>6144</v>
      </c>
    </row>
    <row r="6283" spans="1:16" x14ac:dyDescent="0.3">
      <c r="A6283" s="160">
        <v>54493</v>
      </c>
      <c r="B6283" t="s">
        <v>21446</v>
      </c>
      <c r="C6283" t="s">
        <v>6203</v>
      </c>
      <c r="D6283">
        <v>0.6</v>
      </c>
      <c r="E6283">
        <v>0</v>
      </c>
      <c r="F6283">
        <f t="shared" si="98"/>
        <v>0.6</v>
      </c>
      <c r="I6283">
        <v>20170701</v>
      </c>
      <c r="J6283" t="s">
        <v>6211</v>
      </c>
      <c r="K6283" t="s">
        <v>6341</v>
      </c>
    </row>
    <row r="6284" spans="1:16" x14ac:dyDescent="0.3">
      <c r="A6284" s="160">
        <v>54495</v>
      </c>
      <c r="B6284" t="s">
        <v>21447</v>
      </c>
      <c r="C6284" t="s">
        <v>6152</v>
      </c>
      <c r="D6284">
        <v>2</v>
      </c>
      <c r="E6284">
        <v>0</v>
      </c>
      <c r="F6284">
        <f t="shared" si="98"/>
        <v>2</v>
      </c>
      <c r="I6284">
        <v>20120701</v>
      </c>
      <c r="J6284" t="s">
        <v>6342</v>
      </c>
    </row>
    <row r="6285" spans="1:16" x14ac:dyDescent="0.3">
      <c r="A6285" s="160">
        <v>54498</v>
      </c>
      <c r="B6285" t="s">
        <v>21448</v>
      </c>
      <c r="C6285" t="s">
        <v>6152</v>
      </c>
      <c r="D6285">
        <v>2</v>
      </c>
      <c r="E6285">
        <v>0</v>
      </c>
      <c r="F6285">
        <f t="shared" si="98"/>
        <v>2</v>
      </c>
      <c r="I6285">
        <v>20120701</v>
      </c>
      <c r="J6285" t="s">
        <v>6223</v>
      </c>
      <c r="K6285" t="s">
        <v>6343</v>
      </c>
    </row>
    <row r="6286" spans="1:16" x14ac:dyDescent="0.3">
      <c r="A6286" s="160">
        <v>54499</v>
      </c>
      <c r="B6286" t="s">
        <v>21449</v>
      </c>
      <c r="C6286" t="s">
        <v>6149</v>
      </c>
      <c r="D6286">
        <v>0.55000000000000004</v>
      </c>
      <c r="E6286">
        <v>0</v>
      </c>
      <c r="F6286">
        <f t="shared" si="98"/>
        <v>0.55000000000000004</v>
      </c>
      <c r="I6286">
        <v>20240101</v>
      </c>
      <c r="J6286" t="s">
        <v>6147</v>
      </c>
    </row>
    <row r="6287" spans="1:16" x14ac:dyDescent="0.3">
      <c r="A6287" s="160">
        <v>54501</v>
      </c>
      <c r="B6287" t="s">
        <v>21450</v>
      </c>
      <c r="C6287" t="s">
        <v>6141</v>
      </c>
      <c r="D6287">
        <v>0.6</v>
      </c>
      <c r="E6287">
        <v>0</v>
      </c>
      <c r="F6287">
        <f t="shared" si="98"/>
        <v>0.6</v>
      </c>
      <c r="I6287">
        <v>20240101</v>
      </c>
      <c r="J6287" t="s">
        <v>6220</v>
      </c>
    </row>
    <row r="6288" spans="1:16" x14ac:dyDescent="0.3">
      <c r="A6288" s="160">
        <v>54502</v>
      </c>
      <c r="B6288" t="s">
        <v>21451</v>
      </c>
      <c r="C6288" t="s">
        <v>6141</v>
      </c>
      <c r="D6288">
        <v>0.6</v>
      </c>
      <c r="E6288">
        <v>0</v>
      </c>
      <c r="F6288">
        <f t="shared" si="98"/>
        <v>0.6</v>
      </c>
      <c r="I6288">
        <v>20240101</v>
      </c>
      <c r="J6288" t="s">
        <v>6151</v>
      </c>
    </row>
    <row r="6289" spans="1:16" x14ac:dyDescent="0.3">
      <c r="A6289" s="160">
        <v>54504</v>
      </c>
      <c r="B6289" t="s">
        <v>21452</v>
      </c>
      <c r="C6289" t="s">
        <v>6137</v>
      </c>
      <c r="D6289">
        <v>0.6</v>
      </c>
      <c r="E6289">
        <v>0</v>
      </c>
      <c r="F6289">
        <f t="shared" si="98"/>
        <v>0.6</v>
      </c>
      <c r="I6289">
        <v>20160701</v>
      </c>
      <c r="J6289" t="s">
        <v>6143</v>
      </c>
    </row>
    <row r="6290" spans="1:16" x14ac:dyDescent="0.3">
      <c r="A6290" s="160">
        <v>54505</v>
      </c>
      <c r="B6290" t="s">
        <v>21453</v>
      </c>
      <c r="C6290" t="s">
        <v>6171</v>
      </c>
      <c r="D6290">
        <v>0.6</v>
      </c>
      <c r="E6290">
        <v>0</v>
      </c>
      <c r="F6290">
        <f t="shared" si="98"/>
        <v>0.6</v>
      </c>
      <c r="I6290">
        <v>20240101</v>
      </c>
      <c r="J6290" t="s">
        <v>6172</v>
      </c>
    </row>
    <row r="6291" spans="1:16" x14ac:dyDescent="0.3">
      <c r="A6291" s="160">
        <v>54506</v>
      </c>
      <c r="B6291" t="s">
        <v>21453</v>
      </c>
      <c r="C6291" t="s">
        <v>6139</v>
      </c>
      <c r="D6291">
        <v>0.55000000000000004</v>
      </c>
      <c r="E6291">
        <v>0</v>
      </c>
      <c r="F6291">
        <f t="shared" si="98"/>
        <v>0.55000000000000004</v>
      </c>
      <c r="I6291">
        <v>20180701</v>
      </c>
      <c r="J6291" t="s">
        <v>6232</v>
      </c>
    </row>
    <row r="6292" spans="1:16" x14ac:dyDescent="0.3">
      <c r="A6292" s="160">
        <v>54507</v>
      </c>
      <c r="B6292" t="s">
        <v>21454</v>
      </c>
      <c r="C6292" t="s">
        <v>6141</v>
      </c>
      <c r="D6292">
        <v>0.6</v>
      </c>
      <c r="E6292">
        <v>0</v>
      </c>
      <c r="F6292">
        <f t="shared" si="98"/>
        <v>0.6</v>
      </c>
      <c r="I6292">
        <v>20240101</v>
      </c>
      <c r="J6292" t="s">
        <v>6181</v>
      </c>
    </row>
    <row r="6293" spans="1:16" x14ac:dyDescent="0.3">
      <c r="A6293" s="160">
        <v>54509</v>
      </c>
      <c r="B6293" t="s">
        <v>21455</v>
      </c>
      <c r="C6293" t="s">
        <v>6167</v>
      </c>
      <c r="D6293">
        <v>0.6</v>
      </c>
      <c r="E6293">
        <v>0</v>
      </c>
      <c r="F6293">
        <f t="shared" si="98"/>
        <v>0.6</v>
      </c>
      <c r="I6293">
        <v>20180701</v>
      </c>
      <c r="J6293" t="s">
        <v>6148</v>
      </c>
    </row>
    <row r="6294" spans="1:16" x14ac:dyDescent="0.3">
      <c r="A6294" s="160">
        <v>54511</v>
      </c>
      <c r="B6294" t="s">
        <v>21456</v>
      </c>
      <c r="C6294" t="s">
        <v>6149</v>
      </c>
      <c r="D6294">
        <v>0.55000000000000004</v>
      </c>
      <c r="E6294">
        <v>0</v>
      </c>
      <c r="F6294">
        <f t="shared" si="98"/>
        <v>0.55000000000000004</v>
      </c>
      <c r="I6294">
        <v>20240101</v>
      </c>
      <c r="J6294" t="s">
        <v>6138</v>
      </c>
    </row>
    <row r="6295" spans="1:16" x14ac:dyDescent="0.3">
      <c r="A6295" s="160">
        <v>54515</v>
      </c>
      <c r="B6295" t="s">
        <v>21457</v>
      </c>
      <c r="C6295" t="s">
        <v>6171</v>
      </c>
      <c r="D6295">
        <v>0.6</v>
      </c>
      <c r="E6295">
        <v>0</v>
      </c>
      <c r="F6295">
        <f t="shared" si="98"/>
        <v>0.6</v>
      </c>
      <c r="I6295">
        <v>20060101</v>
      </c>
      <c r="J6295" t="s">
        <v>6277</v>
      </c>
    </row>
    <row r="6296" spans="1:16" x14ac:dyDescent="0.3">
      <c r="A6296" s="160">
        <v>54518</v>
      </c>
      <c r="B6296" t="s">
        <v>21458</v>
      </c>
      <c r="C6296" t="s">
        <v>6149</v>
      </c>
      <c r="D6296">
        <v>0.55000000000000004</v>
      </c>
      <c r="E6296">
        <v>0</v>
      </c>
      <c r="F6296">
        <f t="shared" si="98"/>
        <v>0.55000000000000004</v>
      </c>
      <c r="I6296">
        <v>20240101</v>
      </c>
      <c r="J6296" t="s">
        <v>6147</v>
      </c>
    </row>
    <row r="6297" spans="1:16" x14ac:dyDescent="0.3">
      <c r="A6297" s="160">
        <v>54519</v>
      </c>
      <c r="B6297" t="s">
        <v>21459</v>
      </c>
      <c r="C6297" t="s">
        <v>6141</v>
      </c>
      <c r="D6297">
        <v>0.6</v>
      </c>
      <c r="E6297">
        <v>0</v>
      </c>
      <c r="F6297">
        <f t="shared" si="98"/>
        <v>0.6</v>
      </c>
      <c r="I6297">
        <v>20180701</v>
      </c>
      <c r="J6297" t="s">
        <v>6170</v>
      </c>
    </row>
    <row r="6298" spans="1:16" x14ac:dyDescent="0.3">
      <c r="A6298" s="160">
        <v>54520</v>
      </c>
      <c r="B6298" t="s">
        <v>21460</v>
      </c>
      <c r="C6298" t="s">
        <v>6141</v>
      </c>
      <c r="D6298">
        <v>0.6</v>
      </c>
      <c r="E6298">
        <v>0</v>
      </c>
      <c r="F6298">
        <f t="shared" si="98"/>
        <v>0.6</v>
      </c>
      <c r="I6298">
        <v>20180701</v>
      </c>
      <c r="J6298" t="s">
        <v>6181</v>
      </c>
    </row>
    <row r="6299" spans="1:16" x14ac:dyDescent="0.3">
      <c r="A6299" s="160">
        <v>54521</v>
      </c>
      <c r="B6299" t="s">
        <v>15283</v>
      </c>
      <c r="C6299" t="s">
        <v>6203</v>
      </c>
      <c r="D6299">
        <v>0.6</v>
      </c>
      <c r="E6299">
        <v>0</v>
      </c>
      <c r="F6299">
        <f t="shared" si="98"/>
        <v>0.6</v>
      </c>
      <c r="I6299">
        <v>20170701</v>
      </c>
      <c r="J6299" t="s">
        <v>6344</v>
      </c>
    </row>
    <row r="6300" spans="1:16" x14ac:dyDescent="0.3">
      <c r="A6300" s="160">
        <v>54524</v>
      </c>
      <c r="B6300" t="s">
        <v>21461</v>
      </c>
      <c r="C6300" t="s">
        <v>6137</v>
      </c>
      <c r="D6300">
        <v>0.6</v>
      </c>
      <c r="E6300">
        <v>0</v>
      </c>
      <c r="F6300">
        <f t="shared" si="98"/>
        <v>0.6</v>
      </c>
      <c r="I6300">
        <v>20160701</v>
      </c>
      <c r="J6300" t="s">
        <v>6138</v>
      </c>
    </row>
    <row r="6301" spans="1:16" x14ac:dyDescent="0.3">
      <c r="A6301" s="160">
        <v>54525</v>
      </c>
      <c r="B6301" t="s">
        <v>21462</v>
      </c>
      <c r="C6301" t="s">
        <v>6203</v>
      </c>
      <c r="D6301">
        <v>0.6</v>
      </c>
      <c r="E6301">
        <v>0</v>
      </c>
      <c r="F6301">
        <f t="shared" si="98"/>
        <v>0.6</v>
      </c>
      <c r="I6301">
        <v>20170701</v>
      </c>
      <c r="J6301" t="s">
        <v>6345</v>
      </c>
    </row>
    <row r="6302" spans="1:16" x14ac:dyDescent="0.3">
      <c r="A6302" s="160">
        <v>54526</v>
      </c>
      <c r="B6302" t="s">
        <v>21463</v>
      </c>
      <c r="C6302" t="s">
        <v>6152</v>
      </c>
      <c r="D6302">
        <v>2</v>
      </c>
      <c r="E6302">
        <v>0</v>
      </c>
      <c r="F6302">
        <f t="shared" si="98"/>
        <v>2</v>
      </c>
      <c r="I6302">
        <v>20120701</v>
      </c>
      <c r="J6302" t="s">
        <v>6153</v>
      </c>
    </row>
    <row r="6303" spans="1:16" x14ac:dyDescent="0.3">
      <c r="A6303" s="160">
        <v>54527</v>
      </c>
      <c r="B6303" t="s">
        <v>21464</v>
      </c>
      <c r="C6303" t="s">
        <v>6167</v>
      </c>
      <c r="D6303">
        <v>0.6</v>
      </c>
      <c r="E6303">
        <v>0</v>
      </c>
      <c r="F6303">
        <f t="shared" si="98"/>
        <v>0.6</v>
      </c>
      <c r="I6303">
        <v>20180701</v>
      </c>
      <c r="J6303" t="s">
        <v>6168</v>
      </c>
    </row>
    <row r="6304" spans="1:16" x14ac:dyDescent="0.3">
      <c r="A6304" s="160">
        <v>54528</v>
      </c>
      <c r="B6304" t="s">
        <v>21465</v>
      </c>
      <c r="C6304" t="s">
        <v>6139</v>
      </c>
      <c r="D6304">
        <v>0.55000000000000004</v>
      </c>
      <c r="E6304">
        <v>0</v>
      </c>
      <c r="F6304">
        <f t="shared" si="98"/>
        <v>0.55000000000000004</v>
      </c>
      <c r="I6304">
        <v>20060901</v>
      </c>
      <c r="J6304" t="s">
        <v>6144</v>
      </c>
      <c r="K6304" t="s">
        <v>6219</v>
      </c>
      <c r="L6304" t="s">
        <v>6145</v>
      </c>
      <c r="M6304" t="s">
        <v>6217</v>
      </c>
      <c r="N6304" t="s">
        <v>6180</v>
      </c>
      <c r="O6304" t="s">
        <v>6218</v>
      </c>
      <c r="P6304" t="s">
        <v>6202</v>
      </c>
    </row>
    <row r="6305" spans="1:24" x14ac:dyDescent="0.3">
      <c r="A6305" s="160">
        <v>54532</v>
      </c>
      <c r="B6305" t="s">
        <v>21466</v>
      </c>
      <c r="C6305" t="s">
        <v>6139</v>
      </c>
      <c r="D6305">
        <v>0.55000000000000004</v>
      </c>
      <c r="E6305">
        <v>0</v>
      </c>
      <c r="F6305">
        <f t="shared" si="98"/>
        <v>0.55000000000000004</v>
      </c>
      <c r="I6305">
        <v>20240101</v>
      </c>
      <c r="J6305" t="s">
        <v>6165</v>
      </c>
    </row>
    <row r="6306" spans="1:24" x14ac:dyDescent="0.3">
      <c r="A6306" s="160">
        <v>54533</v>
      </c>
      <c r="B6306" t="s">
        <v>21467</v>
      </c>
      <c r="C6306" t="s">
        <v>6137</v>
      </c>
      <c r="D6306">
        <v>0.6</v>
      </c>
      <c r="E6306">
        <v>0</v>
      </c>
      <c r="F6306">
        <f t="shared" si="98"/>
        <v>0.6</v>
      </c>
      <c r="I6306">
        <v>20160701</v>
      </c>
      <c r="J6306" t="s">
        <v>6346</v>
      </c>
    </row>
    <row r="6307" spans="1:24" x14ac:dyDescent="0.3">
      <c r="A6307" s="160">
        <v>54534</v>
      </c>
      <c r="B6307" t="s">
        <v>21468</v>
      </c>
      <c r="C6307" t="s">
        <v>6139</v>
      </c>
      <c r="D6307">
        <v>0.55000000000000004</v>
      </c>
      <c r="E6307">
        <v>0</v>
      </c>
      <c r="F6307">
        <f t="shared" si="98"/>
        <v>0.55000000000000004</v>
      </c>
      <c r="I6307">
        <v>20180701</v>
      </c>
      <c r="J6307" t="s">
        <v>6233</v>
      </c>
    </row>
    <row r="6308" spans="1:24" x14ac:dyDescent="0.3">
      <c r="A6308" s="160">
        <v>54535</v>
      </c>
      <c r="B6308" t="s">
        <v>21469</v>
      </c>
      <c r="C6308" t="s">
        <v>6149</v>
      </c>
      <c r="D6308">
        <v>0.55000000000000004</v>
      </c>
      <c r="E6308">
        <v>0</v>
      </c>
      <c r="F6308">
        <f t="shared" si="98"/>
        <v>0.55000000000000004</v>
      </c>
      <c r="I6308">
        <v>20240101</v>
      </c>
      <c r="J6308" t="s">
        <v>6138</v>
      </c>
    </row>
    <row r="6309" spans="1:24" x14ac:dyDescent="0.3">
      <c r="A6309" s="160">
        <v>54536</v>
      </c>
      <c r="B6309" t="s">
        <v>21470</v>
      </c>
      <c r="C6309" t="s">
        <v>6137</v>
      </c>
      <c r="D6309">
        <v>0.6</v>
      </c>
      <c r="E6309">
        <v>0</v>
      </c>
      <c r="F6309">
        <f t="shared" si="98"/>
        <v>0.6</v>
      </c>
      <c r="I6309">
        <v>20160701</v>
      </c>
      <c r="J6309" t="s">
        <v>6160</v>
      </c>
      <c r="K6309" t="s">
        <v>6179</v>
      </c>
    </row>
    <row r="6310" spans="1:24" x14ac:dyDescent="0.3">
      <c r="A6310" s="160">
        <v>54537</v>
      </c>
      <c r="B6310" t="s">
        <v>21471</v>
      </c>
      <c r="C6310" t="s">
        <v>6203</v>
      </c>
      <c r="D6310">
        <v>0.6</v>
      </c>
      <c r="E6310">
        <v>0</v>
      </c>
      <c r="F6310">
        <f t="shared" si="98"/>
        <v>0.6</v>
      </c>
      <c r="I6310">
        <v>20170701</v>
      </c>
      <c r="J6310" t="s">
        <v>6207</v>
      </c>
    </row>
    <row r="6311" spans="1:24" x14ac:dyDescent="0.3">
      <c r="A6311" s="160">
        <v>54539</v>
      </c>
      <c r="B6311" t="s">
        <v>21472</v>
      </c>
      <c r="C6311" t="s">
        <v>6141</v>
      </c>
      <c r="D6311">
        <v>0.6</v>
      </c>
      <c r="E6311">
        <v>0</v>
      </c>
      <c r="F6311">
        <f t="shared" si="98"/>
        <v>0.6</v>
      </c>
      <c r="I6311">
        <v>20180701</v>
      </c>
      <c r="J6311" t="s">
        <v>6183</v>
      </c>
    </row>
    <row r="6312" spans="1:24" x14ac:dyDescent="0.3">
      <c r="A6312" s="160">
        <v>54541</v>
      </c>
      <c r="B6312" t="s">
        <v>21473</v>
      </c>
      <c r="C6312" t="s">
        <v>6141</v>
      </c>
      <c r="D6312">
        <v>0.6</v>
      </c>
      <c r="E6312">
        <v>0</v>
      </c>
      <c r="F6312">
        <f t="shared" si="98"/>
        <v>0.6</v>
      </c>
      <c r="I6312">
        <v>20240101</v>
      </c>
      <c r="J6312" t="s">
        <v>6151</v>
      </c>
    </row>
    <row r="6313" spans="1:24" x14ac:dyDescent="0.3">
      <c r="A6313" s="160">
        <v>54542</v>
      </c>
      <c r="B6313" t="s">
        <v>21474</v>
      </c>
      <c r="C6313" t="s">
        <v>6137</v>
      </c>
      <c r="D6313">
        <v>0.6</v>
      </c>
      <c r="E6313">
        <v>0</v>
      </c>
      <c r="F6313">
        <f t="shared" si="98"/>
        <v>0.6</v>
      </c>
      <c r="I6313">
        <v>20160701</v>
      </c>
      <c r="J6313" t="s">
        <v>6160</v>
      </c>
      <c r="K6313" t="s">
        <v>6347</v>
      </c>
    </row>
    <row r="6314" spans="1:24" x14ac:dyDescent="0.3">
      <c r="A6314" s="160">
        <v>54543</v>
      </c>
      <c r="B6314" t="s">
        <v>21475</v>
      </c>
      <c r="C6314" t="s">
        <v>6141</v>
      </c>
      <c r="D6314">
        <v>0.6</v>
      </c>
      <c r="E6314">
        <v>0</v>
      </c>
      <c r="F6314">
        <f t="shared" si="98"/>
        <v>0.6</v>
      </c>
      <c r="I6314">
        <v>20240101</v>
      </c>
      <c r="J6314" t="s">
        <v>6220</v>
      </c>
    </row>
    <row r="6315" spans="1:24" x14ac:dyDescent="0.3">
      <c r="A6315" s="160">
        <v>54544</v>
      </c>
      <c r="B6315" t="s">
        <v>21476</v>
      </c>
      <c r="C6315" t="s">
        <v>6149</v>
      </c>
      <c r="D6315">
        <v>0.55000000000000004</v>
      </c>
      <c r="E6315">
        <v>0</v>
      </c>
      <c r="F6315">
        <f t="shared" si="98"/>
        <v>0.55000000000000004</v>
      </c>
      <c r="I6315">
        <v>20240101</v>
      </c>
      <c r="J6315" t="s">
        <v>6177</v>
      </c>
    </row>
    <row r="6316" spans="1:24" x14ac:dyDescent="0.3">
      <c r="A6316" s="160">
        <v>54546</v>
      </c>
      <c r="B6316" t="s">
        <v>21477</v>
      </c>
      <c r="C6316" t="s">
        <v>6154</v>
      </c>
      <c r="D6316">
        <v>0.6</v>
      </c>
      <c r="E6316">
        <v>0</v>
      </c>
      <c r="F6316">
        <f t="shared" si="98"/>
        <v>0.6</v>
      </c>
      <c r="I6316">
        <v>20150101</v>
      </c>
      <c r="J6316" t="s">
        <v>6348</v>
      </c>
    </row>
    <row r="6317" spans="1:24" x14ac:dyDescent="0.3">
      <c r="A6317" s="160">
        <v>54547</v>
      </c>
      <c r="B6317" t="s">
        <v>21478</v>
      </c>
      <c r="C6317" t="s">
        <v>6152</v>
      </c>
      <c r="D6317">
        <v>2</v>
      </c>
      <c r="E6317">
        <v>0</v>
      </c>
      <c r="F6317">
        <f t="shared" si="98"/>
        <v>2</v>
      </c>
      <c r="I6317">
        <v>20120701</v>
      </c>
      <c r="J6317" t="s">
        <v>6349</v>
      </c>
      <c r="K6317" t="s">
        <v>6350</v>
      </c>
      <c r="L6317" t="s">
        <v>6351</v>
      </c>
      <c r="M6317" t="s">
        <v>6352</v>
      </c>
      <c r="N6317" t="s">
        <v>6353</v>
      </c>
      <c r="O6317" t="s">
        <v>6354</v>
      </c>
      <c r="P6317" t="s">
        <v>6355</v>
      </c>
      <c r="Q6317" t="s">
        <v>6356</v>
      </c>
      <c r="R6317" t="s">
        <v>6357</v>
      </c>
      <c r="S6317" t="s">
        <v>6358</v>
      </c>
      <c r="T6317" t="s">
        <v>6359</v>
      </c>
      <c r="U6317" t="s">
        <v>6360</v>
      </c>
      <c r="V6317" t="s">
        <v>6361</v>
      </c>
      <c r="W6317" t="s">
        <v>6362</v>
      </c>
      <c r="X6317" t="s">
        <v>6363</v>
      </c>
    </row>
    <row r="6318" spans="1:24" x14ac:dyDescent="0.3">
      <c r="A6318" s="160">
        <v>54549</v>
      </c>
      <c r="B6318" t="s">
        <v>21479</v>
      </c>
      <c r="C6318" t="s">
        <v>6167</v>
      </c>
      <c r="D6318">
        <v>0.6</v>
      </c>
      <c r="E6318">
        <v>0</v>
      </c>
      <c r="F6318">
        <f t="shared" si="98"/>
        <v>0.6</v>
      </c>
      <c r="I6318">
        <v>20180701</v>
      </c>
      <c r="J6318" t="s">
        <v>6148</v>
      </c>
    </row>
    <row r="6319" spans="1:24" x14ac:dyDescent="0.3">
      <c r="A6319" s="160">
        <v>54550</v>
      </c>
      <c r="B6319" t="s">
        <v>21480</v>
      </c>
      <c r="C6319" t="s">
        <v>6141</v>
      </c>
      <c r="D6319">
        <v>0.6</v>
      </c>
      <c r="E6319">
        <v>0</v>
      </c>
      <c r="F6319">
        <f t="shared" si="98"/>
        <v>0.6</v>
      </c>
      <c r="I6319">
        <v>20240101</v>
      </c>
      <c r="J6319" t="s">
        <v>6169</v>
      </c>
    </row>
    <row r="6320" spans="1:24" x14ac:dyDescent="0.3">
      <c r="A6320" s="160">
        <v>54551</v>
      </c>
      <c r="B6320" t="s">
        <v>21481</v>
      </c>
      <c r="C6320" t="s">
        <v>6141</v>
      </c>
      <c r="D6320">
        <v>0.6</v>
      </c>
      <c r="E6320">
        <v>0</v>
      </c>
      <c r="F6320">
        <f t="shared" si="98"/>
        <v>0.6</v>
      </c>
      <c r="I6320">
        <v>20180701</v>
      </c>
      <c r="J6320" t="s">
        <v>6151</v>
      </c>
    </row>
    <row r="6321" spans="1:12" x14ac:dyDescent="0.3">
      <c r="A6321" s="160">
        <v>54555</v>
      </c>
      <c r="B6321" t="s">
        <v>21482</v>
      </c>
      <c r="C6321" t="s">
        <v>6141</v>
      </c>
      <c r="D6321">
        <v>0.6</v>
      </c>
      <c r="E6321">
        <v>0</v>
      </c>
      <c r="F6321">
        <f t="shared" si="98"/>
        <v>0.6</v>
      </c>
      <c r="I6321">
        <v>20180701</v>
      </c>
      <c r="J6321" t="s">
        <v>6170</v>
      </c>
    </row>
    <row r="6322" spans="1:12" x14ac:dyDescent="0.3">
      <c r="A6322" s="160">
        <v>54556</v>
      </c>
      <c r="B6322" t="s">
        <v>21483</v>
      </c>
      <c r="C6322" t="s">
        <v>6141</v>
      </c>
      <c r="D6322">
        <v>0.6</v>
      </c>
      <c r="E6322">
        <v>0</v>
      </c>
      <c r="F6322">
        <f t="shared" si="98"/>
        <v>0.6</v>
      </c>
      <c r="I6322">
        <v>20180701</v>
      </c>
      <c r="J6322" t="s">
        <v>6142</v>
      </c>
    </row>
    <row r="6323" spans="1:12" x14ac:dyDescent="0.3">
      <c r="A6323" s="160">
        <v>54557</v>
      </c>
      <c r="B6323" t="s">
        <v>21484</v>
      </c>
      <c r="C6323" t="s">
        <v>6139</v>
      </c>
      <c r="D6323">
        <v>0.55000000000000004</v>
      </c>
      <c r="E6323">
        <v>0</v>
      </c>
      <c r="F6323">
        <f t="shared" si="98"/>
        <v>0.55000000000000004</v>
      </c>
      <c r="I6323">
        <v>20180701</v>
      </c>
      <c r="J6323" t="s">
        <v>6217</v>
      </c>
      <c r="K6323" t="s">
        <v>6258</v>
      </c>
      <c r="L6323" t="s">
        <v>6232</v>
      </c>
    </row>
    <row r="6324" spans="1:12" x14ac:dyDescent="0.3">
      <c r="A6324" s="160">
        <v>54559</v>
      </c>
      <c r="B6324" t="s">
        <v>21485</v>
      </c>
      <c r="C6324" t="s">
        <v>6141</v>
      </c>
      <c r="D6324">
        <v>0.6</v>
      </c>
      <c r="E6324">
        <v>0</v>
      </c>
      <c r="F6324">
        <f t="shared" si="98"/>
        <v>0.6</v>
      </c>
      <c r="I6324">
        <v>20180701</v>
      </c>
      <c r="J6324" t="s">
        <v>6176</v>
      </c>
    </row>
    <row r="6325" spans="1:12" x14ac:dyDescent="0.3">
      <c r="A6325" s="160">
        <v>54560</v>
      </c>
      <c r="B6325" t="s">
        <v>21486</v>
      </c>
      <c r="C6325" t="s">
        <v>6141</v>
      </c>
      <c r="D6325">
        <v>0.6</v>
      </c>
      <c r="E6325">
        <v>0</v>
      </c>
      <c r="F6325">
        <f t="shared" si="98"/>
        <v>0.6</v>
      </c>
      <c r="I6325">
        <v>20180701</v>
      </c>
      <c r="J6325" t="s">
        <v>6183</v>
      </c>
    </row>
    <row r="6326" spans="1:12" x14ac:dyDescent="0.3">
      <c r="A6326" s="160">
        <v>54561</v>
      </c>
      <c r="B6326" t="s">
        <v>21487</v>
      </c>
      <c r="C6326" t="s">
        <v>6141</v>
      </c>
      <c r="D6326">
        <v>0.6</v>
      </c>
      <c r="E6326">
        <v>0</v>
      </c>
      <c r="F6326">
        <f t="shared" si="98"/>
        <v>0.6</v>
      </c>
      <c r="I6326">
        <v>20240101</v>
      </c>
      <c r="J6326" t="s">
        <v>6220</v>
      </c>
    </row>
    <row r="6327" spans="1:12" x14ac:dyDescent="0.3">
      <c r="A6327" s="160">
        <v>54562</v>
      </c>
      <c r="B6327" t="s">
        <v>21488</v>
      </c>
      <c r="C6327" t="s">
        <v>6141</v>
      </c>
      <c r="D6327">
        <v>0.6</v>
      </c>
      <c r="E6327">
        <v>0</v>
      </c>
      <c r="F6327">
        <f t="shared" si="98"/>
        <v>0.6</v>
      </c>
      <c r="I6327">
        <v>20180701</v>
      </c>
      <c r="J6327" t="s">
        <v>6142</v>
      </c>
    </row>
    <row r="6328" spans="1:12" x14ac:dyDescent="0.3">
      <c r="A6328" s="160">
        <v>54564</v>
      </c>
      <c r="B6328" t="s">
        <v>21489</v>
      </c>
      <c r="C6328" t="s">
        <v>6149</v>
      </c>
      <c r="D6328">
        <v>0.55000000000000004</v>
      </c>
      <c r="E6328">
        <v>0</v>
      </c>
      <c r="F6328">
        <f t="shared" si="98"/>
        <v>0.55000000000000004</v>
      </c>
      <c r="I6328">
        <v>20240101</v>
      </c>
      <c r="J6328" t="s">
        <v>6147</v>
      </c>
    </row>
    <row r="6329" spans="1:12" x14ac:dyDescent="0.3">
      <c r="A6329" s="160">
        <v>54565</v>
      </c>
      <c r="B6329" t="s">
        <v>21490</v>
      </c>
      <c r="C6329" t="s">
        <v>6141</v>
      </c>
      <c r="D6329">
        <v>0.6</v>
      </c>
      <c r="E6329">
        <v>0</v>
      </c>
      <c r="F6329">
        <f t="shared" si="98"/>
        <v>0.6</v>
      </c>
      <c r="I6329">
        <v>20180701</v>
      </c>
      <c r="J6329" t="s">
        <v>6174</v>
      </c>
    </row>
    <row r="6330" spans="1:12" x14ac:dyDescent="0.3">
      <c r="A6330" s="160">
        <v>54566</v>
      </c>
      <c r="B6330" t="s">
        <v>21491</v>
      </c>
      <c r="C6330" t="s">
        <v>6149</v>
      </c>
      <c r="D6330">
        <v>0.55000000000000004</v>
      </c>
      <c r="E6330">
        <v>0</v>
      </c>
      <c r="F6330">
        <f t="shared" si="98"/>
        <v>0.55000000000000004</v>
      </c>
      <c r="I6330">
        <v>20190701</v>
      </c>
      <c r="J6330" t="s">
        <v>6155</v>
      </c>
      <c r="K6330" t="s">
        <v>6159</v>
      </c>
    </row>
    <row r="6331" spans="1:12" x14ac:dyDescent="0.3">
      <c r="A6331" s="160">
        <v>54567</v>
      </c>
      <c r="B6331" t="s">
        <v>21492</v>
      </c>
      <c r="C6331" t="s">
        <v>6141</v>
      </c>
      <c r="D6331">
        <v>0.6</v>
      </c>
      <c r="E6331">
        <v>0</v>
      </c>
      <c r="F6331">
        <f t="shared" si="98"/>
        <v>0.6</v>
      </c>
      <c r="I6331">
        <v>20180701</v>
      </c>
      <c r="J6331" t="s">
        <v>6176</v>
      </c>
    </row>
    <row r="6332" spans="1:12" x14ac:dyDescent="0.3">
      <c r="A6332" s="160">
        <v>54569</v>
      </c>
      <c r="B6332" t="s">
        <v>21493</v>
      </c>
      <c r="C6332" t="s">
        <v>6154</v>
      </c>
      <c r="D6332">
        <v>0.6</v>
      </c>
      <c r="E6332">
        <v>0</v>
      </c>
      <c r="F6332">
        <f t="shared" si="98"/>
        <v>0.6</v>
      </c>
      <c r="I6332">
        <v>20150101</v>
      </c>
      <c r="J6332" t="s">
        <v>6163</v>
      </c>
    </row>
    <row r="6333" spans="1:12" x14ac:dyDescent="0.3">
      <c r="A6333" s="160">
        <v>54570</v>
      </c>
      <c r="B6333" t="s">
        <v>21494</v>
      </c>
      <c r="C6333" t="s">
        <v>6149</v>
      </c>
      <c r="D6333">
        <v>0.55000000000000004</v>
      </c>
      <c r="E6333">
        <v>0</v>
      </c>
      <c r="F6333">
        <f t="shared" si="98"/>
        <v>0.55000000000000004</v>
      </c>
      <c r="I6333">
        <v>20240101</v>
      </c>
      <c r="J6333" t="s">
        <v>6177</v>
      </c>
    </row>
    <row r="6334" spans="1:12" x14ac:dyDescent="0.3">
      <c r="A6334" s="160">
        <v>54571</v>
      </c>
      <c r="B6334" t="s">
        <v>21495</v>
      </c>
      <c r="C6334" t="s">
        <v>6167</v>
      </c>
      <c r="D6334">
        <v>0.6</v>
      </c>
      <c r="E6334">
        <v>0</v>
      </c>
      <c r="F6334">
        <f t="shared" si="98"/>
        <v>0.6</v>
      </c>
      <c r="I6334">
        <v>20180701</v>
      </c>
      <c r="J6334" t="s">
        <v>6168</v>
      </c>
    </row>
    <row r="6335" spans="1:12" x14ac:dyDescent="0.3">
      <c r="A6335" s="160">
        <v>54572</v>
      </c>
      <c r="B6335" t="s">
        <v>21496</v>
      </c>
      <c r="C6335" t="s">
        <v>6203</v>
      </c>
      <c r="D6335">
        <v>0.6</v>
      </c>
      <c r="E6335">
        <v>0</v>
      </c>
      <c r="F6335">
        <f t="shared" si="98"/>
        <v>0.6</v>
      </c>
      <c r="I6335">
        <v>20180401</v>
      </c>
      <c r="J6335" t="s">
        <v>6237</v>
      </c>
    </row>
    <row r="6336" spans="1:12" x14ac:dyDescent="0.3">
      <c r="A6336" s="160">
        <v>54573</v>
      </c>
      <c r="B6336" t="s">
        <v>21497</v>
      </c>
      <c r="C6336" t="s">
        <v>6154</v>
      </c>
      <c r="D6336">
        <v>0.6</v>
      </c>
      <c r="E6336">
        <v>0</v>
      </c>
      <c r="F6336">
        <f t="shared" si="98"/>
        <v>0.6</v>
      </c>
      <c r="I6336">
        <v>20150101</v>
      </c>
      <c r="J6336" t="s">
        <v>6163</v>
      </c>
    </row>
    <row r="6337" spans="1:16" x14ac:dyDescent="0.3">
      <c r="A6337" s="160">
        <v>54575</v>
      </c>
      <c r="B6337" t="s">
        <v>21498</v>
      </c>
      <c r="C6337" t="s">
        <v>6203</v>
      </c>
      <c r="D6337">
        <v>0.6</v>
      </c>
      <c r="E6337">
        <v>0</v>
      </c>
      <c r="F6337">
        <f t="shared" si="98"/>
        <v>0.6</v>
      </c>
      <c r="I6337">
        <v>20170701</v>
      </c>
      <c r="J6337" t="s">
        <v>6209</v>
      </c>
      <c r="K6337" t="s">
        <v>6286</v>
      </c>
    </row>
    <row r="6338" spans="1:16" x14ac:dyDescent="0.3">
      <c r="A6338" s="160">
        <v>54578</v>
      </c>
      <c r="B6338" t="s">
        <v>21499</v>
      </c>
      <c r="C6338" t="s">
        <v>6152</v>
      </c>
      <c r="D6338">
        <v>2</v>
      </c>
      <c r="E6338">
        <v>0</v>
      </c>
      <c r="F6338">
        <f t="shared" si="98"/>
        <v>2</v>
      </c>
      <c r="I6338">
        <v>20120701</v>
      </c>
      <c r="J6338" t="s">
        <v>6364</v>
      </c>
      <c r="K6338" t="s">
        <v>6365</v>
      </c>
      <c r="L6338" t="s">
        <v>6366</v>
      </c>
      <c r="M6338" t="s">
        <v>6367</v>
      </c>
      <c r="N6338" t="s">
        <v>6368</v>
      </c>
      <c r="O6338" t="s">
        <v>6369</v>
      </c>
      <c r="P6338" t="s">
        <v>6370</v>
      </c>
    </row>
    <row r="6339" spans="1:16" x14ac:dyDescent="0.3">
      <c r="A6339" s="160">
        <v>54579</v>
      </c>
      <c r="B6339" t="s">
        <v>21500</v>
      </c>
      <c r="C6339" t="s">
        <v>6154</v>
      </c>
      <c r="D6339">
        <v>0.6</v>
      </c>
      <c r="E6339">
        <v>0</v>
      </c>
      <c r="F6339">
        <f t="shared" si="98"/>
        <v>0.6</v>
      </c>
      <c r="I6339">
        <v>20150101</v>
      </c>
      <c r="J6339" t="s">
        <v>6155</v>
      </c>
    </row>
    <row r="6340" spans="1:16" x14ac:dyDescent="0.3">
      <c r="A6340" s="160">
        <v>54580</v>
      </c>
      <c r="B6340" t="s">
        <v>21501</v>
      </c>
      <c r="C6340" t="s">
        <v>6203</v>
      </c>
      <c r="D6340">
        <v>0.6</v>
      </c>
      <c r="E6340">
        <v>0</v>
      </c>
      <c r="F6340">
        <f t="shared" si="98"/>
        <v>0.6</v>
      </c>
      <c r="I6340">
        <v>20170701</v>
      </c>
      <c r="J6340" t="s">
        <v>6345</v>
      </c>
    </row>
    <row r="6341" spans="1:16" x14ac:dyDescent="0.3">
      <c r="A6341" s="160">
        <v>54581</v>
      </c>
      <c r="B6341" t="s">
        <v>21502</v>
      </c>
      <c r="C6341" t="s">
        <v>6137</v>
      </c>
      <c r="D6341">
        <v>0.6</v>
      </c>
      <c r="E6341">
        <v>0</v>
      </c>
      <c r="F6341">
        <f t="shared" si="98"/>
        <v>0.6</v>
      </c>
      <c r="I6341">
        <v>20160701</v>
      </c>
      <c r="J6341" t="s">
        <v>6138</v>
      </c>
      <c r="K6341" t="s">
        <v>6195</v>
      </c>
    </row>
    <row r="6342" spans="1:16" x14ac:dyDescent="0.3">
      <c r="A6342" s="160">
        <v>54583</v>
      </c>
      <c r="B6342" t="s">
        <v>21503</v>
      </c>
      <c r="C6342" t="s">
        <v>6139</v>
      </c>
      <c r="D6342">
        <v>0.55000000000000004</v>
      </c>
      <c r="E6342">
        <v>0</v>
      </c>
      <c r="F6342">
        <f t="shared" si="98"/>
        <v>0.55000000000000004</v>
      </c>
      <c r="I6342">
        <v>20240101</v>
      </c>
      <c r="J6342" t="s">
        <v>6232</v>
      </c>
    </row>
    <row r="6343" spans="1:16" x14ac:dyDescent="0.3">
      <c r="A6343" s="160">
        <v>54584</v>
      </c>
      <c r="B6343" t="s">
        <v>21504</v>
      </c>
      <c r="C6343" t="s">
        <v>6139</v>
      </c>
      <c r="D6343">
        <v>0.55000000000000004</v>
      </c>
      <c r="E6343">
        <v>0</v>
      </c>
      <c r="F6343">
        <f t="shared" ref="F6343:F6406" si="99">D6343+E6343</f>
        <v>0.55000000000000004</v>
      </c>
      <c r="I6343">
        <v>20180701</v>
      </c>
      <c r="J6343" t="s">
        <v>6144</v>
      </c>
      <c r="K6343" t="s">
        <v>6219</v>
      </c>
    </row>
    <row r="6344" spans="1:16" x14ac:dyDescent="0.3">
      <c r="A6344" s="160">
        <v>54585</v>
      </c>
      <c r="B6344" t="s">
        <v>21505</v>
      </c>
      <c r="C6344" t="s">
        <v>6141</v>
      </c>
      <c r="D6344">
        <v>0.6</v>
      </c>
      <c r="E6344">
        <v>0</v>
      </c>
      <c r="F6344">
        <f t="shared" si="99"/>
        <v>0.6</v>
      </c>
      <c r="I6344">
        <v>20180701</v>
      </c>
      <c r="J6344" t="s">
        <v>6176</v>
      </c>
    </row>
    <row r="6345" spans="1:16" x14ac:dyDescent="0.3">
      <c r="A6345" s="160">
        <v>54586</v>
      </c>
      <c r="B6345" t="s">
        <v>21506</v>
      </c>
      <c r="C6345" t="s">
        <v>6171</v>
      </c>
      <c r="D6345">
        <v>0.6</v>
      </c>
      <c r="E6345">
        <v>0</v>
      </c>
      <c r="F6345">
        <f t="shared" si="99"/>
        <v>0.6</v>
      </c>
      <c r="I6345">
        <v>20060101</v>
      </c>
      <c r="J6345" t="s">
        <v>6371</v>
      </c>
    </row>
    <row r="6346" spans="1:16" x14ac:dyDescent="0.3">
      <c r="A6346" s="160">
        <v>54588</v>
      </c>
      <c r="B6346" t="s">
        <v>21507</v>
      </c>
      <c r="C6346" t="s">
        <v>6141</v>
      </c>
      <c r="D6346">
        <v>0.6</v>
      </c>
      <c r="E6346">
        <v>0</v>
      </c>
      <c r="F6346">
        <f t="shared" si="99"/>
        <v>0.6</v>
      </c>
      <c r="I6346">
        <v>20180701</v>
      </c>
      <c r="J6346" t="s">
        <v>6181</v>
      </c>
      <c r="K6346" t="s">
        <v>6197</v>
      </c>
      <c r="L6346" t="s">
        <v>6199</v>
      </c>
    </row>
    <row r="6347" spans="1:16" x14ac:dyDescent="0.3">
      <c r="A6347" s="160">
        <v>54589</v>
      </c>
      <c r="B6347" t="s">
        <v>21508</v>
      </c>
      <c r="C6347" t="s">
        <v>6154</v>
      </c>
      <c r="D6347">
        <v>0.6</v>
      </c>
      <c r="E6347">
        <v>0</v>
      </c>
      <c r="F6347">
        <f t="shared" si="99"/>
        <v>0.6</v>
      </c>
      <c r="I6347">
        <v>20150101</v>
      </c>
      <c r="J6347" t="s">
        <v>6155</v>
      </c>
    </row>
    <row r="6348" spans="1:16" x14ac:dyDescent="0.3">
      <c r="A6348" s="160">
        <v>54593</v>
      </c>
      <c r="B6348" t="s">
        <v>21509</v>
      </c>
      <c r="C6348" t="s">
        <v>6149</v>
      </c>
      <c r="D6348">
        <v>0.55000000000000004</v>
      </c>
      <c r="E6348">
        <v>0</v>
      </c>
      <c r="F6348">
        <f t="shared" si="99"/>
        <v>0.55000000000000004</v>
      </c>
      <c r="I6348">
        <v>20240101</v>
      </c>
      <c r="J6348" t="s">
        <v>6177</v>
      </c>
    </row>
    <row r="6349" spans="1:16" x14ac:dyDescent="0.3">
      <c r="A6349" s="160">
        <v>54594</v>
      </c>
      <c r="B6349" t="s">
        <v>21510</v>
      </c>
      <c r="C6349" t="s">
        <v>6149</v>
      </c>
      <c r="D6349">
        <v>0.55000000000000004</v>
      </c>
      <c r="E6349">
        <v>0</v>
      </c>
      <c r="F6349">
        <f t="shared" si="99"/>
        <v>0.55000000000000004</v>
      </c>
      <c r="I6349">
        <v>20240101</v>
      </c>
      <c r="J6349" t="s">
        <v>6147</v>
      </c>
    </row>
    <row r="6350" spans="1:16" x14ac:dyDescent="0.3">
      <c r="A6350" s="160">
        <v>54595</v>
      </c>
      <c r="B6350" t="s">
        <v>21511</v>
      </c>
      <c r="C6350" t="s">
        <v>6141</v>
      </c>
      <c r="D6350">
        <v>0.6</v>
      </c>
      <c r="E6350">
        <v>0</v>
      </c>
      <c r="F6350">
        <f t="shared" si="99"/>
        <v>0.6</v>
      </c>
      <c r="I6350">
        <v>20240101</v>
      </c>
      <c r="J6350" t="s">
        <v>6181</v>
      </c>
    </row>
    <row r="6351" spans="1:16" x14ac:dyDescent="0.3">
      <c r="A6351" s="160">
        <v>54596</v>
      </c>
      <c r="B6351" t="s">
        <v>21512</v>
      </c>
      <c r="C6351" t="s">
        <v>6171</v>
      </c>
      <c r="D6351">
        <v>0.6</v>
      </c>
      <c r="E6351">
        <v>0</v>
      </c>
      <c r="F6351">
        <f t="shared" si="99"/>
        <v>0.6</v>
      </c>
      <c r="I6351">
        <v>20060101</v>
      </c>
      <c r="J6351" t="s">
        <v>6372</v>
      </c>
    </row>
    <row r="6352" spans="1:16" x14ac:dyDescent="0.3">
      <c r="A6352" s="160">
        <v>54598</v>
      </c>
      <c r="B6352" t="s">
        <v>21513</v>
      </c>
      <c r="C6352" t="s">
        <v>6137</v>
      </c>
      <c r="D6352">
        <v>0.6</v>
      </c>
      <c r="E6352">
        <v>0</v>
      </c>
      <c r="F6352">
        <f t="shared" si="99"/>
        <v>0.6</v>
      </c>
      <c r="I6352">
        <v>20160701</v>
      </c>
      <c r="J6352" t="s">
        <v>6161</v>
      </c>
      <c r="K6352" t="s">
        <v>6164</v>
      </c>
    </row>
    <row r="6353" spans="1:22" x14ac:dyDescent="0.3">
      <c r="A6353" s="160">
        <v>54599</v>
      </c>
      <c r="B6353" t="s">
        <v>21514</v>
      </c>
      <c r="C6353" t="s">
        <v>6149</v>
      </c>
      <c r="D6353">
        <v>0.55000000000000004</v>
      </c>
      <c r="E6353">
        <v>0</v>
      </c>
      <c r="F6353">
        <f t="shared" si="99"/>
        <v>0.55000000000000004</v>
      </c>
      <c r="I6353">
        <v>20230101</v>
      </c>
      <c r="J6353" t="s">
        <v>6138</v>
      </c>
    </row>
    <row r="6354" spans="1:22" x14ac:dyDescent="0.3">
      <c r="A6354" s="160">
        <v>54600</v>
      </c>
      <c r="B6354" t="s">
        <v>21515</v>
      </c>
      <c r="C6354" t="s">
        <v>6141</v>
      </c>
      <c r="D6354">
        <v>0.6</v>
      </c>
      <c r="E6354">
        <v>0</v>
      </c>
      <c r="F6354">
        <f t="shared" si="99"/>
        <v>0.6</v>
      </c>
      <c r="I6354">
        <v>20180701</v>
      </c>
      <c r="J6354" t="s">
        <v>6151</v>
      </c>
    </row>
    <row r="6355" spans="1:22" x14ac:dyDescent="0.3">
      <c r="A6355" s="160">
        <v>54601</v>
      </c>
      <c r="B6355" t="s">
        <v>21516</v>
      </c>
      <c r="C6355" t="s">
        <v>6141</v>
      </c>
      <c r="D6355">
        <v>0.6</v>
      </c>
      <c r="E6355">
        <v>0</v>
      </c>
      <c r="F6355">
        <f t="shared" si="99"/>
        <v>0.6</v>
      </c>
      <c r="I6355">
        <v>20240101</v>
      </c>
      <c r="J6355" t="s">
        <v>6151</v>
      </c>
    </row>
    <row r="6356" spans="1:22" x14ac:dyDescent="0.3">
      <c r="A6356" s="160">
        <v>55029</v>
      </c>
      <c r="B6356" t="s">
        <v>21517</v>
      </c>
      <c r="C6356" t="s">
        <v>6373</v>
      </c>
      <c r="D6356">
        <v>0.6</v>
      </c>
      <c r="E6356">
        <v>0</v>
      </c>
      <c r="F6356">
        <f t="shared" si="99"/>
        <v>0.6</v>
      </c>
      <c r="I6356">
        <v>20130701</v>
      </c>
      <c r="J6356" t="s">
        <v>6374</v>
      </c>
      <c r="K6356" t="s">
        <v>6375</v>
      </c>
      <c r="L6356" t="s">
        <v>6376</v>
      </c>
      <c r="M6356" t="s">
        <v>6377</v>
      </c>
      <c r="N6356" t="s">
        <v>6378</v>
      </c>
      <c r="O6356" t="s">
        <v>6379</v>
      </c>
      <c r="P6356" t="s">
        <v>6380</v>
      </c>
      <c r="Q6356" t="s">
        <v>6381</v>
      </c>
      <c r="R6356" t="s">
        <v>6382</v>
      </c>
      <c r="S6356" t="s">
        <v>6383</v>
      </c>
      <c r="T6356" t="s">
        <v>6384</v>
      </c>
      <c r="U6356" t="s">
        <v>6385</v>
      </c>
      <c r="V6356" t="s">
        <v>6386</v>
      </c>
    </row>
    <row r="6357" spans="1:22" x14ac:dyDescent="0.3">
      <c r="A6357" s="160">
        <v>55039</v>
      </c>
      <c r="B6357" t="s">
        <v>21518</v>
      </c>
      <c r="C6357" t="s">
        <v>6387</v>
      </c>
      <c r="D6357">
        <v>0.8</v>
      </c>
      <c r="E6357">
        <v>0</v>
      </c>
      <c r="F6357">
        <f t="shared" si="99"/>
        <v>0.8</v>
      </c>
      <c r="I6357">
        <v>20240101</v>
      </c>
      <c r="J6357" t="s">
        <v>6388</v>
      </c>
    </row>
    <row r="6358" spans="1:22" x14ac:dyDescent="0.3">
      <c r="A6358" s="160">
        <v>55041</v>
      </c>
      <c r="B6358" t="s">
        <v>21519</v>
      </c>
      <c r="C6358" t="s">
        <v>6373</v>
      </c>
      <c r="D6358">
        <v>0.6</v>
      </c>
      <c r="E6358">
        <v>0</v>
      </c>
      <c r="F6358">
        <f t="shared" si="99"/>
        <v>0.6</v>
      </c>
      <c r="I6358">
        <v>20240101</v>
      </c>
      <c r="J6358" t="s">
        <v>6374</v>
      </c>
      <c r="K6358" t="s">
        <v>6377</v>
      </c>
    </row>
    <row r="6359" spans="1:22" x14ac:dyDescent="0.3">
      <c r="A6359" s="160">
        <v>55042</v>
      </c>
      <c r="B6359" t="s">
        <v>21520</v>
      </c>
      <c r="C6359" t="s">
        <v>6387</v>
      </c>
      <c r="D6359">
        <v>0.8</v>
      </c>
      <c r="E6359">
        <v>0</v>
      </c>
      <c r="F6359">
        <f t="shared" si="99"/>
        <v>0.8</v>
      </c>
      <c r="I6359">
        <v>20240101</v>
      </c>
      <c r="J6359" t="s">
        <v>6388</v>
      </c>
      <c r="K6359" t="s">
        <v>6389</v>
      </c>
    </row>
    <row r="6360" spans="1:22" x14ac:dyDescent="0.3">
      <c r="A6360" s="160">
        <v>55043</v>
      </c>
      <c r="B6360" t="s">
        <v>21521</v>
      </c>
      <c r="C6360" t="s">
        <v>6387</v>
      </c>
      <c r="D6360">
        <v>0.8</v>
      </c>
      <c r="E6360">
        <v>0</v>
      </c>
      <c r="F6360">
        <f t="shared" si="99"/>
        <v>0.8</v>
      </c>
      <c r="I6360">
        <v>20240101</v>
      </c>
      <c r="J6360" t="s">
        <v>6390</v>
      </c>
      <c r="K6360" t="s">
        <v>6391</v>
      </c>
      <c r="L6360" t="s">
        <v>6389</v>
      </c>
      <c r="M6360" t="s">
        <v>6392</v>
      </c>
      <c r="N6360" t="s">
        <v>6393</v>
      </c>
      <c r="O6360" t="s">
        <v>6394</v>
      </c>
      <c r="P6360" t="s">
        <v>6395</v>
      </c>
    </row>
    <row r="6361" spans="1:22" x14ac:dyDescent="0.3">
      <c r="A6361" s="160">
        <v>55047</v>
      </c>
      <c r="B6361" t="s">
        <v>21522</v>
      </c>
      <c r="C6361" t="s">
        <v>6387</v>
      </c>
      <c r="D6361">
        <v>0.8</v>
      </c>
      <c r="E6361">
        <v>0</v>
      </c>
      <c r="F6361">
        <f t="shared" si="99"/>
        <v>0.8</v>
      </c>
      <c r="I6361">
        <v>20240101</v>
      </c>
      <c r="J6361" t="s">
        <v>6388</v>
      </c>
    </row>
    <row r="6362" spans="1:22" x14ac:dyDescent="0.3">
      <c r="A6362" s="160">
        <v>55048</v>
      </c>
      <c r="B6362" t="s">
        <v>21523</v>
      </c>
      <c r="C6362" t="s">
        <v>6387</v>
      </c>
      <c r="D6362">
        <v>0.8</v>
      </c>
      <c r="E6362">
        <v>0</v>
      </c>
      <c r="F6362">
        <f t="shared" si="99"/>
        <v>0.8</v>
      </c>
      <c r="I6362">
        <v>20240101</v>
      </c>
      <c r="J6362" t="s">
        <v>6396</v>
      </c>
    </row>
    <row r="6363" spans="1:22" x14ac:dyDescent="0.3">
      <c r="A6363" s="160">
        <v>55049</v>
      </c>
      <c r="B6363" t="s">
        <v>21524</v>
      </c>
      <c r="C6363" t="s">
        <v>6373</v>
      </c>
      <c r="D6363">
        <v>0.6</v>
      </c>
      <c r="E6363">
        <v>0</v>
      </c>
      <c r="F6363">
        <f t="shared" si="99"/>
        <v>0.6</v>
      </c>
      <c r="I6363">
        <v>20130701</v>
      </c>
      <c r="J6363" t="s">
        <v>6374</v>
      </c>
    </row>
    <row r="6364" spans="1:22" x14ac:dyDescent="0.3">
      <c r="A6364" s="160">
        <v>55050</v>
      </c>
      <c r="B6364" t="s">
        <v>21525</v>
      </c>
      <c r="C6364" t="s">
        <v>6387</v>
      </c>
      <c r="D6364">
        <v>0.8</v>
      </c>
      <c r="E6364">
        <v>0</v>
      </c>
      <c r="F6364">
        <f t="shared" si="99"/>
        <v>0.8</v>
      </c>
      <c r="I6364">
        <v>20240101</v>
      </c>
      <c r="J6364" t="s">
        <v>6388</v>
      </c>
    </row>
    <row r="6365" spans="1:22" x14ac:dyDescent="0.3">
      <c r="A6365" s="160">
        <v>55063</v>
      </c>
      <c r="B6365" t="s">
        <v>21526</v>
      </c>
      <c r="C6365" t="s">
        <v>6137</v>
      </c>
      <c r="D6365">
        <v>0.6</v>
      </c>
      <c r="E6365">
        <v>0</v>
      </c>
      <c r="F6365">
        <f t="shared" si="99"/>
        <v>0.6</v>
      </c>
      <c r="I6365">
        <v>20240101</v>
      </c>
      <c r="J6365" t="s">
        <v>6397</v>
      </c>
    </row>
    <row r="6366" spans="1:22" x14ac:dyDescent="0.3">
      <c r="A6366" s="160">
        <v>55073</v>
      </c>
      <c r="B6366" t="s">
        <v>21527</v>
      </c>
      <c r="C6366" t="s">
        <v>6387</v>
      </c>
      <c r="D6366">
        <v>0.8</v>
      </c>
      <c r="E6366">
        <v>0</v>
      </c>
      <c r="F6366">
        <f t="shared" si="99"/>
        <v>0.8</v>
      </c>
      <c r="I6366">
        <v>20240101</v>
      </c>
      <c r="J6366" t="s">
        <v>6388</v>
      </c>
      <c r="K6366" t="s">
        <v>6398</v>
      </c>
      <c r="L6366" t="s">
        <v>6391</v>
      </c>
      <c r="M6366" t="s">
        <v>6392</v>
      </c>
    </row>
    <row r="6367" spans="1:22" x14ac:dyDescent="0.3">
      <c r="A6367" s="160">
        <v>55099</v>
      </c>
      <c r="B6367" t="s">
        <v>21528</v>
      </c>
      <c r="C6367" t="s">
        <v>6387</v>
      </c>
      <c r="D6367">
        <v>0.8</v>
      </c>
      <c r="E6367">
        <v>0</v>
      </c>
      <c r="F6367">
        <f t="shared" si="99"/>
        <v>0.8</v>
      </c>
      <c r="I6367">
        <v>20240101</v>
      </c>
      <c r="J6367" t="s">
        <v>6388</v>
      </c>
    </row>
    <row r="6368" spans="1:22" x14ac:dyDescent="0.3">
      <c r="A6368" s="160">
        <v>55101</v>
      </c>
      <c r="B6368" t="s">
        <v>21529</v>
      </c>
      <c r="C6368" t="s">
        <v>6373</v>
      </c>
      <c r="D6368">
        <v>0.6</v>
      </c>
      <c r="E6368">
        <v>0</v>
      </c>
      <c r="F6368">
        <f t="shared" si="99"/>
        <v>0.6</v>
      </c>
      <c r="I6368">
        <v>20240101</v>
      </c>
      <c r="J6368" t="s">
        <v>6374</v>
      </c>
    </row>
    <row r="6369" spans="1:12" x14ac:dyDescent="0.3">
      <c r="A6369" s="160">
        <v>55102</v>
      </c>
      <c r="B6369" t="s">
        <v>21530</v>
      </c>
      <c r="C6369" t="s">
        <v>6387</v>
      </c>
      <c r="D6369">
        <v>0.8</v>
      </c>
      <c r="E6369">
        <v>0</v>
      </c>
      <c r="F6369">
        <f t="shared" si="99"/>
        <v>0.8</v>
      </c>
      <c r="I6369">
        <v>20240101</v>
      </c>
      <c r="J6369" t="s">
        <v>6388</v>
      </c>
    </row>
    <row r="6370" spans="1:12" x14ac:dyDescent="0.3">
      <c r="A6370" s="160">
        <v>55106</v>
      </c>
      <c r="B6370" t="s">
        <v>21531</v>
      </c>
      <c r="C6370" t="s">
        <v>6387</v>
      </c>
      <c r="D6370">
        <v>0.8</v>
      </c>
      <c r="E6370">
        <v>0</v>
      </c>
      <c r="F6370">
        <f t="shared" si="99"/>
        <v>0.8</v>
      </c>
      <c r="I6370">
        <v>20240101</v>
      </c>
      <c r="J6370" t="s">
        <v>6388</v>
      </c>
    </row>
    <row r="6371" spans="1:12" x14ac:dyDescent="0.3">
      <c r="A6371" s="160">
        <v>55120</v>
      </c>
      <c r="B6371" t="s">
        <v>21532</v>
      </c>
      <c r="C6371" t="s">
        <v>6373</v>
      </c>
      <c r="D6371">
        <v>0.6</v>
      </c>
      <c r="E6371">
        <v>0</v>
      </c>
      <c r="F6371">
        <f t="shared" si="99"/>
        <v>0.6</v>
      </c>
      <c r="I6371">
        <v>20130701</v>
      </c>
      <c r="J6371" t="s">
        <v>6374</v>
      </c>
    </row>
    <row r="6372" spans="1:12" x14ac:dyDescent="0.3">
      <c r="A6372" s="160">
        <v>55139</v>
      </c>
      <c r="B6372" t="s">
        <v>21533</v>
      </c>
      <c r="C6372" t="s">
        <v>6387</v>
      </c>
      <c r="D6372">
        <v>0.8</v>
      </c>
      <c r="E6372">
        <v>0</v>
      </c>
      <c r="F6372">
        <f t="shared" si="99"/>
        <v>0.8</v>
      </c>
      <c r="I6372">
        <v>20240101</v>
      </c>
      <c r="J6372" t="s">
        <v>6388</v>
      </c>
    </row>
    <row r="6373" spans="1:12" x14ac:dyDescent="0.3">
      <c r="A6373" s="160">
        <v>55164</v>
      </c>
      <c r="B6373" t="s">
        <v>21534</v>
      </c>
      <c r="C6373" t="s">
        <v>6387</v>
      </c>
      <c r="D6373">
        <v>0.8</v>
      </c>
      <c r="E6373">
        <v>0</v>
      </c>
      <c r="F6373">
        <f t="shared" si="99"/>
        <v>0.8</v>
      </c>
      <c r="I6373">
        <v>20240101</v>
      </c>
      <c r="J6373" t="s">
        <v>6388</v>
      </c>
    </row>
    <row r="6374" spans="1:12" x14ac:dyDescent="0.3">
      <c r="A6374" s="160">
        <v>55186</v>
      </c>
      <c r="B6374" t="s">
        <v>21535</v>
      </c>
      <c r="C6374" t="s">
        <v>6373</v>
      </c>
      <c r="D6374">
        <v>0.6</v>
      </c>
      <c r="E6374">
        <v>0</v>
      </c>
      <c r="F6374">
        <f t="shared" si="99"/>
        <v>0.6</v>
      </c>
      <c r="I6374">
        <v>20130701</v>
      </c>
      <c r="J6374" t="s">
        <v>6374</v>
      </c>
      <c r="K6374" t="s">
        <v>6377</v>
      </c>
    </row>
    <row r="6375" spans="1:12" x14ac:dyDescent="0.3">
      <c r="A6375" s="160">
        <v>55189</v>
      </c>
      <c r="B6375" t="s">
        <v>21536</v>
      </c>
      <c r="C6375" t="s">
        <v>6387</v>
      </c>
      <c r="D6375">
        <v>0.8</v>
      </c>
      <c r="E6375">
        <v>0</v>
      </c>
      <c r="F6375">
        <f t="shared" si="99"/>
        <v>0.8</v>
      </c>
      <c r="I6375">
        <v>20240101</v>
      </c>
      <c r="J6375" t="s">
        <v>6388</v>
      </c>
      <c r="K6375" t="s">
        <v>6398</v>
      </c>
    </row>
    <row r="6376" spans="1:12" x14ac:dyDescent="0.3">
      <c r="A6376" s="160">
        <v>55200</v>
      </c>
      <c r="B6376" t="s">
        <v>21537</v>
      </c>
      <c r="C6376" t="s">
        <v>6387</v>
      </c>
      <c r="D6376">
        <v>0.8</v>
      </c>
      <c r="E6376">
        <v>0</v>
      </c>
      <c r="F6376">
        <f t="shared" si="99"/>
        <v>0.8</v>
      </c>
      <c r="I6376">
        <v>20240101</v>
      </c>
      <c r="J6376" t="s">
        <v>6388</v>
      </c>
    </row>
    <row r="6377" spans="1:12" x14ac:dyDescent="0.3">
      <c r="A6377" s="160">
        <v>55214</v>
      </c>
      <c r="B6377" t="s">
        <v>21538</v>
      </c>
      <c r="C6377" t="s">
        <v>6373</v>
      </c>
      <c r="D6377">
        <v>0.6</v>
      </c>
      <c r="E6377">
        <v>0</v>
      </c>
      <c r="F6377">
        <f t="shared" si="99"/>
        <v>0.6</v>
      </c>
      <c r="I6377">
        <v>20130701</v>
      </c>
      <c r="J6377" t="s">
        <v>6399</v>
      </c>
    </row>
    <row r="6378" spans="1:12" x14ac:dyDescent="0.3">
      <c r="A6378" s="160">
        <v>55221</v>
      </c>
      <c r="B6378" t="s">
        <v>21539</v>
      </c>
      <c r="C6378" t="s">
        <v>6373</v>
      </c>
      <c r="D6378">
        <v>0.6</v>
      </c>
      <c r="E6378">
        <v>0</v>
      </c>
      <c r="F6378">
        <f t="shared" si="99"/>
        <v>0.6</v>
      </c>
      <c r="I6378">
        <v>20130701</v>
      </c>
      <c r="J6378" t="s">
        <v>6374</v>
      </c>
    </row>
    <row r="6379" spans="1:12" x14ac:dyDescent="0.3">
      <c r="A6379" s="160">
        <v>55236</v>
      </c>
      <c r="B6379" t="s">
        <v>21540</v>
      </c>
      <c r="C6379" t="s">
        <v>6387</v>
      </c>
      <c r="D6379">
        <v>0.8</v>
      </c>
      <c r="E6379">
        <v>0</v>
      </c>
      <c r="F6379">
        <f t="shared" si="99"/>
        <v>0.8</v>
      </c>
      <c r="I6379">
        <v>20240101</v>
      </c>
      <c r="J6379" t="s">
        <v>6388</v>
      </c>
      <c r="K6379" t="s">
        <v>6390</v>
      </c>
    </row>
    <row r="6380" spans="1:12" x14ac:dyDescent="0.3">
      <c r="A6380" s="160">
        <v>55239</v>
      </c>
      <c r="B6380" t="s">
        <v>21541</v>
      </c>
      <c r="C6380" t="s">
        <v>6387</v>
      </c>
      <c r="D6380">
        <v>0.8</v>
      </c>
      <c r="E6380">
        <v>0</v>
      </c>
      <c r="F6380">
        <f t="shared" si="99"/>
        <v>0.8</v>
      </c>
      <c r="I6380">
        <v>20240101</v>
      </c>
      <c r="J6380" t="s">
        <v>6388</v>
      </c>
    </row>
    <row r="6381" spans="1:12" x14ac:dyDescent="0.3">
      <c r="A6381" s="160">
        <v>55291</v>
      </c>
      <c r="B6381" t="s">
        <v>21542</v>
      </c>
      <c r="C6381" t="s">
        <v>6373</v>
      </c>
      <c r="D6381">
        <v>0.6</v>
      </c>
      <c r="E6381">
        <v>0</v>
      </c>
      <c r="F6381">
        <f t="shared" si="99"/>
        <v>0.6</v>
      </c>
      <c r="I6381">
        <v>20130701</v>
      </c>
      <c r="J6381" t="s">
        <v>6399</v>
      </c>
    </row>
    <row r="6382" spans="1:12" x14ac:dyDescent="0.3">
      <c r="A6382" s="160">
        <v>55298</v>
      </c>
      <c r="B6382" t="s">
        <v>21543</v>
      </c>
      <c r="C6382" t="s">
        <v>6373</v>
      </c>
      <c r="D6382">
        <v>0.6</v>
      </c>
      <c r="E6382">
        <v>0</v>
      </c>
      <c r="F6382">
        <f t="shared" si="99"/>
        <v>0.6</v>
      </c>
      <c r="I6382">
        <v>20140701</v>
      </c>
      <c r="J6382" t="s">
        <v>6374</v>
      </c>
    </row>
    <row r="6383" spans="1:12" x14ac:dyDescent="0.3">
      <c r="A6383" s="160">
        <v>55300</v>
      </c>
      <c r="B6383" t="s">
        <v>21544</v>
      </c>
      <c r="C6383" t="s">
        <v>6373</v>
      </c>
      <c r="D6383">
        <v>0.6</v>
      </c>
      <c r="E6383">
        <v>0</v>
      </c>
      <c r="F6383">
        <f t="shared" si="99"/>
        <v>0.6</v>
      </c>
      <c r="I6383">
        <v>20130701</v>
      </c>
      <c r="J6383" t="s">
        <v>6399</v>
      </c>
    </row>
    <row r="6384" spans="1:12" x14ac:dyDescent="0.3">
      <c r="A6384" s="160">
        <v>55302</v>
      </c>
      <c r="B6384" t="s">
        <v>21545</v>
      </c>
      <c r="C6384" t="s">
        <v>6373</v>
      </c>
      <c r="D6384">
        <v>0.6</v>
      </c>
      <c r="E6384">
        <v>0</v>
      </c>
      <c r="F6384">
        <f t="shared" si="99"/>
        <v>0.6</v>
      </c>
      <c r="I6384">
        <v>20130701</v>
      </c>
      <c r="J6384" t="s">
        <v>6374</v>
      </c>
      <c r="K6384" t="s">
        <v>6376</v>
      </c>
      <c r="L6384" t="s">
        <v>6377</v>
      </c>
    </row>
    <row r="6385" spans="1:12" x14ac:dyDescent="0.3">
      <c r="A6385" s="160">
        <v>55307</v>
      </c>
      <c r="B6385" t="s">
        <v>21546</v>
      </c>
      <c r="C6385" t="s">
        <v>6387</v>
      </c>
      <c r="D6385">
        <v>0.8</v>
      </c>
      <c r="E6385">
        <v>0</v>
      </c>
      <c r="F6385">
        <f t="shared" si="99"/>
        <v>0.8</v>
      </c>
      <c r="I6385">
        <v>20240101</v>
      </c>
      <c r="J6385" t="s">
        <v>6388</v>
      </c>
    </row>
    <row r="6386" spans="1:12" x14ac:dyDescent="0.3">
      <c r="A6386" s="160">
        <v>55321</v>
      </c>
      <c r="B6386" t="s">
        <v>21547</v>
      </c>
      <c r="C6386" t="s">
        <v>6387</v>
      </c>
      <c r="D6386">
        <v>0.8</v>
      </c>
      <c r="E6386">
        <v>0</v>
      </c>
      <c r="F6386">
        <f t="shared" si="99"/>
        <v>0.8</v>
      </c>
      <c r="I6386">
        <v>20240101</v>
      </c>
      <c r="J6386" t="s">
        <v>6388</v>
      </c>
    </row>
    <row r="6387" spans="1:12" x14ac:dyDescent="0.3">
      <c r="A6387" s="160">
        <v>55332</v>
      </c>
      <c r="B6387" t="s">
        <v>21548</v>
      </c>
      <c r="C6387" t="s">
        <v>6373</v>
      </c>
      <c r="D6387">
        <v>0.6</v>
      </c>
      <c r="E6387">
        <v>0</v>
      </c>
      <c r="F6387">
        <f t="shared" si="99"/>
        <v>0.6</v>
      </c>
      <c r="I6387">
        <v>20240701</v>
      </c>
      <c r="J6387" t="s">
        <v>6399</v>
      </c>
    </row>
    <row r="6388" spans="1:12" x14ac:dyDescent="0.3">
      <c r="A6388" s="160">
        <v>55355</v>
      </c>
      <c r="B6388" t="s">
        <v>21549</v>
      </c>
      <c r="C6388" t="s">
        <v>6387</v>
      </c>
      <c r="D6388">
        <v>0.8</v>
      </c>
      <c r="E6388">
        <v>0</v>
      </c>
      <c r="F6388">
        <f t="shared" si="99"/>
        <v>0.8</v>
      </c>
      <c r="I6388">
        <v>20240101</v>
      </c>
      <c r="J6388" t="s">
        <v>6388</v>
      </c>
    </row>
    <row r="6389" spans="1:12" x14ac:dyDescent="0.3">
      <c r="A6389" s="160">
        <v>55358</v>
      </c>
      <c r="B6389" t="s">
        <v>21550</v>
      </c>
      <c r="C6389" t="s">
        <v>6373</v>
      </c>
      <c r="D6389">
        <v>0.6</v>
      </c>
      <c r="E6389">
        <v>0</v>
      </c>
      <c r="F6389">
        <f t="shared" si="99"/>
        <v>0.6</v>
      </c>
      <c r="I6389">
        <v>20240701</v>
      </c>
      <c r="J6389" t="s">
        <v>6399</v>
      </c>
    </row>
    <row r="6390" spans="1:12" x14ac:dyDescent="0.3">
      <c r="A6390" s="160">
        <v>55366</v>
      </c>
      <c r="B6390" t="s">
        <v>21551</v>
      </c>
      <c r="C6390" t="s">
        <v>6373</v>
      </c>
      <c r="D6390">
        <v>0.6</v>
      </c>
      <c r="E6390">
        <v>0</v>
      </c>
      <c r="F6390">
        <f t="shared" si="99"/>
        <v>0.6</v>
      </c>
      <c r="I6390">
        <v>20240701</v>
      </c>
      <c r="J6390" t="s">
        <v>6374</v>
      </c>
      <c r="K6390" t="s">
        <v>6376</v>
      </c>
      <c r="L6390" t="s">
        <v>6377</v>
      </c>
    </row>
    <row r="6391" spans="1:12" x14ac:dyDescent="0.3">
      <c r="A6391" s="160">
        <v>55369</v>
      </c>
      <c r="B6391" t="s">
        <v>21552</v>
      </c>
      <c r="C6391" t="s">
        <v>6373</v>
      </c>
      <c r="D6391">
        <v>0.6</v>
      </c>
      <c r="E6391">
        <v>0</v>
      </c>
      <c r="F6391">
        <f t="shared" si="99"/>
        <v>0.6</v>
      </c>
      <c r="I6391">
        <v>20240701</v>
      </c>
      <c r="J6391" t="s">
        <v>6374</v>
      </c>
      <c r="K6391" t="s">
        <v>6375</v>
      </c>
      <c r="L6391" t="s">
        <v>6378</v>
      </c>
    </row>
    <row r="6392" spans="1:12" x14ac:dyDescent="0.3">
      <c r="A6392" s="160">
        <v>55370</v>
      </c>
      <c r="B6392" t="s">
        <v>21553</v>
      </c>
      <c r="C6392" t="s">
        <v>6373</v>
      </c>
      <c r="D6392">
        <v>0.6</v>
      </c>
      <c r="E6392">
        <v>0</v>
      </c>
      <c r="F6392">
        <f t="shared" si="99"/>
        <v>0.6</v>
      </c>
      <c r="I6392">
        <v>20240701</v>
      </c>
      <c r="J6392" t="s">
        <v>6399</v>
      </c>
    </row>
    <row r="6393" spans="1:12" x14ac:dyDescent="0.3">
      <c r="A6393" s="160">
        <v>55372</v>
      </c>
      <c r="B6393" t="s">
        <v>21554</v>
      </c>
      <c r="C6393" t="s">
        <v>6373</v>
      </c>
      <c r="D6393">
        <v>0.6</v>
      </c>
      <c r="E6393">
        <v>0</v>
      </c>
      <c r="F6393">
        <f t="shared" si="99"/>
        <v>0.6</v>
      </c>
      <c r="I6393">
        <v>20240701</v>
      </c>
      <c r="J6393" t="s">
        <v>6399</v>
      </c>
    </row>
    <row r="6394" spans="1:12" x14ac:dyDescent="0.3">
      <c r="A6394" s="160">
        <v>55373</v>
      </c>
      <c r="B6394" t="s">
        <v>21555</v>
      </c>
      <c r="C6394" t="s">
        <v>6373</v>
      </c>
      <c r="D6394">
        <v>0.6</v>
      </c>
      <c r="E6394">
        <v>0</v>
      </c>
      <c r="F6394">
        <f t="shared" si="99"/>
        <v>0.6</v>
      </c>
      <c r="I6394">
        <v>20240701</v>
      </c>
      <c r="J6394" t="s">
        <v>6399</v>
      </c>
    </row>
    <row r="6395" spans="1:12" x14ac:dyDescent="0.3">
      <c r="A6395" s="160">
        <v>55376</v>
      </c>
      <c r="B6395" t="s">
        <v>21556</v>
      </c>
      <c r="C6395" t="s">
        <v>6373</v>
      </c>
      <c r="D6395">
        <v>0.6</v>
      </c>
      <c r="E6395">
        <v>0</v>
      </c>
      <c r="F6395">
        <f t="shared" si="99"/>
        <v>0.6</v>
      </c>
      <c r="I6395">
        <v>20240701</v>
      </c>
      <c r="J6395" t="s">
        <v>6399</v>
      </c>
    </row>
    <row r="6396" spans="1:12" x14ac:dyDescent="0.3">
      <c r="A6396" s="160">
        <v>55394</v>
      </c>
      <c r="B6396" t="s">
        <v>21557</v>
      </c>
      <c r="C6396" t="s">
        <v>6387</v>
      </c>
      <c r="D6396">
        <v>0.8</v>
      </c>
      <c r="E6396">
        <v>0</v>
      </c>
      <c r="F6396">
        <f t="shared" si="99"/>
        <v>0.8</v>
      </c>
      <c r="I6396">
        <v>20240101</v>
      </c>
      <c r="J6396" t="s">
        <v>6400</v>
      </c>
    </row>
    <row r="6397" spans="1:12" x14ac:dyDescent="0.3">
      <c r="A6397" s="160">
        <v>55426</v>
      </c>
      <c r="B6397" t="s">
        <v>21558</v>
      </c>
      <c r="C6397" t="s">
        <v>6373</v>
      </c>
      <c r="D6397">
        <v>0.6</v>
      </c>
      <c r="E6397">
        <v>0</v>
      </c>
      <c r="F6397">
        <f t="shared" si="99"/>
        <v>0.6</v>
      </c>
      <c r="I6397">
        <v>20240701</v>
      </c>
      <c r="J6397" t="s">
        <v>6374</v>
      </c>
    </row>
    <row r="6398" spans="1:12" x14ac:dyDescent="0.3">
      <c r="A6398" s="160">
        <v>55435</v>
      </c>
      <c r="B6398" t="s">
        <v>21559</v>
      </c>
      <c r="C6398" t="s">
        <v>6373</v>
      </c>
      <c r="D6398">
        <v>0.6</v>
      </c>
      <c r="E6398">
        <v>0</v>
      </c>
      <c r="F6398">
        <f t="shared" si="99"/>
        <v>0.6</v>
      </c>
      <c r="I6398">
        <v>20240701</v>
      </c>
      <c r="J6398" t="s">
        <v>6374</v>
      </c>
    </row>
    <row r="6399" spans="1:12" x14ac:dyDescent="0.3">
      <c r="A6399" s="160">
        <v>55446</v>
      </c>
      <c r="B6399" t="s">
        <v>21560</v>
      </c>
      <c r="C6399" t="s">
        <v>6373</v>
      </c>
      <c r="D6399">
        <v>0.6</v>
      </c>
      <c r="E6399">
        <v>0</v>
      </c>
      <c r="F6399">
        <f t="shared" si="99"/>
        <v>0.6</v>
      </c>
      <c r="I6399">
        <v>20240701</v>
      </c>
      <c r="J6399" t="s">
        <v>6374</v>
      </c>
    </row>
    <row r="6400" spans="1:12" x14ac:dyDescent="0.3">
      <c r="A6400" s="160">
        <v>55452</v>
      </c>
      <c r="B6400" t="s">
        <v>21561</v>
      </c>
      <c r="C6400" t="s">
        <v>6373</v>
      </c>
      <c r="D6400">
        <v>0.6</v>
      </c>
      <c r="E6400">
        <v>0</v>
      </c>
      <c r="F6400">
        <f t="shared" si="99"/>
        <v>0.6</v>
      </c>
      <c r="I6400">
        <v>20240701</v>
      </c>
      <c r="J6400" t="s">
        <v>6399</v>
      </c>
    </row>
    <row r="6401" spans="1:20" x14ac:dyDescent="0.3">
      <c r="A6401" s="160">
        <v>55466</v>
      </c>
      <c r="B6401" t="s">
        <v>21562</v>
      </c>
      <c r="C6401" t="s">
        <v>6373</v>
      </c>
      <c r="D6401">
        <v>0.6</v>
      </c>
      <c r="E6401">
        <v>0</v>
      </c>
      <c r="F6401">
        <f t="shared" si="99"/>
        <v>0.6</v>
      </c>
      <c r="I6401">
        <v>20240701</v>
      </c>
      <c r="J6401" t="s">
        <v>6374</v>
      </c>
    </row>
    <row r="6402" spans="1:20" x14ac:dyDescent="0.3">
      <c r="A6402" s="160">
        <v>55468</v>
      </c>
      <c r="B6402" t="s">
        <v>21563</v>
      </c>
      <c r="C6402" t="s">
        <v>6387</v>
      </c>
      <c r="D6402">
        <v>0.8</v>
      </c>
      <c r="E6402">
        <v>0</v>
      </c>
      <c r="F6402">
        <f t="shared" si="99"/>
        <v>0.8</v>
      </c>
      <c r="I6402">
        <v>20240101</v>
      </c>
      <c r="J6402" t="s">
        <v>6388</v>
      </c>
    </row>
    <row r="6403" spans="1:20" x14ac:dyDescent="0.3">
      <c r="A6403" s="160">
        <v>55476</v>
      </c>
      <c r="B6403" t="s">
        <v>21564</v>
      </c>
      <c r="C6403" t="s">
        <v>6373</v>
      </c>
      <c r="D6403">
        <v>0.6</v>
      </c>
      <c r="E6403">
        <v>0</v>
      </c>
      <c r="F6403">
        <f t="shared" si="99"/>
        <v>0.6</v>
      </c>
      <c r="I6403">
        <v>20240701</v>
      </c>
      <c r="J6403" t="s">
        <v>6374</v>
      </c>
      <c r="K6403" t="s">
        <v>6375</v>
      </c>
      <c r="L6403" t="s">
        <v>6376</v>
      </c>
      <c r="M6403" t="s">
        <v>6377</v>
      </c>
      <c r="N6403" t="s">
        <v>6378</v>
      </c>
      <c r="O6403" t="s">
        <v>6380</v>
      </c>
    </row>
    <row r="6404" spans="1:20" x14ac:dyDescent="0.3">
      <c r="A6404" s="160">
        <v>55488</v>
      </c>
      <c r="B6404" t="s">
        <v>21565</v>
      </c>
      <c r="C6404" t="s">
        <v>6373</v>
      </c>
      <c r="D6404">
        <v>0.6</v>
      </c>
      <c r="E6404">
        <v>0</v>
      </c>
      <c r="F6404">
        <f t="shared" si="99"/>
        <v>0.6</v>
      </c>
      <c r="I6404">
        <v>20240701</v>
      </c>
      <c r="J6404" t="s">
        <v>6374</v>
      </c>
    </row>
    <row r="6405" spans="1:20" x14ac:dyDescent="0.3">
      <c r="A6405" s="160">
        <v>55489</v>
      </c>
      <c r="B6405" t="s">
        <v>21566</v>
      </c>
      <c r="C6405" t="s">
        <v>6387</v>
      </c>
      <c r="D6405">
        <v>0.8</v>
      </c>
      <c r="E6405">
        <v>0</v>
      </c>
      <c r="F6405">
        <f t="shared" si="99"/>
        <v>0.8</v>
      </c>
      <c r="I6405">
        <v>20240101</v>
      </c>
      <c r="J6405" t="s">
        <v>6388</v>
      </c>
    </row>
    <row r="6406" spans="1:20" x14ac:dyDescent="0.3">
      <c r="A6406" s="160">
        <v>55504</v>
      </c>
      <c r="B6406" t="s">
        <v>21567</v>
      </c>
      <c r="C6406" t="s">
        <v>6373</v>
      </c>
      <c r="D6406">
        <v>0.6</v>
      </c>
      <c r="E6406">
        <v>0</v>
      </c>
      <c r="F6406">
        <f t="shared" si="99"/>
        <v>0.6</v>
      </c>
      <c r="I6406">
        <v>20240701</v>
      </c>
      <c r="J6406" t="s">
        <v>6374</v>
      </c>
    </row>
    <row r="6407" spans="1:20" x14ac:dyDescent="0.3">
      <c r="A6407" s="160">
        <v>55505</v>
      </c>
      <c r="B6407" t="s">
        <v>21568</v>
      </c>
      <c r="C6407" t="s">
        <v>6387</v>
      </c>
      <c r="D6407">
        <v>0.8</v>
      </c>
      <c r="E6407">
        <v>0</v>
      </c>
      <c r="F6407">
        <f t="shared" ref="F6407:F6470" si="100">D6407+E6407</f>
        <v>0.8</v>
      </c>
      <c r="I6407">
        <v>20240101</v>
      </c>
      <c r="J6407" t="s">
        <v>6398</v>
      </c>
      <c r="K6407" t="s">
        <v>6389</v>
      </c>
      <c r="L6407" t="s">
        <v>6393</v>
      </c>
      <c r="M6407" t="s">
        <v>6394</v>
      </c>
      <c r="N6407" t="s">
        <v>6401</v>
      </c>
    </row>
    <row r="6408" spans="1:20" x14ac:dyDescent="0.3">
      <c r="A6408" s="160">
        <v>55514</v>
      </c>
      <c r="B6408" t="s">
        <v>21569</v>
      </c>
      <c r="C6408" t="s">
        <v>6373</v>
      </c>
      <c r="D6408">
        <v>0.6</v>
      </c>
      <c r="E6408">
        <v>0</v>
      </c>
      <c r="F6408">
        <f t="shared" si="100"/>
        <v>0.6</v>
      </c>
      <c r="I6408">
        <v>20240701</v>
      </c>
      <c r="J6408" t="s">
        <v>6374</v>
      </c>
    </row>
    <row r="6409" spans="1:20" x14ac:dyDescent="0.3">
      <c r="A6409" s="160">
        <v>55519</v>
      </c>
      <c r="B6409" t="s">
        <v>21570</v>
      </c>
      <c r="C6409" t="s">
        <v>6373</v>
      </c>
      <c r="D6409">
        <v>0.6</v>
      </c>
      <c r="E6409">
        <v>0</v>
      </c>
      <c r="F6409">
        <f t="shared" si="100"/>
        <v>0.6</v>
      </c>
      <c r="I6409">
        <v>20240701</v>
      </c>
      <c r="J6409" t="s">
        <v>6402</v>
      </c>
    </row>
    <row r="6410" spans="1:20" x14ac:dyDescent="0.3">
      <c r="A6410" s="160">
        <v>55523</v>
      </c>
      <c r="B6410" t="s">
        <v>21571</v>
      </c>
      <c r="C6410" t="s">
        <v>6387</v>
      </c>
      <c r="D6410">
        <v>0.8</v>
      </c>
      <c r="E6410">
        <v>0</v>
      </c>
      <c r="F6410">
        <f t="shared" si="100"/>
        <v>0.8</v>
      </c>
      <c r="I6410">
        <v>20240101</v>
      </c>
      <c r="J6410" t="s">
        <v>6388</v>
      </c>
    </row>
    <row r="6411" spans="1:20" x14ac:dyDescent="0.3">
      <c r="A6411" s="160">
        <v>55537</v>
      </c>
      <c r="B6411" t="s">
        <v>21572</v>
      </c>
      <c r="C6411" t="s">
        <v>6387</v>
      </c>
      <c r="D6411">
        <v>0.8</v>
      </c>
      <c r="E6411">
        <v>0</v>
      </c>
      <c r="F6411">
        <f t="shared" si="100"/>
        <v>0.8</v>
      </c>
      <c r="I6411">
        <v>20240101</v>
      </c>
      <c r="J6411" t="s">
        <v>6403</v>
      </c>
    </row>
    <row r="6412" spans="1:20" x14ac:dyDescent="0.3">
      <c r="A6412" s="160">
        <v>55541</v>
      </c>
      <c r="B6412" t="s">
        <v>21573</v>
      </c>
      <c r="C6412" t="s">
        <v>6373</v>
      </c>
      <c r="D6412">
        <v>0.6</v>
      </c>
      <c r="E6412">
        <v>0</v>
      </c>
      <c r="F6412">
        <f t="shared" si="100"/>
        <v>0.6</v>
      </c>
      <c r="I6412">
        <v>20240701</v>
      </c>
      <c r="J6412" t="s">
        <v>6374</v>
      </c>
    </row>
    <row r="6413" spans="1:20" x14ac:dyDescent="0.3">
      <c r="A6413" s="160">
        <v>55543</v>
      </c>
      <c r="B6413" t="s">
        <v>21574</v>
      </c>
      <c r="C6413" t="s">
        <v>6373</v>
      </c>
      <c r="D6413">
        <v>0.6</v>
      </c>
      <c r="E6413">
        <v>0</v>
      </c>
      <c r="F6413">
        <f t="shared" si="100"/>
        <v>0.6</v>
      </c>
      <c r="I6413">
        <v>20240701</v>
      </c>
      <c r="J6413" t="s">
        <v>6399</v>
      </c>
    </row>
    <row r="6414" spans="1:20" x14ac:dyDescent="0.3">
      <c r="A6414" s="160">
        <v>55545</v>
      </c>
      <c r="B6414" t="s">
        <v>21575</v>
      </c>
      <c r="C6414" t="s">
        <v>6387</v>
      </c>
      <c r="D6414">
        <v>0.8</v>
      </c>
      <c r="E6414">
        <v>0</v>
      </c>
      <c r="F6414">
        <f t="shared" si="100"/>
        <v>0.8</v>
      </c>
      <c r="I6414">
        <v>20240101</v>
      </c>
      <c r="J6414" t="s">
        <v>6388</v>
      </c>
      <c r="K6414" t="s">
        <v>6398</v>
      </c>
      <c r="L6414" t="s">
        <v>6404</v>
      </c>
      <c r="M6414" t="s">
        <v>6390</v>
      </c>
      <c r="N6414" t="s">
        <v>6391</v>
      </c>
      <c r="O6414" t="s">
        <v>6389</v>
      </c>
      <c r="P6414" t="s">
        <v>6392</v>
      </c>
      <c r="Q6414" t="s">
        <v>6393</v>
      </c>
      <c r="R6414" t="s">
        <v>6394</v>
      </c>
      <c r="S6414" t="s">
        <v>6405</v>
      </c>
      <c r="T6414" t="s">
        <v>6406</v>
      </c>
    </row>
    <row r="6415" spans="1:20" x14ac:dyDescent="0.3">
      <c r="A6415" s="160">
        <v>56003</v>
      </c>
      <c r="B6415" t="s">
        <v>21576</v>
      </c>
      <c r="C6415" t="s">
        <v>6407</v>
      </c>
      <c r="D6415">
        <v>1.2</v>
      </c>
      <c r="E6415">
        <v>0</v>
      </c>
      <c r="F6415">
        <f t="shared" si="100"/>
        <v>1.2</v>
      </c>
      <c r="I6415">
        <v>20200101</v>
      </c>
      <c r="J6415" t="s">
        <v>6408</v>
      </c>
      <c r="K6415" t="s">
        <v>6409</v>
      </c>
      <c r="L6415" t="s">
        <v>6410</v>
      </c>
      <c r="M6415" t="s">
        <v>6411</v>
      </c>
    </row>
    <row r="6416" spans="1:20" x14ac:dyDescent="0.3">
      <c r="A6416" s="160">
        <v>56005</v>
      </c>
      <c r="B6416" t="s">
        <v>21577</v>
      </c>
      <c r="C6416" t="s">
        <v>6407</v>
      </c>
      <c r="D6416">
        <v>1.2</v>
      </c>
      <c r="E6416">
        <v>0</v>
      </c>
      <c r="F6416">
        <f t="shared" si="100"/>
        <v>1.2</v>
      </c>
      <c r="I6416">
        <v>20200101</v>
      </c>
      <c r="J6416" t="s">
        <v>6412</v>
      </c>
    </row>
    <row r="6417" spans="1:19" x14ac:dyDescent="0.3">
      <c r="A6417" s="160">
        <v>56006</v>
      </c>
      <c r="B6417" t="s">
        <v>21578</v>
      </c>
      <c r="C6417" t="s">
        <v>21579</v>
      </c>
      <c r="D6417">
        <v>0.4</v>
      </c>
      <c r="E6417">
        <v>0</v>
      </c>
      <c r="F6417">
        <f t="shared" si="100"/>
        <v>0.4</v>
      </c>
      <c r="I6417">
        <v>20230201</v>
      </c>
      <c r="J6417" t="s">
        <v>6424</v>
      </c>
    </row>
    <row r="6418" spans="1:19" x14ac:dyDescent="0.3">
      <c r="A6418" s="160">
        <v>56008</v>
      </c>
      <c r="B6418" t="s">
        <v>21580</v>
      </c>
      <c r="C6418" t="s">
        <v>6407</v>
      </c>
      <c r="D6418">
        <v>1.2</v>
      </c>
      <c r="E6418">
        <v>0</v>
      </c>
      <c r="F6418">
        <f t="shared" si="100"/>
        <v>1.2</v>
      </c>
      <c r="I6418">
        <v>20200101</v>
      </c>
      <c r="J6418" t="s">
        <v>6413</v>
      </c>
      <c r="K6418" t="s">
        <v>6414</v>
      </c>
      <c r="L6418" t="s">
        <v>6415</v>
      </c>
    </row>
    <row r="6419" spans="1:19" x14ac:dyDescent="0.3">
      <c r="A6419" s="160">
        <v>56012</v>
      </c>
      <c r="B6419" t="s">
        <v>21581</v>
      </c>
      <c r="C6419" t="s">
        <v>21579</v>
      </c>
      <c r="D6419">
        <v>0.4</v>
      </c>
      <c r="E6419">
        <v>0</v>
      </c>
      <c r="F6419">
        <f t="shared" si="100"/>
        <v>0.4</v>
      </c>
      <c r="I6419">
        <v>20230201</v>
      </c>
      <c r="J6419" t="s">
        <v>21582</v>
      </c>
    </row>
    <row r="6420" spans="1:19" x14ac:dyDescent="0.3">
      <c r="A6420" s="160">
        <v>56020</v>
      </c>
      <c r="B6420" t="s">
        <v>21583</v>
      </c>
      <c r="C6420" t="s">
        <v>21579</v>
      </c>
      <c r="D6420">
        <v>0.4</v>
      </c>
      <c r="E6420">
        <v>0</v>
      </c>
      <c r="F6420">
        <f t="shared" si="100"/>
        <v>0.4</v>
      </c>
      <c r="I6420">
        <v>20230201</v>
      </c>
      <c r="J6420" t="s">
        <v>21584</v>
      </c>
    </row>
    <row r="6421" spans="1:19" x14ac:dyDescent="0.3">
      <c r="A6421" s="160">
        <v>56021</v>
      </c>
      <c r="B6421" t="s">
        <v>21585</v>
      </c>
      <c r="C6421" t="s">
        <v>6416</v>
      </c>
      <c r="D6421">
        <v>1.8</v>
      </c>
      <c r="E6421">
        <v>0</v>
      </c>
      <c r="F6421">
        <f t="shared" si="100"/>
        <v>1.8</v>
      </c>
      <c r="I6421">
        <v>20100701</v>
      </c>
      <c r="J6421" t="s">
        <v>6417</v>
      </c>
    </row>
    <row r="6422" spans="1:19" x14ac:dyDescent="0.3">
      <c r="A6422" s="160">
        <v>56022</v>
      </c>
      <c r="B6422" t="s">
        <v>21586</v>
      </c>
      <c r="C6422" t="s">
        <v>6407</v>
      </c>
      <c r="D6422">
        <v>1.2</v>
      </c>
      <c r="E6422">
        <v>0</v>
      </c>
      <c r="F6422">
        <f t="shared" si="100"/>
        <v>1.2</v>
      </c>
      <c r="I6422">
        <v>20200101</v>
      </c>
      <c r="J6422" t="s">
        <v>6418</v>
      </c>
    </row>
    <row r="6423" spans="1:19" x14ac:dyDescent="0.3">
      <c r="A6423" s="160">
        <v>56025</v>
      </c>
      <c r="B6423" t="s">
        <v>19023</v>
      </c>
      <c r="C6423" t="s">
        <v>6419</v>
      </c>
      <c r="D6423">
        <v>0.55000000000000004</v>
      </c>
      <c r="E6423">
        <v>0</v>
      </c>
      <c r="F6423">
        <f t="shared" si="100"/>
        <v>0.55000000000000004</v>
      </c>
      <c r="I6423">
        <v>20220701</v>
      </c>
      <c r="J6423" t="s">
        <v>6420</v>
      </c>
    </row>
    <row r="6424" spans="1:19" x14ac:dyDescent="0.3">
      <c r="A6424" s="160">
        <v>56026</v>
      </c>
      <c r="B6424" t="s">
        <v>21587</v>
      </c>
      <c r="C6424" t="s">
        <v>6416</v>
      </c>
      <c r="D6424">
        <v>1.8</v>
      </c>
      <c r="E6424">
        <v>0</v>
      </c>
      <c r="F6424">
        <f t="shared" si="100"/>
        <v>1.8</v>
      </c>
      <c r="I6424">
        <v>20180701</v>
      </c>
      <c r="J6424" t="s">
        <v>6421</v>
      </c>
    </row>
    <row r="6425" spans="1:19" x14ac:dyDescent="0.3">
      <c r="A6425" s="160">
        <v>56029</v>
      </c>
      <c r="B6425" t="s">
        <v>21588</v>
      </c>
      <c r="C6425" t="s">
        <v>6416</v>
      </c>
      <c r="D6425">
        <v>1.8</v>
      </c>
      <c r="E6425">
        <v>0</v>
      </c>
      <c r="F6425">
        <f t="shared" si="100"/>
        <v>1.8</v>
      </c>
      <c r="I6425">
        <v>20180701</v>
      </c>
      <c r="J6425" t="s">
        <v>6422</v>
      </c>
    </row>
    <row r="6426" spans="1:19" x14ac:dyDescent="0.3">
      <c r="A6426" s="160">
        <v>56030</v>
      </c>
      <c r="B6426" t="s">
        <v>21589</v>
      </c>
      <c r="C6426" t="s">
        <v>5017</v>
      </c>
      <c r="D6426">
        <v>0.6</v>
      </c>
      <c r="E6426">
        <v>0</v>
      </c>
      <c r="F6426">
        <f t="shared" si="100"/>
        <v>0.6</v>
      </c>
      <c r="I6426">
        <v>20040101</v>
      </c>
      <c r="J6426" t="s">
        <v>6423</v>
      </c>
    </row>
    <row r="6427" spans="1:19" x14ac:dyDescent="0.3">
      <c r="A6427" s="160">
        <v>56032</v>
      </c>
      <c r="B6427" t="s">
        <v>21590</v>
      </c>
      <c r="C6427" t="s">
        <v>6419</v>
      </c>
      <c r="D6427">
        <v>0.55000000000000004</v>
      </c>
      <c r="E6427">
        <v>0</v>
      </c>
      <c r="F6427">
        <f t="shared" si="100"/>
        <v>0.55000000000000004</v>
      </c>
      <c r="I6427">
        <v>20220701</v>
      </c>
      <c r="J6427" t="s">
        <v>6424</v>
      </c>
    </row>
    <row r="6428" spans="1:19" x14ac:dyDescent="0.3">
      <c r="A6428" s="160">
        <v>56033</v>
      </c>
      <c r="B6428" t="s">
        <v>21591</v>
      </c>
      <c r="C6428" t="s">
        <v>21579</v>
      </c>
      <c r="D6428">
        <v>0.4</v>
      </c>
      <c r="E6428">
        <v>0</v>
      </c>
      <c r="F6428">
        <f t="shared" si="100"/>
        <v>0.4</v>
      </c>
      <c r="I6428">
        <v>20230201</v>
      </c>
      <c r="J6428" t="s">
        <v>21592</v>
      </c>
    </row>
    <row r="6429" spans="1:19" x14ac:dyDescent="0.3">
      <c r="A6429" s="160">
        <v>56035</v>
      </c>
      <c r="B6429" t="s">
        <v>21593</v>
      </c>
      <c r="C6429" t="s">
        <v>21579</v>
      </c>
      <c r="D6429">
        <v>0.4</v>
      </c>
      <c r="E6429">
        <v>0</v>
      </c>
      <c r="F6429">
        <f t="shared" si="100"/>
        <v>0.4</v>
      </c>
      <c r="I6429">
        <v>20230201</v>
      </c>
      <c r="J6429" t="s">
        <v>21584</v>
      </c>
    </row>
    <row r="6430" spans="1:19" x14ac:dyDescent="0.3">
      <c r="A6430" s="160">
        <v>56036</v>
      </c>
      <c r="B6430" t="s">
        <v>21594</v>
      </c>
      <c r="C6430" t="s">
        <v>6416</v>
      </c>
      <c r="D6430">
        <v>1.8</v>
      </c>
      <c r="E6430">
        <v>0</v>
      </c>
      <c r="F6430">
        <f t="shared" si="100"/>
        <v>1.8</v>
      </c>
      <c r="I6430">
        <v>20100701</v>
      </c>
      <c r="J6430" t="s">
        <v>6425</v>
      </c>
      <c r="K6430" t="s">
        <v>6426</v>
      </c>
      <c r="L6430" t="s">
        <v>6427</v>
      </c>
      <c r="M6430" t="s">
        <v>6428</v>
      </c>
      <c r="N6430" t="s">
        <v>6429</v>
      </c>
      <c r="O6430" t="s">
        <v>6430</v>
      </c>
      <c r="P6430" t="s">
        <v>6431</v>
      </c>
      <c r="Q6430" t="s">
        <v>6432</v>
      </c>
      <c r="R6430" t="s">
        <v>6433</v>
      </c>
      <c r="S6430" t="s">
        <v>6434</v>
      </c>
    </row>
    <row r="6431" spans="1:19" x14ac:dyDescent="0.3">
      <c r="A6431" s="160">
        <v>56040</v>
      </c>
      <c r="B6431" t="s">
        <v>21595</v>
      </c>
      <c r="C6431" t="s">
        <v>6416</v>
      </c>
      <c r="D6431">
        <v>1.8</v>
      </c>
      <c r="E6431">
        <v>0</v>
      </c>
      <c r="F6431">
        <f t="shared" si="100"/>
        <v>1.8</v>
      </c>
      <c r="I6431">
        <v>20100701</v>
      </c>
      <c r="J6431" t="s">
        <v>6435</v>
      </c>
    </row>
    <row r="6432" spans="1:19" x14ac:dyDescent="0.3">
      <c r="A6432" s="160">
        <v>56042</v>
      </c>
      <c r="B6432" t="s">
        <v>21596</v>
      </c>
      <c r="C6432" t="s">
        <v>6407</v>
      </c>
      <c r="D6432">
        <v>1.2</v>
      </c>
      <c r="E6432">
        <v>0</v>
      </c>
      <c r="F6432">
        <f t="shared" si="100"/>
        <v>1.2</v>
      </c>
      <c r="I6432">
        <v>20200101</v>
      </c>
      <c r="J6432" t="s">
        <v>6418</v>
      </c>
    </row>
    <row r="6433" spans="1:14" x14ac:dyDescent="0.3">
      <c r="A6433" s="160">
        <v>56043</v>
      </c>
      <c r="B6433" t="s">
        <v>21597</v>
      </c>
      <c r="C6433" t="s">
        <v>6419</v>
      </c>
      <c r="D6433">
        <v>0.55000000000000004</v>
      </c>
      <c r="E6433">
        <v>0</v>
      </c>
      <c r="F6433">
        <f t="shared" si="100"/>
        <v>0.55000000000000004</v>
      </c>
      <c r="I6433">
        <v>20220701</v>
      </c>
      <c r="J6433" t="s">
        <v>6420</v>
      </c>
    </row>
    <row r="6434" spans="1:14" x14ac:dyDescent="0.3">
      <c r="A6434" s="160">
        <v>56044</v>
      </c>
      <c r="B6434" t="s">
        <v>21598</v>
      </c>
      <c r="C6434" t="s">
        <v>21579</v>
      </c>
      <c r="D6434">
        <v>0.4</v>
      </c>
      <c r="E6434">
        <v>0</v>
      </c>
      <c r="F6434">
        <f t="shared" si="100"/>
        <v>0.4</v>
      </c>
      <c r="I6434">
        <v>20230201</v>
      </c>
      <c r="J6434" t="s">
        <v>21599</v>
      </c>
      <c r="K6434" t="s">
        <v>21600</v>
      </c>
    </row>
    <row r="6435" spans="1:14" x14ac:dyDescent="0.3">
      <c r="A6435" s="160">
        <v>56050</v>
      </c>
      <c r="B6435" t="s">
        <v>21601</v>
      </c>
      <c r="C6435" t="s">
        <v>6419</v>
      </c>
      <c r="D6435">
        <v>0.55000000000000004</v>
      </c>
      <c r="E6435">
        <v>0</v>
      </c>
      <c r="F6435">
        <f t="shared" si="100"/>
        <v>0.55000000000000004</v>
      </c>
      <c r="I6435">
        <v>20220701</v>
      </c>
      <c r="J6435" t="s">
        <v>6436</v>
      </c>
    </row>
    <row r="6436" spans="1:14" x14ac:dyDescent="0.3">
      <c r="A6436" s="160">
        <v>56051</v>
      </c>
      <c r="B6436" t="s">
        <v>21602</v>
      </c>
      <c r="C6436" t="s">
        <v>6419</v>
      </c>
      <c r="D6436">
        <v>0.55000000000000004</v>
      </c>
      <c r="E6436">
        <v>0</v>
      </c>
      <c r="F6436">
        <f t="shared" si="100"/>
        <v>0.55000000000000004</v>
      </c>
      <c r="I6436">
        <v>20220701</v>
      </c>
      <c r="J6436" t="s">
        <v>6437</v>
      </c>
    </row>
    <row r="6437" spans="1:14" x14ac:dyDescent="0.3">
      <c r="A6437" s="160">
        <v>56053</v>
      </c>
      <c r="B6437" t="s">
        <v>21603</v>
      </c>
      <c r="C6437" t="s">
        <v>6407</v>
      </c>
      <c r="D6437">
        <v>1.2</v>
      </c>
      <c r="E6437">
        <v>0</v>
      </c>
      <c r="F6437">
        <f t="shared" si="100"/>
        <v>1.2</v>
      </c>
      <c r="I6437">
        <v>20200101</v>
      </c>
      <c r="J6437" t="s">
        <v>6438</v>
      </c>
    </row>
    <row r="6438" spans="1:14" x14ac:dyDescent="0.3">
      <c r="A6438" s="160">
        <v>56056</v>
      </c>
      <c r="B6438" t="s">
        <v>21604</v>
      </c>
      <c r="C6438" t="s">
        <v>6419</v>
      </c>
      <c r="D6438">
        <v>0.55000000000000004</v>
      </c>
      <c r="E6438">
        <v>0</v>
      </c>
      <c r="F6438">
        <f t="shared" si="100"/>
        <v>0.55000000000000004</v>
      </c>
      <c r="I6438">
        <v>20220701</v>
      </c>
      <c r="J6438" t="s">
        <v>6439</v>
      </c>
    </row>
    <row r="6439" spans="1:14" x14ac:dyDescent="0.3">
      <c r="A6439" s="160">
        <v>56058</v>
      </c>
      <c r="B6439" t="s">
        <v>21605</v>
      </c>
      <c r="C6439" t="s">
        <v>5017</v>
      </c>
      <c r="D6439">
        <v>0.6</v>
      </c>
      <c r="E6439">
        <v>0</v>
      </c>
      <c r="F6439">
        <f t="shared" si="100"/>
        <v>0.6</v>
      </c>
      <c r="I6439">
        <v>20040101</v>
      </c>
      <c r="J6439" t="s">
        <v>6423</v>
      </c>
    </row>
    <row r="6440" spans="1:14" x14ac:dyDescent="0.3">
      <c r="A6440" s="160">
        <v>56061</v>
      </c>
      <c r="B6440" t="s">
        <v>21606</v>
      </c>
      <c r="C6440" t="s">
        <v>21579</v>
      </c>
      <c r="D6440">
        <v>0.4</v>
      </c>
      <c r="E6440">
        <v>0</v>
      </c>
      <c r="F6440">
        <f t="shared" si="100"/>
        <v>0.4</v>
      </c>
      <c r="I6440">
        <v>20230201</v>
      </c>
      <c r="J6440" t="s">
        <v>21599</v>
      </c>
      <c r="K6440" t="s">
        <v>21607</v>
      </c>
      <c r="L6440" t="s">
        <v>21600</v>
      </c>
      <c r="M6440" t="s">
        <v>21608</v>
      </c>
      <c r="N6440" t="s">
        <v>21609</v>
      </c>
    </row>
    <row r="6441" spans="1:14" x14ac:dyDescent="0.3">
      <c r="A6441" s="160">
        <v>56062</v>
      </c>
      <c r="B6441" t="s">
        <v>21610</v>
      </c>
      <c r="C6441" t="s">
        <v>6416</v>
      </c>
      <c r="D6441">
        <v>1.8</v>
      </c>
      <c r="E6441">
        <v>0</v>
      </c>
      <c r="F6441">
        <f t="shared" si="100"/>
        <v>1.8</v>
      </c>
      <c r="I6441">
        <v>20100701</v>
      </c>
      <c r="J6441" t="s">
        <v>6440</v>
      </c>
    </row>
    <row r="6442" spans="1:14" x14ac:dyDescent="0.3">
      <c r="A6442" s="160">
        <v>56063</v>
      </c>
      <c r="B6442" t="s">
        <v>21611</v>
      </c>
      <c r="C6442" t="s">
        <v>6416</v>
      </c>
      <c r="D6442">
        <v>1.8</v>
      </c>
      <c r="E6442">
        <v>0</v>
      </c>
      <c r="F6442">
        <f t="shared" si="100"/>
        <v>1.8</v>
      </c>
      <c r="I6442">
        <v>20100701</v>
      </c>
      <c r="J6442" t="s">
        <v>6441</v>
      </c>
    </row>
    <row r="6443" spans="1:14" x14ac:dyDescent="0.3">
      <c r="A6443" s="160">
        <v>56065</v>
      </c>
      <c r="B6443" t="s">
        <v>21612</v>
      </c>
      <c r="C6443" t="s">
        <v>6419</v>
      </c>
      <c r="D6443">
        <v>0.55000000000000004</v>
      </c>
      <c r="E6443">
        <v>0</v>
      </c>
      <c r="F6443">
        <f t="shared" si="100"/>
        <v>0.55000000000000004</v>
      </c>
      <c r="I6443">
        <v>20220701</v>
      </c>
      <c r="J6443" t="s">
        <v>6424</v>
      </c>
      <c r="K6443" t="s">
        <v>6442</v>
      </c>
    </row>
    <row r="6444" spans="1:14" x14ac:dyDescent="0.3">
      <c r="A6444" s="160">
        <v>56067</v>
      </c>
      <c r="B6444" t="s">
        <v>21613</v>
      </c>
      <c r="C6444" t="s">
        <v>6407</v>
      </c>
      <c r="D6444">
        <v>1.2</v>
      </c>
      <c r="E6444">
        <v>0</v>
      </c>
      <c r="F6444">
        <f t="shared" si="100"/>
        <v>1.2</v>
      </c>
      <c r="I6444">
        <v>20200101</v>
      </c>
      <c r="J6444" t="s">
        <v>6418</v>
      </c>
    </row>
    <row r="6445" spans="1:14" x14ac:dyDescent="0.3">
      <c r="A6445" s="160">
        <v>56068</v>
      </c>
      <c r="B6445" t="s">
        <v>21614</v>
      </c>
      <c r="C6445" t="s">
        <v>6419</v>
      </c>
      <c r="D6445">
        <v>0.55000000000000004</v>
      </c>
      <c r="E6445">
        <v>0</v>
      </c>
      <c r="F6445">
        <f t="shared" si="100"/>
        <v>0.55000000000000004</v>
      </c>
      <c r="I6445">
        <v>20220701</v>
      </c>
      <c r="J6445" t="s">
        <v>6436</v>
      </c>
    </row>
    <row r="6446" spans="1:14" x14ac:dyDescent="0.3">
      <c r="A6446" s="160">
        <v>56069</v>
      </c>
      <c r="B6446" t="s">
        <v>21615</v>
      </c>
      <c r="C6446" t="s">
        <v>6416</v>
      </c>
      <c r="D6446">
        <v>1.8</v>
      </c>
      <c r="E6446">
        <v>0</v>
      </c>
      <c r="F6446">
        <f t="shared" si="100"/>
        <v>1.8</v>
      </c>
      <c r="I6446">
        <v>20100701</v>
      </c>
      <c r="J6446" t="s">
        <v>6443</v>
      </c>
    </row>
    <row r="6447" spans="1:14" x14ac:dyDescent="0.3">
      <c r="A6447" s="160">
        <v>56070</v>
      </c>
      <c r="B6447" t="s">
        <v>21616</v>
      </c>
      <c r="C6447" t="s">
        <v>6419</v>
      </c>
      <c r="D6447">
        <v>0.55000000000000004</v>
      </c>
      <c r="E6447">
        <v>0</v>
      </c>
      <c r="F6447">
        <f t="shared" si="100"/>
        <v>0.55000000000000004</v>
      </c>
      <c r="I6447">
        <v>20220701</v>
      </c>
      <c r="J6447" t="s">
        <v>6436</v>
      </c>
    </row>
    <row r="6448" spans="1:14" x14ac:dyDescent="0.3">
      <c r="A6448" s="160">
        <v>56075</v>
      </c>
      <c r="B6448" t="s">
        <v>21617</v>
      </c>
      <c r="C6448" t="s">
        <v>21579</v>
      </c>
      <c r="D6448">
        <v>0.4</v>
      </c>
      <c r="E6448">
        <v>0</v>
      </c>
      <c r="F6448">
        <f t="shared" si="100"/>
        <v>0.4</v>
      </c>
      <c r="I6448">
        <v>20230201</v>
      </c>
      <c r="J6448" t="s">
        <v>21582</v>
      </c>
      <c r="K6448" t="s">
        <v>21618</v>
      </c>
      <c r="L6448" t="s">
        <v>21619</v>
      </c>
      <c r="M6448" t="s">
        <v>21620</v>
      </c>
    </row>
    <row r="6449" spans="1:17" x14ac:dyDescent="0.3">
      <c r="A6449" s="160">
        <v>56078</v>
      </c>
      <c r="B6449" t="s">
        <v>21621</v>
      </c>
      <c r="C6449" t="s">
        <v>6416</v>
      </c>
      <c r="D6449">
        <v>1.8</v>
      </c>
      <c r="E6449">
        <v>0</v>
      </c>
      <c r="F6449">
        <f t="shared" si="100"/>
        <v>1.8</v>
      </c>
      <c r="I6449">
        <v>20100701</v>
      </c>
      <c r="J6449" t="s">
        <v>6444</v>
      </c>
    </row>
    <row r="6450" spans="1:17" x14ac:dyDescent="0.3">
      <c r="A6450" s="160">
        <v>56079</v>
      </c>
      <c r="B6450" t="s">
        <v>18751</v>
      </c>
      <c r="C6450" t="s">
        <v>6419</v>
      </c>
      <c r="D6450">
        <v>0.55000000000000004</v>
      </c>
      <c r="E6450">
        <v>0</v>
      </c>
      <c r="F6450">
        <f t="shared" si="100"/>
        <v>0.55000000000000004</v>
      </c>
      <c r="I6450">
        <v>20220701</v>
      </c>
      <c r="J6450" t="s">
        <v>6424</v>
      </c>
      <c r="K6450" t="s">
        <v>6445</v>
      </c>
      <c r="L6450" t="s">
        <v>6446</v>
      </c>
    </row>
    <row r="6451" spans="1:17" x14ac:dyDescent="0.3">
      <c r="A6451" s="160">
        <v>56080</v>
      </c>
      <c r="B6451" t="s">
        <v>21622</v>
      </c>
      <c r="C6451" t="s">
        <v>6419</v>
      </c>
      <c r="D6451">
        <v>0.55000000000000004</v>
      </c>
      <c r="E6451">
        <v>0</v>
      </c>
      <c r="F6451">
        <f t="shared" si="100"/>
        <v>0.55000000000000004</v>
      </c>
      <c r="I6451">
        <v>20220701</v>
      </c>
      <c r="J6451" t="s">
        <v>6439</v>
      </c>
    </row>
    <row r="6452" spans="1:17" x14ac:dyDescent="0.3">
      <c r="A6452" s="160">
        <v>56082</v>
      </c>
      <c r="B6452" t="s">
        <v>21623</v>
      </c>
      <c r="C6452" t="s">
        <v>6419</v>
      </c>
      <c r="D6452">
        <v>0.55000000000000004</v>
      </c>
      <c r="E6452">
        <v>0</v>
      </c>
      <c r="F6452">
        <f t="shared" si="100"/>
        <v>0.55000000000000004</v>
      </c>
      <c r="I6452">
        <v>20220701</v>
      </c>
      <c r="J6452" t="s">
        <v>6436</v>
      </c>
    </row>
    <row r="6453" spans="1:17" x14ac:dyDescent="0.3">
      <c r="A6453" s="160">
        <v>56083</v>
      </c>
      <c r="B6453" t="s">
        <v>21624</v>
      </c>
      <c r="C6453" t="s">
        <v>6416</v>
      </c>
      <c r="D6453">
        <v>1.8</v>
      </c>
      <c r="E6453">
        <v>0</v>
      </c>
      <c r="F6453">
        <f t="shared" si="100"/>
        <v>1.8</v>
      </c>
      <c r="I6453">
        <v>20100701</v>
      </c>
      <c r="J6453" t="s">
        <v>6417</v>
      </c>
      <c r="K6453" t="s">
        <v>6447</v>
      </c>
      <c r="L6453" t="s">
        <v>6448</v>
      </c>
      <c r="M6453" t="s">
        <v>6449</v>
      </c>
      <c r="N6453" t="s">
        <v>6450</v>
      </c>
    </row>
    <row r="6454" spans="1:17" x14ac:dyDescent="0.3">
      <c r="A6454" s="160">
        <v>56084</v>
      </c>
      <c r="B6454" t="s">
        <v>21625</v>
      </c>
      <c r="C6454" t="s">
        <v>6407</v>
      </c>
      <c r="D6454">
        <v>1.2</v>
      </c>
      <c r="E6454">
        <v>0</v>
      </c>
      <c r="F6454">
        <f t="shared" si="100"/>
        <v>1.2</v>
      </c>
      <c r="I6454">
        <v>20200101</v>
      </c>
      <c r="J6454" t="s">
        <v>6451</v>
      </c>
    </row>
    <row r="6455" spans="1:17" x14ac:dyDescent="0.3">
      <c r="A6455" s="160">
        <v>56087</v>
      </c>
      <c r="B6455" t="s">
        <v>21626</v>
      </c>
      <c r="C6455" t="s">
        <v>6407</v>
      </c>
      <c r="D6455">
        <v>1.2</v>
      </c>
      <c r="E6455">
        <v>0</v>
      </c>
      <c r="F6455">
        <f t="shared" si="100"/>
        <v>1.2</v>
      </c>
      <c r="I6455">
        <v>20200101</v>
      </c>
      <c r="J6455" t="s">
        <v>6452</v>
      </c>
    </row>
    <row r="6456" spans="1:17" x14ac:dyDescent="0.3">
      <c r="A6456" s="160">
        <v>56088</v>
      </c>
      <c r="B6456" t="s">
        <v>21627</v>
      </c>
      <c r="C6456" t="s">
        <v>6407</v>
      </c>
      <c r="D6456">
        <v>1.2</v>
      </c>
      <c r="E6456">
        <v>0</v>
      </c>
      <c r="F6456">
        <f t="shared" si="100"/>
        <v>1.2</v>
      </c>
      <c r="I6456">
        <v>20200101</v>
      </c>
      <c r="J6456" t="s">
        <v>6453</v>
      </c>
    </row>
    <row r="6457" spans="1:17" x14ac:dyDescent="0.3">
      <c r="A6457" s="160">
        <v>56089</v>
      </c>
      <c r="B6457" t="s">
        <v>21628</v>
      </c>
      <c r="C6457" t="s">
        <v>6416</v>
      </c>
      <c r="D6457">
        <v>1.8</v>
      </c>
      <c r="E6457">
        <v>0</v>
      </c>
      <c r="F6457">
        <f t="shared" si="100"/>
        <v>1.8</v>
      </c>
      <c r="I6457">
        <v>20180701</v>
      </c>
      <c r="J6457" t="s">
        <v>6422</v>
      </c>
    </row>
    <row r="6458" spans="1:17" x14ac:dyDescent="0.3">
      <c r="A6458" s="160">
        <v>56090</v>
      </c>
      <c r="B6458" t="s">
        <v>21629</v>
      </c>
      <c r="C6458" t="s">
        <v>6416</v>
      </c>
      <c r="D6458">
        <v>1.8</v>
      </c>
      <c r="E6458">
        <v>0</v>
      </c>
      <c r="F6458">
        <f t="shared" si="100"/>
        <v>1.8</v>
      </c>
      <c r="I6458">
        <v>20100701</v>
      </c>
      <c r="J6458" t="s">
        <v>6454</v>
      </c>
      <c r="K6458" t="s">
        <v>6447</v>
      </c>
      <c r="L6458" t="s">
        <v>6455</v>
      </c>
    </row>
    <row r="6459" spans="1:17" x14ac:dyDescent="0.3">
      <c r="A6459" s="160">
        <v>56091</v>
      </c>
      <c r="B6459" t="s">
        <v>21630</v>
      </c>
      <c r="C6459" t="s">
        <v>6419</v>
      </c>
      <c r="D6459">
        <v>0.55000000000000004</v>
      </c>
      <c r="E6459">
        <v>0</v>
      </c>
      <c r="F6459">
        <f t="shared" si="100"/>
        <v>0.55000000000000004</v>
      </c>
      <c r="I6459">
        <v>20220701</v>
      </c>
      <c r="J6459" t="s">
        <v>6436</v>
      </c>
    </row>
    <row r="6460" spans="1:17" x14ac:dyDescent="0.3">
      <c r="A6460" s="160">
        <v>56098</v>
      </c>
      <c r="B6460" t="s">
        <v>21631</v>
      </c>
      <c r="C6460" t="s">
        <v>6416</v>
      </c>
      <c r="D6460">
        <v>1.8</v>
      </c>
      <c r="E6460">
        <v>0</v>
      </c>
      <c r="F6460">
        <f t="shared" si="100"/>
        <v>1.8</v>
      </c>
      <c r="I6460">
        <v>20100701</v>
      </c>
      <c r="J6460" t="s">
        <v>6456</v>
      </c>
      <c r="K6460" t="s">
        <v>6457</v>
      </c>
      <c r="L6460" t="s">
        <v>6425</v>
      </c>
      <c r="M6460" t="s">
        <v>6426</v>
      </c>
      <c r="N6460" t="s">
        <v>6427</v>
      </c>
      <c r="O6460" t="s">
        <v>6458</v>
      </c>
      <c r="P6460" t="s">
        <v>6428</v>
      </c>
      <c r="Q6460" t="s">
        <v>6459</v>
      </c>
    </row>
    <row r="6461" spans="1:17" x14ac:dyDescent="0.3">
      <c r="A6461" s="160">
        <v>56101</v>
      </c>
      <c r="B6461" t="s">
        <v>21632</v>
      </c>
      <c r="C6461" t="s">
        <v>6416</v>
      </c>
      <c r="D6461">
        <v>1.8</v>
      </c>
      <c r="E6461">
        <v>0</v>
      </c>
      <c r="F6461">
        <f t="shared" si="100"/>
        <v>1.8</v>
      </c>
      <c r="I6461">
        <v>20100701</v>
      </c>
      <c r="J6461" t="s">
        <v>6460</v>
      </c>
      <c r="K6461" t="s">
        <v>6447</v>
      </c>
      <c r="L6461" t="s">
        <v>6450</v>
      </c>
      <c r="M6461" t="s">
        <v>6455</v>
      </c>
      <c r="N6461" t="s">
        <v>6461</v>
      </c>
    </row>
    <row r="6462" spans="1:17" x14ac:dyDescent="0.3">
      <c r="A6462" s="160">
        <v>56102</v>
      </c>
      <c r="B6462" t="s">
        <v>21633</v>
      </c>
      <c r="C6462" t="s">
        <v>6419</v>
      </c>
      <c r="D6462">
        <v>0.55000000000000004</v>
      </c>
      <c r="E6462">
        <v>0</v>
      </c>
      <c r="F6462">
        <f t="shared" si="100"/>
        <v>0.55000000000000004</v>
      </c>
      <c r="I6462">
        <v>20220701</v>
      </c>
      <c r="J6462" t="s">
        <v>6436</v>
      </c>
    </row>
    <row r="6463" spans="1:17" x14ac:dyDescent="0.3">
      <c r="A6463" s="160">
        <v>56103</v>
      </c>
      <c r="B6463" t="s">
        <v>21634</v>
      </c>
      <c r="C6463" t="s">
        <v>6419</v>
      </c>
      <c r="D6463">
        <v>0.55000000000000004</v>
      </c>
      <c r="E6463">
        <v>0</v>
      </c>
      <c r="F6463">
        <f t="shared" si="100"/>
        <v>0.55000000000000004</v>
      </c>
      <c r="I6463">
        <v>20220701</v>
      </c>
      <c r="J6463" t="s">
        <v>6436</v>
      </c>
    </row>
    <row r="6464" spans="1:17" x14ac:dyDescent="0.3">
      <c r="A6464" s="160">
        <v>56104</v>
      </c>
      <c r="B6464" t="s">
        <v>21635</v>
      </c>
      <c r="C6464" t="s">
        <v>6416</v>
      </c>
      <c r="D6464">
        <v>1.8</v>
      </c>
      <c r="E6464">
        <v>0</v>
      </c>
      <c r="F6464">
        <f t="shared" si="100"/>
        <v>1.8</v>
      </c>
      <c r="I6464">
        <v>20180701</v>
      </c>
      <c r="J6464" t="s">
        <v>6422</v>
      </c>
    </row>
    <row r="6465" spans="1:33" x14ac:dyDescent="0.3">
      <c r="A6465" s="160">
        <v>56106</v>
      </c>
      <c r="B6465" t="s">
        <v>21636</v>
      </c>
      <c r="C6465" t="s">
        <v>6407</v>
      </c>
      <c r="D6465">
        <v>1.2</v>
      </c>
      <c r="E6465">
        <v>0</v>
      </c>
      <c r="F6465">
        <f t="shared" si="100"/>
        <v>1.2</v>
      </c>
      <c r="I6465">
        <v>20200101</v>
      </c>
      <c r="J6465" t="s">
        <v>6415</v>
      </c>
    </row>
    <row r="6466" spans="1:33" x14ac:dyDescent="0.3">
      <c r="A6466" s="160">
        <v>56107</v>
      </c>
      <c r="B6466" t="s">
        <v>21637</v>
      </c>
      <c r="C6466" t="s">
        <v>6416</v>
      </c>
      <c r="D6466">
        <v>1.8</v>
      </c>
      <c r="E6466">
        <v>0</v>
      </c>
      <c r="F6466">
        <f t="shared" si="100"/>
        <v>1.8</v>
      </c>
      <c r="I6466">
        <v>20100701</v>
      </c>
      <c r="J6466" t="s">
        <v>6462</v>
      </c>
      <c r="K6466" t="s">
        <v>6463</v>
      </c>
      <c r="L6466" t="s">
        <v>6464</v>
      </c>
      <c r="M6466" t="s">
        <v>6465</v>
      </c>
    </row>
    <row r="6467" spans="1:33" x14ac:dyDescent="0.3">
      <c r="A6467" s="160">
        <v>56112</v>
      </c>
      <c r="B6467" t="s">
        <v>21638</v>
      </c>
      <c r="C6467" t="s">
        <v>21579</v>
      </c>
      <c r="D6467">
        <v>0.4</v>
      </c>
      <c r="E6467">
        <v>0</v>
      </c>
      <c r="F6467">
        <f t="shared" si="100"/>
        <v>0.4</v>
      </c>
      <c r="I6467">
        <v>20230201</v>
      </c>
      <c r="J6467" t="s">
        <v>6517</v>
      </c>
    </row>
    <row r="6468" spans="1:33" x14ac:dyDescent="0.3">
      <c r="A6468" s="160">
        <v>56115</v>
      </c>
      <c r="B6468" t="s">
        <v>21639</v>
      </c>
      <c r="C6468" t="s">
        <v>6407</v>
      </c>
      <c r="D6468">
        <v>1.2</v>
      </c>
      <c r="E6468">
        <v>0</v>
      </c>
      <c r="F6468">
        <f t="shared" si="100"/>
        <v>1.2</v>
      </c>
      <c r="I6468">
        <v>20200101</v>
      </c>
      <c r="J6468" t="s">
        <v>6418</v>
      </c>
    </row>
    <row r="6469" spans="1:33" x14ac:dyDescent="0.3">
      <c r="A6469" s="160">
        <v>56118</v>
      </c>
      <c r="B6469" t="s">
        <v>21640</v>
      </c>
      <c r="C6469" t="s">
        <v>6416</v>
      </c>
      <c r="D6469">
        <v>1.8</v>
      </c>
      <c r="E6469">
        <v>0</v>
      </c>
      <c r="F6469">
        <f t="shared" si="100"/>
        <v>1.8</v>
      </c>
      <c r="I6469">
        <v>20100701</v>
      </c>
      <c r="J6469" t="s">
        <v>6466</v>
      </c>
    </row>
    <row r="6470" spans="1:33" x14ac:dyDescent="0.3">
      <c r="A6470" s="160">
        <v>56120</v>
      </c>
      <c r="B6470" t="s">
        <v>21641</v>
      </c>
      <c r="C6470" t="s">
        <v>6407</v>
      </c>
      <c r="D6470">
        <v>1.2</v>
      </c>
      <c r="E6470">
        <v>0</v>
      </c>
      <c r="F6470">
        <f t="shared" si="100"/>
        <v>1.2</v>
      </c>
      <c r="I6470">
        <v>20200101</v>
      </c>
      <c r="J6470" t="s">
        <v>6418</v>
      </c>
    </row>
    <row r="6471" spans="1:33" x14ac:dyDescent="0.3">
      <c r="A6471" s="160">
        <v>56121</v>
      </c>
      <c r="B6471" t="s">
        <v>21642</v>
      </c>
      <c r="C6471" t="s">
        <v>6416</v>
      </c>
      <c r="D6471">
        <v>1.8</v>
      </c>
      <c r="E6471">
        <v>0</v>
      </c>
      <c r="F6471">
        <f t="shared" ref="F6471:F6534" si="101">D6471+E6471</f>
        <v>1.8</v>
      </c>
      <c r="I6471">
        <v>20100701</v>
      </c>
      <c r="J6471" t="s">
        <v>6467</v>
      </c>
      <c r="K6471" t="s">
        <v>6468</v>
      </c>
      <c r="L6471" t="s">
        <v>6469</v>
      </c>
      <c r="M6471" t="s">
        <v>6470</v>
      </c>
      <c r="N6471" t="s">
        <v>6471</v>
      </c>
      <c r="O6471" t="s">
        <v>6462</v>
      </c>
      <c r="P6471" t="s">
        <v>6472</v>
      </c>
      <c r="Q6471" t="s">
        <v>6473</v>
      </c>
      <c r="R6471" t="s">
        <v>6474</v>
      </c>
      <c r="S6471" t="s">
        <v>6475</v>
      </c>
      <c r="T6471" t="s">
        <v>6476</v>
      </c>
      <c r="U6471" t="s">
        <v>6477</v>
      </c>
      <c r="V6471" t="s">
        <v>6478</v>
      </c>
      <c r="W6471" t="s">
        <v>6479</v>
      </c>
      <c r="X6471" t="s">
        <v>6480</v>
      </c>
      <c r="Y6471" t="s">
        <v>6481</v>
      </c>
      <c r="Z6471" t="s">
        <v>6482</v>
      </c>
      <c r="AA6471" t="s">
        <v>6483</v>
      </c>
      <c r="AB6471" t="s">
        <v>6484</v>
      </c>
      <c r="AC6471" t="s">
        <v>6485</v>
      </c>
      <c r="AD6471" t="s">
        <v>6486</v>
      </c>
      <c r="AE6471" t="s">
        <v>6487</v>
      </c>
      <c r="AF6471" t="s">
        <v>6488</v>
      </c>
      <c r="AG6471" t="s">
        <v>6489</v>
      </c>
    </row>
    <row r="6472" spans="1:33" x14ac:dyDescent="0.3">
      <c r="A6472" s="160">
        <v>56122</v>
      </c>
      <c r="B6472" t="s">
        <v>21643</v>
      </c>
      <c r="C6472" t="s">
        <v>6419</v>
      </c>
      <c r="D6472">
        <v>0.55000000000000004</v>
      </c>
      <c r="E6472">
        <v>0</v>
      </c>
      <c r="F6472">
        <f t="shared" si="101"/>
        <v>0.55000000000000004</v>
      </c>
      <c r="I6472">
        <v>20220701</v>
      </c>
      <c r="J6472" t="s">
        <v>6424</v>
      </c>
    </row>
    <row r="6473" spans="1:33" x14ac:dyDescent="0.3">
      <c r="A6473" s="160">
        <v>56124</v>
      </c>
      <c r="B6473" t="s">
        <v>21644</v>
      </c>
      <c r="C6473" t="s">
        <v>21579</v>
      </c>
      <c r="D6473">
        <v>0.4</v>
      </c>
      <c r="E6473">
        <v>0</v>
      </c>
      <c r="F6473">
        <f t="shared" si="101"/>
        <v>0.4</v>
      </c>
      <c r="I6473">
        <v>20230201</v>
      </c>
      <c r="J6473" t="s">
        <v>21584</v>
      </c>
    </row>
    <row r="6474" spans="1:33" x14ac:dyDescent="0.3">
      <c r="A6474" s="160">
        <v>56127</v>
      </c>
      <c r="B6474" t="s">
        <v>21645</v>
      </c>
      <c r="C6474" t="s">
        <v>6419</v>
      </c>
      <c r="D6474">
        <v>0.55000000000000004</v>
      </c>
      <c r="E6474">
        <v>0</v>
      </c>
      <c r="F6474">
        <f t="shared" si="101"/>
        <v>0.55000000000000004</v>
      </c>
      <c r="I6474">
        <v>20220701</v>
      </c>
      <c r="J6474" t="s">
        <v>6420</v>
      </c>
    </row>
    <row r="6475" spans="1:33" x14ac:dyDescent="0.3">
      <c r="A6475" s="160">
        <v>56129</v>
      </c>
      <c r="B6475" t="s">
        <v>21646</v>
      </c>
      <c r="C6475" t="s">
        <v>6419</v>
      </c>
      <c r="D6475">
        <v>0.55000000000000004</v>
      </c>
      <c r="E6475">
        <v>0</v>
      </c>
      <c r="F6475">
        <f t="shared" si="101"/>
        <v>0.55000000000000004</v>
      </c>
      <c r="I6475">
        <v>20220701</v>
      </c>
      <c r="J6475" t="s">
        <v>6439</v>
      </c>
    </row>
    <row r="6476" spans="1:33" x14ac:dyDescent="0.3">
      <c r="A6476" s="160">
        <v>56132</v>
      </c>
      <c r="B6476" t="s">
        <v>21647</v>
      </c>
      <c r="C6476" t="s">
        <v>6407</v>
      </c>
      <c r="D6476">
        <v>1.2</v>
      </c>
      <c r="E6476">
        <v>0</v>
      </c>
      <c r="F6476">
        <f t="shared" si="101"/>
        <v>1.2</v>
      </c>
      <c r="I6476">
        <v>20200101</v>
      </c>
      <c r="J6476" t="s">
        <v>6490</v>
      </c>
    </row>
    <row r="6477" spans="1:33" x14ac:dyDescent="0.3">
      <c r="A6477" s="160">
        <v>56133</v>
      </c>
      <c r="B6477" t="s">
        <v>21648</v>
      </c>
      <c r="C6477" t="s">
        <v>21579</v>
      </c>
      <c r="D6477">
        <v>0.4</v>
      </c>
      <c r="E6477">
        <v>0</v>
      </c>
      <c r="F6477">
        <f t="shared" si="101"/>
        <v>0.4</v>
      </c>
      <c r="I6477">
        <v>20230201</v>
      </c>
      <c r="J6477" t="s">
        <v>21584</v>
      </c>
    </row>
    <row r="6478" spans="1:33" x14ac:dyDescent="0.3">
      <c r="A6478" s="160">
        <v>56134</v>
      </c>
      <c r="B6478" t="s">
        <v>21649</v>
      </c>
      <c r="C6478" t="s">
        <v>6419</v>
      </c>
      <c r="D6478">
        <v>0.55000000000000004</v>
      </c>
      <c r="E6478">
        <v>0</v>
      </c>
      <c r="F6478">
        <f t="shared" si="101"/>
        <v>0.55000000000000004</v>
      </c>
      <c r="I6478">
        <v>20220701</v>
      </c>
      <c r="J6478" t="s">
        <v>6439</v>
      </c>
    </row>
    <row r="6479" spans="1:33" x14ac:dyDescent="0.3">
      <c r="A6479" s="160">
        <v>56136</v>
      </c>
      <c r="B6479" t="s">
        <v>21650</v>
      </c>
      <c r="C6479" t="s">
        <v>21579</v>
      </c>
      <c r="D6479">
        <v>0.4</v>
      </c>
      <c r="E6479">
        <v>0</v>
      </c>
      <c r="F6479">
        <f t="shared" si="101"/>
        <v>0.4</v>
      </c>
      <c r="I6479">
        <v>20230201</v>
      </c>
      <c r="J6479" t="s">
        <v>21582</v>
      </c>
    </row>
    <row r="6480" spans="1:33" x14ac:dyDescent="0.3">
      <c r="A6480" s="160">
        <v>56137</v>
      </c>
      <c r="B6480" t="s">
        <v>21651</v>
      </c>
      <c r="C6480" t="s">
        <v>6407</v>
      </c>
      <c r="D6480">
        <v>1.2</v>
      </c>
      <c r="E6480">
        <v>0</v>
      </c>
      <c r="F6480">
        <f t="shared" si="101"/>
        <v>1.2</v>
      </c>
      <c r="I6480">
        <v>20200101</v>
      </c>
      <c r="J6480" t="s">
        <v>6438</v>
      </c>
      <c r="K6480" t="s">
        <v>6491</v>
      </c>
    </row>
    <row r="6481" spans="1:16" x14ac:dyDescent="0.3">
      <c r="A6481" s="160">
        <v>56139</v>
      </c>
      <c r="B6481" t="s">
        <v>21652</v>
      </c>
      <c r="C6481" t="s">
        <v>6419</v>
      </c>
      <c r="D6481">
        <v>0.55000000000000004</v>
      </c>
      <c r="E6481">
        <v>0</v>
      </c>
      <c r="F6481">
        <f t="shared" si="101"/>
        <v>0.55000000000000004</v>
      </c>
      <c r="I6481">
        <v>20220701</v>
      </c>
      <c r="J6481" t="s">
        <v>6424</v>
      </c>
    </row>
    <row r="6482" spans="1:16" x14ac:dyDescent="0.3">
      <c r="A6482" s="160">
        <v>56145</v>
      </c>
      <c r="B6482" t="s">
        <v>21653</v>
      </c>
      <c r="C6482" t="s">
        <v>6419</v>
      </c>
      <c r="D6482">
        <v>0.55000000000000004</v>
      </c>
      <c r="E6482">
        <v>0</v>
      </c>
      <c r="F6482">
        <f t="shared" si="101"/>
        <v>0.55000000000000004</v>
      </c>
      <c r="I6482">
        <v>20220701</v>
      </c>
      <c r="J6482" t="s">
        <v>6420</v>
      </c>
    </row>
    <row r="6483" spans="1:16" x14ac:dyDescent="0.3">
      <c r="A6483" s="160">
        <v>56150</v>
      </c>
      <c r="B6483" t="s">
        <v>21654</v>
      </c>
      <c r="C6483" t="s">
        <v>6407</v>
      </c>
      <c r="D6483">
        <v>1.2</v>
      </c>
      <c r="E6483">
        <v>0</v>
      </c>
      <c r="F6483">
        <f t="shared" si="101"/>
        <v>1.2</v>
      </c>
      <c r="I6483">
        <v>20200101</v>
      </c>
      <c r="J6483" t="s">
        <v>6451</v>
      </c>
    </row>
    <row r="6484" spans="1:16" x14ac:dyDescent="0.3">
      <c r="A6484" s="160">
        <v>56155</v>
      </c>
      <c r="B6484" t="s">
        <v>21655</v>
      </c>
      <c r="C6484" t="s">
        <v>5017</v>
      </c>
      <c r="D6484">
        <v>0.6</v>
      </c>
      <c r="E6484">
        <v>0</v>
      </c>
      <c r="F6484">
        <f t="shared" si="101"/>
        <v>0.6</v>
      </c>
      <c r="I6484">
        <v>20040101</v>
      </c>
      <c r="J6484" t="s">
        <v>6492</v>
      </c>
    </row>
    <row r="6485" spans="1:16" x14ac:dyDescent="0.3">
      <c r="A6485" s="160">
        <v>56157</v>
      </c>
      <c r="B6485" t="s">
        <v>21656</v>
      </c>
      <c r="C6485" t="s">
        <v>6407</v>
      </c>
      <c r="D6485">
        <v>1.2</v>
      </c>
      <c r="E6485">
        <v>0</v>
      </c>
      <c r="F6485">
        <f t="shared" si="101"/>
        <v>1.2</v>
      </c>
      <c r="I6485">
        <v>20200101</v>
      </c>
      <c r="J6485" t="s">
        <v>6437</v>
      </c>
    </row>
    <row r="6486" spans="1:16" x14ac:dyDescent="0.3">
      <c r="A6486" s="160">
        <v>56158</v>
      </c>
      <c r="B6486" t="s">
        <v>21657</v>
      </c>
      <c r="C6486" t="s">
        <v>6407</v>
      </c>
      <c r="D6486">
        <v>1.2</v>
      </c>
      <c r="E6486">
        <v>0</v>
      </c>
      <c r="F6486">
        <f t="shared" si="101"/>
        <v>1.2</v>
      </c>
      <c r="I6486">
        <v>20200101</v>
      </c>
      <c r="J6486" t="s">
        <v>6490</v>
      </c>
      <c r="K6486" t="s">
        <v>6493</v>
      </c>
    </row>
    <row r="6487" spans="1:16" x14ac:dyDescent="0.3">
      <c r="A6487" s="160">
        <v>56159</v>
      </c>
      <c r="B6487" t="s">
        <v>21658</v>
      </c>
      <c r="C6487" t="s">
        <v>21579</v>
      </c>
      <c r="D6487">
        <v>0.4</v>
      </c>
      <c r="E6487">
        <v>0</v>
      </c>
      <c r="F6487">
        <f t="shared" si="101"/>
        <v>0.4</v>
      </c>
      <c r="I6487">
        <v>20230201</v>
      </c>
      <c r="J6487" t="s">
        <v>21584</v>
      </c>
    </row>
    <row r="6488" spans="1:16" x14ac:dyDescent="0.3">
      <c r="A6488" s="160">
        <v>56162</v>
      </c>
      <c r="B6488" t="s">
        <v>21659</v>
      </c>
      <c r="C6488" t="s">
        <v>6416</v>
      </c>
      <c r="D6488">
        <v>1.8</v>
      </c>
      <c r="E6488">
        <v>0</v>
      </c>
      <c r="F6488">
        <f t="shared" si="101"/>
        <v>1.8</v>
      </c>
      <c r="I6488">
        <v>20100701</v>
      </c>
      <c r="J6488" t="s">
        <v>6494</v>
      </c>
      <c r="K6488" t="s">
        <v>6495</v>
      </c>
      <c r="L6488" t="s">
        <v>6496</v>
      </c>
      <c r="M6488" t="s">
        <v>6497</v>
      </c>
      <c r="N6488" t="s">
        <v>6498</v>
      </c>
      <c r="O6488" t="s">
        <v>6464</v>
      </c>
      <c r="P6488" t="s">
        <v>6499</v>
      </c>
    </row>
    <row r="6489" spans="1:16" x14ac:dyDescent="0.3">
      <c r="A6489" s="160">
        <v>56164</v>
      </c>
      <c r="B6489" t="s">
        <v>21660</v>
      </c>
      <c r="C6489" t="s">
        <v>6407</v>
      </c>
      <c r="D6489">
        <v>1.2</v>
      </c>
      <c r="E6489">
        <v>0</v>
      </c>
      <c r="F6489">
        <f t="shared" si="101"/>
        <v>1.2</v>
      </c>
      <c r="I6489">
        <v>20200101</v>
      </c>
      <c r="J6489" t="s">
        <v>6500</v>
      </c>
      <c r="K6489" t="s">
        <v>6501</v>
      </c>
      <c r="L6489" t="s">
        <v>6502</v>
      </c>
      <c r="M6489" t="s">
        <v>6503</v>
      </c>
      <c r="N6489" t="s">
        <v>6504</v>
      </c>
      <c r="O6489" t="s">
        <v>6505</v>
      </c>
      <c r="P6489" t="s">
        <v>6506</v>
      </c>
    </row>
    <row r="6490" spans="1:16" x14ac:dyDescent="0.3">
      <c r="A6490" s="160">
        <v>56165</v>
      </c>
      <c r="B6490" t="s">
        <v>21661</v>
      </c>
      <c r="C6490" t="s">
        <v>6419</v>
      </c>
      <c r="D6490">
        <v>0.55000000000000004</v>
      </c>
      <c r="E6490">
        <v>0</v>
      </c>
      <c r="F6490">
        <f t="shared" si="101"/>
        <v>0.55000000000000004</v>
      </c>
      <c r="I6490">
        <v>20220701</v>
      </c>
      <c r="J6490" t="s">
        <v>6424</v>
      </c>
      <c r="K6490" t="s">
        <v>6507</v>
      </c>
      <c r="L6490" t="s">
        <v>6445</v>
      </c>
      <c r="M6490" t="s">
        <v>6442</v>
      </c>
      <c r="N6490" t="s">
        <v>6508</v>
      </c>
      <c r="O6490" t="s">
        <v>6509</v>
      </c>
    </row>
    <row r="6491" spans="1:16" x14ac:dyDescent="0.3">
      <c r="A6491" s="160">
        <v>56166</v>
      </c>
      <c r="B6491" t="s">
        <v>21662</v>
      </c>
      <c r="C6491" t="s">
        <v>6416</v>
      </c>
      <c r="D6491">
        <v>1.8</v>
      </c>
      <c r="E6491">
        <v>0</v>
      </c>
      <c r="F6491">
        <f t="shared" si="101"/>
        <v>1.8</v>
      </c>
      <c r="I6491">
        <v>20180701</v>
      </c>
      <c r="J6491" t="s">
        <v>6422</v>
      </c>
    </row>
    <row r="6492" spans="1:16" x14ac:dyDescent="0.3">
      <c r="A6492" s="160">
        <v>56167</v>
      </c>
      <c r="B6492" t="s">
        <v>21663</v>
      </c>
      <c r="C6492" t="s">
        <v>6407</v>
      </c>
      <c r="D6492">
        <v>1.2</v>
      </c>
      <c r="E6492">
        <v>0</v>
      </c>
      <c r="F6492">
        <f t="shared" si="101"/>
        <v>1.2</v>
      </c>
      <c r="I6492">
        <v>20200101</v>
      </c>
      <c r="J6492" t="s">
        <v>6510</v>
      </c>
      <c r="K6492" t="s">
        <v>6511</v>
      </c>
      <c r="L6492" t="s">
        <v>6413</v>
      </c>
    </row>
    <row r="6493" spans="1:16" x14ac:dyDescent="0.3">
      <c r="A6493" s="160">
        <v>56179</v>
      </c>
      <c r="B6493" t="s">
        <v>21664</v>
      </c>
      <c r="C6493" t="s">
        <v>6416</v>
      </c>
      <c r="D6493">
        <v>1.8</v>
      </c>
      <c r="E6493">
        <v>0</v>
      </c>
      <c r="F6493">
        <f t="shared" si="101"/>
        <v>1.8</v>
      </c>
      <c r="I6493">
        <v>20100701</v>
      </c>
      <c r="J6493" t="s">
        <v>6435</v>
      </c>
    </row>
    <row r="6494" spans="1:16" x14ac:dyDescent="0.3">
      <c r="A6494" s="160">
        <v>56180</v>
      </c>
      <c r="B6494" t="s">
        <v>21665</v>
      </c>
      <c r="C6494" t="s">
        <v>21579</v>
      </c>
      <c r="D6494">
        <v>0.4</v>
      </c>
      <c r="E6494">
        <v>0</v>
      </c>
      <c r="F6494">
        <f t="shared" si="101"/>
        <v>0.4</v>
      </c>
      <c r="I6494">
        <v>20230201</v>
      </c>
      <c r="J6494" t="s">
        <v>21582</v>
      </c>
    </row>
    <row r="6495" spans="1:16" x14ac:dyDescent="0.3">
      <c r="A6495" s="160">
        <v>56181</v>
      </c>
      <c r="B6495" t="s">
        <v>21666</v>
      </c>
      <c r="C6495" t="s">
        <v>6416</v>
      </c>
      <c r="D6495">
        <v>1.8</v>
      </c>
      <c r="E6495">
        <v>0</v>
      </c>
      <c r="F6495">
        <f t="shared" si="101"/>
        <v>1.8</v>
      </c>
      <c r="I6495">
        <v>20100701</v>
      </c>
      <c r="J6495" t="s">
        <v>6512</v>
      </c>
    </row>
    <row r="6496" spans="1:16" x14ac:dyDescent="0.3">
      <c r="A6496" s="160">
        <v>56185</v>
      </c>
      <c r="B6496" t="s">
        <v>21667</v>
      </c>
      <c r="C6496" t="s">
        <v>6416</v>
      </c>
      <c r="D6496">
        <v>1.8</v>
      </c>
      <c r="E6496">
        <v>0</v>
      </c>
      <c r="F6496">
        <f t="shared" si="101"/>
        <v>1.8</v>
      </c>
      <c r="I6496">
        <v>20100701</v>
      </c>
      <c r="J6496" t="s">
        <v>6441</v>
      </c>
      <c r="K6496" t="s">
        <v>6513</v>
      </c>
      <c r="L6496" t="s">
        <v>6456</v>
      </c>
      <c r="M6496" t="s">
        <v>6514</v>
      </c>
      <c r="N6496" t="s">
        <v>6515</v>
      </c>
    </row>
    <row r="6497" spans="1:13" x14ac:dyDescent="0.3">
      <c r="A6497" s="160">
        <v>56188</v>
      </c>
      <c r="B6497" t="s">
        <v>21668</v>
      </c>
      <c r="C6497" t="s">
        <v>6416</v>
      </c>
      <c r="D6497">
        <v>1.8</v>
      </c>
      <c r="E6497">
        <v>0</v>
      </c>
      <c r="F6497">
        <f t="shared" si="101"/>
        <v>1.8</v>
      </c>
      <c r="I6497">
        <v>20180701</v>
      </c>
      <c r="J6497" t="s">
        <v>6421</v>
      </c>
    </row>
    <row r="6498" spans="1:13" x14ac:dyDescent="0.3">
      <c r="A6498" s="160">
        <v>56191</v>
      </c>
      <c r="B6498" t="s">
        <v>21669</v>
      </c>
      <c r="C6498" t="s">
        <v>21579</v>
      </c>
      <c r="D6498">
        <v>0.4</v>
      </c>
      <c r="E6498">
        <v>0</v>
      </c>
      <c r="F6498">
        <f t="shared" si="101"/>
        <v>0.4</v>
      </c>
      <c r="I6498">
        <v>20230201</v>
      </c>
      <c r="J6498" t="s">
        <v>21584</v>
      </c>
    </row>
    <row r="6499" spans="1:13" x14ac:dyDescent="0.3">
      <c r="A6499" s="160">
        <v>56193</v>
      </c>
      <c r="B6499" t="s">
        <v>21670</v>
      </c>
      <c r="C6499" t="s">
        <v>6416</v>
      </c>
      <c r="D6499">
        <v>1.8</v>
      </c>
      <c r="E6499">
        <v>0</v>
      </c>
      <c r="F6499">
        <f t="shared" si="101"/>
        <v>1.8</v>
      </c>
      <c r="I6499">
        <v>20100701</v>
      </c>
      <c r="J6499" t="s">
        <v>6516</v>
      </c>
    </row>
    <row r="6500" spans="1:13" x14ac:dyDescent="0.3">
      <c r="A6500" s="160">
        <v>56197</v>
      </c>
      <c r="B6500" t="s">
        <v>21671</v>
      </c>
      <c r="C6500" t="s">
        <v>6419</v>
      </c>
      <c r="D6500">
        <v>0.55000000000000004</v>
      </c>
      <c r="E6500">
        <v>0</v>
      </c>
      <c r="F6500">
        <f t="shared" si="101"/>
        <v>0.55000000000000004</v>
      </c>
      <c r="I6500">
        <v>20220701</v>
      </c>
      <c r="J6500" t="s">
        <v>6517</v>
      </c>
      <c r="K6500" t="s">
        <v>6424</v>
      </c>
    </row>
    <row r="6501" spans="1:13" x14ac:dyDescent="0.3">
      <c r="A6501" s="160">
        <v>56200</v>
      </c>
      <c r="B6501" t="s">
        <v>21672</v>
      </c>
      <c r="C6501" t="s">
        <v>21579</v>
      </c>
      <c r="D6501">
        <v>0.4</v>
      </c>
      <c r="E6501">
        <v>0</v>
      </c>
      <c r="F6501">
        <f t="shared" si="101"/>
        <v>0.4</v>
      </c>
      <c r="I6501">
        <v>20230201</v>
      </c>
      <c r="J6501" t="s">
        <v>21584</v>
      </c>
    </row>
    <row r="6502" spans="1:13" x14ac:dyDescent="0.3">
      <c r="A6502" s="160">
        <v>56202</v>
      </c>
      <c r="B6502" t="s">
        <v>21673</v>
      </c>
      <c r="C6502" t="s">
        <v>21579</v>
      </c>
      <c r="D6502">
        <v>0.4</v>
      </c>
      <c r="E6502">
        <v>0</v>
      </c>
      <c r="F6502">
        <f t="shared" si="101"/>
        <v>0.4</v>
      </c>
      <c r="I6502">
        <v>20230201</v>
      </c>
      <c r="J6502" t="s">
        <v>21584</v>
      </c>
    </row>
    <row r="6503" spans="1:13" x14ac:dyDescent="0.3">
      <c r="A6503" s="160">
        <v>56205</v>
      </c>
      <c r="B6503" t="s">
        <v>19313</v>
      </c>
      <c r="C6503" t="s">
        <v>6407</v>
      </c>
      <c r="D6503">
        <v>1.2</v>
      </c>
      <c r="E6503">
        <v>0</v>
      </c>
      <c r="F6503">
        <f t="shared" si="101"/>
        <v>1.2</v>
      </c>
      <c r="I6503">
        <v>20200101</v>
      </c>
      <c r="J6503" t="s">
        <v>6451</v>
      </c>
    </row>
    <row r="6504" spans="1:13" x14ac:dyDescent="0.3">
      <c r="A6504" s="160">
        <v>56206</v>
      </c>
      <c r="B6504" t="s">
        <v>21674</v>
      </c>
      <c r="C6504" t="s">
        <v>6407</v>
      </c>
      <c r="D6504">
        <v>1.2</v>
      </c>
      <c r="E6504">
        <v>0</v>
      </c>
      <c r="F6504">
        <f t="shared" si="101"/>
        <v>1.2</v>
      </c>
      <c r="I6504">
        <v>20200101</v>
      </c>
      <c r="J6504" t="s">
        <v>6490</v>
      </c>
      <c r="K6504" t="s">
        <v>6493</v>
      </c>
      <c r="L6504" t="s">
        <v>6491</v>
      </c>
      <c r="M6504" t="s">
        <v>6518</v>
      </c>
    </row>
    <row r="6505" spans="1:13" x14ac:dyDescent="0.3">
      <c r="A6505" s="160">
        <v>56208</v>
      </c>
      <c r="B6505" t="s">
        <v>21675</v>
      </c>
      <c r="C6505" t="s">
        <v>6419</v>
      </c>
      <c r="D6505">
        <v>0.55000000000000004</v>
      </c>
      <c r="E6505">
        <v>0</v>
      </c>
      <c r="F6505">
        <f t="shared" si="101"/>
        <v>0.55000000000000004</v>
      </c>
      <c r="I6505">
        <v>20220701</v>
      </c>
      <c r="J6505" t="s">
        <v>6420</v>
      </c>
    </row>
    <row r="6506" spans="1:13" x14ac:dyDescent="0.3">
      <c r="A6506" s="160">
        <v>56211</v>
      </c>
      <c r="B6506" t="s">
        <v>21676</v>
      </c>
      <c r="C6506" t="s">
        <v>21579</v>
      </c>
      <c r="D6506">
        <v>0.4</v>
      </c>
      <c r="E6506">
        <v>0</v>
      </c>
      <c r="F6506">
        <f t="shared" si="101"/>
        <v>0.4</v>
      </c>
      <c r="I6506">
        <v>20230201</v>
      </c>
      <c r="J6506" t="s">
        <v>21584</v>
      </c>
    </row>
    <row r="6507" spans="1:13" x14ac:dyDescent="0.3">
      <c r="A6507" s="160">
        <v>56214</v>
      </c>
      <c r="B6507" t="s">
        <v>21677</v>
      </c>
      <c r="C6507" t="s">
        <v>6407</v>
      </c>
      <c r="D6507">
        <v>1.2</v>
      </c>
      <c r="E6507">
        <v>0</v>
      </c>
      <c r="F6507">
        <f t="shared" si="101"/>
        <v>1.2</v>
      </c>
      <c r="I6507">
        <v>20200101</v>
      </c>
      <c r="J6507" t="s">
        <v>6519</v>
      </c>
    </row>
    <row r="6508" spans="1:13" x14ac:dyDescent="0.3">
      <c r="A6508" s="160">
        <v>56219</v>
      </c>
      <c r="B6508" t="s">
        <v>21678</v>
      </c>
      <c r="C6508" t="s">
        <v>21579</v>
      </c>
      <c r="D6508">
        <v>0.4</v>
      </c>
      <c r="E6508">
        <v>0</v>
      </c>
      <c r="F6508">
        <f t="shared" si="101"/>
        <v>0.4</v>
      </c>
      <c r="I6508">
        <v>20230201</v>
      </c>
      <c r="J6508" t="s">
        <v>6517</v>
      </c>
    </row>
    <row r="6509" spans="1:13" x14ac:dyDescent="0.3">
      <c r="A6509" s="160">
        <v>56224</v>
      </c>
      <c r="B6509" t="s">
        <v>21679</v>
      </c>
      <c r="C6509" t="s">
        <v>21579</v>
      </c>
      <c r="D6509">
        <v>0.4</v>
      </c>
      <c r="E6509">
        <v>0</v>
      </c>
      <c r="F6509">
        <f t="shared" si="101"/>
        <v>0.4</v>
      </c>
      <c r="I6509">
        <v>20230201</v>
      </c>
      <c r="J6509" t="s">
        <v>21584</v>
      </c>
    </row>
    <row r="6510" spans="1:13" x14ac:dyDescent="0.3">
      <c r="A6510" s="160">
        <v>56225</v>
      </c>
      <c r="B6510" t="s">
        <v>21680</v>
      </c>
      <c r="C6510" t="s">
        <v>6419</v>
      </c>
      <c r="D6510">
        <v>0.55000000000000004</v>
      </c>
      <c r="E6510">
        <v>0</v>
      </c>
      <c r="F6510">
        <f t="shared" si="101"/>
        <v>0.55000000000000004</v>
      </c>
      <c r="I6510">
        <v>20220701</v>
      </c>
      <c r="J6510" t="s">
        <v>6420</v>
      </c>
    </row>
    <row r="6511" spans="1:13" x14ac:dyDescent="0.3">
      <c r="A6511" s="160">
        <v>56226</v>
      </c>
      <c r="B6511" t="s">
        <v>21681</v>
      </c>
      <c r="C6511" t="s">
        <v>21579</v>
      </c>
      <c r="D6511">
        <v>0.4</v>
      </c>
      <c r="E6511">
        <v>0</v>
      </c>
      <c r="F6511">
        <f t="shared" si="101"/>
        <v>0.4</v>
      </c>
      <c r="I6511">
        <v>20230201</v>
      </c>
      <c r="J6511" t="s">
        <v>21582</v>
      </c>
    </row>
    <row r="6512" spans="1:13" x14ac:dyDescent="0.3">
      <c r="A6512" s="160">
        <v>56227</v>
      </c>
      <c r="B6512" t="s">
        <v>21682</v>
      </c>
      <c r="C6512" t="s">
        <v>6419</v>
      </c>
      <c r="D6512">
        <v>0.55000000000000004</v>
      </c>
      <c r="E6512">
        <v>0</v>
      </c>
      <c r="F6512">
        <f t="shared" si="101"/>
        <v>0.55000000000000004</v>
      </c>
      <c r="I6512">
        <v>20220701</v>
      </c>
      <c r="J6512" t="s">
        <v>6439</v>
      </c>
    </row>
    <row r="6513" spans="1:15" x14ac:dyDescent="0.3">
      <c r="A6513" s="160">
        <v>56228</v>
      </c>
      <c r="B6513" t="s">
        <v>17804</v>
      </c>
      <c r="C6513" t="s">
        <v>21579</v>
      </c>
      <c r="D6513">
        <v>0.4</v>
      </c>
      <c r="E6513">
        <v>0</v>
      </c>
      <c r="F6513">
        <f t="shared" si="101"/>
        <v>0.4</v>
      </c>
      <c r="I6513">
        <v>20230201</v>
      </c>
      <c r="J6513" t="s">
        <v>21584</v>
      </c>
    </row>
    <row r="6514" spans="1:15" x14ac:dyDescent="0.3">
      <c r="A6514" s="160">
        <v>56229</v>
      </c>
      <c r="B6514" t="s">
        <v>21683</v>
      </c>
      <c r="C6514" t="s">
        <v>21579</v>
      </c>
      <c r="D6514">
        <v>0.4</v>
      </c>
      <c r="E6514">
        <v>0</v>
      </c>
      <c r="F6514">
        <f t="shared" si="101"/>
        <v>0.4</v>
      </c>
      <c r="I6514">
        <v>20230201</v>
      </c>
      <c r="J6514" t="s">
        <v>21599</v>
      </c>
    </row>
    <row r="6515" spans="1:15" x14ac:dyDescent="0.3">
      <c r="A6515" s="160">
        <v>56230</v>
      </c>
      <c r="B6515" t="s">
        <v>21684</v>
      </c>
      <c r="C6515" t="s">
        <v>21579</v>
      </c>
      <c r="D6515">
        <v>0.4</v>
      </c>
      <c r="E6515">
        <v>0</v>
      </c>
      <c r="F6515">
        <f t="shared" si="101"/>
        <v>0.4</v>
      </c>
      <c r="I6515">
        <v>20230201</v>
      </c>
      <c r="J6515" t="s">
        <v>21592</v>
      </c>
    </row>
    <row r="6516" spans="1:15" x14ac:dyDescent="0.3">
      <c r="A6516" s="160">
        <v>56231</v>
      </c>
      <c r="B6516" t="s">
        <v>21685</v>
      </c>
      <c r="C6516" t="s">
        <v>6407</v>
      </c>
      <c r="D6516">
        <v>1.2</v>
      </c>
      <c r="E6516">
        <v>0</v>
      </c>
      <c r="F6516">
        <f t="shared" si="101"/>
        <v>1.2</v>
      </c>
      <c r="I6516">
        <v>20200101</v>
      </c>
      <c r="J6516" t="s">
        <v>6502</v>
      </c>
      <c r="K6516" t="s">
        <v>6503</v>
      </c>
      <c r="L6516" t="s">
        <v>6520</v>
      </c>
      <c r="M6516" t="s">
        <v>6521</v>
      </c>
      <c r="N6516" t="s">
        <v>6438</v>
      </c>
      <c r="O6516" t="s">
        <v>6493</v>
      </c>
    </row>
    <row r="6517" spans="1:15" x14ac:dyDescent="0.3">
      <c r="A6517" s="160">
        <v>56236</v>
      </c>
      <c r="B6517" t="s">
        <v>21686</v>
      </c>
      <c r="C6517" t="s">
        <v>6419</v>
      </c>
      <c r="D6517">
        <v>0.55000000000000004</v>
      </c>
      <c r="E6517">
        <v>0</v>
      </c>
      <c r="F6517">
        <f t="shared" si="101"/>
        <v>0.55000000000000004</v>
      </c>
      <c r="I6517">
        <v>20220701</v>
      </c>
      <c r="J6517" t="s">
        <v>6436</v>
      </c>
    </row>
    <row r="6518" spans="1:15" x14ac:dyDescent="0.3">
      <c r="A6518" s="160">
        <v>56240</v>
      </c>
      <c r="B6518" t="s">
        <v>21687</v>
      </c>
      <c r="C6518" t="s">
        <v>6407</v>
      </c>
      <c r="D6518">
        <v>1.2</v>
      </c>
      <c r="E6518">
        <v>0</v>
      </c>
      <c r="F6518">
        <f t="shared" si="101"/>
        <v>1.2</v>
      </c>
      <c r="I6518">
        <v>20200101</v>
      </c>
      <c r="J6518" t="s">
        <v>6522</v>
      </c>
    </row>
    <row r="6519" spans="1:15" x14ac:dyDescent="0.3">
      <c r="A6519" s="160">
        <v>56243</v>
      </c>
      <c r="B6519" t="s">
        <v>21688</v>
      </c>
      <c r="C6519" t="s">
        <v>6407</v>
      </c>
      <c r="D6519">
        <v>1.2</v>
      </c>
      <c r="E6519">
        <v>0</v>
      </c>
      <c r="F6519">
        <f t="shared" si="101"/>
        <v>1.2</v>
      </c>
      <c r="I6519">
        <v>20200101</v>
      </c>
      <c r="J6519" t="s">
        <v>6501</v>
      </c>
      <c r="K6519" t="s">
        <v>6408</v>
      </c>
      <c r="L6519" t="s">
        <v>6410</v>
      </c>
      <c r="M6519" t="s">
        <v>6523</v>
      </c>
      <c r="N6519" t="s">
        <v>6493</v>
      </c>
    </row>
    <row r="6520" spans="1:15" x14ac:dyDescent="0.3">
      <c r="A6520" s="160">
        <v>56244</v>
      </c>
      <c r="B6520" t="s">
        <v>21689</v>
      </c>
      <c r="C6520" t="s">
        <v>21579</v>
      </c>
      <c r="D6520">
        <v>0.4</v>
      </c>
      <c r="E6520">
        <v>0</v>
      </c>
      <c r="F6520">
        <f t="shared" si="101"/>
        <v>0.4</v>
      </c>
      <c r="I6520">
        <v>20230201</v>
      </c>
      <c r="J6520" t="s">
        <v>6517</v>
      </c>
    </row>
    <row r="6521" spans="1:15" x14ac:dyDescent="0.3">
      <c r="A6521" s="160">
        <v>56247</v>
      </c>
      <c r="B6521" t="s">
        <v>21690</v>
      </c>
      <c r="C6521" t="s">
        <v>6407</v>
      </c>
      <c r="D6521">
        <v>1.2</v>
      </c>
      <c r="E6521">
        <v>0</v>
      </c>
      <c r="F6521">
        <f t="shared" si="101"/>
        <v>1.2</v>
      </c>
      <c r="I6521">
        <v>20200101</v>
      </c>
      <c r="J6521" t="s">
        <v>6438</v>
      </c>
    </row>
    <row r="6522" spans="1:15" x14ac:dyDescent="0.3">
      <c r="A6522" s="160">
        <v>56248</v>
      </c>
      <c r="B6522" t="s">
        <v>21691</v>
      </c>
      <c r="C6522" t="s">
        <v>6407</v>
      </c>
      <c r="D6522">
        <v>1.2</v>
      </c>
      <c r="E6522">
        <v>0</v>
      </c>
      <c r="F6522">
        <f t="shared" si="101"/>
        <v>1.2</v>
      </c>
      <c r="I6522">
        <v>20200101</v>
      </c>
      <c r="J6522" t="s">
        <v>6451</v>
      </c>
    </row>
    <row r="6523" spans="1:15" x14ac:dyDescent="0.3">
      <c r="A6523" s="160">
        <v>56249</v>
      </c>
      <c r="B6523" t="s">
        <v>21692</v>
      </c>
      <c r="C6523" t="s">
        <v>6419</v>
      </c>
      <c r="D6523">
        <v>0.55000000000000004</v>
      </c>
      <c r="E6523">
        <v>0</v>
      </c>
      <c r="F6523">
        <f t="shared" si="101"/>
        <v>0.55000000000000004</v>
      </c>
      <c r="I6523">
        <v>20220701</v>
      </c>
      <c r="J6523" t="s">
        <v>6424</v>
      </c>
      <c r="K6523" t="s">
        <v>6507</v>
      </c>
      <c r="L6523" t="s">
        <v>6442</v>
      </c>
    </row>
    <row r="6524" spans="1:15" x14ac:dyDescent="0.3">
      <c r="A6524" s="160">
        <v>56251</v>
      </c>
      <c r="B6524" t="s">
        <v>21693</v>
      </c>
      <c r="C6524" t="s">
        <v>6407</v>
      </c>
      <c r="D6524">
        <v>1.2</v>
      </c>
      <c r="E6524">
        <v>0</v>
      </c>
      <c r="F6524">
        <f t="shared" si="101"/>
        <v>1.2</v>
      </c>
      <c r="I6524">
        <v>20200101</v>
      </c>
      <c r="J6524" t="s">
        <v>6408</v>
      </c>
      <c r="K6524" t="s">
        <v>6503</v>
      </c>
      <c r="L6524" t="s">
        <v>6410</v>
      </c>
      <c r="M6524" t="s">
        <v>6451</v>
      </c>
    </row>
    <row r="6525" spans="1:15" x14ac:dyDescent="0.3">
      <c r="A6525" s="160">
        <v>56252</v>
      </c>
      <c r="B6525" t="s">
        <v>21694</v>
      </c>
      <c r="C6525" t="s">
        <v>6407</v>
      </c>
      <c r="D6525">
        <v>1.2</v>
      </c>
      <c r="E6525">
        <v>0</v>
      </c>
      <c r="F6525">
        <f t="shared" si="101"/>
        <v>1.2</v>
      </c>
      <c r="I6525">
        <v>20200101</v>
      </c>
      <c r="J6525" t="s">
        <v>6522</v>
      </c>
    </row>
    <row r="6526" spans="1:15" x14ac:dyDescent="0.3">
      <c r="A6526" s="160">
        <v>56253</v>
      </c>
      <c r="B6526" t="s">
        <v>21695</v>
      </c>
      <c r="C6526" t="s">
        <v>21579</v>
      </c>
      <c r="D6526">
        <v>0.4</v>
      </c>
      <c r="E6526">
        <v>0</v>
      </c>
      <c r="F6526">
        <f t="shared" si="101"/>
        <v>0.4</v>
      </c>
      <c r="I6526">
        <v>20230201</v>
      </c>
      <c r="J6526" t="s">
        <v>21584</v>
      </c>
    </row>
    <row r="6527" spans="1:15" x14ac:dyDescent="0.3">
      <c r="A6527" s="160">
        <v>56254</v>
      </c>
      <c r="B6527" t="s">
        <v>21696</v>
      </c>
      <c r="C6527" t="s">
        <v>6407</v>
      </c>
      <c r="D6527">
        <v>1.2</v>
      </c>
      <c r="E6527">
        <v>0</v>
      </c>
      <c r="F6527">
        <f t="shared" si="101"/>
        <v>1.2</v>
      </c>
      <c r="I6527">
        <v>20200101</v>
      </c>
      <c r="J6527" t="s">
        <v>6438</v>
      </c>
    </row>
    <row r="6528" spans="1:15" x14ac:dyDescent="0.3">
      <c r="A6528" s="160">
        <v>56255</v>
      </c>
      <c r="B6528" t="s">
        <v>21697</v>
      </c>
      <c r="C6528" t="s">
        <v>6407</v>
      </c>
      <c r="D6528">
        <v>1.2</v>
      </c>
      <c r="E6528">
        <v>0</v>
      </c>
      <c r="F6528">
        <f t="shared" si="101"/>
        <v>1.2</v>
      </c>
      <c r="I6528">
        <v>20200101</v>
      </c>
      <c r="J6528" t="s">
        <v>6438</v>
      </c>
    </row>
    <row r="6529" spans="1:38" x14ac:dyDescent="0.3">
      <c r="A6529" s="160">
        <v>56256</v>
      </c>
      <c r="B6529" t="s">
        <v>21698</v>
      </c>
      <c r="C6529" t="s">
        <v>6419</v>
      </c>
      <c r="D6529">
        <v>0.55000000000000004</v>
      </c>
      <c r="E6529">
        <v>0</v>
      </c>
      <c r="F6529">
        <f t="shared" si="101"/>
        <v>0.55000000000000004</v>
      </c>
      <c r="I6529">
        <v>20220701</v>
      </c>
      <c r="J6529" t="s">
        <v>6420</v>
      </c>
    </row>
    <row r="6530" spans="1:38" x14ac:dyDescent="0.3">
      <c r="A6530" s="160">
        <v>56257</v>
      </c>
      <c r="B6530" t="s">
        <v>21699</v>
      </c>
      <c r="C6530" t="s">
        <v>6419</v>
      </c>
      <c r="D6530">
        <v>0.55000000000000004</v>
      </c>
      <c r="E6530">
        <v>0</v>
      </c>
      <c r="F6530">
        <f t="shared" si="101"/>
        <v>0.55000000000000004</v>
      </c>
      <c r="I6530">
        <v>20220701</v>
      </c>
      <c r="J6530" t="s">
        <v>6439</v>
      </c>
    </row>
    <row r="6531" spans="1:38" x14ac:dyDescent="0.3">
      <c r="A6531" s="160">
        <v>56259</v>
      </c>
      <c r="B6531" t="s">
        <v>21700</v>
      </c>
      <c r="C6531" t="s">
        <v>6407</v>
      </c>
      <c r="D6531">
        <v>1.2</v>
      </c>
      <c r="E6531">
        <v>0</v>
      </c>
      <c r="F6531">
        <f t="shared" si="101"/>
        <v>1.2</v>
      </c>
      <c r="I6531">
        <v>20200101</v>
      </c>
      <c r="J6531" t="s">
        <v>6524</v>
      </c>
    </row>
    <row r="6532" spans="1:38" x14ac:dyDescent="0.3">
      <c r="A6532" s="160">
        <v>56260</v>
      </c>
      <c r="B6532" t="s">
        <v>21701</v>
      </c>
      <c r="C6532" t="s">
        <v>6407</v>
      </c>
      <c r="D6532">
        <v>1.2</v>
      </c>
      <c r="E6532">
        <v>0</v>
      </c>
      <c r="F6532">
        <f t="shared" si="101"/>
        <v>1.2</v>
      </c>
      <c r="I6532">
        <v>20200101</v>
      </c>
      <c r="J6532" t="s">
        <v>6525</v>
      </c>
      <c r="K6532" t="s">
        <v>6526</v>
      </c>
      <c r="L6532" t="s">
        <v>6500</v>
      </c>
      <c r="M6532" t="s">
        <v>6501</v>
      </c>
      <c r="N6532" t="s">
        <v>6408</v>
      </c>
      <c r="O6532" t="s">
        <v>6409</v>
      </c>
      <c r="P6532" t="s">
        <v>6502</v>
      </c>
      <c r="Q6532" t="s">
        <v>6503</v>
      </c>
      <c r="R6532" t="s">
        <v>6504</v>
      </c>
      <c r="S6532" t="s">
        <v>6520</v>
      </c>
      <c r="T6532" t="s">
        <v>6505</v>
      </c>
      <c r="U6532" t="s">
        <v>6521</v>
      </c>
      <c r="V6532" t="s">
        <v>6527</v>
      </c>
      <c r="W6532" t="s">
        <v>6528</v>
      </c>
      <c r="X6532" t="s">
        <v>6529</v>
      </c>
      <c r="Y6532" t="s">
        <v>6530</v>
      </c>
      <c r="Z6532" t="s">
        <v>6531</v>
      </c>
      <c r="AA6532" t="s">
        <v>6532</v>
      </c>
      <c r="AB6532" t="s">
        <v>6533</v>
      </c>
      <c r="AC6532" t="s">
        <v>6534</v>
      </c>
      <c r="AD6532" t="s">
        <v>6535</v>
      </c>
      <c r="AE6532" t="s">
        <v>6536</v>
      </c>
      <c r="AF6532" t="s">
        <v>6410</v>
      </c>
      <c r="AG6532" t="s">
        <v>6537</v>
      </c>
      <c r="AH6532" t="s">
        <v>6538</v>
      </c>
      <c r="AI6532" t="s">
        <v>6491</v>
      </c>
      <c r="AJ6532" t="s">
        <v>6539</v>
      </c>
      <c r="AK6532" t="s">
        <v>6540</v>
      </c>
      <c r="AL6532" t="s">
        <v>6541</v>
      </c>
    </row>
    <row r="6533" spans="1:38" x14ac:dyDescent="0.3">
      <c r="A6533" s="160">
        <v>56262</v>
      </c>
      <c r="B6533" t="s">
        <v>21702</v>
      </c>
      <c r="C6533" t="s">
        <v>6407</v>
      </c>
      <c r="D6533">
        <v>1.2</v>
      </c>
      <c r="E6533">
        <v>0</v>
      </c>
      <c r="F6533">
        <f t="shared" si="101"/>
        <v>1.2</v>
      </c>
      <c r="I6533">
        <v>20200101</v>
      </c>
      <c r="J6533" t="s">
        <v>6510</v>
      </c>
      <c r="K6533" t="s">
        <v>6413</v>
      </c>
    </row>
    <row r="6534" spans="1:38" x14ac:dyDescent="0.3">
      <c r="A6534" s="160">
        <v>57003</v>
      </c>
      <c r="B6534" t="s">
        <v>21703</v>
      </c>
      <c r="C6534" t="s">
        <v>6542</v>
      </c>
      <c r="D6534">
        <v>0.3</v>
      </c>
      <c r="E6534">
        <v>0</v>
      </c>
      <c r="F6534">
        <f t="shared" si="101"/>
        <v>0.3</v>
      </c>
      <c r="I6534">
        <v>20180101</v>
      </c>
      <c r="J6534" t="s">
        <v>6543</v>
      </c>
    </row>
    <row r="6535" spans="1:38" x14ac:dyDescent="0.3">
      <c r="A6535" s="160">
        <v>57012</v>
      </c>
      <c r="B6535" t="s">
        <v>21704</v>
      </c>
      <c r="C6535" t="s">
        <v>6544</v>
      </c>
      <c r="D6535">
        <v>1.75</v>
      </c>
      <c r="E6535">
        <v>0</v>
      </c>
      <c r="F6535">
        <f t="shared" ref="F6535:F6598" si="102">D6535+E6535</f>
        <v>1.75</v>
      </c>
      <c r="I6535">
        <v>20100212</v>
      </c>
      <c r="J6535" t="s">
        <v>6545</v>
      </c>
      <c r="K6535" t="s">
        <v>6546</v>
      </c>
      <c r="L6535" t="s">
        <v>6547</v>
      </c>
      <c r="M6535" t="s">
        <v>6548</v>
      </c>
    </row>
    <row r="6536" spans="1:38" x14ac:dyDescent="0.3">
      <c r="A6536" s="160">
        <v>57013</v>
      </c>
      <c r="B6536" t="s">
        <v>21705</v>
      </c>
      <c r="C6536" t="s">
        <v>6549</v>
      </c>
      <c r="D6536">
        <v>0.6</v>
      </c>
      <c r="E6536">
        <v>0</v>
      </c>
      <c r="F6536">
        <f t="shared" si="102"/>
        <v>0.6</v>
      </c>
      <c r="I6536">
        <v>20030101</v>
      </c>
      <c r="J6536" t="s">
        <v>6550</v>
      </c>
      <c r="K6536" t="s">
        <v>6551</v>
      </c>
    </row>
    <row r="6537" spans="1:38" x14ac:dyDescent="0.3">
      <c r="A6537" s="160">
        <v>57014</v>
      </c>
      <c r="B6537" t="s">
        <v>21706</v>
      </c>
      <c r="C6537" t="s">
        <v>6552</v>
      </c>
      <c r="D6537">
        <v>0.6</v>
      </c>
      <c r="E6537">
        <v>0</v>
      </c>
      <c r="F6537">
        <f t="shared" si="102"/>
        <v>0.6</v>
      </c>
      <c r="I6537">
        <v>20180701</v>
      </c>
      <c r="J6537" t="s">
        <v>6553</v>
      </c>
    </row>
    <row r="6538" spans="1:38" x14ac:dyDescent="0.3">
      <c r="A6538" s="160">
        <v>57015</v>
      </c>
      <c r="B6538" t="s">
        <v>21707</v>
      </c>
      <c r="C6538" t="s">
        <v>6552</v>
      </c>
      <c r="D6538">
        <v>0.6</v>
      </c>
      <c r="E6538">
        <v>0</v>
      </c>
      <c r="F6538">
        <f t="shared" si="102"/>
        <v>0.6</v>
      </c>
      <c r="I6538">
        <v>20180701</v>
      </c>
      <c r="J6538" t="s">
        <v>6554</v>
      </c>
    </row>
    <row r="6539" spans="1:38" x14ac:dyDescent="0.3">
      <c r="A6539" s="160">
        <v>57017</v>
      </c>
      <c r="B6539" t="s">
        <v>21708</v>
      </c>
      <c r="C6539" t="s">
        <v>6555</v>
      </c>
      <c r="D6539">
        <v>2</v>
      </c>
      <c r="E6539">
        <v>0</v>
      </c>
      <c r="F6539">
        <f t="shared" si="102"/>
        <v>2</v>
      </c>
      <c r="I6539">
        <v>20150101</v>
      </c>
      <c r="J6539" t="s">
        <v>6556</v>
      </c>
    </row>
    <row r="6540" spans="1:38" x14ac:dyDescent="0.3">
      <c r="A6540" s="160">
        <v>57021</v>
      </c>
      <c r="B6540" t="s">
        <v>21709</v>
      </c>
      <c r="C6540" t="s">
        <v>6149</v>
      </c>
      <c r="D6540">
        <v>0.55000000000000004</v>
      </c>
      <c r="E6540">
        <v>0</v>
      </c>
      <c r="F6540">
        <f t="shared" si="102"/>
        <v>0.55000000000000004</v>
      </c>
      <c r="I6540">
        <v>20190701</v>
      </c>
      <c r="J6540" t="s">
        <v>6557</v>
      </c>
      <c r="K6540" t="s">
        <v>6558</v>
      </c>
    </row>
    <row r="6541" spans="1:38" x14ac:dyDescent="0.3">
      <c r="A6541" s="160">
        <v>57022</v>
      </c>
      <c r="B6541" t="s">
        <v>21710</v>
      </c>
      <c r="C6541" t="s">
        <v>6544</v>
      </c>
      <c r="D6541">
        <v>1.75</v>
      </c>
      <c r="E6541">
        <v>0</v>
      </c>
      <c r="F6541">
        <f t="shared" si="102"/>
        <v>1.75</v>
      </c>
      <c r="I6541">
        <v>20100212</v>
      </c>
      <c r="J6541" t="s">
        <v>6545</v>
      </c>
    </row>
    <row r="6542" spans="1:38" x14ac:dyDescent="0.3">
      <c r="A6542" s="160">
        <v>57030</v>
      </c>
      <c r="B6542" t="s">
        <v>21711</v>
      </c>
      <c r="C6542" t="s">
        <v>6149</v>
      </c>
      <c r="D6542">
        <v>0.55000000000000004</v>
      </c>
      <c r="E6542">
        <v>0</v>
      </c>
      <c r="F6542">
        <f t="shared" si="102"/>
        <v>0.55000000000000004</v>
      </c>
      <c r="I6542">
        <v>20190701</v>
      </c>
      <c r="J6542" t="s">
        <v>6559</v>
      </c>
    </row>
    <row r="6543" spans="1:38" x14ac:dyDescent="0.3">
      <c r="A6543" s="160">
        <v>57031</v>
      </c>
      <c r="B6543" t="s">
        <v>21712</v>
      </c>
      <c r="C6543" t="s">
        <v>6555</v>
      </c>
      <c r="D6543">
        <v>2</v>
      </c>
      <c r="E6543">
        <v>0</v>
      </c>
      <c r="F6543">
        <f t="shared" si="102"/>
        <v>2</v>
      </c>
      <c r="I6543">
        <v>20150101</v>
      </c>
      <c r="J6543" t="s">
        <v>6560</v>
      </c>
      <c r="K6543" t="s">
        <v>6561</v>
      </c>
      <c r="L6543" t="s">
        <v>6562</v>
      </c>
      <c r="M6543" t="s">
        <v>6563</v>
      </c>
      <c r="N6543" t="s">
        <v>6564</v>
      </c>
    </row>
    <row r="6544" spans="1:38" x14ac:dyDescent="0.3">
      <c r="A6544" s="160">
        <v>57032</v>
      </c>
      <c r="B6544" t="s">
        <v>21713</v>
      </c>
      <c r="C6544" t="s">
        <v>6555</v>
      </c>
      <c r="D6544">
        <v>2</v>
      </c>
      <c r="E6544">
        <v>0</v>
      </c>
      <c r="F6544">
        <f t="shared" si="102"/>
        <v>2</v>
      </c>
      <c r="I6544">
        <v>20150101</v>
      </c>
      <c r="J6544" t="s">
        <v>6557</v>
      </c>
      <c r="K6544" t="s">
        <v>6558</v>
      </c>
      <c r="L6544" t="s">
        <v>6565</v>
      </c>
      <c r="M6544" t="s">
        <v>6566</v>
      </c>
      <c r="N6544" t="s">
        <v>6567</v>
      </c>
    </row>
    <row r="6545" spans="1:16" x14ac:dyDescent="0.3">
      <c r="A6545" s="160">
        <v>57034</v>
      </c>
      <c r="B6545" t="s">
        <v>21714</v>
      </c>
      <c r="C6545" t="s">
        <v>6542</v>
      </c>
      <c r="D6545">
        <v>0.3</v>
      </c>
      <c r="E6545">
        <v>0</v>
      </c>
      <c r="F6545">
        <f t="shared" si="102"/>
        <v>0.3</v>
      </c>
      <c r="I6545">
        <v>20180101</v>
      </c>
      <c r="J6545" t="s">
        <v>6568</v>
      </c>
    </row>
    <row r="6546" spans="1:16" x14ac:dyDescent="0.3">
      <c r="A6546" s="160">
        <v>57035</v>
      </c>
      <c r="B6546" t="s">
        <v>21715</v>
      </c>
      <c r="C6546" t="s">
        <v>6542</v>
      </c>
      <c r="D6546">
        <v>0.3</v>
      </c>
      <c r="E6546">
        <v>0</v>
      </c>
      <c r="F6546">
        <f t="shared" si="102"/>
        <v>0.3</v>
      </c>
      <c r="I6546">
        <v>20240101</v>
      </c>
      <c r="J6546" t="s">
        <v>6569</v>
      </c>
    </row>
    <row r="6547" spans="1:16" x14ac:dyDescent="0.3">
      <c r="A6547" s="160">
        <v>57039</v>
      </c>
      <c r="B6547" t="s">
        <v>21716</v>
      </c>
      <c r="C6547" t="s">
        <v>6555</v>
      </c>
      <c r="D6547">
        <v>2</v>
      </c>
      <c r="E6547">
        <v>0</v>
      </c>
      <c r="F6547">
        <f t="shared" si="102"/>
        <v>2</v>
      </c>
      <c r="I6547">
        <v>20150101</v>
      </c>
      <c r="J6547" t="s">
        <v>6570</v>
      </c>
      <c r="K6547" t="s">
        <v>6571</v>
      </c>
      <c r="L6547" t="s">
        <v>6572</v>
      </c>
      <c r="M6547" t="s">
        <v>6573</v>
      </c>
    </row>
    <row r="6548" spans="1:16" x14ac:dyDescent="0.3">
      <c r="A6548" s="160">
        <v>57042</v>
      </c>
      <c r="B6548" t="s">
        <v>21142</v>
      </c>
      <c r="C6548" t="s">
        <v>6542</v>
      </c>
      <c r="D6548">
        <v>0.3</v>
      </c>
      <c r="E6548">
        <v>0</v>
      </c>
      <c r="F6548">
        <f t="shared" si="102"/>
        <v>0.3</v>
      </c>
      <c r="I6548">
        <v>20240101</v>
      </c>
      <c r="J6548" t="s">
        <v>6574</v>
      </c>
    </row>
    <row r="6549" spans="1:16" x14ac:dyDescent="0.3">
      <c r="A6549" s="160">
        <v>57044</v>
      </c>
      <c r="B6549" t="s">
        <v>21717</v>
      </c>
      <c r="C6549" t="s">
        <v>6542</v>
      </c>
      <c r="D6549">
        <v>0.3</v>
      </c>
      <c r="E6549">
        <v>0</v>
      </c>
      <c r="F6549">
        <f t="shared" si="102"/>
        <v>0.3</v>
      </c>
      <c r="I6549">
        <v>20240101</v>
      </c>
      <c r="J6549" t="s">
        <v>6574</v>
      </c>
    </row>
    <row r="6550" spans="1:16" x14ac:dyDescent="0.3">
      <c r="A6550" s="160">
        <v>57049</v>
      </c>
      <c r="B6550" t="s">
        <v>21718</v>
      </c>
      <c r="C6550" t="s">
        <v>6555</v>
      </c>
      <c r="D6550">
        <v>2</v>
      </c>
      <c r="E6550">
        <v>0</v>
      </c>
      <c r="F6550">
        <f t="shared" si="102"/>
        <v>2</v>
      </c>
      <c r="I6550">
        <v>20150101</v>
      </c>
      <c r="J6550" t="s">
        <v>6575</v>
      </c>
      <c r="K6550" t="s">
        <v>6576</v>
      </c>
      <c r="L6550" t="s">
        <v>6577</v>
      </c>
      <c r="M6550" t="s">
        <v>6578</v>
      </c>
      <c r="N6550" t="s">
        <v>6579</v>
      </c>
      <c r="O6550" t="s">
        <v>6580</v>
      </c>
      <c r="P6550" t="s">
        <v>6581</v>
      </c>
    </row>
    <row r="6551" spans="1:16" x14ac:dyDescent="0.3">
      <c r="A6551" s="160">
        <v>57050</v>
      </c>
      <c r="B6551" t="s">
        <v>21719</v>
      </c>
      <c r="C6551" t="s">
        <v>6542</v>
      </c>
      <c r="D6551">
        <v>0.3</v>
      </c>
      <c r="E6551">
        <v>0</v>
      </c>
      <c r="F6551">
        <f t="shared" si="102"/>
        <v>0.3</v>
      </c>
      <c r="I6551">
        <v>20180101</v>
      </c>
      <c r="J6551" t="s">
        <v>6582</v>
      </c>
    </row>
    <row r="6552" spans="1:16" x14ac:dyDescent="0.3">
      <c r="A6552" s="160">
        <v>57051</v>
      </c>
      <c r="B6552" t="s">
        <v>21720</v>
      </c>
      <c r="C6552" t="s">
        <v>6552</v>
      </c>
      <c r="D6552">
        <v>0.6</v>
      </c>
      <c r="E6552">
        <v>0</v>
      </c>
      <c r="F6552">
        <f t="shared" si="102"/>
        <v>0.6</v>
      </c>
      <c r="I6552">
        <v>20180701</v>
      </c>
      <c r="J6552" t="s">
        <v>6583</v>
      </c>
    </row>
    <row r="6553" spans="1:16" x14ac:dyDescent="0.3">
      <c r="A6553" s="160">
        <v>57056</v>
      </c>
      <c r="B6553" t="s">
        <v>21721</v>
      </c>
      <c r="C6553" t="s">
        <v>6542</v>
      </c>
      <c r="D6553">
        <v>0.3</v>
      </c>
      <c r="E6553">
        <v>0</v>
      </c>
      <c r="F6553">
        <f t="shared" si="102"/>
        <v>0.3</v>
      </c>
      <c r="I6553">
        <v>20100101</v>
      </c>
      <c r="J6553" t="s">
        <v>6584</v>
      </c>
      <c r="K6553" t="s">
        <v>6582</v>
      </c>
    </row>
    <row r="6554" spans="1:16" x14ac:dyDescent="0.3">
      <c r="A6554" s="160">
        <v>57058</v>
      </c>
      <c r="B6554" t="s">
        <v>21722</v>
      </c>
      <c r="C6554" t="s">
        <v>6549</v>
      </c>
      <c r="D6554">
        <v>0.6</v>
      </c>
      <c r="E6554">
        <v>0</v>
      </c>
      <c r="F6554">
        <f t="shared" si="102"/>
        <v>0.6</v>
      </c>
      <c r="I6554">
        <v>20030101</v>
      </c>
      <c r="J6554" t="s">
        <v>6585</v>
      </c>
      <c r="K6554" t="s">
        <v>6551</v>
      </c>
      <c r="L6554" t="s">
        <v>6586</v>
      </c>
      <c r="M6554" t="s">
        <v>6587</v>
      </c>
    </row>
    <row r="6555" spans="1:16" x14ac:dyDescent="0.3">
      <c r="A6555" s="160">
        <v>57063</v>
      </c>
      <c r="B6555" t="s">
        <v>21723</v>
      </c>
      <c r="C6555" t="s">
        <v>6552</v>
      </c>
      <c r="D6555">
        <v>0.6</v>
      </c>
      <c r="E6555">
        <v>0</v>
      </c>
      <c r="F6555">
        <f t="shared" si="102"/>
        <v>0.6</v>
      </c>
      <c r="I6555">
        <v>20180701</v>
      </c>
      <c r="J6555" t="s">
        <v>6553</v>
      </c>
    </row>
    <row r="6556" spans="1:16" x14ac:dyDescent="0.3">
      <c r="A6556" s="160">
        <v>57066</v>
      </c>
      <c r="B6556" t="s">
        <v>21724</v>
      </c>
      <c r="C6556" t="s">
        <v>6542</v>
      </c>
      <c r="D6556">
        <v>0.3</v>
      </c>
      <c r="E6556">
        <v>0</v>
      </c>
      <c r="F6556">
        <f t="shared" si="102"/>
        <v>0.3</v>
      </c>
      <c r="I6556">
        <v>20180101</v>
      </c>
      <c r="J6556" t="s">
        <v>6588</v>
      </c>
    </row>
    <row r="6557" spans="1:16" x14ac:dyDescent="0.3">
      <c r="A6557" s="160">
        <v>57067</v>
      </c>
      <c r="B6557" t="s">
        <v>21725</v>
      </c>
      <c r="C6557" t="s">
        <v>6544</v>
      </c>
      <c r="D6557">
        <v>1.75</v>
      </c>
      <c r="E6557">
        <v>0</v>
      </c>
      <c r="F6557">
        <f t="shared" si="102"/>
        <v>1.75</v>
      </c>
      <c r="I6557">
        <v>20100212</v>
      </c>
      <c r="J6557" t="s">
        <v>6589</v>
      </c>
    </row>
    <row r="6558" spans="1:16" x14ac:dyDescent="0.3">
      <c r="A6558" s="160">
        <v>57071</v>
      </c>
      <c r="B6558" t="s">
        <v>21726</v>
      </c>
      <c r="C6558" t="s">
        <v>6542</v>
      </c>
      <c r="D6558">
        <v>0.3</v>
      </c>
      <c r="E6558">
        <v>0</v>
      </c>
      <c r="F6558">
        <f t="shared" si="102"/>
        <v>0.3</v>
      </c>
      <c r="I6558">
        <v>20180101</v>
      </c>
      <c r="J6558" t="s">
        <v>6588</v>
      </c>
    </row>
    <row r="6559" spans="1:16" x14ac:dyDescent="0.3">
      <c r="A6559" s="160">
        <v>57080</v>
      </c>
      <c r="B6559" t="s">
        <v>21727</v>
      </c>
      <c r="C6559" t="s">
        <v>6542</v>
      </c>
      <c r="D6559">
        <v>0.3</v>
      </c>
      <c r="E6559">
        <v>0</v>
      </c>
      <c r="F6559">
        <f t="shared" si="102"/>
        <v>0.3</v>
      </c>
      <c r="I6559">
        <v>20180101</v>
      </c>
      <c r="J6559" t="s">
        <v>6590</v>
      </c>
    </row>
    <row r="6560" spans="1:16" x14ac:dyDescent="0.3">
      <c r="A6560" s="160">
        <v>57082</v>
      </c>
      <c r="B6560" t="s">
        <v>21728</v>
      </c>
      <c r="C6560" t="s">
        <v>6552</v>
      </c>
      <c r="D6560">
        <v>0.6</v>
      </c>
      <c r="E6560">
        <v>0</v>
      </c>
      <c r="F6560">
        <f t="shared" si="102"/>
        <v>0.6</v>
      </c>
      <c r="I6560">
        <v>20180701</v>
      </c>
      <c r="J6560" t="s">
        <v>6553</v>
      </c>
    </row>
    <row r="6561" spans="1:13" x14ac:dyDescent="0.3">
      <c r="A6561" s="160">
        <v>57086</v>
      </c>
      <c r="B6561" t="s">
        <v>21729</v>
      </c>
      <c r="C6561" t="s">
        <v>6542</v>
      </c>
      <c r="D6561">
        <v>0.3</v>
      </c>
      <c r="E6561">
        <v>0</v>
      </c>
      <c r="F6561">
        <f t="shared" si="102"/>
        <v>0.3</v>
      </c>
      <c r="I6561">
        <v>20180101</v>
      </c>
      <c r="J6561" t="s">
        <v>6588</v>
      </c>
    </row>
    <row r="6562" spans="1:13" x14ac:dyDescent="0.3">
      <c r="A6562" s="160">
        <v>57088</v>
      </c>
      <c r="B6562" t="s">
        <v>21730</v>
      </c>
      <c r="C6562" t="s">
        <v>6552</v>
      </c>
      <c r="D6562">
        <v>0.6</v>
      </c>
      <c r="E6562">
        <v>0</v>
      </c>
      <c r="F6562">
        <f t="shared" si="102"/>
        <v>0.6</v>
      </c>
      <c r="I6562">
        <v>20180701</v>
      </c>
      <c r="J6562" t="s">
        <v>6553</v>
      </c>
    </row>
    <row r="6563" spans="1:13" x14ac:dyDescent="0.3">
      <c r="A6563" s="160">
        <v>57091</v>
      </c>
      <c r="B6563" t="s">
        <v>21731</v>
      </c>
      <c r="C6563" t="s">
        <v>6591</v>
      </c>
      <c r="D6563">
        <v>0.55000000000000004</v>
      </c>
      <c r="E6563">
        <v>0</v>
      </c>
      <c r="F6563">
        <f t="shared" si="102"/>
        <v>0.55000000000000004</v>
      </c>
      <c r="I6563">
        <v>20020101</v>
      </c>
      <c r="J6563" t="s">
        <v>6592</v>
      </c>
      <c r="K6563" t="s">
        <v>6593</v>
      </c>
    </row>
    <row r="6564" spans="1:13" x14ac:dyDescent="0.3">
      <c r="A6564" s="160">
        <v>57092</v>
      </c>
      <c r="B6564" t="s">
        <v>21732</v>
      </c>
      <c r="C6564" t="s">
        <v>6591</v>
      </c>
      <c r="D6564">
        <v>0.55000000000000004</v>
      </c>
      <c r="E6564">
        <v>0</v>
      </c>
      <c r="F6564">
        <f t="shared" si="102"/>
        <v>0.55000000000000004</v>
      </c>
      <c r="I6564">
        <v>20020101</v>
      </c>
      <c r="J6564" t="s">
        <v>6592</v>
      </c>
    </row>
    <row r="6565" spans="1:13" x14ac:dyDescent="0.3">
      <c r="A6565" s="160">
        <v>57093</v>
      </c>
      <c r="B6565" t="s">
        <v>21733</v>
      </c>
      <c r="C6565" t="s">
        <v>6591</v>
      </c>
      <c r="D6565">
        <v>0.55000000000000004</v>
      </c>
      <c r="E6565">
        <v>0</v>
      </c>
      <c r="F6565">
        <f t="shared" si="102"/>
        <v>0.55000000000000004</v>
      </c>
      <c r="I6565">
        <v>20020101</v>
      </c>
      <c r="J6565" t="s">
        <v>6592</v>
      </c>
    </row>
    <row r="6566" spans="1:13" x14ac:dyDescent="0.3">
      <c r="A6566" s="160">
        <v>57096</v>
      </c>
      <c r="B6566" t="s">
        <v>21734</v>
      </c>
      <c r="C6566" t="s">
        <v>6544</v>
      </c>
      <c r="D6566">
        <v>1.75</v>
      </c>
      <c r="E6566">
        <v>0</v>
      </c>
      <c r="F6566">
        <f t="shared" si="102"/>
        <v>1.75</v>
      </c>
      <c r="I6566">
        <v>20100212</v>
      </c>
      <c r="J6566" t="s">
        <v>6594</v>
      </c>
    </row>
    <row r="6567" spans="1:13" x14ac:dyDescent="0.3">
      <c r="A6567" s="160">
        <v>57101</v>
      </c>
      <c r="B6567" t="s">
        <v>21735</v>
      </c>
      <c r="C6567" t="s">
        <v>6549</v>
      </c>
      <c r="D6567">
        <v>0.6</v>
      </c>
      <c r="E6567">
        <v>0</v>
      </c>
      <c r="F6567">
        <f t="shared" si="102"/>
        <v>0.6</v>
      </c>
      <c r="I6567">
        <v>20030101</v>
      </c>
      <c r="J6567" t="s">
        <v>6585</v>
      </c>
    </row>
    <row r="6568" spans="1:13" x14ac:dyDescent="0.3">
      <c r="A6568" s="160">
        <v>57105</v>
      </c>
      <c r="B6568" t="s">
        <v>21736</v>
      </c>
      <c r="C6568" t="s">
        <v>6552</v>
      </c>
      <c r="D6568">
        <v>0.6</v>
      </c>
      <c r="E6568">
        <v>0</v>
      </c>
      <c r="F6568">
        <f t="shared" si="102"/>
        <v>0.6</v>
      </c>
      <c r="I6568">
        <v>20180701</v>
      </c>
      <c r="J6568" t="s">
        <v>6595</v>
      </c>
    </row>
    <row r="6569" spans="1:13" x14ac:dyDescent="0.3">
      <c r="A6569" s="160">
        <v>57113</v>
      </c>
      <c r="B6569" t="s">
        <v>21737</v>
      </c>
      <c r="C6569" t="s">
        <v>6542</v>
      </c>
      <c r="D6569">
        <v>0.3</v>
      </c>
      <c r="E6569">
        <v>0</v>
      </c>
      <c r="F6569">
        <f t="shared" si="102"/>
        <v>0.3</v>
      </c>
      <c r="I6569">
        <v>20180101</v>
      </c>
      <c r="J6569" t="s">
        <v>6596</v>
      </c>
    </row>
    <row r="6570" spans="1:13" x14ac:dyDescent="0.3">
      <c r="A6570" s="160">
        <v>57115</v>
      </c>
      <c r="B6570" t="s">
        <v>21738</v>
      </c>
      <c r="C6570" t="s">
        <v>6552</v>
      </c>
      <c r="D6570">
        <v>0.6</v>
      </c>
      <c r="E6570">
        <v>0</v>
      </c>
      <c r="F6570">
        <f t="shared" si="102"/>
        <v>0.6</v>
      </c>
      <c r="I6570">
        <v>20180701</v>
      </c>
      <c r="J6570" t="s">
        <v>6583</v>
      </c>
    </row>
    <row r="6571" spans="1:13" x14ac:dyDescent="0.3">
      <c r="A6571" s="160">
        <v>57119</v>
      </c>
      <c r="B6571" t="s">
        <v>21739</v>
      </c>
      <c r="C6571" t="s">
        <v>6542</v>
      </c>
      <c r="D6571">
        <v>0.3</v>
      </c>
      <c r="E6571">
        <v>0</v>
      </c>
      <c r="F6571">
        <f t="shared" si="102"/>
        <v>0.3</v>
      </c>
      <c r="I6571">
        <v>20100101</v>
      </c>
      <c r="J6571" t="s">
        <v>6597</v>
      </c>
      <c r="K6571" t="s">
        <v>6584</v>
      </c>
      <c r="L6571" t="s">
        <v>6598</v>
      </c>
      <c r="M6571" t="s">
        <v>6599</v>
      </c>
    </row>
    <row r="6572" spans="1:13" x14ac:dyDescent="0.3">
      <c r="A6572" s="160">
        <v>57123</v>
      </c>
      <c r="B6572" t="s">
        <v>21740</v>
      </c>
      <c r="C6572" t="s">
        <v>6552</v>
      </c>
      <c r="D6572">
        <v>0.6</v>
      </c>
      <c r="E6572">
        <v>0</v>
      </c>
      <c r="F6572">
        <f t="shared" si="102"/>
        <v>0.6</v>
      </c>
      <c r="I6572">
        <v>20180701</v>
      </c>
      <c r="J6572" t="s">
        <v>6600</v>
      </c>
    </row>
    <row r="6573" spans="1:13" x14ac:dyDescent="0.3">
      <c r="A6573" s="160">
        <v>57124</v>
      </c>
      <c r="B6573" t="s">
        <v>21741</v>
      </c>
      <c r="C6573" t="s">
        <v>6544</v>
      </c>
      <c r="D6573">
        <v>1.75</v>
      </c>
      <c r="E6573">
        <v>0</v>
      </c>
      <c r="F6573">
        <f t="shared" si="102"/>
        <v>1.75</v>
      </c>
      <c r="I6573">
        <v>20100212</v>
      </c>
      <c r="J6573" t="s">
        <v>6601</v>
      </c>
    </row>
    <row r="6574" spans="1:13" x14ac:dyDescent="0.3">
      <c r="A6574" s="160">
        <v>57134</v>
      </c>
      <c r="B6574" t="s">
        <v>21742</v>
      </c>
      <c r="C6574" t="s">
        <v>6555</v>
      </c>
      <c r="D6574">
        <v>2</v>
      </c>
      <c r="E6574">
        <v>0</v>
      </c>
      <c r="F6574">
        <f t="shared" si="102"/>
        <v>2</v>
      </c>
      <c r="I6574">
        <v>20150101</v>
      </c>
      <c r="J6574" t="s">
        <v>6602</v>
      </c>
      <c r="K6574" t="s">
        <v>6603</v>
      </c>
      <c r="L6574" t="s">
        <v>6604</v>
      </c>
      <c r="M6574" t="s">
        <v>6605</v>
      </c>
    </row>
    <row r="6575" spans="1:13" x14ac:dyDescent="0.3">
      <c r="A6575" s="160">
        <v>57140</v>
      </c>
      <c r="B6575" t="s">
        <v>21743</v>
      </c>
      <c r="C6575" t="s">
        <v>6555</v>
      </c>
      <c r="D6575">
        <v>2</v>
      </c>
      <c r="E6575">
        <v>0</v>
      </c>
      <c r="F6575">
        <f t="shared" si="102"/>
        <v>2</v>
      </c>
      <c r="I6575">
        <v>20150101</v>
      </c>
      <c r="J6575" t="s">
        <v>6606</v>
      </c>
    </row>
    <row r="6576" spans="1:13" x14ac:dyDescent="0.3">
      <c r="A6576" s="160">
        <v>57142</v>
      </c>
      <c r="B6576" t="s">
        <v>21744</v>
      </c>
      <c r="C6576" t="s">
        <v>6555</v>
      </c>
      <c r="D6576">
        <v>2</v>
      </c>
      <c r="E6576">
        <v>0</v>
      </c>
      <c r="F6576">
        <f t="shared" si="102"/>
        <v>2</v>
      </c>
      <c r="I6576">
        <v>20150101</v>
      </c>
      <c r="J6576" t="s">
        <v>6607</v>
      </c>
    </row>
    <row r="6577" spans="1:12" x14ac:dyDescent="0.3">
      <c r="A6577" s="160">
        <v>57144</v>
      </c>
      <c r="B6577" t="s">
        <v>21745</v>
      </c>
      <c r="C6577" t="s">
        <v>6549</v>
      </c>
      <c r="D6577">
        <v>0.6</v>
      </c>
      <c r="E6577">
        <v>0</v>
      </c>
      <c r="F6577">
        <f t="shared" si="102"/>
        <v>0.6</v>
      </c>
      <c r="I6577">
        <v>20030101</v>
      </c>
      <c r="J6577" t="s">
        <v>6608</v>
      </c>
      <c r="K6577" t="s">
        <v>6609</v>
      </c>
      <c r="L6577" t="s">
        <v>6610</v>
      </c>
    </row>
    <row r="6578" spans="1:12" x14ac:dyDescent="0.3">
      <c r="A6578" s="160">
        <v>57146</v>
      </c>
      <c r="B6578" t="s">
        <v>21746</v>
      </c>
      <c r="C6578" t="s">
        <v>6555</v>
      </c>
      <c r="D6578">
        <v>2</v>
      </c>
      <c r="E6578">
        <v>0</v>
      </c>
      <c r="F6578">
        <f t="shared" si="102"/>
        <v>2</v>
      </c>
      <c r="I6578">
        <v>20150101</v>
      </c>
      <c r="J6578" t="s">
        <v>6611</v>
      </c>
    </row>
    <row r="6579" spans="1:12" x14ac:dyDescent="0.3">
      <c r="A6579" s="160">
        <v>57147</v>
      </c>
      <c r="B6579" t="s">
        <v>21747</v>
      </c>
      <c r="C6579" t="s">
        <v>6555</v>
      </c>
      <c r="D6579">
        <v>2</v>
      </c>
      <c r="E6579">
        <v>0</v>
      </c>
      <c r="F6579">
        <f t="shared" si="102"/>
        <v>2</v>
      </c>
      <c r="I6579">
        <v>20150101</v>
      </c>
      <c r="J6579" t="s">
        <v>6611</v>
      </c>
    </row>
    <row r="6580" spans="1:12" x14ac:dyDescent="0.3">
      <c r="A6580" s="160">
        <v>57153</v>
      </c>
      <c r="B6580" t="s">
        <v>21748</v>
      </c>
      <c r="C6580" t="s">
        <v>6149</v>
      </c>
      <c r="D6580">
        <v>0.55000000000000004</v>
      </c>
      <c r="E6580">
        <v>0</v>
      </c>
      <c r="F6580">
        <f t="shared" si="102"/>
        <v>0.55000000000000004</v>
      </c>
      <c r="I6580">
        <v>20190701</v>
      </c>
      <c r="J6580" t="s">
        <v>6559</v>
      </c>
    </row>
    <row r="6581" spans="1:12" x14ac:dyDescent="0.3">
      <c r="A6581" s="160">
        <v>57162</v>
      </c>
      <c r="B6581" t="s">
        <v>21749</v>
      </c>
      <c r="C6581" t="s">
        <v>6555</v>
      </c>
      <c r="D6581">
        <v>2</v>
      </c>
      <c r="E6581">
        <v>0</v>
      </c>
      <c r="F6581">
        <f t="shared" si="102"/>
        <v>2</v>
      </c>
      <c r="I6581">
        <v>20150101</v>
      </c>
      <c r="J6581" t="s">
        <v>6611</v>
      </c>
    </row>
    <row r="6582" spans="1:12" x14ac:dyDescent="0.3">
      <c r="A6582" s="160">
        <v>57173</v>
      </c>
      <c r="B6582" t="s">
        <v>21750</v>
      </c>
      <c r="C6582" t="s">
        <v>6542</v>
      </c>
      <c r="D6582">
        <v>0.3</v>
      </c>
      <c r="E6582">
        <v>0</v>
      </c>
      <c r="F6582">
        <f t="shared" si="102"/>
        <v>0.3</v>
      </c>
      <c r="I6582">
        <v>20180101</v>
      </c>
      <c r="J6582" t="s">
        <v>6569</v>
      </c>
    </row>
    <row r="6583" spans="1:12" x14ac:dyDescent="0.3">
      <c r="A6583" s="160">
        <v>57174</v>
      </c>
      <c r="B6583" t="s">
        <v>21751</v>
      </c>
      <c r="C6583" t="s">
        <v>6552</v>
      </c>
      <c r="D6583">
        <v>0.6</v>
      </c>
      <c r="E6583">
        <v>0</v>
      </c>
      <c r="F6583">
        <f t="shared" si="102"/>
        <v>0.6</v>
      </c>
      <c r="I6583">
        <v>20180701</v>
      </c>
      <c r="J6583" t="s">
        <v>6583</v>
      </c>
    </row>
    <row r="6584" spans="1:12" x14ac:dyDescent="0.3">
      <c r="A6584" s="160">
        <v>57175</v>
      </c>
      <c r="B6584" t="s">
        <v>21752</v>
      </c>
      <c r="C6584" t="s">
        <v>6542</v>
      </c>
      <c r="D6584">
        <v>0.3</v>
      </c>
      <c r="E6584">
        <v>0</v>
      </c>
      <c r="F6584">
        <f t="shared" si="102"/>
        <v>0.3</v>
      </c>
      <c r="I6584">
        <v>20240101</v>
      </c>
      <c r="J6584" t="s">
        <v>6582</v>
      </c>
    </row>
    <row r="6585" spans="1:12" x14ac:dyDescent="0.3">
      <c r="A6585" s="160">
        <v>57176</v>
      </c>
      <c r="B6585" t="s">
        <v>21753</v>
      </c>
      <c r="C6585" t="s">
        <v>6549</v>
      </c>
      <c r="D6585">
        <v>0.6</v>
      </c>
      <c r="E6585">
        <v>0</v>
      </c>
      <c r="F6585">
        <f t="shared" si="102"/>
        <v>0.6</v>
      </c>
      <c r="I6585">
        <v>20030101</v>
      </c>
      <c r="J6585" t="s">
        <v>6612</v>
      </c>
    </row>
    <row r="6586" spans="1:12" x14ac:dyDescent="0.3">
      <c r="A6586" s="160">
        <v>57178</v>
      </c>
      <c r="B6586" t="s">
        <v>21754</v>
      </c>
      <c r="C6586" t="s">
        <v>6552</v>
      </c>
      <c r="D6586">
        <v>0.6</v>
      </c>
      <c r="E6586">
        <v>0</v>
      </c>
      <c r="F6586">
        <f t="shared" si="102"/>
        <v>0.6</v>
      </c>
      <c r="I6586">
        <v>20180701</v>
      </c>
      <c r="J6586" t="s">
        <v>6553</v>
      </c>
    </row>
    <row r="6587" spans="1:12" x14ac:dyDescent="0.3">
      <c r="A6587" s="160">
        <v>57180</v>
      </c>
      <c r="B6587" t="s">
        <v>21755</v>
      </c>
      <c r="C6587" t="s">
        <v>6542</v>
      </c>
      <c r="D6587">
        <v>0.3</v>
      </c>
      <c r="E6587">
        <v>0</v>
      </c>
      <c r="F6587">
        <f t="shared" si="102"/>
        <v>0.3</v>
      </c>
      <c r="I6587">
        <v>20180101</v>
      </c>
      <c r="J6587" t="s">
        <v>6597</v>
      </c>
    </row>
    <row r="6588" spans="1:12" x14ac:dyDescent="0.3">
      <c r="A6588" s="160">
        <v>57184</v>
      </c>
      <c r="B6588" t="s">
        <v>21756</v>
      </c>
      <c r="C6588" t="s">
        <v>6149</v>
      </c>
      <c r="D6588">
        <v>0.55000000000000004</v>
      </c>
      <c r="E6588">
        <v>0</v>
      </c>
      <c r="F6588">
        <f t="shared" si="102"/>
        <v>0.55000000000000004</v>
      </c>
      <c r="I6588">
        <v>20190701</v>
      </c>
      <c r="J6588" t="s">
        <v>6557</v>
      </c>
    </row>
    <row r="6589" spans="1:12" x14ac:dyDescent="0.3">
      <c r="A6589" s="160">
        <v>57189</v>
      </c>
      <c r="B6589" t="s">
        <v>21757</v>
      </c>
      <c r="C6589" t="s">
        <v>6552</v>
      </c>
      <c r="D6589">
        <v>0.6</v>
      </c>
      <c r="E6589">
        <v>0</v>
      </c>
      <c r="F6589">
        <f t="shared" si="102"/>
        <v>0.6</v>
      </c>
      <c r="I6589">
        <v>20180701</v>
      </c>
      <c r="J6589" t="s">
        <v>6583</v>
      </c>
    </row>
    <row r="6590" spans="1:12" x14ac:dyDescent="0.3">
      <c r="A6590" s="160">
        <v>57194</v>
      </c>
      <c r="B6590" t="s">
        <v>21758</v>
      </c>
      <c r="C6590" t="s">
        <v>6544</v>
      </c>
      <c r="D6590">
        <v>1.75</v>
      </c>
      <c r="E6590">
        <v>0</v>
      </c>
      <c r="F6590">
        <f t="shared" si="102"/>
        <v>1.75</v>
      </c>
      <c r="I6590">
        <v>20100212</v>
      </c>
      <c r="J6590" t="s">
        <v>6613</v>
      </c>
    </row>
    <row r="6591" spans="1:12" x14ac:dyDescent="0.3">
      <c r="A6591" s="160">
        <v>57197</v>
      </c>
      <c r="B6591" t="s">
        <v>21759</v>
      </c>
      <c r="C6591" t="s">
        <v>6591</v>
      </c>
      <c r="D6591">
        <v>0.55000000000000004</v>
      </c>
      <c r="E6591">
        <v>0</v>
      </c>
      <c r="F6591">
        <f t="shared" si="102"/>
        <v>0.55000000000000004</v>
      </c>
      <c r="I6591">
        <v>20170701</v>
      </c>
      <c r="J6591" t="s">
        <v>6614</v>
      </c>
    </row>
    <row r="6592" spans="1:12" x14ac:dyDescent="0.3">
      <c r="A6592" s="160">
        <v>57198</v>
      </c>
      <c r="B6592" t="s">
        <v>21760</v>
      </c>
      <c r="C6592" t="s">
        <v>6552</v>
      </c>
      <c r="D6592">
        <v>0.6</v>
      </c>
      <c r="E6592">
        <v>0</v>
      </c>
      <c r="F6592">
        <f t="shared" si="102"/>
        <v>0.6</v>
      </c>
      <c r="I6592">
        <v>20180701</v>
      </c>
      <c r="J6592" t="s">
        <v>6553</v>
      </c>
    </row>
    <row r="6593" spans="1:19" x14ac:dyDescent="0.3">
      <c r="A6593" s="160">
        <v>57199</v>
      </c>
      <c r="B6593" t="s">
        <v>21761</v>
      </c>
      <c r="C6593" t="s">
        <v>6544</v>
      </c>
      <c r="D6593">
        <v>1.75</v>
      </c>
      <c r="E6593">
        <v>0</v>
      </c>
      <c r="F6593">
        <f t="shared" si="102"/>
        <v>1.75</v>
      </c>
      <c r="I6593">
        <v>20100212</v>
      </c>
      <c r="J6593" t="s">
        <v>6613</v>
      </c>
    </row>
    <row r="6594" spans="1:19" x14ac:dyDescent="0.3">
      <c r="A6594" s="160">
        <v>57202</v>
      </c>
      <c r="B6594" t="s">
        <v>21762</v>
      </c>
      <c r="C6594" t="s">
        <v>6549</v>
      </c>
      <c r="D6594">
        <v>0.6</v>
      </c>
      <c r="E6594">
        <v>0</v>
      </c>
      <c r="F6594">
        <f t="shared" si="102"/>
        <v>0.6</v>
      </c>
      <c r="I6594">
        <v>20030101</v>
      </c>
      <c r="J6594" t="s">
        <v>6585</v>
      </c>
    </row>
    <row r="6595" spans="1:19" x14ac:dyDescent="0.3">
      <c r="A6595" s="160">
        <v>57206</v>
      </c>
      <c r="B6595" t="s">
        <v>21763</v>
      </c>
      <c r="C6595" t="s">
        <v>6544</v>
      </c>
      <c r="D6595">
        <v>1.75</v>
      </c>
      <c r="E6595">
        <v>0</v>
      </c>
      <c r="F6595">
        <f t="shared" si="102"/>
        <v>1.75</v>
      </c>
      <c r="I6595">
        <v>20100212</v>
      </c>
      <c r="J6595" t="s">
        <v>6615</v>
      </c>
      <c r="K6595" t="s">
        <v>6616</v>
      </c>
      <c r="L6595" t="s">
        <v>6617</v>
      </c>
      <c r="M6595" t="s">
        <v>6618</v>
      </c>
      <c r="N6595" t="s">
        <v>6619</v>
      </c>
      <c r="O6595" t="s">
        <v>6620</v>
      </c>
    </row>
    <row r="6596" spans="1:19" x14ac:dyDescent="0.3">
      <c r="A6596" s="160">
        <v>57208</v>
      </c>
      <c r="B6596" t="s">
        <v>21764</v>
      </c>
      <c r="C6596" t="s">
        <v>6549</v>
      </c>
      <c r="D6596">
        <v>0.6</v>
      </c>
      <c r="E6596">
        <v>0</v>
      </c>
      <c r="F6596">
        <f t="shared" si="102"/>
        <v>0.6</v>
      </c>
      <c r="I6596">
        <v>20030101</v>
      </c>
      <c r="J6596" t="s">
        <v>6593</v>
      </c>
      <c r="K6596" t="s">
        <v>6621</v>
      </c>
    </row>
    <row r="6597" spans="1:19" x14ac:dyDescent="0.3">
      <c r="A6597" s="160">
        <v>57210</v>
      </c>
      <c r="B6597" t="s">
        <v>21765</v>
      </c>
      <c r="C6597" t="s">
        <v>6542</v>
      </c>
      <c r="D6597">
        <v>0.3</v>
      </c>
      <c r="E6597">
        <v>0</v>
      </c>
      <c r="F6597">
        <f t="shared" si="102"/>
        <v>0.3</v>
      </c>
      <c r="I6597">
        <v>20180101</v>
      </c>
      <c r="J6597" t="s">
        <v>6588</v>
      </c>
    </row>
    <row r="6598" spans="1:19" x14ac:dyDescent="0.3">
      <c r="A6598" s="160">
        <v>57212</v>
      </c>
      <c r="B6598" t="s">
        <v>21766</v>
      </c>
      <c r="C6598" t="s">
        <v>6555</v>
      </c>
      <c r="D6598">
        <v>2</v>
      </c>
      <c r="E6598">
        <v>0</v>
      </c>
      <c r="F6598">
        <f t="shared" si="102"/>
        <v>2</v>
      </c>
      <c r="I6598">
        <v>20150101</v>
      </c>
      <c r="J6598" t="s">
        <v>6611</v>
      </c>
    </row>
    <row r="6599" spans="1:19" x14ac:dyDescent="0.3">
      <c r="A6599" s="160">
        <v>57216</v>
      </c>
      <c r="B6599" t="s">
        <v>21767</v>
      </c>
      <c r="C6599" t="s">
        <v>6542</v>
      </c>
      <c r="D6599">
        <v>0.3</v>
      </c>
      <c r="E6599">
        <v>0</v>
      </c>
      <c r="F6599">
        <f t="shared" ref="F6599:F6662" si="103">D6599+E6599</f>
        <v>0.3</v>
      </c>
      <c r="I6599">
        <v>20180101</v>
      </c>
      <c r="J6599" t="s">
        <v>6584</v>
      </c>
      <c r="K6599" t="s">
        <v>6590</v>
      </c>
    </row>
    <row r="6600" spans="1:19" x14ac:dyDescent="0.3">
      <c r="A6600" s="160">
        <v>57221</v>
      </c>
      <c r="B6600" t="s">
        <v>21768</v>
      </c>
      <c r="C6600" t="s">
        <v>6544</v>
      </c>
      <c r="D6600">
        <v>1.75</v>
      </c>
      <c r="E6600">
        <v>0</v>
      </c>
      <c r="F6600">
        <f t="shared" si="103"/>
        <v>1.75</v>
      </c>
      <c r="I6600">
        <v>20100212</v>
      </c>
      <c r="J6600" t="s">
        <v>6622</v>
      </c>
      <c r="K6600" t="s">
        <v>6623</v>
      </c>
      <c r="L6600" t="s">
        <v>6615</v>
      </c>
      <c r="M6600" t="s">
        <v>6624</v>
      </c>
      <c r="N6600" t="s">
        <v>6625</v>
      </c>
      <c r="O6600" t="s">
        <v>6617</v>
      </c>
      <c r="P6600" t="s">
        <v>6618</v>
      </c>
      <c r="Q6600" t="s">
        <v>6619</v>
      </c>
      <c r="R6600" t="s">
        <v>6620</v>
      </c>
    </row>
    <row r="6601" spans="1:19" x14ac:dyDescent="0.3">
      <c r="A6601" s="160">
        <v>57222</v>
      </c>
      <c r="B6601" t="s">
        <v>21769</v>
      </c>
      <c r="C6601" t="s">
        <v>6549</v>
      </c>
      <c r="D6601">
        <v>0.6</v>
      </c>
      <c r="E6601">
        <v>0</v>
      </c>
      <c r="F6601">
        <f t="shared" si="103"/>
        <v>0.6</v>
      </c>
      <c r="I6601">
        <v>20030101</v>
      </c>
      <c r="J6601" t="s">
        <v>6626</v>
      </c>
      <c r="K6601" t="s">
        <v>6551</v>
      </c>
      <c r="L6601" t="s">
        <v>6627</v>
      </c>
      <c r="M6601" t="s">
        <v>6628</v>
      </c>
      <c r="N6601" t="s">
        <v>6586</v>
      </c>
    </row>
    <row r="6602" spans="1:19" x14ac:dyDescent="0.3">
      <c r="A6602" s="160">
        <v>57224</v>
      </c>
      <c r="B6602" t="s">
        <v>21770</v>
      </c>
      <c r="C6602" t="s">
        <v>6552</v>
      </c>
      <c r="D6602">
        <v>0.6</v>
      </c>
      <c r="E6602">
        <v>0</v>
      </c>
      <c r="F6602">
        <f t="shared" si="103"/>
        <v>0.6</v>
      </c>
      <c r="I6602">
        <v>20180701</v>
      </c>
      <c r="J6602" t="s">
        <v>6629</v>
      </c>
      <c r="K6602" t="s">
        <v>6554</v>
      </c>
      <c r="L6602" t="s">
        <v>6630</v>
      </c>
    </row>
    <row r="6603" spans="1:19" x14ac:dyDescent="0.3">
      <c r="A6603" s="160">
        <v>57226</v>
      </c>
      <c r="B6603" t="s">
        <v>21771</v>
      </c>
      <c r="C6603" t="s">
        <v>6544</v>
      </c>
      <c r="D6603">
        <v>1.75</v>
      </c>
      <c r="E6603">
        <v>0</v>
      </c>
      <c r="F6603">
        <f t="shared" si="103"/>
        <v>1.75</v>
      </c>
      <c r="I6603">
        <v>20100212</v>
      </c>
      <c r="J6603" t="s">
        <v>6631</v>
      </c>
      <c r="K6603" t="s">
        <v>6548</v>
      </c>
    </row>
    <row r="6604" spans="1:19" x14ac:dyDescent="0.3">
      <c r="A6604" s="160">
        <v>57227</v>
      </c>
      <c r="B6604" t="s">
        <v>21772</v>
      </c>
      <c r="C6604" t="s">
        <v>6549</v>
      </c>
      <c r="D6604">
        <v>0.6</v>
      </c>
      <c r="E6604">
        <v>0</v>
      </c>
      <c r="F6604">
        <f t="shared" si="103"/>
        <v>0.6</v>
      </c>
      <c r="I6604">
        <v>20030101</v>
      </c>
      <c r="J6604" t="s">
        <v>6626</v>
      </c>
      <c r="K6604" t="s">
        <v>6551</v>
      </c>
      <c r="L6604" t="s">
        <v>6627</v>
      </c>
      <c r="M6604" t="s">
        <v>6628</v>
      </c>
      <c r="N6604" t="s">
        <v>6586</v>
      </c>
      <c r="O6604" t="s">
        <v>6587</v>
      </c>
      <c r="P6604" t="s">
        <v>6632</v>
      </c>
      <c r="Q6604" t="s">
        <v>6633</v>
      </c>
      <c r="R6604" t="s">
        <v>6634</v>
      </c>
      <c r="S6604" t="s">
        <v>6635</v>
      </c>
    </row>
    <row r="6605" spans="1:19" x14ac:dyDescent="0.3">
      <c r="A6605" s="160">
        <v>57229</v>
      </c>
      <c r="B6605" t="s">
        <v>21773</v>
      </c>
      <c r="C6605" t="s">
        <v>6542</v>
      </c>
      <c r="D6605">
        <v>0.3</v>
      </c>
      <c r="E6605">
        <v>0</v>
      </c>
      <c r="F6605">
        <f t="shared" si="103"/>
        <v>0.3</v>
      </c>
      <c r="I6605">
        <v>20240101</v>
      </c>
      <c r="J6605" t="s">
        <v>6582</v>
      </c>
    </row>
    <row r="6606" spans="1:19" x14ac:dyDescent="0.3">
      <c r="A6606" s="160">
        <v>57233</v>
      </c>
      <c r="B6606" t="s">
        <v>21774</v>
      </c>
      <c r="C6606" t="s">
        <v>6542</v>
      </c>
      <c r="D6606">
        <v>0.3</v>
      </c>
      <c r="E6606">
        <v>0</v>
      </c>
      <c r="F6606">
        <f t="shared" si="103"/>
        <v>0.3</v>
      </c>
      <c r="I6606">
        <v>20180101</v>
      </c>
      <c r="J6606" t="s">
        <v>6568</v>
      </c>
    </row>
    <row r="6607" spans="1:19" x14ac:dyDescent="0.3">
      <c r="A6607" s="160">
        <v>57234</v>
      </c>
      <c r="B6607" t="s">
        <v>21775</v>
      </c>
      <c r="C6607" t="s">
        <v>6591</v>
      </c>
      <c r="D6607">
        <v>0.55000000000000004</v>
      </c>
      <c r="E6607">
        <v>0</v>
      </c>
      <c r="F6607">
        <f t="shared" si="103"/>
        <v>0.55000000000000004</v>
      </c>
      <c r="I6607">
        <v>20020101</v>
      </c>
      <c r="J6607" t="s">
        <v>6592</v>
      </c>
    </row>
    <row r="6608" spans="1:19" x14ac:dyDescent="0.3">
      <c r="A6608" s="160">
        <v>57237</v>
      </c>
      <c r="B6608" t="s">
        <v>21776</v>
      </c>
      <c r="C6608" t="s">
        <v>6552</v>
      </c>
      <c r="D6608">
        <v>0.6</v>
      </c>
      <c r="E6608">
        <v>0</v>
      </c>
      <c r="F6608">
        <f t="shared" si="103"/>
        <v>0.6</v>
      </c>
      <c r="I6608">
        <v>20180701</v>
      </c>
      <c r="J6608" t="s">
        <v>6553</v>
      </c>
    </row>
    <row r="6609" spans="1:11" x14ac:dyDescent="0.3">
      <c r="A6609" s="160">
        <v>57239</v>
      </c>
      <c r="B6609" t="s">
        <v>21777</v>
      </c>
      <c r="C6609" t="s">
        <v>6552</v>
      </c>
      <c r="D6609">
        <v>0.6</v>
      </c>
      <c r="E6609">
        <v>0</v>
      </c>
      <c r="F6609">
        <f t="shared" si="103"/>
        <v>0.6</v>
      </c>
      <c r="I6609">
        <v>20180701</v>
      </c>
      <c r="J6609" t="s">
        <v>6553</v>
      </c>
    </row>
    <row r="6610" spans="1:11" x14ac:dyDescent="0.3">
      <c r="A6610" s="160">
        <v>57241</v>
      </c>
      <c r="B6610" t="s">
        <v>21778</v>
      </c>
      <c r="C6610" t="s">
        <v>6542</v>
      </c>
      <c r="D6610">
        <v>0.3</v>
      </c>
      <c r="E6610">
        <v>0</v>
      </c>
      <c r="F6610">
        <f t="shared" si="103"/>
        <v>0.3</v>
      </c>
      <c r="I6610">
        <v>20240101</v>
      </c>
      <c r="J6610" t="s">
        <v>6574</v>
      </c>
    </row>
    <row r="6611" spans="1:11" x14ac:dyDescent="0.3">
      <c r="A6611" s="160">
        <v>57242</v>
      </c>
      <c r="B6611" t="s">
        <v>21779</v>
      </c>
      <c r="C6611" t="s">
        <v>6544</v>
      </c>
      <c r="D6611">
        <v>1.75</v>
      </c>
      <c r="E6611">
        <v>0</v>
      </c>
      <c r="F6611">
        <f t="shared" si="103"/>
        <v>1.75</v>
      </c>
      <c r="I6611">
        <v>20100212</v>
      </c>
      <c r="J6611" t="s">
        <v>6636</v>
      </c>
    </row>
    <row r="6612" spans="1:11" x14ac:dyDescent="0.3">
      <c r="A6612" s="160">
        <v>57253</v>
      </c>
      <c r="B6612" t="s">
        <v>21780</v>
      </c>
      <c r="C6612" t="s">
        <v>6542</v>
      </c>
      <c r="D6612">
        <v>0.3</v>
      </c>
      <c r="E6612">
        <v>0</v>
      </c>
      <c r="F6612">
        <f t="shared" si="103"/>
        <v>0.3</v>
      </c>
      <c r="I6612">
        <v>20240101</v>
      </c>
      <c r="J6612" t="s">
        <v>6637</v>
      </c>
    </row>
    <row r="6613" spans="1:11" x14ac:dyDescent="0.3">
      <c r="A6613" s="160">
        <v>57254</v>
      </c>
      <c r="B6613" t="s">
        <v>21781</v>
      </c>
      <c r="C6613" t="s">
        <v>6149</v>
      </c>
      <c r="D6613">
        <v>0.55000000000000004</v>
      </c>
      <c r="E6613">
        <v>0</v>
      </c>
      <c r="F6613">
        <f t="shared" si="103"/>
        <v>0.55000000000000004</v>
      </c>
      <c r="I6613">
        <v>20190701</v>
      </c>
      <c r="J6613" t="s">
        <v>6566</v>
      </c>
      <c r="K6613" t="s">
        <v>6559</v>
      </c>
    </row>
    <row r="6614" spans="1:11" x14ac:dyDescent="0.3">
      <c r="A6614" s="160">
        <v>57255</v>
      </c>
      <c r="B6614" t="s">
        <v>21782</v>
      </c>
      <c r="C6614" t="s">
        <v>6542</v>
      </c>
      <c r="D6614">
        <v>0.3</v>
      </c>
      <c r="E6614">
        <v>0</v>
      </c>
      <c r="F6614">
        <f t="shared" si="103"/>
        <v>0.3</v>
      </c>
      <c r="I6614">
        <v>20180101</v>
      </c>
      <c r="J6614" t="s">
        <v>6638</v>
      </c>
      <c r="K6614" t="s">
        <v>6588</v>
      </c>
    </row>
    <row r="6615" spans="1:11" x14ac:dyDescent="0.3">
      <c r="A6615" s="160">
        <v>57256</v>
      </c>
      <c r="B6615" t="s">
        <v>21783</v>
      </c>
      <c r="C6615" t="s">
        <v>6555</v>
      </c>
      <c r="D6615">
        <v>2</v>
      </c>
      <c r="E6615">
        <v>0</v>
      </c>
      <c r="F6615">
        <f t="shared" si="103"/>
        <v>2</v>
      </c>
      <c r="I6615">
        <v>20150101</v>
      </c>
      <c r="J6615" t="s">
        <v>6557</v>
      </c>
    </row>
    <row r="6616" spans="1:11" x14ac:dyDescent="0.3">
      <c r="A6616" s="160">
        <v>57258</v>
      </c>
      <c r="B6616" t="s">
        <v>21784</v>
      </c>
      <c r="C6616" t="s">
        <v>6552</v>
      </c>
      <c r="D6616">
        <v>0.6</v>
      </c>
      <c r="E6616">
        <v>0</v>
      </c>
      <c r="F6616">
        <f t="shared" si="103"/>
        <v>0.6</v>
      </c>
      <c r="I6616">
        <v>20180701</v>
      </c>
      <c r="J6616" t="s">
        <v>6553</v>
      </c>
    </row>
    <row r="6617" spans="1:11" x14ac:dyDescent="0.3">
      <c r="A6617" s="160">
        <v>57260</v>
      </c>
      <c r="B6617" t="s">
        <v>21785</v>
      </c>
      <c r="C6617" t="s">
        <v>6591</v>
      </c>
      <c r="D6617">
        <v>0.55000000000000004</v>
      </c>
      <c r="E6617">
        <v>0</v>
      </c>
      <c r="F6617">
        <f t="shared" si="103"/>
        <v>0.55000000000000004</v>
      </c>
      <c r="I6617">
        <v>20020101</v>
      </c>
      <c r="J6617" t="s">
        <v>6639</v>
      </c>
    </row>
    <row r="6618" spans="1:11" x14ac:dyDescent="0.3">
      <c r="A6618" s="160">
        <v>57262</v>
      </c>
      <c r="B6618" t="s">
        <v>21786</v>
      </c>
      <c r="C6618" t="s">
        <v>6552</v>
      </c>
      <c r="D6618">
        <v>0.6</v>
      </c>
      <c r="E6618">
        <v>0</v>
      </c>
      <c r="F6618">
        <f t="shared" si="103"/>
        <v>0.6</v>
      </c>
      <c r="I6618">
        <v>20180701</v>
      </c>
      <c r="J6618" t="s">
        <v>6553</v>
      </c>
    </row>
    <row r="6619" spans="1:11" x14ac:dyDescent="0.3">
      <c r="A6619" s="160">
        <v>57263</v>
      </c>
      <c r="B6619" t="s">
        <v>21787</v>
      </c>
      <c r="C6619" t="s">
        <v>6591</v>
      </c>
      <c r="D6619">
        <v>0.55000000000000004</v>
      </c>
      <c r="E6619">
        <v>0</v>
      </c>
      <c r="F6619">
        <f t="shared" si="103"/>
        <v>0.55000000000000004</v>
      </c>
      <c r="I6619">
        <v>20020101</v>
      </c>
      <c r="J6619" t="s">
        <v>6614</v>
      </c>
    </row>
    <row r="6620" spans="1:11" x14ac:dyDescent="0.3">
      <c r="A6620" s="160">
        <v>57264</v>
      </c>
      <c r="B6620" t="s">
        <v>21788</v>
      </c>
      <c r="C6620" t="s">
        <v>6591</v>
      </c>
      <c r="D6620">
        <v>0.55000000000000004</v>
      </c>
      <c r="E6620">
        <v>0</v>
      </c>
      <c r="F6620">
        <f t="shared" si="103"/>
        <v>0.55000000000000004</v>
      </c>
      <c r="I6620">
        <v>20020101</v>
      </c>
      <c r="J6620" t="s">
        <v>6614</v>
      </c>
    </row>
    <row r="6621" spans="1:11" x14ac:dyDescent="0.3">
      <c r="A6621" s="160">
        <v>57267</v>
      </c>
      <c r="B6621" t="s">
        <v>21789</v>
      </c>
      <c r="C6621" t="s">
        <v>6591</v>
      </c>
      <c r="D6621">
        <v>0.55000000000000004</v>
      </c>
      <c r="E6621">
        <v>0</v>
      </c>
      <c r="F6621">
        <f t="shared" si="103"/>
        <v>0.55000000000000004</v>
      </c>
      <c r="I6621">
        <v>20170701</v>
      </c>
      <c r="J6621" t="s">
        <v>6640</v>
      </c>
    </row>
    <row r="6622" spans="1:11" x14ac:dyDescent="0.3">
      <c r="A6622" s="160">
        <v>57269</v>
      </c>
      <c r="B6622" t="s">
        <v>21790</v>
      </c>
      <c r="C6622" t="s">
        <v>6544</v>
      </c>
      <c r="D6622">
        <v>1.75</v>
      </c>
      <c r="E6622">
        <v>0</v>
      </c>
      <c r="F6622">
        <f t="shared" si="103"/>
        <v>1.75</v>
      </c>
      <c r="I6622">
        <v>20100212</v>
      </c>
      <c r="J6622" t="s">
        <v>6589</v>
      </c>
    </row>
    <row r="6623" spans="1:11" x14ac:dyDescent="0.3">
      <c r="A6623" s="160">
        <v>57272</v>
      </c>
      <c r="B6623" t="s">
        <v>21791</v>
      </c>
      <c r="C6623" t="s">
        <v>6542</v>
      </c>
      <c r="D6623">
        <v>0.3</v>
      </c>
      <c r="E6623">
        <v>0</v>
      </c>
      <c r="F6623">
        <f t="shared" si="103"/>
        <v>0.3</v>
      </c>
      <c r="I6623">
        <v>20240101</v>
      </c>
      <c r="J6623" t="s">
        <v>6569</v>
      </c>
    </row>
    <row r="6624" spans="1:11" x14ac:dyDescent="0.3">
      <c r="A6624" s="160">
        <v>57275</v>
      </c>
      <c r="B6624" t="s">
        <v>21792</v>
      </c>
      <c r="C6624" t="s">
        <v>6552</v>
      </c>
      <c r="D6624">
        <v>0.6</v>
      </c>
      <c r="E6624">
        <v>0</v>
      </c>
      <c r="F6624">
        <f t="shared" si="103"/>
        <v>0.6</v>
      </c>
      <c r="I6624">
        <v>20180701</v>
      </c>
      <c r="J6624" t="s">
        <v>6595</v>
      </c>
    </row>
    <row r="6625" spans="1:14" x14ac:dyDescent="0.3">
      <c r="A6625" s="160">
        <v>57287</v>
      </c>
      <c r="B6625" t="s">
        <v>21793</v>
      </c>
      <c r="C6625" t="s">
        <v>6544</v>
      </c>
      <c r="D6625">
        <v>1.75</v>
      </c>
      <c r="E6625">
        <v>0</v>
      </c>
      <c r="F6625">
        <f t="shared" si="103"/>
        <v>1.75</v>
      </c>
      <c r="I6625">
        <v>20100212</v>
      </c>
      <c r="J6625" t="s">
        <v>6641</v>
      </c>
      <c r="K6625" t="s">
        <v>6642</v>
      </c>
      <c r="L6625" t="s">
        <v>6643</v>
      </c>
    </row>
    <row r="6626" spans="1:14" x14ac:dyDescent="0.3">
      <c r="A6626" s="160">
        <v>57289</v>
      </c>
      <c r="B6626" t="s">
        <v>21794</v>
      </c>
      <c r="C6626" t="s">
        <v>6591</v>
      </c>
      <c r="D6626">
        <v>0.55000000000000004</v>
      </c>
      <c r="E6626">
        <v>0</v>
      </c>
      <c r="F6626">
        <f t="shared" si="103"/>
        <v>0.55000000000000004</v>
      </c>
      <c r="I6626">
        <v>20020101</v>
      </c>
      <c r="J6626" t="s">
        <v>6644</v>
      </c>
      <c r="K6626" t="s">
        <v>6645</v>
      </c>
      <c r="L6626" t="s">
        <v>6646</v>
      </c>
      <c r="M6626" t="s">
        <v>6647</v>
      </c>
    </row>
    <row r="6627" spans="1:14" x14ac:dyDescent="0.3">
      <c r="A6627" s="160">
        <v>57297</v>
      </c>
      <c r="B6627" t="s">
        <v>21795</v>
      </c>
      <c r="C6627" t="s">
        <v>6552</v>
      </c>
      <c r="D6627">
        <v>0.6</v>
      </c>
      <c r="E6627">
        <v>0</v>
      </c>
      <c r="F6627">
        <f t="shared" si="103"/>
        <v>0.6</v>
      </c>
      <c r="I6627">
        <v>20180701</v>
      </c>
      <c r="J6627" t="s">
        <v>6583</v>
      </c>
    </row>
    <row r="6628" spans="1:14" x14ac:dyDescent="0.3">
      <c r="A6628" s="160">
        <v>57298</v>
      </c>
      <c r="B6628" t="s">
        <v>21796</v>
      </c>
      <c r="C6628" t="s">
        <v>6542</v>
      </c>
      <c r="D6628">
        <v>0.3</v>
      </c>
      <c r="E6628">
        <v>0</v>
      </c>
      <c r="F6628">
        <f t="shared" si="103"/>
        <v>0.3</v>
      </c>
      <c r="I6628">
        <v>20180101</v>
      </c>
      <c r="J6628" t="s">
        <v>6648</v>
      </c>
    </row>
    <row r="6629" spans="1:14" x14ac:dyDescent="0.3">
      <c r="A6629" s="160">
        <v>57299</v>
      </c>
      <c r="B6629" t="s">
        <v>21797</v>
      </c>
      <c r="C6629" t="s">
        <v>6542</v>
      </c>
      <c r="D6629">
        <v>0.3</v>
      </c>
      <c r="E6629">
        <v>0</v>
      </c>
      <c r="F6629">
        <f t="shared" si="103"/>
        <v>0.3</v>
      </c>
      <c r="I6629">
        <v>20180101</v>
      </c>
      <c r="J6629" t="s">
        <v>6648</v>
      </c>
    </row>
    <row r="6630" spans="1:14" x14ac:dyDescent="0.3">
      <c r="A6630" s="160">
        <v>57300</v>
      </c>
      <c r="B6630" t="s">
        <v>21798</v>
      </c>
      <c r="C6630" t="s">
        <v>6591</v>
      </c>
      <c r="D6630">
        <v>0.55000000000000004</v>
      </c>
      <c r="E6630">
        <v>0</v>
      </c>
      <c r="F6630">
        <f t="shared" si="103"/>
        <v>0.55000000000000004</v>
      </c>
      <c r="I6630">
        <v>20170701</v>
      </c>
      <c r="J6630" t="s">
        <v>6649</v>
      </c>
    </row>
    <row r="6631" spans="1:14" x14ac:dyDescent="0.3">
      <c r="A6631" s="160">
        <v>57302</v>
      </c>
      <c r="B6631" t="s">
        <v>21799</v>
      </c>
      <c r="C6631" t="s">
        <v>6542</v>
      </c>
      <c r="D6631">
        <v>0.3</v>
      </c>
      <c r="E6631">
        <v>0</v>
      </c>
      <c r="F6631">
        <f t="shared" si="103"/>
        <v>0.3</v>
      </c>
      <c r="I6631">
        <v>20180101</v>
      </c>
      <c r="J6631" t="s">
        <v>6638</v>
      </c>
      <c r="K6631" t="s">
        <v>6568</v>
      </c>
    </row>
    <row r="6632" spans="1:14" x14ac:dyDescent="0.3">
      <c r="A6632" s="160">
        <v>57304</v>
      </c>
      <c r="B6632" t="s">
        <v>21800</v>
      </c>
      <c r="C6632" t="s">
        <v>6542</v>
      </c>
      <c r="D6632">
        <v>0.3</v>
      </c>
      <c r="E6632">
        <v>0</v>
      </c>
      <c r="F6632">
        <f t="shared" si="103"/>
        <v>0.3</v>
      </c>
      <c r="I6632">
        <v>20100101</v>
      </c>
      <c r="J6632" t="s">
        <v>6597</v>
      </c>
    </row>
    <row r="6633" spans="1:14" x14ac:dyDescent="0.3">
      <c r="A6633" s="160">
        <v>57305</v>
      </c>
      <c r="B6633" t="s">
        <v>21801</v>
      </c>
      <c r="C6633" t="s">
        <v>6544</v>
      </c>
      <c r="D6633">
        <v>1.75</v>
      </c>
      <c r="E6633">
        <v>0</v>
      </c>
      <c r="F6633">
        <f t="shared" si="103"/>
        <v>1.75</v>
      </c>
      <c r="I6633">
        <v>20100212</v>
      </c>
      <c r="J6633" t="s">
        <v>6631</v>
      </c>
    </row>
    <row r="6634" spans="1:14" x14ac:dyDescent="0.3">
      <c r="A6634" s="160">
        <v>57306</v>
      </c>
      <c r="B6634" t="s">
        <v>21802</v>
      </c>
      <c r="C6634" t="s">
        <v>6544</v>
      </c>
      <c r="D6634">
        <v>1.75</v>
      </c>
      <c r="E6634">
        <v>0</v>
      </c>
      <c r="F6634">
        <f t="shared" si="103"/>
        <v>1.75</v>
      </c>
      <c r="I6634">
        <v>20100212</v>
      </c>
      <c r="J6634" t="s">
        <v>6650</v>
      </c>
      <c r="K6634" t="s">
        <v>6546</v>
      </c>
      <c r="L6634" t="s">
        <v>6651</v>
      </c>
      <c r="M6634" t="s">
        <v>6652</v>
      </c>
      <c r="N6634" t="s">
        <v>6548</v>
      </c>
    </row>
    <row r="6635" spans="1:14" x14ac:dyDescent="0.3">
      <c r="A6635" s="160">
        <v>57310</v>
      </c>
      <c r="B6635" t="s">
        <v>21803</v>
      </c>
      <c r="C6635" t="s">
        <v>6542</v>
      </c>
      <c r="D6635">
        <v>0.3</v>
      </c>
      <c r="E6635">
        <v>0</v>
      </c>
      <c r="F6635">
        <f t="shared" si="103"/>
        <v>0.3</v>
      </c>
      <c r="I6635">
        <v>20180101</v>
      </c>
      <c r="J6635" t="s">
        <v>6588</v>
      </c>
    </row>
    <row r="6636" spans="1:14" x14ac:dyDescent="0.3">
      <c r="A6636" s="160">
        <v>57311</v>
      </c>
      <c r="B6636" t="s">
        <v>21804</v>
      </c>
      <c r="C6636" t="s">
        <v>6552</v>
      </c>
      <c r="D6636">
        <v>0.6</v>
      </c>
      <c r="E6636">
        <v>0</v>
      </c>
      <c r="F6636">
        <f t="shared" si="103"/>
        <v>0.6</v>
      </c>
      <c r="I6636">
        <v>20180701</v>
      </c>
      <c r="J6636" t="s">
        <v>6553</v>
      </c>
    </row>
    <row r="6637" spans="1:14" x14ac:dyDescent="0.3">
      <c r="A6637" s="160">
        <v>57314</v>
      </c>
      <c r="B6637" t="s">
        <v>21805</v>
      </c>
      <c r="C6637" t="s">
        <v>6542</v>
      </c>
      <c r="D6637">
        <v>0.3</v>
      </c>
      <c r="E6637">
        <v>0</v>
      </c>
      <c r="F6637">
        <f t="shared" si="103"/>
        <v>0.3</v>
      </c>
      <c r="I6637">
        <v>20180101</v>
      </c>
      <c r="J6637" t="s">
        <v>6582</v>
      </c>
    </row>
    <row r="6638" spans="1:14" x14ac:dyDescent="0.3">
      <c r="A6638" s="160">
        <v>57318</v>
      </c>
      <c r="B6638" t="s">
        <v>21806</v>
      </c>
      <c r="C6638" t="s">
        <v>6542</v>
      </c>
      <c r="D6638">
        <v>0.3</v>
      </c>
      <c r="E6638">
        <v>0</v>
      </c>
      <c r="F6638">
        <f t="shared" si="103"/>
        <v>0.3</v>
      </c>
      <c r="I6638">
        <v>20180101</v>
      </c>
      <c r="J6638" t="s">
        <v>6568</v>
      </c>
    </row>
    <row r="6639" spans="1:14" x14ac:dyDescent="0.3">
      <c r="A6639" s="160">
        <v>57320</v>
      </c>
      <c r="B6639" t="s">
        <v>21807</v>
      </c>
      <c r="C6639" t="s">
        <v>6542</v>
      </c>
      <c r="D6639">
        <v>0.3</v>
      </c>
      <c r="E6639">
        <v>0</v>
      </c>
      <c r="F6639">
        <f t="shared" si="103"/>
        <v>0.3</v>
      </c>
      <c r="I6639">
        <v>20240101</v>
      </c>
      <c r="J6639" t="s">
        <v>6584</v>
      </c>
      <c r="K6639" t="s">
        <v>6582</v>
      </c>
    </row>
    <row r="6640" spans="1:14" x14ac:dyDescent="0.3">
      <c r="A6640" s="160">
        <v>57321</v>
      </c>
      <c r="B6640" t="s">
        <v>21808</v>
      </c>
      <c r="C6640" t="s">
        <v>6542</v>
      </c>
      <c r="D6640">
        <v>0.3</v>
      </c>
      <c r="E6640">
        <v>0</v>
      </c>
      <c r="F6640">
        <f t="shared" si="103"/>
        <v>0.3</v>
      </c>
      <c r="I6640">
        <v>20180101</v>
      </c>
      <c r="J6640" t="s">
        <v>6597</v>
      </c>
    </row>
    <row r="6641" spans="1:16" x14ac:dyDescent="0.3">
      <c r="A6641" s="160">
        <v>57323</v>
      </c>
      <c r="B6641" t="s">
        <v>21809</v>
      </c>
      <c r="C6641" t="s">
        <v>6544</v>
      </c>
      <c r="D6641">
        <v>1.75</v>
      </c>
      <c r="E6641">
        <v>0</v>
      </c>
      <c r="F6641">
        <f t="shared" si="103"/>
        <v>1.75</v>
      </c>
      <c r="I6641">
        <v>20100212</v>
      </c>
      <c r="J6641" t="s">
        <v>6613</v>
      </c>
    </row>
    <row r="6642" spans="1:16" x14ac:dyDescent="0.3">
      <c r="A6642" s="160">
        <v>57324</v>
      </c>
      <c r="B6642" t="s">
        <v>21810</v>
      </c>
      <c r="C6642" t="s">
        <v>6542</v>
      </c>
      <c r="D6642">
        <v>0.3</v>
      </c>
      <c r="E6642">
        <v>0</v>
      </c>
      <c r="F6642">
        <f t="shared" si="103"/>
        <v>0.3</v>
      </c>
      <c r="I6642">
        <v>20180101</v>
      </c>
      <c r="J6642" t="s">
        <v>6597</v>
      </c>
      <c r="K6642" t="s">
        <v>6638</v>
      </c>
    </row>
    <row r="6643" spans="1:16" x14ac:dyDescent="0.3">
      <c r="A6643" s="160">
        <v>57325</v>
      </c>
      <c r="B6643" t="s">
        <v>21811</v>
      </c>
      <c r="C6643" t="s">
        <v>6591</v>
      </c>
      <c r="D6643">
        <v>0.55000000000000004</v>
      </c>
      <c r="E6643">
        <v>0</v>
      </c>
      <c r="F6643">
        <f t="shared" si="103"/>
        <v>0.55000000000000004</v>
      </c>
      <c r="I6643">
        <v>20170701</v>
      </c>
      <c r="J6643" t="s">
        <v>6614</v>
      </c>
    </row>
    <row r="6644" spans="1:16" x14ac:dyDescent="0.3">
      <c r="A6644" s="160">
        <v>57330</v>
      </c>
      <c r="B6644" t="s">
        <v>21812</v>
      </c>
      <c r="C6644" t="s">
        <v>6591</v>
      </c>
      <c r="D6644">
        <v>0.55000000000000004</v>
      </c>
      <c r="E6644">
        <v>0</v>
      </c>
      <c r="F6644">
        <f t="shared" si="103"/>
        <v>0.55000000000000004</v>
      </c>
      <c r="I6644">
        <v>20170701</v>
      </c>
      <c r="J6644" t="s">
        <v>6614</v>
      </c>
    </row>
    <row r="6645" spans="1:16" x14ac:dyDescent="0.3">
      <c r="A6645" s="160">
        <v>57333</v>
      </c>
      <c r="B6645" t="s">
        <v>21813</v>
      </c>
      <c r="C6645" t="s">
        <v>6542</v>
      </c>
      <c r="D6645">
        <v>0.3</v>
      </c>
      <c r="E6645">
        <v>0</v>
      </c>
      <c r="F6645">
        <f t="shared" si="103"/>
        <v>0.3</v>
      </c>
      <c r="I6645">
        <v>20100101</v>
      </c>
      <c r="J6645" t="s">
        <v>6653</v>
      </c>
    </row>
    <row r="6646" spans="1:16" x14ac:dyDescent="0.3">
      <c r="A6646" s="160">
        <v>57334</v>
      </c>
      <c r="B6646" t="s">
        <v>21814</v>
      </c>
      <c r="C6646" t="s">
        <v>6542</v>
      </c>
      <c r="D6646">
        <v>0.3</v>
      </c>
      <c r="E6646">
        <v>0</v>
      </c>
      <c r="F6646">
        <f t="shared" si="103"/>
        <v>0.3</v>
      </c>
      <c r="I6646">
        <v>20180101</v>
      </c>
      <c r="J6646" t="s">
        <v>6648</v>
      </c>
    </row>
    <row r="6647" spans="1:16" x14ac:dyDescent="0.3">
      <c r="A6647" s="160">
        <v>57336</v>
      </c>
      <c r="B6647" t="s">
        <v>21815</v>
      </c>
      <c r="C6647" t="s">
        <v>6552</v>
      </c>
      <c r="D6647">
        <v>0.6</v>
      </c>
      <c r="E6647">
        <v>0</v>
      </c>
      <c r="F6647">
        <f t="shared" si="103"/>
        <v>0.6</v>
      </c>
      <c r="I6647">
        <v>20180701</v>
      </c>
      <c r="J6647" t="s">
        <v>6600</v>
      </c>
    </row>
    <row r="6648" spans="1:16" x14ac:dyDescent="0.3">
      <c r="A6648" s="160">
        <v>57340</v>
      </c>
      <c r="B6648" t="s">
        <v>21816</v>
      </c>
      <c r="C6648" t="s">
        <v>6591</v>
      </c>
      <c r="D6648">
        <v>0.55000000000000004</v>
      </c>
      <c r="E6648">
        <v>0</v>
      </c>
      <c r="F6648">
        <f t="shared" si="103"/>
        <v>0.55000000000000004</v>
      </c>
      <c r="I6648">
        <v>20020101</v>
      </c>
      <c r="J6648" t="s">
        <v>6654</v>
      </c>
    </row>
    <row r="6649" spans="1:16" x14ac:dyDescent="0.3">
      <c r="A6649" s="160">
        <v>57342</v>
      </c>
      <c r="B6649" t="s">
        <v>21817</v>
      </c>
      <c r="C6649" t="s">
        <v>6542</v>
      </c>
      <c r="D6649">
        <v>0.3</v>
      </c>
      <c r="E6649">
        <v>0</v>
      </c>
      <c r="F6649">
        <f t="shared" si="103"/>
        <v>0.3</v>
      </c>
      <c r="I6649">
        <v>20240101</v>
      </c>
      <c r="J6649" t="s">
        <v>6582</v>
      </c>
    </row>
    <row r="6650" spans="1:16" x14ac:dyDescent="0.3">
      <c r="A6650" s="160">
        <v>57343</v>
      </c>
      <c r="B6650" t="s">
        <v>21818</v>
      </c>
      <c r="C6650" t="s">
        <v>6544</v>
      </c>
      <c r="D6650">
        <v>1.75</v>
      </c>
      <c r="E6650">
        <v>0</v>
      </c>
      <c r="F6650">
        <f t="shared" si="103"/>
        <v>1.75</v>
      </c>
      <c r="I6650">
        <v>20100212</v>
      </c>
      <c r="J6650" t="s">
        <v>6641</v>
      </c>
      <c r="K6650" t="s">
        <v>6655</v>
      </c>
      <c r="L6650" t="s">
        <v>6656</v>
      </c>
      <c r="M6650" t="s">
        <v>6642</v>
      </c>
      <c r="N6650" t="s">
        <v>6643</v>
      </c>
    </row>
    <row r="6651" spans="1:16" x14ac:dyDescent="0.3">
      <c r="A6651" s="160">
        <v>57344</v>
      </c>
      <c r="B6651" t="s">
        <v>21819</v>
      </c>
      <c r="C6651" t="s">
        <v>6542</v>
      </c>
      <c r="D6651">
        <v>0.3</v>
      </c>
      <c r="E6651">
        <v>0</v>
      </c>
      <c r="F6651">
        <f t="shared" si="103"/>
        <v>0.3</v>
      </c>
      <c r="I6651">
        <v>20100101</v>
      </c>
      <c r="J6651" t="s">
        <v>6597</v>
      </c>
      <c r="K6651" t="s">
        <v>6584</v>
      </c>
      <c r="L6651" t="s">
        <v>6638</v>
      </c>
    </row>
    <row r="6652" spans="1:16" x14ac:dyDescent="0.3">
      <c r="A6652" s="160">
        <v>57348</v>
      </c>
      <c r="B6652" t="s">
        <v>21820</v>
      </c>
      <c r="C6652" t="s">
        <v>6591</v>
      </c>
      <c r="D6652">
        <v>0.55000000000000004</v>
      </c>
      <c r="E6652">
        <v>0</v>
      </c>
      <c r="F6652">
        <f t="shared" si="103"/>
        <v>0.55000000000000004</v>
      </c>
      <c r="I6652">
        <v>20020101</v>
      </c>
      <c r="J6652" t="s">
        <v>6654</v>
      </c>
    </row>
    <row r="6653" spans="1:16" x14ac:dyDescent="0.3">
      <c r="A6653" s="160">
        <v>57350</v>
      </c>
      <c r="B6653" t="s">
        <v>21821</v>
      </c>
      <c r="C6653" t="s">
        <v>6149</v>
      </c>
      <c r="D6653">
        <v>0.55000000000000004</v>
      </c>
      <c r="E6653">
        <v>0</v>
      </c>
      <c r="F6653">
        <f t="shared" si="103"/>
        <v>0.55000000000000004</v>
      </c>
      <c r="I6653">
        <v>20190701</v>
      </c>
      <c r="J6653" t="s">
        <v>6557</v>
      </c>
      <c r="K6653" t="s">
        <v>6558</v>
      </c>
      <c r="L6653" t="s">
        <v>6565</v>
      </c>
      <c r="M6653" t="s">
        <v>6566</v>
      </c>
      <c r="N6653" t="s">
        <v>6567</v>
      </c>
      <c r="O6653" t="s">
        <v>6570</v>
      </c>
      <c r="P6653" t="s">
        <v>6571</v>
      </c>
    </row>
    <row r="6654" spans="1:16" x14ac:dyDescent="0.3">
      <c r="A6654" s="160">
        <v>57351</v>
      </c>
      <c r="B6654" t="s">
        <v>21822</v>
      </c>
      <c r="C6654" t="s">
        <v>6555</v>
      </c>
      <c r="D6654">
        <v>2</v>
      </c>
      <c r="E6654">
        <v>0</v>
      </c>
      <c r="F6654">
        <f t="shared" si="103"/>
        <v>2</v>
      </c>
      <c r="I6654">
        <v>20150101</v>
      </c>
      <c r="J6654" t="s">
        <v>6560</v>
      </c>
      <c r="K6654" t="s">
        <v>6562</v>
      </c>
      <c r="L6654" t="s">
        <v>6606</v>
      </c>
    </row>
    <row r="6655" spans="1:16" x14ac:dyDescent="0.3">
      <c r="A6655" s="160">
        <v>57352</v>
      </c>
      <c r="B6655" t="s">
        <v>15490</v>
      </c>
      <c r="C6655" t="s">
        <v>6555</v>
      </c>
      <c r="D6655">
        <v>2</v>
      </c>
      <c r="E6655">
        <v>0</v>
      </c>
      <c r="F6655">
        <f t="shared" si="103"/>
        <v>2</v>
      </c>
      <c r="I6655">
        <v>20150101</v>
      </c>
      <c r="J6655" t="s">
        <v>6557</v>
      </c>
      <c r="K6655" t="s">
        <v>6558</v>
      </c>
      <c r="L6655" t="s">
        <v>6567</v>
      </c>
      <c r="M6655" t="s">
        <v>6605</v>
      </c>
    </row>
    <row r="6656" spans="1:16" x14ac:dyDescent="0.3">
      <c r="A6656" s="160">
        <v>57355</v>
      </c>
      <c r="B6656" t="s">
        <v>21823</v>
      </c>
      <c r="C6656" t="s">
        <v>6591</v>
      </c>
      <c r="D6656">
        <v>0.55000000000000004</v>
      </c>
      <c r="E6656">
        <v>0</v>
      </c>
      <c r="F6656">
        <f t="shared" si="103"/>
        <v>0.55000000000000004</v>
      </c>
      <c r="I6656">
        <v>20020101</v>
      </c>
      <c r="J6656" t="s">
        <v>6657</v>
      </c>
    </row>
    <row r="6657" spans="1:14" x14ac:dyDescent="0.3">
      <c r="A6657" s="160">
        <v>57356</v>
      </c>
      <c r="B6657" t="s">
        <v>21824</v>
      </c>
      <c r="C6657" t="s">
        <v>6544</v>
      </c>
      <c r="D6657">
        <v>1.75</v>
      </c>
      <c r="E6657">
        <v>0</v>
      </c>
      <c r="F6657">
        <f t="shared" si="103"/>
        <v>1.75</v>
      </c>
      <c r="I6657">
        <v>20100212</v>
      </c>
      <c r="J6657" t="s">
        <v>6613</v>
      </c>
    </row>
    <row r="6658" spans="1:14" x14ac:dyDescent="0.3">
      <c r="A6658" s="160">
        <v>57357</v>
      </c>
      <c r="B6658" t="s">
        <v>21825</v>
      </c>
      <c r="C6658" t="s">
        <v>6591</v>
      </c>
      <c r="D6658">
        <v>0.55000000000000004</v>
      </c>
      <c r="E6658">
        <v>0</v>
      </c>
      <c r="F6658">
        <f t="shared" si="103"/>
        <v>0.55000000000000004</v>
      </c>
      <c r="I6658">
        <v>20170701</v>
      </c>
      <c r="J6658" t="s">
        <v>6640</v>
      </c>
    </row>
    <row r="6659" spans="1:14" x14ac:dyDescent="0.3">
      <c r="A6659" s="160">
        <v>57360</v>
      </c>
      <c r="B6659" t="s">
        <v>21826</v>
      </c>
      <c r="C6659" t="s">
        <v>6549</v>
      </c>
      <c r="D6659">
        <v>0.6</v>
      </c>
      <c r="E6659">
        <v>0</v>
      </c>
      <c r="F6659">
        <f t="shared" si="103"/>
        <v>0.6</v>
      </c>
      <c r="I6659">
        <v>20030101</v>
      </c>
      <c r="J6659" t="s">
        <v>6585</v>
      </c>
    </row>
    <row r="6660" spans="1:14" x14ac:dyDescent="0.3">
      <c r="A6660" s="160">
        <v>57362</v>
      </c>
      <c r="B6660" t="s">
        <v>21827</v>
      </c>
      <c r="C6660" t="s">
        <v>6542</v>
      </c>
      <c r="D6660">
        <v>0.3</v>
      </c>
      <c r="E6660">
        <v>0</v>
      </c>
      <c r="F6660">
        <f t="shared" si="103"/>
        <v>0.3</v>
      </c>
      <c r="I6660">
        <v>20240101</v>
      </c>
      <c r="J6660" t="s">
        <v>6582</v>
      </c>
    </row>
    <row r="6661" spans="1:14" x14ac:dyDescent="0.3">
      <c r="A6661" s="160">
        <v>57366</v>
      </c>
      <c r="B6661" t="s">
        <v>21828</v>
      </c>
      <c r="C6661" t="s">
        <v>6591</v>
      </c>
      <c r="D6661">
        <v>0.55000000000000004</v>
      </c>
      <c r="E6661">
        <v>0</v>
      </c>
      <c r="F6661">
        <f t="shared" si="103"/>
        <v>0.55000000000000004</v>
      </c>
      <c r="I6661">
        <v>20170701</v>
      </c>
      <c r="J6661" t="s">
        <v>6640</v>
      </c>
    </row>
    <row r="6662" spans="1:14" x14ac:dyDescent="0.3">
      <c r="A6662" s="160">
        <v>57368</v>
      </c>
      <c r="B6662" t="s">
        <v>21829</v>
      </c>
      <c r="C6662" t="s">
        <v>6544</v>
      </c>
      <c r="D6662">
        <v>1.75</v>
      </c>
      <c r="E6662">
        <v>0</v>
      </c>
      <c r="F6662">
        <f t="shared" si="103"/>
        <v>1.75</v>
      </c>
      <c r="I6662">
        <v>20100212</v>
      </c>
      <c r="J6662" t="s">
        <v>6658</v>
      </c>
      <c r="K6662" t="s">
        <v>6546</v>
      </c>
      <c r="L6662" t="s">
        <v>6651</v>
      </c>
      <c r="M6662" t="s">
        <v>6547</v>
      </c>
      <c r="N6662" t="s">
        <v>6548</v>
      </c>
    </row>
    <row r="6663" spans="1:14" x14ac:dyDescent="0.3">
      <c r="A6663" s="160">
        <v>57372</v>
      </c>
      <c r="B6663" t="s">
        <v>21830</v>
      </c>
      <c r="C6663" t="s">
        <v>6544</v>
      </c>
      <c r="D6663">
        <v>1.75</v>
      </c>
      <c r="E6663">
        <v>0</v>
      </c>
      <c r="F6663">
        <f t="shared" ref="F6663:F6726" si="104">D6663+E6663</f>
        <v>1.75</v>
      </c>
      <c r="I6663">
        <v>20100212</v>
      </c>
      <c r="J6663" t="s">
        <v>6641</v>
      </c>
    </row>
    <row r="6664" spans="1:14" x14ac:dyDescent="0.3">
      <c r="A6664" s="160">
        <v>57373</v>
      </c>
      <c r="B6664" t="s">
        <v>21831</v>
      </c>
      <c r="C6664" t="s">
        <v>6552</v>
      </c>
      <c r="D6664">
        <v>0.6</v>
      </c>
      <c r="E6664">
        <v>0</v>
      </c>
      <c r="F6664">
        <f t="shared" si="104"/>
        <v>0.6</v>
      </c>
      <c r="I6664">
        <v>20180701</v>
      </c>
      <c r="J6664" t="s">
        <v>6554</v>
      </c>
    </row>
    <row r="6665" spans="1:14" x14ac:dyDescent="0.3">
      <c r="A6665" s="160">
        <v>57374</v>
      </c>
      <c r="B6665" t="s">
        <v>21832</v>
      </c>
      <c r="C6665" t="s">
        <v>6542</v>
      </c>
      <c r="D6665">
        <v>0.3</v>
      </c>
      <c r="E6665">
        <v>0</v>
      </c>
      <c r="F6665">
        <f t="shared" si="104"/>
        <v>0.3</v>
      </c>
      <c r="I6665">
        <v>20180101</v>
      </c>
      <c r="J6665" t="s">
        <v>6543</v>
      </c>
    </row>
    <row r="6666" spans="1:14" x14ac:dyDescent="0.3">
      <c r="A6666" s="160">
        <v>57377</v>
      </c>
      <c r="B6666" t="s">
        <v>21833</v>
      </c>
      <c r="C6666" t="s">
        <v>6542</v>
      </c>
      <c r="D6666">
        <v>0.3</v>
      </c>
      <c r="E6666">
        <v>0</v>
      </c>
      <c r="F6666">
        <f t="shared" si="104"/>
        <v>0.3</v>
      </c>
      <c r="I6666">
        <v>20180101</v>
      </c>
      <c r="J6666" t="s">
        <v>6582</v>
      </c>
    </row>
    <row r="6667" spans="1:14" x14ac:dyDescent="0.3">
      <c r="A6667" s="160">
        <v>57379</v>
      </c>
      <c r="B6667" t="s">
        <v>21834</v>
      </c>
      <c r="C6667" t="s">
        <v>6552</v>
      </c>
      <c r="D6667">
        <v>0.6</v>
      </c>
      <c r="E6667">
        <v>0</v>
      </c>
      <c r="F6667">
        <f t="shared" si="104"/>
        <v>0.6</v>
      </c>
      <c r="I6667">
        <v>20180701</v>
      </c>
      <c r="J6667" t="s">
        <v>6583</v>
      </c>
    </row>
    <row r="6668" spans="1:14" x14ac:dyDescent="0.3">
      <c r="A6668" s="160">
        <v>57380</v>
      </c>
      <c r="B6668" t="s">
        <v>21835</v>
      </c>
      <c r="C6668" t="s">
        <v>6542</v>
      </c>
      <c r="D6668">
        <v>0.3</v>
      </c>
      <c r="E6668">
        <v>0</v>
      </c>
      <c r="F6668">
        <f t="shared" si="104"/>
        <v>0.3</v>
      </c>
      <c r="I6668">
        <v>20180101</v>
      </c>
      <c r="J6668" t="s">
        <v>6568</v>
      </c>
    </row>
    <row r="6669" spans="1:14" x14ac:dyDescent="0.3">
      <c r="A6669" s="160">
        <v>57382</v>
      </c>
      <c r="B6669" t="s">
        <v>21836</v>
      </c>
      <c r="C6669" t="s">
        <v>6542</v>
      </c>
      <c r="D6669">
        <v>0.3</v>
      </c>
      <c r="E6669">
        <v>0</v>
      </c>
      <c r="F6669">
        <f t="shared" si="104"/>
        <v>0.3</v>
      </c>
      <c r="I6669">
        <v>20240101</v>
      </c>
      <c r="J6669" t="s">
        <v>6597</v>
      </c>
    </row>
    <row r="6670" spans="1:14" x14ac:dyDescent="0.3">
      <c r="A6670" s="160">
        <v>57383</v>
      </c>
      <c r="B6670" t="s">
        <v>21837</v>
      </c>
      <c r="C6670" t="s">
        <v>6542</v>
      </c>
      <c r="D6670">
        <v>0.3</v>
      </c>
      <c r="E6670">
        <v>0</v>
      </c>
      <c r="F6670">
        <f t="shared" si="104"/>
        <v>0.3</v>
      </c>
      <c r="I6670">
        <v>20240101</v>
      </c>
      <c r="J6670" t="s">
        <v>6574</v>
      </c>
    </row>
    <row r="6671" spans="1:14" x14ac:dyDescent="0.3">
      <c r="A6671" s="160">
        <v>57384</v>
      </c>
      <c r="B6671" t="s">
        <v>21838</v>
      </c>
      <c r="C6671" t="s">
        <v>6552</v>
      </c>
      <c r="D6671">
        <v>0.6</v>
      </c>
      <c r="E6671">
        <v>0</v>
      </c>
      <c r="F6671">
        <f t="shared" si="104"/>
        <v>0.6</v>
      </c>
      <c r="I6671">
        <v>20180701</v>
      </c>
      <c r="J6671" t="s">
        <v>6553</v>
      </c>
    </row>
    <row r="6672" spans="1:14" x14ac:dyDescent="0.3">
      <c r="A6672" s="160">
        <v>57385</v>
      </c>
      <c r="B6672" t="s">
        <v>21839</v>
      </c>
      <c r="C6672" t="s">
        <v>6555</v>
      </c>
      <c r="D6672">
        <v>2</v>
      </c>
      <c r="E6672">
        <v>0</v>
      </c>
      <c r="F6672">
        <f t="shared" si="104"/>
        <v>2</v>
      </c>
      <c r="I6672">
        <v>20150101</v>
      </c>
      <c r="J6672" t="s">
        <v>6564</v>
      </c>
    </row>
    <row r="6673" spans="1:17" x14ac:dyDescent="0.3">
      <c r="A6673" s="160">
        <v>57389</v>
      </c>
      <c r="B6673" t="s">
        <v>21840</v>
      </c>
      <c r="C6673" t="s">
        <v>6552</v>
      </c>
      <c r="D6673">
        <v>0.6</v>
      </c>
      <c r="E6673">
        <v>0</v>
      </c>
      <c r="F6673">
        <f t="shared" si="104"/>
        <v>0.6</v>
      </c>
      <c r="I6673">
        <v>20180701</v>
      </c>
      <c r="J6673" t="s">
        <v>6553</v>
      </c>
    </row>
    <row r="6674" spans="1:17" x14ac:dyDescent="0.3">
      <c r="A6674" s="160">
        <v>57396</v>
      </c>
      <c r="B6674" t="s">
        <v>21841</v>
      </c>
      <c r="C6674" t="s">
        <v>6555</v>
      </c>
      <c r="D6674">
        <v>2</v>
      </c>
      <c r="E6674">
        <v>0</v>
      </c>
      <c r="F6674">
        <f t="shared" si="104"/>
        <v>2</v>
      </c>
      <c r="I6674">
        <v>20150101</v>
      </c>
      <c r="J6674" t="s">
        <v>6602</v>
      </c>
      <c r="K6674" t="s">
        <v>6603</v>
      </c>
    </row>
    <row r="6675" spans="1:17" x14ac:dyDescent="0.3">
      <c r="A6675" s="160">
        <v>57398</v>
      </c>
      <c r="B6675" t="s">
        <v>21842</v>
      </c>
      <c r="C6675" t="s">
        <v>6552</v>
      </c>
      <c r="D6675">
        <v>0.6</v>
      </c>
      <c r="E6675">
        <v>0</v>
      </c>
      <c r="F6675">
        <f t="shared" si="104"/>
        <v>0.6</v>
      </c>
      <c r="I6675">
        <v>20180701</v>
      </c>
      <c r="J6675" t="s">
        <v>6553</v>
      </c>
    </row>
    <row r="6676" spans="1:17" x14ac:dyDescent="0.3">
      <c r="A6676" s="160">
        <v>57408</v>
      </c>
      <c r="B6676" t="s">
        <v>21843</v>
      </c>
      <c r="C6676" t="s">
        <v>6591</v>
      </c>
      <c r="D6676">
        <v>0.55000000000000004</v>
      </c>
      <c r="E6676">
        <v>0</v>
      </c>
      <c r="F6676">
        <f t="shared" si="104"/>
        <v>0.55000000000000004</v>
      </c>
      <c r="I6676">
        <v>20020101</v>
      </c>
      <c r="J6676" t="s">
        <v>6639</v>
      </c>
    </row>
    <row r="6677" spans="1:17" x14ac:dyDescent="0.3">
      <c r="A6677" s="160">
        <v>57409</v>
      </c>
      <c r="B6677" t="s">
        <v>21844</v>
      </c>
      <c r="C6677" t="s">
        <v>6552</v>
      </c>
      <c r="D6677">
        <v>0.6</v>
      </c>
      <c r="E6677">
        <v>0</v>
      </c>
      <c r="F6677">
        <f t="shared" si="104"/>
        <v>0.6</v>
      </c>
      <c r="I6677">
        <v>20180701</v>
      </c>
      <c r="J6677" t="s">
        <v>6553</v>
      </c>
    </row>
    <row r="6678" spans="1:17" x14ac:dyDescent="0.3">
      <c r="A6678" s="160">
        <v>57412</v>
      </c>
      <c r="B6678" t="s">
        <v>21845</v>
      </c>
      <c r="C6678" t="s">
        <v>6555</v>
      </c>
      <c r="D6678">
        <v>2</v>
      </c>
      <c r="E6678">
        <v>0</v>
      </c>
      <c r="F6678">
        <f t="shared" si="104"/>
        <v>2</v>
      </c>
      <c r="I6678">
        <v>20150101</v>
      </c>
      <c r="J6678" t="s">
        <v>6659</v>
      </c>
      <c r="K6678" t="s">
        <v>6660</v>
      </c>
      <c r="L6678" t="s">
        <v>6575</v>
      </c>
      <c r="M6678" t="s">
        <v>6576</v>
      </c>
      <c r="N6678" t="s">
        <v>6661</v>
      </c>
      <c r="O6678" t="s">
        <v>6578</v>
      </c>
      <c r="P6678" t="s">
        <v>6580</v>
      </c>
      <c r="Q6678" t="s">
        <v>6581</v>
      </c>
    </row>
    <row r="6679" spans="1:17" x14ac:dyDescent="0.3">
      <c r="A6679" s="160">
        <v>57414</v>
      </c>
      <c r="B6679" t="s">
        <v>21846</v>
      </c>
      <c r="C6679" t="s">
        <v>6542</v>
      </c>
      <c r="D6679">
        <v>0.3</v>
      </c>
      <c r="E6679">
        <v>0</v>
      </c>
      <c r="F6679">
        <f t="shared" si="104"/>
        <v>0.3</v>
      </c>
      <c r="I6679">
        <v>20180101</v>
      </c>
      <c r="J6679" t="s">
        <v>6568</v>
      </c>
    </row>
    <row r="6680" spans="1:17" x14ac:dyDescent="0.3">
      <c r="A6680" s="160">
        <v>57415</v>
      </c>
      <c r="B6680" t="s">
        <v>21847</v>
      </c>
      <c r="C6680" t="s">
        <v>6555</v>
      </c>
      <c r="D6680">
        <v>2</v>
      </c>
      <c r="E6680">
        <v>0</v>
      </c>
      <c r="F6680">
        <f t="shared" si="104"/>
        <v>2</v>
      </c>
      <c r="I6680">
        <v>20150101</v>
      </c>
      <c r="J6680" t="s">
        <v>6575</v>
      </c>
      <c r="K6680" t="s">
        <v>6576</v>
      </c>
      <c r="L6680" t="s">
        <v>6661</v>
      </c>
    </row>
    <row r="6681" spans="1:17" x14ac:dyDescent="0.3">
      <c r="A6681" s="160">
        <v>57416</v>
      </c>
      <c r="B6681" t="s">
        <v>21848</v>
      </c>
      <c r="C6681" t="s">
        <v>21849</v>
      </c>
      <c r="D6681">
        <v>2</v>
      </c>
      <c r="E6681">
        <v>0</v>
      </c>
      <c r="F6681">
        <f t="shared" si="104"/>
        <v>2</v>
      </c>
      <c r="I6681">
        <v>20240101</v>
      </c>
      <c r="J6681" t="s">
        <v>6611</v>
      </c>
    </row>
    <row r="6682" spans="1:17" x14ac:dyDescent="0.3">
      <c r="A6682" s="160">
        <v>57419</v>
      </c>
      <c r="B6682" t="s">
        <v>21850</v>
      </c>
      <c r="C6682" t="s">
        <v>6591</v>
      </c>
      <c r="D6682">
        <v>0.55000000000000004</v>
      </c>
      <c r="E6682">
        <v>0</v>
      </c>
      <c r="F6682">
        <f t="shared" si="104"/>
        <v>0.55000000000000004</v>
      </c>
      <c r="I6682">
        <v>20020101</v>
      </c>
      <c r="J6682" t="s">
        <v>6614</v>
      </c>
    </row>
    <row r="6683" spans="1:17" x14ac:dyDescent="0.3">
      <c r="A6683" s="160">
        <v>57428</v>
      </c>
      <c r="B6683" t="s">
        <v>21851</v>
      </c>
      <c r="C6683" t="s">
        <v>6552</v>
      </c>
      <c r="D6683">
        <v>0.6</v>
      </c>
      <c r="E6683">
        <v>0</v>
      </c>
      <c r="F6683">
        <f t="shared" si="104"/>
        <v>0.6</v>
      </c>
      <c r="I6683">
        <v>20180701</v>
      </c>
      <c r="J6683" t="s">
        <v>6554</v>
      </c>
    </row>
    <row r="6684" spans="1:17" x14ac:dyDescent="0.3">
      <c r="A6684" s="160">
        <v>57441</v>
      </c>
      <c r="B6684" t="s">
        <v>21852</v>
      </c>
      <c r="C6684" t="s">
        <v>6544</v>
      </c>
      <c r="D6684">
        <v>1.75</v>
      </c>
      <c r="E6684">
        <v>0</v>
      </c>
      <c r="F6684">
        <f t="shared" si="104"/>
        <v>1.75</v>
      </c>
      <c r="I6684">
        <v>20100212</v>
      </c>
      <c r="J6684" t="s">
        <v>6662</v>
      </c>
      <c r="K6684" t="s">
        <v>6663</v>
      </c>
      <c r="L6684" t="s">
        <v>6664</v>
      </c>
      <c r="M6684" t="s">
        <v>6665</v>
      </c>
      <c r="N6684" t="s">
        <v>6666</v>
      </c>
      <c r="O6684" t="s">
        <v>6667</v>
      </c>
      <c r="P6684" t="s">
        <v>6668</v>
      </c>
    </row>
    <row r="6685" spans="1:17" x14ac:dyDescent="0.3">
      <c r="A6685" s="160">
        <v>57445</v>
      </c>
      <c r="B6685" t="s">
        <v>21853</v>
      </c>
      <c r="C6685" t="s">
        <v>6555</v>
      </c>
      <c r="D6685">
        <v>2</v>
      </c>
      <c r="E6685">
        <v>0</v>
      </c>
      <c r="F6685">
        <f t="shared" si="104"/>
        <v>2</v>
      </c>
      <c r="I6685">
        <v>20150101</v>
      </c>
      <c r="J6685" t="s">
        <v>6611</v>
      </c>
    </row>
    <row r="6686" spans="1:17" x14ac:dyDescent="0.3">
      <c r="A6686" s="160">
        <v>57447</v>
      </c>
      <c r="B6686" t="s">
        <v>21854</v>
      </c>
      <c r="C6686" t="s">
        <v>6555</v>
      </c>
      <c r="D6686">
        <v>2</v>
      </c>
      <c r="E6686">
        <v>0</v>
      </c>
      <c r="F6686">
        <f t="shared" si="104"/>
        <v>2</v>
      </c>
      <c r="I6686">
        <v>20150101</v>
      </c>
      <c r="J6686" t="s">
        <v>6669</v>
      </c>
    </row>
    <row r="6687" spans="1:17" x14ac:dyDescent="0.3">
      <c r="A6687" s="160">
        <v>57452</v>
      </c>
      <c r="B6687" t="s">
        <v>21855</v>
      </c>
      <c r="C6687" t="s">
        <v>6555</v>
      </c>
      <c r="D6687">
        <v>2</v>
      </c>
      <c r="E6687">
        <v>0</v>
      </c>
      <c r="F6687">
        <f t="shared" si="104"/>
        <v>2</v>
      </c>
      <c r="I6687">
        <v>20150101</v>
      </c>
      <c r="J6687" t="s">
        <v>6670</v>
      </c>
      <c r="K6687" t="s">
        <v>6671</v>
      </c>
      <c r="L6687" t="s">
        <v>6672</v>
      </c>
      <c r="M6687" t="s">
        <v>6673</v>
      </c>
    </row>
    <row r="6688" spans="1:17" x14ac:dyDescent="0.3">
      <c r="A6688" s="160">
        <v>57453</v>
      </c>
      <c r="B6688" t="s">
        <v>21856</v>
      </c>
      <c r="C6688" t="s">
        <v>6552</v>
      </c>
      <c r="D6688">
        <v>0.6</v>
      </c>
      <c r="E6688">
        <v>0</v>
      </c>
      <c r="F6688">
        <f t="shared" si="104"/>
        <v>0.6</v>
      </c>
      <c r="I6688">
        <v>20180701</v>
      </c>
      <c r="J6688" t="s">
        <v>6553</v>
      </c>
    </row>
    <row r="6689" spans="1:66" x14ac:dyDescent="0.3">
      <c r="A6689" s="160">
        <v>57454</v>
      </c>
      <c r="B6689" t="s">
        <v>21857</v>
      </c>
      <c r="C6689" t="s">
        <v>6555</v>
      </c>
      <c r="D6689">
        <v>2</v>
      </c>
      <c r="E6689">
        <v>0</v>
      </c>
      <c r="F6689">
        <f t="shared" si="104"/>
        <v>2</v>
      </c>
      <c r="I6689">
        <v>20150101</v>
      </c>
      <c r="J6689" t="s">
        <v>6561</v>
      </c>
      <c r="K6689" t="s">
        <v>6606</v>
      </c>
    </row>
    <row r="6690" spans="1:66" x14ac:dyDescent="0.3">
      <c r="A6690" s="160">
        <v>57461</v>
      </c>
      <c r="B6690" t="s">
        <v>21858</v>
      </c>
      <c r="C6690" t="s">
        <v>6542</v>
      </c>
      <c r="D6690">
        <v>0.3</v>
      </c>
      <c r="E6690">
        <v>0</v>
      </c>
      <c r="F6690">
        <f t="shared" si="104"/>
        <v>0.3</v>
      </c>
      <c r="I6690">
        <v>20180101</v>
      </c>
      <c r="J6690" t="s">
        <v>6543</v>
      </c>
    </row>
    <row r="6691" spans="1:66" x14ac:dyDescent="0.3">
      <c r="A6691" s="160">
        <v>57463</v>
      </c>
      <c r="B6691" t="s">
        <v>21859</v>
      </c>
      <c r="C6691" t="s">
        <v>6555</v>
      </c>
      <c r="D6691">
        <v>2</v>
      </c>
      <c r="E6691">
        <v>0</v>
      </c>
      <c r="F6691">
        <f t="shared" si="104"/>
        <v>2</v>
      </c>
      <c r="I6691">
        <v>20150101</v>
      </c>
      <c r="J6691" t="s">
        <v>6674</v>
      </c>
      <c r="K6691" t="s">
        <v>6675</v>
      </c>
      <c r="L6691" t="s">
        <v>6676</v>
      </c>
      <c r="M6691" t="s">
        <v>6677</v>
      </c>
      <c r="N6691" t="s">
        <v>6678</v>
      </c>
      <c r="O6691" t="s">
        <v>6679</v>
      </c>
      <c r="P6691" t="s">
        <v>6680</v>
      </c>
      <c r="Q6691" t="s">
        <v>6681</v>
      </c>
      <c r="R6691" t="s">
        <v>6682</v>
      </c>
      <c r="S6691" t="s">
        <v>6659</v>
      </c>
      <c r="T6691" t="s">
        <v>6660</v>
      </c>
      <c r="U6691" t="s">
        <v>6683</v>
      </c>
      <c r="V6691" t="s">
        <v>6684</v>
      </c>
      <c r="W6691" t="s">
        <v>6685</v>
      </c>
      <c r="X6691" t="s">
        <v>6686</v>
      </c>
      <c r="Y6691" t="s">
        <v>6687</v>
      </c>
      <c r="Z6691" t="s">
        <v>6688</v>
      </c>
      <c r="AA6691" t="s">
        <v>6689</v>
      </c>
      <c r="AB6691" t="s">
        <v>6690</v>
      </c>
      <c r="AC6691" t="s">
        <v>6691</v>
      </c>
      <c r="AD6691" t="s">
        <v>6692</v>
      </c>
      <c r="AE6691" t="s">
        <v>6693</v>
      </c>
      <c r="AF6691" t="s">
        <v>6694</v>
      </c>
      <c r="AG6691" t="s">
        <v>6695</v>
      </c>
      <c r="AH6691" t="s">
        <v>6696</v>
      </c>
      <c r="AI6691" t="s">
        <v>6697</v>
      </c>
      <c r="AJ6691" t="s">
        <v>6698</v>
      </c>
      <c r="AK6691" t="s">
        <v>6699</v>
      </c>
      <c r="AL6691" t="s">
        <v>6700</v>
      </c>
      <c r="AM6691" t="s">
        <v>6701</v>
      </c>
      <c r="AN6691" t="s">
        <v>6702</v>
      </c>
      <c r="AO6691" t="s">
        <v>6703</v>
      </c>
      <c r="AP6691" t="s">
        <v>6704</v>
      </c>
      <c r="AQ6691" t="s">
        <v>6575</v>
      </c>
      <c r="AR6691" t="s">
        <v>6576</v>
      </c>
      <c r="AS6691" t="s">
        <v>6577</v>
      </c>
      <c r="AT6691" t="s">
        <v>6661</v>
      </c>
      <c r="AU6691" t="s">
        <v>6578</v>
      </c>
      <c r="AV6691" t="s">
        <v>6705</v>
      </c>
      <c r="AW6691" t="s">
        <v>6581</v>
      </c>
      <c r="AX6691" t="s">
        <v>6607</v>
      </c>
      <c r="AY6691" t="s">
        <v>6706</v>
      </c>
      <c r="AZ6691" t="s">
        <v>6707</v>
      </c>
      <c r="BA6691" t="s">
        <v>6560</v>
      </c>
      <c r="BB6691" t="s">
        <v>6708</v>
      </c>
      <c r="BC6691" t="s">
        <v>6561</v>
      </c>
      <c r="BD6691" t="s">
        <v>6709</v>
      </c>
      <c r="BE6691" t="s">
        <v>6710</v>
      </c>
      <c r="BF6691" t="s">
        <v>6711</v>
      </c>
      <c r="BG6691" t="s">
        <v>6712</v>
      </c>
      <c r="BH6691" t="s">
        <v>6713</v>
      </c>
      <c r="BI6691" t="s">
        <v>6714</v>
      </c>
      <c r="BJ6691" t="s">
        <v>6562</v>
      </c>
      <c r="BK6691" t="s">
        <v>6715</v>
      </c>
      <c r="BL6691" t="s">
        <v>6716</v>
      </c>
      <c r="BM6691" t="s">
        <v>6717</v>
      </c>
      <c r="BN6691" t="s">
        <v>6718</v>
      </c>
    </row>
    <row r="6692" spans="1:66" x14ac:dyDescent="0.3">
      <c r="A6692" s="160">
        <v>57466</v>
      </c>
      <c r="B6692" t="s">
        <v>21860</v>
      </c>
      <c r="C6692" t="s">
        <v>6549</v>
      </c>
      <c r="D6692">
        <v>0.6</v>
      </c>
      <c r="E6692">
        <v>0</v>
      </c>
      <c r="F6692">
        <f t="shared" si="104"/>
        <v>0.6</v>
      </c>
      <c r="I6692">
        <v>20030101</v>
      </c>
      <c r="J6692" t="s">
        <v>6612</v>
      </c>
    </row>
    <row r="6693" spans="1:66" x14ac:dyDescent="0.3">
      <c r="A6693" s="160">
        <v>57467</v>
      </c>
      <c r="B6693" t="s">
        <v>21861</v>
      </c>
      <c r="C6693" t="s">
        <v>6555</v>
      </c>
      <c r="D6693">
        <v>2</v>
      </c>
      <c r="E6693">
        <v>0</v>
      </c>
      <c r="F6693">
        <f t="shared" si="104"/>
        <v>2</v>
      </c>
      <c r="I6693">
        <v>20150101</v>
      </c>
      <c r="J6693" t="s">
        <v>6607</v>
      </c>
    </row>
    <row r="6694" spans="1:66" x14ac:dyDescent="0.3">
      <c r="A6694" s="160">
        <v>57469</v>
      </c>
      <c r="B6694" t="s">
        <v>21862</v>
      </c>
      <c r="C6694" t="s">
        <v>6542</v>
      </c>
      <c r="D6694">
        <v>0.3</v>
      </c>
      <c r="E6694">
        <v>0</v>
      </c>
      <c r="F6694">
        <f t="shared" si="104"/>
        <v>0.3</v>
      </c>
      <c r="I6694">
        <v>20180101</v>
      </c>
      <c r="J6694" t="s">
        <v>6588</v>
      </c>
    </row>
    <row r="6695" spans="1:66" x14ac:dyDescent="0.3">
      <c r="A6695" s="160">
        <v>57480</v>
      </c>
      <c r="B6695" t="s">
        <v>21863</v>
      </c>
      <c r="C6695" t="s">
        <v>6555</v>
      </c>
      <c r="D6695">
        <v>2</v>
      </c>
      <c r="E6695">
        <v>0</v>
      </c>
      <c r="F6695">
        <f t="shared" si="104"/>
        <v>2</v>
      </c>
      <c r="I6695">
        <v>20150101</v>
      </c>
      <c r="J6695" t="s">
        <v>6567</v>
      </c>
      <c r="K6695" t="s">
        <v>6570</v>
      </c>
      <c r="L6695" t="s">
        <v>6571</v>
      </c>
      <c r="M6695" t="s">
        <v>6719</v>
      </c>
      <c r="N6695" t="s">
        <v>6720</v>
      </c>
      <c r="O6695" t="s">
        <v>6721</v>
      </c>
      <c r="P6695" t="s">
        <v>6722</v>
      </c>
      <c r="Q6695" t="s">
        <v>6723</v>
      </c>
      <c r="R6695" t="s">
        <v>6724</v>
      </c>
      <c r="S6695" t="s">
        <v>6725</v>
      </c>
      <c r="T6695" t="s">
        <v>6726</v>
      </c>
    </row>
    <row r="6696" spans="1:66" x14ac:dyDescent="0.3">
      <c r="A6696" s="160">
        <v>57483</v>
      </c>
      <c r="B6696" t="s">
        <v>21864</v>
      </c>
      <c r="C6696" t="s">
        <v>6552</v>
      </c>
      <c r="D6696">
        <v>0.6</v>
      </c>
      <c r="E6696">
        <v>0</v>
      </c>
      <c r="F6696">
        <f t="shared" si="104"/>
        <v>0.6</v>
      </c>
      <c r="I6696">
        <v>20180701</v>
      </c>
      <c r="J6696" t="s">
        <v>6583</v>
      </c>
    </row>
    <row r="6697" spans="1:66" x14ac:dyDescent="0.3">
      <c r="A6697" s="160">
        <v>57484</v>
      </c>
      <c r="B6697" t="s">
        <v>21865</v>
      </c>
      <c r="C6697" t="s">
        <v>6549</v>
      </c>
      <c r="D6697">
        <v>0.6</v>
      </c>
      <c r="E6697">
        <v>0</v>
      </c>
      <c r="F6697">
        <f t="shared" si="104"/>
        <v>0.6</v>
      </c>
      <c r="I6697">
        <v>20030101</v>
      </c>
      <c r="J6697" t="s">
        <v>6626</v>
      </c>
      <c r="K6697" t="s">
        <v>6628</v>
      </c>
      <c r="L6697" t="s">
        <v>6586</v>
      </c>
      <c r="M6697" t="s">
        <v>6727</v>
      </c>
      <c r="N6697" t="s">
        <v>6635</v>
      </c>
    </row>
    <row r="6698" spans="1:66" x14ac:dyDescent="0.3">
      <c r="A6698" s="160">
        <v>57487</v>
      </c>
      <c r="B6698" t="s">
        <v>21866</v>
      </c>
      <c r="C6698" t="s">
        <v>6555</v>
      </c>
      <c r="D6698">
        <v>2</v>
      </c>
      <c r="E6698">
        <v>0</v>
      </c>
      <c r="F6698">
        <f t="shared" si="104"/>
        <v>2</v>
      </c>
      <c r="I6698">
        <v>20150101</v>
      </c>
      <c r="J6698" t="s">
        <v>6567</v>
      </c>
      <c r="K6698" t="s">
        <v>6571</v>
      </c>
      <c r="L6698" t="s">
        <v>6602</v>
      </c>
      <c r="M6698" t="s">
        <v>6603</v>
      </c>
      <c r="N6698" t="s">
        <v>6604</v>
      </c>
      <c r="O6698" t="s">
        <v>6605</v>
      </c>
      <c r="P6698" t="s">
        <v>6728</v>
      </c>
    </row>
    <row r="6699" spans="1:66" x14ac:dyDescent="0.3">
      <c r="A6699" s="160">
        <v>57488</v>
      </c>
      <c r="B6699" t="s">
        <v>16255</v>
      </c>
      <c r="C6699" t="s">
        <v>6542</v>
      </c>
      <c r="D6699">
        <v>0.3</v>
      </c>
      <c r="E6699">
        <v>0</v>
      </c>
      <c r="F6699">
        <f t="shared" si="104"/>
        <v>0.3</v>
      </c>
      <c r="I6699">
        <v>20240101</v>
      </c>
      <c r="J6699" t="s">
        <v>6729</v>
      </c>
    </row>
    <row r="6700" spans="1:66" x14ac:dyDescent="0.3">
      <c r="A6700" s="160">
        <v>57497</v>
      </c>
      <c r="B6700" t="s">
        <v>21867</v>
      </c>
      <c r="C6700" t="s">
        <v>6591</v>
      </c>
      <c r="D6700">
        <v>0.55000000000000004</v>
      </c>
      <c r="E6700">
        <v>0</v>
      </c>
      <c r="F6700">
        <f t="shared" si="104"/>
        <v>0.55000000000000004</v>
      </c>
      <c r="I6700">
        <v>20170701</v>
      </c>
      <c r="J6700" t="s">
        <v>6730</v>
      </c>
    </row>
    <row r="6701" spans="1:66" x14ac:dyDescent="0.3">
      <c r="A6701" s="160">
        <v>57498</v>
      </c>
      <c r="B6701" t="s">
        <v>21868</v>
      </c>
      <c r="C6701" t="s">
        <v>6544</v>
      </c>
      <c r="D6701">
        <v>1.75</v>
      </c>
      <c r="E6701">
        <v>0</v>
      </c>
      <c r="F6701">
        <f t="shared" si="104"/>
        <v>1.75</v>
      </c>
      <c r="I6701">
        <v>20100212</v>
      </c>
      <c r="J6701" t="s">
        <v>6650</v>
      </c>
      <c r="K6701" t="s">
        <v>6546</v>
      </c>
    </row>
    <row r="6702" spans="1:66" x14ac:dyDescent="0.3">
      <c r="A6702" s="160">
        <v>57499</v>
      </c>
      <c r="B6702" t="s">
        <v>21869</v>
      </c>
      <c r="C6702" t="s">
        <v>6591</v>
      </c>
      <c r="D6702">
        <v>0.55000000000000004</v>
      </c>
      <c r="E6702">
        <v>0</v>
      </c>
      <c r="F6702">
        <f t="shared" si="104"/>
        <v>0.55000000000000004</v>
      </c>
      <c r="I6702">
        <v>20020101</v>
      </c>
      <c r="J6702" t="s">
        <v>6644</v>
      </c>
      <c r="K6702" t="s">
        <v>6647</v>
      </c>
    </row>
    <row r="6703" spans="1:66" x14ac:dyDescent="0.3">
      <c r="A6703" s="160">
        <v>57500</v>
      </c>
      <c r="B6703" t="s">
        <v>21870</v>
      </c>
      <c r="C6703" t="s">
        <v>6542</v>
      </c>
      <c r="D6703">
        <v>0.3</v>
      </c>
      <c r="E6703">
        <v>0</v>
      </c>
      <c r="F6703">
        <f t="shared" si="104"/>
        <v>0.3</v>
      </c>
      <c r="I6703">
        <v>20180101</v>
      </c>
      <c r="J6703" t="s">
        <v>6582</v>
      </c>
    </row>
    <row r="6704" spans="1:66" x14ac:dyDescent="0.3">
      <c r="A6704" s="160">
        <v>57504</v>
      </c>
      <c r="B6704" t="s">
        <v>21871</v>
      </c>
      <c r="C6704" t="s">
        <v>6542</v>
      </c>
      <c r="D6704">
        <v>0.3</v>
      </c>
      <c r="E6704">
        <v>0</v>
      </c>
      <c r="F6704">
        <f t="shared" si="104"/>
        <v>0.3</v>
      </c>
      <c r="I6704">
        <v>20180101</v>
      </c>
      <c r="J6704" t="s">
        <v>6543</v>
      </c>
    </row>
    <row r="6705" spans="1:14" x14ac:dyDescent="0.3">
      <c r="A6705" s="160">
        <v>57505</v>
      </c>
      <c r="B6705" t="s">
        <v>21872</v>
      </c>
      <c r="C6705" t="s">
        <v>6542</v>
      </c>
      <c r="D6705">
        <v>0.3</v>
      </c>
      <c r="E6705">
        <v>0</v>
      </c>
      <c r="F6705">
        <f t="shared" si="104"/>
        <v>0.3</v>
      </c>
      <c r="I6705">
        <v>20180101</v>
      </c>
      <c r="J6705" t="s">
        <v>6638</v>
      </c>
      <c r="K6705" t="s">
        <v>6596</v>
      </c>
    </row>
    <row r="6706" spans="1:14" x14ac:dyDescent="0.3">
      <c r="A6706" s="160">
        <v>57506</v>
      </c>
      <c r="B6706" t="s">
        <v>21873</v>
      </c>
      <c r="C6706" t="s">
        <v>6542</v>
      </c>
      <c r="D6706">
        <v>0.3</v>
      </c>
      <c r="E6706">
        <v>0</v>
      </c>
      <c r="F6706">
        <f t="shared" si="104"/>
        <v>0.3</v>
      </c>
      <c r="I6706">
        <v>20180101</v>
      </c>
      <c r="J6706" t="s">
        <v>6588</v>
      </c>
    </row>
    <row r="6707" spans="1:14" x14ac:dyDescent="0.3">
      <c r="A6707" s="160">
        <v>57508</v>
      </c>
      <c r="B6707" t="s">
        <v>21874</v>
      </c>
      <c r="C6707" t="s">
        <v>6544</v>
      </c>
      <c r="D6707">
        <v>1.75</v>
      </c>
      <c r="E6707">
        <v>0</v>
      </c>
      <c r="F6707">
        <f t="shared" si="104"/>
        <v>1.75</v>
      </c>
      <c r="I6707">
        <v>20100212</v>
      </c>
      <c r="J6707" t="s">
        <v>6658</v>
      </c>
      <c r="K6707" t="s">
        <v>6546</v>
      </c>
      <c r="L6707" t="s">
        <v>6651</v>
      </c>
      <c r="M6707" t="s">
        <v>6547</v>
      </c>
      <c r="N6707" t="s">
        <v>6548</v>
      </c>
    </row>
    <row r="6708" spans="1:14" x14ac:dyDescent="0.3">
      <c r="A6708" s="160">
        <v>57509</v>
      </c>
      <c r="B6708" t="s">
        <v>21875</v>
      </c>
      <c r="C6708" t="s">
        <v>6542</v>
      </c>
      <c r="D6708">
        <v>0.3</v>
      </c>
      <c r="E6708">
        <v>0</v>
      </c>
      <c r="F6708">
        <f t="shared" si="104"/>
        <v>0.3</v>
      </c>
      <c r="I6708">
        <v>20180101</v>
      </c>
      <c r="J6708" t="s">
        <v>6568</v>
      </c>
    </row>
    <row r="6709" spans="1:14" x14ac:dyDescent="0.3">
      <c r="A6709" s="160">
        <v>57510</v>
      </c>
      <c r="B6709" t="s">
        <v>21876</v>
      </c>
      <c r="C6709" t="s">
        <v>6555</v>
      </c>
      <c r="D6709">
        <v>2</v>
      </c>
      <c r="E6709">
        <v>0</v>
      </c>
      <c r="F6709">
        <f t="shared" si="104"/>
        <v>2</v>
      </c>
      <c r="I6709">
        <v>20150101</v>
      </c>
      <c r="J6709" t="s">
        <v>6562</v>
      </c>
      <c r="K6709" t="s">
        <v>6731</v>
      </c>
    </row>
    <row r="6710" spans="1:14" x14ac:dyDescent="0.3">
      <c r="A6710" s="160">
        <v>57512</v>
      </c>
      <c r="B6710" t="s">
        <v>21877</v>
      </c>
      <c r="C6710" t="s">
        <v>6555</v>
      </c>
      <c r="D6710">
        <v>2</v>
      </c>
      <c r="E6710">
        <v>0</v>
      </c>
      <c r="F6710">
        <f t="shared" si="104"/>
        <v>2</v>
      </c>
      <c r="I6710">
        <v>20150101</v>
      </c>
      <c r="J6710" t="s">
        <v>6731</v>
      </c>
    </row>
    <row r="6711" spans="1:14" x14ac:dyDescent="0.3">
      <c r="A6711" s="160">
        <v>57514</v>
      </c>
      <c r="B6711" t="s">
        <v>21878</v>
      </c>
      <c r="C6711" t="s">
        <v>6549</v>
      </c>
      <c r="D6711">
        <v>0.6</v>
      </c>
      <c r="E6711">
        <v>0</v>
      </c>
      <c r="F6711">
        <f t="shared" si="104"/>
        <v>0.6</v>
      </c>
      <c r="I6711">
        <v>20030101</v>
      </c>
      <c r="J6711" t="s">
        <v>6654</v>
      </c>
    </row>
    <row r="6712" spans="1:14" x14ac:dyDescent="0.3">
      <c r="A6712" s="160">
        <v>57515</v>
      </c>
      <c r="B6712" t="s">
        <v>21879</v>
      </c>
      <c r="C6712" t="s">
        <v>6149</v>
      </c>
      <c r="D6712">
        <v>0.55000000000000004</v>
      </c>
      <c r="E6712">
        <v>0</v>
      </c>
      <c r="F6712">
        <f t="shared" si="104"/>
        <v>0.55000000000000004</v>
      </c>
      <c r="I6712">
        <v>20190701</v>
      </c>
      <c r="J6712" t="s">
        <v>6558</v>
      </c>
      <c r="K6712" t="s">
        <v>6570</v>
      </c>
      <c r="L6712" t="s">
        <v>6559</v>
      </c>
    </row>
    <row r="6713" spans="1:14" x14ac:dyDescent="0.3">
      <c r="A6713" s="160">
        <v>57518</v>
      </c>
      <c r="B6713" t="s">
        <v>21880</v>
      </c>
      <c r="C6713" t="s">
        <v>6542</v>
      </c>
      <c r="D6713">
        <v>0.3</v>
      </c>
      <c r="E6713">
        <v>0</v>
      </c>
      <c r="F6713">
        <f t="shared" si="104"/>
        <v>0.3</v>
      </c>
      <c r="I6713">
        <v>20180101</v>
      </c>
      <c r="J6713" t="s">
        <v>6588</v>
      </c>
    </row>
    <row r="6714" spans="1:14" x14ac:dyDescent="0.3">
      <c r="A6714" s="160">
        <v>57521</v>
      </c>
      <c r="B6714" t="s">
        <v>21881</v>
      </c>
      <c r="C6714" t="s">
        <v>6549</v>
      </c>
      <c r="D6714">
        <v>0.6</v>
      </c>
      <c r="E6714">
        <v>0</v>
      </c>
      <c r="F6714">
        <f t="shared" si="104"/>
        <v>0.6</v>
      </c>
      <c r="I6714">
        <v>20030101</v>
      </c>
      <c r="J6714" t="s">
        <v>6626</v>
      </c>
      <c r="K6714" t="s">
        <v>6551</v>
      </c>
      <c r="L6714" t="s">
        <v>6627</v>
      </c>
      <c r="M6714" t="s">
        <v>6628</v>
      </c>
      <c r="N6714" t="s">
        <v>6586</v>
      </c>
    </row>
    <row r="6715" spans="1:14" x14ac:dyDescent="0.3">
      <c r="A6715" s="160">
        <v>57529</v>
      </c>
      <c r="B6715" t="s">
        <v>21882</v>
      </c>
      <c r="C6715" t="s">
        <v>6544</v>
      </c>
      <c r="D6715">
        <v>1.75</v>
      </c>
      <c r="E6715">
        <v>0</v>
      </c>
      <c r="F6715">
        <f t="shared" si="104"/>
        <v>1.75</v>
      </c>
      <c r="I6715">
        <v>20100212</v>
      </c>
      <c r="J6715" t="s">
        <v>6732</v>
      </c>
    </row>
    <row r="6716" spans="1:14" x14ac:dyDescent="0.3">
      <c r="A6716" s="160">
        <v>57534</v>
      </c>
      <c r="B6716" t="s">
        <v>21883</v>
      </c>
      <c r="C6716" t="s">
        <v>6555</v>
      </c>
      <c r="D6716">
        <v>2</v>
      </c>
      <c r="E6716">
        <v>0</v>
      </c>
      <c r="F6716">
        <f t="shared" si="104"/>
        <v>2</v>
      </c>
      <c r="I6716">
        <v>20150101</v>
      </c>
      <c r="J6716" t="s">
        <v>6706</v>
      </c>
      <c r="K6716" t="s">
        <v>6562</v>
      </c>
      <c r="L6716" t="s">
        <v>6606</v>
      </c>
      <c r="M6716" t="s">
        <v>6733</v>
      </c>
    </row>
    <row r="6717" spans="1:14" x14ac:dyDescent="0.3">
      <c r="A6717" s="160">
        <v>57536</v>
      </c>
      <c r="B6717" t="s">
        <v>21884</v>
      </c>
      <c r="C6717" t="s">
        <v>6552</v>
      </c>
      <c r="D6717">
        <v>0.6</v>
      </c>
      <c r="E6717">
        <v>0</v>
      </c>
      <c r="F6717">
        <f t="shared" si="104"/>
        <v>0.6</v>
      </c>
      <c r="I6717">
        <v>20180701</v>
      </c>
      <c r="J6717" t="s">
        <v>6553</v>
      </c>
    </row>
    <row r="6718" spans="1:14" x14ac:dyDescent="0.3">
      <c r="A6718" s="160">
        <v>57537</v>
      </c>
      <c r="B6718" t="s">
        <v>21885</v>
      </c>
      <c r="C6718" t="s">
        <v>6549</v>
      </c>
      <c r="D6718">
        <v>0.6</v>
      </c>
      <c r="E6718">
        <v>0</v>
      </c>
      <c r="F6718">
        <f t="shared" si="104"/>
        <v>0.6</v>
      </c>
      <c r="I6718">
        <v>20030101</v>
      </c>
      <c r="J6718" t="s">
        <v>6734</v>
      </c>
      <c r="K6718" t="s">
        <v>6551</v>
      </c>
      <c r="L6718" t="s">
        <v>6628</v>
      </c>
      <c r="M6718" t="s">
        <v>6586</v>
      </c>
    </row>
    <row r="6719" spans="1:14" x14ac:dyDescent="0.3">
      <c r="A6719" s="160">
        <v>57544</v>
      </c>
      <c r="B6719" t="s">
        <v>21886</v>
      </c>
      <c r="C6719" t="s">
        <v>6542</v>
      </c>
      <c r="D6719">
        <v>0.3</v>
      </c>
      <c r="E6719">
        <v>0</v>
      </c>
      <c r="F6719">
        <f t="shared" si="104"/>
        <v>0.3</v>
      </c>
      <c r="I6719">
        <v>20180101</v>
      </c>
      <c r="J6719" t="s">
        <v>6648</v>
      </c>
    </row>
    <row r="6720" spans="1:14" x14ac:dyDescent="0.3">
      <c r="A6720" s="160">
        <v>57545</v>
      </c>
      <c r="B6720" t="s">
        <v>21887</v>
      </c>
      <c r="C6720" t="s">
        <v>6555</v>
      </c>
      <c r="D6720">
        <v>2</v>
      </c>
      <c r="E6720">
        <v>0</v>
      </c>
      <c r="F6720">
        <f t="shared" si="104"/>
        <v>2</v>
      </c>
      <c r="I6720">
        <v>20150101</v>
      </c>
      <c r="J6720" t="s">
        <v>6575</v>
      </c>
      <c r="K6720" t="s">
        <v>6576</v>
      </c>
      <c r="L6720" t="s">
        <v>6578</v>
      </c>
    </row>
    <row r="6721" spans="1:14" x14ac:dyDescent="0.3">
      <c r="A6721" s="160">
        <v>57550</v>
      </c>
      <c r="B6721" t="s">
        <v>21888</v>
      </c>
      <c r="C6721" t="s">
        <v>6552</v>
      </c>
      <c r="D6721">
        <v>0.6</v>
      </c>
      <c r="E6721">
        <v>0</v>
      </c>
      <c r="F6721">
        <f t="shared" si="104"/>
        <v>0.6</v>
      </c>
      <c r="I6721">
        <v>20180701</v>
      </c>
      <c r="J6721" t="s">
        <v>6735</v>
      </c>
    </row>
    <row r="6722" spans="1:14" x14ac:dyDescent="0.3">
      <c r="A6722" s="160">
        <v>57551</v>
      </c>
      <c r="B6722" t="s">
        <v>21889</v>
      </c>
      <c r="C6722" t="s">
        <v>6542</v>
      </c>
      <c r="D6722">
        <v>0.3</v>
      </c>
      <c r="E6722">
        <v>0</v>
      </c>
      <c r="F6722">
        <f t="shared" si="104"/>
        <v>0.3</v>
      </c>
      <c r="I6722">
        <v>20180101</v>
      </c>
      <c r="J6722" t="s">
        <v>6588</v>
      </c>
    </row>
    <row r="6723" spans="1:14" x14ac:dyDescent="0.3">
      <c r="A6723" s="160">
        <v>57552</v>
      </c>
      <c r="B6723" t="s">
        <v>21890</v>
      </c>
      <c r="C6723" t="s">
        <v>6555</v>
      </c>
      <c r="D6723">
        <v>2</v>
      </c>
      <c r="E6723">
        <v>0</v>
      </c>
      <c r="F6723">
        <f t="shared" si="104"/>
        <v>2</v>
      </c>
      <c r="I6723">
        <v>20150101</v>
      </c>
      <c r="J6723" t="s">
        <v>6611</v>
      </c>
    </row>
    <row r="6724" spans="1:14" x14ac:dyDescent="0.3">
      <c r="A6724" s="160">
        <v>57553</v>
      </c>
      <c r="B6724" t="s">
        <v>21891</v>
      </c>
      <c r="C6724" t="s">
        <v>6555</v>
      </c>
      <c r="D6724">
        <v>2</v>
      </c>
      <c r="E6724">
        <v>0</v>
      </c>
      <c r="F6724">
        <f t="shared" si="104"/>
        <v>2</v>
      </c>
      <c r="I6724">
        <v>20150101</v>
      </c>
      <c r="J6724" t="s">
        <v>6611</v>
      </c>
    </row>
    <row r="6725" spans="1:14" x14ac:dyDescent="0.3">
      <c r="A6725" s="160">
        <v>57556</v>
      </c>
      <c r="B6725" t="s">
        <v>21892</v>
      </c>
      <c r="C6725" t="s">
        <v>6591</v>
      </c>
      <c r="D6725">
        <v>0.55000000000000004</v>
      </c>
      <c r="E6725">
        <v>0</v>
      </c>
      <c r="F6725">
        <f t="shared" si="104"/>
        <v>0.55000000000000004</v>
      </c>
      <c r="I6725">
        <v>20170701</v>
      </c>
      <c r="J6725" t="s">
        <v>6614</v>
      </c>
    </row>
    <row r="6726" spans="1:14" x14ac:dyDescent="0.3">
      <c r="A6726" s="160">
        <v>57560</v>
      </c>
      <c r="B6726" t="s">
        <v>21893</v>
      </c>
      <c r="C6726" t="s">
        <v>6552</v>
      </c>
      <c r="D6726">
        <v>0.6</v>
      </c>
      <c r="E6726">
        <v>0</v>
      </c>
      <c r="F6726">
        <f t="shared" si="104"/>
        <v>0.6</v>
      </c>
      <c r="I6726">
        <v>20180701</v>
      </c>
      <c r="J6726" t="s">
        <v>6583</v>
      </c>
    </row>
    <row r="6727" spans="1:14" x14ac:dyDescent="0.3">
      <c r="A6727" s="160">
        <v>57562</v>
      </c>
      <c r="B6727" t="s">
        <v>21894</v>
      </c>
      <c r="C6727" t="s">
        <v>6544</v>
      </c>
      <c r="D6727">
        <v>1.75</v>
      </c>
      <c r="E6727">
        <v>0</v>
      </c>
      <c r="F6727">
        <f t="shared" ref="F6727:F6790" si="105">D6727+E6727</f>
        <v>1.75</v>
      </c>
      <c r="I6727">
        <v>20100212</v>
      </c>
      <c r="J6727" t="s">
        <v>6650</v>
      </c>
      <c r="K6727" t="s">
        <v>6546</v>
      </c>
    </row>
    <row r="6728" spans="1:14" x14ac:dyDescent="0.3">
      <c r="A6728" s="160">
        <v>57564</v>
      </c>
      <c r="B6728" t="s">
        <v>21895</v>
      </c>
      <c r="C6728" t="s">
        <v>6542</v>
      </c>
      <c r="D6728">
        <v>0.3</v>
      </c>
      <c r="E6728">
        <v>0</v>
      </c>
      <c r="F6728">
        <f t="shared" si="105"/>
        <v>0.3</v>
      </c>
      <c r="I6728">
        <v>20240101</v>
      </c>
      <c r="J6728" t="s">
        <v>6574</v>
      </c>
    </row>
    <row r="6729" spans="1:14" x14ac:dyDescent="0.3">
      <c r="A6729" s="160">
        <v>57566</v>
      </c>
      <c r="B6729" t="s">
        <v>21896</v>
      </c>
      <c r="C6729" t="s">
        <v>6542</v>
      </c>
      <c r="D6729">
        <v>0.3</v>
      </c>
      <c r="E6729">
        <v>0</v>
      </c>
      <c r="F6729">
        <f t="shared" si="105"/>
        <v>0.3</v>
      </c>
      <c r="I6729">
        <v>20100101</v>
      </c>
      <c r="J6729" t="s">
        <v>6584</v>
      </c>
      <c r="K6729" t="s">
        <v>6638</v>
      </c>
      <c r="L6729" t="s">
        <v>6598</v>
      </c>
      <c r="M6729" t="s">
        <v>6736</v>
      </c>
    </row>
    <row r="6730" spans="1:14" x14ac:dyDescent="0.3">
      <c r="A6730" s="160">
        <v>57568</v>
      </c>
      <c r="B6730" t="s">
        <v>21897</v>
      </c>
      <c r="C6730" t="s">
        <v>6591</v>
      </c>
      <c r="D6730">
        <v>0.55000000000000004</v>
      </c>
      <c r="E6730">
        <v>0</v>
      </c>
      <c r="F6730">
        <f t="shared" si="105"/>
        <v>0.55000000000000004</v>
      </c>
      <c r="I6730">
        <v>20020101</v>
      </c>
      <c r="J6730" t="s">
        <v>6592</v>
      </c>
      <c r="K6730" t="s">
        <v>6737</v>
      </c>
      <c r="L6730" t="s">
        <v>6738</v>
      </c>
      <c r="M6730" t="s">
        <v>6739</v>
      </c>
      <c r="N6730" t="s">
        <v>6740</v>
      </c>
    </row>
    <row r="6731" spans="1:14" x14ac:dyDescent="0.3">
      <c r="A6731" s="160">
        <v>57571</v>
      </c>
      <c r="B6731" t="s">
        <v>21898</v>
      </c>
      <c r="C6731" t="s">
        <v>6591</v>
      </c>
      <c r="D6731">
        <v>0.55000000000000004</v>
      </c>
      <c r="E6731">
        <v>0</v>
      </c>
      <c r="F6731">
        <f t="shared" si="105"/>
        <v>0.55000000000000004</v>
      </c>
      <c r="I6731">
        <v>20170701</v>
      </c>
      <c r="J6731" t="s">
        <v>6614</v>
      </c>
    </row>
    <row r="6732" spans="1:14" x14ac:dyDescent="0.3">
      <c r="A6732" s="160">
        <v>57578</v>
      </c>
      <c r="B6732" t="s">
        <v>21899</v>
      </c>
      <c r="C6732" t="s">
        <v>6149</v>
      </c>
      <c r="D6732">
        <v>0.55000000000000004</v>
      </c>
      <c r="E6732">
        <v>0</v>
      </c>
      <c r="F6732">
        <f t="shared" si="105"/>
        <v>0.55000000000000004</v>
      </c>
      <c r="I6732">
        <v>20190701</v>
      </c>
      <c r="J6732" t="s">
        <v>6557</v>
      </c>
    </row>
    <row r="6733" spans="1:14" x14ac:dyDescent="0.3">
      <c r="A6733" s="160">
        <v>57579</v>
      </c>
      <c r="B6733" t="s">
        <v>21900</v>
      </c>
      <c r="C6733" t="s">
        <v>6542</v>
      </c>
      <c r="D6733">
        <v>0.3</v>
      </c>
      <c r="E6733">
        <v>0</v>
      </c>
      <c r="F6733">
        <f t="shared" si="105"/>
        <v>0.3</v>
      </c>
      <c r="I6733">
        <v>20240101</v>
      </c>
      <c r="J6733" t="s">
        <v>6574</v>
      </c>
    </row>
    <row r="6734" spans="1:14" x14ac:dyDescent="0.3">
      <c r="A6734" s="160">
        <v>57581</v>
      </c>
      <c r="B6734" t="s">
        <v>21901</v>
      </c>
      <c r="C6734" t="s">
        <v>6591</v>
      </c>
      <c r="D6734">
        <v>0.55000000000000004</v>
      </c>
      <c r="E6734">
        <v>0</v>
      </c>
      <c r="F6734">
        <f t="shared" si="105"/>
        <v>0.55000000000000004</v>
      </c>
      <c r="I6734">
        <v>20170701</v>
      </c>
      <c r="J6734" t="s">
        <v>6614</v>
      </c>
    </row>
    <row r="6735" spans="1:14" x14ac:dyDescent="0.3">
      <c r="A6735" s="160">
        <v>57583</v>
      </c>
      <c r="B6735" t="s">
        <v>21902</v>
      </c>
      <c r="C6735" t="s">
        <v>6542</v>
      </c>
      <c r="D6735">
        <v>0.3</v>
      </c>
      <c r="E6735">
        <v>0</v>
      </c>
      <c r="F6735">
        <f t="shared" si="105"/>
        <v>0.3</v>
      </c>
      <c r="I6735">
        <v>20240101</v>
      </c>
      <c r="J6735" t="s">
        <v>6582</v>
      </c>
    </row>
    <row r="6736" spans="1:14" x14ac:dyDescent="0.3">
      <c r="A6736" s="160">
        <v>57586</v>
      </c>
      <c r="B6736" t="s">
        <v>21903</v>
      </c>
      <c r="C6736" t="s">
        <v>6544</v>
      </c>
      <c r="D6736">
        <v>1.75</v>
      </c>
      <c r="E6736">
        <v>0</v>
      </c>
      <c r="F6736">
        <f t="shared" si="105"/>
        <v>1.75</v>
      </c>
      <c r="I6736">
        <v>20100212</v>
      </c>
      <c r="J6736" t="s">
        <v>6732</v>
      </c>
    </row>
    <row r="6737" spans="1:18" x14ac:dyDescent="0.3">
      <c r="A6737" s="160">
        <v>57592</v>
      </c>
      <c r="B6737" t="s">
        <v>21904</v>
      </c>
      <c r="C6737" t="s">
        <v>6542</v>
      </c>
      <c r="D6737">
        <v>0.3</v>
      </c>
      <c r="E6737">
        <v>0</v>
      </c>
      <c r="F6737">
        <f t="shared" si="105"/>
        <v>0.3</v>
      </c>
      <c r="I6737">
        <v>20180101</v>
      </c>
      <c r="J6737" t="s">
        <v>6588</v>
      </c>
    </row>
    <row r="6738" spans="1:18" x14ac:dyDescent="0.3">
      <c r="A6738" s="160">
        <v>57593</v>
      </c>
      <c r="B6738" t="s">
        <v>21905</v>
      </c>
      <c r="C6738" t="s">
        <v>6555</v>
      </c>
      <c r="D6738">
        <v>2</v>
      </c>
      <c r="E6738">
        <v>0</v>
      </c>
      <c r="F6738">
        <f t="shared" si="105"/>
        <v>2</v>
      </c>
      <c r="I6738">
        <v>20230701</v>
      </c>
      <c r="J6738" t="s">
        <v>6741</v>
      </c>
    </row>
    <row r="6739" spans="1:18" x14ac:dyDescent="0.3">
      <c r="A6739" s="160">
        <v>57596</v>
      </c>
      <c r="B6739" t="s">
        <v>21906</v>
      </c>
      <c r="C6739" t="s">
        <v>6549</v>
      </c>
      <c r="D6739">
        <v>0.6</v>
      </c>
      <c r="E6739">
        <v>0</v>
      </c>
      <c r="F6739">
        <f t="shared" si="105"/>
        <v>0.6</v>
      </c>
      <c r="I6739">
        <v>20030101</v>
      </c>
      <c r="J6739" t="s">
        <v>6608</v>
      </c>
      <c r="K6739" t="s">
        <v>6609</v>
      </c>
      <c r="L6739" t="s">
        <v>6610</v>
      </c>
    </row>
    <row r="6740" spans="1:18" x14ac:dyDescent="0.3">
      <c r="A6740" s="160">
        <v>57598</v>
      </c>
      <c r="B6740" t="s">
        <v>21907</v>
      </c>
      <c r="C6740" t="s">
        <v>6591</v>
      </c>
      <c r="D6740">
        <v>0.55000000000000004</v>
      </c>
      <c r="E6740">
        <v>0</v>
      </c>
      <c r="F6740">
        <f t="shared" si="105"/>
        <v>0.55000000000000004</v>
      </c>
      <c r="I6740">
        <v>20020101</v>
      </c>
      <c r="J6740" t="s">
        <v>6639</v>
      </c>
    </row>
    <row r="6741" spans="1:18" x14ac:dyDescent="0.3">
      <c r="A6741" s="160">
        <v>57601</v>
      </c>
      <c r="B6741" t="s">
        <v>21908</v>
      </c>
      <c r="C6741" t="s">
        <v>6555</v>
      </c>
      <c r="D6741">
        <v>2</v>
      </c>
      <c r="E6741">
        <v>0</v>
      </c>
      <c r="F6741">
        <f t="shared" si="105"/>
        <v>2</v>
      </c>
      <c r="I6741">
        <v>20150101</v>
      </c>
      <c r="J6741" t="s">
        <v>6602</v>
      </c>
      <c r="K6741" t="s">
        <v>6603</v>
      </c>
    </row>
    <row r="6742" spans="1:18" x14ac:dyDescent="0.3">
      <c r="A6742" s="160">
        <v>57606</v>
      </c>
      <c r="B6742" t="s">
        <v>21909</v>
      </c>
      <c r="C6742" t="s">
        <v>6552</v>
      </c>
      <c r="D6742">
        <v>0.6</v>
      </c>
      <c r="E6742">
        <v>0</v>
      </c>
      <c r="F6742">
        <f t="shared" si="105"/>
        <v>0.6</v>
      </c>
      <c r="I6742">
        <v>20180701</v>
      </c>
      <c r="J6742" t="s">
        <v>6742</v>
      </c>
      <c r="K6742" t="s">
        <v>6743</v>
      </c>
      <c r="L6742" t="s">
        <v>6744</v>
      </c>
      <c r="M6742" t="s">
        <v>6745</v>
      </c>
      <c r="N6742" t="s">
        <v>6746</v>
      </c>
      <c r="O6742" t="s">
        <v>6747</v>
      </c>
      <c r="P6742" t="s">
        <v>6748</v>
      </c>
      <c r="Q6742" t="s">
        <v>6749</v>
      </c>
      <c r="R6742" t="s">
        <v>6750</v>
      </c>
    </row>
    <row r="6743" spans="1:18" x14ac:dyDescent="0.3">
      <c r="A6743" s="160">
        <v>57611</v>
      </c>
      <c r="B6743" t="s">
        <v>21910</v>
      </c>
      <c r="C6743" t="s">
        <v>6542</v>
      </c>
      <c r="D6743">
        <v>0.3</v>
      </c>
      <c r="E6743">
        <v>0</v>
      </c>
      <c r="F6743">
        <f t="shared" si="105"/>
        <v>0.3</v>
      </c>
      <c r="I6743">
        <v>20240101</v>
      </c>
      <c r="J6743" t="s">
        <v>6582</v>
      </c>
    </row>
    <row r="6744" spans="1:18" x14ac:dyDescent="0.3">
      <c r="A6744" s="160">
        <v>57613</v>
      </c>
      <c r="B6744" t="s">
        <v>21911</v>
      </c>
      <c r="C6744" t="s">
        <v>6542</v>
      </c>
      <c r="D6744">
        <v>0.3</v>
      </c>
      <c r="E6744">
        <v>0</v>
      </c>
      <c r="F6744">
        <f t="shared" si="105"/>
        <v>0.3</v>
      </c>
      <c r="I6744">
        <v>20180101</v>
      </c>
      <c r="J6744" t="s">
        <v>6588</v>
      </c>
    </row>
    <row r="6745" spans="1:18" x14ac:dyDescent="0.3">
      <c r="A6745" s="160">
        <v>57615</v>
      </c>
      <c r="B6745" t="s">
        <v>21912</v>
      </c>
      <c r="C6745" t="s">
        <v>6591</v>
      </c>
      <c r="D6745">
        <v>0.55000000000000004</v>
      </c>
      <c r="E6745">
        <v>0</v>
      </c>
      <c r="F6745">
        <f t="shared" si="105"/>
        <v>0.55000000000000004</v>
      </c>
      <c r="I6745">
        <v>20170701</v>
      </c>
      <c r="J6745" t="s">
        <v>6614</v>
      </c>
    </row>
    <row r="6746" spans="1:18" x14ac:dyDescent="0.3">
      <c r="A6746" s="160">
        <v>57616</v>
      </c>
      <c r="B6746" t="s">
        <v>21913</v>
      </c>
      <c r="C6746" t="s">
        <v>6555</v>
      </c>
      <c r="D6746">
        <v>2</v>
      </c>
      <c r="E6746">
        <v>0</v>
      </c>
      <c r="F6746">
        <f t="shared" si="105"/>
        <v>2</v>
      </c>
      <c r="I6746">
        <v>20150101</v>
      </c>
      <c r="J6746" t="s">
        <v>6607</v>
      </c>
      <c r="K6746" t="s">
        <v>6707</v>
      </c>
      <c r="L6746" t="s">
        <v>6709</v>
      </c>
      <c r="M6746" t="s">
        <v>6711</v>
      </c>
    </row>
    <row r="6747" spans="1:18" x14ac:dyDescent="0.3">
      <c r="A6747" s="160">
        <v>57622</v>
      </c>
      <c r="B6747" t="s">
        <v>21914</v>
      </c>
      <c r="C6747" t="s">
        <v>6555</v>
      </c>
      <c r="D6747">
        <v>2</v>
      </c>
      <c r="E6747">
        <v>0</v>
      </c>
      <c r="F6747">
        <f t="shared" si="105"/>
        <v>2</v>
      </c>
      <c r="I6747">
        <v>20150101</v>
      </c>
      <c r="J6747" t="s">
        <v>6751</v>
      </c>
    </row>
    <row r="6748" spans="1:18" x14ac:dyDescent="0.3">
      <c r="A6748" s="160">
        <v>57623</v>
      </c>
      <c r="B6748" t="s">
        <v>21915</v>
      </c>
      <c r="C6748" t="s">
        <v>6542</v>
      </c>
      <c r="D6748">
        <v>0.3</v>
      </c>
      <c r="E6748">
        <v>0</v>
      </c>
      <c r="F6748">
        <f t="shared" si="105"/>
        <v>0.3</v>
      </c>
      <c r="I6748">
        <v>20180101</v>
      </c>
      <c r="J6748" t="s">
        <v>6543</v>
      </c>
    </row>
    <row r="6749" spans="1:18" x14ac:dyDescent="0.3">
      <c r="A6749" s="160">
        <v>57624</v>
      </c>
      <c r="B6749" t="s">
        <v>21916</v>
      </c>
      <c r="C6749" t="s">
        <v>6555</v>
      </c>
      <c r="D6749">
        <v>2</v>
      </c>
      <c r="E6749">
        <v>0</v>
      </c>
      <c r="F6749">
        <f t="shared" si="105"/>
        <v>2</v>
      </c>
      <c r="I6749">
        <v>20150101</v>
      </c>
      <c r="J6749" t="s">
        <v>6557</v>
      </c>
    </row>
    <row r="6750" spans="1:18" x14ac:dyDescent="0.3">
      <c r="A6750" s="160">
        <v>57628</v>
      </c>
      <c r="B6750" t="s">
        <v>21917</v>
      </c>
      <c r="C6750" t="s">
        <v>6591</v>
      </c>
      <c r="D6750">
        <v>0.55000000000000004</v>
      </c>
      <c r="E6750">
        <v>0</v>
      </c>
      <c r="F6750">
        <f t="shared" si="105"/>
        <v>0.55000000000000004</v>
      </c>
      <c r="I6750">
        <v>20170701</v>
      </c>
      <c r="J6750" t="s">
        <v>6640</v>
      </c>
    </row>
    <row r="6751" spans="1:18" x14ac:dyDescent="0.3">
      <c r="A6751" s="160">
        <v>57629</v>
      </c>
      <c r="B6751" t="s">
        <v>21918</v>
      </c>
      <c r="C6751" t="s">
        <v>6542</v>
      </c>
      <c r="D6751">
        <v>0.3</v>
      </c>
      <c r="E6751">
        <v>0</v>
      </c>
      <c r="F6751">
        <f t="shared" si="105"/>
        <v>0.3</v>
      </c>
      <c r="I6751">
        <v>20100101</v>
      </c>
      <c r="J6751" t="s">
        <v>6597</v>
      </c>
    </row>
    <row r="6752" spans="1:18" x14ac:dyDescent="0.3">
      <c r="A6752" s="160">
        <v>57630</v>
      </c>
      <c r="B6752" t="s">
        <v>21919</v>
      </c>
      <c r="C6752" t="s">
        <v>6542</v>
      </c>
      <c r="D6752">
        <v>0.3</v>
      </c>
      <c r="E6752">
        <v>0</v>
      </c>
      <c r="F6752">
        <f t="shared" si="105"/>
        <v>0.3</v>
      </c>
      <c r="I6752">
        <v>20100101</v>
      </c>
      <c r="J6752" t="s">
        <v>6597</v>
      </c>
      <c r="K6752" t="s">
        <v>6584</v>
      </c>
      <c r="L6752" t="s">
        <v>6638</v>
      </c>
      <c r="M6752" t="s">
        <v>6598</v>
      </c>
      <c r="N6752" t="s">
        <v>6599</v>
      </c>
    </row>
    <row r="6753" spans="1:28" x14ac:dyDescent="0.3">
      <c r="A6753" s="160">
        <v>57631</v>
      </c>
      <c r="B6753" t="s">
        <v>21920</v>
      </c>
      <c r="C6753" t="s">
        <v>6591</v>
      </c>
      <c r="D6753">
        <v>0.55000000000000004</v>
      </c>
      <c r="E6753">
        <v>0</v>
      </c>
      <c r="F6753">
        <f t="shared" si="105"/>
        <v>0.55000000000000004</v>
      </c>
      <c r="I6753">
        <v>20020101</v>
      </c>
      <c r="J6753" t="s">
        <v>6592</v>
      </c>
      <c r="K6753" t="s">
        <v>6593</v>
      </c>
      <c r="L6753" t="s">
        <v>6752</v>
      </c>
      <c r="M6753" t="s">
        <v>6753</v>
      </c>
      <c r="N6753" t="s">
        <v>6737</v>
      </c>
      <c r="O6753" t="s">
        <v>6738</v>
      </c>
      <c r="P6753" t="s">
        <v>6739</v>
      </c>
      <c r="Q6753" t="s">
        <v>6754</v>
      </c>
      <c r="R6753" t="s">
        <v>6740</v>
      </c>
      <c r="S6753" t="s">
        <v>6755</v>
      </c>
      <c r="T6753" t="s">
        <v>6756</v>
      </c>
      <c r="U6753" t="s">
        <v>6757</v>
      </c>
      <c r="V6753" t="s">
        <v>6758</v>
      </c>
      <c r="W6753" t="s">
        <v>6759</v>
      </c>
      <c r="X6753" t="s">
        <v>6760</v>
      </c>
      <c r="Y6753" t="s">
        <v>6761</v>
      </c>
      <c r="Z6753" t="s">
        <v>6762</v>
      </c>
      <c r="AA6753" t="s">
        <v>6763</v>
      </c>
      <c r="AB6753" t="s">
        <v>6647</v>
      </c>
    </row>
    <row r="6754" spans="1:28" x14ac:dyDescent="0.3">
      <c r="A6754" s="160">
        <v>57633</v>
      </c>
      <c r="B6754" t="s">
        <v>21921</v>
      </c>
      <c r="C6754" t="s">
        <v>6591</v>
      </c>
      <c r="D6754">
        <v>0.55000000000000004</v>
      </c>
      <c r="E6754">
        <v>0</v>
      </c>
      <c r="F6754">
        <f t="shared" si="105"/>
        <v>0.55000000000000004</v>
      </c>
      <c r="I6754">
        <v>20020101</v>
      </c>
      <c r="J6754" t="s">
        <v>6764</v>
      </c>
    </row>
    <row r="6755" spans="1:28" x14ac:dyDescent="0.3">
      <c r="A6755" s="160">
        <v>57634</v>
      </c>
      <c r="B6755" t="s">
        <v>21922</v>
      </c>
      <c r="C6755" t="s">
        <v>6555</v>
      </c>
      <c r="D6755">
        <v>2</v>
      </c>
      <c r="E6755">
        <v>0</v>
      </c>
      <c r="F6755">
        <f t="shared" si="105"/>
        <v>2</v>
      </c>
      <c r="I6755">
        <v>20150101</v>
      </c>
      <c r="J6755" t="s">
        <v>6670</v>
      </c>
      <c r="K6755" t="s">
        <v>6765</v>
      </c>
      <c r="L6755" t="s">
        <v>6671</v>
      </c>
      <c r="M6755" t="s">
        <v>6673</v>
      </c>
    </row>
    <row r="6756" spans="1:28" x14ac:dyDescent="0.3">
      <c r="A6756" s="160">
        <v>57635</v>
      </c>
      <c r="B6756" t="s">
        <v>21923</v>
      </c>
      <c r="C6756" t="s">
        <v>6542</v>
      </c>
      <c r="D6756">
        <v>0.3</v>
      </c>
      <c r="E6756">
        <v>0</v>
      </c>
      <c r="F6756">
        <f t="shared" si="105"/>
        <v>0.3</v>
      </c>
      <c r="I6756">
        <v>20180101</v>
      </c>
      <c r="J6756" t="s">
        <v>6766</v>
      </c>
    </row>
    <row r="6757" spans="1:28" x14ac:dyDescent="0.3">
      <c r="A6757" s="160">
        <v>57637</v>
      </c>
      <c r="B6757" t="s">
        <v>21924</v>
      </c>
      <c r="C6757" t="s">
        <v>6542</v>
      </c>
      <c r="D6757">
        <v>0.3</v>
      </c>
      <c r="E6757">
        <v>0</v>
      </c>
      <c r="F6757">
        <f t="shared" si="105"/>
        <v>0.3</v>
      </c>
      <c r="I6757">
        <v>20180101</v>
      </c>
      <c r="J6757" t="s">
        <v>6597</v>
      </c>
      <c r="K6757" t="s">
        <v>6638</v>
      </c>
      <c r="L6757" t="s">
        <v>6598</v>
      </c>
    </row>
    <row r="6758" spans="1:28" x14ac:dyDescent="0.3">
      <c r="A6758" s="160">
        <v>57638</v>
      </c>
      <c r="B6758" t="s">
        <v>21925</v>
      </c>
      <c r="C6758" t="s">
        <v>6549</v>
      </c>
      <c r="D6758">
        <v>0.6</v>
      </c>
      <c r="E6758">
        <v>0</v>
      </c>
      <c r="F6758">
        <f t="shared" si="105"/>
        <v>0.6</v>
      </c>
      <c r="I6758">
        <v>20030101</v>
      </c>
      <c r="J6758" t="s">
        <v>6767</v>
      </c>
      <c r="K6758" t="s">
        <v>6768</v>
      </c>
      <c r="L6758" t="s">
        <v>6769</v>
      </c>
      <c r="M6758" t="s">
        <v>6770</v>
      </c>
    </row>
    <row r="6759" spans="1:28" x14ac:dyDescent="0.3">
      <c r="A6759" s="160">
        <v>57642</v>
      </c>
      <c r="B6759" t="s">
        <v>21926</v>
      </c>
      <c r="C6759" t="s">
        <v>6555</v>
      </c>
      <c r="D6759">
        <v>2</v>
      </c>
      <c r="E6759">
        <v>0</v>
      </c>
      <c r="F6759">
        <f t="shared" si="105"/>
        <v>2</v>
      </c>
      <c r="I6759">
        <v>20150101</v>
      </c>
      <c r="J6759" t="s">
        <v>6580</v>
      </c>
      <c r="K6759" t="s">
        <v>6567</v>
      </c>
      <c r="L6759" t="s">
        <v>6570</v>
      </c>
      <c r="M6759" t="s">
        <v>6602</v>
      </c>
      <c r="N6759" t="s">
        <v>6603</v>
      </c>
      <c r="O6759" t="s">
        <v>6604</v>
      </c>
      <c r="P6759" t="s">
        <v>6605</v>
      </c>
    </row>
    <row r="6760" spans="1:28" x14ac:dyDescent="0.3">
      <c r="A6760" s="160">
        <v>57647</v>
      </c>
      <c r="B6760" t="s">
        <v>21927</v>
      </c>
      <c r="C6760" t="s">
        <v>6544</v>
      </c>
      <c r="D6760">
        <v>1.75</v>
      </c>
      <c r="E6760">
        <v>0</v>
      </c>
      <c r="F6760">
        <f t="shared" si="105"/>
        <v>1.75</v>
      </c>
      <c r="I6760">
        <v>20100212</v>
      </c>
      <c r="J6760" t="s">
        <v>6616</v>
      </c>
    </row>
    <row r="6761" spans="1:28" x14ac:dyDescent="0.3">
      <c r="A6761" s="160">
        <v>57659</v>
      </c>
      <c r="B6761" t="s">
        <v>21928</v>
      </c>
      <c r="C6761" t="s">
        <v>6549</v>
      </c>
      <c r="D6761">
        <v>0.6</v>
      </c>
      <c r="E6761">
        <v>0</v>
      </c>
      <c r="F6761">
        <f t="shared" si="105"/>
        <v>0.6</v>
      </c>
      <c r="I6761">
        <v>20030101</v>
      </c>
      <c r="J6761" t="s">
        <v>6767</v>
      </c>
      <c r="K6761" t="s">
        <v>6768</v>
      </c>
      <c r="L6761" t="s">
        <v>6769</v>
      </c>
      <c r="M6761" t="s">
        <v>6633</v>
      </c>
    </row>
    <row r="6762" spans="1:28" x14ac:dyDescent="0.3">
      <c r="A6762" s="160">
        <v>57660</v>
      </c>
      <c r="B6762" t="s">
        <v>21929</v>
      </c>
      <c r="C6762" t="s">
        <v>6549</v>
      </c>
      <c r="D6762">
        <v>0.6</v>
      </c>
      <c r="E6762">
        <v>0</v>
      </c>
      <c r="F6762">
        <f t="shared" si="105"/>
        <v>0.6</v>
      </c>
      <c r="I6762">
        <v>20030101</v>
      </c>
      <c r="J6762" t="s">
        <v>6767</v>
      </c>
      <c r="K6762" t="s">
        <v>6768</v>
      </c>
      <c r="L6762" t="s">
        <v>6769</v>
      </c>
      <c r="M6762" t="s">
        <v>6770</v>
      </c>
      <c r="N6762" t="s">
        <v>6551</v>
      </c>
    </row>
    <row r="6763" spans="1:28" x14ac:dyDescent="0.3">
      <c r="A6763" s="160">
        <v>57662</v>
      </c>
      <c r="B6763" t="s">
        <v>21930</v>
      </c>
      <c r="C6763" t="s">
        <v>6552</v>
      </c>
      <c r="D6763">
        <v>0.6</v>
      </c>
      <c r="E6763">
        <v>0</v>
      </c>
      <c r="F6763">
        <f t="shared" si="105"/>
        <v>0.6</v>
      </c>
      <c r="I6763">
        <v>20180701</v>
      </c>
      <c r="J6763" t="s">
        <v>6583</v>
      </c>
    </row>
    <row r="6764" spans="1:28" x14ac:dyDescent="0.3">
      <c r="A6764" s="160">
        <v>57665</v>
      </c>
      <c r="B6764" t="s">
        <v>21931</v>
      </c>
      <c r="C6764" t="s">
        <v>6549</v>
      </c>
      <c r="D6764">
        <v>0.6</v>
      </c>
      <c r="E6764">
        <v>0</v>
      </c>
      <c r="F6764">
        <f t="shared" si="105"/>
        <v>0.6</v>
      </c>
      <c r="I6764">
        <v>20030101</v>
      </c>
      <c r="J6764" t="s">
        <v>6612</v>
      </c>
    </row>
    <row r="6765" spans="1:28" x14ac:dyDescent="0.3">
      <c r="A6765" s="160">
        <v>57666</v>
      </c>
      <c r="B6765" t="s">
        <v>21932</v>
      </c>
      <c r="C6765" t="s">
        <v>6544</v>
      </c>
      <c r="D6765">
        <v>1.75</v>
      </c>
      <c r="E6765">
        <v>0</v>
      </c>
      <c r="F6765">
        <f t="shared" si="105"/>
        <v>1.75</v>
      </c>
      <c r="I6765">
        <v>20100212</v>
      </c>
      <c r="J6765" t="s">
        <v>6663</v>
      </c>
      <c r="K6765" t="s">
        <v>6771</v>
      </c>
      <c r="L6765" t="s">
        <v>6665</v>
      </c>
      <c r="M6765" t="s">
        <v>6772</v>
      </c>
      <c r="N6765" t="s">
        <v>6666</v>
      </c>
      <c r="O6765" t="s">
        <v>6667</v>
      </c>
      <c r="P6765" t="s">
        <v>6773</v>
      </c>
      <c r="Q6765" t="s">
        <v>6774</v>
      </c>
      <c r="R6765" t="s">
        <v>6775</v>
      </c>
      <c r="S6765" t="s">
        <v>6776</v>
      </c>
      <c r="T6765" t="s">
        <v>6777</v>
      </c>
    </row>
    <row r="6766" spans="1:28" x14ac:dyDescent="0.3">
      <c r="A6766" s="160">
        <v>57669</v>
      </c>
      <c r="B6766" t="s">
        <v>21933</v>
      </c>
      <c r="C6766" t="s">
        <v>6549</v>
      </c>
      <c r="D6766">
        <v>0.6</v>
      </c>
      <c r="E6766">
        <v>0</v>
      </c>
      <c r="F6766">
        <f t="shared" si="105"/>
        <v>0.6</v>
      </c>
      <c r="I6766">
        <v>20030101</v>
      </c>
      <c r="J6766" t="s">
        <v>6621</v>
      </c>
    </row>
    <row r="6767" spans="1:28" x14ac:dyDescent="0.3">
      <c r="A6767" s="160">
        <v>57672</v>
      </c>
      <c r="B6767" t="s">
        <v>21934</v>
      </c>
      <c r="C6767" t="s">
        <v>6544</v>
      </c>
      <c r="D6767">
        <v>1.75</v>
      </c>
      <c r="E6767">
        <v>0</v>
      </c>
      <c r="F6767">
        <f t="shared" si="105"/>
        <v>1.75</v>
      </c>
      <c r="I6767">
        <v>20100212</v>
      </c>
      <c r="J6767" t="s">
        <v>6662</v>
      </c>
      <c r="K6767" t="s">
        <v>6663</v>
      </c>
      <c r="L6767" t="s">
        <v>6664</v>
      </c>
      <c r="M6767" t="s">
        <v>6771</v>
      </c>
      <c r="N6767" t="s">
        <v>6665</v>
      </c>
      <c r="O6767" t="s">
        <v>6772</v>
      </c>
      <c r="P6767" t="s">
        <v>6666</v>
      </c>
      <c r="Q6767" t="s">
        <v>6667</v>
      </c>
      <c r="R6767" t="s">
        <v>6773</v>
      </c>
      <c r="S6767" t="s">
        <v>6668</v>
      </c>
      <c r="T6767" t="s">
        <v>6774</v>
      </c>
      <c r="U6767" t="s">
        <v>6778</v>
      </c>
      <c r="V6767" t="s">
        <v>6779</v>
      </c>
      <c r="W6767" t="s">
        <v>6775</v>
      </c>
    </row>
    <row r="6768" spans="1:28" x14ac:dyDescent="0.3">
      <c r="A6768" s="160">
        <v>57678</v>
      </c>
      <c r="B6768" t="s">
        <v>21935</v>
      </c>
      <c r="C6768" t="s">
        <v>6544</v>
      </c>
      <c r="D6768">
        <v>1.75</v>
      </c>
      <c r="E6768">
        <v>0</v>
      </c>
      <c r="F6768">
        <f t="shared" si="105"/>
        <v>1.75</v>
      </c>
      <c r="I6768">
        <v>20100212</v>
      </c>
      <c r="J6768" t="s">
        <v>6780</v>
      </c>
    </row>
    <row r="6769" spans="1:12" x14ac:dyDescent="0.3">
      <c r="A6769" s="160">
        <v>57680</v>
      </c>
      <c r="B6769" t="s">
        <v>21936</v>
      </c>
      <c r="C6769" t="s">
        <v>6542</v>
      </c>
      <c r="D6769">
        <v>0.3</v>
      </c>
      <c r="E6769">
        <v>0</v>
      </c>
      <c r="F6769">
        <f t="shared" si="105"/>
        <v>0.3</v>
      </c>
      <c r="I6769">
        <v>20180101</v>
      </c>
      <c r="J6769" t="s">
        <v>6638</v>
      </c>
      <c r="K6769" t="s">
        <v>6598</v>
      </c>
      <c r="L6769" t="s">
        <v>6648</v>
      </c>
    </row>
    <row r="6770" spans="1:12" x14ac:dyDescent="0.3">
      <c r="A6770" s="160">
        <v>57682</v>
      </c>
      <c r="B6770" t="s">
        <v>21937</v>
      </c>
      <c r="C6770" t="s">
        <v>6542</v>
      </c>
      <c r="D6770">
        <v>0.3</v>
      </c>
      <c r="E6770">
        <v>0</v>
      </c>
      <c r="F6770">
        <f t="shared" si="105"/>
        <v>0.3</v>
      </c>
      <c r="I6770">
        <v>20180101</v>
      </c>
      <c r="J6770" t="s">
        <v>6543</v>
      </c>
    </row>
    <row r="6771" spans="1:12" x14ac:dyDescent="0.3">
      <c r="A6771" s="160">
        <v>57683</v>
      </c>
      <c r="B6771" t="s">
        <v>21938</v>
      </c>
      <c r="C6771" t="s">
        <v>6544</v>
      </c>
      <c r="D6771">
        <v>1.75</v>
      </c>
      <c r="E6771">
        <v>0</v>
      </c>
      <c r="F6771">
        <f t="shared" si="105"/>
        <v>1.75</v>
      </c>
      <c r="I6771">
        <v>20100212</v>
      </c>
      <c r="J6771" t="s">
        <v>6781</v>
      </c>
      <c r="K6771" t="s">
        <v>6618</v>
      </c>
      <c r="L6771" t="s">
        <v>6620</v>
      </c>
    </row>
    <row r="6772" spans="1:12" x14ac:dyDescent="0.3">
      <c r="A6772" s="160">
        <v>57684</v>
      </c>
      <c r="B6772" t="s">
        <v>21939</v>
      </c>
      <c r="C6772" t="s">
        <v>6552</v>
      </c>
      <c r="D6772">
        <v>0.6</v>
      </c>
      <c r="E6772">
        <v>0</v>
      </c>
      <c r="F6772">
        <f t="shared" si="105"/>
        <v>0.6</v>
      </c>
      <c r="I6772">
        <v>20180701</v>
      </c>
      <c r="J6772" t="s">
        <v>6553</v>
      </c>
    </row>
    <row r="6773" spans="1:12" x14ac:dyDescent="0.3">
      <c r="A6773" s="160">
        <v>57687</v>
      </c>
      <c r="B6773" t="s">
        <v>21940</v>
      </c>
      <c r="C6773" t="s">
        <v>6552</v>
      </c>
      <c r="D6773">
        <v>0.6</v>
      </c>
      <c r="E6773">
        <v>0</v>
      </c>
      <c r="F6773">
        <f t="shared" si="105"/>
        <v>0.6</v>
      </c>
      <c r="I6773">
        <v>20180701</v>
      </c>
      <c r="J6773" t="s">
        <v>6583</v>
      </c>
    </row>
    <row r="6774" spans="1:12" x14ac:dyDescent="0.3">
      <c r="A6774" s="160">
        <v>57690</v>
      </c>
      <c r="B6774" t="s">
        <v>21941</v>
      </c>
      <c r="C6774" t="s">
        <v>6552</v>
      </c>
      <c r="D6774">
        <v>0.6</v>
      </c>
      <c r="E6774">
        <v>0</v>
      </c>
      <c r="F6774">
        <f t="shared" si="105"/>
        <v>0.6</v>
      </c>
      <c r="I6774">
        <v>20180701</v>
      </c>
      <c r="J6774" t="s">
        <v>6554</v>
      </c>
    </row>
    <row r="6775" spans="1:12" x14ac:dyDescent="0.3">
      <c r="A6775" s="160">
        <v>57693</v>
      </c>
      <c r="B6775" t="s">
        <v>21942</v>
      </c>
      <c r="C6775" t="s">
        <v>6555</v>
      </c>
      <c r="D6775">
        <v>2</v>
      </c>
      <c r="E6775">
        <v>0</v>
      </c>
      <c r="F6775">
        <f t="shared" si="105"/>
        <v>2</v>
      </c>
      <c r="I6775">
        <v>20150101</v>
      </c>
      <c r="J6775" t="s">
        <v>6607</v>
      </c>
      <c r="K6775" t="s">
        <v>6707</v>
      </c>
    </row>
    <row r="6776" spans="1:12" x14ac:dyDescent="0.3">
      <c r="A6776" s="160">
        <v>57694</v>
      </c>
      <c r="B6776" t="s">
        <v>21943</v>
      </c>
      <c r="C6776" t="s">
        <v>6555</v>
      </c>
      <c r="D6776">
        <v>2</v>
      </c>
      <c r="E6776">
        <v>0</v>
      </c>
      <c r="F6776">
        <f t="shared" si="105"/>
        <v>2</v>
      </c>
      <c r="I6776">
        <v>20150101</v>
      </c>
      <c r="J6776" t="s">
        <v>6607</v>
      </c>
    </row>
    <row r="6777" spans="1:12" x14ac:dyDescent="0.3">
      <c r="A6777" s="160">
        <v>57697</v>
      </c>
      <c r="B6777" t="s">
        <v>21944</v>
      </c>
      <c r="C6777" t="s">
        <v>6542</v>
      </c>
      <c r="D6777">
        <v>0.3</v>
      </c>
      <c r="E6777">
        <v>0</v>
      </c>
      <c r="F6777">
        <f t="shared" si="105"/>
        <v>0.3</v>
      </c>
      <c r="I6777">
        <v>20180101</v>
      </c>
      <c r="J6777" t="s">
        <v>6543</v>
      </c>
    </row>
    <row r="6778" spans="1:12" x14ac:dyDescent="0.3">
      <c r="A6778" s="160">
        <v>57701</v>
      </c>
      <c r="B6778" t="s">
        <v>21945</v>
      </c>
      <c r="C6778" t="s">
        <v>6555</v>
      </c>
      <c r="D6778">
        <v>2</v>
      </c>
      <c r="E6778">
        <v>0</v>
      </c>
      <c r="F6778">
        <f t="shared" si="105"/>
        <v>2</v>
      </c>
      <c r="I6778">
        <v>20150101</v>
      </c>
      <c r="J6778" t="s">
        <v>6557</v>
      </c>
      <c r="K6778" t="s">
        <v>6558</v>
      </c>
    </row>
    <row r="6779" spans="1:12" x14ac:dyDescent="0.3">
      <c r="A6779" s="160">
        <v>57703</v>
      </c>
      <c r="B6779" t="s">
        <v>21946</v>
      </c>
      <c r="C6779" t="s">
        <v>6542</v>
      </c>
      <c r="D6779">
        <v>0.3</v>
      </c>
      <c r="E6779">
        <v>0</v>
      </c>
      <c r="F6779">
        <f t="shared" si="105"/>
        <v>0.3</v>
      </c>
      <c r="I6779">
        <v>20180101</v>
      </c>
      <c r="J6779" t="s">
        <v>6766</v>
      </c>
    </row>
    <row r="6780" spans="1:12" x14ac:dyDescent="0.3">
      <c r="A6780" s="160">
        <v>57707</v>
      </c>
      <c r="B6780" t="s">
        <v>21947</v>
      </c>
      <c r="C6780" t="s">
        <v>6555</v>
      </c>
      <c r="D6780">
        <v>2</v>
      </c>
      <c r="E6780">
        <v>0</v>
      </c>
      <c r="F6780">
        <f t="shared" si="105"/>
        <v>2</v>
      </c>
      <c r="I6780">
        <v>20150101</v>
      </c>
      <c r="J6780" t="s">
        <v>6557</v>
      </c>
    </row>
    <row r="6781" spans="1:12" x14ac:dyDescent="0.3">
      <c r="A6781" s="160">
        <v>57713</v>
      </c>
      <c r="B6781" t="s">
        <v>21948</v>
      </c>
      <c r="C6781" t="s">
        <v>6542</v>
      </c>
      <c r="D6781">
        <v>0.3</v>
      </c>
      <c r="E6781">
        <v>0</v>
      </c>
      <c r="F6781">
        <f t="shared" si="105"/>
        <v>0.3</v>
      </c>
      <c r="I6781">
        <v>20180101</v>
      </c>
      <c r="J6781" t="s">
        <v>6590</v>
      </c>
    </row>
    <row r="6782" spans="1:12" x14ac:dyDescent="0.3">
      <c r="A6782" s="160">
        <v>57717</v>
      </c>
      <c r="B6782" t="s">
        <v>21949</v>
      </c>
      <c r="C6782" t="s">
        <v>6552</v>
      </c>
      <c r="D6782">
        <v>0.6</v>
      </c>
      <c r="E6782">
        <v>0</v>
      </c>
      <c r="F6782">
        <f t="shared" si="105"/>
        <v>0.6</v>
      </c>
      <c r="I6782">
        <v>20180701</v>
      </c>
      <c r="J6782" t="s">
        <v>6583</v>
      </c>
    </row>
    <row r="6783" spans="1:12" x14ac:dyDescent="0.3">
      <c r="A6783" s="160">
        <v>57722</v>
      </c>
      <c r="B6783" t="s">
        <v>21950</v>
      </c>
      <c r="C6783" t="s">
        <v>6149</v>
      </c>
      <c r="D6783">
        <v>0.55000000000000004</v>
      </c>
      <c r="E6783">
        <v>0</v>
      </c>
      <c r="F6783">
        <f t="shared" si="105"/>
        <v>0.55000000000000004</v>
      </c>
      <c r="I6783">
        <v>20190701</v>
      </c>
      <c r="J6783" t="s">
        <v>6557</v>
      </c>
    </row>
    <row r="6784" spans="1:12" x14ac:dyDescent="0.3">
      <c r="A6784" s="160">
        <v>57731</v>
      </c>
      <c r="B6784" t="s">
        <v>21951</v>
      </c>
      <c r="C6784" t="s">
        <v>6544</v>
      </c>
      <c r="D6784">
        <v>1.75</v>
      </c>
      <c r="E6784">
        <v>0</v>
      </c>
      <c r="F6784">
        <f t="shared" si="105"/>
        <v>1.75</v>
      </c>
      <c r="I6784">
        <v>20100212</v>
      </c>
      <c r="J6784" t="s">
        <v>6613</v>
      </c>
    </row>
    <row r="6785" spans="1:18" x14ac:dyDescent="0.3">
      <c r="A6785" s="160">
        <v>57734</v>
      </c>
      <c r="B6785" t="s">
        <v>21952</v>
      </c>
      <c r="C6785" t="s">
        <v>6542</v>
      </c>
      <c r="D6785">
        <v>0.3</v>
      </c>
      <c r="E6785">
        <v>0</v>
      </c>
      <c r="F6785">
        <f t="shared" si="105"/>
        <v>0.3</v>
      </c>
      <c r="I6785">
        <v>20180101</v>
      </c>
      <c r="J6785" t="s">
        <v>6543</v>
      </c>
    </row>
    <row r="6786" spans="1:18" x14ac:dyDescent="0.3">
      <c r="A6786" s="160">
        <v>57742</v>
      </c>
      <c r="B6786" t="s">
        <v>21953</v>
      </c>
      <c r="C6786" t="s">
        <v>6542</v>
      </c>
      <c r="D6786">
        <v>0.3</v>
      </c>
      <c r="E6786">
        <v>0</v>
      </c>
      <c r="F6786">
        <f t="shared" si="105"/>
        <v>0.3</v>
      </c>
      <c r="I6786">
        <v>20180101</v>
      </c>
      <c r="J6786" t="s">
        <v>6648</v>
      </c>
    </row>
    <row r="6787" spans="1:18" x14ac:dyDescent="0.3">
      <c r="A6787" s="160">
        <v>57745</v>
      </c>
      <c r="B6787" t="s">
        <v>21954</v>
      </c>
      <c r="C6787" t="s">
        <v>6591</v>
      </c>
      <c r="D6787">
        <v>0.55000000000000004</v>
      </c>
      <c r="E6787">
        <v>0</v>
      </c>
      <c r="F6787">
        <f t="shared" si="105"/>
        <v>0.55000000000000004</v>
      </c>
      <c r="I6787">
        <v>20020101</v>
      </c>
      <c r="J6787" t="s">
        <v>6592</v>
      </c>
    </row>
    <row r="6788" spans="1:18" x14ac:dyDescent="0.3">
      <c r="A6788" s="160">
        <v>57746</v>
      </c>
      <c r="B6788" t="s">
        <v>21955</v>
      </c>
      <c r="C6788" t="s">
        <v>6591</v>
      </c>
      <c r="D6788">
        <v>0.55000000000000004</v>
      </c>
      <c r="E6788">
        <v>0</v>
      </c>
      <c r="F6788">
        <f t="shared" si="105"/>
        <v>0.55000000000000004</v>
      </c>
      <c r="I6788">
        <v>20020101</v>
      </c>
      <c r="J6788" t="s">
        <v>6640</v>
      </c>
      <c r="K6788" t="s">
        <v>6645</v>
      </c>
    </row>
    <row r="6789" spans="1:18" x14ac:dyDescent="0.3">
      <c r="A6789" s="160">
        <v>57748</v>
      </c>
      <c r="B6789" t="s">
        <v>21956</v>
      </c>
      <c r="C6789" t="s">
        <v>6591</v>
      </c>
      <c r="D6789">
        <v>0.55000000000000004</v>
      </c>
      <c r="E6789">
        <v>0</v>
      </c>
      <c r="F6789">
        <f t="shared" si="105"/>
        <v>0.55000000000000004</v>
      </c>
      <c r="I6789">
        <v>20020101</v>
      </c>
      <c r="J6789" t="s">
        <v>6764</v>
      </c>
    </row>
    <row r="6790" spans="1:18" x14ac:dyDescent="0.3">
      <c r="A6790" s="160">
        <v>57750</v>
      </c>
      <c r="B6790" t="s">
        <v>21957</v>
      </c>
      <c r="C6790" t="s">
        <v>6591</v>
      </c>
      <c r="D6790">
        <v>0.55000000000000004</v>
      </c>
      <c r="E6790">
        <v>0</v>
      </c>
      <c r="F6790">
        <f t="shared" si="105"/>
        <v>0.55000000000000004</v>
      </c>
      <c r="I6790">
        <v>20020101</v>
      </c>
      <c r="J6790" t="s">
        <v>6592</v>
      </c>
      <c r="K6790" t="s">
        <v>6755</v>
      </c>
    </row>
    <row r="6791" spans="1:18" x14ac:dyDescent="0.3">
      <c r="A6791" s="160">
        <v>57751</v>
      </c>
      <c r="B6791" t="s">
        <v>21958</v>
      </c>
      <c r="C6791" t="s">
        <v>6555</v>
      </c>
      <c r="D6791">
        <v>2</v>
      </c>
      <c r="E6791">
        <v>0</v>
      </c>
      <c r="F6791">
        <f t="shared" ref="F6791:F6854" si="106">D6791+E6791</f>
        <v>2</v>
      </c>
      <c r="I6791">
        <v>20150101</v>
      </c>
      <c r="J6791" t="s">
        <v>6578</v>
      </c>
      <c r="K6791" t="s">
        <v>6782</v>
      </c>
      <c r="L6791" t="s">
        <v>6670</v>
      </c>
      <c r="M6791" t="s">
        <v>6765</v>
      </c>
      <c r="N6791" t="s">
        <v>6783</v>
      </c>
      <c r="O6791" t="s">
        <v>6671</v>
      </c>
      <c r="P6791" t="s">
        <v>6672</v>
      </c>
      <c r="Q6791" t="s">
        <v>6673</v>
      </c>
      <c r="R6791" t="s">
        <v>6784</v>
      </c>
    </row>
    <row r="6792" spans="1:18" x14ac:dyDescent="0.3">
      <c r="A6792" s="160">
        <v>57752</v>
      </c>
      <c r="B6792" t="s">
        <v>21959</v>
      </c>
      <c r="C6792" t="s">
        <v>6591</v>
      </c>
      <c r="D6792">
        <v>0.55000000000000004</v>
      </c>
      <c r="E6792">
        <v>0</v>
      </c>
      <c r="F6792">
        <f t="shared" si="106"/>
        <v>0.55000000000000004</v>
      </c>
      <c r="I6792">
        <v>20020101</v>
      </c>
      <c r="J6792" t="s">
        <v>6785</v>
      </c>
      <c r="K6792" t="s">
        <v>6786</v>
      </c>
    </row>
    <row r="6793" spans="1:18" x14ac:dyDescent="0.3">
      <c r="A6793" s="160">
        <v>57756</v>
      </c>
      <c r="B6793" t="s">
        <v>21960</v>
      </c>
      <c r="C6793" t="s">
        <v>6542</v>
      </c>
      <c r="D6793">
        <v>0.3</v>
      </c>
      <c r="E6793">
        <v>0</v>
      </c>
      <c r="F6793">
        <f t="shared" si="106"/>
        <v>0.3</v>
      </c>
      <c r="I6793">
        <v>20180101</v>
      </c>
      <c r="J6793" t="s">
        <v>6638</v>
      </c>
      <c r="K6793" t="s">
        <v>6582</v>
      </c>
    </row>
    <row r="6794" spans="1:18" x14ac:dyDescent="0.3">
      <c r="A6794" s="160">
        <v>57757</v>
      </c>
      <c r="B6794" t="s">
        <v>21961</v>
      </c>
      <c r="C6794" t="s">
        <v>6544</v>
      </c>
      <c r="D6794">
        <v>1.75</v>
      </c>
      <c r="E6794">
        <v>0</v>
      </c>
      <c r="F6794">
        <f t="shared" si="106"/>
        <v>1.75</v>
      </c>
      <c r="I6794">
        <v>20100212</v>
      </c>
      <c r="J6794" t="s">
        <v>6641</v>
      </c>
      <c r="K6794" t="s">
        <v>6655</v>
      </c>
      <c r="L6794" t="s">
        <v>6656</v>
      </c>
      <c r="M6794" t="s">
        <v>6642</v>
      </c>
      <c r="N6794" t="s">
        <v>6643</v>
      </c>
    </row>
    <row r="6795" spans="1:18" x14ac:dyDescent="0.3">
      <c r="A6795" s="160">
        <v>57760</v>
      </c>
      <c r="B6795" t="s">
        <v>21962</v>
      </c>
      <c r="C6795" t="s">
        <v>6591</v>
      </c>
      <c r="D6795">
        <v>0.55000000000000004</v>
      </c>
      <c r="E6795">
        <v>0</v>
      </c>
      <c r="F6795">
        <f t="shared" si="106"/>
        <v>0.55000000000000004</v>
      </c>
      <c r="I6795">
        <v>20020101</v>
      </c>
      <c r="J6795" t="s">
        <v>6764</v>
      </c>
    </row>
    <row r="6796" spans="1:18" x14ac:dyDescent="0.3">
      <c r="A6796" s="160">
        <v>57765</v>
      </c>
      <c r="B6796" t="s">
        <v>21963</v>
      </c>
      <c r="C6796" t="s">
        <v>6552</v>
      </c>
      <c r="D6796">
        <v>0.6</v>
      </c>
      <c r="E6796">
        <v>0</v>
      </c>
      <c r="F6796">
        <f t="shared" si="106"/>
        <v>0.6</v>
      </c>
      <c r="I6796">
        <v>20180701</v>
      </c>
      <c r="J6796" t="s">
        <v>6735</v>
      </c>
    </row>
    <row r="6797" spans="1:18" x14ac:dyDescent="0.3">
      <c r="A6797" s="160">
        <v>57767</v>
      </c>
      <c r="B6797" t="s">
        <v>21964</v>
      </c>
      <c r="C6797" t="s">
        <v>6544</v>
      </c>
      <c r="D6797">
        <v>1.75</v>
      </c>
      <c r="E6797">
        <v>0</v>
      </c>
      <c r="F6797">
        <f t="shared" si="106"/>
        <v>1.75</v>
      </c>
      <c r="I6797">
        <v>20100212</v>
      </c>
      <c r="J6797" t="s">
        <v>6641</v>
      </c>
      <c r="K6797" t="s">
        <v>6655</v>
      </c>
    </row>
    <row r="6798" spans="1:18" x14ac:dyDescent="0.3">
      <c r="A6798" s="160">
        <v>58051</v>
      </c>
      <c r="B6798" t="s">
        <v>21965</v>
      </c>
      <c r="C6798" t="s">
        <v>6787</v>
      </c>
      <c r="D6798">
        <v>0.8</v>
      </c>
      <c r="E6798">
        <v>0</v>
      </c>
      <c r="F6798">
        <f t="shared" si="106"/>
        <v>0.8</v>
      </c>
      <c r="I6798">
        <v>20160101</v>
      </c>
      <c r="J6798" t="s">
        <v>6788</v>
      </c>
      <c r="K6798" t="s">
        <v>6789</v>
      </c>
      <c r="L6798" t="s">
        <v>6790</v>
      </c>
      <c r="M6798" t="s">
        <v>6791</v>
      </c>
      <c r="N6798" t="s">
        <v>6792</v>
      </c>
    </row>
    <row r="6799" spans="1:18" x14ac:dyDescent="0.3">
      <c r="A6799" s="160">
        <v>58088</v>
      </c>
      <c r="B6799" t="s">
        <v>21966</v>
      </c>
      <c r="C6799" t="s">
        <v>6787</v>
      </c>
      <c r="D6799">
        <v>0.8</v>
      </c>
      <c r="E6799">
        <v>0</v>
      </c>
      <c r="F6799">
        <f t="shared" si="106"/>
        <v>0.8</v>
      </c>
      <c r="I6799">
        <v>20160101</v>
      </c>
      <c r="J6799" t="s">
        <v>6793</v>
      </c>
      <c r="K6799" t="s">
        <v>6794</v>
      </c>
      <c r="L6799" t="s">
        <v>6795</v>
      </c>
    </row>
    <row r="6800" spans="1:18" x14ac:dyDescent="0.3">
      <c r="A6800" s="160">
        <v>58117</v>
      </c>
      <c r="B6800" t="s">
        <v>21967</v>
      </c>
      <c r="C6800" t="s">
        <v>6787</v>
      </c>
      <c r="D6800">
        <v>0.8</v>
      </c>
      <c r="E6800">
        <v>0</v>
      </c>
      <c r="F6800">
        <f t="shared" si="106"/>
        <v>0.8</v>
      </c>
      <c r="I6800">
        <v>20160101</v>
      </c>
      <c r="J6800" t="s">
        <v>6796</v>
      </c>
      <c r="K6800" t="s">
        <v>6797</v>
      </c>
      <c r="L6800" t="s">
        <v>6793</v>
      </c>
      <c r="M6800" t="s">
        <v>6794</v>
      </c>
    </row>
    <row r="6801" spans="1:33" x14ac:dyDescent="0.3">
      <c r="A6801" s="160">
        <v>58121</v>
      </c>
      <c r="B6801" t="s">
        <v>21968</v>
      </c>
      <c r="C6801" t="s">
        <v>6787</v>
      </c>
      <c r="D6801">
        <v>0.8</v>
      </c>
      <c r="E6801">
        <v>0</v>
      </c>
      <c r="F6801">
        <f t="shared" si="106"/>
        <v>0.8</v>
      </c>
      <c r="I6801">
        <v>20160101</v>
      </c>
      <c r="J6801" t="s">
        <v>6796</v>
      </c>
      <c r="K6801" t="s">
        <v>6797</v>
      </c>
      <c r="L6801" t="s">
        <v>6793</v>
      </c>
      <c r="M6801" t="s">
        <v>6794</v>
      </c>
    </row>
    <row r="6802" spans="1:33" x14ac:dyDescent="0.3">
      <c r="A6802" s="160">
        <v>58124</v>
      </c>
      <c r="B6802" t="s">
        <v>21969</v>
      </c>
      <c r="C6802" t="s">
        <v>6787</v>
      </c>
      <c r="D6802">
        <v>0.8</v>
      </c>
      <c r="E6802">
        <v>0</v>
      </c>
      <c r="F6802">
        <f t="shared" si="106"/>
        <v>0.8</v>
      </c>
      <c r="I6802">
        <v>20160101</v>
      </c>
      <c r="J6802" t="s">
        <v>6798</v>
      </c>
    </row>
    <row r="6803" spans="1:33" x14ac:dyDescent="0.3">
      <c r="A6803" s="160">
        <v>58126</v>
      </c>
      <c r="B6803" t="s">
        <v>21970</v>
      </c>
      <c r="C6803" t="s">
        <v>6787</v>
      </c>
      <c r="D6803">
        <v>0.8</v>
      </c>
      <c r="E6803">
        <v>0</v>
      </c>
      <c r="F6803">
        <f t="shared" si="106"/>
        <v>0.8</v>
      </c>
      <c r="I6803">
        <v>20160101</v>
      </c>
      <c r="J6803" t="s">
        <v>6799</v>
      </c>
    </row>
    <row r="6804" spans="1:33" x14ac:dyDescent="0.3">
      <c r="A6804" s="160">
        <v>58160</v>
      </c>
      <c r="B6804" t="s">
        <v>21971</v>
      </c>
      <c r="C6804" t="s">
        <v>6787</v>
      </c>
      <c r="D6804">
        <v>0.8</v>
      </c>
      <c r="E6804">
        <v>0</v>
      </c>
      <c r="F6804">
        <f t="shared" si="106"/>
        <v>0.8</v>
      </c>
      <c r="I6804">
        <v>20160101</v>
      </c>
      <c r="J6804" t="s">
        <v>6800</v>
      </c>
      <c r="K6804" t="s">
        <v>6793</v>
      </c>
    </row>
    <row r="6805" spans="1:33" x14ac:dyDescent="0.3">
      <c r="A6805" s="160">
        <v>58194</v>
      </c>
      <c r="B6805" t="s">
        <v>21972</v>
      </c>
      <c r="C6805" t="s">
        <v>6787</v>
      </c>
      <c r="D6805">
        <v>0.8</v>
      </c>
      <c r="E6805">
        <v>0</v>
      </c>
      <c r="F6805">
        <f t="shared" si="106"/>
        <v>0.8</v>
      </c>
      <c r="I6805">
        <v>20160101</v>
      </c>
      <c r="J6805" t="s">
        <v>6788</v>
      </c>
      <c r="K6805" t="s">
        <v>6801</v>
      </c>
      <c r="L6805" t="s">
        <v>6802</v>
      </c>
      <c r="M6805" t="s">
        <v>6789</v>
      </c>
      <c r="N6805" t="s">
        <v>6790</v>
      </c>
      <c r="O6805" t="s">
        <v>6791</v>
      </c>
      <c r="P6805" t="s">
        <v>6803</v>
      </c>
      <c r="Q6805" t="s">
        <v>6792</v>
      </c>
      <c r="R6805" t="s">
        <v>6804</v>
      </c>
      <c r="S6805" t="s">
        <v>6805</v>
      </c>
      <c r="T6805" t="s">
        <v>6806</v>
      </c>
      <c r="U6805" t="s">
        <v>6807</v>
      </c>
      <c r="V6805" t="s">
        <v>6808</v>
      </c>
      <c r="W6805" t="s">
        <v>6809</v>
      </c>
      <c r="X6805" t="s">
        <v>6810</v>
      </c>
      <c r="Y6805" t="s">
        <v>6811</v>
      </c>
      <c r="Z6805" t="s">
        <v>6812</v>
      </c>
      <c r="AA6805" t="s">
        <v>6813</v>
      </c>
      <c r="AB6805" t="s">
        <v>6814</v>
      </c>
      <c r="AC6805" t="s">
        <v>6815</v>
      </c>
      <c r="AD6805" t="s">
        <v>6816</v>
      </c>
      <c r="AE6805" t="s">
        <v>6817</v>
      </c>
      <c r="AF6805" t="s">
        <v>6818</v>
      </c>
      <c r="AG6805" t="s">
        <v>6819</v>
      </c>
    </row>
    <row r="6806" spans="1:33" x14ac:dyDescent="0.3">
      <c r="A6806" s="160">
        <v>58207</v>
      </c>
      <c r="B6806" t="s">
        <v>21973</v>
      </c>
      <c r="C6806" t="s">
        <v>6787</v>
      </c>
      <c r="D6806">
        <v>0.8</v>
      </c>
      <c r="E6806">
        <v>0</v>
      </c>
      <c r="F6806">
        <f t="shared" si="106"/>
        <v>0.8</v>
      </c>
      <c r="I6806">
        <v>20170701</v>
      </c>
      <c r="J6806" t="s">
        <v>6798</v>
      </c>
    </row>
    <row r="6807" spans="1:33" x14ac:dyDescent="0.3">
      <c r="A6807" s="160">
        <v>58214</v>
      </c>
      <c r="B6807" t="s">
        <v>21974</v>
      </c>
      <c r="C6807" t="s">
        <v>6787</v>
      </c>
      <c r="D6807">
        <v>0.8</v>
      </c>
      <c r="E6807">
        <v>0</v>
      </c>
      <c r="F6807">
        <f t="shared" si="106"/>
        <v>0.8</v>
      </c>
      <c r="I6807">
        <v>20160101</v>
      </c>
      <c r="J6807" t="s">
        <v>6798</v>
      </c>
    </row>
    <row r="6808" spans="1:33" x14ac:dyDescent="0.3">
      <c r="A6808" s="160">
        <v>58225</v>
      </c>
      <c r="B6808" t="s">
        <v>21975</v>
      </c>
      <c r="C6808" t="s">
        <v>6787</v>
      </c>
      <c r="D6808">
        <v>0.8</v>
      </c>
      <c r="E6808">
        <v>0</v>
      </c>
      <c r="F6808">
        <f t="shared" si="106"/>
        <v>0.8</v>
      </c>
      <c r="I6808">
        <v>20160101</v>
      </c>
      <c r="J6808" t="s">
        <v>6799</v>
      </c>
    </row>
    <row r="6809" spans="1:33" x14ac:dyDescent="0.3">
      <c r="A6809" s="160">
        <v>58278</v>
      </c>
      <c r="B6809" t="s">
        <v>21976</v>
      </c>
      <c r="C6809" t="s">
        <v>6787</v>
      </c>
      <c r="D6809">
        <v>0.8</v>
      </c>
      <c r="E6809">
        <v>0</v>
      </c>
      <c r="F6809">
        <f t="shared" si="106"/>
        <v>0.8</v>
      </c>
      <c r="I6809">
        <v>20160101</v>
      </c>
      <c r="J6809" t="s">
        <v>6788</v>
      </c>
      <c r="K6809" t="s">
        <v>6789</v>
      </c>
      <c r="L6809" t="s">
        <v>6791</v>
      </c>
      <c r="M6809" t="s">
        <v>6803</v>
      </c>
      <c r="N6809" t="s">
        <v>6792</v>
      </c>
    </row>
    <row r="6810" spans="1:33" x14ac:dyDescent="0.3">
      <c r="A6810" s="160">
        <v>58303</v>
      </c>
      <c r="B6810" t="s">
        <v>21977</v>
      </c>
      <c r="C6810" t="s">
        <v>6787</v>
      </c>
      <c r="D6810">
        <v>0.8</v>
      </c>
      <c r="E6810">
        <v>0</v>
      </c>
      <c r="F6810">
        <f t="shared" si="106"/>
        <v>0.8</v>
      </c>
      <c r="I6810">
        <v>20160101</v>
      </c>
      <c r="J6810" t="s">
        <v>6812</v>
      </c>
      <c r="K6810" t="s">
        <v>6816</v>
      </c>
      <c r="L6810" t="s">
        <v>6820</v>
      </c>
      <c r="M6810" t="s">
        <v>6797</v>
      </c>
      <c r="N6810" t="s">
        <v>6793</v>
      </c>
      <c r="O6810" t="s">
        <v>6794</v>
      </c>
    </row>
    <row r="6811" spans="1:33" x14ac:dyDescent="0.3">
      <c r="A6811" s="160">
        <v>59001</v>
      </c>
      <c r="B6811" t="s">
        <v>21978</v>
      </c>
      <c r="C6811" t="s">
        <v>6821</v>
      </c>
      <c r="D6811">
        <v>0.6</v>
      </c>
      <c r="E6811">
        <v>0.1</v>
      </c>
      <c r="F6811">
        <f t="shared" si="106"/>
        <v>0.7</v>
      </c>
      <c r="I6811">
        <v>20230701</v>
      </c>
      <c r="J6811" t="s">
        <v>6822</v>
      </c>
    </row>
    <row r="6812" spans="1:33" x14ac:dyDescent="0.3">
      <c r="A6812" s="160">
        <v>59002</v>
      </c>
      <c r="B6812" t="s">
        <v>21979</v>
      </c>
      <c r="C6812" t="s">
        <v>6823</v>
      </c>
      <c r="D6812">
        <v>2</v>
      </c>
      <c r="E6812">
        <v>0</v>
      </c>
      <c r="F6812">
        <f t="shared" si="106"/>
        <v>2</v>
      </c>
      <c r="I6812">
        <v>20130701</v>
      </c>
      <c r="J6812" t="s">
        <v>6824</v>
      </c>
    </row>
    <row r="6813" spans="1:33" x14ac:dyDescent="0.3">
      <c r="A6813" s="160">
        <v>59003</v>
      </c>
      <c r="B6813" t="s">
        <v>21980</v>
      </c>
      <c r="C6813" t="s">
        <v>6825</v>
      </c>
      <c r="D6813">
        <v>2</v>
      </c>
      <c r="E6813">
        <v>0</v>
      </c>
      <c r="F6813">
        <f t="shared" si="106"/>
        <v>2</v>
      </c>
      <c r="I6813">
        <v>20230101</v>
      </c>
      <c r="J6813" t="s">
        <v>6826</v>
      </c>
    </row>
    <row r="6814" spans="1:33" x14ac:dyDescent="0.3">
      <c r="A6814" s="160">
        <v>59004</v>
      </c>
      <c r="B6814" t="s">
        <v>21981</v>
      </c>
      <c r="C6814" t="s">
        <v>256</v>
      </c>
      <c r="D6814">
        <v>0</v>
      </c>
      <c r="E6814">
        <v>0.1</v>
      </c>
      <c r="F6814">
        <f t="shared" si="106"/>
        <v>0.1</v>
      </c>
      <c r="I6814">
        <v>20150701</v>
      </c>
      <c r="J6814" t="s">
        <v>6827</v>
      </c>
    </row>
    <row r="6815" spans="1:33" x14ac:dyDescent="0.3">
      <c r="A6815" s="160">
        <v>59005</v>
      </c>
      <c r="B6815" t="s">
        <v>21982</v>
      </c>
      <c r="C6815" t="s">
        <v>6828</v>
      </c>
      <c r="D6815">
        <v>0.91</v>
      </c>
      <c r="E6815">
        <v>0.1</v>
      </c>
      <c r="F6815">
        <f t="shared" si="106"/>
        <v>1.01</v>
      </c>
      <c r="I6815">
        <v>20250101</v>
      </c>
      <c r="J6815" t="s">
        <v>6829</v>
      </c>
    </row>
    <row r="6816" spans="1:33" x14ac:dyDescent="0.3">
      <c r="A6816" s="160">
        <v>59007</v>
      </c>
      <c r="B6816" t="s">
        <v>21983</v>
      </c>
      <c r="C6816" t="s">
        <v>6830</v>
      </c>
      <c r="D6816">
        <v>1.8</v>
      </c>
      <c r="E6816">
        <v>0</v>
      </c>
      <c r="F6816">
        <f t="shared" si="106"/>
        <v>1.8</v>
      </c>
      <c r="I6816">
        <v>20090701</v>
      </c>
      <c r="J6816" t="s">
        <v>6831</v>
      </c>
    </row>
    <row r="6817" spans="1:38" x14ac:dyDescent="0.3">
      <c r="A6817" s="160">
        <v>59008</v>
      </c>
      <c r="B6817" t="s">
        <v>21984</v>
      </c>
      <c r="C6817" t="s">
        <v>6830</v>
      </c>
      <c r="D6817">
        <v>1.8</v>
      </c>
      <c r="E6817">
        <v>0</v>
      </c>
      <c r="F6817">
        <f t="shared" si="106"/>
        <v>1.8</v>
      </c>
      <c r="I6817">
        <v>20090701</v>
      </c>
      <c r="J6817" t="s">
        <v>6832</v>
      </c>
    </row>
    <row r="6818" spans="1:38" x14ac:dyDescent="0.3">
      <c r="A6818" s="160">
        <v>59009</v>
      </c>
      <c r="B6818" t="s">
        <v>21985</v>
      </c>
      <c r="C6818" t="s">
        <v>6828</v>
      </c>
      <c r="D6818">
        <v>2</v>
      </c>
      <c r="E6818">
        <v>0</v>
      </c>
      <c r="F6818">
        <f t="shared" si="106"/>
        <v>2</v>
      </c>
      <c r="I6818">
        <v>20110101</v>
      </c>
      <c r="J6818" t="s">
        <v>6833</v>
      </c>
      <c r="K6818" t="s">
        <v>6834</v>
      </c>
      <c r="L6818" t="s">
        <v>6835</v>
      </c>
      <c r="M6818" t="s">
        <v>6836</v>
      </c>
      <c r="N6818" t="s">
        <v>6837</v>
      </c>
      <c r="O6818" t="s">
        <v>6838</v>
      </c>
      <c r="P6818" t="s">
        <v>6839</v>
      </c>
      <c r="Q6818" t="s">
        <v>6840</v>
      </c>
      <c r="R6818" t="s">
        <v>6841</v>
      </c>
      <c r="S6818" t="s">
        <v>6842</v>
      </c>
      <c r="T6818" t="s">
        <v>6843</v>
      </c>
      <c r="U6818" t="s">
        <v>6844</v>
      </c>
      <c r="V6818" t="s">
        <v>6845</v>
      </c>
      <c r="W6818" t="s">
        <v>6846</v>
      </c>
      <c r="X6818" t="s">
        <v>6847</v>
      </c>
      <c r="Y6818" t="s">
        <v>6848</v>
      </c>
      <c r="Z6818" t="s">
        <v>6849</v>
      </c>
      <c r="AA6818" t="s">
        <v>6850</v>
      </c>
      <c r="AB6818" t="s">
        <v>6851</v>
      </c>
      <c r="AC6818" t="s">
        <v>6852</v>
      </c>
      <c r="AD6818" t="s">
        <v>6853</v>
      </c>
      <c r="AE6818" t="s">
        <v>6854</v>
      </c>
      <c r="AF6818" t="s">
        <v>6855</v>
      </c>
      <c r="AG6818" t="s">
        <v>6856</v>
      </c>
      <c r="AH6818" t="s">
        <v>6857</v>
      </c>
      <c r="AI6818" t="s">
        <v>6858</v>
      </c>
      <c r="AJ6818" t="s">
        <v>6859</v>
      </c>
      <c r="AK6818" t="s">
        <v>6860</v>
      </c>
      <c r="AL6818" t="s">
        <v>6861</v>
      </c>
    </row>
    <row r="6819" spans="1:38" x14ac:dyDescent="0.3">
      <c r="A6819" s="160">
        <v>59010</v>
      </c>
      <c r="B6819" t="s">
        <v>21986</v>
      </c>
      <c r="C6819" t="s">
        <v>6821</v>
      </c>
      <c r="D6819">
        <v>0.6</v>
      </c>
      <c r="E6819">
        <v>0.1</v>
      </c>
      <c r="F6819">
        <f t="shared" si="106"/>
        <v>0.7</v>
      </c>
      <c r="I6819">
        <v>20230701</v>
      </c>
      <c r="J6819" t="s">
        <v>6862</v>
      </c>
    </row>
    <row r="6820" spans="1:38" x14ac:dyDescent="0.3">
      <c r="A6820" s="160">
        <v>59011</v>
      </c>
      <c r="B6820" t="s">
        <v>21987</v>
      </c>
      <c r="C6820" t="s">
        <v>6828</v>
      </c>
      <c r="D6820">
        <v>0.91</v>
      </c>
      <c r="E6820">
        <v>0.1</v>
      </c>
      <c r="F6820">
        <f t="shared" si="106"/>
        <v>1.01</v>
      </c>
      <c r="I6820">
        <v>20250101</v>
      </c>
      <c r="J6820" t="s">
        <v>6863</v>
      </c>
    </row>
    <row r="6821" spans="1:38" x14ac:dyDescent="0.3">
      <c r="A6821" s="160">
        <v>59013</v>
      </c>
      <c r="B6821" t="s">
        <v>21988</v>
      </c>
      <c r="C6821" t="s">
        <v>6828</v>
      </c>
      <c r="D6821">
        <v>2</v>
      </c>
      <c r="E6821">
        <v>0</v>
      </c>
      <c r="F6821">
        <f t="shared" si="106"/>
        <v>2</v>
      </c>
      <c r="I6821">
        <v>20110101</v>
      </c>
      <c r="J6821" t="s">
        <v>6864</v>
      </c>
    </row>
    <row r="6822" spans="1:38" x14ac:dyDescent="0.3">
      <c r="A6822" s="160">
        <v>59014</v>
      </c>
      <c r="B6822" t="s">
        <v>21989</v>
      </c>
      <c r="C6822" t="s">
        <v>6823</v>
      </c>
      <c r="D6822">
        <v>2</v>
      </c>
      <c r="E6822">
        <v>0</v>
      </c>
      <c r="F6822">
        <f t="shared" si="106"/>
        <v>2</v>
      </c>
      <c r="I6822">
        <v>20130701</v>
      </c>
      <c r="J6822" t="s">
        <v>6865</v>
      </c>
      <c r="K6822" t="s">
        <v>6866</v>
      </c>
    </row>
    <row r="6823" spans="1:38" x14ac:dyDescent="0.3">
      <c r="A6823" s="160">
        <v>59015</v>
      </c>
      <c r="B6823" t="s">
        <v>21990</v>
      </c>
      <c r="C6823" t="s">
        <v>6830</v>
      </c>
      <c r="D6823">
        <v>1.8</v>
      </c>
      <c r="E6823">
        <v>0</v>
      </c>
      <c r="F6823">
        <f t="shared" si="106"/>
        <v>1.8</v>
      </c>
      <c r="I6823">
        <v>20090701</v>
      </c>
      <c r="J6823" t="s">
        <v>6867</v>
      </c>
    </row>
    <row r="6824" spans="1:38" x14ac:dyDescent="0.3">
      <c r="A6824" s="160">
        <v>59016</v>
      </c>
      <c r="B6824" t="s">
        <v>21991</v>
      </c>
      <c r="C6824" t="s">
        <v>6868</v>
      </c>
      <c r="D6824">
        <v>2</v>
      </c>
      <c r="E6824">
        <v>0</v>
      </c>
      <c r="F6824">
        <f t="shared" si="106"/>
        <v>2</v>
      </c>
      <c r="I6824">
        <v>20220701</v>
      </c>
      <c r="J6824" t="s">
        <v>6869</v>
      </c>
    </row>
    <row r="6825" spans="1:38" x14ac:dyDescent="0.3">
      <c r="A6825" s="160">
        <v>59017</v>
      </c>
      <c r="B6825" t="s">
        <v>21992</v>
      </c>
      <c r="C6825" t="s">
        <v>6828</v>
      </c>
      <c r="D6825">
        <v>2</v>
      </c>
      <c r="E6825">
        <v>0</v>
      </c>
      <c r="F6825">
        <f t="shared" si="106"/>
        <v>2</v>
      </c>
      <c r="I6825">
        <v>20110101</v>
      </c>
      <c r="J6825" t="s">
        <v>6870</v>
      </c>
      <c r="K6825" t="s">
        <v>6871</v>
      </c>
      <c r="L6825" t="s">
        <v>6872</v>
      </c>
      <c r="M6825" t="s">
        <v>6873</v>
      </c>
      <c r="N6825" t="s">
        <v>6874</v>
      </c>
      <c r="O6825" t="s">
        <v>6875</v>
      </c>
      <c r="P6825" t="s">
        <v>6876</v>
      </c>
      <c r="Q6825" t="s">
        <v>6877</v>
      </c>
    </row>
    <row r="6826" spans="1:38" x14ac:dyDescent="0.3">
      <c r="A6826" s="160">
        <v>59018</v>
      </c>
      <c r="C6826" t="s">
        <v>27548</v>
      </c>
      <c r="D6826">
        <v>1.05</v>
      </c>
      <c r="E6826">
        <v>0</v>
      </c>
      <c r="F6826">
        <f t="shared" si="106"/>
        <v>1.05</v>
      </c>
      <c r="I6826">
        <v>20250101</v>
      </c>
      <c r="J6826" t="s">
        <v>27549</v>
      </c>
      <c r="K6826" t="s">
        <v>6924</v>
      </c>
    </row>
    <row r="6827" spans="1:38" x14ac:dyDescent="0.3">
      <c r="A6827" s="160">
        <v>59019</v>
      </c>
      <c r="B6827" t="s">
        <v>21993</v>
      </c>
      <c r="C6827" t="s">
        <v>6823</v>
      </c>
      <c r="D6827">
        <v>2</v>
      </c>
      <c r="E6827">
        <v>0</v>
      </c>
      <c r="F6827">
        <f t="shared" si="106"/>
        <v>2</v>
      </c>
      <c r="I6827">
        <v>20130701</v>
      </c>
      <c r="J6827" t="s">
        <v>6878</v>
      </c>
    </row>
    <row r="6828" spans="1:38" x14ac:dyDescent="0.3">
      <c r="A6828" s="160">
        <v>59021</v>
      </c>
      <c r="B6828" t="s">
        <v>21994</v>
      </c>
      <c r="C6828" t="s">
        <v>6825</v>
      </c>
      <c r="D6828">
        <v>2</v>
      </c>
      <c r="E6828">
        <v>0</v>
      </c>
      <c r="F6828">
        <f t="shared" si="106"/>
        <v>2</v>
      </c>
      <c r="I6828">
        <v>20230101</v>
      </c>
      <c r="J6828" t="s">
        <v>6879</v>
      </c>
      <c r="K6828" t="s">
        <v>6880</v>
      </c>
    </row>
    <row r="6829" spans="1:38" x14ac:dyDescent="0.3">
      <c r="A6829" s="160">
        <v>59022</v>
      </c>
      <c r="B6829" t="s">
        <v>21995</v>
      </c>
      <c r="C6829" t="s">
        <v>256</v>
      </c>
      <c r="D6829">
        <v>0</v>
      </c>
      <c r="E6829">
        <v>0.1</v>
      </c>
      <c r="F6829">
        <f t="shared" si="106"/>
        <v>0.1</v>
      </c>
      <c r="I6829">
        <v>20150701</v>
      </c>
      <c r="J6829" t="s">
        <v>6881</v>
      </c>
    </row>
    <row r="6830" spans="1:38" x14ac:dyDescent="0.3">
      <c r="A6830" s="160">
        <v>59023</v>
      </c>
      <c r="B6830" t="s">
        <v>21996</v>
      </c>
      <c r="C6830" t="s">
        <v>6821</v>
      </c>
      <c r="D6830">
        <v>0.6</v>
      </c>
      <c r="E6830">
        <v>0.1</v>
      </c>
      <c r="F6830">
        <f t="shared" si="106"/>
        <v>0.7</v>
      </c>
      <c r="I6830">
        <v>20230701</v>
      </c>
      <c r="J6830" t="s">
        <v>6882</v>
      </c>
    </row>
    <row r="6831" spans="1:38" x14ac:dyDescent="0.3">
      <c r="A6831" s="160">
        <v>59024</v>
      </c>
      <c r="B6831" t="s">
        <v>21997</v>
      </c>
      <c r="C6831" t="s">
        <v>6830</v>
      </c>
      <c r="D6831">
        <v>1.8</v>
      </c>
      <c r="E6831">
        <v>0</v>
      </c>
      <c r="F6831">
        <f t="shared" si="106"/>
        <v>1.8</v>
      </c>
      <c r="I6831">
        <v>20090701</v>
      </c>
      <c r="J6831" t="s">
        <v>6883</v>
      </c>
    </row>
    <row r="6832" spans="1:38" x14ac:dyDescent="0.3">
      <c r="A6832" s="160">
        <v>59025</v>
      </c>
      <c r="B6832" t="s">
        <v>21998</v>
      </c>
      <c r="C6832" t="s">
        <v>6828</v>
      </c>
      <c r="D6832">
        <v>1.5</v>
      </c>
      <c r="E6832">
        <v>0</v>
      </c>
      <c r="F6832">
        <f t="shared" si="106"/>
        <v>1.5</v>
      </c>
      <c r="I6832">
        <v>20250101</v>
      </c>
      <c r="J6832" t="s">
        <v>6884</v>
      </c>
      <c r="K6832" t="s">
        <v>6885</v>
      </c>
    </row>
    <row r="6833" spans="1:17" x14ac:dyDescent="0.3">
      <c r="A6833" s="160">
        <v>59026</v>
      </c>
      <c r="B6833" t="s">
        <v>21999</v>
      </c>
      <c r="C6833" t="s">
        <v>6830</v>
      </c>
      <c r="D6833">
        <v>1.8</v>
      </c>
      <c r="E6833">
        <v>0</v>
      </c>
      <c r="F6833">
        <f t="shared" si="106"/>
        <v>1.8</v>
      </c>
      <c r="I6833">
        <v>20090701</v>
      </c>
      <c r="J6833" t="s">
        <v>6882</v>
      </c>
    </row>
    <row r="6834" spans="1:17" x14ac:dyDescent="0.3">
      <c r="A6834" s="160">
        <v>59027</v>
      </c>
      <c r="B6834" t="s">
        <v>22000</v>
      </c>
      <c r="C6834" t="s">
        <v>6823</v>
      </c>
      <c r="D6834">
        <v>2</v>
      </c>
      <c r="E6834">
        <v>0</v>
      </c>
      <c r="F6834">
        <f t="shared" si="106"/>
        <v>2</v>
      </c>
      <c r="I6834">
        <v>20130701</v>
      </c>
      <c r="J6834" t="s">
        <v>6886</v>
      </c>
    </row>
    <row r="6835" spans="1:17" x14ac:dyDescent="0.3">
      <c r="A6835" s="160">
        <v>59028</v>
      </c>
      <c r="B6835" t="s">
        <v>22001</v>
      </c>
      <c r="C6835" t="s">
        <v>6830</v>
      </c>
      <c r="D6835">
        <v>1.8</v>
      </c>
      <c r="E6835">
        <v>0</v>
      </c>
      <c r="F6835">
        <f t="shared" si="106"/>
        <v>1.8</v>
      </c>
      <c r="I6835">
        <v>20090701</v>
      </c>
      <c r="J6835" t="s">
        <v>6887</v>
      </c>
      <c r="K6835" t="s">
        <v>6888</v>
      </c>
      <c r="L6835" t="s">
        <v>6889</v>
      </c>
      <c r="M6835" t="s">
        <v>6890</v>
      </c>
      <c r="N6835" t="s">
        <v>6891</v>
      </c>
      <c r="O6835" t="s">
        <v>6892</v>
      </c>
    </row>
    <row r="6836" spans="1:17" x14ac:dyDescent="0.3">
      <c r="A6836" s="160">
        <v>59029</v>
      </c>
      <c r="B6836" t="s">
        <v>22002</v>
      </c>
      <c r="C6836" t="s">
        <v>256</v>
      </c>
      <c r="D6836">
        <v>0</v>
      </c>
      <c r="E6836">
        <v>0.1</v>
      </c>
      <c r="F6836">
        <f t="shared" si="106"/>
        <v>0.1</v>
      </c>
      <c r="I6836">
        <v>20150701</v>
      </c>
      <c r="J6836" t="s">
        <v>6827</v>
      </c>
      <c r="K6836" t="s">
        <v>6893</v>
      </c>
    </row>
    <row r="6837" spans="1:17" x14ac:dyDescent="0.3">
      <c r="A6837" s="160">
        <v>59031</v>
      </c>
      <c r="B6837" t="s">
        <v>22003</v>
      </c>
      <c r="C6837" t="s">
        <v>256</v>
      </c>
      <c r="D6837">
        <v>0</v>
      </c>
      <c r="E6837">
        <v>0.1</v>
      </c>
      <c r="F6837">
        <f t="shared" si="106"/>
        <v>0.1</v>
      </c>
      <c r="I6837">
        <v>20150701</v>
      </c>
      <c r="J6837" t="s">
        <v>6894</v>
      </c>
    </row>
    <row r="6838" spans="1:17" x14ac:dyDescent="0.3">
      <c r="A6838" s="160">
        <v>59032</v>
      </c>
      <c r="B6838" t="s">
        <v>22004</v>
      </c>
      <c r="C6838" t="s">
        <v>6823</v>
      </c>
      <c r="D6838">
        <v>2</v>
      </c>
      <c r="E6838">
        <v>0</v>
      </c>
      <c r="F6838">
        <f t="shared" si="106"/>
        <v>2</v>
      </c>
      <c r="I6838">
        <v>20130701</v>
      </c>
      <c r="J6838" t="s">
        <v>6895</v>
      </c>
      <c r="K6838" t="s">
        <v>6896</v>
      </c>
      <c r="L6838" t="s">
        <v>6897</v>
      </c>
      <c r="M6838" t="s">
        <v>6898</v>
      </c>
      <c r="N6838" t="s">
        <v>6899</v>
      </c>
      <c r="O6838" t="s">
        <v>6900</v>
      </c>
      <c r="P6838" t="s">
        <v>6901</v>
      </c>
      <c r="Q6838" t="s">
        <v>6902</v>
      </c>
    </row>
    <row r="6839" spans="1:17" x14ac:dyDescent="0.3">
      <c r="A6839" s="160">
        <v>59033</v>
      </c>
      <c r="B6839" t="s">
        <v>22005</v>
      </c>
      <c r="C6839" t="s">
        <v>6825</v>
      </c>
      <c r="D6839">
        <v>2</v>
      </c>
      <c r="E6839">
        <v>0</v>
      </c>
      <c r="F6839">
        <f t="shared" si="106"/>
        <v>2</v>
      </c>
      <c r="I6839">
        <v>20230101</v>
      </c>
      <c r="J6839" t="s">
        <v>6903</v>
      </c>
    </row>
    <row r="6840" spans="1:17" x14ac:dyDescent="0.3">
      <c r="A6840" s="160">
        <v>59034</v>
      </c>
      <c r="B6840" t="s">
        <v>22006</v>
      </c>
      <c r="C6840" t="s">
        <v>256</v>
      </c>
      <c r="D6840">
        <v>0</v>
      </c>
      <c r="E6840">
        <v>0.1</v>
      </c>
      <c r="F6840">
        <f t="shared" si="106"/>
        <v>0.1</v>
      </c>
      <c r="I6840">
        <v>20150701</v>
      </c>
      <c r="J6840" t="s">
        <v>6904</v>
      </c>
    </row>
    <row r="6841" spans="1:17" x14ac:dyDescent="0.3">
      <c r="A6841" s="160">
        <v>59038</v>
      </c>
      <c r="B6841" t="s">
        <v>22007</v>
      </c>
      <c r="C6841" t="s">
        <v>6823</v>
      </c>
      <c r="D6841">
        <v>2</v>
      </c>
      <c r="E6841">
        <v>0</v>
      </c>
      <c r="F6841">
        <f t="shared" si="106"/>
        <v>2</v>
      </c>
      <c r="I6841">
        <v>20130701</v>
      </c>
      <c r="J6841" t="s">
        <v>6905</v>
      </c>
    </row>
    <row r="6842" spans="1:17" x14ac:dyDescent="0.3">
      <c r="A6842" s="160">
        <v>59039</v>
      </c>
      <c r="B6842" t="s">
        <v>22008</v>
      </c>
      <c r="C6842" t="s">
        <v>6821</v>
      </c>
      <c r="D6842">
        <v>0.6</v>
      </c>
      <c r="E6842">
        <v>0.1</v>
      </c>
      <c r="F6842">
        <f t="shared" si="106"/>
        <v>0.7</v>
      </c>
      <c r="I6842">
        <v>20230701</v>
      </c>
      <c r="J6842" t="s">
        <v>6862</v>
      </c>
    </row>
    <row r="6843" spans="1:17" x14ac:dyDescent="0.3">
      <c r="A6843" s="160">
        <v>59041</v>
      </c>
      <c r="B6843" t="s">
        <v>22009</v>
      </c>
      <c r="C6843" t="s">
        <v>6825</v>
      </c>
      <c r="D6843">
        <v>2</v>
      </c>
      <c r="E6843">
        <v>0</v>
      </c>
      <c r="F6843">
        <f t="shared" si="106"/>
        <v>2</v>
      </c>
      <c r="I6843">
        <v>20230101</v>
      </c>
      <c r="J6843" t="s">
        <v>6906</v>
      </c>
    </row>
    <row r="6844" spans="1:17" x14ac:dyDescent="0.3">
      <c r="A6844" s="160">
        <v>59042</v>
      </c>
      <c r="B6844" t="s">
        <v>22010</v>
      </c>
      <c r="C6844" t="s">
        <v>256</v>
      </c>
      <c r="D6844">
        <v>0</v>
      </c>
      <c r="E6844">
        <v>0.1</v>
      </c>
      <c r="F6844">
        <f t="shared" si="106"/>
        <v>0.1</v>
      </c>
      <c r="I6844">
        <v>20150701</v>
      </c>
      <c r="J6844" t="s">
        <v>6907</v>
      </c>
    </row>
    <row r="6845" spans="1:17" x14ac:dyDescent="0.3">
      <c r="A6845" s="160">
        <v>59043</v>
      </c>
      <c r="B6845" t="s">
        <v>22011</v>
      </c>
      <c r="C6845" t="s">
        <v>27548</v>
      </c>
      <c r="D6845">
        <v>1.05</v>
      </c>
      <c r="E6845">
        <v>0.1</v>
      </c>
      <c r="F6845">
        <f t="shared" si="106"/>
        <v>1.1500000000000001</v>
      </c>
      <c r="I6845">
        <v>20150701</v>
      </c>
      <c r="J6845" t="s">
        <v>6908</v>
      </c>
    </row>
    <row r="6846" spans="1:17" x14ac:dyDescent="0.3">
      <c r="A6846" s="160">
        <v>59044</v>
      </c>
      <c r="B6846" t="s">
        <v>22012</v>
      </c>
      <c r="C6846" t="s">
        <v>6828</v>
      </c>
      <c r="D6846">
        <v>2</v>
      </c>
      <c r="E6846">
        <v>0</v>
      </c>
      <c r="F6846">
        <f t="shared" si="106"/>
        <v>2</v>
      </c>
      <c r="I6846">
        <v>20110101</v>
      </c>
      <c r="J6846" t="s">
        <v>6909</v>
      </c>
    </row>
    <row r="6847" spans="1:17" x14ac:dyDescent="0.3">
      <c r="A6847" s="160">
        <v>59046</v>
      </c>
      <c r="B6847" t="s">
        <v>22013</v>
      </c>
      <c r="C6847" t="s">
        <v>256</v>
      </c>
      <c r="D6847">
        <v>0</v>
      </c>
      <c r="E6847">
        <v>0.1</v>
      </c>
      <c r="F6847">
        <f t="shared" si="106"/>
        <v>0.1</v>
      </c>
      <c r="I6847">
        <v>20150701</v>
      </c>
      <c r="J6847" t="s">
        <v>6910</v>
      </c>
    </row>
    <row r="6848" spans="1:17" x14ac:dyDescent="0.3">
      <c r="A6848" s="160">
        <v>59047</v>
      </c>
      <c r="B6848" t="s">
        <v>22014</v>
      </c>
      <c r="C6848" t="s">
        <v>6821</v>
      </c>
      <c r="D6848">
        <v>0.6</v>
      </c>
      <c r="E6848">
        <v>0.1</v>
      </c>
      <c r="F6848">
        <f t="shared" si="106"/>
        <v>0.7</v>
      </c>
      <c r="I6848">
        <v>20230901</v>
      </c>
      <c r="J6848" t="s">
        <v>7084</v>
      </c>
    </row>
    <row r="6849" spans="1:11" x14ac:dyDescent="0.3">
      <c r="A6849" s="160">
        <v>59048</v>
      </c>
      <c r="B6849" t="s">
        <v>22015</v>
      </c>
      <c r="C6849" t="s">
        <v>6821</v>
      </c>
      <c r="D6849">
        <v>0.6</v>
      </c>
      <c r="E6849">
        <v>0.1</v>
      </c>
      <c r="F6849">
        <f t="shared" si="106"/>
        <v>0.7</v>
      </c>
      <c r="I6849">
        <v>20230701</v>
      </c>
      <c r="J6849" t="s">
        <v>6911</v>
      </c>
    </row>
    <row r="6850" spans="1:11" x14ac:dyDescent="0.3">
      <c r="A6850" s="160">
        <v>59049</v>
      </c>
      <c r="B6850" t="s">
        <v>22016</v>
      </c>
      <c r="C6850" t="s">
        <v>6821</v>
      </c>
      <c r="D6850">
        <v>0.6</v>
      </c>
      <c r="E6850">
        <v>0.1</v>
      </c>
      <c r="F6850">
        <f t="shared" si="106"/>
        <v>0.7</v>
      </c>
      <c r="I6850">
        <v>20230901</v>
      </c>
      <c r="J6850" t="s">
        <v>7084</v>
      </c>
    </row>
    <row r="6851" spans="1:11" x14ac:dyDescent="0.3">
      <c r="A6851" s="160">
        <v>59051</v>
      </c>
      <c r="B6851" t="s">
        <v>22017</v>
      </c>
      <c r="C6851" t="s">
        <v>6828</v>
      </c>
      <c r="D6851">
        <v>2</v>
      </c>
      <c r="E6851">
        <v>0</v>
      </c>
      <c r="F6851">
        <f t="shared" si="106"/>
        <v>2</v>
      </c>
      <c r="I6851">
        <v>20110101</v>
      </c>
      <c r="J6851" t="s">
        <v>6912</v>
      </c>
      <c r="K6851" t="s">
        <v>6885</v>
      </c>
    </row>
    <row r="6852" spans="1:11" x14ac:dyDescent="0.3">
      <c r="A6852" s="160">
        <v>59052</v>
      </c>
      <c r="B6852" t="s">
        <v>22018</v>
      </c>
      <c r="C6852" t="s">
        <v>6828</v>
      </c>
      <c r="D6852">
        <v>0.91</v>
      </c>
      <c r="E6852">
        <v>0.1</v>
      </c>
      <c r="F6852">
        <f t="shared" si="106"/>
        <v>1.01</v>
      </c>
      <c r="I6852">
        <v>20250101</v>
      </c>
      <c r="J6852" t="s">
        <v>6913</v>
      </c>
    </row>
    <row r="6853" spans="1:11" x14ac:dyDescent="0.3">
      <c r="A6853" s="160">
        <v>59054</v>
      </c>
      <c r="C6853" t="s">
        <v>27548</v>
      </c>
      <c r="D6853">
        <v>1.05</v>
      </c>
      <c r="E6853">
        <v>0</v>
      </c>
      <c r="F6853">
        <f t="shared" si="106"/>
        <v>1.05</v>
      </c>
      <c r="I6853">
        <v>20250101</v>
      </c>
      <c r="J6853" t="s">
        <v>27550</v>
      </c>
    </row>
    <row r="6854" spans="1:11" x14ac:dyDescent="0.3">
      <c r="A6854" s="160">
        <v>59056</v>
      </c>
      <c r="B6854" t="s">
        <v>22019</v>
      </c>
      <c r="C6854" t="s">
        <v>6828</v>
      </c>
      <c r="D6854">
        <v>2</v>
      </c>
      <c r="E6854">
        <v>0</v>
      </c>
      <c r="F6854">
        <f t="shared" si="106"/>
        <v>2</v>
      </c>
      <c r="I6854">
        <v>20110101</v>
      </c>
      <c r="J6854" t="s">
        <v>6914</v>
      </c>
      <c r="K6854" t="s">
        <v>6915</v>
      </c>
    </row>
    <row r="6855" spans="1:11" x14ac:dyDescent="0.3">
      <c r="A6855" s="160">
        <v>59058</v>
      </c>
      <c r="B6855" t="s">
        <v>22020</v>
      </c>
      <c r="C6855" t="s">
        <v>6825</v>
      </c>
      <c r="D6855">
        <v>2</v>
      </c>
      <c r="E6855">
        <v>0</v>
      </c>
      <c r="F6855">
        <f t="shared" ref="F6855:F6918" si="107">D6855+E6855</f>
        <v>2</v>
      </c>
      <c r="I6855">
        <v>20230101</v>
      </c>
      <c r="J6855" t="s">
        <v>6916</v>
      </c>
    </row>
    <row r="6856" spans="1:11" x14ac:dyDescent="0.3">
      <c r="A6856" s="160">
        <v>59064</v>
      </c>
      <c r="B6856" t="s">
        <v>22021</v>
      </c>
      <c r="C6856" t="s">
        <v>6823</v>
      </c>
      <c r="D6856">
        <v>2</v>
      </c>
      <c r="E6856">
        <v>0</v>
      </c>
      <c r="F6856">
        <f t="shared" si="107"/>
        <v>2</v>
      </c>
      <c r="I6856">
        <v>20130701</v>
      </c>
      <c r="J6856" t="s">
        <v>6917</v>
      </c>
    </row>
    <row r="6857" spans="1:11" x14ac:dyDescent="0.3">
      <c r="A6857" s="160">
        <v>59066</v>
      </c>
      <c r="B6857" t="s">
        <v>22022</v>
      </c>
      <c r="C6857" t="s">
        <v>256</v>
      </c>
      <c r="D6857">
        <v>0</v>
      </c>
      <c r="E6857">
        <v>0.1</v>
      </c>
      <c r="F6857">
        <f t="shared" si="107"/>
        <v>0.1</v>
      </c>
      <c r="I6857">
        <v>20150701</v>
      </c>
      <c r="J6857" t="s">
        <v>6918</v>
      </c>
    </row>
    <row r="6858" spans="1:11" x14ac:dyDescent="0.3">
      <c r="A6858" s="160">
        <v>59067</v>
      </c>
      <c r="B6858" t="s">
        <v>22023</v>
      </c>
      <c r="C6858" t="s">
        <v>256</v>
      </c>
      <c r="D6858">
        <v>0</v>
      </c>
      <c r="E6858">
        <v>0.1</v>
      </c>
      <c r="F6858">
        <f t="shared" si="107"/>
        <v>0.1</v>
      </c>
      <c r="I6858">
        <v>20150701</v>
      </c>
      <c r="J6858" t="s">
        <v>6869</v>
      </c>
    </row>
    <row r="6859" spans="1:11" x14ac:dyDescent="0.3">
      <c r="A6859" s="160">
        <v>59068</v>
      </c>
      <c r="B6859" t="s">
        <v>22024</v>
      </c>
      <c r="C6859" t="s">
        <v>6825</v>
      </c>
      <c r="D6859">
        <v>2</v>
      </c>
      <c r="E6859">
        <v>0</v>
      </c>
      <c r="F6859">
        <f t="shared" si="107"/>
        <v>2</v>
      </c>
      <c r="I6859">
        <v>20230101</v>
      </c>
      <c r="J6859" t="s">
        <v>6919</v>
      </c>
    </row>
    <row r="6860" spans="1:11" x14ac:dyDescent="0.3">
      <c r="A6860" s="160">
        <v>59069</v>
      </c>
      <c r="B6860" t="s">
        <v>22025</v>
      </c>
      <c r="C6860" t="s">
        <v>256</v>
      </c>
      <c r="D6860">
        <v>0</v>
      </c>
      <c r="E6860">
        <v>0.1</v>
      </c>
      <c r="F6860">
        <f t="shared" si="107"/>
        <v>0.1</v>
      </c>
      <c r="I6860">
        <v>20150701</v>
      </c>
      <c r="J6860" t="s">
        <v>6920</v>
      </c>
    </row>
    <row r="6861" spans="1:11" x14ac:dyDescent="0.3">
      <c r="A6861" s="160">
        <v>59071</v>
      </c>
      <c r="B6861" t="s">
        <v>22026</v>
      </c>
      <c r="C6861" t="s">
        <v>256</v>
      </c>
      <c r="D6861">
        <v>0</v>
      </c>
      <c r="E6861">
        <v>0.1</v>
      </c>
      <c r="F6861">
        <f t="shared" si="107"/>
        <v>0.1</v>
      </c>
      <c r="I6861">
        <v>20150701</v>
      </c>
      <c r="J6861" t="s">
        <v>6921</v>
      </c>
    </row>
    <row r="6862" spans="1:11" x14ac:dyDescent="0.3">
      <c r="A6862" s="160">
        <v>59072</v>
      </c>
      <c r="B6862" t="s">
        <v>22027</v>
      </c>
      <c r="C6862" t="s">
        <v>6825</v>
      </c>
      <c r="D6862">
        <v>2</v>
      </c>
      <c r="E6862">
        <v>0</v>
      </c>
      <c r="F6862">
        <f t="shared" si="107"/>
        <v>2</v>
      </c>
      <c r="I6862">
        <v>20230101</v>
      </c>
      <c r="J6862" t="s">
        <v>6879</v>
      </c>
    </row>
    <row r="6863" spans="1:11" x14ac:dyDescent="0.3">
      <c r="A6863" s="160">
        <v>59073</v>
      </c>
      <c r="C6863" t="s">
        <v>27548</v>
      </c>
      <c r="D6863">
        <v>1.05</v>
      </c>
      <c r="E6863">
        <v>0</v>
      </c>
      <c r="F6863">
        <f t="shared" si="107"/>
        <v>1.05</v>
      </c>
      <c r="I6863">
        <v>20250101</v>
      </c>
      <c r="J6863" t="s">
        <v>6908</v>
      </c>
    </row>
    <row r="6864" spans="1:11" x14ac:dyDescent="0.3">
      <c r="A6864" s="160">
        <v>59076</v>
      </c>
      <c r="B6864" t="s">
        <v>22028</v>
      </c>
      <c r="C6864" t="s">
        <v>6825</v>
      </c>
      <c r="D6864">
        <v>2</v>
      </c>
      <c r="E6864">
        <v>0</v>
      </c>
      <c r="F6864">
        <f t="shared" si="107"/>
        <v>2</v>
      </c>
      <c r="I6864">
        <v>20230101</v>
      </c>
      <c r="J6864" t="s">
        <v>6879</v>
      </c>
    </row>
    <row r="6865" spans="1:13" x14ac:dyDescent="0.3">
      <c r="A6865" s="160">
        <v>59079</v>
      </c>
      <c r="B6865" t="s">
        <v>22029</v>
      </c>
      <c r="C6865" t="s">
        <v>6823</v>
      </c>
      <c r="D6865">
        <v>2</v>
      </c>
      <c r="E6865">
        <v>0</v>
      </c>
      <c r="F6865">
        <f t="shared" si="107"/>
        <v>2</v>
      </c>
      <c r="I6865">
        <v>20130701</v>
      </c>
      <c r="J6865" t="s">
        <v>6922</v>
      </c>
    </row>
    <row r="6866" spans="1:13" x14ac:dyDescent="0.3">
      <c r="A6866" s="160">
        <v>59080</v>
      </c>
      <c r="B6866" t="s">
        <v>22030</v>
      </c>
      <c r="C6866" t="s">
        <v>256</v>
      </c>
      <c r="D6866">
        <v>0</v>
      </c>
      <c r="E6866">
        <v>0.1</v>
      </c>
      <c r="F6866">
        <f t="shared" si="107"/>
        <v>0.1</v>
      </c>
      <c r="I6866">
        <v>20150701</v>
      </c>
      <c r="J6866" t="s">
        <v>6827</v>
      </c>
      <c r="K6866" t="s">
        <v>6893</v>
      </c>
    </row>
    <row r="6867" spans="1:13" x14ac:dyDescent="0.3">
      <c r="A6867" s="160">
        <v>59082</v>
      </c>
      <c r="B6867" t="s">
        <v>22031</v>
      </c>
      <c r="C6867" t="s">
        <v>256</v>
      </c>
      <c r="D6867">
        <v>0</v>
      </c>
      <c r="E6867">
        <v>0.1</v>
      </c>
      <c r="F6867">
        <f t="shared" si="107"/>
        <v>0.1</v>
      </c>
      <c r="I6867">
        <v>20150701</v>
      </c>
      <c r="J6867" t="s">
        <v>6869</v>
      </c>
    </row>
    <row r="6868" spans="1:13" x14ac:dyDescent="0.3">
      <c r="A6868" s="160">
        <v>59083</v>
      </c>
      <c r="B6868" t="s">
        <v>22032</v>
      </c>
      <c r="C6868" t="s">
        <v>256</v>
      </c>
      <c r="D6868">
        <v>0</v>
      </c>
      <c r="E6868">
        <v>0.1</v>
      </c>
      <c r="F6868">
        <f t="shared" si="107"/>
        <v>0.1</v>
      </c>
      <c r="I6868">
        <v>20150701</v>
      </c>
      <c r="J6868" t="s">
        <v>6869</v>
      </c>
    </row>
    <row r="6869" spans="1:13" x14ac:dyDescent="0.3">
      <c r="A6869" s="160">
        <v>59084</v>
      </c>
      <c r="C6869" t="s">
        <v>27548</v>
      </c>
      <c r="D6869">
        <v>1.05</v>
      </c>
      <c r="E6869">
        <v>0</v>
      </c>
      <c r="F6869">
        <f t="shared" si="107"/>
        <v>1.05</v>
      </c>
      <c r="I6869">
        <v>20250101</v>
      </c>
      <c r="J6869" t="s">
        <v>27551</v>
      </c>
    </row>
    <row r="6870" spans="1:13" x14ac:dyDescent="0.3">
      <c r="A6870" s="160">
        <v>59085</v>
      </c>
      <c r="B6870" t="s">
        <v>22033</v>
      </c>
      <c r="C6870" t="s">
        <v>6821</v>
      </c>
      <c r="D6870">
        <v>0.6</v>
      </c>
      <c r="E6870">
        <v>0.1</v>
      </c>
      <c r="F6870">
        <f t="shared" si="107"/>
        <v>0.7</v>
      </c>
      <c r="I6870">
        <v>20230701</v>
      </c>
      <c r="J6870" t="s">
        <v>6822</v>
      </c>
    </row>
    <row r="6871" spans="1:13" x14ac:dyDescent="0.3">
      <c r="A6871" s="160">
        <v>59086</v>
      </c>
      <c r="C6871" t="s">
        <v>27548</v>
      </c>
      <c r="D6871">
        <v>1.05</v>
      </c>
      <c r="E6871">
        <v>0</v>
      </c>
      <c r="F6871">
        <f t="shared" si="107"/>
        <v>1.05</v>
      </c>
      <c r="I6871">
        <v>20250101</v>
      </c>
      <c r="J6871" t="s">
        <v>27552</v>
      </c>
    </row>
    <row r="6872" spans="1:13" x14ac:dyDescent="0.3">
      <c r="A6872" s="160">
        <v>59087</v>
      </c>
      <c r="C6872" t="s">
        <v>27548</v>
      </c>
      <c r="D6872">
        <v>1.05</v>
      </c>
      <c r="E6872">
        <v>0</v>
      </c>
      <c r="F6872">
        <f t="shared" si="107"/>
        <v>1.05</v>
      </c>
      <c r="I6872">
        <v>20250101</v>
      </c>
      <c r="J6872" t="s">
        <v>27553</v>
      </c>
    </row>
    <row r="6873" spans="1:13" x14ac:dyDescent="0.3">
      <c r="A6873" s="160">
        <v>59088</v>
      </c>
      <c r="B6873" t="s">
        <v>22034</v>
      </c>
      <c r="C6873" t="s">
        <v>6828</v>
      </c>
      <c r="D6873">
        <v>1.5</v>
      </c>
      <c r="E6873">
        <v>0</v>
      </c>
      <c r="F6873">
        <f t="shared" si="107"/>
        <v>1.5</v>
      </c>
      <c r="I6873">
        <v>20250101</v>
      </c>
      <c r="J6873" t="s">
        <v>6870</v>
      </c>
      <c r="K6873" t="s">
        <v>6923</v>
      </c>
    </row>
    <row r="6874" spans="1:13" x14ac:dyDescent="0.3">
      <c r="A6874" s="160">
        <v>59089</v>
      </c>
      <c r="B6874" t="s">
        <v>22035</v>
      </c>
      <c r="C6874" t="s">
        <v>256</v>
      </c>
      <c r="D6874">
        <v>0</v>
      </c>
      <c r="E6874">
        <v>0.1</v>
      </c>
      <c r="F6874">
        <f t="shared" si="107"/>
        <v>0.1</v>
      </c>
      <c r="I6874">
        <v>20150701</v>
      </c>
      <c r="J6874" t="s">
        <v>6910</v>
      </c>
      <c r="K6874" t="s">
        <v>6924</v>
      </c>
    </row>
    <row r="6875" spans="1:13" x14ac:dyDescent="0.3">
      <c r="A6875" s="160">
        <v>59090</v>
      </c>
      <c r="B6875" t="s">
        <v>22036</v>
      </c>
      <c r="C6875" t="s">
        <v>6828</v>
      </c>
      <c r="D6875">
        <v>2</v>
      </c>
      <c r="E6875">
        <v>0</v>
      </c>
      <c r="F6875">
        <f t="shared" si="107"/>
        <v>2</v>
      </c>
      <c r="I6875">
        <v>20110101</v>
      </c>
      <c r="J6875" t="s">
        <v>6925</v>
      </c>
      <c r="K6875" t="s">
        <v>6926</v>
      </c>
      <c r="L6875" t="s">
        <v>6927</v>
      </c>
      <c r="M6875" t="s">
        <v>6928</v>
      </c>
    </row>
    <row r="6876" spans="1:13" x14ac:dyDescent="0.3">
      <c r="A6876" s="160">
        <v>59091</v>
      </c>
      <c r="C6876" t="s">
        <v>27548</v>
      </c>
      <c r="D6876">
        <v>1.05</v>
      </c>
      <c r="E6876">
        <v>0</v>
      </c>
      <c r="F6876">
        <f t="shared" si="107"/>
        <v>1.05</v>
      </c>
      <c r="I6876">
        <v>20250101</v>
      </c>
      <c r="J6876" t="s">
        <v>27554</v>
      </c>
      <c r="K6876" t="s">
        <v>27555</v>
      </c>
    </row>
    <row r="6877" spans="1:13" x14ac:dyDescent="0.3">
      <c r="A6877" s="160">
        <v>59092</v>
      </c>
      <c r="B6877" t="s">
        <v>22037</v>
      </c>
      <c r="C6877" t="s">
        <v>6823</v>
      </c>
      <c r="D6877">
        <v>2</v>
      </c>
      <c r="E6877">
        <v>0</v>
      </c>
      <c r="F6877">
        <f t="shared" si="107"/>
        <v>2</v>
      </c>
      <c r="I6877">
        <v>20130701</v>
      </c>
      <c r="J6877" t="s">
        <v>6929</v>
      </c>
    </row>
    <row r="6878" spans="1:13" x14ac:dyDescent="0.3">
      <c r="A6878" s="160">
        <v>59094</v>
      </c>
      <c r="B6878" t="s">
        <v>22038</v>
      </c>
      <c r="C6878" t="s">
        <v>6868</v>
      </c>
      <c r="D6878">
        <v>2</v>
      </c>
      <c r="E6878">
        <v>0</v>
      </c>
      <c r="F6878">
        <f t="shared" si="107"/>
        <v>2</v>
      </c>
      <c r="I6878">
        <v>20220701</v>
      </c>
      <c r="J6878" t="s">
        <v>6930</v>
      </c>
    </row>
    <row r="6879" spans="1:13" x14ac:dyDescent="0.3">
      <c r="A6879" s="160">
        <v>59096</v>
      </c>
      <c r="B6879" t="s">
        <v>22039</v>
      </c>
      <c r="C6879" t="s">
        <v>256</v>
      </c>
      <c r="D6879">
        <v>0</v>
      </c>
      <c r="E6879">
        <v>0.1</v>
      </c>
      <c r="F6879">
        <f t="shared" si="107"/>
        <v>0.1</v>
      </c>
      <c r="I6879">
        <v>20150701</v>
      </c>
      <c r="J6879" t="s">
        <v>6907</v>
      </c>
    </row>
    <row r="6880" spans="1:13" x14ac:dyDescent="0.3">
      <c r="A6880" s="160">
        <v>59097</v>
      </c>
      <c r="B6880" t="s">
        <v>22040</v>
      </c>
      <c r="C6880" t="s">
        <v>6821</v>
      </c>
      <c r="D6880">
        <v>0.6</v>
      </c>
      <c r="E6880">
        <v>0.1</v>
      </c>
      <c r="F6880">
        <f t="shared" si="107"/>
        <v>0.7</v>
      </c>
      <c r="I6880">
        <v>20230701</v>
      </c>
      <c r="J6880" t="s">
        <v>6862</v>
      </c>
    </row>
    <row r="6881" spans="1:12" x14ac:dyDescent="0.3">
      <c r="A6881" s="160">
        <v>59098</v>
      </c>
      <c r="B6881" t="s">
        <v>22041</v>
      </c>
      <c r="C6881" t="s">
        <v>6828</v>
      </c>
      <c r="D6881">
        <v>2</v>
      </c>
      <c r="E6881">
        <v>0</v>
      </c>
      <c r="F6881">
        <f t="shared" si="107"/>
        <v>2</v>
      </c>
      <c r="I6881">
        <v>20110101</v>
      </c>
      <c r="J6881" t="s">
        <v>6931</v>
      </c>
      <c r="K6881" t="s">
        <v>6932</v>
      </c>
      <c r="L6881" t="s">
        <v>6933</v>
      </c>
    </row>
    <row r="6882" spans="1:12" x14ac:dyDescent="0.3">
      <c r="A6882" s="160">
        <v>59100</v>
      </c>
      <c r="B6882" t="s">
        <v>22042</v>
      </c>
      <c r="C6882" t="s">
        <v>6823</v>
      </c>
      <c r="D6882">
        <v>2</v>
      </c>
      <c r="E6882">
        <v>0</v>
      </c>
      <c r="F6882">
        <f t="shared" si="107"/>
        <v>2</v>
      </c>
      <c r="I6882">
        <v>20250101</v>
      </c>
      <c r="J6882" t="s">
        <v>6934</v>
      </c>
    </row>
    <row r="6883" spans="1:12" x14ac:dyDescent="0.3">
      <c r="A6883" s="160">
        <v>59101</v>
      </c>
      <c r="B6883" t="s">
        <v>22043</v>
      </c>
      <c r="C6883" t="s">
        <v>6825</v>
      </c>
      <c r="D6883">
        <v>2</v>
      </c>
      <c r="E6883">
        <v>0</v>
      </c>
      <c r="F6883">
        <f t="shared" si="107"/>
        <v>2</v>
      </c>
      <c r="I6883">
        <v>20230101</v>
      </c>
      <c r="J6883" t="s">
        <v>6826</v>
      </c>
    </row>
    <row r="6884" spans="1:12" x14ac:dyDescent="0.3">
      <c r="A6884" s="160">
        <v>59103</v>
      </c>
      <c r="B6884" t="s">
        <v>22044</v>
      </c>
      <c r="C6884" t="s">
        <v>6825</v>
      </c>
      <c r="D6884">
        <v>2</v>
      </c>
      <c r="E6884">
        <v>0</v>
      </c>
      <c r="F6884">
        <f t="shared" si="107"/>
        <v>2</v>
      </c>
      <c r="I6884">
        <v>20230101</v>
      </c>
      <c r="J6884" t="s">
        <v>6916</v>
      </c>
    </row>
    <row r="6885" spans="1:12" x14ac:dyDescent="0.3">
      <c r="A6885" s="160">
        <v>59104</v>
      </c>
      <c r="B6885" t="s">
        <v>22045</v>
      </c>
      <c r="C6885" t="s">
        <v>6825</v>
      </c>
      <c r="D6885">
        <v>2</v>
      </c>
      <c r="E6885">
        <v>0</v>
      </c>
      <c r="F6885">
        <f t="shared" si="107"/>
        <v>2</v>
      </c>
      <c r="I6885">
        <v>20230101</v>
      </c>
      <c r="J6885" t="s">
        <v>6935</v>
      </c>
      <c r="K6885" t="s">
        <v>6936</v>
      </c>
    </row>
    <row r="6886" spans="1:12" x14ac:dyDescent="0.3">
      <c r="A6886" s="160">
        <v>59105</v>
      </c>
      <c r="B6886" t="s">
        <v>22046</v>
      </c>
      <c r="C6886" t="s">
        <v>256</v>
      </c>
      <c r="D6886">
        <v>0</v>
      </c>
      <c r="E6886">
        <v>0.1</v>
      </c>
      <c r="F6886">
        <f t="shared" si="107"/>
        <v>0.1</v>
      </c>
      <c r="I6886">
        <v>20150701</v>
      </c>
      <c r="J6886" t="s">
        <v>6937</v>
      </c>
    </row>
    <row r="6887" spans="1:12" x14ac:dyDescent="0.3">
      <c r="A6887" s="160">
        <v>59106</v>
      </c>
      <c r="B6887" t="s">
        <v>22047</v>
      </c>
      <c r="C6887" t="s">
        <v>6828</v>
      </c>
      <c r="D6887">
        <v>2</v>
      </c>
      <c r="E6887">
        <v>0</v>
      </c>
      <c r="F6887">
        <f t="shared" si="107"/>
        <v>2</v>
      </c>
      <c r="I6887">
        <v>20110101</v>
      </c>
      <c r="J6887" t="s">
        <v>6907</v>
      </c>
    </row>
    <row r="6888" spans="1:12" x14ac:dyDescent="0.3">
      <c r="A6888" s="160">
        <v>59107</v>
      </c>
      <c r="B6888" t="s">
        <v>22048</v>
      </c>
      <c r="C6888" t="s">
        <v>6868</v>
      </c>
      <c r="D6888">
        <v>2</v>
      </c>
      <c r="E6888">
        <v>0</v>
      </c>
      <c r="F6888">
        <f t="shared" si="107"/>
        <v>2</v>
      </c>
      <c r="I6888">
        <v>20220701</v>
      </c>
      <c r="J6888" t="s">
        <v>6938</v>
      </c>
      <c r="K6888" t="s">
        <v>6939</v>
      </c>
    </row>
    <row r="6889" spans="1:12" x14ac:dyDescent="0.3">
      <c r="A6889" s="160">
        <v>59109</v>
      </c>
      <c r="B6889" t="s">
        <v>22049</v>
      </c>
      <c r="C6889" t="s">
        <v>6823</v>
      </c>
      <c r="D6889">
        <v>2</v>
      </c>
      <c r="E6889">
        <v>0</v>
      </c>
      <c r="F6889">
        <f t="shared" si="107"/>
        <v>2</v>
      </c>
      <c r="I6889">
        <v>20250101</v>
      </c>
      <c r="J6889" t="s">
        <v>6934</v>
      </c>
      <c r="K6889" t="s">
        <v>6940</v>
      </c>
    </row>
    <row r="6890" spans="1:12" x14ac:dyDescent="0.3">
      <c r="A6890" s="160">
        <v>59110</v>
      </c>
      <c r="B6890" t="s">
        <v>22050</v>
      </c>
      <c r="C6890" t="s">
        <v>256</v>
      </c>
      <c r="D6890">
        <v>0</v>
      </c>
      <c r="E6890">
        <v>0.1</v>
      </c>
      <c r="F6890">
        <f t="shared" si="107"/>
        <v>0.1</v>
      </c>
      <c r="I6890">
        <v>20150701</v>
      </c>
      <c r="J6890" t="s">
        <v>6930</v>
      </c>
    </row>
    <row r="6891" spans="1:12" x14ac:dyDescent="0.3">
      <c r="A6891" s="160">
        <v>59111</v>
      </c>
      <c r="B6891" t="s">
        <v>22051</v>
      </c>
      <c r="C6891" t="s">
        <v>256</v>
      </c>
      <c r="D6891">
        <v>0</v>
      </c>
      <c r="E6891">
        <v>0.1</v>
      </c>
      <c r="F6891">
        <f t="shared" si="107"/>
        <v>0.1</v>
      </c>
      <c r="I6891">
        <v>20150701</v>
      </c>
      <c r="J6891" t="s">
        <v>6910</v>
      </c>
    </row>
    <row r="6892" spans="1:12" x14ac:dyDescent="0.3">
      <c r="A6892" s="160">
        <v>59112</v>
      </c>
      <c r="B6892" t="s">
        <v>22052</v>
      </c>
      <c r="C6892" t="s">
        <v>6823</v>
      </c>
      <c r="D6892">
        <v>2</v>
      </c>
      <c r="E6892">
        <v>0</v>
      </c>
      <c r="F6892">
        <f t="shared" si="107"/>
        <v>2</v>
      </c>
      <c r="I6892">
        <v>20130701</v>
      </c>
      <c r="J6892" t="s">
        <v>6941</v>
      </c>
    </row>
    <row r="6893" spans="1:12" x14ac:dyDescent="0.3">
      <c r="A6893" s="160">
        <v>59113</v>
      </c>
      <c r="B6893" t="s">
        <v>22053</v>
      </c>
      <c r="C6893" t="s">
        <v>6830</v>
      </c>
      <c r="D6893">
        <v>1.8</v>
      </c>
      <c r="E6893">
        <v>0</v>
      </c>
      <c r="F6893">
        <f t="shared" si="107"/>
        <v>1.8</v>
      </c>
      <c r="I6893">
        <v>20090701</v>
      </c>
      <c r="J6893" t="s">
        <v>6942</v>
      </c>
    </row>
    <row r="6894" spans="1:12" x14ac:dyDescent="0.3">
      <c r="A6894" s="160">
        <v>59114</v>
      </c>
      <c r="B6894" t="s">
        <v>22054</v>
      </c>
      <c r="C6894" t="s">
        <v>6823</v>
      </c>
      <c r="D6894">
        <v>2</v>
      </c>
      <c r="E6894">
        <v>0</v>
      </c>
      <c r="F6894">
        <f t="shared" si="107"/>
        <v>2</v>
      </c>
      <c r="I6894">
        <v>20130701</v>
      </c>
      <c r="J6894" t="s">
        <v>6943</v>
      </c>
    </row>
    <row r="6895" spans="1:12" x14ac:dyDescent="0.3">
      <c r="A6895" s="160">
        <v>59115</v>
      </c>
      <c r="B6895" t="s">
        <v>22055</v>
      </c>
      <c r="C6895" t="s">
        <v>6830</v>
      </c>
      <c r="D6895">
        <v>1.8</v>
      </c>
      <c r="E6895">
        <v>0</v>
      </c>
      <c r="F6895">
        <f t="shared" si="107"/>
        <v>1.8</v>
      </c>
      <c r="I6895">
        <v>20090701</v>
      </c>
      <c r="J6895" t="s">
        <v>6867</v>
      </c>
    </row>
    <row r="6896" spans="1:12" x14ac:dyDescent="0.3">
      <c r="A6896" s="160">
        <v>59116</v>
      </c>
      <c r="B6896" t="s">
        <v>22056</v>
      </c>
      <c r="C6896" t="s">
        <v>256</v>
      </c>
      <c r="D6896">
        <v>0</v>
      </c>
      <c r="E6896">
        <v>0.1</v>
      </c>
      <c r="F6896">
        <f t="shared" si="107"/>
        <v>0.1</v>
      </c>
      <c r="I6896">
        <v>20150701</v>
      </c>
      <c r="J6896" t="s">
        <v>6944</v>
      </c>
    </row>
    <row r="6897" spans="1:19" x14ac:dyDescent="0.3">
      <c r="A6897" s="160">
        <v>59117</v>
      </c>
      <c r="B6897" t="s">
        <v>22057</v>
      </c>
      <c r="C6897" t="s">
        <v>6830</v>
      </c>
      <c r="D6897">
        <v>1.8</v>
      </c>
      <c r="E6897">
        <v>0</v>
      </c>
      <c r="F6897">
        <f t="shared" si="107"/>
        <v>1.8</v>
      </c>
      <c r="I6897">
        <v>20090701</v>
      </c>
      <c r="J6897" t="s">
        <v>6867</v>
      </c>
    </row>
    <row r="6898" spans="1:19" x14ac:dyDescent="0.3">
      <c r="A6898" s="160">
        <v>59119</v>
      </c>
      <c r="C6898" t="s">
        <v>27548</v>
      </c>
      <c r="D6898">
        <v>1.05</v>
      </c>
      <c r="E6898">
        <v>0</v>
      </c>
      <c r="F6898">
        <f t="shared" si="107"/>
        <v>1.05</v>
      </c>
      <c r="I6898">
        <v>20250101</v>
      </c>
      <c r="J6898" t="s">
        <v>27549</v>
      </c>
    </row>
    <row r="6899" spans="1:19" x14ac:dyDescent="0.3">
      <c r="A6899" s="160">
        <v>59120</v>
      </c>
      <c r="C6899" t="s">
        <v>27548</v>
      </c>
      <c r="D6899">
        <v>1.05</v>
      </c>
      <c r="E6899">
        <v>0</v>
      </c>
      <c r="F6899">
        <f t="shared" si="107"/>
        <v>1.05</v>
      </c>
      <c r="I6899">
        <v>20250101</v>
      </c>
      <c r="J6899" t="s">
        <v>27554</v>
      </c>
      <c r="K6899" t="s">
        <v>27556</v>
      </c>
      <c r="L6899" t="s">
        <v>27557</v>
      </c>
    </row>
    <row r="6900" spans="1:19" x14ac:dyDescent="0.3">
      <c r="A6900" s="160">
        <v>59121</v>
      </c>
      <c r="B6900" t="s">
        <v>22058</v>
      </c>
      <c r="C6900" t="s">
        <v>6821</v>
      </c>
      <c r="D6900">
        <v>0.6</v>
      </c>
      <c r="E6900">
        <v>0.1</v>
      </c>
      <c r="F6900">
        <f t="shared" si="107"/>
        <v>0.7</v>
      </c>
      <c r="I6900">
        <v>20230701</v>
      </c>
      <c r="J6900" t="s">
        <v>6945</v>
      </c>
    </row>
    <row r="6901" spans="1:19" x14ac:dyDescent="0.3">
      <c r="A6901" s="160">
        <v>59122</v>
      </c>
      <c r="B6901" t="s">
        <v>22059</v>
      </c>
      <c r="C6901" t="s">
        <v>6821</v>
      </c>
      <c r="D6901">
        <v>0.6</v>
      </c>
      <c r="E6901">
        <v>0.1</v>
      </c>
      <c r="F6901">
        <f t="shared" si="107"/>
        <v>0.7</v>
      </c>
      <c r="I6901">
        <v>20230701</v>
      </c>
      <c r="J6901" t="s">
        <v>6862</v>
      </c>
      <c r="K6901" t="s">
        <v>6946</v>
      </c>
      <c r="L6901" t="s">
        <v>6947</v>
      </c>
      <c r="M6901" t="s">
        <v>6948</v>
      </c>
      <c r="N6901" t="s">
        <v>6949</v>
      </c>
      <c r="O6901" t="s">
        <v>6950</v>
      </c>
      <c r="P6901" t="s">
        <v>6951</v>
      </c>
      <c r="Q6901" t="s">
        <v>6952</v>
      </c>
      <c r="R6901" t="s">
        <v>6953</v>
      </c>
      <c r="S6901" t="s">
        <v>6954</v>
      </c>
    </row>
    <row r="6902" spans="1:19" x14ac:dyDescent="0.3">
      <c r="A6902" s="160">
        <v>59123</v>
      </c>
      <c r="B6902" t="s">
        <v>22060</v>
      </c>
      <c r="C6902" t="s">
        <v>256</v>
      </c>
      <c r="D6902">
        <v>0</v>
      </c>
      <c r="E6902">
        <v>0.1</v>
      </c>
      <c r="F6902">
        <f t="shared" si="107"/>
        <v>0.1</v>
      </c>
      <c r="I6902">
        <v>20150701</v>
      </c>
      <c r="J6902" t="s">
        <v>6955</v>
      </c>
    </row>
    <row r="6903" spans="1:19" x14ac:dyDescent="0.3">
      <c r="A6903" s="160">
        <v>59124</v>
      </c>
      <c r="B6903" t="s">
        <v>22061</v>
      </c>
      <c r="C6903" t="s">
        <v>256</v>
      </c>
      <c r="D6903">
        <v>0</v>
      </c>
      <c r="E6903">
        <v>0.1</v>
      </c>
      <c r="F6903">
        <f t="shared" si="107"/>
        <v>0.1</v>
      </c>
      <c r="I6903">
        <v>20150701</v>
      </c>
      <c r="J6903" t="s">
        <v>6909</v>
      </c>
    </row>
    <row r="6904" spans="1:19" x14ac:dyDescent="0.3">
      <c r="A6904" s="160">
        <v>59125</v>
      </c>
      <c r="B6904" t="s">
        <v>22062</v>
      </c>
      <c r="C6904" t="s">
        <v>6821</v>
      </c>
      <c r="D6904">
        <v>0.6</v>
      </c>
      <c r="E6904">
        <v>0.1</v>
      </c>
      <c r="F6904">
        <f t="shared" si="107"/>
        <v>0.7</v>
      </c>
      <c r="I6904">
        <v>20230701</v>
      </c>
      <c r="J6904" t="s">
        <v>6956</v>
      </c>
    </row>
    <row r="6905" spans="1:19" x14ac:dyDescent="0.3">
      <c r="A6905" s="160">
        <v>59126</v>
      </c>
      <c r="B6905" t="s">
        <v>22063</v>
      </c>
      <c r="C6905" t="s">
        <v>6830</v>
      </c>
      <c r="D6905">
        <v>1.8</v>
      </c>
      <c r="E6905">
        <v>0</v>
      </c>
      <c r="F6905">
        <f t="shared" si="107"/>
        <v>1.8</v>
      </c>
      <c r="I6905">
        <v>20090701</v>
      </c>
      <c r="J6905" t="s">
        <v>6957</v>
      </c>
    </row>
    <row r="6906" spans="1:19" x14ac:dyDescent="0.3">
      <c r="A6906" s="160">
        <v>59127</v>
      </c>
      <c r="B6906" t="s">
        <v>22064</v>
      </c>
      <c r="C6906" t="s">
        <v>256</v>
      </c>
      <c r="D6906">
        <v>0</v>
      </c>
      <c r="E6906">
        <v>0.1</v>
      </c>
      <c r="F6906">
        <f t="shared" si="107"/>
        <v>0.1</v>
      </c>
      <c r="I6906">
        <v>20150701</v>
      </c>
      <c r="J6906" t="s">
        <v>6920</v>
      </c>
    </row>
    <row r="6907" spans="1:19" x14ac:dyDescent="0.3">
      <c r="A6907" s="160">
        <v>59128</v>
      </c>
      <c r="B6907" t="s">
        <v>22065</v>
      </c>
      <c r="C6907" t="s">
        <v>6828</v>
      </c>
      <c r="D6907">
        <v>2</v>
      </c>
      <c r="E6907">
        <v>0</v>
      </c>
      <c r="F6907">
        <f t="shared" si="107"/>
        <v>2</v>
      </c>
      <c r="I6907">
        <v>20110101</v>
      </c>
      <c r="J6907" t="s">
        <v>6958</v>
      </c>
      <c r="K6907" t="s">
        <v>6959</v>
      </c>
      <c r="L6907" t="s">
        <v>6960</v>
      </c>
      <c r="M6907" t="s">
        <v>6961</v>
      </c>
      <c r="N6907" t="s">
        <v>6962</v>
      </c>
      <c r="O6907" t="s">
        <v>6963</v>
      </c>
    </row>
    <row r="6908" spans="1:19" x14ac:dyDescent="0.3">
      <c r="A6908" s="160">
        <v>59129</v>
      </c>
      <c r="B6908" t="s">
        <v>22066</v>
      </c>
      <c r="C6908" t="s">
        <v>256</v>
      </c>
      <c r="D6908">
        <v>0</v>
      </c>
      <c r="E6908">
        <v>0.1</v>
      </c>
      <c r="F6908">
        <f t="shared" si="107"/>
        <v>0.1</v>
      </c>
      <c r="I6908">
        <v>20150701</v>
      </c>
      <c r="J6908" t="s">
        <v>6964</v>
      </c>
    </row>
    <row r="6909" spans="1:19" x14ac:dyDescent="0.3">
      <c r="A6909" s="160">
        <v>59130</v>
      </c>
      <c r="B6909" t="s">
        <v>22067</v>
      </c>
      <c r="C6909" t="s">
        <v>256</v>
      </c>
      <c r="D6909">
        <v>0</v>
      </c>
      <c r="E6909">
        <v>0.1</v>
      </c>
      <c r="F6909">
        <f t="shared" si="107"/>
        <v>0.1</v>
      </c>
      <c r="I6909">
        <v>20150701</v>
      </c>
      <c r="J6909" t="s">
        <v>6930</v>
      </c>
    </row>
    <row r="6910" spans="1:19" x14ac:dyDescent="0.3">
      <c r="A6910" s="160">
        <v>59131</v>
      </c>
      <c r="B6910" t="s">
        <v>22068</v>
      </c>
      <c r="C6910" t="s">
        <v>6868</v>
      </c>
      <c r="D6910">
        <v>2</v>
      </c>
      <c r="E6910">
        <v>0</v>
      </c>
      <c r="F6910">
        <f t="shared" si="107"/>
        <v>2</v>
      </c>
      <c r="I6910">
        <v>20220701</v>
      </c>
      <c r="J6910" t="s">
        <v>6965</v>
      </c>
      <c r="K6910" t="s">
        <v>6966</v>
      </c>
      <c r="L6910" t="s">
        <v>6967</v>
      </c>
      <c r="M6910" t="s">
        <v>6968</v>
      </c>
      <c r="N6910" t="s">
        <v>6969</v>
      </c>
      <c r="O6910" t="s">
        <v>6970</v>
      </c>
    </row>
    <row r="6911" spans="1:19" x14ac:dyDescent="0.3">
      <c r="A6911" s="160">
        <v>59133</v>
      </c>
      <c r="B6911" t="s">
        <v>22069</v>
      </c>
      <c r="C6911" t="s">
        <v>6828</v>
      </c>
      <c r="D6911">
        <v>0.91</v>
      </c>
      <c r="E6911">
        <v>0.1</v>
      </c>
      <c r="F6911">
        <f t="shared" si="107"/>
        <v>1.01</v>
      </c>
      <c r="I6911">
        <v>20250101</v>
      </c>
      <c r="J6911" t="s">
        <v>6863</v>
      </c>
    </row>
    <row r="6912" spans="1:19" x14ac:dyDescent="0.3">
      <c r="A6912" s="160">
        <v>59135</v>
      </c>
      <c r="C6912" t="s">
        <v>27548</v>
      </c>
      <c r="D6912">
        <v>1.05</v>
      </c>
      <c r="E6912">
        <v>0</v>
      </c>
      <c r="F6912">
        <f t="shared" si="107"/>
        <v>1.05</v>
      </c>
      <c r="I6912">
        <v>20250101</v>
      </c>
      <c r="J6912" t="s">
        <v>27550</v>
      </c>
    </row>
    <row r="6913" spans="1:17" x14ac:dyDescent="0.3">
      <c r="A6913" s="160">
        <v>59141</v>
      </c>
      <c r="B6913" t="s">
        <v>22070</v>
      </c>
      <c r="C6913" t="s">
        <v>6821</v>
      </c>
      <c r="D6913">
        <v>0.6</v>
      </c>
      <c r="E6913">
        <v>0.1</v>
      </c>
      <c r="F6913">
        <f t="shared" si="107"/>
        <v>0.7</v>
      </c>
      <c r="I6913">
        <v>20230701</v>
      </c>
      <c r="J6913" t="s">
        <v>6862</v>
      </c>
    </row>
    <row r="6914" spans="1:17" x14ac:dyDescent="0.3">
      <c r="A6914" s="160">
        <v>59142</v>
      </c>
      <c r="B6914" t="s">
        <v>22071</v>
      </c>
      <c r="C6914" t="s">
        <v>6825</v>
      </c>
      <c r="D6914">
        <v>2</v>
      </c>
      <c r="E6914">
        <v>0</v>
      </c>
      <c r="F6914">
        <f t="shared" si="107"/>
        <v>2</v>
      </c>
      <c r="I6914">
        <v>20230101</v>
      </c>
      <c r="J6914" t="s">
        <v>6971</v>
      </c>
    </row>
    <row r="6915" spans="1:17" x14ac:dyDescent="0.3">
      <c r="A6915" s="160">
        <v>59143</v>
      </c>
      <c r="B6915" t="s">
        <v>22072</v>
      </c>
      <c r="C6915" t="s">
        <v>6828</v>
      </c>
      <c r="D6915">
        <v>2</v>
      </c>
      <c r="E6915">
        <v>0</v>
      </c>
      <c r="F6915">
        <f t="shared" si="107"/>
        <v>2</v>
      </c>
      <c r="I6915">
        <v>20110101</v>
      </c>
      <c r="J6915" t="s">
        <v>6972</v>
      </c>
      <c r="K6915" t="s">
        <v>6872</v>
      </c>
      <c r="L6915" t="s">
        <v>6973</v>
      </c>
      <c r="M6915" t="s">
        <v>6974</v>
      </c>
      <c r="N6915" t="s">
        <v>6975</v>
      </c>
      <c r="O6915" t="s">
        <v>6923</v>
      </c>
    </row>
    <row r="6916" spans="1:17" x14ac:dyDescent="0.3">
      <c r="A6916" s="160">
        <v>59144</v>
      </c>
      <c r="B6916" t="s">
        <v>22073</v>
      </c>
      <c r="C6916" t="s">
        <v>6823</v>
      </c>
      <c r="D6916">
        <v>2</v>
      </c>
      <c r="E6916">
        <v>0</v>
      </c>
      <c r="F6916">
        <f t="shared" si="107"/>
        <v>2</v>
      </c>
      <c r="I6916">
        <v>20130701</v>
      </c>
      <c r="J6916" t="s">
        <v>6976</v>
      </c>
      <c r="K6916" t="s">
        <v>6977</v>
      </c>
    </row>
    <row r="6917" spans="1:17" x14ac:dyDescent="0.3">
      <c r="A6917" s="160">
        <v>59145</v>
      </c>
      <c r="B6917" t="s">
        <v>22074</v>
      </c>
      <c r="C6917" t="s">
        <v>256</v>
      </c>
      <c r="D6917">
        <v>0</v>
      </c>
      <c r="E6917">
        <v>0.1</v>
      </c>
      <c r="F6917">
        <f t="shared" si="107"/>
        <v>0.1</v>
      </c>
      <c r="I6917">
        <v>20150701</v>
      </c>
      <c r="J6917" t="s">
        <v>6978</v>
      </c>
    </row>
    <row r="6918" spans="1:17" x14ac:dyDescent="0.3">
      <c r="A6918" s="160">
        <v>59146</v>
      </c>
      <c r="B6918" t="s">
        <v>22075</v>
      </c>
      <c r="C6918" t="s">
        <v>6828</v>
      </c>
      <c r="D6918">
        <v>2</v>
      </c>
      <c r="E6918">
        <v>0</v>
      </c>
      <c r="F6918">
        <f t="shared" si="107"/>
        <v>2</v>
      </c>
      <c r="I6918">
        <v>20110101</v>
      </c>
      <c r="J6918" t="s">
        <v>6864</v>
      </c>
    </row>
    <row r="6919" spans="1:17" x14ac:dyDescent="0.3">
      <c r="A6919" s="160">
        <v>59147</v>
      </c>
      <c r="B6919" t="s">
        <v>22076</v>
      </c>
      <c r="C6919" t="s">
        <v>256</v>
      </c>
      <c r="D6919">
        <v>0</v>
      </c>
      <c r="E6919">
        <v>0.1</v>
      </c>
      <c r="F6919">
        <f t="shared" ref="F6919:F6982" si="108">D6919+E6919</f>
        <v>0.1</v>
      </c>
      <c r="I6919">
        <v>20150701</v>
      </c>
      <c r="J6919" t="s">
        <v>6918</v>
      </c>
    </row>
    <row r="6920" spans="1:17" x14ac:dyDescent="0.3">
      <c r="A6920" s="160">
        <v>59150</v>
      </c>
      <c r="B6920" t="s">
        <v>22077</v>
      </c>
      <c r="C6920" t="s">
        <v>256</v>
      </c>
      <c r="D6920">
        <v>0</v>
      </c>
      <c r="E6920">
        <v>0.1</v>
      </c>
      <c r="F6920">
        <f t="shared" si="108"/>
        <v>0.1</v>
      </c>
      <c r="I6920">
        <v>20150701</v>
      </c>
      <c r="J6920" t="s">
        <v>6907</v>
      </c>
    </row>
    <row r="6921" spans="1:17" x14ac:dyDescent="0.3">
      <c r="A6921" s="160">
        <v>59151</v>
      </c>
      <c r="B6921" t="s">
        <v>22078</v>
      </c>
      <c r="C6921" t="s">
        <v>6825</v>
      </c>
      <c r="D6921">
        <v>2</v>
      </c>
      <c r="E6921">
        <v>0</v>
      </c>
      <c r="F6921">
        <f t="shared" si="108"/>
        <v>2</v>
      </c>
      <c r="I6921">
        <v>20230101</v>
      </c>
      <c r="J6921" t="s">
        <v>6971</v>
      </c>
    </row>
    <row r="6922" spans="1:17" x14ac:dyDescent="0.3">
      <c r="A6922" s="160">
        <v>59152</v>
      </c>
      <c r="B6922" t="s">
        <v>22079</v>
      </c>
      <c r="C6922" t="s">
        <v>6828</v>
      </c>
      <c r="D6922">
        <v>2</v>
      </c>
      <c r="E6922">
        <v>0</v>
      </c>
      <c r="F6922">
        <f t="shared" si="108"/>
        <v>2</v>
      </c>
      <c r="I6922">
        <v>20110101</v>
      </c>
      <c r="J6922" t="s">
        <v>6979</v>
      </c>
      <c r="K6922" t="s">
        <v>6980</v>
      </c>
    </row>
    <row r="6923" spans="1:17" x14ac:dyDescent="0.3">
      <c r="A6923" s="160">
        <v>59153</v>
      </c>
      <c r="B6923" t="s">
        <v>22080</v>
      </c>
      <c r="C6923" t="s">
        <v>6823</v>
      </c>
      <c r="D6923">
        <v>2</v>
      </c>
      <c r="E6923">
        <v>0</v>
      </c>
      <c r="F6923">
        <f t="shared" si="108"/>
        <v>2</v>
      </c>
      <c r="I6923">
        <v>20130701</v>
      </c>
      <c r="J6923" t="s">
        <v>6981</v>
      </c>
    </row>
    <row r="6924" spans="1:17" x14ac:dyDescent="0.3">
      <c r="A6924" s="160">
        <v>59154</v>
      </c>
      <c r="B6924" t="s">
        <v>22080</v>
      </c>
      <c r="C6924" t="s">
        <v>6868</v>
      </c>
      <c r="D6924">
        <v>2</v>
      </c>
      <c r="E6924">
        <v>0</v>
      </c>
      <c r="F6924">
        <f t="shared" si="108"/>
        <v>2</v>
      </c>
      <c r="I6924">
        <v>20220701</v>
      </c>
      <c r="J6924" t="s">
        <v>6869</v>
      </c>
    </row>
    <row r="6925" spans="1:17" x14ac:dyDescent="0.3">
      <c r="A6925" s="160">
        <v>59155</v>
      </c>
      <c r="B6925" t="s">
        <v>22081</v>
      </c>
      <c r="C6925" t="s">
        <v>6868</v>
      </c>
      <c r="D6925">
        <v>2</v>
      </c>
      <c r="E6925">
        <v>0</v>
      </c>
      <c r="F6925">
        <f t="shared" si="108"/>
        <v>2</v>
      </c>
      <c r="I6925">
        <v>20220701</v>
      </c>
      <c r="J6925" t="s">
        <v>6982</v>
      </c>
      <c r="K6925" t="s">
        <v>6983</v>
      </c>
      <c r="L6925" t="s">
        <v>6984</v>
      </c>
      <c r="M6925" t="s">
        <v>6967</v>
      </c>
      <c r="N6925" t="s">
        <v>6985</v>
      </c>
      <c r="O6925" t="s">
        <v>6968</v>
      </c>
      <c r="P6925" t="s">
        <v>6986</v>
      </c>
      <c r="Q6925" t="s">
        <v>6970</v>
      </c>
    </row>
    <row r="6926" spans="1:17" x14ac:dyDescent="0.3">
      <c r="A6926" s="160">
        <v>59156</v>
      </c>
      <c r="B6926" t="s">
        <v>22082</v>
      </c>
      <c r="C6926" t="s">
        <v>6830</v>
      </c>
      <c r="D6926">
        <v>1.8</v>
      </c>
      <c r="E6926">
        <v>0</v>
      </c>
      <c r="F6926">
        <f t="shared" si="108"/>
        <v>1.8</v>
      </c>
      <c r="I6926">
        <v>20090701</v>
      </c>
      <c r="J6926" t="s">
        <v>6987</v>
      </c>
    </row>
    <row r="6927" spans="1:17" x14ac:dyDescent="0.3">
      <c r="A6927" s="160">
        <v>59157</v>
      </c>
      <c r="B6927" t="s">
        <v>22083</v>
      </c>
      <c r="C6927" t="s">
        <v>6825</v>
      </c>
      <c r="D6927">
        <v>2</v>
      </c>
      <c r="E6927">
        <v>0</v>
      </c>
      <c r="F6927">
        <f t="shared" si="108"/>
        <v>2</v>
      </c>
      <c r="I6927">
        <v>20230101</v>
      </c>
      <c r="J6927" t="s">
        <v>6826</v>
      </c>
    </row>
    <row r="6928" spans="1:17" x14ac:dyDescent="0.3">
      <c r="A6928" s="160">
        <v>59158</v>
      </c>
      <c r="B6928" t="s">
        <v>22084</v>
      </c>
      <c r="C6928" t="s">
        <v>256</v>
      </c>
      <c r="D6928">
        <v>0</v>
      </c>
      <c r="E6928">
        <v>0.1</v>
      </c>
      <c r="F6928">
        <f t="shared" si="108"/>
        <v>0.1</v>
      </c>
      <c r="I6928">
        <v>20150701</v>
      </c>
      <c r="J6928" t="s">
        <v>6827</v>
      </c>
      <c r="K6928" t="s">
        <v>6893</v>
      </c>
    </row>
    <row r="6929" spans="1:20" x14ac:dyDescent="0.3">
      <c r="A6929" s="160">
        <v>59159</v>
      </c>
      <c r="B6929" t="s">
        <v>22085</v>
      </c>
      <c r="C6929" t="s">
        <v>6868</v>
      </c>
      <c r="D6929">
        <v>2</v>
      </c>
      <c r="E6929">
        <v>0</v>
      </c>
      <c r="F6929">
        <f t="shared" si="108"/>
        <v>2</v>
      </c>
      <c r="I6929">
        <v>20220701</v>
      </c>
      <c r="J6929" t="s">
        <v>6988</v>
      </c>
    </row>
    <row r="6930" spans="1:20" x14ac:dyDescent="0.3">
      <c r="A6930" s="160">
        <v>59160</v>
      </c>
      <c r="B6930" t="s">
        <v>22086</v>
      </c>
      <c r="C6930" t="s">
        <v>6823</v>
      </c>
      <c r="D6930">
        <v>2</v>
      </c>
      <c r="E6930">
        <v>0</v>
      </c>
      <c r="F6930">
        <f t="shared" si="108"/>
        <v>2</v>
      </c>
      <c r="I6930">
        <v>20130701</v>
      </c>
      <c r="J6930" t="s">
        <v>6989</v>
      </c>
    </row>
    <row r="6931" spans="1:20" x14ac:dyDescent="0.3">
      <c r="A6931" s="160">
        <v>59161</v>
      </c>
      <c r="B6931" t="s">
        <v>22087</v>
      </c>
      <c r="C6931" t="s">
        <v>6821</v>
      </c>
      <c r="D6931">
        <v>0.6</v>
      </c>
      <c r="E6931">
        <v>0.1</v>
      </c>
      <c r="F6931">
        <f t="shared" si="108"/>
        <v>0.7</v>
      </c>
      <c r="I6931">
        <v>20230701</v>
      </c>
      <c r="J6931" t="s">
        <v>6990</v>
      </c>
    </row>
    <row r="6932" spans="1:20" x14ac:dyDescent="0.3">
      <c r="A6932" s="160">
        <v>59162</v>
      </c>
      <c r="B6932" t="s">
        <v>22088</v>
      </c>
      <c r="C6932" t="s">
        <v>256</v>
      </c>
      <c r="D6932">
        <v>0</v>
      </c>
      <c r="E6932">
        <v>0.1</v>
      </c>
      <c r="F6932">
        <f t="shared" si="108"/>
        <v>0.1</v>
      </c>
      <c r="I6932">
        <v>20150701</v>
      </c>
      <c r="J6932" t="s">
        <v>6869</v>
      </c>
    </row>
    <row r="6933" spans="1:20" x14ac:dyDescent="0.3">
      <c r="A6933" s="160">
        <v>59163</v>
      </c>
      <c r="B6933" t="s">
        <v>22089</v>
      </c>
      <c r="C6933" t="s">
        <v>6828</v>
      </c>
      <c r="D6933">
        <v>2</v>
      </c>
      <c r="E6933">
        <v>0</v>
      </c>
      <c r="F6933">
        <f t="shared" si="108"/>
        <v>2</v>
      </c>
      <c r="I6933">
        <v>20110101</v>
      </c>
      <c r="J6933" t="s">
        <v>6991</v>
      </c>
      <c r="K6933" t="s">
        <v>6992</v>
      </c>
      <c r="L6933" t="s">
        <v>6993</v>
      </c>
      <c r="M6933" t="s">
        <v>6994</v>
      </c>
      <c r="N6933" t="s">
        <v>6995</v>
      </c>
      <c r="O6933" t="s">
        <v>6996</v>
      </c>
      <c r="P6933" t="s">
        <v>6997</v>
      </c>
    </row>
    <row r="6934" spans="1:20" x14ac:dyDescent="0.3">
      <c r="A6934" s="160">
        <v>59165</v>
      </c>
      <c r="B6934" t="s">
        <v>22090</v>
      </c>
      <c r="C6934" t="s">
        <v>6830</v>
      </c>
      <c r="D6934">
        <v>1.8</v>
      </c>
      <c r="E6934">
        <v>0</v>
      </c>
      <c r="F6934">
        <f t="shared" si="108"/>
        <v>1.8</v>
      </c>
      <c r="I6934">
        <v>20090701</v>
      </c>
      <c r="J6934" t="s">
        <v>6998</v>
      </c>
      <c r="K6934" t="s">
        <v>6888</v>
      </c>
      <c r="L6934" t="s">
        <v>6999</v>
      </c>
      <c r="M6934" t="s">
        <v>7000</v>
      </c>
      <c r="N6934" t="s">
        <v>6889</v>
      </c>
      <c r="O6934" t="s">
        <v>6891</v>
      </c>
      <c r="P6934" t="s">
        <v>7001</v>
      </c>
    </row>
    <row r="6935" spans="1:20" x14ac:dyDescent="0.3">
      <c r="A6935" s="160">
        <v>59166</v>
      </c>
      <c r="B6935" t="s">
        <v>22091</v>
      </c>
      <c r="C6935" t="s">
        <v>6823</v>
      </c>
      <c r="D6935">
        <v>2</v>
      </c>
      <c r="E6935">
        <v>0</v>
      </c>
      <c r="F6935">
        <f t="shared" si="108"/>
        <v>2</v>
      </c>
      <c r="I6935">
        <v>20130701</v>
      </c>
      <c r="J6935" t="s">
        <v>7002</v>
      </c>
    </row>
    <row r="6936" spans="1:20" x14ac:dyDescent="0.3">
      <c r="A6936" s="160">
        <v>59167</v>
      </c>
      <c r="B6936" t="s">
        <v>22092</v>
      </c>
      <c r="C6936" t="s">
        <v>6821</v>
      </c>
      <c r="D6936">
        <v>0.6</v>
      </c>
      <c r="E6936">
        <v>0.1</v>
      </c>
      <c r="F6936">
        <f t="shared" si="108"/>
        <v>0.7</v>
      </c>
      <c r="I6936">
        <v>20230701</v>
      </c>
      <c r="J6936" t="s">
        <v>6822</v>
      </c>
    </row>
    <row r="6937" spans="1:20" x14ac:dyDescent="0.3">
      <c r="A6937" s="160">
        <v>59168</v>
      </c>
      <c r="B6937" t="s">
        <v>22093</v>
      </c>
      <c r="C6937" t="s">
        <v>256</v>
      </c>
      <c r="D6937">
        <v>0</v>
      </c>
      <c r="E6937">
        <v>0.1</v>
      </c>
      <c r="F6937">
        <f t="shared" si="108"/>
        <v>0.1</v>
      </c>
      <c r="I6937">
        <v>20150701</v>
      </c>
      <c r="J6937" t="s">
        <v>6907</v>
      </c>
    </row>
    <row r="6938" spans="1:20" x14ac:dyDescent="0.3">
      <c r="A6938" s="160">
        <v>59169</v>
      </c>
      <c r="B6938" t="s">
        <v>22094</v>
      </c>
      <c r="C6938" t="s">
        <v>256</v>
      </c>
      <c r="D6938">
        <v>0</v>
      </c>
      <c r="E6938">
        <v>0.1</v>
      </c>
      <c r="F6938">
        <f t="shared" si="108"/>
        <v>0.1</v>
      </c>
      <c r="I6938">
        <v>20150701</v>
      </c>
      <c r="J6938" t="s">
        <v>6971</v>
      </c>
    </row>
    <row r="6939" spans="1:20" x14ac:dyDescent="0.3">
      <c r="A6939" s="160">
        <v>59170</v>
      </c>
      <c r="B6939" t="s">
        <v>22095</v>
      </c>
      <c r="C6939" t="s">
        <v>6830</v>
      </c>
      <c r="D6939">
        <v>1.8</v>
      </c>
      <c r="E6939">
        <v>0</v>
      </c>
      <c r="F6939">
        <f t="shared" si="108"/>
        <v>1.8</v>
      </c>
      <c r="I6939">
        <v>20090701</v>
      </c>
      <c r="J6939" t="s">
        <v>7003</v>
      </c>
    </row>
    <row r="6940" spans="1:20" x14ac:dyDescent="0.3">
      <c r="A6940" s="160">
        <v>59172</v>
      </c>
      <c r="B6940" t="s">
        <v>22096</v>
      </c>
      <c r="C6940" t="s">
        <v>6823</v>
      </c>
      <c r="D6940">
        <v>2</v>
      </c>
      <c r="E6940">
        <v>0</v>
      </c>
      <c r="F6940">
        <f t="shared" si="108"/>
        <v>2</v>
      </c>
      <c r="I6940">
        <v>20130701</v>
      </c>
      <c r="J6940" t="s">
        <v>7004</v>
      </c>
      <c r="K6940" t="s">
        <v>7005</v>
      </c>
      <c r="L6940" t="s">
        <v>7006</v>
      </c>
      <c r="M6940" t="s">
        <v>7007</v>
      </c>
    </row>
    <row r="6941" spans="1:20" x14ac:dyDescent="0.3">
      <c r="A6941" s="160">
        <v>59173</v>
      </c>
      <c r="B6941" t="s">
        <v>22097</v>
      </c>
      <c r="C6941" t="s">
        <v>6828</v>
      </c>
      <c r="D6941">
        <v>2</v>
      </c>
      <c r="E6941">
        <v>0</v>
      </c>
      <c r="F6941">
        <f t="shared" si="108"/>
        <v>2</v>
      </c>
      <c r="I6941">
        <v>20110101</v>
      </c>
      <c r="J6941" t="s">
        <v>7008</v>
      </c>
      <c r="K6941" t="s">
        <v>7009</v>
      </c>
    </row>
    <row r="6942" spans="1:20" x14ac:dyDescent="0.3">
      <c r="A6942" s="160">
        <v>59174</v>
      </c>
      <c r="B6942" t="s">
        <v>22098</v>
      </c>
      <c r="C6942" t="s">
        <v>256</v>
      </c>
      <c r="D6942">
        <v>0</v>
      </c>
      <c r="E6942">
        <v>0.1</v>
      </c>
      <c r="F6942">
        <f t="shared" si="108"/>
        <v>0.1</v>
      </c>
      <c r="I6942">
        <v>20150701</v>
      </c>
      <c r="J6942" t="s">
        <v>6918</v>
      </c>
    </row>
    <row r="6943" spans="1:20" x14ac:dyDescent="0.3">
      <c r="A6943" s="160">
        <v>59176</v>
      </c>
      <c r="B6943" t="s">
        <v>22099</v>
      </c>
      <c r="C6943" t="s">
        <v>6821</v>
      </c>
      <c r="D6943">
        <v>0.6</v>
      </c>
      <c r="E6943">
        <v>0.1</v>
      </c>
      <c r="F6943">
        <f t="shared" si="108"/>
        <v>0.7</v>
      </c>
      <c r="I6943">
        <v>20230701</v>
      </c>
      <c r="J6943" t="s">
        <v>6862</v>
      </c>
    </row>
    <row r="6944" spans="1:20" x14ac:dyDescent="0.3">
      <c r="A6944" s="160">
        <v>59178</v>
      </c>
      <c r="B6944" t="s">
        <v>22100</v>
      </c>
      <c r="C6944" t="s">
        <v>6830</v>
      </c>
      <c r="D6944">
        <v>1.8</v>
      </c>
      <c r="E6944">
        <v>0</v>
      </c>
      <c r="F6944">
        <f t="shared" si="108"/>
        <v>1.8</v>
      </c>
      <c r="I6944">
        <v>20090701</v>
      </c>
      <c r="J6944" t="s">
        <v>6998</v>
      </c>
      <c r="K6944" t="s">
        <v>7010</v>
      </c>
      <c r="L6944" t="s">
        <v>6888</v>
      </c>
      <c r="M6944" t="s">
        <v>7011</v>
      </c>
      <c r="N6944" t="s">
        <v>6999</v>
      </c>
      <c r="O6944" t="s">
        <v>7000</v>
      </c>
      <c r="P6944" t="s">
        <v>6889</v>
      </c>
      <c r="Q6944" t="s">
        <v>6890</v>
      </c>
      <c r="R6944" t="s">
        <v>7012</v>
      </c>
      <c r="S6944" t="s">
        <v>7013</v>
      </c>
      <c r="T6944" t="s">
        <v>6891</v>
      </c>
    </row>
    <row r="6945" spans="1:30" x14ac:dyDescent="0.3">
      <c r="A6945" s="160">
        <v>59179</v>
      </c>
      <c r="B6945" t="s">
        <v>22101</v>
      </c>
      <c r="C6945" t="s">
        <v>6823</v>
      </c>
      <c r="D6945">
        <v>2</v>
      </c>
      <c r="E6945">
        <v>0</v>
      </c>
      <c r="F6945">
        <f t="shared" si="108"/>
        <v>2</v>
      </c>
      <c r="I6945">
        <v>20130701</v>
      </c>
      <c r="J6945" t="s">
        <v>7014</v>
      </c>
    </row>
    <row r="6946" spans="1:30" x14ac:dyDescent="0.3">
      <c r="A6946" s="160">
        <v>59180</v>
      </c>
      <c r="C6946" t="s">
        <v>27548</v>
      </c>
      <c r="D6946">
        <v>1.05</v>
      </c>
      <c r="E6946">
        <v>0</v>
      </c>
      <c r="F6946">
        <f t="shared" si="108"/>
        <v>1.05</v>
      </c>
      <c r="I6946">
        <v>20250101</v>
      </c>
      <c r="J6946" t="s">
        <v>7040</v>
      </c>
    </row>
    <row r="6947" spans="1:30" x14ac:dyDescent="0.3">
      <c r="A6947" s="160">
        <v>59181</v>
      </c>
      <c r="B6947" t="s">
        <v>22102</v>
      </c>
      <c r="C6947" t="s">
        <v>256</v>
      </c>
      <c r="D6947">
        <v>0</v>
      </c>
      <c r="E6947">
        <v>0.1</v>
      </c>
      <c r="F6947">
        <f t="shared" si="108"/>
        <v>0.1</v>
      </c>
      <c r="I6947">
        <v>20150701</v>
      </c>
      <c r="J6947" t="s">
        <v>7015</v>
      </c>
    </row>
    <row r="6948" spans="1:30" x14ac:dyDescent="0.3">
      <c r="A6948" s="160">
        <v>59182</v>
      </c>
      <c r="B6948" t="s">
        <v>22103</v>
      </c>
      <c r="C6948" t="s">
        <v>256</v>
      </c>
      <c r="D6948">
        <v>0</v>
      </c>
      <c r="E6948">
        <v>0.1</v>
      </c>
      <c r="F6948">
        <f t="shared" si="108"/>
        <v>0.1</v>
      </c>
      <c r="I6948">
        <v>20150701</v>
      </c>
      <c r="J6948" t="s">
        <v>6930</v>
      </c>
    </row>
    <row r="6949" spans="1:30" x14ac:dyDescent="0.3">
      <c r="A6949" s="160">
        <v>59183</v>
      </c>
      <c r="B6949" t="s">
        <v>22104</v>
      </c>
      <c r="C6949" t="s">
        <v>6868</v>
      </c>
      <c r="D6949">
        <v>2</v>
      </c>
      <c r="E6949">
        <v>0</v>
      </c>
      <c r="F6949">
        <f t="shared" si="108"/>
        <v>2</v>
      </c>
      <c r="I6949">
        <v>20220701</v>
      </c>
      <c r="J6949" t="s">
        <v>7016</v>
      </c>
      <c r="K6949" t="s">
        <v>7017</v>
      </c>
      <c r="L6949" t="s">
        <v>6988</v>
      </c>
      <c r="M6949" t="s">
        <v>6939</v>
      </c>
      <c r="N6949" t="s">
        <v>6983</v>
      </c>
      <c r="O6949" t="s">
        <v>7018</v>
      </c>
      <c r="P6949" t="s">
        <v>7019</v>
      </c>
      <c r="Q6949" t="s">
        <v>6966</v>
      </c>
      <c r="R6949" t="s">
        <v>7020</v>
      </c>
      <c r="S6949" t="s">
        <v>7021</v>
      </c>
      <c r="T6949" t="s">
        <v>7022</v>
      </c>
      <c r="U6949" t="s">
        <v>7023</v>
      </c>
      <c r="V6949" t="s">
        <v>6984</v>
      </c>
      <c r="W6949" t="s">
        <v>7024</v>
      </c>
      <c r="X6949" t="s">
        <v>7025</v>
      </c>
      <c r="Y6949" t="s">
        <v>6986</v>
      </c>
      <c r="Z6949" t="s">
        <v>7026</v>
      </c>
      <c r="AA6949" t="s">
        <v>6969</v>
      </c>
      <c r="AB6949" t="s">
        <v>7027</v>
      </c>
      <c r="AC6949" t="s">
        <v>7028</v>
      </c>
      <c r="AD6949" t="s">
        <v>6970</v>
      </c>
    </row>
    <row r="6950" spans="1:30" x14ac:dyDescent="0.3">
      <c r="A6950" s="160">
        <v>59184</v>
      </c>
      <c r="C6950" t="s">
        <v>27548</v>
      </c>
      <c r="D6950">
        <v>1.05</v>
      </c>
      <c r="E6950">
        <v>0</v>
      </c>
      <c r="F6950">
        <f t="shared" si="108"/>
        <v>1.05</v>
      </c>
      <c r="I6950">
        <v>20250101</v>
      </c>
      <c r="J6950" t="s">
        <v>27551</v>
      </c>
    </row>
    <row r="6951" spans="1:30" x14ac:dyDescent="0.3">
      <c r="A6951" s="160">
        <v>59185</v>
      </c>
      <c r="B6951" t="s">
        <v>22105</v>
      </c>
      <c r="C6951" t="s">
        <v>6830</v>
      </c>
      <c r="D6951">
        <v>1.8</v>
      </c>
      <c r="E6951">
        <v>0</v>
      </c>
      <c r="F6951">
        <f t="shared" si="108"/>
        <v>1.8</v>
      </c>
      <c r="I6951">
        <v>20090701</v>
      </c>
      <c r="J6951" t="s">
        <v>7029</v>
      </c>
    </row>
    <row r="6952" spans="1:30" x14ac:dyDescent="0.3">
      <c r="A6952" s="160">
        <v>59186</v>
      </c>
      <c r="B6952" t="s">
        <v>22106</v>
      </c>
      <c r="C6952" t="s">
        <v>256</v>
      </c>
      <c r="D6952">
        <v>0</v>
      </c>
      <c r="E6952">
        <v>0.1</v>
      </c>
      <c r="F6952">
        <f t="shared" si="108"/>
        <v>0.1</v>
      </c>
      <c r="I6952">
        <v>20150701</v>
      </c>
      <c r="J6952" t="s">
        <v>6918</v>
      </c>
    </row>
    <row r="6953" spans="1:30" x14ac:dyDescent="0.3">
      <c r="A6953" s="160">
        <v>59187</v>
      </c>
      <c r="B6953" t="s">
        <v>22107</v>
      </c>
      <c r="C6953" t="s">
        <v>6825</v>
      </c>
      <c r="D6953">
        <v>2</v>
      </c>
      <c r="E6953">
        <v>0</v>
      </c>
      <c r="F6953">
        <f t="shared" si="108"/>
        <v>2</v>
      </c>
      <c r="I6953">
        <v>20230101</v>
      </c>
      <c r="J6953" t="s">
        <v>6916</v>
      </c>
    </row>
    <row r="6954" spans="1:30" x14ac:dyDescent="0.3">
      <c r="A6954" s="160">
        <v>59188</v>
      </c>
      <c r="B6954" t="s">
        <v>22108</v>
      </c>
      <c r="C6954" t="s">
        <v>6825</v>
      </c>
      <c r="D6954">
        <v>2</v>
      </c>
      <c r="E6954">
        <v>0</v>
      </c>
      <c r="F6954">
        <f t="shared" si="108"/>
        <v>2</v>
      </c>
      <c r="I6954">
        <v>20230101</v>
      </c>
      <c r="J6954" t="s">
        <v>6903</v>
      </c>
    </row>
    <row r="6955" spans="1:30" x14ac:dyDescent="0.3">
      <c r="A6955" s="160">
        <v>59189</v>
      </c>
      <c r="C6955" t="s">
        <v>27548</v>
      </c>
      <c r="D6955">
        <v>1.05</v>
      </c>
      <c r="E6955">
        <v>0</v>
      </c>
      <c r="F6955">
        <f t="shared" si="108"/>
        <v>1.05</v>
      </c>
      <c r="I6955">
        <v>20250101</v>
      </c>
      <c r="J6955" t="s">
        <v>27558</v>
      </c>
    </row>
    <row r="6956" spans="1:30" x14ac:dyDescent="0.3">
      <c r="A6956" s="160">
        <v>59190</v>
      </c>
      <c r="B6956" t="s">
        <v>22109</v>
      </c>
      <c r="C6956" t="s">
        <v>6825</v>
      </c>
      <c r="D6956">
        <v>2</v>
      </c>
      <c r="E6956">
        <v>0</v>
      </c>
      <c r="F6956">
        <f t="shared" si="108"/>
        <v>2</v>
      </c>
      <c r="I6956">
        <v>20230101</v>
      </c>
      <c r="J6956" t="s">
        <v>6879</v>
      </c>
    </row>
    <row r="6957" spans="1:30" x14ac:dyDescent="0.3">
      <c r="A6957" s="160">
        <v>59192</v>
      </c>
      <c r="B6957" t="s">
        <v>22110</v>
      </c>
      <c r="C6957" t="s">
        <v>6823</v>
      </c>
      <c r="D6957">
        <v>2</v>
      </c>
      <c r="E6957">
        <v>0</v>
      </c>
      <c r="F6957">
        <f t="shared" si="108"/>
        <v>2</v>
      </c>
      <c r="I6957">
        <v>20250101</v>
      </c>
      <c r="J6957" t="s">
        <v>6832</v>
      </c>
    </row>
    <row r="6958" spans="1:30" x14ac:dyDescent="0.3">
      <c r="A6958" s="160">
        <v>59193</v>
      </c>
      <c r="B6958" t="s">
        <v>22111</v>
      </c>
      <c r="C6958" t="s">
        <v>6828</v>
      </c>
      <c r="D6958">
        <v>2</v>
      </c>
      <c r="E6958">
        <v>0</v>
      </c>
      <c r="F6958">
        <f t="shared" si="108"/>
        <v>2</v>
      </c>
      <c r="I6958">
        <v>20110101</v>
      </c>
      <c r="J6958" t="s">
        <v>7030</v>
      </c>
      <c r="K6958" t="s">
        <v>7031</v>
      </c>
    </row>
    <row r="6959" spans="1:30" x14ac:dyDescent="0.3">
      <c r="A6959" s="160">
        <v>59195</v>
      </c>
      <c r="B6959" t="s">
        <v>22112</v>
      </c>
      <c r="C6959" t="s">
        <v>6828</v>
      </c>
      <c r="D6959">
        <v>2</v>
      </c>
      <c r="E6959">
        <v>0</v>
      </c>
      <c r="F6959">
        <f t="shared" si="108"/>
        <v>2</v>
      </c>
      <c r="I6959">
        <v>20110101</v>
      </c>
      <c r="J6959" t="s">
        <v>7030</v>
      </c>
      <c r="K6959" t="s">
        <v>7031</v>
      </c>
      <c r="L6959" t="s">
        <v>7032</v>
      </c>
      <c r="M6959" t="s">
        <v>7033</v>
      </c>
    </row>
    <row r="6960" spans="1:30" x14ac:dyDescent="0.3">
      <c r="A6960" s="160">
        <v>59196</v>
      </c>
      <c r="B6960" t="s">
        <v>22113</v>
      </c>
      <c r="C6960" t="s">
        <v>6828</v>
      </c>
      <c r="D6960">
        <v>2</v>
      </c>
      <c r="E6960">
        <v>0</v>
      </c>
      <c r="F6960">
        <f t="shared" si="108"/>
        <v>2</v>
      </c>
      <c r="I6960">
        <v>20110101</v>
      </c>
      <c r="J6960" t="s">
        <v>7030</v>
      </c>
      <c r="K6960" t="s">
        <v>7032</v>
      </c>
    </row>
    <row r="6961" spans="1:11" x14ac:dyDescent="0.3">
      <c r="A6961" s="160">
        <v>59197</v>
      </c>
      <c r="B6961" t="s">
        <v>22114</v>
      </c>
      <c r="C6961" t="s">
        <v>256</v>
      </c>
      <c r="D6961">
        <v>0</v>
      </c>
      <c r="E6961">
        <v>0.1</v>
      </c>
      <c r="F6961">
        <f t="shared" si="108"/>
        <v>0.1</v>
      </c>
      <c r="I6961">
        <v>20150701</v>
      </c>
      <c r="J6961" t="s">
        <v>6904</v>
      </c>
    </row>
    <row r="6962" spans="1:11" x14ac:dyDescent="0.3">
      <c r="A6962" s="160">
        <v>59199</v>
      </c>
      <c r="B6962" t="s">
        <v>22115</v>
      </c>
      <c r="C6962" t="s">
        <v>6830</v>
      </c>
      <c r="D6962">
        <v>1.8</v>
      </c>
      <c r="E6962">
        <v>0</v>
      </c>
      <c r="F6962">
        <f t="shared" si="108"/>
        <v>1.8</v>
      </c>
      <c r="I6962">
        <v>20090701</v>
      </c>
      <c r="J6962" t="s">
        <v>6957</v>
      </c>
    </row>
    <row r="6963" spans="1:11" x14ac:dyDescent="0.3">
      <c r="A6963" s="160">
        <v>59200</v>
      </c>
      <c r="B6963" t="s">
        <v>22116</v>
      </c>
      <c r="C6963" t="s">
        <v>256</v>
      </c>
      <c r="D6963">
        <v>0</v>
      </c>
      <c r="E6963">
        <v>0.1</v>
      </c>
      <c r="F6963">
        <f t="shared" si="108"/>
        <v>0.1</v>
      </c>
      <c r="I6963">
        <v>20150701</v>
      </c>
      <c r="J6963" t="s">
        <v>6910</v>
      </c>
    </row>
    <row r="6964" spans="1:11" x14ac:dyDescent="0.3">
      <c r="A6964" s="160">
        <v>59201</v>
      </c>
      <c r="B6964" t="s">
        <v>22117</v>
      </c>
      <c r="C6964" t="s">
        <v>6828</v>
      </c>
      <c r="D6964">
        <v>2</v>
      </c>
      <c r="E6964">
        <v>0</v>
      </c>
      <c r="F6964">
        <f t="shared" si="108"/>
        <v>2</v>
      </c>
      <c r="I6964">
        <v>20110101</v>
      </c>
      <c r="J6964" t="s">
        <v>7030</v>
      </c>
    </row>
    <row r="6965" spans="1:11" x14ac:dyDescent="0.3">
      <c r="A6965" s="160">
        <v>59202</v>
      </c>
      <c r="B6965" t="s">
        <v>22118</v>
      </c>
      <c r="C6965" t="s">
        <v>6828</v>
      </c>
      <c r="D6965">
        <v>2</v>
      </c>
      <c r="E6965">
        <v>0</v>
      </c>
      <c r="F6965">
        <f t="shared" si="108"/>
        <v>2</v>
      </c>
      <c r="I6965">
        <v>20110101</v>
      </c>
      <c r="J6965" t="s">
        <v>7034</v>
      </c>
      <c r="K6965" t="s">
        <v>7035</v>
      </c>
    </row>
    <row r="6966" spans="1:11" x14ac:dyDescent="0.3">
      <c r="A6966" s="160">
        <v>59203</v>
      </c>
      <c r="B6966" t="s">
        <v>22119</v>
      </c>
      <c r="C6966" t="s">
        <v>6830</v>
      </c>
      <c r="D6966">
        <v>1.8</v>
      </c>
      <c r="E6966">
        <v>0</v>
      </c>
      <c r="F6966">
        <f t="shared" si="108"/>
        <v>1.8</v>
      </c>
      <c r="I6966">
        <v>20190901</v>
      </c>
      <c r="J6966" t="s">
        <v>7036</v>
      </c>
    </row>
    <row r="6967" spans="1:11" x14ac:dyDescent="0.3">
      <c r="A6967" s="160">
        <v>59204</v>
      </c>
      <c r="B6967" t="s">
        <v>22120</v>
      </c>
      <c r="C6967" t="s">
        <v>256</v>
      </c>
      <c r="D6967">
        <v>0</v>
      </c>
      <c r="E6967">
        <v>0.1</v>
      </c>
      <c r="F6967">
        <f t="shared" si="108"/>
        <v>0.1</v>
      </c>
      <c r="I6967">
        <v>20150701</v>
      </c>
      <c r="J6967" t="s">
        <v>6920</v>
      </c>
    </row>
    <row r="6968" spans="1:11" x14ac:dyDescent="0.3">
      <c r="A6968" s="160">
        <v>59205</v>
      </c>
      <c r="B6968" t="s">
        <v>22121</v>
      </c>
      <c r="C6968" t="s">
        <v>6823</v>
      </c>
      <c r="D6968">
        <v>2</v>
      </c>
      <c r="E6968">
        <v>0</v>
      </c>
      <c r="F6968">
        <f t="shared" si="108"/>
        <v>2</v>
      </c>
      <c r="I6968">
        <v>20130701</v>
      </c>
      <c r="J6968" t="s">
        <v>7037</v>
      </c>
    </row>
    <row r="6969" spans="1:11" x14ac:dyDescent="0.3">
      <c r="A6969" s="160">
        <v>59206</v>
      </c>
      <c r="B6969" t="s">
        <v>22122</v>
      </c>
      <c r="C6969" t="s">
        <v>6821</v>
      </c>
      <c r="D6969">
        <v>0.6</v>
      </c>
      <c r="E6969">
        <v>0.1</v>
      </c>
      <c r="F6969">
        <f t="shared" si="108"/>
        <v>0.7</v>
      </c>
      <c r="I6969">
        <v>20230701</v>
      </c>
      <c r="J6969" t="s">
        <v>6945</v>
      </c>
    </row>
    <row r="6970" spans="1:11" x14ac:dyDescent="0.3">
      <c r="A6970" s="160">
        <v>59207</v>
      </c>
      <c r="B6970" t="s">
        <v>22123</v>
      </c>
      <c r="C6970" t="s">
        <v>6823</v>
      </c>
      <c r="D6970">
        <v>2</v>
      </c>
      <c r="E6970">
        <v>0</v>
      </c>
      <c r="F6970">
        <f t="shared" si="108"/>
        <v>2</v>
      </c>
      <c r="I6970">
        <v>20130701</v>
      </c>
      <c r="J6970" t="s">
        <v>7038</v>
      </c>
    </row>
    <row r="6971" spans="1:11" x14ac:dyDescent="0.3">
      <c r="A6971" s="160">
        <v>59208</v>
      </c>
      <c r="B6971" t="s">
        <v>22124</v>
      </c>
      <c r="C6971" t="s">
        <v>6828</v>
      </c>
      <c r="D6971">
        <v>2</v>
      </c>
      <c r="E6971">
        <v>0</v>
      </c>
      <c r="F6971">
        <f t="shared" si="108"/>
        <v>2</v>
      </c>
      <c r="I6971">
        <v>20110101</v>
      </c>
      <c r="J6971" t="s">
        <v>7030</v>
      </c>
    </row>
    <row r="6972" spans="1:11" x14ac:dyDescent="0.3">
      <c r="A6972" s="160">
        <v>59209</v>
      </c>
      <c r="B6972" t="s">
        <v>22125</v>
      </c>
      <c r="C6972" t="s">
        <v>6821</v>
      </c>
      <c r="D6972">
        <v>0.6</v>
      </c>
      <c r="E6972">
        <v>0.1</v>
      </c>
      <c r="F6972">
        <f t="shared" si="108"/>
        <v>0.7</v>
      </c>
      <c r="I6972">
        <v>20230701</v>
      </c>
      <c r="J6972" t="s">
        <v>7039</v>
      </c>
    </row>
    <row r="6973" spans="1:11" x14ac:dyDescent="0.3">
      <c r="A6973" s="160">
        <v>59210</v>
      </c>
      <c r="B6973" t="s">
        <v>22126</v>
      </c>
      <c r="C6973" t="s">
        <v>256</v>
      </c>
      <c r="D6973">
        <v>0</v>
      </c>
      <c r="E6973">
        <v>0.1</v>
      </c>
      <c r="F6973">
        <f t="shared" si="108"/>
        <v>0.1</v>
      </c>
      <c r="I6973">
        <v>20150701</v>
      </c>
      <c r="J6973" t="s">
        <v>6910</v>
      </c>
      <c r="K6973" t="s">
        <v>6924</v>
      </c>
    </row>
    <row r="6974" spans="1:11" x14ac:dyDescent="0.3">
      <c r="A6974" s="160">
        <v>59211</v>
      </c>
      <c r="B6974" t="s">
        <v>22127</v>
      </c>
      <c r="C6974" t="s">
        <v>6830</v>
      </c>
      <c r="D6974">
        <v>1.8</v>
      </c>
      <c r="E6974">
        <v>0</v>
      </c>
      <c r="F6974">
        <f t="shared" si="108"/>
        <v>1.8</v>
      </c>
      <c r="I6974">
        <v>20090701</v>
      </c>
      <c r="J6974" t="s">
        <v>7001</v>
      </c>
    </row>
    <row r="6975" spans="1:11" x14ac:dyDescent="0.3">
      <c r="A6975" s="160">
        <v>59212</v>
      </c>
      <c r="B6975" t="s">
        <v>22128</v>
      </c>
      <c r="C6975" t="s">
        <v>256</v>
      </c>
      <c r="D6975">
        <v>0</v>
      </c>
      <c r="E6975">
        <v>0.1</v>
      </c>
      <c r="F6975">
        <f t="shared" si="108"/>
        <v>0.1</v>
      </c>
      <c r="I6975">
        <v>20150701</v>
      </c>
      <c r="J6975" t="s">
        <v>7040</v>
      </c>
    </row>
    <row r="6976" spans="1:11" x14ac:dyDescent="0.3">
      <c r="A6976" s="160">
        <v>59213</v>
      </c>
      <c r="B6976" t="s">
        <v>22129</v>
      </c>
      <c r="C6976" t="s">
        <v>256</v>
      </c>
      <c r="D6976">
        <v>0</v>
      </c>
      <c r="E6976">
        <v>0.1</v>
      </c>
      <c r="F6976">
        <f t="shared" si="108"/>
        <v>0.1</v>
      </c>
      <c r="I6976">
        <v>20150701</v>
      </c>
      <c r="J6976" t="s">
        <v>6862</v>
      </c>
      <c r="K6976" t="s">
        <v>6947</v>
      </c>
    </row>
    <row r="6977" spans="1:16" x14ac:dyDescent="0.3">
      <c r="A6977" s="160">
        <v>59214</v>
      </c>
      <c r="B6977" t="s">
        <v>15440</v>
      </c>
      <c r="C6977" t="s">
        <v>6830</v>
      </c>
      <c r="D6977">
        <v>1.8</v>
      </c>
      <c r="E6977">
        <v>0</v>
      </c>
      <c r="F6977">
        <f t="shared" si="108"/>
        <v>1.8</v>
      </c>
      <c r="I6977">
        <v>20090701</v>
      </c>
      <c r="J6977" t="s">
        <v>6867</v>
      </c>
    </row>
    <row r="6978" spans="1:16" x14ac:dyDescent="0.3">
      <c r="A6978" s="160">
        <v>59215</v>
      </c>
      <c r="B6978" t="s">
        <v>22130</v>
      </c>
      <c r="C6978" t="s">
        <v>6823</v>
      </c>
      <c r="D6978">
        <v>2</v>
      </c>
      <c r="E6978">
        <v>0</v>
      </c>
      <c r="F6978">
        <f t="shared" si="108"/>
        <v>2</v>
      </c>
      <c r="I6978">
        <v>20130701</v>
      </c>
      <c r="J6978" t="s">
        <v>7002</v>
      </c>
    </row>
    <row r="6979" spans="1:16" x14ac:dyDescent="0.3">
      <c r="A6979" s="160">
        <v>59216</v>
      </c>
      <c r="B6979" t="s">
        <v>22131</v>
      </c>
      <c r="C6979" t="s">
        <v>6821</v>
      </c>
      <c r="D6979">
        <v>0.6</v>
      </c>
      <c r="E6979">
        <v>0.1</v>
      </c>
      <c r="F6979">
        <f t="shared" si="108"/>
        <v>0.7</v>
      </c>
      <c r="I6979">
        <v>20230701</v>
      </c>
      <c r="J6979" t="s">
        <v>6945</v>
      </c>
    </row>
    <row r="6980" spans="1:16" x14ac:dyDescent="0.3">
      <c r="A6980" s="160">
        <v>59217</v>
      </c>
      <c r="B6980" t="s">
        <v>22132</v>
      </c>
      <c r="C6980" t="s">
        <v>256</v>
      </c>
      <c r="D6980">
        <v>0</v>
      </c>
      <c r="E6980">
        <v>0.1</v>
      </c>
      <c r="F6980">
        <f t="shared" si="108"/>
        <v>0.1</v>
      </c>
      <c r="I6980">
        <v>20150701</v>
      </c>
      <c r="J6980" t="s">
        <v>6944</v>
      </c>
    </row>
    <row r="6981" spans="1:16" x14ac:dyDescent="0.3">
      <c r="A6981" s="160">
        <v>59219</v>
      </c>
      <c r="B6981" t="s">
        <v>22133</v>
      </c>
      <c r="C6981" t="s">
        <v>6821</v>
      </c>
      <c r="D6981">
        <v>0.6</v>
      </c>
      <c r="E6981">
        <v>0.1</v>
      </c>
      <c r="F6981">
        <f t="shared" si="108"/>
        <v>0.7</v>
      </c>
      <c r="I6981">
        <v>20230701</v>
      </c>
      <c r="J6981" t="s">
        <v>7041</v>
      </c>
    </row>
    <row r="6982" spans="1:16" x14ac:dyDescent="0.3">
      <c r="A6982" s="160">
        <v>59220</v>
      </c>
      <c r="B6982" t="s">
        <v>22134</v>
      </c>
      <c r="C6982" t="s">
        <v>6828</v>
      </c>
      <c r="D6982">
        <v>2</v>
      </c>
      <c r="E6982">
        <v>0</v>
      </c>
      <c r="F6982">
        <f t="shared" si="108"/>
        <v>2</v>
      </c>
      <c r="I6982">
        <v>20110101</v>
      </c>
      <c r="J6982" t="s">
        <v>7042</v>
      </c>
      <c r="K6982" t="s">
        <v>7043</v>
      </c>
      <c r="L6982" t="s">
        <v>7044</v>
      </c>
    </row>
    <row r="6983" spans="1:16" x14ac:dyDescent="0.3">
      <c r="A6983" s="160">
        <v>59221</v>
      </c>
      <c r="B6983" t="s">
        <v>22135</v>
      </c>
      <c r="C6983" t="s">
        <v>6823</v>
      </c>
      <c r="D6983">
        <v>2</v>
      </c>
      <c r="E6983">
        <v>0</v>
      </c>
      <c r="F6983">
        <f t="shared" ref="F6983:F7046" si="109">D6983+E6983</f>
        <v>2</v>
      </c>
      <c r="I6983">
        <v>20130701</v>
      </c>
      <c r="J6983" t="s">
        <v>6895</v>
      </c>
      <c r="K6983" t="s">
        <v>6900</v>
      </c>
    </row>
    <row r="6984" spans="1:16" x14ac:dyDescent="0.3">
      <c r="A6984" s="160">
        <v>59224</v>
      </c>
      <c r="B6984" t="s">
        <v>22136</v>
      </c>
      <c r="C6984" t="s">
        <v>6830</v>
      </c>
      <c r="D6984">
        <v>1.8</v>
      </c>
      <c r="E6984">
        <v>0</v>
      </c>
      <c r="F6984">
        <f t="shared" si="109"/>
        <v>1.8</v>
      </c>
      <c r="I6984">
        <v>20090701</v>
      </c>
      <c r="J6984" t="s">
        <v>7045</v>
      </c>
    </row>
    <row r="6985" spans="1:16" x14ac:dyDescent="0.3">
      <c r="A6985" s="160">
        <v>59225</v>
      </c>
      <c r="B6985" t="s">
        <v>22137</v>
      </c>
      <c r="C6985" t="s">
        <v>6825</v>
      </c>
      <c r="D6985">
        <v>2</v>
      </c>
      <c r="E6985">
        <v>0</v>
      </c>
      <c r="F6985">
        <f t="shared" si="109"/>
        <v>2</v>
      </c>
      <c r="I6985">
        <v>20230101</v>
      </c>
      <c r="J6985" t="s">
        <v>6899</v>
      </c>
      <c r="K6985" t="s">
        <v>7046</v>
      </c>
      <c r="L6985" t="s">
        <v>7047</v>
      </c>
    </row>
    <row r="6986" spans="1:16" x14ac:dyDescent="0.3">
      <c r="A6986" s="160">
        <v>59227</v>
      </c>
      <c r="B6986" t="s">
        <v>22138</v>
      </c>
      <c r="C6986" t="s">
        <v>6830</v>
      </c>
      <c r="D6986">
        <v>1.8</v>
      </c>
      <c r="E6986">
        <v>0</v>
      </c>
      <c r="F6986">
        <f t="shared" si="109"/>
        <v>1.8</v>
      </c>
      <c r="I6986">
        <v>20190901</v>
      </c>
      <c r="J6986" t="s">
        <v>7048</v>
      </c>
    </row>
    <row r="6987" spans="1:16" x14ac:dyDescent="0.3">
      <c r="A6987" s="160">
        <v>59228</v>
      </c>
      <c r="B6987" t="s">
        <v>22139</v>
      </c>
      <c r="C6987" t="s">
        <v>6830</v>
      </c>
      <c r="D6987">
        <v>1.8</v>
      </c>
      <c r="E6987">
        <v>0</v>
      </c>
      <c r="F6987">
        <f t="shared" si="109"/>
        <v>1.8</v>
      </c>
      <c r="I6987">
        <v>20090701</v>
      </c>
      <c r="J6987" t="s">
        <v>6957</v>
      </c>
    </row>
    <row r="6988" spans="1:16" x14ac:dyDescent="0.3">
      <c r="A6988" s="160">
        <v>59230</v>
      </c>
      <c r="B6988" t="s">
        <v>22140</v>
      </c>
      <c r="C6988" t="s">
        <v>6825</v>
      </c>
      <c r="D6988">
        <v>2</v>
      </c>
      <c r="E6988">
        <v>0</v>
      </c>
      <c r="F6988">
        <f t="shared" si="109"/>
        <v>2</v>
      </c>
      <c r="I6988">
        <v>20230101</v>
      </c>
      <c r="J6988" t="s">
        <v>6971</v>
      </c>
    </row>
    <row r="6989" spans="1:16" x14ac:dyDescent="0.3">
      <c r="A6989" s="160">
        <v>59231</v>
      </c>
      <c r="B6989" t="s">
        <v>22141</v>
      </c>
      <c r="C6989" t="s">
        <v>6825</v>
      </c>
      <c r="D6989">
        <v>2</v>
      </c>
      <c r="E6989">
        <v>0</v>
      </c>
      <c r="F6989">
        <f t="shared" si="109"/>
        <v>2</v>
      </c>
      <c r="I6989">
        <v>20230101</v>
      </c>
      <c r="J6989" t="s">
        <v>6971</v>
      </c>
    </row>
    <row r="6990" spans="1:16" x14ac:dyDescent="0.3">
      <c r="A6990" s="160">
        <v>59234</v>
      </c>
      <c r="B6990" t="s">
        <v>22142</v>
      </c>
      <c r="C6990" t="s">
        <v>6830</v>
      </c>
      <c r="D6990">
        <v>1.8</v>
      </c>
      <c r="E6990">
        <v>0</v>
      </c>
      <c r="F6990">
        <f t="shared" si="109"/>
        <v>1.8</v>
      </c>
      <c r="I6990">
        <v>20090701</v>
      </c>
      <c r="J6990" t="s">
        <v>7049</v>
      </c>
      <c r="K6990" t="s">
        <v>6888</v>
      </c>
      <c r="L6990" t="s">
        <v>7011</v>
      </c>
      <c r="M6990" t="s">
        <v>6999</v>
      </c>
      <c r="N6990" t="s">
        <v>6889</v>
      </c>
      <c r="O6990" t="s">
        <v>6890</v>
      </c>
      <c r="P6990" t="s">
        <v>6891</v>
      </c>
    </row>
    <row r="6991" spans="1:16" x14ac:dyDescent="0.3">
      <c r="A6991" s="160">
        <v>59236</v>
      </c>
      <c r="B6991" t="s">
        <v>22143</v>
      </c>
      <c r="C6991" t="s">
        <v>6821</v>
      </c>
      <c r="D6991">
        <v>0.6</v>
      </c>
      <c r="E6991">
        <v>0.1</v>
      </c>
      <c r="F6991">
        <f t="shared" si="109"/>
        <v>0.7</v>
      </c>
      <c r="I6991">
        <v>20230701</v>
      </c>
      <c r="J6991" t="s">
        <v>6956</v>
      </c>
    </row>
    <row r="6992" spans="1:16" x14ac:dyDescent="0.3">
      <c r="A6992" s="160">
        <v>59237</v>
      </c>
      <c r="C6992" t="s">
        <v>27548</v>
      </c>
      <c r="D6992">
        <v>1.05</v>
      </c>
      <c r="E6992">
        <v>0</v>
      </c>
      <c r="F6992">
        <f t="shared" si="109"/>
        <v>1.05</v>
      </c>
      <c r="I6992">
        <v>20250101</v>
      </c>
      <c r="J6992" t="s">
        <v>6908</v>
      </c>
    </row>
    <row r="6993" spans="1:16" x14ac:dyDescent="0.3">
      <c r="A6993" s="160">
        <v>59238</v>
      </c>
      <c r="B6993" t="s">
        <v>22144</v>
      </c>
      <c r="C6993" t="s">
        <v>6823</v>
      </c>
      <c r="D6993">
        <v>2</v>
      </c>
      <c r="E6993">
        <v>0</v>
      </c>
      <c r="F6993">
        <f t="shared" si="109"/>
        <v>2</v>
      </c>
      <c r="I6993">
        <v>20130701</v>
      </c>
      <c r="J6993" t="s">
        <v>7050</v>
      </c>
    </row>
    <row r="6994" spans="1:16" x14ac:dyDescent="0.3">
      <c r="A6994" s="160">
        <v>59239</v>
      </c>
      <c r="B6994" t="s">
        <v>22145</v>
      </c>
      <c r="C6994" t="s">
        <v>6830</v>
      </c>
      <c r="D6994">
        <v>1.8</v>
      </c>
      <c r="E6994">
        <v>0</v>
      </c>
      <c r="F6994">
        <f t="shared" si="109"/>
        <v>1.8</v>
      </c>
      <c r="I6994">
        <v>20090701</v>
      </c>
      <c r="J6994" t="s">
        <v>7051</v>
      </c>
      <c r="K6994" t="s">
        <v>6893</v>
      </c>
    </row>
    <row r="6995" spans="1:16" x14ac:dyDescent="0.3">
      <c r="A6995" s="160">
        <v>59240</v>
      </c>
      <c r="B6995" t="s">
        <v>22146</v>
      </c>
      <c r="C6995" t="s">
        <v>256</v>
      </c>
      <c r="D6995">
        <v>0</v>
      </c>
      <c r="E6995">
        <v>0.1</v>
      </c>
      <c r="F6995">
        <f t="shared" si="109"/>
        <v>0.1</v>
      </c>
      <c r="I6995">
        <v>20150701</v>
      </c>
      <c r="J6995" t="s">
        <v>7015</v>
      </c>
    </row>
    <row r="6996" spans="1:16" x14ac:dyDescent="0.3">
      <c r="A6996" s="160">
        <v>59244</v>
      </c>
      <c r="B6996" t="s">
        <v>15458</v>
      </c>
      <c r="C6996" t="s">
        <v>6821</v>
      </c>
      <c r="D6996">
        <v>0.6</v>
      </c>
      <c r="E6996">
        <v>0.1</v>
      </c>
      <c r="F6996">
        <f t="shared" si="109"/>
        <v>0.7</v>
      </c>
      <c r="I6996">
        <v>20230701</v>
      </c>
      <c r="J6996" t="s">
        <v>6862</v>
      </c>
      <c r="K6996" t="s">
        <v>6951</v>
      </c>
    </row>
    <row r="6997" spans="1:16" x14ac:dyDescent="0.3">
      <c r="A6997" s="160">
        <v>59247</v>
      </c>
      <c r="B6997" t="s">
        <v>22147</v>
      </c>
      <c r="C6997" t="s">
        <v>6828</v>
      </c>
      <c r="D6997">
        <v>2</v>
      </c>
      <c r="E6997">
        <v>0</v>
      </c>
      <c r="F6997">
        <f t="shared" si="109"/>
        <v>2</v>
      </c>
      <c r="I6997">
        <v>20110101</v>
      </c>
      <c r="J6997" t="s">
        <v>7052</v>
      </c>
    </row>
    <row r="6998" spans="1:16" x14ac:dyDescent="0.3">
      <c r="A6998" s="160">
        <v>59250</v>
      </c>
      <c r="B6998" t="s">
        <v>22148</v>
      </c>
      <c r="C6998" t="s">
        <v>6828</v>
      </c>
      <c r="D6998">
        <v>2</v>
      </c>
      <c r="E6998">
        <v>0</v>
      </c>
      <c r="F6998">
        <f t="shared" si="109"/>
        <v>2</v>
      </c>
      <c r="I6998">
        <v>20110101</v>
      </c>
      <c r="J6998" t="s">
        <v>6914</v>
      </c>
      <c r="K6998" t="s">
        <v>6915</v>
      </c>
    </row>
    <row r="6999" spans="1:16" x14ac:dyDescent="0.3">
      <c r="A6999" s="160">
        <v>59252</v>
      </c>
      <c r="B6999" t="s">
        <v>22149</v>
      </c>
      <c r="C6999" t="s">
        <v>6828</v>
      </c>
      <c r="D6999">
        <v>2</v>
      </c>
      <c r="E6999">
        <v>0</v>
      </c>
      <c r="F6999">
        <f t="shared" si="109"/>
        <v>2</v>
      </c>
      <c r="I6999">
        <v>20110101</v>
      </c>
      <c r="J6999" t="s">
        <v>7053</v>
      </c>
      <c r="K6999" t="s">
        <v>7008</v>
      </c>
    </row>
    <row r="7000" spans="1:16" x14ac:dyDescent="0.3">
      <c r="A7000" s="160">
        <v>59253</v>
      </c>
      <c r="B7000" t="s">
        <v>22150</v>
      </c>
      <c r="C7000" t="s">
        <v>6823</v>
      </c>
      <c r="D7000">
        <v>2</v>
      </c>
      <c r="E7000">
        <v>0</v>
      </c>
      <c r="F7000">
        <f t="shared" si="109"/>
        <v>2</v>
      </c>
      <c r="I7000">
        <v>20130701</v>
      </c>
      <c r="J7000" t="s">
        <v>7054</v>
      </c>
    </row>
    <row r="7001" spans="1:16" x14ac:dyDescent="0.3">
      <c r="A7001" s="160">
        <v>59254</v>
      </c>
      <c r="B7001" t="s">
        <v>22151</v>
      </c>
      <c r="C7001" t="s">
        <v>6830</v>
      </c>
      <c r="D7001">
        <v>1.8</v>
      </c>
      <c r="E7001">
        <v>0</v>
      </c>
      <c r="F7001">
        <f t="shared" si="109"/>
        <v>1.8</v>
      </c>
      <c r="I7001">
        <v>20090701</v>
      </c>
      <c r="J7001" t="s">
        <v>7055</v>
      </c>
    </row>
    <row r="7002" spans="1:16" x14ac:dyDescent="0.3">
      <c r="A7002" s="160">
        <v>59255</v>
      </c>
      <c r="B7002" t="s">
        <v>22152</v>
      </c>
      <c r="C7002" t="s">
        <v>6821</v>
      </c>
      <c r="D7002">
        <v>0.6</v>
      </c>
      <c r="E7002">
        <v>0.1</v>
      </c>
      <c r="F7002">
        <f t="shared" si="109"/>
        <v>0.7</v>
      </c>
      <c r="I7002">
        <v>20230701</v>
      </c>
      <c r="J7002" t="s">
        <v>6822</v>
      </c>
    </row>
    <row r="7003" spans="1:16" x14ac:dyDescent="0.3">
      <c r="A7003" s="160">
        <v>59256</v>
      </c>
      <c r="B7003" t="s">
        <v>22153</v>
      </c>
      <c r="C7003" t="s">
        <v>6828</v>
      </c>
      <c r="D7003">
        <v>2</v>
      </c>
      <c r="E7003">
        <v>0</v>
      </c>
      <c r="F7003">
        <f t="shared" si="109"/>
        <v>2</v>
      </c>
      <c r="I7003">
        <v>20110101</v>
      </c>
      <c r="J7003" t="s">
        <v>7056</v>
      </c>
      <c r="K7003" t="s">
        <v>7057</v>
      </c>
      <c r="L7003" t="s">
        <v>7044</v>
      </c>
      <c r="M7003" t="s">
        <v>7058</v>
      </c>
      <c r="N7003" t="s">
        <v>7059</v>
      </c>
      <c r="O7003" t="s">
        <v>7060</v>
      </c>
      <c r="P7003" t="s">
        <v>7061</v>
      </c>
    </row>
    <row r="7004" spans="1:16" x14ac:dyDescent="0.3">
      <c r="A7004" s="160">
        <v>59257</v>
      </c>
      <c r="B7004" t="s">
        <v>22154</v>
      </c>
      <c r="C7004" t="s">
        <v>6828</v>
      </c>
      <c r="D7004">
        <v>1.5</v>
      </c>
      <c r="E7004">
        <v>0</v>
      </c>
      <c r="F7004">
        <f t="shared" si="109"/>
        <v>1.5</v>
      </c>
      <c r="I7004">
        <v>20250101</v>
      </c>
      <c r="J7004" t="s">
        <v>6884</v>
      </c>
    </row>
    <row r="7005" spans="1:16" x14ac:dyDescent="0.3">
      <c r="A7005" s="160">
        <v>59258</v>
      </c>
      <c r="B7005" t="s">
        <v>22155</v>
      </c>
      <c r="C7005" t="s">
        <v>256</v>
      </c>
      <c r="D7005">
        <v>0</v>
      </c>
      <c r="E7005">
        <v>0.1</v>
      </c>
      <c r="F7005">
        <f t="shared" si="109"/>
        <v>0.1</v>
      </c>
      <c r="I7005">
        <v>20150701</v>
      </c>
      <c r="J7005" t="s">
        <v>6964</v>
      </c>
    </row>
    <row r="7006" spans="1:16" x14ac:dyDescent="0.3">
      <c r="A7006" s="160">
        <v>59260</v>
      </c>
      <c r="B7006" t="s">
        <v>22156</v>
      </c>
      <c r="C7006" t="s">
        <v>6868</v>
      </c>
      <c r="D7006">
        <v>2</v>
      </c>
      <c r="E7006">
        <v>0</v>
      </c>
      <c r="F7006">
        <f t="shared" si="109"/>
        <v>2</v>
      </c>
      <c r="I7006">
        <v>20220701</v>
      </c>
      <c r="J7006" t="s">
        <v>7062</v>
      </c>
      <c r="K7006" t="s">
        <v>7063</v>
      </c>
    </row>
    <row r="7007" spans="1:16" x14ac:dyDescent="0.3">
      <c r="A7007" s="160">
        <v>59262</v>
      </c>
      <c r="C7007" t="s">
        <v>27548</v>
      </c>
      <c r="D7007">
        <v>1.05</v>
      </c>
      <c r="E7007">
        <v>0</v>
      </c>
      <c r="F7007">
        <f t="shared" si="109"/>
        <v>1.05</v>
      </c>
      <c r="I7007">
        <v>20250101</v>
      </c>
      <c r="J7007" t="s">
        <v>6908</v>
      </c>
    </row>
    <row r="7008" spans="1:16" x14ac:dyDescent="0.3">
      <c r="A7008" s="160">
        <v>59263</v>
      </c>
      <c r="B7008" t="s">
        <v>22157</v>
      </c>
      <c r="C7008" t="s">
        <v>6830</v>
      </c>
      <c r="D7008">
        <v>1.8</v>
      </c>
      <c r="E7008">
        <v>0</v>
      </c>
      <c r="F7008">
        <f t="shared" si="109"/>
        <v>1.8</v>
      </c>
      <c r="I7008">
        <v>20090701</v>
      </c>
      <c r="J7008" t="s">
        <v>6957</v>
      </c>
    </row>
    <row r="7009" spans="1:16" x14ac:dyDescent="0.3">
      <c r="A7009" s="160">
        <v>59264</v>
      </c>
      <c r="B7009" t="s">
        <v>22158</v>
      </c>
      <c r="C7009" t="s">
        <v>6825</v>
      </c>
      <c r="D7009">
        <v>2</v>
      </c>
      <c r="E7009">
        <v>0</v>
      </c>
      <c r="F7009">
        <f t="shared" si="109"/>
        <v>2</v>
      </c>
      <c r="I7009">
        <v>20230101</v>
      </c>
      <c r="J7009" t="s">
        <v>6879</v>
      </c>
    </row>
    <row r="7010" spans="1:16" x14ac:dyDescent="0.3">
      <c r="A7010" s="160">
        <v>59266</v>
      </c>
      <c r="B7010" t="s">
        <v>22159</v>
      </c>
      <c r="C7010" t="s">
        <v>256</v>
      </c>
      <c r="D7010">
        <v>0</v>
      </c>
      <c r="E7010">
        <v>0.1</v>
      </c>
      <c r="F7010">
        <f t="shared" si="109"/>
        <v>0.1</v>
      </c>
      <c r="I7010">
        <v>20150701</v>
      </c>
      <c r="J7010" t="s">
        <v>6978</v>
      </c>
    </row>
    <row r="7011" spans="1:16" x14ac:dyDescent="0.3">
      <c r="A7011" s="160">
        <v>59267</v>
      </c>
      <c r="B7011" t="s">
        <v>22160</v>
      </c>
      <c r="C7011" t="s">
        <v>6821</v>
      </c>
      <c r="D7011">
        <v>0.6</v>
      </c>
      <c r="E7011">
        <v>0.1</v>
      </c>
      <c r="F7011">
        <f t="shared" si="109"/>
        <v>0.7</v>
      </c>
      <c r="I7011">
        <v>20230901</v>
      </c>
      <c r="J7011" t="s">
        <v>22161</v>
      </c>
    </row>
    <row r="7012" spans="1:16" x14ac:dyDescent="0.3">
      <c r="A7012" s="160">
        <v>59268</v>
      </c>
      <c r="B7012" t="s">
        <v>22162</v>
      </c>
      <c r="C7012" t="s">
        <v>256</v>
      </c>
      <c r="D7012">
        <v>0</v>
      </c>
      <c r="E7012">
        <v>0.1</v>
      </c>
      <c r="F7012">
        <f t="shared" si="109"/>
        <v>0.1</v>
      </c>
      <c r="I7012">
        <v>20150701</v>
      </c>
      <c r="J7012" t="s">
        <v>7064</v>
      </c>
    </row>
    <row r="7013" spans="1:16" x14ac:dyDescent="0.3">
      <c r="A7013" s="160">
        <v>59269</v>
      </c>
      <c r="B7013" t="s">
        <v>22163</v>
      </c>
      <c r="C7013" t="s">
        <v>6821</v>
      </c>
      <c r="D7013">
        <v>0.6</v>
      </c>
      <c r="E7013">
        <v>0.1</v>
      </c>
      <c r="F7013">
        <f t="shared" si="109"/>
        <v>0.7</v>
      </c>
      <c r="I7013">
        <v>20230901</v>
      </c>
      <c r="J7013" t="s">
        <v>22161</v>
      </c>
    </row>
    <row r="7014" spans="1:16" x14ac:dyDescent="0.3">
      <c r="A7014" s="160">
        <v>59271</v>
      </c>
      <c r="B7014" t="s">
        <v>22164</v>
      </c>
      <c r="C7014" t="s">
        <v>6868</v>
      </c>
      <c r="D7014">
        <v>2</v>
      </c>
      <c r="E7014">
        <v>0</v>
      </c>
      <c r="F7014">
        <f t="shared" si="109"/>
        <v>2</v>
      </c>
      <c r="I7014">
        <v>20220701</v>
      </c>
      <c r="J7014" t="s">
        <v>6966</v>
      </c>
      <c r="K7014" t="s">
        <v>7020</v>
      </c>
      <c r="L7014" t="s">
        <v>7022</v>
      </c>
      <c r="M7014" t="s">
        <v>7065</v>
      </c>
      <c r="N7014" t="s">
        <v>7066</v>
      </c>
      <c r="O7014" t="s">
        <v>7067</v>
      </c>
      <c r="P7014" t="s">
        <v>7027</v>
      </c>
    </row>
    <row r="7015" spans="1:16" x14ac:dyDescent="0.3">
      <c r="A7015" s="160">
        <v>59272</v>
      </c>
      <c r="B7015" t="s">
        <v>22165</v>
      </c>
      <c r="C7015" t="s">
        <v>6868</v>
      </c>
      <c r="D7015">
        <v>2</v>
      </c>
      <c r="E7015">
        <v>0</v>
      </c>
      <c r="F7015">
        <f t="shared" si="109"/>
        <v>2</v>
      </c>
      <c r="I7015">
        <v>20220701</v>
      </c>
      <c r="J7015" t="s">
        <v>7068</v>
      </c>
    </row>
    <row r="7016" spans="1:16" x14ac:dyDescent="0.3">
      <c r="A7016" s="160">
        <v>59273</v>
      </c>
      <c r="B7016" t="s">
        <v>22166</v>
      </c>
      <c r="C7016" t="s">
        <v>6868</v>
      </c>
      <c r="D7016">
        <v>2</v>
      </c>
      <c r="E7016">
        <v>0</v>
      </c>
      <c r="F7016">
        <f t="shared" si="109"/>
        <v>2</v>
      </c>
      <c r="I7016">
        <v>20220701</v>
      </c>
      <c r="J7016" t="s">
        <v>7069</v>
      </c>
    </row>
    <row r="7017" spans="1:16" x14ac:dyDescent="0.3">
      <c r="A7017" s="160">
        <v>59275</v>
      </c>
      <c r="B7017" t="s">
        <v>22167</v>
      </c>
      <c r="C7017" t="s">
        <v>6828</v>
      </c>
      <c r="D7017">
        <v>2</v>
      </c>
      <c r="E7017">
        <v>0</v>
      </c>
      <c r="F7017">
        <f t="shared" si="109"/>
        <v>2</v>
      </c>
      <c r="I7017">
        <v>20110101</v>
      </c>
      <c r="J7017" t="s">
        <v>6864</v>
      </c>
    </row>
    <row r="7018" spans="1:16" x14ac:dyDescent="0.3">
      <c r="A7018" s="160">
        <v>59276</v>
      </c>
      <c r="B7018" t="s">
        <v>22168</v>
      </c>
      <c r="C7018" t="s">
        <v>6830</v>
      </c>
      <c r="D7018">
        <v>1.8</v>
      </c>
      <c r="E7018">
        <v>0</v>
      </c>
      <c r="F7018">
        <f t="shared" si="109"/>
        <v>1.8</v>
      </c>
      <c r="I7018">
        <v>20090701</v>
      </c>
      <c r="J7018" t="s">
        <v>7070</v>
      </c>
    </row>
    <row r="7019" spans="1:16" x14ac:dyDescent="0.3">
      <c r="A7019" s="160">
        <v>59278</v>
      </c>
      <c r="B7019" t="s">
        <v>22169</v>
      </c>
      <c r="C7019" t="s">
        <v>6828</v>
      </c>
      <c r="D7019">
        <v>2</v>
      </c>
      <c r="E7019">
        <v>0</v>
      </c>
      <c r="F7019">
        <f t="shared" si="109"/>
        <v>2</v>
      </c>
      <c r="I7019">
        <v>20110101</v>
      </c>
      <c r="J7019" t="s">
        <v>7030</v>
      </c>
      <c r="K7019" t="s">
        <v>7031</v>
      </c>
      <c r="L7019" t="s">
        <v>7032</v>
      </c>
    </row>
    <row r="7020" spans="1:16" x14ac:dyDescent="0.3">
      <c r="A7020" s="160">
        <v>59279</v>
      </c>
      <c r="B7020" t="s">
        <v>22170</v>
      </c>
      <c r="C7020" t="s">
        <v>6828</v>
      </c>
      <c r="D7020">
        <v>2</v>
      </c>
      <c r="E7020">
        <v>0</v>
      </c>
      <c r="F7020">
        <f t="shared" si="109"/>
        <v>2</v>
      </c>
      <c r="I7020">
        <v>20110101</v>
      </c>
      <c r="J7020" t="s">
        <v>7071</v>
      </c>
      <c r="K7020" t="s">
        <v>7072</v>
      </c>
      <c r="L7020" t="s">
        <v>7073</v>
      </c>
      <c r="M7020" t="s">
        <v>7074</v>
      </c>
    </row>
    <row r="7021" spans="1:16" x14ac:dyDescent="0.3">
      <c r="A7021" s="160">
        <v>59280</v>
      </c>
      <c r="B7021" t="s">
        <v>22171</v>
      </c>
      <c r="C7021" t="s">
        <v>6830</v>
      </c>
      <c r="D7021">
        <v>1.8</v>
      </c>
      <c r="E7021">
        <v>0</v>
      </c>
      <c r="F7021">
        <f t="shared" si="109"/>
        <v>1.8</v>
      </c>
      <c r="I7021">
        <v>20090701</v>
      </c>
      <c r="J7021" t="s">
        <v>6867</v>
      </c>
    </row>
    <row r="7022" spans="1:16" x14ac:dyDescent="0.3">
      <c r="A7022" s="160">
        <v>59281</v>
      </c>
      <c r="B7022" t="s">
        <v>22172</v>
      </c>
      <c r="C7022" t="s">
        <v>6828</v>
      </c>
      <c r="D7022">
        <v>2</v>
      </c>
      <c r="E7022">
        <v>0</v>
      </c>
      <c r="F7022">
        <f t="shared" si="109"/>
        <v>2</v>
      </c>
      <c r="I7022">
        <v>20110101</v>
      </c>
      <c r="J7022" t="s">
        <v>7075</v>
      </c>
    </row>
    <row r="7023" spans="1:16" x14ac:dyDescent="0.3">
      <c r="A7023" s="160">
        <v>59282</v>
      </c>
      <c r="C7023" t="s">
        <v>27548</v>
      </c>
      <c r="D7023">
        <v>1.05</v>
      </c>
      <c r="E7023">
        <v>0</v>
      </c>
      <c r="F7023">
        <f t="shared" si="109"/>
        <v>1.05</v>
      </c>
      <c r="I7023">
        <v>20250101</v>
      </c>
      <c r="J7023" t="s">
        <v>27550</v>
      </c>
    </row>
    <row r="7024" spans="1:16" x14ac:dyDescent="0.3">
      <c r="A7024" s="160">
        <v>59283</v>
      </c>
      <c r="B7024" t="s">
        <v>22173</v>
      </c>
      <c r="C7024" t="s">
        <v>6825</v>
      </c>
      <c r="D7024">
        <v>2</v>
      </c>
      <c r="E7024">
        <v>0</v>
      </c>
      <c r="F7024">
        <f t="shared" si="109"/>
        <v>2</v>
      </c>
      <c r="I7024">
        <v>20230101</v>
      </c>
      <c r="J7024" t="s">
        <v>6906</v>
      </c>
    </row>
    <row r="7025" spans="1:14" x14ac:dyDescent="0.3">
      <c r="A7025" s="160">
        <v>59284</v>
      </c>
      <c r="B7025" t="s">
        <v>22174</v>
      </c>
      <c r="C7025" t="s">
        <v>6823</v>
      </c>
      <c r="D7025">
        <v>2</v>
      </c>
      <c r="E7025">
        <v>0</v>
      </c>
      <c r="F7025">
        <f t="shared" si="109"/>
        <v>2</v>
      </c>
      <c r="I7025">
        <v>20130701</v>
      </c>
      <c r="J7025" t="s">
        <v>6934</v>
      </c>
      <c r="K7025" t="s">
        <v>7076</v>
      </c>
    </row>
    <row r="7026" spans="1:14" x14ac:dyDescent="0.3">
      <c r="A7026" s="160">
        <v>59285</v>
      </c>
      <c r="B7026" t="s">
        <v>22175</v>
      </c>
      <c r="C7026" t="s">
        <v>6823</v>
      </c>
      <c r="D7026">
        <v>2</v>
      </c>
      <c r="E7026">
        <v>0</v>
      </c>
      <c r="F7026">
        <f t="shared" si="109"/>
        <v>2</v>
      </c>
      <c r="I7026">
        <v>20130701</v>
      </c>
      <c r="J7026" t="s">
        <v>7077</v>
      </c>
    </row>
    <row r="7027" spans="1:14" x14ac:dyDescent="0.3">
      <c r="A7027" s="160">
        <v>59286</v>
      </c>
      <c r="B7027" t="s">
        <v>22176</v>
      </c>
      <c r="C7027" t="s">
        <v>6828</v>
      </c>
      <c r="D7027">
        <v>2</v>
      </c>
      <c r="E7027">
        <v>0</v>
      </c>
      <c r="F7027">
        <f t="shared" si="109"/>
        <v>2</v>
      </c>
      <c r="I7027">
        <v>20110101</v>
      </c>
      <c r="J7027" t="s">
        <v>7030</v>
      </c>
      <c r="K7027" t="s">
        <v>7031</v>
      </c>
      <c r="L7027" t="s">
        <v>7032</v>
      </c>
    </row>
    <row r="7028" spans="1:14" x14ac:dyDescent="0.3">
      <c r="A7028" s="160">
        <v>59288</v>
      </c>
      <c r="B7028" t="s">
        <v>22177</v>
      </c>
      <c r="C7028" t="s">
        <v>6823</v>
      </c>
      <c r="D7028">
        <v>2</v>
      </c>
      <c r="E7028">
        <v>0</v>
      </c>
      <c r="F7028">
        <f t="shared" si="109"/>
        <v>2</v>
      </c>
      <c r="I7028">
        <v>20130701</v>
      </c>
      <c r="J7028" t="s">
        <v>7078</v>
      </c>
    </row>
    <row r="7029" spans="1:14" x14ac:dyDescent="0.3">
      <c r="A7029" s="160">
        <v>59291</v>
      </c>
      <c r="B7029" t="s">
        <v>22178</v>
      </c>
      <c r="C7029" t="s">
        <v>6825</v>
      </c>
      <c r="D7029">
        <v>2</v>
      </c>
      <c r="E7029">
        <v>0</v>
      </c>
      <c r="F7029">
        <f t="shared" si="109"/>
        <v>2</v>
      </c>
      <c r="I7029">
        <v>20230101</v>
      </c>
      <c r="J7029" t="s">
        <v>6916</v>
      </c>
      <c r="K7029" t="s">
        <v>7079</v>
      </c>
    </row>
    <row r="7030" spans="1:14" x14ac:dyDescent="0.3">
      <c r="A7030" s="160">
        <v>59292</v>
      </c>
      <c r="B7030" t="s">
        <v>22179</v>
      </c>
      <c r="C7030" t="s">
        <v>6823</v>
      </c>
      <c r="D7030">
        <v>2</v>
      </c>
      <c r="E7030">
        <v>0</v>
      </c>
      <c r="F7030">
        <f t="shared" si="109"/>
        <v>2</v>
      </c>
      <c r="I7030">
        <v>20130701</v>
      </c>
      <c r="J7030" t="s">
        <v>7080</v>
      </c>
    </row>
    <row r="7031" spans="1:14" x14ac:dyDescent="0.3">
      <c r="A7031" s="160">
        <v>59293</v>
      </c>
      <c r="B7031" t="s">
        <v>22180</v>
      </c>
      <c r="C7031" t="s">
        <v>256</v>
      </c>
      <c r="D7031">
        <v>0</v>
      </c>
      <c r="E7031">
        <v>0.1</v>
      </c>
      <c r="F7031">
        <f t="shared" si="109"/>
        <v>0.1</v>
      </c>
      <c r="I7031">
        <v>20150701</v>
      </c>
      <c r="J7031" t="s">
        <v>7081</v>
      </c>
    </row>
    <row r="7032" spans="1:14" x14ac:dyDescent="0.3">
      <c r="A7032" s="160">
        <v>59294</v>
      </c>
      <c r="B7032" t="s">
        <v>22181</v>
      </c>
      <c r="C7032" t="s">
        <v>6821</v>
      </c>
      <c r="D7032">
        <v>0.6</v>
      </c>
      <c r="E7032">
        <v>0.1</v>
      </c>
      <c r="F7032">
        <f t="shared" si="109"/>
        <v>0.7</v>
      </c>
      <c r="I7032">
        <v>20230701</v>
      </c>
      <c r="J7032" t="s">
        <v>6822</v>
      </c>
    </row>
    <row r="7033" spans="1:14" x14ac:dyDescent="0.3">
      <c r="A7033" s="160">
        <v>59295</v>
      </c>
      <c r="C7033" t="s">
        <v>27548</v>
      </c>
      <c r="D7033">
        <v>1.05</v>
      </c>
      <c r="E7033">
        <v>0</v>
      </c>
      <c r="F7033">
        <f t="shared" si="109"/>
        <v>1.05</v>
      </c>
      <c r="I7033">
        <v>20250101</v>
      </c>
      <c r="J7033" t="s">
        <v>27554</v>
      </c>
      <c r="K7033" t="s">
        <v>27556</v>
      </c>
      <c r="L7033" t="s">
        <v>27557</v>
      </c>
      <c r="M7033" t="s">
        <v>27559</v>
      </c>
      <c r="N7033" t="s">
        <v>27555</v>
      </c>
    </row>
    <row r="7034" spans="1:14" x14ac:dyDescent="0.3">
      <c r="A7034" s="160">
        <v>59297</v>
      </c>
      <c r="B7034" t="s">
        <v>22182</v>
      </c>
      <c r="C7034" t="s">
        <v>6823</v>
      </c>
      <c r="D7034">
        <v>2</v>
      </c>
      <c r="E7034">
        <v>0</v>
      </c>
      <c r="F7034">
        <f t="shared" si="109"/>
        <v>2</v>
      </c>
      <c r="I7034">
        <v>20130701</v>
      </c>
      <c r="J7034" t="s">
        <v>7036</v>
      </c>
    </row>
    <row r="7035" spans="1:14" x14ac:dyDescent="0.3">
      <c r="A7035" s="160">
        <v>59299</v>
      </c>
      <c r="B7035" t="s">
        <v>22183</v>
      </c>
      <c r="C7035" t="s">
        <v>6828</v>
      </c>
      <c r="D7035">
        <v>2</v>
      </c>
      <c r="E7035">
        <v>0</v>
      </c>
      <c r="F7035">
        <f t="shared" si="109"/>
        <v>2</v>
      </c>
      <c r="I7035">
        <v>20110101</v>
      </c>
      <c r="J7035" t="s">
        <v>7082</v>
      </c>
      <c r="K7035" t="s">
        <v>7052</v>
      </c>
    </row>
    <row r="7036" spans="1:14" x14ac:dyDescent="0.3">
      <c r="A7036" s="160">
        <v>59300</v>
      </c>
      <c r="B7036" t="s">
        <v>22184</v>
      </c>
      <c r="C7036" t="s">
        <v>6821</v>
      </c>
      <c r="D7036">
        <v>0.6</v>
      </c>
      <c r="E7036">
        <v>0.1</v>
      </c>
      <c r="F7036">
        <f t="shared" si="109"/>
        <v>0.7</v>
      </c>
      <c r="I7036">
        <v>20230701</v>
      </c>
      <c r="J7036" t="s">
        <v>7045</v>
      </c>
    </row>
    <row r="7037" spans="1:14" x14ac:dyDescent="0.3">
      <c r="A7037" s="160">
        <v>59301</v>
      </c>
      <c r="B7037" t="s">
        <v>22185</v>
      </c>
      <c r="C7037" t="s">
        <v>6823</v>
      </c>
      <c r="D7037">
        <v>2</v>
      </c>
      <c r="E7037">
        <v>0</v>
      </c>
      <c r="F7037">
        <f t="shared" si="109"/>
        <v>2</v>
      </c>
      <c r="I7037">
        <v>20130701</v>
      </c>
      <c r="J7037" t="s">
        <v>6943</v>
      </c>
    </row>
    <row r="7038" spans="1:14" x14ac:dyDescent="0.3">
      <c r="A7038" s="160">
        <v>59302</v>
      </c>
      <c r="B7038" t="s">
        <v>22186</v>
      </c>
      <c r="C7038" t="s">
        <v>6823</v>
      </c>
      <c r="D7038">
        <v>2</v>
      </c>
      <c r="E7038">
        <v>0</v>
      </c>
      <c r="F7038">
        <f t="shared" si="109"/>
        <v>2</v>
      </c>
      <c r="I7038">
        <v>20130701</v>
      </c>
      <c r="J7038" t="s">
        <v>7083</v>
      </c>
    </row>
    <row r="7039" spans="1:14" x14ac:dyDescent="0.3">
      <c r="A7039" s="160">
        <v>59303</v>
      </c>
      <c r="B7039" t="s">
        <v>22187</v>
      </c>
      <c r="C7039" t="s">
        <v>6828</v>
      </c>
      <c r="D7039">
        <v>2</v>
      </c>
      <c r="E7039">
        <v>0</v>
      </c>
      <c r="F7039">
        <f t="shared" si="109"/>
        <v>2</v>
      </c>
      <c r="I7039">
        <v>20110101</v>
      </c>
      <c r="J7039" t="s">
        <v>6914</v>
      </c>
      <c r="K7039" t="s">
        <v>6915</v>
      </c>
    </row>
    <row r="7040" spans="1:14" x14ac:dyDescent="0.3">
      <c r="A7040" s="160">
        <v>59304</v>
      </c>
      <c r="B7040" t="s">
        <v>22188</v>
      </c>
      <c r="C7040" t="s">
        <v>256</v>
      </c>
      <c r="D7040">
        <v>0</v>
      </c>
      <c r="E7040">
        <v>0.1</v>
      </c>
      <c r="F7040">
        <f t="shared" si="109"/>
        <v>0.1</v>
      </c>
      <c r="I7040">
        <v>20150701</v>
      </c>
      <c r="J7040" t="s">
        <v>6978</v>
      </c>
    </row>
    <row r="7041" spans="1:13" x14ac:dyDescent="0.3">
      <c r="A7041" s="160">
        <v>59305</v>
      </c>
      <c r="B7041" t="s">
        <v>22189</v>
      </c>
      <c r="C7041" t="s">
        <v>256</v>
      </c>
      <c r="D7041">
        <v>0</v>
      </c>
      <c r="E7041">
        <v>0.1</v>
      </c>
      <c r="F7041">
        <f t="shared" si="109"/>
        <v>0.1</v>
      </c>
      <c r="I7041">
        <v>20150701</v>
      </c>
      <c r="J7041" t="s">
        <v>6910</v>
      </c>
    </row>
    <row r="7042" spans="1:13" x14ac:dyDescent="0.3">
      <c r="A7042" s="160">
        <v>59308</v>
      </c>
      <c r="C7042" t="s">
        <v>27548</v>
      </c>
      <c r="D7042">
        <v>1.05</v>
      </c>
      <c r="E7042">
        <v>0</v>
      </c>
      <c r="F7042">
        <f t="shared" si="109"/>
        <v>1.05</v>
      </c>
      <c r="I7042">
        <v>20250101</v>
      </c>
      <c r="J7042" t="s">
        <v>27554</v>
      </c>
      <c r="K7042" t="s">
        <v>27557</v>
      </c>
    </row>
    <row r="7043" spans="1:13" x14ac:dyDescent="0.3">
      <c r="A7043" s="160">
        <v>59309</v>
      </c>
      <c r="B7043" t="s">
        <v>22190</v>
      </c>
      <c r="C7043" t="s">
        <v>256</v>
      </c>
      <c r="D7043">
        <v>0</v>
      </c>
      <c r="E7043">
        <v>0.1</v>
      </c>
      <c r="F7043">
        <f t="shared" si="109"/>
        <v>0.1</v>
      </c>
      <c r="I7043">
        <v>20150701</v>
      </c>
      <c r="J7043" t="s">
        <v>7062</v>
      </c>
    </row>
    <row r="7044" spans="1:13" x14ac:dyDescent="0.3">
      <c r="A7044" s="160">
        <v>59312</v>
      </c>
      <c r="B7044" t="s">
        <v>22191</v>
      </c>
      <c r="C7044" t="s">
        <v>6821</v>
      </c>
      <c r="D7044">
        <v>0.6</v>
      </c>
      <c r="E7044">
        <v>0.1</v>
      </c>
      <c r="F7044">
        <f t="shared" si="109"/>
        <v>0.7</v>
      </c>
      <c r="I7044">
        <v>20230701</v>
      </c>
      <c r="J7044" t="s">
        <v>7084</v>
      </c>
    </row>
    <row r="7045" spans="1:13" x14ac:dyDescent="0.3">
      <c r="A7045" s="160">
        <v>59313</v>
      </c>
      <c r="B7045" t="s">
        <v>22192</v>
      </c>
      <c r="C7045" t="s">
        <v>6823</v>
      </c>
      <c r="D7045">
        <v>2</v>
      </c>
      <c r="E7045">
        <v>0</v>
      </c>
      <c r="F7045">
        <f t="shared" si="109"/>
        <v>2</v>
      </c>
      <c r="I7045">
        <v>20130701</v>
      </c>
      <c r="J7045" t="s">
        <v>6929</v>
      </c>
    </row>
    <row r="7046" spans="1:13" x14ac:dyDescent="0.3">
      <c r="A7046" s="160">
        <v>59314</v>
      </c>
      <c r="B7046" t="s">
        <v>22193</v>
      </c>
      <c r="C7046" t="s">
        <v>6830</v>
      </c>
      <c r="D7046">
        <v>1.8</v>
      </c>
      <c r="E7046">
        <v>0</v>
      </c>
      <c r="F7046">
        <f t="shared" si="109"/>
        <v>1.8</v>
      </c>
      <c r="I7046">
        <v>20190901</v>
      </c>
      <c r="J7046" t="s">
        <v>7036</v>
      </c>
    </row>
    <row r="7047" spans="1:13" x14ac:dyDescent="0.3">
      <c r="A7047" s="160">
        <v>59316</v>
      </c>
      <c r="B7047" t="s">
        <v>22194</v>
      </c>
      <c r="C7047" t="s">
        <v>6828</v>
      </c>
      <c r="D7047">
        <v>2</v>
      </c>
      <c r="E7047">
        <v>0</v>
      </c>
      <c r="F7047">
        <f t="shared" ref="F7047:F7110" si="110">D7047+E7047</f>
        <v>2</v>
      </c>
      <c r="I7047">
        <v>20110101</v>
      </c>
      <c r="J7047" t="s">
        <v>7085</v>
      </c>
    </row>
    <row r="7048" spans="1:13" x14ac:dyDescent="0.3">
      <c r="A7048" s="160">
        <v>59317</v>
      </c>
      <c r="B7048" t="s">
        <v>22195</v>
      </c>
      <c r="C7048" t="s">
        <v>6828</v>
      </c>
      <c r="D7048">
        <v>2</v>
      </c>
      <c r="E7048">
        <v>0</v>
      </c>
      <c r="F7048">
        <f t="shared" si="110"/>
        <v>2</v>
      </c>
      <c r="I7048">
        <v>20110101</v>
      </c>
      <c r="J7048" t="s">
        <v>7086</v>
      </c>
      <c r="K7048" t="s">
        <v>7035</v>
      </c>
    </row>
    <row r="7049" spans="1:13" x14ac:dyDescent="0.3">
      <c r="A7049" s="160">
        <v>59318</v>
      </c>
      <c r="C7049" t="s">
        <v>27548</v>
      </c>
      <c r="D7049">
        <v>1.05</v>
      </c>
      <c r="E7049">
        <v>0</v>
      </c>
      <c r="F7049">
        <f t="shared" si="110"/>
        <v>1.05</v>
      </c>
      <c r="I7049">
        <v>20250101</v>
      </c>
      <c r="J7049" t="s">
        <v>6910</v>
      </c>
    </row>
    <row r="7050" spans="1:13" x14ac:dyDescent="0.3">
      <c r="A7050" s="160">
        <v>59319</v>
      </c>
      <c r="B7050" t="s">
        <v>22196</v>
      </c>
      <c r="C7050" t="s">
        <v>256</v>
      </c>
      <c r="D7050">
        <v>0</v>
      </c>
      <c r="E7050">
        <v>0.1</v>
      </c>
      <c r="F7050">
        <f t="shared" si="110"/>
        <v>0.1</v>
      </c>
      <c r="I7050">
        <v>20150701</v>
      </c>
      <c r="J7050" t="s">
        <v>7087</v>
      </c>
    </row>
    <row r="7051" spans="1:13" x14ac:dyDescent="0.3">
      <c r="A7051" s="160">
        <v>59320</v>
      </c>
      <c r="B7051" t="s">
        <v>22197</v>
      </c>
      <c r="C7051" t="s">
        <v>6828</v>
      </c>
      <c r="D7051">
        <v>2</v>
      </c>
      <c r="E7051">
        <v>0</v>
      </c>
      <c r="F7051">
        <f t="shared" si="110"/>
        <v>2</v>
      </c>
      <c r="I7051">
        <v>20110101</v>
      </c>
      <c r="J7051" t="s">
        <v>6912</v>
      </c>
      <c r="K7051" t="s">
        <v>6885</v>
      </c>
    </row>
    <row r="7052" spans="1:13" x14ac:dyDescent="0.3">
      <c r="A7052" s="160">
        <v>59322</v>
      </c>
      <c r="B7052" t="s">
        <v>22198</v>
      </c>
      <c r="C7052" t="s">
        <v>6821</v>
      </c>
      <c r="D7052">
        <v>0.6</v>
      </c>
      <c r="E7052">
        <v>0.1</v>
      </c>
      <c r="F7052">
        <f t="shared" si="110"/>
        <v>0.7</v>
      </c>
      <c r="I7052">
        <v>20230701</v>
      </c>
      <c r="J7052" t="s">
        <v>7088</v>
      </c>
    </row>
    <row r="7053" spans="1:13" x14ac:dyDescent="0.3">
      <c r="A7053" s="160">
        <v>59323</v>
      </c>
      <c r="B7053" t="s">
        <v>22199</v>
      </c>
      <c r="C7053" t="s">
        <v>256</v>
      </c>
      <c r="D7053">
        <v>0</v>
      </c>
      <c r="E7053">
        <v>0.1</v>
      </c>
      <c r="F7053">
        <f t="shared" si="110"/>
        <v>0.1</v>
      </c>
      <c r="I7053">
        <v>20150701</v>
      </c>
      <c r="J7053" t="s">
        <v>6944</v>
      </c>
    </row>
    <row r="7054" spans="1:13" x14ac:dyDescent="0.3">
      <c r="A7054" s="160">
        <v>59324</v>
      </c>
      <c r="B7054" t="s">
        <v>22200</v>
      </c>
      <c r="C7054" t="s">
        <v>6825</v>
      </c>
      <c r="D7054">
        <v>2</v>
      </c>
      <c r="E7054">
        <v>0</v>
      </c>
      <c r="F7054">
        <f t="shared" si="110"/>
        <v>2</v>
      </c>
      <c r="I7054">
        <v>20230101</v>
      </c>
      <c r="J7054" t="s">
        <v>7089</v>
      </c>
      <c r="K7054" t="s">
        <v>7090</v>
      </c>
      <c r="L7054" t="s">
        <v>7091</v>
      </c>
      <c r="M7054" t="s">
        <v>7092</v>
      </c>
    </row>
    <row r="7055" spans="1:13" x14ac:dyDescent="0.3">
      <c r="A7055" s="160">
        <v>59326</v>
      </c>
      <c r="B7055" t="s">
        <v>22201</v>
      </c>
      <c r="C7055" t="s">
        <v>256</v>
      </c>
      <c r="D7055">
        <v>0</v>
      </c>
      <c r="E7055">
        <v>0.1</v>
      </c>
      <c r="F7055">
        <f t="shared" si="110"/>
        <v>0.1</v>
      </c>
      <c r="I7055">
        <v>20150701</v>
      </c>
      <c r="J7055" t="s">
        <v>7062</v>
      </c>
    </row>
    <row r="7056" spans="1:13" x14ac:dyDescent="0.3">
      <c r="A7056" s="160">
        <v>59327</v>
      </c>
      <c r="B7056" t="s">
        <v>22202</v>
      </c>
      <c r="C7056" t="s">
        <v>6830</v>
      </c>
      <c r="D7056">
        <v>1.8</v>
      </c>
      <c r="E7056">
        <v>0</v>
      </c>
      <c r="F7056">
        <f t="shared" si="110"/>
        <v>1.8</v>
      </c>
      <c r="I7056">
        <v>20090701</v>
      </c>
      <c r="J7056" t="s">
        <v>7093</v>
      </c>
    </row>
    <row r="7057" spans="1:26" x14ac:dyDescent="0.3">
      <c r="A7057" s="160">
        <v>59328</v>
      </c>
      <c r="B7057" t="s">
        <v>22203</v>
      </c>
      <c r="C7057" t="s">
        <v>6828</v>
      </c>
      <c r="D7057">
        <v>2</v>
      </c>
      <c r="E7057">
        <v>0</v>
      </c>
      <c r="F7057">
        <f t="shared" si="110"/>
        <v>2</v>
      </c>
      <c r="I7057">
        <v>20110101</v>
      </c>
      <c r="J7057" t="s">
        <v>7094</v>
      </c>
      <c r="K7057" t="s">
        <v>6960</v>
      </c>
      <c r="L7057" t="s">
        <v>7095</v>
      </c>
      <c r="M7057" t="s">
        <v>7096</v>
      </c>
    </row>
    <row r="7058" spans="1:26" x14ac:dyDescent="0.3">
      <c r="A7058" s="160">
        <v>59329</v>
      </c>
      <c r="B7058" t="s">
        <v>22204</v>
      </c>
      <c r="C7058" t="s">
        <v>6830</v>
      </c>
      <c r="D7058">
        <v>1.8</v>
      </c>
      <c r="E7058">
        <v>0</v>
      </c>
      <c r="F7058">
        <f t="shared" si="110"/>
        <v>1.8</v>
      </c>
      <c r="I7058">
        <v>20090701</v>
      </c>
      <c r="J7058" t="s">
        <v>6987</v>
      </c>
    </row>
    <row r="7059" spans="1:26" x14ac:dyDescent="0.3">
      <c r="A7059" s="160">
        <v>59330</v>
      </c>
      <c r="B7059" t="s">
        <v>22205</v>
      </c>
      <c r="C7059" t="s">
        <v>256</v>
      </c>
      <c r="D7059">
        <v>0</v>
      </c>
      <c r="E7059">
        <v>0.1</v>
      </c>
      <c r="F7059">
        <f t="shared" si="110"/>
        <v>0.1</v>
      </c>
      <c r="I7059">
        <v>20150701</v>
      </c>
      <c r="J7059" t="s">
        <v>6827</v>
      </c>
      <c r="K7059" t="s">
        <v>6893</v>
      </c>
    </row>
    <row r="7060" spans="1:26" x14ac:dyDescent="0.3">
      <c r="A7060" s="160">
        <v>59332</v>
      </c>
      <c r="B7060" t="s">
        <v>22206</v>
      </c>
      <c r="C7060" t="s">
        <v>6828</v>
      </c>
      <c r="D7060">
        <v>2</v>
      </c>
      <c r="E7060">
        <v>0</v>
      </c>
      <c r="F7060">
        <f t="shared" si="110"/>
        <v>2</v>
      </c>
      <c r="I7060">
        <v>20110101</v>
      </c>
      <c r="J7060" t="s">
        <v>7097</v>
      </c>
      <c r="K7060" t="s">
        <v>7098</v>
      </c>
    </row>
    <row r="7061" spans="1:26" x14ac:dyDescent="0.3">
      <c r="A7061" s="160">
        <v>59334</v>
      </c>
      <c r="B7061" t="s">
        <v>22207</v>
      </c>
      <c r="C7061" t="s">
        <v>6830</v>
      </c>
      <c r="D7061">
        <v>1.8</v>
      </c>
      <c r="E7061">
        <v>0</v>
      </c>
      <c r="F7061">
        <f t="shared" si="110"/>
        <v>1.8</v>
      </c>
      <c r="I7061">
        <v>20090701</v>
      </c>
      <c r="J7061" t="s">
        <v>7099</v>
      </c>
      <c r="K7061" t="s">
        <v>6890</v>
      </c>
      <c r="L7061" t="s">
        <v>6891</v>
      </c>
      <c r="M7061" t="s">
        <v>7001</v>
      </c>
    </row>
    <row r="7062" spans="1:26" x14ac:dyDescent="0.3">
      <c r="A7062" s="160">
        <v>59335</v>
      </c>
      <c r="B7062" t="s">
        <v>22208</v>
      </c>
      <c r="C7062" t="s">
        <v>6823</v>
      </c>
      <c r="D7062">
        <v>2</v>
      </c>
      <c r="E7062">
        <v>0</v>
      </c>
      <c r="F7062">
        <f t="shared" si="110"/>
        <v>2</v>
      </c>
      <c r="I7062">
        <v>20250101</v>
      </c>
      <c r="J7062" t="s">
        <v>7100</v>
      </c>
    </row>
    <row r="7063" spans="1:26" x14ac:dyDescent="0.3">
      <c r="A7063" s="160">
        <v>59336</v>
      </c>
      <c r="B7063" t="s">
        <v>22209</v>
      </c>
      <c r="C7063" t="s">
        <v>6830</v>
      </c>
      <c r="D7063">
        <v>1.8</v>
      </c>
      <c r="E7063">
        <v>0</v>
      </c>
      <c r="F7063">
        <f t="shared" si="110"/>
        <v>1.8</v>
      </c>
      <c r="I7063">
        <v>20090701</v>
      </c>
      <c r="J7063" t="s">
        <v>7101</v>
      </c>
    </row>
    <row r="7064" spans="1:26" x14ac:dyDescent="0.3">
      <c r="A7064" s="160">
        <v>59338</v>
      </c>
      <c r="B7064" t="s">
        <v>22210</v>
      </c>
      <c r="C7064" t="s">
        <v>256</v>
      </c>
      <c r="D7064">
        <v>0</v>
      </c>
      <c r="E7064">
        <v>0.1</v>
      </c>
      <c r="F7064">
        <f t="shared" si="110"/>
        <v>0.1</v>
      </c>
      <c r="I7064">
        <v>20150701</v>
      </c>
      <c r="J7064" t="s">
        <v>6910</v>
      </c>
    </row>
    <row r="7065" spans="1:26" x14ac:dyDescent="0.3">
      <c r="A7065" s="160">
        <v>59339</v>
      </c>
      <c r="B7065" t="s">
        <v>22211</v>
      </c>
      <c r="C7065" t="s">
        <v>6828</v>
      </c>
      <c r="D7065">
        <v>2</v>
      </c>
      <c r="E7065">
        <v>0</v>
      </c>
      <c r="F7065">
        <f t="shared" si="110"/>
        <v>2</v>
      </c>
      <c r="I7065">
        <v>20110101</v>
      </c>
      <c r="J7065" t="s">
        <v>7102</v>
      </c>
    </row>
    <row r="7066" spans="1:26" x14ac:dyDescent="0.3">
      <c r="A7066" s="160">
        <v>59340</v>
      </c>
      <c r="B7066" t="s">
        <v>22212</v>
      </c>
      <c r="C7066" t="s">
        <v>6868</v>
      </c>
      <c r="D7066">
        <v>2</v>
      </c>
      <c r="E7066">
        <v>0</v>
      </c>
      <c r="F7066">
        <f t="shared" si="110"/>
        <v>2</v>
      </c>
      <c r="I7066">
        <v>20220701</v>
      </c>
      <c r="J7066" t="s">
        <v>7103</v>
      </c>
      <c r="K7066" t="s">
        <v>7026</v>
      </c>
      <c r="L7066" t="s">
        <v>6969</v>
      </c>
      <c r="M7066" t="s">
        <v>7027</v>
      </c>
    </row>
    <row r="7067" spans="1:26" x14ac:dyDescent="0.3">
      <c r="A7067" s="160">
        <v>59341</v>
      </c>
      <c r="B7067" t="s">
        <v>22213</v>
      </c>
      <c r="C7067" t="s">
        <v>6821</v>
      </c>
      <c r="D7067">
        <v>0.6</v>
      </c>
      <c r="E7067">
        <v>0.1</v>
      </c>
      <c r="F7067">
        <f t="shared" si="110"/>
        <v>0.7</v>
      </c>
      <c r="I7067">
        <v>20230701</v>
      </c>
      <c r="J7067" t="s">
        <v>6990</v>
      </c>
    </row>
    <row r="7068" spans="1:26" x14ac:dyDescent="0.3">
      <c r="A7068" s="160">
        <v>59343</v>
      </c>
      <c r="B7068" t="s">
        <v>22214</v>
      </c>
      <c r="C7068" t="s">
        <v>6828</v>
      </c>
      <c r="D7068">
        <v>2</v>
      </c>
      <c r="E7068">
        <v>0</v>
      </c>
      <c r="F7068">
        <f t="shared" si="110"/>
        <v>2</v>
      </c>
      <c r="I7068">
        <v>20110101</v>
      </c>
      <c r="J7068" t="s">
        <v>7104</v>
      </c>
      <c r="K7068" t="s">
        <v>7105</v>
      </c>
      <c r="L7068" t="s">
        <v>7106</v>
      </c>
      <c r="M7068" t="s">
        <v>7107</v>
      </c>
      <c r="N7068" t="s">
        <v>6972</v>
      </c>
      <c r="O7068" t="s">
        <v>7108</v>
      </c>
      <c r="P7068" t="s">
        <v>7109</v>
      </c>
      <c r="Q7068" t="s">
        <v>7110</v>
      </c>
      <c r="R7068" t="s">
        <v>7057</v>
      </c>
      <c r="S7068" t="s">
        <v>7044</v>
      </c>
      <c r="T7068" t="s">
        <v>7058</v>
      </c>
      <c r="U7068" t="s">
        <v>7059</v>
      </c>
      <c r="V7068" t="s">
        <v>7060</v>
      </c>
      <c r="W7068" t="s">
        <v>7111</v>
      </c>
      <c r="X7068" t="s">
        <v>7112</v>
      </c>
      <c r="Y7068" t="s">
        <v>7061</v>
      </c>
      <c r="Z7068" t="s">
        <v>7113</v>
      </c>
    </row>
    <row r="7069" spans="1:26" x14ac:dyDescent="0.3">
      <c r="A7069" s="160">
        <v>59344</v>
      </c>
      <c r="B7069" t="s">
        <v>22215</v>
      </c>
      <c r="C7069" t="s">
        <v>6825</v>
      </c>
      <c r="D7069">
        <v>2</v>
      </c>
      <c r="E7069">
        <v>0</v>
      </c>
      <c r="F7069">
        <f t="shared" si="110"/>
        <v>2</v>
      </c>
      <c r="I7069">
        <v>20230101</v>
      </c>
      <c r="J7069" t="s">
        <v>6903</v>
      </c>
    </row>
    <row r="7070" spans="1:26" x14ac:dyDescent="0.3">
      <c r="A7070" s="160">
        <v>59345</v>
      </c>
      <c r="B7070" t="s">
        <v>22216</v>
      </c>
      <c r="C7070" t="s">
        <v>6830</v>
      </c>
      <c r="D7070">
        <v>1.8</v>
      </c>
      <c r="E7070">
        <v>0</v>
      </c>
      <c r="F7070">
        <f t="shared" si="110"/>
        <v>1.8</v>
      </c>
      <c r="I7070">
        <v>20090701</v>
      </c>
      <c r="J7070" t="s">
        <v>7070</v>
      </c>
    </row>
    <row r="7071" spans="1:26" x14ac:dyDescent="0.3">
      <c r="A7071" s="160">
        <v>59346</v>
      </c>
      <c r="B7071" t="s">
        <v>22217</v>
      </c>
      <c r="C7071" t="s">
        <v>6828</v>
      </c>
      <c r="D7071">
        <v>2</v>
      </c>
      <c r="E7071">
        <v>0</v>
      </c>
      <c r="F7071">
        <f t="shared" si="110"/>
        <v>2</v>
      </c>
      <c r="I7071">
        <v>20110101</v>
      </c>
      <c r="J7071" t="s">
        <v>7114</v>
      </c>
      <c r="K7071" t="s">
        <v>7115</v>
      </c>
      <c r="L7071" t="s">
        <v>7116</v>
      </c>
      <c r="M7071" t="s">
        <v>7117</v>
      </c>
      <c r="N7071" t="s">
        <v>7118</v>
      </c>
      <c r="O7071" t="s">
        <v>7108</v>
      </c>
      <c r="P7071" t="s">
        <v>7061</v>
      </c>
    </row>
    <row r="7072" spans="1:26" x14ac:dyDescent="0.3">
      <c r="A7072" s="160">
        <v>59348</v>
      </c>
      <c r="B7072" t="s">
        <v>22218</v>
      </c>
      <c r="C7072" t="s">
        <v>6823</v>
      </c>
      <c r="D7072">
        <v>2</v>
      </c>
      <c r="E7072">
        <v>0</v>
      </c>
      <c r="F7072">
        <f t="shared" si="110"/>
        <v>2</v>
      </c>
      <c r="I7072">
        <v>20130701</v>
      </c>
      <c r="J7072" t="s">
        <v>6929</v>
      </c>
    </row>
    <row r="7073" spans="1:67" x14ac:dyDescent="0.3">
      <c r="A7073" s="160">
        <v>59350</v>
      </c>
      <c r="B7073" t="s">
        <v>22219</v>
      </c>
      <c r="C7073" t="s">
        <v>6828</v>
      </c>
      <c r="D7073">
        <v>2</v>
      </c>
      <c r="E7073">
        <v>0</v>
      </c>
      <c r="F7073">
        <f t="shared" si="110"/>
        <v>2</v>
      </c>
      <c r="I7073">
        <v>20110101</v>
      </c>
      <c r="J7073" t="s">
        <v>7119</v>
      </c>
      <c r="K7073" t="s">
        <v>7120</v>
      </c>
      <c r="L7073" t="s">
        <v>7121</v>
      </c>
      <c r="M7073" t="s">
        <v>7122</v>
      </c>
      <c r="N7073" t="s">
        <v>7123</v>
      </c>
      <c r="O7073" t="s">
        <v>7124</v>
      </c>
      <c r="P7073" t="s">
        <v>7125</v>
      </c>
      <c r="Q7073" t="s">
        <v>7114</v>
      </c>
      <c r="R7073" t="s">
        <v>7126</v>
      </c>
      <c r="S7073" t="s">
        <v>7127</v>
      </c>
      <c r="T7073" t="s">
        <v>7128</v>
      </c>
      <c r="U7073" t="s">
        <v>7129</v>
      </c>
      <c r="V7073" t="s">
        <v>7130</v>
      </c>
      <c r="W7073" t="s">
        <v>7131</v>
      </c>
      <c r="X7073" t="s">
        <v>7132</v>
      </c>
      <c r="Y7073" t="s">
        <v>7133</v>
      </c>
      <c r="Z7073" t="s">
        <v>7134</v>
      </c>
      <c r="AA7073" t="s">
        <v>7135</v>
      </c>
      <c r="AB7073" t="s">
        <v>6833</v>
      </c>
      <c r="AC7073" t="s">
        <v>7136</v>
      </c>
      <c r="AD7073" t="s">
        <v>7137</v>
      </c>
      <c r="AE7073" t="s">
        <v>7138</v>
      </c>
      <c r="AF7073" t="s">
        <v>7139</v>
      </c>
      <c r="AG7073" t="s">
        <v>7140</v>
      </c>
      <c r="AH7073" t="s">
        <v>7141</v>
      </c>
      <c r="AI7073" t="s">
        <v>7142</v>
      </c>
      <c r="AJ7073" t="s">
        <v>7143</v>
      </c>
      <c r="AK7073" t="s">
        <v>7144</v>
      </c>
      <c r="AL7073" t="s">
        <v>7145</v>
      </c>
      <c r="AM7073" t="s">
        <v>7146</v>
      </c>
      <c r="AN7073" t="s">
        <v>7115</v>
      </c>
      <c r="AO7073" t="s">
        <v>7147</v>
      </c>
      <c r="AP7073" t="s">
        <v>7148</v>
      </c>
      <c r="AQ7073" t="s">
        <v>7149</v>
      </c>
      <c r="AR7073" t="s">
        <v>7150</v>
      </c>
      <c r="AS7073" t="s">
        <v>7151</v>
      </c>
      <c r="AT7073" t="s">
        <v>7152</v>
      </c>
      <c r="AU7073" t="s">
        <v>7153</v>
      </c>
      <c r="AV7073" t="s">
        <v>7154</v>
      </c>
      <c r="AW7073" t="s">
        <v>7155</v>
      </c>
      <c r="AX7073" t="s">
        <v>7156</v>
      </c>
      <c r="AY7073" t="s">
        <v>7157</v>
      </c>
      <c r="AZ7073" t="s">
        <v>7158</v>
      </c>
      <c r="BA7073" t="s">
        <v>7159</v>
      </c>
      <c r="BB7073" t="s">
        <v>7160</v>
      </c>
      <c r="BC7073" t="s">
        <v>7161</v>
      </c>
      <c r="BD7073" t="s">
        <v>7162</v>
      </c>
      <c r="BE7073" t="s">
        <v>7116</v>
      </c>
      <c r="BF7073" t="s">
        <v>6836</v>
      </c>
      <c r="BG7073" t="s">
        <v>6958</v>
      </c>
      <c r="BH7073" t="s">
        <v>7117</v>
      </c>
      <c r="BI7073" t="s">
        <v>7163</v>
      </c>
      <c r="BJ7073" t="s">
        <v>7164</v>
      </c>
      <c r="BK7073" t="s">
        <v>6959</v>
      </c>
      <c r="BL7073" t="s">
        <v>7165</v>
      </c>
      <c r="BM7073" t="s">
        <v>6960</v>
      </c>
      <c r="BN7073" t="s">
        <v>6961</v>
      </c>
      <c r="BO7073" t="s">
        <v>7166</v>
      </c>
    </row>
    <row r="7074" spans="1:67" x14ac:dyDescent="0.3">
      <c r="A7074" s="160">
        <v>59351</v>
      </c>
      <c r="B7074" t="s">
        <v>22220</v>
      </c>
      <c r="C7074" t="s">
        <v>6825</v>
      </c>
      <c r="D7074">
        <v>2</v>
      </c>
      <c r="E7074">
        <v>0</v>
      </c>
      <c r="F7074">
        <f t="shared" si="110"/>
        <v>2</v>
      </c>
      <c r="I7074">
        <v>20230101</v>
      </c>
      <c r="J7074" t="s">
        <v>6916</v>
      </c>
      <c r="K7074" t="s">
        <v>7079</v>
      </c>
    </row>
    <row r="7075" spans="1:67" x14ac:dyDescent="0.3">
      <c r="A7075" s="160">
        <v>59352</v>
      </c>
      <c r="B7075" t="s">
        <v>22221</v>
      </c>
      <c r="C7075" t="s">
        <v>6828</v>
      </c>
      <c r="D7075">
        <v>2</v>
      </c>
      <c r="E7075">
        <v>0</v>
      </c>
      <c r="F7075">
        <f t="shared" si="110"/>
        <v>2</v>
      </c>
      <c r="I7075">
        <v>20110101</v>
      </c>
      <c r="J7075" t="s">
        <v>7182</v>
      </c>
      <c r="K7075" t="s">
        <v>6925</v>
      </c>
    </row>
    <row r="7076" spans="1:67" x14ac:dyDescent="0.3">
      <c r="A7076" s="160">
        <v>59354</v>
      </c>
      <c r="B7076" t="s">
        <v>22222</v>
      </c>
      <c r="C7076" t="s">
        <v>6830</v>
      </c>
      <c r="D7076">
        <v>1.8</v>
      </c>
      <c r="E7076">
        <v>0</v>
      </c>
      <c r="F7076">
        <f t="shared" si="110"/>
        <v>1.8</v>
      </c>
      <c r="I7076">
        <v>20090701</v>
      </c>
      <c r="J7076" t="s">
        <v>7183</v>
      </c>
    </row>
    <row r="7077" spans="1:67" x14ac:dyDescent="0.3">
      <c r="A7077" s="160">
        <v>59356</v>
      </c>
      <c r="B7077" t="s">
        <v>22223</v>
      </c>
      <c r="C7077" t="s">
        <v>6828</v>
      </c>
      <c r="D7077">
        <v>2</v>
      </c>
      <c r="E7077">
        <v>0</v>
      </c>
      <c r="F7077">
        <f t="shared" si="110"/>
        <v>2</v>
      </c>
      <c r="I7077">
        <v>20110101</v>
      </c>
      <c r="J7077" t="s">
        <v>7165</v>
      </c>
      <c r="K7077" t="s">
        <v>7184</v>
      </c>
    </row>
    <row r="7078" spans="1:67" x14ac:dyDescent="0.3">
      <c r="A7078" s="160">
        <v>59357</v>
      </c>
      <c r="B7078" t="s">
        <v>22224</v>
      </c>
      <c r="C7078" t="s">
        <v>6825</v>
      </c>
      <c r="D7078">
        <v>2</v>
      </c>
      <c r="E7078">
        <v>0</v>
      </c>
      <c r="F7078">
        <f t="shared" si="110"/>
        <v>2</v>
      </c>
      <c r="I7078">
        <v>20230101</v>
      </c>
      <c r="J7078" t="s">
        <v>6894</v>
      </c>
      <c r="K7078" t="s">
        <v>7185</v>
      </c>
    </row>
    <row r="7079" spans="1:67" x14ac:dyDescent="0.3">
      <c r="A7079" s="160">
        <v>59358</v>
      </c>
      <c r="B7079" t="s">
        <v>22225</v>
      </c>
      <c r="C7079" t="s">
        <v>256</v>
      </c>
      <c r="D7079">
        <v>0</v>
      </c>
      <c r="E7079">
        <v>0.1</v>
      </c>
      <c r="F7079">
        <f t="shared" si="110"/>
        <v>0.1</v>
      </c>
      <c r="I7079">
        <v>20150701</v>
      </c>
      <c r="J7079" t="s">
        <v>6930</v>
      </c>
    </row>
    <row r="7080" spans="1:67" x14ac:dyDescent="0.3">
      <c r="A7080" s="160">
        <v>59359</v>
      </c>
      <c r="B7080" t="s">
        <v>22226</v>
      </c>
      <c r="C7080" t="s">
        <v>6868</v>
      </c>
      <c r="D7080">
        <v>2</v>
      </c>
      <c r="E7080">
        <v>0</v>
      </c>
      <c r="F7080">
        <f t="shared" si="110"/>
        <v>2</v>
      </c>
      <c r="I7080">
        <v>20220701</v>
      </c>
      <c r="J7080" t="s">
        <v>6988</v>
      </c>
    </row>
    <row r="7081" spans="1:67" x14ac:dyDescent="0.3">
      <c r="A7081" s="160">
        <v>59360</v>
      </c>
      <c r="B7081" t="s">
        <v>22227</v>
      </c>
      <c r="C7081" t="s">
        <v>6828</v>
      </c>
      <c r="D7081">
        <v>2</v>
      </c>
      <c r="E7081">
        <v>0</v>
      </c>
      <c r="F7081">
        <f t="shared" si="110"/>
        <v>2</v>
      </c>
      <c r="I7081">
        <v>20110101</v>
      </c>
      <c r="J7081" t="s">
        <v>7186</v>
      </c>
      <c r="K7081" t="s">
        <v>7187</v>
      </c>
      <c r="L7081" t="s">
        <v>7188</v>
      </c>
    </row>
    <row r="7082" spans="1:67" x14ac:dyDescent="0.3">
      <c r="A7082" s="160">
        <v>59361</v>
      </c>
      <c r="B7082" t="s">
        <v>22228</v>
      </c>
      <c r="C7082" t="s">
        <v>6823</v>
      </c>
      <c r="D7082">
        <v>2</v>
      </c>
      <c r="E7082">
        <v>0</v>
      </c>
      <c r="F7082">
        <f t="shared" si="110"/>
        <v>2</v>
      </c>
      <c r="I7082">
        <v>20130701</v>
      </c>
      <c r="J7082" t="s">
        <v>7189</v>
      </c>
    </row>
    <row r="7083" spans="1:67" x14ac:dyDescent="0.3">
      <c r="A7083" s="160">
        <v>59364</v>
      </c>
      <c r="B7083" t="s">
        <v>22229</v>
      </c>
      <c r="C7083" t="s">
        <v>256</v>
      </c>
      <c r="D7083">
        <v>0</v>
      </c>
      <c r="E7083">
        <v>0.1</v>
      </c>
      <c r="F7083">
        <f t="shared" si="110"/>
        <v>0.1</v>
      </c>
      <c r="I7083">
        <v>20150701</v>
      </c>
      <c r="J7083" t="s">
        <v>6907</v>
      </c>
    </row>
    <row r="7084" spans="1:67" x14ac:dyDescent="0.3">
      <c r="A7084" s="160">
        <v>59365</v>
      </c>
      <c r="B7084" t="s">
        <v>22230</v>
      </c>
      <c r="C7084" t="s">
        <v>6825</v>
      </c>
      <c r="D7084">
        <v>2</v>
      </c>
      <c r="E7084">
        <v>0</v>
      </c>
      <c r="F7084">
        <f t="shared" si="110"/>
        <v>2</v>
      </c>
      <c r="I7084">
        <v>20230101</v>
      </c>
      <c r="J7084" t="s">
        <v>7046</v>
      </c>
      <c r="K7084" t="s">
        <v>7079</v>
      </c>
      <c r="L7084" t="s">
        <v>7190</v>
      </c>
    </row>
    <row r="7085" spans="1:67" x14ac:dyDescent="0.3">
      <c r="A7085" s="160">
        <v>59366</v>
      </c>
      <c r="C7085" t="s">
        <v>27548</v>
      </c>
      <c r="D7085">
        <v>1.05</v>
      </c>
      <c r="E7085">
        <v>0</v>
      </c>
      <c r="F7085">
        <f t="shared" si="110"/>
        <v>1.05</v>
      </c>
      <c r="I7085">
        <v>20250101</v>
      </c>
      <c r="J7085" t="s">
        <v>27551</v>
      </c>
    </row>
    <row r="7086" spans="1:67" x14ac:dyDescent="0.3">
      <c r="A7086" s="160">
        <v>59367</v>
      </c>
      <c r="B7086" t="s">
        <v>22231</v>
      </c>
      <c r="C7086" t="s">
        <v>6828</v>
      </c>
      <c r="D7086">
        <v>2</v>
      </c>
      <c r="E7086">
        <v>0</v>
      </c>
      <c r="F7086">
        <f t="shared" si="110"/>
        <v>2</v>
      </c>
      <c r="I7086">
        <v>20110101</v>
      </c>
      <c r="J7086" t="s">
        <v>7097</v>
      </c>
      <c r="K7086" t="s">
        <v>7191</v>
      </c>
      <c r="L7086" t="s">
        <v>7192</v>
      </c>
    </row>
    <row r="7087" spans="1:67" x14ac:dyDescent="0.3">
      <c r="A7087" s="160">
        <v>59368</v>
      </c>
      <c r="B7087" t="s">
        <v>22232</v>
      </c>
      <c r="C7087" t="s">
        <v>6828</v>
      </c>
      <c r="D7087">
        <v>2</v>
      </c>
      <c r="E7087">
        <v>0</v>
      </c>
      <c r="F7087">
        <f t="shared" si="110"/>
        <v>2</v>
      </c>
      <c r="I7087">
        <v>20110101</v>
      </c>
      <c r="J7087" t="s">
        <v>7147</v>
      </c>
      <c r="K7087" t="s">
        <v>7193</v>
      </c>
      <c r="L7087" t="s">
        <v>7194</v>
      </c>
      <c r="M7087" t="s">
        <v>7195</v>
      </c>
      <c r="N7087" t="s">
        <v>7196</v>
      </c>
      <c r="O7087" t="s">
        <v>7197</v>
      </c>
      <c r="P7087" t="s">
        <v>7198</v>
      </c>
      <c r="Q7087" t="s">
        <v>7199</v>
      </c>
    </row>
    <row r="7088" spans="1:67" x14ac:dyDescent="0.3">
      <c r="A7088" s="160">
        <v>59369</v>
      </c>
      <c r="B7088" t="s">
        <v>22233</v>
      </c>
      <c r="C7088" t="s">
        <v>6823</v>
      </c>
      <c r="D7088">
        <v>2</v>
      </c>
      <c r="E7088">
        <v>0</v>
      </c>
      <c r="F7088">
        <f t="shared" si="110"/>
        <v>2</v>
      </c>
      <c r="I7088">
        <v>20130701</v>
      </c>
      <c r="J7088" t="s">
        <v>7200</v>
      </c>
      <c r="K7088" t="s">
        <v>6897</v>
      </c>
    </row>
    <row r="7089" spans="1:29" x14ac:dyDescent="0.3">
      <c r="A7089" s="160">
        <v>59370</v>
      </c>
      <c r="B7089" t="s">
        <v>22234</v>
      </c>
      <c r="C7089" t="s">
        <v>6825</v>
      </c>
      <c r="D7089">
        <v>2</v>
      </c>
      <c r="E7089">
        <v>0</v>
      </c>
      <c r="F7089">
        <f t="shared" si="110"/>
        <v>2</v>
      </c>
      <c r="I7089">
        <v>20230101</v>
      </c>
      <c r="J7089" t="s">
        <v>6879</v>
      </c>
    </row>
    <row r="7090" spans="1:29" x14ac:dyDescent="0.3">
      <c r="A7090" s="160">
        <v>59371</v>
      </c>
      <c r="B7090" t="s">
        <v>22235</v>
      </c>
      <c r="C7090" t="s">
        <v>6828</v>
      </c>
      <c r="D7090">
        <v>1.5</v>
      </c>
      <c r="E7090">
        <v>0</v>
      </c>
      <c r="F7090">
        <f t="shared" si="110"/>
        <v>1.5</v>
      </c>
      <c r="I7090">
        <v>20250101</v>
      </c>
      <c r="J7090" t="s">
        <v>6914</v>
      </c>
    </row>
    <row r="7091" spans="1:29" x14ac:dyDescent="0.3">
      <c r="A7091" s="160">
        <v>59375</v>
      </c>
      <c r="B7091" t="s">
        <v>22236</v>
      </c>
      <c r="C7091" t="s">
        <v>6830</v>
      </c>
      <c r="D7091">
        <v>1.8</v>
      </c>
      <c r="E7091">
        <v>0</v>
      </c>
      <c r="F7091">
        <f t="shared" si="110"/>
        <v>1.8</v>
      </c>
      <c r="I7091">
        <v>20190901</v>
      </c>
      <c r="J7091" t="s">
        <v>6937</v>
      </c>
    </row>
    <row r="7092" spans="1:29" x14ac:dyDescent="0.3">
      <c r="A7092" s="160">
        <v>59377</v>
      </c>
      <c r="B7092" t="s">
        <v>22237</v>
      </c>
      <c r="C7092" t="s">
        <v>6821</v>
      </c>
      <c r="D7092">
        <v>0.6</v>
      </c>
      <c r="E7092">
        <v>0.1</v>
      </c>
      <c r="F7092">
        <f t="shared" si="110"/>
        <v>0.7</v>
      </c>
      <c r="I7092">
        <v>20230701</v>
      </c>
      <c r="J7092" t="s">
        <v>7201</v>
      </c>
    </row>
    <row r="7093" spans="1:29" x14ac:dyDescent="0.3">
      <c r="A7093" s="160">
        <v>59378</v>
      </c>
      <c r="B7093" t="s">
        <v>22238</v>
      </c>
      <c r="C7093" t="s">
        <v>6828</v>
      </c>
      <c r="D7093">
        <v>2</v>
      </c>
      <c r="E7093">
        <v>0</v>
      </c>
      <c r="F7093">
        <f t="shared" si="110"/>
        <v>2</v>
      </c>
      <c r="I7093">
        <v>20110101</v>
      </c>
      <c r="J7093" t="s">
        <v>7202</v>
      </c>
      <c r="K7093" t="s">
        <v>7203</v>
      </c>
      <c r="L7093" t="s">
        <v>7198</v>
      </c>
      <c r="M7093" t="s">
        <v>7204</v>
      </c>
      <c r="N7093" t="s">
        <v>7205</v>
      </c>
      <c r="O7093" t="s">
        <v>7206</v>
      </c>
      <c r="P7093" t="s">
        <v>7207</v>
      </c>
      <c r="Q7093" t="s">
        <v>7208</v>
      </c>
      <c r="R7093" t="s">
        <v>7209</v>
      </c>
      <c r="S7093" t="s">
        <v>7168</v>
      </c>
      <c r="T7093" t="s">
        <v>7169</v>
      </c>
      <c r="U7093" t="s">
        <v>7210</v>
      </c>
      <c r="V7093" t="s">
        <v>7211</v>
      </c>
      <c r="W7093" t="s">
        <v>7212</v>
      </c>
      <c r="X7093" t="s">
        <v>7199</v>
      </c>
      <c r="Y7093" t="s">
        <v>7177</v>
      </c>
      <c r="Z7093" t="s">
        <v>7061</v>
      </c>
      <c r="AA7093" t="s">
        <v>7179</v>
      </c>
      <c r="AB7093" t="s">
        <v>6993</v>
      </c>
      <c r="AC7093" t="s">
        <v>7113</v>
      </c>
    </row>
    <row r="7094" spans="1:29" x14ac:dyDescent="0.3">
      <c r="A7094" s="160">
        <v>59379</v>
      </c>
      <c r="B7094" t="s">
        <v>22239</v>
      </c>
      <c r="C7094" t="s">
        <v>6830</v>
      </c>
      <c r="D7094">
        <v>1.8</v>
      </c>
      <c r="E7094">
        <v>0</v>
      </c>
      <c r="F7094">
        <f t="shared" si="110"/>
        <v>1.8</v>
      </c>
      <c r="I7094">
        <v>20090701</v>
      </c>
      <c r="J7094" t="s">
        <v>7213</v>
      </c>
    </row>
    <row r="7095" spans="1:29" x14ac:dyDescent="0.3">
      <c r="A7095" s="160">
        <v>59381</v>
      </c>
      <c r="B7095" t="s">
        <v>22240</v>
      </c>
      <c r="C7095" t="s">
        <v>256</v>
      </c>
      <c r="D7095">
        <v>0</v>
      </c>
      <c r="E7095">
        <v>0.1</v>
      </c>
      <c r="F7095">
        <f t="shared" si="110"/>
        <v>0.1</v>
      </c>
      <c r="I7095">
        <v>20150701</v>
      </c>
      <c r="J7095" t="s">
        <v>7002</v>
      </c>
    </row>
    <row r="7096" spans="1:29" x14ac:dyDescent="0.3">
      <c r="A7096" s="160">
        <v>59383</v>
      </c>
      <c r="B7096" t="s">
        <v>21854</v>
      </c>
      <c r="C7096" t="s">
        <v>6823</v>
      </c>
      <c r="D7096">
        <v>2</v>
      </c>
      <c r="E7096">
        <v>0</v>
      </c>
      <c r="F7096">
        <f t="shared" si="110"/>
        <v>2</v>
      </c>
      <c r="I7096">
        <v>20130701</v>
      </c>
      <c r="J7096" t="s">
        <v>6896</v>
      </c>
      <c r="K7096" t="s">
        <v>6898</v>
      </c>
      <c r="L7096" t="s">
        <v>7214</v>
      </c>
      <c r="M7096" t="s">
        <v>6900</v>
      </c>
      <c r="N7096" t="s">
        <v>6901</v>
      </c>
      <c r="O7096" t="s">
        <v>7215</v>
      </c>
      <c r="P7096" t="s">
        <v>7216</v>
      </c>
      <c r="Q7096" t="s">
        <v>7217</v>
      </c>
      <c r="R7096" t="s">
        <v>7218</v>
      </c>
      <c r="S7096" t="s">
        <v>7219</v>
      </c>
      <c r="T7096" t="s">
        <v>7220</v>
      </c>
    </row>
    <row r="7097" spans="1:29" x14ac:dyDescent="0.3">
      <c r="A7097" s="160">
        <v>59385</v>
      </c>
      <c r="B7097" t="s">
        <v>22241</v>
      </c>
      <c r="C7097" t="s">
        <v>6825</v>
      </c>
      <c r="D7097">
        <v>2</v>
      </c>
      <c r="E7097">
        <v>0</v>
      </c>
      <c r="F7097">
        <f t="shared" si="110"/>
        <v>2</v>
      </c>
      <c r="I7097">
        <v>20230101</v>
      </c>
      <c r="J7097" t="s">
        <v>7221</v>
      </c>
    </row>
    <row r="7098" spans="1:29" x14ac:dyDescent="0.3">
      <c r="A7098" s="160">
        <v>59386</v>
      </c>
      <c r="B7098" t="s">
        <v>22242</v>
      </c>
      <c r="C7098" t="s">
        <v>6828</v>
      </c>
      <c r="D7098">
        <v>2</v>
      </c>
      <c r="E7098">
        <v>0</v>
      </c>
      <c r="F7098">
        <f t="shared" si="110"/>
        <v>2</v>
      </c>
      <c r="I7098">
        <v>20110101</v>
      </c>
      <c r="J7098" t="s">
        <v>7222</v>
      </c>
      <c r="K7098" t="s">
        <v>7205</v>
      </c>
      <c r="L7098" t="s">
        <v>7223</v>
      </c>
      <c r="M7098" t="s">
        <v>7224</v>
      </c>
      <c r="N7098" t="s">
        <v>7225</v>
      </c>
    </row>
    <row r="7099" spans="1:29" x14ac:dyDescent="0.3">
      <c r="A7099" s="160">
        <v>59387</v>
      </c>
      <c r="B7099" t="s">
        <v>22243</v>
      </c>
      <c r="C7099" t="s">
        <v>6823</v>
      </c>
      <c r="D7099">
        <v>2</v>
      </c>
      <c r="E7099">
        <v>0</v>
      </c>
      <c r="F7099">
        <f t="shared" si="110"/>
        <v>2</v>
      </c>
      <c r="I7099">
        <v>20130701</v>
      </c>
      <c r="J7099" t="s">
        <v>7213</v>
      </c>
    </row>
    <row r="7100" spans="1:29" x14ac:dyDescent="0.3">
      <c r="A7100" s="160">
        <v>59388</v>
      </c>
      <c r="B7100" t="s">
        <v>22244</v>
      </c>
      <c r="C7100" t="s">
        <v>6828</v>
      </c>
      <c r="D7100">
        <v>2</v>
      </c>
      <c r="E7100">
        <v>0</v>
      </c>
      <c r="F7100">
        <f t="shared" si="110"/>
        <v>2</v>
      </c>
      <c r="I7100">
        <v>20110101</v>
      </c>
      <c r="J7100" t="s">
        <v>7226</v>
      </c>
      <c r="K7100" t="s">
        <v>6915</v>
      </c>
    </row>
    <row r="7101" spans="1:29" x14ac:dyDescent="0.3">
      <c r="A7101" s="160">
        <v>59389</v>
      </c>
      <c r="B7101" t="s">
        <v>22245</v>
      </c>
      <c r="C7101" t="s">
        <v>6821</v>
      </c>
      <c r="D7101">
        <v>0.6</v>
      </c>
      <c r="E7101">
        <v>0.1</v>
      </c>
      <c r="F7101">
        <f t="shared" si="110"/>
        <v>0.7</v>
      </c>
      <c r="I7101">
        <v>20230901</v>
      </c>
      <c r="J7101" t="s">
        <v>22246</v>
      </c>
    </row>
    <row r="7102" spans="1:29" x14ac:dyDescent="0.3">
      <c r="A7102" s="160">
        <v>59390</v>
      </c>
      <c r="B7102" t="s">
        <v>22247</v>
      </c>
      <c r="C7102" t="s">
        <v>6830</v>
      </c>
      <c r="D7102">
        <v>1.8</v>
      </c>
      <c r="E7102">
        <v>0</v>
      </c>
      <c r="F7102">
        <f t="shared" si="110"/>
        <v>1.8</v>
      </c>
      <c r="I7102">
        <v>20090701</v>
      </c>
      <c r="J7102" t="s">
        <v>7029</v>
      </c>
    </row>
    <row r="7103" spans="1:29" x14ac:dyDescent="0.3">
      <c r="A7103" s="160">
        <v>59391</v>
      </c>
      <c r="B7103" t="s">
        <v>22248</v>
      </c>
      <c r="C7103" t="s">
        <v>6823</v>
      </c>
      <c r="D7103">
        <v>2</v>
      </c>
      <c r="E7103">
        <v>0</v>
      </c>
      <c r="F7103">
        <f t="shared" si="110"/>
        <v>2</v>
      </c>
      <c r="I7103">
        <v>20130701</v>
      </c>
      <c r="J7103" t="s">
        <v>7227</v>
      </c>
    </row>
    <row r="7104" spans="1:29" x14ac:dyDescent="0.3">
      <c r="A7104" s="160">
        <v>59392</v>
      </c>
      <c r="B7104" t="s">
        <v>22249</v>
      </c>
      <c r="C7104" t="s">
        <v>6825</v>
      </c>
      <c r="D7104">
        <v>2</v>
      </c>
      <c r="E7104">
        <v>0</v>
      </c>
      <c r="F7104">
        <f t="shared" si="110"/>
        <v>2</v>
      </c>
      <c r="I7104">
        <v>20230101</v>
      </c>
      <c r="J7104" t="s">
        <v>6879</v>
      </c>
      <c r="K7104" t="s">
        <v>7228</v>
      </c>
      <c r="L7104" t="s">
        <v>6936</v>
      </c>
      <c r="M7104" t="s">
        <v>7229</v>
      </c>
      <c r="N7104" t="s">
        <v>6880</v>
      </c>
      <c r="O7104" t="s">
        <v>7230</v>
      </c>
      <c r="P7104" t="s">
        <v>7231</v>
      </c>
    </row>
    <row r="7105" spans="1:11" x14ac:dyDescent="0.3">
      <c r="A7105" s="160">
        <v>59393</v>
      </c>
      <c r="B7105" t="s">
        <v>22250</v>
      </c>
      <c r="C7105" t="s">
        <v>6823</v>
      </c>
      <c r="D7105">
        <v>2</v>
      </c>
      <c r="E7105">
        <v>0</v>
      </c>
      <c r="F7105">
        <f t="shared" si="110"/>
        <v>2</v>
      </c>
      <c r="I7105">
        <v>20130701</v>
      </c>
      <c r="J7105" t="s">
        <v>7050</v>
      </c>
    </row>
    <row r="7106" spans="1:11" x14ac:dyDescent="0.3">
      <c r="A7106" s="160">
        <v>59396</v>
      </c>
      <c r="B7106" t="s">
        <v>22251</v>
      </c>
      <c r="C7106" t="s">
        <v>256</v>
      </c>
      <c r="D7106">
        <v>0</v>
      </c>
      <c r="E7106">
        <v>0.1</v>
      </c>
      <c r="F7106">
        <f t="shared" si="110"/>
        <v>0.1</v>
      </c>
      <c r="I7106">
        <v>20150701</v>
      </c>
      <c r="J7106" t="s">
        <v>6894</v>
      </c>
    </row>
    <row r="7107" spans="1:11" x14ac:dyDescent="0.3">
      <c r="A7107" s="160">
        <v>59397</v>
      </c>
      <c r="B7107" t="s">
        <v>22252</v>
      </c>
      <c r="C7107" t="s">
        <v>256</v>
      </c>
      <c r="D7107">
        <v>0</v>
      </c>
      <c r="E7107">
        <v>0.1</v>
      </c>
      <c r="F7107">
        <f t="shared" si="110"/>
        <v>0.1</v>
      </c>
      <c r="I7107">
        <v>20150701</v>
      </c>
      <c r="J7107" t="s">
        <v>6910</v>
      </c>
    </row>
    <row r="7108" spans="1:11" x14ac:dyDescent="0.3">
      <c r="A7108" s="160">
        <v>59398</v>
      </c>
      <c r="B7108" t="s">
        <v>22253</v>
      </c>
      <c r="C7108" t="s">
        <v>256</v>
      </c>
      <c r="D7108">
        <v>0</v>
      </c>
      <c r="E7108">
        <v>0.1</v>
      </c>
      <c r="F7108">
        <f t="shared" si="110"/>
        <v>0.1</v>
      </c>
      <c r="I7108">
        <v>20150701</v>
      </c>
      <c r="J7108" t="s">
        <v>6904</v>
      </c>
    </row>
    <row r="7109" spans="1:11" x14ac:dyDescent="0.3">
      <c r="A7109" s="160">
        <v>59399</v>
      </c>
      <c r="C7109" t="s">
        <v>27548</v>
      </c>
      <c r="D7109">
        <v>1.05</v>
      </c>
      <c r="E7109">
        <v>0</v>
      </c>
      <c r="F7109">
        <f t="shared" si="110"/>
        <v>1.05</v>
      </c>
      <c r="I7109">
        <v>20250101</v>
      </c>
      <c r="J7109" t="s">
        <v>6908</v>
      </c>
    </row>
    <row r="7110" spans="1:11" x14ac:dyDescent="0.3">
      <c r="A7110" s="160">
        <v>59400</v>
      </c>
      <c r="B7110" t="s">
        <v>22254</v>
      </c>
      <c r="C7110" t="s">
        <v>256</v>
      </c>
      <c r="D7110">
        <v>0</v>
      </c>
      <c r="E7110">
        <v>0.1</v>
      </c>
      <c r="F7110">
        <f t="shared" si="110"/>
        <v>0.1</v>
      </c>
      <c r="I7110">
        <v>20150701</v>
      </c>
      <c r="J7110" t="s">
        <v>7081</v>
      </c>
    </row>
    <row r="7111" spans="1:11" x14ac:dyDescent="0.3">
      <c r="A7111" s="160">
        <v>59401</v>
      </c>
      <c r="B7111" t="s">
        <v>22255</v>
      </c>
      <c r="C7111" t="s">
        <v>27548</v>
      </c>
      <c r="D7111">
        <v>1.05</v>
      </c>
      <c r="E7111">
        <v>0.1</v>
      </c>
      <c r="F7111">
        <f t="shared" ref="F7111:F7174" si="111">D7111+E7111</f>
        <v>1.1500000000000001</v>
      </c>
      <c r="I7111">
        <v>20150701</v>
      </c>
      <c r="J7111" t="s">
        <v>6908</v>
      </c>
    </row>
    <row r="7112" spans="1:11" x14ac:dyDescent="0.3">
      <c r="A7112" s="160">
        <v>59402</v>
      </c>
      <c r="B7112" t="s">
        <v>22256</v>
      </c>
      <c r="C7112" t="s">
        <v>256</v>
      </c>
      <c r="D7112">
        <v>0</v>
      </c>
      <c r="E7112">
        <v>0.1</v>
      </c>
      <c r="F7112">
        <f t="shared" si="111"/>
        <v>0.1</v>
      </c>
      <c r="I7112">
        <v>20150701</v>
      </c>
      <c r="J7112" t="s">
        <v>7232</v>
      </c>
    </row>
    <row r="7113" spans="1:11" x14ac:dyDescent="0.3">
      <c r="A7113" s="160">
        <v>59403</v>
      </c>
      <c r="B7113" t="s">
        <v>22257</v>
      </c>
      <c r="C7113" t="s">
        <v>6823</v>
      </c>
      <c r="D7113">
        <v>2</v>
      </c>
      <c r="E7113">
        <v>0</v>
      </c>
      <c r="F7113">
        <f t="shared" si="111"/>
        <v>2</v>
      </c>
      <c r="I7113">
        <v>20130701</v>
      </c>
      <c r="J7113" t="s">
        <v>6934</v>
      </c>
      <c r="K7113" t="s">
        <v>6940</v>
      </c>
    </row>
    <row r="7114" spans="1:11" x14ac:dyDescent="0.3">
      <c r="A7114" s="160">
        <v>59405</v>
      </c>
      <c r="B7114" t="s">
        <v>22258</v>
      </c>
      <c r="C7114" t="s">
        <v>6821</v>
      </c>
      <c r="D7114">
        <v>0.6</v>
      </c>
      <c r="E7114">
        <v>0.1</v>
      </c>
      <c r="F7114">
        <f t="shared" si="111"/>
        <v>0.7</v>
      </c>
      <c r="I7114">
        <v>20230701</v>
      </c>
      <c r="J7114" t="s">
        <v>6862</v>
      </c>
    </row>
    <row r="7115" spans="1:11" x14ac:dyDescent="0.3">
      <c r="A7115" s="160">
        <v>59406</v>
      </c>
      <c r="B7115" t="s">
        <v>22259</v>
      </c>
      <c r="C7115" t="s">
        <v>6825</v>
      </c>
      <c r="D7115">
        <v>2</v>
      </c>
      <c r="E7115">
        <v>0</v>
      </c>
      <c r="F7115">
        <f t="shared" si="111"/>
        <v>2</v>
      </c>
      <c r="I7115">
        <v>20230101</v>
      </c>
      <c r="J7115" t="s">
        <v>6903</v>
      </c>
    </row>
    <row r="7116" spans="1:11" x14ac:dyDescent="0.3">
      <c r="A7116" s="160">
        <v>59407</v>
      </c>
      <c r="B7116" t="s">
        <v>22260</v>
      </c>
      <c r="C7116" t="s">
        <v>6823</v>
      </c>
      <c r="D7116">
        <v>2</v>
      </c>
      <c r="E7116">
        <v>0</v>
      </c>
      <c r="F7116">
        <f t="shared" si="111"/>
        <v>2</v>
      </c>
      <c r="I7116">
        <v>20130701</v>
      </c>
      <c r="J7116" t="s">
        <v>7233</v>
      </c>
    </row>
    <row r="7117" spans="1:11" x14ac:dyDescent="0.3">
      <c r="A7117" s="160">
        <v>59408</v>
      </c>
      <c r="B7117" t="s">
        <v>22261</v>
      </c>
      <c r="C7117" t="s">
        <v>256</v>
      </c>
      <c r="D7117">
        <v>0</v>
      </c>
      <c r="E7117">
        <v>0.1</v>
      </c>
      <c r="F7117">
        <f t="shared" si="111"/>
        <v>0.1</v>
      </c>
      <c r="I7117">
        <v>20150701</v>
      </c>
      <c r="J7117" t="s">
        <v>7234</v>
      </c>
      <c r="K7117" t="s">
        <v>6891</v>
      </c>
    </row>
    <row r="7118" spans="1:11" x14ac:dyDescent="0.3">
      <c r="A7118" s="160">
        <v>59409</v>
      </c>
      <c r="B7118" t="s">
        <v>22262</v>
      </c>
      <c r="C7118" t="s">
        <v>6830</v>
      </c>
      <c r="D7118">
        <v>1.8</v>
      </c>
      <c r="E7118">
        <v>0</v>
      </c>
      <c r="F7118">
        <f t="shared" si="111"/>
        <v>1.8</v>
      </c>
      <c r="I7118">
        <v>20090701</v>
      </c>
      <c r="J7118" t="s">
        <v>7055</v>
      </c>
    </row>
    <row r="7119" spans="1:11" x14ac:dyDescent="0.3">
      <c r="A7119" s="160">
        <v>59410</v>
      </c>
      <c r="B7119" t="s">
        <v>22263</v>
      </c>
      <c r="C7119" t="s">
        <v>6828</v>
      </c>
      <c r="D7119">
        <v>2</v>
      </c>
      <c r="E7119">
        <v>0</v>
      </c>
      <c r="F7119">
        <f t="shared" si="111"/>
        <v>2</v>
      </c>
      <c r="I7119">
        <v>20110101</v>
      </c>
      <c r="J7119" t="s">
        <v>7235</v>
      </c>
      <c r="K7119" t="s">
        <v>7236</v>
      </c>
    </row>
    <row r="7120" spans="1:11" x14ac:dyDescent="0.3">
      <c r="A7120" s="160">
        <v>59411</v>
      </c>
      <c r="B7120" t="s">
        <v>22264</v>
      </c>
      <c r="C7120" t="s">
        <v>256</v>
      </c>
      <c r="D7120">
        <v>0</v>
      </c>
      <c r="E7120">
        <v>0.1</v>
      </c>
      <c r="F7120">
        <f t="shared" si="111"/>
        <v>0.1</v>
      </c>
      <c r="I7120">
        <v>20150701</v>
      </c>
      <c r="J7120" t="s">
        <v>7237</v>
      </c>
    </row>
    <row r="7121" spans="1:13" x14ac:dyDescent="0.3">
      <c r="A7121" s="160">
        <v>59414</v>
      </c>
      <c r="B7121" t="s">
        <v>22265</v>
      </c>
      <c r="C7121" t="s">
        <v>6830</v>
      </c>
      <c r="D7121">
        <v>1.8</v>
      </c>
      <c r="E7121">
        <v>0</v>
      </c>
      <c r="F7121">
        <f t="shared" si="111"/>
        <v>1.8</v>
      </c>
      <c r="I7121">
        <v>20090701</v>
      </c>
      <c r="J7121" t="s">
        <v>7183</v>
      </c>
    </row>
    <row r="7122" spans="1:13" x14ac:dyDescent="0.3">
      <c r="A7122" s="160">
        <v>59415</v>
      </c>
      <c r="B7122" t="s">
        <v>22266</v>
      </c>
      <c r="C7122" t="s">
        <v>256</v>
      </c>
      <c r="D7122">
        <v>0</v>
      </c>
      <c r="E7122">
        <v>0.1</v>
      </c>
      <c r="F7122">
        <f t="shared" si="111"/>
        <v>0.1</v>
      </c>
      <c r="I7122">
        <v>20150701</v>
      </c>
      <c r="J7122" t="s">
        <v>7238</v>
      </c>
    </row>
    <row r="7123" spans="1:13" x14ac:dyDescent="0.3">
      <c r="A7123" s="160">
        <v>59416</v>
      </c>
      <c r="C7123" t="s">
        <v>27548</v>
      </c>
      <c r="D7123">
        <v>1.05</v>
      </c>
      <c r="E7123">
        <v>0</v>
      </c>
      <c r="F7123">
        <f t="shared" si="111"/>
        <v>1.05</v>
      </c>
      <c r="I7123">
        <v>20250101</v>
      </c>
      <c r="J7123" t="s">
        <v>27554</v>
      </c>
      <c r="K7123" t="s">
        <v>27557</v>
      </c>
      <c r="L7123" t="s">
        <v>27559</v>
      </c>
    </row>
    <row r="7124" spans="1:13" x14ac:dyDescent="0.3">
      <c r="A7124" s="160">
        <v>59418</v>
      </c>
      <c r="B7124" t="s">
        <v>22267</v>
      </c>
      <c r="C7124" t="s">
        <v>6823</v>
      </c>
      <c r="D7124">
        <v>2</v>
      </c>
      <c r="E7124">
        <v>0</v>
      </c>
      <c r="F7124">
        <f t="shared" si="111"/>
        <v>2</v>
      </c>
      <c r="I7124">
        <v>20130701</v>
      </c>
      <c r="J7124" t="s">
        <v>7050</v>
      </c>
    </row>
    <row r="7125" spans="1:13" x14ac:dyDescent="0.3">
      <c r="A7125" s="160">
        <v>59419</v>
      </c>
      <c r="B7125" t="s">
        <v>22268</v>
      </c>
      <c r="C7125" t="s">
        <v>256</v>
      </c>
      <c r="D7125">
        <v>0</v>
      </c>
      <c r="E7125">
        <v>0.1</v>
      </c>
      <c r="F7125">
        <f t="shared" si="111"/>
        <v>0.1</v>
      </c>
      <c r="I7125">
        <v>20150701</v>
      </c>
      <c r="J7125" t="s">
        <v>6827</v>
      </c>
    </row>
    <row r="7126" spans="1:13" x14ac:dyDescent="0.3">
      <c r="A7126" s="160">
        <v>59421</v>
      </c>
      <c r="B7126" t="s">
        <v>22269</v>
      </c>
      <c r="C7126" t="s">
        <v>6828</v>
      </c>
      <c r="D7126">
        <v>2</v>
      </c>
      <c r="E7126">
        <v>0</v>
      </c>
      <c r="F7126">
        <f t="shared" si="111"/>
        <v>2</v>
      </c>
      <c r="I7126">
        <v>20110101</v>
      </c>
      <c r="J7126" t="s">
        <v>7239</v>
      </c>
      <c r="K7126" t="s">
        <v>6927</v>
      </c>
      <c r="L7126" t="s">
        <v>7240</v>
      </c>
    </row>
    <row r="7127" spans="1:13" x14ac:dyDescent="0.3">
      <c r="A7127" s="160">
        <v>59422</v>
      </c>
      <c r="B7127" t="s">
        <v>16899</v>
      </c>
      <c r="C7127" t="s">
        <v>6821</v>
      </c>
      <c r="D7127">
        <v>0.6</v>
      </c>
      <c r="E7127">
        <v>0.1</v>
      </c>
      <c r="F7127">
        <f t="shared" si="111"/>
        <v>0.7</v>
      </c>
      <c r="I7127">
        <v>20230701</v>
      </c>
      <c r="J7127" t="s">
        <v>6945</v>
      </c>
    </row>
    <row r="7128" spans="1:13" x14ac:dyDescent="0.3">
      <c r="A7128" s="160">
        <v>59423</v>
      </c>
      <c r="B7128" t="s">
        <v>22270</v>
      </c>
      <c r="C7128" t="s">
        <v>27548</v>
      </c>
      <c r="D7128">
        <v>1.05</v>
      </c>
      <c r="E7128">
        <v>0.1</v>
      </c>
      <c r="F7128">
        <f t="shared" si="111"/>
        <v>1.1500000000000001</v>
      </c>
      <c r="I7128">
        <v>20250101</v>
      </c>
      <c r="J7128" t="s">
        <v>7040</v>
      </c>
    </row>
    <row r="7129" spans="1:13" x14ac:dyDescent="0.3">
      <c r="A7129" s="160">
        <v>59424</v>
      </c>
      <c r="B7129" t="s">
        <v>22271</v>
      </c>
      <c r="C7129" t="s">
        <v>6825</v>
      </c>
      <c r="D7129">
        <v>2</v>
      </c>
      <c r="E7129">
        <v>0</v>
      </c>
      <c r="F7129">
        <f t="shared" si="111"/>
        <v>2</v>
      </c>
      <c r="I7129">
        <v>20230101</v>
      </c>
      <c r="J7129" t="s">
        <v>6916</v>
      </c>
      <c r="K7129" t="s">
        <v>7079</v>
      </c>
    </row>
    <row r="7130" spans="1:13" x14ac:dyDescent="0.3">
      <c r="A7130" s="160">
        <v>59426</v>
      </c>
      <c r="B7130" t="s">
        <v>22272</v>
      </c>
      <c r="C7130" t="s">
        <v>6828</v>
      </c>
      <c r="D7130">
        <v>2</v>
      </c>
      <c r="E7130">
        <v>0</v>
      </c>
      <c r="F7130">
        <f t="shared" si="111"/>
        <v>2</v>
      </c>
      <c r="I7130">
        <v>20110101</v>
      </c>
      <c r="J7130" t="s">
        <v>7241</v>
      </c>
      <c r="K7130" t="s">
        <v>7242</v>
      </c>
      <c r="L7130" t="s">
        <v>7243</v>
      </c>
      <c r="M7130" t="s">
        <v>7244</v>
      </c>
    </row>
    <row r="7131" spans="1:13" x14ac:dyDescent="0.3">
      <c r="A7131" s="160">
        <v>59427</v>
      </c>
      <c r="B7131" t="s">
        <v>22273</v>
      </c>
      <c r="C7131" t="s">
        <v>256</v>
      </c>
      <c r="D7131">
        <v>0</v>
      </c>
      <c r="E7131">
        <v>0.1</v>
      </c>
      <c r="F7131">
        <f t="shared" si="111"/>
        <v>0.1</v>
      </c>
      <c r="I7131">
        <v>20150701</v>
      </c>
      <c r="J7131" t="s">
        <v>7245</v>
      </c>
    </row>
    <row r="7132" spans="1:13" x14ac:dyDescent="0.3">
      <c r="A7132" s="160">
        <v>59428</v>
      </c>
      <c r="B7132" t="s">
        <v>22274</v>
      </c>
      <c r="C7132" t="s">
        <v>6821</v>
      </c>
      <c r="D7132">
        <v>0.6</v>
      </c>
      <c r="E7132">
        <v>0.1</v>
      </c>
      <c r="F7132">
        <f t="shared" si="111"/>
        <v>0.7</v>
      </c>
      <c r="I7132">
        <v>20230701</v>
      </c>
      <c r="J7132" t="s">
        <v>6911</v>
      </c>
    </row>
    <row r="7133" spans="1:13" x14ac:dyDescent="0.3">
      <c r="A7133" s="160">
        <v>59429</v>
      </c>
      <c r="B7133" t="s">
        <v>22275</v>
      </c>
      <c r="C7133" t="s">
        <v>6823</v>
      </c>
      <c r="D7133">
        <v>2</v>
      </c>
      <c r="E7133">
        <v>0</v>
      </c>
      <c r="F7133">
        <f t="shared" si="111"/>
        <v>2</v>
      </c>
      <c r="I7133">
        <v>20130701</v>
      </c>
      <c r="J7133" t="s">
        <v>7246</v>
      </c>
    </row>
    <row r="7134" spans="1:13" x14ac:dyDescent="0.3">
      <c r="A7134" s="160">
        <v>59431</v>
      </c>
      <c r="B7134" t="s">
        <v>22276</v>
      </c>
      <c r="C7134" t="s">
        <v>27548</v>
      </c>
      <c r="D7134">
        <v>1.05</v>
      </c>
      <c r="E7134">
        <v>0.1</v>
      </c>
      <c r="F7134">
        <f t="shared" si="111"/>
        <v>1.1500000000000001</v>
      </c>
      <c r="I7134">
        <v>20250101</v>
      </c>
      <c r="J7134" t="s">
        <v>7247</v>
      </c>
      <c r="K7134" t="s">
        <v>7248</v>
      </c>
    </row>
    <row r="7135" spans="1:13" x14ac:dyDescent="0.3">
      <c r="A7135" s="160">
        <v>59432</v>
      </c>
      <c r="B7135" t="s">
        <v>22277</v>
      </c>
      <c r="C7135" t="s">
        <v>6821</v>
      </c>
      <c r="D7135">
        <v>0.6</v>
      </c>
      <c r="E7135">
        <v>0.1</v>
      </c>
      <c r="F7135">
        <f t="shared" si="111"/>
        <v>0.7</v>
      </c>
      <c r="I7135">
        <v>20230701</v>
      </c>
      <c r="J7135" t="s">
        <v>6862</v>
      </c>
      <c r="K7135" t="s">
        <v>6946</v>
      </c>
      <c r="L7135" t="s">
        <v>6949</v>
      </c>
    </row>
    <row r="7136" spans="1:13" x14ac:dyDescent="0.3">
      <c r="A7136" s="160">
        <v>59434</v>
      </c>
      <c r="B7136" t="s">
        <v>22278</v>
      </c>
      <c r="C7136" t="s">
        <v>6823</v>
      </c>
      <c r="D7136">
        <v>2</v>
      </c>
      <c r="E7136">
        <v>0</v>
      </c>
      <c r="F7136">
        <f t="shared" si="111"/>
        <v>2</v>
      </c>
      <c r="I7136">
        <v>20130701</v>
      </c>
      <c r="J7136" t="s">
        <v>6976</v>
      </c>
    </row>
    <row r="7137" spans="1:15" x14ac:dyDescent="0.3">
      <c r="A7137" s="160">
        <v>59435</v>
      </c>
      <c r="B7137" t="s">
        <v>22279</v>
      </c>
      <c r="C7137" t="s">
        <v>256</v>
      </c>
      <c r="D7137">
        <v>0</v>
      </c>
      <c r="E7137">
        <v>0.1</v>
      </c>
      <c r="F7137">
        <f t="shared" si="111"/>
        <v>0.1</v>
      </c>
      <c r="I7137">
        <v>20150701</v>
      </c>
      <c r="J7137" t="s">
        <v>6827</v>
      </c>
      <c r="K7137" t="s">
        <v>6893</v>
      </c>
    </row>
    <row r="7138" spans="1:15" x14ac:dyDescent="0.3">
      <c r="A7138" s="160">
        <v>59436</v>
      </c>
      <c r="C7138" t="s">
        <v>27548</v>
      </c>
      <c r="D7138">
        <v>1.05</v>
      </c>
      <c r="E7138">
        <v>0</v>
      </c>
      <c r="F7138">
        <f t="shared" si="111"/>
        <v>1.05</v>
      </c>
      <c r="I7138">
        <v>20250101</v>
      </c>
      <c r="J7138" t="s">
        <v>27550</v>
      </c>
    </row>
    <row r="7139" spans="1:15" x14ac:dyDescent="0.3">
      <c r="A7139" s="160">
        <v>59437</v>
      </c>
      <c r="B7139" t="s">
        <v>22280</v>
      </c>
      <c r="C7139" t="s">
        <v>6828</v>
      </c>
      <c r="D7139">
        <v>2</v>
      </c>
      <c r="E7139">
        <v>0</v>
      </c>
      <c r="F7139">
        <f t="shared" si="111"/>
        <v>2</v>
      </c>
      <c r="I7139">
        <v>20110101</v>
      </c>
      <c r="J7139" t="s">
        <v>7132</v>
      </c>
      <c r="K7139" t="s">
        <v>7249</v>
      </c>
      <c r="L7139" t="s">
        <v>7250</v>
      </c>
      <c r="M7139" t="s">
        <v>7251</v>
      </c>
      <c r="N7139" t="s">
        <v>7252</v>
      </c>
      <c r="O7139" t="s">
        <v>7253</v>
      </c>
    </row>
    <row r="7140" spans="1:15" x14ac:dyDescent="0.3">
      <c r="A7140" s="160">
        <v>59438</v>
      </c>
      <c r="B7140" t="s">
        <v>22281</v>
      </c>
      <c r="C7140" t="s">
        <v>6821</v>
      </c>
      <c r="D7140">
        <v>0.6</v>
      </c>
      <c r="E7140">
        <v>0.1</v>
      </c>
      <c r="F7140">
        <f t="shared" si="111"/>
        <v>0.7</v>
      </c>
      <c r="I7140">
        <v>20230701</v>
      </c>
      <c r="J7140" t="s">
        <v>7201</v>
      </c>
    </row>
    <row r="7141" spans="1:15" x14ac:dyDescent="0.3">
      <c r="A7141" s="160">
        <v>59439</v>
      </c>
      <c r="B7141" t="s">
        <v>22282</v>
      </c>
      <c r="C7141" t="s">
        <v>6825</v>
      </c>
      <c r="D7141">
        <v>2</v>
      </c>
      <c r="E7141">
        <v>0</v>
      </c>
      <c r="F7141">
        <f t="shared" si="111"/>
        <v>2</v>
      </c>
      <c r="I7141">
        <v>20230101</v>
      </c>
      <c r="J7141" t="s">
        <v>7254</v>
      </c>
    </row>
    <row r="7142" spans="1:15" x14ac:dyDescent="0.3">
      <c r="A7142" s="160">
        <v>59440</v>
      </c>
      <c r="B7142" t="s">
        <v>22283</v>
      </c>
      <c r="C7142" t="s">
        <v>6823</v>
      </c>
      <c r="D7142">
        <v>2</v>
      </c>
      <c r="E7142">
        <v>0</v>
      </c>
      <c r="F7142">
        <f t="shared" si="111"/>
        <v>2</v>
      </c>
      <c r="I7142">
        <v>20130701</v>
      </c>
      <c r="J7142" t="s">
        <v>7014</v>
      </c>
    </row>
    <row r="7143" spans="1:15" x14ac:dyDescent="0.3">
      <c r="A7143" s="160">
        <v>59442</v>
      </c>
      <c r="B7143" t="s">
        <v>22284</v>
      </c>
      <c r="C7143" t="s">
        <v>6825</v>
      </c>
      <c r="D7143">
        <v>2</v>
      </c>
      <c r="E7143">
        <v>0</v>
      </c>
      <c r="F7143">
        <f t="shared" si="111"/>
        <v>2</v>
      </c>
      <c r="I7143">
        <v>20230101</v>
      </c>
      <c r="J7143" t="s">
        <v>6971</v>
      </c>
    </row>
    <row r="7144" spans="1:15" x14ac:dyDescent="0.3">
      <c r="A7144" s="160">
        <v>59443</v>
      </c>
      <c r="C7144" t="s">
        <v>27548</v>
      </c>
      <c r="D7144">
        <v>1.05</v>
      </c>
      <c r="E7144">
        <v>0</v>
      </c>
      <c r="F7144">
        <f t="shared" si="111"/>
        <v>1.05</v>
      </c>
      <c r="I7144">
        <v>20250101</v>
      </c>
      <c r="J7144" t="s">
        <v>27550</v>
      </c>
    </row>
    <row r="7145" spans="1:15" x14ac:dyDescent="0.3">
      <c r="A7145" s="160">
        <v>59444</v>
      </c>
      <c r="B7145" t="s">
        <v>22285</v>
      </c>
      <c r="C7145" t="s">
        <v>6823</v>
      </c>
      <c r="D7145">
        <v>2</v>
      </c>
      <c r="E7145">
        <v>0</v>
      </c>
      <c r="F7145">
        <f t="shared" si="111"/>
        <v>2</v>
      </c>
      <c r="I7145">
        <v>20130701</v>
      </c>
      <c r="J7145" t="s">
        <v>7054</v>
      </c>
    </row>
    <row r="7146" spans="1:15" x14ac:dyDescent="0.3">
      <c r="A7146" s="160">
        <v>59446</v>
      </c>
      <c r="B7146" t="s">
        <v>22286</v>
      </c>
      <c r="C7146" t="s">
        <v>6823</v>
      </c>
      <c r="D7146">
        <v>2</v>
      </c>
      <c r="E7146">
        <v>0</v>
      </c>
      <c r="F7146">
        <f t="shared" si="111"/>
        <v>2</v>
      </c>
      <c r="I7146">
        <v>20130701</v>
      </c>
      <c r="J7146" t="s">
        <v>7083</v>
      </c>
    </row>
    <row r="7147" spans="1:15" x14ac:dyDescent="0.3">
      <c r="A7147" s="160">
        <v>59447</v>
      </c>
      <c r="B7147" t="s">
        <v>22287</v>
      </c>
      <c r="C7147" t="s">
        <v>6823</v>
      </c>
      <c r="D7147">
        <v>2</v>
      </c>
      <c r="E7147">
        <v>0</v>
      </c>
      <c r="F7147">
        <f t="shared" si="111"/>
        <v>2</v>
      </c>
      <c r="I7147">
        <v>20130701</v>
      </c>
      <c r="J7147" t="s">
        <v>7255</v>
      </c>
    </row>
    <row r="7148" spans="1:15" x14ac:dyDescent="0.3">
      <c r="A7148" s="160">
        <v>59448</v>
      </c>
      <c r="B7148" t="s">
        <v>22288</v>
      </c>
      <c r="C7148" t="s">
        <v>256</v>
      </c>
      <c r="D7148">
        <v>0</v>
      </c>
      <c r="E7148">
        <v>0.1</v>
      </c>
      <c r="F7148">
        <f t="shared" si="111"/>
        <v>0.1</v>
      </c>
      <c r="I7148">
        <v>20150701</v>
      </c>
      <c r="J7148" t="s">
        <v>7062</v>
      </c>
    </row>
    <row r="7149" spans="1:15" x14ac:dyDescent="0.3">
      <c r="A7149" s="160">
        <v>59449</v>
      </c>
      <c r="B7149" t="s">
        <v>22289</v>
      </c>
      <c r="C7149" t="s">
        <v>256</v>
      </c>
      <c r="D7149">
        <v>0</v>
      </c>
      <c r="E7149">
        <v>0.1</v>
      </c>
      <c r="F7149">
        <f t="shared" si="111"/>
        <v>0.1</v>
      </c>
      <c r="I7149">
        <v>20150701</v>
      </c>
      <c r="J7149" t="s">
        <v>6827</v>
      </c>
      <c r="K7149" t="s">
        <v>6893</v>
      </c>
    </row>
    <row r="7150" spans="1:15" x14ac:dyDescent="0.3">
      <c r="A7150" s="160">
        <v>59452</v>
      </c>
      <c r="B7150" t="s">
        <v>22290</v>
      </c>
      <c r="C7150" t="s">
        <v>256</v>
      </c>
      <c r="D7150">
        <v>0</v>
      </c>
      <c r="E7150">
        <v>0.1</v>
      </c>
      <c r="F7150">
        <f t="shared" si="111"/>
        <v>0.1</v>
      </c>
      <c r="I7150">
        <v>20150701</v>
      </c>
      <c r="J7150" t="s">
        <v>7256</v>
      </c>
    </row>
    <row r="7151" spans="1:15" x14ac:dyDescent="0.3">
      <c r="A7151" s="160">
        <v>59453</v>
      </c>
      <c r="C7151" t="s">
        <v>27548</v>
      </c>
      <c r="D7151">
        <v>1.05</v>
      </c>
      <c r="E7151">
        <v>0</v>
      </c>
      <c r="F7151">
        <f t="shared" si="111"/>
        <v>1.05</v>
      </c>
      <c r="I7151">
        <v>20250101</v>
      </c>
      <c r="J7151" t="s">
        <v>27550</v>
      </c>
    </row>
    <row r="7152" spans="1:15" x14ac:dyDescent="0.3">
      <c r="A7152" s="160">
        <v>59454</v>
      </c>
      <c r="C7152" t="s">
        <v>27548</v>
      </c>
      <c r="D7152">
        <v>1.05</v>
      </c>
      <c r="E7152">
        <v>0</v>
      </c>
      <c r="F7152">
        <f t="shared" si="111"/>
        <v>1.05</v>
      </c>
      <c r="I7152">
        <v>20250101</v>
      </c>
      <c r="J7152" t="s">
        <v>27550</v>
      </c>
    </row>
    <row r="7153" spans="1:19" x14ac:dyDescent="0.3">
      <c r="A7153" s="160">
        <v>59455</v>
      </c>
      <c r="B7153" t="s">
        <v>22291</v>
      </c>
      <c r="C7153" t="s">
        <v>6821</v>
      </c>
      <c r="D7153">
        <v>0.6</v>
      </c>
      <c r="E7153">
        <v>0.1</v>
      </c>
      <c r="F7153">
        <f t="shared" si="111"/>
        <v>0.7</v>
      </c>
      <c r="I7153">
        <v>20230701</v>
      </c>
      <c r="J7153" t="s">
        <v>7041</v>
      </c>
    </row>
    <row r="7154" spans="1:19" x14ac:dyDescent="0.3">
      <c r="A7154" s="160">
        <v>59456</v>
      </c>
      <c r="B7154" t="s">
        <v>22292</v>
      </c>
      <c r="C7154" t="s">
        <v>6830</v>
      </c>
      <c r="D7154">
        <v>1.8</v>
      </c>
      <c r="E7154">
        <v>0</v>
      </c>
      <c r="F7154">
        <f t="shared" si="111"/>
        <v>1.8</v>
      </c>
      <c r="I7154">
        <v>20090701</v>
      </c>
      <c r="J7154" t="s">
        <v>7257</v>
      </c>
    </row>
    <row r="7155" spans="1:19" x14ac:dyDescent="0.3">
      <c r="A7155" s="160">
        <v>59457</v>
      </c>
      <c r="B7155" t="s">
        <v>22293</v>
      </c>
      <c r="C7155" t="s">
        <v>6828</v>
      </c>
      <c r="D7155">
        <v>2</v>
      </c>
      <c r="E7155">
        <v>0</v>
      </c>
      <c r="F7155">
        <f t="shared" si="111"/>
        <v>2</v>
      </c>
      <c r="I7155">
        <v>20110101</v>
      </c>
      <c r="J7155" t="s">
        <v>6961</v>
      </c>
      <c r="K7155" t="s">
        <v>7184</v>
      </c>
    </row>
    <row r="7156" spans="1:19" x14ac:dyDescent="0.3">
      <c r="A7156" s="160">
        <v>59458</v>
      </c>
      <c r="B7156" t="s">
        <v>22294</v>
      </c>
      <c r="C7156" t="s">
        <v>6828</v>
      </c>
      <c r="D7156">
        <v>2</v>
      </c>
      <c r="E7156">
        <v>0</v>
      </c>
      <c r="F7156">
        <f t="shared" si="111"/>
        <v>2</v>
      </c>
      <c r="I7156">
        <v>20110101</v>
      </c>
      <c r="J7156" t="s">
        <v>7056</v>
      </c>
    </row>
    <row r="7157" spans="1:19" x14ac:dyDescent="0.3">
      <c r="A7157" s="160">
        <v>59459</v>
      </c>
      <c r="B7157" t="s">
        <v>22295</v>
      </c>
      <c r="C7157" t="s">
        <v>6823</v>
      </c>
      <c r="D7157">
        <v>2</v>
      </c>
      <c r="E7157">
        <v>0</v>
      </c>
      <c r="F7157">
        <f t="shared" si="111"/>
        <v>2</v>
      </c>
      <c r="I7157">
        <v>20130701</v>
      </c>
      <c r="J7157" t="s">
        <v>6901</v>
      </c>
      <c r="K7157" t="s">
        <v>6886</v>
      </c>
    </row>
    <row r="7158" spans="1:19" x14ac:dyDescent="0.3">
      <c r="A7158" s="160">
        <v>59462</v>
      </c>
      <c r="B7158" t="s">
        <v>22296</v>
      </c>
      <c r="C7158" t="s">
        <v>256</v>
      </c>
      <c r="D7158">
        <v>0</v>
      </c>
      <c r="E7158">
        <v>0.1</v>
      </c>
      <c r="F7158">
        <f t="shared" si="111"/>
        <v>0.1</v>
      </c>
      <c r="I7158">
        <v>20150701</v>
      </c>
      <c r="J7158" t="s">
        <v>6955</v>
      </c>
    </row>
    <row r="7159" spans="1:19" x14ac:dyDescent="0.3">
      <c r="A7159" s="160">
        <v>59463</v>
      </c>
      <c r="B7159" t="s">
        <v>22297</v>
      </c>
      <c r="C7159" t="s">
        <v>256</v>
      </c>
      <c r="D7159">
        <v>0</v>
      </c>
      <c r="E7159">
        <v>0.1</v>
      </c>
      <c r="F7159">
        <f t="shared" si="111"/>
        <v>0.1</v>
      </c>
      <c r="I7159">
        <v>20150701</v>
      </c>
      <c r="J7159" t="s">
        <v>7258</v>
      </c>
    </row>
    <row r="7160" spans="1:19" x14ac:dyDescent="0.3">
      <c r="A7160" s="160">
        <v>59466</v>
      </c>
      <c r="B7160" t="s">
        <v>22298</v>
      </c>
      <c r="C7160" t="s">
        <v>256</v>
      </c>
      <c r="D7160">
        <v>0</v>
      </c>
      <c r="E7160">
        <v>0.1</v>
      </c>
      <c r="F7160">
        <f t="shared" si="111"/>
        <v>0.1</v>
      </c>
      <c r="I7160">
        <v>20150701</v>
      </c>
      <c r="J7160" t="s">
        <v>6904</v>
      </c>
    </row>
    <row r="7161" spans="1:19" x14ac:dyDescent="0.3">
      <c r="A7161" s="160">
        <v>59467</v>
      </c>
      <c r="B7161" t="s">
        <v>22299</v>
      </c>
      <c r="C7161" t="s">
        <v>6825</v>
      </c>
      <c r="D7161">
        <v>2</v>
      </c>
      <c r="E7161">
        <v>0</v>
      </c>
      <c r="F7161">
        <f t="shared" si="111"/>
        <v>2</v>
      </c>
      <c r="I7161">
        <v>20230101</v>
      </c>
      <c r="J7161" t="s">
        <v>6906</v>
      </c>
    </row>
    <row r="7162" spans="1:19" x14ac:dyDescent="0.3">
      <c r="A7162" s="160">
        <v>59469</v>
      </c>
      <c r="C7162" t="s">
        <v>27548</v>
      </c>
      <c r="D7162">
        <v>1.05</v>
      </c>
      <c r="E7162">
        <v>0</v>
      </c>
      <c r="F7162">
        <f t="shared" si="111"/>
        <v>1.05</v>
      </c>
      <c r="I7162">
        <v>20250101</v>
      </c>
      <c r="J7162" t="s">
        <v>27554</v>
      </c>
      <c r="K7162" t="s">
        <v>27559</v>
      </c>
    </row>
    <row r="7163" spans="1:19" x14ac:dyDescent="0.3">
      <c r="A7163" s="160">
        <v>59470</v>
      </c>
      <c r="B7163" t="s">
        <v>22300</v>
      </c>
      <c r="C7163" t="s">
        <v>6828</v>
      </c>
      <c r="D7163">
        <v>2</v>
      </c>
      <c r="E7163">
        <v>0</v>
      </c>
      <c r="F7163">
        <f t="shared" si="111"/>
        <v>2</v>
      </c>
      <c r="I7163">
        <v>20110101</v>
      </c>
      <c r="J7163" t="s">
        <v>7184</v>
      </c>
    </row>
    <row r="7164" spans="1:19" x14ac:dyDescent="0.3">
      <c r="A7164" s="160">
        <v>59471</v>
      </c>
      <c r="B7164" t="s">
        <v>22301</v>
      </c>
      <c r="C7164" t="s">
        <v>6823</v>
      </c>
      <c r="D7164">
        <v>2</v>
      </c>
      <c r="E7164">
        <v>0</v>
      </c>
      <c r="F7164">
        <f t="shared" si="111"/>
        <v>2</v>
      </c>
      <c r="I7164">
        <v>20130701</v>
      </c>
      <c r="J7164" t="s">
        <v>7002</v>
      </c>
    </row>
    <row r="7165" spans="1:19" x14ac:dyDescent="0.3">
      <c r="A7165" s="160">
        <v>59475</v>
      </c>
      <c r="B7165" t="s">
        <v>22302</v>
      </c>
      <c r="C7165" t="s">
        <v>6823</v>
      </c>
      <c r="D7165">
        <v>2</v>
      </c>
      <c r="E7165">
        <v>0</v>
      </c>
      <c r="F7165">
        <f t="shared" si="111"/>
        <v>2</v>
      </c>
      <c r="I7165">
        <v>20130701</v>
      </c>
      <c r="J7165" t="s">
        <v>7078</v>
      </c>
      <c r="K7165" t="s">
        <v>6897</v>
      </c>
      <c r="L7165" t="s">
        <v>7259</v>
      </c>
      <c r="M7165" t="s">
        <v>7214</v>
      </c>
      <c r="N7165" t="s">
        <v>6899</v>
      </c>
      <c r="O7165" t="s">
        <v>7260</v>
      </c>
      <c r="P7165" t="s">
        <v>7261</v>
      </c>
      <c r="Q7165" t="s">
        <v>7262</v>
      </c>
      <c r="R7165" t="s">
        <v>7263</v>
      </c>
      <c r="S7165" t="s">
        <v>7264</v>
      </c>
    </row>
    <row r="7166" spans="1:19" x14ac:dyDescent="0.3">
      <c r="A7166" s="160">
        <v>59476</v>
      </c>
      <c r="B7166" t="s">
        <v>22303</v>
      </c>
      <c r="C7166" t="s">
        <v>6821</v>
      </c>
      <c r="D7166">
        <v>0.6</v>
      </c>
      <c r="E7166">
        <v>0.1</v>
      </c>
      <c r="F7166">
        <f t="shared" si="111"/>
        <v>0.7</v>
      </c>
      <c r="I7166">
        <v>20230701</v>
      </c>
      <c r="J7166" t="s">
        <v>6956</v>
      </c>
      <c r="K7166" t="s">
        <v>6946</v>
      </c>
    </row>
    <row r="7167" spans="1:19" x14ac:dyDescent="0.3">
      <c r="A7167" s="160">
        <v>59477</v>
      </c>
      <c r="B7167" t="s">
        <v>22304</v>
      </c>
      <c r="C7167" t="s">
        <v>6828</v>
      </c>
      <c r="D7167">
        <v>0.91</v>
      </c>
      <c r="E7167">
        <v>0.1</v>
      </c>
      <c r="F7167">
        <f t="shared" si="111"/>
        <v>1.01</v>
      </c>
      <c r="I7167">
        <v>20250101</v>
      </c>
      <c r="J7167" t="s">
        <v>7265</v>
      </c>
    </row>
    <row r="7168" spans="1:19" x14ac:dyDescent="0.3">
      <c r="A7168" s="160">
        <v>59478</v>
      </c>
      <c r="B7168" t="s">
        <v>22305</v>
      </c>
      <c r="C7168" t="s">
        <v>256</v>
      </c>
      <c r="D7168">
        <v>0</v>
      </c>
      <c r="E7168">
        <v>0.1</v>
      </c>
      <c r="F7168">
        <f t="shared" si="111"/>
        <v>0.1</v>
      </c>
      <c r="I7168">
        <v>20150701</v>
      </c>
      <c r="J7168" t="s">
        <v>6869</v>
      </c>
    </row>
    <row r="7169" spans="1:86" x14ac:dyDescent="0.3">
      <c r="A7169" s="160">
        <v>59479</v>
      </c>
      <c r="B7169" t="s">
        <v>22306</v>
      </c>
      <c r="C7169" t="s">
        <v>6823</v>
      </c>
      <c r="D7169">
        <v>2</v>
      </c>
      <c r="E7169">
        <v>0</v>
      </c>
      <c r="F7169">
        <f t="shared" si="111"/>
        <v>2</v>
      </c>
      <c r="I7169">
        <v>20130701</v>
      </c>
      <c r="J7169" t="s">
        <v>7266</v>
      </c>
    </row>
    <row r="7170" spans="1:86" x14ac:dyDescent="0.3">
      <c r="A7170" s="160">
        <v>59480</v>
      </c>
      <c r="B7170" t="s">
        <v>22307</v>
      </c>
      <c r="C7170" t="s">
        <v>6823</v>
      </c>
      <c r="D7170">
        <v>2</v>
      </c>
      <c r="E7170">
        <v>0</v>
      </c>
      <c r="F7170">
        <f t="shared" si="111"/>
        <v>2</v>
      </c>
      <c r="I7170">
        <v>20130701</v>
      </c>
      <c r="J7170" t="s">
        <v>6878</v>
      </c>
    </row>
    <row r="7171" spans="1:86" x14ac:dyDescent="0.3">
      <c r="A7171" s="160">
        <v>59482</v>
      </c>
      <c r="B7171" t="s">
        <v>22308</v>
      </c>
      <c r="C7171" t="s">
        <v>6828</v>
      </c>
      <c r="D7171">
        <v>2</v>
      </c>
      <c r="E7171">
        <v>0</v>
      </c>
      <c r="F7171">
        <f t="shared" si="111"/>
        <v>2</v>
      </c>
      <c r="I7171">
        <v>20110101</v>
      </c>
      <c r="J7171" t="s">
        <v>7008</v>
      </c>
      <c r="K7171" t="s">
        <v>7009</v>
      </c>
    </row>
    <row r="7172" spans="1:86" x14ac:dyDescent="0.3">
      <c r="A7172" s="160">
        <v>59483</v>
      </c>
      <c r="B7172" t="s">
        <v>22309</v>
      </c>
      <c r="C7172" t="s">
        <v>6825</v>
      </c>
      <c r="D7172">
        <v>2</v>
      </c>
      <c r="E7172">
        <v>0</v>
      </c>
      <c r="F7172">
        <f t="shared" si="111"/>
        <v>2</v>
      </c>
      <c r="I7172">
        <v>20230101</v>
      </c>
      <c r="J7172" t="s">
        <v>6971</v>
      </c>
    </row>
    <row r="7173" spans="1:86" x14ac:dyDescent="0.3">
      <c r="A7173" s="160">
        <v>59484</v>
      </c>
      <c r="B7173" t="s">
        <v>22310</v>
      </c>
      <c r="C7173" t="s">
        <v>6823</v>
      </c>
      <c r="D7173">
        <v>2</v>
      </c>
      <c r="E7173">
        <v>0</v>
      </c>
      <c r="F7173">
        <f t="shared" si="111"/>
        <v>2</v>
      </c>
      <c r="I7173">
        <v>20130701</v>
      </c>
      <c r="J7173" t="s">
        <v>7267</v>
      </c>
    </row>
    <row r="7174" spans="1:86" x14ac:dyDescent="0.3">
      <c r="A7174" s="160">
        <v>59486</v>
      </c>
      <c r="B7174" t="s">
        <v>22311</v>
      </c>
      <c r="C7174" t="s">
        <v>6830</v>
      </c>
      <c r="D7174">
        <v>1.8</v>
      </c>
      <c r="E7174">
        <v>0</v>
      </c>
      <c r="F7174">
        <f t="shared" si="111"/>
        <v>1.8</v>
      </c>
      <c r="I7174">
        <v>20090701</v>
      </c>
      <c r="J7174" t="s">
        <v>6831</v>
      </c>
      <c r="K7174" t="s">
        <v>6890</v>
      </c>
      <c r="L7174" t="s">
        <v>6891</v>
      </c>
    </row>
    <row r="7175" spans="1:86" x14ac:dyDescent="0.3">
      <c r="A7175" s="160">
        <v>59487</v>
      </c>
      <c r="B7175" t="s">
        <v>22312</v>
      </c>
      <c r="C7175" t="s">
        <v>6828</v>
      </c>
      <c r="D7175">
        <v>1.5</v>
      </c>
      <c r="E7175">
        <v>0</v>
      </c>
      <c r="F7175">
        <f t="shared" ref="F7175:F7238" si="112">D7175+E7175</f>
        <v>1.5</v>
      </c>
      <c r="I7175">
        <v>20250101</v>
      </c>
      <c r="J7175" t="s">
        <v>7030</v>
      </c>
      <c r="K7175" t="s">
        <v>7031</v>
      </c>
      <c r="L7175" t="s">
        <v>7032</v>
      </c>
    </row>
    <row r="7176" spans="1:86" x14ac:dyDescent="0.3">
      <c r="A7176" s="160">
        <v>59488</v>
      </c>
      <c r="B7176" t="s">
        <v>22313</v>
      </c>
      <c r="C7176" t="s">
        <v>6821</v>
      </c>
      <c r="D7176">
        <v>0.6</v>
      </c>
      <c r="E7176">
        <v>0.1</v>
      </c>
      <c r="F7176">
        <f t="shared" si="112"/>
        <v>0.7</v>
      </c>
      <c r="I7176">
        <v>20230701</v>
      </c>
      <c r="J7176" t="s">
        <v>6911</v>
      </c>
    </row>
    <row r="7177" spans="1:86" x14ac:dyDescent="0.3">
      <c r="A7177" s="160">
        <v>59489</v>
      </c>
      <c r="B7177" t="s">
        <v>22314</v>
      </c>
      <c r="C7177" t="s">
        <v>6830</v>
      </c>
      <c r="D7177">
        <v>1.8</v>
      </c>
      <c r="E7177">
        <v>0</v>
      </c>
      <c r="F7177">
        <f t="shared" si="112"/>
        <v>1.8</v>
      </c>
      <c r="I7177">
        <v>20090701</v>
      </c>
      <c r="J7177" t="s">
        <v>7234</v>
      </c>
      <c r="K7177" t="s">
        <v>6998</v>
      </c>
      <c r="L7177" t="s">
        <v>6891</v>
      </c>
      <c r="BP7177" t="s">
        <v>7167</v>
      </c>
      <c r="BQ7177" t="s">
        <v>7168</v>
      </c>
      <c r="BR7177" t="s">
        <v>7169</v>
      </c>
      <c r="BS7177" t="s">
        <v>7170</v>
      </c>
      <c r="BT7177" t="s">
        <v>7171</v>
      </c>
      <c r="BU7177" t="s">
        <v>7057</v>
      </c>
      <c r="BV7177" t="s">
        <v>7059</v>
      </c>
      <c r="BW7177" t="s">
        <v>7172</v>
      </c>
      <c r="BX7177" t="s">
        <v>7173</v>
      </c>
      <c r="BY7177" t="s">
        <v>7174</v>
      </c>
      <c r="BZ7177" t="s">
        <v>7175</v>
      </c>
      <c r="CA7177" t="s">
        <v>7176</v>
      </c>
      <c r="CB7177" t="s">
        <v>7177</v>
      </c>
      <c r="CC7177" t="s">
        <v>7178</v>
      </c>
      <c r="CD7177" t="s">
        <v>7061</v>
      </c>
      <c r="CE7177" t="s">
        <v>7179</v>
      </c>
      <c r="CF7177" t="s">
        <v>6993</v>
      </c>
      <c r="CG7177" t="s">
        <v>7180</v>
      </c>
      <c r="CH7177" t="s">
        <v>7181</v>
      </c>
    </row>
    <row r="7178" spans="1:86" x14ac:dyDescent="0.3">
      <c r="A7178" s="160">
        <v>59491</v>
      </c>
      <c r="B7178" t="s">
        <v>22315</v>
      </c>
      <c r="C7178" t="s">
        <v>6823</v>
      </c>
      <c r="D7178">
        <v>2</v>
      </c>
      <c r="E7178">
        <v>0</v>
      </c>
      <c r="F7178">
        <f t="shared" si="112"/>
        <v>2</v>
      </c>
      <c r="I7178">
        <v>20130701</v>
      </c>
      <c r="J7178" t="s">
        <v>7268</v>
      </c>
    </row>
    <row r="7179" spans="1:86" x14ac:dyDescent="0.3">
      <c r="A7179" s="160">
        <v>59492</v>
      </c>
      <c r="B7179" t="s">
        <v>22316</v>
      </c>
      <c r="C7179" t="s">
        <v>6821</v>
      </c>
      <c r="D7179">
        <v>0.6</v>
      </c>
      <c r="E7179">
        <v>0.1</v>
      </c>
      <c r="F7179">
        <f t="shared" si="112"/>
        <v>0.7</v>
      </c>
      <c r="I7179">
        <v>20230701</v>
      </c>
      <c r="J7179" t="s">
        <v>6945</v>
      </c>
    </row>
    <row r="7180" spans="1:86" x14ac:dyDescent="0.3">
      <c r="A7180" s="160">
        <v>59495</v>
      </c>
      <c r="B7180" t="s">
        <v>22317</v>
      </c>
      <c r="C7180" t="s">
        <v>6825</v>
      </c>
      <c r="D7180">
        <v>2</v>
      </c>
      <c r="E7180">
        <v>0</v>
      </c>
      <c r="F7180">
        <f t="shared" si="112"/>
        <v>2</v>
      </c>
      <c r="I7180">
        <v>20230101</v>
      </c>
      <c r="J7180" t="s">
        <v>7269</v>
      </c>
    </row>
    <row r="7181" spans="1:86" x14ac:dyDescent="0.3">
      <c r="A7181" s="160">
        <v>59497</v>
      </c>
      <c r="C7181" t="s">
        <v>27548</v>
      </c>
      <c r="D7181">
        <v>1.05</v>
      </c>
      <c r="E7181">
        <v>0</v>
      </c>
      <c r="F7181">
        <f t="shared" si="112"/>
        <v>1.05</v>
      </c>
      <c r="I7181">
        <v>20250101</v>
      </c>
      <c r="J7181" t="s">
        <v>27551</v>
      </c>
      <c r="K7181" t="s">
        <v>27559</v>
      </c>
    </row>
    <row r="7182" spans="1:86" x14ac:dyDescent="0.3">
      <c r="A7182" s="160">
        <v>59499</v>
      </c>
      <c r="B7182" t="s">
        <v>22318</v>
      </c>
      <c r="C7182" t="s">
        <v>256</v>
      </c>
      <c r="D7182">
        <v>0</v>
      </c>
      <c r="E7182">
        <v>0.1</v>
      </c>
      <c r="F7182">
        <f t="shared" si="112"/>
        <v>0.1</v>
      </c>
      <c r="I7182">
        <v>20150701</v>
      </c>
      <c r="J7182" t="s">
        <v>7062</v>
      </c>
    </row>
    <row r="7183" spans="1:86" x14ac:dyDescent="0.3">
      <c r="A7183" s="160">
        <v>59500</v>
      </c>
      <c r="B7183" t="s">
        <v>22319</v>
      </c>
      <c r="C7183" t="s">
        <v>6821</v>
      </c>
      <c r="D7183">
        <v>0.6</v>
      </c>
      <c r="E7183">
        <v>0.1</v>
      </c>
      <c r="F7183">
        <f t="shared" si="112"/>
        <v>0.7</v>
      </c>
      <c r="I7183">
        <v>20230701</v>
      </c>
      <c r="J7183" t="s">
        <v>7201</v>
      </c>
    </row>
    <row r="7184" spans="1:86" x14ac:dyDescent="0.3">
      <c r="A7184" s="160">
        <v>59501</v>
      </c>
      <c r="B7184" t="s">
        <v>22320</v>
      </c>
      <c r="C7184" t="s">
        <v>6830</v>
      </c>
      <c r="D7184">
        <v>1.8</v>
      </c>
      <c r="E7184">
        <v>0</v>
      </c>
      <c r="F7184">
        <f t="shared" si="112"/>
        <v>1.8</v>
      </c>
      <c r="I7184">
        <v>20190901</v>
      </c>
      <c r="J7184" t="s">
        <v>6937</v>
      </c>
    </row>
    <row r="7185" spans="1:18" x14ac:dyDescent="0.3">
      <c r="A7185" s="160">
        <v>59502</v>
      </c>
      <c r="B7185" t="s">
        <v>22321</v>
      </c>
      <c r="C7185" t="s">
        <v>6821</v>
      </c>
      <c r="D7185">
        <v>0.6</v>
      </c>
      <c r="E7185">
        <v>0.1</v>
      </c>
      <c r="F7185">
        <f t="shared" si="112"/>
        <v>0.7</v>
      </c>
      <c r="I7185">
        <v>20230701</v>
      </c>
      <c r="J7185" t="s">
        <v>7270</v>
      </c>
    </row>
    <row r="7186" spans="1:18" x14ac:dyDescent="0.3">
      <c r="A7186" s="160">
        <v>59504</v>
      </c>
      <c r="B7186" t="s">
        <v>22322</v>
      </c>
      <c r="C7186" t="s">
        <v>6823</v>
      </c>
      <c r="D7186">
        <v>2</v>
      </c>
      <c r="E7186">
        <v>0</v>
      </c>
      <c r="F7186">
        <f t="shared" si="112"/>
        <v>2</v>
      </c>
      <c r="I7186">
        <v>20130701</v>
      </c>
      <c r="J7186" t="s">
        <v>7227</v>
      </c>
    </row>
    <row r="7187" spans="1:18" x14ac:dyDescent="0.3">
      <c r="A7187" s="160">
        <v>59505</v>
      </c>
      <c r="B7187" t="s">
        <v>22323</v>
      </c>
      <c r="C7187" t="s">
        <v>6823</v>
      </c>
      <c r="D7187">
        <v>2</v>
      </c>
      <c r="E7187">
        <v>0</v>
      </c>
      <c r="F7187">
        <f t="shared" si="112"/>
        <v>2</v>
      </c>
      <c r="I7187">
        <v>20130701</v>
      </c>
      <c r="J7187" t="s">
        <v>7002</v>
      </c>
    </row>
    <row r="7188" spans="1:18" x14ac:dyDescent="0.3">
      <c r="A7188" s="160">
        <v>59507</v>
      </c>
      <c r="B7188" t="s">
        <v>22324</v>
      </c>
      <c r="C7188" t="s">
        <v>6828</v>
      </c>
      <c r="D7188">
        <v>2</v>
      </c>
      <c r="E7188">
        <v>0</v>
      </c>
      <c r="F7188">
        <f t="shared" si="112"/>
        <v>2</v>
      </c>
      <c r="I7188">
        <v>20110101</v>
      </c>
      <c r="J7188" t="s">
        <v>7043</v>
      </c>
      <c r="K7188" t="s">
        <v>7271</v>
      </c>
      <c r="L7188" t="s">
        <v>7061</v>
      </c>
    </row>
    <row r="7189" spans="1:18" x14ac:dyDescent="0.3">
      <c r="A7189" s="160">
        <v>59508</v>
      </c>
      <c r="B7189" t="s">
        <v>22325</v>
      </c>
      <c r="C7189" t="s">
        <v>6828</v>
      </c>
      <c r="D7189">
        <v>2</v>
      </c>
      <c r="E7189">
        <v>0</v>
      </c>
      <c r="F7189">
        <f t="shared" si="112"/>
        <v>2</v>
      </c>
      <c r="I7189">
        <v>20110101</v>
      </c>
      <c r="J7189" t="s">
        <v>7272</v>
      </c>
      <c r="K7189" t="s">
        <v>7273</v>
      </c>
      <c r="L7189" t="s">
        <v>7274</v>
      </c>
      <c r="M7189" t="s">
        <v>7275</v>
      </c>
    </row>
    <row r="7190" spans="1:18" x14ac:dyDescent="0.3">
      <c r="A7190" s="160">
        <v>59509</v>
      </c>
      <c r="B7190" t="s">
        <v>22326</v>
      </c>
      <c r="C7190" t="s">
        <v>6830</v>
      </c>
      <c r="D7190">
        <v>1.8</v>
      </c>
      <c r="E7190">
        <v>0</v>
      </c>
      <c r="F7190">
        <f t="shared" si="112"/>
        <v>1.8</v>
      </c>
      <c r="I7190">
        <v>20090701</v>
      </c>
      <c r="J7190" t="s">
        <v>7276</v>
      </c>
      <c r="K7190" t="s">
        <v>6998</v>
      </c>
      <c r="L7190" t="s">
        <v>6888</v>
      </c>
      <c r="M7190" t="s">
        <v>6999</v>
      </c>
      <c r="N7190" t="s">
        <v>7013</v>
      </c>
    </row>
    <row r="7191" spans="1:18" x14ac:dyDescent="0.3">
      <c r="A7191" s="160">
        <v>59511</v>
      </c>
      <c r="B7191" t="s">
        <v>22327</v>
      </c>
      <c r="C7191" t="s">
        <v>6823</v>
      </c>
      <c r="D7191">
        <v>2</v>
      </c>
      <c r="E7191">
        <v>0</v>
      </c>
      <c r="F7191">
        <f t="shared" si="112"/>
        <v>2</v>
      </c>
      <c r="I7191">
        <v>20250101</v>
      </c>
      <c r="J7191" t="s">
        <v>6976</v>
      </c>
      <c r="K7191" t="s">
        <v>6940</v>
      </c>
      <c r="L7191" t="s">
        <v>7076</v>
      </c>
      <c r="M7191" t="s">
        <v>6977</v>
      </c>
      <c r="N7191" t="s">
        <v>7277</v>
      </c>
    </row>
    <row r="7192" spans="1:18" x14ac:dyDescent="0.3">
      <c r="A7192" s="160">
        <v>59512</v>
      </c>
      <c r="B7192" t="s">
        <v>22328</v>
      </c>
      <c r="C7192" t="s">
        <v>6828</v>
      </c>
      <c r="D7192">
        <v>2</v>
      </c>
      <c r="E7192">
        <v>0</v>
      </c>
      <c r="F7192">
        <f t="shared" si="112"/>
        <v>2</v>
      </c>
      <c r="I7192">
        <v>20110101</v>
      </c>
      <c r="J7192" t="s">
        <v>7278</v>
      </c>
      <c r="K7192" t="s">
        <v>7279</v>
      </c>
      <c r="L7192" t="s">
        <v>7280</v>
      </c>
      <c r="M7192" t="s">
        <v>7281</v>
      </c>
      <c r="N7192" t="s">
        <v>7282</v>
      </c>
      <c r="O7192" t="s">
        <v>7176</v>
      </c>
      <c r="P7192" t="s">
        <v>7180</v>
      </c>
      <c r="Q7192" t="s">
        <v>7283</v>
      </c>
    </row>
    <row r="7193" spans="1:18" x14ac:dyDescent="0.3">
      <c r="A7193" s="160">
        <v>59513</v>
      </c>
      <c r="B7193" t="s">
        <v>22329</v>
      </c>
      <c r="C7193" t="s">
        <v>6830</v>
      </c>
      <c r="D7193">
        <v>1.8</v>
      </c>
      <c r="E7193">
        <v>0</v>
      </c>
      <c r="F7193">
        <f t="shared" si="112"/>
        <v>1.8</v>
      </c>
      <c r="I7193">
        <v>20090701</v>
      </c>
      <c r="J7193" t="s">
        <v>6957</v>
      </c>
    </row>
    <row r="7194" spans="1:18" x14ac:dyDescent="0.3">
      <c r="A7194" s="160">
        <v>59514</v>
      </c>
      <c r="B7194" t="s">
        <v>22330</v>
      </c>
      <c r="C7194" t="s">
        <v>6825</v>
      </c>
      <c r="D7194">
        <v>2</v>
      </c>
      <c r="E7194">
        <v>0</v>
      </c>
      <c r="F7194">
        <f t="shared" si="112"/>
        <v>2</v>
      </c>
      <c r="I7194">
        <v>20230101</v>
      </c>
      <c r="J7194" t="s">
        <v>7284</v>
      </c>
      <c r="K7194" t="s">
        <v>7046</v>
      </c>
    </row>
    <row r="7195" spans="1:18" x14ac:dyDescent="0.3">
      <c r="A7195" s="160">
        <v>59515</v>
      </c>
      <c r="B7195" t="s">
        <v>22331</v>
      </c>
      <c r="C7195" t="s">
        <v>6823</v>
      </c>
      <c r="D7195">
        <v>2</v>
      </c>
      <c r="E7195">
        <v>0</v>
      </c>
      <c r="F7195">
        <f t="shared" si="112"/>
        <v>2</v>
      </c>
      <c r="I7195">
        <v>20130701</v>
      </c>
      <c r="J7195" t="s">
        <v>7004</v>
      </c>
      <c r="K7195" t="s">
        <v>7259</v>
      </c>
      <c r="L7195" t="s">
        <v>7285</v>
      </c>
      <c r="M7195" t="s">
        <v>7260</v>
      </c>
      <c r="N7195" t="s">
        <v>6901</v>
      </c>
      <c r="O7195" t="s">
        <v>7261</v>
      </c>
      <c r="P7195" t="s">
        <v>7262</v>
      </c>
      <c r="Q7195" t="s">
        <v>7264</v>
      </c>
      <c r="R7195" t="s">
        <v>7006</v>
      </c>
    </row>
    <row r="7196" spans="1:18" x14ac:dyDescent="0.3">
      <c r="A7196" s="160">
        <v>59516</v>
      </c>
      <c r="C7196" t="s">
        <v>27548</v>
      </c>
      <c r="D7196">
        <v>1.05</v>
      </c>
      <c r="E7196">
        <v>0</v>
      </c>
      <c r="F7196">
        <f t="shared" si="112"/>
        <v>1.05</v>
      </c>
      <c r="I7196">
        <v>20250101</v>
      </c>
      <c r="J7196" t="s">
        <v>27549</v>
      </c>
    </row>
    <row r="7197" spans="1:18" x14ac:dyDescent="0.3">
      <c r="A7197" s="160">
        <v>59517</v>
      </c>
      <c r="B7197" t="s">
        <v>22332</v>
      </c>
      <c r="C7197" t="s">
        <v>6821</v>
      </c>
      <c r="D7197">
        <v>0.6</v>
      </c>
      <c r="E7197">
        <v>0.1</v>
      </c>
      <c r="F7197">
        <f t="shared" si="112"/>
        <v>0.7</v>
      </c>
      <c r="I7197">
        <v>20230701</v>
      </c>
      <c r="J7197" t="s">
        <v>6990</v>
      </c>
    </row>
    <row r="7198" spans="1:18" x14ac:dyDescent="0.3">
      <c r="A7198" s="160">
        <v>59519</v>
      </c>
      <c r="B7198" t="s">
        <v>22333</v>
      </c>
      <c r="C7198" t="s">
        <v>6823</v>
      </c>
      <c r="D7198">
        <v>2</v>
      </c>
      <c r="E7198">
        <v>0</v>
      </c>
      <c r="F7198">
        <f t="shared" si="112"/>
        <v>2</v>
      </c>
      <c r="I7198">
        <v>20250101</v>
      </c>
      <c r="J7198" t="s">
        <v>7100</v>
      </c>
    </row>
    <row r="7199" spans="1:18" x14ac:dyDescent="0.3">
      <c r="A7199" s="160">
        <v>59520</v>
      </c>
      <c r="B7199" t="s">
        <v>22334</v>
      </c>
      <c r="C7199" t="s">
        <v>6821</v>
      </c>
      <c r="D7199">
        <v>0.6</v>
      </c>
      <c r="E7199">
        <v>0.1</v>
      </c>
      <c r="F7199">
        <f t="shared" si="112"/>
        <v>0.7</v>
      </c>
      <c r="I7199">
        <v>20230701</v>
      </c>
      <c r="J7199" t="s">
        <v>7286</v>
      </c>
      <c r="K7199" t="s">
        <v>6946</v>
      </c>
      <c r="L7199" t="s">
        <v>6948</v>
      </c>
      <c r="M7199" t="s">
        <v>6951</v>
      </c>
    </row>
    <row r="7200" spans="1:18" x14ac:dyDescent="0.3">
      <c r="A7200" s="160">
        <v>59521</v>
      </c>
      <c r="B7200" t="s">
        <v>22335</v>
      </c>
      <c r="C7200" t="s">
        <v>6821</v>
      </c>
      <c r="D7200">
        <v>0.6</v>
      </c>
      <c r="E7200">
        <v>0.1</v>
      </c>
      <c r="F7200">
        <f t="shared" si="112"/>
        <v>0.7</v>
      </c>
      <c r="I7200">
        <v>20230701</v>
      </c>
      <c r="J7200" t="s">
        <v>6911</v>
      </c>
    </row>
    <row r="7201" spans="1:20" x14ac:dyDescent="0.3">
      <c r="A7201" s="160">
        <v>59522</v>
      </c>
      <c r="B7201" t="s">
        <v>22336</v>
      </c>
      <c r="C7201" t="s">
        <v>6828</v>
      </c>
      <c r="D7201">
        <v>2</v>
      </c>
      <c r="E7201">
        <v>0</v>
      </c>
      <c r="F7201">
        <f t="shared" si="112"/>
        <v>2</v>
      </c>
      <c r="I7201">
        <v>20110101</v>
      </c>
      <c r="J7201" t="s">
        <v>7097</v>
      </c>
    </row>
    <row r="7202" spans="1:20" x14ac:dyDescent="0.3">
      <c r="A7202" s="160">
        <v>59523</v>
      </c>
      <c r="B7202" t="s">
        <v>22337</v>
      </c>
      <c r="C7202" t="s">
        <v>6828</v>
      </c>
      <c r="D7202">
        <v>2</v>
      </c>
      <c r="E7202">
        <v>0</v>
      </c>
      <c r="F7202">
        <f t="shared" si="112"/>
        <v>2</v>
      </c>
      <c r="I7202">
        <v>20110101</v>
      </c>
      <c r="J7202" t="s">
        <v>7287</v>
      </c>
      <c r="K7202" t="s">
        <v>7288</v>
      </c>
      <c r="L7202" t="s">
        <v>6853</v>
      </c>
      <c r="M7202" t="s">
        <v>6854</v>
      </c>
      <c r="N7202" t="s">
        <v>6857</v>
      </c>
      <c r="O7202" t="s">
        <v>7108</v>
      </c>
      <c r="P7202" t="s">
        <v>7057</v>
      </c>
      <c r="Q7202" t="s">
        <v>7044</v>
      </c>
      <c r="R7202" t="s">
        <v>7058</v>
      </c>
      <c r="S7202" t="s">
        <v>7059</v>
      </c>
      <c r="T7202" t="s">
        <v>7060</v>
      </c>
    </row>
    <row r="7203" spans="1:20" x14ac:dyDescent="0.3">
      <c r="A7203" s="160">
        <v>59524</v>
      </c>
      <c r="B7203" t="s">
        <v>22338</v>
      </c>
      <c r="C7203" t="s">
        <v>6828</v>
      </c>
      <c r="D7203">
        <v>2</v>
      </c>
      <c r="E7203">
        <v>0</v>
      </c>
      <c r="F7203">
        <f t="shared" si="112"/>
        <v>2</v>
      </c>
      <c r="I7203">
        <v>20110101</v>
      </c>
      <c r="J7203" t="s">
        <v>7289</v>
      </c>
      <c r="K7203" t="s">
        <v>6915</v>
      </c>
    </row>
    <row r="7204" spans="1:20" x14ac:dyDescent="0.3">
      <c r="A7204" s="160">
        <v>59526</v>
      </c>
      <c r="B7204" t="s">
        <v>22339</v>
      </c>
      <c r="C7204" t="s">
        <v>6823</v>
      </c>
      <c r="D7204">
        <v>2</v>
      </c>
      <c r="E7204">
        <v>0</v>
      </c>
      <c r="F7204">
        <f t="shared" si="112"/>
        <v>2</v>
      </c>
      <c r="I7204">
        <v>20130701</v>
      </c>
      <c r="J7204" t="s">
        <v>6976</v>
      </c>
      <c r="K7204" t="s">
        <v>6940</v>
      </c>
      <c r="L7204" t="s">
        <v>7076</v>
      </c>
      <c r="M7204" t="s">
        <v>6977</v>
      </c>
      <c r="N7204" t="s">
        <v>7277</v>
      </c>
    </row>
    <row r="7205" spans="1:20" x14ac:dyDescent="0.3">
      <c r="A7205" s="160">
        <v>59527</v>
      </c>
      <c r="B7205" t="s">
        <v>22340</v>
      </c>
      <c r="C7205" t="s">
        <v>6828</v>
      </c>
      <c r="D7205">
        <v>2</v>
      </c>
      <c r="E7205">
        <v>0</v>
      </c>
      <c r="F7205">
        <f t="shared" si="112"/>
        <v>2</v>
      </c>
      <c r="I7205">
        <v>20110101</v>
      </c>
      <c r="J7205" t="s">
        <v>7290</v>
      </c>
      <c r="K7205" t="s">
        <v>7291</v>
      </c>
      <c r="L7205" t="s">
        <v>7223</v>
      </c>
      <c r="M7205" t="s">
        <v>7292</v>
      </c>
      <c r="N7205" t="s">
        <v>7293</v>
      </c>
    </row>
    <row r="7206" spans="1:20" x14ac:dyDescent="0.3">
      <c r="A7206" s="160">
        <v>59530</v>
      </c>
      <c r="B7206" t="s">
        <v>22341</v>
      </c>
      <c r="C7206" t="s">
        <v>6823</v>
      </c>
      <c r="D7206">
        <v>2</v>
      </c>
      <c r="E7206">
        <v>0</v>
      </c>
      <c r="F7206">
        <f t="shared" si="112"/>
        <v>2</v>
      </c>
      <c r="I7206">
        <v>20130701</v>
      </c>
      <c r="J7206" t="s">
        <v>6981</v>
      </c>
    </row>
    <row r="7207" spans="1:20" x14ac:dyDescent="0.3">
      <c r="A7207" s="160">
        <v>59532</v>
      </c>
      <c r="B7207" t="s">
        <v>22342</v>
      </c>
      <c r="C7207" t="s">
        <v>6868</v>
      </c>
      <c r="D7207">
        <v>2</v>
      </c>
      <c r="E7207">
        <v>0</v>
      </c>
      <c r="F7207">
        <f t="shared" si="112"/>
        <v>2</v>
      </c>
      <c r="I7207">
        <v>20220701</v>
      </c>
      <c r="J7207" t="s">
        <v>7069</v>
      </c>
    </row>
    <row r="7208" spans="1:20" x14ac:dyDescent="0.3">
      <c r="A7208" s="160">
        <v>59535</v>
      </c>
      <c r="B7208" t="s">
        <v>22343</v>
      </c>
      <c r="C7208" t="s">
        <v>27548</v>
      </c>
      <c r="D7208">
        <v>1.05</v>
      </c>
      <c r="E7208">
        <v>0.1</v>
      </c>
      <c r="F7208">
        <f t="shared" si="112"/>
        <v>1.1500000000000001</v>
      </c>
      <c r="I7208">
        <v>20250101</v>
      </c>
      <c r="J7208" t="s">
        <v>6908</v>
      </c>
    </row>
    <row r="7209" spans="1:20" x14ac:dyDescent="0.3">
      <c r="A7209" s="160">
        <v>59536</v>
      </c>
      <c r="C7209" t="s">
        <v>27548</v>
      </c>
      <c r="D7209">
        <v>1.05</v>
      </c>
      <c r="E7209">
        <v>0</v>
      </c>
      <c r="F7209">
        <f t="shared" si="112"/>
        <v>1.05</v>
      </c>
      <c r="I7209">
        <v>20250101</v>
      </c>
      <c r="J7209" t="s">
        <v>27550</v>
      </c>
    </row>
    <row r="7210" spans="1:20" x14ac:dyDescent="0.3">
      <c r="A7210" s="160">
        <v>59537</v>
      </c>
      <c r="B7210" t="s">
        <v>22344</v>
      </c>
      <c r="C7210" t="s">
        <v>256</v>
      </c>
      <c r="D7210">
        <v>0</v>
      </c>
      <c r="E7210">
        <v>0.1</v>
      </c>
      <c r="F7210">
        <f t="shared" si="112"/>
        <v>0.1</v>
      </c>
      <c r="I7210">
        <v>20150701</v>
      </c>
      <c r="J7210" t="s">
        <v>6920</v>
      </c>
    </row>
    <row r="7211" spans="1:20" x14ac:dyDescent="0.3">
      <c r="A7211" s="160">
        <v>59538</v>
      </c>
      <c r="B7211" t="s">
        <v>22345</v>
      </c>
      <c r="C7211" t="s">
        <v>256</v>
      </c>
      <c r="D7211">
        <v>0</v>
      </c>
      <c r="E7211">
        <v>0.1</v>
      </c>
      <c r="F7211">
        <f t="shared" si="112"/>
        <v>0.1</v>
      </c>
      <c r="I7211">
        <v>20180401</v>
      </c>
      <c r="J7211" t="s">
        <v>7232</v>
      </c>
    </row>
    <row r="7212" spans="1:20" x14ac:dyDescent="0.3">
      <c r="A7212" s="160">
        <v>59539</v>
      </c>
      <c r="B7212" t="s">
        <v>22346</v>
      </c>
      <c r="C7212" t="s">
        <v>256</v>
      </c>
      <c r="D7212">
        <v>0</v>
      </c>
      <c r="E7212">
        <v>0.1</v>
      </c>
      <c r="F7212">
        <f t="shared" si="112"/>
        <v>0.1</v>
      </c>
      <c r="I7212">
        <v>20150701</v>
      </c>
      <c r="J7212" t="s">
        <v>6930</v>
      </c>
    </row>
    <row r="7213" spans="1:20" x14ac:dyDescent="0.3">
      <c r="A7213" s="160">
        <v>59542</v>
      </c>
      <c r="B7213" t="s">
        <v>22347</v>
      </c>
      <c r="C7213" t="s">
        <v>6825</v>
      </c>
      <c r="D7213">
        <v>2</v>
      </c>
      <c r="E7213">
        <v>0</v>
      </c>
      <c r="F7213">
        <f t="shared" si="112"/>
        <v>2</v>
      </c>
      <c r="I7213">
        <v>20230101</v>
      </c>
      <c r="J7213" t="s">
        <v>6903</v>
      </c>
    </row>
    <row r="7214" spans="1:20" x14ac:dyDescent="0.3">
      <c r="A7214" s="160">
        <v>59543</v>
      </c>
      <c r="B7214" t="s">
        <v>22348</v>
      </c>
      <c r="C7214" t="s">
        <v>6825</v>
      </c>
      <c r="D7214">
        <v>2</v>
      </c>
      <c r="E7214">
        <v>0</v>
      </c>
      <c r="F7214">
        <f t="shared" si="112"/>
        <v>2</v>
      </c>
      <c r="I7214">
        <v>20230101</v>
      </c>
      <c r="J7214" t="s">
        <v>6916</v>
      </c>
      <c r="K7214" t="s">
        <v>7079</v>
      </c>
    </row>
    <row r="7215" spans="1:20" x14ac:dyDescent="0.3">
      <c r="A7215" s="160">
        <v>59544</v>
      </c>
      <c r="B7215" t="s">
        <v>22349</v>
      </c>
      <c r="C7215" t="s">
        <v>6823</v>
      </c>
      <c r="D7215">
        <v>2</v>
      </c>
      <c r="E7215">
        <v>0</v>
      </c>
      <c r="F7215">
        <f t="shared" si="112"/>
        <v>2</v>
      </c>
      <c r="I7215">
        <v>20130701</v>
      </c>
      <c r="J7215" t="s">
        <v>7294</v>
      </c>
      <c r="K7215" t="s">
        <v>7216</v>
      </c>
      <c r="L7215" t="s">
        <v>7295</v>
      </c>
    </row>
    <row r="7216" spans="1:20" x14ac:dyDescent="0.3">
      <c r="A7216" s="160">
        <v>59546</v>
      </c>
      <c r="C7216" t="s">
        <v>27548</v>
      </c>
      <c r="D7216">
        <v>1.05</v>
      </c>
      <c r="E7216">
        <v>0</v>
      </c>
      <c r="F7216">
        <f t="shared" si="112"/>
        <v>1.05</v>
      </c>
      <c r="I7216">
        <v>20250101</v>
      </c>
      <c r="J7216" t="s">
        <v>27558</v>
      </c>
    </row>
    <row r="7217" spans="1:16" x14ac:dyDescent="0.3">
      <c r="A7217" s="160">
        <v>59550</v>
      </c>
      <c r="B7217" t="s">
        <v>22350</v>
      </c>
      <c r="C7217" t="s">
        <v>6828</v>
      </c>
      <c r="D7217">
        <v>2</v>
      </c>
      <c r="E7217">
        <v>0</v>
      </c>
      <c r="F7217">
        <f t="shared" si="112"/>
        <v>2</v>
      </c>
      <c r="I7217">
        <v>20110101</v>
      </c>
      <c r="J7217" t="s">
        <v>7075</v>
      </c>
      <c r="K7217" t="s">
        <v>6885</v>
      </c>
    </row>
    <row r="7218" spans="1:16" x14ac:dyDescent="0.3">
      <c r="A7218" s="160">
        <v>59552</v>
      </c>
      <c r="B7218" t="s">
        <v>22351</v>
      </c>
      <c r="C7218" t="s">
        <v>6821</v>
      </c>
      <c r="D7218">
        <v>0.6</v>
      </c>
      <c r="E7218">
        <v>0.1</v>
      </c>
      <c r="F7218">
        <f t="shared" si="112"/>
        <v>0.7</v>
      </c>
      <c r="I7218">
        <v>20230701</v>
      </c>
      <c r="J7218" t="s">
        <v>6822</v>
      </c>
    </row>
    <row r="7219" spans="1:16" x14ac:dyDescent="0.3">
      <c r="A7219" s="160">
        <v>59553</v>
      </c>
      <c r="B7219" t="s">
        <v>22352</v>
      </c>
      <c r="C7219" t="s">
        <v>6828</v>
      </c>
      <c r="D7219">
        <v>2</v>
      </c>
      <c r="E7219">
        <v>0</v>
      </c>
      <c r="F7219">
        <f t="shared" si="112"/>
        <v>2</v>
      </c>
      <c r="I7219">
        <v>20110101</v>
      </c>
      <c r="J7219" t="s">
        <v>7296</v>
      </c>
      <c r="K7219" t="s">
        <v>6915</v>
      </c>
    </row>
    <row r="7220" spans="1:16" x14ac:dyDescent="0.3">
      <c r="A7220" s="160">
        <v>59554</v>
      </c>
      <c r="B7220" t="s">
        <v>22353</v>
      </c>
      <c r="C7220" t="s">
        <v>6823</v>
      </c>
      <c r="D7220">
        <v>2</v>
      </c>
      <c r="E7220">
        <v>0</v>
      </c>
      <c r="F7220">
        <f t="shared" si="112"/>
        <v>2</v>
      </c>
      <c r="I7220">
        <v>20250101</v>
      </c>
      <c r="J7220" t="s">
        <v>6976</v>
      </c>
      <c r="K7220" t="s">
        <v>6940</v>
      </c>
      <c r="L7220" t="s">
        <v>7076</v>
      </c>
      <c r="M7220" t="s">
        <v>6977</v>
      </c>
    </row>
    <row r="7221" spans="1:16" x14ac:dyDescent="0.3">
      <c r="A7221" s="160">
        <v>59556</v>
      </c>
      <c r="B7221" t="s">
        <v>22354</v>
      </c>
      <c r="C7221" t="s">
        <v>6825</v>
      </c>
      <c r="D7221">
        <v>2</v>
      </c>
      <c r="E7221">
        <v>0</v>
      </c>
      <c r="F7221">
        <f t="shared" si="112"/>
        <v>2</v>
      </c>
      <c r="I7221">
        <v>20230101</v>
      </c>
      <c r="J7221" t="s">
        <v>6919</v>
      </c>
    </row>
    <row r="7222" spans="1:16" x14ac:dyDescent="0.3">
      <c r="A7222" s="160">
        <v>59557</v>
      </c>
      <c r="B7222" t="s">
        <v>22355</v>
      </c>
      <c r="C7222" t="s">
        <v>6823</v>
      </c>
      <c r="D7222">
        <v>2</v>
      </c>
      <c r="E7222">
        <v>0</v>
      </c>
      <c r="F7222">
        <f t="shared" si="112"/>
        <v>2</v>
      </c>
      <c r="I7222">
        <v>20130701</v>
      </c>
      <c r="J7222" t="s">
        <v>7002</v>
      </c>
    </row>
    <row r="7223" spans="1:16" x14ac:dyDescent="0.3">
      <c r="A7223" s="160">
        <v>59558</v>
      </c>
      <c r="B7223" t="s">
        <v>22356</v>
      </c>
      <c r="C7223" t="s">
        <v>256</v>
      </c>
      <c r="D7223">
        <v>0</v>
      </c>
      <c r="E7223">
        <v>0.1</v>
      </c>
      <c r="F7223">
        <f t="shared" si="112"/>
        <v>0.1</v>
      </c>
      <c r="I7223">
        <v>20150701</v>
      </c>
      <c r="J7223" t="s">
        <v>7238</v>
      </c>
    </row>
    <row r="7224" spans="1:16" x14ac:dyDescent="0.3">
      <c r="A7224" s="160">
        <v>59559</v>
      </c>
      <c r="B7224" t="s">
        <v>22357</v>
      </c>
      <c r="C7224" t="s">
        <v>6823</v>
      </c>
      <c r="D7224">
        <v>2</v>
      </c>
      <c r="E7224">
        <v>0</v>
      </c>
      <c r="F7224">
        <f t="shared" si="112"/>
        <v>2</v>
      </c>
      <c r="I7224">
        <v>20130701</v>
      </c>
      <c r="J7224" t="s">
        <v>7002</v>
      </c>
    </row>
    <row r="7225" spans="1:16" x14ac:dyDescent="0.3">
      <c r="A7225" s="160">
        <v>59560</v>
      </c>
      <c r="B7225" t="s">
        <v>22358</v>
      </c>
      <c r="C7225" t="s">
        <v>6828</v>
      </c>
      <c r="D7225">
        <v>2</v>
      </c>
      <c r="E7225">
        <v>0</v>
      </c>
      <c r="F7225">
        <f t="shared" si="112"/>
        <v>2</v>
      </c>
      <c r="I7225">
        <v>20110101</v>
      </c>
      <c r="J7225" t="s">
        <v>7297</v>
      </c>
      <c r="K7225" t="s">
        <v>7298</v>
      </c>
      <c r="L7225" t="s">
        <v>7250</v>
      </c>
      <c r="M7225" t="s">
        <v>7299</v>
      </c>
      <c r="N7225" t="s">
        <v>7251</v>
      </c>
      <c r="O7225" t="s">
        <v>7252</v>
      </c>
      <c r="P7225" t="s">
        <v>7300</v>
      </c>
    </row>
    <row r="7226" spans="1:16" x14ac:dyDescent="0.3">
      <c r="A7226" s="160">
        <v>59563</v>
      </c>
      <c r="B7226" t="s">
        <v>22359</v>
      </c>
      <c r="C7226" t="s">
        <v>256</v>
      </c>
      <c r="D7226">
        <v>0</v>
      </c>
      <c r="E7226">
        <v>0.1</v>
      </c>
      <c r="F7226">
        <f t="shared" si="112"/>
        <v>0.1</v>
      </c>
      <c r="I7226">
        <v>20150701</v>
      </c>
      <c r="J7226" t="s">
        <v>7015</v>
      </c>
    </row>
    <row r="7227" spans="1:16" x14ac:dyDescent="0.3">
      <c r="A7227" s="160">
        <v>59564</v>
      </c>
      <c r="B7227" t="s">
        <v>22360</v>
      </c>
      <c r="C7227" t="s">
        <v>6823</v>
      </c>
      <c r="D7227">
        <v>2</v>
      </c>
      <c r="E7227">
        <v>0</v>
      </c>
      <c r="F7227">
        <f t="shared" si="112"/>
        <v>2</v>
      </c>
      <c r="I7227">
        <v>20130701</v>
      </c>
      <c r="J7227" t="s">
        <v>7301</v>
      </c>
      <c r="K7227" t="s">
        <v>7259</v>
      </c>
    </row>
    <row r="7228" spans="1:16" x14ac:dyDescent="0.3">
      <c r="A7228" s="160">
        <v>59565</v>
      </c>
      <c r="B7228" t="s">
        <v>22361</v>
      </c>
      <c r="C7228" t="s">
        <v>256</v>
      </c>
      <c r="D7228">
        <v>0</v>
      </c>
      <c r="E7228">
        <v>0.1</v>
      </c>
      <c r="F7228">
        <f t="shared" si="112"/>
        <v>0.1</v>
      </c>
      <c r="I7228">
        <v>20150701</v>
      </c>
      <c r="J7228" t="s">
        <v>6878</v>
      </c>
    </row>
    <row r="7229" spans="1:16" x14ac:dyDescent="0.3">
      <c r="A7229" s="160">
        <v>59566</v>
      </c>
      <c r="B7229" t="s">
        <v>22362</v>
      </c>
      <c r="C7229" t="s">
        <v>6828</v>
      </c>
      <c r="D7229">
        <v>2</v>
      </c>
      <c r="E7229">
        <v>0</v>
      </c>
      <c r="F7229">
        <f t="shared" si="112"/>
        <v>2</v>
      </c>
      <c r="I7229">
        <v>20110101</v>
      </c>
      <c r="J7229" t="s">
        <v>7030</v>
      </c>
      <c r="K7229" t="s">
        <v>7302</v>
      </c>
      <c r="L7229" t="s">
        <v>6959</v>
      </c>
      <c r="M7229" t="s">
        <v>7031</v>
      </c>
      <c r="N7229" t="s">
        <v>7032</v>
      </c>
    </row>
    <row r="7230" spans="1:16" x14ac:dyDescent="0.3">
      <c r="A7230" s="160">
        <v>59567</v>
      </c>
      <c r="B7230" t="s">
        <v>22363</v>
      </c>
      <c r="C7230" t="s">
        <v>6821</v>
      </c>
      <c r="D7230">
        <v>0.6</v>
      </c>
      <c r="E7230">
        <v>0.1</v>
      </c>
      <c r="F7230">
        <f t="shared" si="112"/>
        <v>0.7</v>
      </c>
      <c r="I7230">
        <v>20230701</v>
      </c>
      <c r="J7230" t="s">
        <v>6862</v>
      </c>
    </row>
    <row r="7231" spans="1:16" x14ac:dyDescent="0.3">
      <c r="A7231" s="160">
        <v>59568</v>
      </c>
      <c r="C7231" t="s">
        <v>27548</v>
      </c>
      <c r="D7231">
        <v>1.05</v>
      </c>
      <c r="E7231">
        <v>0</v>
      </c>
      <c r="F7231">
        <f t="shared" si="112"/>
        <v>1.05</v>
      </c>
      <c r="I7231">
        <v>20250101</v>
      </c>
      <c r="J7231" t="s">
        <v>27551</v>
      </c>
    </row>
    <row r="7232" spans="1:16" x14ac:dyDescent="0.3">
      <c r="A7232" s="160">
        <v>59569</v>
      </c>
      <c r="B7232" t="s">
        <v>22364</v>
      </c>
      <c r="C7232" t="s">
        <v>6830</v>
      </c>
      <c r="D7232">
        <v>1.8</v>
      </c>
      <c r="E7232">
        <v>0</v>
      </c>
      <c r="F7232">
        <f t="shared" si="112"/>
        <v>1.8</v>
      </c>
      <c r="I7232">
        <v>20090701</v>
      </c>
      <c r="J7232" t="s">
        <v>7303</v>
      </c>
    </row>
    <row r="7233" spans="1:13" x14ac:dyDescent="0.3">
      <c r="A7233" s="160">
        <v>59570</v>
      </c>
      <c r="B7233" t="s">
        <v>22365</v>
      </c>
      <c r="C7233" t="s">
        <v>256</v>
      </c>
      <c r="D7233">
        <v>0</v>
      </c>
      <c r="E7233">
        <v>0.1</v>
      </c>
      <c r="F7233">
        <f t="shared" si="112"/>
        <v>0.1</v>
      </c>
      <c r="I7233">
        <v>20150701</v>
      </c>
      <c r="J7233" t="s">
        <v>6869</v>
      </c>
    </row>
    <row r="7234" spans="1:13" x14ac:dyDescent="0.3">
      <c r="A7234" s="160">
        <v>59573</v>
      </c>
      <c r="B7234" t="s">
        <v>22366</v>
      </c>
      <c r="C7234" t="s">
        <v>256</v>
      </c>
      <c r="D7234">
        <v>0</v>
      </c>
      <c r="E7234">
        <v>0.1</v>
      </c>
      <c r="F7234">
        <f t="shared" si="112"/>
        <v>0.1</v>
      </c>
      <c r="I7234">
        <v>20150701</v>
      </c>
      <c r="J7234" t="s">
        <v>6918</v>
      </c>
    </row>
    <row r="7235" spans="1:13" x14ac:dyDescent="0.3">
      <c r="A7235" s="160">
        <v>59574</v>
      </c>
      <c r="B7235" t="s">
        <v>22367</v>
      </c>
      <c r="C7235" t="s">
        <v>6830</v>
      </c>
      <c r="D7235">
        <v>1.8</v>
      </c>
      <c r="E7235">
        <v>0</v>
      </c>
      <c r="F7235">
        <f t="shared" si="112"/>
        <v>1.8</v>
      </c>
      <c r="I7235">
        <v>20190901</v>
      </c>
      <c r="J7235" t="s">
        <v>6942</v>
      </c>
    </row>
    <row r="7236" spans="1:13" x14ac:dyDescent="0.3">
      <c r="A7236" s="160">
        <v>59575</v>
      </c>
      <c r="B7236" t="s">
        <v>22368</v>
      </c>
      <c r="C7236" t="s">
        <v>256</v>
      </c>
      <c r="D7236">
        <v>0</v>
      </c>
      <c r="E7236">
        <v>0.1</v>
      </c>
      <c r="F7236">
        <f t="shared" si="112"/>
        <v>0.1</v>
      </c>
      <c r="I7236">
        <v>20150701</v>
      </c>
      <c r="J7236" t="s">
        <v>6920</v>
      </c>
    </row>
    <row r="7237" spans="1:13" x14ac:dyDescent="0.3">
      <c r="A7237" s="160">
        <v>59576</v>
      </c>
      <c r="B7237" t="s">
        <v>22369</v>
      </c>
      <c r="C7237" t="s">
        <v>6868</v>
      </c>
      <c r="D7237">
        <v>2</v>
      </c>
      <c r="E7237">
        <v>0</v>
      </c>
      <c r="F7237">
        <f t="shared" si="112"/>
        <v>2</v>
      </c>
      <c r="I7237">
        <v>20220701</v>
      </c>
      <c r="J7237" t="s">
        <v>6869</v>
      </c>
    </row>
    <row r="7238" spans="1:13" x14ac:dyDescent="0.3">
      <c r="A7238" s="160">
        <v>59577</v>
      </c>
      <c r="C7238" t="s">
        <v>27548</v>
      </c>
      <c r="D7238">
        <v>1.05</v>
      </c>
      <c r="E7238">
        <v>0</v>
      </c>
      <c r="F7238">
        <f t="shared" si="112"/>
        <v>1.05</v>
      </c>
      <c r="I7238">
        <v>20250101</v>
      </c>
      <c r="J7238" t="s">
        <v>27554</v>
      </c>
    </row>
    <row r="7239" spans="1:13" x14ac:dyDescent="0.3">
      <c r="A7239" s="160">
        <v>59578</v>
      </c>
      <c r="C7239" t="s">
        <v>27548</v>
      </c>
      <c r="D7239">
        <v>1.05</v>
      </c>
      <c r="E7239">
        <v>0</v>
      </c>
      <c r="F7239">
        <f t="shared" ref="F7239:F7302" si="113">D7239+E7239</f>
        <v>1.05</v>
      </c>
      <c r="I7239">
        <v>20250101</v>
      </c>
      <c r="J7239" t="s">
        <v>27553</v>
      </c>
      <c r="K7239" t="s">
        <v>27557</v>
      </c>
      <c r="L7239" t="s">
        <v>27559</v>
      </c>
      <c r="M7239" t="s">
        <v>27555</v>
      </c>
    </row>
    <row r="7240" spans="1:13" x14ac:dyDescent="0.3">
      <c r="A7240" s="160">
        <v>59579</v>
      </c>
      <c r="B7240" t="s">
        <v>22370</v>
      </c>
      <c r="C7240" t="s">
        <v>256</v>
      </c>
      <c r="D7240">
        <v>0</v>
      </c>
      <c r="E7240">
        <v>0.1</v>
      </c>
      <c r="F7240">
        <f t="shared" si="113"/>
        <v>0.1</v>
      </c>
      <c r="I7240">
        <v>20150701</v>
      </c>
      <c r="J7240" t="s">
        <v>6869</v>
      </c>
    </row>
    <row r="7241" spans="1:13" x14ac:dyDescent="0.3">
      <c r="A7241" s="160">
        <v>59580</v>
      </c>
      <c r="C7241" t="s">
        <v>27548</v>
      </c>
      <c r="D7241">
        <v>1.05</v>
      </c>
      <c r="E7241">
        <v>0</v>
      </c>
      <c r="F7241">
        <f t="shared" si="113"/>
        <v>1.05</v>
      </c>
      <c r="I7241">
        <v>20250101</v>
      </c>
      <c r="J7241" t="s">
        <v>27558</v>
      </c>
    </row>
    <row r="7242" spans="1:13" x14ac:dyDescent="0.3">
      <c r="A7242" s="160">
        <v>59581</v>
      </c>
      <c r="B7242" t="s">
        <v>22371</v>
      </c>
      <c r="C7242" t="s">
        <v>27548</v>
      </c>
      <c r="D7242">
        <v>1.05</v>
      </c>
      <c r="E7242">
        <v>0.1</v>
      </c>
      <c r="F7242">
        <f t="shared" si="113"/>
        <v>1.1500000000000001</v>
      </c>
      <c r="I7242">
        <v>20250101</v>
      </c>
      <c r="J7242" t="s">
        <v>7304</v>
      </c>
    </row>
    <row r="7243" spans="1:13" x14ac:dyDescent="0.3">
      <c r="A7243" s="160">
        <v>59582</v>
      </c>
      <c r="C7243" t="s">
        <v>27548</v>
      </c>
      <c r="D7243">
        <v>1.05</v>
      </c>
      <c r="E7243">
        <v>0</v>
      </c>
      <c r="F7243">
        <f t="shared" si="113"/>
        <v>1.05</v>
      </c>
      <c r="I7243">
        <v>20250101</v>
      </c>
      <c r="J7243" t="s">
        <v>6908</v>
      </c>
    </row>
    <row r="7244" spans="1:13" x14ac:dyDescent="0.3">
      <c r="A7244" s="160">
        <v>59585</v>
      </c>
      <c r="B7244" t="s">
        <v>22372</v>
      </c>
      <c r="C7244" t="s">
        <v>6828</v>
      </c>
      <c r="D7244">
        <v>2</v>
      </c>
      <c r="E7244">
        <v>0</v>
      </c>
      <c r="F7244">
        <f t="shared" si="113"/>
        <v>2</v>
      </c>
      <c r="I7244">
        <v>20110101</v>
      </c>
      <c r="J7244" t="s">
        <v>7305</v>
      </c>
      <c r="K7244" t="s">
        <v>7250</v>
      </c>
      <c r="L7244" t="s">
        <v>7253</v>
      </c>
      <c r="M7244" t="s">
        <v>7306</v>
      </c>
    </row>
    <row r="7245" spans="1:13" x14ac:dyDescent="0.3">
      <c r="A7245" s="160">
        <v>59586</v>
      </c>
      <c r="B7245" t="s">
        <v>22373</v>
      </c>
      <c r="C7245" t="s">
        <v>256</v>
      </c>
      <c r="D7245">
        <v>0</v>
      </c>
      <c r="E7245">
        <v>0.1</v>
      </c>
      <c r="F7245">
        <f t="shared" si="113"/>
        <v>0.1</v>
      </c>
      <c r="I7245">
        <v>20150701</v>
      </c>
      <c r="J7245" t="s">
        <v>6964</v>
      </c>
    </row>
    <row r="7246" spans="1:13" x14ac:dyDescent="0.3">
      <c r="A7246" s="160">
        <v>59587</v>
      </c>
      <c r="C7246" t="s">
        <v>27548</v>
      </c>
      <c r="D7246">
        <v>1.05</v>
      </c>
      <c r="E7246">
        <v>0</v>
      </c>
      <c r="F7246">
        <f t="shared" si="113"/>
        <v>1.05</v>
      </c>
      <c r="I7246">
        <v>20250101</v>
      </c>
      <c r="J7246" t="s">
        <v>27558</v>
      </c>
    </row>
    <row r="7247" spans="1:13" x14ac:dyDescent="0.3">
      <c r="A7247" s="160">
        <v>59588</v>
      </c>
      <c r="B7247" t="s">
        <v>22374</v>
      </c>
      <c r="C7247" t="s">
        <v>6868</v>
      </c>
      <c r="D7247">
        <v>2</v>
      </c>
      <c r="E7247">
        <v>0</v>
      </c>
      <c r="F7247">
        <f t="shared" si="113"/>
        <v>2</v>
      </c>
      <c r="I7247">
        <v>20220701</v>
      </c>
      <c r="J7247" t="s">
        <v>7307</v>
      </c>
      <c r="K7247" t="s">
        <v>6869</v>
      </c>
      <c r="L7247" t="s">
        <v>6968</v>
      </c>
      <c r="M7247" t="s">
        <v>6970</v>
      </c>
    </row>
    <row r="7248" spans="1:13" x14ac:dyDescent="0.3">
      <c r="A7248" s="160">
        <v>59589</v>
      </c>
      <c r="B7248" t="s">
        <v>22375</v>
      </c>
      <c r="C7248" t="s">
        <v>6823</v>
      </c>
      <c r="D7248">
        <v>2</v>
      </c>
      <c r="E7248">
        <v>0</v>
      </c>
      <c r="F7248">
        <f t="shared" si="113"/>
        <v>2</v>
      </c>
      <c r="I7248">
        <v>20130701</v>
      </c>
      <c r="J7248" t="s">
        <v>7233</v>
      </c>
    </row>
    <row r="7249" spans="1:30" x14ac:dyDescent="0.3">
      <c r="A7249" s="160">
        <v>59590</v>
      </c>
      <c r="C7249" t="s">
        <v>27548</v>
      </c>
      <c r="D7249">
        <v>1.05</v>
      </c>
      <c r="E7249">
        <v>0</v>
      </c>
      <c r="F7249">
        <f t="shared" si="113"/>
        <v>1.05</v>
      </c>
      <c r="I7249">
        <v>20250101</v>
      </c>
      <c r="J7249" t="s">
        <v>27553</v>
      </c>
      <c r="K7249" t="s">
        <v>27557</v>
      </c>
    </row>
    <row r="7250" spans="1:30" x14ac:dyDescent="0.3">
      <c r="A7250" s="160">
        <v>59591</v>
      </c>
      <c r="B7250" t="s">
        <v>22376</v>
      </c>
      <c r="C7250" t="s">
        <v>6823</v>
      </c>
      <c r="D7250">
        <v>2</v>
      </c>
      <c r="E7250">
        <v>0</v>
      </c>
      <c r="F7250">
        <f t="shared" si="113"/>
        <v>2</v>
      </c>
      <c r="I7250">
        <v>20130701</v>
      </c>
      <c r="J7250" t="s">
        <v>6981</v>
      </c>
    </row>
    <row r="7251" spans="1:30" x14ac:dyDescent="0.3">
      <c r="A7251" s="160">
        <v>59592</v>
      </c>
      <c r="B7251" t="s">
        <v>22377</v>
      </c>
      <c r="C7251" t="s">
        <v>256</v>
      </c>
      <c r="D7251">
        <v>0</v>
      </c>
      <c r="E7251">
        <v>0.1</v>
      </c>
      <c r="F7251">
        <f t="shared" si="113"/>
        <v>0.1</v>
      </c>
      <c r="I7251">
        <v>20150701</v>
      </c>
      <c r="J7251" t="s">
        <v>7245</v>
      </c>
    </row>
    <row r="7252" spans="1:30" x14ac:dyDescent="0.3">
      <c r="A7252" s="160">
        <v>59593</v>
      </c>
      <c r="B7252" t="s">
        <v>22378</v>
      </c>
      <c r="C7252" t="s">
        <v>6821</v>
      </c>
      <c r="D7252">
        <v>0.6</v>
      </c>
      <c r="E7252">
        <v>0.1</v>
      </c>
      <c r="F7252">
        <f t="shared" si="113"/>
        <v>0.7</v>
      </c>
      <c r="I7252">
        <v>20230701</v>
      </c>
      <c r="J7252" t="s">
        <v>7088</v>
      </c>
    </row>
    <row r="7253" spans="1:30" x14ac:dyDescent="0.3">
      <c r="A7253" s="160">
        <v>59594</v>
      </c>
      <c r="B7253" t="s">
        <v>22379</v>
      </c>
      <c r="C7253" t="s">
        <v>6823</v>
      </c>
      <c r="D7253">
        <v>2</v>
      </c>
      <c r="E7253">
        <v>0</v>
      </c>
      <c r="F7253">
        <f t="shared" si="113"/>
        <v>2</v>
      </c>
      <c r="I7253">
        <v>20250101</v>
      </c>
      <c r="J7253" t="s">
        <v>7050</v>
      </c>
    </row>
    <row r="7254" spans="1:30" x14ac:dyDescent="0.3">
      <c r="A7254" s="160">
        <v>59595</v>
      </c>
      <c r="B7254" t="s">
        <v>22380</v>
      </c>
      <c r="C7254" t="s">
        <v>6821</v>
      </c>
      <c r="D7254">
        <v>0.6</v>
      </c>
      <c r="E7254">
        <v>0.1</v>
      </c>
      <c r="F7254">
        <f t="shared" si="113"/>
        <v>0.7</v>
      </c>
      <c r="I7254">
        <v>20230701</v>
      </c>
      <c r="J7254" t="s">
        <v>7088</v>
      </c>
    </row>
    <row r="7255" spans="1:30" x14ac:dyDescent="0.3">
      <c r="A7255" s="160">
        <v>59596</v>
      </c>
      <c r="B7255" t="s">
        <v>22381</v>
      </c>
      <c r="C7255" t="s">
        <v>6830</v>
      </c>
      <c r="D7255">
        <v>1.8</v>
      </c>
      <c r="E7255">
        <v>0</v>
      </c>
      <c r="F7255">
        <f t="shared" si="113"/>
        <v>1.8</v>
      </c>
      <c r="I7255">
        <v>20190901</v>
      </c>
      <c r="J7255" t="s">
        <v>6937</v>
      </c>
    </row>
    <row r="7256" spans="1:30" x14ac:dyDescent="0.3">
      <c r="A7256" s="160">
        <v>59597</v>
      </c>
      <c r="B7256" t="s">
        <v>22382</v>
      </c>
      <c r="C7256" t="s">
        <v>6821</v>
      </c>
      <c r="D7256">
        <v>0.6</v>
      </c>
      <c r="E7256">
        <v>0.1</v>
      </c>
      <c r="F7256">
        <f t="shared" si="113"/>
        <v>0.7</v>
      </c>
      <c r="I7256">
        <v>20230701</v>
      </c>
      <c r="J7256" t="s">
        <v>6911</v>
      </c>
    </row>
    <row r="7257" spans="1:30" x14ac:dyDescent="0.3">
      <c r="A7257" s="160">
        <v>59598</v>
      </c>
      <c r="B7257" t="s">
        <v>22383</v>
      </c>
      <c r="C7257" t="s">
        <v>6828</v>
      </c>
      <c r="D7257">
        <v>2</v>
      </c>
      <c r="E7257">
        <v>0</v>
      </c>
      <c r="F7257">
        <f t="shared" si="113"/>
        <v>2</v>
      </c>
      <c r="I7257">
        <v>20110101</v>
      </c>
      <c r="J7257" t="s">
        <v>7097</v>
      </c>
      <c r="K7257" t="s">
        <v>7191</v>
      </c>
      <c r="L7257" t="s">
        <v>7192</v>
      </c>
    </row>
    <row r="7258" spans="1:30" x14ac:dyDescent="0.3">
      <c r="A7258" s="160">
        <v>59599</v>
      </c>
      <c r="B7258" t="s">
        <v>22384</v>
      </c>
      <c r="C7258" t="s">
        <v>6828</v>
      </c>
      <c r="D7258">
        <v>2</v>
      </c>
      <c r="E7258">
        <v>0</v>
      </c>
      <c r="F7258">
        <f t="shared" si="113"/>
        <v>2</v>
      </c>
      <c r="I7258">
        <v>20110101</v>
      </c>
      <c r="J7258" t="s">
        <v>7308</v>
      </c>
      <c r="K7258" t="s">
        <v>7309</v>
      </c>
      <c r="L7258" t="s">
        <v>7310</v>
      </c>
      <c r="M7258" t="s">
        <v>7311</v>
      </c>
      <c r="N7258" t="s">
        <v>7312</v>
      </c>
      <c r="O7258" t="s">
        <v>7313</v>
      </c>
      <c r="P7258" t="s">
        <v>7314</v>
      </c>
      <c r="Q7258" t="s">
        <v>7315</v>
      </c>
      <c r="R7258" t="s">
        <v>7316</v>
      </c>
      <c r="S7258" t="s">
        <v>7163</v>
      </c>
      <c r="T7258" t="s">
        <v>7317</v>
      </c>
      <c r="U7258" t="s">
        <v>7318</v>
      </c>
      <c r="V7258" t="s">
        <v>7319</v>
      </c>
      <c r="W7258" t="s">
        <v>6932</v>
      </c>
      <c r="X7258" t="s">
        <v>6927</v>
      </c>
      <c r="Y7258" t="s">
        <v>7320</v>
      </c>
      <c r="Z7258" t="s">
        <v>7180</v>
      </c>
      <c r="AA7258" t="s">
        <v>7321</v>
      </c>
      <c r="AB7258" t="s">
        <v>7322</v>
      </c>
      <c r="AC7258" t="s">
        <v>7323</v>
      </c>
      <c r="AD7258" t="s">
        <v>7324</v>
      </c>
    </row>
    <row r="7259" spans="1:30" x14ac:dyDescent="0.3">
      <c r="A7259" s="160">
        <v>59600</v>
      </c>
      <c r="B7259" t="s">
        <v>22385</v>
      </c>
      <c r="C7259" t="s">
        <v>256</v>
      </c>
      <c r="D7259">
        <v>0</v>
      </c>
      <c r="E7259">
        <v>0.1</v>
      </c>
      <c r="F7259">
        <f t="shared" si="113"/>
        <v>0.1</v>
      </c>
      <c r="I7259">
        <v>20150701</v>
      </c>
      <c r="J7259" t="s">
        <v>6881</v>
      </c>
    </row>
    <row r="7260" spans="1:30" x14ac:dyDescent="0.3">
      <c r="A7260" s="160">
        <v>59602</v>
      </c>
      <c r="B7260" t="s">
        <v>22386</v>
      </c>
      <c r="C7260" t="s">
        <v>6828</v>
      </c>
      <c r="D7260">
        <v>2</v>
      </c>
      <c r="E7260">
        <v>0</v>
      </c>
      <c r="F7260">
        <f t="shared" si="113"/>
        <v>2</v>
      </c>
      <c r="I7260">
        <v>20110101</v>
      </c>
      <c r="J7260" t="s">
        <v>6864</v>
      </c>
      <c r="K7260" t="s">
        <v>6852</v>
      </c>
    </row>
    <row r="7261" spans="1:30" x14ac:dyDescent="0.3">
      <c r="A7261" s="160">
        <v>59603</v>
      </c>
      <c r="B7261" t="s">
        <v>22387</v>
      </c>
      <c r="C7261" t="s">
        <v>6823</v>
      </c>
      <c r="D7261">
        <v>2</v>
      </c>
      <c r="E7261">
        <v>0</v>
      </c>
      <c r="F7261">
        <f t="shared" si="113"/>
        <v>2</v>
      </c>
      <c r="I7261">
        <v>20130701</v>
      </c>
      <c r="J7261" t="s">
        <v>7325</v>
      </c>
      <c r="K7261" t="s">
        <v>7259</v>
      </c>
      <c r="L7261" t="s">
        <v>6899</v>
      </c>
      <c r="M7261" t="s">
        <v>7260</v>
      </c>
      <c r="N7261" t="s">
        <v>6901</v>
      </c>
      <c r="O7261" t="s">
        <v>7262</v>
      </c>
      <c r="P7261" t="s">
        <v>7264</v>
      </c>
    </row>
    <row r="7262" spans="1:30" x14ac:dyDescent="0.3">
      <c r="A7262" s="160">
        <v>59605</v>
      </c>
      <c r="B7262" t="s">
        <v>22388</v>
      </c>
      <c r="C7262" t="s">
        <v>256</v>
      </c>
      <c r="D7262">
        <v>0</v>
      </c>
      <c r="E7262">
        <v>0.1</v>
      </c>
      <c r="F7262">
        <f t="shared" si="113"/>
        <v>0.1</v>
      </c>
      <c r="I7262">
        <v>20150701</v>
      </c>
      <c r="J7262" t="s">
        <v>7307</v>
      </c>
    </row>
    <row r="7263" spans="1:30" x14ac:dyDescent="0.3">
      <c r="A7263" s="160">
        <v>59606</v>
      </c>
      <c r="B7263" t="s">
        <v>22389</v>
      </c>
      <c r="C7263" t="s">
        <v>6823</v>
      </c>
      <c r="D7263">
        <v>2</v>
      </c>
      <c r="E7263">
        <v>0</v>
      </c>
      <c r="F7263">
        <f t="shared" si="113"/>
        <v>2</v>
      </c>
      <c r="I7263">
        <v>20130701</v>
      </c>
      <c r="J7263" t="s">
        <v>6895</v>
      </c>
      <c r="K7263" t="s">
        <v>6896</v>
      </c>
      <c r="L7263" t="s">
        <v>6897</v>
      </c>
      <c r="M7263" t="s">
        <v>7259</v>
      </c>
      <c r="N7263" t="s">
        <v>6898</v>
      </c>
      <c r="O7263" t="s">
        <v>7214</v>
      </c>
      <c r="P7263" t="s">
        <v>7285</v>
      </c>
      <c r="Q7263" t="s">
        <v>6899</v>
      </c>
      <c r="R7263" t="s">
        <v>6900</v>
      </c>
      <c r="S7263" t="s">
        <v>7260</v>
      </c>
      <c r="T7263" t="s">
        <v>7326</v>
      </c>
      <c r="U7263" t="s">
        <v>6901</v>
      </c>
      <c r="V7263" t="s">
        <v>6902</v>
      </c>
      <c r="W7263" t="s">
        <v>7327</v>
      </c>
      <c r="X7263" t="s">
        <v>7261</v>
      </c>
      <c r="Y7263" t="s">
        <v>7262</v>
      </c>
      <c r="Z7263" t="s">
        <v>7263</v>
      </c>
      <c r="AA7263" t="s">
        <v>7294</v>
      </c>
      <c r="AB7263" t="s">
        <v>7216</v>
      </c>
      <c r="AC7263" t="s">
        <v>6866</v>
      </c>
    </row>
    <row r="7264" spans="1:30" x14ac:dyDescent="0.3">
      <c r="A7264" s="160">
        <v>59608</v>
      </c>
      <c r="B7264" t="s">
        <v>22390</v>
      </c>
      <c r="C7264" t="s">
        <v>256</v>
      </c>
      <c r="D7264">
        <v>0</v>
      </c>
      <c r="E7264">
        <v>0.1</v>
      </c>
      <c r="F7264">
        <f t="shared" si="113"/>
        <v>0.1</v>
      </c>
      <c r="I7264">
        <v>20150701</v>
      </c>
      <c r="J7264" t="s">
        <v>6920</v>
      </c>
    </row>
    <row r="7265" spans="1:14" x14ac:dyDescent="0.3">
      <c r="A7265" s="160">
        <v>59609</v>
      </c>
      <c r="B7265" t="s">
        <v>22391</v>
      </c>
      <c r="C7265" t="s">
        <v>6828</v>
      </c>
      <c r="D7265">
        <v>2</v>
      </c>
      <c r="E7265">
        <v>0</v>
      </c>
      <c r="F7265">
        <f t="shared" si="113"/>
        <v>2</v>
      </c>
      <c r="I7265">
        <v>20110101</v>
      </c>
      <c r="J7265" t="s">
        <v>7305</v>
      </c>
      <c r="K7265" t="s">
        <v>7306</v>
      </c>
    </row>
    <row r="7266" spans="1:14" x14ac:dyDescent="0.3">
      <c r="A7266" s="160">
        <v>59610</v>
      </c>
      <c r="B7266" t="s">
        <v>22392</v>
      </c>
      <c r="C7266" t="s">
        <v>6823</v>
      </c>
      <c r="D7266">
        <v>2</v>
      </c>
      <c r="E7266">
        <v>0</v>
      </c>
      <c r="F7266">
        <f t="shared" si="113"/>
        <v>2</v>
      </c>
      <c r="I7266">
        <v>20130701</v>
      </c>
      <c r="J7266" t="s">
        <v>7238</v>
      </c>
    </row>
    <row r="7267" spans="1:14" x14ac:dyDescent="0.3">
      <c r="A7267" s="160">
        <v>59611</v>
      </c>
      <c r="B7267" t="s">
        <v>22393</v>
      </c>
      <c r="C7267" t="s">
        <v>6828</v>
      </c>
      <c r="D7267">
        <v>2</v>
      </c>
      <c r="E7267">
        <v>0</v>
      </c>
      <c r="F7267">
        <f t="shared" si="113"/>
        <v>2</v>
      </c>
      <c r="I7267">
        <v>20110101</v>
      </c>
      <c r="J7267" t="s">
        <v>7328</v>
      </c>
      <c r="K7267" t="s">
        <v>7329</v>
      </c>
      <c r="L7267" t="s">
        <v>7096</v>
      </c>
      <c r="M7267" t="s">
        <v>7061</v>
      </c>
      <c r="N7267" t="s">
        <v>7330</v>
      </c>
    </row>
    <row r="7268" spans="1:14" x14ac:dyDescent="0.3">
      <c r="A7268" s="160">
        <v>59613</v>
      </c>
      <c r="B7268" t="s">
        <v>22394</v>
      </c>
      <c r="C7268" t="s">
        <v>6823</v>
      </c>
      <c r="D7268">
        <v>2</v>
      </c>
      <c r="E7268">
        <v>0</v>
      </c>
      <c r="F7268">
        <f t="shared" si="113"/>
        <v>2</v>
      </c>
      <c r="I7268">
        <v>20130701</v>
      </c>
      <c r="J7268" t="s">
        <v>7054</v>
      </c>
    </row>
    <row r="7269" spans="1:14" x14ac:dyDescent="0.3">
      <c r="A7269" s="160">
        <v>59615</v>
      </c>
      <c r="B7269" t="s">
        <v>22395</v>
      </c>
      <c r="C7269" t="s">
        <v>27548</v>
      </c>
      <c r="D7269">
        <v>1.05</v>
      </c>
      <c r="E7269">
        <v>0</v>
      </c>
      <c r="F7269">
        <f t="shared" si="113"/>
        <v>1.05</v>
      </c>
      <c r="I7269">
        <v>20250101</v>
      </c>
      <c r="J7269" t="s">
        <v>7331</v>
      </c>
    </row>
    <row r="7270" spans="1:14" x14ac:dyDescent="0.3">
      <c r="A7270" s="160">
        <v>59616</v>
      </c>
      <c r="B7270" t="s">
        <v>22396</v>
      </c>
      <c r="C7270" t="s">
        <v>6823</v>
      </c>
      <c r="D7270">
        <v>2</v>
      </c>
      <c r="E7270">
        <v>0</v>
      </c>
      <c r="F7270">
        <f t="shared" si="113"/>
        <v>2</v>
      </c>
      <c r="I7270">
        <v>20130701</v>
      </c>
      <c r="J7270" t="s">
        <v>7332</v>
      </c>
    </row>
    <row r="7271" spans="1:14" x14ac:dyDescent="0.3">
      <c r="A7271" s="160">
        <v>59617</v>
      </c>
      <c r="B7271" t="s">
        <v>22397</v>
      </c>
      <c r="C7271" t="s">
        <v>6825</v>
      </c>
      <c r="D7271">
        <v>2</v>
      </c>
      <c r="E7271">
        <v>0</v>
      </c>
      <c r="F7271">
        <f t="shared" si="113"/>
        <v>2</v>
      </c>
      <c r="I7271">
        <v>20230101</v>
      </c>
      <c r="J7271" t="s">
        <v>6906</v>
      </c>
    </row>
    <row r="7272" spans="1:14" x14ac:dyDescent="0.3">
      <c r="A7272" s="160">
        <v>59618</v>
      </c>
      <c r="B7272" t="s">
        <v>22398</v>
      </c>
      <c r="C7272" t="s">
        <v>6825</v>
      </c>
      <c r="D7272">
        <v>2</v>
      </c>
      <c r="E7272">
        <v>0</v>
      </c>
      <c r="F7272">
        <f t="shared" si="113"/>
        <v>2</v>
      </c>
      <c r="I7272">
        <v>20230101</v>
      </c>
      <c r="J7272" t="s">
        <v>6879</v>
      </c>
    </row>
    <row r="7273" spans="1:14" x14ac:dyDescent="0.3">
      <c r="A7273" s="160">
        <v>59620</v>
      </c>
      <c r="B7273" t="s">
        <v>22399</v>
      </c>
      <c r="C7273" t="s">
        <v>6830</v>
      </c>
      <c r="D7273">
        <v>1.8</v>
      </c>
      <c r="E7273">
        <v>0</v>
      </c>
      <c r="F7273">
        <f t="shared" si="113"/>
        <v>1.8</v>
      </c>
      <c r="I7273">
        <v>20090701</v>
      </c>
      <c r="J7273" t="s">
        <v>7055</v>
      </c>
    </row>
    <row r="7274" spans="1:14" x14ac:dyDescent="0.3">
      <c r="A7274" s="160">
        <v>59622</v>
      </c>
      <c r="B7274" t="s">
        <v>22400</v>
      </c>
      <c r="C7274" t="s">
        <v>6821</v>
      </c>
      <c r="D7274">
        <v>0.6</v>
      </c>
      <c r="E7274">
        <v>0.1</v>
      </c>
      <c r="F7274">
        <f t="shared" si="113"/>
        <v>0.7</v>
      </c>
      <c r="I7274">
        <v>20230701</v>
      </c>
      <c r="J7274" t="s">
        <v>7333</v>
      </c>
    </row>
    <row r="7275" spans="1:14" x14ac:dyDescent="0.3">
      <c r="A7275" s="160">
        <v>59623</v>
      </c>
      <c r="B7275" t="s">
        <v>22401</v>
      </c>
      <c r="C7275" t="s">
        <v>6821</v>
      </c>
      <c r="D7275">
        <v>0.6</v>
      </c>
      <c r="E7275">
        <v>0.1</v>
      </c>
      <c r="F7275">
        <f t="shared" si="113"/>
        <v>0.7</v>
      </c>
      <c r="I7275">
        <v>20230701</v>
      </c>
      <c r="J7275" t="s">
        <v>7334</v>
      </c>
    </row>
    <row r="7276" spans="1:14" x14ac:dyDescent="0.3">
      <c r="A7276" s="160">
        <v>59625</v>
      </c>
      <c r="B7276" t="s">
        <v>22402</v>
      </c>
      <c r="C7276" t="s">
        <v>6821</v>
      </c>
      <c r="D7276">
        <v>0.6</v>
      </c>
      <c r="E7276">
        <v>0.1</v>
      </c>
      <c r="F7276">
        <f t="shared" si="113"/>
        <v>0.7</v>
      </c>
      <c r="I7276">
        <v>20230901</v>
      </c>
      <c r="J7276" t="s">
        <v>22161</v>
      </c>
    </row>
    <row r="7277" spans="1:14" x14ac:dyDescent="0.3">
      <c r="A7277" s="160">
        <v>59627</v>
      </c>
      <c r="B7277" t="s">
        <v>22403</v>
      </c>
      <c r="C7277" t="s">
        <v>6825</v>
      </c>
      <c r="D7277">
        <v>2</v>
      </c>
      <c r="E7277">
        <v>0</v>
      </c>
      <c r="F7277">
        <f t="shared" si="113"/>
        <v>2</v>
      </c>
      <c r="I7277">
        <v>20230101</v>
      </c>
      <c r="J7277" t="s">
        <v>6879</v>
      </c>
    </row>
    <row r="7278" spans="1:14" x14ac:dyDescent="0.3">
      <c r="A7278" s="160">
        <v>59628</v>
      </c>
      <c r="B7278" t="s">
        <v>22404</v>
      </c>
      <c r="C7278" t="s">
        <v>256</v>
      </c>
      <c r="D7278">
        <v>0</v>
      </c>
      <c r="E7278">
        <v>0.1</v>
      </c>
      <c r="F7278">
        <f t="shared" si="113"/>
        <v>0.1</v>
      </c>
      <c r="I7278">
        <v>20150701</v>
      </c>
      <c r="J7278" t="s">
        <v>6910</v>
      </c>
    </row>
    <row r="7279" spans="1:14" x14ac:dyDescent="0.3">
      <c r="A7279" s="160">
        <v>59629</v>
      </c>
      <c r="B7279" t="s">
        <v>22405</v>
      </c>
      <c r="C7279" t="s">
        <v>6830</v>
      </c>
      <c r="D7279">
        <v>1.8</v>
      </c>
      <c r="E7279">
        <v>0</v>
      </c>
      <c r="F7279">
        <f t="shared" si="113"/>
        <v>1.8</v>
      </c>
      <c r="I7279">
        <v>20190901</v>
      </c>
      <c r="J7279" t="s">
        <v>6937</v>
      </c>
    </row>
    <row r="7280" spans="1:14" x14ac:dyDescent="0.3">
      <c r="A7280" s="160">
        <v>59630</v>
      </c>
      <c r="B7280" t="s">
        <v>22406</v>
      </c>
      <c r="C7280" t="s">
        <v>256</v>
      </c>
      <c r="D7280">
        <v>0</v>
      </c>
      <c r="E7280">
        <v>0.1</v>
      </c>
      <c r="F7280">
        <f t="shared" si="113"/>
        <v>0.1</v>
      </c>
      <c r="I7280">
        <v>20150701</v>
      </c>
      <c r="J7280" t="s">
        <v>7335</v>
      </c>
    </row>
    <row r="7281" spans="1:20" x14ac:dyDescent="0.3">
      <c r="A7281" s="160">
        <v>59632</v>
      </c>
      <c r="B7281" t="s">
        <v>22407</v>
      </c>
      <c r="C7281" t="s">
        <v>6823</v>
      </c>
      <c r="D7281">
        <v>2</v>
      </c>
      <c r="E7281">
        <v>0</v>
      </c>
      <c r="F7281">
        <f t="shared" si="113"/>
        <v>2</v>
      </c>
      <c r="I7281">
        <v>20130701</v>
      </c>
      <c r="J7281" t="s">
        <v>6917</v>
      </c>
    </row>
    <row r="7282" spans="1:20" x14ac:dyDescent="0.3">
      <c r="A7282" s="160">
        <v>59634</v>
      </c>
      <c r="C7282" t="s">
        <v>27548</v>
      </c>
      <c r="D7282">
        <v>1.05</v>
      </c>
      <c r="E7282">
        <v>0</v>
      </c>
      <c r="F7282">
        <f t="shared" si="113"/>
        <v>1.05</v>
      </c>
      <c r="I7282">
        <v>20250101</v>
      </c>
      <c r="J7282" t="s">
        <v>27554</v>
      </c>
    </row>
    <row r="7283" spans="1:20" x14ac:dyDescent="0.3">
      <c r="A7283" s="160">
        <v>59635</v>
      </c>
      <c r="B7283" t="s">
        <v>22408</v>
      </c>
      <c r="C7283" t="s">
        <v>6821</v>
      </c>
      <c r="D7283">
        <v>0.6</v>
      </c>
      <c r="E7283">
        <v>0.1</v>
      </c>
      <c r="F7283">
        <f t="shared" si="113"/>
        <v>0.7</v>
      </c>
      <c r="I7283">
        <v>20230701</v>
      </c>
      <c r="J7283" t="s">
        <v>6862</v>
      </c>
      <c r="K7283" t="s">
        <v>6946</v>
      </c>
    </row>
    <row r="7284" spans="1:20" x14ac:dyDescent="0.3">
      <c r="A7284" s="160">
        <v>59636</v>
      </c>
      <c r="B7284" t="s">
        <v>22409</v>
      </c>
      <c r="C7284" t="s">
        <v>6828</v>
      </c>
      <c r="D7284">
        <v>2</v>
      </c>
      <c r="E7284">
        <v>0</v>
      </c>
      <c r="F7284">
        <f t="shared" si="113"/>
        <v>2</v>
      </c>
      <c r="I7284">
        <v>20110101</v>
      </c>
      <c r="J7284" t="s">
        <v>7336</v>
      </c>
      <c r="K7284" t="s">
        <v>7208</v>
      </c>
      <c r="L7284" t="s">
        <v>7224</v>
      </c>
      <c r="M7284" t="s">
        <v>7225</v>
      </c>
      <c r="N7284" t="s">
        <v>7293</v>
      </c>
    </row>
    <row r="7285" spans="1:20" x14ac:dyDescent="0.3">
      <c r="A7285" s="160">
        <v>59637</v>
      </c>
      <c r="B7285" t="s">
        <v>22410</v>
      </c>
      <c r="C7285" t="s">
        <v>6830</v>
      </c>
      <c r="D7285">
        <v>1.8</v>
      </c>
      <c r="E7285">
        <v>0</v>
      </c>
      <c r="F7285">
        <f t="shared" si="113"/>
        <v>1.8</v>
      </c>
      <c r="I7285">
        <v>20190901</v>
      </c>
      <c r="J7285" t="s">
        <v>6937</v>
      </c>
    </row>
    <row r="7286" spans="1:20" x14ac:dyDescent="0.3">
      <c r="A7286" s="160">
        <v>59638</v>
      </c>
      <c r="B7286" t="s">
        <v>22411</v>
      </c>
      <c r="C7286" t="s">
        <v>256</v>
      </c>
      <c r="D7286">
        <v>0</v>
      </c>
      <c r="E7286">
        <v>0.1</v>
      </c>
      <c r="F7286">
        <f t="shared" si="113"/>
        <v>0.1</v>
      </c>
      <c r="I7286">
        <v>20150701</v>
      </c>
      <c r="J7286" t="s">
        <v>6907</v>
      </c>
    </row>
    <row r="7287" spans="1:20" x14ac:dyDescent="0.3">
      <c r="A7287" s="160">
        <v>59639</v>
      </c>
      <c r="B7287" t="s">
        <v>22412</v>
      </c>
      <c r="C7287" t="s">
        <v>256</v>
      </c>
      <c r="D7287">
        <v>0</v>
      </c>
      <c r="E7287">
        <v>0.1</v>
      </c>
      <c r="F7287">
        <f t="shared" si="113"/>
        <v>0.1</v>
      </c>
      <c r="I7287">
        <v>20150701</v>
      </c>
      <c r="J7287" t="s">
        <v>6944</v>
      </c>
    </row>
    <row r="7288" spans="1:20" x14ac:dyDescent="0.3">
      <c r="A7288" s="160">
        <v>59640</v>
      </c>
      <c r="B7288" t="s">
        <v>22413</v>
      </c>
      <c r="C7288" t="s">
        <v>256</v>
      </c>
      <c r="D7288">
        <v>0</v>
      </c>
      <c r="E7288">
        <v>0.1</v>
      </c>
      <c r="F7288">
        <f t="shared" si="113"/>
        <v>0.1</v>
      </c>
      <c r="I7288">
        <v>20150701</v>
      </c>
      <c r="J7288" t="s">
        <v>6944</v>
      </c>
    </row>
    <row r="7289" spans="1:20" x14ac:dyDescent="0.3">
      <c r="A7289" s="160">
        <v>59641</v>
      </c>
      <c r="B7289" t="s">
        <v>22414</v>
      </c>
      <c r="C7289" t="s">
        <v>256</v>
      </c>
      <c r="D7289">
        <v>0</v>
      </c>
      <c r="E7289">
        <v>0.1</v>
      </c>
      <c r="F7289">
        <f t="shared" si="113"/>
        <v>0.1</v>
      </c>
      <c r="I7289">
        <v>20150701</v>
      </c>
      <c r="J7289" t="s">
        <v>6869</v>
      </c>
    </row>
    <row r="7290" spans="1:20" x14ac:dyDescent="0.3">
      <c r="A7290" s="160">
        <v>59642</v>
      </c>
      <c r="B7290" t="s">
        <v>22415</v>
      </c>
      <c r="C7290" t="s">
        <v>6830</v>
      </c>
      <c r="D7290">
        <v>1.8</v>
      </c>
      <c r="E7290">
        <v>0</v>
      </c>
      <c r="F7290">
        <f t="shared" si="113"/>
        <v>1.8</v>
      </c>
      <c r="I7290">
        <v>20190901</v>
      </c>
      <c r="J7290" t="s">
        <v>6937</v>
      </c>
    </row>
    <row r="7291" spans="1:20" x14ac:dyDescent="0.3">
      <c r="A7291" s="160">
        <v>59643</v>
      </c>
      <c r="B7291" t="s">
        <v>22416</v>
      </c>
      <c r="C7291" t="s">
        <v>6828</v>
      </c>
      <c r="D7291">
        <v>2</v>
      </c>
      <c r="E7291">
        <v>0</v>
      </c>
      <c r="F7291">
        <f t="shared" si="113"/>
        <v>2</v>
      </c>
      <c r="I7291">
        <v>20110101</v>
      </c>
      <c r="J7291" t="s">
        <v>6979</v>
      </c>
      <c r="K7291" t="s">
        <v>6980</v>
      </c>
    </row>
    <row r="7292" spans="1:20" x14ac:dyDescent="0.3">
      <c r="A7292" s="160">
        <v>59645</v>
      </c>
      <c r="B7292" t="s">
        <v>22417</v>
      </c>
      <c r="C7292" t="s">
        <v>6823</v>
      </c>
      <c r="D7292">
        <v>2</v>
      </c>
      <c r="E7292">
        <v>0</v>
      </c>
      <c r="F7292">
        <f t="shared" si="113"/>
        <v>2</v>
      </c>
      <c r="I7292">
        <v>20130701</v>
      </c>
      <c r="J7292" t="s">
        <v>7213</v>
      </c>
    </row>
    <row r="7293" spans="1:20" x14ac:dyDescent="0.3">
      <c r="A7293" s="160">
        <v>59646</v>
      </c>
      <c r="B7293" t="s">
        <v>22418</v>
      </c>
      <c r="C7293" t="s">
        <v>6828</v>
      </c>
      <c r="D7293">
        <v>2</v>
      </c>
      <c r="E7293">
        <v>0</v>
      </c>
      <c r="F7293">
        <f t="shared" si="113"/>
        <v>2</v>
      </c>
      <c r="I7293">
        <v>20110101</v>
      </c>
      <c r="J7293" t="s">
        <v>7287</v>
      </c>
      <c r="K7293" t="s">
        <v>7337</v>
      </c>
      <c r="L7293" t="s">
        <v>7338</v>
      </c>
      <c r="M7293" t="s">
        <v>7339</v>
      </c>
      <c r="N7293" t="s">
        <v>7202</v>
      </c>
      <c r="O7293" t="s">
        <v>7340</v>
      </c>
      <c r="P7293" t="s">
        <v>7341</v>
      </c>
      <c r="Q7293" t="s">
        <v>7342</v>
      </c>
      <c r="R7293" t="s">
        <v>7343</v>
      </c>
      <c r="S7293" t="s">
        <v>7344</v>
      </c>
      <c r="T7293" t="s">
        <v>7345</v>
      </c>
    </row>
    <row r="7294" spans="1:20" x14ac:dyDescent="0.3">
      <c r="A7294" s="160">
        <v>59648</v>
      </c>
      <c r="B7294" t="s">
        <v>22419</v>
      </c>
      <c r="C7294" t="s">
        <v>6828</v>
      </c>
      <c r="D7294">
        <v>2</v>
      </c>
      <c r="E7294">
        <v>0</v>
      </c>
      <c r="F7294">
        <f t="shared" si="113"/>
        <v>2</v>
      </c>
      <c r="I7294">
        <v>20110101</v>
      </c>
      <c r="J7294" t="s">
        <v>7132</v>
      </c>
      <c r="K7294" t="s">
        <v>7249</v>
      </c>
      <c r="L7294" t="s">
        <v>7253</v>
      </c>
    </row>
    <row r="7295" spans="1:20" x14ac:dyDescent="0.3">
      <c r="A7295" s="160">
        <v>59649</v>
      </c>
      <c r="B7295" t="s">
        <v>22420</v>
      </c>
      <c r="C7295" t="s">
        <v>256</v>
      </c>
      <c r="D7295">
        <v>0</v>
      </c>
      <c r="E7295">
        <v>0.1</v>
      </c>
      <c r="F7295">
        <f t="shared" si="113"/>
        <v>0.1</v>
      </c>
      <c r="I7295">
        <v>20150701</v>
      </c>
      <c r="J7295" t="s">
        <v>6971</v>
      </c>
    </row>
    <row r="7296" spans="1:20" x14ac:dyDescent="0.3">
      <c r="A7296" s="160">
        <v>59650</v>
      </c>
      <c r="B7296" t="s">
        <v>22421</v>
      </c>
      <c r="C7296" t="s">
        <v>6828</v>
      </c>
      <c r="D7296">
        <v>2</v>
      </c>
      <c r="E7296">
        <v>0</v>
      </c>
      <c r="F7296">
        <f t="shared" si="113"/>
        <v>2</v>
      </c>
      <c r="I7296">
        <v>20110101</v>
      </c>
      <c r="J7296" t="s">
        <v>7346</v>
      </c>
      <c r="K7296" t="s">
        <v>7347</v>
      </c>
      <c r="L7296" t="s">
        <v>7348</v>
      </c>
      <c r="M7296" t="s">
        <v>7349</v>
      </c>
    </row>
    <row r="7297" spans="1:14" x14ac:dyDescent="0.3">
      <c r="A7297" s="160">
        <v>59651</v>
      </c>
      <c r="B7297" t="s">
        <v>22422</v>
      </c>
      <c r="C7297" t="s">
        <v>6823</v>
      </c>
      <c r="D7297">
        <v>2</v>
      </c>
      <c r="E7297">
        <v>0</v>
      </c>
      <c r="F7297">
        <f t="shared" si="113"/>
        <v>2</v>
      </c>
      <c r="I7297">
        <v>20130701</v>
      </c>
      <c r="J7297" t="s">
        <v>7004</v>
      </c>
      <c r="K7297" t="s">
        <v>7005</v>
      </c>
    </row>
    <row r="7298" spans="1:14" x14ac:dyDescent="0.3">
      <c r="A7298" s="160">
        <v>59652</v>
      </c>
      <c r="B7298" t="s">
        <v>22423</v>
      </c>
      <c r="C7298" t="s">
        <v>6823</v>
      </c>
      <c r="D7298">
        <v>2</v>
      </c>
      <c r="E7298">
        <v>0</v>
      </c>
      <c r="F7298">
        <f t="shared" si="113"/>
        <v>2</v>
      </c>
      <c r="I7298">
        <v>20130701</v>
      </c>
      <c r="J7298" t="s">
        <v>6929</v>
      </c>
    </row>
    <row r="7299" spans="1:14" x14ac:dyDescent="0.3">
      <c r="A7299" s="160">
        <v>59653</v>
      </c>
      <c r="B7299" t="s">
        <v>22424</v>
      </c>
      <c r="C7299" t="s">
        <v>6828</v>
      </c>
      <c r="D7299">
        <v>2</v>
      </c>
      <c r="E7299">
        <v>0</v>
      </c>
      <c r="F7299">
        <f t="shared" si="113"/>
        <v>2</v>
      </c>
      <c r="I7299">
        <v>20110101</v>
      </c>
      <c r="J7299" t="s">
        <v>7350</v>
      </c>
      <c r="K7299" t="s">
        <v>6915</v>
      </c>
    </row>
    <row r="7300" spans="1:14" x14ac:dyDescent="0.3">
      <c r="A7300" s="160">
        <v>59654</v>
      </c>
      <c r="B7300" t="s">
        <v>22425</v>
      </c>
      <c r="C7300" t="s">
        <v>6830</v>
      </c>
      <c r="D7300">
        <v>1.8</v>
      </c>
      <c r="E7300">
        <v>0</v>
      </c>
      <c r="F7300">
        <f t="shared" si="113"/>
        <v>1.8</v>
      </c>
      <c r="I7300">
        <v>20090701</v>
      </c>
      <c r="J7300" t="s">
        <v>7351</v>
      </c>
      <c r="K7300" t="s">
        <v>6888</v>
      </c>
      <c r="L7300" t="s">
        <v>7011</v>
      </c>
      <c r="M7300" t="s">
        <v>6999</v>
      </c>
      <c r="N7300" t="s">
        <v>6891</v>
      </c>
    </row>
    <row r="7301" spans="1:14" x14ac:dyDescent="0.3">
      <c r="A7301" s="160">
        <v>59655</v>
      </c>
      <c r="C7301" t="s">
        <v>27548</v>
      </c>
      <c r="D7301">
        <v>1.05</v>
      </c>
      <c r="E7301">
        <v>0</v>
      </c>
      <c r="F7301">
        <f t="shared" si="113"/>
        <v>1.05</v>
      </c>
      <c r="I7301">
        <v>20250101</v>
      </c>
      <c r="J7301" t="s">
        <v>27550</v>
      </c>
    </row>
    <row r="7302" spans="1:14" x14ac:dyDescent="0.3">
      <c r="A7302" s="160">
        <v>59656</v>
      </c>
      <c r="B7302" t="s">
        <v>22426</v>
      </c>
      <c r="C7302" t="s">
        <v>6828</v>
      </c>
      <c r="D7302">
        <v>2</v>
      </c>
      <c r="E7302">
        <v>0</v>
      </c>
      <c r="F7302">
        <f t="shared" si="113"/>
        <v>2</v>
      </c>
      <c r="I7302">
        <v>20110101</v>
      </c>
      <c r="J7302" t="s">
        <v>7352</v>
      </c>
      <c r="K7302" t="s">
        <v>6933</v>
      </c>
    </row>
    <row r="7303" spans="1:14" x14ac:dyDescent="0.3">
      <c r="A7303" s="160">
        <v>59657</v>
      </c>
      <c r="B7303" t="s">
        <v>22427</v>
      </c>
      <c r="C7303" t="s">
        <v>256</v>
      </c>
      <c r="D7303">
        <v>0</v>
      </c>
      <c r="E7303">
        <v>0.1</v>
      </c>
      <c r="F7303">
        <f t="shared" ref="F7303:F7366" si="114">D7303+E7303</f>
        <v>0.1</v>
      </c>
      <c r="I7303">
        <v>20150701</v>
      </c>
      <c r="J7303" t="s">
        <v>6869</v>
      </c>
    </row>
    <row r="7304" spans="1:14" x14ac:dyDescent="0.3">
      <c r="A7304" s="160">
        <v>59658</v>
      </c>
      <c r="B7304" t="s">
        <v>22428</v>
      </c>
      <c r="C7304" t="s">
        <v>6828</v>
      </c>
      <c r="D7304">
        <v>2</v>
      </c>
      <c r="E7304">
        <v>0</v>
      </c>
      <c r="F7304">
        <f t="shared" si="114"/>
        <v>2</v>
      </c>
      <c r="I7304">
        <v>20110101</v>
      </c>
      <c r="J7304" t="s">
        <v>6914</v>
      </c>
    </row>
    <row r="7305" spans="1:14" x14ac:dyDescent="0.3">
      <c r="A7305" s="160">
        <v>59660</v>
      </c>
      <c r="B7305" t="s">
        <v>22429</v>
      </c>
      <c r="C7305" t="s">
        <v>6828</v>
      </c>
      <c r="D7305">
        <v>2</v>
      </c>
      <c r="E7305">
        <v>0</v>
      </c>
      <c r="F7305">
        <f t="shared" si="114"/>
        <v>2</v>
      </c>
      <c r="I7305">
        <v>20110101</v>
      </c>
      <c r="J7305" t="s">
        <v>6909</v>
      </c>
    </row>
    <row r="7306" spans="1:14" x14ac:dyDescent="0.3">
      <c r="A7306" s="160">
        <v>59662</v>
      </c>
      <c r="C7306" t="s">
        <v>27548</v>
      </c>
      <c r="D7306">
        <v>1.05</v>
      </c>
      <c r="E7306">
        <v>0</v>
      </c>
      <c r="F7306">
        <f t="shared" si="114"/>
        <v>1.05</v>
      </c>
      <c r="I7306">
        <v>20250101</v>
      </c>
      <c r="J7306" t="s">
        <v>27550</v>
      </c>
    </row>
    <row r="7307" spans="1:14" x14ac:dyDescent="0.3">
      <c r="A7307" s="160">
        <v>59663</v>
      </c>
      <c r="B7307" t="s">
        <v>22430</v>
      </c>
      <c r="C7307" t="s">
        <v>256</v>
      </c>
      <c r="D7307">
        <v>0</v>
      </c>
      <c r="E7307">
        <v>0.1</v>
      </c>
      <c r="F7307">
        <f t="shared" si="114"/>
        <v>0.1</v>
      </c>
      <c r="I7307">
        <v>20150701</v>
      </c>
      <c r="J7307" t="s">
        <v>6910</v>
      </c>
      <c r="K7307" t="s">
        <v>6924</v>
      </c>
    </row>
    <row r="7308" spans="1:14" x14ac:dyDescent="0.3">
      <c r="A7308" s="160">
        <v>59665</v>
      </c>
      <c r="B7308" t="s">
        <v>22431</v>
      </c>
      <c r="C7308" t="s">
        <v>256</v>
      </c>
      <c r="D7308">
        <v>0</v>
      </c>
      <c r="E7308">
        <v>0.1</v>
      </c>
      <c r="F7308">
        <f t="shared" si="114"/>
        <v>0.1</v>
      </c>
      <c r="I7308">
        <v>20150701</v>
      </c>
      <c r="J7308" t="s">
        <v>6869</v>
      </c>
    </row>
    <row r="7309" spans="1:14" x14ac:dyDescent="0.3">
      <c r="A7309" s="160">
        <v>59666</v>
      </c>
      <c r="B7309" t="s">
        <v>22432</v>
      </c>
      <c r="C7309" t="s">
        <v>256</v>
      </c>
      <c r="D7309">
        <v>0</v>
      </c>
      <c r="E7309">
        <v>0.1</v>
      </c>
      <c r="F7309">
        <f t="shared" si="114"/>
        <v>0.1</v>
      </c>
      <c r="I7309">
        <v>20150701</v>
      </c>
      <c r="J7309" t="s">
        <v>6910</v>
      </c>
    </row>
    <row r="7310" spans="1:14" x14ac:dyDescent="0.3">
      <c r="A7310" s="160">
        <v>59667</v>
      </c>
      <c r="C7310" t="s">
        <v>27548</v>
      </c>
      <c r="D7310">
        <v>1.05</v>
      </c>
      <c r="E7310">
        <v>0</v>
      </c>
      <c r="F7310">
        <f t="shared" si="114"/>
        <v>1.05</v>
      </c>
      <c r="I7310">
        <v>20250101</v>
      </c>
      <c r="J7310" t="s">
        <v>27550</v>
      </c>
    </row>
    <row r="7311" spans="1:14" x14ac:dyDescent="0.3">
      <c r="A7311" s="160">
        <v>59668</v>
      </c>
      <c r="B7311" t="s">
        <v>22433</v>
      </c>
      <c r="C7311" t="s">
        <v>6868</v>
      </c>
      <c r="D7311">
        <v>2</v>
      </c>
      <c r="E7311">
        <v>0</v>
      </c>
      <c r="F7311">
        <f t="shared" si="114"/>
        <v>2</v>
      </c>
      <c r="I7311">
        <v>20220701</v>
      </c>
      <c r="J7311" t="s">
        <v>6938</v>
      </c>
    </row>
    <row r="7312" spans="1:14" x14ac:dyDescent="0.3">
      <c r="A7312" s="160">
        <v>59669</v>
      </c>
      <c r="C7312" t="s">
        <v>27548</v>
      </c>
      <c r="D7312">
        <v>1.05</v>
      </c>
      <c r="E7312">
        <v>0</v>
      </c>
      <c r="F7312">
        <f t="shared" si="114"/>
        <v>1.05</v>
      </c>
      <c r="I7312">
        <v>20250101</v>
      </c>
      <c r="J7312" t="s">
        <v>27550</v>
      </c>
    </row>
    <row r="7313" spans="1:16" x14ac:dyDescent="0.3">
      <c r="A7313" s="160">
        <v>59670</v>
      </c>
      <c r="B7313" t="s">
        <v>22434</v>
      </c>
      <c r="C7313" t="s">
        <v>6828</v>
      </c>
      <c r="D7313">
        <v>2</v>
      </c>
      <c r="E7313">
        <v>0</v>
      </c>
      <c r="F7313">
        <f t="shared" si="114"/>
        <v>2</v>
      </c>
      <c r="I7313">
        <v>20110101</v>
      </c>
      <c r="J7313" t="s">
        <v>7353</v>
      </c>
      <c r="K7313" t="s">
        <v>6915</v>
      </c>
    </row>
    <row r="7314" spans="1:16" x14ac:dyDescent="0.3">
      <c r="A7314" s="160">
        <v>60002</v>
      </c>
      <c r="B7314" t="s">
        <v>22435</v>
      </c>
      <c r="C7314" t="s">
        <v>7354</v>
      </c>
      <c r="D7314">
        <v>0.6</v>
      </c>
      <c r="E7314">
        <v>0.2</v>
      </c>
      <c r="F7314">
        <f t="shared" si="114"/>
        <v>0.8</v>
      </c>
      <c r="I7314">
        <v>20190301</v>
      </c>
      <c r="J7314" t="s">
        <v>7355</v>
      </c>
      <c r="K7314" t="s">
        <v>7356</v>
      </c>
    </row>
    <row r="7315" spans="1:16" x14ac:dyDescent="0.3">
      <c r="A7315" s="160">
        <v>60003</v>
      </c>
      <c r="B7315" t="s">
        <v>22436</v>
      </c>
      <c r="C7315" t="s">
        <v>7357</v>
      </c>
      <c r="D7315">
        <v>0</v>
      </c>
      <c r="E7315">
        <v>0.4</v>
      </c>
      <c r="F7315">
        <f t="shared" si="114"/>
        <v>0.4</v>
      </c>
      <c r="I7315">
        <v>20170701</v>
      </c>
      <c r="J7315" t="s">
        <v>7358</v>
      </c>
    </row>
    <row r="7316" spans="1:16" x14ac:dyDescent="0.3">
      <c r="A7316" s="160">
        <v>60004</v>
      </c>
      <c r="B7316" t="s">
        <v>22437</v>
      </c>
      <c r="C7316" t="s">
        <v>7357</v>
      </c>
      <c r="D7316">
        <v>0</v>
      </c>
      <c r="E7316">
        <v>0.4</v>
      </c>
      <c r="F7316">
        <f t="shared" si="114"/>
        <v>0.4</v>
      </c>
      <c r="I7316">
        <v>20170701</v>
      </c>
      <c r="J7316" t="s">
        <v>7359</v>
      </c>
    </row>
    <row r="7317" spans="1:16" x14ac:dyDescent="0.3">
      <c r="A7317" s="160">
        <v>60005</v>
      </c>
      <c r="B7317" t="s">
        <v>22438</v>
      </c>
      <c r="C7317" t="s">
        <v>7357</v>
      </c>
      <c r="D7317">
        <v>0</v>
      </c>
      <c r="E7317">
        <v>0.4</v>
      </c>
      <c r="F7317">
        <f t="shared" si="114"/>
        <v>0.4</v>
      </c>
      <c r="I7317">
        <v>20070101</v>
      </c>
      <c r="J7317" t="s">
        <v>7360</v>
      </c>
      <c r="K7317" t="s">
        <v>7361</v>
      </c>
    </row>
    <row r="7318" spans="1:16" x14ac:dyDescent="0.3">
      <c r="A7318" s="160">
        <v>60006</v>
      </c>
      <c r="B7318" t="s">
        <v>22439</v>
      </c>
      <c r="C7318" t="s">
        <v>27560</v>
      </c>
      <c r="D7318">
        <v>0.6</v>
      </c>
      <c r="E7318">
        <v>0.2</v>
      </c>
      <c r="F7318">
        <f t="shared" si="114"/>
        <v>0.8</v>
      </c>
      <c r="I7318">
        <v>20250101</v>
      </c>
      <c r="J7318" t="s">
        <v>7362</v>
      </c>
      <c r="K7318" t="s">
        <v>7363</v>
      </c>
      <c r="L7318" t="s">
        <v>7364</v>
      </c>
    </row>
    <row r="7319" spans="1:16" x14ac:dyDescent="0.3">
      <c r="A7319" s="160">
        <v>60007</v>
      </c>
      <c r="B7319" t="s">
        <v>22440</v>
      </c>
      <c r="C7319" t="s">
        <v>7365</v>
      </c>
      <c r="D7319">
        <v>0.6</v>
      </c>
      <c r="E7319">
        <v>0.2</v>
      </c>
      <c r="F7319">
        <f t="shared" si="114"/>
        <v>0.8</v>
      </c>
      <c r="I7319">
        <v>20240101</v>
      </c>
      <c r="J7319" t="s">
        <v>7366</v>
      </c>
      <c r="K7319" t="s">
        <v>7367</v>
      </c>
      <c r="L7319" t="s">
        <v>7368</v>
      </c>
    </row>
    <row r="7320" spans="1:16" x14ac:dyDescent="0.3">
      <c r="A7320" s="160">
        <v>60008</v>
      </c>
      <c r="B7320" t="s">
        <v>22441</v>
      </c>
      <c r="C7320" t="s">
        <v>7357</v>
      </c>
      <c r="D7320">
        <v>0</v>
      </c>
      <c r="E7320">
        <v>0.4</v>
      </c>
      <c r="F7320">
        <f t="shared" si="114"/>
        <v>0.4</v>
      </c>
      <c r="I7320">
        <v>20070101</v>
      </c>
      <c r="J7320" t="s">
        <v>7366</v>
      </c>
    </row>
    <row r="7321" spans="1:16" x14ac:dyDescent="0.3">
      <c r="A7321" s="160">
        <v>60009</v>
      </c>
      <c r="B7321" t="s">
        <v>22442</v>
      </c>
      <c r="C7321" t="s">
        <v>7369</v>
      </c>
      <c r="D7321">
        <v>0.7</v>
      </c>
      <c r="E7321">
        <v>0.2</v>
      </c>
      <c r="F7321">
        <f t="shared" si="114"/>
        <v>0.89999999999999991</v>
      </c>
      <c r="I7321">
        <v>20150101</v>
      </c>
      <c r="J7321" t="s">
        <v>7370</v>
      </c>
      <c r="K7321" t="s">
        <v>7371</v>
      </c>
      <c r="L7321" t="s">
        <v>7372</v>
      </c>
      <c r="M7321" t="s">
        <v>7373</v>
      </c>
      <c r="N7321" t="s">
        <v>7374</v>
      </c>
      <c r="O7321" t="s">
        <v>7375</v>
      </c>
      <c r="P7321" t="s">
        <v>7376</v>
      </c>
    </row>
    <row r="7322" spans="1:16" x14ac:dyDescent="0.3">
      <c r="A7322" s="160">
        <v>60010</v>
      </c>
      <c r="B7322" t="s">
        <v>22443</v>
      </c>
      <c r="C7322" t="s">
        <v>7377</v>
      </c>
      <c r="D7322">
        <v>0.6</v>
      </c>
      <c r="E7322">
        <v>0.2</v>
      </c>
      <c r="F7322">
        <f t="shared" si="114"/>
        <v>0.8</v>
      </c>
      <c r="I7322">
        <v>20121201</v>
      </c>
      <c r="J7322" t="s">
        <v>7378</v>
      </c>
      <c r="K7322" t="s">
        <v>7379</v>
      </c>
      <c r="L7322" t="s">
        <v>7380</v>
      </c>
      <c r="M7322" t="s">
        <v>7381</v>
      </c>
    </row>
    <row r="7323" spans="1:16" x14ac:dyDescent="0.3">
      <c r="A7323" s="160">
        <v>60012</v>
      </c>
      <c r="B7323" t="s">
        <v>22444</v>
      </c>
      <c r="C7323" t="s">
        <v>7377</v>
      </c>
      <c r="D7323">
        <v>0.6</v>
      </c>
      <c r="E7323">
        <v>0.2</v>
      </c>
      <c r="F7323">
        <f t="shared" si="114"/>
        <v>0.8</v>
      </c>
      <c r="I7323">
        <v>20121201</v>
      </c>
      <c r="J7323" t="s">
        <v>7381</v>
      </c>
      <c r="K7323" t="s">
        <v>7382</v>
      </c>
    </row>
    <row r="7324" spans="1:16" x14ac:dyDescent="0.3">
      <c r="A7324" s="160">
        <v>60013</v>
      </c>
      <c r="B7324" t="s">
        <v>22445</v>
      </c>
      <c r="C7324" t="s">
        <v>27560</v>
      </c>
      <c r="D7324">
        <v>0.6</v>
      </c>
      <c r="E7324">
        <v>0.2</v>
      </c>
      <c r="F7324">
        <f t="shared" si="114"/>
        <v>0.8</v>
      </c>
      <c r="I7324">
        <v>20250101</v>
      </c>
      <c r="J7324" t="s">
        <v>7383</v>
      </c>
    </row>
    <row r="7325" spans="1:16" x14ac:dyDescent="0.3">
      <c r="A7325" s="160">
        <v>60014</v>
      </c>
      <c r="B7325" t="s">
        <v>22446</v>
      </c>
      <c r="C7325" t="s">
        <v>7357</v>
      </c>
      <c r="D7325">
        <v>0</v>
      </c>
      <c r="E7325">
        <v>0.4</v>
      </c>
      <c r="F7325">
        <f t="shared" si="114"/>
        <v>0.4</v>
      </c>
      <c r="I7325">
        <v>20070101</v>
      </c>
      <c r="J7325" t="s">
        <v>7384</v>
      </c>
    </row>
    <row r="7326" spans="1:16" x14ac:dyDescent="0.3">
      <c r="A7326" s="160">
        <v>60015</v>
      </c>
      <c r="B7326" t="s">
        <v>22447</v>
      </c>
      <c r="C7326" t="s">
        <v>7354</v>
      </c>
      <c r="D7326">
        <v>0.6</v>
      </c>
      <c r="E7326">
        <v>0.2</v>
      </c>
      <c r="F7326">
        <f t="shared" si="114"/>
        <v>0.8</v>
      </c>
      <c r="I7326">
        <v>20190301</v>
      </c>
      <c r="J7326" t="s">
        <v>7385</v>
      </c>
      <c r="K7326" t="s">
        <v>7386</v>
      </c>
      <c r="L7326" t="s">
        <v>7387</v>
      </c>
    </row>
    <row r="7327" spans="1:16" x14ac:dyDescent="0.3">
      <c r="A7327" s="160">
        <v>60016</v>
      </c>
      <c r="B7327" t="s">
        <v>22448</v>
      </c>
      <c r="C7327" t="s">
        <v>7354</v>
      </c>
      <c r="D7327">
        <v>0.6</v>
      </c>
      <c r="E7327">
        <v>0.4</v>
      </c>
      <c r="F7327">
        <f t="shared" si="114"/>
        <v>1</v>
      </c>
      <c r="I7327">
        <v>20240101</v>
      </c>
      <c r="J7327" t="s">
        <v>7385</v>
      </c>
    </row>
    <row r="7328" spans="1:16" x14ac:dyDescent="0.3">
      <c r="A7328" s="160">
        <v>60017</v>
      </c>
      <c r="B7328" t="s">
        <v>22449</v>
      </c>
      <c r="C7328" t="s">
        <v>7357</v>
      </c>
      <c r="D7328">
        <v>0</v>
      </c>
      <c r="E7328">
        <v>0</v>
      </c>
      <c r="F7328">
        <f t="shared" si="114"/>
        <v>0</v>
      </c>
      <c r="I7328">
        <v>20210101</v>
      </c>
      <c r="J7328" t="s">
        <v>7388</v>
      </c>
    </row>
    <row r="7329" spans="1:11" x14ac:dyDescent="0.3">
      <c r="A7329" s="160">
        <v>60018</v>
      </c>
      <c r="B7329" t="s">
        <v>22449</v>
      </c>
      <c r="C7329" t="s">
        <v>7377</v>
      </c>
      <c r="D7329">
        <v>0.6</v>
      </c>
      <c r="E7329">
        <v>0.2</v>
      </c>
      <c r="F7329">
        <f t="shared" si="114"/>
        <v>0.8</v>
      </c>
      <c r="I7329">
        <v>20121201</v>
      </c>
      <c r="J7329" t="s">
        <v>7379</v>
      </c>
      <c r="K7329" t="s">
        <v>7389</v>
      </c>
    </row>
    <row r="7330" spans="1:11" x14ac:dyDescent="0.3">
      <c r="A7330" s="160">
        <v>60019</v>
      </c>
      <c r="B7330" t="s">
        <v>22450</v>
      </c>
      <c r="C7330" t="s">
        <v>7357</v>
      </c>
      <c r="D7330">
        <v>0</v>
      </c>
      <c r="E7330">
        <v>0.4</v>
      </c>
      <c r="F7330">
        <f t="shared" si="114"/>
        <v>0.4</v>
      </c>
      <c r="I7330">
        <v>20070101</v>
      </c>
      <c r="J7330" t="s">
        <v>7390</v>
      </c>
    </row>
    <row r="7331" spans="1:11" x14ac:dyDescent="0.3">
      <c r="A7331" s="160">
        <v>60020</v>
      </c>
      <c r="B7331" t="s">
        <v>22451</v>
      </c>
      <c r="C7331" t="s">
        <v>7357</v>
      </c>
      <c r="D7331">
        <v>0</v>
      </c>
      <c r="E7331">
        <v>0.4</v>
      </c>
      <c r="F7331">
        <f t="shared" si="114"/>
        <v>0.4</v>
      </c>
      <c r="I7331">
        <v>20070101</v>
      </c>
      <c r="J7331" t="s">
        <v>7360</v>
      </c>
      <c r="K7331" t="s">
        <v>7361</v>
      </c>
    </row>
    <row r="7332" spans="1:11" x14ac:dyDescent="0.3">
      <c r="A7332" s="160">
        <v>60021</v>
      </c>
      <c r="B7332" t="s">
        <v>22452</v>
      </c>
      <c r="C7332" t="s">
        <v>7391</v>
      </c>
      <c r="D7332">
        <v>0</v>
      </c>
      <c r="E7332">
        <v>0</v>
      </c>
      <c r="F7332">
        <f t="shared" si="114"/>
        <v>0</v>
      </c>
      <c r="I7332">
        <v>20220701</v>
      </c>
      <c r="J7332" t="s">
        <v>7392</v>
      </c>
    </row>
    <row r="7333" spans="1:11" x14ac:dyDescent="0.3">
      <c r="A7333" s="160">
        <v>60022</v>
      </c>
      <c r="B7333" t="s">
        <v>22453</v>
      </c>
      <c r="C7333" t="s">
        <v>7357</v>
      </c>
      <c r="D7333">
        <v>0</v>
      </c>
      <c r="E7333">
        <v>0.4</v>
      </c>
      <c r="F7333">
        <f t="shared" si="114"/>
        <v>0.4</v>
      </c>
      <c r="I7333">
        <v>20070101</v>
      </c>
      <c r="J7333" t="s">
        <v>7393</v>
      </c>
    </row>
    <row r="7334" spans="1:11" x14ac:dyDescent="0.3">
      <c r="A7334" s="160">
        <v>60023</v>
      </c>
      <c r="B7334" t="s">
        <v>22454</v>
      </c>
      <c r="C7334" t="s">
        <v>7397</v>
      </c>
      <c r="D7334">
        <v>0.7</v>
      </c>
      <c r="E7334">
        <v>0.2</v>
      </c>
      <c r="F7334">
        <f t="shared" si="114"/>
        <v>0.89999999999999991</v>
      </c>
      <c r="I7334">
        <v>20180701</v>
      </c>
      <c r="J7334" t="s">
        <v>7395</v>
      </c>
      <c r="K7334" t="s">
        <v>7396</v>
      </c>
    </row>
    <row r="7335" spans="1:11" x14ac:dyDescent="0.3">
      <c r="A7335" s="160">
        <v>60024</v>
      </c>
      <c r="B7335" t="s">
        <v>22455</v>
      </c>
      <c r="C7335" t="s">
        <v>7398</v>
      </c>
      <c r="D7335">
        <v>0.4</v>
      </c>
      <c r="E7335">
        <v>0.4</v>
      </c>
      <c r="F7335">
        <f t="shared" si="114"/>
        <v>0.8</v>
      </c>
      <c r="I7335">
        <v>20210101</v>
      </c>
      <c r="J7335" t="s">
        <v>7399</v>
      </c>
    </row>
    <row r="7336" spans="1:11" x14ac:dyDescent="0.3">
      <c r="A7336" s="160">
        <v>60025</v>
      </c>
      <c r="B7336" t="s">
        <v>22456</v>
      </c>
      <c r="C7336" t="s">
        <v>7357</v>
      </c>
      <c r="D7336">
        <v>0</v>
      </c>
      <c r="E7336">
        <v>0.4</v>
      </c>
      <c r="F7336">
        <f t="shared" si="114"/>
        <v>0.4</v>
      </c>
      <c r="I7336">
        <v>20210101</v>
      </c>
      <c r="J7336" t="s">
        <v>7400</v>
      </c>
    </row>
    <row r="7337" spans="1:11" x14ac:dyDescent="0.3">
      <c r="A7337" s="160">
        <v>60026</v>
      </c>
      <c r="B7337" t="s">
        <v>22457</v>
      </c>
      <c r="C7337" t="s">
        <v>7369</v>
      </c>
      <c r="D7337">
        <v>0.7</v>
      </c>
      <c r="E7337">
        <v>0.2</v>
      </c>
      <c r="F7337">
        <f t="shared" si="114"/>
        <v>0.89999999999999991</v>
      </c>
      <c r="I7337">
        <v>20210101</v>
      </c>
      <c r="J7337" t="s">
        <v>7401</v>
      </c>
    </row>
    <row r="7338" spans="1:11" x14ac:dyDescent="0.3">
      <c r="A7338" s="160">
        <v>60027</v>
      </c>
      <c r="B7338" t="s">
        <v>22458</v>
      </c>
      <c r="C7338" t="s">
        <v>7357</v>
      </c>
      <c r="D7338">
        <v>0</v>
      </c>
      <c r="E7338">
        <v>0.4</v>
      </c>
      <c r="F7338">
        <f t="shared" si="114"/>
        <v>0.4</v>
      </c>
      <c r="I7338">
        <v>20070101</v>
      </c>
      <c r="J7338" t="s">
        <v>7402</v>
      </c>
    </row>
    <row r="7339" spans="1:11" x14ac:dyDescent="0.3">
      <c r="A7339" s="160">
        <v>60028</v>
      </c>
      <c r="B7339" t="s">
        <v>22459</v>
      </c>
      <c r="C7339" t="s">
        <v>7357</v>
      </c>
      <c r="D7339">
        <v>0</v>
      </c>
      <c r="E7339">
        <v>0.4</v>
      </c>
      <c r="F7339">
        <f t="shared" si="114"/>
        <v>0.4</v>
      </c>
      <c r="I7339">
        <v>20070101</v>
      </c>
      <c r="J7339" t="s">
        <v>7393</v>
      </c>
    </row>
    <row r="7340" spans="1:11" x14ac:dyDescent="0.3">
      <c r="A7340" s="160">
        <v>60029</v>
      </c>
      <c r="B7340" t="s">
        <v>22460</v>
      </c>
      <c r="C7340" t="s">
        <v>7369</v>
      </c>
      <c r="D7340">
        <v>0.7</v>
      </c>
      <c r="E7340">
        <v>0.2</v>
      </c>
      <c r="F7340">
        <f t="shared" si="114"/>
        <v>0.89999999999999991</v>
      </c>
      <c r="I7340">
        <v>20150101</v>
      </c>
      <c r="J7340" t="s">
        <v>7403</v>
      </c>
    </row>
    <row r="7341" spans="1:11" x14ac:dyDescent="0.3">
      <c r="A7341" s="160">
        <v>60030</v>
      </c>
      <c r="B7341" t="s">
        <v>22461</v>
      </c>
      <c r="C7341" t="s">
        <v>7369</v>
      </c>
      <c r="D7341">
        <v>0.7</v>
      </c>
      <c r="E7341">
        <v>0.2</v>
      </c>
      <c r="F7341">
        <f t="shared" si="114"/>
        <v>0.89999999999999991</v>
      </c>
      <c r="I7341">
        <v>20150101</v>
      </c>
      <c r="J7341" t="s">
        <v>7403</v>
      </c>
    </row>
    <row r="7342" spans="1:11" x14ac:dyDescent="0.3">
      <c r="A7342" s="160">
        <v>60031</v>
      </c>
      <c r="B7342" t="s">
        <v>22462</v>
      </c>
      <c r="C7342" t="s">
        <v>7357</v>
      </c>
      <c r="D7342">
        <v>0</v>
      </c>
      <c r="E7342">
        <v>0.4</v>
      </c>
      <c r="F7342">
        <f t="shared" si="114"/>
        <v>0.4</v>
      </c>
      <c r="I7342">
        <v>20070101</v>
      </c>
      <c r="J7342" t="s">
        <v>7404</v>
      </c>
    </row>
    <row r="7343" spans="1:11" x14ac:dyDescent="0.3">
      <c r="A7343" s="160">
        <v>60033</v>
      </c>
      <c r="B7343" t="s">
        <v>22463</v>
      </c>
      <c r="C7343" t="s">
        <v>7357</v>
      </c>
      <c r="D7343">
        <v>0</v>
      </c>
      <c r="E7343">
        <v>0.4</v>
      </c>
      <c r="F7343">
        <f t="shared" si="114"/>
        <v>0.4</v>
      </c>
      <c r="I7343">
        <v>20070101</v>
      </c>
      <c r="J7343" t="s">
        <v>7393</v>
      </c>
    </row>
    <row r="7344" spans="1:11" x14ac:dyDescent="0.3">
      <c r="A7344" s="160">
        <v>60034</v>
      </c>
      <c r="B7344" t="s">
        <v>22464</v>
      </c>
      <c r="C7344" t="s">
        <v>7357</v>
      </c>
      <c r="D7344">
        <v>0</v>
      </c>
      <c r="E7344">
        <v>0.4</v>
      </c>
      <c r="F7344">
        <f t="shared" si="114"/>
        <v>0.4</v>
      </c>
      <c r="I7344">
        <v>20070101</v>
      </c>
      <c r="J7344" t="s">
        <v>7384</v>
      </c>
    </row>
    <row r="7345" spans="1:11" x14ac:dyDescent="0.3">
      <c r="A7345" s="160">
        <v>60035</v>
      </c>
      <c r="B7345" t="s">
        <v>21142</v>
      </c>
      <c r="C7345" t="s">
        <v>7357</v>
      </c>
      <c r="D7345">
        <v>0</v>
      </c>
      <c r="E7345">
        <v>0</v>
      </c>
      <c r="F7345">
        <f t="shared" si="114"/>
        <v>0</v>
      </c>
      <c r="I7345">
        <v>20210101</v>
      </c>
      <c r="J7345" t="s">
        <v>7405</v>
      </c>
    </row>
    <row r="7346" spans="1:11" x14ac:dyDescent="0.3">
      <c r="A7346" s="160">
        <v>60036</v>
      </c>
      <c r="B7346" t="s">
        <v>22465</v>
      </c>
      <c r="C7346" t="s">
        <v>7398</v>
      </c>
      <c r="D7346">
        <v>0.4</v>
      </c>
      <c r="E7346">
        <v>0.4</v>
      </c>
      <c r="F7346">
        <f t="shared" si="114"/>
        <v>0.8</v>
      </c>
      <c r="I7346">
        <v>20210101</v>
      </c>
      <c r="J7346" t="s">
        <v>7399</v>
      </c>
    </row>
    <row r="7347" spans="1:11" x14ac:dyDescent="0.3">
      <c r="A7347" s="160">
        <v>60037</v>
      </c>
      <c r="B7347" t="s">
        <v>22466</v>
      </c>
      <c r="C7347" t="s">
        <v>7391</v>
      </c>
      <c r="D7347">
        <v>0</v>
      </c>
      <c r="E7347">
        <v>0</v>
      </c>
      <c r="F7347">
        <f t="shared" si="114"/>
        <v>0</v>
      </c>
      <c r="I7347">
        <v>20220701</v>
      </c>
      <c r="J7347" t="s">
        <v>7392</v>
      </c>
      <c r="K7347" t="s">
        <v>7406</v>
      </c>
    </row>
    <row r="7348" spans="1:11" x14ac:dyDescent="0.3">
      <c r="A7348" s="160">
        <v>60038</v>
      </c>
      <c r="B7348" t="s">
        <v>22466</v>
      </c>
      <c r="C7348" t="s">
        <v>7357</v>
      </c>
      <c r="D7348">
        <v>0</v>
      </c>
      <c r="E7348">
        <v>0.4</v>
      </c>
      <c r="F7348">
        <f t="shared" si="114"/>
        <v>0.4</v>
      </c>
      <c r="I7348">
        <v>20070101</v>
      </c>
      <c r="J7348" t="s">
        <v>7407</v>
      </c>
    </row>
    <row r="7349" spans="1:11" x14ac:dyDescent="0.3">
      <c r="A7349" s="160">
        <v>60039</v>
      </c>
      <c r="B7349" t="s">
        <v>22467</v>
      </c>
      <c r="C7349" t="s">
        <v>7357</v>
      </c>
      <c r="D7349">
        <v>0</v>
      </c>
      <c r="E7349">
        <v>0</v>
      </c>
      <c r="F7349">
        <f t="shared" si="114"/>
        <v>0</v>
      </c>
      <c r="I7349">
        <v>20210101</v>
      </c>
      <c r="J7349" t="s">
        <v>7388</v>
      </c>
    </row>
    <row r="7350" spans="1:11" x14ac:dyDescent="0.3">
      <c r="A7350" s="160">
        <v>60040</v>
      </c>
      <c r="B7350" t="s">
        <v>22468</v>
      </c>
      <c r="C7350" t="s">
        <v>7398</v>
      </c>
      <c r="D7350">
        <v>0.4</v>
      </c>
      <c r="E7350">
        <v>0.4</v>
      </c>
      <c r="F7350">
        <f t="shared" si="114"/>
        <v>0.8</v>
      </c>
      <c r="I7350">
        <v>20210101</v>
      </c>
      <c r="J7350" t="s">
        <v>7399</v>
      </c>
    </row>
    <row r="7351" spans="1:11" x14ac:dyDescent="0.3">
      <c r="A7351" s="160">
        <v>60041</v>
      </c>
      <c r="B7351" t="s">
        <v>22469</v>
      </c>
      <c r="C7351" t="s">
        <v>7369</v>
      </c>
      <c r="D7351">
        <v>0.7</v>
      </c>
      <c r="E7351">
        <v>0.2</v>
      </c>
      <c r="F7351">
        <f t="shared" si="114"/>
        <v>0.89999999999999991</v>
      </c>
      <c r="I7351">
        <v>20210101</v>
      </c>
      <c r="J7351" t="s">
        <v>7408</v>
      </c>
      <c r="K7351" t="s">
        <v>7409</v>
      </c>
    </row>
    <row r="7352" spans="1:11" x14ac:dyDescent="0.3">
      <c r="A7352" s="160">
        <v>60042</v>
      </c>
      <c r="B7352" t="s">
        <v>22470</v>
      </c>
      <c r="C7352" t="s">
        <v>7410</v>
      </c>
      <c r="D7352">
        <v>0.4</v>
      </c>
      <c r="E7352">
        <v>0.4</v>
      </c>
      <c r="F7352">
        <f t="shared" si="114"/>
        <v>0.8</v>
      </c>
      <c r="I7352">
        <v>20230701</v>
      </c>
      <c r="J7352" t="s">
        <v>7411</v>
      </c>
      <c r="K7352" t="s">
        <v>7412</v>
      </c>
    </row>
    <row r="7353" spans="1:11" x14ac:dyDescent="0.3">
      <c r="A7353" s="160">
        <v>60043</v>
      </c>
      <c r="B7353" t="s">
        <v>22471</v>
      </c>
      <c r="C7353" t="s">
        <v>7357</v>
      </c>
      <c r="D7353">
        <v>0</v>
      </c>
      <c r="E7353">
        <v>0.4</v>
      </c>
      <c r="F7353">
        <f t="shared" si="114"/>
        <v>0.4</v>
      </c>
      <c r="I7353">
        <v>20070101</v>
      </c>
      <c r="J7353" t="s">
        <v>7413</v>
      </c>
    </row>
    <row r="7354" spans="1:11" x14ac:dyDescent="0.3">
      <c r="A7354" s="160">
        <v>60044</v>
      </c>
      <c r="B7354" t="s">
        <v>22472</v>
      </c>
      <c r="C7354" t="s">
        <v>7354</v>
      </c>
      <c r="D7354">
        <v>0.6</v>
      </c>
      <c r="E7354">
        <v>0.2</v>
      </c>
      <c r="F7354">
        <f t="shared" si="114"/>
        <v>0.8</v>
      </c>
      <c r="I7354">
        <v>20190301</v>
      </c>
      <c r="J7354" t="s">
        <v>7385</v>
      </c>
      <c r="K7354" t="s">
        <v>7386</v>
      </c>
    </row>
    <row r="7355" spans="1:11" x14ac:dyDescent="0.3">
      <c r="A7355" s="160">
        <v>60045</v>
      </c>
      <c r="B7355" t="s">
        <v>22473</v>
      </c>
      <c r="C7355" t="s">
        <v>7357</v>
      </c>
      <c r="D7355">
        <v>0</v>
      </c>
      <c r="E7355">
        <v>0.4</v>
      </c>
      <c r="F7355">
        <f t="shared" si="114"/>
        <v>0.4</v>
      </c>
      <c r="I7355">
        <v>20070101</v>
      </c>
      <c r="J7355" t="s">
        <v>7414</v>
      </c>
      <c r="K7355" t="s">
        <v>7415</v>
      </c>
    </row>
    <row r="7356" spans="1:11" x14ac:dyDescent="0.3">
      <c r="A7356" s="160">
        <v>60046</v>
      </c>
      <c r="B7356" t="s">
        <v>22474</v>
      </c>
      <c r="C7356" t="s">
        <v>7357</v>
      </c>
      <c r="D7356">
        <v>0</v>
      </c>
      <c r="E7356">
        <v>0.4</v>
      </c>
      <c r="F7356">
        <f t="shared" si="114"/>
        <v>0.4</v>
      </c>
      <c r="I7356">
        <v>20070101</v>
      </c>
      <c r="J7356" t="s">
        <v>7360</v>
      </c>
    </row>
    <row r="7357" spans="1:11" x14ac:dyDescent="0.3">
      <c r="A7357" s="160">
        <v>60047</v>
      </c>
      <c r="B7357" t="s">
        <v>18613</v>
      </c>
      <c r="C7357" t="s">
        <v>7357</v>
      </c>
      <c r="D7357">
        <v>0</v>
      </c>
      <c r="E7357">
        <v>0.4</v>
      </c>
      <c r="F7357">
        <f t="shared" si="114"/>
        <v>0.4</v>
      </c>
      <c r="I7357">
        <v>20070101</v>
      </c>
      <c r="J7357" t="s">
        <v>7393</v>
      </c>
    </row>
    <row r="7358" spans="1:11" x14ac:dyDescent="0.3">
      <c r="A7358" s="160">
        <v>60048</v>
      </c>
      <c r="B7358" t="s">
        <v>22475</v>
      </c>
      <c r="C7358" t="s">
        <v>7357</v>
      </c>
      <c r="D7358">
        <v>0</v>
      </c>
      <c r="E7358">
        <v>0.4</v>
      </c>
      <c r="F7358">
        <f t="shared" si="114"/>
        <v>0.4</v>
      </c>
      <c r="I7358">
        <v>20070101</v>
      </c>
      <c r="J7358" t="s">
        <v>7416</v>
      </c>
      <c r="K7358" t="s">
        <v>7399</v>
      </c>
    </row>
    <row r="7359" spans="1:11" x14ac:dyDescent="0.3">
      <c r="A7359" s="160">
        <v>60049</v>
      </c>
      <c r="B7359" t="s">
        <v>20722</v>
      </c>
      <c r="C7359" t="s">
        <v>7357</v>
      </c>
      <c r="D7359">
        <v>0</v>
      </c>
      <c r="E7359">
        <v>0</v>
      </c>
      <c r="F7359">
        <f t="shared" si="114"/>
        <v>0</v>
      </c>
      <c r="I7359">
        <v>20210101</v>
      </c>
      <c r="J7359" t="s">
        <v>7417</v>
      </c>
    </row>
    <row r="7360" spans="1:11" x14ac:dyDescent="0.3">
      <c r="A7360" s="160">
        <v>60050</v>
      </c>
      <c r="B7360" t="s">
        <v>22476</v>
      </c>
      <c r="C7360" t="s">
        <v>27560</v>
      </c>
      <c r="D7360">
        <v>0.6</v>
      </c>
      <c r="E7360">
        <v>0.2</v>
      </c>
      <c r="F7360">
        <f t="shared" si="114"/>
        <v>0.8</v>
      </c>
      <c r="I7360">
        <v>20250101</v>
      </c>
      <c r="J7360" t="s">
        <v>7362</v>
      </c>
    </row>
    <row r="7361" spans="1:32" x14ac:dyDescent="0.3">
      <c r="A7361" s="160">
        <v>60051</v>
      </c>
      <c r="B7361" t="s">
        <v>22477</v>
      </c>
      <c r="C7361" t="s">
        <v>7357</v>
      </c>
      <c r="D7361">
        <v>0</v>
      </c>
      <c r="E7361">
        <v>0.4</v>
      </c>
      <c r="F7361">
        <f t="shared" si="114"/>
        <v>0.4</v>
      </c>
      <c r="I7361">
        <v>20210101</v>
      </c>
      <c r="J7361" t="s">
        <v>7418</v>
      </c>
    </row>
    <row r="7362" spans="1:32" x14ac:dyDescent="0.3">
      <c r="A7362" s="160">
        <v>60052</v>
      </c>
      <c r="B7362" t="s">
        <v>22478</v>
      </c>
      <c r="C7362" t="s">
        <v>7391</v>
      </c>
      <c r="D7362">
        <v>0</v>
      </c>
      <c r="E7362">
        <v>0</v>
      </c>
      <c r="F7362">
        <f t="shared" si="114"/>
        <v>0</v>
      </c>
      <c r="I7362">
        <v>20220701</v>
      </c>
      <c r="J7362" t="s">
        <v>7419</v>
      </c>
    </row>
    <row r="7363" spans="1:32" x14ac:dyDescent="0.3">
      <c r="A7363" s="160">
        <v>60054</v>
      </c>
      <c r="B7363" t="s">
        <v>22479</v>
      </c>
      <c r="C7363" t="s">
        <v>7377</v>
      </c>
      <c r="D7363">
        <v>0.6</v>
      </c>
      <c r="E7363">
        <v>0.2</v>
      </c>
      <c r="F7363">
        <f t="shared" si="114"/>
        <v>0.8</v>
      </c>
      <c r="I7363">
        <v>20121201</v>
      </c>
      <c r="J7363" t="s">
        <v>7403</v>
      </c>
    </row>
    <row r="7364" spans="1:32" x14ac:dyDescent="0.3">
      <c r="A7364" s="160">
        <v>60055</v>
      </c>
      <c r="B7364" t="s">
        <v>22480</v>
      </c>
      <c r="C7364" t="s">
        <v>7391</v>
      </c>
      <c r="D7364">
        <v>0</v>
      </c>
      <c r="E7364">
        <v>0</v>
      </c>
      <c r="F7364">
        <f t="shared" si="114"/>
        <v>0</v>
      </c>
      <c r="I7364">
        <v>20220701</v>
      </c>
      <c r="J7364" t="s">
        <v>7392</v>
      </c>
    </row>
    <row r="7365" spans="1:32" x14ac:dyDescent="0.3">
      <c r="A7365" s="160">
        <v>60056</v>
      </c>
      <c r="B7365" t="s">
        <v>22481</v>
      </c>
      <c r="C7365" t="s">
        <v>27560</v>
      </c>
      <c r="D7365">
        <v>0.6</v>
      </c>
      <c r="E7365">
        <v>0.2</v>
      </c>
      <c r="F7365">
        <f t="shared" si="114"/>
        <v>0.8</v>
      </c>
      <c r="I7365">
        <v>20250101</v>
      </c>
      <c r="J7365" t="s">
        <v>7362</v>
      </c>
    </row>
    <row r="7366" spans="1:32" x14ac:dyDescent="0.3">
      <c r="A7366" s="160">
        <v>60057</v>
      </c>
      <c r="B7366" t="s">
        <v>22482</v>
      </c>
      <c r="C7366" t="s">
        <v>7369</v>
      </c>
      <c r="D7366">
        <v>0.7</v>
      </c>
      <c r="E7366">
        <v>0.2</v>
      </c>
      <c r="F7366">
        <f t="shared" si="114"/>
        <v>0.89999999999999991</v>
      </c>
      <c r="I7366">
        <v>20150101</v>
      </c>
      <c r="J7366" t="s">
        <v>7370</v>
      </c>
      <c r="K7366" t="s">
        <v>7371</v>
      </c>
      <c r="L7366" t="s">
        <v>7372</v>
      </c>
      <c r="M7366" t="s">
        <v>7373</v>
      </c>
      <c r="N7366" t="s">
        <v>7374</v>
      </c>
      <c r="O7366" t="s">
        <v>7375</v>
      </c>
      <c r="P7366" t="s">
        <v>7420</v>
      </c>
      <c r="Q7366" t="s">
        <v>7376</v>
      </c>
      <c r="R7366" t="s">
        <v>7421</v>
      </c>
      <c r="S7366" t="s">
        <v>7422</v>
      </c>
      <c r="T7366" t="s">
        <v>7423</v>
      </c>
      <c r="U7366" t="s">
        <v>7424</v>
      </c>
      <c r="V7366" t="s">
        <v>7425</v>
      </c>
      <c r="W7366" t="s">
        <v>7426</v>
      </c>
      <c r="X7366" t="s">
        <v>7427</v>
      </c>
      <c r="Y7366" t="s">
        <v>7428</v>
      </c>
      <c r="Z7366" t="s">
        <v>7429</v>
      </c>
      <c r="AA7366" t="s">
        <v>7430</v>
      </c>
      <c r="AB7366" t="s">
        <v>7431</v>
      </c>
      <c r="AC7366" t="s">
        <v>7432</v>
      </c>
      <c r="AD7366" t="s">
        <v>7433</v>
      </c>
      <c r="AE7366" t="s">
        <v>7434</v>
      </c>
      <c r="AF7366" t="s">
        <v>7435</v>
      </c>
    </row>
    <row r="7367" spans="1:32" x14ac:dyDescent="0.3">
      <c r="A7367" s="160">
        <v>60059</v>
      </c>
      <c r="B7367" t="s">
        <v>22483</v>
      </c>
      <c r="C7367" t="s">
        <v>7391</v>
      </c>
      <c r="D7367">
        <v>0</v>
      </c>
      <c r="E7367">
        <v>0</v>
      </c>
      <c r="F7367">
        <f t="shared" ref="F7367:F7430" si="115">D7367+E7367</f>
        <v>0</v>
      </c>
      <c r="I7367">
        <v>20220701</v>
      </c>
      <c r="J7367" t="s">
        <v>7392</v>
      </c>
    </row>
    <row r="7368" spans="1:32" x14ac:dyDescent="0.3">
      <c r="A7368" s="160">
        <v>60060</v>
      </c>
      <c r="B7368" t="s">
        <v>22484</v>
      </c>
      <c r="C7368" t="s">
        <v>7354</v>
      </c>
      <c r="D7368">
        <v>0.6</v>
      </c>
      <c r="E7368">
        <v>0.2</v>
      </c>
      <c r="F7368">
        <f t="shared" si="115"/>
        <v>0.8</v>
      </c>
      <c r="I7368">
        <v>20190301</v>
      </c>
      <c r="J7368" t="s">
        <v>7389</v>
      </c>
      <c r="K7368" t="s">
        <v>7436</v>
      </c>
    </row>
    <row r="7369" spans="1:32" x14ac:dyDescent="0.3">
      <c r="A7369" s="160">
        <v>60061</v>
      </c>
      <c r="B7369" t="s">
        <v>22485</v>
      </c>
      <c r="C7369" t="s">
        <v>7357</v>
      </c>
      <c r="D7369">
        <v>0</v>
      </c>
      <c r="E7369">
        <v>0.4</v>
      </c>
      <c r="F7369">
        <f t="shared" si="115"/>
        <v>0.4</v>
      </c>
      <c r="I7369">
        <v>20070101</v>
      </c>
      <c r="J7369" t="s">
        <v>7437</v>
      </c>
    </row>
    <row r="7370" spans="1:32" x14ac:dyDescent="0.3">
      <c r="A7370" s="160">
        <v>60062</v>
      </c>
      <c r="B7370" t="s">
        <v>22486</v>
      </c>
      <c r="C7370" t="s">
        <v>7391</v>
      </c>
      <c r="D7370">
        <v>0</v>
      </c>
      <c r="E7370">
        <v>0</v>
      </c>
      <c r="F7370">
        <f t="shared" si="115"/>
        <v>0</v>
      </c>
      <c r="I7370">
        <v>20220701</v>
      </c>
      <c r="J7370" t="s">
        <v>7419</v>
      </c>
    </row>
    <row r="7371" spans="1:32" x14ac:dyDescent="0.3">
      <c r="A7371" s="160">
        <v>60063</v>
      </c>
      <c r="B7371" t="s">
        <v>22487</v>
      </c>
      <c r="C7371" t="s">
        <v>7369</v>
      </c>
      <c r="D7371">
        <v>0.7</v>
      </c>
      <c r="E7371">
        <v>0.2</v>
      </c>
      <c r="F7371">
        <f t="shared" si="115"/>
        <v>0.89999999999999991</v>
      </c>
      <c r="I7371">
        <v>20150101</v>
      </c>
      <c r="J7371" t="s">
        <v>7403</v>
      </c>
    </row>
    <row r="7372" spans="1:32" x14ac:dyDescent="0.3">
      <c r="A7372" s="160">
        <v>60064</v>
      </c>
      <c r="B7372" t="s">
        <v>22488</v>
      </c>
      <c r="C7372" t="s">
        <v>7357</v>
      </c>
      <c r="D7372">
        <v>0</v>
      </c>
      <c r="E7372">
        <v>0.4</v>
      </c>
      <c r="F7372">
        <f t="shared" si="115"/>
        <v>0.4</v>
      </c>
      <c r="I7372">
        <v>20070101</v>
      </c>
      <c r="J7372" t="s">
        <v>7400</v>
      </c>
    </row>
    <row r="7373" spans="1:32" x14ac:dyDescent="0.3">
      <c r="A7373" s="160">
        <v>60065</v>
      </c>
      <c r="B7373" t="s">
        <v>22489</v>
      </c>
      <c r="C7373" t="s">
        <v>7354</v>
      </c>
      <c r="D7373">
        <v>0.6</v>
      </c>
      <c r="E7373">
        <v>0.2</v>
      </c>
      <c r="F7373">
        <f t="shared" si="115"/>
        <v>0.8</v>
      </c>
      <c r="I7373">
        <v>20190301</v>
      </c>
      <c r="J7373" t="s">
        <v>7438</v>
      </c>
      <c r="K7373" t="s">
        <v>7356</v>
      </c>
    </row>
    <row r="7374" spans="1:32" x14ac:dyDescent="0.3">
      <c r="A7374" s="160">
        <v>60066</v>
      </c>
      <c r="B7374" t="s">
        <v>22490</v>
      </c>
      <c r="C7374" t="s">
        <v>7357</v>
      </c>
      <c r="D7374">
        <v>0</v>
      </c>
      <c r="E7374">
        <v>0.4</v>
      </c>
      <c r="F7374">
        <f t="shared" si="115"/>
        <v>0.4</v>
      </c>
      <c r="I7374">
        <v>20070101</v>
      </c>
      <c r="J7374" t="s">
        <v>7439</v>
      </c>
    </row>
    <row r="7375" spans="1:32" x14ac:dyDescent="0.3">
      <c r="A7375" s="160">
        <v>60067</v>
      </c>
      <c r="B7375" t="s">
        <v>22491</v>
      </c>
      <c r="C7375" t="s">
        <v>7397</v>
      </c>
      <c r="D7375">
        <v>0.7</v>
      </c>
      <c r="E7375">
        <v>0.2</v>
      </c>
      <c r="F7375">
        <f t="shared" si="115"/>
        <v>0.89999999999999991</v>
      </c>
      <c r="I7375">
        <v>20180701</v>
      </c>
      <c r="J7375" t="s">
        <v>7440</v>
      </c>
    </row>
    <row r="7376" spans="1:32" x14ac:dyDescent="0.3">
      <c r="A7376" s="160">
        <v>60068</v>
      </c>
      <c r="B7376" t="s">
        <v>22492</v>
      </c>
      <c r="C7376" t="s">
        <v>7397</v>
      </c>
      <c r="D7376">
        <v>0.7</v>
      </c>
      <c r="E7376">
        <v>0</v>
      </c>
      <c r="F7376">
        <f t="shared" si="115"/>
        <v>0.7</v>
      </c>
      <c r="I7376">
        <v>20210101</v>
      </c>
      <c r="J7376" t="s">
        <v>7440</v>
      </c>
      <c r="K7376" t="s">
        <v>7441</v>
      </c>
    </row>
    <row r="7377" spans="1:11" x14ac:dyDescent="0.3">
      <c r="A7377" s="160">
        <v>60069</v>
      </c>
      <c r="B7377" t="s">
        <v>22493</v>
      </c>
      <c r="C7377" t="s">
        <v>7357</v>
      </c>
      <c r="D7377">
        <v>0</v>
      </c>
      <c r="E7377">
        <v>0.4</v>
      </c>
      <c r="F7377">
        <f t="shared" si="115"/>
        <v>0.4</v>
      </c>
      <c r="I7377">
        <v>20070101</v>
      </c>
      <c r="J7377" t="s">
        <v>7360</v>
      </c>
      <c r="K7377" t="s">
        <v>7361</v>
      </c>
    </row>
    <row r="7378" spans="1:11" x14ac:dyDescent="0.3">
      <c r="A7378" s="160">
        <v>60070</v>
      </c>
      <c r="B7378" t="s">
        <v>22494</v>
      </c>
      <c r="C7378" t="s">
        <v>7397</v>
      </c>
      <c r="D7378">
        <v>0.7</v>
      </c>
      <c r="E7378">
        <v>0.2</v>
      </c>
      <c r="F7378">
        <f t="shared" si="115"/>
        <v>0.89999999999999991</v>
      </c>
      <c r="I7378">
        <v>20180701</v>
      </c>
      <c r="J7378" t="s">
        <v>7442</v>
      </c>
    </row>
    <row r="7379" spans="1:11" x14ac:dyDescent="0.3">
      <c r="A7379" s="160">
        <v>60071</v>
      </c>
      <c r="B7379" t="s">
        <v>22495</v>
      </c>
      <c r="C7379" t="s">
        <v>7357</v>
      </c>
      <c r="D7379">
        <v>0</v>
      </c>
      <c r="E7379">
        <v>0.4</v>
      </c>
      <c r="F7379">
        <f t="shared" si="115"/>
        <v>0.4</v>
      </c>
      <c r="I7379">
        <v>20210101</v>
      </c>
      <c r="J7379" t="s">
        <v>7437</v>
      </c>
    </row>
    <row r="7380" spans="1:11" x14ac:dyDescent="0.3">
      <c r="A7380" s="160">
        <v>60072</v>
      </c>
      <c r="B7380" t="s">
        <v>22496</v>
      </c>
      <c r="C7380" t="s">
        <v>7357</v>
      </c>
      <c r="D7380">
        <v>0</v>
      </c>
      <c r="E7380">
        <v>0.4</v>
      </c>
      <c r="F7380">
        <f t="shared" si="115"/>
        <v>0.4</v>
      </c>
      <c r="I7380">
        <v>20210101</v>
      </c>
      <c r="J7380" t="s">
        <v>7400</v>
      </c>
    </row>
    <row r="7381" spans="1:11" x14ac:dyDescent="0.3">
      <c r="A7381" s="160">
        <v>60073</v>
      </c>
      <c r="B7381" t="s">
        <v>22497</v>
      </c>
      <c r="C7381" t="s">
        <v>7357</v>
      </c>
      <c r="D7381">
        <v>0</v>
      </c>
      <c r="E7381">
        <v>0.4</v>
      </c>
      <c r="F7381">
        <f t="shared" si="115"/>
        <v>0.4</v>
      </c>
      <c r="I7381">
        <v>20070101</v>
      </c>
      <c r="J7381" t="s">
        <v>7443</v>
      </c>
    </row>
    <row r="7382" spans="1:11" x14ac:dyDescent="0.3">
      <c r="A7382" s="160">
        <v>60074</v>
      </c>
      <c r="B7382" t="s">
        <v>22498</v>
      </c>
      <c r="C7382" t="s">
        <v>7354</v>
      </c>
      <c r="D7382">
        <v>0.6</v>
      </c>
      <c r="E7382">
        <v>0.2</v>
      </c>
      <c r="F7382">
        <f t="shared" si="115"/>
        <v>0.8</v>
      </c>
      <c r="I7382">
        <v>20190301</v>
      </c>
      <c r="J7382" t="s">
        <v>7444</v>
      </c>
    </row>
    <row r="7383" spans="1:11" x14ac:dyDescent="0.3">
      <c r="A7383" s="160">
        <v>60075</v>
      </c>
      <c r="B7383" t="s">
        <v>22499</v>
      </c>
      <c r="C7383" t="s">
        <v>7357</v>
      </c>
      <c r="D7383">
        <v>0</v>
      </c>
      <c r="E7383">
        <v>0.4</v>
      </c>
      <c r="F7383">
        <f t="shared" si="115"/>
        <v>0.4</v>
      </c>
      <c r="I7383">
        <v>20210101</v>
      </c>
      <c r="J7383" t="s">
        <v>7388</v>
      </c>
    </row>
    <row r="7384" spans="1:11" x14ac:dyDescent="0.3">
      <c r="A7384" s="160">
        <v>60077</v>
      </c>
      <c r="B7384" t="s">
        <v>22500</v>
      </c>
      <c r="C7384" t="s">
        <v>7357</v>
      </c>
      <c r="D7384">
        <v>0</v>
      </c>
      <c r="E7384">
        <v>0.4</v>
      </c>
      <c r="F7384">
        <f t="shared" si="115"/>
        <v>0.4</v>
      </c>
      <c r="I7384">
        <v>20170701</v>
      </c>
      <c r="J7384" t="s">
        <v>7445</v>
      </c>
    </row>
    <row r="7385" spans="1:11" x14ac:dyDescent="0.3">
      <c r="A7385" s="160">
        <v>60078</v>
      </c>
      <c r="B7385" t="s">
        <v>22501</v>
      </c>
      <c r="C7385" t="s">
        <v>7398</v>
      </c>
      <c r="D7385">
        <v>0.4</v>
      </c>
      <c r="E7385">
        <v>0.4</v>
      </c>
      <c r="F7385">
        <f t="shared" si="115"/>
        <v>0.8</v>
      </c>
      <c r="I7385">
        <v>20210101</v>
      </c>
      <c r="J7385" t="s">
        <v>7399</v>
      </c>
    </row>
    <row r="7386" spans="1:11" x14ac:dyDescent="0.3">
      <c r="A7386" s="160">
        <v>60079</v>
      </c>
      <c r="B7386" t="s">
        <v>22502</v>
      </c>
      <c r="C7386" t="s">
        <v>7357</v>
      </c>
      <c r="D7386">
        <v>0</v>
      </c>
      <c r="E7386">
        <v>0.4</v>
      </c>
      <c r="F7386">
        <f t="shared" si="115"/>
        <v>0.4</v>
      </c>
      <c r="I7386">
        <v>20070101</v>
      </c>
      <c r="J7386" t="s">
        <v>7446</v>
      </c>
    </row>
    <row r="7387" spans="1:11" x14ac:dyDescent="0.3">
      <c r="A7387" s="160">
        <v>60080</v>
      </c>
      <c r="B7387" t="s">
        <v>22502</v>
      </c>
      <c r="C7387" t="s">
        <v>7357</v>
      </c>
      <c r="D7387">
        <v>0</v>
      </c>
      <c r="E7387">
        <v>0.4</v>
      </c>
      <c r="F7387">
        <f t="shared" si="115"/>
        <v>0.4</v>
      </c>
      <c r="I7387">
        <v>20070101</v>
      </c>
      <c r="J7387" t="s">
        <v>7407</v>
      </c>
    </row>
    <row r="7388" spans="1:11" x14ac:dyDescent="0.3">
      <c r="A7388" s="160">
        <v>60081</v>
      </c>
      <c r="B7388" t="s">
        <v>22503</v>
      </c>
      <c r="C7388" t="s">
        <v>7369</v>
      </c>
      <c r="D7388">
        <v>0.7</v>
      </c>
      <c r="E7388">
        <v>0.2</v>
      </c>
      <c r="F7388">
        <f t="shared" si="115"/>
        <v>0.89999999999999991</v>
      </c>
      <c r="I7388">
        <v>20150101</v>
      </c>
      <c r="J7388" t="s">
        <v>7447</v>
      </c>
    </row>
    <row r="7389" spans="1:11" x14ac:dyDescent="0.3">
      <c r="A7389" s="160">
        <v>60082</v>
      </c>
      <c r="B7389" t="s">
        <v>22504</v>
      </c>
      <c r="C7389" t="s">
        <v>7357</v>
      </c>
      <c r="D7389">
        <v>0</v>
      </c>
      <c r="E7389">
        <v>0.4</v>
      </c>
      <c r="F7389">
        <f t="shared" si="115"/>
        <v>0.4</v>
      </c>
      <c r="I7389">
        <v>20210101</v>
      </c>
      <c r="J7389" t="s">
        <v>7388</v>
      </c>
      <c r="K7389" t="s">
        <v>7448</v>
      </c>
    </row>
    <row r="7390" spans="1:11" x14ac:dyDescent="0.3">
      <c r="A7390" s="160">
        <v>60083</v>
      </c>
      <c r="B7390" t="s">
        <v>22505</v>
      </c>
      <c r="C7390" t="s">
        <v>7357</v>
      </c>
      <c r="D7390">
        <v>0</v>
      </c>
      <c r="E7390">
        <v>0.4</v>
      </c>
      <c r="F7390">
        <f t="shared" si="115"/>
        <v>0.4</v>
      </c>
      <c r="I7390">
        <v>20070101</v>
      </c>
      <c r="J7390" t="s">
        <v>7449</v>
      </c>
      <c r="K7390" t="s">
        <v>7441</v>
      </c>
    </row>
    <row r="7391" spans="1:11" x14ac:dyDescent="0.3">
      <c r="A7391" s="160">
        <v>60084</v>
      </c>
      <c r="B7391" t="s">
        <v>22506</v>
      </c>
      <c r="C7391" t="s">
        <v>7357</v>
      </c>
      <c r="D7391">
        <v>0</v>
      </c>
      <c r="E7391">
        <v>0.4</v>
      </c>
      <c r="F7391">
        <f t="shared" si="115"/>
        <v>0.4</v>
      </c>
      <c r="I7391">
        <v>20170701</v>
      </c>
      <c r="J7391" t="s">
        <v>7450</v>
      </c>
    </row>
    <row r="7392" spans="1:11" x14ac:dyDescent="0.3">
      <c r="A7392" s="160">
        <v>60086</v>
      </c>
      <c r="B7392" t="s">
        <v>22507</v>
      </c>
      <c r="C7392" t="s">
        <v>7354</v>
      </c>
      <c r="D7392">
        <v>0.6</v>
      </c>
      <c r="E7392">
        <v>0.2</v>
      </c>
      <c r="F7392">
        <f t="shared" si="115"/>
        <v>0.8</v>
      </c>
      <c r="I7392">
        <v>20190301</v>
      </c>
      <c r="J7392" t="s">
        <v>7451</v>
      </c>
    </row>
    <row r="7393" spans="1:12" x14ac:dyDescent="0.3">
      <c r="A7393" s="160">
        <v>60087</v>
      </c>
      <c r="B7393" t="s">
        <v>22508</v>
      </c>
      <c r="C7393" t="s">
        <v>7357</v>
      </c>
      <c r="D7393">
        <v>0</v>
      </c>
      <c r="E7393">
        <v>0.4</v>
      </c>
      <c r="F7393">
        <f t="shared" si="115"/>
        <v>0.4</v>
      </c>
      <c r="I7393">
        <v>20070101</v>
      </c>
      <c r="J7393" t="s">
        <v>7393</v>
      </c>
    </row>
    <row r="7394" spans="1:12" x14ac:dyDescent="0.3">
      <c r="A7394" s="160">
        <v>60088</v>
      </c>
      <c r="B7394" t="s">
        <v>22509</v>
      </c>
      <c r="C7394" t="s">
        <v>7377</v>
      </c>
      <c r="D7394">
        <v>0.6</v>
      </c>
      <c r="E7394">
        <v>0.2</v>
      </c>
      <c r="F7394">
        <f t="shared" si="115"/>
        <v>0.8</v>
      </c>
      <c r="I7394">
        <v>20121201</v>
      </c>
      <c r="J7394" t="s">
        <v>7379</v>
      </c>
      <c r="K7394" t="s">
        <v>7389</v>
      </c>
      <c r="L7394" t="s">
        <v>7436</v>
      </c>
    </row>
    <row r="7395" spans="1:12" x14ac:dyDescent="0.3">
      <c r="A7395" s="160">
        <v>60089</v>
      </c>
      <c r="B7395" t="s">
        <v>22510</v>
      </c>
      <c r="C7395" t="s">
        <v>7357</v>
      </c>
      <c r="D7395">
        <v>0</v>
      </c>
      <c r="E7395">
        <v>0.4</v>
      </c>
      <c r="F7395">
        <f t="shared" si="115"/>
        <v>0.4</v>
      </c>
      <c r="I7395">
        <v>20070101</v>
      </c>
      <c r="J7395" t="s">
        <v>7407</v>
      </c>
    </row>
    <row r="7396" spans="1:12" x14ac:dyDescent="0.3">
      <c r="A7396" s="160">
        <v>60090</v>
      </c>
      <c r="B7396" t="s">
        <v>22511</v>
      </c>
      <c r="C7396" t="s">
        <v>7357</v>
      </c>
      <c r="D7396">
        <v>0</v>
      </c>
      <c r="E7396">
        <v>0.4</v>
      </c>
      <c r="F7396">
        <f t="shared" si="115"/>
        <v>0.4</v>
      </c>
      <c r="I7396">
        <v>20070101</v>
      </c>
      <c r="J7396" t="s">
        <v>7407</v>
      </c>
    </row>
    <row r="7397" spans="1:12" x14ac:dyDescent="0.3">
      <c r="A7397" s="160">
        <v>60091</v>
      </c>
      <c r="B7397" t="s">
        <v>22512</v>
      </c>
      <c r="C7397" t="s">
        <v>7357</v>
      </c>
      <c r="D7397">
        <v>0</v>
      </c>
      <c r="E7397">
        <v>0.4</v>
      </c>
      <c r="F7397">
        <f t="shared" si="115"/>
        <v>0.4</v>
      </c>
      <c r="I7397">
        <v>20070101</v>
      </c>
      <c r="J7397" t="s">
        <v>7360</v>
      </c>
    </row>
    <row r="7398" spans="1:12" x14ac:dyDescent="0.3">
      <c r="A7398" s="160">
        <v>60092</v>
      </c>
      <c r="B7398" t="s">
        <v>22513</v>
      </c>
      <c r="C7398" t="s">
        <v>7357</v>
      </c>
      <c r="D7398">
        <v>0</v>
      </c>
      <c r="E7398">
        <v>0.4</v>
      </c>
      <c r="F7398">
        <f t="shared" si="115"/>
        <v>0.4</v>
      </c>
      <c r="I7398">
        <v>20070101</v>
      </c>
      <c r="J7398" t="s">
        <v>7360</v>
      </c>
    </row>
    <row r="7399" spans="1:12" x14ac:dyDescent="0.3">
      <c r="A7399" s="160">
        <v>60093</v>
      </c>
      <c r="B7399" t="s">
        <v>22514</v>
      </c>
      <c r="C7399" t="s">
        <v>7357</v>
      </c>
      <c r="D7399">
        <v>0</v>
      </c>
      <c r="E7399">
        <v>0.4</v>
      </c>
      <c r="F7399">
        <f t="shared" si="115"/>
        <v>0.4</v>
      </c>
      <c r="I7399">
        <v>20210101</v>
      </c>
      <c r="J7399" t="s">
        <v>7437</v>
      </c>
    </row>
    <row r="7400" spans="1:12" x14ac:dyDescent="0.3">
      <c r="A7400" s="160">
        <v>60094</v>
      </c>
      <c r="B7400" t="s">
        <v>22515</v>
      </c>
      <c r="C7400" t="s">
        <v>7357</v>
      </c>
      <c r="D7400">
        <v>0</v>
      </c>
      <c r="E7400">
        <v>0.4</v>
      </c>
      <c r="F7400">
        <f t="shared" si="115"/>
        <v>0.4</v>
      </c>
      <c r="I7400">
        <v>20070101</v>
      </c>
      <c r="J7400" t="s">
        <v>7452</v>
      </c>
    </row>
    <row r="7401" spans="1:12" x14ac:dyDescent="0.3">
      <c r="A7401" s="160">
        <v>60095</v>
      </c>
      <c r="B7401" t="s">
        <v>22516</v>
      </c>
      <c r="C7401" t="s">
        <v>7357</v>
      </c>
      <c r="D7401">
        <v>0</v>
      </c>
      <c r="E7401">
        <v>0.4</v>
      </c>
      <c r="F7401">
        <f t="shared" si="115"/>
        <v>0.4</v>
      </c>
      <c r="I7401">
        <v>20070101</v>
      </c>
      <c r="J7401" t="s">
        <v>7407</v>
      </c>
    </row>
    <row r="7402" spans="1:12" x14ac:dyDescent="0.3">
      <c r="A7402" s="160">
        <v>60097</v>
      </c>
      <c r="B7402" t="s">
        <v>22517</v>
      </c>
      <c r="C7402" t="s">
        <v>7357</v>
      </c>
      <c r="D7402">
        <v>0</v>
      </c>
      <c r="E7402">
        <v>0.4</v>
      </c>
      <c r="F7402">
        <f t="shared" si="115"/>
        <v>0.4</v>
      </c>
      <c r="I7402">
        <v>20070101</v>
      </c>
      <c r="J7402" t="s">
        <v>7453</v>
      </c>
    </row>
    <row r="7403" spans="1:12" x14ac:dyDescent="0.3">
      <c r="A7403" s="160">
        <v>60099</v>
      </c>
      <c r="B7403" t="s">
        <v>22518</v>
      </c>
      <c r="C7403" t="s">
        <v>7357</v>
      </c>
      <c r="D7403">
        <v>0</v>
      </c>
      <c r="E7403">
        <v>0.4</v>
      </c>
      <c r="F7403">
        <f t="shared" si="115"/>
        <v>0.4</v>
      </c>
      <c r="I7403">
        <v>20070101</v>
      </c>
      <c r="J7403" t="s">
        <v>7416</v>
      </c>
    </row>
    <row r="7404" spans="1:12" x14ac:dyDescent="0.3">
      <c r="A7404" s="160">
        <v>60100</v>
      </c>
      <c r="B7404" t="s">
        <v>22519</v>
      </c>
      <c r="C7404" t="s">
        <v>7357</v>
      </c>
      <c r="D7404">
        <v>0</v>
      </c>
      <c r="E7404">
        <v>0.4</v>
      </c>
      <c r="F7404">
        <f t="shared" si="115"/>
        <v>0.4</v>
      </c>
      <c r="I7404">
        <v>20070101</v>
      </c>
      <c r="J7404" t="s">
        <v>7415</v>
      </c>
    </row>
    <row r="7405" spans="1:12" x14ac:dyDescent="0.3">
      <c r="A7405" s="160">
        <v>60101</v>
      </c>
      <c r="B7405" t="s">
        <v>22520</v>
      </c>
      <c r="C7405" t="s">
        <v>7357</v>
      </c>
      <c r="D7405">
        <v>0</v>
      </c>
      <c r="E7405">
        <v>0.4</v>
      </c>
      <c r="F7405">
        <f t="shared" si="115"/>
        <v>0.4</v>
      </c>
      <c r="I7405">
        <v>20070101</v>
      </c>
      <c r="J7405" t="s">
        <v>7446</v>
      </c>
      <c r="K7405" t="s">
        <v>7454</v>
      </c>
      <c r="L7405" t="s">
        <v>7361</v>
      </c>
    </row>
    <row r="7406" spans="1:12" x14ac:dyDescent="0.3">
      <c r="A7406" s="160">
        <v>60102</v>
      </c>
      <c r="B7406" t="s">
        <v>22521</v>
      </c>
      <c r="C7406" t="s">
        <v>27560</v>
      </c>
      <c r="D7406">
        <v>0.6</v>
      </c>
      <c r="E7406">
        <v>0.2</v>
      </c>
      <c r="F7406">
        <f t="shared" si="115"/>
        <v>0.8</v>
      </c>
      <c r="I7406">
        <v>20250101</v>
      </c>
      <c r="J7406" t="s">
        <v>7414</v>
      </c>
      <c r="K7406" t="s">
        <v>7455</v>
      </c>
      <c r="L7406" t="s">
        <v>7456</v>
      </c>
    </row>
    <row r="7407" spans="1:12" x14ac:dyDescent="0.3">
      <c r="A7407" s="160">
        <v>60103</v>
      </c>
      <c r="B7407" t="s">
        <v>22522</v>
      </c>
      <c r="C7407" t="s">
        <v>7369</v>
      </c>
      <c r="D7407">
        <v>0.7</v>
      </c>
      <c r="E7407">
        <v>0.2</v>
      </c>
      <c r="F7407">
        <f t="shared" si="115"/>
        <v>0.89999999999999991</v>
      </c>
      <c r="I7407">
        <v>20210101</v>
      </c>
      <c r="J7407" t="s">
        <v>7447</v>
      </c>
    </row>
    <row r="7408" spans="1:12" x14ac:dyDescent="0.3">
      <c r="A7408" s="160">
        <v>60104</v>
      </c>
      <c r="B7408" t="s">
        <v>22523</v>
      </c>
      <c r="C7408" t="s">
        <v>7357</v>
      </c>
      <c r="D7408">
        <v>0</v>
      </c>
      <c r="E7408">
        <v>0</v>
      </c>
      <c r="F7408">
        <f t="shared" si="115"/>
        <v>0</v>
      </c>
      <c r="I7408">
        <v>20210101</v>
      </c>
      <c r="J7408" t="s">
        <v>7388</v>
      </c>
      <c r="K7408" t="s">
        <v>7448</v>
      </c>
    </row>
    <row r="7409" spans="1:13" x14ac:dyDescent="0.3">
      <c r="A7409" s="160">
        <v>60105</v>
      </c>
      <c r="B7409" t="s">
        <v>22524</v>
      </c>
      <c r="C7409" t="s">
        <v>7391</v>
      </c>
      <c r="D7409">
        <v>0</v>
      </c>
      <c r="E7409">
        <v>0</v>
      </c>
      <c r="F7409">
        <f t="shared" si="115"/>
        <v>0</v>
      </c>
      <c r="I7409">
        <v>20220701</v>
      </c>
      <c r="J7409" t="s">
        <v>7392</v>
      </c>
    </row>
    <row r="7410" spans="1:13" x14ac:dyDescent="0.3">
      <c r="A7410" s="160">
        <v>60106</v>
      </c>
      <c r="B7410" t="s">
        <v>22525</v>
      </c>
      <c r="C7410" t="s">
        <v>7365</v>
      </c>
      <c r="D7410">
        <v>0.6</v>
      </c>
      <c r="E7410">
        <v>0.2</v>
      </c>
      <c r="F7410">
        <f t="shared" si="115"/>
        <v>0.8</v>
      </c>
      <c r="I7410">
        <v>20240101</v>
      </c>
      <c r="J7410" t="s">
        <v>7457</v>
      </c>
      <c r="K7410" t="s">
        <v>7458</v>
      </c>
      <c r="L7410" t="s">
        <v>7459</v>
      </c>
    </row>
    <row r="7411" spans="1:13" x14ac:dyDescent="0.3">
      <c r="A7411" s="160">
        <v>60107</v>
      </c>
      <c r="B7411" t="s">
        <v>22526</v>
      </c>
      <c r="C7411" t="s">
        <v>7365</v>
      </c>
      <c r="D7411">
        <v>0.6</v>
      </c>
      <c r="E7411">
        <v>0.2</v>
      </c>
      <c r="F7411">
        <f t="shared" si="115"/>
        <v>0.8</v>
      </c>
      <c r="I7411">
        <v>20240101</v>
      </c>
      <c r="J7411" t="s">
        <v>7366</v>
      </c>
      <c r="K7411" t="s">
        <v>7367</v>
      </c>
      <c r="L7411" t="s">
        <v>7368</v>
      </c>
      <c r="M7411" t="s">
        <v>7460</v>
      </c>
    </row>
    <row r="7412" spans="1:13" x14ac:dyDescent="0.3">
      <c r="A7412" s="160">
        <v>60108</v>
      </c>
      <c r="B7412" t="s">
        <v>22527</v>
      </c>
      <c r="C7412" t="s">
        <v>7357</v>
      </c>
      <c r="D7412">
        <v>0</v>
      </c>
      <c r="E7412">
        <v>0.4</v>
      </c>
      <c r="F7412">
        <f t="shared" si="115"/>
        <v>0.4</v>
      </c>
      <c r="I7412">
        <v>20210101</v>
      </c>
      <c r="J7412" t="s">
        <v>7418</v>
      </c>
    </row>
    <row r="7413" spans="1:13" x14ac:dyDescent="0.3">
      <c r="A7413" s="160">
        <v>60109</v>
      </c>
      <c r="B7413" t="s">
        <v>22528</v>
      </c>
      <c r="C7413" t="s">
        <v>7357</v>
      </c>
      <c r="D7413">
        <v>0</v>
      </c>
      <c r="E7413">
        <v>0.4</v>
      </c>
      <c r="F7413">
        <f t="shared" si="115"/>
        <v>0.4</v>
      </c>
      <c r="I7413">
        <v>20210101</v>
      </c>
      <c r="J7413" t="s">
        <v>7418</v>
      </c>
    </row>
    <row r="7414" spans="1:13" x14ac:dyDescent="0.3">
      <c r="A7414" s="160">
        <v>60110</v>
      </c>
      <c r="B7414" t="s">
        <v>22529</v>
      </c>
      <c r="C7414" t="s">
        <v>7357</v>
      </c>
      <c r="D7414">
        <v>0</v>
      </c>
      <c r="E7414">
        <v>0.4</v>
      </c>
      <c r="F7414">
        <f t="shared" si="115"/>
        <v>0.4</v>
      </c>
      <c r="I7414">
        <v>20210101</v>
      </c>
      <c r="J7414" t="s">
        <v>7461</v>
      </c>
    </row>
    <row r="7415" spans="1:13" x14ac:dyDescent="0.3">
      <c r="A7415" s="160">
        <v>60112</v>
      </c>
      <c r="B7415" t="s">
        <v>22530</v>
      </c>
      <c r="C7415" t="s">
        <v>7357</v>
      </c>
      <c r="D7415">
        <v>0</v>
      </c>
      <c r="E7415">
        <v>0</v>
      </c>
      <c r="F7415">
        <f t="shared" si="115"/>
        <v>0</v>
      </c>
      <c r="I7415">
        <v>20210101</v>
      </c>
      <c r="J7415" t="s">
        <v>7384</v>
      </c>
    </row>
    <row r="7416" spans="1:13" x14ac:dyDescent="0.3">
      <c r="A7416" s="160">
        <v>60113</v>
      </c>
      <c r="B7416" t="s">
        <v>22531</v>
      </c>
      <c r="C7416" t="s">
        <v>7357</v>
      </c>
      <c r="D7416">
        <v>0</v>
      </c>
      <c r="E7416">
        <v>0.4</v>
      </c>
      <c r="F7416">
        <f t="shared" si="115"/>
        <v>0.4</v>
      </c>
      <c r="I7416">
        <v>20170701</v>
      </c>
      <c r="J7416" t="s">
        <v>7358</v>
      </c>
    </row>
    <row r="7417" spans="1:13" x14ac:dyDescent="0.3">
      <c r="A7417" s="160">
        <v>60114</v>
      </c>
      <c r="B7417" t="s">
        <v>22532</v>
      </c>
      <c r="C7417" t="s">
        <v>7357</v>
      </c>
      <c r="D7417">
        <v>0</v>
      </c>
      <c r="E7417">
        <v>0.4</v>
      </c>
      <c r="F7417">
        <f t="shared" si="115"/>
        <v>0.4</v>
      </c>
      <c r="I7417">
        <v>20170701</v>
      </c>
      <c r="J7417" t="s">
        <v>7417</v>
      </c>
    </row>
    <row r="7418" spans="1:13" x14ac:dyDescent="0.3">
      <c r="A7418" s="160">
        <v>60115</v>
      </c>
      <c r="B7418" t="s">
        <v>22533</v>
      </c>
      <c r="C7418" t="s">
        <v>7357</v>
      </c>
      <c r="D7418">
        <v>0</v>
      </c>
      <c r="E7418">
        <v>0.4</v>
      </c>
      <c r="F7418">
        <f t="shared" si="115"/>
        <v>0.4</v>
      </c>
      <c r="I7418">
        <v>20070101</v>
      </c>
      <c r="J7418" t="s">
        <v>7384</v>
      </c>
    </row>
    <row r="7419" spans="1:13" x14ac:dyDescent="0.3">
      <c r="A7419" s="160">
        <v>60116</v>
      </c>
      <c r="B7419" t="s">
        <v>22534</v>
      </c>
      <c r="C7419" t="s">
        <v>7365</v>
      </c>
      <c r="D7419">
        <v>0.6</v>
      </c>
      <c r="E7419">
        <v>0.2</v>
      </c>
      <c r="F7419">
        <f t="shared" si="115"/>
        <v>0.8</v>
      </c>
      <c r="I7419">
        <v>20240101</v>
      </c>
      <c r="J7419" t="s">
        <v>7385</v>
      </c>
      <c r="K7419" t="s">
        <v>7386</v>
      </c>
      <c r="L7419" t="s">
        <v>7387</v>
      </c>
    </row>
    <row r="7420" spans="1:13" x14ac:dyDescent="0.3">
      <c r="A7420" s="160">
        <v>60117</v>
      </c>
      <c r="B7420" t="s">
        <v>22535</v>
      </c>
      <c r="C7420" t="s">
        <v>7391</v>
      </c>
      <c r="D7420">
        <v>0</v>
      </c>
      <c r="E7420">
        <v>0</v>
      </c>
      <c r="F7420">
        <f t="shared" si="115"/>
        <v>0</v>
      </c>
      <c r="I7420">
        <v>20220701</v>
      </c>
      <c r="J7420" t="s">
        <v>7392</v>
      </c>
    </row>
    <row r="7421" spans="1:13" x14ac:dyDescent="0.3">
      <c r="A7421" s="160">
        <v>60118</v>
      </c>
      <c r="B7421" t="s">
        <v>22536</v>
      </c>
      <c r="C7421" t="s">
        <v>7391</v>
      </c>
      <c r="D7421">
        <v>0</v>
      </c>
      <c r="E7421">
        <v>0.4</v>
      </c>
      <c r="F7421">
        <f t="shared" si="115"/>
        <v>0.4</v>
      </c>
      <c r="I7421">
        <v>20220701</v>
      </c>
      <c r="J7421" t="s">
        <v>7392</v>
      </c>
      <c r="K7421" t="s">
        <v>7462</v>
      </c>
    </row>
    <row r="7422" spans="1:13" x14ac:dyDescent="0.3">
      <c r="A7422" s="160">
        <v>60119</v>
      </c>
      <c r="B7422" t="s">
        <v>22537</v>
      </c>
      <c r="C7422" t="s">
        <v>7357</v>
      </c>
      <c r="D7422">
        <v>0</v>
      </c>
      <c r="E7422">
        <v>0.4</v>
      </c>
      <c r="F7422">
        <f t="shared" si="115"/>
        <v>0.4</v>
      </c>
      <c r="I7422">
        <v>20070101</v>
      </c>
      <c r="J7422" t="s">
        <v>7413</v>
      </c>
      <c r="K7422" t="s">
        <v>7463</v>
      </c>
      <c r="L7422" t="s">
        <v>7464</v>
      </c>
    </row>
    <row r="7423" spans="1:13" x14ac:dyDescent="0.3">
      <c r="A7423" s="160">
        <v>60120</v>
      </c>
      <c r="B7423" t="s">
        <v>22538</v>
      </c>
      <c r="C7423" t="s">
        <v>7365</v>
      </c>
      <c r="D7423">
        <v>0.6</v>
      </c>
      <c r="E7423">
        <v>0.2</v>
      </c>
      <c r="F7423">
        <f t="shared" si="115"/>
        <v>0.8</v>
      </c>
      <c r="I7423">
        <v>20240101</v>
      </c>
      <c r="J7423" t="s">
        <v>7465</v>
      </c>
      <c r="K7423" t="s">
        <v>7466</v>
      </c>
    </row>
    <row r="7424" spans="1:13" x14ac:dyDescent="0.3">
      <c r="A7424" s="160">
        <v>60121</v>
      </c>
      <c r="B7424" t="s">
        <v>19026</v>
      </c>
      <c r="C7424" t="s">
        <v>7391</v>
      </c>
      <c r="D7424">
        <v>0</v>
      </c>
      <c r="E7424">
        <v>0</v>
      </c>
      <c r="F7424">
        <f t="shared" si="115"/>
        <v>0</v>
      </c>
      <c r="I7424">
        <v>20220701</v>
      </c>
      <c r="J7424" t="s">
        <v>7419</v>
      </c>
    </row>
    <row r="7425" spans="1:14" x14ac:dyDescent="0.3">
      <c r="A7425" s="160">
        <v>60122</v>
      </c>
      <c r="B7425" t="s">
        <v>22539</v>
      </c>
      <c r="C7425" t="s">
        <v>7357</v>
      </c>
      <c r="D7425">
        <v>0</v>
      </c>
      <c r="E7425">
        <v>0.4</v>
      </c>
      <c r="F7425">
        <f t="shared" si="115"/>
        <v>0.4</v>
      </c>
      <c r="I7425">
        <v>20210101</v>
      </c>
      <c r="J7425" t="s">
        <v>7461</v>
      </c>
    </row>
    <row r="7426" spans="1:14" x14ac:dyDescent="0.3">
      <c r="A7426" s="160">
        <v>60123</v>
      </c>
      <c r="B7426" t="s">
        <v>22540</v>
      </c>
      <c r="C7426" t="s">
        <v>7357</v>
      </c>
      <c r="D7426">
        <v>0</v>
      </c>
      <c r="E7426">
        <v>0.4</v>
      </c>
      <c r="F7426">
        <f t="shared" si="115"/>
        <v>0.4</v>
      </c>
      <c r="I7426">
        <v>20210101</v>
      </c>
      <c r="J7426" t="s">
        <v>7358</v>
      </c>
    </row>
    <row r="7427" spans="1:14" x14ac:dyDescent="0.3">
      <c r="A7427" s="160">
        <v>60124</v>
      </c>
      <c r="B7427" t="s">
        <v>22541</v>
      </c>
      <c r="C7427" t="s">
        <v>7357</v>
      </c>
      <c r="D7427">
        <v>0</v>
      </c>
      <c r="E7427">
        <v>0</v>
      </c>
      <c r="F7427">
        <f t="shared" si="115"/>
        <v>0</v>
      </c>
      <c r="I7427">
        <v>20210101</v>
      </c>
      <c r="J7427" t="s">
        <v>7405</v>
      </c>
    </row>
    <row r="7428" spans="1:14" x14ac:dyDescent="0.3">
      <c r="A7428" s="160">
        <v>60125</v>
      </c>
      <c r="B7428" t="s">
        <v>22542</v>
      </c>
      <c r="C7428" t="s">
        <v>7398</v>
      </c>
      <c r="D7428">
        <v>0.4</v>
      </c>
      <c r="E7428">
        <v>0.4</v>
      </c>
      <c r="F7428">
        <f t="shared" si="115"/>
        <v>0.8</v>
      </c>
      <c r="I7428">
        <v>20210101</v>
      </c>
      <c r="J7428" t="s">
        <v>7467</v>
      </c>
      <c r="K7428" t="s">
        <v>7468</v>
      </c>
    </row>
    <row r="7429" spans="1:14" x14ac:dyDescent="0.3">
      <c r="A7429" s="160">
        <v>60126</v>
      </c>
      <c r="B7429" t="s">
        <v>22543</v>
      </c>
      <c r="C7429" t="s">
        <v>7357</v>
      </c>
      <c r="D7429">
        <v>0</v>
      </c>
      <c r="E7429">
        <v>0.4</v>
      </c>
      <c r="F7429">
        <f t="shared" si="115"/>
        <v>0.4</v>
      </c>
      <c r="I7429">
        <v>20070101</v>
      </c>
      <c r="J7429" t="s">
        <v>7405</v>
      </c>
    </row>
    <row r="7430" spans="1:14" x14ac:dyDescent="0.3">
      <c r="A7430" s="160">
        <v>60127</v>
      </c>
      <c r="B7430" t="s">
        <v>22544</v>
      </c>
      <c r="C7430" t="s">
        <v>7357</v>
      </c>
      <c r="D7430">
        <v>0</v>
      </c>
      <c r="E7430">
        <v>0.4</v>
      </c>
      <c r="F7430">
        <f t="shared" si="115"/>
        <v>0.4</v>
      </c>
      <c r="I7430">
        <v>20070101</v>
      </c>
      <c r="J7430" t="s">
        <v>7405</v>
      </c>
    </row>
    <row r="7431" spans="1:14" x14ac:dyDescent="0.3">
      <c r="A7431" s="160">
        <v>60128</v>
      </c>
      <c r="B7431" t="s">
        <v>22545</v>
      </c>
      <c r="C7431" t="s">
        <v>7357</v>
      </c>
      <c r="D7431">
        <v>0</v>
      </c>
      <c r="E7431">
        <v>0.4</v>
      </c>
      <c r="F7431">
        <f t="shared" ref="F7431:F7494" si="116">D7431+E7431</f>
        <v>0.4</v>
      </c>
      <c r="I7431">
        <v>20210101</v>
      </c>
      <c r="J7431" t="s">
        <v>7461</v>
      </c>
    </row>
    <row r="7432" spans="1:14" x14ac:dyDescent="0.3">
      <c r="A7432" s="160">
        <v>60129</v>
      </c>
      <c r="B7432" t="s">
        <v>22546</v>
      </c>
      <c r="C7432" t="s">
        <v>7391</v>
      </c>
      <c r="D7432">
        <v>0</v>
      </c>
      <c r="E7432">
        <v>0.4</v>
      </c>
      <c r="F7432">
        <f t="shared" si="116"/>
        <v>0.4</v>
      </c>
      <c r="I7432">
        <v>20220701</v>
      </c>
      <c r="J7432" t="s">
        <v>7413</v>
      </c>
    </row>
    <row r="7433" spans="1:14" x14ac:dyDescent="0.3">
      <c r="A7433" s="160">
        <v>60130</v>
      </c>
      <c r="B7433" t="s">
        <v>22547</v>
      </c>
      <c r="C7433" t="s">
        <v>7365</v>
      </c>
      <c r="D7433">
        <v>0.6</v>
      </c>
      <c r="E7433">
        <v>0.2</v>
      </c>
      <c r="F7433">
        <f t="shared" si="116"/>
        <v>0.8</v>
      </c>
      <c r="I7433">
        <v>20240101</v>
      </c>
      <c r="J7433" t="s">
        <v>7459</v>
      </c>
    </row>
    <row r="7434" spans="1:14" x14ac:dyDescent="0.3">
      <c r="A7434" s="160">
        <v>60131</v>
      </c>
      <c r="B7434" t="s">
        <v>22548</v>
      </c>
      <c r="C7434" t="s">
        <v>7357</v>
      </c>
      <c r="D7434">
        <v>0</v>
      </c>
      <c r="E7434">
        <v>0.4</v>
      </c>
      <c r="F7434">
        <f t="shared" si="116"/>
        <v>0.4</v>
      </c>
      <c r="I7434">
        <v>20210101</v>
      </c>
      <c r="J7434" t="s">
        <v>7401</v>
      </c>
    </row>
    <row r="7435" spans="1:14" x14ac:dyDescent="0.3">
      <c r="A7435" s="160">
        <v>60132</v>
      </c>
      <c r="B7435" t="s">
        <v>22549</v>
      </c>
      <c r="C7435" t="s">
        <v>7391</v>
      </c>
      <c r="D7435">
        <v>0</v>
      </c>
      <c r="E7435">
        <v>0</v>
      </c>
      <c r="F7435">
        <f t="shared" si="116"/>
        <v>0</v>
      </c>
      <c r="I7435">
        <v>20220701</v>
      </c>
      <c r="J7435" t="s">
        <v>7419</v>
      </c>
    </row>
    <row r="7436" spans="1:14" x14ac:dyDescent="0.3">
      <c r="A7436" s="160">
        <v>60133</v>
      </c>
      <c r="B7436" t="s">
        <v>22550</v>
      </c>
      <c r="C7436" t="s">
        <v>7357</v>
      </c>
      <c r="D7436">
        <v>0</v>
      </c>
      <c r="E7436">
        <v>0</v>
      </c>
      <c r="F7436">
        <f t="shared" si="116"/>
        <v>0</v>
      </c>
      <c r="I7436">
        <v>20210101</v>
      </c>
      <c r="J7436" t="s">
        <v>7384</v>
      </c>
    </row>
    <row r="7437" spans="1:14" x14ac:dyDescent="0.3">
      <c r="A7437" s="160">
        <v>60134</v>
      </c>
      <c r="B7437" t="s">
        <v>22551</v>
      </c>
      <c r="C7437" t="s">
        <v>7410</v>
      </c>
      <c r="D7437">
        <v>0.4</v>
      </c>
      <c r="E7437">
        <v>0.4</v>
      </c>
      <c r="F7437">
        <f t="shared" si="116"/>
        <v>0.8</v>
      </c>
      <c r="I7437">
        <v>20230701</v>
      </c>
      <c r="J7437" t="s">
        <v>7465</v>
      </c>
      <c r="K7437" t="s">
        <v>7469</v>
      </c>
      <c r="L7437" t="s">
        <v>7466</v>
      </c>
    </row>
    <row r="7438" spans="1:14" x14ac:dyDescent="0.3">
      <c r="A7438" s="160">
        <v>60135</v>
      </c>
      <c r="B7438" t="s">
        <v>22552</v>
      </c>
      <c r="C7438" t="s">
        <v>7354</v>
      </c>
      <c r="D7438">
        <v>0.6</v>
      </c>
      <c r="E7438">
        <v>0.2</v>
      </c>
      <c r="F7438">
        <f t="shared" si="116"/>
        <v>0.8</v>
      </c>
      <c r="I7438">
        <v>20190301</v>
      </c>
      <c r="J7438" t="s">
        <v>7356</v>
      </c>
      <c r="K7438" t="s">
        <v>7470</v>
      </c>
      <c r="L7438" t="s">
        <v>7471</v>
      </c>
      <c r="M7438" t="s">
        <v>7472</v>
      </c>
      <c r="N7438" t="s">
        <v>7473</v>
      </c>
    </row>
    <row r="7439" spans="1:14" x14ac:dyDescent="0.3">
      <c r="A7439" s="160">
        <v>60136</v>
      </c>
      <c r="B7439" t="s">
        <v>22553</v>
      </c>
      <c r="C7439" t="s">
        <v>7357</v>
      </c>
      <c r="D7439">
        <v>0</v>
      </c>
      <c r="E7439">
        <v>0.4</v>
      </c>
      <c r="F7439">
        <f t="shared" si="116"/>
        <v>0.4</v>
      </c>
      <c r="I7439">
        <v>20210101</v>
      </c>
      <c r="J7439" t="s">
        <v>7418</v>
      </c>
    </row>
    <row r="7440" spans="1:14" x14ac:dyDescent="0.3">
      <c r="A7440" s="160">
        <v>60137</v>
      </c>
      <c r="B7440" t="s">
        <v>22554</v>
      </c>
      <c r="C7440" t="s">
        <v>7357</v>
      </c>
      <c r="D7440">
        <v>0</v>
      </c>
      <c r="E7440">
        <v>0.4</v>
      </c>
      <c r="F7440">
        <f t="shared" si="116"/>
        <v>0.4</v>
      </c>
      <c r="I7440">
        <v>20070101</v>
      </c>
      <c r="J7440" t="s">
        <v>7399</v>
      </c>
    </row>
    <row r="7441" spans="1:21" x14ac:dyDescent="0.3">
      <c r="A7441" s="160">
        <v>60138</v>
      </c>
      <c r="B7441" t="s">
        <v>22555</v>
      </c>
      <c r="C7441" t="s">
        <v>7357</v>
      </c>
      <c r="D7441">
        <v>0</v>
      </c>
      <c r="E7441">
        <v>0.4</v>
      </c>
      <c r="F7441">
        <f t="shared" si="116"/>
        <v>0.4</v>
      </c>
      <c r="I7441">
        <v>20210101</v>
      </c>
      <c r="J7441" t="s">
        <v>7393</v>
      </c>
      <c r="K7441" t="s">
        <v>7474</v>
      </c>
      <c r="L7441" t="s">
        <v>7475</v>
      </c>
    </row>
    <row r="7442" spans="1:21" x14ac:dyDescent="0.3">
      <c r="A7442" s="160">
        <v>60139</v>
      </c>
      <c r="B7442" t="s">
        <v>22556</v>
      </c>
      <c r="C7442" t="s">
        <v>7354</v>
      </c>
      <c r="D7442">
        <v>0.6</v>
      </c>
      <c r="E7442">
        <v>0.2</v>
      </c>
      <c r="F7442">
        <f t="shared" si="116"/>
        <v>0.8</v>
      </c>
      <c r="I7442">
        <v>20190301</v>
      </c>
      <c r="J7442" t="s">
        <v>7476</v>
      </c>
    </row>
    <row r="7443" spans="1:21" x14ac:dyDescent="0.3">
      <c r="A7443" s="160">
        <v>60140</v>
      </c>
      <c r="B7443" t="s">
        <v>22557</v>
      </c>
      <c r="C7443" t="s">
        <v>7357</v>
      </c>
      <c r="D7443">
        <v>0</v>
      </c>
      <c r="E7443">
        <v>0.4</v>
      </c>
      <c r="F7443">
        <f t="shared" si="116"/>
        <v>0.4</v>
      </c>
      <c r="I7443">
        <v>20070101</v>
      </c>
      <c r="J7443" t="s">
        <v>7407</v>
      </c>
    </row>
    <row r="7444" spans="1:21" x14ac:dyDescent="0.3">
      <c r="A7444" s="160">
        <v>60141</v>
      </c>
      <c r="B7444" t="s">
        <v>22558</v>
      </c>
      <c r="C7444" t="s">
        <v>7357</v>
      </c>
      <c r="D7444">
        <v>0</v>
      </c>
      <c r="E7444">
        <v>0.4</v>
      </c>
      <c r="F7444">
        <f t="shared" si="116"/>
        <v>0.4</v>
      </c>
      <c r="I7444">
        <v>20070101</v>
      </c>
      <c r="J7444" t="s">
        <v>7477</v>
      </c>
      <c r="K7444" t="s">
        <v>7478</v>
      </c>
      <c r="L7444" t="s">
        <v>7479</v>
      </c>
      <c r="M7444" t="s">
        <v>7480</v>
      </c>
      <c r="N7444" t="s">
        <v>7481</v>
      </c>
      <c r="O7444" t="s">
        <v>7482</v>
      </c>
      <c r="P7444" t="s">
        <v>7483</v>
      </c>
      <c r="Q7444" t="s">
        <v>7484</v>
      </c>
      <c r="R7444" t="s">
        <v>7485</v>
      </c>
      <c r="S7444" t="s">
        <v>7486</v>
      </c>
      <c r="T7444" t="s">
        <v>7487</v>
      </c>
      <c r="U7444" t="s">
        <v>7488</v>
      </c>
    </row>
    <row r="7445" spans="1:21" x14ac:dyDescent="0.3">
      <c r="A7445" s="160">
        <v>60142</v>
      </c>
      <c r="B7445" t="s">
        <v>22559</v>
      </c>
      <c r="C7445" t="s">
        <v>7357</v>
      </c>
      <c r="D7445">
        <v>0</v>
      </c>
      <c r="E7445">
        <v>0.4</v>
      </c>
      <c r="F7445">
        <f t="shared" si="116"/>
        <v>0.4</v>
      </c>
      <c r="I7445">
        <v>20070101</v>
      </c>
      <c r="J7445" t="s">
        <v>7490</v>
      </c>
    </row>
    <row r="7446" spans="1:21" x14ac:dyDescent="0.3">
      <c r="A7446" s="160">
        <v>60143</v>
      </c>
      <c r="B7446" t="s">
        <v>22560</v>
      </c>
      <c r="C7446" t="s">
        <v>7357</v>
      </c>
      <c r="D7446">
        <v>0</v>
      </c>
      <c r="E7446">
        <v>0.4</v>
      </c>
      <c r="F7446">
        <f t="shared" si="116"/>
        <v>0.4</v>
      </c>
      <c r="I7446">
        <v>20070101</v>
      </c>
      <c r="J7446" t="s">
        <v>7407</v>
      </c>
    </row>
    <row r="7447" spans="1:21" x14ac:dyDescent="0.3">
      <c r="A7447" s="160">
        <v>60144</v>
      </c>
      <c r="B7447" t="s">
        <v>22561</v>
      </c>
      <c r="C7447" t="s">
        <v>7377</v>
      </c>
      <c r="D7447">
        <v>0.6</v>
      </c>
      <c r="E7447">
        <v>0.2</v>
      </c>
      <c r="F7447">
        <f t="shared" si="116"/>
        <v>0.8</v>
      </c>
      <c r="I7447">
        <v>20121201</v>
      </c>
      <c r="J7447" t="s">
        <v>7407</v>
      </c>
    </row>
    <row r="7448" spans="1:21" x14ac:dyDescent="0.3">
      <c r="A7448" s="160">
        <v>60145</v>
      </c>
      <c r="B7448" t="s">
        <v>22562</v>
      </c>
      <c r="C7448" t="s">
        <v>7357</v>
      </c>
      <c r="D7448">
        <v>0</v>
      </c>
      <c r="E7448">
        <v>0.4</v>
      </c>
      <c r="F7448">
        <f t="shared" si="116"/>
        <v>0.4</v>
      </c>
      <c r="I7448">
        <v>20070101</v>
      </c>
      <c r="J7448" t="s">
        <v>7400</v>
      </c>
    </row>
    <row r="7449" spans="1:21" x14ac:dyDescent="0.3">
      <c r="A7449" s="160">
        <v>60146</v>
      </c>
      <c r="B7449" t="s">
        <v>22563</v>
      </c>
      <c r="C7449" t="s">
        <v>7357</v>
      </c>
      <c r="D7449">
        <v>0</v>
      </c>
      <c r="E7449">
        <v>0</v>
      </c>
      <c r="F7449">
        <f t="shared" si="116"/>
        <v>0</v>
      </c>
      <c r="I7449">
        <v>20210101</v>
      </c>
      <c r="J7449" t="s">
        <v>7388</v>
      </c>
    </row>
    <row r="7450" spans="1:21" x14ac:dyDescent="0.3">
      <c r="A7450" s="160">
        <v>60147</v>
      </c>
      <c r="B7450" t="s">
        <v>22564</v>
      </c>
      <c r="C7450" t="s">
        <v>7357</v>
      </c>
      <c r="D7450">
        <v>0</v>
      </c>
      <c r="E7450">
        <v>0.4</v>
      </c>
      <c r="F7450">
        <f t="shared" si="116"/>
        <v>0.4</v>
      </c>
      <c r="I7450">
        <v>20070101</v>
      </c>
      <c r="J7450" t="s">
        <v>7491</v>
      </c>
    </row>
    <row r="7451" spans="1:21" x14ac:dyDescent="0.3">
      <c r="A7451" s="160">
        <v>60148</v>
      </c>
      <c r="B7451" t="s">
        <v>22565</v>
      </c>
      <c r="C7451" t="s">
        <v>7357</v>
      </c>
      <c r="D7451">
        <v>0</v>
      </c>
      <c r="E7451">
        <v>0.4</v>
      </c>
      <c r="F7451">
        <f t="shared" si="116"/>
        <v>0.4</v>
      </c>
      <c r="I7451">
        <v>20070101</v>
      </c>
      <c r="J7451" t="s">
        <v>7446</v>
      </c>
    </row>
    <row r="7452" spans="1:21" x14ac:dyDescent="0.3">
      <c r="A7452" s="160">
        <v>60149</v>
      </c>
      <c r="B7452" t="s">
        <v>19871</v>
      </c>
      <c r="C7452" t="s">
        <v>7398</v>
      </c>
      <c r="D7452">
        <v>0.4</v>
      </c>
      <c r="E7452">
        <v>0.4</v>
      </c>
      <c r="F7452">
        <f t="shared" si="116"/>
        <v>0.8</v>
      </c>
      <c r="I7452">
        <v>20210101</v>
      </c>
      <c r="J7452" t="s">
        <v>7467</v>
      </c>
      <c r="K7452" t="s">
        <v>7492</v>
      </c>
    </row>
    <row r="7453" spans="1:21" x14ac:dyDescent="0.3">
      <c r="A7453" s="160">
        <v>60150</v>
      </c>
      <c r="B7453" t="s">
        <v>22566</v>
      </c>
      <c r="C7453" t="s">
        <v>7357</v>
      </c>
      <c r="D7453">
        <v>0</v>
      </c>
      <c r="E7453">
        <v>0.4</v>
      </c>
      <c r="F7453">
        <f t="shared" si="116"/>
        <v>0.4</v>
      </c>
      <c r="I7453">
        <v>20070101</v>
      </c>
      <c r="J7453" t="s">
        <v>7493</v>
      </c>
      <c r="K7453" t="s">
        <v>7464</v>
      </c>
    </row>
    <row r="7454" spans="1:21" x14ac:dyDescent="0.3">
      <c r="A7454" s="160">
        <v>60151</v>
      </c>
      <c r="B7454" t="s">
        <v>22567</v>
      </c>
      <c r="C7454" t="s">
        <v>7397</v>
      </c>
      <c r="D7454">
        <v>0.7</v>
      </c>
      <c r="E7454">
        <v>0.2</v>
      </c>
      <c r="F7454">
        <f t="shared" si="116"/>
        <v>0.89999999999999991</v>
      </c>
      <c r="I7454">
        <v>20180701</v>
      </c>
      <c r="J7454" t="s">
        <v>7494</v>
      </c>
      <c r="K7454" t="s">
        <v>7495</v>
      </c>
    </row>
    <row r="7455" spans="1:21" x14ac:dyDescent="0.3">
      <c r="A7455" s="160">
        <v>60152</v>
      </c>
      <c r="B7455" t="s">
        <v>22568</v>
      </c>
      <c r="C7455" t="s">
        <v>7398</v>
      </c>
      <c r="D7455">
        <v>0.4</v>
      </c>
      <c r="E7455">
        <v>0.4</v>
      </c>
      <c r="F7455">
        <f t="shared" si="116"/>
        <v>0.8</v>
      </c>
      <c r="I7455">
        <v>20210101</v>
      </c>
      <c r="J7455" t="s">
        <v>7399</v>
      </c>
    </row>
    <row r="7456" spans="1:21" x14ac:dyDescent="0.3">
      <c r="A7456" s="160">
        <v>60153</v>
      </c>
      <c r="B7456" t="s">
        <v>22569</v>
      </c>
      <c r="C7456" t="s">
        <v>7357</v>
      </c>
      <c r="D7456">
        <v>0</v>
      </c>
      <c r="E7456">
        <v>0.4</v>
      </c>
      <c r="F7456">
        <f t="shared" si="116"/>
        <v>0.4</v>
      </c>
      <c r="I7456">
        <v>20210101</v>
      </c>
      <c r="J7456" t="s">
        <v>7401</v>
      </c>
    </row>
    <row r="7457" spans="1:22" x14ac:dyDescent="0.3">
      <c r="A7457" s="160">
        <v>60154</v>
      </c>
      <c r="B7457" t="s">
        <v>22570</v>
      </c>
      <c r="C7457" t="s">
        <v>27560</v>
      </c>
      <c r="D7457">
        <v>0.6</v>
      </c>
      <c r="E7457">
        <v>0.2</v>
      </c>
      <c r="F7457">
        <f t="shared" si="116"/>
        <v>0.8</v>
      </c>
      <c r="I7457">
        <v>20250101</v>
      </c>
      <c r="J7457" t="s">
        <v>7383</v>
      </c>
    </row>
    <row r="7458" spans="1:22" x14ac:dyDescent="0.3">
      <c r="A7458" s="160">
        <v>60155</v>
      </c>
      <c r="B7458" t="s">
        <v>22571</v>
      </c>
      <c r="C7458" t="s">
        <v>7354</v>
      </c>
      <c r="D7458">
        <v>0.6</v>
      </c>
      <c r="E7458">
        <v>0.2</v>
      </c>
      <c r="F7458">
        <f t="shared" si="116"/>
        <v>0.8</v>
      </c>
      <c r="I7458">
        <v>20190301</v>
      </c>
      <c r="J7458" t="s">
        <v>7496</v>
      </c>
    </row>
    <row r="7459" spans="1:22" x14ac:dyDescent="0.3">
      <c r="A7459" s="160">
        <v>60156</v>
      </c>
      <c r="B7459" t="s">
        <v>22572</v>
      </c>
      <c r="C7459" t="s">
        <v>7397</v>
      </c>
      <c r="D7459">
        <v>0.7</v>
      </c>
      <c r="E7459">
        <v>0.2</v>
      </c>
      <c r="F7459">
        <f t="shared" si="116"/>
        <v>0.89999999999999991</v>
      </c>
      <c r="I7459">
        <v>20180701</v>
      </c>
      <c r="J7459" t="s">
        <v>7497</v>
      </c>
      <c r="K7459" t="s">
        <v>7498</v>
      </c>
      <c r="L7459" t="s">
        <v>7442</v>
      </c>
      <c r="M7459" t="s">
        <v>7499</v>
      </c>
    </row>
    <row r="7460" spans="1:22" x14ac:dyDescent="0.3">
      <c r="A7460" s="160">
        <v>60157</v>
      </c>
      <c r="B7460" t="s">
        <v>22573</v>
      </c>
      <c r="C7460" t="s">
        <v>7365</v>
      </c>
      <c r="D7460">
        <v>0.6</v>
      </c>
      <c r="E7460">
        <v>0.2</v>
      </c>
      <c r="F7460">
        <f t="shared" si="116"/>
        <v>0.8</v>
      </c>
      <c r="I7460">
        <v>20240101</v>
      </c>
      <c r="J7460" t="s">
        <v>7466</v>
      </c>
      <c r="K7460" t="s">
        <v>7366</v>
      </c>
      <c r="L7460" t="s">
        <v>7367</v>
      </c>
      <c r="M7460" t="s">
        <v>7368</v>
      </c>
      <c r="N7460" t="s">
        <v>7460</v>
      </c>
    </row>
    <row r="7461" spans="1:22" x14ac:dyDescent="0.3">
      <c r="A7461" s="160">
        <v>60159</v>
      </c>
      <c r="B7461" t="s">
        <v>22574</v>
      </c>
      <c r="C7461" t="s">
        <v>7397</v>
      </c>
      <c r="D7461">
        <v>0.7</v>
      </c>
      <c r="E7461">
        <v>0.2</v>
      </c>
      <c r="F7461">
        <f t="shared" si="116"/>
        <v>0.89999999999999991</v>
      </c>
      <c r="I7461">
        <v>20180701</v>
      </c>
      <c r="J7461" t="s">
        <v>7500</v>
      </c>
      <c r="K7461" t="s">
        <v>7497</v>
      </c>
      <c r="L7461" t="s">
        <v>7501</v>
      </c>
      <c r="M7461" t="s">
        <v>7502</v>
      </c>
      <c r="N7461" t="s">
        <v>7498</v>
      </c>
      <c r="O7461" t="s">
        <v>7503</v>
      </c>
      <c r="P7461" t="s">
        <v>7504</v>
      </c>
      <c r="Q7461" t="s">
        <v>7505</v>
      </c>
      <c r="R7461" t="s">
        <v>7506</v>
      </c>
      <c r="S7461" t="s">
        <v>7499</v>
      </c>
      <c r="T7461" t="s">
        <v>7507</v>
      </c>
      <c r="U7461" t="s">
        <v>7508</v>
      </c>
      <c r="V7461" t="s">
        <v>7509</v>
      </c>
    </row>
    <row r="7462" spans="1:22" x14ac:dyDescent="0.3">
      <c r="A7462" s="160">
        <v>60160</v>
      </c>
      <c r="B7462" t="s">
        <v>22575</v>
      </c>
      <c r="C7462" t="s">
        <v>7357</v>
      </c>
      <c r="D7462">
        <v>0</v>
      </c>
      <c r="E7462">
        <v>0.4</v>
      </c>
      <c r="F7462">
        <f t="shared" si="116"/>
        <v>0.4</v>
      </c>
      <c r="I7462">
        <v>20210101</v>
      </c>
      <c r="J7462" t="s">
        <v>7437</v>
      </c>
    </row>
    <row r="7463" spans="1:22" x14ac:dyDescent="0.3">
      <c r="A7463" s="160">
        <v>60161</v>
      </c>
      <c r="B7463" t="s">
        <v>22576</v>
      </c>
      <c r="C7463" t="s">
        <v>7357</v>
      </c>
      <c r="D7463">
        <v>0</v>
      </c>
      <c r="E7463">
        <v>0.4</v>
      </c>
      <c r="F7463">
        <f t="shared" si="116"/>
        <v>0.4</v>
      </c>
      <c r="I7463">
        <v>20210101</v>
      </c>
      <c r="J7463" t="s">
        <v>7401</v>
      </c>
    </row>
    <row r="7464" spans="1:22" x14ac:dyDescent="0.3">
      <c r="A7464" s="160">
        <v>60162</v>
      </c>
      <c r="B7464" t="s">
        <v>22577</v>
      </c>
      <c r="C7464" t="s">
        <v>7377</v>
      </c>
      <c r="D7464">
        <v>0.6</v>
      </c>
      <c r="E7464">
        <v>0.2</v>
      </c>
      <c r="F7464">
        <f t="shared" si="116"/>
        <v>0.8</v>
      </c>
      <c r="I7464">
        <v>20121201</v>
      </c>
      <c r="J7464" t="s">
        <v>7378</v>
      </c>
      <c r="K7464" t="s">
        <v>7380</v>
      </c>
    </row>
    <row r="7465" spans="1:22" x14ac:dyDescent="0.3">
      <c r="A7465" s="160">
        <v>60163</v>
      </c>
      <c r="B7465" t="s">
        <v>22578</v>
      </c>
      <c r="C7465" t="s">
        <v>7357</v>
      </c>
      <c r="D7465">
        <v>0</v>
      </c>
      <c r="E7465">
        <v>0.4</v>
      </c>
      <c r="F7465">
        <f t="shared" si="116"/>
        <v>0.4</v>
      </c>
      <c r="I7465">
        <v>20210101</v>
      </c>
      <c r="J7465" t="s">
        <v>7388</v>
      </c>
    </row>
    <row r="7466" spans="1:22" x14ac:dyDescent="0.3">
      <c r="A7466" s="160">
        <v>60164</v>
      </c>
      <c r="B7466" t="s">
        <v>22579</v>
      </c>
      <c r="C7466" t="s">
        <v>7357</v>
      </c>
      <c r="D7466">
        <v>0</v>
      </c>
      <c r="E7466">
        <v>0.4</v>
      </c>
      <c r="F7466">
        <f t="shared" si="116"/>
        <v>0.4</v>
      </c>
      <c r="I7466">
        <v>20070101</v>
      </c>
      <c r="J7466" t="s">
        <v>7510</v>
      </c>
    </row>
    <row r="7467" spans="1:22" x14ac:dyDescent="0.3">
      <c r="A7467" s="160">
        <v>60165</v>
      </c>
      <c r="B7467" t="s">
        <v>22580</v>
      </c>
      <c r="C7467" t="s">
        <v>7354</v>
      </c>
      <c r="D7467">
        <v>0.6</v>
      </c>
      <c r="E7467">
        <v>0.2</v>
      </c>
      <c r="F7467">
        <f t="shared" si="116"/>
        <v>0.8</v>
      </c>
      <c r="I7467">
        <v>20190301</v>
      </c>
      <c r="J7467" t="s">
        <v>7355</v>
      </c>
    </row>
    <row r="7468" spans="1:22" x14ac:dyDescent="0.3">
      <c r="A7468" s="160">
        <v>60166</v>
      </c>
      <c r="B7468" t="s">
        <v>22581</v>
      </c>
      <c r="C7468" t="s">
        <v>7357</v>
      </c>
      <c r="D7468">
        <v>0</v>
      </c>
      <c r="E7468">
        <v>0.4</v>
      </c>
      <c r="F7468">
        <f t="shared" si="116"/>
        <v>0.4</v>
      </c>
      <c r="I7468">
        <v>20070101</v>
      </c>
      <c r="J7468" t="s">
        <v>7491</v>
      </c>
      <c r="K7468" t="s">
        <v>7511</v>
      </c>
      <c r="L7468" t="s">
        <v>7512</v>
      </c>
    </row>
    <row r="7469" spans="1:22" x14ac:dyDescent="0.3">
      <c r="A7469" s="160">
        <v>60167</v>
      </c>
      <c r="B7469" t="s">
        <v>22582</v>
      </c>
      <c r="C7469" t="s">
        <v>7357</v>
      </c>
      <c r="D7469">
        <v>0</v>
      </c>
      <c r="E7469">
        <v>0.4</v>
      </c>
      <c r="F7469">
        <f t="shared" si="116"/>
        <v>0.4</v>
      </c>
      <c r="I7469">
        <v>20070101</v>
      </c>
      <c r="J7469" t="s">
        <v>7400</v>
      </c>
    </row>
    <row r="7470" spans="1:22" x14ac:dyDescent="0.3">
      <c r="A7470" s="160">
        <v>60169</v>
      </c>
      <c r="B7470" t="s">
        <v>22583</v>
      </c>
      <c r="C7470" t="s">
        <v>7357</v>
      </c>
      <c r="D7470">
        <v>0</v>
      </c>
      <c r="E7470">
        <v>0.4</v>
      </c>
      <c r="F7470">
        <f t="shared" si="116"/>
        <v>0.4</v>
      </c>
      <c r="I7470">
        <v>20070101</v>
      </c>
      <c r="J7470" t="s">
        <v>7407</v>
      </c>
    </row>
    <row r="7471" spans="1:22" x14ac:dyDescent="0.3">
      <c r="A7471" s="160">
        <v>60170</v>
      </c>
      <c r="B7471" t="s">
        <v>22584</v>
      </c>
      <c r="C7471" t="s">
        <v>7357</v>
      </c>
      <c r="D7471">
        <v>0</v>
      </c>
      <c r="E7471">
        <v>0.4</v>
      </c>
      <c r="F7471">
        <f t="shared" si="116"/>
        <v>0.4</v>
      </c>
      <c r="I7471">
        <v>20070101</v>
      </c>
      <c r="J7471" t="s">
        <v>7393</v>
      </c>
    </row>
    <row r="7472" spans="1:22" x14ac:dyDescent="0.3">
      <c r="A7472" s="160">
        <v>60171</v>
      </c>
      <c r="B7472" t="s">
        <v>22585</v>
      </c>
      <c r="C7472" t="s">
        <v>7357</v>
      </c>
      <c r="D7472">
        <v>0</v>
      </c>
      <c r="E7472">
        <v>0</v>
      </c>
      <c r="F7472">
        <f t="shared" si="116"/>
        <v>0</v>
      </c>
      <c r="I7472">
        <v>20210101</v>
      </c>
      <c r="J7472" t="s">
        <v>7400</v>
      </c>
    </row>
    <row r="7473" spans="1:31" x14ac:dyDescent="0.3">
      <c r="A7473" s="160">
        <v>60172</v>
      </c>
      <c r="B7473" t="s">
        <v>22586</v>
      </c>
      <c r="C7473" t="s">
        <v>7357</v>
      </c>
      <c r="D7473">
        <v>0</v>
      </c>
      <c r="E7473">
        <v>0.4</v>
      </c>
      <c r="F7473">
        <f t="shared" si="116"/>
        <v>0.4</v>
      </c>
      <c r="I7473">
        <v>20070101</v>
      </c>
      <c r="J7473" t="s">
        <v>7513</v>
      </c>
    </row>
    <row r="7474" spans="1:31" x14ac:dyDescent="0.3">
      <c r="A7474" s="160">
        <v>60173</v>
      </c>
      <c r="B7474" t="s">
        <v>22587</v>
      </c>
      <c r="C7474" t="s">
        <v>7514</v>
      </c>
      <c r="D7474">
        <v>0.6</v>
      </c>
      <c r="E7474">
        <v>0.2</v>
      </c>
      <c r="F7474">
        <f t="shared" si="116"/>
        <v>0.8</v>
      </c>
      <c r="I7474">
        <v>20170101</v>
      </c>
      <c r="J7474" t="s">
        <v>7496</v>
      </c>
      <c r="K7474" t="s">
        <v>7515</v>
      </c>
    </row>
    <row r="7475" spans="1:31" x14ac:dyDescent="0.3">
      <c r="A7475" s="160">
        <v>60174</v>
      </c>
      <c r="B7475" t="s">
        <v>22588</v>
      </c>
      <c r="C7475" t="s">
        <v>7357</v>
      </c>
      <c r="D7475">
        <v>0</v>
      </c>
      <c r="E7475">
        <v>0.4</v>
      </c>
      <c r="F7475">
        <f t="shared" si="116"/>
        <v>0.4</v>
      </c>
      <c r="I7475">
        <v>20210101</v>
      </c>
      <c r="J7475" t="s">
        <v>7405</v>
      </c>
    </row>
    <row r="7476" spans="1:31" x14ac:dyDescent="0.3">
      <c r="A7476" s="160">
        <v>60175</v>
      </c>
      <c r="B7476" t="s">
        <v>22589</v>
      </c>
      <c r="C7476" t="s">
        <v>7516</v>
      </c>
      <c r="D7476">
        <v>0.6</v>
      </c>
      <c r="E7476">
        <v>0.2</v>
      </c>
      <c r="F7476">
        <f t="shared" si="116"/>
        <v>0.8</v>
      </c>
      <c r="I7476">
        <v>20080101</v>
      </c>
      <c r="J7476" t="s">
        <v>7517</v>
      </c>
      <c r="K7476" t="s">
        <v>7518</v>
      </c>
      <c r="L7476" t="s">
        <v>7519</v>
      </c>
      <c r="M7476" t="s">
        <v>7520</v>
      </c>
      <c r="N7476" t="s">
        <v>7521</v>
      </c>
      <c r="O7476" t="s">
        <v>7522</v>
      </c>
      <c r="P7476" t="s">
        <v>7523</v>
      </c>
      <c r="Q7476" t="s">
        <v>7524</v>
      </c>
      <c r="R7476" t="s">
        <v>7525</v>
      </c>
      <c r="S7476" t="s">
        <v>7526</v>
      </c>
      <c r="T7476" t="s">
        <v>7527</v>
      </c>
      <c r="U7476" t="s">
        <v>7528</v>
      </c>
      <c r="V7476" t="s">
        <v>7529</v>
      </c>
      <c r="W7476" t="s">
        <v>7530</v>
      </c>
      <c r="X7476" t="s">
        <v>7531</v>
      </c>
      <c r="Y7476" t="s">
        <v>7532</v>
      </c>
      <c r="Z7476" t="s">
        <v>7533</v>
      </c>
      <c r="AA7476" t="s">
        <v>7489</v>
      </c>
      <c r="AB7476" t="s">
        <v>7534</v>
      </c>
      <c r="AC7476" t="s">
        <v>7535</v>
      </c>
      <c r="AD7476" t="s">
        <v>7536</v>
      </c>
      <c r="AE7476" t="s">
        <v>7537</v>
      </c>
    </row>
    <row r="7477" spans="1:31" x14ac:dyDescent="0.3">
      <c r="A7477" s="160">
        <v>60176</v>
      </c>
      <c r="B7477" t="s">
        <v>22590</v>
      </c>
      <c r="C7477" t="s">
        <v>7541</v>
      </c>
      <c r="D7477">
        <v>0.55000000000000004</v>
      </c>
      <c r="E7477">
        <v>0.25</v>
      </c>
      <c r="F7477">
        <f t="shared" si="116"/>
        <v>0.8</v>
      </c>
      <c r="I7477">
        <v>20210701</v>
      </c>
      <c r="J7477" t="s">
        <v>7402</v>
      </c>
      <c r="K7477" t="s">
        <v>7538</v>
      </c>
      <c r="L7477" t="s">
        <v>7539</v>
      </c>
      <c r="M7477" t="s">
        <v>7540</v>
      </c>
      <c r="N7477" t="s">
        <v>7361</v>
      </c>
    </row>
    <row r="7478" spans="1:31" x14ac:dyDescent="0.3">
      <c r="A7478" s="160">
        <v>60177</v>
      </c>
      <c r="B7478" t="s">
        <v>22591</v>
      </c>
      <c r="C7478" t="s">
        <v>7357</v>
      </c>
      <c r="D7478">
        <v>0</v>
      </c>
      <c r="E7478">
        <v>0</v>
      </c>
      <c r="F7478">
        <f t="shared" si="116"/>
        <v>0</v>
      </c>
      <c r="I7478">
        <v>20210101</v>
      </c>
      <c r="J7478" t="s">
        <v>7399</v>
      </c>
    </row>
    <row r="7479" spans="1:31" x14ac:dyDescent="0.3">
      <c r="A7479" s="160">
        <v>60178</v>
      </c>
      <c r="B7479" t="s">
        <v>22592</v>
      </c>
      <c r="C7479" t="s">
        <v>7369</v>
      </c>
      <c r="D7479">
        <v>0.7</v>
      </c>
      <c r="E7479">
        <v>0.2</v>
      </c>
      <c r="F7479">
        <f t="shared" si="116"/>
        <v>0.89999999999999991</v>
      </c>
      <c r="I7479">
        <v>20210101</v>
      </c>
      <c r="J7479" t="s">
        <v>7401</v>
      </c>
    </row>
    <row r="7480" spans="1:31" x14ac:dyDescent="0.3">
      <c r="A7480" s="160">
        <v>60179</v>
      </c>
      <c r="B7480" t="s">
        <v>22593</v>
      </c>
      <c r="C7480" t="s">
        <v>7357</v>
      </c>
      <c r="D7480">
        <v>0</v>
      </c>
      <c r="E7480">
        <v>0</v>
      </c>
      <c r="F7480">
        <f t="shared" si="116"/>
        <v>0</v>
      </c>
      <c r="I7480">
        <v>20210101</v>
      </c>
      <c r="J7480" t="s">
        <v>7542</v>
      </c>
    </row>
    <row r="7481" spans="1:31" x14ac:dyDescent="0.3">
      <c r="A7481" s="160">
        <v>60180</v>
      </c>
      <c r="B7481" t="s">
        <v>22594</v>
      </c>
      <c r="C7481" t="s">
        <v>7357</v>
      </c>
      <c r="D7481">
        <v>0</v>
      </c>
      <c r="E7481">
        <v>0.4</v>
      </c>
      <c r="F7481">
        <f t="shared" si="116"/>
        <v>0.4</v>
      </c>
      <c r="I7481">
        <v>20170701</v>
      </c>
      <c r="J7481" t="s">
        <v>7450</v>
      </c>
    </row>
    <row r="7482" spans="1:31" x14ac:dyDescent="0.3">
      <c r="A7482" s="160">
        <v>60181</v>
      </c>
      <c r="B7482" t="s">
        <v>22595</v>
      </c>
      <c r="C7482" t="s">
        <v>7391</v>
      </c>
      <c r="D7482">
        <v>0</v>
      </c>
      <c r="E7482">
        <v>0</v>
      </c>
      <c r="F7482">
        <f t="shared" si="116"/>
        <v>0</v>
      </c>
      <c r="I7482">
        <v>20220701</v>
      </c>
      <c r="J7482" t="s">
        <v>7392</v>
      </c>
      <c r="K7482" t="s">
        <v>7406</v>
      </c>
    </row>
    <row r="7483" spans="1:31" x14ac:dyDescent="0.3">
      <c r="A7483" s="160">
        <v>60182</v>
      </c>
      <c r="B7483" t="s">
        <v>22596</v>
      </c>
      <c r="C7483" t="s">
        <v>7357</v>
      </c>
      <c r="D7483">
        <v>0</v>
      </c>
      <c r="E7483">
        <v>0.4</v>
      </c>
      <c r="F7483">
        <f t="shared" si="116"/>
        <v>0.4</v>
      </c>
      <c r="I7483">
        <v>20170701</v>
      </c>
      <c r="J7483" t="s">
        <v>7388</v>
      </c>
    </row>
    <row r="7484" spans="1:31" x14ac:dyDescent="0.3">
      <c r="A7484" s="160">
        <v>60183</v>
      </c>
      <c r="B7484" t="s">
        <v>22597</v>
      </c>
      <c r="C7484" t="s">
        <v>7357</v>
      </c>
      <c r="D7484">
        <v>0</v>
      </c>
      <c r="E7484">
        <v>0.4</v>
      </c>
      <c r="F7484">
        <f t="shared" si="116"/>
        <v>0.4</v>
      </c>
      <c r="I7484">
        <v>20210101</v>
      </c>
      <c r="J7484" t="s">
        <v>7388</v>
      </c>
    </row>
    <row r="7485" spans="1:31" x14ac:dyDescent="0.3">
      <c r="A7485" s="160">
        <v>60184</v>
      </c>
      <c r="B7485" t="s">
        <v>22598</v>
      </c>
      <c r="C7485" t="s">
        <v>7357</v>
      </c>
      <c r="D7485">
        <v>0</v>
      </c>
      <c r="E7485">
        <v>0.4</v>
      </c>
      <c r="F7485">
        <f t="shared" si="116"/>
        <v>0.4</v>
      </c>
      <c r="I7485">
        <v>20070101</v>
      </c>
      <c r="J7485" t="s">
        <v>7400</v>
      </c>
    </row>
    <row r="7486" spans="1:31" x14ac:dyDescent="0.3">
      <c r="A7486" s="160">
        <v>60185</v>
      </c>
      <c r="B7486" t="s">
        <v>22599</v>
      </c>
      <c r="C7486" t="s">
        <v>7354</v>
      </c>
      <c r="D7486">
        <v>0.6</v>
      </c>
      <c r="E7486">
        <v>0.2</v>
      </c>
      <c r="F7486">
        <f t="shared" si="116"/>
        <v>0.8</v>
      </c>
      <c r="I7486">
        <v>20190301</v>
      </c>
      <c r="J7486" t="s">
        <v>7543</v>
      </c>
    </row>
    <row r="7487" spans="1:31" x14ac:dyDescent="0.3">
      <c r="A7487" s="160">
        <v>60186</v>
      </c>
      <c r="B7487" t="s">
        <v>22600</v>
      </c>
      <c r="C7487" t="s">
        <v>7357</v>
      </c>
      <c r="D7487">
        <v>0</v>
      </c>
      <c r="E7487">
        <v>0.4</v>
      </c>
      <c r="F7487">
        <f t="shared" si="116"/>
        <v>0.4</v>
      </c>
      <c r="I7487">
        <v>20070101</v>
      </c>
      <c r="J7487" t="s">
        <v>7384</v>
      </c>
    </row>
    <row r="7488" spans="1:31" x14ac:dyDescent="0.3">
      <c r="A7488" s="160">
        <v>60187</v>
      </c>
      <c r="B7488" t="s">
        <v>22601</v>
      </c>
      <c r="C7488" t="s">
        <v>7357</v>
      </c>
      <c r="D7488">
        <v>0</v>
      </c>
      <c r="E7488">
        <v>0.4</v>
      </c>
      <c r="F7488">
        <f t="shared" si="116"/>
        <v>0.4</v>
      </c>
      <c r="I7488">
        <v>20070101</v>
      </c>
      <c r="J7488" t="s">
        <v>7510</v>
      </c>
    </row>
    <row r="7489" spans="1:10" x14ac:dyDescent="0.3">
      <c r="A7489" s="160">
        <v>60188</v>
      </c>
      <c r="B7489" t="s">
        <v>22602</v>
      </c>
      <c r="C7489" t="s">
        <v>7357</v>
      </c>
      <c r="D7489">
        <v>0</v>
      </c>
      <c r="E7489">
        <v>0.4</v>
      </c>
      <c r="F7489">
        <f t="shared" si="116"/>
        <v>0.4</v>
      </c>
      <c r="I7489">
        <v>20070101</v>
      </c>
      <c r="J7489" t="s">
        <v>7400</v>
      </c>
    </row>
    <row r="7490" spans="1:10" x14ac:dyDescent="0.3">
      <c r="A7490" s="160">
        <v>60189</v>
      </c>
      <c r="B7490" t="s">
        <v>22603</v>
      </c>
      <c r="C7490" t="s">
        <v>7391</v>
      </c>
      <c r="D7490">
        <v>0</v>
      </c>
      <c r="E7490">
        <v>0</v>
      </c>
      <c r="F7490">
        <f t="shared" si="116"/>
        <v>0</v>
      </c>
      <c r="I7490">
        <v>20220701</v>
      </c>
      <c r="J7490" t="s">
        <v>7392</v>
      </c>
    </row>
    <row r="7491" spans="1:10" x14ac:dyDescent="0.3">
      <c r="A7491" s="160">
        <v>60190</v>
      </c>
      <c r="B7491" t="s">
        <v>22604</v>
      </c>
      <c r="C7491" t="s">
        <v>7357</v>
      </c>
      <c r="D7491">
        <v>0</v>
      </c>
      <c r="E7491">
        <v>0.4</v>
      </c>
      <c r="F7491">
        <f t="shared" si="116"/>
        <v>0.4</v>
      </c>
      <c r="I7491">
        <v>20070101</v>
      </c>
      <c r="J7491" t="s">
        <v>7360</v>
      </c>
    </row>
    <row r="7492" spans="1:10" x14ac:dyDescent="0.3">
      <c r="A7492" s="160">
        <v>60191</v>
      </c>
      <c r="B7492" t="s">
        <v>22605</v>
      </c>
      <c r="C7492" t="s">
        <v>7357</v>
      </c>
      <c r="D7492">
        <v>0</v>
      </c>
      <c r="E7492">
        <v>0.4</v>
      </c>
      <c r="F7492">
        <f t="shared" si="116"/>
        <v>0.4</v>
      </c>
      <c r="I7492">
        <v>20070101</v>
      </c>
      <c r="J7492" t="s">
        <v>7437</v>
      </c>
    </row>
    <row r="7493" spans="1:10" x14ac:dyDescent="0.3">
      <c r="A7493" s="160">
        <v>60192</v>
      </c>
      <c r="B7493" t="s">
        <v>22606</v>
      </c>
      <c r="C7493" t="s">
        <v>7357</v>
      </c>
      <c r="D7493">
        <v>0</v>
      </c>
      <c r="E7493">
        <v>0.4</v>
      </c>
      <c r="F7493">
        <f t="shared" si="116"/>
        <v>0.4</v>
      </c>
      <c r="I7493">
        <v>20210101</v>
      </c>
      <c r="J7493" t="s">
        <v>7405</v>
      </c>
    </row>
    <row r="7494" spans="1:10" x14ac:dyDescent="0.3">
      <c r="A7494" s="160">
        <v>60193</v>
      </c>
      <c r="B7494" t="s">
        <v>22607</v>
      </c>
      <c r="C7494" t="s">
        <v>7357</v>
      </c>
      <c r="D7494">
        <v>0</v>
      </c>
      <c r="E7494">
        <v>0.4</v>
      </c>
      <c r="F7494">
        <f t="shared" si="116"/>
        <v>0.4</v>
      </c>
      <c r="I7494">
        <v>20210101</v>
      </c>
      <c r="J7494" t="s">
        <v>7418</v>
      </c>
    </row>
    <row r="7495" spans="1:10" x14ac:dyDescent="0.3">
      <c r="A7495" s="160">
        <v>60194</v>
      </c>
      <c r="B7495" t="s">
        <v>22608</v>
      </c>
      <c r="C7495" t="s">
        <v>7357</v>
      </c>
      <c r="D7495">
        <v>0</v>
      </c>
      <c r="E7495">
        <v>0</v>
      </c>
      <c r="F7495">
        <f t="shared" ref="F7495:F7558" si="117">D7495+E7495</f>
        <v>0</v>
      </c>
      <c r="I7495">
        <v>20210101</v>
      </c>
      <c r="J7495" t="s">
        <v>7418</v>
      </c>
    </row>
    <row r="7496" spans="1:10" x14ac:dyDescent="0.3">
      <c r="A7496" s="160">
        <v>60195</v>
      </c>
      <c r="B7496" t="s">
        <v>22609</v>
      </c>
      <c r="C7496" t="s">
        <v>7357</v>
      </c>
      <c r="D7496">
        <v>0</v>
      </c>
      <c r="E7496">
        <v>0.4</v>
      </c>
      <c r="F7496">
        <f t="shared" si="117"/>
        <v>0.4</v>
      </c>
      <c r="I7496">
        <v>20070101</v>
      </c>
      <c r="J7496" t="s">
        <v>7407</v>
      </c>
    </row>
    <row r="7497" spans="1:10" x14ac:dyDescent="0.3">
      <c r="A7497" s="160">
        <v>60196</v>
      </c>
      <c r="B7497" t="s">
        <v>22610</v>
      </c>
      <c r="C7497" t="s">
        <v>7377</v>
      </c>
      <c r="D7497">
        <v>0.6</v>
      </c>
      <c r="E7497">
        <v>0.2</v>
      </c>
      <c r="F7497">
        <f t="shared" si="117"/>
        <v>0.8</v>
      </c>
      <c r="I7497">
        <v>20121201</v>
      </c>
      <c r="J7497" t="s">
        <v>7544</v>
      </c>
    </row>
    <row r="7498" spans="1:10" x14ac:dyDescent="0.3">
      <c r="A7498" s="160">
        <v>60197</v>
      </c>
      <c r="B7498" t="s">
        <v>22611</v>
      </c>
      <c r="C7498" t="s">
        <v>7354</v>
      </c>
      <c r="D7498">
        <v>0.6</v>
      </c>
      <c r="E7498">
        <v>0.2</v>
      </c>
      <c r="F7498">
        <f t="shared" si="117"/>
        <v>0.8</v>
      </c>
      <c r="I7498">
        <v>20190301</v>
      </c>
      <c r="J7498" t="s">
        <v>7543</v>
      </c>
    </row>
    <row r="7499" spans="1:10" x14ac:dyDescent="0.3">
      <c r="A7499" s="160">
        <v>60198</v>
      </c>
      <c r="B7499" t="s">
        <v>22612</v>
      </c>
      <c r="C7499" t="s">
        <v>7357</v>
      </c>
      <c r="D7499">
        <v>0</v>
      </c>
      <c r="E7499">
        <v>0.4</v>
      </c>
      <c r="F7499">
        <f t="shared" si="117"/>
        <v>0.4</v>
      </c>
      <c r="I7499">
        <v>20210101</v>
      </c>
      <c r="J7499" t="s">
        <v>7405</v>
      </c>
    </row>
    <row r="7500" spans="1:10" x14ac:dyDescent="0.3">
      <c r="A7500" s="160">
        <v>60199</v>
      </c>
      <c r="B7500" t="s">
        <v>22613</v>
      </c>
      <c r="C7500" t="s">
        <v>7357</v>
      </c>
      <c r="D7500">
        <v>0</v>
      </c>
      <c r="E7500">
        <v>0.4</v>
      </c>
      <c r="F7500">
        <f t="shared" si="117"/>
        <v>0.4</v>
      </c>
      <c r="I7500">
        <v>20170701</v>
      </c>
      <c r="J7500" t="s">
        <v>7401</v>
      </c>
    </row>
    <row r="7501" spans="1:10" x14ac:dyDescent="0.3">
      <c r="A7501" s="160">
        <v>60203</v>
      </c>
      <c r="B7501" t="s">
        <v>22614</v>
      </c>
      <c r="C7501" t="s">
        <v>7357</v>
      </c>
      <c r="D7501">
        <v>0</v>
      </c>
      <c r="E7501">
        <v>0.4</v>
      </c>
      <c r="F7501">
        <f t="shared" si="117"/>
        <v>0.4</v>
      </c>
      <c r="I7501">
        <v>20070101</v>
      </c>
      <c r="J7501" t="s">
        <v>7402</v>
      </c>
    </row>
    <row r="7502" spans="1:10" x14ac:dyDescent="0.3">
      <c r="A7502" s="160">
        <v>60204</v>
      </c>
      <c r="B7502" t="s">
        <v>22615</v>
      </c>
      <c r="C7502" t="s">
        <v>7357</v>
      </c>
      <c r="D7502">
        <v>0</v>
      </c>
      <c r="E7502">
        <v>0</v>
      </c>
      <c r="F7502">
        <f t="shared" si="117"/>
        <v>0</v>
      </c>
      <c r="I7502">
        <v>20210101</v>
      </c>
      <c r="J7502" t="s">
        <v>7405</v>
      </c>
    </row>
    <row r="7503" spans="1:10" x14ac:dyDescent="0.3">
      <c r="A7503" s="160">
        <v>60205</v>
      </c>
      <c r="B7503" t="s">
        <v>22616</v>
      </c>
      <c r="C7503" t="s">
        <v>7357</v>
      </c>
      <c r="D7503">
        <v>0</v>
      </c>
      <c r="E7503">
        <v>0.4</v>
      </c>
      <c r="F7503">
        <f t="shared" si="117"/>
        <v>0.4</v>
      </c>
      <c r="I7503">
        <v>20210101</v>
      </c>
      <c r="J7503" t="s">
        <v>7418</v>
      </c>
    </row>
    <row r="7504" spans="1:10" x14ac:dyDescent="0.3">
      <c r="A7504" s="160">
        <v>60206</v>
      </c>
      <c r="B7504" t="s">
        <v>22617</v>
      </c>
      <c r="C7504" t="s">
        <v>7357</v>
      </c>
      <c r="D7504">
        <v>0</v>
      </c>
      <c r="E7504">
        <v>0.4</v>
      </c>
      <c r="F7504">
        <f t="shared" si="117"/>
        <v>0.4</v>
      </c>
      <c r="I7504">
        <v>20070101</v>
      </c>
      <c r="J7504" t="s">
        <v>7545</v>
      </c>
    </row>
    <row r="7505" spans="1:11" x14ac:dyDescent="0.3">
      <c r="A7505" s="160">
        <v>60207</v>
      </c>
      <c r="B7505" t="s">
        <v>22618</v>
      </c>
      <c r="C7505" t="s">
        <v>7357</v>
      </c>
      <c r="D7505">
        <v>0</v>
      </c>
      <c r="E7505">
        <v>0.4</v>
      </c>
      <c r="F7505">
        <f t="shared" si="117"/>
        <v>0.4</v>
      </c>
      <c r="I7505">
        <v>20070101</v>
      </c>
      <c r="J7505" t="s">
        <v>7449</v>
      </c>
    </row>
    <row r="7506" spans="1:11" x14ac:dyDescent="0.3">
      <c r="A7506" s="160">
        <v>60208</v>
      </c>
      <c r="B7506" t="s">
        <v>22619</v>
      </c>
      <c r="C7506" t="s">
        <v>7357</v>
      </c>
      <c r="D7506">
        <v>0</v>
      </c>
      <c r="E7506">
        <v>0.4</v>
      </c>
      <c r="F7506">
        <f t="shared" si="117"/>
        <v>0.4</v>
      </c>
      <c r="I7506">
        <v>20070101</v>
      </c>
      <c r="J7506" t="s">
        <v>7453</v>
      </c>
    </row>
    <row r="7507" spans="1:11" x14ac:dyDescent="0.3">
      <c r="A7507" s="160">
        <v>60209</v>
      </c>
      <c r="B7507" t="s">
        <v>22620</v>
      </c>
      <c r="C7507" t="s">
        <v>7357</v>
      </c>
      <c r="D7507">
        <v>0</v>
      </c>
      <c r="E7507">
        <v>0.4</v>
      </c>
      <c r="F7507">
        <f t="shared" si="117"/>
        <v>0.4</v>
      </c>
      <c r="I7507">
        <v>20070101</v>
      </c>
      <c r="J7507" t="s">
        <v>7407</v>
      </c>
    </row>
    <row r="7508" spans="1:11" x14ac:dyDescent="0.3">
      <c r="A7508" s="160">
        <v>60210</v>
      </c>
      <c r="B7508" t="s">
        <v>22621</v>
      </c>
      <c r="C7508" t="s">
        <v>7398</v>
      </c>
      <c r="D7508">
        <v>0.4</v>
      </c>
      <c r="E7508">
        <v>0.4</v>
      </c>
      <c r="F7508">
        <f t="shared" si="117"/>
        <v>0.8</v>
      </c>
      <c r="I7508">
        <v>20210101</v>
      </c>
      <c r="J7508" t="s">
        <v>7399</v>
      </c>
    </row>
    <row r="7509" spans="1:11" x14ac:dyDescent="0.3">
      <c r="A7509" s="160">
        <v>60211</v>
      </c>
      <c r="B7509" t="s">
        <v>22622</v>
      </c>
      <c r="C7509" t="s">
        <v>7357</v>
      </c>
      <c r="D7509">
        <v>0</v>
      </c>
      <c r="E7509">
        <v>0.4</v>
      </c>
      <c r="F7509">
        <f t="shared" si="117"/>
        <v>0.4</v>
      </c>
      <c r="I7509">
        <v>20070101</v>
      </c>
      <c r="J7509" t="s">
        <v>7453</v>
      </c>
    </row>
    <row r="7510" spans="1:11" x14ac:dyDescent="0.3">
      <c r="A7510" s="160">
        <v>60212</v>
      </c>
      <c r="B7510" t="s">
        <v>22623</v>
      </c>
      <c r="C7510" t="s">
        <v>7354</v>
      </c>
      <c r="D7510">
        <v>0.6</v>
      </c>
      <c r="E7510">
        <v>0.2</v>
      </c>
      <c r="F7510">
        <f t="shared" si="117"/>
        <v>0.8</v>
      </c>
      <c r="I7510">
        <v>20190301</v>
      </c>
      <c r="J7510" t="s">
        <v>7543</v>
      </c>
    </row>
    <row r="7511" spans="1:11" x14ac:dyDescent="0.3">
      <c r="A7511" s="160">
        <v>60213</v>
      </c>
      <c r="B7511" t="s">
        <v>22624</v>
      </c>
      <c r="C7511" t="s">
        <v>7357</v>
      </c>
      <c r="D7511">
        <v>0</v>
      </c>
      <c r="E7511">
        <v>0.4</v>
      </c>
      <c r="F7511">
        <f t="shared" si="117"/>
        <v>0.4</v>
      </c>
      <c r="I7511">
        <v>20070101</v>
      </c>
      <c r="J7511" t="s">
        <v>7454</v>
      </c>
      <c r="K7511" t="s">
        <v>7546</v>
      </c>
    </row>
    <row r="7512" spans="1:11" x14ac:dyDescent="0.3">
      <c r="A7512" s="160">
        <v>60214</v>
      </c>
      <c r="B7512" t="s">
        <v>22625</v>
      </c>
      <c r="C7512" t="s">
        <v>7357</v>
      </c>
      <c r="D7512">
        <v>0</v>
      </c>
      <c r="E7512">
        <v>0.4</v>
      </c>
      <c r="F7512">
        <f t="shared" si="117"/>
        <v>0.4</v>
      </c>
      <c r="I7512">
        <v>20170701</v>
      </c>
      <c r="J7512" t="s">
        <v>7417</v>
      </c>
    </row>
    <row r="7513" spans="1:11" x14ac:dyDescent="0.3">
      <c r="A7513" s="160">
        <v>60215</v>
      </c>
      <c r="B7513" t="s">
        <v>22626</v>
      </c>
      <c r="C7513" t="s">
        <v>7365</v>
      </c>
      <c r="D7513">
        <v>0.6</v>
      </c>
      <c r="E7513">
        <v>0.2</v>
      </c>
      <c r="F7513">
        <f t="shared" si="117"/>
        <v>0.8</v>
      </c>
      <c r="I7513">
        <v>20240101</v>
      </c>
      <c r="J7513" t="s">
        <v>7366</v>
      </c>
    </row>
    <row r="7514" spans="1:11" x14ac:dyDescent="0.3">
      <c r="A7514" s="160">
        <v>60216</v>
      </c>
      <c r="B7514" t="s">
        <v>22627</v>
      </c>
      <c r="C7514" t="s">
        <v>7357</v>
      </c>
      <c r="D7514">
        <v>0</v>
      </c>
      <c r="E7514">
        <v>0.4</v>
      </c>
      <c r="F7514">
        <f t="shared" si="117"/>
        <v>0.4</v>
      </c>
      <c r="I7514">
        <v>20210101</v>
      </c>
      <c r="J7514" t="s">
        <v>7384</v>
      </c>
    </row>
    <row r="7515" spans="1:11" x14ac:dyDescent="0.3">
      <c r="A7515" s="160">
        <v>60217</v>
      </c>
      <c r="B7515" t="s">
        <v>22628</v>
      </c>
      <c r="C7515" t="s">
        <v>7357</v>
      </c>
      <c r="D7515">
        <v>0</v>
      </c>
      <c r="E7515">
        <v>0.4</v>
      </c>
      <c r="F7515">
        <f t="shared" si="117"/>
        <v>0.4</v>
      </c>
      <c r="I7515">
        <v>20170701</v>
      </c>
      <c r="J7515" t="s">
        <v>7417</v>
      </c>
    </row>
    <row r="7516" spans="1:11" x14ac:dyDescent="0.3">
      <c r="A7516" s="160">
        <v>60218</v>
      </c>
      <c r="B7516" t="s">
        <v>22629</v>
      </c>
      <c r="C7516" t="s">
        <v>7377</v>
      </c>
      <c r="D7516">
        <v>0.6</v>
      </c>
      <c r="E7516">
        <v>0.2</v>
      </c>
      <c r="F7516">
        <f t="shared" si="117"/>
        <v>0.8</v>
      </c>
      <c r="I7516">
        <v>20121201</v>
      </c>
      <c r="J7516" t="s">
        <v>7378</v>
      </c>
    </row>
    <row r="7517" spans="1:11" x14ac:dyDescent="0.3">
      <c r="A7517" s="160">
        <v>60220</v>
      </c>
      <c r="B7517" t="s">
        <v>22630</v>
      </c>
      <c r="C7517" t="s">
        <v>7357</v>
      </c>
      <c r="D7517">
        <v>0</v>
      </c>
      <c r="E7517">
        <v>0.4</v>
      </c>
      <c r="F7517">
        <f t="shared" si="117"/>
        <v>0.4</v>
      </c>
      <c r="I7517">
        <v>20070101</v>
      </c>
      <c r="J7517" t="s">
        <v>7443</v>
      </c>
    </row>
    <row r="7518" spans="1:11" x14ac:dyDescent="0.3">
      <c r="A7518" s="160">
        <v>60222</v>
      </c>
      <c r="B7518" t="s">
        <v>22631</v>
      </c>
      <c r="C7518" t="s">
        <v>7357</v>
      </c>
      <c r="D7518">
        <v>0</v>
      </c>
      <c r="E7518">
        <v>0.4</v>
      </c>
      <c r="F7518">
        <f t="shared" si="117"/>
        <v>0.4</v>
      </c>
      <c r="I7518">
        <v>20070101</v>
      </c>
      <c r="J7518" t="s">
        <v>7447</v>
      </c>
    </row>
    <row r="7519" spans="1:11" x14ac:dyDescent="0.3">
      <c r="A7519" s="160">
        <v>60223</v>
      </c>
      <c r="B7519" t="s">
        <v>22632</v>
      </c>
      <c r="C7519" t="s">
        <v>7398</v>
      </c>
      <c r="D7519">
        <v>0.4</v>
      </c>
      <c r="E7519">
        <v>0.4</v>
      </c>
      <c r="F7519">
        <f t="shared" si="117"/>
        <v>0.8</v>
      </c>
      <c r="I7519">
        <v>20210101</v>
      </c>
      <c r="J7519" t="s">
        <v>7399</v>
      </c>
    </row>
    <row r="7520" spans="1:11" x14ac:dyDescent="0.3">
      <c r="A7520" s="160">
        <v>60224</v>
      </c>
      <c r="B7520" t="s">
        <v>22633</v>
      </c>
      <c r="C7520" t="s">
        <v>7357</v>
      </c>
      <c r="D7520">
        <v>0</v>
      </c>
      <c r="E7520">
        <v>0.4</v>
      </c>
      <c r="F7520">
        <f t="shared" si="117"/>
        <v>0.4</v>
      </c>
      <c r="I7520">
        <v>20070101</v>
      </c>
      <c r="J7520" t="s">
        <v>7360</v>
      </c>
    </row>
    <row r="7521" spans="1:11" x14ac:dyDescent="0.3">
      <c r="A7521" s="160">
        <v>60225</v>
      </c>
      <c r="B7521" t="s">
        <v>22634</v>
      </c>
      <c r="C7521" t="s">
        <v>7365</v>
      </c>
      <c r="D7521">
        <v>0.6</v>
      </c>
      <c r="E7521">
        <v>0.2</v>
      </c>
      <c r="F7521">
        <f t="shared" si="117"/>
        <v>0.8</v>
      </c>
      <c r="I7521">
        <v>20240101</v>
      </c>
      <c r="J7521" t="s">
        <v>7366</v>
      </c>
    </row>
    <row r="7522" spans="1:11" x14ac:dyDescent="0.3">
      <c r="A7522" s="160">
        <v>60226</v>
      </c>
      <c r="B7522" t="s">
        <v>22635</v>
      </c>
      <c r="C7522" t="s">
        <v>7357</v>
      </c>
      <c r="D7522">
        <v>0</v>
      </c>
      <c r="E7522">
        <v>0.4</v>
      </c>
      <c r="F7522">
        <f t="shared" si="117"/>
        <v>0.4</v>
      </c>
      <c r="I7522">
        <v>20070101</v>
      </c>
      <c r="J7522" t="s">
        <v>7547</v>
      </c>
    </row>
    <row r="7523" spans="1:11" x14ac:dyDescent="0.3">
      <c r="A7523" s="160">
        <v>60227</v>
      </c>
      <c r="B7523" t="s">
        <v>22636</v>
      </c>
      <c r="C7523" t="s">
        <v>7357</v>
      </c>
      <c r="D7523">
        <v>0</v>
      </c>
      <c r="E7523">
        <v>0.4</v>
      </c>
      <c r="F7523">
        <f t="shared" si="117"/>
        <v>0.4</v>
      </c>
      <c r="I7523">
        <v>20070101</v>
      </c>
      <c r="J7523" t="s">
        <v>7405</v>
      </c>
    </row>
    <row r="7524" spans="1:11" x14ac:dyDescent="0.3">
      <c r="A7524" s="160">
        <v>60228</v>
      </c>
      <c r="B7524" t="s">
        <v>22637</v>
      </c>
      <c r="C7524" t="s">
        <v>7357</v>
      </c>
      <c r="D7524">
        <v>0</v>
      </c>
      <c r="E7524">
        <v>0.4</v>
      </c>
      <c r="F7524">
        <f t="shared" si="117"/>
        <v>0.4</v>
      </c>
      <c r="I7524">
        <v>20070101</v>
      </c>
      <c r="J7524" t="s">
        <v>7407</v>
      </c>
    </row>
    <row r="7525" spans="1:11" x14ac:dyDescent="0.3">
      <c r="A7525" s="160">
        <v>60229</v>
      </c>
      <c r="B7525" t="s">
        <v>22638</v>
      </c>
      <c r="C7525" t="s">
        <v>7398</v>
      </c>
      <c r="D7525">
        <v>0.4</v>
      </c>
      <c r="E7525">
        <v>0.4</v>
      </c>
      <c r="F7525">
        <f t="shared" si="117"/>
        <v>0.8</v>
      </c>
      <c r="I7525">
        <v>20210101</v>
      </c>
      <c r="J7525" t="s">
        <v>7468</v>
      </c>
    </row>
    <row r="7526" spans="1:11" x14ac:dyDescent="0.3">
      <c r="A7526" s="160">
        <v>60230</v>
      </c>
      <c r="B7526" t="s">
        <v>22639</v>
      </c>
      <c r="C7526" t="s">
        <v>7369</v>
      </c>
      <c r="D7526">
        <v>0.7</v>
      </c>
      <c r="E7526">
        <v>0.2</v>
      </c>
      <c r="F7526">
        <f t="shared" si="117"/>
        <v>0.89999999999999991</v>
      </c>
      <c r="I7526">
        <v>20210101</v>
      </c>
      <c r="J7526" t="s">
        <v>7447</v>
      </c>
    </row>
    <row r="7527" spans="1:11" x14ac:dyDescent="0.3">
      <c r="A7527" s="160">
        <v>60231</v>
      </c>
      <c r="B7527" t="s">
        <v>22640</v>
      </c>
      <c r="C7527" t="s">
        <v>7357</v>
      </c>
      <c r="D7527">
        <v>0</v>
      </c>
      <c r="E7527">
        <v>0.4</v>
      </c>
      <c r="F7527">
        <f t="shared" si="117"/>
        <v>0.4</v>
      </c>
      <c r="I7527">
        <v>20070101</v>
      </c>
      <c r="J7527" t="s">
        <v>7402</v>
      </c>
    </row>
    <row r="7528" spans="1:11" x14ac:dyDescent="0.3">
      <c r="A7528" s="160">
        <v>60233</v>
      </c>
      <c r="B7528" t="s">
        <v>22641</v>
      </c>
      <c r="C7528" t="s">
        <v>7357</v>
      </c>
      <c r="D7528">
        <v>0</v>
      </c>
      <c r="E7528">
        <v>0.4</v>
      </c>
      <c r="F7528">
        <f t="shared" si="117"/>
        <v>0.4</v>
      </c>
      <c r="I7528">
        <v>20210101</v>
      </c>
      <c r="J7528" t="s">
        <v>7548</v>
      </c>
    </row>
    <row r="7529" spans="1:11" x14ac:dyDescent="0.3">
      <c r="A7529" s="160">
        <v>60234</v>
      </c>
      <c r="B7529" t="s">
        <v>22642</v>
      </c>
      <c r="C7529" t="s">
        <v>7365</v>
      </c>
      <c r="D7529">
        <v>0.6</v>
      </c>
      <c r="E7529">
        <v>0.2</v>
      </c>
      <c r="F7529">
        <f t="shared" si="117"/>
        <v>0.8</v>
      </c>
      <c r="I7529">
        <v>20240101</v>
      </c>
      <c r="J7529" t="s">
        <v>7366</v>
      </c>
      <c r="K7529" t="s">
        <v>7367</v>
      </c>
    </row>
    <row r="7530" spans="1:11" x14ac:dyDescent="0.3">
      <c r="A7530" s="160">
        <v>60235</v>
      </c>
      <c r="B7530" t="s">
        <v>22643</v>
      </c>
      <c r="C7530" t="s">
        <v>7357</v>
      </c>
      <c r="D7530">
        <v>0</v>
      </c>
      <c r="E7530">
        <v>0.4</v>
      </c>
      <c r="F7530">
        <f t="shared" si="117"/>
        <v>0.4</v>
      </c>
      <c r="I7530">
        <v>20070101</v>
      </c>
      <c r="J7530" t="s">
        <v>7453</v>
      </c>
    </row>
    <row r="7531" spans="1:11" x14ac:dyDescent="0.3">
      <c r="A7531" s="160">
        <v>60236</v>
      </c>
      <c r="B7531" t="s">
        <v>22644</v>
      </c>
      <c r="C7531" t="s">
        <v>7391</v>
      </c>
      <c r="D7531">
        <v>0</v>
      </c>
      <c r="E7531">
        <v>0</v>
      </c>
      <c r="F7531">
        <f t="shared" si="117"/>
        <v>0</v>
      </c>
      <c r="I7531">
        <v>20220701</v>
      </c>
      <c r="J7531" t="s">
        <v>7419</v>
      </c>
    </row>
    <row r="7532" spans="1:11" x14ac:dyDescent="0.3">
      <c r="A7532" s="160">
        <v>60237</v>
      </c>
      <c r="B7532" t="s">
        <v>22645</v>
      </c>
      <c r="C7532" t="s">
        <v>7357</v>
      </c>
      <c r="D7532">
        <v>0</v>
      </c>
      <c r="E7532">
        <v>0</v>
      </c>
      <c r="F7532">
        <f t="shared" si="117"/>
        <v>0</v>
      </c>
      <c r="I7532">
        <v>20210101</v>
      </c>
      <c r="J7532" t="s">
        <v>7388</v>
      </c>
    </row>
    <row r="7533" spans="1:11" x14ac:dyDescent="0.3">
      <c r="A7533" s="160">
        <v>60238</v>
      </c>
      <c r="B7533" t="s">
        <v>22646</v>
      </c>
      <c r="C7533" t="s">
        <v>7357</v>
      </c>
      <c r="D7533">
        <v>0</v>
      </c>
      <c r="E7533">
        <v>0.4</v>
      </c>
      <c r="F7533">
        <f t="shared" si="117"/>
        <v>0.4</v>
      </c>
      <c r="I7533">
        <v>20070101</v>
      </c>
      <c r="J7533" t="s">
        <v>7362</v>
      </c>
      <c r="K7533" t="s">
        <v>7363</v>
      </c>
    </row>
    <row r="7534" spans="1:11" x14ac:dyDescent="0.3">
      <c r="A7534" s="160">
        <v>60239</v>
      </c>
      <c r="B7534" t="s">
        <v>15454</v>
      </c>
      <c r="C7534" t="s">
        <v>7357</v>
      </c>
      <c r="D7534">
        <v>0</v>
      </c>
      <c r="E7534">
        <v>0.4</v>
      </c>
      <c r="F7534">
        <f t="shared" si="117"/>
        <v>0.4</v>
      </c>
      <c r="I7534">
        <v>20070101</v>
      </c>
      <c r="J7534" t="s">
        <v>7407</v>
      </c>
    </row>
    <row r="7535" spans="1:11" x14ac:dyDescent="0.3">
      <c r="A7535" s="160">
        <v>60240</v>
      </c>
      <c r="B7535" t="s">
        <v>22647</v>
      </c>
      <c r="C7535" t="s">
        <v>7357</v>
      </c>
      <c r="D7535">
        <v>0</v>
      </c>
      <c r="E7535">
        <v>0.4</v>
      </c>
      <c r="F7535">
        <f t="shared" si="117"/>
        <v>0.4</v>
      </c>
      <c r="I7535">
        <v>20210101</v>
      </c>
      <c r="J7535" t="s">
        <v>7401</v>
      </c>
    </row>
    <row r="7536" spans="1:11" x14ac:dyDescent="0.3">
      <c r="A7536" s="160">
        <v>60241</v>
      </c>
      <c r="B7536" t="s">
        <v>22648</v>
      </c>
      <c r="C7536" t="s">
        <v>7357</v>
      </c>
      <c r="D7536">
        <v>0</v>
      </c>
      <c r="E7536">
        <v>0.4</v>
      </c>
      <c r="F7536">
        <f t="shared" si="117"/>
        <v>0.4</v>
      </c>
      <c r="I7536">
        <v>20070101</v>
      </c>
      <c r="J7536" t="s">
        <v>7393</v>
      </c>
      <c r="K7536" t="s">
        <v>7475</v>
      </c>
    </row>
    <row r="7537" spans="1:10" x14ac:dyDescent="0.3">
      <c r="A7537" s="160">
        <v>60242</v>
      </c>
      <c r="B7537" t="s">
        <v>22649</v>
      </c>
      <c r="C7537" t="s">
        <v>7357</v>
      </c>
      <c r="D7537">
        <v>0</v>
      </c>
      <c r="E7537">
        <v>0.4</v>
      </c>
      <c r="F7537">
        <f t="shared" si="117"/>
        <v>0.4</v>
      </c>
      <c r="I7537">
        <v>20170701</v>
      </c>
      <c r="J7537" t="s">
        <v>7359</v>
      </c>
    </row>
    <row r="7538" spans="1:10" x14ac:dyDescent="0.3">
      <c r="A7538" s="160">
        <v>60243</v>
      </c>
      <c r="B7538" t="s">
        <v>22650</v>
      </c>
      <c r="C7538" t="s">
        <v>7369</v>
      </c>
      <c r="D7538">
        <v>0.7</v>
      </c>
      <c r="E7538">
        <v>0.2</v>
      </c>
      <c r="F7538">
        <f t="shared" si="117"/>
        <v>0.89999999999999991</v>
      </c>
      <c r="I7538">
        <v>20150101</v>
      </c>
      <c r="J7538" t="s">
        <v>7358</v>
      </c>
    </row>
    <row r="7539" spans="1:10" x14ac:dyDescent="0.3">
      <c r="A7539" s="160">
        <v>60244</v>
      </c>
      <c r="B7539" t="s">
        <v>22651</v>
      </c>
      <c r="C7539" t="s">
        <v>7357</v>
      </c>
      <c r="D7539">
        <v>0</v>
      </c>
      <c r="E7539">
        <v>0.4</v>
      </c>
      <c r="F7539">
        <f t="shared" si="117"/>
        <v>0.4</v>
      </c>
      <c r="I7539">
        <v>20170701</v>
      </c>
      <c r="J7539" t="s">
        <v>7417</v>
      </c>
    </row>
    <row r="7540" spans="1:10" x14ac:dyDescent="0.3">
      <c r="A7540" s="160">
        <v>60246</v>
      </c>
      <c r="B7540" t="s">
        <v>22652</v>
      </c>
      <c r="C7540" t="s">
        <v>7377</v>
      </c>
      <c r="D7540">
        <v>0.6</v>
      </c>
      <c r="E7540">
        <v>0.2</v>
      </c>
      <c r="F7540">
        <f t="shared" si="117"/>
        <v>0.8</v>
      </c>
      <c r="I7540">
        <v>20121201</v>
      </c>
      <c r="J7540" t="s">
        <v>7389</v>
      </c>
    </row>
    <row r="7541" spans="1:10" x14ac:dyDescent="0.3">
      <c r="A7541" s="160">
        <v>60247</v>
      </c>
      <c r="B7541" t="s">
        <v>22653</v>
      </c>
      <c r="C7541" t="s">
        <v>7365</v>
      </c>
      <c r="D7541">
        <v>0.6</v>
      </c>
      <c r="E7541">
        <v>0.2</v>
      </c>
      <c r="F7541">
        <f t="shared" si="117"/>
        <v>0.8</v>
      </c>
      <c r="I7541">
        <v>20240101</v>
      </c>
      <c r="J7541" t="s">
        <v>7399</v>
      </c>
    </row>
    <row r="7542" spans="1:10" x14ac:dyDescent="0.3">
      <c r="A7542" s="160">
        <v>60249</v>
      </c>
      <c r="B7542" t="s">
        <v>22654</v>
      </c>
      <c r="C7542" t="s">
        <v>7354</v>
      </c>
      <c r="D7542">
        <v>0.6</v>
      </c>
      <c r="E7542">
        <v>0.2</v>
      </c>
      <c r="F7542">
        <f t="shared" si="117"/>
        <v>0.8</v>
      </c>
      <c r="I7542">
        <v>20190301</v>
      </c>
      <c r="J7542" t="s">
        <v>7385</v>
      </c>
    </row>
    <row r="7543" spans="1:10" x14ac:dyDescent="0.3">
      <c r="A7543" s="160">
        <v>60250</v>
      </c>
      <c r="B7543" t="s">
        <v>22655</v>
      </c>
      <c r="C7543" t="s">
        <v>7369</v>
      </c>
      <c r="D7543">
        <v>0.7</v>
      </c>
      <c r="E7543">
        <v>0.2</v>
      </c>
      <c r="F7543">
        <f t="shared" si="117"/>
        <v>0.89999999999999991</v>
      </c>
      <c r="I7543">
        <v>20150101</v>
      </c>
      <c r="J7543" t="s">
        <v>7370</v>
      </c>
    </row>
    <row r="7544" spans="1:10" x14ac:dyDescent="0.3">
      <c r="A7544" s="160">
        <v>60251</v>
      </c>
      <c r="B7544" t="s">
        <v>22656</v>
      </c>
      <c r="C7544" t="s">
        <v>7369</v>
      </c>
      <c r="D7544">
        <v>0.7</v>
      </c>
      <c r="E7544">
        <v>0.2</v>
      </c>
      <c r="F7544">
        <f t="shared" si="117"/>
        <v>0.89999999999999991</v>
      </c>
      <c r="I7544">
        <v>20210101</v>
      </c>
      <c r="J7544" t="s">
        <v>7447</v>
      </c>
    </row>
    <row r="7545" spans="1:10" x14ac:dyDescent="0.3">
      <c r="A7545" s="160">
        <v>60252</v>
      </c>
      <c r="B7545" t="s">
        <v>22657</v>
      </c>
      <c r="C7545" t="s">
        <v>7357</v>
      </c>
      <c r="D7545">
        <v>0</v>
      </c>
      <c r="E7545">
        <v>0.4</v>
      </c>
      <c r="F7545">
        <f t="shared" si="117"/>
        <v>0.4</v>
      </c>
      <c r="I7545">
        <v>20070101</v>
      </c>
      <c r="J7545" t="s">
        <v>7384</v>
      </c>
    </row>
    <row r="7546" spans="1:10" x14ac:dyDescent="0.3">
      <c r="A7546" s="160">
        <v>60253</v>
      </c>
      <c r="B7546" t="s">
        <v>22658</v>
      </c>
      <c r="C7546" t="s">
        <v>7369</v>
      </c>
      <c r="D7546">
        <v>0.7</v>
      </c>
      <c r="E7546">
        <v>0.2</v>
      </c>
      <c r="F7546">
        <f t="shared" si="117"/>
        <v>0.89999999999999991</v>
      </c>
      <c r="I7546">
        <v>20210101</v>
      </c>
      <c r="J7546" t="s">
        <v>7358</v>
      </c>
    </row>
    <row r="7547" spans="1:10" x14ac:dyDescent="0.3">
      <c r="A7547" s="160">
        <v>60254</v>
      </c>
      <c r="B7547" t="s">
        <v>22659</v>
      </c>
      <c r="C7547" t="s">
        <v>7398</v>
      </c>
      <c r="D7547">
        <v>0.4</v>
      </c>
      <c r="E7547">
        <v>0.4</v>
      </c>
      <c r="F7547">
        <f t="shared" si="117"/>
        <v>0.8</v>
      </c>
      <c r="I7547">
        <v>20210101</v>
      </c>
      <c r="J7547" t="s">
        <v>7399</v>
      </c>
    </row>
    <row r="7548" spans="1:10" x14ac:dyDescent="0.3">
      <c r="A7548" s="160">
        <v>60255</v>
      </c>
      <c r="B7548" t="s">
        <v>22660</v>
      </c>
      <c r="C7548" t="s">
        <v>7391</v>
      </c>
      <c r="D7548">
        <v>0</v>
      </c>
      <c r="E7548">
        <v>0</v>
      </c>
      <c r="F7548">
        <f t="shared" si="117"/>
        <v>0</v>
      </c>
      <c r="I7548">
        <v>20220701</v>
      </c>
      <c r="J7548" t="s">
        <v>7419</v>
      </c>
    </row>
    <row r="7549" spans="1:10" x14ac:dyDescent="0.3">
      <c r="A7549" s="160">
        <v>60256</v>
      </c>
      <c r="B7549" t="s">
        <v>22661</v>
      </c>
      <c r="C7549" t="s">
        <v>7377</v>
      </c>
      <c r="D7549">
        <v>0.6</v>
      </c>
      <c r="E7549">
        <v>0.2</v>
      </c>
      <c r="F7549">
        <f t="shared" si="117"/>
        <v>0.8</v>
      </c>
      <c r="I7549">
        <v>20121201</v>
      </c>
      <c r="J7549" t="s">
        <v>7407</v>
      </c>
    </row>
    <row r="7550" spans="1:10" x14ac:dyDescent="0.3">
      <c r="A7550" s="160">
        <v>60257</v>
      </c>
      <c r="B7550" t="s">
        <v>22662</v>
      </c>
      <c r="C7550" t="s">
        <v>7357</v>
      </c>
      <c r="D7550">
        <v>0</v>
      </c>
      <c r="E7550">
        <v>0.4</v>
      </c>
      <c r="F7550">
        <f t="shared" si="117"/>
        <v>0.4</v>
      </c>
      <c r="I7550">
        <v>20070101</v>
      </c>
      <c r="J7550" t="s">
        <v>7407</v>
      </c>
    </row>
    <row r="7551" spans="1:10" x14ac:dyDescent="0.3">
      <c r="A7551" s="160">
        <v>60258</v>
      </c>
      <c r="B7551" t="s">
        <v>22663</v>
      </c>
      <c r="C7551" t="s">
        <v>7357</v>
      </c>
      <c r="D7551">
        <v>0</v>
      </c>
      <c r="E7551">
        <v>0.4</v>
      </c>
      <c r="F7551">
        <f t="shared" si="117"/>
        <v>0.4</v>
      </c>
      <c r="I7551">
        <v>20210101</v>
      </c>
      <c r="J7551" t="s">
        <v>7405</v>
      </c>
    </row>
    <row r="7552" spans="1:10" x14ac:dyDescent="0.3">
      <c r="A7552" s="160">
        <v>60259</v>
      </c>
      <c r="B7552" t="s">
        <v>22664</v>
      </c>
      <c r="C7552" t="s">
        <v>7354</v>
      </c>
      <c r="D7552">
        <v>0.6</v>
      </c>
      <c r="E7552">
        <v>0.2</v>
      </c>
      <c r="F7552">
        <f t="shared" si="117"/>
        <v>0.8</v>
      </c>
      <c r="I7552">
        <v>20190301</v>
      </c>
      <c r="J7552" t="s">
        <v>7543</v>
      </c>
    </row>
    <row r="7553" spans="1:11" x14ac:dyDescent="0.3">
      <c r="A7553" s="160">
        <v>60260</v>
      </c>
      <c r="B7553" t="s">
        <v>22665</v>
      </c>
      <c r="C7553" t="s">
        <v>7357</v>
      </c>
      <c r="D7553">
        <v>0</v>
      </c>
      <c r="E7553">
        <v>0.4</v>
      </c>
      <c r="F7553">
        <f t="shared" si="117"/>
        <v>0.4</v>
      </c>
      <c r="I7553">
        <v>20070101</v>
      </c>
      <c r="J7553" t="s">
        <v>7549</v>
      </c>
    </row>
    <row r="7554" spans="1:11" x14ac:dyDescent="0.3">
      <c r="A7554" s="160">
        <v>60261</v>
      </c>
      <c r="B7554" t="s">
        <v>22666</v>
      </c>
      <c r="C7554" t="s">
        <v>7357</v>
      </c>
      <c r="D7554">
        <v>0</v>
      </c>
      <c r="E7554">
        <v>0.4</v>
      </c>
      <c r="F7554">
        <f t="shared" si="117"/>
        <v>0.4</v>
      </c>
      <c r="I7554">
        <v>20070101</v>
      </c>
      <c r="J7554" t="s">
        <v>7402</v>
      </c>
    </row>
    <row r="7555" spans="1:11" x14ac:dyDescent="0.3">
      <c r="A7555" s="160">
        <v>60263</v>
      </c>
      <c r="B7555" t="s">
        <v>22667</v>
      </c>
      <c r="C7555" t="s">
        <v>7391</v>
      </c>
      <c r="D7555">
        <v>0</v>
      </c>
      <c r="E7555">
        <v>0</v>
      </c>
      <c r="F7555">
        <f t="shared" si="117"/>
        <v>0</v>
      </c>
      <c r="I7555">
        <v>20220701</v>
      </c>
      <c r="J7555" t="s">
        <v>7419</v>
      </c>
    </row>
    <row r="7556" spans="1:11" x14ac:dyDescent="0.3">
      <c r="A7556" s="160">
        <v>60264</v>
      </c>
      <c r="B7556" t="s">
        <v>22668</v>
      </c>
      <c r="C7556" t="s">
        <v>7369</v>
      </c>
      <c r="D7556">
        <v>0.7</v>
      </c>
      <c r="E7556">
        <v>0.2</v>
      </c>
      <c r="F7556">
        <f t="shared" si="117"/>
        <v>0.89999999999999991</v>
      </c>
      <c r="I7556">
        <v>20150101</v>
      </c>
      <c r="J7556" t="s">
        <v>7370</v>
      </c>
    </row>
    <row r="7557" spans="1:11" x14ac:dyDescent="0.3">
      <c r="A7557" s="160">
        <v>60265</v>
      </c>
      <c r="B7557" t="s">
        <v>22669</v>
      </c>
      <c r="C7557" t="s">
        <v>7357</v>
      </c>
      <c r="D7557">
        <v>0</v>
      </c>
      <c r="E7557">
        <v>0.4</v>
      </c>
      <c r="F7557">
        <f t="shared" si="117"/>
        <v>0.4</v>
      </c>
      <c r="I7557">
        <v>20170701</v>
      </c>
      <c r="J7557" t="s">
        <v>7358</v>
      </c>
    </row>
    <row r="7558" spans="1:11" x14ac:dyDescent="0.3">
      <c r="A7558" s="160">
        <v>60267</v>
      </c>
      <c r="B7558" t="s">
        <v>22670</v>
      </c>
      <c r="C7558" t="s">
        <v>7357</v>
      </c>
      <c r="D7558">
        <v>0</v>
      </c>
      <c r="E7558">
        <v>0.4</v>
      </c>
      <c r="F7558">
        <f t="shared" si="117"/>
        <v>0.4</v>
      </c>
      <c r="I7558">
        <v>20210101</v>
      </c>
      <c r="J7558" t="s">
        <v>7401</v>
      </c>
    </row>
    <row r="7559" spans="1:11" x14ac:dyDescent="0.3">
      <c r="A7559" s="160">
        <v>60269</v>
      </c>
      <c r="B7559" t="s">
        <v>22671</v>
      </c>
      <c r="C7559" t="s">
        <v>7357</v>
      </c>
      <c r="D7559">
        <v>0</v>
      </c>
      <c r="E7559">
        <v>0.4</v>
      </c>
      <c r="F7559">
        <f t="shared" ref="F7559:F7622" si="118">D7559+E7559</f>
        <v>0.4</v>
      </c>
      <c r="I7559">
        <v>20170701</v>
      </c>
      <c r="J7559" t="s">
        <v>7418</v>
      </c>
    </row>
    <row r="7560" spans="1:11" x14ac:dyDescent="0.3">
      <c r="A7560" s="160">
        <v>60270</v>
      </c>
      <c r="B7560" t="s">
        <v>22672</v>
      </c>
      <c r="C7560" t="s">
        <v>7391</v>
      </c>
      <c r="D7560">
        <v>0</v>
      </c>
      <c r="E7560">
        <v>0</v>
      </c>
      <c r="F7560">
        <f t="shared" si="118"/>
        <v>0</v>
      </c>
      <c r="I7560">
        <v>20220701</v>
      </c>
      <c r="J7560" t="s">
        <v>7392</v>
      </c>
    </row>
    <row r="7561" spans="1:11" x14ac:dyDescent="0.3">
      <c r="A7561" s="160">
        <v>60271</v>
      </c>
      <c r="B7561" t="s">
        <v>22673</v>
      </c>
      <c r="C7561" t="s">
        <v>7357</v>
      </c>
      <c r="D7561">
        <v>0</v>
      </c>
      <c r="E7561">
        <v>0.4</v>
      </c>
      <c r="F7561">
        <f t="shared" si="118"/>
        <v>0.4</v>
      </c>
      <c r="I7561">
        <v>20170701</v>
      </c>
      <c r="J7561" t="s">
        <v>7417</v>
      </c>
    </row>
    <row r="7562" spans="1:11" x14ac:dyDescent="0.3">
      <c r="A7562" s="160">
        <v>60272</v>
      </c>
      <c r="B7562" t="s">
        <v>22674</v>
      </c>
      <c r="C7562" t="s">
        <v>7357</v>
      </c>
      <c r="D7562">
        <v>0</v>
      </c>
      <c r="E7562">
        <v>0.4</v>
      </c>
      <c r="F7562">
        <f t="shared" si="118"/>
        <v>0.4</v>
      </c>
      <c r="I7562">
        <v>20070101</v>
      </c>
      <c r="J7562" t="s">
        <v>7439</v>
      </c>
      <c r="K7562" t="s">
        <v>7441</v>
      </c>
    </row>
    <row r="7563" spans="1:11" x14ac:dyDescent="0.3">
      <c r="A7563" s="160">
        <v>60273</v>
      </c>
      <c r="B7563" t="s">
        <v>21265</v>
      </c>
      <c r="C7563" t="s">
        <v>7357</v>
      </c>
      <c r="D7563">
        <v>0</v>
      </c>
      <c r="E7563">
        <v>0.4</v>
      </c>
      <c r="F7563">
        <f t="shared" si="118"/>
        <v>0.4</v>
      </c>
      <c r="I7563">
        <v>20070101</v>
      </c>
      <c r="J7563" t="s">
        <v>7491</v>
      </c>
    </row>
    <row r="7564" spans="1:11" x14ac:dyDescent="0.3">
      <c r="A7564" s="160">
        <v>60274</v>
      </c>
      <c r="B7564" t="s">
        <v>22675</v>
      </c>
      <c r="C7564" t="s">
        <v>7357</v>
      </c>
      <c r="D7564">
        <v>0</v>
      </c>
      <c r="E7564">
        <v>0.4</v>
      </c>
      <c r="F7564">
        <f t="shared" si="118"/>
        <v>0.4</v>
      </c>
      <c r="I7564">
        <v>20070101</v>
      </c>
      <c r="J7564" t="s">
        <v>7439</v>
      </c>
    </row>
    <row r="7565" spans="1:11" x14ac:dyDescent="0.3">
      <c r="A7565" s="160">
        <v>60275</v>
      </c>
      <c r="B7565" t="s">
        <v>22676</v>
      </c>
      <c r="C7565" t="s">
        <v>7357</v>
      </c>
      <c r="D7565">
        <v>0</v>
      </c>
      <c r="E7565">
        <v>0.4</v>
      </c>
      <c r="F7565">
        <f t="shared" si="118"/>
        <v>0.4</v>
      </c>
      <c r="I7565">
        <v>20170701</v>
      </c>
      <c r="J7565" t="s">
        <v>7443</v>
      </c>
    </row>
    <row r="7566" spans="1:11" x14ac:dyDescent="0.3">
      <c r="A7566" s="160">
        <v>60277</v>
      </c>
      <c r="B7566" t="s">
        <v>22677</v>
      </c>
      <c r="C7566" t="s">
        <v>7369</v>
      </c>
      <c r="D7566">
        <v>0.7</v>
      </c>
      <c r="E7566">
        <v>0.2</v>
      </c>
      <c r="F7566">
        <f t="shared" si="118"/>
        <v>0.89999999999999991</v>
      </c>
      <c r="I7566">
        <v>20150101</v>
      </c>
      <c r="J7566" t="s">
        <v>7370</v>
      </c>
    </row>
    <row r="7567" spans="1:11" x14ac:dyDescent="0.3">
      <c r="A7567" s="160">
        <v>60278</v>
      </c>
      <c r="B7567" t="s">
        <v>22678</v>
      </c>
      <c r="C7567" t="s">
        <v>7391</v>
      </c>
      <c r="D7567">
        <v>0</v>
      </c>
      <c r="E7567">
        <v>0</v>
      </c>
      <c r="F7567">
        <f t="shared" si="118"/>
        <v>0</v>
      </c>
      <c r="I7567">
        <v>20220701</v>
      </c>
      <c r="J7567" t="s">
        <v>7419</v>
      </c>
    </row>
    <row r="7568" spans="1:11" x14ac:dyDescent="0.3">
      <c r="A7568" s="160">
        <v>60279</v>
      </c>
      <c r="B7568" t="s">
        <v>21270</v>
      </c>
      <c r="C7568" t="s">
        <v>7357</v>
      </c>
      <c r="D7568">
        <v>0</v>
      </c>
      <c r="E7568">
        <v>0.4</v>
      </c>
      <c r="F7568">
        <f t="shared" si="118"/>
        <v>0.4</v>
      </c>
      <c r="I7568">
        <v>20070101</v>
      </c>
      <c r="J7568" t="s">
        <v>7550</v>
      </c>
    </row>
    <row r="7569" spans="1:16" x14ac:dyDescent="0.3">
      <c r="A7569" s="160">
        <v>60281</v>
      </c>
      <c r="B7569" t="s">
        <v>22679</v>
      </c>
      <c r="C7569" t="s">
        <v>7357</v>
      </c>
      <c r="D7569">
        <v>0</v>
      </c>
      <c r="E7569">
        <v>0.4</v>
      </c>
      <c r="F7569">
        <f t="shared" si="118"/>
        <v>0.4</v>
      </c>
      <c r="I7569">
        <v>20070101</v>
      </c>
      <c r="J7569" t="s">
        <v>7399</v>
      </c>
    </row>
    <row r="7570" spans="1:16" x14ac:dyDescent="0.3">
      <c r="A7570" s="160">
        <v>60282</v>
      </c>
      <c r="B7570" t="s">
        <v>22680</v>
      </c>
      <c r="C7570" t="s">
        <v>7357</v>
      </c>
      <c r="D7570">
        <v>0</v>
      </c>
      <c r="E7570">
        <v>0.4</v>
      </c>
      <c r="F7570">
        <f t="shared" si="118"/>
        <v>0.4</v>
      </c>
      <c r="I7570">
        <v>20070101</v>
      </c>
      <c r="J7570" t="s">
        <v>7551</v>
      </c>
      <c r="K7570" t="s">
        <v>7552</v>
      </c>
      <c r="L7570" t="s">
        <v>7478</v>
      </c>
      <c r="M7570" t="s">
        <v>7482</v>
      </c>
      <c r="N7570" t="s">
        <v>7485</v>
      </c>
      <c r="O7570" t="s">
        <v>7486</v>
      </c>
      <c r="P7570" t="s">
        <v>7489</v>
      </c>
    </row>
    <row r="7571" spans="1:16" x14ac:dyDescent="0.3">
      <c r="A7571" s="160">
        <v>60283</v>
      </c>
      <c r="B7571" t="s">
        <v>22681</v>
      </c>
      <c r="C7571" t="s">
        <v>7357</v>
      </c>
      <c r="D7571">
        <v>0</v>
      </c>
      <c r="E7571">
        <v>0.4</v>
      </c>
      <c r="F7571">
        <f t="shared" si="118"/>
        <v>0.4</v>
      </c>
      <c r="I7571">
        <v>20210101</v>
      </c>
      <c r="J7571" t="s">
        <v>7388</v>
      </c>
    </row>
    <row r="7572" spans="1:16" x14ac:dyDescent="0.3">
      <c r="A7572" s="160">
        <v>60284</v>
      </c>
      <c r="B7572" t="s">
        <v>22682</v>
      </c>
      <c r="C7572" t="s">
        <v>7398</v>
      </c>
      <c r="D7572">
        <v>0.4</v>
      </c>
      <c r="E7572">
        <v>0.4</v>
      </c>
      <c r="F7572">
        <f t="shared" si="118"/>
        <v>0.8</v>
      </c>
      <c r="I7572">
        <v>20210101</v>
      </c>
      <c r="J7572" t="s">
        <v>7467</v>
      </c>
      <c r="K7572" t="s">
        <v>7468</v>
      </c>
    </row>
    <row r="7573" spans="1:16" x14ac:dyDescent="0.3">
      <c r="A7573" s="160">
        <v>60285</v>
      </c>
      <c r="B7573" t="s">
        <v>22683</v>
      </c>
      <c r="C7573" t="s">
        <v>7357</v>
      </c>
      <c r="D7573">
        <v>0</v>
      </c>
      <c r="E7573">
        <v>0.4</v>
      </c>
      <c r="F7573">
        <f t="shared" si="118"/>
        <v>0.4</v>
      </c>
      <c r="I7573">
        <v>20070101</v>
      </c>
      <c r="J7573" t="s">
        <v>7399</v>
      </c>
    </row>
    <row r="7574" spans="1:16" x14ac:dyDescent="0.3">
      <c r="A7574" s="160">
        <v>60286</v>
      </c>
      <c r="B7574" t="s">
        <v>22684</v>
      </c>
      <c r="C7574" t="s">
        <v>7357</v>
      </c>
      <c r="D7574">
        <v>0</v>
      </c>
      <c r="E7574">
        <v>0.4</v>
      </c>
      <c r="F7574">
        <f t="shared" si="118"/>
        <v>0.4</v>
      </c>
      <c r="I7574">
        <v>20210101</v>
      </c>
      <c r="J7574" t="s">
        <v>7418</v>
      </c>
    </row>
    <row r="7575" spans="1:16" x14ac:dyDescent="0.3">
      <c r="A7575" s="160">
        <v>60287</v>
      </c>
      <c r="B7575" t="s">
        <v>22685</v>
      </c>
      <c r="C7575" t="s">
        <v>7391</v>
      </c>
      <c r="D7575">
        <v>0</v>
      </c>
      <c r="E7575">
        <v>0</v>
      </c>
      <c r="F7575">
        <f t="shared" si="118"/>
        <v>0</v>
      </c>
      <c r="I7575">
        <v>20220701</v>
      </c>
      <c r="J7575" t="s">
        <v>7392</v>
      </c>
    </row>
    <row r="7576" spans="1:16" x14ac:dyDescent="0.3">
      <c r="A7576" s="160">
        <v>60288</v>
      </c>
      <c r="B7576" t="s">
        <v>22686</v>
      </c>
      <c r="C7576" t="s">
        <v>7357</v>
      </c>
      <c r="D7576">
        <v>0</v>
      </c>
      <c r="E7576">
        <v>0.4</v>
      </c>
      <c r="F7576">
        <f t="shared" si="118"/>
        <v>0.4</v>
      </c>
      <c r="I7576">
        <v>20170701</v>
      </c>
      <c r="J7576" t="s">
        <v>7417</v>
      </c>
    </row>
    <row r="7577" spans="1:16" x14ac:dyDescent="0.3">
      <c r="A7577" s="160">
        <v>60289</v>
      </c>
      <c r="B7577" t="s">
        <v>22687</v>
      </c>
      <c r="C7577" t="s">
        <v>7357</v>
      </c>
      <c r="D7577">
        <v>0</v>
      </c>
      <c r="E7577">
        <v>0.4</v>
      </c>
      <c r="F7577">
        <f t="shared" si="118"/>
        <v>0.4</v>
      </c>
      <c r="I7577">
        <v>20210101</v>
      </c>
      <c r="J7577" t="s">
        <v>7418</v>
      </c>
    </row>
    <row r="7578" spans="1:16" x14ac:dyDescent="0.3">
      <c r="A7578" s="160">
        <v>60290</v>
      </c>
      <c r="B7578" t="s">
        <v>22688</v>
      </c>
      <c r="C7578" t="s">
        <v>7369</v>
      </c>
      <c r="D7578">
        <v>0.7</v>
      </c>
      <c r="E7578">
        <v>0.2</v>
      </c>
      <c r="F7578">
        <f t="shared" si="118"/>
        <v>0.89999999999999991</v>
      </c>
      <c r="I7578">
        <v>20150101</v>
      </c>
      <c r="J7578" t="s">
        <v>7358</v>
      </c>
    </row>
    <row r="7579" spans="1:16" x14ac:dyDescent="0.3">
      <c r="A7579" s="160">
        <v>60291</v>
      </c>
      <c r="B7579" t="s">
        <v>22689</v>
      </c>
      <c r="C7579" t="s">
        <v>7391</v>
      </c>
      <c r="D7579">
        <v>0</v>
      </c>
      <c r="E7579">
        <v>0</v>
      </c>
      <c r="F7579">
        <f t="shared" si="118"/>
        <v>0</v>
      </c>
      <c r="I7579">
        <v>20220701</v>
      </c>
      <c r="J7579" t="s">
        <v>7419</v>
      </c>
    </row>
    <row r="7580" spans="1:16" x14ac:dyDescent="0.3">
      <c r="A7580" s="160">
        <v>60292</v>
      </c>
      <c r="B7580" t="s">
        <v>22690</v>
      </c>
      <c r="C7580" t="s">
        <v>7357</v>
      </c>
      <c r="D7580">
        <v>0</v>
      </c>
      <c r="E7580">
        <v>0.4</v>
      </c>
      <c r="F7580">
        <f t="shared" si="118"/>
        <v>0.4</v>
      </c>
      <c r="I7580">
        <v>20070101</v>
      </c>
      <c r="J7580" t="s">
        <v>7405</v>
      </c>
    </row>
    <row r="7581" spans="1:16" x14ac:dyDescent="0.3">
      <c r="A7581" s="160">
        <v>60293</v>
      </c>
      <c r="B7581" t="s">
        <v>22691</v>
      </c>
      <c r="C7581" t="s">
        <v>7357</v>
      </c>
      <c r="D7581">
        <v>0</v>
      </c>
      <c r="E7581">
        <v>0.4</v>
      </c>
      <c r="F7581">
        <f t="shared" si="118"/>
        <v>0.4</v>
      </c>
      <c r="I7581">
        <v>20070101</v>
      </c>
      <c r="J7581" t="s">
        <v>7407</v>
      </c>
    </row>
    <row r="7582" spans="1:16" x14ac:dyDescent="0.3">
      <c r="A7582" s="160">
        <v>60294</v>
      </c>
      <c r="B7582" t="s">
        <v>22692</v>
      </c>
      <c r="C7582" t="s">
        <v>7357</v>
      </c>
      <c r="D7582">
        <v>0</v>
      </c>
      <c r="E7582">
        <v>0.4</v>
      </c>
      <c r="F7582">
        <f t="shared" si="118"/>
        <v>0.4</v>
      </c>
      <c r="I7582">
        <v>20070101</v>
      </c>
      <c r="J7582" t="s">
        <v>7437</v>
      </c>
    </row>
    <row r="7583" spans="1:16" x14ac:dyDescent="0.3">
      <c r="A7583" s="160">
        <v>60295</v>
      </c>
      <c r="B7583" t="s">
        <v>22693</v>
      </c>
      <c r="C7583" t="s">
        <v>7357</v>
      </c>
      <c r="D7583">
        <v>0</v>
      </c>
      <c r="E7583">
        <v>0.4</v>
      </c>
      <c r="F7583">
        <f t="shared" si="118"/>
        <v>0.4</v>
      </c>
      <c r="I7583">
        <v>20210101</v>
      </c>
      <c r="J7583" t="s">
        <v>7418</v>
      </c>
    </row>
    <row r="7584" spans="1:16" x14ac:dyDescent="0.3">
      <c r="A7584" s="160">
        <v>60296</v>
      </c>
      <c r="B7584" t="s">
        <v>22694</v>
      </c>
      <c r="C7584" t="s">
        <v>7357</v>
      </c>
      <c r="D7584">
        <v>0</v>
      </c>
      <c r="E7584">
        <v>0.4</v>
      </c>
      <c r="F7584">
        <f t="shared" si="118"/>
        <v>0.4</v>
      </c>
      <c r="I7584">
        <v>20170701</v>
      </c>
      <c r="J7584" t="s">
        <v>7443</v>
      </c>
    </row>
    <row r="7585" spans="1:11" x14ac:dyDescent="0.3">
      <c r="A7585" s="160">
        <v>60297</v>
      </c>
      <c r="B7585" t="s">
        <v>22695</v>
      </c>
      <c r="C7585" t="s">
        <v>7357</v>
      </c>
      <c r="D7585">
        <v>0</v>
      </c>
      <c r="E7585">
        <v>0.4</v>
      </c>
      <c r="F7585">
        <f t="shared" si="118"/>
        <v>0.4</v>
      </c>
      <c r="I7585">
        <v>20170701</v>
      </c>
      <c r="J7585" t="s">
        <v>7418</v>
      </c>
    </row>
    <row r="7586" spans="1:11" x14ac:dyDescent="0.3">
      <c r="A7586" s="160">
        <v>60298</v>
      </c>
      <c r="B7586" t="s">
        <v>22696</v>
      </c>
      <c r="C7586" t="s">
        <v>7357</v>
      </c>
      <c r="D7586">
        <v>0</v>
      </c>
      <c r="E7586">
        <v>0.4</v>
      </c>
      <c r="F7586">
        <f t="shared" si="118"/>
        <v>0.4</v>
      </c>
      <c r="I7586">
        <v>20170701</v>
      </c>
      <c r="J7586" t="s">
        <v>7443</v>
      </c>
    </row>
    <row r="7587" spans="1:11" x14ac:dyDescent="0.3">
      <c r="A7587" s="160">
        <v>60299</v>
      </c>
      <c r="B7587" t="s">
        <v>22697</v>
      </c>
      <c r="C7587" t="s">
        <v>7357</v>
      </c>
      <c r="D7587">
        <v>0</v>
      </c>
      <c r="E7587">
        <v>0.4</v>
      </c>
      <c r="F7587">
        <f t="shared" si="118"/>
        <v>0.4</v>
      </c>
      <c r="I7587">
        <v>20170701</v>
      </c>
      <c r="J7587" t="s">
        <v>7388</v>
      </c>
    </row>
    <row r="7588" spans="1:11" x14ac:dyDescent="0.3">
      <c r="A7588" s="160">
        <v>60300</v>
      </c>
      <c r="B7588" t="s">
        <v>22697</v>
      </c>
      <c r="C7588" t="s">
        <v>7357</v>
      </c>
      <c r="D7588">
        <v>0</v>
      </c>
      <c r="E7588">
        <v>0.4</v>
      </c>
      <c r="F7588">
        <f t="shared" si="118"/>
        <v>0.4</v>
      </c>
      <c r="I7588">
        <v>20070101</v>
      </c>
      <c r="J7588" t="s">
        <v>7407</v>
      </c>
    </row>
    <row r="7589" spans="1:11" x14ac:dyDescent="0.3">
      <c r="A7589" s="160">
        <v>60301</v>
      </c>
      <c r="B7589" t="s">
        <v>22698</v>
      </c>
      <c r="C7589" t="s">
        <v>7357</v>
      </c>
      <c r="D7589">
        <v>0</v>
      </c>
      <c r="E7589">
        <v>0.4</v>
      </c>
      <c r="F7589">
        <f t="shared" si="118"/>
        <v>0.4</v>
      </c>
      <c r="I7589">
        <v>20170701</v>
      </c>
      <c r="J7589" t="s">
        <v>7450</v>
      </c>
    </row>
    <row r="7590" spans="1:11" x14ac:dyDescent="0.3">
      <c r="A7590" s="160">
        <v>60302</v>
      </c>
      <c r="B7590" t="s">
        <v>22699</v>
      </c>
      <c r="C7590" t="s">
        <v>7369</v>
      </c>
      <c r="D7590">
        <v>0.7</v>
      </c>
      <c r="E7590">
        <v>0.2</v>
      </c>
      <c r="F7590">
        <f t="shared" si="118"/>
        <v>0.89999999999999991</v>
      </c>
      <c r="I7590">
        <v>20210101</v>
      </c>
      <c r="J7590" t="s">
        <v>7447</v>
      </c>
    </row>
    <row r="7591" spans="1:11" x14ac:dyDescent="0.3">
      <c r="A7591" s="160">
        <v>60303</v>
      </c>
      <c r="B7591" t="s">
        <v>22700</v>
      </c>
      <c r="C7591" t="s">
        <v>7357</v>
      </c>
      <c r="D7591">
        <v>0</v>
      </c>
      <c r="E7591">
        <v>0.4</v>
      </c>
      <c r="F7591">
        <f t="shared" si="118"/>
        <v>0.4</v>
      </c>
      <c r="I7591">
        <v>20210101</v>
      </c>
      <c r="J7591" t="s">
        <v>7418</v>
      </c>
    </row>
    <row r="7592" spans="1:11" x14ac:dyDescent="0.3">
      <c r="A7592" s="160">
        <v>60304</v>
      </c>
      <c r="B7592" t="s">
        <v>22701</v>
      </c>
      <c r="C7592" t="s">
        <v>7357</v>
      </c>
      <c r="D7592">
        <v>0</v>
      </c>
      <c r="E7592">
        <v>0.4</v>
      </c>
      <c r="F7592">
        <f t="shared" si="118"/>
        <v>0.4</v>
      </c>
      <c r="I7592">
        <v>20170701</v>
      </c>
      <c r="J7592" t="s">
        <v>7359</v>
      </c>
    </row>
    <row r="7593" spans="1:11" x14ac:dyDescent="0.3">
      <c r="A7593" s="160">
        <v>60305</v>
      </c>
      <c r="B7593" t="s">
        <v>22702</v>
      </c>
      <c r="C7593" t="s">
        <v>7357</v>
      </c>
      <c r="D7593">
        <v>0</v>
      </c>
      <c r="E7593">
        <v>0</v>
      </c>
      <c r="F7593">
        <f t="shared" si="118"/>
        <v>0</v>
      </c>
      <c r="I7593">
        <v>20210101</v>
      </c>
      <c r="J7593" t="s">
        <v>7400</v>
      </c>
    </row>
    <row r="7594" spans="1:11" x14ac:dyDescent="0.3">
      <c r="A7594" s="160">
        <v>60306</v>
      </c>
      <c r="B7594" t="s">
        <v>17726</v>
      </c>
      <c r="C7594" t="s">
        <v>7357</v>
      </c>
      <c r="D7594">
        <v>0</v>
      </c>
      <c r="E7594">
        <v>0.4</v>
      </c>
      <c r="F7594">
        <f t="shared" si="118"/>
        <v>0.4</v>
      </c>
      <c r="I7594">
        <v>20170701</v>
      </c>
      <c r="J7594" t="s">
        <v>7417</v>
      </c>
    </row>
    <row r="7595" spans="1:11" x14ac:dyDescent="0.3">
      <c r="A7595" s="160">
        <v>60307</v>
      </c>
      <c r="B7595" t="s">
        <v>22703</v>
      </c>
      <c r="C7595" t="s">
        <v>7354</v>
      </c>
      <c r="D7595">
        <v>0.6</v>
      </c>
      <c r="E7595">
        <v>0.2</v>
      </c>
      <c r="F7595">
        <f t="shared" si="118"/>
        <v>0.8</v>
      </c>
      <c r="I7595">
        <v>20190301</v>
      </c>
      <c r="J7595" t="s">
        <v>7385</v>
      </c>
    </row>
    <row r="7596" spans="1:11" x14ac:dyDescent="0.3">
      <c r="A7596" s="160">
        <v>60308</v>
      </c>
      <c r="B7596" t="s">
        <v>22704</v>
      </c>
      <c r="C7596" t="s">
        <v>7398</v>
      </c>
      <c r="D7596">
        <v>0.4</v>
      </c>
      <c r="E7596">
        <v>0.4</v>
      </c>
      <c r="F7596">
        <f t="shared" si="118"/>
        <v>0.8</v>
      </c>
      <c r="I7596">
        <v>20210101</v>
      </c>
      <c r="J7596" t="s">
        <v>7399</v>
      </c>
    </row>
    <row r="7597" spans="1:11" x14ac:dyDescent="0.3">
      <c r="A7597" s="160">
        <v>60309</v>
      </c>
      <c r="B7597" t="s">
        <v>22705</v>
      </c>
      <c r="C7597" t="s">
        <v>7377</v>
      </c>
      <c r="D7597">
        <v>0.6</v>
      </c>
      <c r="E7597">
        <v>0.2</v>
      </c>
      <c r="F7597">
        <f t="shared" si="118"/>
        <v>0.8</v>
      </c>
      <c r="I7597">
        <v>20121201</v>
      </c>
      <c r="J7597" t="s">
        <v>7553</v>
      </c>
      <c r="K7597" t="s">
        <v>7554</v>
      </c>
    </row>
    <row r="7598" spans="1:11" x14ac:dyDescent="0.3">
      <c r="A7598" s="160">
        <v>60310</v>
      </c>
      <c r="B7598" t="s">
        <v>22706</v>
      </c>
      <c r="C7598" t="s">
        <v>7369</v>
      </c>
      <c r="D7598">
        <v>0.7</v>
      </c>
      <c r="E7598">
        <v>0.2</v>
      </c>
      <c r="F7598">
        <f t="shared" si="118"/>
        <v>0.89999999999999991</v>
      </c>
      <c r="I7598">
        <v>20150101</v>
      </c>
      <c r="J7598" t="s">
        <v>7450</v>
      </c>
    </row>
    <row r="7599" spans="1:11" x14ac:dyDescent="0.3">
      <c r="A7599" s="160">
        <v>60311</v>
      </c>
      <c r="B7599" t="s">
        <v>22707</v>
      </c>
      <c r="C7599" t="s">
        <v>7357</v>
      </c>
      <c r="D7599">
        <v>0</v>
      </c>
      <c r="E7599">
        <v>0</v>
      </c>
      <c r="F7599">
        <f t="shared" si="118"/>
        <v>0</v>
      </c>
      <c r="I7599">
        <v>20210101</v>
      </c>
      <c r="J7599" t="s">
        <v>7388</v>
      </c>
    </row>
    <row r="7600" spans="1:11" x14ac:dyDescent="0.3">
      <c r="A7600" s="160">
        <v>60312</v>
      </c>
      <c r="B7600" t="s">
        <v>22708</v>
      </c>
      <c r="C7600" t="s">
        <v>7357</v>
      </c>
      <c r="D7600">
        <v>0</v>
      </c>
      <c r="E7600">
        <v>0.4</v>
      </c>
      <c r="F7600">
        <f t="shared" si="118"/>
        <v>0.4</v>
      </c>
      <c r="I7600">
        <v>20210101</v>
      </c>
      <c r="J7600" t="s">
        <v>7417</v>
      </c>
    </row>
    <row r="7601" spans="1:14" x14ac:dyDescent="0.3">
      <c r="A7601" s="160">
        <v>60313</v>
      </c>
      <c r="B7601" t="s">
        <v>22709</v>
      </c>
      <c r="C7601" t="s">
        <v>7369</v>
      </c>
      <c r="D7601">
        <v>0.7</v>
      </c>
      <c r="E7601">
        <v>0.2</v>
      </c>
      <c r="F7601">
        <f t="shared" si="118"/>
        <v>0.89999999999999991</v>
      </c>
      <c r="I7601">
        <v>20210101</v>
      </c>
      <c r="J7601" t="s">
        <v>7438</v>
      </c>
      <c r="K7601" t="s">
        <v>7356</v>
      </c>
      <c r="L7601" t="s">
        <v>7555</v>
      </c>
    </row>
    <row r="7602" spans="1:14" x14ac:dyDescent="0.3">
      <c r="A7602" s="160">
        <v>60314</v>
      </c>
      <c r="B7602" t="s">
        <v>22710</v>
      </c>
      <c r="C7602" t="s">
        <v>7357</v>
      </c>
      <c r="D7602">
        <v>0</v>
      </c>
      <c r="E7602">
        <v>0.4</v>
      </c>
      <c r="F7602">
        <f t="shared" si="118"/>
        <v>0.4</v>
      </c>
      <c r="I7602">
        <v>20170701</v>
      </c>
      <c r="J7602" t="s">
        <v>7401</v>
      </c>
    </row>
    <row r="7603" spans="1:14" x14ac:dyDescent="0.3">
      <c r="A7603" s="160">
        <v>60315</v>
      </c>
      <c r="B7603" t="s">
        <v>22711</v>
      </c>
      <c r="C7603" t="s">
        <v>7357</v>
      </c>
      <c r="D7603">
        <v>0</v>
      </c>
      <c r="E7603">
        <v>0.4</v>
      </c>
      <c r="F7603">
        <f t="shared" si="118"/>
        <v>0.4</v>
      </c>
      <c r="I7603">
        <v>20070101</v>
      </c>
      <c r="J7603" t="s">
        <v>7443</v>
      </c>
    </row>
    <row r="7604" spans="1:14" x14ac:dyDescent="0.3">
      <c r="A7604" s="160">
        <v>60316</v>
      </c>
      <c r="B7604" t="s">
        <v>22712</v>
      </c>
      <c r="C7604" t="s">
        <v>7354</v>
      </c>
      <c r="D7604">
        <v>0.6</v>
      </c>
      <c r="E7604">
        <v>0.2</v>
      </c>
      <c r="F7604">
        <f t="shared" si="118"/>
        <v>0.8</v>
      </c>
      <c r="I7604">
        <v>20190301</v>
      </c>
      <c r="J7604" t="s">
        <v>7355</v>
      </c>
    </row>
    <row r="7605" spans="1:14" x14ac:dyDescent="0.3">
      <c r="A7605" s="160">
        <v>60317</v>
      </c>
      <c r="B7605" t="s">
        <v>22713</v>
      </c>
      <c r="C7605" t="s">
        <v>7354</v>
      </c>
      <c r="D7605">
        <v>0.6</v>
      </c>
      <c r="E7605">
        <v>0.2</v>
      </c>
      <c r="F7605">
        <f t="shared" si="118"/>
        <v>0.8</v>
      </c>
      <c r="I7605">
        <v>20190301</v>
      </c>
      <c r="J7605" t="s">
        <v>7385</v>
      </c>
      <c r="K7605" t="s">
        <v>7386</v>
      </c>
    </row>
    <row r="7606" spans="1:14" x14ac:dyDescent="0.3">
      <c r="A7606" s="160">
        <v>60318</v>
      </c>
      <c r="B7606" t="s">
        <v>22714</v>
      </c>
      <c r="C7606" t="s">
        <v>7398</v>
      </c>
      <c r="D7606">
        <v>0.4</v>
      </c>
      <c r="E7606">
        <v>0.4</v>
      </c>
      <c r="F7606">
        <f t="shared" si="118"/>
        <v>0.8</v>
      </c>
      <c r="I7606">
        <v>20210101</v>
      </c>
      <c r="J7606" t="s">
        <v>7492</v>
      </c>
    </row>
    <row r="7607" spans="1:14" x14ac:dyDescent="0.3">
      <c r="A7607" s="160">
        <v>60319</v>
      </c>
      <c r="B7607" t="s">
        <v>22715</v>
      </c>
      <c r="C7607" t="s">
        <v>7357</v>
      </c>
      <c r="D7607">
        <v>0</v>
      </c>
      <c r="E7607">
        <v>0.4</v>
      </c>
      <c r="F7607">
        <f t="shared" si="118"/>
        <v>0.4</v>
      </c>
      <c r="I7607">
        <v>20070101</v>
      </c>
      <c r="J7607" t="s">
        <v>7403</v>
      </c>
    </row>
    <row r="7608" spans="1:14" x14ac:dyDescent="0.3">
      <c r="A7608" s="160">
        <v>60320</v>
      </c>
      <c r="B7608" t="s">
        <v>22716</v>
      </c>
      <c r="C7608" t="s">
        <v>7357</v>
      </c>
      <c r="D7608">
        <v>0</v>
      </c>
      <c r="E7608">
        <v>0.4</v>
      </c>
      <c r="F7608">
        <f t="shared" si="118"/>
        <v>0.4</v>
      </c>
      <c r="I7608">
        <v>20070101</v>
      </c>
      <c r="J7608" t="s">
        <v>7452</v>
      </c>
    </row>
    <row r="7609" spans="1:14" x14ac:dyDescent="0.3">
      <c r="A7609" s="160">
        <v>60321</v>
      </c>
      <c r="B7609" t="s">
        <v>22717</v>
      </c>
      <c r="C7609" t="s">
        <v>7377</v>
      </c>
      <c r="D7609">
        <v>0.6</v>
      </c>
      <c r="E7609">
        <v>0.2</v>
      </c>
      <c r="F7609">
        <f t="shared" si="118"/>
        <v>0.8</v>
      </c>
      <c r="I7609">
        <v>20121201</v>
      </c>
      <c r="J7609" t="s">
        <v>7556</v>
      </c>
      <c r="K7609" t="s">
        <v>7554</v>
      </c>
    </row>
    <row r="7610" spans="1:14" x14ac:dyDescent="0.3">
      <c r="A7610" s="160">
        <v>60322</v>
      </c>
      <c r="B7610" t="s">
        <v>22718</v>
      </c>
      <c r="C7610" t="s">
        <v>7357</v>
      </c>
      <c r="D7610">
        <v>0</v>
      </c>
      <c r="E7610">
        <v>0.4</v>
      </c>
      <c r="F7610">
        <f t="shared" si="118"/>
        <v>0.4</v>
      </c>
      <c r="I7610">
        <v>20070101</v>
      </c>
      <c r="J7610" t="s">
        <v>7407</v>
      </c>
    </row>
    <row r="7611" spans="1:14" x14ac:dyDescent="0.3">
      <c r="A7611" s="160">
        <v>60323</v>
      </c>
      <c r="B7611" t="s">
        <v>22719</v>
      </c>
      <c r="C7611" t="s">
        <v>7394</v>
      </c>
      <c r="D7611">
        <v>0.7</v>
      </c>
      <c r="E7611">
        <v>0.2</v>
      </c>
      <c r="F7611">
        <f t="shared" si="118"/>
        <v>0.89999999999999991</v>
      </c>
      <c r="I7611">
        <v>20180701</v>
      </c>
      <c r="J7611" t="s">
        <v>7491</v>
      </c>
      <c r="K7611" t="s">
        <v>7512</v>
      </c>
    </row>
    <row r="7612" spans="1:14" x14ac:dyDescent="0.3">
      <c r="A7612" s="160">
        <v>60324</v>
      </c>
      <c r="B7612" t="s">
        <v>22720</v>
      </c>
      <c r="C7612" t="s">
        <v>7357</v>
      </c>
      <c r="D7612">
        <v>0</v>
      </c>
      <c r="E7612">
        <v>0.4</v>
      </c>
      <c r="F7612">
        <f t="shared" si="118"/>
        <v>0.4</v>
      </c>
      <c r="I7612">
        <v>20210101</v>
      </c>
      <c r="J7612" t="s">
        <v>7400</v>
      </c>
    </row>
    <row r="7613" spans="1:14" x14ac:dyDescent="0.3">
      <c r="A7613" s="160">
        <v>60325</v>
      </c>
      <c r="B7613" t="s">
        <v>22721</v>
      </c>
      <c r="C7613" t="s">
        <v>7394</v>
      </c>
      <c r="D7613">
        <v>0.7</v>
      </c>
      <c r="E7613">
        <v>0.2</v>
      </c>
      <c r="F7613">
        <f t="shared" si="118"/>
        <v>0.89999999999999991</v>
      </c>
      <c r="I7613">
        <v>20180701</v>
      </c>
      <c r="J7613" t="s">
        <v>7497</v>
      </c>
      <c r="K7613" t="s">
        <v>7509</v>
      </c>
      <c r="L7613" t="s">
        <v>7557</v>
      </c>
      <c r="M7613" t="s">
        <v>7467</v>
      </c>
      <c r="N7613" t="s">
        <v>7396</v>
      </c>
    </row>
    <row r="7614" spans="1:14" x14ac:dyDescent="0.3">
      <c r="A7614" s="160">
        <v>60326</v>
      </c>
      <c r="B7614" t="s">
        <v>19066</v>
      </c>
      <c r="C7614" t="s">
        <v>7394</v>
      </c>
      <c r="D7614">
        <v>0.7</v>
      </c>
      <c r="E7614">
        <v>0.2</v>
      </c>
      <c r="F7614">
        <f t="shared" si="118"/>
        <v>0.89999999999999991</v>
      </c>
      <c r="I7614">
        <v>20180701</v>
      </c>
      <c r="J7614" t="s">
        <v>7468</v>
      </c>
    </row>
    <row r="7615" spans="1:14" x14ac:dyDescent="0.3">
      <c r="A7615" s="160">
        <v>60327</v>
      </c>
      <c r="B7615" t="s">
        <v>22722</v>
      </c>
      <c r="C7615" t="s">
        <v>7357</v>
      </c>
      <c r="D7615">
        <v>0</v>
      </c>
      <c r="E7615">
        <v>0.4</v>
      </c>
      <c r="F7615">
        <f t="shared" si="118"/>
        <v>0.4</v>
      </c>
      <c r="I7615">
        <v>20070101</v>
      </c>
      <c r="J7615" t="s">
        <v>7407</v>
      </c>
    </row>
    <row r="7616" spans="1:14" x14ac:dyDescent="0.3">
      <c r="A7616" s="160">
        <v>60328</v>
      </c>
      <c r="B7616" t="s">
        <v>22723</v>
      </c>
      <c r="C7616" t="s">
        <v>7369</v>
      </c>
      <c r="D7616">
        <v>0.7</v>
      </c>
      <c r="E7616">
        <v>0.2</v>
      </c>
      <c r="F7616">
        <f t="shared" si="118"/>
        <v>0.89999999999999991</v>
      </c>
      <c r="I7616">
        <v>20150101</v>
      </c>
      <c r="J7616" t="s">
        <v>7450</v>
      </c>
    </row>
    <row r="7617" spans="1:12" x14ac:dyDescent="0.3">
      <c r="A7617" s="160">
        <v>60329</v>
      </c>
      <c r="B7617" t="s">
        <v>22724</v>
      </c>
      <c r="C7617" t="s">
        <v>7357</v>
      </c>
      <c r="D7617">
        <v>0</v>
      </c>
      <c r="E7617">
        <v>0.4</v>
      </c>
      <c r="F7617">
        <f t="shared" si="118"/>
        <v>0.4</v>
      </c>
      <c r="I7617">
        <v>20070101</v>
      </c>
      <c r="J7617" t="s">
        <v>7405</v>
      </c>
    </row>
    <row r="7618" spans="1:12" x14ac:dyDescent="0.3">
      <c r="A7618" s="160">
        <v>60330</v>
      </c>
      <c r="B7618" t="s">
        <v>22725</v>
      </c>
      <c r="C7618" t="s">
        <v>7357</v>
      </c>
      <c r="D7618">
        <v>0</v>
      </c>
      <c r="E7618">
        <v>0.2</v>
      </c>
      <c r="F7618">
        <f t="shared" si="118"/>
        <v>0.2</v>
      </c>
      <c r="I7618">
        <v>20210101</v>
      </c>
      <c r="J7618" t="s">
        <v>7381</v>
      </c>
      <c r="K7618" t="s">
        <v>7382</v>
      </c>
    </row>
    <row r="7619" spans="1:12" x14ac:dyDescent="0.3">
      <c r="A7619" s="160">
        <v>60331</v>
      </c>
      <c r="B7619" t="s">
        <v>22726</v>
      </c>
      <c r="C7619" t="s">
        <v>7357</v>
      </c>
      <c r="D7619">
        <v>0</v>
      </c>
      <c r="E7619">
        <v>0.4</v>
      </c>
      <c r="F7619">
        <f t="shared" si="118"/>
        <v>0.4</v>
      </c>
      <c r="I7619">
        <v>20070101</v>
      </c>
      <c r="J7619" t="s">
        <v>7453</v>
      </c>
    </row>
    <row r="7620" spans="1:12" x14ac:dyDescent="0.3">
      <c r="A7620" s="160">
        <v>60332</v>
      </c>
      <c r="B7620" t="s">
        <v>22727</v>
      </c>
      <c r="C7620" t="s">
        <v>7410</v>
      </c>
      <c r="D7620">
        <v>0.4</v>
      </c>
      <c r="E7620">
        <v>0.4</v>
      </c>
      <c r="F7620">
        <f t="shared" si="118"/>
        <v>0.8</v>
      </c>
      <c r="I7620">
        <v>20230701</v>
      </c>
      <c r="J7620" t="s">
        <v>7411</v>
      </c>
      <c r="K7620" t="s">
        <v>7412</v>
      </c>
    </row>
    <row r="7621" spans="1:12" x14ac:dyDescent="0.3">
      <c r="A7621" s="160">
        <v>60333</v>
      </c>
      <c r="B7621" t="s">
        <v>22728</v>
      </c>
      <c r="C7621" t="s">
        <v>7357</v>
      </c>
      <c r="D7621">
        <v>0</v>
      </c>
      <c r="E7621">
        <v>0.4</v>
      </c>
      <c r="F7621">
        <f t="shared" si="118"/>
        <v>0.4</v>
      </c>
      <c r="I7621">
        <v>20070101</v>
      </c>
      <c r="J7621" t="s">
        <v>7443</v>
      </c>
    </row>
    <row r="7622" spans="1:12" x14ac:dyDescent="0.3">
      <c r="A7622" s="160">
        <v>60334</v>
      </c>
      <c r="B7622" t="s">
        <v>22729</v>
      </c>
      <c r="C7622" t="s">
        <v>7354</v>
      </c>
      <c r="D7622">
        <v>0.6</v>
      </c>
      <c r="E7622">
        <v>0.2</v>
      </c>
      <c r="F7622">
        <f t="shared" si="118"/>
        <v>0.8</v>
      </c>
      <c r="I7622">
        <v>20190301</v>
      </c>
      <c r="J7622" t="s">
        <v>7356</v>
      </c>
      <c r="K7622" t="s">
        <v>7473</v>
      </c>
    </row>
    <row r="7623" spans="1:12" x14ac:dyDescent="0.3">
      <c r="A7623" s="160">
        <v>60335</v>
      </c>
      <c r="B7623" t="s">
        <v>22730</v>
      </c>
      <c r="C7623" t="s">
        <v>7357</v>
      </c>
      <c r="D7623">
        <v>0</v>
      </c>
      <c r="E7623">
        <v>0.4</v>
      </c>
      <c r="F7623">
        <f t="shared" ref="F7623:F7686" si="119">D7623+E7623</f>
        <v>0.4</v>
      </c>
      <c r="I7623">
        <v>20170701</v>
      </c>
      <c r="J7623" t="s">
        <v>7417</v>
      </c>
    </row>
    <row r="7624" spans="1:12" x14ac:dyDescent="0.3">
      <c r="A7624" s="160">
        <v>60336</v>
      </c>
      <c r="B7624" t="s">
        <v>22731</v>
      </c>
      <c r="C7624" t="s">
        <v>7369</v>
      </c>
      <c r="D7624">
        <v>0.7</v>
      </c>
      <c r="E7624">
        <v>0.2</v>
      </c>
      <c r="F7624">
        <f t="shared" si="119"/>
        <v>0.89999999999999991</v>
      </c>
      <c r="I7624">
        <v>20210101</v>
      </c>
      <c r="J7624" t="s">
        <v>7358</v>
      </c>
    </row>
    <row r="7625" spans="1:12" x14ac:dyDescent="0.3">
      <c r="A7625" s="160">
        <v>60337</v>
      </c>
      <c r="B7625" t="s">
        <v>22732</v>
      </c>
      <c r="C7625" t="s">
        <v>7397</v>
      </c>
      <c r="D7625">
        <v>0.7</v>
      </c>
      <c r="E7625">
        <v>0.2</v>
      </c>
      <c r="F7625">
        <f t="shared" si="119"/>
        <v>0.89999999999999991</v>
      </c>
      <c r="I7625">
        <v>20180701</v>
      </c>
      <c r="J7625" t="s">
        <v>7399</v>
      </c>
    </row>
    <row r="7626" spans="1:12" x14ac:dyDescent="0.3">
      <c r="A7626" s="160">
        <v>60338</v>
      </c>
      <c r="B7626" t="s">
        <v>22733</v>
      </c>
      <c r="C7626" t="s">
        <v>7397</v>
      </c>
      <c r="D7626">
        <v>0.7</v>
      </c>
      <c r="E7626">
        <v>0.2</v>
      </c>
      <c r="F7626">
        <f t="shared" si="119"/>
        <v>0.89999999999999991</v>
      </c>
      <c r="I7626">
        <v>20180701</v>
      </c>
      <c r="J7626" t="s">
        <v>7558</v>
      </c>
      <c r="K7626" t="s">
        <v>7557</v>
      </c>
    </row>
    <row r="7627" spans="1:12" x14ac:dyDescent="0.3">
      <c r="A7627" s="160">
        <v>60339</v>
      </c>
      <c r="B7627" t="s">
        <v>22734</v>
      </c>
      <c r="C7627" t="s">
        <v>7369</v>
      </c>
      <c r="D7627">
        <v>0.7</v>
      </c>
      <c r="E7627">
        <v>0.2</v>
      </c>
      <c r="F7627">
        <f t="shared" si="119"/>
        <v>0.89999999999999991</v>
      </c>
      <c r="I7627">
        <v>20210101</v>
      </c>
      <c r="J7627" t="s">
        <v>7447</v>
      </c>
    </row>
    <row r="7628" spans="1:12" x14ac:dyDescent="0.3">
      <c r="A7628" s="160">
        <v>60340</v>
      </c>
      <c r="B7628" t="s">
        <v>22735</v>
      </c>
      <c r="C7628" t="s">
        <v>7357</v>
      </c>
      <c r="D7628">
        <v>0</v>
      </c>
      <c r="E7628">
        <v>0.4</v>
      </c>
      <c r="F7628">
        <f t="shared" si="119"/>
        <v>0.4</v>
      </c>
      <c r="I7628">
        <v>20210101</v>
      </c>
      <c r="J7628" t="s">
        <v>7405</v>
      </c>
    </row>
    <row r="7629" spans="1:12" x14ac:dyDescent="0.3">
      <c r="A7629" s="160">
        <v>60341</v>
      </c>
      <c r="B7629" t="s">
        <v>22736</v>
      </c>
      <c r="C7629" t="s">
        <v>7357</v>
      </c>
      <c r="D7629">
        <v>0</v>
      </c>
      <c r="E7629">
        <v>0.4</v>
      </c>
      <c r="F7629">
        <f t="shared" si="119"/>
        <v>0.4</v>
      </c>
      <c r="I7629">
        <v>20070101</v>
      </c>
      <c r="J7629" t="s">
        <v>7547</v>
      </c>
      <c r="K7629" t="s">
        <v>7559</v>
      </c>
      <c r="L7629" t="s">
        <v>7454</v>
      </c>
    </row>
    <row r="7630" spans="1:12" x14ac:dyDescent="0.3">
      <c r="A7630" s="160">
        <v>60342</v>
      </c>
      <c r="B7630" t="s">
        <v>22737</v>
      </c>
      <c r="C7630" t="s">
        <v>7410</v>
      </c>
      <c r="D7630">
        <v>0.4</v>
      </c>
      <c r="E7630">
        <v>0.4</v>
      </c>
      <c r="F7630">
        <f t="shared" si="119"/>
        <v>0.8</v>
      </c>
      <c r="I7630">
        <v>20230701</v>
      </c>
      <c r="J7630" t="s">
        <v>7465</v>
      </c>
      <c r="K7630" t="s">
        <v>7560</v>
      </c>
    </row>
    <row r="7631" spans="1:12" x14ac:dyDescent="0.3">
      <c r="A7631" s="160">
        <v>60343</v>
      </c>
      <c r="B7631" t="s">
        <v>22738</v>
      </c>
      <c r="C7631" t="s">
        <v>7357</v>
      </c>
      <c r="D7631">
        <v>0</v>
      </c>
      <c r="E7631">
        <v>0.4</v>
      </c>
      <c r="F7631">
        <f t="shared" si="119"/>
        <v>0.4</v>
      </c>
      <c r="I7631">
        <v>20070101</v>
      </c>
      <c r="J7631" t="s">
        <v>7453</v>
      </c>
    </row>
    <row r="7632" spans="1:12" x14ac:dyDescent="0.3">
      <c r="A7632" s="160">
        <v>60344</v>
      </c>
      <c r="B7632" t="s">
        <v>22739</v>
      </c>
      <c r="C7632" t="s">
        <v>7357</v>
      </c>
      <c r="D7632">
        <v>0</v>
      </c>
      <c r="E7632">
        <v>0.4</v>
      </c>
      <c r="F7632">
        <f t="shared" si="119"/>
        <v>0.4</v>
      </c>
      <c r="I7632">
        <v>20070101</v>
      </c>
      <c r="J7632" t="s">
        <v>7510</v>
      </c>
    </row>
    <row r="7633" spans="1:11" x14ac:dyDescent="0.3">
      <c r="A7633" s="160">
        <v>60345</v>
      </c>
      <c r="B7633" t="s">
        <v>22740</v>
      </c>
      <c r="C7633" t="s">
        <v>7365</v>
      </c>
      <c r="D7633">
        <v>0.6</v>
      </c>
      <c r="E7633">
        <v>0.4</v>
      </c>
      <c r="F7633">
        <f t="shared" si="119"/>
        <v>1</v>
      </c>
      <c r="I7633">
        <v>20240101</v>
      </c>
      <c r="J7633" t="s">
        <v>7366</v>
      </c>
    </row>
    <row r="7634" spans="1:11" x14ac:dyDescent="0.3">
      <c r="A7634" s="160">
        <v>60346</v>
      </c>
      <c r="B7634" t="s">
        <v>22741</v>
      </c>
      <c r="C7634" t="s">
        <v>7357</v>
      </c>
      <c r="D7634">
        <v>0</v>
      </c>
      <c r="E7634">
        <v>0.4</v>
      </c>
      <c r="F7634">
        <f t="shared" si="119"/>
        <v>0.4</v>
      </c>
      <c r="I7634">
        <v>20070101</v>
      </c>
      <c r="J7634" t="s">
        <v>7561</v>
      </c>
    </row>
    <row r="7635" spans="1:11" x14ac:dyDescent="0.3">
      <c r="A7635" s="160">
        <v>60348</v>
      </c>
      <c r="B7635" t="s">
        <v>22742</v>
      </c>
      <c r="C7635" t="s">
        <v>7391</v>
      </c>
      <c r="D7635">
        <v>0</v>
      </c>
      <c r="E7635">
        <v>0</v>
      </c>
      <c r="F7635">
        <f t="shared" si="119"/>
        <v>0</v>
      </c>
      <c r="I7635">
        <v>20220701</v>
      </c>
      <c r="J7635" t="s">
        <v>7392</v>
      </c>
    </row>
    <row r="7636" spans="1:11" x14ac:dyDescent="0.3">
      <c r="A7636" s="160">
        <v>60350</v>
      </c>
      <c r="B7636" t="s">
        <v>22743</v>
      </c>
      <c r="C7636" t="s">
        <v>7357</v>
      </c>
      <c r="D7636">
        <v>0</v>
      </c>
      <c r="E7636">
        <v>0.4</v>
      </c>
      <c r="F7636">
        <f t="shared" si="119"/>
        <v>0.4</v>
      </c>
      <c r="I7636">
        <v>20210101</v>
      </c>
      <c r="J7636" t="s">
        <v>7405</v>
      </c>
    </row>
    <row r="7637" spans="1:11" x14ac:dyDescent="0.3">
      <c r="A7637" s="160">
        <v>60351</v>
      </c>
      <c r="B7637" t="s">
        <v>22744</v>
      </c>
      <c r="C7637" t="s">
        <v>7357</v>
      </c>
      <c r="D7637">
        <v>0</v>
      </c>
      <c r="E7637">
        <v>0.4</v>
      </c>
      <c r="F7637">
        <f t="shared" si="119"/>
        <v>0.4</v>
      </c>
      <c r="I7637">
        <v>20070101</v>
      </c>
      <c r="J7637" t="s">
        <v>7437</v>
      </c>
    </row>
    <row r="7638" spans="1:11" x14ac:dyDescent="0.3">
      <c r="A7638" s="160">
        <v>60352</v>
      </c>
      <c r="B7638" t="s">
        <v>22745</v>
      </c>
      <c r="C7638" t="s">
        <v>7357</v>
      </c>
      <c r="D7638">
        <v>0</v>
      </c>
      <c r="E7638">
        <v>0.4</v>
      </c>
      <c r="F7638">
        <f t="shared" si="119"/>
        <v>0.4</v>
      </c>
      <c r="I7638">
        <v>20070101</v>
      </c>
      <c r="J7638" t="s">
        <v>7407</v>
      </c>
    </row>
    <row r="7639" spans="1:11" x14ac:dyDescent="0.3">
      <c r="A7639" s="160">
        <v>60353</v>
      </c>
      <c r="B7639" t="s">
        <v>22746</v>
      </c>
      <c r="C7639" t="s">
        <v>7357</v>
      </c>
      <c r="D7639">
        <v>0</v>
      </c>
      <c r="E7639">
        <v>0.4</v>
      </c>
      <c r="F7639">
        <f t="shared" si="119"/>
        <v>0.4</v>
      </c>
      <c r="I7639">
        <v>20210101</v>
      </c>
      <c r="J7639" t="s">
        <v>7388</v>
      </c>
    </row>
    <row r="7640" spans="1:11" x14ac:dyDescent="0.3">
      <c r="A7640" s="160">
        <v>60355</v>
      </c>
      <c r="B7640" t="s">
        <v>22747</v>
      </c>
      <c r="C7640" t="s">
        <v>7369</v>
      </c>
      <c r="D7640">
        <v>0.7</v>
      </c>
      <c r="E7640">
        <v>0.2</v>
      </c>
      <c r="F7640">
        <f t="shared" si="119"/>
        <v>0.89999999999999991</v>
      </c>
      <c r="I7640">
        <v>20210101</v>
      </c>
      <c r="J7640" t="s">
        <v>7447</v>
      </c>
    </row>
    <row r="7641" spans="1:11" x14ac:dyDescent="0.3">
      <c r="A7641" s="160">
        <v>60356</v>
      </c>
      <c r="B7641" t="s">
        <v>22748</v>
      </c>
      <c r="C7641" t="s">
        <v>7357</v>
      </c>
      <c r="D7641">
        <v>0</v>
      </c>
      <c r="E7641">
        <v>0.4</v>
      </c>
      <c r="F7641">
        <f t="shared" si="119"/>
        <v>0.4</v>
      </c>
      <c r="I7641">
        <v>20070101</v>
      </c>
      <c r="J7641" t="s">
        <v>7407</v>
      </c>
    </row>
    <row r="7642" spans="1:11" x14ac:dyDescent="0.3">
      <c r="A7642" s="160">
        <v>60357</v>
      </c>
      <c r="B7642" t="s">
        <v>22749</v>
      </c>
      <c r="C7642" t="s">
        <v>7357</v>
      </c>
      <c r="D7642">
        <v>0</v>
      </c>
      <c r="E7642">
        <v>0.4</v>
      </c>
      <c r="F7642">
        <f t="shared" si="119"/>
        <v>0.4</v>
      </c>
      <c r="I7642">
        <v>20070101</v>
      </c>
      <c r="J7642" t="s">
        <v>7542</v>
      </c>
    </row>
    <row r="7643" spans="1:11" x14ac:dyDescent="0.3">
      <c r="A7643" s="160">
        <v>60358</v>
      </c>
      <c r="B7643" t="s">
        <v>22750</v>
      </c>
      <c r="C7643" t="s">
        <v>7357</v>
      </c>
      <c r="D7643">
        <v>0</v>
      </c>
      <c r="E7643">
        <v>0.4</v>
      </c>
      <c r="F7643">
        <f t="shared" si="119"/>
        <v>0.4</v>
      </c>
      <c r="I7643">
        <v>20070101</v>
      </c>
      <c r="J7643" t="s">
        <v>7402</v>
      </c>
      <c r="K7643" t="s">
        <v>7538</v>
      </c>
    </row>
    <row r="7644" spans="1:11" x14ac:dyDescent="0.3">
      <c r="A7644" s="160">
        <v>60359</v>
      </c>
      <c r="B7644" t="s">
        <v>22751</v>
      </c>
      <c r="C7644" t="s">
        <v>7357</v>
      </c>
      <c r="D7644">
        <v>0</v>
      </c>
      <c r="E7644">
        <v>0.4</v>
      </c>
      <c r="F7644">
        <f t="shared" si="119"/>
        <v>0.4</v>
      </c>
      <c r="I7644">
        <v>20070101</v>
      </c>
      <c r="J7644" t="s">
        <v>7443</v>
      </c>
    </row>
    <row r="7645" spans="1:11" x14ac:dyDescent="0.3">
      <c r="A7645" s="160">
        <v>60360</v>
      </c>
      <c r="B7645" t="s">
        <v>22752</v>
      </c>
      <c r="C7645" t="s">
        <v>7410</v>
      </c>
      <c r="D7645">
        <v>0.4</v>
      </c>
      <c r="E7645">
        <v>0.4</v>
      </c>
      <c r="F7645">
        <f t="shared" si="119"/>
        <v>0.8</v>
      </c>
      <c r="I7645">
        <v>20230701</v>
      </c>
      <c r="J7645" t="s">
        <v>7411</v>
      </c>
      <c r="K7645" t="s">
        <v>7412</v>
      </c>
    </row>
    <row r="7646" spans="1:11" x14ac:dyDescent="0.3">
      <c r="A7646" s="160">
        <v>60361</v>
      </c>
      <c r="B7646" t="s">
        <v>22753</v>
      </c>
      <c r="C7646" t="s">
        <v>7357</v>
      </c>
      <c r="D7646">
        <v>0</v>
      </c>
      <c r="E7646">
        <v>0.4</v>
      </c>
      <c r="F7646">
        <f t="shared" si="119"/>
        <v>0.4</v>
      </c>
      <c r="I7646">
        <v>20070101</v>
      </c>
      <c r="J7646" t="s">
        <v>7407</v>
      </c>
    </row>
    <row r="7647" spans="1:11" x14ac:dyDescent="0.3">
      <c r="A7647" s="160">
        <v>60362</v>
      </c>
      <c r="B7647" t="s">
        <v>22754</v>
      </c>
      <c r="C7647" t="s">
        <v>7391</v>
      </c>
      <c r="D7647">
        <v>0</v>
      </c>
      <c r="E7647">
        <v>0</v>
      </c>
      <c r="F7647">
        <f t="shared" si="119"/>
        <v>0</v>
      </c>
      <c r="I7647">
        <v>20220701</v>
      </c>
      <c r="J7647" t="s">
        <v>7419</v>
      </c>
    </row>
    <row r="7648" spans="1:11" x14ac:dyDescent="0.3">
      <c r="A7648" s="160">
        <v>60363</v>
      </c>
      <c r="B7648" t="s">
        <v>22755</v>
      </c>
      <c r="C7648" t="s">
        <v>7357</v>
      </c>
      <c r="D7648">
        <v>0</v>
      </c>
      <c r="E7648">
        <v>0.4</v>
      </c>
      <c r="F7648">
        <f t="shared" si="119"/>
        <v>0.4</v>
      </c>
      <c r="I7648">
        <v>20070101</v>
      </c>
      <c r="J7648" t="s">
        <v>7407</v>
      </c>
    </row>
    <row r="7649" spans="1:14" x14ac:dyDescent="0.3">
      <c r="A7649" s="160">
        <v>60364</v>
      </c>
      <c r="B7649" t="s">
        <v>22756</v>
      </c>
      <c r="C7649" t="s">
        <v>7357</v>
      </c>
      <c r="D7649">
        <v>0</v>
      </c>
      <c r="E7649">
        <v>0.4</v>
      </c>
      <c r="F7649">
        <f t="shared" si="119"/>
        <v>0.4</v>
      </c>
      <c r="I7649">
        <v>20070101</v>
      </c>
      <c r="J7649" t="s">
        <v>7384</v>
      </c>
    </row>
    <row r="7650" spans="1:14" x14ac:dyDescent="0.3">
      <c r="A7650" s="160">
        <v>60365</v>
      </c>
      <c r="B7650" t="s">
        <v>22757</v>
      </c>
      <c r="C7650" t="s">
        <v>7357</v>
      </c>
      <c r="D7650">
        <v>0</v>
      </c>
      <c r="E7650">
        <v>0.4</v>
      </c>
      <c r="F7650">
        <f t="shared" si="119"/>
        <v>0.4</v>
      </c>
      <c r="I7650">
        <v>20170701</v>
      </c>
      <c r="J7650" t="s">
        <v>7401</v>
      </c>
    </row>
    <row r="7651" spans="1:14" x14ac:dyDescent="0.3">
      <c r="A7651" s="160">
        <v>60366</v>
      </c>
      <c r="B7651" t="s">
        <v>22758</v>
      </c>
      <c r="C7651" t="s">
        <v>7369</v>
      </c>
      <c r="D7651">
        <v>0.7</v>
      </c>
      <c r="E7651">
        <v>0</v>
      </c>
      <c r="F7651">
        <f t="shared" si="119"/>
        <v>0.7</v>
      </c>
      <c r="I7651">
        <v>20210101</v>
      </c>
      <c r="J7651" t="s">
        <v>7447</v>
      </c>
    </row>
    <row r="7652" spans="1:14" x14ac:dyDescent="0.3">
      <c r="A7652" s="160">
        <v>60367</v>
      </c>
      <c r="B7652" t="s">
        <v>22759</v>
      </c>
      <c r="C7652" t="s">
        <v>7357</v>
      </c>
      <c r="D7652">
        <v>0</v>
      </c>
      <c r="E7652">
        <v>0.4</v>
      </c>
      <c r="F7652">
        <f t="shared" si="119"/>
        <v>0.4</v>
      </c>
      <c r="I7652">
        <v>20070101</v>
      </c>
      <c r="J7652" t="s">
        <v>7407</v>
      </c>
    </row>
    <row r="7653" spans="1:14" x14ac:dyDescent="0.3">
      <c r="A7653" s="160">
        <v>60368</v>
      </c>
      <c r="B7653" t="s">
        <v>22760</v>
      </c>
      <c r="C7653" t="s">
        <v>7357</v>
      </c>
      <c r="D7653">
        <v>0</v>
      </c>
      <c r="E7653">
        <v>0.4</v>
      </c>
      <c r="F7653">
        <f t="shared" si="119"/>
        <v>0.4</v>
      </c>
      <c r="I7653">
        <v>20070101</v>
      </c>
      <c r="J7653" t="s">
        <v>7491</v>
      </c>
      <c r="K7653" t="s">
        <v>7511</v>
      </c>
      <c r="L7653" t="s">
        <v>7512</v>
      </c>
    </row>
    <row r="7654" spans="1:14" x14ac:dyDescent="0.3">
      <c r="A7654" s="160">
        <v>60369</v>
      </c>
      <c r="B7654" t="s">
        <v>22761</v>
      </c>
      <c r="C7654" t="s">
        <v>7398</v>
      </c>
      <c r="D7654">
        <v>0.4</v>
      </c>
      <c r="E7654">
        <v>0.4</v>
      </c>
      <c r="F7654">
        <f t="shared" si="119"/>
        <v>0.8</v>
      </c>
      <c r="I7654">
        <v>20210101</v>
      </c>
      <c r="J7654" t="s">
        <v>7562</v>
      </c>
      <c r="K7654" t="s">
        <v>7563</v>
      </c>
      <c r="L7654" t="s">
        <v>7509</v>
      </c>
      <c r="M7654" t="s">
        <v>7467</v>
      </c>
      <c r="N7654" t="s">
        <v>7395</v>
      </c>
    </row>
    <row r="7655" spans="1:14" x14ac:dyDescent="0.3">
      <c r="A7655" s="160">
        <v>60370</v>
      </c>
      <c r="B7655" t="s">
        <v>22762</v>
      </c>
      <c r="C7655" t="s">
        <v>7377</v>
      </c>
      <c r="D7655">
        <v>0.6</v>
      </c>
      <c r="E7655">
        <v>0.2</v>
      </c>
      <c r="F7655">
        <f t="shared" si="119"/>
        <v>0.8</v>
      </c>
      <c r="I7655">
        <v>20121201</v>
      </c>
      <c r="J7655" t="s">
        <v>7378</v>
      </c>
      <c r="K7655" t="s">
        <v>7379</v>
      </c>
    </row>
    <row r="7656" spans="1:14" x14ac:dyDescent="0.3">
      <c r="A7656" s="160">
        <v>60371</v>
      </c>
      <c r="B7656" t="s">
        <v>22763</v>
      </c>
      <c r="C7656" t="s">
        <v>7357</v>
      </c>
      <c r="D7656">
        <v>0</v>
      </c>
      <c r="E7656">
        <v>0.4</v>
      </c>
      <c r="F7656">
        <f t="shared" si="119"/>
        <v>0.4</v>
      </c>
      <c r="I7656">
        <v>20170701</v>
      </c>
      <c r="J7656" t="s">
        <v>7417</v>
      </c>
    </row>
    <row r="7657" spans="1:14" x14ac:dyDescent="0.3">
      <c r="A7657" s="160">
        <v>60372</v>
      </c>
      <c r="B7657" t="s">
        <v>22764</v>
      </c>
      <c r="C7657" t="s">
        <v>7369</v>
      </c>
      <c r="D7657">
        <v>0.7</v>
      </c>
      <c r="E7657">
        <v>0.2</v>
      </c>
      <c r="F7657">
        <f t="shared" si="119"/>
        <v>0.89999999999999991</v>
      </c>
      <c r="I7657">
        <v>20210101</v>
      </c>
      <c r="J7657" t="s">
        <v>7401</v>
      </c>
    </row>
    <row r="7658" spans="1:14" x14ac:dyDescent="0.3">
      <c r="A7658" s="160">
        <v>60373</v>
      </c>
      <c r="B7658" t="s">
        <v>22765</v>
      </c>
      <c r="C7658" t="s">
        <v>7357</v>
      </c>
      <c r="D7658">
        <v>0</v>
      </c>
      <c r="E7658">
        <v>0.4</v>
      </c>
      <c r="F7658">
        <f t="shared" si="119"/>
        <v>0.4</v>
      </c>
      <c r="I7658">
        <v>20070101</v>
      </c>
      <c r="J7658" t="s">
        <v>7491</v>
      </c>
      <c r="K7658" t="s">
        <v>7512</v>
      </c>
    </row>
    <row r="7659" spans="1:14" x14ac:dyDescent="0.3">
      <c r="A7659" s="160">
        <v>60375</v>
      </c>
      <c r="B7659" t="s">
        <v>22766</v>
      </c>
      <c r="C7659" t="s">
        <v>7365</v>
      </c>
      <c r="D7659">
        <v>0.6</v>
      </c>
      <c r="E7659">
        <v>0.2</v>
      </c>
      <c r="F7659">
        <f t="shared" si="119"/>
        <v>0.8</v>
      </c>
      <c r="I7659">
        <v>20240101</v>
      </c>
      <c r="J7659" t="s">
        <v>7366</v>
      </c>
    </row>
    <row r="7660" spans="1:14" x14ac:dyDescent="0.3">
      <c r="A7660" s="160">
        <v>60376</v>
      </c>
      <c r="B7660" t="s">
        <v>22767</v>
      </c>
      <c r="C7660" t="s">
        <v>7369</v>
      </c>
      <c r="D7660">
        <v>0.7</v>
      </c>
      <c r="E7660">
        <v>0.2</v>
      </c>
      <c r="F7660">
        <f t="shared" si="119"/>
        <v>0.89999999999999991</v>
      </c>
      <c r="I7660">
        <v>20150101</v>
      </c>
      <c r="J7660" t="s">
        <v>7450</v>
      </c>
    </row>
    <row r="7661" spans="1:14" x14ac:dyDescent="0.3">
      <c r="A7661" s="160">
        <v>60377</v>
      </c>
      <c r="B7661" t="s">
        <v>22768</v>
      </c>
      <c r="C7661" t="s">
        <v>7357</v>
      </c>
      <c r="D7661">
        <v>0</v>
      </c>
      <c r="E7661">
        <v>0.4</v>
      </c>
      <c r="F7661">
        <f t="shared" si="119"/>
        <v>0.4</v>
      </c>
      <c r="I7661">
        <v>20170701</v>
      </c>
      <c r="J7661" t="s">
        <v>7358</v>
      </c>
    </row>
    <row r="7662" spans="1:14" x14ac:dyDescent="0.3">
      <c r="A7662" s="160">
        <v>60378</v>
      </c>
      <c r="B7662" t="s">
        <v>22769</v>
      </c>
      <c r="C7662" t="s">
        <v>7357</v>
      </c>
      <c r="D7662">
        <v>0</v>
      </c>
      <c r="E7662">
        <v>0.4</v>
      </c>
      <c r="F7662">
        <f t="shared" si="119"/>
        <v>0.4</v>
      </c>
      <c r="I7662">
        <v>20070101</v>
      </c>
      <c r="J7662" t="s">
        <v>7437</v>
      </c>
    </row>
    <row r="7663" spans="1:14" x14ac:dyDescent="0.3">
      <c r="A7663" s="160">
        <v>60379</v>
      </c>
      <c r="B7663" t="s">
        <v>22770</v>
      </c>
      <c r="C7663" t="s">
        <v>7357</v>
      </c>
      <c r="D7663">
        <v>0</v>
      </c>
      <c r="E7663">
        <v>0.4</v>
      </c>
      <c r="F7663">
        <f t="shared" si="119"/>
        <v>0.4</v>
      </c>
      <c r="I7663">
        <v>20070101</v>
      </c>
      <c r="J7663" t="s">
        <v>7437</v>
      </c>
    </row>
    <row r="7664" spans="1:14" x14ac:dyDescent="0.3">
      <c r="A7664" s="160">
        <v>60380</v>
      </c>
      <c r="B7664" t="s">
        <v>22771</v>
      </c>
      <c r="C7664" t="s">
        <v>7357</v>
      </c>
      <c r="D7664">
        <v>0</v>
      </c>
      <c r="E7664">
        <v>0.4</v>
      </c>
      <c r="F7664">
        <f t="shared" si="119"/>
        <v>0.4</v>
      </c>
      <c r="I7664">
        <v>20070101</v>
      </c>
      <c r="J7664" t="s">
        <v>7361</v>
      </c>
      <c r="K7664" t="s">
        <v>7404</v>
      </c>
    </row>
    <row r="7665" spans="1:14" x14ac:dyDescent="0.3">
      <c r="A7665" s="160">
        <v>60381</v>
      </c>
      <c r="B7665" t="s">
        <v>22772</v>
      </c>
      <c r="C7665" t="s">
        <v>7357</v>
      </c>
      <c r="D7665">
        <v>0</v>
      </c>
      <c r="E7665">
        <v>0</v>
      </c>
      <c r="F7665">
        <f t="shared" si="119"/>
        <v>0</v>
      </c>
      <c r="I7665">
        <v>20210101</v>
      </c>
      <c r="J7665" t="s">
        <v>7405</v>
      </c>
    </row>
    <row r="7666" spans="1:14" x14ac:dyDescent="0.3">
      <c r="A7666" s="160">
        <v>60382</v>
      </c>
      <c r="B7666" t="s">
        <v>22773</v>
      </c>
      <c r="C7666" t="s">
        <v>7397</v>
      </c>
      <c r="D7666">
        <v>0.7</v>
      </c>
      <c r="E7666">
        <v>0.2</v>
      </c>
      <c r="F7666">
        <f t="shared" si="119"/>
        <v>0.89999999999999991</v>
      </c>
      <c r="I7666">
        <v>20180701</v>
      </c>
      <c r="J7666" t="s">
        <v>7442</v>
      </c>
      <c r="K7666" t="s">
        <v>7499</v>
      </c>
    </row>
    <row r="7667" spans="1:14" x14ac:dyDescent="0.3">
      <c r="A7667" s="160">
        <v>60383</v>
      </c>
      <c r="B7667" t="s">
        <v>22774</v>
      </c>
      <c r="C7667" t="s">
        <v>7357</v>
      </c>
      <c r="D7667">
        <v>0</v>
      </c>
      <c r="E7667">
        <v>0.4</v>
      </c>
      <c r="F7667">
        <f t="shared" si="119"/>
        <v>0.4</v>
      </c>
      <c r="I7667">
        <v>20070101</v>
      </c>
      <c r="J7667" t="s">
        <v>7437</v>
      </c>
    </row>
    <row r="7668" spans="1:14" x14ac:dyDescent="0.3">
      <c r="A7668" s="160">
        <v>60385</v>
      </c>
      <c r="B7668" t="s">
        <v>19794</v>
      </c>
      <c r="C7668" t="s">
        <v>7357</v>
      </c>
      <c r="D7668">
        <v>0</v>
      </c>
      <c r="E7668">
        <v>0.4</v>
      </c>
      <c r="F7668">
        <f t="shared" si="119"/>
        <v>0.4</v>
      </c>
      <c r="I7668">
        <v>20070101</v>
      </c>
      <c r="J7668" t="s">
        <v>7361</v>
      </c>
      <c r="K7668" t="s">
        <v>7404</v>
      </c>
    </row>
    <row r="7669" spans="1:14" x14ac:dyDescent="0.3">
      <c r="A7669" s="160">
        <v>60386</v>
      </c>
      <c r="B7669" t="s">
        <v>22775</v>
      </c>
      <c r="C7669" t="s">
        <v>7357</v>
      </c>
      <c r="D7669">
        <v>0</v>
      </c>
      <c r="E7669">
        <v>0.4</v>
      </c>
      <c r="F7669">
        <f t="shared" si="119"/>
        <v>0.4</v>
      </c>
      <c r="I7669">
        <v>20070101</v>
      </c>
      <c r="J7669" t="s">
        <v>7437</v>
      </c>
    </row>
    <row r="7670" spans="1:14" x14ac:dyDescent="0.3">
      <c r="A7670" s="160">
        <v>60387</v>
      </c>
      <c r="B7670" t="s">
        <v>22776</v>
      </c>
      <c r="C7670" t="s">
        <v>7357</v>
      </c>
      <c r="D7670">
        <v>0</v>
      </c>
      <c r="E7670">
        <v>0.4</v>
      </c>
      <c r="F7670">
        <f t="shared" si="119"/>
        <v>0.4</v>
      </c>
      <c r="I7670">
        <v>20170701</v>
      </c>
      <c r="J7670" t="s">
        <v>7359</v>
      </c>
    </row>
    <row r="7671" spans="1:14" x14ac:dyDescent="0.3">
      <c r="A7671" s="160">
        <v>60388</v>
      </c>
      <c r="B7671" t="s">
        <v>21361</v>
      </c>
      <c r="C7671" t="s">
        <v>7357</v>
      </c>
      <c r="D7671">
        <v>0</v>
      </c>
      <c r="E7671">
        <v>0.4</v>
      </c>
      <c r="F7671">
        <f t="shared" si="119"/>
        <v>0.4</v>
      </c>
      <c r="I7671">
        <v>20170701</v>
      </c>
      <c r="J7671" t="s">
        <v>7450</v>
      </c>
    </row>
    <row r="7672" spans="1:14" x14ac:dyDescent="0.3">
      <c r="A7672" s="160">
        <v>60389</v>
      </c>
      <c r="B7672" t="s">
        <v>22777</v>
      </c>
      <c r="C7672" t="s">
        <v>7391</v>
      </c>
      <c r="D7672">
        <v>0</v>
      </c>
      <c r="E7672">
        <v>0</v>
      </c>
      <c r="F7672">
        <f t="shared" si="119"/>
        <v>0</v>
      </c>
      <c r="I7672">
        <v>20220701</v>
      </c>
      <c r="J7672" t="s">
        <v>7419</v>
      </c>
    </row>
    <row r="7673" spans="1:14" x14ac:dyDescent="0.3">
      <c r="A7673" s="160">
        <v>60390</v>
      </c>
      <c r="B7673" t="s">
        <v>22778</v>
      </c>
      <c r="C7673" t="s">
        <v>7369</v>
      </c>
      <c r="D7673">
        <v>0.7</v>
      </c>
      <c r="E7673">
        <v>0.2</v>
      </c>
      <c r="F7673">
        <f t="shared" si="119"/>
        <v>0.89999999999999991</v>
      </c>
      <c r="I7673">
        <v>20210101</v>
      </c>
      <c r="J7673" t="s">
        <v>7358</v>
      </c>
    </row>
    <row r="7674" spans="1:14" x14ac:dyDescent="0.3">
      <c r="A7674" s="160">
        <v>60391</v>
      </c>
      <c r="B7674" t="s">
        <v>22779</v>
      </c>
      <c r="C7674" t="s">
        <v>7516</v>
      </c>
      <c r="D7674">
        <v>0.6</v>
      </c>
      <c r="E7674">
        <v>0.2</v>
      </c>
      <c r="F7674">
        <f t="shared" si="119"/>
        <v>0.8</v>
      </c>
      <c r="I7674">
        <v>20170101</v>
      </c>
      <c r="J7674" t="s">
        <v>7496</v>
      </c>
    </row>
    <row r="7675" spans="1:14" x14ac:dyDescent="0.3">
      <c r="A7675" s="160">
        <v>60392</v>
      </c>
      <c r="B7675" t="s">
        <v>22780</v>
      </c>
      <c r="C7675" t="s">
        <v>7357</v>
      </c>
      <c r="D7675">
        <v>0</v>
      </c>
      <c r="E7675">
        <v>0.4</v>
      </c>
      <c r="F7675">
        <f t="shared" si="119"/>
        <v>0.4</v>
      </c>
      <c r="I7675">
        <v>20070101</v>
      </c>
      <c r="J7675" t="s">
        <v>7491</v>
      </c>
      <c r="K7675" t="s">
        <v>7511</v>
      </c>
    </row>
    <row r="7676" spans="1:14" x14ac:dyDescent="0.3">
      <c r="A7676" s="160">
        <v>60393</v>
      </c>
      <c r="B7676" t="s">
        <v>22781</v>
      </c>
      <c r="C7676" t="s">
        <v>7354</v>
      </c>
      <c r="D7676">
        <v>0.6</v>
      </c>
      <c r="E7676">
        <v>0.2</v>
      </c>
      <c r="F7676">
        <f t="shared" si="119"/>
        <v>0.8</v>
      </c>
      <c r="I7676">
        <v>20190301</v>
      </c>
      <c r="J7676" t="s">
        <v>7496</v>
      </c>
    </row>
    <row r="7677" spans="1:14" x14ac:dyDescent="0.3">
      <c r="A7677" s="160">
        <v>60394</v>
      </c>
      <c r="B7677" t="s">
        <v>22782</v>
      </c>
      <c r="C7677" t="s">
        <v>7357</v>
      </c>
      <c r="D7677">
        <v>0</v>
      </c>
      <c r="E7677">
        <v>0</v>
      </c>
      <c r="F7677">
        <f t="shared" si="119"/>
        <v>0</v>
      </c>
      <c r="I7677">
        <v>20210101</v>
      </c>
      <c r="J7677" t="s">
        <v>7542</v>
      </c>
    </row>
    <row r="7678" spans="1:14" x14ac:dyDescent="0.3">
      <c r="A7678" s="160">
        <v>60395</v>
      </c>
      <c r="B7678" t="s">
        <v>22783</v>
      </c>
      <c r="C7678" t="s">
        <v>7377</v>
      </c>
      <c r="D7678">
        <v>0.6</v>
      </c>
      <c r="E7678">
        <v>0.2</v>
      </c>
      <c r="F7678">
        <f t="shared" si="119"/>
        <v>0.8</v>
      </c>
      <c r="I7678">
        <v>20121201</v>
      </c>
      <c r="J7678" t="s">
        <v>7378</v>
      </c>
      <c r="K7678" t="s">
        <v>7379</v>
      </c>
      <c r="L7678" t="s">
        <v>7380</v>
      </c>
      <c r="M7678" t="s">
        <v>7564</v>
      </c>
      <c r="N7678" t="s">
        <v>7565</v>
      </c>
    </row>
    <row r="7679" spans="1:14" x14ac:dyDescent="0.3">
      <c r="A7679" s="160">
        <v>60397</v>
      </c>
      <c r="B7679" t="s">
        <v>22784</v>
      </c>
      <c r="C7679" t="s">
        <v>7357</v>
      </c>
      <c r="D7679">
        <v>0</v>
      </c>
      <c r="E7679">
        <v>0.4</v>
      </c>
      <c r="F7679">
        <f t="shared" si="119"/>
        <v>0.4</v>
      </c>
      <c r="I7679">
        <v>20210101</v>
      </c>
      <c r="J7679" t="s">
        <v>7418</v>
      </c>
    </row>
    <row r="7680" spans="1:14" x14ac:dyDescent="0.3">
      <c r="A7680" s="160">
        <v>60398</v>
      </c>
      <c r="B7680" t="s">
        <v>22785</v>
      </c>
      <c r="C7680" t="s">
        <v>7354</v>
      </c>
      <c r="D7680">
        <v>0.6</v>
      </c>
      <c r="E7680">
        <v>0.2</v>
      </c>
      <c r="F7680">
        <f t="shared" si="119"/>
        <v>0.8</v>
      </c>
      <c r="I7680">
        <v>20190301</v>
      </c>
      <c r="J7680" t="s">
        <v>7543</v>
      </c>
    </row>
    <row r="7681" spans="1:14" x14ac:dyDescent="0.3">
      <c r="A7681" s="160">
        <v>60400</v>
      </c>
      <c r="B7681" t="s">
        <v>22786</v>
      </c>
      <c r="C7681" t="s">
        <v>7357</v>
      </c>
      <c r="D7681">
        <v>0</v>
      </c>
      <c r="E7681">
        <v>0.4</v>
      </c>
      <c r="F7681">
        <f t="shared" si="119"/>
        <v>0.4</v>
      </c>
      <c r="I7681">
        <v>20070101</v>
      </c>
      <c r="J7681" t="s">
        <v>7384</v>
      </c>
    </row>
    <row r="7682" spans="1:14" x14ac:dyDescent="0.3">
      <c r="A7682" s="160">
        <v>60401</v>
      </c>
      <c r="B7682" t="s">
        <v>22787</v>
      </c>
      <c r="C7682" t="s">
        <v>7357</v>
      </c>
      <c r="D7682">
        <v>0</v>
      </c>
      <c r="E7682">
        <v>0.4</v>
      </c>
      <c r="F7682">
        <f t="shared" si="119"/>
        <v>0.4</v>
      </c>
      <c r="I7682">
        <v>20070101</v>
      </c>
      <c r="J7682" t="s">
        <v>7407</v>
      </c>
    </row>
    <row r="7683" spans="1:14" x14ac:dyDescent="0.3">
      <c r="A7683" s="160">
        <v>60402</v>
      </c>
      <c r="B7683" t="s">
        <v>22788</v>
      </c>
      <c r="C7683" t="s">
        <v>7397</v>
      </c>
      <c r="D7683">
        <v>0.7</v>
      </c>
      <c r="E7683">
        <v>0.2</v>
      </c>
      <c r="F7683">
        <f t="shared" si="119"/>
        <v>0.89999999999999991</v>
      </c>
      <c r="I7683">
        <v>20180701</v>
      </c>
      <c r="J7683" t="s">
        <v>7509</v>
      </c>
      <c r="K7683" t="s">
        <v>7395</v>
      </c>
      <c r="L7683" t="s">
        <v>7396</v>
      </c>
    </row>
    <row r="7684" spans="1:14" x14ac:dyDescent="0.3">
      <c r="A7684" s="160">
        <v>60403</v>
      </c>
      <c r="B7684" t="s">
        <v>22789</v>
      </c>
      <c r="C7684" t="s">
        <v>7369</v>
      </c>
      <c r="D7684">
        <v>0.7</v>
      </c>
      <c r="E7684">
        <v>0.2</v>
      </c>
      <c r="F7684">
        <f t="shared" si="119"/>
        <v>0.89999999999999991</v>
      </c>
      <c r="I7684">
        <v>20150101</v>
      </c>
      <c r="J7684" t="s">
        <v>7450</v>
      </c>
    </row>
    <row r="7685" spans="1:14" x14ac:dyDescent="0.3">
      <c r="A7685" s="160">
        <v>60404</v>
      </c>
      <c r="B7685" t="s">
        <v>22790</v>
      </c>
      <c r="C7685" t="s">
        <v>7410</v>
      </c>
      <c r="D7685">
        <v>0.4</v>
      </c>
      <c r="E7685">
        <v>0.4</v>
      </c>
      <c r="F7685">
        <f t="shared" si="119"/>
        <v>0.8</v>
      </c>
      <c r="I7685">
        <v>20230701</v>
      </c>
      <c r="J7685" t="s">
        <v>7411</v>
      </c>
      <c r="K7685" t="s">
        <v>7412</v>
      </c>
    </row>
    <row r="7686" spans="1:14" x14ac:dyDescent="0.3">
      <c r="A7686" s="160">
        <v>60406</v>
      </c>
      <c r="B7686" t="s">
        <v>22791</v>
      </c>
      <c r="C7686" t="s">
        <v>27560</v>
      </c>
      <c r="D7686">
        <v>0.6</v>
      </c>
      <c r="E7686">
        <v>0.2</v>
      </c>
      <c r="F7686">
        <f t="shared" si="119"/>
        <v>0.8</v>
      </c>
      <c r="I7686">
        <v>20250101</v>
      </c>
      <c r="J7686" t="s">
        <v>7383</v>
      </c>
    </row>
    <row r="7687" spans="1:14" x14ac:dyDescent="0.3">
      <c r="A7687" s="160">
        <v>60408</v>
      </c>
      <c r="B7687" t="s">
        <v>22792</v>
      </c>
      <c r="C7687" t="s">
        <v>7357</v>
      </c>
      <c r="D7687">
        <v>0</v>
      </c>
      <c r="E7687">
        <v>0.4</v>
      </c>
      <c r="F7687">
        <f t="shared" ref="F7687:F7750" si="120">D7687+E7687</f>
        <v>0.4</v>
      </c>
      <c r="I7687">
        <v>20070101</v>
      </c>
      <c r="J7687" t="s">
        <v>7416</v>
      </c>
    </row>
    <row r="7688" spans="1:14" x14ac:dyDescent="0.3">
      <c r="A7688" s="160">
        <v>60409</v>
      </c>
      <c r="B7688" t="s">
        <v>22793</v>
      </c>
      <c r="C7688" t="s">
        <v>7410</v>
      </c>
      <c r="D7688">
        <v>0.4</v>
      </c>
      <c r="E7688">
        <v>0.4</v>
      </c>
      <c r="F7688">
        <f t="shared" si="120"/>
        <v>0.8</v>
      </c>
      <c r="I7688">
        <v>20230701</v>
      </c>
      <c r="J7688" t="s">
        <v>7465</v>
      </c>
      <c r="K7688" t="s">
        <v>7469</v>
      </c>
    </row>
    <row r="7689" spans="1:14" x14ac:dyDescent="0.3">
      <c r="A7689" s="160">
        <v>60410</v>
      </c>
      <c r="B7689" t="s">
        <v>22794</v>
      </c>
      <c r="C7689" t="s">
        <v>7391</v>
      </c>
      <c r="D7689">
        <v>0</v>
      </c>
      <c r="E7689">
        <v>0</v>
      </c>
      <c r="F7689">
        <f t="shared" si="120"/>
        <v>0</v>
      </c>
      <c r="I7689">
        <v>20220701</v>
      </c>
      <c r="J7689" t="s">
        <v>7392</v>
      </c>
    </row>
    <row r="7690" spans="1:14" x14ac:dyDescent="0.3">
      <c r="A7690" s="160">
        <v>60411</v>
      </c>
      <c r="B7690" t="s">
        <v>22795</v>
      </c>
      <c r="C7690" t="s">
        <v>7357</v>
      </c>
      <c r="D7690">
        <v>0</v>
      </c>
      <c r="E7690">
        <v>0.4</v>
      </c>
      <c r="F7690">
        <f t="shared" si="120"/>
        <v>0.4</v>
      </c>
      <c r="I7690">
        <v>20070101</v>
      </c>
      <c r="J7690" t="s">
        <v>7407</v>
      </c>
    </row>
    <row r="7691" spans="1:14" x14ac:dyDescent="0.3">
      <c r="A7691" s="160">
        <v>60412</v>
      </c>
      <c r="B7691" t="s">
        <v>22796</v>
      </c>
      <c r="C7691" t="s">
        <v>7357</v>
      </c>
      <c r="D7691">
        <v>0</v>
      </c>
      <c r="E7691">
        <v>0.4</v>
      </c>
      <c r="F7691">
        <f t="shared" si="120"/>
        <v>0.4</v>
      </c>
      <c r="I7691">
        <v>20070101</v>
      </c>
      <c r="J7691" t="s">
        <v>7407</v>
      </c>
    </row>
    <row r="7692" spans="1:14" x14ac:dyDescent="0.3">
      <c r="A7692" s="160">
        <v>60413</v>
      </c>
      <c r="B7692" t="s">
        <v>22797</v>
      </c>
      <c r="C7692" t="s">
        <v>7357</v>
      </c>
      <c r="D7692">
        <v>0</v>
      </c>
      <c r="E7692">
        <v>0.4</v>
      </c>
      <c r="F7692">
        <f t="shared" si="120"/>
        <v>0.4</v>
      </c>
      <c r="I7692">
        <v>20070101</v>
      </c>
      <c r="J7692" t="s">
        <v>7546</v>
      </c>
    </row>
    <row r="7693" spans="1:14" x14ac:dyDescent="0.3">
      <c r="A7693" s="160">
        <v>60414</v>
      </c>
      <c r="B7693" t="s">
        <v>22798</v>
      </c>
      <c r="C7693" t="s">
        <v>7516</v>
      </c>
      <c r="D7693">
        <v>0.6</v>
      </c>
      <c r="E7693">
        <v>0.2</v>
      </c>
      <c r="F7693">
        <f t="shared" si="120"/>
        <v>0.8</v>
      </c>
      <c r="I7693">
        <v>20080101</v>
      </c>
      <c r="J7693" t="s">
        <v>7522</v>
      </c>
      <c r="K7693" t="s">
        <v>7566</v>
      </c>
      <c r="L7693" t="s">
        <v>7533</v>
      </c>
      <c r="M7693" t="s">
        <v>7567</v>
      </c>
      <c r="N7693" t="s">
        <v>7515</v>
      </c>
    </row>
    <row r="7694" spans="1:14" x14ac:dyDescent="0.3">
      <c r="A7694" s="160">
        <v>60415</v>
      </c>
      <c r="B7694" t="s">
        <v>22799</v>
      </c>
      <c r="C7694" t="s">
        <v>7357</v>
      </c>
      <c r="D7694">
        <v>0</v>
      </c>
      <c r="E7694">
        <v>0.4</v>
      </c>
      <c r="F7694">
        <f t="shared" si="120"/>
        <v>0.4</v>
      </c>
      <c r="I7694">
        <v>20070101</v>
      </c>
      <c r="J7694" t="s">
        <v>7415</v>
      </c>
    </row>
    <row r="7695" spans="1:14" x14ac:dyDescent="0.3">
      <c r="A7695" s="160">
        <v>60418</v>
      </c>
      <c r="B7695" t="s">
        <v>22800</v>
      </c>
      <c r="C7695" t="s">
        <v>7357</v>
      </c>
      <c r="D7695">
        <v>0</v>
      </c>
      <c r="E7695">
        <v>0</v>
      </c>
      <c r="F7695">
        <f t="shared" si="120"/>
        <v>0</v>
      </c>
      <c r="I7695">
        <v>20210101</v>
      </c>
      <c r="J7695" t="s">
        <v>7399</v>
      </c>
    </row>
    <row r="7696" spans="1:14" x14ac:dyDescent="0.3">
      <c r="A7696" s="160">
        <v>60420</v>
      </c>
      <c r="B7696" t="s">
        <v>22801</v>
      </c>
      <c r="C7696" t="s">
        <v>7357</v>
      </c>
      <c r="D7696">
        <v>0</v>
      </c>
      <c r="E7696">
        <v>0.4</v>
      </c>
      <c r="F7696">
        <f t="shared" si="120"/>
        <v>0.4</v>
      </c>
      <c r="I7696">
        <v>20070101</v>
      </c>
      <c r="J7696" t="s">
        <v>7407</v>
      </c>
    </row>
    <row r="7697" spans="1:13" x14ac:dyDescent="0.3">
      <c r="A7697" s="160">
        <v>60421</v>
      </c>
      <c r="B7697" t="s">
        <v>22802</v>
      </c>
      <c r="C7697" t="s">
        <v>7357</v>
      </c>
      <c r="D7697">
        <v>0</v>
      </c>
      <c r="E7697">
        <v>0.4</v>
      </c>
      <c r="F7697">
        <f t="shared" si="120"/>
        <v>0.4</v>
      </c>
      <c r="I7697">
        <v>20070101</v>
      </c>
      <c r="J7697" t="s">
        <v>7393</v>
      </c>
    </row>
    <row r="7698" spans="1:13" x14ac:dyDescent="0.3">
      <c r="A7698" s="160">
        <v>60422</v>
      </c>
      <c r="B7698" t="s">
        <v>22803</v>
      </c>
      <c r="C7698" t="s">
        <v>7357</v>
      </c>
      <c r="D7698">
        <v>0</v>
      </c>
      <c r="E7698">
        <v>0.4</v>
      </c>
      <c r="F7698">
        <f t="shared" si="120"/>
        <v>0.4</v>
      </c>
      <c r="I7698">
        <v>20070101</v>
      </c>
      <c r="J7698" t="s">
        <v>7393</v>
      </c>
    </row>
    <row r="7699" spans="1:13" x14ac:dyDescent="0.3">
      <c r="A7699" s="160">
        <v>60423</v>
      </c>
      <c r="B7699" t="s">
        <v>22804</v>
      </c>
      <c r="C7699" t="s">
        <v>7357</v>
      </c>
      <c r="D7699">
        <v>0</v>
      </c>
      <c r="E7699">
        <v>0.4</v>
      </c>
      <c r="F7699">
        <f t="shared" si="120"/>
        <v>0.4</v>
      </c>
      <c r="I7699">
        <v>20070101</v>
      </c>
      <c r="J7699" t="s">
        <v>7491</v>
      </c>
    </row>
    <row r="7700" spans="1:13" x14ac:dyDescent="0.3">
      <c r="A7700" s="160">
        <v>60424</v>
      </c>
      <c r="B7700" t="s">
        <v>22805</v>
      </c>
      <c r="C7700" t="s">
        <v>7398</v>
      </c>
      <c r="D7700">
        <v>0.4</v>
      </c>
      <c r="E7700">
        <v>0.4</v>
      </c>
      <c r="F7700">
        <f t="shared" si="120"/>
        <v>0.8</v>
      </c>
      <c r="I7700">
        <v>20210101</v>
      </c>
      <c r="J7700" t="s">
        <v>7399</v>
      </c>
    </row>
    <row r="7701" spans="1:13" x14ac:dyDescent="0.3">
      <c r="A7701" s="160">
        <v>60425</v>
      </c>
      <c r="B7701" t="s">
        <v>22806</v>
      </c>
      <c r="C7701" t="s">
        <v>7357</v>
      </c>
      <c r="D7701">
        <v>0</v>
      </c>
      <c r="E7701">
        <v>0.4</v>
      </c>
      <c r="F7701">
        <f t="shared" si="120"/>
        <v>0.4</v>
      </c>
      <c r="I7701">
        <v>20170701</v>
      </c>
      <c r="J7701" t="s">
        <v>7358</v>
      </c>
    </row>
    <row r="7702" spans="1:13" x14ac:dyDescent="0.3">
      <c r="A7702" s="160">
        <v>60426</v>
      </c>
      <c r="B7702" t="s">
        <v>22807</v>
      </c>
      <c r="C7702" t="s">
        <v>7354</v>
      </c>
      <c r="D7702">
        <v>0.6</v>
      </c>
      <c r="E7702">
        <v>0.2</v>
      </c>
      <c r="F7702">
        <f t="shared" si="120"/>
        <v>0.8</v>
      </c>
      <c r="I7702">
        <v>20190301</v>
      </c>
      <c r="J7702" t="s">
        <v>7568</v>
      </c>
    </row>
    <row r="7703" spans="1:13" x14ac:dyDescent="0.3">
      <c r="A7703" s="160">
        <v>60427</v>
      </c>
      <c r="B7703" t="s">
        <v>22808</v>
      </c>
      <c r="C7703" t="s">
        <v>7377</v>
      </c>
      <c r="D7703">
        <v>0.6</v>
      </c>
      <c r="E7703">
        <v>0.2</v>
      </c>
      <c r="F7703">
        <f t="shared" si="120"/>
        <v>0.8</v>
      </c>
      <c r="I7703">
        <v>20121201</v>
      </c>
      <c r="J7703" t="s">
        <v>7553</v>
      </c>
    </row>
    <row r="7704" spans="1:13" x14ac:dyDescent="0.3">
      <c r="A7704" s="160">
        <v>60428</v>
      </c>
      <c r="B7704" t="s">
        <v>22809</v>
      </c>
      <c r="C7704" t="s">
        <v>7369</v>
      </c>
      <c r="D7704">
        <v>0.7</v>
      </c>
      <c r="E7704">
        <v>0.2</v>
      </c>
      <c r="F7704">
        <f t="shared" si="120"/>
        <v>0.89999999999999991</v>
      </c>
      <c r="I7704">
        <v>20150101</v>
      </c>
      <c r="J7704" t="s">
        <v>7443</v>
      </c>
    </row>
    <row r="7705" spans="1:13" x14ac:dyDescent="0.3">
      <c r="A7705" s="160">
        <v>60429</v>
      </c>
      <c r="B7705" t="s">
        <v>22810</v>
      </c>
      <c r="C7705" t="s">
        <v>7354</v>
      </c>
      <c r="D7705">
        <v>0.6</v>
      </c>
      <c r="E7705">
        <v>0.2</v>
      </c>
      <c r="F7705">
        <f t="shared" si="120"/>
        <v>0.8</v>
      </c>
      <c r="I7705">
        <v>20190301</v>
      </c>
      <c r="J7705" t="s">
        <v>7543</v>
      </c>
    </row>
    <row r="7706" spans="1:13" x14ac:dyDescent="0.3">
      <c r="A7706" s="160">
        <v>60430</v>
      </c>
      <c r="B7706" t="s">
        <v>22811</v>
      </c>
      <c r="C7706" t="s">
        <v>7357</v>
      </c>
      <c r="D7706">
        <v>0</v>
      </c>
      <c r="E7706">
        <v>0.4</v>
      </c>
      <c r="F7706">
        <f t="shared" si="120"/>
        <v>0.4</v>
      </c>
      <c r="I7706">
        <v>20070101</v>
      </c>
      <c r="J7706" t="s">
        <v>7549</v>
      </c>
      <c r="K7706" t="s">
        <v>7503</v>
      </c>
      <c r="L7706" t="s">
        <v>7538</v>
      </c>
      <c r="M7706" t="s">
        <v>7441</v>
      </c>
    </row>
    <row r="7707" spans="1:13" x14ac:dyDescent="0.3">
      <c r="A7707" s="160">
        <v>60431</v>
      </c>
      <c r="B7707" t="s">
        <v>22812</v>
      </c>
      <c r="C7707" t="s">
        <v>7391</v>
      </c>
      <c r="D7707">
        <v>0</v>
      </c>
      <c r="E7707">
        <v>0</v>
      </c>
      <c r="F7707">
        <f t="shared" si="120"/>
        <v>0</v>
      </c>
      <c r="I7707">
        <v>20220701</v>
      </c>
      <c r="J7707" t="s">
        <v>7392</v>
      </c>
    </row>
    <row r="7708" spans="1:13" x14ac:dyDescent="0.3">
      <c r="A7708" s="160">
        <v>60432</v>
      </c>
      <c r="B7708" t="s">
        <v>15552</v>
      </c>
      <c r="C7708" t="s">
        <v>7357</v>
      </c>
      <c r="D7708">
        <v>0</v>
      </c>
      <c r="E7708">
        <v>0.4</v>
      </c>
      <c r="F7708">
        <f t="shared" si="120"/>
        <v>0.4</v>
      </c>
      <c r="I7708">
        <v>20070101</v>
      </c>
      <c r="J7708" t="s">
        <v>7569</v>
      </c>
    </row>
    <row r="7709" spans="1:13" x14ac:dyDescent="0.3">
      <c r="A7709" s="160">
        <v>60433</v>
      </c>
      <c r="B7709" t="s">
        <v>22813</v>
      </c>
      <c r="C7709" t="s">
        <v>7354</v>
      </c>
      <c r="D7709">
        <v>0.6</v>
      </c>
      <c r="E7709">
        <v>0.2</v>
      </c>
      <c r="F7709">
        <f t="shared" si="120"/>
        <v>0.8</v>
      </c>
      <c r="I7709">
        <v>20190301</v>
      </c>
      <c r="J7709" t="s">
        <v>7382</v>
      </c>
    </row>
    <row r="7710" spans="1:13" x14ac:dyDescent="0.3">
      <c r="A7710" s="160">
        <v>60434</v>
      </c>
      <c r="B7710" t="s">
        <v>22814</v>
      </c>
      <c r="C7710" t="s">
        <v>7357</v>
      </c>
      <c r="D7710">
        <v>0</v>
      </c>
      <c r="E7710">
        <v>0</v>
      </c>
      <c r="F7710">
        <f t="shared" si="120"/>
        <v>0</v>
      </c>
      <c r="I7710">
        <v>20210101</v>
      </c>
      <c r="J7710" t="s">
        <v>7437</v>
      </c>
    </row>
    <row r="7711" spans="1:13" x14ac:dyDescent="0.3">
      <c r="A7711" s="160">
        <v>60435</v>
      </c>
      <c r="B7711" t="s">
        <v>22815</v>
      </c>
      <c r="C7711" t="s">
        <v>7357</v>
      </c>
      <c r="D7711">
        <v>0</v>
      </c>
      <c r="E7711">
        <v>0.4</v>
      </c>
      <c r="F7711">
        <f t="shared" si="120"/>
        <v>0.4</v>
      </c>
      <c r="I7711">
        <v>20170701</v>
      </c>
      <c r="J7711" t="s">
        <v>7417</v>
      </c>
    </row>
    <row r="7712" spans="1:13" x14ac:dyDescent="0.3">
      <c r="A7712" s="160">
        <v>60436</v>
      </c>
      <c r="B7712" t="s">
        <v>22816</v>
      </c>
      <c r="C7712" t="s">
        <v>7357</v>
      </c>
      <c r="D7712">
        <v>0</v>
      </c>
      <c r="E7712">
        <v>0</v>
      </c>
      <c r="F7712">
        <f t="shared" si="120"/>
        <v>0</v>
      </c>
      <c r="I7712">
        <v>20210101</v>
      </c>
      <c r="J7712" t="s">
        <v>7388</v>
      </c>
    </row>
    <row r="7713" spans="1:12" x14ac:dyDescent="0.3">
      <c r="A7713" s="160">
        <v>60437</v>
      </c>
      <c r="B7713" t="s">
        <v>22817</v>
      </c>
      <c r="C7713" t="s">
        <v>7354</v>
      </c>
      <c r="D7713">
        <v>0.6</v>
      </c>
      <c r="E7713">
        <v>0.2</v>
      </c>
      <c r="F7713">
        <f t="shared" si="120"/>
        <v>0.8</v>
      </c>
      <c r="I7713">
        <v>20190301</v>
      </c>
      <c r="J7713" t="s">
        <v>7385</v>
      </c>
    </row>
    <row r="7714" spans="1:12" x14ac:dyDescent="0.3">
      <c r="A7714" s="160">
        <v>60438</v>
      </c>
      <c r="B7714" t="s">
        <v>22818</v>
      </c>
      <c r="C7714" t="s">
        <v>7357</v>
      </c>
      <c r="D7714">
        <v>0</v>
      </c>
      <c r="E7714">
        <v>0.4</v>
      </c>
      <c r="F7714">
        <f t="shared" si="120"/>
        <v>0.4</v>
      </c>
      <c r="I7714">
        <v>20210101</v>
      </c>
      <c r="J7714" t="s">
        <v>7400</v>
      </c>
    </row>
    <row r="7715" spans="1:12" x14ac:dyDescent="0.3">
      <c r="A7715" s="160">
        <v>60439</v>
      </c>
      <c r="B7715" t="s">
        <v>22819</v>
      </c>
      <c r="C7715" t="s">
        <v>7365</v>
      </c>
      <c r="D7715">
        <v>0.6</v>
      </c>
      <c r="E7715">
        <v>0.2</v>
      </c>
      <c r="F7715">
        <f t="shared" si="120"/>
        <v>0.8</v>
      </c>
      <c r="I7715">
        <v>20240101</v>
      </c>
      <c r="J7715" t="s">
        <v>7385</v>
      </c>
      <c r="K7715" t="s">
        <v>7386</v>
      </c>
      <c r="L7715" t="s">
        <v>7387</v>
      </c>
    </row>
    <row r="7716" spans="1:12" x14ac:dyDescent="0.3">
      <c r="A7716" s="160">
        <v>60440</v>
      </c>
      <c r="B7716" t="s">
        <v>22820</v>
      </c>
      <c r="C7716" t="s">
        <v>7357</v>
      </c>
      <c r="D7716">
        <v>0</v>
      </c>
      <c r="E7716">
        <v>0.4</v>
      </c>
      <c r="F7716">
        <f t="shared" si="120"/>
        <v>0.4</v>
      </c>
      <c r="I7716">
        <v>20070101</v>
      </c>
      <c r="J7716" t="s">
        <v>7399</v>
      </c>
    </row>
    <row r="7717" spans="1:12" x14ac:dyDescent="0.3">
      <c r="A7717" s="160">
        <v>60441</v>
      </c>
      <c r="B7717" t="s">
        <v>22821</v>
      </c>
      <c r="C7717" t="s">
        <v>7398</v>
      </c>
      <c r="D7717">
        <v>0.4</v>
      </c>
      <c r="E7717">
        <v>0.4</v>
      </c>
      <c r="F7717">
        <f t="shared" si="120"/>
        <v>0.8</v>
      </c>
      <c r="I7717">
        <v>20210101</v>
      </c>
      <c r="J7717" t="s">
        <v>7399</v>
      </c>
    </row>
    <row r="7718" spans="1:12" x14ac:dyDescent="0.3">
      <c r="A7718" s="160">
        <v>60442</v>
      </c>
      <c r="B7718" t="s">
        <v>22822</v>
      </c>
      <c r="C7718" t="s">
        <v>7369</v>
      </c>
      <c r="D7718">
        <v>0.7</v>
      </c>
      <c r="E7718">
        <v>0.2</v>
      </c>
      <c r="F7718">
        <f t="shared" si="120"/>
        <v>0.89999999999999991</v>
      </c>
      <c r="I7718">
        <v>20210101</v>
      </c>
      <c r="J7718" t="s">
        <v>7358</v>
      </c>
    </row>
    <row r="7719" spans="1:12" x14ac:dyDescent="0.3">
      <c r="A7719" s="160">
        <v>60443</v>
      </c>
      <c r="B7719" t="s">
        <v>22823</v>
      </c>
      <c r="C7719" t="s">
        <v>7391</v>
      </c>
      <c r="D7719">
        <v>0</v>
      </c>
      <c r="E7719">
        <v>0</v>
      </c>
      <c r="F7719">
        <f t="shared" si="120"/>
        <v>0</v>
      </c>
      <c r="I7719">
        <v>20220701</v>
      </c>
      <c r="J7719" t="s">
        <v>7419</v>
      </c>
    </row>
    <row r="7720" spans="1:12" x14ac:dyDescent="0.3">
      <c r="A7720" s="160">
        <v>60444</v>
      </c>
      <c r="B7720" t="s">
        <v>22824</v>
      </c>
      <c r="C7720" t="s">
        <v>7357</v>
      </c>
      <c r="D7720">
        <v>0</v>
      </c>
      <c r="E7720">
        <v>0.4</v>
      </c>
      <c r="F7720">
        <f t="shared" si="120"/>
        <v>0.4</v>
      </c>
      <c r="I7720">
        <v>20210101</v>
      </c>
      <c r="J7720" t="s">
        <v>7461</v>
      </c>
    </row>
    <row r="7721" spans="1:12" x14ac:dyDescent="0.3">
      <c r="A7721" s="160">
        <v>60445</v>
      </c>
      <c r="B7721" t="s">
        <v>22825</v>
      </c>
      <c r="C7721" t="s">
        <v>7357</v>
      </c>
      <c r="D7721">
        <v>0</v>
      </c>
      <c r="E7721">
        <v>0.4</v>
      </c>
      <c r="F7721">
        <f t="shared" si="120"/>
        <v>0.4</v>
      </c>
      <c r="I7721">
        <v>20070101</v>
      </c>
      <c r="J7721" t="s">
        <v>7392</v>
      </c>
    </row>
    <row r="7722" spans="1:12" x14ac:dyDescent="0.3">
      <c r="A7722" s="160">
        <v>60446</v>
      </c>
      <c r="B7722" t="s">
        <v>22826</v>
      </c>
      <c r="C7722" t="s">
        <v>7357</v>
      </c>
      <c r="D7722">
        <v>0</v>
      </c>
      <c r="E7722">
        <v>0.4</v>
      </c>
      <c r="F7722">
        <f t="shared" si="120"/>
        <v>0.4</v>
      </c>
      <c r="I7722">
        <v>20070101</v>
      </c>
      <c r="J7722" t="s">
        <v>7446</v>
      </c>
      <c r="K7722" t="s">
        <v>7361</v>
      </c>
    </row>
    <row r="7723" spans="1:12" x14ac:dyDescent="0.3">
      <c r="A7723" s="160">
        <v>60447</v>
      </c>
      <c r="B7723" t="s">
        <v>22827</v>
      </c>
      <c r="C7723" t="s">
        <v>7397</v>
      </c>
      <c r="D7723">
        <v>0.7</v>
      </c>
      <c r="E7723">
        <v>0.2</v>
      </c>
      <c r="F7723">
        <f t="shared" si="120"/>
        <v>0.89999999999999991</v>
      </c>
      <c r="I7723">
        <v>20180701</v>
      </c>
      <c r="J7723" t="s">
        <v>7440</v>
      </c>
    </row>
    <row r="7724" spans="1:12" x14ac:dyDescent="0.3">
      <c r="A7724" s="160">
        <v>60448</v>
      </c>
      <c r="B7724" t="s">
        <v>22828</v>
      </c>
      <c r="C7724" t="s">
        <v>7357</v>
      </c>
      <c r="D7724">
        <v>0</v>
      </c>
      <c r="E7724">
        <v>0.4</v>
      </c>
      <c r="F7724">
        <f t="shared" si="120"/>
        <v>0.4</v>
      </c>
      <c r="I7724">
        <v>20070101</v>
      </c>
      <c r="J7724" t="s">
        <v>7404</v>
      </c>
    </row>
    <row r="7725" spans="1:12" x14ac:dyDescent="0.3">
      <c r="A7725" s="160">
        <v>60449</v>
      </c>
      <c r="B7725" t="s">
        <v>22829</v>
      </c>
      <c r="C7725" t="s">
        <v>7357</v>
      </c>
      <c r="D7725">
        <v>0</v>
      </c>
      <c r="E7725">
        <v>0.4</v>
      </c>
      <c r="F7725">
        <f t="shared" si="120"/>
        <v>0.4</v>
      </c>
      <c r="I7725">
        <v>20070101</v>
      </c>
      <c r="J7725" t="s">
        <v>7399</v>
      </c>
    </row>
    <row r="7726" spans="1:12" x14ac:dyDescent="0.3">
      <c r="A7726" s="160">
        <v>60450</v>
      </c>
      <c r="B7726" t="s">
        <v>22830</v>
      </c>
      <c r="C7726" t="s">
        <v>7354</v>
      </c>
      <c r="D7726">
        <v>0.6</v>
      </c>
      <c r="E7726">
        <v>0.2</v>
      </c>
      <c r="F7726">
        <f t="shared" si="120"/>
        <v>0.8</v>
      </c>
      <c r="I7726">
        <v>20190301</v>
      </c>
      <c r="J7726" t="s">
        <v>7543</v>
      </c>
    </row>
    <row r="7727" spans="1:12" x14ac:dyDescent="0.3">
      <c r="A7727" s="160">
        <v>60451</v>
      </c>
      <c r="B7727" t="s">
        <v>22831</v>
      </c>
      <c r="C7727" t="s">
        <v>7365</v>
      </c>
      <c r="D7727">
        <v>0.6</v>
      </c>
      <c r="E7727">
        <v>0.2</v>
      </c>
      <c r="F7727">
        <f t="shared" si="120"/>
        <v>0.8</v>
      </c>
      <c r="I7727">
        <v>20240101</v>
      </c>
      <c r="J7727" t="s">
        <v>7465</v>
      </c>
      <c r="K7727" t="s">
        <v>7469</v>
      </c>
      <c r="L7727" t="s">
        <v>7466</v>
      </c>
    </row>
    <row r="7728" spans="1:12" x14ac:dyDescent="0.3">
      <c r="A7728" s="160">
        <v>60452</v>
      </c>
      <c r="B7728" t="s">
        <v>22832</v>
      </c>
      <c r="C7728" t="s">
        <v>7377</v>
      </c>
      <c r="D7728">
        <v>0.6</v>
      </c>
      <c r="E7728">
        <v>0.2</v>
      </c>
      <c r="F7728">
        <f t="shared" si="120"/>
        <v>0.8</v>
      </c>
      <c r="I7728">
        <v>20121201</v>
      </c>
      <c r="J7728" t="s">
        <v>7553</v>
      </c>
    </row>
    <row r="7729" spans="1:24" x14ac:dyDescent="0.3">
      <c r="A7729" s="160">
        <v>60453</v>
      </c>
      <c r="B7729" t="s">
        <v>22832</v>
      </c>
      <c r="C7729" t="s">
        <v>7357</v>
      </c>
      <c r="D7729">
        <v>0</v>
      </c>
      <c r="E7729">
        <v>0.4</v>
      </c>
      <c r="F7729">
        <f t="shared" si="120"/>
        <v>0.4</v>
      </c>
      <c r="I7729">
        <v>20070101</v>
      </c>
      <c r="J7729" t="s">
        <v>7544</v>
      </c>
    </row>
    <row r="7730" spans="1:24" x14ac:dyDescent="0.3">
      <c r="A7730" s="160">
        <v>60454</v>
      </c>
      <c r="B7730" t="s">
        <v>22833</v>
      </c>
      <c r="C7730" t="s">
        <v>7369</v>
      </c>
      <c r="D7730">
        <v>0.7</v>
      </c>
      <c r="E7730">
        <v>0.2</v>
      </c>
      <c r="F7730">
        <f t="shared" si="120"/>
        <v>0.89999999999999991</v>
      </c>
      <c r="I7730">
        <v>20210101</v>
      </c>
      <c r="J7730" t="s">
        <v>7447</v>
      </c>
    </row>
    <row r="7731" spans="1:24" x14ac:dyDescent="0.3">
      <c r="A7731" s="160">
        <v>60455</v>
      </c>
      <c r="B7731" t="s">
        <v>22833</v>
      </c>
      <c r="C7731" t="s">
        <v>7377</v>
      </c>
      <c r="D7731">
        <v>0.6</v>
      </c>
      <c r="E7731">
        <v>0.2</v>
      </c>
      <c r="F7731">
        <f t="shared" si="120"/>
        <v>0.8</v>
      </c>
      <c r="I7731">
        <v>20121201</v>
      </c>
      <c r="J7731" t="s">
        <v>7403</v>
      </c>
    </row>
    <row r="7732" spans="1:24" x14ac:dyDescent="0.3">
      <c r="A7732" s="160">
        <v>60456</v>
      </c>
      <c r="B7732" t="s">
        <v>22834</v>
      </c>
      <c r="C7732" t="s">
        <v>7357</v>
      </c>
      <c r="D7732">
        <v>0</v>
      </c>
      <c r="E7732">
        <v>0</v>
      </c>
      <c r="F7732">
        <f t="shared" si="120"/>
        <v>0</v>
      </c>
      <c r="I7732">
        <v>20210101</v>
      </c>
      <c r="J7732" t="s">
        <v>7399</v>
      </c>
    </row>
    <row r="7733" spans="1:24" x14ac:dyDescent="0.3">
      <c r="A7733" s="160">
        <v>60457</v>
      </c>
      <c r="B7733" t="s">
        <v>22835</v>
      </c>
      <c r="C7733" t="s">
        <v>7357</v>
      </c>
      <c r="D7733">
        <v>0</v>
      </c>
      <c r="E7733">
        <v>0.4</v>
      </c>
      <c r="F7733">
        <f t="shared" si="120"/>
        <v>0.4</v>
      </c>
      <c r="I7733">
        <v>20170701</v>
      </c>
      <c r="J7733" t="s">
        <v>7358</v>
      </c>
    </row>
    <row r="7734" spans="1:24" x14ac:dyDescent="0.3">
      <c r="A7734" s="160">
        <v>60458</v>
      </c>
      <c r="B7734" t="s">
        <v>22836</v>
      </c>
      <c r="C7734" t="s">
        <v>7357</v>
      </c>
      <c r="D7734">
        <v>0</v>
      </c>
      <c r="E7734">
        <v>0.4</v>
      </c>
      <c r="F7734">
        <f t="shared" si="120"/>
        <v>0.4</v>
      </c>
      <c r="I7734">
        <v>20170701</v>
      </c>
      <c r="J7734" t="s">
        <v>7359</v>
      </c>
    </row>
    <row r="7735" spans="1:24" x14ac:dyDescent="0.3">
      <c r="A7735" s="160">
        <v>60459</v>
      </c>
      <c r="B7735" t="s">
        <v>22837</v>
      </c>
      <c r="C7735" t="s">
        <v>7357</v>
      </c>
      <c r="D7735">
        <v>0</v>
      </c>
      <c r="E7735">
        <v>0.4</v>
      </c>
      <c r="F7735">
        <f t="shared" si="120"/>
        <v>0.4</v>
      </c>
      <c r="I7735">
        <v>20070101</v>
      </c>
      <c r="J7735" t="s">
        <v>7437</v>
      </c>
    </row>
    <row r="7736" spans="1:24" x14ac:dyDescent="0.3">
      <c r="A7736" s="160">
        <v>60460</v>
      </c>
      <c r="B7736" t="s">
        <v>22838</v>
      </c>
      <c r="C7736" t="s">
        <v>7357</v>
      </c>
      <c r="D7736">
        <v>0</v>
      </c>
      <c r="E7736">
        <v>0.4</v>
      </c>
      <c r="F7736">
        <f t="shared" si="120"/>
        <v>0.4</v>
      </c>
      <c r="I7736">
        <v>20170701</v>
      </c>
      <c r="J7736" t="s">
        <v>7450</v>
      </c>
    </row>
    <row r="7737" spans="1:24" x14ac:dyDescent="0.3">
      <c r="A7737" s="160">
        <v>60461</v>
      </c>
      <c r="B7737" t="s">
        <v>22839</v>
      </c>
      <c r="C7737" t="s">
        <v>7369</v>
      </c>
      <c r="D7737">
        <v>0.7</v>
      </c>
      <c r="E7737">
        <v>0.2</v>
      </c>
      <c r="F7737">
        <f t="shared" si="120"/>
        <v>0.89999999999999991</v>
      </c>
      <c r="I7737">
        <v>20150101</v>
      </c>
      <c r="J7737" t="s">
        <v>7447</v>
      </c>
    </row>
    <row r="7738" spans="1:24" x14ac:dyDescent="0.3">
      <c r="A7738" s="160">
        <v>60462</v>
      </c>
      <c r="B7738" t="s">
        <v>16901</v>
      </c>
      <c r="C7738" t="s">
        <v>7354</v>
      </c>
      <c r="D7738">
        <v>0.6</v>
      </c>
      <c r="E7738">
        <v>0.2</v>
      </c>
      <c r="F7738">
        <f t="shared" si="120"/>
        <v>0.8</v>
      </c>
      <c r="I7738">
        <v>20190301</v>
      </c>
      <c r="J7738" t="s">
        <v>7355</v>
      </c>
      <c r="K7738" t="s">
        <v>7356</v>
      </c>
    </row>
    <row r="7739" spans="1:24" x14ac:dyDescent="0.3">
      <c r="A7739" s="160">
        <v>60463</v>
      </c>
      <c r="B7739" t="s">
        <v>22840</v>
      </c>
      <c r="C7739" t="s">
        <v>7516</v>
      </c>
      <c r="D7739">
        <v>0.6</v>
      </c>
      <c r="E7739">
        <v>0.2</v>
      </c>
      <c r="F7739">
        <f t="shared" si="120"/>
        <v>0.8</v>
      </c>
      <c r="I7739">
        <v>20080101</v>
      </c>
      <c r="J7739" t="s">
        <v>7570</v>
      </c>
      <c r="K7739" t="s">
        <v>7519</v>
      </c>
      <c r="L7739" t="s">
        <v>7520</v>
      </c>
      <c r="M7739" t="s">
        <v>7521</v>
      </c>
      <c r="N7739" t="s">
        <v>7522</v>
      </c>
      <c r="O7739" t="s">
        <v>7523</v>
      </c>
      <c r="P7739" t="s">
        <v>7524</v>
      </c>
      <c r="Q7739" t="s">
        <v>7571</v>
      </c>
      <c r="R7739" t="s">
        <v>7525</v>
      </c>
      <c r="S7739" t="s">
        <v>7572</v>
      </c>
      <c r="T7739" t="s">
        <v>7573</v>
      </c>
      <c r="U7739" t="s">
        <v>7526</v>
      </c>
      <c r="V7739" t="s">
        <v>7527</v>
      </c>
      <c r="W7739" t="s">
        <v>7533</v>
      </c>
      <c r="X7739" t="s">
        <v>7574</v>
      </c>
    </row>
    <row r="7740" spans="1:24" x14ac:dyDescent="0.3">
      <c r="A7740" s="160">
        <v>60464</v>
      </c>
      <c r="B7740" t="s">
        <v>22841</v>
      </c>
      <c r="C7740" t="s">
        <v>7365</v>
      </c>
      <c r="D7740">
        <v>0.6</v>
      </c>
      <c r="E7740">
        <v>0.2</v>
      </c>
      <c r="F7740">
        <f t="shared" si="120"/>
        <v>0.8</v>
      </c>
      <c r="I7740">
        <v>20240101</v>
      </c>
      <c r="J7740" t="s">
        <v>7459</v>
      </c>
    </row>
    <row r="7741" spans="1:24" x14ac:dyDescent="0.3">
      <c r="A7741" s="160">
        <v>60465</v>
      </c>
      <c r="B7741" t="s">
        <v>22842</v>
      </c>
      <c r="C7741" t="s">
        <v>7357</v>
      </c>
      <c r="D7741">
        <v>0</v>
      </c>
      <c r="E7741">
        <v>0.4</v>
      </c>
      <c r="F7741">
        <f t="shared" si="120"/>
        <v>0.4</v>
      </c>
      <c r="I7741">
        <v>20170701</v>
      </c>
      <c r="J7741" t="s">
        <v>7358</v>
      </c>
    </row>
    <row r="7742" spans="1:24" x14ac:dyDescent="0.3">
      <c r="A7742" s="160">
        <v>60466</v>
      </c>
      <c r="B7742" t="s">
        <v>22843</v>
      </c>
      <c r="C7742" t="s">
        <v>7357</v>
      </c>
      <c r="D7742">
        <v>0</v>
      </c>
      <c r="E7742">
        <v>0.4</v>
      </c>
      <c r="F7742">
        <f t="shared" si="120"/>
        <v>0.4</v>
      </c>
      <c r="I7742">
        <v>20070101</v>
      </c>
      <c r="J7742" t="s">
        <v>7384</v>
      </c>
    </row>
    <row r="7743" spans="1:24" x14ac:dyDescent="0.3">
      <c r="A7743" s="160">
        <v>60468</v>
      </c>
      <c r="B7743" t="s">
        <v>22844</v>
      </c>
      <c r="C7743" t="s">
        <v>7357</v>
      </c>
      <c r="D7743">
        <v>0</v>
      </c>
      <c r="E7743">
        <v>0.4</v>
      </c>
      <c r="F7743">
        <f t="shared" si="120"/>
        <v>0.4</v>
      </c>
      <c r="I7743">
        <v>20070101</v>
      </c>
      <c r="J7743" t="s">
        <v>7384</v>
      </c>
    </row>
    <row r="7744" spans="1:24" x14ac:dyDescent="0.3">
      <c r="A7744" s="160">
        <v>60469</v>
      </c>
      <c r="B7744" t="s">
        <v>22845</v>
      </c>
      <c r="C7744" t="s">
        <v>7354</v>
      </c>
      <c r="D7744">
        <v>0.6</v>
      </c>
      <c r="E7744">
        <v>0.2</v>
      </c>
      <c r="F7744">
        <f t="shared" si="120"/>
        <v>0.8</v>
      </c>
      <c r="I7744">
        <v>20190301</v>
      </c>
      <c r="J7744" t="s">
        <v>7473</v>
      </c>
    </row>
    <row r="7745" spans="1:14" x14ac:dyDescent="0.3">
      <c r="A7745" s="160">
        <v>60470</v>
      </c>
      <c r="B7745" t="s">
        <v>22846</v>
      </c>
      <c r="C7745" t="s">
        <v>7357</v>
      </c>
      <c r="D7745">
        <v>0</v>
      </c>
      <c r="E7745">
        <v>0.4</v>
      </c>
      <c r="F7745">
        <f t="shared" si="120"/>
        <v>0.4</v>
      </c>
      <c r="I7745">
        <v>20170701</v>
      </c>
      <c r="J7745" t="s">
        <v>7358</v>
      </c>
    </row>
    <row r="7746" spans="1:14" x14ac:dyDescent="0.3">
      <c r="A7746" s="160">
        <v>60471</v>
      </c>
      <c r="B7746" t="s">
        <v>22847</v>
      </c>
      <c r="C7746" t="s">
        <v>7391</v>
      </c>
      <c r="D7746">
        <v>0.55000000000000004</v>
      </c>
      <c r="E7746">
        <v>0</v>
      </c>
      <c r="F7746">
        <f t="shared" si="120"/>
        <v>0.55000000000000004</v>
      </c>
      <c r="I7746">
        <v>20220201</v>
      </c>
      <c r="J7746" t="s">
        <v>7392</v>
      </c>
      <c r="K7746" t="s">
        <v>7406</v>
      </c>
      <c r="L7746" t="s">
        <v>7575</v>
      </c>
      <c r="M7746" t="s">
        <v>7462</v>
      </c>
      <c r="N7746" t="s">
        <v>7576</v>
      </c>
    </row>
    <row r="7747" spans="1:14" x14ac:dyDescent="0.3">
      <c r="A7747" s="160">
        <v>60472</v>
      </c>
      <c r="B7747" t="s">
        <v>22848</v>
      </c>
      <c r="C7747" t="s">
        <v>7357</v>
      </c>
      <c r="D7747">
        <v>0</v>
      </c>
      <c r="E7747">
        <v>0.4</v>
      </c>
      <c r="F7747">
        <f t="shared" si="120"/>
        <v>0.4</v>
      </c>
      <c r="I7747">
        <v>20210101</v>
      </c>
      <c r="J7747" t="s">
        <v>7418</v>
      </c>
    </row>
    <row r="7748" spans="1:14" x14ac:dyDescent="0.3">
      <c r="A7748" s="160">
        <v>60473</v>
      </c>
      <c r="B7748" t="s">
        <v>15571</v>
      </c>
      <c r="C7748" t="s">
        <v>7357</v>
      </c>
      <c r="D7748">
        <v>0</v>
      </c>
      <c r="E7748">
        <v>0.4</v>
      </c>
      <c r="F7748">
        <f t="shared" si="120"/>
        <v>0.4</v>
      </c>
      <c r="I7748">
        <v>20070101</v>
      </c>
      <c r="J7748" t="s">
        <v>7446</v>
      </c>
    </row>
    <row r="7749" spans="1:14" x14ac:dyDescent="0.3">
      <c r="A7749" s="160">
        <v>60475</v>
      </c>
      <c r="B7749" t="s">
        <v>22849</v>
      </c>
      <c r="C7749" t="s">
        <v>7357</v>
      </c>
      <c r="D7749">
        <v>0</v>
      </c>
      <c r="E7749">
        <v>0.4</v>
      </c>
      <c r="F7749">
        <f t="shared" si="120"/>
        <v>0.4</v>
      </c>
      <c r="I7749">
        <v>20070101</v>
      </c>
      <c r="J7749" t="s">
        <v>7415</v>
      </c>
    </row>
    <row r="7750" spans="1:14" x14ac:dyDescent="0.3">
      <c r="A7750" s="160">
        <v>60476</v>
      </c>
      <c r="B7750" t="s">
        <v>22850</v>
      </c>
      <c r="C7750" t="s">
        <v>7357</v>
      </c>
      <c r="D7750">
        <v>0</v>
      </c>
      <c r="E7750">
        <v>0.4</v>
      </c>
      <c r="F7750">
        <f t="shared" si="120"/>
        <v>0.4</v>
      </c>
      <c r="I7750">
        <v>20210101</v>
      </c>
      <c r="J7750" t="s">
        <v>7461</v>
      </c>
    </row>
    <row r="7751" spans="1:14" x14ac:dyDescent="0.3">
      <c r="A7751" s="160">
        <v>60477</v>
      </c>
      <c r="B7751" t="s">
        <v>22851</v>
      </c>
      <c r="C7751" t="s">
        <v>7357</v>
      </c>
      <c r="D7751">
        <v>0</v>
      </c>
      <c r="E7751">
        <v>0.4</v>
      </c>
      <c r="F7751">
        <f t="shared" ref="F7751:F7814" si="121">D7751+E7751</f>
        <v>0.4</v>
      </c>
      <c r="I7751">
        <v>20070101</v>
      </c>
      <c r="J7751" t="s">
        <v>7443</v>
      </c>
    </row>
    <row r="7752" spans="1:14" x14ac:dyDescent="0.3">
      <c r="A7752" s="160">
        <v>60478</v>
      </c>
      <c r="B7752" t="s">
        <v>22852</v>
      </c>
      <c r="C7752" t="s">
        <v>7357</v>
      </c>
      <c r="D7752">
        <v>0</v>
      </c>
      <c r="E7752">
        <v>0.4</v>
      </c>
      <c r="F7752">
        <f t="shared" si="121"/>
        <v>0.4</v>
      </c>
      <c r="I7752">
        <v>20070101</v>
      </c>
      <c r="J7752" t="s">
        <v>7360</v>
      </c>
    </row>
    <row r="7753" spans="1:14" x14ac:dyDescent="0.3">
      <c r="A7753" s="160">
        <v>60479</v>
      </c>
      <c r="B7753" t="s">
        <v>22853</v>
      </c>
      <c r="C7753" t="s">
        <v>7357</v>
      </c>
      <c r="D7753">
        <v>0</v>
      </c>
      <c r="E7753">
        <v>0.4</v>
      </c>
      <c r="F7753">
        <f t="shared" si="121"/>
        <v>0.4</v>
      </c>
      <c r="I7753">
        <v>20070101</v>
      </c>
      <c r="J7753" t="s">
        <v>7402</v>
      </c>
      <c r="K7753" t="s">
        <v>7540</v>
      </c>
    </row>
    <row r="7754" spans="1:14" x14ac:dyDescent="0.3">
      <c r="A7754" s="160">
        <v>60480</v>
      </c>
      <c r="B7754" t="s">
        <v>22854</v>
      </c>
      <c r="C7754" t="s">
        <v>7357</v>
      </c>
      <c r="D7754">
        <v>0</v>
      </c>
      <c r="E7754">
        <v>0.4</v>
      </c>
      <c r="F7754">
        <f t="shared" si="121"/>
        <v>0.4</v>
      </c>
      <c r="I7754">
        <v>20170701</v>
      </c>
      <c r="J7754" t="s">
        <v>7447</v>
      </c>
    </row>
    <row r="7755" spans="1:14" x14ac:dyDescent="0.3">
      <c r="A7755" s="160">
        <v>60481</v>
      </c>
      <c r="B7755" t="s">
        <v>22855</v>
      </c>
      <c r="C7755" t="s">
        <v>7357</v>
      </c>
      <c r="D7755">
        <v>0</v>
      </c>
      <c r="E7755">
        <v>0.4</v>
      </c>
      <c r="F7755">
        <f t="shared" si="121"/>
        <v>0.4</v>
      </c>
      <c r="I7755">
        <v>20070101</v>
      </c>
      <c r="J7755" t="s">
        <v>7439</v>
      </c>
      <c r="K7755" t="s">
        <v>7441</v>
      </c>
    </row>
    <row r="7756" spans="1:14" x14ac:dyDescent="0.3">
      <c r="A7756" s="160">
        <v>60482</v>
      </c>
      <c r="B7756" t="s">
        <v>22856</v>
      </c>
      <c r="C7756" t="s">
        <v>7357</v>
      </c>
      <c r="D7756">
        <v>0</v>
      </c>
      <c r="E7756">
        <v>0.4</v>
      </c>
      <c r="F7756">
        <f t="shared" si="121"/>
        <v>0.4</v>
      </c>
      <c r="I7756">
        <v>20070101</v>
      </c>
      <c r="J7756" t="s">
        <v>7577</v>
      </c>
    </row>
    <row r="7757" spans="1:14" x14ac:dyDescent="0.3">
      <c r="A7757" s="160">
        <v>60483</v>
      </c>
      <c r="B7757" t="s">
        <v>22857</v>
      </c>
      <c r="C7757" t="s">
        <v>7357</v>
      </c>
      <c r="D7757">
        <v>0</v>
      </c>
      <c r="E7757">
        <v>0.4</v>
      </c>
      <c r="F7757">
        <f t="shared" si="121"/>
        <v>0.4</v>
      </c>
      <c r="I7757">
        <v>20070101</v>
      </c>
      <c r="J7757" t="s">
        <v>7437</v>
      </c>
    </row>
    <row r="7758" spans="1:14" x14ac:dyDescent="0.3">
      <c r="A7758" s="160">
        <v>60484</v>
      </c>
      <c r="B7758" t="s">
        <v>22858</v>
      </c>
      <c r="C7758" t="s">
        <v>7357</v>
      </c>
      <c r="D7758">
        <v>0</v>
      </c>
      <c r="E7758">
        <v>0.4</v>
      </c>
      <c r="F7758">
        <f t="shared" si="121"/>
        <v>0.4</v>
      </c>
      <c r="I7758">
        <v>20170701</v>
      </c>
      <c r="J7758" t="s">
        <v>7445</v>
      </c>
    </row>
    <row r="7759" spans="1:14" x14ac:dyDescent="0.3">
      <c r="A7759" s="160">
        <v>60485</v>
      </c>
      <c r="B7759" t="s">
        <v>22859</v>
      </c>
      <c r="C7759" t="s">
        <v>7357</v>
      </c>
      <c r="D7759">
        <v>0</v>
      </c>
      <c r="E7759">
        <v>0.4</v>
      </c>
      <c r="F7759">
        <f t="shared" si="121"/>
        <v>0.4</v>
      </c>
      <c r="I7759">
        <v>20170701</v>
      </c>
      <c r="J7759" t="s">
        <v>7578</v>
      </c>
      <c r="K7759" t="s">
        <v>7358</v>
      </c>
    </row>
    <row r="7760" spans="1:14" x14ac:dyDescent="0.3">
      <c r="A7760" s="160">
        <v>60486</v>
      </c>
      <c r="B7760" t="s">
        <v>22860</v>
      </c>
      <c r="C7760" t="s">
        <v>7357</v>
      </c>
      <c r="D7760">
        <v>0</v>
      </c>
      <c r="E7760">
        <v>0</v>
      </c>
      <c r="F7760">
        <f t="shared" si="121"/>
        <v>0</v>
      </c>
      <c r="I7760">
        <v>20210101</v>
      </c>
      <c r="J7760" t="s">
        <v>7388</v>
      </c>
    </row>
    <row r="7761" spans="1:13" x14ac:dyDescent="0.3">
      <c r="A7761" s="160">
        <v>60487</v>
      </c>
      <c r="B7761" t="s">
        <v>22861</v>
      </c>
      <c r="C7761" t="s">
        <v>7357</v>
      </c>
      <c r="D7761">
        <v>0</v>
      </c>
      <c r="E7761">
        <v>0.4</v>
      </c>
      <c r="F7761">
        <f t="shared" si="121"/>
        <v>0.4</v>
      </c>
      <c r="I7761">
        <v>20070101</v>
      </c>
      <c r="J7761" t="s">
        <v>7407</v>
      </c>
    </row>
    <row r="7762" spans="1:13" x14ac:dyDescent="0.3">
      <c r="A7762" s="160">
        <v>60488</v>
      </c>
      <c r="B7762" t="s">
        <v>22862</v>
      </c>
      <c r="C7762" t="s">
        <v>7391</v>
      </c>
      <c r="D7762">
        <v>0</v>
      </c>
      <c r="E7762">
        <v>0</v>
      </c>
      <c r="F7762">
        <f t="shared" si="121"/>
        <v>0</v>
      </c>
      <c r="I7762">
        <v>20220701</v>
      </c>
      <c r="J7762" t="s">
        <v>7392</v>
      </c>
      <c r="K7762" t="s">
        <v>7575</v>
      </c>
    </row>
    <row r="7763" spans="1:13" x14ac:dyDescent="0.3">
      <c r="A7763" s="160">
        <v>60489</v>
      </c>
      <c r="B7763" t="s">
        <v>22863</v>
      </c>
      <c r="C7763" t="s">
        <v>7357</v>
      </c>
      <c r="D7763">
        <v>0</v>
      </c>
      <c r="E7763">
        <v>0.4</v>
      </c>
      <c r="F7763">
        <f t="shared" si="121"/>
        <v>0.4</v>
      </c>
      <c r="I7763">
        <v>20070101</v>
      </c>
      <c r="J7763" t="s">
        <v>7446</v>
      </c>
    </row>
    <row r="7764" spans="1:13" x14ac:dyDescent="0.3">
      <c r="A7764" s="160">
        <v>60490</v>
      </c>
      <c r="B7764" t="s">
        <v>22864</v>
      </c>
      <c r="C7764" t="s">
        <v>7369</v>
      </c>
      <c r="D7764">
        <v>0.7</v>
      </c>
      <c r="E7764">
        <v>0.2</v>
      </c>
      <c r="F7764">
        <f t="shared" si="121"/>
        <v>0.89999999999999991</v>
      </c>
      <c r="I7764">
        <v>20150101</v>
      </c>
      <c r="J7764" t="s">
        <v>7450</v>
      </c>
    </row>
    <row r="7765" spans="1:13" x14ac:dyDescent="0.3">
      <c r="A7765" s="160">
        <v>60491</v>
      </c>
      <c r="B7765" t="s">
        <v>22865</v>
      </c>
      <c r="C7765" t="s">
        <v>7357</v>
      </c>
      <c r="D7765">
        <v>0</v>
      </c>
      <c r="E7765">
        <v>0.4</v>
      </c>
      <c r="F7765">
        <f t="shared" si="121"/>
        <v>0.4</v>
      </c>
      <c r="I7765">
        <v>20070101</v>
      </c>
      <c r="J7765" t="s">
        <v>7400</v>
      </c>
    </row>
    <row r="7766" spans="1:13" x14ac:dyDescent="0.3">
      <c r="A7766" s="160">
        <v>60492</v>
      </c>
      <c r="B7766" t="s">
        <v>22866</v>
      </c>
      <c r="C7766" t="s">
        <v>7357</v>
      </c>
      <c r="D7766">
        <v>0</v>
      </c>
      <c r="E7766">
        <v>0.4</v>
      </c>
      <c r="F7766">
        <f t="shared" si="121"/>
        <v>0.4</v>
      </c>
      <c r="I7766">
        <v>20070101</v>
      </c>
      <c r="J7766" t="s">
        <v>7413</v>
      </c>
      <c r="K7766" t="s">
        <v>7463</v>
      </c>
    </row>
    <row r="7767" spans="1:13" x14ac:dyDescent="0.3">
      <c r="A7767" s="160">
        <v>60493</v>
      </c>
      <c r="B7767" t="s">
        <v>22867</v>
      </c>
      <c r="C7767" t="s">
        <v>7357</v>
      </c>
      <c r="D7767">
        <v>0</v>
      </c>
      <c r="E7767">
        <v>0.4</v>
      </c>
      <c r="F7767">
        <f t="shared" si="121"/>
        <v>0.4</v>
      </c>
      <c r="I7767">
        <v>20170701</v>
      </c>
      <c r="J7767" t="s">
        <v>7445</v>
      </c>
    </row>
    <row r="7768" spans="1:13" x14ac:dyDescent="0.3">
      <c r="A7768" s="160">
        <v>60494</v>
      </c>
      <c r="B7768" t="s">
        <v>22868</v>
      </c>
      <c r="C7768" t="s">
        <v>7357</v>
      </c>
      <c r="D7768">
        <v>0</v>
      </c>
      <c r="E7768">
        <v>0.4</v>
      </c>
      <c r="F7768">
        <f t="shared" si="121"/>
        <v>0.4</v>
      </c>
      <c r="I7768">
        <v>20070101</v>
      </c>
      <c r="J7768" t="s">
        <v>7569</v>
      </c>
    </row>
    <row r="7769" spans="1:13" x14ac:dyDescent="0.3">
      <c r="A7769" s="160">
        <v>60495</v>
      </c>
      <c r="B7769" t="s">
        <v>22869</v>
      </c>
      <c r="C7769" t="s">
        <v>7357</v>
      </c>
      <c r="D7769">
        <v>0</v>
      </c>
      <c r="E7769">
        <v>0.4</v>
      </c>
      <c r="F7769">
        <f t="shared" si="121"/>
        <v>0.4</v>
      </c>
      <c r="I7769">
        <v>20210101</v>
      </c>
      <c r="J7769" t="s">
        <v>7384</v>
      </c>
    </row>
    <row r="7770" spans="1:13" x14ac:dyDescent="0.3">
      <c r="A7770" s="160">
        <v>60497</v>
      </c>
      <c r="B7770" t="s">
        <v>22870</v>
      </c>
      <c r="C7770" t="s">
        <v>7357</v>
      </c>
      <c r="D7770">
        <v>0</v>
      </c>
      <c r="E7770">
        <v>0.4</v>
      </c>
      <c r="F7770">
        <f t="shared" si="121"/>
        <v>0.4</v>
      </c>
      <c r="I7770">
        <v>20070101</v>
      </c>
      <c r="J7770" t="s">
        <v>7384</v>
      </c>
    </row>
    <row r="7771" spans="1:13" x14ac:dyDescent="0.3">
      <c r="A7771" s="160">
        <v>60498</v>
      </c>
      <c r="B7771" t="s">
        <v>22871</v>
      </c>
      <c r="C7771" t="s">
        <v>7357</v>
      </c>
      <c r="D7771">
        <v>0</v>
      </c>
      <c r="E7771">
        <v>0.4</v>
      </c>
      <c r="F7771">
        <f t="shared" si="121"/>
        <v>0.4</v>
      </c>
      <c r="I7771">
        <v>20210101</v>
      </c>
      <c r="J7771" t="s">
        <v>7384</v>
      </c>
      <c r="K7771" t="s">
        <v>7579</v>
      </c>
    </row>
    <row r="7772" spans="1:13" x14ac:dyDescent="0.3">
      <c r="A7772" s="160">
        <v>60499</v>
      </c>
      <c r="B7772" t="s">
        <v>22872</v>
      </c>
      <c r="C7772" t="s">
        <v>7357</v>
      </c>
      <c r="D7772">
        <v>0</v>
      </c>
      <c r="E7772">
        <v>0.4</v>
      </c>
      <c r="F7772">
        <f t="shared" si="121"/>
        <v>0.4</v>
      </c>
      <c r="I7772">
        <v>20070101</v>
      </c>
      <c r="J7772" t="s">
        <v>7405</v>
      </c>
    </row>
    <row r="7773" spans="1:13" x14ac:dyDescent="0.3">
      <c r="A7773" s="160">
        <v>60500</v>
      </c>
      <c r="B7773" t="s">
        <v>22873</v>
      </c>
      <c r="C7773" t="s">
        <v>7357</v>
      </c>
      <c r="D7773">
        <v>0</v>
      </c>
      <c r="E7773">
        <v>0.4</v>
      </c>
      <c r="F7773">
        <f t="shared" si="121"/>
        <v>0.4</v>
      </c>
      <c r="I7773">
        <v>20070101</v>
      </c>
      <c r="J7773" t="s">
        <v>7547</v>
      </c>
      <c r="K7773" t="s">
        <v>7559</v>
      </c>
      <c r="L7773" t="s">
        <v>7580</v>
      </c>
      <c r="M7773" t="s">
        <v>7454</v>
      </c>
    </row>
    <row r="7774" spans="1:13" x14ac:dyDescent="0.3">
      <c r="A7774" s="160">
        <v>60501</v>
      </c>
      <c r="B7774" t="s">
        <v>22874</v>
      </c>
      <c r="C7774" t="s">
        <v>7357</v>
      </c>
      <c r="D7774">
        <v>0</v>
      </c>
      <c r="E7774">
        <v>0.4</v>
      </c>
      <c r="F7774">
        <f t="shared" si="121"/>
        <v>0.4</v>
      </c>
      <c r="I7774">
        <v>20070101</v>
      </c>
      <c r="J7774" t="s">
        <v>7491</v>
      </c>
      <c r="K7774" t="s">
        <v>7511</v>
      </c>
    </row>
    <row r="7775" spans="1:13" x14ac:dyDescent="0.3">
      <c r="A7775" s="160">
        <v>60502</v>
      </c>
      <c r="B7775" t="s">
        <v>22875</v>
      </c>
      <c r="C7775" t="s">
        <v>7391</v>
      </c>
      <c r="D7775">
        <v>0</v>
      </c>
      <c r="E7775">
        <v>0</v>
      </c>
      <c r="F7775">
        <f t="shared" si="121"/>
        <v>0</v>
      </c>
      <c r="I7775">
        <v>20220701</v>
      </c>
      <c r="J7775" t="s">
        <v>7419</v>
      </c>
    </row>
    <row r="7776" spans="1:13" x14ac:dyDescent="0.3">
      <c r="A7776" s="160">
        <v>60504</v>
      </c>
      <c r="B7776" t="s">
        <v>22876</v>
      </c>
      <c r="C7776" t="s">
        <v>7354</v>
      </c>
      <c r="D7776">
        <v>0.6</v>
      </c>
      <c r="E7776">
        <v>0.2</v>
      </c>
      <c r="F7776">
        <f t="shared" si="121"/>
        <v>0.8</v>
      </c>
      <c r="I7776">
        <v>20190301</v>
      </c>
      <c r="J7776" t="s">
        <v>7355</v>
      </c>
      <c r="K7776" t="s">
        <v>7356</v>
      </c>
    </row>
    <row r="7777" spans="1:14" x14ac:dyDescent="0.3">
      <c r="A7777" s="160">
        <v>60505</v>
      </c>
      <c r="B7777" t="s">
        <v>22877</v>
      </c>
      <c r="C7777" t="s">
        <v>7357</v>
      </c>
      <c r="D7777">
        <v>0</v>
      </c>
      <c r="E7777">
        <v>0.4</v>
      </c>
      <c r="F7777">
        <f t="shared" si="121"/>
        <v>0.4</v>
      </c>
      <c r="I7777">
        <v>20070101</v>
      </c>
      <c r="J7777" t="s">
        <v>7490</v>
      </c>
    </row>
    <row r="7778" spans="1:14" x14ac:dyDescent="0.3">
      <c r="A7778" s="160">
        <v>60506</v>
      </c>
      <c r="B7778" t="s">
        <v>22878</v>
      </c>
      <c r="C7778" t="s">
        <v>7391</v>
      </c>
      <c r="D7778">
        <v>0</v>
      </c>
      <c r="E7778">
        <v>0</v>
      </c>
      <c r="F7778">
        <f t="shared" si="121"/>
        <v>0</v>
      </c>
      <c r="I7778">
        <v>20220701</v>
      </c>
      <c r="J7778" t="s">
        <v>7392</v>
      </c>
    </row>
    <row r="7779" spans="1:14" x14ac:dyDescent="0.3">
      <c r="A7779" s="160">
        <v>60507</v>
      </c>
      <c r="B7779" t="s">
        <v>22879</v>
      </c>
      <c r="C7779" t="s">
        <v>7391</v>
      </c>
      <c r="D7779">
        <v>0</v>
      </c>
      <c r="E7779">
        <v>0</v>
      </c>
      <c r="F7779">
        <f t="shared" si="121"/>
        <v>0</v>
      </c>
      <c r="I7779">
        <v>20220701</v>
      </c>
      <c r="J7779" t="s">
        <v>7392</v>
      </c>
    </row>
    <row r="7780" spans="1:14" x14ac:dyDescent="0.3">
      <c r="A7780" s="160">
        <v>60508</v>
      </c>
      <c r="B7780" t="s">
        <v>22880</v>
      </c>
      <c r="C7780" t="s">
        <v>27560</v>
      </c>
      <c r="D7780">
        <v>0.6</v>
      </c>
      <c r="E7780">
        <v>0.2</v>
      </c>
      <c r="F7780">
        <f t="shared" si="121"/>
        <v>0.8</v>
      </c>
      <c r="I7780">
        <v>20250101</v>
      </c>
      <c r="J7780" t="s">
        <v>7362</v>
      </c>
      <c r="K7780" t="s">
        <v>7414</v>
      </c>
      <c r="L7780" t="s">
        <v>7364</v>
      </c>
    </row>
    <row r="7781" spans="1:14" x14ac:dyDescent="0.3">
      <c r="A7781" s="160">
        <v>60509</v>
      </c>
      <c r="B7781" t="s">
        <v>22881</v>
      </c>
      <c r="C7781" t="s">
        <v>27560</v>
      </c>
      <c r="D7781">
        <v>0.6</v>
      </c>
      <c r="E7781">
        <v>0.2</v>
      </c>
      <c r="F7781">
        <f t="shared" si="121"/>
        <v>0.8</v>
      </c>
      <c r="I7781">
        <v>20250101</v>
      </c>
      <c r="J7781" t="s">
        <v>7362</v>
      </c>
      <c r="K7781" t="s">
        <v>7363</v>
      </c>
      <c r="L7781" t="s">
        <v>7414</v>
      </c>
      <c r="M7781" t="s">
        <v>7364</v>
      </c>
      <c r="N7781" t="s">
        <v>27561</v>
      </c>
    </row>
    <row r="7782" spans="1:14" x14ac:dyDescent="0.3">
      <c r="A7782" s="160">
        <v>60510</v>
      </c>
      <c r="B7782" t="s">
        <v>22882</v>
      </c>
      <c r="C7782" t="s">
        <v>7357</v>
      </c>
      <c r="D7782">
        <v>0</v>
      </c>
      <c r="E7782">
        <v>0.4</v>
      </c>
      <c r="F7782">
        <f t="shared" si="121"/>
        <v>0.4</v>
      </c>
      <c r="I7782">
        <v>20070101</v>
      </c>
      <c r="J7782" t="s">
        <v>7403</v>
      </c>
    </row>
    <row r="7783" spans="1:14" x14ac:dyDescent="0.3">
      <c r="A7783" s="160">
        <v>60511</v>
      </c>
      <c r="B7783" t="s">
        <v>22883</v>
      </c>
      <c r="C7783" t="s">
        <v>7391</v>
      </c>
      <c r="D7783">
        <v>0</v>
      </c>
      <c r="E7783">
        <v>0</v>
      </c>
      <c r="F7783">
        <f t="shared" si="121"/>
        <v>0</v>
      </c>
      <c r="I7783">
        <v>20220701</v>
      </c>
      <c r="J7783" t="s">
        <v>7392</v>
      </c>
    </row>
    <row r="7784" spans="1:14" x14ac:dyDescent="0.3">
      <c r="A7784" s="160">
        <v>60512</v>
      </c>
      <c r="B7784" t="s">
        <v>21890</v>
      </c>
      <c r="C7784" t="s">
        <v>7377</v>
      </c>
      <c r="D7784">
        <v>0.6</v>
      </c>
      <c r="E7784">
        <v>0.2</v>
      </c>
      <c r="F7784">
        <f t="shared" si="121"/>
        <v>0.8</v>
      </c>
      <c r="I7784">
        <v>20121201</v>
      </c>
      <c r="J7784" t="s">
        <v>7379</v>
      </c>
      <c r="K7784" t="s">
        <v>7544</v>
      </c>
    </row>
    <row r="7785" spans="1:14" x14ac:dyDescent="0.3">
      <c r="A7785" s="160">
        <v>60513</v>
      </c>
      <c r="B7785" t="s">
        <v>22884</v>
      </c>
      <c r="C7785" t="s">
        <v>7354</v>
      </c>
      <c r="D7785">
        <v>0.6</v>
      </c>
      <c r="E7785">
        <v>0.2</v>
      </c>
      <c r="F7785">
        <f t="shared" si="121"/>
        <v>0.8</v>
      </c>
      <c r="I7785">
        <v>20190301</v>
      </c>
      <c r="J7785" t="s">
        <v>7444</v>
      </c>
      <c r="K7785" t="s">
        <v>7581</v>
      </c>
    </row>
    <row r="7786" spans="1:14" x14ac:dyDescent="0.3">
      <c r="A7786" s="160">
        <v>60514</v>
      </c>
      <c r="B7786" t="s">
        <v>22885</v>
      </c>
      <c r="C7786" t="s">
        <v>7357</v>
      </c>
      <c r="D7786">
        <v>0</v>
      </c>
      <c r="E7786">
        <v>0.4</v>
      </c>
      <c r="F7786">
        <f t="shared" si="121"/>
        <v>0.4</v>
      </c>
      <c r="I7786">
        <v>20170701</v>
      </c>
      <c r="J7786" t="s">
        <v>7401</v>
      </c>
    </row>
    <row r="7787" spans="1:14" x14ac:dyDescent="0.3">
      <c r="A7787" s="160">
        <v>60515</v>
      </c>
      <c r="B7787" t="s">
        <v>22886</v>
      </c>
      <c r="C7787" t="s">
        <v>7357</v>
      </c>
      <c r="D7787">
        <v>0</v>
      </c>
      <c r="E7787">
        <v>0.4</v>
      </c>
      <c r="F7787">
        <f t="shared" si="121"/>
        <v>0.4</v>
      </c>
      <c r="I7787">
        <v>20070101</v>
      </c>
      <c r="J7787" t="s">
        <v>7399</v>
      </c>
    </row>
    <row r="7788" spans="1:14" x14ac:dyDescent="0.3">
      <c r="A7788" s="160">
        <v>60516</v>
      </c>
      <c r="B7788" t="s">
        <v>22887</v>
      </c>
      <c r="C7788" t="s">
        <v>7357</v>
      </c>
      <c r="D7788">
        <v>0</v>
      </c>
      <c r="E7788">
        <v>0.4</v>
      </c>
      <c r="F7788">
        <f t="shared" si="121"/>
        <v>0.4</v>
      </c>
      <c r="I7788">
        <v>20070101</v>
      </c>
      <c r="J7788" t="s">
        <v>7510</v>
      </c>
    </row>
    <row r="7789" spans="1:14" x14ac:dyDescent="0.3">
      <c r="A7789" s="160">
        <v>60517</v>
      </c>
      <c r="B7789" t="s">
        <v>22888</v>
      </c>
      <c r="C7789" t="s">
        <v>7354</v>
      </c>
      <c r="D7789">
        <v>0.6</v>
      </c>
      <c r="E7789">
        <v>0.2</v>
      </c>
      <c r="F7789">
        <f t="shared" si="121"/>
        <v>0.8</v>
      </c>
      <c r="I7789">
        <v>20190301</v>
      </c>
      <c r="J7789" t="s">
        <v>7389</v>
      </c>
    </row>
    <row r="7790" spans="1:14" x14ac:dyDescent="0.3">
      <c r="A7790" s="160">
        <v>60518</v>
      </c>
      <c r="B7790" t="s">
        <v>22889</v>
      </c>
      <c r="C7790" t="s">
        <v>7357</v>
      </c>
      <c r="D7790">
        <v>0</v>
      </c>
      <c r="E7790">
        <v>0.4</v>
      </c>
      <c r="F7790">
        <f t="shared" si="121"/>
        <v>0.4</v>
      </c>
      <c r="I7790">
        <v>20170701</v>
      </c>
      <c r="J7790" t="s">
        <v>7358</v>
      </c>
    </row>
    <row r="7791" spans="1:14" x14ac:dyDescent="0.3">
      <c r="A7791" s="160">
        <v>60519</v>
      </c>
      <c r="B7791" t="s">
        <v>22890</v>
      </c>
      <c r="C7791" t="s">
        <v>7391</v>
      </c>
      <c r="D7791">
        <v>0</v>
      </c>
      <c r="E7791">
        <v>0</v>
      </c>
      <c r="F7791">
        <f t="shared" si="121"/>
        <v>0</v>
      </c>
      <c r="I7791">
        <v>20220701</v>
      </c>
      <c r="J7791" t="s">
        <v>7419</v>
      </c>
    </row>
    <row r="7792" spans="1:14" x14ac:dyDescent="0.3">
      <c r="A7792" s="160">
        <v>60520</v>
      </c>
      <c r="B7792" t="s">
        <v>22891</v>
      </c>
      <c r="C7792" t="s">
        <v>7357</v>
      </c>
      <c r="D7792">
        <v>0</v>
      </c>
      <c r="E7792">
        <v>0.4</v>
      </c>
      <c r="F7792">
        <f t="shared" si="121"/>
        <v>0.4</v>
      </c>
      <c r="I7792">
        <v>20170701</v>
      </c>
      <c r="J7792" t="s">
        <v>7358</v>
      </c>
    </row>
    <row r="7793" spans="1:13" x14ac:dyDescent="0.3">
      <c r="A7793" s="160">
        <v>60523</v>
      </c>
      <c r="B7793" t="s">
        <v>22892</v>
      </c>
      <c r="C7793" t="s">
        <v>7369</v>
      </c>
      <c r="D7793">
        <v>0.7</v>
      </c>
      <c r="E7793">
        <v>0.2</v>
      </c>
      <c r="F7793">
        <f t="shared" si="121"/>
        <v>0.89999999999999991</v>
      </c>
      <c r="I7793">
        <v>20150101</v>
      </c>
      <c r="J7793" t="s">
        <v>7582</v>
      </c>
    </row>
    <row r="7794" spans="1:13" x14ac:dyDescent="0.3">
      <c r="A7794" s="160">
        <v>60524</v>
      </c>
      <c r="B7794" t="s">
        <v>22893</v>
      </c>
      <c r="C7794" t="s">
        <v>7410</v>
      </c>
      <c r="D7794">
        <v>0.4</v>
      </c>
      <c r="E7794">
        <v>0.4</v>
      </c>
      <c r="F7794">
        <f t="shared" si="121"/>
        <v>0.8</v>
      </c>
      <c r="I7794">
        <v>20230701</v>
      </c>
      <c r="J7794" t="s">
        <v>7465</v>
      </c>
      <c r="K7794" t="s">
        <v>7469</v>
      </c>
      <c r="L7794" t="s">
        <v>7466</v>
      </c>
    </row>
    <row r="7795" spans="1:13" x14ac:dyDescent="0.3">
      <c r="A7795" s="160">
        <v>60525</v>
      </c>
      <c r="B7795" t="s">
        <v>22894</v>
      </c>
      <c r="C7795" t="s">
        <v>7357</v>
      </c>
      <c r="D7795">
        <v>0</v>
      </c>
      <c r="E7795">
        <v>0.4</v>
      </c>
      <c r="F7795">
        <f t="shared" si="121"/>
        <v>0.4</v>
      </c>
      <c r="I7795">
        <v>20070101</v>
      </c>
      <c r="J7795" t="s">
        <v>7415</v>
      </c>
    </row>
    <row r="7796" spans="1:13" x14ac:dyDescent="0.3">
      <c r="A7796" s="160">
        <v>60526</v>
      </c>
      <c r="B7796" t="s">
        <v>22895</v>
      </c>
      <c r="C7796" t="s">
        <v>7357</v>
      </c>
      <c r="D7796">
        <v>0</v>
      </c>
      <c r="E7796">
        <v>0.4</v>
      </c>
      <c r="F7796">
        <f t="shared" si="121"/>
        <v>0.4</v>
      </c>
      <c r="I7796">
        <v>20070101</v>
      </c>
      <c r="J7796" t="s">
        <v>7384</v>
      </c>
      <c r="K7796" t="s">
        <v>7583</v>
      </c>
    </row>
    <row r="7797" spans="1:13" x14ac:dyDescent="0.3">
      <c r="A7797" s="160">
        <v>60527</v>
      </c>
      <c r="B7797" t="s">
        <v>22896</v>
      </c>
      <c r="C7797" t="s">
        <v>7357</v>
      </c>
      <c r="D7797">
        <v>0</v>
      </c>
      <c r="E7797">
        <v>0.4</v>
      </c>
      <c r="F7797">
        <f t="shared" si="121"/>
        <v>0.4</v>
      </c>
      <c r="I7797">
        <v>20070101</v>
      </c>
      <c r="J7797" t="s">
        <v>7360</v>
      </c>
    </row>
    <row r="7798" spans="1:13" x14ac:dyDescent="0.3">
      <c r="A7798" s="160">
        <v>60528</v>
      </c>
      <c r="B7798" t="s">
        <v>22897</v>
      </c>
      <c r="C7798" t="s">
        <v>7357</v>
      </c>
      <c r="D7798">
        <v>0</v>
      </c>
      <c r="E7798">
        <v>0.4</v>
      </c>
      <c r="F7798">
        <f t="shared" si="121"/>
        <v>0.4</v>
      </c>
      <c r="I7798">
        <v>20070101</v>
      </c>
      <c r="J7798" t="s">
        <v>7407</v>
      </c>
    </row>
    <row r="7799" spans="1:13" x14ac:dyDescent="0.3">
      <c r="A7799" s="160">
        <v>60529</v>
      </c>
      <c r="B7799" t="s">
        <v>22898</v>
      </c>
      <c r="C7799" t="s">
        <v>7365</v>
      </c>
      <c r="D7799">
        <v>0.6</v>
      </c>
      <c r="E7799">
        <v>0.2</v>
      </c>
      <c r="F7799">
        <f t="shared" si="121"/>
        <v>0.8</v>
      </c>
      <c r="I7799">
        <v>20240101</v>
      </c>
      <c r="J7799" t="s">
        <v>7366</v>
      </c>
    </row>
    <row r="7800" spans="1:13" x14ac:dyDescent="0.3">
      <c r="A7800" s="160">
        <v>60530</v>
      </c>
      <c r="B7800" t="s">
        <v>22899</v>
      </c>
      <c r="C7800" t="s">
        <v>7369</v>
      </c>
      <c r="D7800">
        <v>0.7</v>
      </c>
      <c r="E7800">
        <v>0.2</v>
      </c>
      <c r="F7800">
        <f t="shared" si="121"/>
        <v>0.89999999999999991</v>
      </c>
      <c r="I7800">
        <v>20210101</v>
      </c>
      <c r="J7800" t="s">
        <v>7447</v>
      </c>
    </row>
    <row r="7801" spans="1:13" x14ac:dyDescent="0.3">
      <c r="A7801" s="160">
        <v>60531</v>
      </c>
      <c r="B7801" t="s">
        <v>22900</v>
      </c>
      <c r="C7801" t="s">
        <v>7398</v>
      </c>
      <c r="D7801">
        <v>0.4</v>
      </c>
      <c r="E7801">
        <v>0.4</v>
      </c>
      <c r="F7801">
        <f t="shared" si="121"/>
        <v>0.8</v>
      </c>
      <c r="I7801">
        <v>20210101</v>
      </c>
      <c r="J7801" t="s">
        <v>7399</v>
      </c>
    </row>
    <row r="7802" spans="1:13" x14ac:dyDescent="0.3">
      <c r="A7802" s="160">
        <v>60532</v>
      </c>
      <c r="B7802" t="s">
        <v>22900</v>
      </c>
      <c r="C7802" t="s">
        <v>7377</v>
      </c>
      <c r="D7802">
        <v>0.6</v>
      </c>
      <c r="E7802">
        <v>0.2</v>
      </c>
      <c r="F7802">
        <f t="shared" si="121"/>
        <v>0.8</v>
      </c>
      <c r="I7802">
        <v>20121201</v>
      </c>
      <c r="J7802" t="s">
        <v>7544</v>
      </c>
    </row>
    <row r="7803" spans="1:13" x14ac:dyDescent="0.3">
      <c r="A7803" s="160">
        <v>60533</v>
      </c>
      <c r="B7803" t="s">
        <v>22901</v>
      </c>
      <c r="C7803" t="s">
        <v>7357</v>
      </c>
      <c r="D7803">
        <v>0</v>
      </c>
      <c r="E7803">
        <v>0.4</v>
      </c>
      <c r="F7803">
        <f t="shared" si="121"/>
        <v>0.4</v>
      </c>
      <c r="I7803">
        <v>20070101</v>
      </c>
      <c r="J7803" t="s">
        <v>7437</v>
      </c>
    </row>
    <row r="7804" spans="1:13" x14ac:dyDescent="0.3">
      <c r="A7804" s="160">
        <v>60534</v>
      </c>
      <c r="B7804" t="s">
        <v>22902</v>
      </c>
      <c r="C7804" t="s">
        <v>7357</v>
      </c>
      <c r="D7804">
        <v>0</v>
      </c>
      <c r="E7804">
        <v>0.4</v>
      </c>
      <c r="F7804">
        <f t="shared" si="121"/>
        <v>0.4</v>
      </c>
      <c r="I7804">
        <v>20070101</v>
      </c>
      <c r="J7804" t="s">
        <v>7584</v>
      </c>
    </row>
    <row r="7805" spans="1:13" x14ac:dyDescent="0.3">
      <c r="A7805" s="160">
        <v>60535</v>
      </c>
      <c r="B7805" t="s">
        <v>22903</v>
      </c>
      <c r="C7805" t="s">
        <v>7357</v>
      </c>
      <c r="D7805">
        <v>0</v>
      </c>
      <c r="E7805">
        <v>0.4</v>
      </c>
      <c r="F7805">
        <f t="shared" si="121"/>
        <v>0.4</v>
      </c>
      <c r="I7805">
        <v>20170701</v>
      </c>
      <c r="J7805" t="s">
        <v>7358</v>
      </c>
    </row>
    <row r="7806" spans="1:13" x14ac:dyDescent="0.3">
      <c r="A7806" s="160">
        <v>60536</v>
      </c>
      <c r="B7806" t="s">
        <v>22904</v>
      </c>
      <c r="C7806" t="s">
        <v>27560</v>
      </c>
      <c r="D7806">
        <v>0.6</v>
      </c>
      <c r="E7806">
        <v>0.2</v>
      </c>
      <c r="F7806">
        <f t="shared" si="121"/>
        <v>0.8</v>
      </c>
      <c r="I7806">
        <v>20250101</v>
      </c>
      <c r="J7806" t="s">
        <v>7585</v>
      </c>
    </row>
    <row r="7807" spans="1:13" x14ac:dyDescent="0.3">
      <c r="A7807" s="160">
        <v>60537</v>
      </c>
      <c r="B7807" t="s">
        <v>22905</v>
      </c>
      <c r="C7807" t="s">
        <v>7357</v>
      </c>
      <c r="D7807">
        <v>0</v>
      </c>
      <c r="E7807">
        <v>0.4</v>
      </c>
      <c r="F7807">
        <f t="shared" si="121"/>
        <v>0.4</v>
      </c>
      <c r="I7807">
        <v>20070101</v>
      </c>
      <c r="J7807" t="s">
        <v>7413</v>
      </c>
      <c r="K7807" t="s">
        <v>7586</v>
      </c>
      <c r="L7807" t="s">
        <v>7463</v>
      </c>
      <c r="M7807" t="s">
        <v>7464</v>
      </c>
    </row>
    <row r="7808" spans="1:13" x14ac:dyDescent="0.3">
      <c r="A7808" s="160">
        <v>60538</v>
      </c>
      <c r="B7808" t="s">
        <v>22906</v>
      </c>
      <c r="C7808" t="s">
        <v>7357</v>
      </c>
      <c r="D7808">
        <v>0</v>
      </c>
      <c r="E7808">
        <v>0.4</v>
      </c>
      <c r="F7808">
        <f t="shared" si="121"/>
        <v>0.4</v>
      </c>
      <c r="I7808">
        <v>20070101</v>
      </c>
      <c r="J7808" t="s">
        <v>7437</v>
      </c>
    </row>
    <row r="7809" spans="1:11" x14ac:dyDescent="0.3">
      <c r="A7809" s="160">
        <v>60539</v>
      </c>
      <c r="B7809" t="s">
        <v>22907</v>
      </c>
      <c r="C7809" t="s">
        <v>27560</v>
      </c>
      <c r="D7809">
        <v>0.6</v>
      </c>
      <c r="E7809">
        <v>0.2</v>
      </c>
      <c r="F7809">
        <f t="shared" si="121"/>
        <v>0.8</v>
      </c>
      <c r="I7809">
        <v>20250101</v>
      </c>
      <c r="J7809" t="s">
        <v>7455</v>
      </c>
      <c r="K7809" t="s">
        <v>7456</v>
      </c>
    </row>
    <row r="7810" spans="1:11" x14ac:dyDescent="0.3">
      <c r="A7810" s="160">
        <v>60540</v>
      </c>
      <c r="B7810" t="s">
        <v>22908</v>
      </c>
      <c r="C7810" t="s">
        <v>7398</v>
      </c>
      <c r="D7810">
        <v>0.4</v>
      </c>
      <c r="E7810">
        <v>0.4</v>
      </c>
      <c r="F7810">
        <f t="shared" si="121"/>
        <v>0.8</v>
      </c>
      <c r="I7810">
        <v>20210101</v>
      </c>
      <c r="J7810" t="s">
        <v>7562</v>
      </c>
    </row>
    <row r="7811" spans="1:11" x14ac:dyDescent="0.3">
      <c r="A7811" s="160">
        <v>60541</v>
      </c>
      <c r="B7811" t="s">
        <v>22909</v>
      </c>
      <c r="C7811" t="s">
        <v>27560</v>
      </c>
      <c r="D7811">
        <v>0.6</v>
      </c>
      <c r="E7811">
        <v>0.2</v>
      </c>
      <c r="F7811">
        <f t="shared" si="121"/>
        <v>0.8</v>
      </c>
      <c r="I7811">
        <v>20250101</v>
      </c>
      <c r="J7811" t="s">
        <v>7585</v>
      </c>
    </row>
    <row r="7812" spans="1:11" x14ac:dyDescent="0.3">
      <c r="A7812" s="160">
        <v>60542</v>
      </c>
      <c r="B7812" t="s">
        <v>22910</v>
      </c>
      <c r="C7812" t="s">
        <v>7369</v>
      </c>
      <c r="D7812">
        <v>0.7</v>
      </c>
      <c r="E7812">
        <v>0.2</v>
      </c>
      <c r="F7812">
        <f t="shared" si="121"/>
        <v>0.89999999999999991</v>
      </c>
      <c r="I7812">
        <v>20150101</v>
      </c>
      <c r="J7812" t="s">
        <v>7447</v>
      </c>
    </row>
    <row r="7813" spans="1:11" x14ac:dyDescent="0.3">
      <c r="A7813" s="160">
        <v>60543</v>
      </c>
      <c r="B7813" t="s">
        <v>22911</v>
      </c>
      <c r="C7813" t="s">
        <v>7357</v>
      </c>
      <c r="D7813">
        <v>0</v>
      </c>
      <c r="E7813">
        <v>0.4</v>
      </c>
      <c r="F7813">
        <f t="shared" si="121"/>
        <v>0.4</v>
      </c>
      <c r="I7813">
        <v>20070101</v>
      </c>
      <c r="J7813" t="s">
        <v>7402</v>
      </c>
    </row>
    <row r="7814" spans="1:11" x14ac:dyDescent="0.3">
      <c r="A7814" s="160">
        <v>60546</v>
      </c>
      <c r="B7814" t="s">
        <v>20001</v>
      </c>
      <c r="C7814" t="s">
        <v>7357</v>
      </c>
      <c r="D7814">
        <v>0</v>
      </c>
      <c r="E7814">
        <v>0.4</v>
      </c>
      <c r="F7814">
        <f t="shared" si="121"/>
        <v>0.4</v>
      </c>
      <c r="I7814">
        <v>20070101</v>
      </c>
      <c r="J7814" t="s">
        <v>7446</v>
      </c>
    </row>
    <row r="7815" spans="1:11" x14ac:dyDescent="0.3">
      <c r="A7815" s="160">
        <v>60547</v>
      </c>
      <c r="B7815" t="s">
        <v>22912</v>
      </c>
      <c r="C7815" t="s">
        <v>7410</v>
      </c>
      <c r="D7815">
        <v>0.4</v>
      </c>
      <c r="E7815">
        <v>0.4</v>
      </c>
      <c r="F7815">
        <f t="shared" ref="F7815:F7878" si="122">D7815+E7815</f>
        <v>0.8</v>
      </c>
      <c r="I7815">
        <v>20230701</v>
      </c>
      <c r="J7815" t="s">
        <v>7411</v>
      </c>
    </row>
    <row r="7816" spans="1:11" x14ac:dyDescent="0.3">
      <c r="A7816" s="160">
        <v>60548</v>
      </c>
      <c r="B7816" t="s">
        <v>22913</v>
      </c>
      <c r="C7816" t="s">
        <v>7357</v>
      </c>
      <c r="D7816">
        <v>0</v>
      </c>
      <c r="E7816">
        <v>0.4</v>
      </c>
      <c r="F7816">
        <f t="shared" si="122"/>
        <v>0.4</v>
      </c>
      <c r="I7816">
        <v>20070101</v>
      </c>
      <c r="J7816" t="s">
        <v>7360</v>
      </c>
    </row>
    <row r="7817" spans="1:11" x14ac:dyDescent="0.3">
      <c r="A7817" s="160">
        <v>60549</v>
      </c>
      <c r="B7817" t="s">
        <v>22914</v>
      </c>
      <c r="C7817" t="s">
        <v>7369</v>
      </c>
      <c r="D7817">
        <v>0.7</v>
      </c>
      <c r="E7817">
        <v>0.2</v>
      </c>
      <c r="F7817">
        <f t="shared" si="122"/>
        <v>0.89999999999999991</v>
      </c>
      <c r="I7817">
        <v>20210101</v>
      </c>
      <c r="J7817" t="s">
        <v>7401</v>
      </c>
    </row>
    <row r="7818" spans="1:11" x14ac:dyDescent="0.3">
      <c r="A7818" s="160">
        <v>60550</v>
      </c>
      <c r="B7818" t="s">
        <v>22915</v>
      </c>
      <c r="C7818" t="s">
        <v>7357</v>
      </c>
      <c r="D7818">
        <v>0</v>
      </c>
      <c r="E7818">
        <v>0.4</v>
      </c>
      <c r="F7818">
        <f t="shared" si="122"/>
        <v>0.4</v>
      </c>
      <c r="I7818">
        <v>20170701</v>
      </c>
      <c r="J7818" t="s">
        <v>7359</v>
      </c>
    </row>
    <row r="7819" spans="1:11" x14ac:dyDescent="0.3">
      <c r="A7819" s="160">
        <v>60551</v>
      </c>
      <c r="B7819" t="s">
        <v>22916</v>
      </c>
      <c r="C7819" t="s">
        <v>7516</v>
      </c>
      <c r="D7819">
        <v>0.6</v>
      </c>
      <c r="E7819">
        <v>0.2</v>
      </c>
      <c r="F7819">
        <f t="shared" si="122"/>
        <v>0.8</v>
      </c>
      <c r="I7819">
        <v>20170101</v>
      </c>
      <c r="J7819" t="s">
        <v>7496</v>
      </c>
    </row>
    <row r="7820" spans="1:11" x14ac:dyDescent="0.3">
      <c r="A7820" s="160">
        <v>60552</v>
      </c>
      <c r="B7820" t="s">
        <v>22917</v>
      </c>
      <c r="C7820" t="s">
        <v>7357</v>
      </c>
      <c r="D7820">
        <v>0</v>
      </c>
      <c r="E7820">
        <v>0.4</v>
      </c>
      <c r="F7820">
        <f t="shared" si="122"/>
        <v>0.4</v>
      </c>
      <c r="I7820">
        <v>20070101</v>
      </c>
      <c r="J7820" t="s">
        <v>7402</v>
      </c>
    </row>
    <row r="7821" spans="1:11" x14ac:dyDescent="0.3">
      <c r="A7821" s="160">
        <v>60553</v>
      </c>
      <c r="B7821" t="s">
        <v>22918</v>
      </c>
      <c r="C7821" t="s">
        <v>7357</v>
      </c>
      <c r="D7821">
        <v>0</v>
      </c>
      <c r="E7821">
        <v>0.4</v>
      </c>
      <c r="F7821">
        <f t="shared" si="122"/>
        <v>0.4</v>
      </c>
      <c r="I7821">
        <v>20070101</v>
      </c>
      <c r="J7821" t="s">
        <v>7399</v>
      </c>
    </row>
    <row r="7822" spans="1:11" x14ac:dyDescent="0.3">
      <c r="A7822" s="160">
        <v>60554</v>
      </c>
      <c r="B7822" t="s">
        <v>22919</v>
      </c>
      <c r="C7822" t="s">
        <v>7357</v>
      </c>
      <c r="D7822">
        <v>0</v>
      </c>
      <c r="E7822">
        <v>0.4</v>
      </c>
      <c r="F7822">
        <f t="shared" si="122"/>
        <v>0.4</v>
      </c>
      <c r="I7822">
        <v>20070101</v>
      </c>
      <c r="J7822" t="s">
        <v>7360</v>
      </c>
    </row>
    <row r="7823" spans="1:11" x14ac:dyDescent="0.3">
      <c r="A7823" s="160">
        <v>60555</v>
      </c>
      <c r="B7823" t="s">
        <v>22920</v>
      </c>
      <c r="C7823" t="s">
        <v>7357</v>
      </c>
      <c r="D7823">
        <v>0</v>
      </c>
      <c r="E7823">
        <v>0</v>
      </c>
      <c r="F7823">
        <f t="shared" si="122"/>
        <v>0</v>
      </c>
      <c r="I7823">
        <v>20210101</v>
      </c>
      <c r="J7823" t="s">
        <v>7388</v>
      </c>
    </row>
    <row r="7824" spans="1:11" x14ac:dyDescent="0.3">
      <c r="A7824" s="160">
        <v>60557</v>
      </c>
      <c r="B7824" t="s">
        <v>22921</v>
      </c>
      <c r="C7824" t="s">
        <v>7357</v>
      </c>
      <c r="D7824">
        <v>0</v>
      </c>
      <c r="E7824">
        <v>0.4</v>
      </c>
      <c r="F7824">
        <f t="shared" si="122"/>
        <v>0.4</v>
      </c>
      <c r="I7824">
        <v>20170701</v>
      </c>
      <c r="J7824" t="s">
        <v>7359</v>
      </c>
    </row>
    <row r="7825" spans="1:14" x14ac:dyDescent="0.3">
      <c r="A7825" s="160">
        <v>60558</v>
      </c>
      <c r="B7825" t="s">
        <v>22922</v>
      </c>
      <c r="C7825" t="s">
        <v>7357</v>
      </c>
      <c r="D7825">
        <v>0</v>
      </c>
      <c r="E7825">
        <v>0.4</v>
      </c>
      <c r="F7825">
        <f t="shared" si="122"/>
        <v>0.4</v>
      </c>
      <c r="I7825">
        <v>20070101</v>
      </c>
      <c r="J7825" t="s">
        <v>7405</v>
      </c>
    </row>
    <row r="7826" spans="1:14" x14ac:dyDescent="0.3">
      <c r="A7826" s="160">
        <v>60559</v>
      </c>
      <c r="B7826" t="s">
        <v>22923</v>
      </c>
      <c r="C7826" t="s">
        <v>7369</v>
      </c>
      <c r="D7826">
        <v>0.7</v>
      </c>
      <c r="E7826">
        <v>0.2</v>
      </c>
      <c r="F7826">
        <f t="shared" si="122"/>
        <v>0.89999999999999991</v>
      </c>
      <c r="I7826">
        <v>20210101</v>
      </c>
      <c r="J7826" t="s">
        <v>7447</v>
      </c>
    </row>
    <row r="7827" spans="1:14" x14ac:dyDescent="0.3">
      <c r="A7827" s="160">
        <v>60560</v>
      </c>
      <c r="B7827" t="s">
        <v>22924</v>
      </c>
      <c r="C7827" t="s">
        <v>7357</v>
      </c>
      <c r="D7827">
        <v>0</v>
      </c>
      <c r="E7827">
        <v>0.4</v>
      </c>
      <c r="F7827">
        <f t="shared" si="122"/>
        <v>0.4</v>
      </c>
      <c r="I7827">
        <v>20070101</v>
      </c>
      <c r="J7827" t="s">
        <v>7415</v>
      </c>
    </row>
    <row r="7828" spans="1:14" x14ac:dyDescent="0.3">
      <c r="A7828" s="160">
        <v>60561</v>
      </c>
      <c r="B7828" t="s">
        <v>22925</v>
      </c>
      <c r="C7828" t="s">
        <v>7357</v>
      </c>
      <c r="D7828">
        <v>0</v>
      </c>
      <c r="E7828">
        <v>0.4</v>
      </c>
      <c r="F7828">
        <f t="shared" si="122"/>
        <v>0.4</v>
      </c>
      <c r="I7828">
        <v>20070101</v>
      </c>
      <c r="J7828" t="s">
        <v>7550</v>
      </c>
    </row>
    <row r="7829" spans="1:14" x14ac:dyDescent="0.3">
      <c r="A7829" s="160">
        <v>60562</v>
      </c>
      <c r="B7829" t="s">
        <v>22926</v>
      </c>
      <c r="C7829" t="s">
        <v>27560</v>
      </c>
      <c r="D7829">
        <v>0.6</v>
      </c>
      <c r="E7829">
        <v>0.2</v>
      </c>
      <c r="F7829">
        <f t="shared" si="122"/>
        <v>0.8</v>
      </c>
      <c r="I7829">
        <v>20250101</v>
      </c>
      <c r="J7829" t="s">
        <v>7362</v>
      </c>
    </row>
    <row r="7830" spans="1:14" x14ac:dyDescent="0.3">
      <c r="A7830" s="160">
        <v>60563</v>
      </c>
      <c r="B7830" t="s">
        <v>22927</v>
      </c>
      <c r="C7830" t="s">
        <v>27560</v>
      </c>
      <c r="D7830">
        <v>0.6</v>
      </c>
      <c r="E7830">
        <v>0.2</v>
      </c>
      <c r="F7830">
        <f t="shared" si="122"/>
        <v>0.8</v>
      </c>
      <c r="I7830">
        <v>20250101</v>
      </c>
      <c r="J7830" t="s">
        <v>7399</v>
      </c>
    </row>
    <row r="7831" spans="1:14" x14ac:dyDescent="0.3">
      <c r="A7831" s="160">
        <v>60564</v>
      </c>
      <c r="B7831" t="s">
        <v>22928</v>
      </c>
      <c r="C7831" t="s">
        <v>7357</v>
      </c>
      <c r="D7831">
        <v>0</v>
      </c>
      <c r="E7831">
        <v>0</v>
      </c>
      <c r="F7831">
        <f t="shared" si="122"/>
        <v>0</v>
      </c>
      <c r="I7831">
        <v>20210101</v>
      </c>
      <c r="J7831" t="s">
        <v>7542</v>
      </c>
    </row>
    <row r="7832" spans="1:14" x14ac:dyDescent="0.3">
      <c r="A7832" s="160">
        <v>60565</v>
      </c>
      <c r="B7832" t="s">
        <v>22929</v>
      </c>
      <c r="C7832" t="s">
        <v>7357</v>
      </c>
      <c r="D7832">
        <v>0</v>
      </c>
      <c r="E7832">
        <v>0.4</v>
      </c>
      <c r="F7832">
        <f t="shared" si="122"/>
        <v>0.4</v>
      </c>
      <c r="I7832">
        <v>20210101</v>
      </c>
      <c r="J7832" t="s">
        <v>7358</v>
      </c>
    </row>
    <row r="7833" spans="1:14" x14ac:dyDescent="0.3">
      <c r="A7833" s="160">
        <v>60566</v>
      </c>
      <c r="B7833" t="s">
        <v>19816</v>
      </c>
      <c r="C7833" t="s">
        <v>7357</v>
      </c>
      <c r="D7833">
        <v>0</v>
      </c>
      <c r="E7833">
        <v>0.4</v>
      </c>
      <c r="F7833">
        <f t="shared" si="122"/>
        <v>0.4</v>
      </c>
      <c r="I7833">
        <v>20210101</v>
      </c>
      <c r="J7833" t="s">
        <v>7461</v>
      </c>
    </row>
    <row r="7834" spans="1:14" x14ac:dyDescent="0.3">
      <c r="A7834" s="160">
        <v>60567</v>
      </c>
      <c r="B7834" t="s">
        <v>22930</v>
      </c>
      <c r="C7834" t="s">
        <v>7357</v>
      </c>
      <c r="D7834">
        <v>0</v>
      </c>
      <c r="E7834">
        <v>0.4</v>
      </c>
      <c r="F7834">
        <f t="shared" si="122"/>
        <v>0.4</v>
      </c>
      <c r="I7834">
        <v>20070101</v>
      </c>
      <c r="J7834" t="s">
        <v>7443</v>
      </c>
    </row>
    <row r="7835" spans="1:14" x14ac:dyDescent="0.3">
      <c r="A7835" s="160">
        <v>60568</v>
      </c>
      <c r="B7835" t="s">
        <v>22931</v>
      </c>
      <c r="C7835" t="s">
        <v>7365</v>
      </c>
      <c r="D7835">
        <v>0.6</v>
      </c>
      <c r="E7835">
        <v>0.2</v>
      </c>
      <c r="F7835">
        <f t="shared" si="122"/>
        <v>0.8</v>
      </c>
      <c r="I7835">
        <v>20240101</v>
      </c>
      <c r="J7835" t="s">
        <v>7366</v>
      </c>
    </row>
    <row r="7836" spans="1:14" x14ac:dyDescent="0.3">
      <c r="A7836" s="160">
        <v>60569</v>
      </c>
      <c r="B7836" t="s">
        <v>22932</v>
      </c>
      <c r="C7836" t="s">
        <v>7357</v>
      </c>
      <c r="D7836">
        <v>0</v>
      </c>
      <c r="E7836">
        <v>0.4</v>
      </c>
      <c r="F7836">
        <f t="shared" si="122"/>
        <v>0.4</v>
      </c>
      <c r="I7836">
        <v>20070101</v>
      </c>
      <c r="J7836" t="s">
        <v>7413</v>
      </c>
    </row>
    <row r="7837" spans="1:14" x14ac:dyDescent="0.3">
      <c r="A7837" s="160">
        <v>60570</v>
      </c>
      <c r="B7837" t="s">
        <v>22933</v>
      </c>
      <c r="C7837" t="s">
        <v>7377</v>
      </c>
      <c r="D7837">
        <v>0.6</v>
      </c>
      <c r="E7837">
        <v>0.2</v>
      </c>
      <c r="F7837">
        <f t="shared" si="122"/>
        <v>0.8</v>
      </c>
      <c r="I7837">
        <v>20121201</v>
      </c>
      <c r="J7837" t="s">
        <v>7380</v>
      </c>
      <c r="K7837" t="s">
        <v>7564</v>
      </c>
      <c r="L7837" t="s">
        <v>7587</v>
      </c>
      <c r="M7837" t="s">
        <v>7554</v>
      </c>
      <c r="N7837" t="s">
        <v>7544</v>
      </c>
    </row>
    <row r="7838" spans="1:14" x14ac:dyDescent="0.3">
      <c r="A7838" s="160">
        <v>60571</v>
      </c>
      <c r="B7838" t="s">
        <v>22934</v>
      </c>
      <c r="C7838" t="s">
        <v>7357</v>
      </c>
      <c r="D7838">
        <v>0</v>
      </c>
      <c r="E7838">
        <v>0.4</v>
      </c>
      <c r="F7838">
        <f t="shared" si="122"/>
        <v>0.4</v>
      </c>
      <c r="I7838">
        <v>20210101</v>
      </c>
      <c r="J7838" t="s">
        <v>7417</v>
      </c>
    </row>
    <row r="7839" spans="1:14" x14ac:dyDescent="0.3">
      <c r="A7839" s="160">
        <v>60572</v>
      </c>
      <c r="B7839" t="s">
        <v>22935</v>
      </c>
      <c r="C7839" t="s">
        <v>7357</v>
      </c>
      <c r="D7839">
        <v>0</v>
      </c>
      <c r="E7839">
        <v>0.4</v>
      </c>
      <c r="F7839">
        <f t="shared" si="122"/>
        <v>0.4</v>
      </c>
      <c r="I7839">
        <v>20070101</v>
      </c>
      <c r="J7839" t="s">
        <v>7400</v>
      </c>
    </row>
    <row r="7840" spans="1:14" x14ac:dyDescent="0.3">
      <c r="A7840" s="160">
        <v>60573</v>
      </c>
      <c r="B7840" t="s">
        <v>22936</v>
      </c>
      <c r="C7840" t="s">
        <v>7357</v>
      </c>
      <c r="D7840">
        <v>0</v>
      </c>
      <c r="E7840">
        <v>0.4</v>
      </c>
      <c r="F7840">
        <f t="shared" si="122"/>
        <v>0.4</v>
      </c>
      <c r="I7840">
        <v>20170701</v>
      </c>
      <c r="J7840" t="s">
        <v>7358</v>
      </c>
    </row>
    <row r="7841" spans="1:19" x14ac:dyDescent="0.3">
      <c r="A7841" s="160">
        <v>60574</v>
      </c>
      <c r="B7841" t="s">
        <v>22937</v>
      </c>
      <c r="C7841" t="s">
        <v>7354</v>
      </c>
      <c r="D7841">
        <v>0.6</v>
      </c>
      <c r="E7841">
        <v>0.2</v>
      </c>
      <c r="F7841">
        <f t="shared" si="122"/>
        <v>0.8</v>
      </c>
      <c r="I7841">
        <v>20190301</v>
      </c>
      <c r="J7841" t="s">
        <v>7438</v>
      </c>
    </row>
    <row r="7842" spans="1:19" x14ac:dyDescent="0.3">
      <c r="A7842" s="160">
        <v>60575</v>
      </c>
      <c r="B7842" t="s">
        <v>20634</v>
      </c>
      <c r="C7842" t="s">
        <v>7354</v>
      </c>
      <c r="D7842">
        <v>0.6</v>
      </c>
      <c r="E7842">
        <v>0.2</v>
      </c>
      <c r="F7842">
        <f t="shared" si="122"/>
        <v>0.8</v>
      </c>
      <c r="I7842">
        <v>20190301</v>
      </c>
      <c r="J7842" t="s">
        <v>7356</v>
      </c>
      <c r="K7842" t="s">
        <v>7473</v>
      </c>
      <c r="L7842" t="s">
        <v>7588</v>
      </c>
    </row>
    <row r="7843" spans="1:19" x14ac:dyDescent="0.3">
      <c r="A7843" s="160">
        <v>60576</v>
      </c>
      <c r="B7843" t="s">
        <v>22938</v>
      </c>
      <c r="C7843" t="s">
        <v>7369</v>
      </c>
      <c r="D7843">
        <v>0.7</v>
      </c>
      <c r="E7843">
        <v>0.2</v>
      </c>
      <c r="F7843">
        <f t="shared" si="122"/>
        <v>0.89999999999999991</v>
      </c>
      <c r="I7843">
        <v>20150101</v>
      </c>
      <c r="J7843" t="s">
        <v>7443</v>
      </c>
    </row>
    <row r="7844" spans="1:19" x14ac:dyDescent="0.3">
      <c r="A7844" s="160">
        <v>60577</v>
      </c>
      <c r="B7844" t="s">
        <v>22939</v>
      </c>
      <c r="C7844" t="s">
        <v>7357</v>
      </c>
      <c r="D7844">
        <v>0</v>
      </c>
      <c r="E7844">
        <v>0.4</v>
      </c>
      <c r="F7844">
        <f t="shared" si="122"/>
        <v>0.4</v>
      </c>
      <c r="I7844">
        <v>20070101</v>
      </c>
      <c r="J7844" t="s">
        <v>7510</v>
      </c>
    </row>
    <row r="7845" spans="1:19" x14ac:dyDescent="0.3">
      <c r="A7845" s="160">
        <v>60578</v>
      </c>
      <c r="B7845" t="s">
        <v>22940</v>
      </c>
      <c r="C7845" t="s">
        <v>7397</v>
      </c>
      <c r="D7845">
        <v>0.7</v>
      </c>
      <c r="E7845">
        <v>0</v>
      </c>
      <c r="F7845">
        <f t="shared" si="122"/>
        <v>0.7</v>
      </c>
      <c r="I7845">
        <v>20210101</v>
      </c>
      <c r="J7845" t="s">
        <v>7585</v>
      </c>
      <c r="K7845" t="s">
        <v>7589</v>
      </c>
    </row>
    <row r="7846" spans="1:19" x14ac:dyDescent="0.3">
      <c r="A7846" s="160">
        <v>60579</v>
      </c>
      <c r="B7846" t="s">
        <v>22941</v>
      </c>
      <c r="C7846" t="s">
        <v>7397</v>
      </c>
      <c r="D7846">
        <v>0.7</v>
      </c>
      <c r="E7846">
        <v>0.2</v>
      </c>
      <c r="F7846">
        <f t="shared" si="122"/>
        <v>0.89999999999999991</v>
      </c>
      <c r="I7846">
        <v>20180701</v>
      </c>
      <c r="J7846" t="s">
        <v>7400</v>
      </c>
    </row>
    <row r="7847" spans="1:19" x14ac:dyDescent="0.3">
      <c r="A7847" s="160">
        <v>60581</v>
      </c>
      <c r="B7847" t="s">
        <v>22942</v>
      </c>
      <c r="C7847" t="s">
        <v>7357</v>
      </c>
      <c r="D7847">
        <v>0</v>
      </c>
      <c r="E7847">
        <v>0.4</v>
      </c>
      <c r="F7847">
        <f t="shared" si="122"/>
        <v>0.4</v>
      </c>
      <c r="I7847">
        <v>20210101</v>
      </c>
      <c r="J7847" t="s">
        <v>7384</v>
      </c>
      <c r="K7847" t="s">
        <v>7583</v>
      </c>
      <c r="L7847" t="s">
        <v>7579</v>
      </c>
    </row>
    <row r="7848" spans="1:19" x14ac:dyDescent="0.3">
      <c r="A7848" s="160">
        <v>60582</v>
      </c>
      <c r="B7848" t="s">
        <v>22943</v>
      </c>
      <c r="C7848" t="s">
        <v>7357</v>
      </c>
      <c r="D7848">
        <v>0</v>
      </c>
      <c r="E7848">
        <v>0.4</v>
      </c>
      <c r="F7848">
        <f t="shared" si="122"/>
        <v>0.4</v>
      </c>
      <c r="I7848">
        <v>20070101</v>
      </c>
      <c r="J7848" t="s">
        <v>7413</v>
      </c>
    </row>
    <row r="7849" spans="1:19" x14ac:dyDescent="0.3">
      <c r="A7849" s="160">
        <v>60583</v>
      </c>
      <c r="B7849" t="s">
        <v>22944</v>
      </c>
      <c r="C7849" t="s">
        <v>7369</v>
      </c>
      <c r="D7849">
        <v>0.7</v>
      </c>
      <c r="E7849">
        <v>0.2</v>
      </c>
      <c r="F7849">
        <f t="shared" si="122"/>
        <v>0.89999999999999991</v>
      </c>
      <c r="I7849">
        <v>20150101</v>
      </c>
      <c r="J7849" t="s">
        <v>7582</v>
      </c>
    </row>
    <row r="7850" spans="1:19" x14ac:dyDescent="0.3">
      <c r="A7850" s="160">
        <v>60584</v>
      </c>
      <c r="B7850" t="s">
        <v>22945</v>
      </c>
      <c r="C7850" t="s">
        <v>7516</v>
      </c>
      <c r="D7850">
        <v>0.6</v>
      </c>
      <c r="E7850">
        <v>0.2</v>
      </c>
      <c r="F7850">
        <f t="shared" si="122"/>
        <v>0.8</v>
      </c>
      <c r="I7850">
        <v>20170101</v>
      </c>
      <c r="J7850" t="s">
        <v>7590</v>
      </c>
      <c r="K7850" t="s">
        <v>7591</v>
      </c>
      <c r="L7850" t="s">
        <v>7581</v>
      </c>
    </row>
    <row r="7851" spans="1:19" x14ac:dyDescent="0.3">
      <c r="A7851" s="160">
        <v>60586</v>
      </c>
      <c r="B7851" t="s">
        <v>22946</v>
      </c>
      <c r="C7851" t="s">
        <v>7369</v>
      </c>
      <c r="D7851">
        <v>0.7</v>
      </c>
      <c r="E7851">
        <v>0.2</v>
      </c>
      <c r="F7851">
        <f t="shared" si="122"/>
        <v>0.89999999999999991</v>
      </c>
      <c r="I7851">
        <v>20150101</v>
      </c>
      <c r="J7851" t="s">
        <v>7370</v>
      </c>
    </row>
    <row r="7852" spans="1:19" x14ac:dyDescent="0.3">
      <c r="A7852" s="160">
        <v>60587</v>
      </c>
      <c r="B7852" t="s">
        <v>22947</v>
      </c>
      <c r="C7852" t="s">
        <v>27560</v>
      </c>
      <c r="D7852">
        <v>0.6</v>
      </c>
      <c r="E7852">
        <v>0.2</v>
      </c>
      <c r="F7852">
        <f t="shared" si="122"/>
        <v>0.8</v>
      </c>
      <c r="I7852">
        <v>20250101</v>
      </c>
      <c r="J7852" t="s">
        <v>7362</v>
      </c>
      <c r="K7852" t="s">
        <v>7414</v>
      </c>
      <c r="L7852" t="s">
        <v>7364</v>
      </c>
    </row>
    <row r="7853" spans="1:19" x14ac:dyDescent="0.3">
      <c r="A7853" s="160">
        <v>60588</v>
      </c>
      <c r="B7853" t="s">
        <v>19372</v>
      </c>
      <c r="C7853" t="s">
        <v>7357</v>
      </c>
      <c r="D7853">
        <v>0</v>
      </c>
      <c r="E7853">
        <v>0.4</v>
      </c>
      <c r="F7853">
        <f t="shared" si="122"/>
        <v>0.4</v>
      </c>
      <c r="I7853">
        <v>20170701</v>
      </c>
      <c r="J7853" t="s">
        <v>7418</v>
      </c>
    </row>
    <row r="7854" spans="1:19" x14ac:dyDescent="0.3">
      <c r="A7854" s="160">
        <v>60589</v>
      </c>
      <c r="B7854" t="s">
        <v>19541</v>
      </c>
      <c r="C7854" t="s">
        <v>7516</v>
      </c>
      <c r="D7854">
        <v>0.6</v>
      </c>
      <c r="E7854">
        <v>0.2</v>
      </c>
      <c r="F7854">
        <f t="shared" si="122"/>
        <v>0.8</v>
      </c>
      <c r="I7854">
        <v>20170101</v>
      </c>
      <c r="J7854" t="s">
        <v>7521</v>
      </c>
      <c r="K7854" t="s">
        <v>7527</v>
      </c>
      <c r="L7854" t="s">
        <v>7592</v>
      </c>
      <c r="M7854" t="s">
        <v>7482</v>
      </c>
      <c r="N7854" t="s">
        <v>7593</v>
      </c>
      <c r="O7854" t="s">
        <v>7591</v>
      </c>
      <c r="P7854" t="s">
        <v>7594</v>
      </c>
      <c r="Q7854" t="s">
        <v>7595</v>
      </c>
      <c r="R7854" t="s">
        <v>7596</v>
      </c>
      <c r="S7854" t="s">
        <v>7489</v>
      </c>
    </row>
    <row r="7855" spans="1:19" x14ac:dyDescent="0.3">
      <c r="A7855" s="160">
        <v>60590</v>
      </c>
      <c r="B7855" t="s">
        <v>22948</v>
      </c>
      <c r="C7855" t="s">
        <v>7357</v>
      </c>
      <c r="D7855">
        <v>0</v>
      </c>
      <c r="E7855">
        <v>0.4</v>
      </c>
      <c r="F7855">
        <f t="shared" si="122"/>
        <v>0.4</v>
      </c>
      <c r="I7855">
        <v>20170701</v>
      </c>
      <c r="J7855" t="s">
        <v>7445</v>
      </c>
    </row>
    <row r="7856" spans="1:19" x14ac:dyDescent="0.3">
      <c r="A7856" s="160">
        <v>60591</v>
      </c>
      <c r="B7856" t="s">
        <v>16925</v>
      </c>
      <c r="C7856" t="s">
        <v>7369</v>
      </c>
      <c r="D7856">
        <v>0.7</v>
      </c>
      <c r="E7856">
        <v>0.2</v>
      </c>
      <c r="F7856">
        <f t="shared" si="122"/>
        <v>0.89999999999999991</v>
      </c>
      <c r="I7856">
        <v>20150101</v>
      </c>
      <c r="J7856" t="s">
        <v>7443</v>
      </c>
    </row>
    <row r="7857" spans="1:19" x14ac:dyDescent="0.3">
      <c r="A7857" s="160">
        <v>60592</v>
      </c>
      <c r="B7857" t="s">
        <v>22949</v>
      </c>
      <c r="C7857" t="s">
        <v>7357</v>
      </c>
      <c r="D7857">
        <v>0</v>
      </c>
      <c r="E7857">
        <v>0.4</v>
      </c>
      <c r="F7857">
        <f t="shared" si="122"/>
        <v>0.4</v>
      </c>
      <c r="I7857">
        <v>20070101</v>
      </c>
      <c r="J7857" t="s">
        <v>7510</v>
      </c>
    </row>
    <row r="7858" spans="1:19" x14ac:dyDescent="0.3">
      <c r="A7858" s="160">
        <v>60593</v>
      </c>
      <c r="B7858" t="s">
        <v>22950</v>
      </c>
      <c r="C7858" t="s">
        <v>7357</v>
      </c>
      <c r="D7858">
        <v>0</v>
      </c>
      <c r="E7858">
        <v>0.4</v>
      </c>
      <c r="F7858">
        <f t="shared" si="122"/>
        <v>0.4</v>
      </c>
      <c r="I7858">
        <v>20210101</v>
      </c>
      <c r="J7858" t="s">
        <v>7400</v>
      </c>
    </row>
    <row r="7859" spans="1:19" x14ac:dyDescent="0.3">
      <c r="A7859" s="160">
        <v>60594</v>
      </c>
      <c r="B7859" t="s">
        <v>22951</v>
      </c>
      <c r="C7859" t="s">
        <v>7357</v>
      </c>
      <c r="D7859">
        <v>0</v>
      </c>
      <c r="E7859">
        <v>0</v>
      </c>
      <c r="F7859">
        <f t="shared" si="122"/>
        <v>0</v>
      </c>
      <c r="I7859">
        <v>20210101</v>
      </c>
      <c r="J7859" t="s">
        <v>7417</v>
      </c>
    </row>
    <row r="7860" spans="1:19" x14ac:dyDescent="0.3">
      <c r="A7860" s="160">
        <v>60595</v>
      </c>
      <c r="B7860" t="s">
        <v>22952</v>
      </c>
      <c r="C7860" t="s">
        <v>7357</v>
      </c>
      <c r="D7860">
        <v>0</v>
      </c>
      <c r="E7860">
        <v>0.4</v>
      </c>
      <c r="F7860">
        <f t="shared" si="122"/>
        <v>0.4</v>
      </c>
      <c r="I7860">
        <v>20070101</v>
      </c>
      <c r="J7860" t="s">
        <v>7384</v>
      </c>
    </row>
    <row r="7861" spans="1:19" x14ac:dyDescent="0.3">
      <c r="A7861" s="160">
        <v>60596</v>
      </c>
      <c r="B7861" t="s">
        <v>22953</v>
      </c>
      <c r="C7861" t="s">
        <v>7357</v>
      </c>
      <c r="D7861">
        <v>0</v>
      </c>
      <c r="E7861">
        <v>0.4</v>
      </c>
      <c r="F7861">
        <f t="shared" si="122"/>
        <v>0.4</v>
      </c>
      <c r="I7861">
        <v>20170701</v>
      </c>
      <c r="J7861" t="s">
        <v>7461</v>
      </c>
    </row>
    <row r="7862" spans="1:19" x14ac:dyDescent="0.3">
      <c r="A7862" s="160">
        <v>60597</v>
      </c>
      <c r="B7862" t="s">
        <v>15875</v>
      </c>
      <c r="C7862" t="s">
        <v>7397</v>
      </c>
      <c r="D7862">
        <v>0.7</v>
      </c>
      <c r="E7862">
        <v>0.2</v>
      </c>
      <c r="F7862">
        <f t="shared" si="122"/>
        <v>0.89999999999999991</v>
      </c>
      <c r="I7862">
        <v>20180701</v>
      </c>
      <c r="J7862" t="s">
        <v>7440</v>
      </c>
      <c r="K7862" t="s">
        <v>7441</v>
      </c>
    </row>
    <row r="7863" spans="1:19" x14ac:dyDescent="0.3">
      <c r="A7863" s="160">
        <v>60598</v>
      </c>
      <c r="B7863" t="s">
        <v>15276</v>
      </c>
      <c r="C7863" t="s">
        <v>7354</v>
      </c>
      <c r="D7863">
        <v>0.6</v>
      </c>
      <c r="E7863">
        <v>0.2</v>
      </c>
      <c r="F7863">
        <f t="shared" si="122"/>
        <v>0.8</v>
      </c>
      <c r="I7863">
        <v>20190301</v>
      </c>
      <c r="J7863" t="s">
        <v>7355</v>
      </c>
      <c r="K7863" t="s">
        <v>7356</v>
      </c>
    </row>
    <row r="7864" spans="1:19" x14ac:dyDescent="0.3">
      <c r="A7864" s="160">
        <v>60600</v>
      </c>
      <c r="B7864" t="s">
        <v>22954</v>
      </c>
      <c r="C7864" t="s">
        <v>7397</v>
      </c>
      <c r="D7864">
        <v>0.7</v>
      </c>
      <c r="E7864">
        <v>0</v>
      </c>
      <c r="F7864">
        <f t="shared" si="122"/>
        <v>0.7</v>
      </c>
      <c r="I7864">
        <v>20180701</v>
      </c>
      <c r="J7864" t="s">
        <v>7585</v>
      </c>
    </row>
    <row r="7865" spans="1:19" x14ac:dyDescent="0.3">
      <c r="A7865" s="160">
        <v>60601</v>
      </c>
      <c r="B7865" t="s">
        <v>22955</v>
      </c>
      <c r="C7865" t="s">
        <v>7516</v>
      </c>
      <c r="D7865">
        <v>0.6</v>
      </c>
      <c r="E7865">
        <v>0.2</v>
      </c>
      <c r="F7865">
        <f t="shared" si="122"/>
        <v>0.8</v>
      </c>
      <c r="I7865">
        <v>20170101</v>
      </c>
      <c r="J7865" t="s">
        <v>7496</v>
      </c>
    </row>
    <row r="7866" spans="1:19" x14ac:dyDescent="0.3">
      <c r="A7866" s="160">
        <v>60603</v>
      </c>
      <c r="B7866" t="s">
        <v>22956</v>
      </c>
      <c r="C7866" t="s">
        <v>7391</v>
      </c>
      <c r="D7866">
        <v>0</v>
      </c>
      <c r="E7866">
        <v>0</v>
      </c>
      <c r="F7866">
        <f t="shared" si="122"/>
        <v>0</v>
      </c>
      <c r="I7866">
        <v>20220701</v>
      </c>
      <c r="J7866" t="s">
        <v>7392</v>
      </c>
    </row>
    <row r="7867" spans="1:19" x14ac:dyDescent="0.3">
      <c r="A7867" s="160">
        <v>60605</v>
      </c>
      <c r="B7867" t="s">
        <v>22957</v>
      </c>
      <c r="C7867" t="s">
        <v>7357</v>
      </c>
      <c r="D7867">
        <v>0</v>
      </c>
      <c r="E7867">
        <v>0.4</v>
      </c>
      <c r="F7867">
        <f t="shared" si="122"/>
        <v>0.4</v>
      </c>
      <c r="I7867">
        <v>20210101</v>
      </c>
      <c r="J7867" t="s">
        <v>7418</v>
      </c>
    </row>
    <row r="7868" spans="1:19" x14ac:dyDescent="0.3">
      <c r="A7868" s="160">
        <v>60608</v>
      </c>
      <c r="B7868" t="s">
        <v>22958</v>
      </c>
      <c r="C7868" t="s">
        <v>7369</v>
      </c>
      <c r="D7868">
        <v>0.7</v>
      </c>
      <c r="E7868">
        <v>0.2</v>
      </c>
      <c r="F7868">
        <f t="shared" si="122"/>
        <v>0.89999999999999991</v>
      </c>
      <c r="I7868">
        <v>20210101</v>
      </c>
      <c r="J7868" t="s">
        <v>7401</v>
      </c>
    </row>
    <row r="7869" spans="1:19" x14ac:dyDescent="0.3">
      <c r="A7869" s="160">
        <v>60609</v>
      </c>
      <c r="B7869" t="s">
        <v>22959</v>
      </c>
      <c r="C7869" t="s">
        <v>7369</v>
      </c>
      <c r="D7869">
        <v>0.7</v>
      </c>
      <c r="E7869">
        <v>0.2</v>
      </c>
      <c r="F7869">
        <f t="shared" si="122"/>
        <v>0.89999999999999991</v>
      </c>
      <c r="I7869">
        <v>20150101</v>
      </c>
      <c r="J7869" t="s">
        <v>7443</v>
      </c>
    </row>
    <row r="7870" spans="1:19" x14ac:dyDescent="0.3">
      <c r="A7870" s="160">
        <v>60610</v>
      </c>
      <c r="B7870" t="s">
        <v>22960</v>
      </c>
      <c r="C7870" t="s">
        <v>7391</v>
      </c>
      <c r="D7870">
        <v>0</v>
      </c>
      <c r="E7870">
        <v>0</v>
      </c>
      <c r="F7870">
        <f t="shared" si="122"/>
        <v>0</v>
      </c>
      <c r="I7870">
        <v>20220701</v>
      </c>
      <c r="J7870" t="s">
        <v>7392</v>
      </c>
    </row>
    <row r="7871" spans="1:19" x14ac:dyDescent="0.3">
      <c r="A7871" s="160">
        <v>60611</v>
      </c>
      <c r="B7871" t="s">
        <v>18085</v>
      </c>
      <c r="C7871" t="s">
        <v>7357</v>
      </c>
      <c r="D7871">
        <v>0</v>
      </c>
      <c r="E7871">
        <v>0.4</v>
      </c>
      <c r="F7871">
        <f t="shared" si="122"/>
        <v>0.4</v>
      </c>
      <c r="I7871">
        <v>20170701</v>
      </c>
      <c r="J7871" t="s">
        <v>7443</v>
      </c>
    </row>
    <row r="7872" spans="1:19" x14ac:dyDescent="0.3">
      <c r="A7872" s="160">
        <v>60612</v>
      </c>
      <c r="B7872" t="s">
        <v>22961</v>
      </c>
      <c r="C7872" t="s">
        <v>7597</v>
      </c>
      <c r="D7872">
        <v>0.55000000000000004</v>
      </c>
      <c r="E7872">
        <v>0.25</v>
      </c>
      <c r="F7872">
        <f t="shared" si="122"/>
        <v>0.8</v>
      </c>
      <c r="I7872">
        <v>20210101</v>
      </c>
      <c r="J7872" t="s">
        <v>7393</v>
      </c>
      <c r="K7872" t="s">
        <v>7598</v>
      </c>
      <c r="L7872" t="s">
        <v>7599</v>
      </c>
      <c r="M7872" t="s">
        <v>7600</v>
      </c>
      <c r="N7872" t="s">
        <v>7601</v>
      </c>
      <c r="O7872" t="s">
        <v>7474</v>
      </c>
      <c r="P7872" t="s">
        <v>7475</v>
      </c>
      <c r="Q7872" t="s">
        <v>7602</v>
      </c>
      <c r="R7872" t="s">
        <v>7603</v>
      </c>
      <c r="S7872" t="s">
        <v>7604</v>
      </c>
    </row>
    <row r="7873" spans="1:11" x14ac:dyDescent="0.3">
      <c r="A7873" s="160">
        <v>60613</v>
      </c>
      <c r="B7873" t="s">
        <v>22962</v>
      </c>
      <c r="C7873" t="s">
        <v>7357</v>
      </c>
      <c r="D7873">
        <v>0</v>
      </c>
      <c r="E7873">
        <v>0.4</v>
      </c>
      <c r="F7873">
        <f t="shared" si="122"/>
        <v>0.4</v>
      </c>
      <c r="I7873">
        <v>20070101</v>
      </c>
      <c r="J7873" t="s">
        <v>7407</v>
      </c>
    </row>
    <row r="7874" spans="1:11" x14ac:dyDescent="0.3">
      <c r="A7874" s="160">
        <v>60614</v>
      </c>
      <c r="B7874" t="s">
        <v>22963</v>
      </c>
      <c r="C7874" t="s">
        <v>7357</v>
      </c>
      <c r="D7874">
        <v>0</v>
      </c>
      <c r="E7874">
        <v>0.4</v>
      </c>
      <c r="F7874">
        <f t="shared" si="122"/>
        <v>0.4</v>
      </c>
      <c r="I7874">
        <v>20070101</v>
      </c>
      <c r="J7874" t="s">
        <v>7407</v>
      </c>
    </row>
    <row r="7875" spans="1:11" x14ac:dyDescent="0.3">
      <c r="A7875" s="160">
        <v>60615</v>
      </c>
      <c r="B7875" t="s">
        <v>22964</v>
      </c>
      <c r="C7875" t="s">
        <v>7357</v>
      </c>
      <c r="D7875">
        <v>0</v>
      </c>
      <c r="E7875">
        <v>0</v>
      </c>
      <c r="F7875">
        <f t="shared" si="122"/>
        <v>0</v>
      </c>
      <c r="I7875">
        <v>20210101</v>
      </c>
      <c r="J7875" t="s">
        <v>7388</v>
      </c>
    </row>
    <row r="7876" spans="1:11" x14ac:dyDescent="0.3">
      <c r="A7876" s="160">
        <v>60616</v>
      </c>
      <c r="B7876" t="s">
        <v>22965</v>
      </c>
      <c r="C7876" t="s">
        <v>7357</v>
      </c>
      <c r="D7876">
        <v>0</v>
      </c>
      <c r="E7876">
        <v>0.4</v>
      </c>
      <c r="F7876">
        <f t="shared" si="122"/>
        <v>0.4</v>
      </c>
      <c r="I7876">
        <v>20070101</v>
      </c>
      <c r="J7876" t="s">
        <v>7453</v>
      </c>
    </row>
    <row r="7877" spans="1:11" x14ac:dyDescent="0.3">
      <c r="A7877" s="160">
        <v>60617</v>
      </c>
      <c r="B7877" t="s">
        <v>22966</v>
      </c>
      <c r="C7877" t="s">
        <v>7391</v>
      </c>
      <c r="D7877">
        <v>0</v>
      </c>
      <c r="E7877">
        <v>0</v>
      </c>
      <c r="F7877">
        <f t="shared" si="122"/>
        <v>0</v>
      </c>
      <c r="I7877">
        <v>20220701</v>
      </c>
      <c r="J7877" t="s">
        <v>7392</v>
      </c>
      <c r="K7877" t="s">
        <v>7462</v>
      </c>
    </row>
    <row r="7878" spans="1:11" x14ac:dyDescent="0.3">
      <c r="A7878" s="160">
        <v>60618</v>
      </c>
      <c r="B7878" t="s">
        <v>22967</v>
      </c>
      <c r="C7878" t="s">
        <v>7357</v>
      </c>
      <c r="D7878">
        <v>0</v>
      </c>
      <c r="E7878">
        <v>0.4</v>
      </c>
      <c r="F7878">
        <f t="shared" si="122"/>
        <v>0.4</v>
      </c>
      <c r="I7878">
        <v>20070101</v>
      </c>
      <c r="J7878" t="s">
        <v>7402</v>
      </c>
    </row>
    <row r="7879" spans="1:11" x14ac:dyDescent="0.3">
      <c r="A7879" s="160">
        <v>60619</v>
      </c>
      <c r="B7879" t="s">
        <v>22968</v>
      </c>
      <c r="C7879" t="s">
        <v>7357</v>
      </c>
      <c r="D7879">
        <v>0</v>
      </c>
      <c r="E7879">
        <v>0.4</v>
      </c>
      <c r="F7879">
        <f t="shared" ref="F7879:F7942" si="123">D7879+E7879</f>
        <v>0.4</v>
      </c>
      <c r="I7879">
        <v>20070101</v>
      </c>
      <c r="J7879" t="s">
        <v>7547</v>
      </c>
      <c r="K7879" t="s">
        <v>7559</v>
      </c>
    </row>
    <row r="7880" spans="1:11" x14ac:dyDescent="0.3">
      <c r="A7880" s="160">
        <v>60620</v>
      </c>
      <c r="B7880" t="s">
        <v>22969</v>
      </c>
      <c r="C7880" t="s">
        <v>7354</v>
      </c>
      <c r="D7880">
        <v>0.6</v>
      </c>
      <c r="E7880">
        <v>0.2</v>
      </c>
      <c r="F7880">
        <f t="shared" si="123"/>
        <v>0.8</v>
      </c>
      <c r="I7880">
        <v>20190301</v>
      </c>
      <c r="J7880" t="s">
        <v>7355</v>
      </c>
    </row>
    <row r="7881" spans="1:11" x14ac:dyDescent="0.3">
      <c r="A7881" s="160">
        <v>60622</v>
      </c>
      <c r="B7881" t="s">
        <v>22970</v>
      </c>
      <c r="C7881" t="s">
        <v>7357</v>
      </c>
      <c r="D7881">
        <v>0</v>
      </c>
      <c r="E7881">
        <v>0.4</v>
      </c>
      <c r="F7881">
        <f t="shared" si="123"/>
        <v>0.4</v>
      </c>
      <c r="I7881">
        <v>20210101</v>
      </c>
      <c r="J7881" t="s">
        <v>7418</v>
      </c>
    </row>
    <row r="7882" spans="1:11" x14ac:dyDescent="0.3">
      <c r="A7882" s="160">
        <v>60623</v>
      </c>
      <c r="B7882" t="s">
        <v>22971</v>
      </c>
      <c r="C7882" t="s">
        <v>7357</v>
      </c>
      <c r="D7882">
        <v>0</v>
      </c>
      <c r="E7882">
        <v>0.4</v>
      </c>
      <c r="F7882">
        <f t="shared" si="123"/>
        <v>0.4</v>
      </c>
      <c r="I7882">
        <v>20170701</v>
      </c>
      <c r="J7882" t="s">
        <v>7417</v>
      </c>
    </row>
    <row r="7883" spans="1:11" x14ac:dyDescent="0.3">
      <c r="A7883" s="160">
        <v>60624</v>
      </c>
      <c r="B7883" t="s">
        <v>22972</v>
      </c>
      <c r="C7883" t="s">
        <v>7357</v>
      </c>
      <c r="D7883">
        <v>0</v>
      </c>
      <c r="E7883">
        <v>0.4</v>
      </c>
      <c r="F7883">
        <f t="shared" si="123"/>
        <v>0.4</v>
      </c>
      <c r="I7883">
        <v>20170701</v>
      </c>
      <c r="J7883" t="s">
        <v>7417</v>
      </c>
    </row>
    <row r="7884" spans="1:11" x14ac:dyDescent="0.3">
      <c r="A7884" s="160">
        <v>60625</v>
      </c>
      <c r="B7884" t="s">
        <v>22973</v>
      </c>
      <c r="C7884" t="s">
        <v>7391</v>
      </c>
      <c r="D7884">
        <v>0</v>
      </c>
      <c r="E7884">
        <v>0</v>
      </c>
      <c r="F7884">
        <f t="shared" si="123"/>
        <v>0</v>
      </c>
      <c r="I7884">
        <v>20220701</v>
      </c>
      <c r="J7884" t="s">
        <v>7392</v>
      </c>
    </row>
    <row r="7885" spans="1:11" x14ac:dyDescent="0.3">
      <c r="A7885" s="160">
        <v>60626</v>
      </c>
      <c r="B7885" t="s">
        <v>22974</v>
      </c>
      <c r="C7885" t="s">
        <v>7357</v>
      </c>
      <c r="D7885">
        <v>0</v>
      </c>
      <c r="E7885">
        <v>0.4</v>
      </c>
      <c r="F7885">
        <f t="shared" si="123"/>
        <v>0.4</v>
      </c>
      <c r="I7885">
        <v>20070101</v>
      </c>
      <c r="J7885" t="s">
        <v>7453</v>
      </c>
    </row>
    <row r="7886" spans="1:11" x14ac:dyDescent="0.3">
      <c r="A7886" s="160">
        <v>60628</v>
      </c>
      <c r="B7886" t="s">
        <v>22975</v>
      </c>
      <c r="C7886" t="s">
        <v>7369</v>
      </c>
      <c r="D7886">
        <v>0.7</v>
      </c>
      <c r="E7886">
        <v>0.2</v>
      </c>
      <c r="F7886">
        <f t="shared" si="123"/>
        <v>0.89999999999999991</v>
      </c>
      <c r="I7886">
        <v>20150101</v>
      </c>
      <c r="J7886" t="s">
        <v>7447</v>
      </c>
    </row>
    <row r="7887" spans="1:11" x14ac:dyDescent="0.3">
      <c r="A7887" s="160">
        <v>60629</v>
      </c>
      <c r="B7887" t="s">
        <v>22976</v>
      </c>
      <c r="C7887" t="s">
        <v>7357</v>
      </c>
      <c r="D7887">
        <v>0</v>
      </c>
      <c r="E7887">
        <v>0.4</v>
      </c>
      <c r="F7887">
        <f t="shared" si="123"/>
        <v>0.4</v>
      </c>
      <c r="I7887">
        <v>20170701</v>
      </c>
      <c r="J7887" t="s">
        <v>7417</v>
      </c>
    </row>
    <row r="7888" spans="1:11" x14ac:dyDescent="0.3">
      <c r="A7888" s="160">
        <v>60630</v>
      </c>
      <c r="B7888" t="s">
        <v>22977</v>
      </c>
      <c r="C7888" t="s">
        <v>7357</v>
      </c>
      <c r="D7888">
        <v>0</v>
      </c>
      <c r="E7888">
        <v>0.4</v>
      </c>
      <c r="F7888">
        <f t="shared" si="123"/>
        <v>0.4</v>
      </c>
      <c r="I7888">
        <v>20070101</v>
      </c>
      <c r="J7888" t="s">
        <v>7407</v>
      </c>
    </row>
    <row r="7889" spans="1:17" x14ac:dyDescent="0.3">
      <c r="A7889" s="160">
        <v>60631</v>
      </c>
      <c r="B7889" t="s">
        <v>22978</v>
      </c>
      <c r="C7889" t="s">
        <v>7357</v>
      </c>
      <c r="D7889">
        <v>0</v>
      </c>
      <c r="E7889">
        <v>0.4</v>
      </c>
      <c r="F7889">
        <f t="shared" si="123"/>
        <v>0.4</v>
      </c>
      <c r="I7889">
        <v>20070101</v>
      </c>
      <c r="J7889" t="s">
        <v>7490</v>
      </c>
    </row>
    <row r="7890" spans="1:17" x14ac:dyDescent="0.3">
      <c r="A7890" s="160">
        <v>60632</v>
      </c>
      <c r="B7890" t="s">
        <v>22979</v>
      </c>
      <c r="C7890" t="s">
        <v>7357</v>
      </c>
      <c r="D7890">
        <v>0</v>
      </c>
      <c r="E7890">
        <v>0.4</v>
      </c>
      <c r="F7890">
        <f t="shared" si="123"/>
        <v>0.4</v>
      </c>
      <c r="I7890">
        <v>20070101</v>
      </c>
      <c r="J7890" t="s">
        <v>7405</v>
      </c>
    </row>
    <row r="7891" spans="1:17" x14ac:dyDescent="0.3">
      <c r="A7891" s="160">
        <v>60633</v>
      </c>
      <c r="B7891" t="s">
        <v>22980</v>
      </c>
      <c r="C7891" t="s">
        <v>7357</v>
      </c>
      <c r="D7891">
        <v>0</v>
      </c>
      <c r="E7891">
        <v>0.4</v>
      </c>
      <c r="F7891">
        <f t="shared" si="123"/>
        <v>0.4</v>
      </c>
      <c r="I7891">
        <v>20210101</v>
      </c>
      <c r="J7891" t="s">
        <v>7418</v>
      </c>
    </row>
    <row r="7892" spans="1:17" x14ac:dyDescent="0.3">
      <c r="A7892" s="160">
        <v>60634</v>
      </c>
      <c r="B7892" t="s">
        <v>22981</v>
      </c>
      <c r="C7892" t="s">
        <v>7357</v>
      </c>
      <c r="D7892">
        <v>0</v>
      </c>
      <c r="E7892">
        <v>0.4</v>
      </c>
      <c r="F7892">
        <f t="shared" si="123"/>
        <v>0.4</v>
      </c>
      <c r="I7892">
        <v>20210101</v>
      </c>
      <c r="J7892" t="s">
        <v>7358</v>
      </c>
    </row>
    <row r="7893" spans="1:17" x14ac:dyDescent="0.3">
      <c r="A7893" s="160">
        <v>60635</v>
      </c>
      <c r="B7893" t="s">
        <v>22982</v>
      </c>
      <c r="C7893" t="s">
        <v>7516</v>
      </c>
      <c r="D7893">
        <v>0.6</v>
      </c>
      <c r="E7893">
        <v>0.2</v>
      </c>
      <c r="F7893">
        <f t="shared" si="123"/>
        <v>0.8</v>
      </c>
      <c r="I7893">
        <v>20170101</v>
      </c>
      <c r="J7893" t="s">
        <v>7566</v>
      </c>
      <c r="K7893" t="s">
        <v>7567</v>
      </c>
      <c r="L7893" t="s">
        <v>7515</v>
      </c>
    </row>
    <row r="7894" spans="1:17" x14ac:dyDescent="0.3">
      <c r="A7894" s="160">
        <v>60636</v>
      </c>
      <c r="B7894" t="s">
        <v>22983</v>
      </c>
      <c r="C7894" t="s">
        <v>7357</v>
      </c>
      <c r="D7894">
        <v>0</v>
      </c>
      <c r="E7894">
        <v>0.4</v>
      </c>
      <c r="F7894">
        <f t="shared" si="123"/>
        <v>0.4</v>
      </c>
      <c r="I7894">
        <v>20070101</v>
      </c>
      <c r="J7894" t="s">
        <v>7491</v>
      </c>
      <c r="K7894" t="s">
        <v>7511</v>
      </c>
      <c r="L7894" t="s">
        <v>7512</v>
      </c>
    </row>
    <row r="7895" spans="1:17" x14ac:dyDescent="0.3">
      <c r="A7895" s="160">
        <v>60637</v>
      </c>
      <c r="B7895" t="s">
        <v>22984</v>
      </c>
      <c r="C7895" t="s">
        <v>7357</v>
      </c>
      <c r="D7895">
        <v>0</v>
      </c>
      <c r="E7895">
        <v>0.4</v>
      </c>
      <c r="F7895">
        <f t="shared" si="123"/>
        <v>0.4</v>
      </c>
      <c r="I7895">
        <v>20070101</v>
      </c>
      <c r="J7895" t="s">
        <v>7404</v>
      </c>
    </row>
    <row r="7896" spans="1:17" x14ac:dyDescent="0.3">
      <c r="A7896" s="160">
        <v>60638</v>
      </c>
      <c r="B7896" t="s">
        <v>22985</v>
      </c>
      <c r="C7896" t="s">
        <v>7354</v>
      </c>
      <c r="D7896">
        <v>0.6</v>
      </c>
      <c r="E7896">
        <v>0.2</v>
      </c>
      <c r="F7896">
        <f t="shared" si="123"/>
        <v>0.8</v>
      </c>
      <c r="I7896">
        <v>20190301</v>
      </c>
      <c r="J7896" t="s">
        <v>7385</v>
      </c>
    </row>
    <row r="7897" spans="1:17" x14ac:dyDescent="0.3">
      <c r="A7897" s="160">
        <v>60639</v>
      </c>
      <c r="B7897" t="s">
        <v>22986</v>
      </c>
      <c r="C7897" t="s">
        <v>7369</v>
      </c>
      <c r="D7897">
        <v>0.7</v>
      </c>
      <c r="E7897">
        <v>0.2</v>
      </c>
      <c r="F7897">
        <f t="shared" si="123"/>
        <v>0.89999999999999991</v>
      </c>
      <c r="I7897">
        <v>20150101</v>
      </c>
      <c r="J7897" t="s">
        <v>7370</v>
      </c>
      <c r="K7897" t="s">
        <v>7371</v>
      </c>
      <c r="L7897" t="s">
        <v>7372</v>
      </c>
      <c r="M7897" t="s">
        <v>7373</v>
      </c>
      <c r="N7897" t="s">
        <v>7375</v>
      </c>
      <c r="O7897" t="s">
        <v>7420</v>
      </c>
      <c r="P7897" t="s">
        <v>7376</v>
      </c>
      <c r="Q7897" t="s">
        <v>7433</v>
      </c>
    </row>
    <row r="7898" spans="1:17" x14ac:dyDescent="0.3">
      <c r="A7898" s="160">
        <v>60640</v>
      </c>
      <c r="B7898" t="s">
        <v>22987</v>
      </c>
      <c r="C7898" t="s">
        <v>7357</v>
      </c>
      <c r="D7898">
        <v>0</v>
      </c>
      <c r="E7898">
        <v>0.4</v>
      </c>
      <c r="F7898">
        <f t="shared" si="123"/>
        <v>0.4</v>
      </c>
      <c r="I7898">
        <v>20070101</v>
      </c>
      <c r="J7898" t="s">
        <v>7407</v>
      </c>
    </row>
    <row r="7899" spans="1:17" x14ac:dyDescent="0.3">
      <c r="A7899" s="160">
        <v>60641</v>
      </c>
      <c r="B7899" t="s">
        <v>22988</v>
      </c>
      <c r="C7899" t="s">
        <v>7357</v>
      </c>
      <c r="D7899">
        <v>0</v>
      </c>
      <c r="E7899">
        <v>0.4</v>
      </c>
      <c r="F7899">
        <f t="shared" si="123"/>
        <v>0.4</v>
      </c>
      <c r="I7899">
        <v>20070101</v>
      </c>
      <c r="J7899" t="s">
        <v>7413</v>
      </c>
      <c r="K7899" t="s">
        <v>7463</v>
      </c>
    </row>
    <row r="7900" spans="1:17" x14ac:dyDescent="0.3">
      <c r="A7900" s="160">
        <v>60642</v>
      </c>
      <c r="B7900" t="s">
        <v>22989</v>
      </c>
      <c r="C7900" t="s">
        <v>7357</v>
      </c>
      <c r="D7900">
        <v>0</v>
      </c>
      <c r="E7900">
        <v>0.4</v>
      </c>
      <c r="F7900">
        <f t="shared" si="123"/>
        <v>0.4</v>
      </c>
      <c r="I7900">
        <v>20070101</v>
      </c>
      <c r="J7900" t="s">
        <v>7413</v>
      </c>
    </row>
    <row r="7901" spans="1:17" x14ac:dyDescent="0.3">
      <c r="A7901" s="160">
        <v>60644</v>
      </c>
      <c r="B7901" t="s">
        <v>22990</v>
      </c>
      <c r="C7901" t="s">
        <v>7357</v>
      </c>
      <c r="D7901">
        <v>0</v>
      </c>
      <c r="E7901">
        <v>0.4</v>
      </c>
      <c r="F7901">
        <f t="shared" si="123"/>
        <v>0.4</v>
      </c>
      <c r="I7901">
        <v>20070101</v>
      </c>
      <c r="J7901" t="s">
        <v>7453</v>
      </c>
    </row>
    <row r="7902" spans="1:17" x14ac:dyDescent="0.3">
      <c r="A7902" s="160">
        <v>60645</v>
      </c>
      <c r="B7902" t="s">
        <v>22991</v>
      </c>
      <c r="C7902" t="s">
        <v>7357</v>
      </c>
      <c r="D7902">
        <v>0</v>
      </c>
      <c r="E7902">
        <v>0.4</v>
      </c>
      <c r="F7902">
        <f t="shared" si="123"/>
        <v>0.4</v>
      </c>
      <c r="I7902">
        <v>20070101</v>
      </c>
      <c r="J7902" t="s">
        <v>7453</v>
      </c>
    </row>
    <row r="7903" spans="1:17" x14ac:dyDescent="0.3">
      <c r="A7903" s="160">
        <v>60646</v>
      </c>
      <c r="B7903" t="s">
        <v>22992</v>
      </c>
      <c r="C7903" t="s">
        <v>7369</v>
      </c>
      <c r="D7903">
        <v>0.7</v>
      </c>
      <c r="E7903">
        <v>0.2</v>
      </c>
      <c r="F7903">
        <f t="shared" si="123"/>
        <v>0.89999999999999991</v>
      </c>
      <c r="I7903">
        <v>20150101</v>
      </c>
      <c r="J7903" t="s">
        <v>7450</v>
      </c>
    </row>
    <row r="7904" spans="1:17" x14ac:dyDescent="0.3">
      <c r="A7904" s="160">
        <v>60647</v>
      </c>
      <c r="B7904" t="s">
        <v>22993</v>
      </c>
      <c r="C7904" t="s">
        <v>7357</v>
      </c>
      <c r="D7904">
        <v>0</v>
      </c>
      <c r="E7904">
        <v>0.4</v>
      </c>
      <c r="F7904">
        <f t="shared" si="123"/>
        <v>0.4</v>
      </c>
      <c r="I7904">
        <v>20070101</v>
      </c>
      <c r="J7904" t="s">
        <v>7400</v>
      </c>
    </row>
    <row r="7905" spans="1:11" x14ac:dyDescent="0.3">
      <c r="A7905" s="160">
        <v>60648</v>
      </c>
      <c r="B7905" t="s">
        <v>22994</v>
      </c>
      <c r="C7905" t="s">
        <v>7357</v>
      </c>
      <c r="D7905">
        <v>0</v>
      </c>
      <c r="E7905">
        <v>0.4</v>
      </c>
      <c r="F7905">
        <f t="shared" si="123"/>
        <v>0.4</v>
      </c>
      <c r="I7905">
        <v>20170701</v>
      </c>
      <c r="J7905" t="s">
        <v>7388</v>
      </c>
      <c r="K7905" t="s">
        <v>7448</v>
      </c>
    </row>
    <row r="7906" spans="1:11" x14ac:dyDescent="0.3">
      <c r="A7906" s="160">
        <v>60649</v>
      </c>
      <c r="B7906" t="s">
        <v>22994</v>
      </c>
      <c r="C7906" t="s">
        <v>7357</v>
      </c>
      <c r="D7906">
        <v>0</v>
      </c>
      <c r="E7906">
        <v>0.4</v>
      </c>
      <c r="F7906">
        <f t="shared" si="123"/>
        <v>0.4</v>
      </c>
      <c r="I7906">
        <v>20070101</v>
      </c>
      <c r="J7906" t="s">
        <v>7403</v>
      </c>
    </row>
    <row r="7907" spans="1:11" x14ac:dyDescent="0.3">
      <c r="A7907" s="160">
        <v>60650</v>
      </c>
      <c r="B7907" t="s">
        <v>22995</v>
      </c>
      <c r="C7907" t="s">
        <v>7357</v>
      </c>
      <c r="D7907">
        <v>0</v>
      </c>
      <c r="E7907">
        <v>0.4</v>
      </c>
      <c r="F7907">
        <f t="shared" si="123"/>
        <v>0.4</v>
      </c>
      <c r="I7907">
        <v>20070101</v>
      </c>
      <c r="J7907" t="s">
        <v>7402</v>
      </c>
    </row>
    <row r="7908" spans="1:11" x14ac:dyDescent="0.3">
      <c r="A7908" s="160">
        <v>60651</v>
      </c>
      <c r="B7908" t="s">
        <v>22996</v>
      </c>
      <c r="C7908" t="s">
        <v>7354</v>
      </c>
      <c r="D7908">
        <v>0.6</v>
      </c>
      <c r="E7908">
        <v>0.2</v>
      </c>
      <c r="F7908">
        <f t="shared" si="123"/>
        <v>0.8</v>
      </c>
      <c r="I7908">
        <v>20190301</v>
      </c>
      <c r="J7908" t="s">
        <v>7473</v>
      </c>
    </row>
    <row r="7909" spans="1:11" x14ac:dyDescent="0.3">
      <c r="A7909" s="160">
        <v>60652</v>
      </c>
      <c r="B7909" t="s">
        <v>22997</v>
      </c>
      <c r="C7909" t="s">
        <v>7377</v>
      </c>
      <c r="D7909">
        <v>0.6</v>
      </c>
      <c r="E7909">
        <v>0.2</v>
      </c>
      <c r="F7909">
        <f t="shared" si="123"/>
        <v>0.8</v>
      </c>
      <c r="I7909">
        <v>20121201</v>
      </c>
      <c r="J7909" t="s">
        <v>7544</v>
      </c>
    </row>
    <row r="7910" spans="1:11" x14ac:dyDescent="0.3">
      <c r="A7910" s="160">
        <v>60653</v>
      </c>
      <c r="B7910" t="s">
        <v>22998</v>
      </c>
      <c r="C7910" t="s">
        <v>7357</v>
      </c>
      <c r="D7910">
        <v>0</v>
      </c>
      <c r="E7910">
        <v>0.4</v>
      </c>
      <c r="F7910">
        <f t="shared" si="123"/>
        <v>0.4</v>
      </c>
      <c r="I7910">
        <v>20210101</v>
      </c>
      <c r="J7910" t="s">
        <v>7384</v>
      </c>
      <c r="K7910" t="s">
        <v>7583</v>
      </c>
    </row>
    <row r="7911" spans="1:11" x14ac:dyDescent="0.3">
      <c r="A7911" s="160">
        <v>60654</v>
      </c>
      <c r="B7911" t="s">
        <v>22999</v>
      </c>
      <c r="C7911" t="s">
        <v>7357</v>
      </c>
      <c r="D7911">
        <v>0</v>
      </c>
      <c r="E7911">
        <v>0.4</v>
      </c>
      <c r="F7911">
        <f t="shared" si="123"/>
        <v>0.4</v>
      </c>
      <c r="I7911">
        <v>20070101</v>
      </c>
      <c r="J7911" t="s">
        <v>7437</v>
      </c>
    </row>
    <row r="7912" spans="1:11" x14ac:dyDescent="0.3">
      <c r="A7912" s="160">
        <v>60655</v>
      </c>
      <c r="B7912" t="s">
        <v>23000</v>
      </c>
      <c r="C7912" t="s">
        <v>7391</v>
      </c>
      <c r="D7912">
        <v>0</v>
      </c>
      <c r="E7912">
        <v>0</v>
      </c>
      <c r="F7912">
        <f t="shared" si="123"/>
        <v>0</v>
      </c>
      <c r="I7912">
        <v>20220701</v>
      </c>
      <c r="J7912" t="s">
        <v>7392</v>
      </c>
    </row>
    <row r="7913" spans="1:11" x14ac:dyDescent="0.3">
      <c r="A7913" s="160">
        <v>60656</v>
      </c>
      <c r="B7913" t="s">
        <v>23001</v>
      </c>
      <c r="C7913" t="s">
        <v>7357</v>
      </c>
      <c r="D7913">
        <v>0</v>
      </c>
      <c r="E7913">
        <v>0.4</v>
      </c>
      <c r="F7913">
        <f t="shared" si="123"/>
        <v>0.4</v>
      </c>
      <c r="I7913">
        <v>20070101</v>
      </c>
      <c r="J7913" t="s">
        <v>7404</v>
      </c>
    </row>
    <row r="7914" spans="1:11" x14ac:dyDescent="0.3">
      <c r="A7914" s="160">
        <v>60657</v>
      </c>
      <c r="B7914" t="s">
        <v>23002</v>
      </c>
      <c r="C7914" t="s">
        <v>7391</v>
      </c>
      <c r="D7914">
        <v>0</v>
      </c>
      <c r="E7914">
        <v>0</v>
      </c>
      <c r="F7914">
        <f t="shared" si="123"/>
        <v>0</v>
      </c>
      <c r="I7914">
        <v>20220701</v>
      </c>
      <c r="J7914" t="s">
        <v>7392</v>
      </c>
    </row>
    <row r="7915" spans="1:11" x14ac:dyDescent="0.3">
      <c r="A7915" s="160">
        <v>60658</v>
      </c>
      <c r="B7915" t="s">
        <v>23003</v>
      </c>
      <c r="C7915" t="s">
        <v>7357</v>
      </c>
      <c r="D7915">
        <v>0</v>
      </c>
      <c r="E7915">
        <v>0.4</v>
      </c>
      <c r="F7915">
        <f t="shared" si="123"/>
        <v>0.4</v>
      </c>
      <c r="I7915">
        <v>20070101</v>
      </c>
      <c r="J7915" t="s">
        <v>7550</v>
      </c>
    </row>
    <row r="7916" spans="1:11" x14ac:dyDescent="0.3">
      <c r="A7916" s="160">
        <v>60659</v>
      </c>
      <c r="B7916" t="s">
        <v>23004</v>
      </c>
      <c r="C7916" t="s">
        <v>7357</v>
      </c>
      <c r="D7916">
        <v>0</v>
      </c>
      <c r="E7916">
        <v>0.4</v>
      </c>
      <c r="F7916">
        <f t="shared" si="123"/>
        <v>0.4</v>
      </c>
      <c r="I7916">
        <v>20070101</v>
      </c>
      <c r="J7916" t="s">
        <v>7407</v>
      </c>
    </row>
    <row r="7917" spans="1:11" x14ac:dyDescent="0.3">
      <c r="A7917" s="160">
        <v>60660</v>
      </c>
      <c r="B7917" t="s">
        <v>23005</v>
      </c>
      <c r="C7917" t="s">
        <v>7357</v>
      </c>
      <c r="D7917">
        <v>0</v>
      </c>
      <c r="E7917">
        <v>0.4</v>
      </c>
      <c r="F7917">
        <f t="shared" si="123"/>
        <v>0.4</v>
      </c>
      <c r="I7917">
        <v>20070101</v>
      </c>
      <c r="J7917" t="s">
        <v>7453</v>
      </c>
    </row>
    <row r="7918" spans="1:11" x14ac:dyDescent="0.3">
      <c r="A7918" s="160">
        <v>60661</v>
      </c>
      <c r="B7918" t="s">
        <v>23006</v>
      </c>
      <c r="C7918" t="s">
        <v>7357</v>
      </c>
      <c r="D7918">
        <v>0</v>
      </c>
      <c r="E7918">
        <v>0.4</v>
      </c>
      <c r="F7918">
        <f t="shared" si="123"/>
        <v>0.4</v>
      </c>
      <c r="I7918">
        <v>20070101</v>
      </c>
      <c r="J7918" t="s">
        <v>7550</v>
      </c>
      <c r="K7918" t="s">
        <v>7441</v>
      </c>
    </row>
    <row r="7919" spans="1:11" x14ac:dyDescent="0.3">
      <c r="A7919" s="160">
        <v>60662</v>
      </c>
      <c r="B7919" t="s">
        <v>23007</v>
      </c>
      <c r="C7919" t="s">
        <v>7357</v>
      </c>
      <c r="D7919">
        <v>0</v>
      </c>
      <c r="E7919">
        <v>0.4</v>
      </c>
      <c r="F7919">
        <f t="shared" si="123"/>
        <v>0.4</v>
      </c>
      <c r="I7919">
        <v>20070101</v>
      </c>
      <c r="J7919" t="s">
        <v>7403</v>
      </c>
    </row>
    <row r="7920" spans="1:11" x14ac:dyDescent="0.3">
      <c r="A7920" s="160">
        <v>60663</v>
      </c>
      <c r="B7920" t="s">
        <v>23008</v>
      </c>
      <c r="C7920" t="s">
        <v>7369</v>
      </c>
      <c r="D7920">
        <v>0.7</v>
      </c>
      <c r="E7920">
        <v>0.2</v>
      </c>
      <c r="F7920">
        <f t="shared" si="123"/>
        <v>0.89999999999999991</v>
      </c>
      <c r="I7920">
        <v>20210101</v>
      </c>
      <c r="J7920" t="s">
        <v>7447</v>
      </c>
    </row>
    <row r="7921" spans="1:16" x14ac:dyDescent="0.3">
      <c r="A7921" s="160">
        <v>60664</v>
      </c>
      <c r="B7921" t="s">
        <v>23009</v>
      </c>
      <c r="C7921" t="s">
        <v>7357</v>
      </c>
      <c r="D7921">
        <v>0</v>
      </c>
      <c r="E7921">
        <v>0.4</v>
      </c>
      <c r="F7921">
        <f t="shared" si="123"/>
        <v>0.4</v>
      </c>
      <c r="I7921">
        <v>20170701</v>
      </c>
      <c r="J7921" t="s">
        <v>7388</v>
      </c>
    </row>
    <row r="7922" spans="1:16" x14ac:dyDescent="0.3">
      <c r="A7922" s="160">
        <v>60665</v>
      </c>
      <c r="B7922" t="s">
        <v>23010</v>
      </c>
      <c r="C7922" t="s">
        <v>7397</v>
      </c>
      <c r="D7922">
        <v>0.7</v>
      </c>
      <c r="E7922">
        <v>0.2</v>
      </c>
      <c r="F7922">
        <f t="shared" si="123"/>
        <v>0.89999999999999991</v>
      </c>
      <c r="I7922">
        <v>20180701</v>
      </c>
      <c r="J7922" t="s">
        <v>7497</v>
      </c>
      <c r="K7922" t="s">
        <v>7501</v>
      </c>
      <c r="L7922" t="s">
        <v>7503</v>
      </c>
      <c r="M7922" t="s">
        <v>7504</v>
      </c>
      <c r="N7922" t="s">
        <v>7442</v>
      </c>
      <c r="O7922" t="s">
        <v>7499</v>
      </c>
      <c r="P7922" t="s">
        <v>7509</v>
      </c>
    </row>
    <row r="7923" spans="1:16" x14ac:dyDescent="0.3">
      <c r="A7923" s="160">
        <v>60666</v>
      </c>
      <c r="B7923" t="s">
        <v>23011</v>
      </c>
      <c r="C7923" t="s">
        <v>7357</v>
      </c>
      <c r="D7923">
        <v>0</v>
      </c>
      <c r="E7923">
        <v>0.4</v>
      </c>
      <c r="F7923">
        <f t="shared" si="123"/>
        <v>0.4</v>
      </c>
      <c r="I7923">
        <v>20070101</v>
      </c>
      <c r="J7923" t="s">
        <v>7546</v>
      </c>
    </row>
    <row r="7924" spans="1:16" x14ac:dyDescent="0.3">
      <c r="A7924" s="160">
        <v>60667</v>
      </c>
      <c r="B7924" t="s">
        <v>23012</v>
      </c>
      <c r="C7924" t="s">
        <v>7397</v>
      </c>
      <c r="D7924">
        <v>0.7</v>
      </c>
      <c r="E7924">
        <v>0.2</v>
      </c>
      <c r="F7924">
        <f t="shared" si="123"/>
        <v>0.89999999999999991</v>
      </c>
      <c r="I7924">
        <v>20180701</v>
      </c>
      <c r="J7924" t="s">
        <v>7585</v>
      </c>
      <c r="K7924" t="s">
        <v>7589</v>
      </c>
    </row>
    <row r="7925" spans="1:16" x14ac:dyDescent="0.3">
      <c r="A7925" s="160">
        <v>60668</v>
      </c>
      <c r="B7925" t="s">
        <v>23013</v>
      </c>
      <c r="C7925" t="s">
        <v>7369</v>
      </c>
      <c r="D7925">
        <v>0.7</v>
      </c>
      <c r="E7925">
        <v>0.2</v>
      </c>
      <c r="F7925">
        <f t="shared" si="123"/>
        <v>0.89999999999999991</v>
      </c>
      <c r="I7925">
        <v>20150101</v>
      </c>
      <c r="J7925" t="s">
        <v>7450</v>
      </c>
    </row>
    <row r="7926" spans="1:16" x14ac:dyDescent="0.3">
      <c r="A7926" s="160">
        <v>60669</v>
      </c>
      <c r="B7926" t="s">
        <v>23014</v>
      </c>
      <c r="C7926" t="s">
        <v>7410</v>
      </c>
      <c r="D7926">
        <v>0.4</v>
      </c>
      <c r="E7926">
        <v>0.4</v>
      </c>
      <c r="F7926">
        <f t="shared" si="123"/>
        <v>0.8</v>
      </c>
      <c r="I7926">
        <v>20230701</v>
      </c>
      <c r="J7926" t="s">
        <v>7411</v>
      </c>
      <c r="K7926" t="s">
        <v>7412</v>
      </c>
    </row>
    <row r="7927" spans="1:16" x14ac:dyDescent="0.3">
      <c r="A7927" s="160">
        <v>60670</v>
      </c>
      <c r="B7927" t="s">
        <v>23015</v>
      </c>
      <c r="C7927" t="s">
        <v>27560</v>
      </c>
      <c r="D7927">
        <v>0.6</v>
      </c>
      <c r="E7927">
        <v>0.2</v>
      </c>
      <c r="F7927">
        <f t="shared" si="123"/>
        <v>0.8</v>
      </c>
      <c r="I7927">
        <v>20250101</v>
      </c>
      <c r="J7927" t="s">
        <v>7520</v>
      </c>
      <c r="K7927" t="s">
        <v>7521</v>
      </c>
      <c r="L7927" t="s">
        <v>7522</v>
      </c>
      <c r="M7927" t="s">
        <v>7523</v>
      </c>
      <c r="N7927" t="s">
        <v>7605</v>
      </c>
      <c r="O7927" t="s">
        <v>7581</v>
      </c>
    </row>
    <row r="7928" spans="1:16" x14ac:dyDescent="0.3">
      <c r="A7928" s="160">
        <v>60671</v>
      </c>
      <c r="B7928" t="s">
        <v>15667</v>
      </c>
      <c r="C7928" t="s">
        <v>7357</v>
      </c>
      <c r="D7928">
        <v>0</v>
      </c>
      <c r="E7928">
        <v>0.4</v>
      </c>
      <c r="F7928">
        <f t="shared" si="123"/>
        <v>0.4</v>
      </c>
      <c r="I7928">
        <v>20070101</v>
      </c>
      <c r="J7928" t="s">
        <v>7446</v>
      </c>
      <c r="K7928" t="s">
        <v>7539</v>
      </c>
    </row>
    <row r="7929" spans="1:16" x14ac:dyDescent="0.3">
      <c r="A7929" s="160">
        <v>60672</v>
      </c>
      <c r="B7929" t="s">
        <v>23016</v>
      </c>
      <c r="C7929" t="s">
        <v>7357</v>
      </c>
      <c r="D7929">
        <v>0</v>
      </c>
      <c r="E7929">
        <v>0.4</v>
      </c>
      <c r="F7929">
        <f t="shared" si="123"/>
        <v>0.4</v>
      </c>
      <c r="I7929">
        <v>20070101</v>
      </c>
      <c r="J7929" t="s">
        <v>7550</v>
      </c>
    </row>
    <row r="7930" spans="1:16" x14ac:dyDescent="0.3">
      <c r="A7930" s="160">
        <v>60673</v>
      </c>
      <c r="B7930" t="s">
        <v>23017</v>
      </c>
      <c r="C7930" t="s">
        <v>7357</v>
      </c>
      <c r="D7930">
        <v>0</v>
      </c>
      <c r="E7930">
        <v>0.4</v>
      </c>
      <c r="F7930">
        <f t="shared" si="123"/>
        <v>0.4</v>
      </c>
      <c r="I7930">
        <v>20210101</v>
      </c>
      <c r="J7930" t="s">
        <v>7401</v>
      </c>
    </row>
    <row r="7931" spans="1:16" x14ac:dyDescent="0.3">
      <c r="A7931" s="160">
        <v>60674</v>
      </c>
      <c r="B7931" t="s">
        <v>23018</v>
      </c>
      <c r="C7931" t="s">
        <v>7397</v>
      </c>
      <c r="D7931">
        <v>0.7</v>
      </c>
      <c r="E7931">
        <v>0.2</v>
      </c>
      <c r="F7931">
        <f t="shared" si="123"/>
        <v>0.89999999999999991</v>
      </c>
      <c r="I7931">
        <v>20180701</v>
      </c>
      <c r="J7931" t="s">
        <v>7400</v>
      </c>
    </row>
    <row r="7932" spans="1:16" x14ac:dyDescent="0.3">
      <c r="A7932" s="160">
        <v>60675</v>
      </c>
      <c r="B7932" t="s">
        <v>23019</v>
      </c>
      <c r="C7932" t="s">
        <v>7357</v>
      </c>
      <c r="D7932">
        <v>0</v>
      </c>
      <c r="E7932">
        <v>0.4</v>
      </c>
      <c r="F7932">
        <f t="shared" si="123"/>
        <v>0.4</v>
      </c>
      <c r="I7932">
        <v>20070101</v>
      </c>
      <c r="J7932" t="s">
        <v>7390</v>
      </c>
    </row>
    <row r="7933" spans="1:16" x14ac:dyDescent="0.3">
      <c r="A7933" s="160">
        <v>60676</v>
      </c>
      <c r="B7933" t="s">
        <v>23020</v>
      </c>
      <c r="C7933" t="s">
        <v>7391</v>
      </c>
      <c r="D7933">
        <v>0</v>
      </c>
      <c r="E7933">
        <v>0</v>
      </c>
      <c r="F7933">
        <f t="shared" si="123"/>
        <v>0</v>
      </c>
      <c r="I7933">
        <v>20220701</v>
      </c>
      <c r="J7933" t="s">
        <v>7392</v>
      </c>
    </row>
    <row r="7934" spans="1:16" x14ac:dyDescent="0.3">
      <c r="A7934" s="160">
        <v>60677</v>
      </c>
      <c r="B7934" t="s">
        <v>23021</v>
      </c>
      <c r="C7934" t="s">
        <v>7357</v>
      </c>
      <c r="D7934">
        <v>0</v>
      </c>
      <c r="E7934">
        <v>0.4</v>
      </c>
      <c r="F7934">
        <f t="shared" si="123"/>
        <v>0.4</v>
      </c>
      <c r="I7934">
        <v>20070101</v>
      </c>
      <c r="J7934" t="s">
        <v>7443</v>
      </c>
    </row>
    <row r="7935" spans="1:16" x14ac:dyDescent="0.3">
      <c r="A7935" s="160">
        <v>60678</v>
      </c>
      <c r="B7935" t="s">
        <v>23022</v>
      </c>
      <c r="C7935" t="s">
        <v>7377</v>
      </c>
      <c r="D7935">
        <v>0.6</v>
      </c>
      <c r="E7935">
        <v>0.2</v>
      </c>
      <c r="F7935">
        <f t="shared" si="123"/>
        <v>0.8</v>
      </c>
      <c r="I7935">
        <v>20121201</v>
      </c>
      <c r="J7935" t="s">
        <v>7606</v>
      </c>
      <c r="K7935" t="s">
        <v>7554</v>
      </c>
    </row>
    <row r="7936" spans="1:16" x14ac:dyDescent="0.3">
      <c r="A7936" s="160">
        <v>60679</v>
      </c>
      <c r="B7936" t="s">
        <v>23023</v>
      </c>
      <c r="C7936" t="s">
        <v>7357</v>
      </c>
      <c r="D7936">
        <v>0</v>
      </c>
      <c r="E7936">
        <v>0.4</v>
      </c>
      <c r="F7936">
        <f t="shared" si="123"/>
        <v>0.4</v>
      </c>
      <c r="I7936">
        <v>20070101</v>
      </c>
      <c r="J7936" t="s">
        <v>7404</v>
      </c>
    </row>
    <row r="7937" spans="1:13" x14ac:dyDescent="0.3">
      <c r="A7937" s="160">
        <v>60680</v>
      </c>
      <c r="B7937" t="s">
        <v>23024</v>
      </c>
      <c r="C7937" t="s">
        <v>27560</v>
      </c>
      <c r="D7937">
        <v>0.6</v>
      </c>
      <c r="E7937">
        <v>0.2</v>
      </c>
      <c r="F7937">
        <f t="shared" si="123"/>
        <v>0.8</v>
      </c>
      <c r="I7937">
        <v>20250101</v>
      </c>
      <c r="J7937" t="s">
        <v>7585</v>
      </c>
      <c r="K7937" t="s">
        <v>7589</v>
      </c>
    </row>
    <row r="7938" spans="1:13" x14ac:dyDescent="0.3">
      <c r="A7938" s="160">
        <v>60681</v>
      </c>
      <c r="B7938" t="s">
        <v>23025</v>
      </c>
      <c r="C7938" t="s">
        <v>7357</v>
      </c>
      <c r="D7938">
        <v>0</v>
      </c>
      <c r="E7938">
        <v>0.4</v>
      </c>
      <c r="F7938">
        <f t="shared" si="123"/>
        <v>0.4</v>
      </c>
      <c r="I7938">
        <v>20070101</v>
      </c>
      <c r="J7938" t="s">
        <v>7443</v>
      </c>
    </row>
    <row r="7939" spans="1:13" x14ac:dyDescent="0.3">
      <c r="A7939" s="160">
        <v>60682</v>
      </c>
      <c r="B7939" t="s">
        <v>23026</v>
      </c>
      <c r="C7939" t="s">
        <v>7357</v>
      </c>
      <c r="D7939">
        <v>0</v>
      </c>
      <c r="E7939">
        <v>0.4</v>
      </c>
      <c r="F7939">
        <f t="shared" si="123"/>
        <v>0.4</v>
      </c>
      <c r="I7939">
        <v>20070101</v>
      </c>
      <c r="J7939" t="s">
        <v>7415</v>
      </c>
    </row>
    <row r="7940" spans="1:13" x14ac:dyDescent="0.3">
      <c r="A7940" s="160">
        <v>60683</v>
      </c>
      <c r="B7940" t="s">
        <v>23027</v>
      </c>
      <c r="C7940" t="s">
        <v>7357</v>
      </c>
      <c r="D7940">
        <v>0</v>
      </c>
      <c r="E7940">
        <v>0.4</v>
      </c>
      <c r="F7940">
        <f t="shared" si="123"/>
        <v>0.4</v>
      </c>
      <c r="I7940">
        <v>20070101</v>
      </c>
      <c r="J7940" t="s">
        <v>7360</v>
      </c>
    </row>
    <row r="7941" spans="1:13" x14ac:dyDescent="0.3">
      <c r="A7941" s="160">
        <v>60684</v>
      </c>
      <c r="B7941" t="s">
        <v>23028</v>
      </c>
      <c r="C7941" t="s">
        <v>7516</v>
      </c>
      <c r="D7941">
        <v>0.6</v>
      </c>
      <c r="E7941">
        <v>0.2</v>
      </c>
      <c r="F7941">
        <f t="shared" si="123"/>
        <v>0.8</v>
      </c>
      <c r="I7941">
        <v>20080101</v>
      </c>
      <c r="J7941" t="s">
        <v>7520</v>
      </c>
      <c r="K7941" t="s">
        <v>7455</v>
      </c>
      <c r="L7941" t="s">
        <v>7456</v>
      </c>
      <c r="M7941" t="s">
        <v>7574</v>
      </c>
    </row>
    <row r="7942" spans="1:13" x14ac:dyDescent="0.3">
      <c r="A7942" s="160">
        <v>60685</v>
      </c>
      <c r="B7942" t="s">
        <v>23029</v>
      </c>
      <c r="C7942" t="s">
        <v>7354</v>
      </c>
      <c r="D7942">
        <v>0.6</v>
      </c>
      <c r="E7942">
        <v>0.2</v>
      </c>
      <c r="F7942">
        <f t="shared" si="123"/>
        <v>0.8</v>
      </c>
      <c r="I7942">
        <v>20190301</v>
      </c>
      <c r="J7942" t="s">
        <v>7568</v>
      </c>
      <c r="K7942" t="s">
        <v>7356</v>
      </c>
      <c r="L7942" t="s">
        <v>7408</v>
      </c>
    </row>
    <row r="7943" spans="1:13" x14ac:dyDescent="0.3">
      <c r="A7943" s="160">
        <v>60686</v>
      </c>
      <c r="B7943" t="s">
        <v>23030</v>
      </c>
      <c r="C7943" t="s">
        <v>7354</v>
      </c>
      <c r="D7943">
        <v>0.6</v>
      </c>
      <c r="E7943">
        <v>0.2</v>
      </c>
      <c r="F7943">
        <f t="shared" ref="F7943:F8006" si="124">D7943+E7943</f>
        <v>0.8</v>
      </c>
      <c r="I7943">
        <v>20190301</v>
      </c>
      <c r="J7943" t="s">
        <v>7590</v>
      </c>
    </row>
    <row r="7944" spans="1:13" x14ac:dyDescent="0.3">
      <c r="A7944" s="160">
        <v>60687</v>
      </c>
      <c r="B7944" t="s">
        <v>23031</v>
      </c>
      <c r="C7944" t="s">
        <v>7357</v>
      </c>
      <c r="D7944">
        <v>0</v>
      </c>
      <c r="E7944">
        <v>0.4</v>
      </c>
      <c r="F7944">
        <f t="shared" si="124"/>
        <v>0.4</v>
      </c>
      <c r="I7944">
        <v>20210101</v>
      </c>
      <c r="J7944" t="s">
        <v>7443</v>
      </c>
    </row>
    <row r="7945" spans="1:13" x14ac:dyDescent="0.3">
      <c r="A7945" s="160">
        <v>60688</v>
      </c>
      <c r="B7945" t="s">
        <v>23032</v>
      </c>
      <c r="C7945" t="s">
        <v>7357</v>
      </c>
      <c r="D7945">
        <v>0</v>
      </c>
      <c r="E7945">
        <v>0.4</v>
      </c>
      <c r="F7945">
        <f t="shared" si="124"/>
        <v>0.4</v>
      </c>
      <c r="I7945">
        <v>20170701</v>
      </c>
      <c r="J7945" t="s">
        <v>7445</v>
      </c>
    </row>
    <row r="7946" spans="1:13" x14ac:dyDescent="0.3">
      <c r="A7946" s="160">
        <v>60689</v>
      </c>
      <c r="B7946" t="s">
        <v>23033</v>
      </c>
      <c r="C7946" t="s">
        <v>7357</v>
      </c>
      <c r="D7946">
        <v>0</v>
      </c>
      <c r="E7946">
        <v>0.4</v>
      </c>
      <c r="F7946">
        <f t="shared" si="124"/>
        <v>0.4</v>
      </c>
      <c r="I7946">
        <v>20070101</v>
      </c>
      <c r="J7946" t="s">
        <v>7491</v>
      </c>
    </row>
    <row r="7947" spans="1:13" x14ac:dyDescent="0.3">
      <c r="A7947" s="160">
        <v>60690</v>
      </c>
      <c r="B7947" t="s">
        <v>23033</v>
      </c>
      <c r="C7947" t="s">
        <v>7357</v>
      </c>
      <c r="D7947">
        <v>0</v>
      </c>
      <c r="E7947">
        <v>0.4</v>
      </c>
      <c r="F7947">
        <f t="shared" si="124"/>
        <v>0.4</v>
      </c>
      <c r="I7947">
        <v>20070101</v>
      </c>
      <c r="J7947" t="s">
        <v>7453</v>
      </c>
    </row>
    <row r="7948" spans="1:13" x14ac:dyDescent="0.3">
      <c r="A7948" s="160">
        <v>60691</v>
      </c>
      <c r="B7948" t="s">
        <v>23034</v>
      </c>
      <c r="C7948" t="s">
        <v>7357</v>
      </c>
      <c r="D7948">
        <v>0</v>
      </c>
      <c r="E7948">
        <v>0.4</v>
      </c>
      <c r="F7948">
        <f t="shared" si="124"/>
        <v>0.4</v>
      </c>
      <c r="I7948">
        <v>20170701</v>
      </c>
      <c r="J7948" t="s">
        <v>7417</v>
      </c>
    </row>
    <row r="7949" spans="1:13" x14ac:dyDescent="0.3">
      <c r="A7949" s="160">
        <v>60693</v>
      </c>
      <c r="B7949" t="s">
        <v>23035</v>
      </c>
      <c r="C7949" t="s">
        <v>7391</v>
      </c>
      <c r="D7949">
        <v>0</v>
      </c>
      <c r="E7949">
        <v>0</v>
      </c>
      <c r="F7949">
        <f t="shared" si="124"/>
        <v>0</v>
      </c>
      <c r="I7949">
        <v>20220701</v>
      </c>
      <c r="J7949" t="s">
        <v>7419</v>
      </c>
    </row>
    <row r="7950" spans="1:13" x14ac:dyDescent="0.3">
      <c r="A7950" s="160">
        <v>60694</v>
      </c>
      <c r="B7950" t="s">
        <v>23035</v>
      </c>
      <c r="C7950" t="s">
        <v>7377</v>
      </c>
      <c r="D7950">
        <v>0.6</v>
      </c>
      <c r="E7950">
        <v>0.2</v>
      </c>
      <c r="F7950">
        <f t="shared" si="124"/>
        <v>0.8</v>
      </c>
      <c r="I7950">
        <v>20121201</v>
      </c>
      <c r="J7950" t="s">
        <v>7403</v>
      </c>
    </row>
    <row r="7951" spans="1:13" x14ac:dyDescent="0.3">
      <c r="A7951" s="160">
        <v>60695</v>
      </c>
      <c r="B7951" t="s">
        <v>23036</v>
      </c>
      <c r="C7951" t="s">
        <v>7357</v>
      </c>
      <c r="D7951">
        <v>0</v>
      </c>
      <c r="E7951">
        <v>0.4</v>
      </c>
      <c r="F7951">
        <f t="shared" si="124"/>
        <v>0.4</v>
      </c>
      <c r="I7951">
        <v>20070101</v>
      </c>
      <c r="J7951" t="s">
        <v>7533</v>
      </c>
      <c r="K7951" t="s">
        <v>7477</v>
      </c>
      <c r="L7951" t="s">
        <v>7482</v>
      </c>
    </row>
    <row r="7952" spans="1:13" x14ac:dyDescent="0.3">
      <c r="A7952" s="160">
        <v>60697</v>
      </c>
      <c r="B7952" t="s">
        <v>23037</v>
      </c>
      <c r="C7952" t="s">
        <v>7357</v>
      </c>
      <c r="D7952">
        <v>0</v>
      </c>
      <c r="E7952">
        <v>0.4</v>
      </c>
      <c r="F7952">
        <f t="shared" si="124"/>
        <v>0.4</v>
      </c>
      <c r="I7952">
        <v>20170701</v>
      </c>
      <c r="J7952" t="s">
        <v>7450</v>
      </c>
    </row>
    <row r="7953" spans="1:31" x14ac:dyDescent="0.3">
      <c r="A7953" s="160">
        <v>60698</v>
      </c>
      <c r="B7953" t="s">
        <v>23038</v>
      </c>
      <c r="C7953" t="s">
        <v>7357</v>
      </c>
      <c r="D7953">
        <v>0</v>
      </c>
      <c r="E7953">
        <v>0.4</v>
      </c>
      <c r="F7953">
        <f t="shared" si="124"/>
        <v>0.4</v>
      </c>
      <c r="I7953">
        <v>20070101</v>
      </c>
      <c r="J7953" t="s">
        <v>7542</v>
      </c>
    </row>
    <row r="7954" spans="1:31" x14ac:dyDescent="0.3">
      <c r="A7954" s="160">
        <v>60699</v>
      </c>
      <c r="B7954" t="s">
        <v>23039</v>
      </c>
      <c r="C7954" t="s">
        <v>7357</v>
      </c>
      <c r="D7954">
        <v>0</v>
      </c>
      <c r="E7954">
        <v>0.4</v>
      </c>
      <c r="F7954">
        <f t="shared" si="124"/>
        <v>0.4</v>
      </c>
      <c r="I7954">
        <v>20170701</v>
      </c>
      <c r="J7954" t="s">
        <v>7417</v>
      </c>
    </row>
    <row r="7955" spans="1:31" x14ac:dyDescent="0.3">
      <c r="A7955" s="160">
        <v>60700</v>
      </c>
      <c r="B7955" t="s">
        <v>23040</v>
      </c>
      <c r="C7955" t="s">
        <v>7369</v>
      </c>
      <c r="D7955">
        <v>0.7</v>
      </c>
      <c r="E7955">
        <v>0.2</v>
      </c>
      <c r="F7955">
        <f t="shared" si="124"/>
        <v>0.89999999999999991</v>
      </c>
      <c r="I7955">
        <v>20150101</v>
      </c>
      <c r="J7955" t="s">
        <v>7355</v>
      </c>
    </row>
    <row r="7956" spans="1:31" x14ac:dyDescent="0.3">
      <c r="A7956" s="160">
        <v>60701</v>
      </c>
      <c r="B7956" t="s">
        <v>23041</v>
      </c>
      <c r="C7956" t="s">
        <v>7357</v>
      </c>
      <c r="D7956">
        <v>0</v>
      </c>
      <c r="E7956">
        <v>0</v>
      </c>
      <c r="F7956">
        <f t="shared" si="124"/>
        <v>0</v>
      </c>
      <c r="I7956">
        <v>20210101</v>
      </c>
      <c r="J7956" t="s">
        <v>7384</v>
      </c>
      <c r="K7956" t="s">
        <v>7583</v>
      </c>
      <c r="L7956" t="s">
        <v>7579</v>
      </c>
    </row>
    <row r="7957" spans="1:31" x14ac:dyDescent="0.3">
      <c r="A7957" s="160">
        <v>60703</v>
      </c>
      <c r="B7957" t="s">
        <v>23042</v>
      </c>
      <c r="C7957" t="s">
        <v>7369</v>
      </c>
      <c r="D7957">
        <v>0.7</v>
      </c>
      <c r="E7957">
        <v>0.2</v>
      </c>
      <c r="F7957">
        <f t="shared" si="124"/>
        <v>0.89999999999999991</v>
      </c>
      <c r="I7957">
        <v>20150101</v>
      </c>
      <c r="J7957" t="s">
        <v>7370</v>
      </c>
    </row>
    <row r="7958" spans="1:31" x14ac:dyDescent="0.3">
      <c r="A7958" s="160">
        <v>61001</v>
      </c>
      <c r="B7958" t="s">
        <v>23043</v>
      </c>
      <c r="C7958" t="s">
        <v>7607</v>
      </c>
      <c r="D7958">
        <v>0.8</v>
      </c>
      <c r="E7958">
        <v>0</v>
      </c>
      <c r="F7958">
        <f t="shared" si="124"/>
        <v>0.8</v>
      </c>
      <c r="I7958">
        <v>20240101</v>
      </c>
      <c r="J7958" t="s">
        <v>7608</v>
      </c>
      <c r="K7958" t="s">
        <v>7609</v>
      </c>
      <c r="L7958" t="s">
        <v>7610</v>
      </c>
      <c r="M7958" t="s">
        <v>7611</v>
      </c>
      <c r="N7958" t="s">
        <v>7612</v>
      </c>
      <c r="O7958" t="s">
        <v>7613</v>
      </c>
      <c r="P7958" t="s">
        <v>7614</v>
      </c>
      <c r="Q7958" t="s">
        <v>7615</v>
      </c>
      <c r="R7958" t="s">
        <v>7616</v>
      </c>
      <c r="S7958" t="s">
        <v>7617</v>
      </c>
      <c r="T7958" t="s">
        <v>7618</v>
      </c>
      <c r="U7958" t="s">
        <v>7619</v>
      </c>
      <c r="V7958" t="s">
        <v>7620</v>
      </c>
      <c r="W7958" t="s">
        <v>7621</v>
      </c>
      <c r="X7958" t="s">
        <v>7622</v>
      </c>
      <c r="Y7958" t="s">
        <v>7623</v>
      </c>
      <c r="Z7958" t="s">
        <v>7624</v>
      </c>
      <c r="AA7958" t="s">
        <v>7625</v>
      </c>
      <c r="AB7958" t="s">
        <v>7626</v>
      </c>
      <c r="AC7958" t="s">
        <v>7627</v>
      </c>
      <c r="AD7958" t="s">
        <v>7628</v>
      </c>
      <c r="AE7958" t="s">
        <v>7629</v>
      </c>
    </row>
    <row r="7959" spans="1:31" x14ac:dyDescent="0.3">
      <c r="A7959" s="160">
        <v>61006</v>
      </c>
      <c r="B7959" t="s">
        <v>23044</v>
      </c>
      <c r="C7959" t="s">
        <v>7630</v>
      </c>
      <c r="D7959">
        <v>0.45</v>
      </c>
      <c r="E7959">
        <v>0</v>
      </c>
      <c r="F7959">
        <f t="shared" si="124"/>
        <v>0.45</v>
      </c>
      <c r="I7959">
        <v>20220101</v>
      </c>
      <c r="J7959" t="s">
        <v>7631</v>
      </c>
      <c r="K7959" t="s">
        <v>7632</v>
      </c>
      <c r="L7959" t="s">
        <v>7633</v>
      </c>
      <c r="M7959" t="s">
        <v>7634</v>
      </c>
      <c r="N7959" t="s">
        <v>7635</v>
      </c>
      <c r="O7959" t="s">
        <v>7636</v>
      </c>
      <c r="P7959" t="s">
        <v>7637</v>
      </c>
      <c r="Q7959" t="s">
        <v>7638</v>
      </c>
      <c r="R7959" t="s">
        <v>7639</v>
      </c>
      <c r="S7959" t="s">
        <v>7640</v>
      </c>
      <c r="T7959" t="s">
        <v>7641</v>
      </c>
    </row>
    <row r="7960" spans="1:31" x14ac:dyDescent="0.3">
      <c r="A7960" s="160">
        <v>61007</v>
      </c>
      <c r="B7960" t="s">
        <v>23045</v>
      </c>
      <c r="C7960" t="s">
        <v>7642</v>
      </c>
      <c r="D7960">
        <v>0.7</v>
      </c>
      <c r="E7960">
        <v>0</v>
      </c>
      <c r="F7960">
        <f t="shared" si="124"/>
        <v>0.7</v>
      </c>
      <c r="I7960">
        <v>20170501</v>
      </c>
      <c r="J7960" t="s">
        <v>7643</v>
      </c>
      <c r="K7960" t="s">
        <v>7644</v>
      </c>
      <c r="L7960" t="s">
        <v>7645</v>
      </c>
    </row>
    <row r="7961" spans="1:31" x14ac:dyDescent="0.3">
      <c r="A7961" s="160">
        <v>61011</v>
      </c>
      <c r="B7961" t="s">
        <v>23046</v>
      </c>
      <c r="C7961" t="s">
        <v>7642</v>
      </c>
      <c r="D7961">
        <v>0.7</v>
      </c>
      <c r="E7961">
        <v>0</v>
      </c>
      <c r="F7961">
        <f t="shared" si="124"/>
        <v>0.7</v>
      </c>
      <c r="I7961">
        <v>20140101</v>
      </c>
      <c r="J7961" t="s">
        <v>7643</v>
      </c>
    </row>
    <row r="7962" spans="1:31" x14ac:dyDescent="0.3">
      <c r="A7962" s="160">
        <v>61014</v>
      </c>
      <c r="B7962" t="s">
        <v>23047</v>
      </c>
      <c r="C7962" t="s">
        <v>7630</v>
      </c>
      <c r="D7962">
        <v>0.45</v>
      </c>
      <c r="E7962">
        <v>0</v>
      </c>
      <c r="F7962">
        <f t="shared" si="124"/>
        <v>0.45</v>
      </c>
      <c r="I7962">
        <v>20230101</v>
      </c>
      <c r="J7962" t="s">
        <v>7631</v>
      </c>
    </row>
    <row r="7963" spans="1:31" x14ac:dyDescent="0.3">
      <c r="A7963" s="160">
        <v>61020</v>
      </c>
      <c r="B7963" t="s">
        <v>19378</v>
      </c>
      <c r="C7963" t="s">
        <v>7630</v>
      </c>
      <c r="D7963">
        <v>0.45</v>
      </c>
      <c r="E7963">
        <v>0</v>
      </c>
      <c r="F7963">
        <f t="shared" si="124"/>
        <v>0.45</v>
      </c>
      <c r="I7963">
        <v>20230101</v>
      </c>
      <c r="J7963" t="s">
        <v>7646</v>
      </c>
    </row>
    <row r="7964" spans="1:31" x14ac:dyDescent="0.3">
      <c r="A7964" s="160">
        <v>61023</v>
      </c>
      <c r="B7964" t="s">
        <v>22011</v>
      </c>
      <c r="C7964" t="s">
        <v>7630</v>
      </c>
      <c r="D7964">
        <v>0.45</v>
      </c>
      <c r="E7964">
        <v>0</v>
      </c>
      <c r="F7964">
        <f t="shared" si="124"/>
        <v>0.45</v>
      </c>
      <c r="I7964">
        <v>20230101</v>
      </c>
      <c r="J7964" t="s">
        <v>7647</v>
      </c>
    </row>
    <row r="7965" spans="1:31" x14ac:dyDescent="0.3">
      <c r="A7965" s="160">
        <v>61024</v>
      </c>
      <c r="B7965" t="s">
        <v>23048</v>
      </c>
      <c r="C7965" t="s">
        <v>7642</v>
      </c>
      <c r="D7965">
        <v>0.7</v>
      </c>
      <c r="E7965">
        <v>0</v>
      </c>
      <c r="F7965">
        <f t="shared" si="124"/>
        <v>0.7</v>
      </c>
      <c r="I7965">
        <v>20140101</v>
      </c>
      <c r="J7965" t="s">
        <v>7648</v>
      </c>
    </row>
    <row r="7966" spans="1:31" x14ac:dyDescent="0.3">
      <c r="A7966" s="160">
        <v>61030</v>
      </c>
      <c r="B7966" t="s">
        <v>23049</v>
      </c>
      <c r="C7966" t="s">
        <v>7642</v>
      </c>
      <c r="D7966">
        <v>0.7</v>
      </c>
      <c r="E7966">
        <v>0</v>
      </c>
      <c r="F7966">
        <f t="shared" si="124"/>
        <v>0.7</v>
      </c>
      <c r="I7966">
        <v>20140101</v>
      </c>
      <c r="J7966" t="s">
        <v>7643</v>
      </c>
    </row>
    <row r="7967" spans="1:31" x14ac:dyDescent="0.3">
      <c r="A7967" s="160">
        <v>61040</v>
      </c>
      <c r="B7967" t="s">
        <v>23050</v>
      </c>
      <c r="C7967" t="s">
        <v>7642</v>
      </c>
      <c r="D7967">
        <v>0.7</v>
      </c>
      <c r="E7967">
        <v>0</v>
      </c>
      <c r="F7967">
        <f t="shared" si="124"/>
        <v>0.7</v>
      </c>
      <c r="I7967">
        <v>20140101</v>
      </c>
      <c r="J7967" t="s">
        <v>7649</v>
      </c>
    </row>
    <row r="7968" spans="1:31" x14ac:dyDescent="0.3">
      <c r="A7968" s="160">
        <v>61044</v>
      </c>
      <c r="B7968" t="s">
        <v>23051</v>
      </c>
      <c r="C7968" t="s">
        <v>7642</v>
      </c>
      <c r="D7968">
        <v>0.7</v>
      </c>
      <c r="E7968">
        <v>0</v>
      </c>
      <c r="F7968">
        <f t="shared" si="124"/>
        <v>0.7</v>
      </c>
      <c r="I7968">
        <v>20170501</v>
      </c>
      <c r="J7968" t="s">
        <v>7644</v>
      </c>
    </row>
    <row r="7969" spans="1:20" x14ac:dyDescent="0.3">
      <c r="A7969" s="160">
        <v>61055</v>
      </c>
      <c r="B7969" t="s">
        <v>23052</v>
      </c>
      <c r="C7969" t="s">
        <v>7630</v>
      </c>
      <c r="D7969">
        <v>0.45</v>
      </c>
      <c r="E7969">
        <v>0</v>
      </c>
      <c r="F7969">
        <f t="shared" si="124"/>
        <v>0.45</v>
      </c>
      <c r="I7969">
        <v>20230101</v>
      </c>
      <c r="J7969" t="s">
        <v>7650</v>
      </c>
    </row>
    <row r="7970" spans="1:20" x14ac:dyDescent="0.3">
      <c r="A7970" s="160">
        <v>61062</v>
      </c>
      <c r="B7970" t="s">
        <v>23053</v>
      </c>
      <c r="C7970" t="s">
        <v>7630</v>
      </c>
      <c r="D7970">
        <v>0.45</v>
      </c>
      <c r="E7970">
        <v>0</v>
      </c>
      <c r="F7970">
        <f t="shared" si="124"/>
        <v>0.45</v>
      </c>
      <c r="I7970">
        <v>20230101</v>
      </c>
      <c r="J7970" t="s">
        <v>7647</v>
      </c>
    </row>
    <row r="7971" spans="1:20" x14ac:dyDescent="0.3">
      <c r="A7971" s="160">
        <v>61063</v>
      </c>
      <c r="B7971" t="s">
        <v>23054</v>
      </c>
      <c r="C7971" t="s">
        <v>7642</v>
      </c>
      <c r="D7971">
        <v>0.7</v>
      </c>
      <c r="E7971">
        <v>0</v>
      </c>
      <c r="F7971">
        <f t="shared" si="124"/>
        <v>0.7</v>
      </c>
      <c r="I7971">
        <v>20240101</v>
      </c>
      <c r="J7971" t="s">
        <v>7649</v>
      </c>
    </row>
    <row r="7972" spans="1:20" x14ac:dyDescent="0.3">
      <c r="A7972" s="160">
        <v>61069</v>
      </c>
      <c r="B7972" t="s">
        <v>23055</v>
      </c>
      <c r="C7972" t="s">
        <v>7642</v>
      </c>
      <c r="D7972">
        <v>0.7</v>
      </c>
      <c r="E7972">
        <v>0</v>
      </c>
      <c r="F7972">
        <f t="shared" si="124"/>
        <v>0.7</v>
      </c>
      <c r="I7972">
        <v>20170501</v>
      </c>
      <c r="J7972" t="s">
        <v>7644</v>
      </c>
    </row>
    <row r="7973" spans="1:20" x14ac:dyDescent="0.3">
      <c r="A7973" s="160">
        <v>61070</v>
      </c>
      <c r="B7973" t="s">
        <v>23056</v>
      </c>
      <c r="C7973" t="s">
        <v>7642</v>
      </c>
      <c r="D7973">
        <v>0.7</v>
      </c>
      <c r="E7973">
        <v>0</v>
      </c>
      <c r="F7973">
        <f t="shared" si="124"/>
        <v>0.7</v>
      </c>
      <c r="I7973">
        <v>20140101</v>
      </c>
      <c r="J7973" t="s">
        <v>7643</v>
      </c>
      <c r="K7973" t="s">
        <v>7651</v>
      </c>
      <c r="L7973" t="s">
        <v>7652</v>
      </c>
    </row>
    <row r="7974" spans="1:20" x14ac:dyDescent="0.3">
      <c r="A7974" s="160">
        <v>61077</v>
      </c>
      <c r="B7974" t="s">
        <v>23057</v>
      </c>
      <c r="C7974" t="s">
        <v>7607</v>
      </c>
      <c r="D7974">
        <v>0.8</v>
      </c>
      <c r="E7974">
        <v>0</v>
      </c>
      <c r="F7974">
        <f t="shared" si="124"/>
        <v>0.8</v>
      </c>
      <c r="I7974">
        <v>20240101</v>
      </c>
      <c r="J7974" t="s">
        <v>7608</v>
      </c>
      <c r="K7974" t="s">
        <v>7609</v>
      </c>
      <c r="L7974" t="s">
        <v>7610</v>
      </c>
      <c r="M7974" t="s">
        <v>7611</v>
      </c>
      <c r="N7974" t="s">
        <v>7612</v>
      </c>
      <c r="O7974" t="s">
        <v>7613</v>
      </c>
      <c r="P7974" t="s">
        <v>7614</v>
      </c>
      <c r="Q7974" t="s">
        <v>7615</v>
      </c>
      <c r="R7974" t="s">
        <v>7616</v>
      </c>
      <c r="S7974" t="s">
        <v>7617</v>
      </c>
      <c r="T7974" t="s">
        <v>7628</v>
      </c>
    </row>
    <row r="7975" spans="1:20" x14ac:dyDescent="0.3">
      <c r="A7975" s="160">
        <v>61078</v>
      </c>
      <c r="B7975" t="s">
        <v>23058</v>
      </c>
      <c r="C7975" t="s">
        <v>7642</v>
      </c>
      <c r="D7975">
        <v>0.7</v>
      </c>
      <c r="E7975">
        <v>0</v>
      </c>
      <c r="F7975">
        <f t="shared" si="124"/>
        <v>0.7</v>
      </c>
      <c r="I7975">
        <v>20140101</v>
      </c>
      <c r="J7975" t="s">
        <v>7643</v>
      </c>
    </row>
    <row r="7976" spans="1:20" x14ac:dyDescent="0.3">
      <c r="A7976" s="160">
        <v>61094</v>
      </c>
      <c r="B7976" t="s">
        <v>23059</v>
      </c>
      <c r="C7976" t="s">
        <v>7642</v>
      </c>
      <c r="D7976">
        <v>0.7</v>
      </c>
      <c r="E7976">
        <v>0</v>
      </c>
      <c r="F7976">
        <f t="shared" si="124"/>
        <v>0.7</v>
      </c>
      <c r="I7976">
        <v>20140101</v>
      </c>
      <c r="J7976" t="s">
        <v>7643</v>
      </c>
      <c r="K7976" t="s">
        <v>7653</v>
      </c>
    </row>
    <row r="7977" spans="1:20" x14ac:dyDescent="0.3">
      <c r="A7977" s="160">
        <v>61095</v>
      </c>
      <c r="B7977" t="s">
        <v>23060</v>
      </c>
      <c r="C7977" t="s">
        <v>7642</v>
      </c>
      <c r="D7977">
        <v>0.7</v>
      </c>
      <c r="E7977">
        <v>0</v>
      </c>
      <c r="F7977">
        <f t="shared" si="124"/>
        <v>0.7</v>
      </c>
      <c r="I7977">
        <v>20140101</v>
      </c>
      <c r="J7977" t="s">
        <v>7643</v>
      </c>
    </row>
    <row r="7978" spans="1:20" x14ac:dyDescent="0.3">
      <c r="A7978" s="160">
        <v>61102</v>
      </c>
      <c r="B7978" t="s">
        <v>23061</v>
      </c>
      <c r="C7978" t="s">
        <v>7642</v>
      </c>
      <c r="D7978">
        <v>0.7</v>
      </c>
      <c r="E7978">
        <v>0</v>
      </c>
      <c r="F7978">
        <f t="shared" si="124"/>
        <v>0.7</v>
      </c>
      <c r="I7978">
        <v>20140101</v>
      </c>
      <c r="J7978" t="s">
        <v>7648</v>
      </c>
    </row>
    <row r="7979" spans="1:20" x14ac:dyDescent="0.3">
      <c r="A7979" s="160">
        <v>61107</v>
      </c>
      <c r="B7979" t="s">
        <v>23062</v>
      </c>
      <c r="C7979" t="s">
        <v>7607</v>
      </c>
      <c r="D7979">
        <v>0.8</v>
      </c>
      <c r="E7979">
        <v>0</v>
      </c>
      <c r="F7979">
        <f t="shared" si="124"/>
        <v>0.8</v>
      </c>
      <c r="I7979">
        <v>20240101</v>
      </c>
      <c r="J7979" t="s">
        <v>7654</v>
      </c>
    </row>
    <row r="7980" spans="1:20" x14ac:dyDescent="0.3">
      <c r="A7980" s="160">
        <v>61111</v>
      </c>
      <c r="B7980" t="s">
        <v>16741</v>
      </c>
      <c r="C7980" t="s">
        <v>7607</v>
      </c>
      <c r="D7980">
        <v>0.8</v>
      </c>
      <c r="E7980">
        <v>0</v>
      </c>
      <c r="F7980">
        <f t="shared" si="124"/>
        <v>0.8</v>
      </c>
      <c r="I7980">
        <v>20240101</v>
      </c>
      <c r="J7980" t="s">
        <v>7655</v>
      </c>
    </row>
    <row r="7981" spans="1:20" x14ac:dyDescent="0.3">
      <c r="A7981" s="160">
        <v>61114</v>
      </c>
      <c r="B7981" t="s">
        <v>23063</v>
      </c>
      <c r="C7981" t="s">
        <v>7630</v>
      </c>
      <c r="D7981">
        <v>0.45</v>
      </c>
      <c r="E7981">
        <v>0</v>
      </c>
      <c r="F7981">
        <f t="shared" si="124"/>
        <v>0.45</v>
      </c>
      <c r="I7981">
        <v>20230101</v>
      </c>
      <c r="J7981" t="s">
        <v>7631</v>
      </c>
    </row>
    <row r="7982" spans="1:20" x14ac:dyDescent="0.3">
      <c r="A7982" s="160">
        <v>61117</v>
      </c>
      <c r="B7982" t="s">
        <v>23064</v>
      </c>
      <c r="C7982" t="s">
        <v>7607</v>
      </c>
      <c r="D7982">
        <v>0.8</v>
      </c>
      <c r="E7982">
        <v>0</v>
      </c>
      <c r="F7982">
        <f t="shared" si="124"/>
        <v>0.8</v>
      </c>
      <c r="I7982">
        <v>20240101</v>
      </c>
      <c r="J7982" t="s">
        <v>7609</v>
      </c>
      <c r="K7982" t="s">
        <v>7610</v>
      </c>
      <c r="L7982" t="s">
        <v>7611</v>
      </c>
      <c r="M7982" t="s">
        <v>7613</v>
      </c>
      <c r="N7982" t="s">
        <v>7614</v>
      </c>
      <c r="O7982" t="s">
        <v>7615</v>
      </c>
      <c r="P7982" t="s">
        <v>7617</v>
      </c>
      <c r="Q7982" t="s">
        <v>7628</v>
      </c>
      <c r="R7982" t="s">
        <v>7656</v>
      </c>
      <c r="S7982" t="s">
        <v>7655</v>
      </c>
    </row>
    <row r="7983" spans="1:20" x14ac:dyDescent="0.3">
      <c r="A7983" s="160">
        <v>61120</v>
      </c>
      <c r="B7983" t="s">
        <v>23065</v>
      </c>
      <c r="C7983" t="s">
        <v>7630</v>
      </c>
      <c r="D7983">
        <v>0.45</v>
      </c>
      <c r="E7983">
        <v>0</v>
      </c>
      <c r="F7983">
        <f t="shared" si="124"/>
        <v>0.45</v>
      </c>
      <c r="I7983">
        <v>20230101</v>
      </c>
      <c r="J7983" t="s">
        <v>7647</v>
      </c>
    </row>
    <row r="7984" spans="1:20" x14ac:dyDescent="0.3">
      <c r="A7984" s="160">
        <v>61123</v>
      </c>
      <c r="B7984" t="s">
        <v>23066</v>
      </c>
      <c r="C7984" t="s">
        <v>7630</v>
      </c>
      <c r="D7984">
        <v>0.45</v>
      </c>
      <c r="E7984">
        <v>0</v>
      </c>
      <c r="F7984">
        <f t="shared" si="124"/>
        <v>0.45</v>
      </c>
      <c r="I7984">
        <v>20230101</v>
      </c>
      <c r="J7984" t="s">
        <v>7647</v>
      </c>
    </row>
    <row r="7985" spans="1:17" x14ac:dyDescent="0.3">
      <c r="A7985" s="160">
        <v>61124</v>
      </c>
      <c r="B7985" t="s">
        <v>23067</v>
      </c>
      <c r="C7985" t="s">
        <v>7642</v>
      </c>
      <c r="D7985">
        <v>0.7</v>
      </c>
      <c r="E7985">
        <v>0</v>
      </c>
      <c r="F7985">
        <f t="shared" si="124"/>
        <v>0.7</v>
      </c>
      <c r="I7985">
        <v>20140101</v>
      </c>
      <c r="J7985" t="s">
        <v>7649</v>
      </c>
    </row>
    <row r="7986" spans="1:17" x14ac:dyDescent="0.3">
      <c r="A7986" s="160">
        <v>61141</v>
      </c>
      <c r="B7986" t="s">
        <v>23068</v>
      </c>
      <c r="C7986" t="s">
        <v>7607</v>
      </c>
      <c r="D7986">
        <v>0.8</v>
      </c>
      <c r="E7986">
        <v>0</v>
      </c>
      <c r="F7986">
        <f t="shared" si="124"/>
        <v>0.8</v>
      </c>
      <c r="I7986">
        <v>20240101</v>
      </c>
      <c r="J7986" t="s">
        <v>7655</v>
      </c>
    </row>
    <row r="7987" spans="1:17" x14ac:dyDescent="0.3">
      <c r="A7987" s="160">
        <v>61143</v>
      </c>
      <c r="B7987" t="s">
        <v>23069</v>
      </c>
      <c r="C7987" t="s">
        <v>7607</v>
      </c>
      <c r="D7987">
        <v>0.8</v>
      </c>
      <c r="E7987">
        <v>0</v>
      </c>
      <c r="F7987">
        <f t="shared" si="124"/>
        <v>0.8</v>
      </c>
      <c r="I7987">
        <v>20240101</v>
      </c>
      <c r="J7987" t="s">
        <v>7611</v>
      </c>
      <c r="K7987" t="s">
        <v>7612</v>
      </c>
      <c r="L7987" t="s">
        <v>7613</v>
      </c>
      <c r="M7987" t="s">
        <v>7614</v>
      </c>
      <c r="N7987" t="s">
        <v>7616</v>
      </c>
      <c r="O7987" t="s">
        <v>7617</v>
      </c>
      <c r="P7987" t="s">
        <v>7628</v>
      </c>
      <c r="Q7987" t="s">
        <v>7655</v>
      </c>
    </row>
    <row r="7988" spans="1:17" x14ac:dyDescent="0.3">
      <c r="A7988" s="160">
        <v>61146</v>
      </c>
      <c r="B7988" t="s">
        <v>23070</v>
      </c>
      <c r="C7988" t="s">
        <v>7642</v>
      </c>
      <c r="D7988">
        <v>0.7</v>
      </c>
      <c r="E7988">
        <v>0</v>
      </c>
      <c r="F7988">
        <f t="shared" si="124"/>
        <v>0.7</v>
      </c>
      <c r="I7988">
        <v>20140101</v>
      </c>
      <c r="J7988" t="s">
        <v>7657</v>
      </c>
    </row>
    <row r="7989" spans="1:17" x14ac:dyDescent="0.3">
      <c r="A7989" s="160">
        <v>61148</v>
      </c>
      <c r="B7989" t="s">
        <v>23071</v>
      </c>
      <c r="C7989" t="s">
        <v>7642</v>
      </c>
      <c r="D7989">
        <v>0.7</v>
      </c>
      <c r="E7989">
        <v>0</v>
      </c>
      <c r="F7989">
        <f t="shared" si="124"/>
        <v>0.7</v>
      </c>
      <c r="I7989">
        <v>20170501</v>
      </c>
      <c r="J7989" t="s">
        <v>7643</v>
      </c>
    </row>
    <row r="7990" spans="1:17" x14ac:dyDescent="0.3">
      <c r="A7990" s="160">
        <v>61149</v>
      </c>
      <c r="B7990" t="s">
        <v>23072</v>
      </c>
      <c r="C7990" t="s">
        <v>7642</v>
      </c>
      <c r="D7990">
        <v>0.7</v>
      </c>
      <c r="E7990">
        <v>0</v>
      </c>
      <c r="F7990">
        <f t="shared" si="124"/>
        <v>0.7</v>
      </c>
      <c r="I7990">
        <v>20140101</v>
      </c>
      <c r="J7990" t="s">
        <v>7658</v>
      </c>
    </row>
    <row r="7991" spans="1:17" x14ac:dyDescent="0.3">
      <c r="A7991" s="160">
        <v>61152</v>
      </c>
      <c r="B7991" t="s">
        <v>23073</v>
      </c>
      <c r="C7991" t="s">
        <v>7630</v>
      </c>
      <c r="D7991">
        <v>0.45</v>
      </c>
      <c r="E7991">
        <v>0</v>
      </c>
      <c r="F7991">
        <f t="shared" si="124"/>
        <v>0.45</v>
      </c>
      <c r="I7991">
        <v>20230101</v>
      </c>
      <c r="J7991" t="s">
        <v>7647</v>
      </c>
    </row>
    <row r="7992" spans="1:17" x14ac:dyDescent="0.3">
      <c r="A7992" s="160">
        <v>61153</v>
      </c>
      <c r="B7992" t="s">
        <v>23074</v>
      </c>
      <c r="C7992" t="s">
        <v>7630</v>
      </c>
      <c r="D7992">
        <v>0.45</v>
      </c>
      <c r="E7992">
        <v>0</v>
      </c>
      <c r="F7992">
        <f t="shared" si="124"/>
        <v>0.45</v>
      </c>
      <c r="I7992">
        <v>20230101</v>
      </c>
      <c r="J7992" t="s">
        <v>7646</v>
      </c>
      <c r="K7992" t="s">
        <v>7631</v>
      </c>
    </row>
    <row r="7993" spans="1:17" x14ac:dyDescent="0.3">
      <c r="A7993" s="160">
        <v>61163</v>
      </c>
      <c r="B7993" t="s">
        <v>23075</v>
      </c>
      <c r="C7993" t="s">
        <v>7642</v>
      </c>
      <c r="D7993">
        <v>0.7</v>
      </c>
      <c r="E7993">
        <v>0</v>
      </c>
      <c r="F7993">
        <f t="shared" si="124"/>
        <v>0.7</v>
      </c>
      <c r="I7993">
        <v>20140101</v>
      </c>
      <c r="J7993" t="s">
        <v>7653</v>
      </c>
      <c r="K7993" t="s">
        <v>7648</v>
      </c>
      <c r="L7993" t="s">
        <v>7659</v>
      </c>
    </row>
    <row r="7994" spans="1:17" x14ac:dyDescent="0.3">
      <c r="A7994" s="160">
        <v>61165</v>
      </c>
      <c r="B7994" t="s">
        <v>23076</v>
      </c>
      <c r="C7994" t="s">
        <v>7607</v>
      </c>
      <c r="D7994">
        <v>0.8</v>
      </c>
      <c r="E7994">
        <v>0</v>
      </c>
      <c r="F7994">
        <f t="shared" si="124"/>
        <v>0.8</v>
      </c>
      <c r="I7994">
        <v>20240101</v>
      </c>
      <c r="J7994" t="s">
        <v>7611</v>
      </c>
      <c r="K7994" t="s">
        <v>7660</v>
      </c>
    </row>
    <row r="7995" spans="1:17" x14ac:dyDescent="0.3">
      <c r="A7995" s="160">
        <v>61168</v>
      </c>
      <c r="B7995" t="s">
        <v>23077</v>
      </c>
      <c r="C7995" t="s">
        <v>7642</v>
      </c>
      <c r="D7995">
        <v>0.7</v>
      </c>
      <c r="E7995">
        <v>0</v>
      </c>
      <c r="F7995">
        <f t="shared" si="124"/>
        <v>0.7</v>
      </c>
      <c r="I7995">
        <v>20170501</v>
      </c>
      <c r="J7995" t="s">
        <v>7661</v>
      </c>
      <c r="K7995" t="s">
        <v>7662</v>
      </c>
    </row>
    <row r="7996" spans="1:17" x14ac:dyDescent="0.3">
      <c r="A7996" s="160">
        <v>61169</v>
      </c>
      <c r="B7996" t="s">
        <v>23078</v>
      </c>
      <c r="C7996" t="s">
        <v>7642</v>
      </c>
      <c r="D7996">
        <v>0.7</v>
      </c>
      <c r="E7996">
        <v>0</v>
      </c>
      <c r="F7996">
        <f t="shared" si="124"/>
        <v>0.7</v>
      </c>
      <c r="I7996">
        <v>20140101</v>
      </c>
      <c r="J7996" t="s">
        <v>7643</v>
      </c>
      <c r="K7996" t="s">
        <v>7651</v>
      </c>
      <c r="L7996" t="s">
        <v>7663</v>
      </c>
      <c r="M7996" t="s">
        <v>7664</v>
      </c>
      <c r="N7996" t="s">
        <v>7652</v>
      </c>
      <c r="O7996" t="s">
        <v>7653</v>
      </c>
      <c r="P7996" t="s">
        <v>7665</v>
      </c>
      <c r="Q7996" t="s">
        <v>7666</v>
      </c>
    </row>
    <row r="7997" spans="1:17" x14ac:dyDescent="0.3">
      <c r="A7997" s="160">
        <v>61170</v>
      </c>
      <c r="B7997" t="s">
        <v>23079</v>
      </c>
      <c r="C7997" t="s">
        <v>7630</v>
      </c>
      <c r="D7997">
        <v>0.45</v>
      </c>
      <c r="E7997">
        <v>0</v>
      </c>
      <c r="F7997">
        <f t="shared" si="124"/>
        <v>0.45</v>
      </c>
      <c r="I7997">
        <v>20230101</v>
      </c>
      <c r="J7997" t="s">
        <v>7631</v>
      </c>
    </row>
    <row r="7998" spans="1:17" x14ac:dyDescent="0.3">
      <c r="A7998" s="160">
        <v>61171</v>
      </c>
      <c r="B7998" t="s">
        <v>23080</v>
      </c>
      <c r="C7998" t="s">
        <v>7630</v>
      </c>
      <c r="D7998">
        <v>0.45</v>
      </c>
      <c r="E7998">
        <v>0</v>
      </c>
      <c r="F7998">
        <f t="shared" si="124"/>
        <v>0.45</v>
      </c>
      <c r="I7998">
        <v>20230101</v>
      </c>
      <c r="J7998" t="s">
        <v>7647</v>
      </c>
    </row>
    <row r="7999" spans="1:17" x14ac:dyDescent="0.3">
      <c r="A7999" s="160">
        <v>61172</v>
      </c>
      <c r="B7999" t="s">
        <v>23080</v>
      </c>
      <c r="C7999" t="s">
        <v>7607</v>
      </c>
      <c r="D7999">
        <v>0.8</v>
      </c>
      <c r="E7999">
        <v>0</v>
      </c>
      <c r="F7999">
        <f t="shared" si="124"/>
        <v>0.8</v>
      </c>
      <c r="I7999">
        <v>20240101</v>
      </c>
      <c r="J7999" t="s">
        <v>7660</v>
      </c>
    </row>
    <row r="8000" spans="1:17" x14ac:dyDescent="0.3">
      <c r="A8000" s="160">
        <v>61175</v>
      </c>
      <c r="B8000" t="s">
        <v>23080</v>
      </c>
      <c r="C8000" t="s">
        <v>7607</v>
      </c>
      <c r="D8000">
        <v>0.8</v>
      </c>
      <c r="E8000">
        <v>0</v>
      </c>
      <c r="F8000">
        <f t="shared" si="124"/>
        <v>0.8</v>
      </c>
      <c r="I8000">
        <v>20240101</v>
      </c>
      <c r="J8000" t="s">
        <v>7655</v>
      </c>
    </row>
    <row r="8001" spans="1:14" x14ac:dyDescent="0.3">
      <c r="A8001" s="160">
        <v>61182</v>
      </c>
      <c r="B8001" t="s">
        <v>23081</v>
      </c>
      <c r="C8001" t="s">
        <v>7607</v>
      </c>
      <c r="D8001">
        <v>0.8</v>
      </c>
      <c r="E8001">
        <v>0</v>
      </c>
      <c r="F8001">
        <f t="shared" si="124"/>
        <v>0.8</v>
      </c>
      <c r="I8001">
        <v>20240101</v>
      </c>
      <c r="J8001" t="s">
        <v>7660</v>
      </c>
    </row>
    <row r="8002" spans="1:14" x14ac:dyDescent="0.3">
      <c r="A8002" s="160">
        <v>61190</v>
      </c>
      <c r="B8002" t="s">
        <v>23082</v>
      </c>
      <c r="C8002" t="s">
        <v>7630</v>
      </c>
      <c r="D8002">
        <v>0.45</v>
      </c>
      <c r="E8002">
        <v>0</v>
      </c>
      <c r="F8002">
        <f t="shared" si="124"/>
        <v>0.45</v>
      </c>
      <c r="I8002">
        <v>20230101</v>
      </c>
      <c r="J8002" t="s">
        <v>7667</v>
      </c>
    </row>
    <row r="8003" spans="1:14" x14ac:dyDescent="0.3">
      <c r="A8003" s="160">
        <v>61194</v>
      </c>
      <c r="B8003" t="s">
        <v>23083</v>
      </c>
      <c r="C8003" t="s">
        <v>7630</v>
      </c>
      <c r="D8003">
        <v>0.45</v>
      </c>
      <c r="E8003">
        <v>0</v>
      </c>
      <c r="F8003">
        <f t="shared" si="124"/>
        <v>0.45</v>
      </c>
      <c r="I8003">
        <v>20230101</v>
      </c>
      <c r="J8003" t="s">
        <v>7646</v>
      </c>
    </row>
    <row r="8004" spans="1:14" x14ac:dyDescent="0.3">
      <c r="A8004" s="160">
        <v>61195</v>
      </c>
      <c r="B8004" t="s">
        <v>23084</v>
      </c>
      <c r="C8004" t="s">
        <v>7642</v>
      </c>
      <c r="D8004">
        <v>0.7</v>
      </c>
      <c r="E8004">
        <v>0</v>
      </c>
      <c r="F8004">
        <f t="shared" si="124"/>
        <v>0.7</v>
      </c>
      <c r="I8004">
        <v>20240101</v>
      </c>
      <c r="J8004" t="s">
        <v>7662</v>
      </c>
    </row>
    <row r="8005" spans="1:14" x14ac:dyDescent="0.3">
      <c r="A8005" s="160">
        <v>61197</v>
      </c>
      <c r="B8005" t="s">
        <v>23085</v>
      </c>
      <c r="C8005" t="s">
        <v>7630</v>
      </c>
      <c r="D8005">
        <v>0.45</v>
      </c>
      <c r="E8005">
        <v>0</v>
      </c>
      <c r="F8005">
        <f t="shared" si="124"/>
        <v>0.45</v>
      </c>
      <c r="I8005">
        <v>20230101</v>
      </c>
      <c r="J8005" t="s">
        <v>7647</v>
      </c>
    </row>
    <row r="8006" spans="1:14" x14ac:dyDescent="0.3">
      <c r="A8006" s="160">
        <v>61203</v>
      </c>
      <c r="B8006" t="s">
        <v>23086</v>
      </c>
      <c r="C8006" t="s">
        <v>7607</v>
      </c>
      <c r="D8006">
        <v>0.8</v>
      </c>
      <c r="E8006">
        <v>0</v>
      </c>
      <c r="F8006">
        <f t="shared" si="124"/>
        <v>0.8</v>
      </c>
      <c r="I8006">
        <v>20240101</v>
      </c>
      <c r="J8006" t="s">
        <v>7655</v>
      </c>
    </row>
    <row r="8007" spans="1:14" x14ac:dyDescent="0.3">
      <c r="A8007" s="160">
        <v>61210</v>
      </c>
      <c r="B8007" t="s">
        <v>23087</v>
      </c>
      <c r="C8007" t="s">
        <v>7630</v>
      </c>
      <c r="D8007">
        <v>0.45</v>
      </c>
      <c r="E8007">
        <v>0</v>
      </c>
      <c r="F8007">
        <f t="shared" ref="F8007:F8070" si="125">D8007+E8007</f>
        <v>0.45</v>
      </c>
      <c r="I8007">
        <v>20230101</v>
      </c>
      <c r="J8007" t="s">
        <v>7646</v>
      </c>
    </row>
    <row r="8008" spans="1:14" x14ac:dyDescent="0.3">
      <c r="A8008" s="160">
        <v>61212</v>
      </c>
      <c r="B8008" t="s">
        <v>23088</v>
      </c>
      <c r="C8008" t="s">
        <v>7630</v>
      </c>
      <c r="D8008">
        <v>0.45</v>
      </c>
      <c r="E8008">
        <v>0</v>
      </c>
      <c r="F8008">
        <f t="shared" si="125"/>
        <v>0.45</v>
      </c>
      <c r="I8008">
        <v>20230101</v>
      </c>
      <c r="J8008" t="s">
        <v>7631</v>
      </c>
    </row>
    <row r="8009" spans="1:14" x14ac:dyDescent="0.3">
      <c r="A8009" s="160">
        <v>61213</v>
      </c>
      <c r="B8009" t="s">
        <v>23089</v>
      </c>
      <c r="C8009" t="s">
        <v>7607</v>
      </c>
      <c r="D8009">
        <v>0.8</v>
      </c>
      <c r="E8009">
        <v>0</v>
      </c>
      <c r="F8009">
        <f t="shared" si="125"/>
        <v>0.8</v>
      </c>
      <c r="I8009">
        <v>20240101</v>
      </c>
      <c r="J8009" t="s">
        <v>7654</v>
      </c>
    </row>
    <row r="8010" spans="1:14" x14ac:dyDescent="0.3">
      <c r="A8010" s="160">
        <v>61217</v>
      </c>
      <c r="B8010" t="s">
        <v>23090</v>
      </c>
      <c r="C8010" t="s">
        <v>7630</v>
      </c>
      <c r="D8010">
        <v>0.45</v>
      </c>
      <c r="E8010">
        <v>0</v>
      </c>
      <c r="F8010">
        <f t="shared" si="125"/>
        <v>0.45</v>
      </c>
      <c r="I8010">
        <v>20230101</v>
      </c>
      <c r="J8010" t="s">
        <v>7668</v>
      </c>
    </row>
    <row r="8011" spans="1:14" x14ac:dyDescent="0.3">
      <c r="A8011" s="160">
        <v>61218</v>
      </c>
      <c r="B8011" t="s">
        <v>23091</v>
      </c>
      <c r="C8011" t="s">
        <v>7642</v>
      </c>
      <c r="D8011">
        <v>0.7</v>
      </c>
      <c r="E8011">
        <v>0</v>
      </c>
      <c r="F8011">
        <f t="shared" si="125"/>
        <v>0.7</v>
      </c>
      <c r="I8011">
        <v>20140101</v>
      </c>
      <c r="J8011" t="s">
        <v>7643</v>
      </c>
      <c r="K8011" t="s">
        <v>7651</v>
      </c>
      <c r="L8011" t="s">
        <v>7663</v>
      </c>
      <c r="M8011" t="s">
        <v>7664</v>
      </c>
      <c r="N8011" t="s">
        <v>7653</v>
      </c>
    </row>
    <row r="8012" spans="1:14" x14ac:dyDescent="0.3">
      <c r="A8012" s="160">
        <v>61219</v>
      </c>
      <c r="B8012" t="s">
        <v>23092</v>
      </c>
      <c r="C8012" t="s">
        <v>7642</v>
      </c>
      <c r="D8012">
        <v>0.7</v>
      </c>
      <c r="E8012">
        <v>0</v>
      </c>
      <c r="F8012">
        <f t="shared" si="125"/>
        <v>0.7</v>
      </c>
      <c r="I8012">
        <v>20170501</v>
      </c>
      <c r="J8012" t="s">
        <v>7643</v>
      </c>
    </row>
    <row r="8013" spans="1:14" x14ac:dyDescent="0.3">
      <c r="A8013" s="160">
        <v>61221</v>
      </c>
      <c r="B8013" t="s">
        <v>23093</v>
      </c>
      <c r="C8013" t="s">
        <v>7642</v>
      </c>
      <c r="D8013">
        <v>0.7</v>
      </c>
      <c r="E8013">
        <v>0</v>
      </c>
      <c r="F8013">
        <f t="shared" si="125"/>
        <v>0.7</v>
      </c>
      <c r="I8013">
        <v>20140101</v>
      </c>
      <c r="J8013" t="s">
        <v>7643</v>
      </c>
    </row>
    <row r="8014" spans="1:14" x14ac:dyDescent="0.3">
      <c r="A8014" s="160">
        <v>61222</v>
      </c>
      <c r="B8014" t="s">
        <v>23094</v>
      </c>
      <c r="C8014" t="s">
        <v>7642</v>
      </c>
      <c r="D8014">
        <v>0.7</v>
      </c>
      <c r="E8014">
        <v>0</v>
      </c>
      <c r="F8014">
        <f t="shared" si="125"/>
        <v>0.7</v>
      </c>
      <c r="I8014">
        <v>20140101</v>
      </c>
      <c r="J8014" t="s">
        <v>7643</v>
      </c>
    </row>
    <row r="8015" spans="1:14" x14ac:dyDescent="0.3">
      <c r="A8015" s="160">
        <v>61224</v>
      </c>
      <c r="B8015" t="s">
        <v>23095</v>
      </c>
      <c r="C8015" t="s">
        <v>7607</v>
      </c>
      <c r="D8015">
        <v>0.8</v>
      </c>
      <c r="E8015">
        <v>0</v>
      </c>
      <c r="F8015">
        <f t="shared" si="125"/>
        <v>0.8</v>
      </c>
      <c r="I8015">
        <v>20240101</v>
      </c>
      <c r="J8015" t="s">
        <v>7655</v>
      </c>
    </row>
    <row r="8016" spans="1:14" x14ac:dyDescent="0.3">
      <c r="A8016" s="160">
        <v>61228</v>
      </c>
      <c r="B8016" t="s">
        <v>23096</v>
      </c>
      <c r="C8016" t="s">
        <v>7607</v>
      </c>
      <c r="D8016">
        <v>0.8</v>
      </c>
      <c r="E8016">
        <v>0</v>
      </c>
      <c r="F8016">
        <f t="shared" si="125"/>
        <v>0.8</v>
      </c>
      <c r="I8016">
        <v>20240101</v>
      </c>
      <c r="J8016" t="s">
        <v>7660</v>
      </c>
    </row>
    <row r="8017" spans="1:12" x14ac:dyDescent="0.3">
      <c r="A8017" s="160">
        <v>61231</v>
      </c>
      <c r="B8017" t="s">
        <v>23097</v>
      </c>
      <c r="C8017" t="s">
        <v>7607</v>
      </c>
      <c r="D8017">
        <v>0.8</v>
      </c>
      <c r="E8017">
        <v>0</v>
      </c>
      <c r="F8017">
        <f t="shared" si="125"/>
        <v>0.8</v>
      </c>
      <c r="I8017">
        <v>20240101</v>
      </c>
      <c r="J8017" t="s">
        <v>7654</v>
      </c>
    </row>
    <row r="8018" spans="1:12" x14ac:dyDescent="0.3">
      <c r="A8018" s="160">
        <v>61233</v>
      </c>
      <c r="B8018" t="s">
        <v>23098</v>
      </c>
      <c r="C8018" t="s">
        <v>7642</v>
      </c>
      <c r="D8018">
        <v>0.7</v>
      </c>
      <c r="E8018">
        <v>0</v>
      </c>
      <c r="F8018">
        <f t="shared" si="125"/>
        <v>0.7</v>
      </c>
      <c r="I8018">
        <v>20240101</v>
      </c>
      <c r="J8018" t="s">
        <v>7662</v>
      </c>
    </row>
    <row r="8019" spans="1:12" x14ac:dyDescent="0.3">
      <c r="A8019" s="160">
        <v>61234</v>
      </c>
      <c r="B8019" t="s">
        <v>23099</v>
      </c>
      <c r="C8019" t="s">
        <v>7607</v>
      </c>
      <c r="D8019">
        <v>0.8</v>
      </c>
      <c r="E8019">
        <v>0</v>
      </c>
      <c r="F8019">
        <f t="shared" si="125"/>
        <v>0.8</v>
      </c>
      <c r="I8019">
        <v>20240101</v>
      </c>
      <c r="J8019" t="s">
        <v>7613</v>
      </c>
      <c r="K8019" t="s">
        <v>7628</v>
      </c>
      <c r="L8019" t="s">
        <v>7655</v>
      </c>
    </row>
    <row r="8020" spans="1:12" x14ac:dyDescent="0.3">
      <c r="A8020" s="160">
        <v>61237</v>
      </c>
      <c r="B8020" t="s">
        <v>23100</v>
      </c>
      <c r="C8020" t="s">
        <v>7630</v>
      </c>
      <c r="D8020">
        <v>0.45</v>
      </c>
      <c r="E8020">
        <v>0</v>
      </c>
      <c r="F8020">
        <f t="shared" si="125"/>
        <v>0.45</v>
      </c>
      <c r="I8020">
        <v>20230101</v>
      </c>
      <c r="J8020" t="s">
        <v>7646</v>
      </c>
    </row>
    <row r="8021" spans="1:12" x14ac:dyDescent="0.3">
      <c r="A8021" s="160">
        <v>61238</v>
      </c>
      <c r="B8021" t="s">
        <v>23101</v>
      </c>
      <c r="C8021" t="s">
        <v>7630</v>
      </c>
      <c r="D8021">
        <v>0.45</v>
      </c>
      <c r="E8021">
        <v>0</v>
      </c>
      <c r="F8021">
        <f t="shared" si="125"/>
        <v>0.45</v>
      </c>
      <c r="I8021">
        <v>20230101</v>
      </c>
      <c r="J8021" t="s">
        <v>7647</v>
      </c>
    </row>
    <row r="8022" spans="1:12" x14ac:dyDescent="0.3">
      <c r="A8022" s="160">
        <v>61260</v>
      </c>
      <c r="B8022" t="s">
        <v>23102</v>
      </c>
      <c r="C8022" t="s">
        <v>7642</v>
      </c>
      <c r="D8022">
        <v>0.7</v>
      </c>
      <c r="E8022">
        <v>0</v>
      </c>
      <c r="F8022">
        <f t="shared" si="125"/>
        <v>0.7</v>
      </c>
      <c r="I8022">
        <v>20240101</v>
      </c>
      <c r="J8022" t="s">
        <v>7649</v>
      </c>
    </row>
    <row r="8023" spans="1:12" x14ac:dyDescent="0.3">
      <c r="A8023" s="160">
        <v>61263</v>
      </c>
      <c r="B8023" t="s">
        <v>23103</v>
      </c>
      <c r="C8023" t="s">
        <v>7607</v>
      </c>
      <c r="D8023">
        <v>0.8</v>
      </c>
      <c r="E8023">
        <v>0</v>
      </c>
      <c r="F8023">
        <f t="shared" si="125"/>
        <v>0.8</v>
      </c>
      <c r="I8023">
        <v>20240101</v>
      </c>
      <c r="J8023" t="s">
        <v>7612</v>
      </c>
      <c r="K8023" t="s">
        <v>7655</v>
      </c>
    </row>
    <row r="8024" spans="1:12" x14ac:dyDescent="0.3">
      <c r="A8024" s="160">
        <v>61269</v>
      </c>
      <c r="B8024" t="s">
        <v>23104</v>
      </c>
      <c r="C8024" t="s">
        <v>7642</v>
      </c>
      <c r="D8024">
        <v>0.7</v>
      </c>
      <c r="E8024">
        <v>0</v>
      </c>
      <c r="F8024">
        <f t="shared" si="125"/>
        <v>0.7</v>
      </c>
      <c r="I8024">
        <v>20170501</v>
      </c>
      <c r="J8024" t="s">
        <v>7644</v>
      </c>
    </row>
    <row r="8025" spans="1:12" x14ac:dyDescent="0.3">
      <c r="A8025" s="160">
        <v>61276</v>
      </c>
      <c r="B8025" t="s">
        <v>23105</v>
      </c>
      <c r="C8025" t="s">
        <v>7630</v>
      </c>
      <c r="D8025">
        <v>0.45</v>
      </c>
      <c r="E8025">
        <v>0</v>
      </c>
      <c r="F8025">
        <f t="shared" si="125"/>
        <v>0.45</v>
      </c>
      <c r="I8025">
        <v>20230101</v>
      </c>
      <c r="J8025" t="s">
        <v>7647</v>
      </c>
    </row>
    <row r="8026" spans="1:12" x14ac:dyDescent="0.3">
      <c r="A8026" s="160">
        <v>61278</v>
      </c>
      <c r="B8026" t="s">
        <v>23106</v>
      </c>
      <c r="C8026" t="s">
        <v>7642</v>
      </c>
      <c r="D8026">
        <v>0.7</v>
      </c>
      <c r="E8026">
        <v>0</v>
      </c>
      <c r="F8026">
        <f t="shared" si="125"/>
        <v>0.7</v>
      </c>
      <c r="I8026">
        <v>20140101</v>
      </c>
      <c r="J8026" t="s">
        <v>7658</v>
      </c>
      <c r="K8026" t="s">
        <v>7669</v>
      </c>
    </row>
    <row r="8027" spans="1:12" x14ac:dyDescent="0.3">
      <c r="A8027" s="160">
        <v>61279</v>
      </c>
      <c r="B8027" t="s">
        <v>23107</v>
      </c>
      <c r="C8027" t="s">
        <v>7607</v>
      </c>
      <c r="D8027">
        <v>0.8</v>
      </c>
      <c r="E8027">
        <v>0</v>
      </c>
      <c r="F8027">
        <f t="shared" si="125"/>
        <v>0.8</v>
      </c>
      <c r="I8027">
        <v>20240101</v>
      </c>
      <c r="J8027" t="s">
        <v>7655</v>
      </c>
    </row>
    <row r="8028" spans="1:12" x14ac:dyDescent="0.3">
      <c r="A8028" s="160">
        <v>61283</v>
      </c>
      <c r="B8028" t="s">
        <v>23108</v>
      </c>
      <c r="C8028" t="s">
        <v>7630</v>
      </c>
      <c r="D8028">
        <v>0.45</v>
      </c>
      <c r="E8028">
        <v>0</v>
      </c>
      <c r="F8028">
        <f t="shared" si="125"/>
        <v>0.45</v>
      </c>
      <c r="I8028">
        <v>20230101</v>
      </c>
      <c r="J8028" t="s">
        <v>7647</v>
      </c>
    </row>
    <row r="8029" spans="1:12" x14ac:dyDescent="0.3">
      <c r="A8029" s="160">
        <v>61287</v>
      </c>
      <c r="B8029" t="s">
        <v>23109</v>
      </c>
      <c r="C8029" t="s">
        <v>7642</v>
      </c>
      <c r="D8029">
        <v>0.7</v>
      </c>
      <c r="E8029">
        <v>0</v>
      </c>
      <c r="F8029">
        <f t="shared" si="125"/>
        <v>0.7</v>
      </c>
      <c r="I8029">
        <v>20140101</v>
      </c>
      <c r="J8029" t="s">
        <v>7643</v>
      </c>
    </row>
    <row r="8030" spans="1:12" x14ac:dyDescent="0.3">
      <c r="A8030" s="160">
        <v>61289</v>
      </c>
      <c r="B8030" t="s">
        <v>23110</v>
      </c>
      <c r="C8030" t="s">
        <v>7630</v>
      </c>
      <c r="D8030">
        <v>0.45</v>
      </c>
      <c r="E8030">
        <v>0</v>
      </c>
      <c r="F8030">
        <f t="shared" si="125"/>
        <v>0.45</v>
      </c>
      <c r="I8030">
        <v>20230101</v>
      </c>
      <c r="J8030" t="s">
        <v>7647</v>
      </c>
    </row>
    <row r="8031" spans="1:12" x14ac:dyDescent="0.3">
      <c r="A8031" s="160">
        <v>61291</v>
      </c>
      <c r="B8031" t="s">
        <v>23111</v>
      </c>
      <c r="C8031" t="s">
        <v>7630</v>
      </c>
      <c r="D8031">
        <v>0.45</v>
      </c>
      <c r="E8031">
        <v>0</v>
      </c>
      <c r="F8031">
        <f t="shared" si="125"/>
        <v>0.45</v>
      </c>
      <c r="I8031">
        <v>20230101</v>
      </c>
      <c r="J8031" t="s">
        <v>7647</v>
      </c>
    </row>
    <row r="8032" spans="1:12" x14ac:dyDescent="0.3">
      <c r="A8032" s="160">
        <v>61298</v>
      </c>
      <c r="B8032" t="s">
        <v>23112</v>
      </c>
      <c r="C8032" t="s">
        <v>7630</v>
      </c>
      <c r="D8032">
        <v>0.45</v>
      </c>
      <c r="E8032">
        <v>0</v>
      </c>
      <c r="F8032">
        <f t="shared" si="125"/>
        <v>0.45</v>
      </c>
      <c r="I8032">
        <v>20230101</v>
      </c>
      <c r="J8032" t="s">
        <v>7631</v>
      </c>
    </row>
    <row r="8033" spans="1:12" x14ac:dyDescent="0.3">
      <c r="A8033" s="160">
        <v>61302</v>
      </c>
      <c r="B8033" t="s">
        <v>23113</v>
      </c>
      <c r="C8033" t="s">
        <v>7630</v>
      </c>
      <c r="D8033">
        <v>0.45</v>
      </c>
      <c r="E8033">
        <v>0</v>
      </c>
      <c r="F8033">
        <f t="shared" si="125"/>
        <v>0.45</v>
      </c>
      <c r="I8033">
        <v>20230101</v>
      </c>
      <c r="J8033" t="s">
        <v>7647</v>
      </c>
    </row>
    <row r="8034" spans="1:12" x14ac:dyDescent="0.3">
      <c r="A8034" s="160">
        <v>61303</v>
      </c>
      <c r="B8034" t="s">
        <v>23114</v>
      </c>
      <c r="C8034" t="s">
        <v>7630</v>
      </c>
      <c r="D8034">
        <v>0.45</v>
      </c>
      <c r="E8034">
        <v>0</v>
      </c>
      <c r="F8034">
        <f t="shared" si="125"/>
        <v>0.45</v>
      </c>
      <c r="I8034">
        <v>20230101</v>
      </c>
      <c r="J8034" t="s">
        <v>7647</v>
      </c>
    </row>
    <row r="8035" spans="1:12" x14ac:dyDescent="0.3">
      <c r="A8035" s="160">
        <v>61314</v>
      </c>
      <c r="B8035" t="s">
        <v>23115</v>
      </c>
      <c r="C8035" t="s">
        <v>7630</v>
      </c>
      <c r="D8035">
        <v>0.45</v>
      </c>
      <c r="E8035">
        <v>0</v>
      </c>
      <c r="F8035">
        <f t="shared" si="125"/>
        <v>0.45</v>
      </c>
      <c r="I8035">
        <v>20230101</v>
      </c>
      <c r="J8035" t="s">
        <v>7631</v>
      </c>
    </row>
    <row r="8036" spans="1:12" x14ac:dyDescent="0.3">
      <c r="A8036" s="160">
        <v>61316</v>
      </c>
      <c r="B8036" t="s">
        <v>23116</v>
      </c>
      <c r="C8036" t="s">
        <v>7630</v>
      </c>
      <c r="D8036">
        <v>0.45</v>
      </c>
      <c r="E8036">
        <v>0</v>
      </c>
      <c r="F8036">
        <f t="shared" si="125"/>
        <v>0.45</v>
      </c>
      <c r="I8036">
        <v>20230101</v>
      </c>
      <c r="J8036" t="s">
        <v>7647</v>
      </c>
    </row>
    <row r="8037" spans="1:12" x14ac:dyDescent="0.3">
      <c r="A8037" s="160">
        <v>61321</v>
      </c>
      <c r="B8037" t="s">
        <v>19297</v>
      </c>
      <c r="C8037" t="s">
        <v>7607</v>
      </c>
      <c r="D8037">
        <v>0.8</v>
      </c>
      <c r="E8037">
        <v>0</v>
      </c>
      <c r="F8037">
        <f t="shared" si="125"/>
        <v>0.8</v>
      </c>
      <c r="I8037">
        <v>20240101</v>
      </c>
      <c r="J8037" t="s">
        <v>7612</v>
      </c>
      <c r="K8037" t="s">
        <v>7655</v>
      </c>
    </row>
    <row r="8038" spans="1:12" x14ac:dyDescent="0.3">
      <c r="A8038" s="160">
        <v>61328</v>
      </c>
      <c r="B8038" t="s">
        <v>23117</v>
      </c>
      <c r="C8038" t="s">
        <v>7630</v>
      </c>
      <c r="D8038">
        <v>0.45</v>
      </c>
      <c r="E8038">
        <v>0</v>
      </c>
      <c r="F8038">
        <f t="shared" si="125"/>
        <v>0.45</v>
      </c>
      <c r="I8038">
        <v>20230101</v>
      </c>
      <c r="J8038" t="s">
        <v>7667</v>
      </c>
    </row>
    <row r="8039" spans="1:12" x14ac:dyDescent="0.3">
      <c r="A8039" s="160">
        <v>61332</v>
      </c>
      <c r="B8039" t="s">
        <v>23118</v>
      </c>
      <c r="C8039" t="s">
        <v>7642</v>
      </c>
      <c r="D8039">
        <v>0.7</v>
      </c>
      <c r="E8039">
        <v>0</v>
      </c>
      <c r="F8039">
        <f t="shared" si="125"/>
        <v>0.7</v>
      </c>
      <c r="I8039">
        <v>20240101</v>
      </c>
      <c r="J8039" t="s">
        <v>7649</v>
      </c>
    </row>
    <row r="8040" spans="1:12" x14ac:dyDescent="0.3">
      <c r="A8040" s="160">
        <v>61341</v>
      </c>
      <c r="B8040" t="s">
        <v>23119</v>
      </c>
      <c r="C8040" t="s">
        <v>7607</v>
      </c>
      <c r="D8040">
        <v>0.8</v>
      </c>
      <c r="E8040">
        <v>0</v>
      </c>
      <c r="F8040">
        <f t="shared" si="125"/>
        <v>0.8</v>
      </c>
      <c r="I8040">
        <v>20240101</v>
      </c>
      <c r="J8040" t="s">
        <v>7612</v>
      </c>
      <c r="K8040" t="s">
        <v>7628</v>
      </c>
      <c r="L8040" t="s">
        <v>7655</v>
      </c>
    </row>
    <row r="8041" spans="1:12" x14ac:dyDescent="0.3">
      <c r="A8041" s="160">
        <v>61344</v>
      </c>
      <c r="B8041" t="s">
        <v>23120</v>
      </c>
      <c r="C8041" t="s">
        <v>7630</v>
      </c>
      <c r="D8041">
        <v>0.45</v>
      </c>
      <c r="E8041">
        <v>0</v>
      </c>
      <c r="F8041">
        <f t="shared" si="125"/>
        <v>0.45</v>
      </c>
      <c r="I8041">
        <v>20230101</v>
      </c>
      <c r="J8041" t="s">
        <v>7646</v>
      </c>
    </row>
    <row r="8042" spans="1:12" x14ac:dyDescent="0.3">
      <c r="A8042" s="160">
        <v>61349</v>
      </c>
      <c r="B8042" t="s">
        <v>23121</v>
      </c>
      <c r="C8042" t="s">
        <v>7630</v>
      </c>
      <c r="D8042">
        <v>0.45</v>
      </c>
      <c r="E8042">
        <v>0</v>
      </c>
      <c r="F8042">
        <f t="shared" si="125"/>
        <v>0.45</v>
      </c>
      <c r="I8042">
        <v>20230101</v>
      </c>
      <c r="J8042" t="s">
        <v>7668</v>
      </c>
    </row>
    <row r="8043" spans="1:12" x14ac:dyDescent="0.3">
      <c r="A8043" s="160">
        <v>61350</v>
      </c>
      <c r="B8043" t="s">
        <v>23122</v>
      </c>
      <c r="C8043" t="s">
        <v>7607</v>
      </c>
      <c r="D8043">
        <v>0.8</v>
      </c>
      <c r="E8043">
        <v>0</v>
      </c>
      <c r="F8043">
        <f t="shared" si="125"/>
        <v>0.8</v>
      </c>
      <c r="I8043">
        <v>20240101</v>
      </c>
      <c r="J8043" t="s">
        <v>7660</v>
      </c>
    </row>
    <row r="8044" spans="1:12" x14ac:dyDescent="0.3">
      <c r="A8044" s="160">
        <v>61352</v>
      </c>
      <c r="B8044" t="s">
        <v>23123</v>
      </c>
      <c r="C8044" t="s">
        <v>7630</v>
      </c>
      <c r="D8044">
        <v>0.45</v>
      </c>
      <c r="E8044">
        <v>0</v>
      </c>
      <c r="F8044">
        <f t="shared" si="125"/>
        <v>0.45</v>
      </c>
      <c r="I8044">
        <v>20230101</v>
      </c>
      <c r="J8044" t="s">
        <v>7647</v>
      </c>
    </row>
    <row r="8045" spans="1:12" x14ac:dyDescent="0.3">
      <c r="A8045" s="160">
        <v>61358</v>
      </c>
      <c r="B8045" t="s">
        <v>23124</v>
      </c>
      <c r="C8045" t="s">
        <v>7630</v>
      </c>
      <c r="D8045">
        <v>0.45</v>
      </c>
      <c r="E8045">
        <v>0</v>
      </c>
      <c r="F8045">
        <f t="shared" si="125"/>
        <v>0.45</v>
      </c>
      <c r="I8045">
        <v>20230101</v>
      </c>
      <c r="J8045" t="s">
        <v>7631</v>
      </c>
    </row>
    <row r="8046" spans="1:12" x14ac:dyDescent="0.3">
      <c r="A8046" s="160">
        <v>61362</v>
      </c>
      <c r="B8046" t="s">
        <v>23125</v>
      </c>
      <c r="C8046" t="s">
        <v>7642</v>
      </c>
      <c r="D8046">
        <v>0.7</v>
      </c>
      <c r="E8046">
        <v>0</v>
      </c>
      <c r="F8046">
        <f t="shared" si="125"/>
        <v>0.7</v>
      </c>
      <c r="I8046">
        <v>20140101</v>
      </c>
      <c r="J8046" t="s">
        <v>7658</v>
      </c>
    </row>
    <row r="8047" spans="1:12" x14ac:dyDescent="0.3">
      <c r="A8047" s="160">
        <v>61371</v>
      </c>
      <c r="B8047" t="s">
        <v>23126</v>
      </c>
      <c r="C8047" t="s">
        <v>7630</v>
      </c>
      <c r="D8047">
        <v>0.45</v>
      </c>
      <c r="E8047">
        <v>0</v>
      </c>
      <c r="F8047">
        <f t="shared" si="125"/>
        <v>0.45</v>
      </c>
      <c r="I8047">
        <v>20230101</v>
      </c>
      <c r="J8047" t="s">
        <v>7646</v>
      </c>
    </row>
    <row r="8048" spans="1:12" x14ac:dyDescent="0.3">
      <c r="A8048" s="160">
        <v>61372</v>
      </c>
      <c r="B8048" t="s">
        <v>23127</v>
      </c>
      <c r="C8048" t="s">
        <v>7607</v>
      </c>
      <c r="D8048">
        <v>0.8</v>
      </c>
      <c r="E8048">
        <v>0</v>
      </c>
      <c r="F8048">
        <f t="shared" si="125"/>
        <v>0.8</v>
      </c>
      <c r="I8048">
        <v>20240101</v>
      </c>
      <c r="J8048" t="s">
        <v>7655</v>
      </c>
    </row>
    <row r="8049" spans="1:14" x14ac:dyDescent="0.3">
      <c r="A8049" s="160">
        <v>61375</v>
      </c>
      <c r="B8049" t="s">
        <v>23128</v>
      </c>
      <c r="C8049" t="s">
        <v>7630</v>
      </c>
      <c r="D8049">
        <v>0.45</v>
      </c>
      <c r="E8049">
        <v>0</v>
      </c>
      <c r="F8049">
        <f t="shared" si="125"/>
        <v>0.45</v>
      </c>
      <c r="I8049">
        <v>20230101</v>
      </c>
      <c r="J8049" t="s">
        <v>7650</v>
      </c>
    </row>
    <row r="8050" spans="1:14" x14ac:dyDescent="0.3">
      <c r="A8050" s="160">
        <v>61376</v>
      </c>
      <c r="B8050" t="s">
        <v>23129</v>
      </c>
      <c r="C8050" t="s">
        <v>7642</v>
      </c>
      <c r="D8050">
        <v>0.7</v>
      </c>
      <c r="E8050">
        <v>0</v>
      </c>
      <c r="F8050">
        <f t="shared" si="125"/>
        <v>0.7</v>
      </c>
      <c r="I8050">
        <v>20140101</v>
      </c>
      <c r="J8050" t="s">
        <v>7670</v>
      </c>
    </row>
    <row r="8051" spans="1:14" x14ac:dyDescent="0.3">
      <c r="A8051" s="160">
        <v>61382</v>
      </c>
      <c r="B8051" t="s">
        <v>23130</v>
      </c>
      <c r="C8051" t="s">
        <v>7607</v>
      </c>
      <c r="D8051">
        <v>0.8</v>
      </c>
      <c r="E8051">
        <v>0</v>
      </c>
      <c r="F8051">
        <f t="shared" si="125"/>
        <v>0.8</v>
      </c>
      <c r="I8051">
        <v>20240101</v>
      </c>
      <c r="J8051" t="s">
        <v>7616</v>
      </c>
      <c r="K8051" t="s">
        <v>7628</v>
      </c>
      <c r="L8051" t="s">
        <v>7660</v>
      </c>
    </row>
    <row r="8052" spans="1:14" x14ac:dyDescent="0.3">
      <c r="A8052" s="160">
        <v>61383</v>
      </c>
      <c r="B8052" t="s">
        <v>23130</v>
      </c>
      <c r="C8052" t="s">
        <v>7607</v>
      </c>
      <c r="D8052">
        <v>0.8</v>
      </c>
      <c r="E8052">
        <v>0</v>
      </c>
      <c r="F8052">
        <f t="shared" si="125"/>
        <v>0.8</v>
      </c>
      <c r="I8052">
        <v>20240101</v>
      </c>
      <c r="J8052" t="s">
        <v>7654</v>
      </c>
    </row>
    <row r="8053" spans="1:14" x14ac:dyDescent="0.3">
      <c r="A8053" s="160">
        <v>61384</v>
      </c>
      <c r="B8053" t="s">
        <v>23131</v>
      </c>
      <c r="C8053" t="s">
        <v>7607</v>
      </c>
      <c r="D8053">
        <v>0.8</v>
      </c>
      <c r="E8053">
        <v>0</v>
      </c>
      <c r="F8053">
        <f t="shared" si="125"/>
        <v>0.8</v>
      </c>
      <c r="I8053">
        <v>20240101</v>
      </c>
      <c r="J8053" t="s">
        <v>7654</v>
      </c>
    </row>
    <row r="8054" spans="1:14" x14ac:dyDescent="0.3">
      <c r="A8054" s="160">
        <v>61390</v>
      </c>
      <c r="B8054" t="s">
        <v>23132</v>
      </c>
      <c r="C8054" t="s">
        <v>7630</v>
      </c>
      <c r="D8054">
        <v>0.45</v>
      </c>
      <c r="E8054">
        <v>0</v>
      </c>
      <c r="F8054">
        <f t="shared" si="125"/>
        <v>0.45</v>
      </c>
      <c r="I8054">
        <v>20230101</v>
      </c>
      <c r="J8054" t="s">
        <v>7662</v>
      </c>
    </row>
    <row r="8055" spans="1:14" x14ac:dyDescent="0.3">
      <c r="A8055" s="160">
        <v>61391</v>
      </c>
      <c r="B8055" t="s">
        <v>23133</v>
      </c>
      <c r="C8055" t="s">
        <v>7642</v>
      </c>
      <c r="D8055">
        <v>0.7</v>
      </c>
      <c r="E8055">
        <v>0</v>
      </c>
      <c r="F8055">
        <f t="shared" si="125"/>
        <v>0.7</v>
      </c>
      <c r="I8055">
        <v>20140101</v>
      </c>
      <c r="J8055" t="s">
        <v>7643</v>
      </c>
      <c r="K8055" t="s">
        <v>7651</v>
      </c>
      <c r="L8055" t="s">
        <v>7663</v>
      </c>
      <c r="M8055" t="s">
        <v>7664</v>
      </c>
      <c r="N8055" t="s">
        <v>7665</v>
      </c>
    </row>
    <row r="8056" spans="1:14" x14ac:dyDescent="0.3">
      <c r="A8056" s="160">
        <v>61397</v>
      </c>
      <c r="B8056" t="s">
        <v>23134</v>
      </c>
      <c r="C8056" t="s">
        <v>7607</v>
      </c>
      <c r="D8056">
        <v>0.8</v>
      </c>
      <c r="E8056">
        <v>0</v>
      </c>
      <c r="F8056">
        <f t="shared" si="125"/>
        <v>0.8</v>
      </c>
      <c r="I8056">
        <v>20240101</v>
      </c>
      <c r="J8056" t="s">
        <v>7608</v>
      </c>
      <c r="K8056" t="s">
        <v>7609</v>
      </c>
      <c r="L8056" t="s">
        <v>7628</v>
      </c>
      <c r="M8056" t="s">
        <v>7656</v>
      </c>
    </row>
    <row r="8057" spans="1:14" x14ac:dyDescent="0.3">
      <c r="A8057" s="160">
        <v>61399</v>
      </c>
      <c r="B8057" t="s">
        <v>23135</v>
      </c>
      <c r="C8057" t="s">
        <v>7630</v>
      </c>
      <c r="D8057">
        <v>0.45</v>
      </c>
      <c r="E8057">
        <v>0</v>
      </c>
      <c r="F8057">
        <f t="shared" si="125"/>
        <v>0.45</v>
      </c>
      <c r="I8057">
        <v>20230101</v>
      </c>
      <c r="J8057" t="s">
        <v>7647</v>
      </c>
    </row>
    <row r="8058" spans="1:14" x14ac:dyDescent="0.3">
      <c r="A8058" s="160">
        <v>61407</v>
      </c>
      <c r="B8058" t="s">
        <v>23136</v>
      </c>
      <c r="C8058" t="s">
        <v>7642</v>
      </c>
      <c r="D8058">
        <v>0.7</v>
      </c>
      <c r="E8058">
        <v>0</v>
      </c>
      <c r="F8058">
        <f t="shared" si="125"/>
        <v>0.7</v>
      </c>
      <c r="I8058">
        <v>20170501</v>
      </c>
      <c r="J8058" t="s">
        <v>7644</v>
      </c>
    </row>
    <row r="8059" spans="1:14" x14ac:dyDescent="0.3">
      <c r="A8059" s="160">
        <v>61413</v>
      </c>
      <c r="B8059" t="s">
        <v>23137</v>
      </c>
      <c r="C8059" t="s">
        <v>7630</v>
      </c>
      <c r="D8059">
        <v>0.45</v>
      </c>
      <c r="E8059">
        <v>0</v>
      </c>
      <c r="F8059">
        <f t="shared" si="125"/>
        <v>0.45</v>
      </c>
      <c r="I8059">
        <v>20230101</v>
      </c>
      <c r="J8059" t="s">
        <v>7647</v>
      </c>
    </row>
    <row r="8060" spans="1:14" x14ac:dyDescent="0.3">
      <c r="A8060" s="160">
        <v>61433</v>
      </c>
      <c r="B8060" t="s">
        <v>23138</v>
      </c>
      <c r="C8060" t="s">
        <v>7607</v>
      </c>
      <c r="D8060">
        <v>0.8</v>
      </c>
      <c r="E8060">
        <v>0</v>
      </c>
      <c r="F8060">
        <f t="shared" si="125"/>
        <v>0.8</v>
      </c>
      <c r="I8060">
        <v>20240101</v>
      </c>
      <c r="J8060" t="s">
        <v>7655</v>
      </c>
    </row>
    <row r="8061" spans="1:14" x14ac:dyDescent="0.3">
      <c r="A8061" s="160">
        <v>61436</v>
      </c>
      <c r="B8061" t="s">
        <v>23139</v>
      </c>
      <c r="C8061" t="s">
        <v>7642</v>
      </c>
      <c r="D8061">
        <v>0.7</v>
      </c>
      <c r="E8061">
        <v>0</v>
      </c>
      <c r="F8061">
        <f t="shared" si="125"/>
        <v>0.7</v>
      </c>
      <c r="I8061">
        <v>20240101</v>
      </c>
      <c r="J8061" t="s">
        <v>7643</v>
      </c>
    </row>
    <row r="8062" spans="1:14" x14ac:dyDescent="0.3">
      <c r="A8062" s="160">
        <v>61443</v>
      </c>
      <c r="B8062" t="s">
        <v>16925</v>
      </c>
      <c r="C8062" t="s">
        <v>7642</v>
      </c>
      <c r="D8062">
        <v>0.7</v>
      </c>
      <c r="E8062">
        <v>0</v>
      </c>
      <c r="F8062">
        <f t="shared" si="125"/>
        <v>0.7</v>
      </c>
      <c r="I8062">
        <v>20140101</v>
      </c>
      <c r="J8062" t="s">
        <v>7643</v>
      </c>
    </row>
    <row r="8063" spans="1:14" x14ac:dyDescent="0.3">
      <c r="A8063" s="160">
        <v>61444</v>
      </c>
      <c r="B8063" t="s">
        <v>23140</v>
      </c>
      <c r="C8063" t="s">
        <v>7642</v>
      </c>
      <c r="D8063">
        <v>0.7</v>
      </c>
      <c r="E8063">
        <v>0</v>
      </c>
      <c r="F8063">
        <f t="shared" si="125"/>
        <v>0.7</v>
      </c>
      <c r="I8063">
        <v>20240101</v>
      </c>
      <c r="J8063" t="s">
        <v>7644</v>
      </c>
    </row>
    <row r="8064" spans="1:14" x14ac:dyDescent="0.3">
      <c r="A8064" s="160">
        <v>61447</v>
      </c>
      <c r="B8064" t="s">
        <v>23141</v>
      </c>
      <c r="C8064" t="s">
        <v>7642</v>
      </c>
      <c r="D8064">
        <v>0.7</v>
      </c>
      <c r="E8064">
        <v>0</v>
      </c>
      <c r="F8064">
        <f t="shared" si="125"/>
        <v>0.7</v>
      </c>
      <c r="I8064">
        <v>20170501</v>
      </c>
      <c r="J8064" t="s">
        <v>7653</v>
      </c>
      <c r="K8064" t="s">
        <v>7671</v>
      </c>
    </row>
    <row r="8065" spans="1:18" x14ac:dyDescent="0.3">
      <c r="A8065" s="160">
        <v>61459</v>
      </c>
      <c r="B8065" t="s">
        <v>23142</v>
      </c>
      <c r="C8065" t="s">
        <v>7642</v>
      </c>
      <c r="D8065">
        <v>0.7</v>
      </c>
      <c r="E8065">
        <v>0</v>
      </c>
      <c r="F8065">
        <f t="shared" si="125"/>
        <v>0.7</v>
      </c>
      <c r="I8065">
        <v>20140101</v>
      </c>
      <c r="J8065" t="s">
        <v>7649</v>
      </c>
    </row>
    <row r="8066" spans="1:18" x14ac:dyDescent="0.3">
      <c r="A8066" s="160">
        <v>61462</v>
      </c>
      <c r="B8066" t="s">
        <v>23143</v>
      </c>
      <c r="C8066" t="s">
        <v>7630</v>
      </c>
      <c r="D8066">
        <v>0.45</v>
      </c>
      <c r="E8066">
        <v>0</v>
      </c>
      <c r="F8066">
        <f t="shared" si="125"/>
        <v>0.45</v>
      </c>
      <c r="I8066">
        <v>20220101</v>
      </c>
      <c r="J8066" t="s">
        <v>7631</v>
      </c>
      <c r="K8066" t="s">
        <v>7634</v>
      </c>
    </row>
    <row r="8067" spans="1:18" x14ac:dyDescent="0.3">
      <c r="A8067" s="160">
        <v>61463</v>
      </c>
      <c r="B8067" t="s">
        <v>23144</v>
      </c>
      <c r="C8067" t="s">
        <v>7642</v>
      </c>
      <c r="D8067">
        <v>0.7</v>
      </c>
      <c r="E8067">
        <v>0</v>
      </c>
      <c r="F8067">
        <f t="shared" si="125"/>
        <v>0.7</v>
      </c>
      <c r="I8067">
        <v>20240101</v>
      </c>
      <c r="J8067" t="s">
        <v>7662</v>
      </c>
    </row>
    <row r="8068" spans="1:18" x14ac:dyDescent="0.3">
      <c r="A8068" s="160">
        <v>61466</v>
      </c>
      <c r="B8068" t="s">
        <v>23145</v>
      </c>
      <c r="C8068" t="s">
        <v>7642</v>
      </c>
      <c r="D8068">
        <v>0.7</v>
      </c>
      <c r="E8068">
        <v>0</v>
      </c>
      <c r="F8068">
        <f t="shared" si="125"/>
        <v>0.7</v>
      </c>
      <c r="I8068">
        <v>20140101</v>
      </c>
      <c r="J8068" t="s">
        <v>7643</v>
      </c>
      <c r="K8068" t="s">
        <v>7663</v>
      </c>
      <c r="L8068" t="s">
        <v>7665</v>
      </c>
    </row>
    <row r="8069" spans="1:18" x14ac:dyDescent="0.3">
      <c r="A8069" s="160">
        <v>61467</v>
      </c>
      <c r="B8069" t="s">
        <v>23146</v>
      </c>
      <c r="C8069" t="s">
        <v>7607</v>
      </c>
      <c r="D8069">
        <v>0.8</v>
      </c>
      <c r="E8069">
        <v>0</v>
      </c>
      <c r="F8069">
        <f t="shared" si="125"/>
        <v>0.8</v>
      </c>
      <c r="I8069">
        <v>20240101</v>
      </c>
      <c r="J8069" t="s">
        <v>7655</v>
      </c>
    </row>
    <row r="8070" spans="1:18" x14ac:dyDescent="0.3">
      <c r="A8070" s="160">
        <v>61472</v>
      </c>
      <c r="B8070" t="s">
        <v>23147</v>
      </c>
      <c r="C8070" t="s">
        <v>7630</v>
      </c>
      <c r="D8070">
        <v>0.45</v>
      </c>
      <c r="E8070">
        <v>0</v>
      </c>
      <c r="F8070">
        <f t="shared" si="125"/>
        <v>0.45</v>
      </c>
      <c r="I8070">
        <v>20230101</v>
      </c>
      <c r="J8070" t="s">
        <v>7631</v>
      </c>
    </row>
    <row r="8071" spans="1:18" x14ac:dyDescent="0.3">
      <c r="A8071" s="160">
        <v>61473</v>
      </c>
      <c r="B8071" t="s">
        <v>23148</v>
      </c>
      <c r="C8071" t="s">
        <v>7630</v>
      </c>
      <c r="D8071">
        <v>0.45</v>
      </c>
      <c r="E8071">
        <v>0</v>
      </c>
      <c r="F8071">
        <f t="shared" ref="F8071:F8134" si="126">D8071+E8071</f>
        <v>0.45</v>
      </c>
      <c r="I8071">
        <v>20230101</v>
      </c>
      <c r="J8071" t="s">
        <v>7646</v>
      </c>
      <c r="K8071" t="s">
        <v>7634</v>
      </c>
    </row>
    <row r="8072" spans="1:18" x14ac:dyDescent="0.3">
      <c r="A8072" s="160">
        <v>61474</v>
      </c>
      <c r="B8072" t="s">
        <v>23149</v>
      </c>
      <c r="C8072" t="s">
        <v>7630</v>
      </c>
      <c r="D8072">
        <v>0.45</v>
      </c>
      <c r="E8072">
        <v>0</v>
      </c>
      <c r="F8072">
        <f t="shared" si="126"/>
        <v>0.45</v>
      </c>
      <c r="I8072">
        <v>20230101</v>
      </c>
      <c r="J8072" t="s">
        <v>7647</v>
      </c>
      <c r="K8072" t="s">
        <v>7631</v>
      </c>
      <c r="L8072" t="s">
        <v>7632</v>
      </c>
      <c r="M8072" t="s">
        <v>7633</v>
      </c>
      <c r="N8072" t="s">
        <v>7635</v>
      </c>
      <c r="O8072" t="s">
        <v>7636</v>
      </c>
      <c r="P8072" t="s">
        <v>7637</v>
      </c>
      <c r="Q8072" t="s">
        <v>7667</v>
      </c>
    </row>
    <row r="8073" spans="1:18" x14ac:dyDescent="0.3">
      <c r="A8073" s="160">
        <v>61479</v>
      </c>
      <c r="B8073" t="s">
        <v>23150</v>
      </c>
      <c r="C8073" t="s">
        <v>7630</v>
      </c>
      <c r="D8073">
        <v>0.45</v>
      </c>
      <c r="E8073">
        <v>0</v>
      </c>
      <c r="F8073">
        <f t="shared" si="126"/>
        <v>0.45</v>
      </c>
      <c r="I8073">
        <v>20230101</v>
      </c>
      <c r="J8073" t="s">
        <v>7646</v>
      </c>
    </row>
    <row r="8074" spans="1:18" x14ac:dyDescent="0.3">
      <c r="A8074" s="160">
        <v>61490</v>
      </c>
      <c r="B8074" t="s">
        <v>23151</v>
      </c>
      <c r="C8074" t="s">
        <v>7630</v>
      </c>
      <c r="D8074">
        <v>0.45</v>
      </c>
      <c r="E8074">
        <v>0</v>
      </c>
      <c r="F8074">
        <f t="shared" si="126"/>
        <v>0.45</v>
      </c>
      <c r="I8074">
        <v>20230101</v>
      </c>
      <c r="J8074" t="s">
        <v>7647</v>
      </c>
    </row>
    <row r="8075" spans="1:18" x14ac:dyDescent="0.3">
      <c r="A8075" s="160">
        <v>61494</v>
      </c>
      <c r="B8075" t="s">
        <v>23152</v>
      </c>
      <c r="C8075" t="s">
        <v>7630</v>
      </c>
      <c r="D8075">
        <v>0.45</v>
      </c>
      <c r="E8075">
        <v>0</v>
      </c>
      <c r="F8075">
        <f t="shared" si="126"/>
        <v>0.45</v>
      </c>
      <c r="I8075">
        <v>20230101</v>
      </c>
      <c r="J8075" t="s">
        <v>7647</v>
      </c>
      <c r="K8075" t="s">
        <v>7633</v>
      </c>
      <c r="L8075" t="s">
        <v>7634</v>
      </c>
    </row>
    <row r="8076" spans="1:18" x14ac:dyDescent="0.3">
      <c r="A8076" s="160">
        <v>61497</v>
      </c>
      <c r="B8076" t="s">
        <v>23153</v>
      </c>
      <c r="C8076" t="s">
        <v>7607</v>
      </c>
      <c r="D8076">
        <v>0.8</v>
      </c>
      <c r="E8076">
        <v>0</v>
      </c>
      <c r="F8076">
        <f t="shared" si="126"/>
        <v>0.8</v>
      </c>
      <c r="I8076">
        <v>20240101</v>
      </c>
      <c r="J8076" t="s">
        <v>7611</v>
      </c>
      <c r="K8076" t="s">
        <v>7613</v>
      </c>
      <c r="L8076" t="s">
        <v>7614</v>
      </c>
      <c r="M8076" t="s">
        <v>7615</v>
      </c>
      <c r="N8076" t="s">
        <v>7617</v>
      </c>
      <c r="O8076" t="s">
        <v>7621</v>
      </c>
      <c r="P8076" t="s">
        <v>7672</v>
      </c>
      <c r="Q8076" t="s">
        <v>7628</v>
      </c>
      <c r="R8076" t="s">
        <v>7655</v>
      </c>
    </row>
    <row r="8077" spans="1:18" x14ac:dyDescent="0.3">
      <c r="A8077" s="160">
        <v>61503</v>
      </c>
      <c r="B8077" t="s">
        <v>23154</v>
      </c>
      <c r="C8077" t="s">
        <v>7630</v>
      </c>
      <c r="D8077">
        <v>0.45</v>
      </c>
      <c r="E8077">
        <v>0</v>
      </c>
      <c r="F8077">
        <f t="shared" si="126"/>
        <v>0.45</v>
      </c>
      <c r="I8077">
        <v>20230101</v>
      </c>
      <c r="J8077" t="s">
        <v>7646</v>
      </c>
    </row>
    <row r="8078" spans="1:18" x14ac:dyDescent="0.3">
      <c r="A8078" s="160">
        <v>61505</v>
      </c>
      <c r="B8078" t="s">
        <v>23155</v>
      </c>
      <c r="C8078" t="s">
        <v>7630</v>
      </c>
      <c r="D8078">
        <v>0.45</v>
      </c>
      <c r="E8078">
        <v>0</v>
      </c>
      <c r="F8078">
        <f t="shared" si="126"/>
        <v>0.45</v>
      </c>
      <c r="I8078">
        <v>20230101</v>
      </c>
      <c r="J8078" t="s">
        <v>7647</v>
      </c>
    </row>
    <row r="8079" spans="1:18" x14ac:dyDescent="0.3">
      <c r="A8079" s="160">
        <v>61509</v>
      </c>
      <c r="B8079" t="s">
        <v>23156</v>
      </c>
      <c r="C8079" t="s">
        <v>7607</v>
      </c>
      <c r="D8079">
        <v>0.8</v>
      </c>
      <c r="E8079">
        <v>0</v>
      </c>
      <c r="F8079">
        <f t="shared" si="126"/>
        <v>0.8</v>
      </c>
      <c r="I8079">
        <v>20240101</v>
      </c>
      <c r="J8079" t="s">
        <v>7655</v>
      </c>
    </row>
    <row r="8080" spans="1:18" x14ac:dyDescent="0.3">
      <c r="A8080" s="160">
        <v>62001</v>
      </c>
      <c r="B8080" t="s">
        <v>23157</v>
      </c>
      <c r="C8080" t="s">
        <v>7673</v>
      </c>
      <c r="D8080">
        <v>1.8</v>
      </c>
      <c r="E8080">
        <v>0</v>
      </c>
      <c r="F8080">
        <f t="shared" si="126"/>
        <v>1.8</v>
      </c>
      <c r="I8080">
        <v>20180701</v>
      </c>
      <c r="J8080" t="s">
        <v>7674</v>
      </c>
    </row>
    <row r="8081" spans="1:13" x14ac:dyDescent="0.3">
      <c r="A8081" s="160">
        <v>62002</v>
      </c>
      <c r="B8081" t="s">
        <v>23158</v>
      </c>
      <c r="C8081" t="s">
        <v>256</v>
      </c>
      <c r="D8081">
        <v>0</v>
      </c>
      <c r="E8081">
        <v>0.1</v>
      </c>
      <c r="F8081">
        <f t="shared" si="126"/>
        <v>0.1</v>
      </c>
      <c r="I8081">
        <v>20150701</v>
      </c>
      <c r="J8081" t="s">
        <v>7675</v>
      </c>
    </row>
    <row r="8082" spans="1:13" x14ac:dyDescent="0.3">
      <c r="A8082" s="160">
        <v>62003</v>
      </c>
      <c r="B8082" t="s">
        <v>23159</v>
      </c>
      <c r="C8082" t="s">
        <v>7673</v>
      </c>
      <c r="D8082">
        <v>1.8</v>
      </c>
      <c r="E8082">
        <v>0</v>
      </c>
      <c r="F8082">
        <f t="shared" si="126"/>
        <v>1.8</v>
      </c>
      <c r="I8082">
        <v>20180701</v>
      </c>
      <c r="J8082" t="s">
        <v>7676</v>
      </c>
    </row>
    <row r="8083" spans="1:13" x14ac:dyDescent="0.3">
      <c r="A8083" s="160">
        <v>62004</v>
      </c>
      <c r="B8083" t="s">
        <v>23160</v>
      </c>
      <c r="C8083" t="s">
        <v>7677</v>
      </c>
      <c r="D8083">
        <v>1.25</v>
      </c>
      <c r="E8083">
        <v>0</v>
      </c>
      <c r="F8083">
        <f t="shared" si="126"/>
        <v>1.25</v>
      </c>
      <c r="I8083">
        <v>20250101</v>
      </c>
      <c r="J8083" t="s">
        <v>7678</v>
      </c>
      <c r="K8083" t="s">
        <v>7679</v>
      </c>
      <c r="L8083" t="s">
        <v>7680</v>
      </c>
    </row>
    <row r="8084" spans="1:13" x14ac:dyDescent="0.3">
      <c r="A8084" s="160">
        <v>62007</v>
      </c>
      <c r="B8084" t="s">
        <v>23161</v>
      </c>
      <c r="C8084" t="s">
        <v>7677</v>
      </c>
      <c r="D8084">
        <v>1.25</v>
      </c>
      <c r="E8084">
        <v>0</v>
      </c>
      <c r="F8084">
        <f t="shared" si="126"/>
        <v>1.25</v>
      </c>
      <c r="I8084">
        <v>20250101</v>
      </c>
      <c r="J8084" t="s">
        <v>7681</v>
      </c>
    </row>
    <row r="8085" spans="1:13" x14ac:dyDescent="0.3">
      <c r="A8085" s="160">
        <v>62008</v>
      </c>
      <c r="B8085" t="s">
        <v>23162</v>
      </c>
      <c r="C8085" t="s">
        <v>256</v>
      </c>
      <c r="D8085">
        <v>0</v>
      </c>
      <c r="E8085">
        <v>0.1</v>
      </c>
      <c r="F8085">
        <f t="shared" si="126"/>
        <v>0.1</v>
      </c>
      <c r="I8085">
        <v>20180401</v>
      </c>
      <c r="J8085" t="s">
        <v>7682</v>
      </c>
    </row>
    <row r="8086" spans="1:13" x14ac:dyDescent="0.3">
      <c r="A8086" s="160">
        <v>62009</v>
      </c>
      <c r="B8086" t="s">
        <v>23163</v>
      </c>
      <c r="C8086" t="s">
        <v>256</v>
      </c>
      <c r="D8086">
        <v>0</v>
      </c>
      <c r="E8086">
        <v>0.1</v>
      </c>
      <c r="F8086">
        <f t="shared" si="126"/>
        <v>0.1</v>
      </c>
      <c r="I8086">
        <v>20150701</v>
      </c>
      <c r="J8086" t="s">
        <v>7675</v>
      </c>
    </row>
    <row r="8087" spans="1:13" x14ac:dyDescent="0.3">
      <c r="A8087" s="160">
        <v>62010</v>
      </c>
      <c r="B8087" t="s">
        <v>23164</v>
      </c>
      <c r="C8087" t="s">
        <v>256</v>
      </c>
      <c r="D8087">
        <v>0</v>
      </c>
      <c r="E8087">
        <v>0.1</v>
      </c>
      <c r="F8087">
        <f t="shared" si="126"/>
        <v>0.1</v>
      </c>
      <c r="I8087">
        <v>20180401</v>
      </c>
      <c r="J8087" t="s">
        <v>7682</v>
      </c>
    </row>
    <row r="8088" spans="1:13" x14ac:dyDescent="0.3">
      <c r="A8088" s="160">
        <v>62011</v>
      </c>
      <c r="B8088" t="s">
        <v>23165</v>
      </c>
      <c r="C8088" t="s">
        <v>256</v>
      </c>
      <c r="D8088">
        <v>0</v>
      </c>
      <c r="E8088">
        <v>0.1</v>
      </c>
      <c r="F8088">
        <f t="shared" si="126"/>
        <v>0.1</v>
      </c>
      <c r="I8088">
        <v>20150701</v>
      </c>
      <c r="J8088" t="s">
        <v>7683</v>
      </c>
    </row>
    <row r="8089" spans="1:13" x14ac:dyDescent="0.3">
      <c r="A8089" s="160">
        <v>62013</v>
      </c>
      <c r="B8089" t="s">
        <v>23166</v>
      </c>
      <c r="C8089" t="s">
        <v>7677</v>
      </c>
      <c r="D8089">
        <v>1.25</v>
      </c>
      <c r="E8089">
        <v>0</v>
      </c>
      <c r="F8089">
        <f t="shared" si="126"/>
        <v>1.25</v>
      </c>
      <c r="I8089">
        <v>20250101</v>
      </c>
      <c r="J8089" t="s">
        <v>7680</v>
      </c>
    </row>
    <row r="8090" spans="1:13" x14ac:dyDescent="0.3">
      <c r="A8090" s="160">
        <v>62014</v>
      </c>
      <c r="B8090" t="s">
        <v>23167</v>
      </c>
      <c r="C8090" t="s">
        <v>7684</v>
      </c>
      <c r="D8090">
        <v>0.7</v>
      </c>
      <c r="E8090">
        <v>0.1</v>
      </c>
      <c r="F8090">
        <f t="shared" si="126"/>
        <v>0.79999999999999993</v>
      </c>
      <c r="I8090">
        <v>20230701</v>
      </c>
      <c r="J8090" t="s">
        <v>7685</v>
      </c>
      <c r="K8090" t="s">
        <v>7686</v>
      </c>
      <c r="L8090" t="s">
        <v>7687</v>
      </c>
      <c r="M8090" t="s">
        <v>7688</v>
      </c>
    </row>
    <row r="8091" spans="1:13" x14ac:dyDescent="0.3">
      <c r="A8091" s="160">
        <v>62015</v>
      </c>
      <c r="B8091" t="s">
        <v>23168</v>
      </c>
      <c r="C8091" t="s">
        <v>7689</v>
      </c>
      <c r="D8091">
        <v>0.8</v>
      </c>
      <c r="E8091">
        <v>0.1</v>
      </c>
      <c r="F8091">
        <f t="shared" si="126"/>
        <v>0.9</v>
      </c>
      <c r="I8091">
        <v>20240101</v>
      </c>
      <c r="J8091" t="s">
        <v>7690</v>
      </c>
    </row>
    <row r="8092" spans="1:13" x14ac:dyDescent="0.3">
      <c r="A8092" s="160">
        <v>62016</v>
      </c>
      <c r="B8092" t="s">
        <v>23169</v>
      </c>
      <c r="C8092" t="s">
        <v>7689</v>
      </c>
      <c r="D8092">
        <v>0.8</v>
      </c>
      <c r="E8092">
        <v>0.1</v>
      </c>
      <c r="F8092">
        <f t="shared" si="126"/>
        <v>0.9</v>
      </c>
      <c r="I8092">
        <v>20240101</v>
      </c>
      <c r="J8092" t="s">
        <v>7690</v>
      </c>
    </row>
    <row r="8093" spans="1:13" x14ac:dyDescent="0.3">
      <c r="A8093" s="160">
        <v>62019</v>
      </c>
      <c r="B8093" t="s">
        <v>23170</v>
      </c>
      <c r="C8093" t="s">
        <v>7673</v>
      </c>
      <c r="D8093">
        <v>1.8</v>
      </c>
      <c r="E8093">
        <v>0</v>
      </c>
      <c r="F8093">
        <f t="shared" si="126"/>
        <v>1.8</v>
      </c>
      <c r="I8093">
        <v>20180701</v>
      </c>
      <c r="J8093" t="s">
        <v>7691</v>
      </c>
    </row>
    <row r="8094" spans="1:13" x14ac:dyDescent="0.3">
      <c r="A8094" s="160">
        <v>62022</v>
      </c>
      <c r="B8094" t="s">
        <v>23171</v>
      </c>
      <c r="C8094" t="s">
        <v>256</v>
      </c>
      <c r="D8094">
        <v>0</v>
      </c>
      <c r="E8094">
        <v>0.1</v>
      </c>
      <c r="F8094">
        <f t="shared" si="126"/>
        <v>0.1</v>
      </c>
      <c r="I8094">
        <v>20150701</v>
      </c>
      <c r="J8094" t="s">
        <v>7692</v>
      </c>
    </row>
    <row r="8095" spans="1:13" x14ac:dyDescent="0.3">
      <c r="A8095" s="160">
        <v>62023</v>
      </c>
      <c r="B8095" t="s">
        <v>23172</v>
      </c>
      <c r="C8095" t="s">
        <v>7673</v>
      </c>
      <c r="D8095">
        <v>1.6</v>
      </c>
      <c r="E8095">
        <v>0</v>
      </c>
      <c r="F8095">
        <f t="shared" si="126"/>
        <v>1.6</v>
      </c>
      <c r="I8095">
        <v>20240101</v>
      </c>
      <c r="J8095" t="s">
        <v>7693</v>
      </c>
    </row>
    <row r="8096" spans="1:13" x14ac:dyDescent="0.3">
      <c r="A8096" s="160">
        <v>62025</v>
      </c>
      <c r="B8096" t="s">
        <v>23173</v>
      </c>
      <c r="C8096" t="s">
        <v>256</v>
      </c>
      <c r="D8096">
        <v>0</v>
      </c>
      <c r="E8096">
        <v>0.1</v>
      </c>
      <c r="F8096">
        <f t="shared" si="126"/>
        <v>0.1</v>
      </c>
      <c r="I8096">
        <v>20150701</v>
      </c>
      <c r="J8096" t="s">
        <v>7694</v>
      </c>
    </row>
    <row r="8097" spans="1:51" x14ac:dyDescent="0.3">
      <c r="A8097" s="160">
        <v>62028</v>
      </c>
      <c r="B8097" t="s">
        <v>23174</v>
      </c>
      <c r="C8097" t="s">
        <v>7673</v>
      </c>
      <c r="D8097">
        <v>1.6</v>
      </c>
      <c r="E8097">
        <v>0</v>
      </c>
      <c r="F8097">
        <f t="shared" si="126"/>
        <v>1.6</v>
      </c>
      <c r="I8097">
        <v>20240101</v>
      </c>
      <c r="J8097" t="s">
        <v>7695</v>
      </c>
    </row>
    <row r="8098" spans="1:51" x14ac:dyDescent="0.3">
      <c r="A8098" s="160">
        <v>62029</v>
      </c>
      <c r="B8098" t="s">
        <v>23175</v>
      </c>
      <c r="C8098" t="s">
        <v>7673</v>
      </c>
      <c r="D8098">
        <v>1.6</v>
      </c>
      <c r="E8098">
        <v>0</v>
      </c>
      <c r="F8098">
        <f t="shared" si="126"/>
        <v>1.6</v>
      </c>
      <c r="I8098">
        <v>20240101</v>
      </c>
      <c r="J8098" t="s">
        <v>7696</v>
      </c>
    </row>
    <row r="8099" spans="1:51" x14ac:dyDescent="0.3">
      <c r="A8099" s="160">
        <v>62031</v>
      </c>
      <c r="B8099" t="s">
        <v>23176</v>
      </c>
      <c r="C8099" t="s">
        <v>256</v>
      </c>
      <c r="D8099">
        <v>0</v>
      </c>
      <c r="E8099">
        <v>0.1</v>
      </c>
      <c r="F8099">
        <f t="shared" si="126"/>
        <v>0.1</v>
      </c>
      <c r="I8099">
        <v>20150701</v>
      </c>
      <c r="J8099" t="s">
        <v>7697</v>
      </c>
    </row>
    <row r="8100" spans="1:51" x14ac:dyDescent="0.3">
      <c r="A8100" s="160">
        <v>62032</v>
      </c>
      <c r="B8100" t="s">
        <v>23177</v>
      </c>
      <c r="C8100" t="s">
        <v>7673</v>
      </c>
      <c r="D8100">
        <v>1.8</v>
      </c>
      <c r="E8100">
        <v>0</v>
      </c>
      <c r="F8100">
        <f t="shared" si="126"/>
        <v>1.8</v>
      </c>
      <c r="I8100">
        <v>20180701</v>
      </c>
      <c r="J8100" t="s">
        <v>7698</v>
      </c>
    </row>
    <row r="8101" spans="1:51" x14ac:dyDescent="0.3">
      <c r="A8101" s="160">
        <v>62033</v>
      </c>
      <c r="B8101" t="s">
        <v>23178</v>
      </c>
      <c r="C8101" t="s">
        <v>7673</v>
      </c>
      <c r="D8101">
        <v>1.8</v>
      </c>
      <c r="E8101">
        <v>0</v>
      </c>
      <c r="F8101">
        <f t="shared" si="126"/>
        <v>1.8</v>
      </c>
      <c r="I8101">
        <v>20180701</v>
      </c>
      <c r="J8101" t="s">
        <v>7699</v>
      </c>
      <c r="K8101" t="s">
        <v>7700</v>
      </c>
    </row>
    <row r="8102" spans="1:51" x14ac:dyDescent="0.3">
      <c r="A8102" s="160">
        <v>62034</v>
      </c>
      <c r="B8102" t="s">
        <v>23179</v>
      </c>
      <c r="C8102" t="s">
        <v>7673</v>
      </c>
      <c r="D8102">
        <v>1.8</v>
      </c>
      <c r="E8102">
        <v>0</v>
      </c>
      <c r="F8102">
        <f t="shared" si="126"/>
        <v>1.8</v>
      </c>
      <c r="I8102">
        <v>20180701</v>
      </c>
      <c r="J8102" t="s">
        <v>7701</v>
      </c>
    </row>
    <row r="8103" spans="1:51" x14ac:dyDescent="0.3">
      <c r="A8103" s="160">
        <v>62035</v>
      </c>
      <c r="B8103" t="s">
        <v>23180</v>
      </c>
      <c r="C8103" t="s">
        <v>7673</v>
      </c>
      <c r="D8103">
        <v>1.8</v>
      </c>
      <c r="E8103">
        <v>0</v>
      </c>
      <c r="F8103">
        <f t="shared" si="126"/>
        <v>1.8</v>
      </c>
      <c r="I8103">
        <v>20180701</v>
      </c>
      <c r="J8103" t="s">
        <v>7702</v>
      </c>
    </row>
    <row r="8104" spans="1:51" x14ac:dyDescent="0.3">
      <c r="A8104" s="160">
        <v>62037</v>
      </c>
      <c r="B8104" t="s">
        <v>23181</v>
      </c>
      <c r="C8104" t="s">
        <v>7677</v>
      </c>
      <c r="D8104">
        <v>1.25</v>
      </c>
      <c r="E8104">
        <v>0</v>
      </c>
      <c r="F8104">
        <f t="shared" si="126"/>
        <v>1.25</v>
      </c>
      <c r="I8104">
        <v>20250101</v>
      </c>
      <c r="J8104" t="s">
        <v>7703</v>
      </c>
      <c r="K8104" t="s">
        <v>7704</v>
      </c>
      <c r="L8104" t="s">
        <v>7705</v>
      </c>
      <c r="M8104" t="s">
        <v>7706</v>
      </c>
      <c r="N8104" t="s">
        <v>7707</v>
      </c>
    </row>
    <row r="8105" spans="1:51" x14ac:dyDescent="0.3">
      <c r="A8105" s="160">
        <v>62038</v>
      </c>
      <c r="B8105" t="s">
        <v>23182</v>
      </c>
      <c r="C8105" t="s">
        <v>256</v>
      </c>
      <c r="D8105">
        <v>0</v>
      </c>
      <c r="E8105">
        <v>0.1</v>
      </c>
      <c r="F8105">
        <f t="shared" si="126"/>
        <v>0.1</v>
      </c>
      <c r="I8105">
        <v>20150701</v>
      </c>
      <c r="J8105" t="s">
        <v>7708</v>
      </c>
    </row>
    <row r="8106" spans="1:51" x14ac:dyDescent="0.3">
      <c r="A8106" s="160">
        <v>62039</v>
      </c>
      <c r="B8106" t="s">
        <v>23183</v>
      </c>
      <c r="C8106" t="s">
        <v>256</v>
      </c>
      <c r="D8106">
        <v>0</v>
      </c>
      <c r="E8106">
        <v>0.1</v>
      </c>
      <c r="F8106">
        <f t="shared" si="126"/>
        <v>0.1</v>
      </c>
      <c r="I8106">
        <v>20150701</v>
      </c>
      <c r="J8106" t="s">
        <v>7709</v>
      </c>
    </row>
    <row r="8107" spans="1:51" x14ac:dyDescent="0.3">
      <c r="A8107" s="160">
        <v>62040</v>
      </c>
      <c r="B8107" t="s">
        <v>23184</v>
      </c>
      <c r="C8107" t="s">
        <v>7684</v>
      </c>
      <c r="D8107">
        <v>0.7</v>
      </c>
      <c r="E8107">
        <v>0.1</v>
      </c>
      <c r="F8107">
        <f t="shared" si="126"/>
        <v>0.79999999999999993</v>
      </c>
      <c r="I8107">
        <v>20230701</v>
      </c>
      <c r="J8107" t="s">
        <v>7710</v>
      </c>
      <c r="K8107" t="s">
        <v>7711</v>
      </c>
      <c r="L8107" t="s">
        <v>7712</v>
      </c>
      <c r="M8107" t="s">
        <v>7713</v>
      </c>
      <c r="N8107" t="s">
        <v>7714</v>
      </c>
    </row>
    <row r="8108" spans="1:51" x14ac:dyDescent="0.3">
      <c r="A8108" s="160">
        <v>62041</v>
      </c>
      <c r="B8108" t="s">
        <v>23185</v>
      </c>
      <c r="C8108" t="s">
        <v>7677</v>
      </c>
      <c r="D8108">
        <v>1.25</v>
      </c>
      <c r="E8108">
        <v>0</v>
      </c>
      <c r="F8108">
        <f t="shared" si="126"/>
        <v>1.25</v>
      </c>
      <c r="I8108">
        <v>20250101</v>
      </c>
      <c r="J8108" t="s">
        <v>7715</v>
      </c>
      <c r="K8108" t="s">
        <v>7716</v>
      </c>
      <c r="L8108" t="s">
        <v>7717</v>
      </c>
      <c r="M8108" t="s">
        <v>7718</v>
      </c>
      <c r="N8108" t="s">
        <v>7678</v>
      </c>
      <c r="O8108" t="s">
        <v>7719</v>
      </c>
      <c r="P8108" t="s">
        <v>7720</v>
      </c>
      <c r="Q8108" t="s">
        <v>7703</v>
      </c>
      <c r="R8108" t="s">
        <v>7721</v>
      </c>
      <c r="S8108" t="s">
        <v>7722</v>
      </c>
      <c r="T8108" t="s">
        <v>7723</v>
      </c>
      <c r="U8108" t="s">
        <v>7724</v>
      </c>
      <c r="V8108" t="s">
        <v>7725</v>
      </c>
      <c r="W8108" t="s">
        <v>7726</v>
      </c>
      <c r="X8108" t="s">
        <v>7727</v>
      </c>
      <c r="Y8108" t="s">
        <v>7728</v>
      </c>
      <c r="Z8108" t="s">
        <v>7729</v>
      </c>
      <c r="AA8108" t="s">
        <v>7730</v>
      </c>
      <c r="AB8108" t="s">
        <v>7731</v>
      </c>
      <c r="AC8108" t="s">
        <v>7732</v>
      </c>
      <c r="AD8108" t="s">
        <v>7733</v>
      </c>
      <c r="AE8108" t="s">
        <v>7734</v>
      </c>
      <c r="AF8108" t="s">
        <v>7735</v>
      </c>
      <c r="AG8108" t="s">
        <v>7736</v>
      </c>
      <c r="AH8108" t="s">
        <v>7737</v>
      </c>
      <c r="AI8108" t="s">
        <v>7738</v>
      </c>
      <c r="AJ8108" t="s">
        <v>7739</v>
      </c>
      <c r="AK8108" t="s">
        <v>7740</v>
      </c>
      <c r="AL8108" t="s">
        <v>7679</v>
      </c>
      <c r="AM8108" t="s">
        <v>7741</v>
      </c>
      <c r="AN8108" t="s">
        <v>7742</v>
      </c>
      <c r="AO8108" t="s">
        <v>7743</v>
      </c>
      <c r="AP8108" t="s">
        <v>7744</v>
      </c>
      <c r="AQ8108" t="s">
        <v>7745</v>
      </c>
      <c r="AR8108" t="s">
        <v>7746</v>
      </c>
      <c r="AS8108" t="s">
        <v>7704</v>
      </c>
      <c r="AT8108" t="s">
        <v>7747</v>
      </c>
      <c r="AU8108" t="s">
        <v>7705</v>
      </c>
      <c r="AV8108" t="s">
        <v>7748</v>
      </c>
      <c r="AW8108" t="s">
        <v>7749</v>
      </c>
      <c r="AX8108" t="s">
        <v>7750</v>
      </c>
      <c r="AY8108" t="s">
        <v>7751</v>
      </c>
    </row>
    <row r="8109" spans="1:51" x14ac:dyDescent="0.3">
      <c r="A8109" s="160">
        <v>62042</v>
      </c>
      <c r="B8109" t="s">
        <v>23186</v>
      </c>
      <c r="C8109" t="s">
        <v>7677</v>
      </c>
      <c r="D8109">
        <v>1.25</v>
      </c>
      <c r="E8109">
        <v>0</v>
      </c>
      <c r="F8109">
        <f t="shared" si="126"/>
        <v>1.25</v>
      </c>
      <c r="I8109">
        <v>20250101</v>
      </c>
      <c r="J8109" t="s">
        <v>7747</v>
      </c>
      <c r="K8109" t="s">
        <v>7706</v>
      </c>
      <c r="L8109" t="s">
        <v>7707</v>
      </c>
    </row>
    <row r="8110" spans="1:51" x14ac:dyDescent="0.3">
      <c r="A8110" s="160">
        <v>62043</v>
      </c>
      <c r="B8110" t="s">
        <v>23187</v>
      </c>
      <c r="C8110" t="s">
        <v>7752</v>
      </c>
      <c r="D8110">
        <v>2</v>
      </c>
      <c r="E8110">
        <v>0</v>
      </c>
      <c r="F8110">
        <f t="shared" si="126"/>
        <v>2</v>
      </c>
      <c r="I8110">
        <v>20220101</v>
      </c>
      <c r="J8110" t="s">
        <v>7753</v>
      </c>
    </row>
    <row r="8111" spans="1:51" x14ac:dyDescent="0.3">
      <c r="A8111" s="160">
        <v>62044</v>
      </c>
      <c r="B8111" t="s">
        <v>23188</v>
      </c>
      <c r="C8111" t="s">
        <v>7689</v>
      </c>
      <c r="D8111">
        <v>0.8</v>
      </c>
      <c r="E8111">
        <v>0</v>
      </c>
      <c r="F8111">
        <f t="shared" si="126"/>
        <v>0.8</v>
      </c>
      <c r="I8111">
        <v>20220101</v>
      </c>
      <c r="J8111" t="s">
        <v>7754</v>
      </c>
    </row>
    <row r="8112" spans="1:51" x14ac:dyDescent="0.3">
      <c r="A8112" s="160">
        <v>62048</v>
      </c>
      <c r="B8112" t="s">
        <v>23189</v>
      </c>
      <c r="C8112" t="s">
        <v>7673</v>
      </c>
      <c r="D8112">
        <v>1.8</v>
      </c>
      <c r="E8112">
        <v>0</v>
      </c>
      <c r="F8112">
        <f t="shared" si="126"/>
        <v>1.8</v>
      </c>
      <c r="I8112">
        <v>20180701</v>
      </c>
      <c r="J8112" t="s">
        <v>7696</v>
      </c>
    </row>
    <row r="8113" spans="1:11" x14ac:dyDescent="0.3">
      <c r="A8113" s="160">
        <v>62049</v>
      </c>
      <c r="B8113" t="s">
        <v>23190</v>
      </c>
      <c r="C8113" t="s">
        <v>7673</v>
      </c>
      <c r="D8113">
        <v>1.6</v>
      </c>
      <c r="E8113">
        <v>0</v>
      </c>
      <c r="F8113">
        <f t="shared" si="126"/>
        <v>1.6</v>
      </c>
      <c r="I8113">
        <v>20240101</v>
      </c>
      <c r="J8113" t="s">
        <v>7695</v>
      </c>
    </row>
    <row r="8114" spans="1:11" x14ac:dyDescent="0.3">
      <c r="A8114" s="160">
        <v>62051</v>
      </c>
      <c r="B8114" t="s">
        <v>23191</v>
      </c>
      <c r="C8114" t="s">
        <v>7673</v>
      </c>
      <c r="D8114">
        <v>1.8</v>
      </c>
      <c r="E8114">
        <v>0</v>
      </c>
      <c r="F8114">
        <f t="shared" si="126"/>
        <v>1.8</v>
      </c>
      <c r="I8114">
        <v>20180701</v>
      </c>
      <c r="J8114" t="s">
        <v>7755</v>
      </c>
      <c r="K8114" t="s">
        <v>7756</v>
      </c>
    </row>
    <row r="8115" spans="1:11" x14ac:dyDescent="0.3">
      <c r="A8115" s="160">
        <v>62053</v>
      </c>
      <c r="B8115" t="s">
        <v>23192</v>
      </c>
      <c r="C8115" t="s">
        <v>7684</v>
      </c>
      <c r="D8115">
        <v>0.7</v>
      </c>
      <c r="E8115">
        <v>0.1</v>
      </c>
      <c r="F8115">
        <f t="shared" si="126"/>
        <v>0.79999999999999993</v>
      </c>
      <c r="I8115">
        <v>20230701</v>
      </c>
      <c r="J8115" t="s">
        <v>7757</v>
      </c>
    </row>
    <row r="8116" spans="1:11" x14ac:dyDescent="0.3">
      <c r="A8116" s="160">
        <v>62056</v>
      </c>
      <c r="B8116" t="s">
        <v>23193</v>
      </c>
      <c r="C8116" t="s">
        <v>256</v>
      </c>
      <c r="D8116">
        <v>0</v>
      </c>
      <c r="E8116">
        <v>0.1</v>
      </c>
      <c r="F8116">
        <f t="shared" si="126"/>
        <v>0.1</v>
      </c>
      <c r="I8116">
        <v>20150701</v>
      </c>
      <c r="J8116" t="s">
        <v>7694</v>
      </c>
    </row>
    <row r="8117" spans="1:11" x14ac:dyDescent="0.3">
      <c r="A8117" s="160">
        <v>62058</v>
      </c>
      <c r="B8117" t="s">
        <v>23194</v>
      </c>
      <c r="C8117" t="s">
        <v>256</v>
      </c>
      <c r="D8117">
        <v>0</v>
      </c>
      <c r="E8117">
        <v>0.1</v>
      </c>
      <c r="F8117">
        <f t="shared" si="126"/>
        <v>0.1</v>
      </c>
      <c r="I8117">
        <v>20170701</v>
      </c>
      <c r="J8117" t="s">
        <v>7758</v>
      </c>
    </row>
    <row r="8118" spans="1:11" x14ac:dyDescent="0.3">
      <c r="A8118" s="160">
        <v>62059</v>
      </c>
      <c r="B8118" t="s">
        <v>23195</v>
      </c>
      <c r="C8118" t="s">
        <v>256</v>
      </c>
      <c r="D8118">
        <v>0</v>
      </c>
      <c r="E8118">
        <v>0.1</v>
      </c>
      <c r="F8118">
        <f t="shared" si="126"/>
        <v>0.1</v>
      </c>
      <c r="I8118">
        <v>20150701</v>
      </c>
      <c r="J8118" t="s">
        <v>7708</v>
      </c>
    </row>
    <row r="8119" spans="1:11" x14ac:dyDescent="0.3">
      <c r="A8119" s="160">
        <v>62065</v>
      </c>
      <c r="B8119" t="s">
        <v>23196</v>
      </c>
      <c r="C8119" t="s">
        <v>7673</v>
      </c>
      <c r="D8119">
        <v>1.8</v>
      </c>
      <c r="E8119">
        <v>0</v>
      </c>
      <c r="F8119">
        <f t="shared" si="126"/>
        <v>1.8</v>
      </c>
      <c r="I8119">
        <v>20180701</v>
      </c>
      <c r="J8119" t="s">
        <v>7759</v>
      </c>
    </row>
    <row r="8120" spans="1:11" x14ac:dyDescent="0.3">
      <c r="A8120" s="160">
        <v>62067</v>
      </c>
      <c r="B8120" t="s">
        <v>23197</v>
      </c>
      <c r="C8120" t="s">
        <v>7684</v>
      </c>
      <c r="D8120">
        <v>0.7</v>
      </c>
      <c r="E8120">
        <v>0.1</v>
      </c>
      <c r="F8120">
        <f t="shared" si="126"/>
        <v>0.79999999999999993</v>
      </c>
      <c r="I8120">
        <v>20230701</v>
      </c>
      <c r="J8120" t="s">
        <v>7757</v>
      </c>
    </row>
    <row r="8121" spans="1:11" x14ac:dyDescent="0.3">
      <c r="A8121" s="160">
        <v>62068</v>
      </c>
      <c r="B8121" t="s">
        <v>23198</v>
      </c>
      <c r="C8121" t="s">
        <v>256</v>
      </c>
      <c r="D8121">
        <v>0</v>
      </c>
      <c r="E8121">
        <v>0.1</v>
      </c>
      <c r="F8121">
        <f t="shared" si="126"/>
        <v>0.1</v>
      </c>
      <c r="I8121">
        <v>20150701</v>
      </c>
      <c r="J8121" t="s">
        <v>7675</v>
      </c>
    </row>
    <row r="8122" spans="1:11" x14ac:dyDescent="0.3">
      <c r="A8122" s="160">
        <v>62071</v>
      </c>
      <c r="B8122" t="s">
        <v>23199</v>
      </c>
      <c r="C8122" t="s">
        <v>256</v>
      </c>
      <c r="D8122">
        <v>0</v>
      </c>
      <c r="E8122">
        <v>0.1</v>
      </c>
      <c r="F8122">
        <f t="shared" si="126"/>
        <v>0.1</v>
      </c>
      <c r="I8122">
        <v>20170701</v>
      </c>
      <c r="J8122" t="s">
        <v>7758</v>
      </c>
    </row>
    <row r="8123" spans="1:11" x14ac:dyDescent="0.3">
      <c r="A8123" s="160">
        <v>62072</v>
      </c>
      <c r="B8123" t="s">
        <v>23200</v>
      </c>
      <c r="C8123" t="s">
        <v>256</v>
      </c>
      <c r="D8123">
        <v>0</v>
      </c>
      <c r="E8123">
        <v>0.1</v>
      </c>
      <c r="F8123">
        <f t="shared" si="126"/>
        <v>0.1</v>
      </c>
      <c r="I8123">
        <v>20150701</v>
      </c>
      <c r="J8123" t="s">
        <v>7760</v>
      </c>
    </row>
    <row r="8124" spans="1:11" x14ac:dyDescent="0.3">
      <c r="A8124" s="160">
        <v>62073</v>
      </c>
      <c r="B8124" t="s">
        <v>23201</v>
      </c>
      <c r="C8124" t="s">
        <v>7677</v>
      </c>
      <c r="D8124">
        <v>1.25</v>
      </c>
      <c r="E8124">
        <v>0</v>
      </c>
      <c r="F8124">
        <f t="shared" si="126"/>
        <v>1.25</v>
      </c>
      <c r="I8124">
        <v>20250101</v>
      </c>
      <c r="J8124" t="s">
        <v>7709</v>
      </c>
    </row>
    <row r="8125" spans="1:11" x14ac:dyDescent="0.3">
      <c r="A8125" s="160">
        <v>62074</v>
      </c>
      <c r="B8125" t="s">
        <v>23202</v>
      </c>
      <c r="C8125" t="s">
        <v>256</v>
      </c>
      <c r="D8125">
        <v>0</v>
      </c>
      <c r="E8125">
        <v>0.1</v>
      </c>
      <c r="F8125">
        <f t="shared" si="126"/>
        <v>0.1</v>
      </c>
      <c r="I8125">
        <v>20150701</v>
      </c>
      <c r="J8125" t="s">
        <v>7760</v>
      </c>
    </row>
    <row r="8126" spans="1:11" x14ac:dyDescent="0.3">
      <c r="A8126" s="160">
        <v>62075</v>
      </c>
      <c r="B8126" t="s">
        <v>23203</v>
      </c>
      <c r="C8126" t="s">
        <v>7761</v>
      </c>
      <c r="D8126">
        <v>1.25</v>
      </c>
      <c r="E8126">
        <v>0</v>
      </c>
      <c r="F8126">
        <f t="shared" si="126"/>
        <v>1.25</v>
      </c>
      <c r="I8126">
        <v>20120101</v>
      </c>
      <c r="J8126" t="s">
        <v>7762</v>
      </c>
    </row>
    <row r="8127" spans="1:11" x14ac:dyDescent="0.3">
      <c r="A8127" s="160">
        <v>62077</v>
      </c>
      <c r="B8127" t="s">
        <v>23204</v>
      </c>
      <c r="C8127" t="s">
        <v>7673</v>
      </c>
      <c r="D8127">
        <v>1.8</v>
      </c>
      <c r="E8127">
        <v>0</v>
      </c>
      <c r="F8127">
        <f t="shared" si="126"/>
        <v>1.8</v>
      </c>
      <c r="I8127">
        <v>20180701</v>
      </c>
      <c r="J8127" t="s">
        <v>7763</v>
      </c>
    </row>
    <row r="8128" spans="1:11" x14ac:dyDescent="0.3">
      <c r="A8128" s="160">
        <v>62078</v>
      </c>
      <c r="B8128" t="s">
        <v>23205</v>
      </c>
      <c r="C8128" t="s">
        <v>256</v>
      </c>
      <c r="D8128">
        <v>0</v>
      </c>
      <c r="E8128">
        <v>0.1</v>
      </c>
      <c r="F8128">
        <f t="shared" si="126"/>
        <v>0.1</v>
      </c>
      <c r="I8128">
        <v>20150701</v>
      </c>
      <c r="J8128" t="s">
        <v>7708</v>
      </c>
    </row>
    <row r="8129" spans="1:16" x14ac:dyDescent="0.3">
      <c r="A8129" s="160">
        <v>62083</v>
      </c>
      <c r="B8129" t="s">
        <v>23206</v>
      </c>
      <c r="C8129" t="s">
        <v>7673</v>
      </c>
      <c r="D8129">
        <v>1.8</v>
      </c>
      <c r="E8129">
        <v>0</v>
      </c>
      <c r="F8129">
        <f t="shared" si="126"/>
        <v>1.8</v>
      </c>
      <c r="I8129">
        <v>20180701</v>
      </c>
      <c r="J8129" t="s">
        <v>7764</v>
      </c>
    </row>
    <row r="8130" spans="1:16" x14ac:dyDescent="0.3">
      <c r="A8130" s="160">
        <v>62084</v>
      </c>
      <c r="B8130" t="s">
        <v>23207</v>
      </c>
      <c r="C8130" t="s">
        <v>256</v>
      </c>
      <c r="D8130">
        <v>0</v>
      </c>
      <c r="E8130">
        <v>0.1</v>
      </c>
      <c r="F8130">
        <f t="shared" si="126"/>
        <v>0.1</v>
      </c>
      <c r="I8130">
        <v>20150701</v>
      </c>
      <c r="J8130" t="s">
        <v>7765</v>
      </c>
    </row>
    <row r="8131" spans="1:16" x14ac:dyDescent="0.3">
      <c r="A8131" s="160">
        <v>62085</v>
      </c>
      <c r="B8131" t="s">
        <v>23208</v>
      </c>
      <c r="C8131" t="s">
        <v>7677</v>
      </c>
      <c r="D8131">
        <v>1.25</v>
      </c>
      <c r="E8131">
        <v>0</v>
      </c>
      <c r="F8131">
        <f t="shared" si="126"/>
        <v>1.25</v>
      </c>
      <c r="I8131">
        <v>20250101</v>
      </c>
      <c r="J8131" t="s">
        <v>7760</v>
      </c>
    </row>
    <row r="8132" spans="1:16" x14ac:dyDescent="0.3">
      <c r="A8132" s="160">
        <v>62086</v>
      </c>
      <c r="B8132" t="s">
        <v>23209</v>
      </c>
      <c r="C8132" t="s">
        <v>256</v>
      </c>
      <c r="D8132">
        <v>0</v>
      </c>
      <c r="E8132">
        <v>0.1</v>
      </c>
      <c r="F8132">
        <f t="shared" si="126"/>
        <v>0.1</v>
      </c>
      <c r="I8132">
        <v>20150701</v>
      </c>
      <c r="J8132" t="s">
        <v>7766</v>
      </c>
    </row>
    <row r="8133" spans="1:16" x14ac:dyDescent="0.3">
      <c r="A8133" s="160">
        <v>62087</v>
      </c>
      <c r="B8133" t="s">
        <v>23210</v>
      </c>
      <c r="C8133" t="s">
        <v>7684</v>
      </c>
      <c r="D8133">
        <v>0.7</v>
      </c>
      <c r="E8133">
        <v>0.1</v>
      </c>
      <c r="F8133">
        <f t="shared" si="126"/>
        <v>0.79999999999999993</v>
      </c>
      <c r="I8133">
        <v>20230701</v>
      </c>
      <c r="J8133" t="s">
        <v>7767</v>
      </c>
    </row>
    <row r="8134" spans="1:16" x14ac:dyDescent="0.3">
      <c r="A8134" s="160">
        <v>62088</v>
      </c>
      <c r="B8134" t="s">
        <v>23211</v>
      </c>
      <c r="C8134" t="s">
        <v>256</v>
      </c>
      <c r="D8134">
        <v>0</v>
      </c>
      <c r="E8134">
        <v>0.1</v>
      </c>
      <c r="F8134">
        <f t="shared" si="126"/>
        <v>0.1</v>
      </c>
      <c r="I8134">
        <v>20180401</v>
      </c>
      <c r="J8134" t="s">
        <v>7682</v>
      </c>
      <c r="K8134" t="s">
        <v>7768</v>
      </c>
    </row>
    <row r="8135" spans="1:16" x14ac:dyDescent="0.3">
      <c r="A8135" s="160">
        <v>62094</v>
      </c>
      <c r="B8135" t="s">
        <v>23212</v>
      </c>
      <c r="C8135" t="s">
        <v>7689</v>
      </c>
      <c r="D8135">
        <v>0.8</v>
      </c>
      <c r="E8135">
        <v>0</v>
      </c>
      <c r="F8135">
        <f t="shared" ref="F8135:F8198" si="127">D8135+E8135</f>
        <v>0.8</v>
      </c>
      <c r="I8135">
        <v>20220101</v>
      </c>
      <c r="J8135" t="s">
        <v>7754</v>
      </c>
    </row>
    <row r="8136" spans="1:16" x14ac:dyDescent="0.3">
      <c r="A8136" s="160">
        <v>62095</v>
      </c>
      <c r="B8136" t="s">
        <v>23213</v>
      </c>
      <c r="C8136" t="s">
        <v>7684</v>
      </c>
      <c r="D8136">
        <v>0.7</v>
      </c>
      <c r="E8136">
        <v>0.1</v>
      </c>
      <c r="F8136">
        <f t="shared" si="127"/>
        <v>0.79999999999999993</v>
      </c>
      <c r="I8136">
        <v>20230701</v>
      </c>
      <c r="J8136" t="s">
        <v>7769</v>
      </c>
    </row>
    <row r="8137" spans="1:16" x14ac:dyDescent="0.3">
      <c r="A8137" s="160">
        <v>62097</v>
      </c>
      <c r="B8137" t="s">
        <v>23214</v>
      </c>
      <c r="C8137" t="s">
        <v>7677</v>
      </c>
      <c r="D8137">
        <v>1.25</v>
      </c>
      <c r="E8137">
        <v>0</v>
      </c>
      <c r="F8137">
        <f t="shared" si="127"/>
        <v>1.25</v>
      </c>
      <c r="I8137">
        <v>20250101</v>
      </c>
      <c r="J8137" t="s">
        <v>7760</v>
      </c>
    </row>
    <row r="8138" spans="1:16" x14ac:dyDescent="0.3">
      <c r="A8138" s="160">
        <v>62099</v>
      </c>
      <c r="B8138" t="s">
        <v>23215</v>
      </c>
      <c r="C8138" t="s">
        <v>7677</v>
      </c>
      <c r="D8138">
        <v>1.25</v>
      </c>
      <c r="E8138">
        <v>0</v>
      </c>
      <c r="F8138">
        <f t="shared" si="127"/>
        <v>1.25</v>
      </c>
      <c r="I8138">
        <v>20250101</v>
      </c>
      <c r="J8138" t="s">
        <v>7739</v>
      </c>
      <c r="K8138" t="s">
        <v>7770</v>
      </c>
      <c r="L8138" t="s">
        <v>7680</v>
      </c>
    </row>
    <row r="8139" spans="1:16" x14ac:dyDescent="0.3">
      <c r="A8139" s="160">
        <v>62104</v>
      </c>
      <c r="B8139" t="s">
        <v>23216</v>
      </c>
      <c r="C8139" t="s">
        <v>256</v>
      </c>
      <c r="D8139">
        <v>0</v>
      </c>
      <c r="E8139">
        <v>0.1</v>
      </c>
      <c r="F8139">
        <f t="shared" si="127"/>
        <v>0.1</v>
      </c>
      <c r="I8139">
        <v>20150701</v>
      </c>
      <c r="J8139" t="s">
        <v>7692</v>
      </c>
    </row>
    <row r="8140" spans="1:16" x14ac:dyDescent="0.3">
      <c r="A8140" s="160">
        <v>62105</v>
      </c>
      <c r="B8140" t="s">
        <v>23217</v>
      </c>
      <c r="C8140" t="s">
        <v>256</v>
      </c>
      <c r="D8140">
        <v>0</v>
      </c>
      <c r="E8140">
        <v>0.1</v>
      </c>
      <c r="F8140">
        <f t="shared" si="127"/>
        <v>0.1</v>
      </c>
      <c r="I8140">
        <v>20150701</v>
      </c>
      <c r="J8140" t="s">
        <v>7692</v>
      </c>
    </row>
    <row r="8141" spans="1:16" x14ac:dyDescent="0.3">
      <c r="A8141" s="160">
        <v>62106</v>
      </c>
      <c r="B8141" t="s">
        <v>23218</v>
      </c>
      <c r="C8141" t="s">
        <v>256</v>
      </c>
      <c r="D8141">
        <v>0</v>
      </c>
      <c r="E8141">
        <v>0.1</v>
      </c>
      <c r="F8141">
        <f t="shared" si="127"/>
        <v>0.1</v>
      </c>
      <c r="I8141">
        <v>20150701</v>
      </c>
      <c r="J8141" t="s">
        <v>7771</v>
      </c>
    </row>
    <row r="8142" spans="1:16" x14ac:dyDescent="0.3">
      <c r="A8142" s="160">
        <v>62107</v>
      </c>
      <c r="B8142" t="s">
        <v>23219</v>
      </c>
      <c r="C8142" t="s">
        <v>7673</v>
      </c>
      <c r="D8142">
        <v>1.8</v>
      </c>
      <c r="E8142">
        <v>0</v>
      </c>
      <c r="F8142">
        <f t="shared" si="127"/>
        <v>1.8</v>
      </c>
      <c r="I8142">
        <v>20180701</v>
      </c>
      <c r="J8142" t="s">
        <v>7772</v>
      </c>
    </row>
    <row r="8143" spans="1:16" x14ac:dyDescent="0.3">
      <c r="A8143" s="160">
        <v>62108</v>
      </c>
      <c r="B8143" t="s">
        <v>23220</v>
      </c>
      <c r="C8143" t="s">
        <v>7689</v>
      </c>
      <c r="D8143">
        <v>0.8</v>
      </c>
      <c r="E8143">
        <v>0.1</v>
      </c>
      <c r="F8143">
        <f t="shared" si="127"/>
        <v>0.9</v>
      </c>
      <c r="I8143">
        <v>20240101</v>
      </c>
      <c r="J8143" t="s">
        <v>7773</v>
      </c>
      <c r="K8143" t="s">
        <v>7774</v>
      </c>
      <c r="L8143" t="s">
        <v>7775</v>
      </c>
      <c r="M8143" t="s">
        <v>7776</v>
      </c>
      <c r="N8143" t="s">
        <v>7777</v>
      </c>
      <c r="O8143" t="s">
        <v>7778</v>
      </c>
      <c r="P8143" t="s">
        <v>7779</v>
      </c>
    </row>
    <row r="8144" spans="1:16" x14ac:dyDescent="0.3">
      <c r="A8144" s="160">
        <v>62112</v>
      </c>
      <c r="B8144" t="s">
        <v>23221</v>
      </c>
      <c r="C8144" t="s">
        <v>256</v>
      </c>
      <c r="D8144">
        <v>0</v>
      </c>
      <c r="E8144">
        <v>0.1</v>
      </c>
      <c r="F8144">
        <f t="shared" si="127"/>
        <v>0.1</v>
      </c>
      <c r="I8144">
        <v>20150701</v>
      </c>
      <c r="J8144" t="s">
        <v>7760</v>
      </c>
    </row>
    <row r="8145" spans="1:20" x14ac:dyDescent="0.3">
      <c r="A8145" s="160">
        <v>62115</v>
      </c>
      <c r="B8145" t="s">
        <v>23222</v>
      </c>
      <c r="C8145" t="s">
        <v>256</v>
      </c>
      <c r="D8145">
        <v>0</v>
      </c>
      <c r="E8145">
        <v>0.1</v>
      </c>
      <c r="F8145">
        <f t="shared" si="127"/>
        <v>0.1</v>
      </c>
      <c r="I8145">
        <v>20150701</v>
      </c>
      <c r="J8145" t="s">
        <v>7760</v>
      </c>
    </row>
    <row r="8146" spans="1:20" x14ac:dyDescent="0.3">
      <c r="A8146" s="160">
        <v>62116</v>
      </c>
      <c r="B8146" t="s">
        <v>23223</v>
      </c>
      <c r="C8146" t="s">
        <v>7689</v>
      </c>
      <c r="D8146">
        <v>0.8</v>
      </c>
      <c r="E8146">
        <v>0</v>
      </c>
      <c r="F8146">
        <f t="shared" si="127"/>
        <v>0.8</v>
      </c>
      <c r="I8146">
        <v>20220101</v>
      </c>
      <c r="J8146" t="s">
        <v>7754</v>
      </c>
    </row>
    <row r="8147" spans="1:20" x14ac:dyDescent="0.3">
      <c r="A8147" s="160">
        <v>62119</v>
      </c>
      <c r="B8147" t="s">
        <v>23224</v>
      </c>
      <c r="C8147" t="s">
        <v>7673</v>
      </c>
      <c r="D8147">
        <v>1.8</v>
      </c>
      <c r="E8147">
        <v>0</v>
      </c>
      <c r="F8147">
        <f t="shared" si="127"/>
        <v>1.8</v>
      </c>
      <c r="I8147">
        <v>20180701</v>
      </c>
      <c r="J8147" t="s">
        <v>7780</v>
      </c>
      <c r="K8147" t="s">
        <v>7781</v>
      </c>
      <c r="L8147" t="s">
        <v>7782</v>
      </c>
      <c r="M8147" t="s">
        <v>7783</v>
      </c>
      <c r="N8147" t="s">
        <v>7784</v>
      </c>
      <c r="O8147" t="s">
        <v>7785</v>
      </c>
      <c r="P8147" t="s">
        <v>7786</v>
      </c>
      <c r="Q8147" t="s">
        <v>7787</v>
      </c>
      <c r="R8147" t="s">
        <v>7788</v>
      </c>
      <c r="S8147" t="s">
        <v>7789</v>
      </c>
      <c r="T8147" t="s">
        <v>7790</v>
      </c>
    </row>
    <row r="8148" spans="1:20" x14ac:dyDescent="0.3">
      <c r="A8148" s="160">
        <v>62120</v>
      </c>
      <c r="B8148" t="s">
        <v>23225</v>
      </c>
      <c r="C8148" t="s">
        <v>7673</v>
      </c>
      <c r="D8148">
        <v>1.8</v>
      </c>
      <c r="E8148">
        <v>0</v>
      </c>
      <c r="F8148">
        <f t="shared" si="127"/>
        <v>1.8</v>
      </c>
      <c r="I8148">
        <v>20180701</v>
      </c>
      <c r="J8148" t="s">
        <v>7763</v>
      </c>
    </row>
    <row r="8149" spans="1:20" x14ac:dyDescent="0.3">
      <c r="A8149" s="160">
        <v>62124</v>
      </c>
      <c r="B8149" t="s">
        <v>23226</v>
      </c>
      <c r="C8149" t="s">
        <v>7689</v>
      </c>
      <c r="D8149">
        <v>0.8</v>
      </c>
      <c r="E8149">
        <v>0.1</v>
      </c>
      <c r="F8149">
        <f t="shared" si="127"/>
        <v>0.9</v>
      </c>
      <c r="I8149">
        <v>20240101</v>
      </c>
      <c r="J8149" t="s">
        <v>7754</v>
      </c>
    </row>
    <row r="8150" spans="1:20" x14ac:dyDescent="0.3">
      <c r="A8150" s="160">
        <v>62125</v>
      </c>
      <c r="B8150" t="s">
        <v>23227</v>
      </c>
      <c r="C8150" t="s">
        <v>256</v>
      </c>
      <c r="D8150">
        <v>0</v>
      </c>
      <c r="E8150">
        <v>0.1</v>
      </c>
      <c r="F8150">
        <f t="shared" si="127"/>
        <v>0.1</v>
      </c>
      <c r="I8150">
        <v>20150701</v>
      </c>
      <c r="J8150" t="s">
        <v>7791</v>
      </c>
    </row>
    <row r="8151" spans="1:20" x14ac:dyDescent="0.3">
      <c r="A8151" s="160">
        <v>62126</v>
      </c>
      <c r="B8151" t="s">
        <v>23228</v>
      </c>
      <c r="C8151" t="s">
        <v>7673</v>
      </c>
      <c r="D8151">
        <v>1.8</v>
      </c>
      <c r="E8151">
        <v>0</v>
      </c>
      <c r="F8151">
        <f t="shared" si="127"/>
        <v>1.8</v>
      </c>
      <c r="I8151">
        <v>20180701</v>
      </c>
      <c r="J8151" t="s">
        <v>7788</v>
      </c>
      <c r="K8151" t="s">
        <v>7792</v>
      </c>
    </row>
    <row r="8152" spans="1:20" x14ac:dyDescent="0.3">
      <c r="A8152" s="160">
        <v>62130</v>
      </c>
      <c r="B8152" t="s">
        <v>23229</v>
      </c>
      <c r="C8152" t="s">
        <v>256</v>
      </c>
      <c r="D8152">
        <v>0</v>
      </c>
      <c r="E8152">
        <v>0.1</v>
      </c>
      <c r="F8152">
        <f t="shared" si="127"/>
        <v>0.1</v>
      </c>
      <c r="I8152">
        <v>20150701</v>
      </c>
      <c r="J8152" t="s">
        <v>7793</v>
      </c>
    </row>
    <row r="8153" spans="1:20" x14ac:dyDescent="0.3">
      <c r="A8153" s="160">
        <v>62132</v>
      </c>
      <c r="B8153" t="s">
        <v>23230</v>
      </c>
      <c r="C8153" t="s">
        <v>7673</v>
      </c>
      <c r="D8153">
        <v>1.8</v>
      </c>
      <c r="E8153">
        <v>0</v>
      </c>
      <c r="F8153">
        <f t="shared" si="127"/>
        <v>1.8</v>
      </c>
      <c r="I8153">
        <v>20180701</v>
      </c>
      <c r="J8153" t="s">
        <v>7794</v>
      </c>
      <c r="K8153" t="s">
        <v>7756</v>
      </c>
    </row>
    <row r="8154" spans="1:20" x14ac:dyDescent="0.3">
      <c r="A8154" s="160">
        <v>62133</v>
      </c>
      <c r="B8154" t="s">
        <v>23231</v>
      </c>
      <c r="C8154" t="s">
        <v>7673</v>
      </c>
      <c r="D8154">
        <v>1.8</v>
      </c>
      <c r="E8154">
        <v>0</v>
      </c>
      <c r="F8154">
        <f t="shared" si="127"/>
        <v>1.8</v>
      </c>
      <c r="I8154">
        <v>20180701</v>
      </c>
      <c r="J8154" t="s">
        <v>7795</v>
      </c>
    </row>
    <row r="8155" spans="1:20" x14ac:dyDescent="0.3">
      <c r="A8155" s="160">
        <v>62135</v>
      </c>
      <c r="B8155" t="s">
        <v>23232</v>
      </c>
      <c r="C8155" t="s">
        <v>256</v>
      </c>
      <c r="D8155">
        <v>0</v>
      </c>
      <c r="E8155">
        <v>0.1</v>
      </c>
      <c r="F8155">
        <f t="shared" si="127"/>
        <v>0.1</v>
      </c>
      <c r="I8155">
        <v>20150701</v>
      </c>
      <c r="J8155" t="s">
        <v>7796</v>
      </c>
    </row>
    <row r="8156" spans="1:20" x14ac:dyDescent="0.3">
      <c r="A8156" s="160">
        <v>62139</v>
      </c>
      <c r="B8156" t="s">
        <v>23233</v>
      </c>
      <c r="C8156" t="s">
        <v>7684</v>
      </c>
      <c r="D8156">
        <v>0.7</v>
      </c>
      <c r="E8156">
        <v>0.1</v>
      </c>
      <c r="F8156">
        <f t="shared" si="127"/>
        <v>0.79999999999999993</v>
      </c>
      <c r="I8156">
        <v>20230701</v>
      </c>
      <c r="J8156" t="s">
        <v>7797</v>
      </c>
      <c r="K8156" t="s">
        <v>7798</v>
      </c>
      <c r="L8156" t="s">
        <v>7799</v>
      </c>
      <c r="M8156" t="s">
        <v>7800</v>
      </c>
    </row>
    <row r="8157" spans="1:20" x14ac:dyDescent="0.3">
      <c r="A8157" s="160">
        <v>62141</v>
      </c>
      <c r="B8157" t="s">
        <v>23234</v>
      </c>
      <c r="C8157" t="s">
        <v>7673</v>
      </c>
      <c r="D8157">
        <v>1.6</v>
      </c>
      <c r="E8157">
        <v>0</v>
      </c>
      <c r="F8157">
        <f t="shared" si="127"/>
        <v>1.6</v>
      </c>
      <c r="I8157">
        <v>20240101</v>
      </c>
      <c r="J8157" t="s">
        <v>7685</v>
      </c>
    </row>
    <row r="8158" spans="1:20" x14ac:dyDescent="0.3">
      <c r="A8158" s="160">
        <v>62144</v>
      </c>
      <c r="B8158" t="s">
        <v>23235</v>
      </c>
      <c r="C8158" t="s">
        <v>7677</v>
      </c>
      <c r="D8158">
        <v>1.25</v>
      </c>
      <c r="E8158">
        <v>0</v>
      </c>
      <c r="F8158">
        <f t="shared" si="127"/>
        <v>1.25</v>
      </c>
      <c r="I8158">
        <v>20250101</v>
      </c>
      <c r="J8158" t="s">
        <v>7801</v>
      </c>
    </row>
    <row r="8159" spans="1:20" x14ac:dyDescent="0.3">
      <c r="A8159" s="160">
        <v>62145</v>
      </c>
      <c r="B8159" t="s">
        <v>23236</v>
      </c>
      <c r="C8159" t="s">
        <v>256</v>
      </c>
      <c r="D8159">
        <v>0</v>
      </c>
      <c r="E8159">
        <v>0.1</v>
      </c>
      <c r="F8159">
        <f t="shared" si="127"/>
        <v>0.1</v>
      </c>
      <c r="I8159">
        <v>20150701</v>
      </c>
      <c r="J8159" t="s">
        <v>7802</v>
      </c>
    </row>
    <row r="8160" spans="1:20" x14ac:dyDescent="0.3">
      <c r="A8160" s="160">
        <v>62146</v>
      </c>
      <c r="B8160" t="s">
        <v>23237</v>
      </c>
      <c r="C8160" t="s">
        <v>7677</v>
      </c>
      <c r="D8160">
        <v>1.25</v>
      </c>
      <c r="E8160">
        <v>0</v>
      </c>
      <c r="F8160">
        <f t="shared" si="127"/>
        <v>1.25</v>
      </c>
      <c r="I8160">
        <v>20250101</v>
      </c>
      <c r="J8160" t="s">
        <v>7803</v>
      </c>
    </row>
    <row r="8161" spans="1:20" x14ac:dyDescent="0.3">
      <c r="A8161" s="160">
        <v>62147</v>
      </c>
      <c r="B8161" t="s">
        <v>23238</v>
      </c>
      <c r="C8161" t="s">
        <v>7677</v>
      </c>
      <c r="D8161">
        <v>1.25</v>
      </c>
      <c r="E8161">
        <v>0</v>
      </c>
      <c r="F8161">
        <f t="shared" si="127"/>
        <v>1.25</v>
      </c>
      <c r="I8161">
        <v>20250101</v>
      </c>
      <c r="J8161" t="s">
        <v>7803</v>
      </c>
    </row>
    <row r="8162" spans="1:20" x14ac:dyDescent="0.3">
      <c r="A8162" s="160">
        <v>62148</v>
      </c>
      <c r="B8162" t="s">
        <v>23239</v>
      </c>
      <c r="C8162" t="s">
        <v>7673</v>
      </c>
      <c r="D8162">
        <v>1.8</v>
      </c>
      <c r="E8162">
        <v>0</v>
      </c>
      <c r="F8162">
        <f t="shared" si="127"/>
        <v>1.8</v>
      </c>
      <c r="I8162">
        <v>20180701</v>
      </c>
      <c r="J8162" t="s">
        <v>7676</v>
      </c>
    </row>
    <row r="8163" spans="1:20" x14ac:dyDescent="0.3">
      <c r="A8163" s="160">
        <v>62149</v>
      </c>
      <c r="B8163" t="s">
        <v>23240</v>
      </c>
      <c r="C8163" t="s">
        <v>256</v>
      </c>
      <c r="D8163">
        <v>0</v>
      </c>
      <c r="E8163">
        <v>0.1</v>
      </c>
      <c r="F8163">
        <f t="shared" si="127"/>
        <v>0.1</v>
      </c>
      <c r="I8163">
        <v>20180401</v>
      </c>
      <c r="J8163" t="s">
        <v>7804</v>
      </c>
    </row>
    <row r="8164" spans="1:20" x14ac:dyDescent="0.3">
      <c r="A8164" s="160">
        <v>62150</v>
      </c>
      <c r="B8164" t="s">
        <v>23241</v>
      </c>
      <c r="C8164" t="s">
        <v>256</v>
      </c>
      <c r="D8164">
        <v>0</v>
      </c>
      <c r="E8164">
        <v>0.1</v>
      </c>
      <c r="F8164">
        <f t="shared" si="127"/>
        <v>0.1</v>
      </c>
      <c r="I8164">
        <v>20240101</v>
      </c>
      <c r="J8164" t="s">
        <v>7754</v>
      </c>
    </row>
    <row r="8165" spans="1:20" x14ac:dyDescent="0.3">
      <c r="A8165" s="160">
        <v>62151</v>
      </c>
      <c r="B8165" t="s">
        <v>23242</v>
      </c>
      <c r="C8165" t="s">
        <v>7677</v>
      </c>
      <c r="D8165">
        <v>1.25</v>
      </c>
      <c r="E8165">
        <v>0</v>
      </c>
      <c r="F8165">
        <f t="shared" si="127"/>
        <v>1.25</v>
      </c>
      <c r="I8165">
        <v>20250101</v>
      </c>
      <c r="J8165" t="s">
        <v>7803</v>
      </c>
    </row>
    <row r="8166" spans="1:20" x14ac:dyDescent="0.3">
      <c r="A8166" s="160">
        <v>62152</v>
      </c>
      <c r="B8166" t="s">
        <v>23243</v>
      </c>
      <c r="C8166" t="s">
        <v>7677</v>
      </c>
      <c r="D8166">
        <v>1.25</v>
      </c>
      <c r="E8166">
        <v>0</v>
      </c>
      <c r="F8166">
        <f t="shared" si="127"/>
        <v>1.25</v>
      </c>
      <c r="I8166">
        <v>20250101</v>
      </c>
      <c r="J8166" t="s">
        <v>7803</v>
      </c>
    </row>
    <row r="8167" spans="1:20" x14ac:dyDescent="0.3">
      <c r="A8167" s="160">
        <v>62153</v>
      </c>
      <c r="B8167" t="s">
        <v>23244</v>
      </c>
      <c r="C8167" t="s">
        <v>7684</v>
      </c>
      <c r="D8167">
        <v>0.7</v>
      </c>
      <c r="E8167">
        <v>0.1</v>
      </c>
      <c r="F8167">
        <f t="shared" si="127"/>
        <v>0.79999999999999993</v>
      </c>
      <c r="I8167">
        <v>20230701</v>
      </c>
      <c r="J8167" t="s">
        <v>7769</v>
      </c>
    </row>
    <row r="8168" spans="1:20" x14ac:dyDescent="0.3">
      <c r="A8168" s="160">
        <v>62156</v>
      </c>
      <c r="B8168" t="s">
        <v>23245</v>
      </c>
      <c r="C8168" t="s">
        <v>7752</v>
      </c>
      <c r="D8168">
        <v>2</v>
      </c>
      <c r="E8168">
        <v>0</v>
      </c>
      <c r="F8168">
        <f t="shared" si="127"/>
        <v>2</v>
      </c>
      <c r="I8168">
        <v>20250101</v>
      </c>
      <c r="J8168" t="s">
        <v>7697</v>
      </c>
    </row>
    <row r="8169" spans="1:20" x14ac:dyDescent="0.3">
      <c r="A8169" s="160">
        <v>62160</v>
      </c>
      <c r="B8169" t="s">
        <v>23246</v>
      </c>
      <c r="C8169" t="s">
        <v>7761</v>
      </c>
      <c r="D8169">
        <v>1.25</v>
      </c>
      <c r="E8169">
        <v>0</v>
      </c>
      <c r="F8169">
        <f t="shared" si="127"/>
        <v>1.25</v>
      </c>
      <c r="I8169">
        <v>20120101</v>
      </c>
      <c r="J8169" t="s">
        <v>7805</v>
      </c>
      <c r="K8169" t="s">
        <v>7806</v>
      </c>
      <c r="L8169" t="s">
        <v>7807</v>
      </c>
      <c r="M8169" t="s">
        <v>7808</v>
      </c>
      <c r="N8169" t="s">
        <v>7809</v>
      </c>
      <c r="O8169" t="s">
        <v>7810</v>
      </c>
      <c r="P8169" t="s">
        <v>7811</v>
      </c>
      <c r="Q8169" t="s">
        <v>7812</v>
      </c>
      <c r="R8169" t="s">
        <v>7813</v>
      </c>
      <c r="S8169" t="s">
        <v>7814</v>
      </c>
      <c r="T8169" t="s">
        <v>7815</v>
      </c>
    </row>
    <row r="8170" spans="1:20" x14ac:dyDescent="0.3">
      <c r="A8170" s="160">
        <v>62161</v>
      </c>
      <c r="B8170" t="s">
        <v>23247</v>
      </c>
      <c r="C8170" t="s">
        <v>256</v>
      </c>
      <c r="D8170">
        <v>0</v>
      </c>
      <c r="E8170">
        <v>0.1</v>
      </c>
      <c r="F8170">
        <f t="shared" si="127"/>
        <v>0.1</v>
      </c>
      <c r="I8170">
        <v>20150701</v>
      </c>
      <c r="J8170" t="s">
        <v>7697</v>
      </c>
    </row>
    <row r="8171" spans="1:20" x14ac:dyDescent="0.3">
      <c r="A8171" s="160">
        <v>62162</v>
      </c>
      <c r="B8171" t="s">
        <v>23248</v>
      </c>
      <c r="C8171" t="s">
        <v>7673</v>
      </c>
      <c r="D8171">
        <v>1.6</v>
      </c>
      <c r="E8171">
        <v>0</v>
      </c>
      <c r="F8171">
        <f t="shared" si="127"/>
        <v>1.6</v>
      </c>
      <c r="I8171">
        <v>20240101</v>
      </c>
      <c r="J8171" t="s">
        <v>7695</v>
      </c>
    </row>
    <row r="8172" spans="1:20" x14ac:dyDescent="0.3">
      <c r="A8172" s="160">
        <v>62165</v>
      </c>
      <c r="B8172" t="s">
        <v>23249</v>
      </c>
      <c r="C8172" t="s">
        <v>256</v>
      </c>
      <c r="D8172">
        <v>0</v>
      </c>
      <c r="E8172">
        <v>0.1</v>
      </c>
      <c r="F8172">
        <f t="shared" si="127"/>
        <v>0.1</v>
      </c>
      <c r="I8172">
        <v>20150701</v>
      </c>
      <c r="J8172" t="s">
        <v>7816</v>
      </c>
    </row>
    <row r="8173" spans="1:20" x14ac:dyDescent="0.3">
      <c r="A8173" s="160">
        <v>62169</v>
      </c>
      <c r="B8173" t="s">
        <v>23250</v>
      </c>
      <c r="C8173" t="s">
        <v>256</v>
      </c>
      <c r="D8173">
        <v>0</v>
      </c>
      <c r="E8173">
        <v>0.1</v>
      </c>
      <c r="F8173">
        <f t="shared" si="127"/>
        <v>0.1</v>
      </c>
      <c r="I8173">
        <v>20180401</v>
      </c>
      <c r="J8173" t="s">
        <v>7682</v>
      </c>
    </row>
    <row r="8174" spans="1:20" x14ac:dyDescent="0.3">
      <c r="A8174" s="160">
        <v>62170</v>
      </c>
      <c r="B8174" t="s">
        <v>23251</v>
      </c>
      <c r="C8174" t="s">
        <v>7673</v>
      </c>
      <c r="D8174">
        <v>1.8</v>
      </c>
      <c r="E8174">
        <v>0</v>
      </c>
      <c r="F8174">
        <f t="shared" si="127"/>
        <v>1.8</v>
      </c>
      <c r="I8174">
        <v>20180701</v>
      </c>
      <c r="J8174" t="s">
        <v>7817</v>
      </c>
    </row>
    <row r="8175" spans="1:20" x14ac:dyDescent="0.3">
      <c r="A8175" s="160">
        <v>62172</v>
      </c>
      <c r="B8175" t="s">
        <v>23252</v>
      </c>
      <c r="C8175" t="s">
        <v>7677</v>
      </c>
      <c r="D8175">
        <v>1.25</v>
      </c>
      <c r="E8175">
        <v>0</v>
      </c>
      <c r="F8175">
        <f t="shared" si="127"/>
        <v>1.25</v>
      </c>
      <c r="I8175">
        <v>20250101</v>
      </c>
      <c r="J8175" t="s">
        <v>7801</v>
      </c>
    </row>
    <row r="8176" spans="1:20" x14ac:dyDescent="0.3">
      <c r="A8176" s="160">
        <v>62173</v>
      </c>
      <c r="B8176" t="s">
        <v>23253</v>
      </c>
      <c r="C8176" t="s">
        <v>256</v>
      </c>
      <c r="D8176">
        <v>0</v>
      </c>
      <c r="E8176">
        <v>0.1</v>
      </c>
      <c r="F8176">
        <f t="shared" si="127"/>
        <v>0.1</v>
      </c>
      <c r="I8176">
        <v>20150701</v>
      </c>
      <c r="J8176" t="s">
        <v>7818</v>
      </c>
    </row>
    <row r="8177" spans="1:24" x14ac:dyDescent="0.3">
      <c r="A8177" s="160">
        <v>62174</v>
      </c>
      <c r="B8177" t="s">
        <v>23254</v>
      </c>
      <c r="C8177" t="s">
        <v>256</v>
      </c>
      <c r="D8177">
        <v>0</v>
      </c>
      <c r="E8177">
        <v>0.1</v>
      </c>
      <c r="F8177">
        <f t="shared" si="127"/>
        <v>0.1</v>
      </c>
      <c r="I8177">
        <v>20150701</v>
      </c>
      <c r="J8177" t="s">
        <v>7708</v>
      </c>
    </row>
    <row r="8178" spans="1:24" x14ac:dyDescent="0.3">
      <c r="A8178" s="160">
        <v>62176</v>
      </c>
      <c r="B8178" t="s">
        <v>23255</v>
      </c>
      <c r="C8178" t="s">
        <v>7689</v>
      </c>
      <c r="D8178">
        <v>0.8</v>
      </c>
      <c r="E8178">
        <v>0.1</v>
      </c>
      <c r="F8178">
        <f t="shared" si="127"/>
        <v>0.9</v>
      </c>
      <c r="I8178">
        <v>20240101</v>
      </c>
      <c r="J8178" t="s">
        <v>7754</v>
      </c>
    </row>
    <row r="8179" spans="1:24" x14ac:dyDescent="0.3">
      <c r="A8179" s="160">
        <v>62178</v>
      </c>
      <c r="B8179" t="s">
        <v>23256</v>
      </c>
      <c r="C8179" t="s">
        <v>7673</v>
      </c>
      <c r="D8179">
        <v>1.8</v>
      </c>
      <c r="E8179">
        <v>0</v>
      </c>
      <c r="F8179">
        <f t="shared" si="127"/>
        <v>1.8</v>
      </c>
      <c r="I8179">
        <v>20180701</v>
      </c>
      <c r="J8179" t="s">
        <v>7819</v>
      </c>
      <c r="K8179" t="s">
        <v>7820</v>
      </c>
      <c r="L8179" t="s">
        <v>7821</v>
      </c>
    </row>
    <row r="8180" spans="1:24" x14ac:dyDescent="0.3">
      <c r="A8180" s="160">
        <v>62181</v>
      </c>
      <c r="B8180" t="s">
        <v>23257</v>
      </c>
      <c r="C8180" t="s">
        <v>256</v>
      </c>
      <c r="D8180">
        <v>0</v>
      </c>
      <c r="E8180">
        <v>0.1</v>
      </c>
      <c r="F8180">
        <f t="shared" si="127"/>
        <v>0.1</v>
      </c>
      <c r="I8180">
        <v>20150701</v>
      </c>
      <c r="J8180" t="s">
        <v>7675</v>
      </c>
    </row>
    <row r="8181" spans="1:24" x14ac:dyDescent="0.3">
      <c r="A8181" s="160">
        <v>62185</v>
      </c>
      <c r="B8181" t="s">
        <v>23258</v>
      </c>
      <c r="C8181" t="s">
        <v>256</v>
      </c>
      <c r="D8181">
        <v>0</v>
      </c>
      <c r="E8181">
        <v>0.1</v>
      </c>
      <c r="F8181">
        <f t="shared" si="127"/>
        <v>0.1</v>
      </c>
      <c r="I8181">
        <v>20150701</v>
      </c>
      <c r="J8181" t="s">
        <v>7801</v>
      </c>
    </row>
    <row r="8182" spans="1:24" x14ac:dyDescent="0.3">
      <c r="A8182" s="160">
        <v>62186</v>
      </c>
      <c r="B8182" t="s">
        <v>23259</v>
      </c>
      <c r="C8182" t="s">
        <v>7673</v>
      </c>
      <c r="D8182">
        <v>1.8</v>
      </c>
      <c r="E8182">
        <v>0</v>
      </c>
      <c r="F8182">
        <f t="shared" si="127"/>
        <v>1.8</v>
      </c>
      <c r="I8182">
        <v>20180701</v>
      </c>
      <c r="J8182" t="s">
        <v>7691</v>
      </c>
    </row>
    <row r="8183" spans="1:24" x14ac:dyDescent="0.3">
      <c r="A8183" s="160">
        <v>62188</v>
      </c>
      <c r="B8183" t="s">
        <v>23260</v>
      </c>
      <c r="C8183" t="s">
        <v>7673</v>
      </c>
      <c r="D8183">
        <v>1.6</v>
      </c>
      <c r="E8183">
        <v>0</v>
      </c>
      <c r="F8183">
        <f t="shared" si="127"/>
        <v>1.6</v>
      </c>
      <c r="I8183">
        <v>20240101</v>
      </c>
      <c r="J8183" t="s">
        <v>7822</v>
      </c>
    </row>
    <row r="8184" spans="1:24" x14ac:dyDescent="0.3">
      <c r="A8184" s="160">
        <v>62190</v>
      </c>
      <c r="B8184" t="s">
        <v>23261</v>
      </c>
      <c r="C8184" t="s">
        <v>7673</v>
      </c>
      <c r="D8184">
        <v>1.6</v>
      </c>
      <c r="E8184">
        <v>0</v>
      </c>
      <c r="F8184">
        <f t="shared" si="127"/>
        <v>1.6</v>
      </c>
      <c r="I8184">
        <v>20240101</v>
      </c>
      <c r="J8184" t="s">
        <v>7823</v>
      </c>
      <c r="K8184" t="s">
        <v>7824</v>
      </c>
    </row>
    <row r="8185" spans="1:24" x14ac:dyDescent="0.3">
      <c r="A8185" s="160">
        <v>62193</v>
      </c>
      <c r="B8185" t="s">
        <v>23262</v>
      </c>
      <c r="C8185" t="s">
        <v>7752</v>
      </c>
      <c r="D8185">
        <v>2</v>
      </c>
      <c r="E8185">
        <v>0</v>
      </c>
      <c r="F8185">
        <f t="shared" si="127"/>
        <v>2</v>
      </c>
      <c r="I8185">
        <v>20150701</v>
      </c>
      <c r="J8185" t="s">
        <v>7825</v>
      </c>
      <c r="K8185" t="s">
        <v>7826</v>
      </c>
      <c r="L8185" t="s">
        <v>7827</v>
      </c>
      <c r="M8185" t="s">
        <v>7828</v>
      </c>
      <c r="N8185" t="s">
        <v>7829</v>
      </c>
      <c r="O8185" t="s">
        <v>7830</v>
      </c>
      <c r="P8185" t="s">
        <v>7831</v>
      </c>
      <c r="Q8185" t="s">
        <v>7832</v>
      </c>
      <c r="R8185" t="s">
        <v>7833</v>
      </c>
      <c r="S8185" t="s">
        <v>7834</v>
      </c>
      <c r="T8185" t="s">
        <v>7835</v>
      </c>
      <c r="U8185" t="s">
        <v>7836</v>
      </c>
      <c r="V8185" t="s">
        <v>7837</v>
      </c>
      <c r="W8185" t="s">
        <v>7838</v>
      </c>
      <c r="X8185" t="s">
        <v>7839</v>
      </c>
    </row>
    <row r="8186" spans="1:24" x14ac:dyDescent="0.3">
      <c r="A8186" s="160">
        <v>62194</v>
      </c>
      <c r="B8186" t="s">
        <v>23263</v>
      </c>
      <c r="C8186" t="s">
        <v>7673</v>
      </c>
      <c r="D8186">
        <v>1.8</v>
      </c>
      <c r="E8186">
        <v>0</v>
      </c>
      <c r="F8186">
        <f t="shared" si="127"/>
        <v>1.8</v>
      </c>
      <c r="I8186">
        <v>20180701</v>
      </c>
      <c r="J8186" t="s">
        <v>7840</v>
      </c>
    </row>
    <row r="8187" spans="1:24" x14ac:dyDescent="0.3">
      <c r="A8187" s="160">
        <v>62195</v>
      </c>
      <c r="B8187" t="s">
        <v>23264</v>
      </c>
      <c r="C8187" t="s">
        <v>7673</v>
      </c>
      <c r="D8187">
        <v>1.6</v>
      </c>
      <c r="E8187">
        <v>0</v>
      </c>
      <c r="F8187">
        <f t="shared" si="127"/>
        <v>1.6</v>
      </c>
      <c r="I8187">
        <v>20240101</v>
      </c>
      <c r="J8187" t="s">
        <v>7824</v>
      </c>
    </row>
    <row r="8188" spans="1:24" x14ac:dyDescent="0.3">
      <c r="A8188" s="160">
        <v>62196</v>
      </c>
      <c r="B8188" t="s">
        <v>23265</v>
      </c>
      <c r="C8188" t="s">
        <v>7689</v>
      </c>
      <c r="D8188">
        <v>0.8</v>
      </c>
      <c r="E8188">
        <v>0.1</v>
      </c>
      <c r="F8188">
        <f t="shared" si="127"/>
        <v>0.9</v>
      </c>
      <c r="I8188">
        <v>20240101</v>
      </c>
      <c r="J8188" t="s">
        <v>7754</v>
      </c>
    </row>
    <row r="8189" spans="1:24" x14ac:dyDescent="0.3">
      <c r="A8189" s="160">
        <v>62197</v>
      </c>
      <c r="B8189" t="s">
        <v>23266</v>
      </c>
      <c r="C8189" t="s">
        <v>7673</v>
      </c>
      <c r="D8189">
        <v>1.8</v>
      </c>
      <c r="E8189">
        <v>0</v>
      </c>
      <c r="F8189">
        <f t="shared" si="127"/>
        <v>1.8</v>
      </c>
      <c r="I8189">
        <v>20180701</v>
      </c>
      <c r="J8189" t="s">
        <v>7840</v>
      </c>
    </row>
    <row r="8190" spans="1:24" x14ac:dyDescent="0.3">
      <c r="A8190" s="160">
        <v>62199</v>
      </c>
      <c r="B8190" t="s">
        <v>23267</v>
      </c>
      <c r="C8190" t="s">
        <v>256</v>
      </c>
      <c r="D8190">
        <v>0</v>
      </c>
      <c r="E8190">
        <v>0.1</v>
      </c>
      <c r="F8190">
        <f t="shared" si="127"/>
        <v>0.1</v>
      </c>
      <c r="I8190">
        <v>20150701</v>
      </c>
      <c r="J8190" t="s">
        <v>7841</v>
      </c>
    </row>
    <row r="8191" spans="1:24" x14ac:dyDescent="0.3">
      <c r="A8191" s="160">
        <v>62200</v>
      </c>
      <c r="B8191" t="s">
        <v>23268</v>
      </c>
      <c r="C8191" t="s">
        <v>7673</v>
      </c>
      <c r="D8191">
        <v>1.8</v>
      </c>
      <c r="E8191">
        <v>0</v>
      </c>
      <c r="F8191">
        <f t="shared" si="127"/>
        <v>1.8</v>
      </c>
      <c r="I8191">
        <v>20180701</v>
      </c>
      <c r="J8191" t="s">
        <v>7701</v>
      </c>
    </row>
    <row r="8192" spans="1:24" x14ac:dyDescent="0.3">
      <c r="A8192" s="160">
        <v>62201</v>
      </c>
      <c r="B8192" t="s">
        <v>23269</v>
      </c>
      <c r="C8192" t="s">
        <v>7689</v>
      </c>
      <c r="D8192">
        <v>0.8</v>
      </c>
      <c r="E8192">
        <v>0</v>
      </c>
      <c r="F8192">
        <f t="shared" si="127"/>
        <v>0.8</v>
      </c>
      <c r="I8192">
        <v>20220101</v>
      </c>
      <c r="J8192" t="s">
        <v>7842</v>
      </c>
    </row>
    <row r="8193" spans="1:12" x14ac:dyDescent="0.3">
      <c r="A8193" s="160">
        <v>62203</v>
      </c>
      <c r="B8193" t="s">
        <v>23270</v>
      </c>
      <c r="C8193" t="s">
        <v>256</v>
      </c>
      <c r="D8193">
        <v>0</v>
      </c>
      <c r="E8193">
        <v>0.1</v>
      </c>
      <c r="F8193">
        <f t="shared" si="127"/>
        <v>0.1</v>
      </c>
      <c r="I8193">
        <v>20150701</v>
      </c>
      <c r="J8193" t="s">
        <v>7697</v>
      </c>
    </row>
    <row r="8194" spans="1:12" x14ac:dyDescent="0.3">
      <c r="A8194" s="160">
        <v>62205</v>
      </c>
      <c r="B8194" t="s">
        <v>23271</v>
      </c>
      <c r="C8194" t="s">
        <v>7684</v>
      </c>
      <c r="D8194">
        <v>0.7</v>
      </c>
      <c r="E8194">
        <v>0.1</v>
      </c>
      <c r="F8194">
        <f t="shared" si="127"/>
        <v>0.79999999999999993</v>
      </c>
      <c r="I8194">
        <v>20230701</v>
      </c>
      <c r="J8194" t="s">
        <v>7685</v>
      </c>
    </row>
    <row r="8195" spans="1:12" x14ac:dyDescent="0.3">
      <c r="A8195" s="160">
        <v>62206</v>
      </c>
      <c r="B8195" t="s">
        <v>23272</v>
      </c>
      <c r="C8195" t="s">
        <v>7689</v>
      </c>
      <c r="D8195">
        <v>0.8</v>
      </c>
      <c r="E8195">
        <v>0.1</v>
      </c>
      <c r="F8195">
        <f t="shared" si="127"/>
        <v>0.9</v>
      </c>
      <c r="I8195">
        <v>20240101</v>
      </c>
      <c r="J8195" t="s">
        <v>7754</v>
      </c>
    </row>
    <row r="8196" spans="1:12" x14ac:dyDescent="0.3">
      <c r="A8196" s="160">
        <v>62207</v>
      </c>
      <c r="B8196" t="s">
        <v>23273</v>
      </c>
      <c r="C8196" t="s">
        <v>7689</v>
      </c>
      <c r="D8196">
        <v>0.8</v>
      </c>
      <c r="E8196">
        <v>0</v>
      </c>
      <c r="F8196">
        <f t="shared" si="127"/>
        <v>0.8</v>
      </c>
      <c r="I8196">
        <v>20220101</v>
      </c>
      <c r="J8196" t="s">
        <v>7754</v>
      </c>
    </row>
    <row r="8197" spans="1:12" x14ac:dyDescent="0.3">
      <c r="A8197" s="160">
        <v>62211</v>
      </c>
      <c r="B8197" t="s">
        <v>23274</v>
      </c>
      <c r="C8197" t="s">
        <v>256</v>
      </c>
      <c r="D8197">
        <v>0</v>
      </c>
      <c r="E8197">
        <v>0.1</v>
      </c>
      <c r="F8197">
        <f t="shared" si="127"/>
        <v>0.1</v>
      </c>
      <c r="I8197">
        <v>20150701</v>
      </c>
      <c r="J8197" t="s">
        <v>7841</v>
      </c>
    </row>
    <row r="8198" spans="1:12" x14ac:dyDescent="0.3">
      <c r="A8198" s="160">
        <v>62213</v>
      </c>
      <c r="B8198" t="s">
        <v>23275</v>
      </c>
      <c r="C8198" t="s">
        <v>7673</v>
      </c>
      <c r="D8198">
        <v>1.8</v>
      </c>
      <c r="E8198">
        <v>0</v>
      </c>
      <c r="F8198">
        <f t="shared" si="127"/>
        <v>1.8</v>
      </c>
      <c r="I8198">
        <v>20180701</v>
      </c>
      <c r="J8198" t="s">
        <v>7681</v>
      </c>
    </row>
    <row r="8199" spans="1:12" x14ac:dyDescent="0.3">
      <c r="A8199" s="160">
        <v>62214</v>
      </c>
      <c r="B8199" t="s">
        <v>23276</v>
      </c>
      <c r="C8199" t="s">
        <v>256</v>
      </c>
      <c r="D8199">
        <v>0</v>
      </c>
      <c r="E8199">
        <v>0.1</v>
      </c>
      <c r="F8199">
        <f t="shared" ref="F8199:F8262" si="128">D8199+E8199</f>
        <v>0.1</v>
      </c>
      <c r="I8199">
        <v>20150701</v>
      </c>
      <c r="J8199" t="s">
        <v>7843</v>
      </c>
    </row>
    <row r="8200" spans="1:12" x14ac:dyDescent="0.3">
      <c r="A8200" s="160">
        <v>62215</v>
      </c>
      <c r="B8200" t="s">
        <v>23277</v>
      </c>
      <c r="C8200" t="s">
        <v>7673</v>
      </c>
      <c r="D8200">
        <v>1.8</v>
      </c>
      <c r="E8200">
        <v>0</v>
      </c>
      <c r="F8200">
        <f t="shared" si="128"/>
        <v>1.8</v>
      </c>
      <c r="I8200">
        <v>20180701</v>
      </c>
      <c r="J8200" t="s">
        <v>7844</v>
      </c>
      <c r="K8200" t="s">
        <v>7845</v>
      </c>
      <c r="L8200" t="s">
        <v>7846</v>
      </c>
    </row>
    <row r="8201" spans="1:12" x14ac:dyDescent="0.3">
      <c r="A8201" s="160">
        <v>62216</v>
      </c>
      <c r="B8201" t="s">
        <v>23278</v>
      </c>
      <c r="C8201" t="s">
        <v>256</v>
      </c>
      <c r="D8201">
        <v>0</v>
      </c>
      <c r="E8201">
        <v>0.1</v>
      </c>
      <c r="F8201">
        <f t="shared" si="128"/>
        <v>0.1</v>
      </c>
      <c r="I8201">
        <v>20150701</v>
      </c>
      <c r="J8201" t="s">
        <v>7766</v>
      </c>
    </row>
    <row r="8202" spans="1:12" x14ac:dyDescent="0.3">
      <c r="A8202" s="160">
        <v>62217</v>
      </c>
      <c r="B8202" t="s">
        <v>23279</v>
      </c>
      <c r="C8202" t="s">
        <v>7673</v>
      </c>
      <c r="D8202">
        <v>1.8</v>
      </c>
      <c r="E8202">
        <v>0</v>
      </c>
      <c r="F8202">
        <f t="shared" si="128"/>
        <v>1.8</v>
      </c>
      <c r="I8202">
        <v>20180701</v>
      </c>
      <c r="J8202" t="s">
        <v>7696</v>
      </c>
    </row>
    <row r="8203" spans="1:12" x14ac:dyDescent="0.3">
      <c r="A8203" s="160">
        <v>62218</v>
      </c>
      <c r="B8203" t="s">
        <v>23280</v>
      </c>
      <c r="C8203" t="s">
        <v>7673</v>
      </c>
      <c r="D8203">
        <v>1.8</v>
      </c>
      <c r="E8203">
        <v>0</v>
      </c>
      <c r="F8203">
        <f t="shared" si="128"/>
        <v>1.8</v>
      </c>
      <c r="I8203">
        <v>20180701</v>
      </c>
      <c r="J8203" t="s">
        <v>7763</v>
      </c>
    </row>
    <row r="8204" spans="1:12" x14ac:dyDescent="0.3">
      <c r="A8204" s="160">
        <v>62223</v>
      </c>
      <c r="B8204" t="s">
        <v>23281</v>
      </c>
      <c r="C8204" t="s">
        <v>256</v>
      </c>
      <c r="D8204">
        <v>0</v>
      </c>
      <c r="E8204">
        <v>0.1</v>
      </c>
      <c r="F8204">
        <f t="shared" si="128"/>
        <v>0.1</v>
      </c>
      <c r="I8204">
        <v>20150701</v>
      </c>
      <c r="J8204" t="s">
        <v>7801</v>
      </c>
    </row>
    <row r="8205" spans="1:12" x14ac:dyDescent="0.3">
      <c r="A8205" s="160">
        <v>62224</v>
      </c>
      <c r="B8205" t="s">
        <v>23282</v>
      </c>
      <c r="C8205" t="s">
        <v>7673</v>
      </c>
      <c r="D8205">
        <v>1.8</v>
      </c>
      <c r="E8205">
        <v>0</v>
      </c>
      <c r="F8205">
        <f t="shared" si="128"/>
        <v>1.8</v>
      </c>
      <c r="I8205">
        <v>20180701</v>
      </c>
      <c r="J8205" t="s">
        <v>7847</v>
      </c>
    </row>
    <row r="8206" spans="1:12" x14ac:dyDescent="0.3">
      <c r="A8206" s="160">
        <v>62225</v>
      </c>
      <c r="B8206" t="s">
        <v>23283</v>
      </c>
      <c r="C8206" t="s">
        <v>7684</v>
      </c>
      <c r="D8206">
        <v>0.7</v>
      </c>
      <c r="E8206">
        <v>0.1</v>
      </c>
      <c r="F8206">
        <f t="shared" si="128"/>
        <v>0.79999999999999993</v>
      </c>
      <c r="I8206">
        <v>20230701</v>
      </c>
      <c r="J8206" t="s">
        <v>7804</v>
      </c>
    </row>
    <row r="8207" spans="1:12" x14ac:dyDescent="0.3">
      <c r="A8207" s="160">
        <v>62226</v>
      </c>
      <c r="B8207" t="s">
        <v>23283</v>
      </c>
      <c r="C8207" t="s">
        <v>7684</v>
      </c>
      <c r="D8207">
        <v>0.7</v>
      </c>
      <c r="E8207">
        <v>0</v>
      </c>
      <c r="F8207">
        <f t="shared" si="128"/>
        <v>0.7</v>
      </c>
      <c r="I8207">
        <v>20190701</v>
      </c>
      <c r="J8207" t="s">
        <v>7848</v>
      </c>
    </row>
    <row r="8208" spans="1:12" x14ac:dyDescent="0.3">
      <c r="A8208" s="160">
        <v>62229</v>
      </c>
      <c r="B8208" t="s">
        <v>23284</v>
      </c>
      <c r="C8208" t="s">
        <v>256</v>
      </c>
      <c r="D8208">
        <v>0</v>
      </c>
      <c r="E8208">
        <v>0.1</v>
      </c>
      <c r="F8208">
        <f t="shared" si="128"/>
        <v>0.1</v>
      </c>
      <c r="I8208">
        <v>20180401</v>
      </c>
      <c r="J8208" t="s">
        <v>7682</v>
      </c>
    </row>
    <row r="8209" spans="1:22" x14ac:dyDescent="0.3">
      <c r="A8209" s="160">
        <v>62230</v>
      </c>
      <c r="B8209" t="s">
        <v>23285</v>
      </c>
      <c r="C8209" t="s">
        <v>256</v>
      </c>
      <c r="D8209">
        <v>0</v>
      </c>
      <c r="E8209">
        <v>0.1</v>
      </c>
      <c r="F8209">
        <f t="shared" si="128"/>
        <v>0.1</v>
      </c>
      <c r="I8209">
        <v>20150701</v>
      </c>
      <c r="J8209" t="s">
        <v>7692</v>
      </c>
    </row>
    <row r="8210" spans="1:22" x14ac:dyDescent="0.3">
      <c r="A8210" s="160">
        <v>62231</v>
      </c>
      <c r="B8210" t="s">
        <v>23286</v>
      </c>
      <c r="C8210" t="s">
        <v>7689</v>
      </c>
      <c r="D8210">
        <v>0.8</v>
      </c>
      <c r="E8210">
        <v>0.1</v>
      </c>
      <c r="F8210">
        <f t="shared" si="128"/>
        <v>0.9</v>
      </c>
      <c r="I8210">
        <v>20240101</v>
      </c>
      <c r="J8210" t="s">
        <v>7690</v>
      </c>
    </row>
    <row r="8211" spans="1:22" x14ac:dyDescent="0.3">
      <c r="A8211" s="160">
        <v>62232</v>
      </c>
      <c r="B8211" t="s">
        <v>23287</v>
      </c>
      <c r="C8211" t="s">
        <v>7673</v>
      </c>
      <c r="D8211">
        <v>1.8</v>
      </c>
      <c r="E8211">
        <v>0</v>
      </c>
      <c r="F8211">
        <f t="shared" si="128"/>
        <v>1.8</v>
      </c>
      <c r="I8211">
        <v>20180701</v>
      </c>
      <c r="J8211" t="s">
        <v>7763</v>
      </c>
    </row>
    <row r="8212" spans="1:22" x14ac:dyDescent="0.3">
      <c r="A8212" s="160">
        <v>62233</v>
      </c>
      <c r="B8212" t="s">
        <v>23288</v>
      </c>
      <c r="C8212" t="s">
        <v>7689</v>
      </c>
      <c r="D8212">
        <v>0.8</v>
      </c>
      <c r="E8212">
        <v>0.1</v>
      </c>
      <c r="F8212">
        <f t="shared" si="128"/>
        <v>0.9</v>
      </c>
      <c r="I8212">
        <v>20240101</v>
      </c>
      <c r="J8212" t="s">
        <v>7690</v>
      </c>
    </row>
    <row r="8213" spans="1:22" x14ac:dyDescent="0.3">
      <c r="A8213" s="160">
        <v>62235</v>
      </c>
      <c r="B8213" t="s">
        <v>23289</v>
      </c>
      <c r="C8213" t="s">
        <v>7761</v>
      </c>
      <c r="D8213">
        <v>1.25</v>
      </c>
      <c r="E8213">
        <v>0</v>
      </c>
      <c r="F8213">
        <f t="shared" si="128"/>
        <v>1.25</v>
      </c>
      <c r="I8213">
        <v>20120101</v>
      </c>
      <c r="J8213" t="s">
        <v>7762</v>
      </c>
    </row>
    <row r="8214" spans="1:22" x14ac:dyDescent="0.3">
      <c r="A8214" s="160">
        <v>62237</v>
      </c>
      <c r="B8214" t="s">
        <v>23290</v>
      </c>
      <c r="C8214" t="s">
        <v>7761</v>
      </c>
      <c r="D8214">
        <v>1.25</v>
      </c>
      <c r="E8214">
        <v>0</v>
      </c>
      <c r="F8214">
        <f t="shared" si="128"/>
        <v>1.25</v>
      </c>
      <c r="I8214">
        <v>20120101</v>
      </c>
      <c r="J8214" t="s">
        <v>7849</v>
      </c>
    </row>
    <row r="8215" spans="1:22" x14ac:dyDescent="0.3">
      <c r="A8215" s="160">
        <v>62239</v>
      </c>
      <c r="B8215" t="s">
        <v>23291</v>
      </c>
      <c r="C8215" t="s">
        <v>7752</v>
      </c>
      <c r="D8215">
        <v>2</v>
      </c>
      <c r="E8215">
        <v>0</v>
      </c>
      <c r="F8215">
        <f t="shared" si="128"/>
        <v>2</v>
      </c>
      <c r="I8215">
        <v>20150701</v>
      </c>
      <c r="J8215" t="s">
        <v>7826</v>
      </c>
      <c r="K8215" t="s">
        <v>7827</v>
      </c>
      <c r="L8215" t="s">
        <v>7828</v>
      </c>
      <c r="M8215" t="s">
        <v>7829</v>
      </c>
      <c r="N8215" t="s">
        <v>7830</v>
      </c>
      <c r="O8215" t="s">
        <v>7831</v>
      </c>
      <c r="P8215" t="s">
        <v>7850</v>
      </c>
      <c r="Q8215" t="s">
        <v>7851</v>
      </c>
      <c r="R8215" t="s">
        <v>7852</v>
      </c>
      <c r="S8215" t="s">
        <v>7853</v>
      </c>
      <c r="T8215" t="s">
        <v>7854</v>
      </c>
      <c r="U8215" t="s">
        <v>7855</v>
      </c>
      <c r="V8215" t="s">
        <v>7856</v>
      </c>
    </row>
    <row r="8216" spans="1:22" x14ac:dyDescent="0.3">
      <c r="A8216" s="160">
        <v>62240</v>
      </c>
      <c r="B8216" t="s">
        <v>23292</v>
      </c>
      <c r="C8216" t="s">
        <v>256</v>
      </c>
      <c r="D8216">
        <v>0</v>
      </c>
      <c r="E8216">
        <v>0.1</v>
      </c>
      <c r="F8216">
        <f t="shared" si="128"/>
        <v>0.1</v>
      </c>
      <c r="I8216">
        <v>20150701</v>
      </c>
      <c r="J8216" t="s">
        <v>7857</v>
      </c>
    </row>
    <row r="8217" spans="1:22" x14ac:dyDescent="0.3">
      <c r="A8217" s="160">
        <v>62241</v>
      </c>
      <c r="B8217" t="s">
        <v>23293</v>
      </c>
      <c r="C8217" t="s">
        <v>7689</v>
      </c>
      <c r="D8217">
        <v>0.8</v>
      </c>
      <c r="E8217">
        <v>0</v>
      </c>
      <c r="F8217">
        <f t="shared" si="128"/>
        <v>0.8</v>
      </c>
      <c r="I8217">
        <v>20220101</v>
      </c>
      <c r="J8217" t="s">
        <v>7858</v>
      </c>
    </row>
    <row r="8218" spans="1:22" x14ac:dyDescent="0.3">
      <c r="A8218" s="160">
        <v>62243</v>
      </c>
      <c r="B8218" t="s">
        <v>23294</v>
      </c>
      <c r="C8218" t="s">
        <v>256</v>
      </c>
      <c r="D8218">
        <v>0</v>
      </c>
      <c r="E8218">
        <v>0.1</v>
      </c>
      <c r="F8218">
        <f t="shared" si="128"/>
        <v>0.1</v>
      </c>
      <c r="I8218">
        <v>20150701</v>
      </c>
      <c r="J8218" t="s">
        <v>7766</v>
      </c>
    </row>
    <row r="8219" spans="1:22" x14ac:dyDescent="0.3">
      <c r="A8219" s="160">
        <v>62244</v>
      </c>
      <c r="B8219" t="s">
        <v>23295</v>
      </c>
      <c r="C8219" t="s">
        <v>7752</v>
      </c>
      <c r="D8219">
        <v>2</v>
      </c>
      <c r="E8219">
        <v>0</v>
      </c>
      <c r="F8219">
        <f t="shared" si="128"/>
        <v>2</v>
      </c>
      <c r="I8219">
        <v>20150701</v>
      </c>
      <c r="J8219" t="s">
        <v>7827</v>
      </c>
      <c r="K8219" t="s">
        <v>7832</v>
      </c>
      <c r="L8219" t="s">
        <v>7859</v>
      </c>
    </row>
    <row r="8220" spans="1:22" x14ac:dyDescent="0.3">
      <c r="A8220" s="160">
        <v>62245</v>
      </c>
      <c r="B8220" t="s">
        <v>23296</v>
      </c>
      <c r="C8220" t="s">
        <v>256</v>
      </c>
      <c r="D8220">
        <v>0</v>
      </c>
      <c r="E8220">
        <v>0.1</v>
      </c>
      <c r="F8220">
        <f t="shared" si="128"/>
        <v>0.1</v>
      </c>
      <c r="I8220">
        <v>20180401</v>
      </c>
      <c r="J8220" t="s">
        <v>7682</v>
      </c>
    </row>
    <row r="8221" spans="1:22" x14ac:dyDescent="0.3">
      <c r="A8221" s="160">
        <v>62248</v>
      </c>
      <c r="B8221" t="s">
        <v>23297</v>
      </c>
      <c r="C8221" t="s">
        <v>256</v>
      </c>
      <c r="D8221">
        <v>0</v>
      </c>
      <c r="E8221">
        <v>0.1</v>
      </c>
      <c r="F8221">
        <f t="shared" si="128"/>
        <v>0.1</v>
      </c>
      <c r="I8221">
        <v>20150701</v>
      </c>
      <c r="J8221" t="s">
        <v>7860</v>
      </c>
    </row>
    <row r="8222" spans="1:22" x14ac:dyDescent="0.3">
      <c r="A8222" s="160">
        <v>62249</v>
      </c>
      <c r="B8222" t="s">
        <v>23298</v>
      </c>
      <c r="C8222" t="s">
        <v>7673</v>
      </c>
      <c r="D8222">
        <v>1.8</v>
      </c>
      <c r="E8222">
        <v>0</v>
      </c>
      <c r="F8222">
        <f t="shared" si="128"/>
        <v>1.8</v>
      </c>
      <c r="I8222">
        <v>20180701</v>
      </c>
      <c r="J8222" t="s">
        <v>7861</v>
      </c>
      <c r="K8222" t="s">
        <v>7862</v>
      </c>
      <c r="L8222" t="s">
        <v>7863</v>
      </c>
      <c r="M8222" t="s">
        <v>7864</v>
      </c>
      <c r="N8222" t="s">
        <v>7865</v>
      </c>
      <c r="O8222" t="s">
        <v>7866</v>
      </c>
    </row>
    <row r="8223" spans="1:22" x14ac:dyDescent="0.3">
      <c r="A8223" s="160">
        <v>62250</v>
      </c>
      <c r="B8223" t="s">
        <v>23299</v>
      </c>
      <c r="C8223" t="s">
        <v>7673</v>
      </c>
      <c r="D8223">
        <v>1.8</v>
      </c>
      <c r="E8223">
        <v>0</v>
      </c>
      <c r="F8223">
        <f t="shared" si="128"/>
        <v>1.8</v>
      </c>
      <c r="I8223">
        <v>20180701</v>
      </c>
      <c r="J8223" t="s">
        <v>7867</v>
      </c>
    </row>
    <row r="8224" spans="1:22" x14ac:dyDescent="0.3">
      <c r="A8224" s="160">
        <v>62252</v>
      </c>
      <c r="B8224" t="s">
        <v>23300</v>
      </c>
      <c r="C8224" t="s">
        <v>7673</v>
      </c>
      <c r="D8224">
        <v>1.8</v>
      </c>
      <c r="E8224">
        <v>0</v>
      </c>
      <c r="F8224">
        <f t="shared" si="128"/>
        <v>1.8</v>
      </c>
      <c r="I8224">
        <v>20180701</v>
      </c>
      <c r="J8224" t="s">
        <v>7868</v>
      </c>
    </row>
    <row r="8225" spans="1:17" x14ac:dyDescent="0.3">
      <c r="A8225" s="160">
        <v>62253</v>
      </c>
      <c r="B8225" t="s">
        <v>23301</v>
      </c>
      <c r="C8225" t="s">
        <v>256</v>
      </c>
      <c r="D8225">
        <v>0</v>
      </c>
      <c r="E8225">
        <v>0.1</v>
      </c>
      <c r="F8225">
        <f t="shared" si="128"/>
        <v>0.1</v>
      </c>
      <c r="I8225">
        <v>20150701</v>
      </c>
      <c r="J8225" t="s">
        <v>7766</v>
      </c>
    </row>
    <row r="8226" spans="1:17" x14ac:dyDescent="0.3">
      <c r="A8226" s="160">
        <v>62254</v>
      </c>
      <c r="B8226" t="s">
        <v>23302</v>
      </c>
      <c r="C8226" t="s">
        <v>7684</v>
      </c>
      <c r="D8226">
        <v>0.7</v>
      </c>
      <c r="E8226">
        <v>0.1</v>
      </c>
      <c r="F8226">
        <f t="shared" si="128"/>
        <v>0.79999999999999993</v>
      </c>
      <c r="I8226">
        <v>20230701</v>
      </c>
      <c r="J8226" t="s">
        <v>7757</v>
      </c>
    </row>
    <row r="8227" spans="1:17" x14ac:dyDescent="0.3">
      <c r="A8227" s="160">
        <v>62255</v>
      </c>
      <c r="B8227" t="s">
        <v>23303</v>
      </c>
      <c r="C8227" t="s">
        <v>256</v>
      </c>
      <c r="D8227">
        <v>0</v>
      </c>
      <c r="E8227">
        <v>0.1</v>
      </c>
      <c r="F8227">
        <f t="shared" si="128"/>
        <v>0.1</v>
      </c>
      <c r="I8227">
        <v>20150701</v>
      </c>
      <c r="J8227" t="s">
        <v>7816</v>
      </c>
    </row>
    <row r="8228" spans="1:17" x14ac:dyDescent="0.3">
      <c r="A8228" s="160">
        <v>62259</v>
      </c>
      <c r="B8228" t="s">
        <v>17917</v>
      </c>
      <c r="C8228" t="s">
        <v>256</v>
      </c>
      <c r="D8228">
        <v>0</v>
      </c>
      <c r="E8228">
        <v>0.1</v>
      </c>
      <c r="F8228">
        <f t="shared" si="128"/>
        <v>0.1</v>
      </c>
      <c r="I8228">
        <v>20150701</v>
      </c>
      <c r="J8228" t="s">
        <v>7801</v>
      </c>
    </row>
    <row r="8229" spans="1:17" x14ac:dyDescent="0.3">
      <c r="A8229" s="160">
        <v>62261</v>
      </c>
      <c r="B8229" t="s">
        <v>23304</v>
      </c>
      <c r="C8229" t="s">
        <v>7689</v>
      </c>
      <c r="D8229">
        <v>0.8</v>
      </c>
      <c r="E8229">
        <v>0.1</v>
      </c>
      <c r="F8229">
        <f t="shared" si="128"/>
        <v>0.9</v>
      </c>
      <c r="I8229">
        <v>20240101</v>
      </c>
      <c r="J8229" t="s">
        <v>7869</v>
      </c>
    </row>
    <row r="8230" spans="1:17" x14ac:dyDescent="0.3">
      <c r="A8230" s="160">
        <v>62262</v>
      </c>
      <c r="B8230" t="s">
        <v>23305</v>
      </c>
      <c r="C8230" t="s">
        <v>7673</v>
      </c>
      <c r="D8230">
        <v>1.8</v>
      </c>
      <c r="E8230">
        <v>0</v>
      </c>
      <c r="F8230">
        <f t="shared" si="128"/>
        <v>1.8</v>
      </c>
      <c r="I8230">
        <v>20180701</v>
      </c>
      <c r="J8230" t="s">
        <v>7701</v>
      </c>
    </row>
    <row r="8231" spans="1:17" x14ac:dyDescent="0.3">
      <c r="A8231" s="160">
        <v>62263</v>
      </c>
      <c r="B8231" t="s">
        <v>23306</v>
      </c>
      <c r="C8231" t="s">
        <v>7677</v>
      </c>
      <c r="D8231">
        <v>1.25</v>
      </c>
      <c r="E8231">
        <v>0</v>
      </c>
      <c r="F8231">
        <f t="shared" si="128"/>
        <v>1.25</v>
      </c>
      <c r="I8231">
        <v>20250101</v>
      </c>
      <c r="J8231" t="s">
        <v>7715</v>
      </c>
      <c r="K8231" t="s">
        <v>7716</v>
      </c>
      <c r="L8231" t="s">
        <v>7718</v>
      </c>
      <c r="M8231" t="s">
        <v>7719</v>
      </c>
      <c r="N8231" t="s">
        <v>7739</v>
      </c>
      <c r="O8231" t="s">
        <v>7679</v>
      </c>
      <c r="P8231" t="s">
        <v>7741</v>
      </c>
      <c r="Q8231" t="s">
        <v>7743</v>
      </c>
    </row>
    <row r="8232" spans="1:17" x14ac:dyDescent="0.3">
      <c r="A8232" s="160">
        <v>62264</v>
      </c>
      <c r="B8232" t="s">
        <v>23307</v>
      </c>
      <c r="C8232" t="s">
        <v>7761</v>
      </c>
      <c r="D8232">
        <v>1.25</v>
      </c>
      <c r="E8232">
        <v>0</v>
      </c>
      <c r="F8232">
        <f t="shared" si="128"/>
        <v>1.25</v>
      </c>
      <c r="I8232">
        <v>20120101</v>
      </c>
      <c r="J8232" t="s">
        <v>7870</v>
      </c>
    </row>
    <row r="8233" spans="1:17" x14ac:dyDescent="0.3">
      <c r="A8233" s="160">
        <v>62265</v>
      </c>
      <c r="B8233" t="s">
        <v>23308</v>
      </c>
      <c r="C8233" t="s">
        <v>7684</v>
      </c>
      <c r="D8233">
        <v>0.7</v>
      </c>
      <c r="E8233">
        <v>0.1</v>
      </c>
      <c r="F8233">
        <f t="shared" si="128"/>
        <v>0.79999999999999993</v>
      </c>
      <c r="I8233">
        <v>20230701</v>
      </c>
      <c r="J8233" t="s">
        <v>7848</v>
      </c>
    </row>
    <row r="8234" spans="1:17" x14ac:dyDescent="0.3">
      <c r="A8234" s="160">
        <v>62266</v>
      </c>
      <c r="B8234" t="s">
        <v>23309</v>
      </c>
      <c r="C8234" t="s">
        <v>256</v>
      </c>
      <c r="D8234">
        <v>0</v>
      </c>
      <c r="E8234">
        <v>0.1</v>
      </c>
      <c r="F8234">
        <f t="shared" si="128"/>
        <v>0.1</v>
      </c>
      <c r="I8234">
        <v>20150701</v>
      </c>
      <c r="J8234" t="s">
        <v>7765</v>
      </c>
    </row>
    <row r="8235" spans="1:17" x14ac:dyDescent="0.3">
      <c r="A8235" s="160">
        <v>62267</v>
      </c>
      <c r="B8235" t="s">
        <v>23310</v>
      </c>
      <c r="C8235" t="s">
        <v>7684</v>
      </c>
      <c r="D8235">
        <v>0.7</v>
      </c>
      <c r="E8235">
        <v>0.1</v>
      </c>
      <c r="F8235">
        <f t="shared" si="128"/>
        <v>0.79999999999999993</v>
      </c>
      <c r="I8235">
        <v>20230701</v>
      </c>
      <c r="J8235" t="s">
        <v>7757</v>
      </c>
    </row>
    <row r="8236" spans="1:17" x14ac:dyDescent="0.3">
      <c r="A8236" s="160">
        <v>62269</v>
      </c>
      <c r="B8236" t="s">
        <v>23311</v>
      </c>
      <c r="C8236" t="s">
        <v>7673</v>
      </c>
      <c r="D8236">
        <v>1.8</v>
      </c>
      <c r="E8236">
        <v>0</v>
      </c>
      <c r="F8236">
        <f t="shared" si="128"/>
        <v>1.8</v>
      </c>
      <c r="I8236">
        <v>20180701</v>
      </c>
      <c r="J8236" t="s">
        <v>7871</v>
      </c>
    </row>
    <row r="8237" spans="1:17" x14ac:dyDescent="0.3">
      <c r="A8237" s="160">
        <v>62270</v>
      </c>
      <c r="B8237" t="s">
        <v>23312</v>
      </c>
      <c r="C8237" t="s">
        <v>7673</v>
      </c>
      <c r="D8237">
        <v>1.8</v>
      </c>
      <c r="E8237">
        <v>0</v>
      </c>
      <c r="F8237">
        <f t="shared" si="128"/>
        <v>1.8</v>
      </c>
      <c r="I8237">
        <v>20180701</v>
      </c>
      <c r="J8237" t="s">
        <v>7871</v>
      </c>
    </row>
    <row r="8238" spans="1:17" x14ac:dyDescent="0.3">
      <c r="A8238" s="160">
        <v>62271</v>
      </c>
      <c r="B8238" t="s">
        <v>23313</v>
      </c>
      <c r="C8238" t="s">
        <v>256</v>
      </c>
      <c r="D8238">
        <v>0</v>
      </c>
      <c r="E8238">
        <v>0.1</v>
      </c>
      <c r="F8238">
        <f t="shared" si="128"/>
        <v>0.1</v>
      </c>
      <c r="I8238">
        <v>20180401</v>
      </c>
      <c r="J8238" t="s">
        <v>7682</v>
      </c>
    </row>
    <row r="8239" spans="1:17" x14ac:dyDescent="0.3">
      <c r="A8239" s="160">
        <v>62272</v>
      </c>
      <c r="B8239" t="s">
        <v>23314</v>
      </c>
      <c r="C8239" t="s">
        <v>256</v>
      </c>
      <c r="D8239">
        <v>0</v>
      </c>
      <c r="E8239">
        <v>0.1</v>
      </c>
      <c r="F8239">
        <f t="shared" si="128"/>
        <v>0.1</v>
      </c>
      <c r="I8239">
        <v>20150701</v>
      </c>
      <c r="J8239" t="s">
        <v>7675</v>
      </c>
    </row>
    <row r="8240" spans="1:17" x14ac:dyDescent="0.3">
      <c r="A8240" s="160">
        <v>62274</v>
      </c>
      <c r="B8240" t="s">
        <v>23315</v>
      </c>
      <c r="C8240" t="s">
        <v>7673</v>
      </c>
      <c r="D8240">
        <v>1.8</v>
      </c>
      <c r="E8240">
        <v>0</v>
      </c>
      <c r="F8240">
        <f t="shared" si="128"/>
        <v>1.8</v>
      </c>
      <c r="I8240">
        <v>20180701</v>
      </c>
      <c r="J8240" t="s">
        <v>7872</v>
      </c>
      <c r="K8240" t="s">
        <v>7861</v>
      </c>
      <c r="L8240" t="s">
        <v>7863</v>
      </c>
      <c r="M8240" t="s">
        <v>7864</v>
      </c>
      <c r="N8240" t="s">
        <v>7873</v>
      </c>
    </row>
    <row r="8241" spans="1:14" x14ac:dyDescent="0.3">
      <c r="A8241" s="160">
        <v>62276</v>
      </c>
      <c r="B8241" t="s">
        <v>23316</v>
      </c>
      <c r="C8241" t="s">
        <v>7673</v>
      </c>
      <c r="D8241">
        <v>1.8</v>
      </c>
      <c r="E8241">
        <v>0</v>
      </c>
      <c r="F8241">
        <f t="shared" si="128"/>
        <v>1.8</v>
      </c>
      <c r="I8241">
        <v>20180701</v>
      </c>
      <c r="J8241" t="s">
        <v>7755</v>
      </c>
      <c r="K8241" t="s">
        <v>7794</v>
      </c>
      <c r="L8241" t="s">
        <v>7756</v>
      </c>
    </row>
    <row r="8242" spans="1:14" x14ac:dyDescent="0.3">
      <c r="A8242" s="160">
        <v>62277</v>
      </c>
      <c r="B8242" t="s">
        <v>23317</v>
      </c>
      <c r="C8242" t="s">
        <v>7673</v>
      </c>
      <c r="D8242">
        <v>1.8</v>
      </c>
      <c r="E8242">
        <v>0</v>
      </c>
      <c r="F8242">
        <f t="shared" si="128"/>
        <v>1.8</v>
      </c>
      <c r="I8242">
        <v>20180701</v>
      </c>
      <c r="J8242" t="s">
        <v>7676</v>
      </c>
    </row>
    <row r="8243" spans="1:14" x14ac:dyDescent="0.3">
      <c r="A8243" s="160">
        <v>62278</v>
      </c>
      <c r="B8243" t="s">
        <v>23318</v>
      </c>
      <c r="C8243" t="s">
        <v>7673</v>
      </c>
      <c r="D8243">
        <v>1.8</v>
      </c>
      <c r="E8243">
        <v>0</v>
      </c>
      <c r="F8243">
        <f t="shared" si="128"/>
        <v>1.8</v>
      </c>
      <c r="I8243">
        <v>20180701</v>
      </c>
      <c r="J8243" t="s">
        <v>7874</v>
      </c>
    </row>
    <row r="8244" spans="1:14" x14ac:dyDescent="0.3">
      <c r="A8244" s="160">
        <v>62279</v>
      </c>
      <c r="B8244" t="s">
        <v>23319</v>
      </c>
      <c r="C8244" t="s">
        <v>256</v>
      </c>
      <c r="D8244">
        <v>0</v>
      </c>
      <c r="E8244">
        <v>0.1</v>
      </c>
      <c r="F8244">
        <f t="shared" si="128"/>
        <v>0.1</v>
      </c>
      <c r="I8244">
        <v>20150701</v>
      </c>
      <c r="J8244" t="s">
        <v>7683</v>
      </c>
    </row>
    <row r="8245" spans="1:14" x14ac:dyDescent="0.3">
      <c r="A8245" s="160">
        <v>62281</v>
      </c>
      <c r="B8245" t="s">
        <v>23320</v>
      </c>
      <c r="C8245" t="s">
        <v>7761</v>
      </c>
      <c r="D8245">
        <v>1.25</v>
      </c>
      <c r="E8245">
        <v>0</v>
      </c>
      <c r="F8245">
        <f t="shared" si="128"/>
        <v>1.25</v>
      </c>
      <c r="I8245">
        <v>20120101</v>
      </c>
      <c r="J8245" t="s">
        <v>7762</v>
      </c>
    </row>
    <row r="8246" spans="1:14" x14ac:dyDescent="0.3">
      <c r="A8246" s="160">
        <v>62285</v>
      </c>
      <c r="B8246" t="s">
        <v>23321</v>
      </c>
      <c r="C8246" t="s">
        <v>256</v>
      </c>
      <c r="D8246">
        <v>0</v>
      </c>
      <c r="E8246">
        <v>0.1</v>
      </c>
      <c r="F8246">
        <f t="shared" si="128"/>
        <v>0.1</v>
      </c>
      <c r="I8246">
        <v>20150701</v>
      </c>
      <c r="J8246" t="s">
        <v>7801</v>
      </c>
    </row>
    <row r="8247" spans="1:14" x14ac:dyDescent="0.3">
      <c r="A8247" s="160">
        <v>62286</v>
      </c>
      <c r="B8247" t="s">
        <v>23322</v>
      </c>
      <c r="C8247" t="s">
        <v>7673</v>
      </c>
      <c r="D8247">
        <v>1.6</v>
      </c>
      <c r="E8247">
        <v>0</v>
      </c>
      <c r="F8247">
        <f t="shared" si="128"/>
        <v>1.6</v>
      </c>
      <c r="I8247">
        <v>20240101</v>
      </c>
      <c r="J8247" t="s">
        <v>7695</v>
      </c>
    </row>
    <row r="8248" spans="1:14" x14ac:dyDescent="0.3">
      <c r="A8248" s="160">
        <v>62288</v>
      </c>
      <c r="B8248" t="s">
        <v>23323</v>
      </c>
      <c r="C8248" t="s">
        <v>7684</v>
      </c>
      <c r="D8248">
        <v>0.7</v>
      </c>
      <c r="E8248">
        <v>0.1</v>
      </c>
      <c r="F8248">
        <f t="shared" si="128"/>
        <v>0.79999999999999993</v>
      </c>
      <c r="I8248">
        <v>20230701</v>
      </c>
      <c r="J8248" t="s">
        <v>7848</v>
      </c>
    </row>
    <row r="8249" spans="1:14" x14ac:dyDescent="0.3">
      <c r="A8249" s="160">
        <v>62289</v>
      </c>
      <c r="B8249" t="s">
        <v>23324</v>
      </c>
      <c r="C8249" t="s">
        <v>7689</v>
      </c>
      <c r="D8249">
        <v>0.8</v>
      </c>
      <c r="E8249">
        <v>0</v>
      </c>
      <c r="F8249">
        <f t="shared" si="128"/>
        <v>0.8</v>
      </c>
      <c r="I8249">
        <v>20220101</v>
      </c>
      <c r="J8249" t="s">
        <v>7754</v>
      </c>
    </row>
    <row r="8250" spans="1:14" x14ac:dyDescent="0.3">
      <c r="A8250" s="160">
        <v>62290</v>
      </c>
      <c r="B8250" t="s">
        <v>23325</v>
      </c>
      <c r="C8250" t="s">
        <v>7677</v>
      </c>
      <c r="D8250">
        <v>1.25</v>
      </c>
      <c r="E8250">
        <v>0</v>
      </c>
      <c r="F8250">
        <f t="shared" si="128"/>
        <v>1.25</v>
      </c>
      <c r="I8250">
        <v>20250101</v>
      </c>
      <c r="J8250" t="s">
        <v>7707</v>
      </c>
    </row>
    <row r="8251" spans="1:14" x14ac:dyDescent="0.3">
      <c r="A8251" s="160">
        <v>62291</v>
      </c>
      <c r="B8251" t="s">
        <v>23326</v>
      </c>
      <c r="C8251" t="s">
        <v>7673</v>
      </c>
      <c r="D8251">
        <v>1.8</v>
      </c>
      <c r="E8251">
        <v>0</v>
      </c>
      <c r="F8251">
        <f t="shared" si="128"/>
        <v>1.8</v>
      </c>
      <c r="I8251">
        <v>20180701</v>
      </c>
      <c r="J8251" t="s">
        <v>7875</v>
      </c>
      <c r="K8251" t="s">
        <v>7876</v>
      </c>
      <c r="L8251" t="s">
        <v>7877</v>
      </c>
      <c r="M8251" t="s">
        <v>7878</v>
      </c>
      <c r="N8251" t="s">
        <v>7879</v>
      </c>
    </row>
    <row r="8252" spans="1:14" x14ac:dyDescent="0.3">
      <c r="A8252" s="160">
        <v>62292</v>
      </c>
      <c r="B8252" t="s">
        <v>23327</v>
      </c>
      <c r="C8252" t="s">
        <v>256</v>
      </c>
      <c r="D8252">
        <v>0</v>
      </c>
      <c r="E8252">
        <v>0.1</v>
      </c>
      <c r="F8252">
        <f t="shared" si="128"/>
        <v>0.1</v>
      </c>
      <c r="I8252">
        <v>20180401</v>
      </c>
      <c r="J8252" t="s">
        <v>7682</v>
      </c>
    </row>
    <row r="8253" spans="1:14" x14ac:dyDescent="0.3">
      <c r="A8253" s="160">
        <v>62294</v>
      </c>
      <c r="B8253" t="s">
        <v>23328</v>
      </c>
      <c r="C8253" t="s">
        <v>7684</v>
      </c>
      <c r="D8253">
        <v>0.7</v>
      </c>
      <c r="E8253">
        <v>0</v>
      </c>
      <c r="F8253">
        <f t="shared" si="128"/>
        <v>0.7</v>
      </c>
      <c r="I8253">
        <v>20190701</v>
      </c>
      <c r="J8253" t="s">
        <v>7880</v>
      </c>
    </row>
    <row r="8254" spans="1:14" x14ac:dyDescent="0.3">
      <c r="A8254" s="160">
        <v>62295</v>
      </c>
      <c r="B8254" t="s">
        <v>23329</v>
      </c>
      <c r="C8254" t="s">
        <v>7684</v>
      </c>
      <c r="D8254">
        <v>0.7</v>
      </c>
      <c r="E8254">
        <v>0.1</v>
      </c>
      <c r="F8254">
        <f t="shared" si="128"/>
        <v>0.79999999999999993</v>
      </c>
      <c r="I8254">
        <v>20230701</v>
      </c>
      <c r="J8254" t="s">
        <v>7880</v>
      </c>
    </row>
    <row r="8255" spans="1:14" x14ac:dyDescent="0.3">
      <c r="A8255" s="160">
        <v>62297</v>
      </c>
      <c r="B8255" t="s">
        <v>23330</v>
      </c>
      <c r="C8255" t="s">
        <v>7684</v>
      </c>
      <c r="D8255">
        <v>0.7</v>
      </c>
      <c r="E8255">
        <v>0.1</v>
      </c>
      <c r="F8255">
        <f t="shared" si="128"/>
        <v>0.79999999999999993</v>
      </c>
      <c r="I8255">
        <v>20230701</v>
      </c>
      <c r="J8255" t="s">
        <v>7811</v>
      </c>
      <c r="K8255" t="s">
        <v>7768</v>
      </c>
      <c r="L8255" t="s">
        <v>7767</v>
      </c>
    </row>
    <row r="8256" spans="1:14" x14ac:dyDescent="0.3">
      <c r="A8256" s="160">
        <v>62300</v>
      </c>
      <c r="B8256" t="s">
        <v>23331</v>
      </c>
      <c r="C8256" t="s">
        <v>7761</v>
      </c>
      <c r="D8256">
        <v>1.25</v>
      </c>
      <c r="E8256">
        <v>0</v>
      </c>
      <c r="F8256">
        <f t="shared" si="128"/>
        <v>1.25</v>
      </c>
      <c r="I8256">
        <v>20120101</v>
      </c>
      <c r="J8256" t="s">
        <v>7881</v>
      </c>
    </row>
    <row r="8257" spans="1:13" x14ac:dyDescent="0.3">
      <c r="A8257" s="160">
        <v>62304</v>
      </c>
      <c r="B8257" t="s">
        <v>23332</v>
      </c>
      <c r="C8257" t="s">
        <v>7684</v>
      </c>
      <c r="D8257">
        <v>0.7</v>
      </c>
      <c r="E8257">
        <v>0.1</v>
      </c>
      <c r="F8257">
        <f t="shared" si="128"/>
        <v>0.79999999999999993</v>
      </c>
      <c r="I8257">
        <v>20230701</v>
      </c>
      <c r="J8257" t="s">
        <v>7769</v>
      </c>
    </row>
    <row r="8258" spans="1:13" x14ac:dyDescent="0.3">
      <c r="A8258" s="160">
        <v>62306</v>
      </c>
      <c r="B8258" t="s">
        <v>23333</v>
      </c>
      <c r="C8258" t="s">
        <v>256</v>
      </c>
      <c r="D8258">
        <v>0</v>
      </c>
      <c r="E8258">
        <v>0.1</v>
      </c>
      <c r="F8258">
        <f t="shared" si="128"/>
        <v>0.1</v>
      </c>
      <c r="I8258">
        <v>20150701</v>
      </c>
      <c r="J8258" t="s">
        <v>7860</v>
      </c>
      <c r="K8258" t="s">
        <v>7882</v>
      </c>
    </row>
    <row r="8259" spans="1:13" x14ac:dyDescent="0.3">
      <c r="A8259" s="160">
        <v>62307</v>
      </c>
      <c r="B8259" t="s">
        <v>23334</v>
      </c>
      <c r="C8259" t="s">
        <v>7752</v>
      </c>
      <c r="D8259">
        <v>2</v>
      </c>
      <c r="E8259">
        <v>0</v>
      </c>
      <c r="F8259">
        <f t="shared" si="128"/>
        <v>2</v>
      </c>
      <c r="I8259">
        <v>20250101</v>
      </c>
      <c r="J8259" t="s">
        <v>7883</v>
      </c>
    </row>
    <row r="8260" spans="1:13" x14ac:dyDescent="0.3">
      <c r="A8260" s="160">
        <v>62309</v>
      </c>
      <c r="B8260" t="s">
        <v>23335</v>
      </c>
      <c r="C8260" t="s">
        <v>256</v>
      </c>
      <c r="D8260">
        <v>0</v>
      </c>
      <c r="E8260">
        <v>0.1</v>
      </c>
      <c r="F8260">
        <f t="shared" si="128"/>
        <v>0.1</v>
      </c>
      <c r="I8260">
        <v>20180401</v>
      </c>
      <c r="J8260" t="s">
        <v>7682</v>
      </c>
    </row>
    <row r="8261" spans="1:13" x14ac:dyDescent="0.3">
      <c r="A8261" s="160">
        <v>62310</v>
      </c>
      <c r="B8261" t="s">
        <v>23336</v>
      </c>
      <c r="C8261" t="s">
        <v>7673</v>
      </c>
      <c r="D8261">
        <v>1.8</v>
      </c>
      <c r="E8261">
        <v>0</v>
      </c>
      <c r="F8261">
        <f t="shared" si="128"/>
        <v>1.8</v>
      </c>
      <c r="I8261">
        <v>20180701</v>
      </c>
      <c r="J8261" t="s">
        <v>7780</v>
      </c>
      <c r="K8261" t="s">
        <v>7784</v>
      </c>
      <c r="L8261" t="s">
        <v>7785</v>
      </c>
      <c r="M8261" t="s">
        <v>7789</v>
      </c>
    </row>
    <row r="8262" spans="1:13" x14ac:dyDescent="0.3">
      <c r="A8262" s="160">
        <v>62311</v>
      </c>
      <c r="B8262" t="s">
        <v>23337</v>
      </c>
      <c r="C8262" t="s">
        <v>7673</v>
      </c>
      <c r="D8262">
        <v>1.8</v>
      </c>
      <c r="E8262">
        <v>0</v>
      </c>
      <c r="F8262">
        <f t="shared" si="128"/>
        <v>1.8</v>
      </c>
      <c r="I8262">
        <v>20180701</v>
      </c>
      <c r="J8262" t="s">
        <v>7699</v>
      </c>
    </row>
    <row r="8263" spans="1:13" x14ac:dyDescent="0.3">
      <c r="A8263" s="160">
        <v>62312</v>
      </c>
      <c r="B8263" t="s">
        <v>23338</v>
      </c>
      <c r="C8263" t="s">
        <v>7689</v>
      </c>
      <c r="D8263">
        <v>0.8</v>
      </c>
      <c r="E8263">
        <v>0</v>
      </c>
      <c r="F8263">
        <f t="shared" ref="F8263:F8326" si="129">D8263+E8263</f>
        <v>0.8</v>
      </c>
      <c r="I8263">
        <v>20220101</v>
      </c>
      <c r="J8263" t="s">
        <v>7754</v>
      </c>
    </row>
    <row r="8264" spans="1:13" x14ac:dyDescent="0.3">
      <c r="A8264" s="160">
        <v>62313</v>
      </c>
      <c r="B8264" t="s">
        <v>23339</v>
      </c>
      <c r="C8264" t="s">
        <v>7673</v>
      </c>
      <c r="D8264">
        <v>1.6</v>
      </c>
      <c r="E8264">
        <v>0</v>
      </c>
      <c r="F8264">
        <f t="shared" si="129"/>
        <v>1.6</v>
      </c>
      <c r="I8264">
        <v>20240101</v>
      </c>
      <c r="J8264" t="s">
        <v>7880</v>
      </c>
    </row>
    <row r="8265" spans="1:13" x14ac:dyDescent="0.3">
      <c r="A8265" s="160">
        <v>62314</v>
      </c>
      <c r="B8265" t="s">
        <v>23340</v>
      </c>
      <c r="C8265" t="s">
        <v>7673</v>
      </c>
      <c r="D8265">
        <v>1.8</v>
      </c>
      <c r="E8265">
        <v>0</v>
      </c>
      <c r="F8265">
        <f t="shared" si="129"/>
        <v>1.8</v>
      </c>
      <c r="I8265">
        <v>20180701</v>
      </c>
      <c r="J8265" t="s">
        <v>7841</v>
      </c>
    </row>
    <row r="8266" spans="1:13" x14ac:dyDescent="0.3">
      <c r="A8266" s="160">
        <v>62315</v>
      </c>
      <c r="B8266" t="s">
        <v>23341</v>
      </c>
      <c r="C8266" t="s">
        <v>7689</v>
      </c>
      <c r="D8266">
        <v>0.8</v>
      </c>
      <c r="E8266">
        <v>0</v>
      </c>
      <c r="F8266">
        <f t="shared" si="129"/>
        <v>0.8</v>
      </c>
      <c r="I8266">
        <v>20220101</v>
      </c>
      <c r="J8266" t="s">
        <v>7754</v>
      </c>
    </row>
    <row r="8267" spans="1:13" x14ac:dyDescent="0.3">
      <c r="A8267" s="160">
        <v>62317</v>
      </c>
      <c r="B8267" t="s">
        <v>23342</v>
      </c>
      <c r="C8267" t="s">
        <v>256</v>
      </c>
      <c r="D8267">
        <v>0</v>
      </c>
      <c r="E8267">
        <v>0.1</v>
      </c>
      <c r="F8267">
        <f t="shared" si="129"/>
        <v>0.1</v>
      </c>
      <c r="I8267">
        <v>20150701</v>
      </c>
      <c r="J8267" t="s">
        <v>7802</v>
      </c>
    </row>
    <row r="8268" spans="1:13" x14ac:dyDescent="0.3">
      <c r="A8268" s="160">
        <v>62318</v>
      </c>
      <c r="B8268" t="s">
        <v>23343</v>
      </c>
      <c r="C8268" t="s">
        <v>7689</v>
      </c>
      <c r="D8268">
        <v>0.8</v>
      </c>
      <c r="E8268">
        <v>0.1</v>
      </c>
      <c r="F8268">
        <f t="shared" si="129"/>
        <v>0.9</v>
      </c>
      <c r="I8268">
        <v>20240101</v>
      </c>
      <c r="J8268" t="s">
        <v>7858</v>
      </c>
    </row>
    <row r="8269" spans="1:13" x14ac:dyDescent="0.3">
      <c r="A8269" s="160">
        <v>62320</v>
      </c>
      <c r="B8269" t="s">
        <v>23344</v>
      </c>
      <c r="C8269" t="s">
        <v>7677</v>
      </c>
      <c r="D8269">
        <v>1.25</v>
      </c>
      <c r="E8269">
        <v>0</v>
      </c>
      <c r="F8269">
        <f t="shared" si="129"/>
        <v>1.25</v>
      </c>
      <c r="I8269">
        <v>20250101</v>
      </c>
      <c r="J8269" t="s">
        <v>7683</v>
      </c>
    </row>
    <row r="8270" spans="1:13" x14ac:dyDescent="0.3">
      <c r="A8270" s="160">
        <v>62321</v>
      </c>
      <c r="B8270" t="s">
        <v>23345</v>
      </c>
      <c r="C8270" t="s">
        <v>7673</v>
      </c>
      <c r="D8270">
        <v>1.8</v>
      </c>
      <c r="E8270">
        <v>0</v>
      </c>
      <c r="F8270">
        <f t="shared" si="129"/>
        <v>1.8</v>
      </c>
      <c r="I8270">
        <v>20180701</v>
      </c>
      <c r="J8270" t="s">
        <v>7884</v>
      </c>
      <c r="K8270" t="s">
        <v>7862</v>
      </c>
    </row>
    <row r="8271" spans="1:13" x14ac:dyDescent="0.3">
      <c r="A8271" s="160">
        <v>62323</v>
      </c>
      <c r="B8271" t="s">
        <v>23346</v>
      </c>
      <c r="C8271" t="s">
        <v>7677</v>
      </c>
      <c r="D8271">
        <v>1.25</v>
      </c>
      <c r="E8271">
        <v>0</v>
      </c>
      <c r="F8271">
        <f t="shared" si="129"/>
        <v>1.25</v>
      </c>
      <c r="I8271">
        <v>20250101</v>
      </c>
      <c r="J8271" t="s">
        <v>7885</v>
      </c>
    </row>
    <row r="8272" spans="1:13" x14ac:dyDescent="0.3">
      <c r="A8272" s="160">
        <v>62324</v>
      </c>
      <c r="B8272" t="s">
        <v>23347</v>
      </c>
      <c r="C8272" t="s">
        <v>7677</v>
      </c>
      <c r="D8272">
        <v>1.25</v>
      </c>
      <c r="E8272">
        <v>0</v>
      </c>
      <c r="F8272">
        <f t="shared" si="129"/>
        <v>1.25</v>
      </c>
      <c r="I8272">
        <v>20250101</v>
      </c>
      <c r="J8272" t="s">
        <v>7709</v>
      </c>
    </row>
    <row r="8273" spans="1:11" x14ac:dyDescent="0.3">
      <c r="A8273" s="160">
        <v>62325</v>
      </c>
      <c r="B8273" t="s">
        <v>23348</v>
      </c>
      <c r="C8273" t="s">
        <v>7684</v>
      </c>
      <c r="D8273">
        <v>0.7</v>
      </c>
      <c r="E8273">
        <v>0.1</v>
      </c>
      <c r="F8273">
        <f t="shared" si="129"/>
        <v>0.79999999999999993</v>
      </c>
      <c r="I8273">
        <v>20230701</v>
      </c>
      <c r="J8273" t="s">
        <v>7768</v>
      </c>
      <c r="K8273" t="s">
        <v>7757</v>
      </c>
    </row>
    <row r="8274" spans="1:11" x14ac:dyDescent="0.3">
      <c r="A8274" s="160">
        <v>62327</v>
      </c>
      <c r="B8274" t="s">
        <v>23349</v>
      </c>
      <c r="C8274" t="s">
        <v>7684</v>
      </c>
      <c r="D8274">
        <v>0.7</v>
      </c>
      <c r="E8274">
        <v>0.1</v>
      </c>
      <c r="F8274">
        <f t="shared" si="129"/>
        <v>0.79999999999999993</v>
      </c>
      <c r="I8274">
        <v>20230701</v>
      </c>
      <c r="J8274" t="s">
        <v>7769</v>
      </c>
    </row>
    <row r="8275" spans="1:11" x14ac:dyDescent="0.3">
      <c r="A8275" s="160">
        <v>62328</v>
      </c>
      <c r="B8275" t="s">
        <v>23350</v>
      </c>
      <c r="C8275" t="s">
        <v>7673</v>
      </c>
      <c r="D8275">
        <v>1.6</v>
      </c>
      <c r="E8275">
        <v>0</v>
      </c>
      <c r="F8275">
        <f t="shared" si="129"/>
        <v>1.6</v>
      </c>
      <c r="I8275">
        <v>20240101</v>
      </c>
      <c r="J8275" t="s">
        <v>7696</v>
      </c>
    </row>
    <row r="8276" spans="1:11" x14ac:dyDescent="0.3">
      <c r="A8276" s="160">
        <v>62330</v>
      </c>
      <c r="B8276" t="s">
        <v>23351</v>
      </c>
      <c r="C8276" t="s">
        <v>7673</v>
      </c>
      <c r="D8276">
        <v>1.8</v>
      </c>
      <c r="E8276">
        <v>0</v>
      </c>
      <c r="F8276">
        <f t="shared" si="129"/>
        <v>1.8</v>
      </c>
      <c r="I8276">
        <v>20180701</v>
      </c>
      <c r="J8276" t="s">
        <v>7701</v>
      </c>
    </row>
    <row r="8277" spans="1:11" x14ac:dyDescent="0.3">
      <c r="A8277" s="160">
        <v>62331</v>
      </c>
      <c r="B8277" t="s">
        <v>23352</v>
      </c>
      <c r="C8277" t="s">
        <v>7677</v>
      </c>
      <c r="D8277">
        <v>1.25</v>
      </c>
      <c r="E8277">
        <v>0</v>
      </c>
      <c r="F8277">
        <f t="shared" si="129"/>
        <v>1.25</v>
      </c>
      <c r="I8277">
        <v>20250101</v>
      </c>
      <c r="J8277" t="s">
        <v>7886</v>
      </c>
      <c r="K8277" t="s">
        <v>7707</v>
      </c>
    </row>
    <row r="8278" spans="1:11" x14ac:dyDescent="0.3">
      <c r="A8278" s="160">
        <v>62332</v>
      </c>
      <c r="B8278" t="s">
        <v>23353</v>
      </c>
      <c r="C8278" t="s">
        <v>7677</v>
      </c>
      <c r="D8278">
        <v>1.25</v>
      </c>
      <c r="E8278">
        <v>0</v>
      </c>
      <c r="F8278">
        <f t="shared" si="129"/>
        <v>1.25</v>
      </c>
      <c r="I8278">
        <v>20250101</v>
      </c>
      <c r="J8278" t="s">
        <v>7716</v>
      </c>
      <c r="K8278" t="s">
        <v>7796</v>
      </c>
    </row>
    <row r="8279" spans="1:11" x14ac:dyDescent="0.3">
      <c r="A8279" s="160">
        <v>62336</v>
      </c>
      <c r="B8279" t="s">
        <v>23354</v>
      </c>
      <c r="C8279" t="s">
        <v>7684</v>
      </c>
      <c r="D8279">
        <v>0.7</v>
      </c>
      <c r="E8279">
        <v>0.1</v>
      </c>
      <c r="F8279">
        <f t="shared" si="129"/>
        <v>0.79999999999999993</v>
      </c>
      <c r="I8279">
        <v>20230701</v>
      </c>
      <c r="J8279" t="s">
        <v>7769</v>
      </c>
    </row>
    <row r="8280" spans="1:11" x14ac:dyDescent="0.3">
      <c r="A8280" s="160">
        <v>62338</v>
      </c>
      <c r="B8280" t="s">
        <v>23355</v>
      </c>
      <c r="C8280" t="s">
        <v>256</v>
      </c>
      <c r="D8280">
        <v>0</v>
      </c>
      <c r="E8280">
        <v>0.1</v>
      </c>
      <c r="F8280">
        <f t="shared" si="129"/>
        <v>0.1</v>
      </c>
      <c r="I8280">
        <v>20150701</v>
      </c>
      <c r="J8280" t="s">
        <v>7887</v>
      </c>
    </row>
    <row r="8281" spans="1:11" x14ac:dyDescent="0.3">
      <c r="A8281" s="160">
        <v>62340</v>
      </c>
      <c r="B8281" t="s">
        <v>23356</v>
      </c>
      <c r="C8281" t="s">
        <v>256</v>
      </c>
      <c r="D8281">
        <v>0</v>
      </c>
      <c r="E8281">
        <v>0.1</v>
      </c>
      <c r="F8281">
        <f t="shared" si="129"/>
        <v>0.1</v>
      </c>
      <c r="I8281">
        <v>20170701</v>
      </c>
      <c r="J8281" t="s">
        <v>7758</v>
      </c>
    </row>
    <row r="8282" spans="1:11" x14ac:dyDescent="0.3">
      <c r="A8282" s="160">
        <v>62341</v>
      </c>
      <c r="B8282" t="s">
        <v>23357</v>
      </c>
      <c r="C8282" t="s">
        <v>256</v>
      </c>
      <c r="D8282">
        <v>0</v>
      </c>
      <c r="E8282">
        <v>0.1</v>
      </c>
      <c r="F8282">
        <f t="shared" si="129"/>
        <v>0.1</v>
      </c>
      <c r="I8282">
        <v>20150701</v>
      </c>
      <c r="J8282" t="s">
        <v>7793</v>
      </c>
    </row>
    <row r="8283" spans="1:11" x14ac:dyDescent="0.3">
      <c r="A8283" s="160">
        <v>62343</v>
      </c>
      <c r="B8283" t="s">
        <v>23358</v>
      </c>
      <c r="C8283" t="s">
        <v>256</v>
      </c>
      <c r="D8283">
        <v>0</v>
      </c>
      <c r="E8283">
        <v>0.1</v>
      </c>
      <c r="F8283">
        <f t="shared" si="129"/>
        <v>0.1</v>
      </c>
      <c r="I8283">
        <v>20150701</v>
      </c>
      <c r="J8283" t="s">
        <v>7801</v>
      </c>
    </row>
    <row r="8284" spans="1:11" x14ac:dyDescent="0.3">
      <c r="A8284" s="160">
        <v>62344</v>
      </c>
      <c r="B8284" t="s">
        <v>23359</v>
      </c>
      <c r="C8284" t="s">
        <v>256</v>
      </c>
      <c r="D8284">
        <v>0</v>
      </c>
      <c r="E8284">
        <v>0.1</v>
      </c>
      <c r="F8284">
        <f t="shared" si="129"/>
        <v>0.1</v>
      </c>
      <c r="I8284">
        <v>20170701</v>
      </c>
      <c r="J8284" t="s">
        <v>7758</v>
      </c>
    </row>
    <row r="8285" spans="1:11" x14ac:dyDescent="0.3">
      <c r="A8285" s="160">
        <v>62347</v>
      </c>
      <c r="B8285" t="s">
        <v>23360</v>
      </c>
      <c r="C8285" t="s">
        <v>256</v>
      </c>
      <c r="D8285">
        <v>0</v>
      </c>
      <c r="E8285">
        <v>0.1</v>
      </c>
      <c r="F8285">
        <f t="shared" si="129"/>
        <v>0.1</v>
      </c>
      <c r="I8285">
        <v>20150701</v>
      </c>
      <c r="J8285" t="s">
        <v>7765</v>
      </c>
    </row>
    <row r="8286" spans="1:11" x14ac:dyDescent="0.3">
      <c r="A8286" s="160">
        <v>62349</v>
      </c>
      <c r="B8286" t="s">
        <v>23361</v>
      </c>
      <c r="C8286" t="s">
        <v>7673</v>
      </c>
      <c r="D8286">
        <v>1.8</v>
      </c>
      <c r="E8286">
        <v>0</v>
      </c>
      <c r="F8286">
        <f t="shared" si="129"/>
        <v>1.8</v>
      </c>
      <c r="I8286">
        <v>20180701</v>
      </c>
      <c r="J8286" t="s">
        <v>7702</v>
      </c>
    </row>
    <row r="8287" spans="1:11" x14ac:dyDescent="0.3">
      <c r="A8287" s="160">
        <v>62350</v>
      </c>
      <c r="B8287" t="s">
        <v>23362</v>
      </c>
      <c r="C8287" t="s">
        <v>7673</v>
      </c>
      <c r="D8287">
        <v>1.8</v>
      </c>
      <c r="E8287">
        <v>0</v>
      </c>
      <c r="F8287">
        <f t="shared" si="129"/>
        <v>1.8</v>
      </c>
      <c r="I8287">
        <v>20180701</v>
      </c>
      <c r="J8287" t="s">
        <v>7702</v>
      </c>
    </row>
    <row r="8288" spans="1:11" x14ac:dyDescent="0.3">
      <c r="A8288" s="160">
        <v>62351</v>
      </c>
      <c r="B8288" t="s">
        <v>23363</v>
      </c>
      <c r="C8288" t="s">
        <v>7673</v>
      </c>
      <c r="D8288">
        <v>1.8</v>
      </c>
      <c r="E8288">
        <v>0</v>
      </c>
      <c r="F8288">
        <f t="shared" si="129"/>
        <v>1.8</v>
      </c>
      <c r="I8288">
        <v>20180701</v>
      </c>
      <c r="J8288" t="s">
        <v>7888</v>
      </c>
    </row>
    <row r="8289" spans="1:11" x14ac:dyDescent="0.3">
      <c r="A8289" s="160">
        <v>62354</v>
      </c>
      <c r="B8289" t="s">
        <v>23364</v>
      </c>
      <c r="C8289" t="s">
        <v>7689</v>
      </c>
      <c r="D8289">
        <v>0.8</v>
      </c>
      <c r="E8289">
        <v>0.1</v>
      </c>
      <c r="F8289">
        <f t="shared" si="129"/>
        <v>0.9</v>
      </c>
      <c r="I8289">
        <v>20240101</v>
      </c>
      <c r="J8289" t="s">
        <v>7858</v>
      </c>
    </row>
    <row r="8290" spans="1:11" x14ac:dyDescent="0.3">
      <c r="A8290" s="160">
        <v>62356</v>
      </c>
      <c r="B8290" t="s">
        <v>23365</v>
      </c>
      <c r="C8290" t="s">
        <v>7673</v>
      </c>
      <c r="D8290">
        <v>1.8</v>
      </c>
      <c r="E8290">
        <v>0</v>
      </c>
      <c r="F8290">
        <f t="shared" si="129"/>
        <v>1.8</v>
      </c>
      <c r="I8290">
        <v>20180701</v>
      </c>
      <c r="J8290" t="s">
        <v>7763</v>
      </c>
    </row>
    <row r="8291" spans="1:11" x14ac:dyDescent="0.3">
      <c r="A8291" s="160">
        <v>62358</v>
      </c>
      <c r="B8291" t="s">
        <v>23366</v>
      </c>
      <c r="C8291" t="s">
        <v>256</v>
      </c>
      <c r="D8291">
        <v>0</v>
      </c>
      <c r="E8291">
        <v>0.1</v>
      </c>
      <c r="F8291">
        <f t="shared" si="129"/>
        <v>0.1</v>
      </c>
      <c r="I8291">
        <v>20150701</v>
      </c>
      <c r="J8291" t="s">
        <v>7709</v>
      </c>
    </row>
    <row r="8292" spans="1:11" x14ac:dyDescent="0.3">
      <c r="A8292" s="160">
        <v>62360</v>
      </c>
      <c r="B8292" t="s">
        <v>23367</v>
      </c>
      <c r="C8292" t="s">
        <v>7752</v>
      </c>
      <c r="D8292">
        <v>2</v>
      </c>
      <c r="E8292">
        <v>0</v>
      </c>
      <c r="F8292">
        <f t="shared" si="129"/>
        <v>2</v>
      </c>
      <c r="I8292">
        <v>20220101</v>
      </c>
      <c r="J8292" t="s">
        <v>7826</v>
      </c>
      <c r="K8292" t="s">
        <v>7889</v>
      </c>
    </row>
    <row r="8293" spans="1:11" x14ac:dyDescent="0.3">
      <c r="A8293" s="160">
        <v>62363</v>
      </c>
      <c r="B8293" t="s">
        <v>23368</v>
      </c>
      <c r="C8293" t="s">
        <v>256</v>
      </c>
      <c r="D8293">
        <v>0</v>
      </c>
      <c r="E8293">
        <v>0.1</v>
      </c>
      <c r="F8293">
        <f t="shared" si="129"/>
        <v>0.1</v>
      </c>
      <c r="I8293">
        <v>20150701</v>
      </c>
      <c r="J8293" t="s">
        <v>7841</v>
      </c>
    </row>
    <row r="8294" spans="1:11" x14ac:dyDescent="0.3">
      <c r="A8294" s="160">
        <v>62366</v>
      </c>
      <c r="B8294" t="s">
        <v>23369</v>
      </c>
      <c r="C8294" t="s">
        <v>7673</v>
      </c>
      <c r="D8294">
        <v>1.8</v>
      </c>
      <c r="E8294">
        <v>0</v>
      </c>
      <c r="F8294">
        <f t="shared" si="129"/>
        <v>1.8</v>
      </c>
      <c r="I8294">
        <v>20180701</v>
      </c>
      <c r="J8294" t="s">
        <v>7763</v>
      </c>
    </row>
    <row r="8295" spans="1:11" x14ac:dyDescent="0.3">
      <c r="A8295" s="160">
        <v>62368</v>
      </c>
      <c r="B8295" t="s">
        <v>23370</v>
      </c>
      <c r="C8295" t="s">
        <v>256</v>
      </c>
      <c r="D8295">
        <v>0</v>
      </c>
      <c r="E8295">
        <v>0.1</v>
      </c>
      <c r="F8295">
        <f t="shared" si="129"/>
        <v>0.1</v>
      </c>
      <c r="I8295">
        <v>20150701</v>
      </c>
      <c r="J8295" t="s">
        <v>7890</v>
      </c>
    </row>
    <row r="8296" spans="1:11" x14ac:dyDescent="0.3">
      <c r="A8296" s="160">
        <v>62369</v>
      </c>
      <c r="B8296" t="s">
        <v>23371</v>
      </c>
      <c r="C8296" t="s">
        <v>7677</v>
      </c>
      <c r="D8296">
        <v>1.25</v>
      </c>
      <c r="E8296">
        <v>0</v>
      </c>
      <c r="F8296">
        <f t="shared" si="129"/>
        <v>1.25</v>
      </c>
      <c r="I8296">
        <v>20250101</v>
      </c>
      <c r="J8296" t="s">
        <v>7709</v>
      </c>
    </row>
    <row r="8297" spans="1:11" x14ac:dyDescent="0.3">
      <c r="A8297" s="160">
        <v>62371</v>
      </c>
      <c r="B8297" t="s">
        <v>23372</v>
      </c>
      <c r="C8297" t="s">
        <v>7673</v>
      </c>
      <c r="D8297">
        <v>1.8</v>
      </c>
      <c r="E8297">
        <v>0</v>
      </c>
      <c r="F8297">
        <f t="shared" si="129"/>
        <v>1.8</v>
      </c>
      <c r="I8297">
        <v>20180701</v>
      </c>
      <c r="J8297" t="s">
        <v>7709</v>
      </c>
    </row>
    <row r="8298" spans="1:11" x14ac:dyDescent="0.3">
      <c r="A8298" s="160">
        <v>62373</v>
      </c>
      <c r="B8298" t="s">
        <v>23373</v>
      </c>
      <c r="C8298" t="s">
        <v>7673</v>
      </c>
      <c r="D8298">
        <v>1.8</v>
      </c>
      <c r="E8298">
        <v>0</v>
      </c>
      <c r="F8298">
        <f t="shared" si="129"/>
        <v>1.8</v>
      </c>
      <c r="I8298">
        <v>20180701</v>
      </c>
      <c r="J8298" t="s">
        <v>7701</v>
      </c>
    </row>
    <row r="8299" spans="1:11" x14ac:dyDescent="0.3">
      <c r="A8299" s="160">
        <v>62374</v>
      </c>
      <c r="B8299" t="s">
        <v>23374</v>
      </c>
      <c r="C8299" t="s">
        <v>256</v>
      </c>
      <c r="D8299">
        <v>0</v>
      </c>
      <c r="E8299">
        <v>0.1</v>
      </c>
      <c r="F8299">
        <f t="shared" si="129"/>
        <v>0.1</v>
      </c>
      <c r="I8299">
        <v>20150701</v>
      </c>
      <c r="J8299" t="s">
        <v>7860</v>
      </c>
      <c r="K8299" t="s">
        <v>7882</v>
      </c>
    </row>
    <row r="8300" spans="1:11" x14ac:dyDescent="0.3">
      <c r="A8300" s="160">
        <v>62376</v>
      </c>
      <c r="B8300" t="s">
        <v>23375</v>
      </c>
      <c r="C8300" t="s">
        <v>7673</v>
      </c>
      <c r="D8300">
        <v>1.6</v>
      </c>
      <c r="E8300">
        <v>0</v>
      </c>
      <c r="F8300">
        <f t="shared" si="129"/>
        <v>1.6</v>
      </c>
      <c r="I8300">
        <v>20240101</v>
      </c>
      <c r="J8300" t="s">
        <v>7847</v>
      </c>
    </row>
    <row r="8301" spans="1:11" x14ac:dyDescent="0.3">
      <c r="A8301" s="160">
        <v>62377</v>
      </c>
      <c r="B8301" t="s">
        <v>23376</v>
      </c>
      <c r="C8301" t="s">
        <v>7673</v>
      </c>
      <c r="D8301">
        <v>1.8</v>
      </c>
      <c r="E8301">
        <v>0</v>
      </c>
      <c r="F8301">
        <f t="shared" si="129"/>
        <v>1.8</v>
      </c>
      <c r="I8301">
        <v>20180701</v>
      </c>
      <c r="J8301" t="s">
        <v>7891</v>
      </c>
    </row>
    <row r="8302" spans="1:11" x14ac:dyDescent="0.3">
      <c r="A8302" s="160">
        <v>62378</v>
      </c>
      <c r="B8302" t="s">
        <v>23377</v>
      </c>
      <c r="C8302" t="s">
        <v>256</v>
      </c>
      <c r="D8302">
        <v>0</v>
      </c>
      <c r="E8302">
        <v>0.1</v>
      </c>
      <c r="F8302">
        <f t="shared" si="129"/>
        <v>0.1</v>
      </c>
      <c r="I8302">
        <v>20150701</v>
      </c>
      <c r="J8302" t="s">
        <v>7760</v>
      </c>
    </row>
    <row r="8303" spans="1:11" x14ac:dyDescent="0.3">
      <c r="A8303" s="160">
        <v>62379</v>
      </c>
      <c r="B8303" t="s">
        <v>23378</v>
      </c>
      <c r="C8303" t="s">
        <v>256</v>
      </c>
      <c r="D8303">
        <v>0</v>
      </c>
      <c r="E8303">
        <v>0.1</v>
      </c>
      <c r="F8303">
        <f t="shared" si="129"/>
        <v>0.1</v>
      </c>
      <c r="I8303">
        <v>20150701</v>
      </c>
      <c r="J8303" t="s">
        <v>7760</v>
      </c>
    </row>
    <row r="8304" spans="1:11" x14ac:dyDescent="0.3">
      <c r="A8304" s="160">
        <v>62380</v>
      </c>
      <c r="B8304" t="s">
        <v>23379</v>
      </c>
      <c r="C8304" t="s">
        <v>7673</v>
      </c>
      <c r="D8304">
        <v>1.8</v>
      </c>
      <c r="E8304">
        <v>0</v>
      </c>
      <c r="F8304">
        <f t="shared" si="129"/>
        <v>1.8</v>
      </c>
      <c r="I8304">
        <v>20180701</v>
      </c>
      <c r="J8304" t="s">
        <v>7892</v>
      </c>
    </row>
    <row r="8305" spans="1:13" x14ac:dyDescent="0.3">
      <c r="A8305" s="160">
        <v>62383</v>
      </c>
      <c r="B8305" t="s">
        <v>23380</v>
      </c>
      <c r="C8305" t="s">
        <v>256</v>
      </c>
      <c r="D8305">
        <v>0</v>
      </c>
      <c r="E8305">
        <v>0.1</v>
      </c>
      <c r="F8305">
        <f t="shared" si="129"/>
        <v>0.1</v>
      </c>
      <c r="I8305">
        <v>20150701</v>
      </c>
      <c r="J8305" t="s">
        <v>7857</v>
      </c>
    </row>
    <row r="8306" spans="1:13" x14ac:dyDescent="0.3">
      <c r="A8306" s="160">
        <v>62385</v>
      </c>
      <c r="B8306" t="s">
        <v>23381</v>
      </c>
      <c r="C8306" t="s">
        <v>256</v>
      </c>
      <c r="D8306">
        <v>0</v>
      </c>
      <c r="E8306">
        <v>0.1</v>
      </c>
      <c r="F8306">
        <f t="shared" si="129"/>
        <v>0.1</v>
      </c>
      <c r="I8306">
        <v>20150701</v>
      </c>
      <c r="J8306" t="s">
        <v>7765</v>
      </c>
    </row>
    <row r="8307" spans="1:13" x14ac:dyDescent="0.3">
      <c r="A8307" s="160">
        <v>62386</v>
      </c>
      <c r="B8307" t="s">
        <v>23382</v>
      </c>
      <c r="C8307" t="s">
        <v>7673</v>
      </c>
      <c r="D8307">
        <v>1.8</v>
      </c>
      <c r="E8307">
        <v>0</v>
      </c>
      <c r="F8307">
        <f t="shared" si="129"/>
        <v>1.8</v>
      </c>
      <c r="I8307">
        <v>20180701</v>
      </c>
      <c r="J8307" t="s">
        <v>7691</v>
      </c>
    </row>
    <row r="8308" spans="1:13" x14ac:dyDescent="0.3">
      <c r="A8308" s="160">
        <v>62390</v>
      </c>
      <c r="B8308" t="s">
        <v>23383</v>
      </c>
      <c r="C8308" t="s">
        <v>7689</v>
      </c>
      <c r="D8308">
        <v>0.8</v>
      </c>
      <c r="E8308">
        <v>0.1</v>
      </c>
      <c r="F8308">
        <f t="shared" si="129"/>
        <v>0.9</v>
      </c>
      <c r="I8308">
        <v>20240101</v>
      </c>
      <c r="J8308" t="s">
        <v>7773</v>
      </c>
      <c r="K8308" t="s">
        <v>7775</v>
      </c>
      <c r="L8308" t="s">
        <v>7776</v>
      </c>
      <c r="M8308" t="s">
        <v>7777</v>
      </c>
    </row>
    <row r="8309" spans="1:13" x14ac:dyDescent="0.3">
      <c r="A8309" s="160">
        <v>62391</v>
      </c>
      <c r="B8309" t="s">
        <v>23384</v>
      </c>
      <c r="C8309" t="s">
        <v>7673</v>
      </c>
      <c r="D8309">
        <v>1.6</v>
      </c>
      <c r="E8309">
        <v>0</v>
      </c>
      <c r="F8309">
        <f t="shared" si="129"/>
        <v>1.6</v>
      </c>
      <c r="I8309">
        <v>20240101</v>
      </c>
      <c r="J8309" t="s">
        <v>7893</v>
      </c>
    </row>
    <row r="8310" spans="1:13" x14ac:dyDescent="0.3">
      <c r="A8310" s="160">
        <v>62392</v>
      </c>
      <c r="B8310" t="s">
        <v>23385</v>
      </c>
      <c r="C8310" t="s">
        <v>7677</v>
      </c>
      <c r="D8310">
        <v>1.25</v>
      </c>
      <c r="E8310">
        <v>0</v>
      </c>
      <c r="F8310">
        <f t="shared" si="129"/>
        <v>1.25</v>
      </c>
      <c r="I8310">
        <v>20250101</v>
      </c>
      <c r="J8310" t="s">
        <v>7801</v>
      </c>
    </row>
    <row r="8311" spans="1:13" x14ac:dyDescent="0.3">
      <c r="A8311" s="160">
        <v>62393</v>
      </c>
      <c r="B8311" t="s">
        <v>23386</v>
      </c>
      <c r="C8311" t="s">
        <v>256</v>
      </c>
      <c r="D8311">
        <v>0</v>
      </c>
      <c r="E8311">
        <v>0.1</v>
      </c>
      <c r="F8311">
        <f t="shared" si="129"/>
        <v>0.1</v>
      </c>
      <c r="I8311">
        <v>20150701</v>
      </c>
      <c r="J8311" t="s">
        <v>7894</v>
      </c>
    </row>
    <row r="8312" spans="1:13" x14ac:dyDescent="0.3">
      <c r="A8312" s="160">
        <v>62397</v>
      </c>
      <c r="B8312" t="s">
        <v>23387</v>
      </c>
      <c r="C8312" t="s">
        <v>7752</v>
      </c>
      <c r="D8312">
        <v>2</v>
      </c>
      <c r="E8312">
        <v>0</v>
      </c>
      <c r="F8312">
        <f t="shared" si="129"/>
        <v>2</v>
      </c>
      <c r="I8312">
        <v>20150701</v>
      </c>
      <c r="J8312" t="s">
        <v>7697</v>
      </c>
    </row>
    <row r="8313" spans="1:13" x14ac:dyDescent="0.3">
      <c r="A8313" s="160">
        <v>62399</v>
      </c>
      <c r="B8313" t="s">
        <v>23388</v>
      </c>
      <c r="C8313" t="s">
        <v>256</v>
      </c>
      <c r="D8313">
        <v>0</v>
      </c>
      <c r="E8313">
        <v>0.1</v>
      </c>
      <c r="F8313">
        <f t="shared" si="129"/>
        <v>0.1</v>
      </c>
      <c r="I8313">
        <v>20150701</v>
      </c>
      <c r="J8313" t="s">
        <v>7760</v>
      </c>
    </row>
    <row r="8314" spans="1:13" x14ac:dyDescent="0.3">
      <c r="A8314" s="160">
        <v>62400</v>
      </c>
      <c r="B8314" t="s">
        <v>23389</v>
      </c>
      <c r="C8314" t="s">
        <v>7673</v>
      </c>
      <c r="D8314">
        <v>1.8</v>
      </c>
      <c r="E8314">
        <v>0</v>
      </c>
      <c r="F8314">
        <f t="shared" si="129"/>
        <v>1.8</v>
      </c>
      <c r="I8314">
        <v>20180701</v>
      </c>
      <c r="J8314" t="s">
        <v>7895</v>
      </c>
    </row>
    <row r="8315" spans="1:13" x14ac:dyDescent="0.3">
      <c r="A8315" s="160">
        <v>62401</v>
      </c>
      <c r="B8315" t="s">
        <v>23390</v>
      </c>
      <c r="C8315" t="s">
        <v>7673</v>
      </c>
      <c r="D8315">
        <v>1.8</v>
      </c>
      <c r="E8315">
        <v>0</v>
      </c>
      <c r="F8315">
        <f t="shared" si="129"/>
        <v>1.8</v>
      </c>
      <c r="I8315">
        <v>20180701</v>
      </c>
      <c r="J8315" t="s">
        <v>7755</v>
      </c>
      <c r="K8315" t="s">
        <v>7756</v>
      </c>
    </row>
    <row r="8316" spans="1:13" x14ac:dyDescent="0.3">
      <c r="A8316" s="160">
        <v>62402</v>
      </c>
      <c r="B8316" t="s">
        <v>23391</v>
      </c>
      <c r="C8316" t="s">
        <v>256</v>
      </c>
      <c r="D8316">
        <v>0</v>
      </c>
      <c r="E8316">
        <v>0.1</v>
      </c>
      <c r="F8316">
        <f t="shared" si="129"/>
        <v>0.1</v>
      </c>
      <c r="I8316">
        <v>20150701</v>
      </c>
      <c r="J8316" t="s">
        <v>7843</v>
      </c>
    </row>
    <row r="8317" spans="1:13" x14ac:dyDescent="0.3">
      <c r="A8317" s="160">
        <v>62403</v>
      </c>
      <c r="B8317" t="s">
        <v>23392</v>
      </c>
      <c r="C8317" t="s">
        <v>7684</v>
      </c>
      <c r="D8317">
        <v>0.7</v>
      </c>
      <c r="E8317">
        <v>0.1</v>
      </c>
      <c r="F8317">
        <f t="shared" si="129"/>
        <v>0.79999999999999993</v>
      </c>
      <c r="I8317">
        <v>20230701</v>
      </c>
      <c r="J8317" t="s">
        <v>7710</v>
      </c>
      <c r="K8317" t="s">
        <v>7896</v>
      </c>
    </row>
    <row r="8318" spans="1:13" x14ac:dyDescent="0.3">
      <c r="A8318" s="160">
        <v>62406</v>
      </c>
      <c r="B8318" t="s">
        <v>23393</v>
      </c>
      <c r="C8318" t="s">
        <v>256</v>
      </c>
      <c r="D8318">
        <v>0</v>
      </c>
      <c r="E8318">
        <v>0.1</v>
      </c>
      <c r="F8318">
        <f t="shared" si="129"/>
        <v>0.1</v>
      </c>
      <c r="I8318">
        <v>20150701</v>
      </c>
      <c r="J8318" t="s">
        <v>7860</v>
      </c>
    </row>
    <row r="8319" spans="1:13" x14ac:dyDescent="0.3">
      <c r="A8319" s="160">
        <v>62407</v>
      </c>
      <c r="B8319" t="s">
        <v>23394</v>
      </c>
      <c r="C8319" t="s">
        <v>7673</v>
      </c>
      <c r="D8319">
        <v>1.6</v>
      </c>
      <c r="E8319">
        <v>0</v>
      </c>
      <c r="F8319">
        <f t="shared" si="129"/>
        <v>1.6</v>
      </c>
      <c r="I8319">
        <v>20240101</v>
      </c>
      <c r="J8319" t="s">
        <v>7695</v>
      </c>
    </row>
    <row r="8320" spans="1:13" x14ac:dyDescent="0.3">
      <c r="A8320" s="160">
        <v>62408</v>
      </c>
      <c r="B8320" t="s">
        <v>23395</v>
      </c>
      <c r="C8320" t="s">
        <v>7752</v>
      </c>
      <c r="D8320">
        <v>2</v>
      </c>
      <c r="E8320">
        <v>0</v>
      </c>
      <c r="F8320">
        <f t="shared" si="129"/>
        <v>2</v>
      </c>
      <c r="I8320">
        <v>20220101</v>
      </c>
      <c r="J8320" t="s">
        <v>7697</v>
      </c>
    </row>
    <row r="8321" spans="1:18" x14ac:dyDescent="0.3">
      <c r="A8321" s="160">
        <v>62409</v>
      </c>
      <c r="B8321" t="s">
        <v>23396</v>
      </c>
      <c r="C8321" t="s">
        <v>256</v>
      </c>
      <c r="D8321">
        <v>0</v>
      </c>
      <c r="E8321">
        <v>0.1</v>
      </c>
      <c r="F8321">
        <f t="shared" si="129"/>
        <v>0.1</v>
      </c>
      <c r="I8321">
        <v>20150701</v>
      </c>
      <c r="J8321" t="s">
        <v>7793</v>
      </c>
    </row>
    <row r="8322" spans="1:18" x14ac:dyDescent="0.3">
      <c r="A8322" s="160">
        <v>62413</v>
      </c>
      <c r="B8322" t="s">
        <v>23397</v>
      </c>
      <c r="C8322" t="s">
        <v>7673</v>
      </c>
      <c r="D8322">
        <v>1.8</v>
      </c>
      <c r="E8322">
        <v>0</v>
      </c>
      <c r="F8322">
        <f t="shared" si="129"/>
        <v>1.8</v>
      </c>
      <c r="I8322">
        <v>20180701</v>
      </c>
      <c r="J8322" t="s">
        <v>7897</v>
      </c>
    </row>
    <row r="8323" spans="1:18" x14ac:dyDescent="0.3">
      <c r="A8323" s="160">
        <v>62414</v>
      </c>
      <c r="B8323" t="s">
        <v>22698</v>
      </c>
      <c r="C8323" t="s">
        <v>256</v>
      </c>
      <c r="D8323">
        <v>0</v>
      </c>
      <c r="E8323">
        <v>0.1</v>
      </c>
      <c r="F8323">
        <f t="shared" si="129"/>
        <v>0.1</v>
      </c>
      <c r="I8323">
        <v>20150701</v>
      </c>
      <c r="J8323" t="s">
        <v>7802</v>
      </c>
    </row>
    <row r="8324" spans="1:18" x14ac:dyDescent="0.3">
      <c r="A8324" s="160">
        <v>62415</v>
      </c>
      <c r="B8324" t="s">
        <v>23398</v>
      </c>
      <c r="C8324" t="s">
        <v>256</v>
      </c>
      <c r="D8324">
        <v>0</v>
      </c>
      <c r="E8324">
        <v>0.1</v>
      </c>
      <c r="F8324">
        <f t="shared" si="129"/>
        <v>0.1</v>
      </c>
      <c r="I8324">
        <v>20150701</v>
      </c>
      <c r="J8324" t="s">
        <v>7681</v>
      </c>
    </row>
    <row r="8325" spans="1:18" x14ac:dyDescent="0.3">
      <c r="A8325" s="160">
        <v>62418</v>
      </c>
      <c r="B8325" t="s">
        <v>15482</v>
      </c>
      <c r="C8325" t="s">
        <v>256</v>
      </c>
      <c r="D8325">
        <v>0</v>
      </c>
      <c r="E8325">
        <v>0.1</v>
      </c>
      <c r="F8325">
        <f t="shared" si="129"/>
        <v>0.1</v>
      </c>
      <c r="I8325">
        <v>20150701</v>
      </c>
      <c r="J8325" t="s">
        <v>7765</v>
      </c>
    </row>
    <row r="8326" spans="1:18" x14ac:dyDescent="0.3">
      <c r="A8326" s="160">
        <v>62423</v>
      </c>
      <c r="B8326" t="s">
        <v>23399</v>
      </c>
      <c r="C8326" t="s">
        <v>7684</v>
      </c>
      <c r="D8326">
        <v>0.7</v>
      </c>
      <c r="E8326">
        <v>0.1</v>
      </c>
      <c r="F8326">
        <f t="shared" si="129"/>
        <v>0.79999999999999993</v>
      </c>
      <c r="I8326">
        <v>20230701</v>
      </c>
      <c r="J8326" t="s">
        <v>7710</v>
      </c>
      <c r="K8326" t="s">
        <v>7799</v>
      </c>
      <c r="L8326" t="s">
        <v>7711</v>
      </c>
      <c r="M8326" t="s">
        <v>7896</v>
      </c>
    </row>
    <row r="8327" spans="1:18" x14ac:dyDescent="0.3">
      <c r="A8327" s="160">
        <v>62425</v>
      </c>
      <c r="B8327" t="s">
        <v>23400</v>
      </c>
      <c r="C8327" t="s">
        <v>256</v>
      </c>
      <c r="D8327">
        <v>0</v>
      </c>
      <c r="E8327">
        <v>0.1</v>
      </c>
      <c r="F8327">
        <f t="shared" ref="F8327:F8390" si="130">D8327+E8327</f>
        <v>0.1</v>
      </c>
      <c r="I8327">
        <v>20150701</v>
      </c>
      <c r="J8327" t="s">
        <v>7803</v>
      </c>
    </row>
    <row r="8328" spans="1:18" x14ac:dyDescent="0.3">
      <c r="A8328" s="160">
        <v>62426</v>
      </c>
      <c r="B8328" t="s">
        <v>23401</v>
      </c>
      <c r="C8328" t="s">
        <v>7677</v>
      </c>
      <c r="D8328">
        <v>1.25</v>
      </c>
      <c r="E8328">
        <v>0</v>
      </c>
      <c r="F8328">
        <f t="shared" si="130"/>
        <v>1.25</v>
      </c>
      <c r="I8328">
        <v>20250101</v>
      </c>
      <c r="J8328" t="s">
        <v>7801</v>
      </c>
    </row>
    <row r="8329" spans="1:18" x14ac:dyDescent="0.3">
      <c r="A8329" s="160">
        <v>62427</v>
      </c>
      <c r="B8329" t="s">
        <v>23402</v>
      </c>
      <c r="C8329" t="s">
        <v>7673</v>
      </c>
      <c r="D8329">
        <v>1.8</v>
      </c>
      <c r="E8329">
        <v>0</v>
      </c>
      <c r="F8329">
        <f t="shared" si="130"/>
        <v>1.8</v>
      </c>
      <c r="I8329">
        <v>20180701</v>
      </c>
      <c r="J8329" t="s">
        <v>7898</v>
      </c>
      <c r="K8329" t="s">
        <v>7861</v>
      </c>
      <c r="L8329" t="s">
        <v>7862</v>
      </c>
      <c r="M8329" t="s">
        <v>7863</v>
      </c>
      <c r="N8329" t="s">
        <v>7864</v>
      </c>
      <c r="O8329" t="s">
        <v>7899</v>
      </c>
      <c r="P8329" t="s">
        <v>7900</v>
      </c>
      <c r="Q8329" t="s">
        <v>7901</v>
      </c>
      <c r="R8329" t="s">
        <v>7902</v>
      </c>
    </row>
    <row r="8330" spans="1:18" x14ac:dyDescent="0.3">
      <c r="A8330" s="160">
        <v>62428</v>
      </c>
      <c r="B8330" t="s">
        <v>23403</v>
      </c>
      <c r="C8330" t="s">
        <v>7677</v>
      </c>
      <c r="D8330">
        <v>1.25</v>
      </c>
      <c r="E8330">
        <v>0</v>
      </c>
      <c r="F8330">
        <f t="shared" si="130"/>
        <v>1.25</v>
      </c>
      <c r="I8330">
        <v>20250101</v>
      </c>
      <c r="J8330" t="s">
        <v>7801</v>
      </c>
    </row>
    <row r="8331" spans="1:18" x14ac:dyDescent="0.3">
      <c r="A8331" s="160">
        <v>62429</v>
      </c>
      <c r="B8331" t="s">
        <v>23404</v>
      </c>
      <c r="C8331" t="s">
        <v>256</v>
      </c>
      <c r="D8331">
        <v>0</v>
      </c>
      <c r="E8331">
        <v>0.1</v>
      </c>
      <c r="F8331">
        <f t="shared" si="130"/>
        <v>0.1</v>
      </c>
      <c r="I8331">
        <v>20150701</v>
      </c>
      <c r="J8331" t="s">
        <v>7692</v>
      </c>
    </row>
    <row r="8332" spans="1:18" x14ac:dyDescent="0.3">
      <c r="A8332" s="160">
        <v>62431</v>
      </c>
      <c r="B8332" t="s">
        <v>23405</v>
      </c>
      <c r="C8332" t="s">
        <v>7684</v>
      </c>
      <c r="D8332">
        <v>0.7</v>
      </c>
      <c r="E8332">
        <v>0</v>
      </c>
      <c r="F8332">
        <f t="shared" si="130"/>
        <v>0.7</v>
      </c>
      <c r="I8332">
        <v>20190701</v>
      </c>
      <c r="J8332" t="s">
        <v>7848</v>
      </c>
    </row>
    <row r="8333" spans="1:18" x14ac:dyDescent="0.3">
      <c r="A8333" s="160">
        <v>62434</v>
      </c>
      <c r="B8333" t="s">
        <v>23406</v>
      </c>
      <c r="C8333" t="s">
        <v>256</v>
      </c>
      <c r="D8333">
        <v>0</v>
      </c>
      <c r="E8333">
        <v>0.1</v>
      </c>
      <c r="F8333">
        <f t="shared" si="130"/>
        <v>0.1</v>
      </c>
      <c r="I8333">
        <v>20150701</v>
      </c>
      <c r="J8333" t="s">
        <v>7766</v>
      </c>
    </row>
    <row r="8334" spans="1:18" x14ac:dyDescent="0.3">
      <c r="A8334" s="160">
        <v>62438</v>
      </c>
      <c r="B8334" t="s">
        <v>23407</v>
      </c>
      <c r="C8334" t="s">
        <v>256</v>
      </c>
      <c r="D8334">
        <v>0</v>
      </c>
      <c r="E8334">
        <v>0.1</v>
      </c>
      <c r="F8334">
        <f t="shared" si="130"/>
        <v>0.1</v>
      </c>
      <c r="I8334">
        <v>20150701</v>
      </c>
      <c r="J8334" t="s">
        <v>7841</v>
      </c>
    </row>
    <row r="8335" spans="1:18" x14ac:dyDescent="0.3">
      <c r="A8335" s="160">
        <v>62439</v>
      </c>
      <c r="B8335" t="s">
        <v>23408</v>
      </c>
      <c r="C8335" t="s">
        <v>256</v>
      </c>
      <c r="D8335">
        <v>0</v>
      </c>
      <c r="E8335">
        <v>0.1</v>
      </c>
      <c r="F8335">
        <f t="shared" si="130"/>
        <v>0.1</v>
      </c>
      <c r="I8335">
        <v>20150701</v>
      </c>
      <c r="J8335" t="s">
        <v>7903</v>
      </c>
    </row>
    <row r="8336" spans="1:18" x14ac:dyDescent="0.3">
      <c r="A8336" s="160">
        <v>62441</v>
      </c>
      <c r="B8336" t="s">
        <v>23409</v>
      </c>
      <c r="C8336" t="s">
        <v>7673</v>
      </c>
      <c r="D8336">
        <v>1.8</v>
      </c>
      <c r="E8336">
        <v>0</v>
      </c>
      <c r="F8336">
        <f t="shared" si="130"/>
        <v>1.8</v>
      </c>
      <c r="I8336">
        <v>20180701</v>
      </c>
      <c r="J8336" t="s">
        <v>7763</v>
      </c>
    </row>
    <row r="8337" spans="1:12" x14ac:dyDescent="0.3">
      <c r="A8337" s="160">
        <v>62443</v>
      </c>
      <c r="B8337" t="s">
        <v>23410</v>
      </c>
      <c r="C8337" t="s">
        <v>7673</v>
      </c>
      <c r="D8337">
        <v>1.8</v>
      </c>
      <c r="E8337">
        <v>0</v>
      </c>
      <c r="F8337">
        <f t="shared" si="130"/>
        <v>1.8</v>
      </c>
      <c r="I8337">
        <v>20180701</v>
      </c>
      <c r="J8337" t="s">
        <v>7892</v>
      </c>
    </row>
    <row r="8338" spans="1:12" x14ac:dyDescent="0.3">
      <c r="A8338" s="160">
        <v>62444</v>
      </c>
      <c r="B8338" t="s">
        <v>23411</v>
      </c>
      <c r="C8338" t="s">
        <v>256</v>
      </c>
      <c r="D8338">
        <v>0</v>
      </c>
      <c r="E8338">
        <v>0.1</v>
      </c>
      <c r="F8338">
        <f t="shared" si="130"/>
        <v>0.1</v>
      </c>
      <c r="I8338">
        <v>20150701</v>
      </c>
      <c r="J8338" t="s">
        <v>7883</v>
      </c>
    </row>
    <row r="8339" spans="1:12" x14ac:dyDescent="0.3">
      <c r="A8339" s="160">
        <v>62445</v>
      </c>
      <c r="B8339" t="s">
        <v>23412</v>
      </c>
      <c r="C8339" t="s">
        <v>7673</v>
      </c>
      <c r="D8339">
        <v>1.8</v>
      </c>
      <c r="E8339">
        <v>0</v>
      </c>
      <c r="F8339">
        <f t="shared" si="130"/>
        <v>1.8</v>
      </c>
      <c r="I8339">
        <v>20180701</v>
      </c>
      <c r="J8339" t="s">
        <v>7904</v>
      </c>
    </row>
    <row r="8340" spans="1:12" x14ac:dyDescent="0.3">
      <c r="A8340" s="160">
        <v>62446</v>
      </c>
      <c r="B8340" t="s">
        <v>23413</v>
      </c>
      <c r="C8340" t="s">
        <v>7761</v>
      </c>
      <c r="D8340">
        <v>1.25</v>
      </c>
      <c r="E8340">
        <v>0</v>
      </c>
      <c r="F8340">
        <f t="shared" si="130"/>
        <v>1.25</v>
      </c>
      <c r="I8340">
        <v>20120101</v>
      </c>
      <c r="J8340" t="s">
        <v>7762</v>
      </c>
    </row>
    <row r="8341" spans="1:12" x14ac:dyDescent="0.3">
      <c r="A8341" s="160">
        <v>62448</v>
      </c>
      <c r="B8341" t="s">
        <v>23414</v>
      </c>
      <c r="C8341" t="s">
        <v>7761</v>
      </c>
      <c r="D8341">
        <v>1.25</v>
      </c>
      <c r="E8341">
        <v>0</v>
      </c>
      <c r="F8341">
        <f t="shared" si="130"/>
        <v>1.25</v>
      </c>
      <c r="I8341">
        <v>20120101</v>
      </c>
      <c r="J8341" t="s">
        <v>7762</v>
      </c>
    </row>
    <row r="8342" spans="1:12" x14ac:dyDescent="0.3">
      <c r="A8342" s="160">
        <v>62452</v>
      </c>
      <c r="B8342" t="s">
        <v>23415</v>
      </c>
      <c r="C8342" t="s">
        <v>7684</v>
      </c>
      <c r="D8342">
        <v>0.7</v>
      </c>
      <c r="E8342">
        <v>0.1</v>
      </c>
      <c r="F8342">
        <f t="shared" si="130"/>
        <v>0.79999999999999993</v>
      </c>
      <c r="I8342">
        <v>20230701</v>
      </c>
      <c r="J8342" t="s">
        <v>7797</v>
      </c>
      <c r="K8342" t="s">
        <v>7798</v>
      </c>
      <c r="L8342" t="s">
        <v>7800</v>
      </c>
    </row>
    <row r="8343" spans="1:12" x14ac:dyDescent="0.3">
      <c r="A8343" s="160">
        <v>62454</v>
      </c>
      <c r="B8343" t="s">
        <v>23416</v>
      </c>
      <c r="C8343" t="s">
        <v>7673</v>
      </c>
      <c r="D8343">
        <v>1.8</v>
      </c>
      <c r="E8343">
        <v>0</v>
      </c>
      <c r="F8343">
        <f t="shared" si="130"/>
        <v>1.8</v>
      </c>
      <c r="I8343">
        <v>20180701</v>
      </c>
      <c r="J8343" t="s">
        <v>7702</v>
      </c>
    </row>
    <row r="8344" spans="1:12" x14ac:dyDescent="0.3">
      <c r="A8344" s="160">
        <v>62456</v>
      </c>
      <c r="B8344" t="s">
        <v>23417</v>
      </c>
      <c r="C8344" t="s">
        <v>7673</v>
      </c>
      <c r="D8344">
        <v>1.8</v>
      </c>
      <c r="E8344">
        <v>0</v>
      </c>
      <c r="F8344">
        <f t="shared" si="130"/>
        <v>1.8</v>
      </c>
      <c r="I8344">
        <v>20180701</v>
      </c>
      <c r="J8344" t="s">
        <v>7764</v>
      </c>
    </row>
    <row r="8345" spans="1:12" x14ac:dyDescent="0.3">
      <c r="A8345" s="160">
        <v>62457</v>
      </c>
      <c r="B8345" t="s">
        <v>23418</v>
      </c>
      <c r="C8345" t="s">
        <v>7673</v>
      </c>
      <c r="D8345">
        <v>1.8</v>
      </c>
      <c r="E8345">
        <v>0</v>
      </c>
      <c r="F8345">
        <f t="shared" si="130"/>
        <v>1.8</v>
      </c>
      <c r="I8345">
        <v>20180701</v>
      </c>
      <c r="J8345" t="s">
        <v>7763</v>
      </c>
    </row>
    <row r="8346" spans="1:12" x14ac:dyDescent="0.3">
      <c r="A8346" s="160">
        <v>62458</v>
      </c>
      <c r="B8346" t="s">
        <v>23419</v>
      </c>
      <c r="C8346" t="s">
        <v>7684</v>
      </c>
      <c r="D8346">
        <v>0.7</v>
      </c>
      <c r="E8346">
        <v>0.1</v>
      </c>
      <c r="F8346">
        <f t="shared" si="130"/>
        <v>0.79999999999999993</v>
      </c>
      <c r="I8346">
        <v>20230701</v>
      </c>
      <c r="J8346" t="s">
        <v>7767</v>
      </c>
    </row>
    <row r="8347" spans="1:12" x14ac:dyDescent="0.3">
      <c r="A8347" s="160">
        <v>62460</v>
      </c>
      <c r="B8347" t="s">
        <v>23420</v>
      </c>
      <c r="C8347" t="s">
        <v>7689</v>
      </c>
      <c r="D8347">
        <v>0.8</v>
      </c>
      <c r="E8347">
        <v>0.1</v>
      </c>
      <c r="F8347">
        <f t="shared" si="130"/>
        <v>0.9</v>
      </c>
      <c r="I8347">
        <v>20220101</v>
      </c>
      <c r="J8347" t="s">
        <v>7858</v>
      </c>
    </row>
    <row r="8348" spans="1:12" x14ac:dyDescent="0.3">
      <c r="A8348" s="160">
        <v>62464</v>
      </c>
      <c r="B8348" t="s">
        <v>23421</v>
      </c>
      <c r="C8348" t="s">
        <v>7673</v>
      </c>
      <c r="D8348">
        <v>1.8</v>
      </c>
      <c r="E8348">
        <v>0</v>
      </c>
      <c r="F8348">
        <f t="shared" si="130"/>
        <v>1.8</v>
      </c>
      <c r="I8348">
        <v>20180701</v>
      </c>
      <c r="J8348" t="s">
        <v>7772</v>
      </c>
    </row>
    <row r="8349" spans="1:12" x14ac:dyDescent="0.3">
      <c r="A8349" s="160">
        <v>62465</v>
      </c>
      <c r="B8349" t="s">
        <v>23422</v>
      </c>
      <c r="C8349" t="s">
        <v>256</v>
      </c>
      <c r="D8349">
        <v>0</v>
      </c>
      <c r="E8349">
        <v>0.1</v>
      </c>
      <c r="F8349">
        <f t="shared" si="130"/>
        <v>0.1</v>
      </c>
      <c r="I8349">
        <v>20150701</v>
      </c>
      <c r="J8349" t="s">
        <v>7766</v>
      </c>
    </row>
    <row r="8350" spans="1:12" x14ac:dyDescent="0.3">
      <c r="A8350" s="160">
        <v>62471</v>
      </c>
      <c r="B8350" t="s">
        <v>23423</v>
      </c>
      <c r="C8350" t="s">
        <v>7684</v>
      </c>
      <c r="D8350">
        <v>0.7</v>
      </c>
      <c r="E8350">
        <v>0.1</v>
      </c>
      <c r="F8350">
        <f t="shared" si="130"/>
        <v>0.79999999999999993</v>
      </c>
      <c r="I8350">
        <v>20230701</v>
      </c>
      <c r="J8350" t="s">
        <v>7848</v>
      </c>
    </row>
    <row r="8351" spans="1:12" x14ac:dyDescent="0.3">
      <c r="A8351" s="160">
        <v>62472</v>
      </c>
      <c r="B8351" t="s">
        <v>23424</v>
      </c>
      <c r="C8351" t="s">
        <v>7689</v>
      </c>
      <c r="D8351">
        <v>0.8</v>
      </c>
      <c r="E8351">
        <v>0</v>
      </c>
      <c r="F8351">
        <f t="shared" si="130"/>
        <v>0.8</v>
      </c>
      <c r="I8351">
        <v>20220101</v>
      </c>
      <c r="J8351" t="s">
        <v>7754</v>
      </c>
    </row>
    <row r="8352" spans="1:12" x14ac:dyDescent="0.3">
      <c r="A8352" s="160">
        <v>62473</v>
      </c>
      <c r="B8352" t="s">
        <v>23425</v>
      </c>
      <c r="C8352" t="s">
        <v>7673</v>
      </c>
      <c r="D8352">
        <v>1.6</v>
      </c>
      <c r="E8352">
        <v>0</v>
      </c>
      <c r="F8352">
        <f t="shared" si="130"/>
        <v>1.6</v>
      </c>
      <c r="I8352">
        <v>20240101</v>
      </c>
      <c r="J8352" t="s">
        <v>7893</v>
      </c>
    </row>
    <row r="8353" spans="1:23" x14ac:dyDescent="0.3">
      <c r="A8353" s="160">
        <v>62474</v>
      </c>
      <c r="B8353" t="s">
        <v>23426</v>
      </c>
      <c r="C8353" t="s">
        <v>7761</v>
      </c>
      <c r="D8353">
        <v>1.25</v>
      </c>
      <c r="E8353">
        <v>0</v>
      </c>
      <c r="F8353">
        <f t="shared" si="130"/>
        <v>1.25</v>
      </c>
      <c r="I8353">
        <v>20120101</v>
      </c>
      <c r="J8353" t="s">
        <v>7811</v>
      </c>
      <c r="K8353" t="s">
        <v>7762</v>
      </c>
    </row>
    <row r="8354" spans="1:23" x14ac:dyDescent="0.3">
      <c r="A8354" s="160">
        <v>62476</v>
      </c>
      <c r="B8354" t="s">
        <v>23427</v>
      </c>
      <c r="C8354" t="s">
        <v>256</v>
      </c>
      <c r="D8354">
        <v>0</v>
      </c>
      <c r="E8354">
        <v>0.1</v>
      </c>
      <c r="F8354">
        <f t="shared" si="130"/>
        <v>0.1</v>
      </c>
      <c r="I8354">
        <v>20150701</v>
      </c>
      <c r="J8354" t="s">
        <v>7771</v>
      </c>
    </row>
    <row r="8355" spans="1:23" x14ac:dyDescent="0.3">
      <c r="A8355" s="160">
        <v>62477</v>
      </c>
      <c r="B8355" t="s">
        <v>23428</v>
      </c>
      <c r="C8355" t="s">
        <v>256</v>
      </c>
      <c r="D8355">
        <v>0</v>
      </c>
      <c r="E8355">
        <v>0.1</v>
      </c>
      <c r="F8355">
        <f t="shared" si="130"/>
        <v>0.1</v>
      </c>
      <c r="I8355">
        <v>20150701</v>
      </c>
      <c r="J8355" t="s">
        <v>7841</v>
      </c>
    </row>
    <row r="8356" spans="1:23" x14ac:dyDescent="0.3">
      <c r="A8356" s="160">
        <v>62479</v>
      </c>
      <c r="B8356" t="s">
        <v>23429</v>
      </c>
      <c r="C8356" t="s">
        <v>7673</v>
      </c>
      <c r="D8356">
        <v>1.8</v>
      </c>
      <c r="E8356">
        <v>0</v>
      </c>
      <c r="F8356">
        <f t="shared" si="130"/>
        <v>1.8</v>
      </c>
      <c r="I8356">
        <v>20180701</v>
      </c>
      <c r="J8356" t="s">
        <v>7905</v>
      </c>
    </row>
    <row r="8357" spans="1:23" x14ac:dyDescent="0.3">
      <c r="A8357" s="160">
        <v>62480</v>
      </c>
      <c r="B8357" t="s">
        <v>23430</v>
      </c>
      <c r="C8357" t="s">
        <v>7673</v>
      </c>
      <c r="D8357">
        <v>1.8</v>
      </c>
      <c r="E8357">
        <v>0</v>
      </c>
      <c r="F8357">
        <f t="shared" si="130"/>
        <v>1.8</v>
      </c>
      <c r="I8357">
        <v>20180701</v>
      </c>
      <c r="J8357" t="s">
        <v>7906</v>
      </c>
    </row>
    <row r="8358" spans="1:23" x14ac:dyDescent="0.3">
      <c r="A8358" s="160">
        <v>62483</v>
      </c>
      <c r="B8358" t="s">
        <v>23431</v>
      </c>
      <c r="C8358" t="s">
        <v>256</v>
      </c>
      <c r="D8358">
        <v>0</v>
      </c>
      <c r="E8358">
        <v>0.1</v>
      </c>
      <c r="F8358">
        <f t="shared" si="130"/>
        <v>0.1</v>
      </c>
      <c r="I8358">
        <v>20150701</v>
      </c>
      <c r="J8358" t="s">
        <v>7843</v>
      </c>
    </row>
    <row r="8359" spans="1:23" x14ac:dyDescent="0.3">
      <c r="A8359" s="160">
        <v>62485</v>
      </c>
      <c r="B8359" t="s">
        <v>23432</v>
      </c>
      <c r="C8359" t="s">
        <v>7684</v>
      </c>
      <c r="D8359">
        <v>0.7</v>
      </c>
      <c r="E8359">
        <v>0.1</v>
      </c>
      <c r="F8359">
        <f t="shared" si="130"/>
        <v>0.79999999999999993</v>
      </c>
      <c r="I8359">
        <v>20230701</v>
      </c>
      <c r="J8359" t="s">
        <v>7769</v>
      </c>
    </row>
    <row r="8360" spans="1:23" x14ac:dyDescent="0.3">
      <c r="A8360" s="160">
        <v>62486</v>
      </c>
      <c r="B8360" t="s">
        <v>23433</v>
      </c>
      <c r="C8360" t="s">
        <v>7673</v>
      </c>
      <c r="D8360">
        <v>1.6</v>
      </c>
      <c r="E8360">
        <v>0</v>
      </c>
      <c r="F8360">
        <f t="shared" si="130"/>
        <v>1.6</v>
      </c>
      <c r="I8360">
        <v>20240101</v>
      </c>
      <c r="J8360" t="s">
        <v>7685</v>
      </c>
      <c r="K8360" t="s">
        <v>7686</v>
      </c>
      <c r="L8360" t="s">
        <v>7687</v>
      </c>
    </row>
    <row r="8361" spans="1:23" x14ac:dyDescent="0.3">
      <c r="A8361" s="160">
        <v>62488</v>
      </c>
      <c r="B8361" t="s">
        <v>23434</v>
      </c>
      <c r="C8361" t="s">
        <v>256</v>
      </c>
      <c r="D8361">
        <v>0</v>
      </c>
      <c r="E8361">
        <v>0.1</v>
      </c>
      <c r="F8361">
        <f t="shared" si="130"/>
        <v>0.1</v>
      </c>
      <c r="I8361">
        <v>20150701</v>
      </c>
      <c r="J8361" t="s">
        <v>7708</v>
      </c>
    </row>
    <row r="8362" spans="1:23" x14ac:dyDescent="0.3">
      <c r="A8362" s="160">
        <v>62489</v>
      </c>
      <c r="B8362" t="s">
        <v>23435</v>
      </c>
      <c r="C8362" t="s">
        <v>7673</v>
      </c>
      <c r="D8362">
        <v>1.8</v>
      </c>
      <c r="E8362">
        <v>0</v>
      </c>
      <c r="F8362">
        <f t="shared" si="130"/>
        <v>1.8</v>
      </c>
      <c r="I8362">
        <v>20180701</v>
      </c>
      <c r="J8362" t="s">
        <v>7905</v>
      </c>
    </row>
    <row r="8363" spans="1:23" x14ac:dyDescent="0.3">
      <c r="A8363" s="160">
        <v>62490</v>
      </c>
      <c r="B8363" t="s">
        <v>23436</v>
      </c>
      <c r="C8363" t="s">
        <v>256</v>
      </c>
      <c r="D8363">
        <v>0</v>
      </c>
      <c r="E8363">
        <v>0.1</v>
      </c>
      <c r="F8363">
        <f t="shared" si="130"/>
        <v>0.1</v>
      </c>
      <c r="I8363">
        <v>20150701</v>
      </c>
      <c r="J8363" t="s">
        <v>7765</v>
      </c>
    </row>
    <row r="8364" spans="1:23" x14ac:dyDescent="0.3">
      <c r="A8364" s="160">
        <v>62491</v>
      </c>
      <c r="B8364" t="s">
        <v>23437</v>
      </c>
      <c r="C8364" t="s">
        <v>256</v>
      </c>
      <c r="D8364">
        <v>0</v>
      </c>
      <c r="E8364">
        <v>0.1</v>
      </c>
      <c r="F8364">
        <f t="shared" si="130"/>
        <v>0.1</v>
      </c>
      <c r="I8364">
        <v>20150701</v>
      </c>
      <c r="J8364" t="s">
        <v>7887</v>
      </c>
    </row>
    <row r="8365" spans="1:23" x14ac:dyDescent="0.3">
      <c r="A8365" s="160">
        <v>62496</v>
      </c>
      <c r="B8365" t="s">
        <v>23438</v>
      </c>
      <c r="C8365" t="s">
        <v>7689</v>
      </c>
      <c r="D8365">
        <v>0.8</v>
      </c>
      <c r="E8365">
        <v>0.1</v>
      </c>
      <c r="F8365">
        <f t="shared" si="130"/>
        <v>0.9</v>
      </c>
      <c r="I8365">
        <v>20240101</v>
      </c>
      <c r="J8365" t="s">
        <v>7858</v>
      </c>
    </row>
    <row r="8366" spans="1:23" x14ac:dyDescent="0.3">
      <c r="A8366" s="160">
        <v>62497</v>
      </c>
      <c r="B8366" t="s">
        <v>23439</v>
      </c>
      <c r="C8366" t="s">
        <v>7673</v>
      </c>
      <c r="D8366">
        <v>1.8</v>
      </c>
      <c r="E8366">
        <v>0</v>
      </c>
      <c r="F8366">
        <f t="shared" si="130"/>
        <v>1.8</v>
      </c>
      <c r="I8366">
        <v>20180701</v>
      </c>
      <c r="J8366" t="s">
        <v>7907</v>
      </c>
    </row>
    <row r="8367" spans="1:23" x14ac:dyDescent="0.3">
      <c r="A8367" s="160">
        <v>62498</v>
      </c>
      <c r="B8367" t="s">
        <v>23440</v>
      </c>
      <c r="C8367" t="s">
        <v>7673</v>
      </c>
      <c r="D8367">
        <v>1.8</v>
      </c>
      <c r="E8367">
        <v>0</v>
      </c>
      <c r="F8367">
        <f t="shared" si="130"/>
        <v>1.8</v>
      </c>
      <c r="I8367">
        <v>20180701</v>
      </c>
      <c r="J8367" t="s">
        <v>7863</v>
      </c>
      <c r="K8367" t="s">
        <v>7875</v>
      </c>
      <c r="L8367" t="s">
        <v>7908</v>
      </c>
      <c r="M8367" t="s">
        <v>7876</v>
      </c>
      <c r="N8367" t="s">
        <v>7877</v>
      </c>
      <c r="O8367" t="s">
        <v>7909</v>
      </c>
      <c r="P8367" t="s">
        <v>7878</v>
      </c>
      <c r="Q8367" t="s">
        <v>7910</v>
      </c>
      <c r="R8367" t="s">
        <v>7911</v>
      </c>
      <c r="S8367" t="s">
        <v>7912</v>
      </c>
      <c r="T8367" t="s">
        <v>7913</v>
      </c>
      <c r="U8367" t="s">
        <v>7879</v>
      </c>
      <c r="V8367" t="s">
        <v>7914</v>
      </c>
      <c r="W8367" t="s">
        <v>7915</v>
      </c>
    </row>
    <row r="8368" spans="1:23" x14ac:dyDescent="0.3">
      <c r="A8368" s="160">
        <v>62499</v>
      </c>
      <c r="B8368" t="s">
        <v>23441</v>
      </c>
      <c r="C8368" t="s">
        <v>7689</v>
      </c>
      <c r="D8368">
        <v>0.8</v>
      </c>
      <c r="E8368">
        <v>0.1</v>
      </c>
      <c r="F8368">
        <f t="shared" si="130"/>
        <v>0.9</v>
      </c>
      <c r="I8368">
        <v>20240101</v>
      </c>
      <c r="J8368" t="s">
        <v>7754</v>
      </c>
    </row>
    <row r="8369" spans="1:16" x14ac:dyDescent="0.3">
      <c r="A8369" s="160">
        <v>62500</v>
      </c>
      <c r="B8369" t="s">
        <v>23442</v>
      </c>
      <c r="C8369" t="s">
        <v>7673</v>
      </c>
      <c r="D8369">
        <v>1.6</v>
      </c>
      <c r="E8369">
        <v>0</v>
      </c>
      <c r="F8369">
        <f t="shared" si="130"/>
        <v>1.6</v>
      </c>
      <c r="I8369">
        <v>20240101</v>
      </c>
      <c r="J8369" t="s">
        <v>7695</v>
      </c>
    </row>
    <row r="8370" spans="1:16" x14ac:dyDescent="0.3">
      <c r="A8370" s="160">
        <v>62502</v>
      </c>
      <c r="B8370" t="s">
        <v>23443</v>
      </c>
      <c r="C8370" t="s">
        <v>256</v>
      </c>
      <c r="D8370">
        <v>0</v>
      </c>
      <c r="E8370">
        <v>0.1</v>
      </c>
      <c r="F8370">
        <f t="shared" si="130"/>
        <v>0.1</v>
      </c>
      <c r="I8370">
        <v>20150701</v>
      </c>
      <c r="J8370" t="s">
        <v>7916</v>
      </c>
      <c r="K8370" t="s">
        <v>7917</v>
      </c>
      <c r="L8370" t="s">
        <v>7868</v>
      </c>
    </row>
    <row r="8371" spans="1:16" x14ac:dyDescent="0.3">
      <c r="A8371" s="160">
        <v>62504</v>
      </c>
      <c r="B8371" t="s">
        <v>23444</v>
      </c>
      <c r="C8371" t="s">
        <v>256</v>
      </c>
      <c r="D8371">
        <v>0</v>
      </c>
      <c r="E8371">
        <v>0.1</v>
      </c>
      <c r="F8371">
        <f t="shared" si="130"/>
        <v>0.1</v>
      </c>
      <c r="I8371">
        <v>20180401</v>
      </c>
      <c r="J8371" t="s">
        <v>7804</v>
      </c>
      <c r="K8371" t="s">
        <v>7798</v>
      </c>
    </row>
    <row r="8372" spans="1:16" x14ac:dyDescent="0.3">
      <c r="A8372" s="160">
        <v>62508</v>
      </c>
      <c r="B8372" t="s">
        <v>23445</v>
      </c>
      <c r="C8372" t="s">
        <v>7673</v>
      </c>
      <c r="D8372">
        <v>1.6</v>
      </c>
      <c r="E8372">
        <v>0</v>
      </c>
      <c r="F8372">
        <f t="shared" si="130"/>
        <v>1.6</v>
      </c>
      <c r="I8372">
        <v>20240101</v>
      </c>
      <c r="J8372" t="s">
        <v>7695</v>
      </c>
    </row>
    <row r="8373" spans="1:16" x14ac:dyDescent="0.3">
      <c r="A8373" s="160">
        <v>62509</v>
      </c>
      <c r="B8373" t="s">
        <v>23446</v>
      </c>
      <c r="C8373" t="s">
        <v>7673</v>
      </c>
      <c r="D8373">
        <v>1.6</v>
      </c>
      <c r="E8373">
        <v>0</v>
      </c>
      <c r="F8373">
        <f t="shared" si="130"/>
        <v>1.6</v>
      </c>
      <c r="I8373">
        <v>20240101</v>
      </c>
      <c r="J8373" t="s">
        <v>7880</v>
      </c>
    </row>
    <row r="8374" spans="1:16" x14ac:dyDescent="0.3">
      <c r="A8374" s="160">
        <v>62510</v>
      </c>
      <c r="B8374" t="s">
        <v>23447</v>
      </c>
      <c r="C8374" t="s">
        <v>7673</v>
      </c>
      <c r="D8374">
        <v>1.8</v>
      </c>
      <c r="E8374">
        <v>0</v>
      </c>
      <c r="F8374">
        <f t="shared" si="130"/>
        <v>1.8</v>
      </c>
      <c r="I8374">
        <v>20180701</v>
      </c>
      <c r="J8374" t="s">
        <v>7918</v>
      </c>
      <c r="K8374" t="s">
        <v>7919</v>
      </c>
      <c r="L8374" t="s">
        <v>7920</v>
      </c>
      <c r="M8374" t="s">
        <v>7921</v>
      </c>
      <c r="N8374" t="s">
        <v>7922</v>
      </c>
      <c r="O8374" t="s">
        <v>7923</v>
      </c>
    </row>
    <row r="8375" spans="1:16" x14ac:dyDescent="0.3">
      <c r="A8375" s="160">
        <v>62511</v>
      </c>
      <c r="B8375" t="s">
        <v>23448</v>
      </c>
      <c r="C8375" t="s">
        <v>256</v>
      </c>
      <c r="D8375">
        <v>0</v>
      </c>
      <c r="E8375">
        <v>0.1</v>
      </c>
      <c r="F8375">
        <f t="shared" si="130"/>
        <v>0.1</v>
      </c>
      <c r="I8375">
        <v>20150701</v>
      </c>
      <c r="J8375" t="s">
        <v>7765</v>
      </c>
    </row>
    <row r="8376" spans="1:16" x14ac:dyDescent="0.3">
      <c r="A8376" s="160">
        <v>62512</v>
      </c>
      <c r="B8376" t="s">
        <v>23449</v>
      </c>
      <c r="C8376" t="s">
        <v>7673</v>
      </c>
      <c r="D8376">
        <v>1.6</v>
      </c>
      <c r="E8376">
        <v>0</v>
      </c>
      <c r="F8376">
        <f t="shared" si="130"/>
        <v>1.6</v>
      </c>
      <c r="I8376">
        <v>20240101</v>
      </c>
      <c r="J8376" t="s">
        <v>7769</v>
      </c>
    </row>
    <row r="8377" spans="1:16" x14ac:dyDescent="0.3">
      <c r="A8377" s="160">
        <v>62516</v>
      </c>
      <c r="B8377" t="s">
        <v>23450</v>
      </c>
      <c r="C8377" t="s">
        <v>7673</v>
      </c>
      <c r="D8377">
        <v>1.6</v>
      </c>
      <c r="E8377">
        <v>0</v>
      </c>
      <c r="F8377">
        <f t="shared" si="130"/>
        <v>1.6</v>
      </c>
      <c r="I8377">
        <v>20240101</v>
      </c>
      <c r="J8377" t="s">
        <v>7695</v>
      </c>
      <c r="K8377" t="s">
        <v>7924</v>
      </c>
      <c r="L8377" t="s">
        <v>7925</v>
      </c>
      <c r="M8377" t="s">
        <v>7926</v>
      </c>
      <c r="N8377" t="s">
        <v>7823</v>
      </c>
    </row>
    <row r="8378" spans="1:16" x14ac:dyDescent="0.3">
      <c r="A8378" s="160">
        <v>62517</v>
      </c>
      <c r="B8378" t="s">
        <v>23451</v>
      </c>
      <c r="C8378" t="s">
        <v>7673</v>
      </c>
      <c r="D8378">
        <v>1.6</v>
      </c>
      <c r="E8378">
        <v>0</v>
      </c>
      <c r="F8378">
        <f t="shared" si="130"/>
        <v>1.6</v>
      </c>
      <c r="I8378">
        <v>20240101</v>
      </c>
      <c r="J8378" t="s">
        <v>7685</v>
      </c>
    </row>
    <row r="8379" spans="1:16" x14ac:dyDescent="0.3">
      <c r="A8379" s="160">
        <v>62520</v>
      </c>
      <c r="B8379" t="s">
        <v>23452</v>
      </c>
      <c r="C8379" t="s">
        <v>7673</v>
      </c>
      <c r="D8379">
        <v>1.8</v>
      </c>
      <c r="E8379">
        <v>0</v>
      </c>
      <c r="F8379">
        <f t="shared" si="130"/>
        <v>1.8</v>
      </c>
      <c r="I8379">
        <v>20180701</v>
      </c>
      <c r="J8379" t="s">
        <v>7780</v>
      </c>
      <c r="K8379" t="s">
        <v>7782</v>
      </c>
      <c r="L8379" t="s">
        <v>7783</v>
      </c>
      <c r="M8379" t="s">
        <v>7785</v>
      </c>
    </row>
    <row r="8380" spans="1:16" x14ac:dyDescent="0.3">
      <c r="A8380" s="160">
        <v>62523</v>
      </c>
      <c r="B8380" t="s">
        <v>23453</v>
      </c>
      <c r="C8380" t="s">
        <v>7673</v>
      </c>
      <c r="D8380">
        <v>1.8</v>
      </c>
      <c r="E8380">
        <v>0</v>
      </c>
      <c r="F8380">
        <f t="shared" si="130"/>
        <v>1.8</v>
      </c>
      <c r="I8380">
        <v>20180701</v>
      </c>
      <c r="J8380" t="s">
        <v>7927</v>
      </c>
      <c r="K8380" t="s">
        <v>7908</v>
      </c>
      <c r="L8380" t="s">
        <v>7909</v>
      </c>
      <c r="M8380" t="s">
        <v>7879</v>
      </c>
    </row>
    <row r="8381" spans="1:16" x14ac:dyDescent="0.3">
      <c r="A8381" s="160">
        <v>62525</v>
      </c>
      <c r="B8381" t="s">
        <v>23454</v>
      </c>
      <c r="C8381" t="s">
        <v>7684</v>
      </c>
      <c r="D8381">
        <v>0.7</v>
      </c>
      <c r="E8381">
        <v>0.1</v>
      </c>
      <c r="F8381">
        <f t="shared" si="130"/>
        <v>0.79999999999999993</v>
      </c>
      <c r="I8381">
        <v>20230701</v>
      </c>
      <c r="J8381" t="s">
        <v>7928</v>
      </c>
      <c r="K8381" t="s">
        <v>7797</v>
      </c>
      <c r="L8381" t="s">
        <v>7710</v>
      </c>
      <c r="M8381" t="s">
        <v>7799</v>
      </c>
      <c r="N8381" t="s">
        <v>7711</v>
      </c>
      <c r="O8381" t="s">
        <v>7929</v>
      </c>
      <c r="P8381" t="s">
        <v>7930</v>
      </c>
    </row>
    <row r="8382" spans="1:16" x14ac:dyDescent="0.3">
      <c r="A8382" s="160">
        <v>62526</v>
      </c>
      <c r="B8382" t="s">
        <v>20225</v>
      </c>
      <c r="C8382" t="s">
        <v>256</v>
      </c>
      <c r="D8382">
        <v>0</v>
      </c>
      <c r="E8382">
        <v>0.1</v>
      </c>
      <c r="F8382">
        <f t="shared" si="130"/>
        <v>0.1</v>
      </c>
      <c r="I8382">
        <v>20150701</v>
      </c>
      <c r="J8382" t="s">
        <v>7692</v>
      </c>
    </row>
    <row r="8383" spans="1:16" x14ac:dyDescent="0.3">
      <c r="A8383" s="160">
        <v>62527</v>
      </c>
      <c r="B8383" t="s">
        <v>23455</v>
      </c>
      <c r="C8383" t="s">
        <v>7689</v>
      </c>
      <c r="D8383">
        <v>0.8</v>
      </c>
      <c r="E8383">
        <v>0.1</v>
      </c>
      <c r="F8383">
        <f t="shared" si="130"/>
        <v>0.9</v>
      </c>
      <c r="I8383">
        <v>20240101</v>
      </c>
      <c r="J8383" t="s">
        <v>7858</v>
      </c>
    </row>
    <row r="8384" spans="1:16" x14ac:dyDescent="0.3">
      <c r="A8384" s="160">
        <v>62528</v>
      </c>
      <c r="B8384" t="s">
        <v>23456</v>
      </c>
      <c r="C8384" t="s">
        <v>7673</v>
      </c>
      <c r="D8384">
        <v>1.8</v>
      </c>
      <c r="E8384">
        <v>0</v>
      </c>
      <c r="F8384">
        <f t="shared" si="130"/>
        <v>1.8</v>
      </c>
      <c r="I8384">
        <v>20180701</v>
      </c>
      <c r="J8384" t="s">
        <v>7931</v>
      </c>
    </row>
    <row r="8385" spans="1:12" x14ac:dyDescent="0.3">
      <c r="A8385" s="160">
        <v>62529</v>
      </c>
      <c r="B8385" t="s">
        <v>23457</v>
      </c>
      <c r="C8385" t="s">
        <v>7673</v>
      </c>
      <c r="D8385">
        <v>1.8</v>
      </c>
      <c r="E8385">
        <v>0</v>
      </c>
      <c r="F8385">
        <f t="shared" si="130"/>
        <v>1.8</v>
      </c>
      <c r="I8385">
        <v>20180701</v>
      </c>
      <c r="J8385" t="s">
        <v>7887</v>
      </c>
    </row>
    <row r="8386" spans="1:12" x14ac:dyDescent="0.3">
      <c r="A8386" s="160">
        <v>62531</v>
      </c>
      <c r="B8386" t="s">
        <v>23458</v>
      </c>
      <c r="C8386" t="s">
        <v>256</v>
      </c>
      <c r="D8386">
        <v>0</v>
      </c>
      <c r="E8386">
        <v>0.1</v>
      </c>
      <c r="F8386">
        <f t="shared" si="130"/>
        <v>0.1</v>
      </c>
      <c r="I8386">
        <v>20150701</v>
      </c>
      <c r="J8386" t="s">
        <v>7708</v>
      </c>
    </row>
    <row r="8387" spans="1:12" x14ac:dyDescent="0.3">
      <c r="A8387" s="160">
        <v>62532</v>
      </c>
      <c r="B8387" t="s">
        <v>23459</v>
      </c>
      <c r="C8387" t="s">
        <v>7673</v>
      </c>
      <c r="D8387">
        <v>1.8</v>
      </c>
      <c r="E8387">
        <v>0</v>
      </c>
      <c r="F8387">
        <f t="shared" si="130"/>
        <v>1.8</v>
      </c>
      <c r="I8387">
        <v>20180701</v>
      </c>
      <c r="J8387" t="s">
        <v>7932</v>
      </c>
    </row>
    <row r="8388" spans="1:12" x14ac:dyDescent="0.3">
      <c r="A8388" s="160">
        <v>62534</v>
      </c>
      <c r="B8388" t="s">
        <v>23460</v>
      </c>
      <c r="C8388" t="s">
        <v>256</v>
      </c>
      <c r="D8388">
        <v>0</v>
      </c>
      <c r="E8388">
        <v>0.1</v>
      </c>
      <c r="F8388">
        <f t="shared" si="130"/>
        <v>0.1</v>
      </c>
      <c r="I8388">
        <v>20180401</v>
      </c>
      <c r="J8388" t="s">
        <v>7682</v>
      </c>
      <c r="K8388" t="s">
        <v>7768</v>
      </c>
    </row>
    <row r="8389" spans="1:12" x14ac:dyDescent="0.3">
      <c r="A8389" s="160">
        <v>62535</v>
      </c>
      <c r="B8389" t="s">
        <v>23461</v>
      </c>
      <c r="C8389" t="s">
        <v>7689</v>
      </c>
      <c r="D8389">
        <v>0.8</v>
      </c>
      <c r="E8389">
        <v>0</v>
      </c>
      <c r="F8389">
        <f t="shared" si="130"/>
        <v>0.8</v>
      </c>
      <c r="I8389">
        <v>20220101</v>
      </c>
      <c r="J8389" t="s">
        <v>7754</v>
      </c>
    </row>
    <row r="8390" spans="1:12" x14ac:dyDescent="0.3">
      <c r="A8390" s="160">
        <v>62540</v>
      </c>
      <c r="B8390" t="s">
        <v>23462</v>
      </c>
      <c r="C8390" t="s">
        <v>7673</v>
      </c>
      <c r="D8390">
        <v>1.8</v>
      </c>
      <c r="E8390">
        <v>0</v>
      </c>
      <c r="F8390">
        <f t="shared" si="130"/>
        <v>1.8</v>
      </c>
      <c r="I8390">
        <v>20180701</v>
      </c>
      <c r="J8390" t="s">
        <v>7764</v>
      </c>
    </row>
    <row r="8391" spans="1:12" x14ac:dyDescent="0.3">
      <c r="A8391" s="160">
        <v>62543</v>
      </c>
      <c r="B8391" t="s">
        <v>23463</v>
      </c>
      <c r="C8391" t="s">
        <v>7684</v>
      </c>
      <c r="D8391">
        <v>0.7</v>
      </c>
      <c r="E8391">
        <v>0.1</v>
      </c>
      <c r="F8391">
        <f t="shared" ref="F8391:F8454" si="131">D8391+E8391</f>
        <v>0.79999999999999993</v>
      </c>
      <c r="I8391">
        <v>20230701</v>
      </c>
      <c r="J8391" t="s">
        <v>7685</v>
      </c>
      <c r="K8391" t="s">
        <v>7687</v>
      </c>
    </row>
    <row r="8392" spans="1:12" x14ac:dyDescent="0.3">
      <c r="A8392" s="160">
        <v>62544</v>
      </c>
      <c r="B8392" t="s">
        <v>23464</v>
      </c>
      <c r="C8392" t="s">
        <v>256</v>
      </c>
      <c r="D8392">
        <v>0</v>
      </c>
      <c r="E8392">
        <v>0.1</v>
      </c>
      <c r="F8392">
        <f t="shared" si="131"/>
        <v>0.1</v>
      </c>
      <c r="I8392">
        <v>20150701</v>
      </c>
      <c r="J8392" t="s">
        <v>7765</v>
      </c>
    </row>
    <row r="8393" spans="1:12" x14ac:dyDescent="0.3">
      <c r="A8393" s="160">
        <v>62546</v>
      </c>
      <c r="B8393" t="s">
        <v>23465</v>
      </c>
      <c r="C8393" t="s">
        <v>256</v>
      </c>
      <c r="D8393">
        <v>0</v>
      </c>
      <c r="E8393">
        <v>0.1</v>
      </c>
      <c r="F8393">
        <f t="shared" si="131"/>
        <v>0.1</v>
      </c>
      <c r="I8393">
        <v>20150701</v>
      </c>
      <c r="J8393" t="s">
        <v>7791</v>
      </c>
    </row>
    <row r="8394" spans="1:12" x14ac:dyDescent="0.3">
      <c r="A8394" s="160">
        <v>62548</v>
      </c>
      <c r="B8394" t="s">
        <v>23466</v>
      </c>
      <c r="C8394" t="s">
        <v>7752</v>
      </c>
      <c r="D8394">
        <v>2</v>
      </c>
      <c r="E8394">
        <v>0</v>
      </c>
      <c r="F8394">
        <f t="shared" si="131"/>
        <v>2</v>
      </c>
      <c r="I8394">
        <v>20150701</v>
      </c>
      <c r="J8394" t="s">
        <v>7828</v>
      </c>
      <c r="K8394" t="s">
        <v>7830</v>
      </c>
      <c r="L8394" t="s">
        <v>7753</v>
      </c>
    </row>
    <row r="8395" spans="1:12" x14ac:dyDescent="0.3">
      <c r="A8395" s="160">
        <v>62553</v>
      </c>
      <c r="B8395" t="s">
        <v>23467</v>
      </c>
      <c r="C8395" t="s">
        <v>256</v>
      </c>
      <c r="D8395">
        <v>0</v>
      </c>
      <c r="E8395">
        <v>0.1</v>
      </c>
      <c r="F8395">
        <f t="shared" si="131"/>
        <v>0.1</v>
      </c>
      <c r="I8395">
        <v>20170701</v>
      </c>
      <c r="J8395" t="s">
        <v>7758</v>
      </c>
    </row>
    <row r="8396" spans="1:12" x14ac:dyDescent="0.3">
      <c r="A8396" s="160">
        <v>62554</v>
      </c>
      <c r="B8396" t="s">
        <v>23468</v>
      </c>
      <c r="C8396" t="s">
        <v>7689</v>
      </c>
      <c r="D8396">
        <v>0.8</v>
      </c>
      <c r="E8396">
        <v>0.1</v>
      </c>
      <c r="F8396">
        <f t="shared" si="131"/>
        <v>0.9</v>
      </c>
      <c r="I8396">
        <v>20240101</v>
      </c>
      <c r="J8396" t="s">
        <v>7858</v>
      </c>
    </row>
    <row r="8397" spans="1:12" x14ac:dyDescent="0.3">
      <c r="A8397" s="160">
        <v>62555</v>
      </c>
      <c r="B8397" t="s">
        <v>23469</v>
      </c>
      <c r="C8397" t="s">
        <v>7673</v>
      </c>
      <c r="D8397">
        <v>1.8</v>
      </c>
      <c r="E8397">
        <v>0</v>
      </c>
      <c r="F8397">
        <f t="shared" si="131"/>
        <v>1.8</v>
      </c>
      <c r="I8397">
        <v>20180701</v>
      </c>
      <c r="J8397" t="s">
        <v>7932</v>
      </c>
    </row>
    <row r="8398" spans="1:12" x14ac:dyDescent="0.3">
      <c r="A8398" s="160">
        <v>62557</v>
      </c>
      <c r="B8398" t="s">
        <v>23470</v>
      </c>
      <c r="C8398" t="s">
        <v>7677</v>
      </c>
      <c r="D8398">
        <v>1.25</v>
      </c>
      <c r="E8398">
        <v>0</v>
      </c>
      <c r="F8398">
        <f t="shared" si="131"/>
        <v>1.25</v>
      </c>
      <c r="I8398">
        <v>20250101</v>
      </c>
      <c r="J8398" t="s">
        <v>7683</v>
      </c>
    </row>
    <row r="8399" spans="1:12" x14ac:dyDescent="0.3">
      <c r="A8399" s="160">
        <v>62563</v>
      </c>
      <c r="B8399" t="s">
        <v>23471</v>
      </c>
      <c r="C8399" t="s">
        <v>7673</v>
      </c>
      <c r="D8399">
        <v>1.8</v>
      </c>
      <c r="E8399">
        <v>0</v>
      </c>
      <c r="F8399">
        <f t="shared" si="131"/>
        <v>1.8</v>
      </c>
      <c r="I8399">
        <v>20180701</v>
      </c>
      <c r="J8399" t="s">
        <v>7933</v>
      </c>
    </row>
    <row r="8400" spans="1:12" x14ac:dyDescent="0.3">
      <c r="A8400" s="160">
        <v>62564</v>
      </c>
      <c r="B8400" t="s">
        <v>23472</v>
      </c>
      <c r="C8400" t="s">
        <v>7673</v>
      </c>
      <c r="D8400">
        <v>1.6</v>
      </c>
      <c r="E8400">
        <v>0</v>
      </c>
      <c r="F8400">
        <f t="shared" si="131"/>
        <v>1.6</v>
      </c>
      <c r="I8400">
        <v>20240101</v>
      </c>
      <c r="J8400" t="s">
        <v>7685</v>
      </c>
      <c r="K8400" t="s">
        <v>7686</v>
      </c>
      <c r="L8400" t="s">
        <v>7687</v>
      </c>
    </row>
    <row r="8401" spans="1:13" x14ac:dyDescent="0.3">
      <c r="A8401" s="160">
        <v>62566</v>
      </c>
      <c r="B8401" t="s">
        <v>23473</v>
      </c>
      <c r="C8401" t="s">
        <v>256</v>
      </c>
      <c r="D8401">
        <v>0</v>
      </c>
      <c r="E8401">
        <v>0.1</v>
      </c>
      <c r="F8401">
        <f t="shared" si="131"/>
        <v>0.1</v>
      </c>
      <c r="I8401">
        <v>20150701</v>
      </c>
      <c r="J8401" t="s">
        <v>7816</v>
      </c>
    </row>
    <row r="8402" spans="1:13" x14ac:dyDescent="0.3">
      <c r="A8402" s="160">
        <v>62567</v>
      </c>
      <c r="B8402" t="s">
        <v>23474</v>
      </c>
      <c r="C8402" t="s">
        <v>7684</v>
      </c>
      <c r="D8402">
        <v>0.7</v>
      </c>
      <c r="E8402">
        <v>0.1</v>
      </c>
      <c r="F8402">
        <f t="shared" si="131"/>
        <v>0.79999999999999993</v>
      </c>
      <c r="I8402">
        <v>20230701</v>
      </c>
      <c r="J8402" t="s">
        <v>7934</v>
      </c>
    </row>
    <row r="8403" spans="1:13" x14ac:dyDescent="0.3">
      <c r="A8403" s="160">
        <v>62568</v>
      </c>
      <c r="B8403" t="s">
        <v>23475</v>
      </c>
      <c r="C8403" t="s">
        <v>7677</v>
      </c>
      <c r="D8403">
        <v>1.25</v>
      </c>
      <c r="E8403">
        <v>0</v>
      </c>
      <c r="F8403">
        <f t="shared" si="131"/>
        <v>1.25</v>
      </c>
      <c r="I8403">
        <v>20250101</v>
      </c>
      <c r="J8403" t="s">
        <v>7680</v>
      </c>
    </row>
    <row r="8404" spans="1:13" x14ac:dyDescent="0.3">
      <c r="A8404" s="160">
        <v>62569</v>
      </c>
      <c r="B8404" t="s">
        <v>23476</v>
      </c>
      <c r="C8404" t="s">
        <v>7684</v>
      </c>
      <c r="D8404">
        <v>0.7</v>
      </c>
      <c r="E8404">
        <v>0.1</v>
      </c>
      <c r="F8404">
        <f t="shared" si="131"/>
        <v>0.79999999999999993</v>
      </c>
      <c r="I8404">
        <v>20230701</v>
      </c>
      <c r="J8404" t="s">
        <v>7757</v>
      </c>
    </row>
    <row r="8405" spans="1:13" x14ac:dyDescent="0.3">
      <c r="A8405" s="160">
        <v>62570</v>
      </c>
      <c r="B8405" t="s">
        <v>23477</v>
      </c>
      <c r="C8405" t="s">
        <v>7673</v>
      </c>
      <c r="D8405">
        <v>1.8</v>
      </c>
      <c r="E8405">
        <v>0</v>
      </c>
      <c r="F8405">
        <f t="shared" si="131"/>
        <v>1.8</v>
      </c>
      <c r="I8405">
        <v>20180701</v>
      </c>
      <c r="J8405" t="s">
        <v>7935</v>
      </c>
      <c r="K8405" t="s">
        <v>7936</v>
      </c>
    </row>
    <row r="8406" spans="1:13" x14ac:dyDescent="0.3">
      <c r="A8406" s="160">
        <v>62571</v>
      </c>
      <c r="B8406" t="s">
        <v>23478</v>
      </c>
      <c r="C8406" t="s">
        <v>7689</v>
      </c>
      <c r="D8406">
        <v>0.8</v>
      </c>
      <c r="E8406">
        <v>0.1</v>
      </c>
      <c r="F8406">
        <f t="shared" si="131"/>
        <v>0.9</v>
      </c>
      <c r="I8406">
        <v>20240101</v>
      </c>
      <c r="J8406" t="s">
        <v>7937</v>
      </c>
      <c r="K8406" t="s">
        <v>7777</v>
      </c>
    </row>
    <row r="8407" spans="1:13" x14ac:dyDescent="0.3">
      <c r="A8407" s="160">
        <v>62573</v>
      </c>
      <c r="B8407" t="s">
        <v>23479</v>
      </c>
      <c r="C8407" t="s">
        <v>7673</v>
      </c>
      <c r="D8407">
        <v>1.8</v>
      </c>
      <c r="E8407">
        <v>0</v>
      </c>
      <c r="F8407">
        <f t="shared" si="131"/>
        <v>1.8</v>
      </c>
      <c r="I8407">
        <v>20180701</v>
      </c>
      <c r="J8407" t="s">
        <v>7772</v>
      </c>
    </row>
    <row r="8408" spans="1:13" x14ac:dyDescent="0.3">
      <c r="A8408" s="160">
        <v>62578</v>
      </c>
      <c r="B8408" t="s">
        <v>23480</v>
      </c>
      <c r="C8408" t="s">
        <v>256</v>
      </c>
      <c r="D8408">
        <v>0</v>
      </c>
      <c r="E8408">
        <v>0.1</v>
      </c>
      <c r="F8408">
        <f t="shared" si="131"/>
        <v>0.1</v>
      </c>
      <c r="I8408">
        <v>20150701</v>
      </c>
      <c r="J8408" t="s">
        <v>7760</v>
      </c>
    </row>
    <row r="8409" spans="1:13" x14ac:dyDescent="0.3">
      <c r="A8409" s="160">
        <v>62579</v>
      </c>
      <c r="B8409" t="s">
        <v>23481</v>
      </c>
      <c r="C8409" t="s">
        <v>256</v>
      </c>
      <c r="D8409">
        <v>0</v>
      </c>
      <c r="E8409">
        <v>0.1</v>
      </c>
      <c r="F8409">
        <f t="shared" si="131"/>
        <v>0.1</v>
      </c>
      <c r="I8409">
        <v>20150701</v>
      </c>
      <c r="J8409" t="s">
        <v>7793</v>
      </c>
    </row>
    <row r="8410" spans="1:13" x14ac:dyDescent="0.3">
      <c r="A8410" s="160">
        <v>62582</v>
      </c>
      <c r="B8410" t="s">
        <v>23482</v>
      </c>
      <c r="C8410" t="s">
        <v>7677</v>
      </c>
      <c r="D8410">
        <v>1.25</v>
      </c>
      <c r="E8410">
        <v>0</v>
      </c>
      <c r="F8410">
        <f t="shared" si="131"/>
        <v>1.25</v>
      </c>
      <c r="I8410">
        <v>20250101</v>
      </c>
      <c r="J8410" t="s">
        <v>7741</v>
      </c>
      <c r="K8410" t="s">
        <v>7704</v>
      </c>
      <c r="L8410" t="s">
        <v>7886</v>
      </c>
      <c r="M8410" t="s">
        <v>7885</v>
      </c>
    </row>
    <row r="8411" spans="1:13" x14ac:dyDescent="0.3">
      <c r="A8411" s="160">
        <v>62584</v>
      </c>
      <c r="B8411" t="s">
        <v>23483</v>
      </c>
      <c r="C8411" t="s">
        <v>7673</v>
      </c>
      <c r="D8411">
        <v>1.6</v>
      </c>
      <c r="E8411">
        <v>0</v>
      </c>
      <c r="F8411">
        <f t="shared" si="131"/>
        <v>1.6</v>
      </c>
      <c r="I8411">
        <v>20240101</v>
      </c>
      <c r="J8411" t="s">
        <v>7824</v>
      </c>
    </row>
    <row r="8412" spans="1:13" x14ac:dyDescent="0.3">
      <c r="A8412" s="160">
        <v>62585</v>
      </c>
      <c r="B8412" t="s">
        <v>23484</v>
      </c>
      <c r="C8412" t="s">
        <v>7689</v>
      </c>
      <c r="D8412">
        <v>0.8</v>
      </c>
      <c r="E8412">
        <v>0</v>
      </c>
      <c r="F8412">
        <f t="shared" si="131"/>
        <v>0.8</v>
      </c>
      <c r="I8412">
        <v>20220101</v>
      </c>
      <c r="J8412" t="s">
        <v>7754</v>
      </c>
    </row>
    <row r="8413" spans="1:13" x14ac:dyDescent="0.3">
      <c r="A8413" s="160">
        <v>62586</v>
      </c>
      <c r="B8413" t="s">
        <v>23485</v>
      </c>
      <c r="C8413" t="s">
        <v>256</v>
      </c>
      <c r="D8413">
        <v>0</v>
      </c>
      <c r="E8413">
        <v>0.1</v>
      </c>
      <c r="F8413">
        <f t="shared" si="131"/>
        <v>0.1</v>
      </c>
      <c r="I8413">
        <v>20150701</v>
      </c>
      <c r="J8413" t="s">
        <v>7760</v>
      </c>
    </row>
    <row r="8414" spans="1:13" x14ac:dyDescent="0.3">
      <c r="A8414" s="160">
        <v>62587</v>
      </c>
      <c r="B8414" t="s">
        <v>23486</v>
      </c>
      <c r="C8414" t="s">
        <v>7673</v>
      </c>
      <c r="D8414">
        <v>1.8</v>
      </c>
      <c r="E8414">
        <v>0</v>
      </c>
      <c r="F8414">
        <f t="shared" si="131"/>
        <v>1.8</v>
      </c>
      <c r="I8414">
        <v>20180701</v>
      </c>
      <c r="J8414" t="s">
        <v>7938</v>
      </c>
    </row>
    <row r="8415" spans="1:13" x14ac:dyDescent="0.3">
      <c r="A8415" s="160">
        <v>62588</v>
      </c>
      <c r="B8415" t="s">
        <v>23487</v>
      </c>
      <c r="C8415" t="s">
        <v>7689</v>
      </c>
      <c r="D8415">
        <v>0.8</v>
      </c>
      <c r="E8415">
        <v>0</v>
      </c>
      <c r="F8415">
        <f t="shared" si="131"/>
        <v>0.8</v>
      </c>
      <c r="I8415">
        <v>20220101</v>
      </c>
      <c r="J8415" t="s">
        <v>7754</v>
      </c>
    </row>
    <row r="8416" spans="1:13" x14ac:dyDescent="0.3">
      <c r="A8416" s="160">
        <v>62589</v>
      </c>
      <c r="B8416" t="s">
        <v>23488</v>
      </c>
      <c r="C8416" t="s">
        <v>7677</v>
      </c>
      <c r="D8416">
        <v>1.25</v>
      </c>
      <c r="E8416">
        <v>0</v>
      </c>
      <c r="F8416">
        <f t="shared" si="131"/>
        <v>1.25</v>
      </c>
      <c r="I8416">
        <v>20250101</v>
      </c>
      <c r="J8416" t="s">
        <v>7681</v>
      </c>
    </row>
    <row r="8417" spans="1:11" x14ac:dyDescent="0.3">
      <c r="A8417" s="160">
        <v>62592</v>
      </c>
      <c r="B8417" t="s">
        <v>23489</v>
      </c>
      <c r="C8417" t="s">
        <v>7684</v>
      </c>
      <c r="D8417">
        <v>0.7</v>
      </c>
      <c r="E8417">
        <v>0.1</v>
      </c>
      <c r="F8417">
        <f t="shared" si="131"/>
        <v>0.79999999999999993</v>
      </c>
      <c r="I8417">
        <v>20230701</v>
      </c>
      <c r="J8417" t="s">
        <v>7767</v>
      </c>
    </row>
    <row r="8418" spans="1:11" x14ac:dyDescent="0.3">
      <c r="A8418" s="160">
        <v>62594</v>
      </c>
      <c r="B8418" t="s">
        <v>23490</v>
      </c>
      <c r="C8418" t="s">
        <v>256</v>
      </c>
      <c r="D8418">
        <v>0</v>
      </c>
      <c r="E8418">
        <v>0.1</v>
      </c>
      <c r="F8418">
        <f t="shared" si="131"/>
        <v>0.1</v>
      </c>
      <c r="I8418">
        <v>20150701</v>
      </c>
      <c r="J8418" t="s">
        <v>7939</v>
      </c>
    </row>
    <row r="8419" spans="1:11" x14ac:dyDescent="0.3">
      <c r="A8419" s="160">
        <v>62595</v>
      </c>
      <c r="B8419" t="s">
        <v>23491</v>
      </c>
      <c r="C8419" t="s">
        <v>7684</v>
      </c>
      <c r="D8419">
        <v>0.7</v>
      </c>
      <c r="E8419">
        <v>0.1</v>
      </c>
      <c r="F8419">
        <f t="shared" si="131"/>
        <v>0.79999999999999993</v>
      </c>
      <c r="I8419">
        <v>20230701</v>
      </c>
      <c r="J8419" t="s">
        <v>7768</v>
      </c>
      <c r="K8419" t="s">
        <v>7767</v>
      </c>
    </row>
    <row r="8420" spans="1:11" x14ac:dyDescent="0.3">
      <c r="A8420" s="160">
        <v>62597</v>
      </c>
      <c r="B8420" t="s">
        <v>22820</v>
      </c>
      <c r="C8420" t="s">
        <v>256</v>
      </c>
      <c r="D8420">
        <v>0</v>
      </c>
      <c r="E8420">
        <v>0.1</v>
      </c>
      <c r="F8420">
        <f t="shared" si="131"/>
        <v>0.1</v>
      </c>
      <c r="I8420">
        <v>20150701</v>
      </c>
      <c r="J8420" t="s">
        <v>7860</v>
      </c>
    </row>
    <row r="8421" spans="1:11" x14ac:dyDescent="0.3">
      <c r="A8421" s="160">
        <v>62599</v>
      </c>
      <c r="B8421" t="s">
        <v>23492</v>
      </c>
      <c r="C8421" t="s">
        <v>256</v>
      </c>
      <c r="D8421">
        <v>0</v>
      </c>
      <c r="E8421">
        <v>0.1</v>
      </c>
      <c r="F8421">
        <f t="shared" si="131"/>
        <v>0.1</v>
      </c>
      <c r="I8421">
        <v>20150701</v>
      </c>
      <c r="J8421" t="s">
        <v>7692</v>
      </c>
    </row>
    <row r="8422" spans="1:11" x14ac:dyDescent="0.3">
      <c r="A8422" s="160">
        <v>62600</v>
      </c>
      <c r="B8422" t="s">
        <v>23493</v>
      </c>
      <c r="C8422" t="s">
        <v>256</v>
      </c>
      <c r="D8422">
        <v>0</v>
      </c>
      <c r="E8422">
        <v>0.1</v>
      </c>
      <c r="F8422">
        <f t="shared" si="131"/>
        <v>0.1</v>
      </c>
      <c r="I8422">
        <v>20170701</v>
      </c>
      <c r="J8422" t="s">
        <v>7758</v>
      </c>
    </row>
    <row r="8423" spans="1:11" x14ac:dyDescent="0.3">
      <c r="A8423" s="160">
        <v>62601</v>
      </c>
      <c r="B8423" t="s">
        <v>23494</v>
      </c>
      <c r="C8423" t="s">
        <v>256</v>
      </c>
      <c r="D8423">
        <v>0</v>
      </c>
      <c r="E8423">
        <v>0.1</v>
      </c>
      <c r="F8423">
        <f t="shared" si="131"/>
        <v>0.1</v>
      </c>
      <c r="I8423">
        <v>20170701</v>
      </c>
      <c r="J8423" t="s">
        <v>7758</v>
      </c>
    </row>
    <row r="8424" spans="1:11" x14ac:dyDescent="0.3">
      <c r="A8424" s="160">
        <v>62602</v>
      </c>
      <c r="B8424" t="s">
        <v>23495</v>
      </c>
      <c r="C8424" t="s">
        <v>7689</v>
      </c>
      <c r="D8424">
        <v>0.8</v>
      </c>
      <c r="E8424">
        <v>0.1</v>
      </c>
      <c r="F8424">
        <f t="shared" si="131"/>
        <v>0.9</v>
      </c>
      <c r="I8424">
        <v>20240101</v>
      </c>
      <c r="J8424" t="s">
        <v>7690</v>
      </c>
    </row>
    <row r="8425" spans="1:11" x14ac:dyDescent="0.3">
      <c r="A8425" s="160">
        <v>62603</v>
      </c>
      <c r="B8425" t="s">
        <v>23496</v>
      </c>
      <c r="C8425" t="s">
        <v>7761</v>
      </c>
      <c r="D8425">
        <v>1.25</v>
      </c>
      <c r="E8425">
        <v>0</v>
      </c>
      <c r="F8425">
        <f t="shared" si="131"/>
        <v>1.25</v>
      </c>
      <c r="I8425">
        <v>20120101</v>
      </c>
      <c r="J8425" t="s">
        <v>7940</v>
      </c>
    </row>
    <row r="8426" spans="1:11" x14ac:dyDescent="0.3">
      <c r="A8426" s="160">
        <v>62604</v>
      </c>
      <c r="B8426" t="s">
        <v>23497</v>
      </c>
      <c r="C8426" t="s">
        <v>7761</v>
      </c>
      <c r="D8426">
        <v>1.25</v>
      </c>
      <c r="E8426">
        <v>0</v>
      </c>
      <c r="F8426">
        <f t="shared" si="131"/>
        <v>1.25</v>
      </c>
      <c r="I8426">
        <v>20120101</v>
      </c>
      <c r="J8426" t="s">
        <v>7940</v>
      </c>
    </row>
    <row r="8427" spans="1:11" x14ac:dyDescent="0.3">
      <c r="A8427" s="160">
        <v>62606</v>
      </c>
      <c r="B8427" t="s">
        <v>23498</v>
      </c>
      <c r="C8427" t="s">
        <v>7673</v>
      </c>
      <c r="D8427">
        <v>1.8</v>
      </c>
      <c r="E8427">
        <v>0</v>
      </c>
      <c r="F8427">
        <f t="shared" si="131"/>
        <v>1.8</v>
      </c>
      <c r="I8427">
        <v>20180701</v>
      </c>
      <c r="J8427" t="s">
        <v>7887</v>
      </c>
    </row>
    <row r="8428" spans="1:11" x14ac:dyDescent="0.3">
      <c r="A8428" s="160">
        <v>62609</v>
      </c>
      <c r="B8428" t="s">
        <v>23499</v>
      </c>
      <c r="C8428" t="s">
        <v>7677</v>
      </c>
      <c r="D8428">
        <v>1.25</v>
      </c>
      <c r="E8428">
        <v>0</v>
      </c>
      <c r="F8428">
        <f t="shared" si="131"/>
        <v>1.25</v>
      </c>
      <c r="I8428">
        <v>20250101</v>
      </c>
      <c r="J8428" t="s">
        <v>7709</v>
      </c>
    </row>
    <row r="8429" spans="1:11" x14ac:dyDescent="0.3">
      <c r="A8429" s="160">
        <v>62610</v>
      </c>
      <c r="B8429" t="s">
        <v>23500</v>
      </c>
      <c r="C8429" t="s">
        <v>7689</v>
      </c>
      <c r="D8429">
        <v>0.8</v>
      </c>
      <c r="E8429">
        <v>0</v>
      </c>
      <c r="F8429">
        <f t="shared" si="131"/>
        <v>0.8</v>
      </c>
      <c r="I8429">
        <v>20220101</v>
      </c>
      <c r="J8429" t="s">
        <v>7754</v>
      </c>
    </row>
    <row r="8430" spans="1:11" x14ac:dyDescent="0.3">
      <c r="A8430" s="160">
        <v>62611</v>
      </c>
      <c r="B8430" t="s">
        <v>23501</v>
      </c>
      <c r="C8430" t="s">
        <v>7677</v>
      </c>
      <c r="D8430">
        <v>1.25</v>
      </c>
      <c r="E8430">
        <v>0</v>
      </c>
      <c r="F8430">
        <f t="shared" si="131"/>
        <v>1.25</v>
      </c>
      <c r="I8430">
        <v>20250101</v>
      </c>
      <c r="J8430" t="s">
        <v>7680</v>
      </c>
    </row>
    <row r="8431" spans="1:11" x14ac:dyDescent="0.3">
      <c r="A8431" s="160">
        <v>62612</v>
      </c>
      <c r="B8431" t="s">
        <v>23502</v>
      </c>
      <c r="C8431" t="s">
        <v>256</v>
      </c>
      <c r="D8431">
        <v>0</v>
      </c>
      <c r="E8431">
        <v>0.1</v>
      </c>
      <c r="F8431">
        <f t="shared" si="131"/>
        <v>0.1</v>
      </c>
      <c r="I8431">
        <v>20150701</v>
      </c>
      <c r="J8431" t="s">
        <v>7709</v>
      </c>
    </row>
    <row r="8432" spans="1:11" x14ac:dyDescent="0.3">
      <c r="A8432" s="160">
        <v>62614</v>
      </c>
      <c r="B8432" t="s">
        <v>23503</v>
      </c>
      <c r="C8432" t="s">
        <v>256</v>
      </c>
      <c r="D8432">
        <v>0</v>
      </c>
      <c r="E8432">
        <v>0.1</v>
      </c>
      <c r="F8432">
        <f t="shared" si="131"/>
        <v>0.1</v>
      </c>
      <c r="I8432">
        <v>20150701</v>
      </c>
      <c r="J8432" t="s">
        <v>7708</v>
      </c>
    </row>
    <row r="8433" spans="1:15" x14ac:dyDescent="0.3">
      <c r="A8433" s="160">
        <v>62615</v>
      </c>
      <c r="B8433" t="s">
        <v>23504</v>
      </c>
      <c r="C8433" t="s">
        <v>7752</v>
      </c>
      <c r="D8433">
        <v>2</v>
      </c>
      <c r="E8433">
        <v>0</v>
      </c>
      <c r="F8433">
        <f t="shared" si="131"/>
        <v>2</v>
      </c>
      <c r="I8433">
        <v>20220101</v>
      </c>
      <c r="J8433" t="s">
        <v>7889</v>
      </c>
    </row>
    <row r="8434" spans="1:15" x14ac:dyDescent="0.3">
      <c r="A8434" s="160">
        <v>62617</v>
      </c>
      <c r="B8434" t="s">
        <v>23505</v>
      </c>
      <c r="C8434" t="s">
        <v>7673</v>
      </c>
      <c r="D8434">
        <v>1.8</v>
      </c>
      <c r="E8434">
        <v>0</v>
      </c>
      <c r="F8434">
        <f t="shared" si="131"/>
        <v>1.8</v>
      </c>
      <c r="I8434">
        <v>20180701</v>
      </c>
      <c r="J8434" t="s">
        <v>7941</v>
      </c>
    </row>
    <row r="8435" spans="1:15" x14ac:dyDescent="0.3">
      <c r="A8435" s="160">
        <v>62618</v>
      </c>
      <c r="B8435" t="s">
        <v>23506</v>
      </c>
      <c r="C8435" t="s">
        <v>7684</v>
      </c>
      <c r="D8435">
        <v>0.7</v>
      </c>
      <c r="E8435">
        <v>0.1</v>
      </c>
      <c r="F8435">
        <f t="shared" si="131"/>
        <v>0.79999999999999993</v>
      </c>
      <c r="I8435">
        <v>20230701</v>
      </c>
      <c r="J8435" t="s">
        <v>7934</v>
      </c>
    </row>
    <row r="8436" spans="1:15" x14ac:dyDescent="0.3">
      <c r="A8436" s="160">
        <v>62620</v>
      </c>
      <c r="B8436" t="s">
        <v>23507</v>
      </c>
      <c r="C8436" t="s">
        <v>7673</v>
      </c>
      <c r="D8436">
        <v>1.6</v>
      </c>
      <c r="E8436">
        <v>0</v>
      </c>
      <c r="F8436">
        <f t="shared" si="131"/>
        <v>1.6</v>
      </c>
      <c r="I8436">
        <v>20240101</v>
      </c>
      <c r="J8436" t="s">
        <v>7685</v>
      </c>
      <c r="K8436" t="s">
        <v>7687</v>
      </c>
    </row>
    <row r="8437" spans="1:15" x14ac:dyDescent="0.3">
      <c r="A8437" s="160">
        <v>62621</v>
      </c>
      <c r="B8437" t="s">
        <v>23508</v>
      </c>
      <c r="C8437" t="s">
        <v>256</v>
      </c>
      <c r="D8437">
        <v>0</v>
      </c>
      <c r="E8437">
        <v>0.1</v>
      </c>
      <c r="F8437">
        <f t="shared" si="131"/>
        <v>0.1</v>
      </c>
      <c r="I8437">
        <v>20150701</v>
      </c>
      <c r="J8437" t="s">
        <v>7894</v>
      </c>
    </row>
    <row r="8438" spans="1:15" x14ac:dyDescent="0.3">
      <c r="A8438" s="160">
        <v>62622</v>
      </c>
      <c r="B8438" t="s">
        <v>23509</v>
      </c>
      <c r="C8438" t="s">
        <v>7684</v>
      </c>
      <c r="D8438">
        <v>0.7</v>
      </c>
      <c r="E8438">
        <v>0.1</v>
      </c>
      <c r="F8438">
        <f t="shared" si="131"/>
        <v>0.79999999999999993</v>
      </c>
      <c r="I8438">
        <v>20230701</v>
      </c>
      <c r="J8438" t="s">
        <v>7934</v>
      </c>
    </row>
    <row r="8439" spans="1:15" x14ac:dyDescent="0.3">
      <c r="A8439" s="160">
        <v>62624</v>
      </c>
      <c r="B8439" t="s">
        <v>23510</v>
      </c>
      <c r="C8439" t="s">
        <v>7673</v>
      </c>
      <c r="D8439">
        <v>1.8</v>
      </c>
      <c r="E8439">
        <v>0</v>
      </c>
      <c r="F8439">
        <f t="shared" si="131"/>
        <v>1.8</v>
      </c>
      <c r="I8439">
        <v>20180701</v>
      </c>
      <c r="J8439" t="s">
        <v>7861</v>
      </c>
      <c r="K8439" t="s">
        <v>7862</v>
      </c>
      <c r="L8439" t="s">
        <v>7863</v>
      </c>
      <c r="M8439" t="s">
        <v>7864</v>
      </c>
      <c r="N8439" t="s">
        <v>7942</v>
      </c>
      <c r="O8439" t="s">
        <v>7943</v>
      </c>
    </row>
    <row r="8440" spans="1:15" x14ac:dyDescent="0.3">
      <c r="A8440" s="160">
        <v>62626</v>
      </c>
      <c r="B8440" t="s">
        <v>23511</v>
      </c>
      <c r="C8440" t="s">
        <v>7673</v>
      </c>
      <c r="D8440">
        <v>1.8</v>
      </c>
      <c r="E8440">
        <v>0</v>
      </c>
      <c r="F8440">
        <f t="shared" si="131"/>
        <v>1.8</v>
      </c>
      <c r="I8440">
        <v>20180701</v>
      </c>
      <c r="J8440" t="s">
        <v>7944</v>
      </c>
    </row>
    <row r="8441" spans="1:15" x14ac:dyDescent="0.3">
      <c r="A8441" s="160">
        <v>62627</v>
      </c>
      <c r="B8441" t="s">
        <v>23512</v>
      </c>
      <c r="C8441" t="s">
        <v>256</v>
      </c>
      <c r="D8441">
        <v>0</v>
      </c>
      <c r="E8441">
        <v>0.1</v>
      </c>
      <c r="F8441">
        <f t="shared" si="131"/>
        <v>0.1</v>
      </c>
      <c r="I8441">
        <v>20150701</v>
      </c>
      <c r="J8441" t="s">
        <v>7771</v>
      </c>
    </row>
    <row r="8442" spans="1:15" x14ac:dyDescent="0.3">
      <c r="A8442" s="160">
        <v>62628</v>
      </c>
      <c r="B8442" t="s">
        <v>23513</v>
      </c>
      <c r="C8442" t="s">
        <v>7673</v>
      </c>
      <c r="D8442">
        <v>1.8</v>
      </c>
      <c r="E8442">
        <v>0</v>
      </c>
      <c r="F8442">
        <f t="shared" si="131"/>
        <v>1.8</v>
      </c>
      <c r="I8442">
        <v>20180701</v>
      </c>
      <c r="J8442" t="s">
        <v>7945</v>
      </c>
      <c r="K8442" t="s">
        <v>7946</v>
      </c>
      <c r="L8442" t="s">
        <v>7947</v>
      </c>
      <c r="M8442" t="s">
        <v>7948</v>
      </c>
    </row>
    <row r="8443" spans="1:15" x14ac:dyDescent="0.3">
      <c r="A8443" s="160">
        <v>62629</v>
      </c>
      <c r="B8443" t="s">
        <v>23514</v>
      </c>
      <c r="C8443" t="s">
        <v>256</v>
      </c>
      <c r="D8443">
        <v>0</v>
      </c>
      <c r="E8443">
        <v>0.1</v>
      </c>
      <c r="F8443">
        <f t="shared" si="131"/>
        <v>0.1</v>
      </c>
      <c r="I8443">
        <v>20150701</v>
      </c>
      <c r="J8443" t="s">
        <v>7760</v>
      </c>
    </row>
    <row r="8444" spans="1:15" x14ac:dyDescent="0.3">
      <c r="A8444" s="160">
        <v>62632</v>
      </c>
      <c r="B8444" t="s">
        <v>23515</v>
      </c>
      <c r="C8444" t="s">
        <v>7673</v>
      </c>
      <c r="D8444">
        <v>1.8</v>
      </c>
      <c r="E8444">
        <v>0</v>
      </c>
      <c r="F8444">
        <f t="shared" si="131"/>
        <v>1.8</v>
      </c>
      <c r="I8444">
        <v>20180701</v>
      </c>
      <c r="J8444" t="s">
        <v>7847</v>
      </c>
    </row>
    <row r="8445" spans="1:15" x14ac:dyDescent="0.3">
      <c r="A8445" s="160">
        <v>62634</v>
      </c>
      <c r="B8445" t="s">
        <v>23516</v>
      </c>
      <c r="C8445" t="s">
        <v>256</v>
      </c>
      <c r="D8445">
        <v>0</v>
      </c>
      <c r="E8445">
        <v>0.1</v>
      </c>
      <c r="F8445">
        <f t="shared" si="131"/>
        <v>0.1</v>
      </c>
      <c r="I8445">
        <v>20150701</v>
      </c>
      <c r="J8445" t="s">
        <v>7894</v>
      </c>
    </row>
    <row r="8446" spans="1:15" x14ac:dyDescent="0.3">
      <c r="A8446" s="160">
        <v>62636</v>
      </c>
      <c r="B8446" t="s">
        <v>23517</v>
      </c>
      <c r="C8446" t="s">
        <v>256</v>
      </c>
      <c r="D8446">
        <v>0</v>
      </c>
      <c r="E8446">
        <v>0.1</v>
      </c>
      <c r="F8446">
        <f t="shared" si="131"/>
        <v>0.1</v>
      </c>
      <c r="I8446">
        <v>20150701</v>
      </c>
      <c r="J8446" t="s">
        <v>7791</v>
      </c>
    </row>
    <row r="8447" spans="1:15" x14ac:dyDescent="0.3">
      <c r="A8447" s="160">
        <v>62637</v>
      </c>
      <c r="B8447" t="s">
        <v>23518</v>
      </c>
      <c r="C8447" t="s">
        <v>7673</v>
      </c>
      <c r="D8447">
        <v>1.8</v>
      </c>
      <c r="E8447">
        <v>0</v>
      </c>
      <c r="F8447">
        <f t="shared" si="131"/>
        <v>1.8</v>
      </c>
      <c r="I8447">
        <v>20180701</v>
      </c>
      <c r="J8447" t="s">
        <v>7949</v>
      </c>
      <c r="K8447" t="s">
        <v>7845</v>
      </c>
      <c r="L8447" t="s">
        <v>7950</v>
      </c>
    </row>
    <row r="8448" spans="1:15" x14ac:dyDescent="0.3">
      <c r="A8448" s="160">
        <v>62639</v>
      </c>
      <c r="B8448" t="s">
        <v>23519</v>
      </c>
      <c r="C8448" t="s">
        <v>256</v>
      </c>
      <c r="D8448">
        <v>0</v>
      </c>
      <c r="E8448">
        <v>0.1</v>
      </c>
      <c r="F8448">
        <f t="shared" si="131"/>
        <v>0.1</v>
      </c>
      <c r="I8448">
        <v>20150701</v>
      </c>
      <c r="J8448" t="s">
        <v>7709</v>
      </c>
    </row>
    <row r="8449" spans="1:14" x14ac:dyDescent="0.3">
      <c r="A8449" s="160">
        <v>62642</v>
      </c>
      <c r="B8449" t="s">
        <v>23520</v>
      </c>
      <c r="C8449" t="s">
        <v>7673</v>
      </c>
      <c r="D8449">
        <v>1.8</v>
      </c>
      <c r="E8449">
        <v>0</v>
      </c>
      <c r="F8449">
        <f t="shared" si="131"/>
        <v>1.8</v>
      </c>
      <c r="I8449">
        <v>20180701</v>
      </c>
      <c r="J8449" t="s">
        <v>7871</v>
      </c>
    </row>
    <row r="8450" spans="1:14" x14ac:dyDescent="0.3">
      <c r="A8450" s="160">
        <v>62643</v>
      </c>
      <c r="B8450" t="s">
        <v>23521</v>
      </c>
      <c r="C8450" t="s">
        <v>7761</v>
      </c>
      <c r="D8450">
        <v>1.25</v>
      </c>
      <c r="E8450">
        <v>0</v>
      </c>
      <c r="F8450">
        <f t="shared" si="131"/>
        <v>1.25</v>
      </c>
      <c r="I8450">
        <v>20120101</v>
      </c>
      <c r="J8450" t="s">
        <v>7807</v>
      </c>
      <c r="K8450" t="s">
        <v>7808</v>
      </c>
      <c r="L8450" t="s">
        <v>7809</v>
      </c>
      <c r="M8450" t="s">
        <v>7811</v>
      </c>
      <c r="N8450" t="s">
        <v>7951</v>
      </c>
    </row>
    <row r="8451" spans="1:14" x14ac:dyDescent="0.3">
      <c r="A8451" s="160">
        <v>62644</v>
      </c>
      <c r="B8451" t="s">
        <v>23522</v>
      </c>
      <c r="C8451" t="s">
        <v>256</v>
      </c>
      <c r="D8451">
        <v>0</v>
      </c>
      <c r="E8451">
        <v>0.1</v>
      </c>
      <c r="F8451">
        <f t="shared" si="131"/>
        <v>0.1</v>
      </c>
      <c r="I8451">
        <v>20180401</v>
      </c>
      <c r="J8451" t="s">
        <v>7682</v>
      </c>
    </row>
    <row r="8452" spans="1:14" x14ac:dyDescent="0.3">
      <c r="A8452" s="160">
        <v>62645</v>
      </c>
      <c r="B8452" t="s">
        <v>23523</v>
      </c>
      <c r="C8452" t="s">
        <v>256</v>
      </c>
      <c r="D8452">
        <v>0</v>
      </c>
      <c r="E8452">
        <v>0.1</v>
      </c>
      <c r="F8452">
        <f t="shared" si="131"/>
        <v>0.1</v>
      </c>
      <c r="I8452">
        <v>20150701</v>
      </c>
      <c r="J8452" t="s">
        <v>7826</v>
      </c>
      <c r="K8452" t="s">
        <v>7830</v>
      </c>
      <c r="L8452" t="s">
        <v>7952</v>
      </c>
    </row>
    <row r="8453" spans="1:14" x14ac:dyDescent="0.3">
      <c r="A8453" s="160">
        <v>62646</v>
      </c>
      <c r="B8453" t="s">
        <v>23524</v>
      </c>
      <c r="C8453" t="s">
        <v>256</v>
      </c>
      <c r="D8453">
        <v>0</v>
      </c>
      <c r="E8453">
        <v>0.1</v>
      </c>
      <c r="F8453">
        <f t="shared" si="131"/>
        <v>0.1</v>
      </c>
      <c r="I8453">
        <v>20150701</v>
      </c>
      <c r="J8453" t="s">
        <v>7953</v>
      </c>
    </row>
    <row r="8454" spans="1:14" x14ac:dyDescent="0.3">
      <c r="A8454" s="160">
        <v>62650</v>
      </c>
      <c r="B8454" t="s">
        <v>23525</v>
      </c>
      <c r="C8454" t="s">
        <v>256</v>
      </c>
      <c r="D8454">
        <v>0</v>
      </c>
      <c r="E8454">
        <v>0.1</v>
      </c>
      <c r="F8454">
        <f t="shared" si="131"/>
        <v>0.1</v>
      </c>
      <c r="I8454">
        <v>20150701</v>
      </c>
      <c r="J8454" t="s">
        <v>7885</v>
      </c>
    </row>
    <row r="8455" spans="1:14" x14ac:dyDescent="0.3">
      <c r="A8455" s="160">
        <v>62653</v>
      </c>
      <c r="B8455" t="s">
        <v>23526</v>
      </c>
      <c r="C8455" t="s">
        <v>7761</v>
      </c>
      <c r="D8455">
        <v>1.25</v>
      </c>
      <c r="E8455">
        <v>0</v>
      </c>
      <c r="F8455">
        <f t="shared" ref="F8455:F8518" si="132">D8455+E8455</f>
        <v>1.25</v>
      </c>
      <c r="I8455">
        <v>20120101</v>
      </c>
      <c r="J8455" t="s">
        <v>7849</v>
      </c>
    </row>
    <row r="8456" spans="1:14" x14ac:dyDescent="0.3">
      <c r="A8456" s="160">
        <v>62654</v>
      </c>
      <c r="B8456" t="s">
        <v>23527</v>
      </c>
      <c r="C8456" t="s">
        <v>7752</v>
      </c>
      <c r="D8456">
        <v>2</v>
      </c>
      <c r="E8456">
        <v>0</v>
      </c>
      <c r="F8456">
        <f t="shared" si="132"/>
        <v>2</v>
      </c>
      <c r="I8456">
        <v>20250101</v>
      </c>
      <c r="J8456" t="s">
        <v>7828</v>
      </c>
      <c r="K8456" t="s">
        <v>7830</v>
      </c>
      <c r="L8456" t="s">
        <v>7850</v>
      </c>
    </row>
    <row r="8457" spans="1:14" x14ac:dyDescent="0.3">
      <c r="A8457" s="160">
        <v>62656</v>
      </c>
      <c r="B8457" t="s">
        <v>23528</v>
      </c>
      <c r="C8457" t="s">
        <v>256</v>
      </c>
      <c r="D8457">
        <v>0</v>
      </c>
      <c r="E8457">
        <v>0.1</v>
      </c>
      <c r="F8457">
        <f t="shared" si="132"/>
        <v>0.1</v>
      </c>
      <c r="I8457">
        <v>20180401</v>
      </c>
      <c r="J8457" t="s">
        <v>7710</v>
      </c>
      <c r="K8457" t="s">
        <v>7896</v>
      </c>
    </row>
    <row r="8458" spans="1:14" x14ac:dyDescent="0.3">
      <c r="A8458" s="160">
        <v>62657</v>
      </c>
      <c r="B8458" t="s">
        <v>23529</v>
      </c>
      <c r="C8458" t="s">
        <v>7752</v>
      </c>
      <c r="D8458">
        <v>2</v>
      </c>
      <c r="E8458">
        <v>0</v>
      </c>
      <c r="F8458">
        <f t="shared" si="132"/>
        <v>2</v>
      </c>
      <c r="I8458">
        <v>20250101</v>
      </c>
      <c r="J8458" t="s">
        <v>7697</v>
      </c>
    </row>
    <row r="8459" spans="1:14" x14ac:dyDescent="0.3">
      <c r="A8459" s="160">
        <v>62658</v>
      </c>
      <c r="B8459" t="s">
        <v>23530</v>
      </c>
      <c r="C8459" t="s">
        <v>7761</v>
      </c>
      <c r="D8459">
        <v>1.25</v>
      </c>
      <c r="E8459">
        <v>0</v>
      </c>
      <c r="F8459">
        <f t="shared" si="132"/>
        <v>1.25</v>
      </c>
      <c r="I8459">
        <v>20120101</v>
      </c>
      <c r="J8459" t="s">
        <v>7849</v>
      </c>
    </row>
    <row r="8460" spans="1:14" x14ac:dyDescent="0.3">
      <c r="A8460" s="160">
        <v>62664</v>
      </c>
      <c r="B8460" t="s">
        <v>23531</v>
      </c>
      <c r="C8460" t="s">
        <v>256</v>
      </c>
      <c r="D8460">
        <v>0</v>
      </c>
      <c r="E8460">
        <v>0.1</v>
      </c>
      <c r="F8460">
        <f t="shared" si="132"/>
        <v>0.1</v>
      </c>
      <c r="I8460">
        <v>20150701</v>
      </c>
      <c r="J8460" t="s">
        <v>7793</v>
      </c>
    </row>
    <row r="8461" spans="1:14" x14ac:dyDescent="0.3">
      <c r="A8461" s="160">
        <v>62666</v>
      </c>
      <c r="B8461" t="s">
        <v>23532</v>
      </c>
      <c r="C8461" t="s">
        <v>7673</v>
      </c>
      <c r="D8461">
        <v>1.8</v>
      </c>
      <c r="E8461">
        <v>0</v>
      </c>
      <c r="F8461">
        <f t="shared" si="132"/>
        <v>1.8</v>
      </c>
      <c r="I8461">
        <v>20180701</v>
      </c>
      <c r="J8461" t="s">
        <v>7699</v>
      </c>
      <c r="K8461" t="s">
        <v>7700</v>
      </c>
    </row>
    <row r="8462" spans="1:14" x14ac:dyDescent="0.3">
      <c r="A8462" s="160">
        <v>62667</v>
      </c>
      <c r="B8462" t="s">
        <v>23533</v>
      </c>
      <c r="C8462" t="s">
        <v>7761</v>
      </c>
      <c r="D8462">
        <v>1.25</v>
      </c>
      <c r="E8462">
        <v>0</v>
      </c>
      <c r="F8462">
        <f t="shared" si="132"/>
        <v>1.25</v>
      </c>
      <c r="I8462">
        <v>20120101</v>
      </c>
      <c r="J8462" t="s">
        <v>7806</v>
      </c>
      <c r="K8462" t="s">
        <v>7807</v>
      </c>
      <c r="L8462" t="s">
        <v>7808</v>
      </c>
      <c r="M8462" t="s">
        <v>7810</v>
      </c>
      <c r="N8462" t="s">
        <v>7954</v>
      </c>
    </row>
    <row r="8463" spans="1:14" x14ac:dyDescent="0.3">
      <c r="A8463" s="160">
        <v>62672</v>
      </c>
      <c r="B8463" t="s">
        <v>23534</v>
      </c>
      <c r="C8463" t="s">
        <v>256</v>
      </c>
      <c r="D8463">
        <v>0</v>
      </c>
      <c r="E8463">
        <v>0.1</v>
      </c>
      <c r="F8463">
        <f t="shared" si="132"/>
        <v>0.1</v>
      </c>
      <c r="I8463">
        <v>20150701</v>
      </c>
      <c r="J8463" t="s">
        <v>7675</v>
      </c>
    </row>
    <row r="8464" spans="1:14" x14ac:dyDescent="0.3">
      <c r="A8464" s="160">
        <v>62674</v>
      </c>
      <c r="B8464" t="s">
        <v>23535</v>
      </c>
      <c r="C8464" t="s">
        <v>256</v>
      </c>
      <c r="D8464">
        <v>0</v>
      </c>
      <c r="E8464">
        <v>0.1</v>
      </c>
      <c r="F8464">
        <f t="shared" si="132"/>
        <v>0.1</v>
      </c>
      <c r="I8464">
        <v>20180401</v>
      </c>
      <c r="J8464" t="s">
        <v>7804</v>
      </c>
      <c r="K8464" t="s">
        <v>7799</v>
      </c>
    </row>
    <row r="8465" spans="1:11" x14ac:dyDescent="0.3">
      <c r="A8465" s="160">
        <v>62675</v>
      </c>
      <c r="B8465" t="s">
        <v>23536</v>
      </c>
      <c r="C8465" t="s">
        <v>256</v>
      </c>
      <c r="D8465">
        <v>0</v>
      </c>
      <c r="E8465">
        <v>0.1</v>
      </c>
      <c r="F8465">
        <f t="shared" si="132"/>
        <v>0.1</v>
      </c>
      <c r="I8465">
        <v>20180401</v>
      </c>
      <c r="J8465" t="s">
        <v>7682</v>
      </c>
      <c r="K8465" t="s">
        <v>7768</v>
      </c>
    </row>
    <row r="8466" spans="1:11" x14ac:dyDescent="0.3">
      <c r="A8466" s="160">
        <v>62676</v>
      </c>
      <c r="B8466" t="s">
        <v>23537</v>
      </c>
      <c r="C8466" t="s">
        <v>7673</v>
      </c>
      <c r="D8466">
        <v>1.6</v>
      </c>
      <c r="E8466">
        <v>0</v>
      </c>
      <c r="F8466">
        <f t="shared" si="132"/>
        <v>1.6</v>
      </c>
      <c r="I8466">
        <v>20240101</v>
      </c>
      <c r="J8466" t="s">
        <v>7685</v>
      </c>
    </row>
    <row r="8467" spans="1:11" x14ac:dyDescent="0.3">
      <c r="A8467" s="160">
        <v>62679</v>
      </c>
      <c r="B8467" t="s">
        <v>23538</v>
      </c>
      <c r="C8467" t="s">
        <v>256</v>
      </c>
      <c r="D8467">
        <v>0</v>
      </c>
      <c r="E8467">
        <v>0.1</v>
      </c>
      <c r="F8467">
        <f t="shared" si="132"/>
        <v>0.1</v>
      </c>
      <c r="I8467">
        <v>20150701</v>
      </c>
      <c r="J8467" t="s">
        <v>7843</v>
      </c>
    </row>
    <row r="8468" spans="1:11" x14ac:dyDescent="0.3">
      <c r="A8468" s="160">
        <v>62680</v>
      </c>
      <c r="B8468" t="s">
        <v>23539</v>
      </c>
      <c r="C8468" t="s">
        <v>256</v>
      </c>
      <c r="D8468">
        <v>0</v>
      </c>
      <c r="E8468">
        <v>0.1</v>
      </c>
      <c r="F8468">
        <f t="shared" si="132"/>
        <v>0.1</v>
      </c>
      <c r="I8468">
        <v>20150701</v>
      </c>
      <c r="J8468" t="s">
        <v>7771</v>
      </c>
    </row>
    <row r="8469" spans="1:11" x14ac:dyDescent="0.3">
      <c r="A8469" s="160">
        <v>62681</v>
      </c>
      <c r="B8469" t="s">
        <v>23540</v>
      </c>
      <c r="C8469" t="s">
        <v>7684</v>
      </c>
      <c r="D8469">
        <v>0.7</v>
      </c>
      <c r="E8469">
        <v>0.1</v>
      </c>
      <c r="F8469">
        <f t="shared" si="132"/>
        <v>0.79999999999999993</v>
      </c>
      <c r="I8469">
        <v>20230701</v>
      </c>
      <c r="J8469" t="s">
        <v>7685</v>
      </c>
    </row>
    <row r="8470" spans="1:11" x14ac:dyDescent="0.3">
      <c r="A8470" s="160">
        <v>62684</v>
      </c>
      <c r="B8470" t="s">
        <v>23541</v>
      </c>
      <c r="C8470" t="s">
        <v>7684</v>
      </c>
      <c r="D8470">
        <v>0.7</v>
      </c>
      <c r="E8470">
        <v>0.1</v>
      </c>
      <c r="F8470">
        <f t="shared" si="132"/>
        <v>0.79999999999999993</v>
      </c>
      <c r="I8470">
        <v>20230701</v>
      </c>
      <c r="J8470" t="s">
        <v>7685</v>
      </c>
    </row>
    <row r="8471" spans="1:11" x14ac:dyDescent="0.3">
      <c r="A8471" s="160">
        <v>62688</v>
      </c>
      <c r="B8471" t="s">
        <v>23542</v>
      </c>
      <c r="C8471" t="s">
        <v>7689</v>
      </c>
      <c r="D8471">
        <v>0.8</v>
      </c>
      <c r="E8471">
        <v>0.1</v>
      </c>
      <c r="F8471">
        <f t="shared" si="132"/>
        <v>0.9</v>
      </c>
      <c r="I8471">
        <v>20240101</v>
      </c>
      <c r="J8471" t="s">
        <v>7690</v>
      </c>
    </row>
    <row r="8472" spans="1:11" x14ac:dyDescent="0.3">
      <c r="A8472" s="160">
        <v>62689</v>
      </c>
      <c r="B8472" t="s">
        <v>23543</v>
      </c>
      <c r="C8472" t="s">
        <v>7677</v>
      </c>
      <c r="D8472">
        <v>1.25</v>
      </c>
      <c r="E8472">
        <v>0</v>
      </c>
      <c r="F8472">
        <f t="shared" si="132"/>
        <v>1.25</v>
      </c>
      <c r="I8472">
        <v>20250101</v>
      </c>
      <c r="J8472" t="s">
        <v>7796</v>
      </c>
    </row>
    <row r="8473" spans="1:11" x14ac:dyDescent="0.3">
      <c r="A8473" s="160">
        <v>62691</v>
      </c>
      <c r="B8473" t="s">
        <v>16795</v>
      </c>
      <c r="C8473" t="s">
        <v>7684</v>
      </c>
      <c r="D8473">
        <v>0.7</v>
      </c>
      <c r="E8473">
        <v>0.1</v>
      </c>
      <c r="F8473">
        <f t="shared" si="132"/>
        <v>0.79999999999999993</v>
      </c>
      <c r="I8473">
        <v>20230701</v>
      </c>
      <c r="J8473" t="s">
        <v>7685</v>
      </c>
      <c r="K8473" t="s">
        <v>7848</v>
      </c>
    </row>
    <row r="8474" spans="1:11" x14ac:dyDescent="0.3">
      <c r="A8474" s="160">
        <v>62693</v>
      </c>
      <c r="B8474" t="s">
        <v>23544</v>
      </c>
      <c r="C8474" t="s">
        <v>7673</v>
      </c>
      <c r="D8474">
        <v>1.8</v>
      </c>
      <c r="E8474">
        <v>0</v>
      </c>
      <c r="F8474">
        <f t="shared" si="132"/>
        <v>1.8</v>
      </c>
      <c r="I8474">
        <v>20180701</v>
      </c>
      <c r="J8474" t="s">
        <v>7763</v>
      </c>
    </row>
    <row r="8475" spans="1:11" x14ac:dyDescent="0.3">
      <c r="A8475" s="160">
        <v>62696</v>
      </c>
      <c r="B8475" t="s">
        <v>23545</v>
      </c>
      <c r="C8475" t="s">
        <v>7684</v>
      </c>
      <c r="D8475">
        <v>0.7</v>
      </c>
      <c r="E8475">
        <v>0.1</v>
      </c>
      <c r="F8475">
        <f t="shared" si="132"/>
        <v>0.79999999999999993</v>
      </c>
      <c r="I8475">
        <v>20230701</v>
      </c>
      <c r="J8475" t="s">
        <v>7757</v>
      </c>
    </row>
    <row r="8476" spans="1:11" x14ac:dyDescent="0.3">
      <c r="A8476" s="160">
        <v>62697</v>
      </c>
      <c r="B8476" t="s">
        <v>23546</v>
      </c>
      <c r="C8476" t="s">
        <v>256</v>
      </c>
      <c r="D8476">
        <v>0</v>
      </c>
      <c r="E8476">
        <v>0.1</v>
      </c>
      <c r="F8476">
        <f t="shared" si="132"/>
        <v>0.1</v>
      </c>
      <c r="I8476">
        <v>20150701</v>
      </c>
      <c r="J8476" t="s">
        <v>7953</v>
      </c>
    </row>
    <row r="8477" spans="1:11" x14ac:dyDescent="0.3">
      <c r="A8477" s="160">
        <v>62698</v>
      </c>
      <c r="B8477" t="s">
        <v>23547</v>
      </c>
      <c r="C8477" t="s">
        <v>7689</v>
      </c>
      <c r="D8477">
        <v>0.8</v>
      </c>
      <c r="E8477">
        <v>0</v>
      </c>
      <c r="F8477">
        <f t="shared" si="132"/>
        <v>0.8</v>
      </c>
      <c r="I8477">
        <v>20220101</v>
      </c>
      <c r="J8477" t="s">
        <v>7754</v>
      </c>
    </row>
    <row r="8478" spans="1:11" x14ac:dyDescent="0.3">
      <c r="A8478" s="160">
        <v>62701</v>
      </c>
      <c r="B8478" t="s">
        <v>23548</v>
      </c>
      <c r="C8478" t="s">
        <v>7673</v>
      </c>
      <c r="D8478">
        <v>1.6</v>
      </c>
      <c r="E8478">
        <v>0</v>
      </c>
      <c r="F8478">
        <f t="shared" si="132"/>
        <v>1.6</v>
      </c>
      <c r="I8478">
        <v>20240101</v>
      </c>
      <c r="J8478" t="s">
        <v>7685</v>
      </c>
    </row>
    <row r="8479" spans="1:11" x14ac:dyDescent="0.3">
      <c r="A8479" s="160">
        <v>62702</v>
      </c>
      <c r="B8479" t="s">
        <v>23549</v>
      </c>
      <c r="C8479" t="s">
        <v>256</v>
      </c>
      <c r="D8479">
        <v>0</v>
      </c>
      <c r="E8479">
        <v>0.1</v>
      </c>
      <c r="F8479">
        <f t="shared" si="132"/>
        <v>0.1</v>
      </c>
      <c r="I8479">
        <v>20180401</v>
      </c>
      <c r="J8479" t="s">
        <v>7682</v>
      </c>
    </row>
    <row r="8480" spans="1:11" x14ac:dyDescent="0.3">
      <c r="A8480" s="160">
        <v>62703</v>
      </c>
      <c r="B8480" t="s">
        <v>23550</v>
      </c>
      <c r="C8480" t="s">
        <v>256</v>
      </c>
      <c r="D8480">
        <v>0</v>
      </c>
      <c r="E8480">
        <v>0.1</v>
      </c>
      <c r="F8480">
        <f t="shared" si="132"/>
        <v>0.1</v>
      </c>
      <c r="I8480">
        <v>20150701</v>
      </c>
      <c r="J8480" t="s">
        <v>7802</v>
      </c>
    </row>
    <row r="8481" spans="1:11" x14ac:dyDescent="0.3">
      <c r="A8481" s="160">
        <v>62704</v>
      </c>
      <c r="B8481" t="s">
        <v>23551</v>
      </c>
      <c r="C8481" t="s">
        <v>7684</v>
      </c>
      <c r="D8481">
        <v>0.7</v>
      </c>
      <c r="E8481">
        <v>0.1</v>
      </c>
      <c r="F8481">
        <f t="shared" si="132"/>
        <v>0.79999999999999993</v>
      </c>
      <c r="I8481">
        <v>20230701</v>
      </c>
      <c r="J8481" t="s">
        <v>7768</v>
      </c>
      <c r="K8481" t="s">
        <v>7757</v>
      </c>
    </row>
    <row r="8482" spans="1:11" x14ac:dyDescent="0.3">
      <c r="A8482" s="160">
        <v>62706</v>
      </c>
      <c r="B8482" t="s">
        <v>23552</v>
      </c>
      <c r="C8482" t="s">
        <v>7673</v>
      </c>
      <c r="D8482">
        <v>1.8</v>
      </c>
      <c r="E8482">
        <v>0</v>
      </c>
      <c r="F8482">
        <f t="shared" si="132"/>
        <v>1.8</v>
      </c>
      <c r="I8482">
        <v>20180701</v>
      </c>
      <c r="J8482" t="s">
        <v>7868</v>
      </c>
    </row>
    <row r="8483" spans="1:11" x14ac:dyDescent="0.3">
      <c r="A8483" s="160">
        <v>62712</v>
      </c>
      <c r="B8483" t="s">
        <v>19406</v>
      </c>
      <c r="C8483" t="s">
        <v>7677</v>
      </c>
      <c r="D8483">
        <v>1.25</v>
      </c>
      <c r="E8483">
        <v>0</v>
      </c>
      <c r="F8483">
        <f t="shared" si="132"/>
        <v>1.25</v>
      </c>
      <c r="I8483">
        <v>20250101</v>
      </c>
      <c r="J8483" t="s">
        <v>7796</v>
      </c>
    </row>
    <row r="8484" spans="1:11" x14ac:dyDescent="0.3">
      <c r="A8484" s="160">
        <v>62713</v>
      </c>
      <c r="B8484" t="s">
        <v>23553</v>
      </c>
      <c r="C8484" t="s">
        <v>7673</v>
      </c>
      <c r="D8484">
        <v>1.6</v>
      </c>
      <c r="E8484">
        <v>0</v>
      </c>
      <c r="F8484">
        <f t="shared" si="132"/>
        <v>1.6</v>
      </c>
      <c r="I8484">
        <v>20240101</v>
      </c>
      <c r="J8484" t="s">
        <v>7824</v>
      </c>
    </row>
    <row r="8485" spans="1:11" x14ac:dyDescent="0.3">
      <c r="A8485" s="160">
        <v>62714</v>
      </c>
      <c r="B8485" t="s">
        <v>23554</v>
      </c>
      <c r="C8485" t="s">
        <v>7677</v>
      </c>
      <c r="D8485">
        <v>1.25</v>
      </c>
      <c r="E8485">
        <v>0</v>
      </c>
      <c r="F8485">
        <f t="shared" si="132"/>
        <v>1.25</v>
      </c>
      <c r="I8485">
        <v>20250101</v>
      </c>
      <c r="J8485" t="s">
        <v>7705</v>
      </c>
      <c r="K8485" t="s">
        <v>7707</v>
      </c>
    </row>
    <row r="8486" spans="1:11" x14ac:dyDescent="0.3">
      <c r="A8486" s="160">
        <v>62716</v>
      </c>
      <c r="B8486" t="s">
        <v>23555</v>
      </c>
      <c r="C8486" t="s">
        <v>256</v>
      </c>
      <c r="D8486">
        <v>0</v>
      </c>
      <c r="E8486">
        <v>0.1</v>
      </c>
      <c r="F8486">
        <f t="shared" si="132"/>
        <v>0.1</v>
      </c>
      <c r="I8486">
        <v>20150701</v>
      </c>
      <c r="J8486" t="s">
        <v>7708</v>
      </c>
    </row>
    <row r="8487" spans="1:11" x14ac:dyDescent="0.3">
      <c r="A8487" s="160">
        <v>62718</v>
      </c>
      <c r="B8487" t="s">
        <v>23556</v>
      </c>
      <c r="C8487" t="s">
        <v>7677</v>
      </c>
      <c r="D8487">
        <v>1.25</v>
      </c>
      <c r="E8487">
        <v>0</v>
      </c>
      <c r="F8487">
        <f t="shared" si="132"/>
        <v>1.25</v>
      </c>
      <c r="I8487">
        <v>20250101</v>
      </c>
      <c r="J8487" t="s">
        <v>7885</v>
      </c>
    </row>
    <row r="8488" spans="1:11" x14ac:dyDescent="0.3">
      <c r="A8488" s="160">
        <v>62720</v>
      </c>
      <c r="B8488" t="s">
        <v>23557</v>
      </c>
      <c r="C8488" t="s">
        <v>7673</v>
      </c>
      <c r="D8488">
        <v>1.6</v>
      </c>
      <c r="E8488">
        <v>0</v>
      </c>
      <c r="F8488">
        <f t="shared" si="132"/>
        <v>1.6</v>
      </c>
      <c r="I8488">
        <v>20240101</v>
      </c>
      <c r="J8488" t="s">
        <v>7685</v>
      </c>
    </row>
    <row r="8489" spans="1:11" x14ac:dyDescent="0.3">
      <c r="A8489" s="160">
        <v>62721</v>
      </c>
      <c r="B8489" t="s">
        <v>23558</v>
      </c>
      <c r="C8489" t="s">
        <v>7684</v>
      </c>
      <c r="D8489">
        <v>0.7</v>
      </c>
      <c r="E8489">
        <v>0.1</v>
      </c>
      <c r="F8489">
        <f t="shared" si="132"/>
        <v>0.79999999999999993</v>
      </c>
      <c r="I8489">
        <v>20230701</v>
      </c>
      <c r="J8489" t="s">
        <v>7685</v>
      </c>
    </row>
    <row r="8490" spans="1:11" x14ac:dyDescent="0.3">
      <c r="A8490" s="160">
        <v>62723</v>
      </c>
      <c r="B8490" t="s">
        <v>23559</v>
      </c>
      <c r="C8490" t="s">
        <v>256</v>
      </c>
      <c r="D8490">
        <v>0</v>
      </c>
      <c r="E8490">
        <v>0.1</v>
      </c>
      <c r="F8490">
        <f t="shared" si="132"/>
        <v>0.1</v>
      </c>
      <c r="I8490">
        <v>20240101</v>
      </c>
      <c r="J8490" t="s">
        <v>7955</v>
      </c>
    </row>
    <row r="8491" spans="1:11" x14ac:dyDescent="0.3">
      <c r="A8491" s="160">
        <v>62724</v>
      </c>
      <c r="B8491" t="s">
        <v>15608</v>
      </c>
      <c r="C8491" t="s">
        <v>7673</v>
      </c>
      <c r="D8491">
        <v>1.8</v>
      </c>
      <c r="E8491">
        <v>0</v>
      </c>
      <c r="F8491">
        <f t="shared" si="132"/>
        <v>1.8</v>
      </c>
      <c r="I8491">
        <v>20180701</v>
      </c>
      <c r="J8491" t="s">
        <v>7676</v>
      </c>
    </row>
    <row r="8492" spans="1:11" x14ac:dyDescent="0.3">
      <c r="A8492" s="160">
        <v>62727</v>
      </c>
      <c r="B8492" t="s">
        <v>23560</v>
      </c>
      <c r="C8492" t="s">
        <v>7673</v>
      </c>
      <c r="D8492">
        <v>1.8</v>
      </c>
      <c r="E8492">
        <v>0</v>
      </c>
      <c r="F8492">
        <f t="shared" si="132"/>
        <v>1.8</v>
      </c>
      <c r="I8492">
        <v>20180701</v>
      </c>
      <c r="J8492" t="s">
        <v>7764</v>
      </c>
    </row>
    <row r="8493" spans="1:11" x14ac:dyDescent="0.3">
      <c r="A8493" s="160">
        <v>62732</v>
      </c>
      <c r="B8493" t="s">
        <v>23561</v>
      </c>
      <c r="C8493" t="s">
        <v>256</v>
      </c>
      <c r="D8493">
        <v>0</v>
      </c>
      <c r="E8493">
        <v>0.1</v>
      </c>
      <c r="F8493">
        <f t="shared" si="132"/>
        <v>0.1</v>
      </c>
      <c r="I8493">
        <v>20170701</v>
      </c>
      <c r="J8493" t="s">
        <v>7758</v>
      </c>
    </row>
    <row r="8494" spans="1:11" x14ac:dyDescent="0.3">
      <c r="A8494" s="160">
        <v>62734</v>
      </c>
      <c r="B8494" t="s">
        <v>23562</v>
      </c>
      <c r="C8494" t="s">
        <v>256</v>
      </c>
      <c r="D8494">
        <v>0</v>
      </c>
      <c r="E8494">
        <v>0.1</v>
      </c>
      <c r="F8494">
        <f t="shared" si="132"/>
        <v>0.1</v>
      </c>
      <c r="I8494">
        <v>20150701</v>
      </c>
      <c r="J8494" t="s">
        <v>7771</v>
      </c>
    </row>
    <row r="8495" spans="1:11" x14ac:dyDescent="0.3">
      <c r="A8495" s="160">
        <v>62735</v>
      </c>
      <c r="B8495" t="s">
        <v>23563</v>
      </c>
      <c r="C8495" t="s">
        <v>7673</v>
      </c>
      <c r="D8495">
        <v>1.8</v>
      </c>
      <c r="E8495">
        <v>0</v>
      </c>
      <c r="F8495">
        <f t="shared" si="132"/>
        <v>1.8</v>
      </c>
      <c r="I8495">
        <v>20180701</v>
      </c>
      <c r="J8495" t="s">
        <v>7906</v>
      </c>
    </row>
    <row r="8496" spans="1:11" x14ac:dyDescent="0.3">
      <c r="A8496" s="160">
        <v>62736</v>
      </c>
      <c r="B8496" t="s">
        <v>23564</v>
      </c>
      <c r="C8496" t="s">
        <v>256</v>
      </c>
      <c r="D8496">
        <v>0</v>
      </c>
      <c r="E8496">
        <v>0.1</v>
      </c>
      <c r="F8496">
        <f t="shared" si="132"/>
        <v>0.1</v>
      </c>
      <c r="I8496">
        <v>20150701</v>
      </c>
      <c r="J8496" t="s">
        <v>7887</v>
      </c>
    </row>
    <row r="8497" spans="1:18" x14ac:dyDescent="0.3">
      <c r="A8497" s="160">
        <v>62737</v>
      </c>
      <c r="B8497" t="s">
        <v>23565</v>
      </c>
      <c r="C8497" t="s">
        <v>7673</v>
      </c>
      <c r="D8497">
        <v>1.8</v>
      </c>
      <c r="E8497">
        <v>0</v>
      </c>
      <c r="F8497">
        <f t="shared" si="132"/>
        <v>1.8</v>
      </c>
      <c r="I8497">
        <v>20180701</v>
      </c>
      <c r="J8497" t="s">
        <v>7956</v>
      </c>
    </row>
    <row r="8498" spans="1:18" x14ac:dyDescent="0.3">
      <c r="A8498" s="160">
        <v>62741</v>
      </c>
      <c r="B8498" t="s">
        <v>23566</v>
      </c>
      <c r="C8498" t="s">
        <v>256</v>
      </c>
      <c r="D8498">
        <v>0</v>
      </c>
      <c r="E8498">
        <v>0.1</v>
      </c>
      <c r="F8498">
        <f t="shared" si="132"/>
        <v>0.1</v>
      </c>
      <c r="I8498">
        <v>20150701</v>
      </c>
      <c r="J8498" t="s">
        <v>7890</v>
      </c>
    </row>
    <row r="8499" spans="1:18" x14ac:dyDescent="0.3">
      <c r="A8499" s="160">
        <v>62742</v>
      </c>
      <c r="B8499" t="s">
        <v>16999</v>
      </c>
      <c r="C8499" t="s">
        <v>7689</v>
      </c>
      <c r="D8499">
        <v>0.8</v>
      </c>
      <c r="E8499">
        <v>0.1</v>
      </c>
      <c r="F8499">
        <f t="shared" si="132"/>
        <v>0.9</v>
      </c>
      <c r="I8499">
        <v>20240101</v>
      </c>
      <c r="J8499" t="s">
        <v>7754</v>
      </c>
    </row>
    <row r="8500" spans="1:18" x14ac:dyDescent="0.3">
      <c r="A8500" s="160">
        <v>62744</v>
      </c>
      <c r="B8500" t="s">
        <v>23567</v>
      </c>
      <c r="C8500" t="s">
        <v>7677</v>
      </c>
      <c r="D8500">
        <v>1.25</v>
      </c>
      <c r="E8500">
        <v>0</v>
      </c>
      <c r="F8500">
        <f t="shared" si="132"/>
        <v>1.25</v>
      </c>
      <c r="I8500">
        <v>20250101</v>
      </c>
      <c r="J8500" t="s">
        <v>7739</v>
      </c>
      <c r="K8500" t="s">
        <v>7704</v>
      </c>
      <c r="L8500" t="s">
        <v>7747</v>
      </c>
      <c r="M8500" t="s">
        <v>7705</v>
      </c>
      <c r="N8500" t="s">
        <v>7957</v>
      </c>
      <c r="O8500" t="s">
        <v>7706</v>
      </c>
      <c r="P8500" t="s">
        <v>7707</v>
      </c>
    </row>
    <row r="8501" spans="1:18" x14ac:dyDescent="0.3">
      <c r="A8501" s="160">
        <v>62746</v>
      </c>
      <c r="B8501" t="s">
        <v>23568</v>
      </c>
      <c r="C8501" t="s">
        <v>7761</v>
      </c>
      <c r="D8501">
        <v>1.25</v>
      </c>
      <c r="E8501">
        <v>0</v>
      </c>
      <c r="F8501">
        <f t="shared" si="132"/>
        <v>1.25</v>
      </c>
      <c r="I8501">
        <v>20120101</v>
      </c>
      <c r="J8501" t="s">
        <v>7762</v>
      </c>
      <c r="K8501" t="s">
        <v>7958</v>
      </c>
    </row>
    <row r="8502" spans="1:18" x14ac:dyDescent="0.3">
      <c r="A8502" s="160">
        <v>62747</v>
      </c>
      <c r="B8502" t="s">
        <v>23569</v>
      </c>
      <c r="C8502" t="s">
        <v>7673</v>
      </c>
      <c r="D8502">
        <v>1.6</v>
      </c>
      <c r="E8502">
        <v>0</v>
      </c>
      <c r="F8502">
        <f t="shared" si="132"/>
        <v>1.6</v>
      </c>
      <c r="I8502">
        <v>20240101</v>
      </c>
      <c r="J8502" t="s">
        <v>7824</v>
      </c>
    </row>
    <row r="8503" spans="1:18" x14ac:dyDescent="0.3">
      <c r="A8503" s="160">
        <v>62748</v>
      </c>
      <c r="B8503" t="s">
        <v>23570</v>
      </c>
      <c r="C8503" t="s">
        <v>256</v>
      </c>
      <c r="D8503">
        <v>0</v>
      </c>
      <c r="E8503">
        <v>0.1</v>
      </c>
      <c r="F8503">
        <f t="shared" si="132"/>
        <v>0.1</v>
      </c>
      <c r="I8503">
        <v>20150701</v>
      </c>
      <c r="J8503" t="s">
        <v>7894</v>
      </c>
    </row>
    <row r="8504" spans="1:18" x14ac:dyDescent="0.3">
      <c r="A8504" s="160">
        <v>62750</v>
      </c>
      <c r="B8504" t="s">
        <v>23571</v>
      </c>
      <c r="C8504" t="s">
        <v>7673</v>
      </c>
      <c r="D8504">
        <v>1.6</v>
      </c>
      <c r="E8504">
        <v>0</v>
      </c>
      <c r="F8504">
        <f t="shared" si="132"/>
        <v>1.6</v>
      </c>
      <c r="I8504">
        <v>20240101</v>
      </c>
      <c r="J8504" t="s">
        <v>7685</v>
      </c>
    </row>
    <row r="8505" spans="1:18" x14ac:dyDescent="0.3">
      <c r="A8505" s="160">
        <v>62751</v>
      </c>
      <c r="B8505" t="s">
        <v>23572</v>
      </c>
      <c r="C8505" t="s">
        <v>256</v>
      </c>
      <c r="D8505">
        <v>0</v>
      </c>
      <c r="E8505">
        <v>0.1</v>
      </c>
      <c r="F8505">
        <f t="shared" si="132"/>
        <v>0.1</v>
      </c>
      <c r="I8505">
        <v>20150701</v>
      </c>
      <c r="J8505" t="s">
        <v>7791</v>
      </c>
    </row>
    <row r="8506" spans="1:18" x14ac:dyDescent="0.3">
      <c r="A8506" s="160">
        <v>62752</v>
      </c>
      <c r="B8506" t="s">
        <v>23573</v>
      </c>
      <c r="C8506" t="s">
        <v>7689</v>
      </c>
      <c r="D8506">
        <v>0.8</v>
      </c>
      <c r="E8506">
        <v>0.1</v>
      </c>
      <c r="F8506">
        <f t="shared" si="132"/>
        <v>0.9</v>
      </c>
      <c r="I8506">
        <v>20240101</v>
      </c>
      <c r="J8506" t="s">
        <v>7754</v>
      </c>
    </row>
    <row r="8507" spans="1:18" x14ac:dyDescent="0.3">
      <c r="A8507" s="160">
        <v>62753</v>
      </c>
      <c r="B8507" t="s">
        <v>23574</v>
      </c>
      <c r="C8507" t="s">
        <v>7677</v>
      </c>
      <c r="D8507">
        <v>1.25</v>
      </c>
      <c r="E8507">
        <v>0</v>
      </c>
      <c r="F8507">
        <f t="shared" si="132"/>
        <v>1.25</v>
      </c>
      <c r="I8507">
        <v>20250101</v>
      </c>
      <c r="J8507" t="s">
        <v>7719</v>
      </c>
      <c r="K8507" t="s">
        <v>7703</v>
      </c>
      <c r="L8507" t="s">
        <v>7704</v>
      </c>
      <c r="M8507" t="s">
        <v>7747</v>
      </c>
      <c r="N8507" t="s">
        <v>7705</v>
      </c>
      <c r="O8507" t="s">
        <v>7957</v>
      </c>
      <c r="P8507" t="s">
        <v>7706</v>
      </c>
      <c r="Q8507" t="s">
        <v>7886</v>
      </c>
      <c r="R8507" t="s">
        <v>7707</v>
      </c>
    </row>
    <row r="8508" spans="1:18" x14ac:dyDescent="0.3">
      <c r="A8508" s="160">
        <v>62754</v>
      </c>
      <c r="B8508" t="s">
        <v>23575</v>
      </c>
      <c r="C8508" t="s">
        <v>256</v>
      </c>
      <c r="D8508">
        <v>0</v>
      </c>
      <c r="E8508">
        <v>0.1</v>
      </c>
      <c r="F8508">
        <f t="shared" si="132"/>
        <v>0.1</v>
      </c>
      <c r="I8508">
        <v>20150701</v>
      </c>
      <c r="J8508" t="s">
        <v>7801</v>
      </c>
    </row>
    <row r="8509" spans="1:18" x14ac:dyDescent="0.3">
      <c r="A8509" s="160">
        <v>62755</v>
      </c>
      <c r="B8509" t="s">
        <v>20891</v>
      </c>
      <c r="C8509" t="s">
        <v>7761</v>
      </c>
      <c r="D8509">
        <v>1.25</v>
      </c>
      <c r="E8509">
        <v>0</v>
      </c>
      <c r="F8509">
        <f t="shared" si="132"/>
        <v>1.25</v>
      </c>
      <c r="I8509">
        <v>20120101</v>
      </c>
      <c r="J8509" t="s">
        <v>7806</v>
      </c>
      <c r="K8509" t="s">
        <v>7807</v>
      </c>
      <c r="L8509" t="s">
        <v>7808</v>
      </c>
      <c r="M8509" t="s">
        <v>7809</v>
      </c>
      <c r="N8509" t="s">
        <v>7810</v>
      </c>
      <c r="O8509" t="s">
        <v>7811</v>
      </c>
      <c r="P8509" t="s">
        <v>7814</v>
      </c>
      <c r="Q8509" t="s">
        <v>7762</v>
      </c>
    </row>
    <row r="8510" spans="1:18" x14ac:dyDescent="0.3">
      <c r="A8510" s="160">
        <v>62756</v>
      </c>
      <c r="B8510" t="s">
        <v>23576</v>
      </c>
      <c r="C8510" t="s">
        <v>256</v>
      </c>
      <c r="D8510">
        <v>0</v>
      </c>
      <c r="E8510">
        <v>0.1</v>
      </c>
      <c r="F8510">
        <f t="shared" si="132"/>
        <v>0.1</v>
      </c>
      <c r="I8510">
        <v>20150701</v>
      </c>
      <c r="J8510" t="s">
        <v>7894</v>
      </c>
    </row>
    <row r="8511" spans="1:18" x14ac:dyDescent="0.3">
      <c r="A8511" s="160">
        <v>62757</v>
      </c>
      <c r="B8511" t="s">
        <v>23577</v>
      </c>
      <c r="C8511" t="s">
        <v>7684</v>
      </c>
      <c r="D8511">
        <v>0.7</v>
      </c>
      <c r="E8511">
        <v>0.1</v>
      </c>
      <c r="F8511">
        <f t="shared" si="132"/>
        <v>0.79999999999999993</v>
      </c>
      <c r="I8511">
        <v>20230701</v>
      </c>
      <c r="J8511" t="s">
        <v>7804</v>
      </c>
      <c r="K8511" t="s">
        <v>7797</v>
      </c>
      <c r="L8511" t="s">
        <v>7798</v>
      </c>
      <c r="M8511" t="s">
        <v>7710</v>
      </c>
      <c r="N8511" t="s">
        <v>7799</v>
      </c>
      <c r="O8511" t="s">
        <v>7711</v>
      </c>
    </row>
    <row r="8512" spans="1:18" x14ac:dyDescent="0.3">
      <c r="A8512" s="160">
        <v>62758</v>
      </c>
      <c r="B8512" t="s">
        <v>23578</v>
      </c>
      <c r="C8512" t="s">
        <v>7761</v>
      </c>
      <c r="D8512">
        <v>1.25</v>
      </c>
      <c r="E8512">
        <v>0</v>
      </c>
      <c r="F8512">
        <f t="shared" si="132"/>
        <v>1.25</v>
      </c>
      <c r="I8512">
        <v>20120101</v>
      </c>
      <c r="J8512" t="s">
        <v>7807</v>
      </c>
      <c r="K8512" t="s">
        <v>7808</v>
      </c>
      <c r="L8512" t="s">
        <v>7959</v>
      </c>
      <c r="M8512" t="s">
        <v>7960</v>
      </c>
      <c r="N8512" t="s">
        <v>7961</v>
      </c>
    </row>
    <row r="8513" spans="1:15" x14ac:dyDescent="0.3">
      <c r="A8513" s="160">
        <v>62760</v>
      </c>
      <c r="B8513" t="s">
        <v>23579</v>
      </c>
      <c r="C8513" t="s">
        <v>7684</v>
      </c>
      <c r="D8513">
        <v>0.7</v>
      </c>
      <c r="E8513">
        <v>0.1</v>
      </c>
      <c r="F8513">
        <f t="shared" si="132"/>
        <v>0.79999999999999993</v>
      </c>
      <c r="I8513">
        <v>20230701</v>
      </c>
      <c r="J8513" t="s">
        <v>7757</v>
      </c>
    </row>
    <row r="8514" spans="1:15" x14ac:dyDescent="0.3">
      <c r="A8514" s="160">
        <v>62761</v>
      </c>
      <c r="B8514" t="s">
        <v>23580</v>
      </c>
      <c r="C8514" t="s">
        <v>7677</v>
      </c>
      <c r="D8514">
        <v>1.25</v>
      </c>
      <c r="E8514">
        <v>0</v>
      </c>
      <c r="F8514">
        <f t="shared" si="132"/>
        <v>1.25</v>
      </c>
      <c r="I8514">
        <v>20250101</v>
      </c>
      <c r="J8514" t="s">
        <v>7801</v>
      </c>
    </row>
    <row r="8515" spans="1:15" x14ac:dyDescent="0.3">
      <c r="A8515" s="160">
        <v>62764</v>
      </c>
      <c r="B8515" t="s">
        <v>23581</v>
      </c>
      <c r="C8515" t="s">
        <v>7677</v>
      </c>
      <c r="D8515">
        <v>1.25</v>
      </c>
      <c r="E8515">
        <v>0</v>
      </c>
      <c r="F8515">
        <f t="shared" si="132"/>
        <v>1.25</v>
      </c>
      <c r="I8515">
        <v>20250101</v>
      </c>
      <c r="J8515" t="s">
        <v>7747</v>
      </c>
      <c r="K8515" t="s">
        <v>7706</v>
      </c>
      <c r="L8515" t="s">
        <v>7707</v>
      </c>
    </row>
    <row r="8516" spans="1:15" x14ac:dyDescent="0.3">
      <c r="A8516" s="160">
        <v>62765</v>
      </c>
      <c r="B8516" t="s">
        <v>23582</v>
      </c>
      <c r="C8516" t="s">
        <v>7684</v>
      </c>
      <c r="D8516">
        <v>0.7</v>
      </c>
      <c r="E8516">
        <v>0.1</v>
      </c>
      <c r="F8516">
        <f t="shared" si="132"/>
        <v>0.79999999999999993</v>
      </c>
      <c r="I8516">
        <v>20230701</v>
      </c>
      <c r="J8516" t="s">
        <v>7804</v>
      </c>
      <c r="K8516" t="s">
        <v>7797</v>
      </c>
      <c r="L8516" t="s">
        <v>7798</v>
      </c>
      <c r="M8516" t="s">
        <v>7710</v>
      </c>
      <c r="N8516" t="s">
        <v>7799</v>
      </c>
      <c r="O8516" t="s">
        <v>7711</v>
      </c>
    </row>
    <row r="8517" spans="1:15" x14ac:dyDescent="0.3">
      <c r="A8517" s="160">
        <v>62766</v>
      </c>
      <c r="B8517" t="s">
        <v>23583</v>
      </c>
      <c r="C8517" t="s">
        <v>256</v>
      </c>
      <c r="D8517">
        <v>0</v>
      </c>
      <c r="E8517">
        <v>0.1</v>
      </c>
      <c r="F8517">
        <f t="shared" si="132"/>
        <v>0.1</v>
      </c>
      <c r="I8517">
        <v>20150701</v>
      </c>
      <c r="J8517" t="s">
        <v>7962</v>
      </c>
    </row>
    <row r="8518" spans="1:15" x14ac:dyDescent="0.3">
      <c r="A8518" s="160">
        <v>62769</v>
      </c>
      <c r="B8518" t="s">
        <v>23584</v>
      </c>
      <c r="C8518" t="s">
        <v>7752</v>
      </c>
      <c r="D8518">
        <v>2</v>
      </c>
      <c r="E8518">
        <v>0</v>
      </c>
      <c r="F8518">
        <f t="shared" si="132"/>
        <v>2</v>
      </c>
      <c r="I8518">
        <v>20250101</v>
      </c>
      <c r="J8518" t="s">
        <v>7889</v>
      </c>
    </row>
    <row r="8519" spans="1:15" x14ac:dyDescent="0.3">
      <c r="A8519" s="160">
        <v>62770</v>
      </c>
      <c r="B8519" t="s">
        <v>23585</v>
      </c>
      <c r="C8519" t="s">
        <v>7673</v>
      </c>
      <c r="D8519">
        <v>1.6</v>
      </c>
      <c r="E8519">
        <v>0</v>
      </c>
      <c r="F8519">
        <f t="shared" ref="F8519:F8582" si="133">D8519+E8519</f>
        <v>1.6</v>
      </c>
      <c r="I8519">
        <v>20240101</v>
      </c>
      <c r="J8519" t="s">
        <v>7824</v>
      </c>
    </row>
    <row r="8520" spans="1:15" x14ac:dyDescent="0.3">
      <c r="A8520" s="160">
        <v>62771</v>
      </c>
      <c r="B8520" t="s">
        <v>23586</v>
      </c>
      <c r="C8520" t="s">
        <v>7673</v>
      </c>
      <c r="D8520">
        <v>1.8</v>
      </c>
      <c r="E8520">
        <v>0</v>
      </c>
      <c r="F8520">
        <f t="shared" si="133"/>
        <v>1.8</v>
      </c>
      <c r="I8520">
        <v>20180701</v>
      </c>
      <c r="J8520" t="s">
        <v>7963</v>
      </c>
    </row>
    <row r="8521" spans="1:15" x14ac:dyDescent="0.3">
      <c r="A8521" s="160">
        <v>62772</v>
      </c>
      <c r="B8521" t="s">
        <v>23587</v>
      </c>
      <c r="C8521" t="s">
        <v>7684</v>
      </c>
      <c r="D8521">
        <v>0.7</v>
      </c>
      <c r="E8521">
        <v>0.1</v>
      </c>
      <c r="F8521">
        <f t="shared" si="133"/>
        <v>0.79999999999999993</v>
      </c>
      <c r="I8521">
        <v>20230701</v>
      </c>
      <c r="J8521" t="s">
        <v>7804</v>
      </c>
    </row>
    <row r="8522" spans="1:15" x14ac:dyDescent="0.3">
      <c r="A8522" s="160">
        <v>62773</v>
      </c>
      <c r="B8522" t="s">
        <v>23588</v>
      </c>
      <c r="C8522" t="s">
        <v>256</v>
      </c>
      <c r="D8522">
        <v>0</v>
      </c>
      <c r="E8522">
        <v>0.1</v>
      </c>
      <c r="F8522">
        <f t="shared" si="133"/>
        <v>0.1</v>
      </c>
      <c r="I8522">
        <v>20150701</v>
      </c>
      <c r="J8522" t="s">
        <v>7843</v>
      </c>
    </row>
    <row r="8523" spans="1:15" x14ac:dyDescent="0.3">
      <c r="A8523" s="160">
        <v>62774</v>
      </c>
      <c r="B8523" t="s">
        <v>23589</v>
      </c>
      <c r="C8523" t="s">
        <v>7752</v>
      </c>
      <c r="D8523">
        <v>2</v>
      </c>
      <c r="E8523">
        <v>0</v>
      </c>
      <c r="F8523">
        <f t="shared" si="133"/>
        <v>2</v>
      </c>
      <c r="I8523">
        <v>20150701</v>
      </c>
      <c r="J8523" t="s">
        <v>7826</v>
      </c>
      <c r="K8523" t="s">
        <v>7827</v>
      </c>
      <c r="L8523" t="s">
        <v>7829</v>
      </c>
      <c r="M8523" t="s">
        <v>7831</v>
      </c>
      <c r="N8523" t="s">
        <v>7850</v>
      </c>
      <c r="O8523" t="s">
        <v>7853</v>
      </c>
    </row>
    <row r="8524" spans="1:15" x14ac:dyDescent="0.3">
      <c r="A8524" s="160">
        <v>62778</v>
      </c>
      <c r="B8524" t="s">
        <v>23590</v>
      </c>
      <c r="C8524" t="s">
        <v>256</v>
      </c>
      <c r="D8524">
        <v>0</v>
      </c>
      <c r="E8524">
        <v>0.1</v>
      </c>
      <c r="F8524">
        <f t="shared" si="133"/>
        <v>0.1</v>
      </c>
      <c r="I8524">
        <v>20150701</v>
      </c>
      <c r="J8524" t="s">
        <v>7765</v>
      </c>
    </row>
    <row r="8525" spans="1:15" x14ac:dyDescent="0.3">
      <c r="A8525" s="160">
        <v>62784</v>
      </c>
      <c r="B8525" t="s">
        <v>23591</v>
      </c>
      <c r="C8525" t="s">
        <v>256</v>
      </c>
      <c r="D8525">
        <v>0</v>
      </c>
      <c r="E8525">
        <v>0.1</v>
      </c>
      <c r="F8525">
        <f t="shared" si="133"/>
        <v>0.1</v>
      </c>
      <c r="I8525">
        <v>20150701</v>
      </c>
      <c r="J8525" t="s">
        <v>7766</v>
      </c>
    </row>
    <row r="8526" spans="1:15" x14ac:dyDescent="0.3">
      <c r="A8526" s="160">
        <v>62788</v>
      </c>
      <c r="B8526" t="s">
        <v>23592</v>
      </c>
      <c r="C8526" t="s">
        <v>256</v>
      </c>
      <c r="D8526">
        <v>0</v>
      </c>
      <c r="E8526">
        <v>0.1</v>
      </c>
      <c r="F8526">
        <f t="shared" si="133"/>
        <v>0.1</v>
      </c>
      <c r="I8526">
        <v>20180401</v>
      </c>
      <c r="J8526" t="s">
        <v>7682</v>
      </c>
    </row>
    <row r="8527" spans="1:15" x14ac:dyDescent="0.3">
      <c r="A8527" s="160">
        <v>62792</v>
      </c>
      <c r="B8527" t="s">
        <v>23593</v>
      </c>
      <c r="C8527" t="s">
        <v>7684</v>
      </c>
      <c r="D8527">
        <v>0.7</v>
      </c>
      <c r="E8527">
        <v>0.1</v>
      </c>
      <c r="F8527">
        <f t="shared" si="133"/>
        <v>0.79999999999999993</v>
      </c>
      <c r="I8527">
        <v>20230701</v>
      </c>
      <c r="J8527" t="s">
        <v>7768</v>
      </c>
      <c r="K8527" t="s">
        <v>7767</v>
      </c>
    </row>
    <row r="8528" spans="1:15" x14ac:dyDescent="0.3">
      <c r="A8528" s="160">
        <v>62793</v>
      </c>
      <c r="B8528" t="s">
        <v>23594</v>
      </c>
      <c r="C8528" t="s">
        <v>7673</v>
      </c>
      <c r="D8528">
        <v>1.8</v>
      </c>
      <c r="E8528">
        <v>0</v>
      </c>
      <c r="F8528">
        <f t="shared" si="133"/>
        <v>1.8</v>
      </c>
      <c r="I8528">
        <v>20180701</v>
      </c>
      <c r="J8528" t="s">
        <v>7892</v>
      </c>
    </row>
    <row r="8529" spans="1:12" x14ac:dyDescent="0.3">
      <c r="A8529" s="160">
        <v>62794</v>
      </c>
      <c r="B8529" t="s">
        <v>23595</v>
      </c>
      <c r="C8529" t="s">
        <v>256</v>
      </c>
      <c r="D8529">
        <v>0</v>
      </c>
      <c r="E8529">
        <v>0.1</v>
      </c>
      <c r="F8529">
        <f t="shared" si="133"/>
        <v>0.1</v>
      </c>
      <c r="I8529">
        <v>20180401</v>
      </c>
      <c r="J8529" t="s">
        <v>7682</v>
      </c>
      <c r="K8529" t="s">
        <v>7768</v>
      </c>
    </row>
    <row r="8530" spans="1:12" x14ac:dyDescent="0.3">
      <c r="A8530" s="160">
        <v>62796</v>
      </c>
      <c r="B8530" t="s">
        <v>23596</v>
      </c>
      <c r="C8530" t="s">
        <v>256</v>
      </c>
      <c r="D8530">
        <v>0</v>
      </c>
      <c r="E8530">
        <v>0.1</v>
      </c>
      <c r="F8530">
        <f t="shared" si="133"/>
        <v>0.1</v>
      </c>
      <c r="I8530">
        <v>20150701</v>
      </c>
      <c r="J8530" t="s">
        <v>7760</v>
      </c>
    </row>
    <row r="8531" spans="1:12" x14ac:dyDescent="0.3">
      <c r="A8531" s="160">
        <v>62798</v>
      </c>
      <c r="B8531" t="s">
        <v>23597</v>
      </c>
      <c r="C8531" t="s">
        <v>256</v>
      </c>
      <c r="D8531">
        <v>0</v>
      </c>
      <c r="E8531">
        <v>0.1</v>
      </c>
      <c r="F8531">
        <f t="shared" si="133"/>
        <v>0.1</v>
      </c>
      <c r="I8531">
        <v>20150701</v>
      </c>
      <c r="J8531" t="s">
        <v>7765</v>
      </c>
    </row>
    <row r="8532" spans="1:12" x14ac:dyDescent="0.3">
      <c r="A8532" s="160">
        <v>62799</v>
      </c>
      <c r="B8532" t="s">
        <v>23598</v>
      </c>
      <c r="C8532" t="s">
        <v>7689</v>
      </c>
      <c r="D8532">
        <v>0.8</v>
      </c>
      <c r="E8532">
        <v>0.1</v>
      </c>
      <c r="F8532">
        <f t="shared" si="133"/>
        <v>0.9</v>
      </c>
      <c r="I8532">
        <v>20240101</v>
      </c>
      <c r="J8532" t="s">
        <v>7754</v>
      </c>
    </row>
    <row r="8533" spans="1:12" x14ac:dyDescent="0.3">
      <c r="A8533" s="160">
        <v>62800</v>
      </c>
      <c r="B8533" t="s">
        <v>23599</v>
      </c>
      <c r="C8533" t="s">
        <v>256</v>
      </c>
      <c r="D8533">
        <v>0</v>
      </c>
      <c r="E8533">
        <v>0.1</v>
      </c>
      <c r="F8533">
        <f t="shared" si="133"/>
        <v>0.1</v>
      </c>
      <c r="I8533">
        <v>20150701</v>
      </c>
      <c r="J8533" t="s">
        <v>7793</v>
      </c>
    </row>
    <row r="8534" spans="1:12" x14ac:dyDescent="0.3">
      <c r="A8534" s="160">
        <v>62801</v>
      </c>
      <c r="B8534" t="s">
        <v>23600</v>
      </c>
      <c r="C8534" t="s">
        <v>7673</v>
      </c>
      <c r="D8534">
        <v>1.8</v>
      </c>
      <c r="E8534">
        <v>0</v>
      </c>
      <c r="F8534">
        <f t="shared" si="133"/>
        <v>1.8</v>
      </c>
      <c r="I8534">
        <v>20180701</v>
      </c>
      <c r="J8534" t="s">
        <v>7674</v>
      </c>
    </row>
    <row r="8535" spans="1:12" x14ac:dyDescent="0.3">
      <c r="A8535" s="160">
        <v>62804</v>
      </c>
      <c r="B8535" t="s">
        <v>23601</v>
      </c>
      <c r="C8535" t="s">
        <v>256</v>
      </c>
      <c r="D8535">
        <v>0</v>
      </c>
      <c r="E8535">
        <v>0.1</v>
      </c>
      <c r="F8535">
        <f t="shared" si="133"/>
        <v>0.1</v>
      </c>
      <c r="I8535">
        <v>20150701</v>
      </c>
      <c r="J8535" t="s">
        <v>7765</v>
      </c>
    </row>
    <row r="8536" spans="1:12" x14ac:dyDescent="0.3">
      <c r="A8536" s="160">
        <v>62807</v>
      </c>
      <c r="B8536" t="s">
        <v>23602</v>
      </c>
      <c r="C8536" t="s">
        <v>7684</v>
      </c>
      <c r="D8536">
        <v>0.7</v>
      </c>
      <c r="E8536">
        <v>0</v>
      </c>
      <c r="F8536">
        <f t="shared" si="133"/>
        <v>0.7</v>
      </c>
      <c r="I8536">
        <v>20190701</v>
      </c>
      <c r="J8536" t="s">
        <v>7804</v>
      </c>
      <c r="K8536" t="s">
        <v>7799</v>
      </c>
    </row>
    <row r="8537" spans="1:12" x14ac:dyDescent="0.3">
      <c r="A8537" s="160">
        <v>62810</v>
      </c>
      <c r="B8537" t="s">
        <v>23603</v>
      </c>
      <c r="C8537" t="s">
        <v>7677</v>
      </c>
      <c r="D8537">
        <v>1.25</v>
      </c>
      <c r="E8537">
        <v>0</v>
      </c>
      <c r="F8537">
        <f t="shared" si="133"/>
        <v>1.25</v>
      </c>
      <c r="I8537">
        <v>20250101</v>
      </c>
      <c r="J8537" t="s">
        <v>7709</v>
      </c>
    </row>
    <row r="8538" spans="1:12" x14ac:dyDescent="0.3">
      <c r="A8538" s="160">
        <v>62811</v>
      </c>
      <c r="B8538" t="s">
        <v>23604</v>
      </c>
      <c r="C8538" t="s">
        <v>7684</v>
      </c>
      <c r="D8538">
        <v>0.7</v>
      </c>
      <c r="E8538">
        <v>0.1</v>
      </c>
      <c r="F8538">
        <f t="shared" si="133"/>
        <v>0.79999999999999993</v>
      </c>
      <c r="I8538">
        <v>20230701</v>
      </c>
      <c r="J8538" t="s">
        <v>7848</v>
      </c>
    </row>
    <row r="8539" spans="1:12" x14ac:dyDescent="0.3">
      <c r="A8539" s="160">
        <v>62812</v>
      </c>
      <c r="B8539" t="s">
        <v>23605</v>
      </c>
      <c r="C8539" t="s">
        <v>7684</v>
      </c>
      <c r="D8539">
        <v>0.7</v>
      </c>
      <c r="E8539">
        <v>0.1</v>
      </c>
      <c r="F8539">
        <f t="shared" si="133"/>
        <v>0.79999999999999993</v>
      </c>
      <c r="I8539">
        <v>20230701</v>
      </c>
      <c r="J8539" t="s">
        <v>7757</v>
      </c>
    </row>
    <row r="8540" spans="1:12" x14ac:dyDescent="0.3">
      <c r="A8540" s="160">
        <v>62815</v>
      </c>
      <c r="B8540" t="s">
        <v>23606</v>
      </c>
      <c r="C8540" t="s">
        <v>7689</v>
      </c>
      <c r="D8540">
        <v>0.8</v>
      </c>
      <c r="E8540">
        <v>0.1</v>
      </c>
      <c r="F8540">
        <f t="shared" si="133"/>
        <v>0.9</v>
      </c>
      <c r="I8540">
        <v>20240101</v>
      </c>
      <c r="J8540" t="s">
        <v>7690</v>
      </c>
    </row>
    <row r="8541" spans="1:12" x14ac:dyDescent="0.3">
      <c r="A8541" s="160">
        <v>62816</v>
      </c>
      <c r="B8541" t="s">
        <v>23607</v>
      </c>
      <c r="C8541" t="s">
        <v>256</v>
      </c>
      <c r="D8541">
        <v>0</v>
      </c>
      <c r="E8541">
        <v>0.1</v>
      </c>
      <c r="F8541">
        <f t="shared" si="133"/>
        <v>0.1</v>
      </c>
      <c r="I8541">
        <v>20150701</v>
      </c>
      <c r="J8541" t="s">
        <v>7841</v>
      </c>
    </row>
    <row r="8542" spans="1:12" x14ac:dyDescent="0.3">
      <c r="A8542" s="160">
        <v>62817</v>
      </c>
      <c r="B8542" t="s">
        <v>23608</v>
      </c>
      <c r="C8542" t="s">
        <v>7677</v>
      </c>
      <c r="D8542">
        <v>1.25</v>
      </c>
      <c r="E8542">
        <v>0</v>
      </c>
      <c r="F8542">
        <f t="shared" si="133"/>
        <v>1.25</v>
      </c>
      <c r="I8542">
        <v>20250101</v>
      </c>
      <c r="J8542" t="s">
        <v>7741</v>
      </c>
      <c r="K8542" t="s">
        <v>7680</v>
      </c>
    </row>
    <row r="8543" spans="1:12" x14ac:dyDescent="0.3">
      <c r="A8543" s="160">
        <v>62819</v>
      </c>
      <c r="B8543" t="s">
        <v>23609</v>
      </c>
      <c r="C8543" t="s">
        <v>7684</v>
      </c>
      <c r="D8543">
        <v>0.7</v>
      </c>
      <c r="E8543">
        <v>0.1</v>
      </c>
      <c r="F8543">
        <f t="shared" si="133"/>
        <v>0.79999999999999993</v>
      </c>
      <c r="I8543">
        <v>20230701</v>
      </c>
      <c r="J8543" t="s">
        <v>7804</v>
      </c>
      <c r="K8543" t="s">
        <v>7797</v>
      </c>
      <c r="L8543" t="s">
        <v>7799</v>
      </c>
    </row>
    <row r="8544" spans="1:12" x14ac:dyDescent="0.3">
      <c r="A8544" s="160">
        <v>62821</v>
      </c>
      <c r="B8544" t="s">
        <v>23610</v>
      </c>
      <c r="C8544" t="s">
        <v>256</v>
      </c>
      <c r="D8544">
        <v>0</v>
      </c>
      <c r="E8544">
        <v>0.1</v>
      </c>
      <c r="F8544">
        <f t="shared" si="133"/>
        <v>0.1</v>
      </c>
      <c r="I8544">
        <v>20150701</v>
      </c>
      <c r="J8544" t="s">
        <v>7843</v>
      </c>
    </row>
    <row r="8545" spans="1:18" x14ac:dyDescent="0.3">
      <c r="A8545" s="160">
        <v>62825</v>
      </c>
      <c r="B8545" t="s">
        <v>23611</v>
      </c>
      <c r="C8545" t="s">
        <v>256</v>
      </c>
      <c r="D8545">
        <v>0</v>
      </c>
      <c r="E8545">
        <v>0.1</v>
      </c>
      <c r="F8545">
        <f t="shared" si="133"/>
        <v>0.1</v>
      </c>
      <c r="I8545">
        <v>20150701</v>
      </c>
      <c r="J8545" t="s">
        <v>7771</v>
      </c>
    </row>
    <row r="8546" spans="1:18" x14ac:dyDescent="0.3">
      <c r="A8546" s="160">
        <v>62826</v>
      </c>
      <c r="B8546" t="s">
        <v>23612</v>
      </c>
      <c r="C8546" t="s">
        <v>7689</v>
      </c>
      <c r="D8546">
        <v>0.8</v>
      </c>
      <c r="E8546">
        <v>0.1</v>
      </c>
      <c r="F8546">
        <f t="shared" si="133"/>
        <v>0.9</v>
      </c>
      <c r="I8546">
        <v>20240101</v>
      </c>
      <c r="J8546" t="s">
        <v>7964</v>
      </c>
      <c r="K8546" t="s">
        <v>7965</v>
      </c>
    </row>
    <row r="8547" spans="1:18" x14ac:dyDescent="0.3">
      <c r="A8547" s="160">
        <v>62827</v>
      </c>
      <c r="B8547" t="s">
        <v>23613</v>
      </c>
      <c r="C8547" t="s">
        <v>7684</v>
      </c>
      <c r="D8547">
        <v>0.7</v>
      </c>
      <c r="E8547">
        <v>0.1</v>
      </c>
      <c r="F8547">
        <f t="shared" si="133"/>
        <v>0.79999999999999993</v>
      </c>
      <c r="I8547">
        <v>20230701</v>
      </c>
      <c r="J8547" t="s">
        <v>7934</v>
      </c>
    </row>
    <row r="8548" spans="1:18" x14ac:dyDescent="0.3">
      <c r="A8548" s="160">
        <v>62832</v>
      </c>
      <c r="B8548" t="s">
        <v>23614</v>
      </c>
      <c r="C8548" t="s">
        <v>7689</v>
      </c>
      <c r="D8548">
        <v>0.8</v>
      </c>
      <c r="E8548">
        <v>0.1</v>
      </c>
      <c r="F8548">
        <f t="shared" si="133"/>
        <v>0.9</v>
      </c>
      <c r="I8548">
        <v>20240101</v>
      </c>
      <c r="J8548" t="s">
        <v>7858</v>
      </c>
    </row>
    <row r="8549" spans="1:18" x14ac:dyDescent="0.3">
      <c r="A8549" s="160">
        <v>62836</v>
      </c>
      <c r="B8549" t="s">
        <v>23615</v>
      </c>
      <c r="C8549" t="s">
        <v>7673</v>
      </c>
      <c r="D8549">
        <v>1.8</v>
      </c>
      <c r="E8549">
        <v>0</v>
      </c>
      <c r="F8549">
        <f t="shared" si="133"/>
        <v>1.8</v>
      </c>
      <c r="I8549">
        <v>20180701</v>
      </c>
      <c r="J8549" t="s">
        <v>7874</v>
      </c>
    </row>
    <row r="8550" spans="1:18" x14ac:dyDescent="0.3">
      <c r="A8550" s="160">
        <v>62841</v>
      </c>
      <c r="B8550" t="s">
        <v>23616</v>
      </c>
      <c r="C8550" t="s">
        <v>7673</v>
      </c>
      <c r="D8550">
        <v>1.8</v>
      </c>
      <c r="E8550">
        <v>0</v>
      </c>
      <c r="F8550">
        <f t="shared" si="133"/>
        <v>1.8</v>
      </c>
      <c r="I8550">
        <v>20180701</v>
      </c>
      <c r="J8550" t="s">
        <v>7702</v>
      </c>
    </row>
    <row r="8551" spans="1:18" x14ac:dyDescent="0.3">
      <c r="A8551" s="160">
        <v>62842</v>
      </c>
      <c r="B8551" t="s">
        <v>23617</v>
      </c>
      <c r="C8551" t="s">
        <v>7673</v>
      </c>
      <c r="D8551">
        <v>1.8</v>
      </c>
      <c r="E8551">
        <v>0</v>
      </c>
      <c r="F8551">
        <f t="shared" si="133"/>
        <v>1.8</v>
      </c>
      <c r="I8551">
        <v>20180701</v>
      </c>
      <c r="J8551" t="s">
        <v>7966</v>
      </c>
      <c r="K8551" t="s">
        <v>7967</v>
      </c>
      <c r="L8551" t="s">
        <v>7876</v>
      </c>
      <c r="M8551" t="s">
        <v>7878</v>
      </c>
      <c r="N8551" t="s">
        <v>7699</v>
      </c>
      <c r="O8551" t="s">
        <v>7700</v>
      </c>
      <c r="P8551" t="s">
        <v>7968</v>
      </c>
      <c r="Q8551" t="s">
        <v>7969</v>
      </c>
      <c r="R8551" t="s">
        <v>7970</v>
      </c>
    </row>
    <row r="8552" spans="1:18" x14ac:dyDescent="0.3">
      <c r="A8552" s="160">
        <v>62845</v>
      </c>
      <c r="B8552" t="s">
        <v>23618</v>
      </c>
      <c r="C8552" t="s">
        <v>256</v>
      </c>
      <c r="D8552">
        <v>0</v>
      </c>
      <c r="E8552">
        <v>0.1</v>
      </c>
      <c r="F8552">
        <f t="shared" si="133"/>
        <v>0.1</v>
      </c>
      <c r="I8552">
        <v>20150701</v>
      </c>
      <c r="J8552" t="s">
        <v>7843</v>
      </c>
    </row>
    <row r="8553" spans="1:18" x14ac:dyDescent="0.3">
      <c r="A8553" s="160">
        <v>62846</v>
      </c>
      <c r="B8553" t="s">
        <v>23619</v>
      </c>
      <c r="C8553" t="s">
        <v>7673</v>
      </c>
      <c r="D8553">
        <v>1.8</v>
      </c>
      <c r="E8553">
        <v>0</v>
      </c>
      <c r="F8553">
        <f t="shared" si="133"/>
        <v>1.8</v>
      </c>
      <c r="I8553">
        <v>20180701</v>
      </c>
      <c r="J8553" t="s">
        <v>7944</v>
      </c>
    </row>
    <row r="8554" spans="1:18" x14ac:dyDescent="0.3">
      <c r="A8554" s="160">
        <v>62847</v>
      </c>
      <c r="B8554" t="s">
        <v>23620</v>
      </c>
      <c r="C8554" t="s">
        <v>7673</v>
      </c>
      <c r="D8554">
        <v>1.8</v>
      </c>
      <c r="E8554">
        <v>0</v>
      </c>
      <c r="F8554">
        <f t="shared" si="133"/>
        <v>1.8</v>
      </c>
      <c r="I8554">
        <v>20180701</v>
      </c>
      <c r="J8554" t="s">
        <v>7906</v>
      </c>
    </row>
    <row r="8555" spans="1:18" x14ac:dyDescent="0.3">
      <c r="A8555" s="160">
        <v>62848</v>
      </c>
      <c r="B8555" t="s">
        <v>23621</v>
      </c>
      <c r="C8555" t="s">
        <v>7673</v>
      </c>
      <c r="D8555">
        <v>1.8</v>
      </c>
      <c r="E8555">
        <v>0</v>
      </c>
      <c r="F8555">
        <f t="shared" si="133"/>
        <v>1.8</v>
      </c>
      <c r="I8555">
        <v>20180701</v>
      </c>
      <c r="J8555" t="s">
        <v>7874</v>
      </c>
    </row>
    <row r="8556" spans="1:18" x14ac:dyDescent="0.3">
      <c r="A8556" s="160">
        <v>62849</v>
      </c>
      <c r="B8556" t="s">
        <v>23622</v>
      </c>
      <c r="C8556" t="s">
        <v>7689</v>
      </c>
      <c r="D8556">
        <v>0.8</v>
      </c>
      <c r="E8556">
        <v>0.1</v>
      </c>
      <c r="F8556">
        <f t="shared" si="133"/>
        <v>0.9</v>
      </c>
      <c r="I8556">
        <v>20240101</v>
      </c>
      <c r="J8556" t="s">
        <v>7690</v>
      </c>
      <c r="K8556" t="s">
        <v>7775</v>
      </c>
    </row>
    <row r="8557" spans="1:18" x14ac:dyDescent="0.3">
      <c r="A8557" s="160">
        <v>62851</v>
      </c>
      <c r="B8557" t="s">
        <v>23623</v>
      </c>
      <c r="C8557" t="s">
        <v>7673</v>
      </c>
      <c r="D8557">
        <v>1.8</v>
      </c>
      <c r="E8557">
        <v>0</v>
      </c>
      <c r="F8557">
        <f t="shared" si="133"/>
        <v>1.8</v>
      </c>
      <c r="I8557">
        <v>20180701</v>
      </c>
      <c r="J8557" t="s">
        <v>7917</v>
      </c>
      <c r="K8557" t="s">
        <v>7868</v>
      </c>
    </row>
    <row r="8558" spans="1:18" x14ac:dyDescent="0.3">
      <c r="A8558" s="160">
        <v>62854</v>
      </c>
      <c r="B8558" t="s">
        <v>23624</v>
      </c>
      <c r="C8558" t="s">
        <v>7673</v>
      </c>
      <c r="D8558">
        <v>1.8</v>
      </c>
      <c r="E8558">
        <v>0</v>
      </c>
      <c r="F8558">
        <f t="shared" si="133"/>
        <v>1.8</v>
      </c>
      <c r="I8558">
        <v>20180701</v>
      </c>
      <c r="J8558" t="s">
        <v>7681</v>
      </c>
    </row>
    <row r="8559" spans="1:18" x14ac:dyDescent="0.3">
      <c r="A8559" s="160">
        <v>62861</v>
      </c>
      <c r="B8559" t="s">
        <v>23625</v>
      </c>
      <c r="C8559" t="s">
        <v>7673</v>
      </c>
      <c r="D8559">
        <v>1.8</v>
      </c>
      <c r="E8559">
        <v>0</v>
      </c>
      <c r="F8559">
        <f t="shared" si="133"/>
        <v>1.8</v>
      </c>
      <c r="I8559">
        <v>20180701</v>
      </c>
      <c r="J8559" t="s">
        <v>7709</v>
      </c>
    </row>
    <row r="8560" spans="1:18" x14ac:dyDescent="0.3">
      <c r="A8560" s="160">
        <v>62863</v>
      </c>
      <c r="B8560" t="s">
        <v>23626</v>
      </c>
      <c r="C8560" t="s">
        <v>7673</v>
      </c>
      <c r="D8560">
        <v>1.8</v>
      </c>
      <c r="E8560">
        <v>0</v>
      </c>
      <c r="F8560">
        <f t="shared" si="133"/>
        <v>1.8</v>
      </c>
      <c r="I8560">
        <v>20180701</v>
      </c>
      <c r="J8560" t="s">
        <v>7755</v>
      </c>
      <c r="K8560" t="s">
        <v>7756</v>
      </c>
    </row>
    <row r="8561" spans="1:11" x14ac:dyDescent="0.3">
      <c r="A8561" s="160">
        <v>62864</v>
      </c>
      <c r="B8561" t="s">
        <v>23627</v>
      </c>
      <c r="C8561" t="s">
        <v>256</v>
      </c>
      <c r="D8561">
        <v>0</v>
      </c>
      <c r="E8561">
        <v>0.1</v>
      </c>
      <c r="F8561">
        <f t="shared" si="133"/>
        <v>0.1</v>
      </c>
      <c r="I8561">
        <v>20150701</v>
      </c>
      <c r="J8561" t="s">
        <v>7802</v>
      </c>
    </row>
    <row r="8562" spans="1:11" x14ac:dyDescent="0.3">
      <c r="A8562" s="160">
        <v>62865</v>
      </c>
      <c r="B8562" t="s">
        <v>23628</v>
      </c>
      <c r="C8562" t="s">
        <v>256</v>
      </c>
      <c r="D8562">
        <v>0</v>
      </c>
      <c r="E8562">
        <v>0.1</v>
      </c>
      <c r="F8562">
        <f t="shared" si="133"/>
        <v>0.1</v>
      </c>
      <c r="I8562">
        <v>20150701</v>
      </c>
      <c r="J8562" t="s">
        <v>7771</v>
      </c>
    </row>
    <row r="8563" spans="1:11" x14ac:dyDescent="0.3">
      <c r="A8563" s="160">
        <v>62866</v>
      </c>
      <c r="B8563" t="s">
        <v>23629</v>
      </c>
      <c r="C8563" t="s">
        <v>7689</v>
      </c>
      <c r="D8563">
        <v>0.8</v>
      </c>
      <c r="E8563">
        <v>0.1</v>
      </c>
      <c r="F8563">
        <f t="shared" si="133"/>
        <v>0.9</v>
      </c>
      <c r="I8563">
        <v>20240101</v>
      </c>
      <c r="J8563" t="s">
        <v>7690</v>
      </c>
    </row>
    <row r="8564" spans="1:11" x14ac:dyDescent="0.3">
      <c r="A8564" s="160">
        <v>62867</v>
      </c>
      <c r="B8564" t="s">
        <v>23630</v>
      </c>
      <c r="C8564" t="s">
        <v>256</v>
      </c>
      <c r="D8564">
        <v>0</v>
      </c>
      <c r="E8564">
        <v>0.1</v>
      </c>
      <c r="F8564">
        <f t="shared" si="133"/>
        <v>0.1</v>
      </c>
      <c r="I8564">
        <v>20150701</v>
      </c>
      <c r="J8564" t="s">
        <v>7791</v>
      </c>
    </row>
    <row r="8565" spans="1:11" x14ac:dyDescent="0.3">
      <c r="A8565" s="160">
        <v>62869</v>
      </c>
      <c r="B8565" t="s">
        <v>23631</v>
      </c>
      <c r="C8565" t="s">
        <v>7677</v>
      </c>
      <c r="D8565">
        <v>1.25</v>
      </c>
      <c r="E8565">
        <v>0</v>
      </c>
      <c r="F8565">
        <f t="shared" si="133"/>
        <v>1.25</v>
      </c>
      <c r="I8565">
        <v>20250101</v>
      </c>
      <c r="J8565" t="s">
        <v>7680</v>
      </c>
    </row>
    <row r="8566" spans="1:11" x14ac:dyDescent="0.3">
      <c r="A8566" s="160">
        <v>62870</v>
      </c>
      <c r="B8566" t="s">
        <v>23632</v>
      </c>
      <c r="C8566" t="s">
        <v>7689</v>
      </c>
      <c r="D8566">
        <v>0.8</v>
      </c>
      <c r="E8566">
        <v>0.1</v>
      </c>
      <c r="F8566">
        <f t="shared" si="133"/>
        <v>0.9</v>
      </c>
      <c r="I8566">
        <v>20240101</v>
      </c>
      <c r="J8566" t="s">
        <v>7754</v>
      </c>
    </row>
    <row r="8567" spans="1:11" x14ac:dyDescent="0.3">
      <c r="A8567" s="160">
        <v>62873</v>
      </c>
      <c r="B8567" t="s">
        <v>23633</v>
      </c>
      <c r="C8567" t="s">
        <v>7677</v>
      </c>
      <c r="D8567">
        <v>1.25</v>
      </c>
      <c r="E8567">
        <v>0</v>
      </c>
      <c r="F8567">
        <f t="shared" si="133"/>
        <v>1.25</v>
      </c>
      <c r="I8567">
        <v>20250101</v>
      </c>
      <c r="J8567" t="s">
        <v>7886</v>
      </c>
      <c r="K8567" t="s">
        <v>7801</v>
      </c>
    </row>
    <row r="8568" spans="1:11" x14ac:dyDescent="0.3">
      <c r="A8568" s="160">
        <v>62874</v>
      </c>
      <c r="B8568" t="s">
        <v>23634</v>
      </c>
      <c r="C8568" t="s">
        <v>256</v>
      </c>
      <c r="D8568">
        <v>0</v>
      </c>
      <c r="E8568">
        <v>0.1</v>
      </c>
      <c r="F8568">
        <f t="shared" si="133"/>
        <v>0.1</v>
      </c>
      <c r="I8568">
        <v>20150701</v>
      </c>
      <c r="J8568" t="s">
        <v>7760</v>
      </c>
    </row>
    <row r="8569" spans="1:11" x14ac:dyDescent="0.3">
      <c r="A8569" s="160">
        <v>62875</v>
      </c>
      <c r="B8569" t="s">
        <v>23635</v>
      </c>
      <c r="C8569" t="s">
        <v>7684</v>
      </c>
      <c r="D8569">
        <v>0.7</v>
      </c>
      <c r="E8569">
        <v>0.1</v>
      </c>
      <c r="F8569">
        <f t="shared" si="133"/>
        <v>0.79999999999999993</v>
      </c>
      <c r="I8569">
        <v>20230701</v>
      </c>
      <c r="J8569" t="s">
        <v>7685</v>
      </c>
    </row>
    <row r="8570" spans="1:11" x14ac:dyDescent="0.3">
      <c r="A8570" s="160">
        <v>62878</v>
      </c>
      <c r="B8570" t="s">
        <v>23636</v>
      </c>
      <c r="C8570" t="s">
        <v>256</v>
      </c>
      <c r="D8570">
        <v>0</v>
      </c>
      <c r="E8570">
        <v>0.1</v>
      </c>
      <c r="F8570">
        <f t="shared" si="133"/>
        <v>0.1</v>
      </c>
      <c r="I8570">
        <v>20150701</v>
      </c>
      <c r="J8570" t="s">
        <v>7760</v>
      </c>
    </row>
    <row r="8571" spans="1:11" x14ac:dyDescent="0.3">
      <c r="A8571" s="160">
        <v>62879</v>
      </c>
      <c r="B8571" t="s">
        <v>23637</v>
      </c>
      <c r="C8571" t="s">
        <v>256</v>
      </c>
      <c r="D8571">
        <v>0</v>
      </c>
      <c r="E8571">
        <v>0.1</v>
      </c>
      <c r="F8571">
        <f t="shared" si="133"/>
        <v>0.1</v>
      </c>
      <c r="I8571">
        <v>20150701</v>
      </c>
      <c r="J8571" t="s">
        <v>7765</v>
      </c>
    </row>
    <row r="8572" spans="1:11" x14ac:dyDescent="0.3">
      <c r="A8572" s="160">
        <v>62880</v>
      </c>
      <c r="B8572" t="s">
        <v>23638</v>
      </c>
      <c r="C8572" t="s">
        <v>256</v>
      </c>
      <c r="D8572">
        <v>0</v>
      </c>
      <c r="E8572">
        <v>0.1</v>
      </c>
      <c r="F8572">
        <f t="shared" si="133"/>
        <v>0.1</v>
      </c>
      <c r="I8572">
        <v>20150701</v>
      </c>
      <c r="J8572" t="s">
        <v>7692</v>
      </c>
    </row>
    <row r="8573" spans="1:11" x14ac:dyDescent="0.3">
      <c r="A8573" s="160">
        <v>62882</v>
      </c>
      <c r="B8573" t="s">
        <v>23639</v>
      </c>
      <c r="C8573" t="s">
        <v>256</v>
      </c>
      <c r="D8573">
        <v>0</v>
      </c>
      <c r="E8573">
        <v>0.1</v>
      </c>
      <c r="F8573">
        <f t="shared" si="133"/>
        <v>0.1</v>
      </c>
      <c r="I8573">
        <v>20180401</v>
      </c>
      <c r="J8573" t="s">
        <v>7682</v>
      </c>
      <c r="K8573" t="s">
        <v>7768</v>
      </c>
    </row>
    <row r="8574" spans="1:11" x14ac:dyDescent="0.3">
      <c r="A8574" s="160">
        <v>62885</v>
      </c>
      <c r="B8574" t="s">
        <v>23640</v>
      </c>
      <c r="C8574" t="s">
        <v>7673</v>
      </c>
      <c r="D8574">
        <v>1.6</v>
      </c>
      <c r="E8574">
        <v>0</v>
      </c>
      <c r="F8574">
        <f t="shared" si="133"/>
        <v>1.6</v>
      </c>
      <c r="I8574">
        <v>20240101</v>
      </c>
      <c r="J8574" t="s">
        <v>7769</v>
      </c>
    </row>
    <row r="8575" spans="1:11" x14ac:dyDescent="0.3">
      <c r="A8575" s="160">
        <v>62887</v>
      </c>
      <c r="B8575" t="s">
        <v>23641</v>
      </c>
      <c r="C8575" t="s">
        <v>7689</v>
      </c>
      <c r="D8575">
        <v>0.8</v>
      </c>
      <c r="E8575">
        <v>0</v>
      </c>
      <c r="F8575">
        <f t="shared" si="133"/>
        <v>0.8</v>
      </c>
      <c r="I8575">
        <v>20220101</v>
      </c>
      <c r="J8575" t="s">
        <v>7858</v>
      </c>
    </row>
    <row r="8576" spans="1:11" x14ac:dyDescent="0.3">
      <c r="A8576" s="160">
        <v>62888</v>
      </c>
      <c r="B8576" t="s">
        <v>23642</v>
      </c>
      <c r="C8576" t="s">
        <v>256</v>
      </c>
      <c r="D8576">
        <v>0</v>
      </c>
      <c r="E8576">
        <v>0.1</v>
      </c>
      <c r="F8576">
        <f t="shared" si="133"/>
        <v>0.1</v>
      </c>
      <c r="I8576">
        <v>20150701</v>
      </c>
      <c r="J8576" t="s">
        <v>7843</v>
      </c>
    </row>
    <row r="8577" spans="1:12" x14ac:dyDescent="0.3">
      <c r="A8577" s="160">
        <v>62889</v>
      </c>
      <c r="B8577" t="s">
        <v>23643</v>
      </c>
      <c r="C8577" t="s">
        <v>256</v>
      </c>
      <c r="D8577">
        <v>0</v>
      </c>
      <c r="E8577">
        <v>0.1</v>
      </c>
      <c r="F8577">
        <f t="shared" si="133"/>
        <v>0.1</v>
      </c>
      <c r="I8577">
        <v>20150701</v>
      </c>
      <c r="J8577" t="s">
        <v>7971</v>
      </c>
    </row>
    <row r="8578" spans="1:12" x14ac:dyDescent="0.3">
      <c r="A8578" s="160">
        <v>62892</v>
      </c>
      <c r="B8578" t="s">
        <v>23644</v>
      </c>
      <c r="C8578" t="s">
        <v>7677</v>
      </c>
      <c r="D8578">
        <v>1.25</v>
      </c>
      <c r="E8578">
        <v>0</v>
      </c>
      <c r="F8578">
        <f t="shared" si="133"/>
        <v>1.25</v>
      </c>
      <c r="I8578">
        <v>20250101</v>
      </c>
      <c r="J8578" t="s">
        <v>7709</v>
      </c>
    </row>
    <row r="8579" spans="1:12" x14ac:dyDescent="0.3">
      <c r="A8579" s="160">
        <v>62893</v>
      </c>
      <c r="B8579" t="s">
        <v>23645</v>
      </c>
      <c r="C8579" t="s">
        <v>7761</v>
      </c>
      <c r="D8579">
        <v>1.25</v>
      </c>
      <c r="E8579">
        <v>0</v>
      </c>
      <c r="F8579">
        <f t="shared" si="133"/>
        <v>1.25</v>
      </c>
      <c r="I8579">
        <v>20120101</v>
      </c>
      <c r="J8579" t="s">
        <v>7806</v>
      </c>
      <c r="K8579" t="s">
        <v>7972</v>
      </c>
    </row>
    <row r="8580" spans="1:12" x14ac:dyDescent="0.3">
      <c r="A8580" s="160">
        <v>62894</v>
      </c>
      <c r="B8580" t="s">
        <v>23646</v>
      </c>
      <c r="C8580" t="s">
        <v>7761</v>
      </c>
      <c r="D8580">
        <v>1.25</v>
      </c>
      <c r="E8580">
        <v>0</v>
      </c>
      <c r="F8580">
        <f t="shared" si="133"/>
        <v>1.25</v>
      </c>
      <c r="I8580">
        <v>20120101</v>
      </c>
      <c r="J8580" t="s">
        <v>7849</v>
      </c>
      <c r="K8580" t="s">
        <v>7806</v>
      </c>
      <c r="L8580" t="s">
        <v>7809</v>
      </c>
    </row>
    <row r="8581" spans="1:12" x14ac:dyDescent="0.3">
      <c r="A8581" s="160">
        <v>62895</v>
      </c>
      <c r="B8581" t="s">
        <v>23647</v>
      </c>
      <c r="C8581" t="s">
        <v>7673</v>
      </c>
      <c r="D8581">
        <v>1.8</v>
      </c>
      <c r="E8581">
        <v>0</v>
      </c>
      <c r="F8581">
        <f t="shared" si="133"/>
        <v>1.8</v>
      </c>
      <c r="I8581">
        <v>20180701</v>
      </c>
      <c r="J8581" t="s">
        <v>7772</v>
      </c>
    </row>
    <row r="8582" spans="1:12" x14ac:dyDescent="0.3">
      <c r="A8582" s="160">
        <v>62896</v>
      </c>
      <c r="B8582" t="s">
        <v>23648</v>
      </c>
      <c r="C8582" t="s">
        <v>256</v>
      </c>
      <c r="D8582">
        <v>0</v>
      </c>
      <c r="E8582">
        <v>0.1</v>
      </c>
      <c r="F8582">
        <f t="shared" si="133"/>
        <v>0.1</v>
      </c>
      <c r="I8582">
        <v>20150701</v>
      </c>
      <c r="J8582" t="s">
        <v>7816</v>
      </c>
    </row>
    <row r="8583" spans="1:12" x14ac:dyDescent="0.3">
      <c r="A8583" s="160">
        <v>62897</v>
      </c>
      <c r="B8583" t="s">
        <v>23649</v>
      </c>
      <c r="C8583" t="s">
        <v>256</v>
      </c>
      <c r="D8583">
        <v>0</v>
      </c>
      <c r="E8583">
        <v>0.1</v>
      </c>
      <c r="F8583">
        <f t="shared" ref="F8583:F8646" si="134">D8583+E8583</f>
        <v>0.1</v>
      </c>
      <c r="I8583">
        <v>20180401</v>
      </c>
      <c r="J8583" t="s">
        <v>7682</v>
      </c>
    </row>
    <row r="8584" spans="1:12" x14ac:dyDescent="0.3">
      <c r="A8584" s="160">
        <v>62898</v>
      </c>
      <c r="B8584" t="s">
        <v>23650</v>
      </c>
      <c r="C8584" t="s">
        <v>256</v>
      </c>
      <c r="D8584">
        <v>0</v>
      </c>
      <c r="E8584">
        <v>0.1</v>
      </c>
      <c r="F8584">
        <f t="shared" si="134"/>
        <v>0.1</v>
      </c>
      <c r="I8584">
        <v>20180401</v>
      </c>
      <c r="J8584" t="s">
        <v>7928</v>
      </c>
    </row>
    <row r="8585" spans="1:12" x14ac:dyDescent="0.3">
      <c r="A8585" s="160">
        <v>62900</v>
      </c>
      <c r="B8585" t="s">
        <v>23651</v>
      </c>
      <c r="C8585" t="s">
        <v>7673</v>
      </c>
      <c r="D8585">
        <v>1.6</v>
      </c>
      <c r="E8585">
        <v>0</v>
      </c>
      <c r="F8585">
        <f t="shared" si="134"/>
        <v>1.6</v>
      </c>
      <c r="I8585">
        <v>20240101</v>
      </c>
      <c r="J8585" t="s">
        <v>7685</v>
      </c>
      <c r="K8585" t="s">
        <v>7686</v>
      </c>
    </row>
    <row r="8586" spans="1:12" x14ac:dyDescent="0.3">
      <c r="A8586" s="160">
        <v>62901</v>
      </c>
      <c r="B8586" t="s">
        <v>23652</v>
      </c>
      <c r="C8586" t="s">
        <v>7684</v>
      </c>
      <c r="D8586">
        <v>0.7</v>
      </c>
      <c r="E8586">
        <v>0.1</v>
      </c>
      <c r="F8586">
        <f t="shared" si="134"/>
        <v>0.79999999999999993</v>
      </c>
      <c r="I8586">
        <v>20230701</v>
      </c>
      <c r="J8586" t="s">
        <v>7685</v>
      </c>
      <c r="K8586" t="s">
        <v>7686</v>
      </c>
    </row>
    <row r="8587" spans="1:12" x14ac:dyDescent="0.3">
      <c r="A8587" s="160">
        <v>62902</v>
      </c>
      <c r="B8587" t="s">
        <v>23653</v>
      </c>
      <c r="C8587" t="s">
        <v>7684</v>
      </c>
      <c r="D8587">
        <v>0.7</v>
      </c>
      <c r="E8587">
        <v>0.1</v>
      </c>
      <c r="F8587">
        <f t="shared" si="134"/>
        <v>0.79999999999999993</v>
      </c>
      <c r="I8587">
        <v>20230701</v>
      </c>
      <c r="J8587" t="s">
        <v>7710</v>
      </c>
      <c r="K8587" t="s">
        <v>7896</v>
      </c>
    </row>
    <row r="8588" spans="1:12" x14ac:dyDescent="0.3">
      <c r="A8588" s="160">
        <v>62904</v>
      </c>
      <c r="B8588" t="s">
        <v>23654</v>
      </c>
      <c r="C8588" t="s">
        <v>7684</v>
      </c>
      <c r="D8588">
        <v>0.7</v>
      </c>
      <c r="E8588">
        <v>0.1</v>
      </c>
      <c r="F8588">
        <f t="shared" si="134"/>
        <v>0.79999999999999993</v>
      </c>
      <c r="I8588">
        <v>20230701</v>
      </c>
      <c r="J8588" t="s">
        <v>7934</v>
      </c>
    </row>
    <row r="8589" spans="1:12" x14ac:dyDescent="0.3">
      <c r="A8589" s="160">
        <v>62905</v>
      </c>
      <c r="B8589" t="s">
        <v>23655</v>
      </c>
      <c r="C8589" t="s">
        <v>256</v>
      </c>
      <c r="D8589">
        <v>0</v>
      </c>
      <c r="E8589">
        <v>0.1</v>
      </c>
      <c r="F8589">
        <f t="shared" si="134"/>
        <v>0.1</v>
      </c>
      <c r="I8589">
        <v>20180401</v>
      </c>
      <c r="J8589" t="s">
        <v>7804</v>
      </c>
    </row>
    <row r="8590" spans="1:12" x14ac:dyDescent="0.3">
      <c r="A8590" s="160">
        <v>62907</v>
      </c>
      <c r="B8590" t="s">
        <v>23656</v>
      </c>
      <c r="C8590" t="s">
        <v>7673</v>
      </c>
      <c r="D8590">
        <v>1.8</v>
      </c>
      <c r="E8590">
        <v>0</v>
      </c>
      <c r="F8590">
        <f t="shared" si="134"/>
        <v>1.8</v>
      </c>
      <c r="I8590">
        <v>20180701</v>
      </c>
      <c r="J8590" t="s">
        <v>7949</v>
      </c>
      <c r="K8590" t="s">
        <v>7845</v>
      </c>
      <c r="L8590" t="s">
        <v>7973</v>
      </c>
    </row>
    <row r="8591" spans="1:12" x14ac:dyDescent="0.3">
      <c r="A8591" s="160">
        <v>62908</v>
      </c>
      <c r="B8591" t="s">
        <v>23657</v>
      </c>
      <c r="C8591" t="s">
        <v>7761</v>
      </c>
      <c r="D8591">
        <v>1.25</v>
      </c>
      <c r="E8591">
        <v>0</v>
      </c>
      <c r="F8591">
        <f t="shared" si="134"/>
        <v>1.25</v>
      </c>
      <c r="I8591">
        <v>20120101</v>
      </c>
      <c r="J8591" t="s">
        <v>7762</v>
      </c>
    </row>
    <row r="8592" spans="1:12" x14ac:dyDescent="0.3">
      <c r="A8592" s="160">
        <v>63005</v>
      </c>
      <c r="B8592" t="s">
        <v>23658</v>
      </c>
      <c r="C8592" t="s">
        <v>23659</v>
      </c>
      <c r="D8592">
        <v>0.3</v>
      </c>
      <c r="E8592">
        <v>0</v>
      </c>
      <c r="F8592">
        <f t="shared" si="134"/>
        <v>0.3</v>
      </c>
      <c r="I8592">
        <v>20240101</v>
      </c>
      <c r="J8592" t="s">
        <v>23660</v>
      </c>
    </row>
    <row r="8593" spans="1:17" x14ac:dyDescent="0.3">
      <c r="A8593" s="160">
        <v>63006</v>
      </c>
      <c r="B8593" t="s">
        <v>23661</v>
      </c>
      <c r="C8593" t="s">
        <v>23659</v>
      </c>
      <c r="D8593">
        <v>0.3</v>
      </c>
      <c r="E8593">
        <v>0</v>
      </c>
      <c r="F8593">
        <f t="shared" si="134"/>
        <v>0.3</v>
      </c>
      <c r="I8593">
        <v>20240101</v>
      </c>
      <c r="J8593" t="s">
        <v>23662</v>
      </c>
    </row>
    <row r="8594" spans="1:17" x14ac:dyDescent="0.3">
      <c r="A8594" s="160">
        <v>63007</v>
      </c>
      <c r="B8594" t="s">
        <v>23663</v>
      </c>
      <c r="C8594" t="s">
        <v>23659</v>
      </c>
      <c r="D8594">
        <v>0.3</v>
      </c>
      <c r="E8594">
        <v>0</v>
      </c>
      <c r="F8594">
        <f t="shared" si="134"/>
        <v>0.3</v>
      </c>
      <c r="I8594">
        <v>20240101</v>
      </c>
      <c r="J8594" t="s">
        <v>23662</v>
      </c>
    </row>
    <row r="8595" spans="1:17" x14ac:dyDescent="0.3">
      <c r="A8595" s="160">
        <v>63008</v>
      </c>
      <c r="B8595" t="s">
        <v>23664</v>
      </c>
      <c r="C8595" t="s">
        <v>7974</v>
      </c>
      <c r="D8595">
        <v>0.6</v>
      </c>
      <c r="E8595">
        <v>0</v>
      </c>
      <c r="F8595">
        <f t="shared" si="134"/>
        <v>0.6</v>
      </c>
      <c r="I8595">
        <v>20250101</v>
      </c>
      <c r="J8595" t="s">
        <v>7975</v>
      </c>
      <c r="K8595" t="s">
        <v>7976</v>
      </c>
    </row>
    <row r="8596" spans="1:17" x14ac:dyDescent="0.3">
      <c r="A8596" s="160">
        <v>63009</v>
      </c>
      <c r="B8596" t="s">
        <v>23665</v>
      </c>
      <c r="C8596" t="s">
        <v>23659</v>
      </c>
      <c r="D8596">
        <v>0.3</v>
      </c>
      <c r="E8596">
        <v>0</v>
      </c>
      <c r="F8596">
        <f t="shared" si="134"/>
        <v>0.3</v>
      </c>
      <c r="I8596">
        <v>20240101</v>
      </c>
      <c r="J8596" t="s">
        <v>23662</v>
      </c>
    </row>
    <row r="8597" spans="1:17" x14ac:dyDescent="0.3">
      <c r="A8597" s="160">
        <v>63014</v>
      </c>
      <c r="B8597" t="s">
        <v>23666</v>
      </c>
      <c r="C8597" t="s">
        <v>7977</v>
      </c>
      <c r="D8597">
        <v>2</v>
      </c>
      <c r="E8597">
        <v>0</v>
      </c>
      <c r="F8597">
        <f t="shared" si="134"/>
        <v>2</v>
      </c>
      <c r="I8597">
        <v>20190701</v>
      </c>
      <c r="J8597" t="s">
        <v>7978</v>
      </c>
      <c r="K8597" t="s">
        <v>7979</v>
      </c>
      <c r="L8597" t="s">
        <v>7980</v>
      </c>
      <c r="M8597" t="s">
        <v>7981</v>
      </c>
      <c r="N8597" t="s">
        <v>7982</v>
      </c>
      <c r="O8597" t="s">
        <v>7983</v>
      </c>
      <c r="P8597" t="s">
        <v>7984</v>
      </c>
      <c r="Q8597" t="s">
        <v>7985</v>
      </c>
    </row>
    <row r="8598" spans="1:17" x14ac:dyDescent="0.3">
      <c r="A8598" s="160">
        <v>63015</v>
      </c>
      <c r="B8598" t="s">
        <v>23667</v>
      </c>
      <c r="C8598" t="s">
        <v>7974</v>
      </c>
      <c r="D8598">
        <v>0.6</v>
      </c>
      <c r="E8598">
        <v>0</v>
      </c>
      <c r="F8598">
        <f t="shared" si="134"/>
        <v>0.6</v>
      </c>
      <c r="I8598">
        <v>20250101</v>
      </c>
      <c r="J8598" t="s">
        <v>7986</v>
      </c>
    </row>
    <row r="8599" spans="1:17" x14ac:dyDescent="0.3">
      <c r="A8599" s="160">
        <v>63016</v>
      </c>
      <c r="B8599" t="s">
        <v>23668</v>
      </c>
      <c r="C8599" t="s">
        <v>7974</v>
      </c>
      <c r="D8599">
        <v>0.6</v>
      </c>
      <c r="E8599">
        <v>0</v>
      </c>
      <c r="F8599">
        <f t="shared" si="134"/>
        <v>0.6</v>
      </c>
      <c r="I8599">
        <v>20250101</v>
      </c>
      <c r="J8599" t="s">
        <v>7987</v>
      </c>
    </row>
    <row r="8600" spans="1:17" x14ac:dyDescent="0.3">
      <c r="A8600" s="160">
        <v>63017</v>
      </c>
      <c r="B8600" t="s">
        <v>23669</v>
      </c>
      <c r="C8600" t="s">
        <v>23659</v>
      </c>
      <c r="D8600">
        <v>0.3</v>
      </c>
      <c r="E8600">
        <v>0</v>
      </c>
      <c r="F8600">
        <f t="shared" si="134"/>
        <v>0.3</v>
      </c>
      <c r="I8600">
        <v>20240101</v>
      </c>
      <c r="J8600" t="s">
        <v>23660</v>
      </c>
    </row>
    <row r="8601" spans="1:17" x14ac:dyDescent="0.3">
      <c r="A8601" s="160">
        <v>63019</v>
      </c>
      <c r="B8601" t="s">
        <v>23670</v>
      </c>
      <c r="C8601" t="s">
        <v>7977</v>
      </c>
      <c r="D8601">
        <v>2</v>
      </c>
      <c r="E8601">
        <v>0</v>
      </c>
      <c r="F8601">
        <f t="shared" si="134"/>
        <v>2</v>
      </c>
      <c r="I8601">
        <v>20190701</v>
      </c>
      <c r="J8601" t="s">
        <v>7988</v>
      </c>
    </row>
    <row r="8602" spans="1:17" x14ac:dyDescent="0.3">
      <c r="A8602" s="160">
        <v>63022</v>
      </c>
      <c r="B8602" t="s">
        <v>23671</v>
      </c>
      <c r="C8602" t="s">
        <v>23659</v>
      </c>
      <c r="D8602">
        <v>0.3</v>
      </c>
      <c r="E8602">
        <v>0</v>
      </c>
      <c r="F8602">
        <f t="shared" si="134"/>
        <v>0.3</v>
      </c>
      <c r="I8602">
        <v>20240101</v>
      </c>
      <c r="J8602" t="s">
        <v>23672</v>
      </c>
    </row>
    <row r="8603" spans="1:17" x14ac:dyDescent="0.3">
      <c r="A8603" s="160">
        <v>63029</v>
      </c>
      <c r="B8603" t="s">
        <v>23673</v>
      </c>
      <c r="C8603" t="s">
        <v>23659</v>
      </c>
      <c r="D8603">
        <v>0.3</v>
      </c>
      <c r="E8603">
        <v>0</v>
      </c>
      <c r="F8603">
        <f t="shared" si="134"/>
        <v>0.3</v>
      </c>
      <c r="I8603">
        <v>20240101</v>
      </c>
      <c r="J8603" t="s">
        <v>23672</v>
      </c>
    </row>
    <row r="8604" spans="1:17" x14ac:dyDescent="0.3">
      <c r="A8604" s="160">
        <v>63031</v>
      </c>
      <c r="B8604" t="s">
        <v>19016</v>
      </c>
      <c r="C8604" t="s">
        <v>23659</v>
      </c>
      <c r="D8604">
        <v>0.3</v>
      </c>
      <c r="E8604">
        <v>0</v>
      </c>
      <c r="F8604">
        <f t="shared" si="134"/>
        <v>0.3</v>
      </c>
      <c r="I8604">
        <v>20240101</v>
      </c>
      <c r="J8604" t="s">
        <v>23672</v>
      </c>
    </row>
    <row r="8605" spans="1:17" x14ac:dyDescent="0.3">
      <c r="A8605" s="160">
        <v>63032</v>
      </c>
      <c r="B8605" t="s">
        <v>16862</v>
      </c>
      <c r="C8605" t="s">
        <v>7977</v>
      </c>
      <c r="D8605">
        <v>2</v>
      </c>
      <c r="E8605">
        <v>0</v>
      </c>
      <c r="F8605">
        <f t="shared" si="134"/>
        <v>2</v>
      </c>
      <c r="I8605">
        <v>20190701</v>
      </c>
      <c r="J8605" t="s">
        <v>7989</v>
      </c>
    </row>
    <row r="8606" spans="1:17" x14ac:dyDescent="0.3">
      <c r="A8606" s="160">
        <v>63036</v>
      </c>
      <c r="B8606" t="s">
        <v>23674</v>
      </c>
      <c r="C8606" t="s">
        <v>23659</v>
      </c>
      <c r="D8606">
        <v>0.3</v>
      </c>
      <c r="E8606">
        <v>0</v>
      </c>
      <c r="F8606">
        <f t="shared" si="134"/>
        <v>0.3</v>
      </c>
      <c r="I8606">
        <v>20240101</v>
      </c>
      <c r="J8606" t="s">
        <v>23675</v>
      </c>
    </row>
    <row r="8607" spans="1:17" x14ac:dyDescent="0.3">
      <c r="A8607" s="160">
        <v>63042</v>
      </c>
      <c r="B8607" t="s">
        <v>23676</v>
      </c>
      <c r="C8607" t="s">
        <v>7977</v>
      </c>
      <c r="D8607">
        <v>2</v>
      </c>
      <c r="E8607">
        <v>0</v>
      </c>
      <c r="F8607">
        <f t="shared" si="134"/>
        <v>2</v>
      </c>
      <c r="I8607">
        <v>20190701</v>
      </c>
      <c r="J8607" t="s">
        <v>7990</v>
      </c>
    </row>
    <row r="8608" spans="1:17" x14ac:dyDescent="0.3">
      <c r="A8608" s="160">
        <v>63046</v>
      </c>
      <c r="B8608" t="s">
        <v>23677</v>
      </c>
      <c r="C8608" t="s">
        <v>23659</v>
      </c>
      <c r="D8608">
        <v>0.3</v>
      </c>
      <c r="E8608">
        <v>0</v>
      </c>
      <c r="F8608">
        <f t="shared" si="134"/>
        <v>0.3</v>
      </c>
      <c r="I8608">
        <v>20240101</v>
      </c>
      <c r="J8608" t="s">
        <v>23660</v>
      </c>
    </row>
    <row r="8609" spans="1:19" x14ac:dyDescent="0.3">
      <c r="A8609" s="160">
        <v>63050</v>
      </c>
      <c r="B8609" t="s">
        <v>23678</v>
      </c>
      <c r="C8609" t="s">
        <v>23659</v>
      </c>
      <c r="D8609">
        <v>0.3</v>
      </c>
      <c r="E8609">
        <v>0</v>
      </c>
      <c r="F8609">
        <f t="shared" si="134"/>
        <v>0.3</v>
      </c>
      <c r="I8609">
        <v>20240101</v>
      </c>
      <c r="J8609" t="s">
        <v>23672</v>
      </c>
    </row>
    <row r="8610" spans="1:19" x14ac:dyDescent="0.3">
      <c r="A8610" s="160">
        <v>63051</v>
      </c>
      <c r="B8610" t="s">
        <v>23679</v>
      </c>
      <c r="C8610" t="s">
        <v>23659</v>
      </c>
      <c r="D8610">
        <v>0.3</v>
      </c>
      <c r="E8610">
        <v>0</v>
      </c>
      <c r="F8610">
        <f t="shared" si="134"/>
        <v>0.3</v>
      </c>
      <c r="I8610">
        <v>20240101</v>
      </c>
      <c r="J8610" t="s">
        <v>23675</v>
      </c>
      <c r="K8610" t="s">
        <v>23680</v>
      </c>
      <c r="L8610" t="s">
        <v>23681</v>
      </c>
    </row>
    <row r="8611" spans="1:19" x14ac:dyDescent="0.3">
      <c r="A8611" s="160">
        <v>63052</v>
      </c>
      <c r="B8611" t="s">
        <v>23682</v>
      </c>
      <c r="C8611" t="s">
        <v>23659</v>
      </c>
      <c r="D8611">
        <v>0.3</v>
      </c>
      <c r="E8611">
        <v>0</v>
      </c>
      <c r="F8611">
        <f t="shared" si="134"/>
        <v>0.3</v>
      </c>
      <c r="I8611">
        <v>20240101</v>
      </c>
      <c r="J8611" t="s">
        <v>23660</v>
      </c>
    </row>
    <row r="8612" spans="1:19" x14ac:dyDescent="0.3">
      <c r="A8612" s="160">
        <v>63054</v>
      </c>
      <c r="B8612" t="s">
        <v>15903</v>
      </c>
      <c r="C8612" t="s">
        <v>23659</v>
      </c>
      <c r="D8612">
        <v>0.3</v>
      </c>
      <c r="E8612">
        <v>0</v>
      </c>
      <c r="F8612">
        <f t="shared" si="134"/>
        <v>0.3</v>
      </c>
      <c r="I8612">
        <v>20240101</v>
      </c>
      <c r="J8612" t="s">
        <v>23675</v>
      </c>
      <c r="K8612" t="s">
        <v>23680</v>
      </c>
      <c r="L8612" t="s">
        <v>23681</v>
      </c>
      <c r="M8612" t="s">
        <v>23683</v>
      </c>
    </row>
    <row r="8613" spans="1:19" x14ac:dyDescent="0.3">
      <c r="A8613" s="160">
        <v>63063</v>
      </c>
      <c r="B8613" t="s">
        <v>23684</v>
      </c>
      <c r="C8613" t="s">
        <v>7977</v>
      </c>
      <c r="D8613">
        <v>2</v>
      </c>
      <c r="E8613">
        <v>0</v>
      </c>
      <c r="F8613">
        <f t="shared" si="134"/>
        <v>2</v>
      </c>
      <c r="I8613">
        <v>20190701</v>
      </c>
      <c r="J8613" t="s">
        <v>7991</v>
      </c>
      <c r="K8613" t="s">
        <v>7992</v>
      </c>
      <c r="L8613" t="s">
        <v>7993</v>
      </c>
    </row>
    <row r="8614" spans="1:19" x14ac:dyDescent="0.3">
      <c r="A8614" s="160">
        <v>63066</v>
      </c>
      <c r="B8614" t="s">
        <v>23685</v>
      </c>
      <c r="C8614" t="s">
        <v>7974</v>
      </c>
      <c r="D8614">
        <v>0.6</v>
      </c>
      <c r="E8614">
        <v>0</v>
      </c>
      <c r="F8614">
        <f t="shared" si="134"/>
        <v>0.6</v>
      </c>
      <c r="I8614">
        <v>20250101</v>
      </c>
      <c r="J8614" t="s">
        <v>7975</v>
      </c>
      <c r="K8614" t="s">
        <v>7976</v>
      </c>
    </row>
    <row r="8615" spans="1:19" x14ac:dyDescent="0.3">
      <c r="A8615" s="160">
        <v>63068</v>
      </c>
      <c r="B8615" t="s">
        <v>23686</v>
      </c>
      <c r="C8615" t="s">
        <v>7994</v>
      </c>
      <c r="D8615">
        <v>0.8</v>
      </c>
      <c r="E8615">
        <v>0</v>
      </c>
      <c r="F8615">
        <f t="shared" si="134"/>
        <v>0.8</v>
      </c>
      <c r="I8615">
        <v>20230701</v>
      </c>
      <c r="J8615" t="s">
        <v>7995</v>
      </c>
    </row>
    <row r="8616" spans="1:19" x14ac:dyDescent="0.3">
      <c r="A8616" s="160">
        <v>63069</v>
      </c>
      <c r="B8616" t="s">
        <v>23687</v>
      </c>
      <c r="C8616" t="s">
        <v>7977</v>
      </c>
      <c r="D8616">
        <v>2</v>
      </c>
      <c r="E8616">
        <v>0</v>
      </c>
      <c r="F8616">
        <f t="shared" si="134"/>
        <v>2</v>
      </c>
      <c r="I8616">
        <v>20190701</v>
      </c>
      <c r="J8616" t="s">
        <v>7996</v>
      </c>
      <c r="K8616" t="s">
        <v>7997</v>
      </c>
    </row>
    <row r="8617" spans="1:19" x14ac:dyDescent="0.3">
      <c r="A8617" s="160">
        <v>63070</v>
      </c>
      <c r="B8617" t="s">
        <v>23688</v>
      </c>
      <c r="C8617" t="s">
        <v>7977</v>
      </c>
      <c r="D8617">
        <v>2</v>
      </c>
      <c r="E8617">
        <v>0</v>
      </c>
      <c r="F8617">
        <f t="shared" si="134"/>
        <v>2</v>
      </c>
      <c r="I8617">
        <v>20190701</v>
      </c>
      <c r="J8617" t="s">
        <v>7998</v>
      </c>
    </row>
    <row r="8618" spans="1:19" x14ac:dyDescent="0.3">
      <c r="A8618" s="160">
        <v>63072</v>
      </c>
      <c r="B8618" t="s">
        <v>23689</v>
      </c>
      <c r="C8618" t="s">
        <v>7974</v>
      </c>
      <c r="D8618">
        <v>0.6</v>
      </c>
      <c r="E8618">
        <v>0</v>
      </c>
      <c r="F8618">
        <f t="shared" si="134"/>
        <v>0.6</v>
      </c>
      <c r="I8618">
        <v>20250101</v>
      </c>
      <c r="J8618" t="s">
        <v>7975</v>
      </c>
    </row>
    <row r="8619" spans="1:19" x14ac:dyDescent="0.3">
      <c r="A8619" s="160">
        <v>63073</v>
      </c>
      <c r="B8619" t="s">
        <v>23690</v>
      </c>
      <c r="C8619" t="s">
        <v>23659</v>
      </c>
      <c r="D8619">
        <v>0.3</v>
      </c>
      <c r="E8619">
        <v>0</v>
      </c>
      <c r="F8619">
        <f t="shared" si="134"/>
        <v>0.3</v>
      </c>
      <c r="I8619">
        <v>20240101</v>
      </c>
      <c r="J8619" t="s">
        <v>23691</v>
      </c>
    </row>
    <row r="8620" spans="1:19" x14ac:dyDescent="0.3">
      <c r="A8620" s="160">
        <v>63074</v>
      </c>
      <c r="B8620" t="s">
        <v>23692</v>
      </c>
      <c r="C8620" t="s">
        <v>23659</v>
      </c>
      <c r="D8620">
        <v>0.3</v>
      </c>
      <c r="E8620">
        <v>0</v>
      </c>
      <c r="F8620">
        <f t="shared" si="134"/>
        <v>0.3</v>
      </c>
      <c r="I8620">
        <v>20240101</v>
      </c>
      <c r="J8620" t="s">
        <v>23660</v>
      </c>
    </row>
    <row r="8621" spans="1:19" x14ac:dyDescent="0.3">
      <c r="A8621" s="160">
        <v>63075</v>
      </c>
      <c r="B8621" t="s">
        <v>23693</v>
      </c>
      <c r="C8621" t="s">
        <v>7977</v>
      </c>
      <c r="D8621">
        <v>2</v>
      </c>
      <c r="E8621">
        <v>0</v>
      </c>
      <c r="F8621">
        <f t="shared" si="134"/>
        <v>2</v>
      </c>
      <c r="I8621">
        <v>20190701</v>
      </c>
      <c r="J8621" t="s">
        <v>7999</v>
      </c>
      <c r="K8621" t="s">
        <v>8000</v>
      </c>
      <c r="L8621" t="s">
        <v>8001</v>
      </c>
      <c r="M8621" t="s">
        <v>8002</v>
      </c>
      <c r="N8621" t="s">
        <v>8003</v>
      </c>
      <c r="O8621" t="s">
        <v>8004</v>
      </c>
      <c r="P8621" t="s">
        <v>8005</v>
      </c>
      <c r="Q8621" t="s">
        <v>8006</v>
      </c>
      <c r="R8621" t="s">
        <v>8007</v>
      </c>
      <c r="S8621" t="s">
        <v>8008</v>
      </c>
    </row>
    <row r="8622" spans="1:19" x14ac:dyDescent="0.3">
      <c r="A8622" s="160">
        <v>63079</v>
      </c>
      <c r="B8622" t="s">
        <v>23694</v>
      </c>
      <c r="C8622" t="s">
        <v>23659</v>
      </c>
      <c r="D8622">
        <v>0.3</v>
      </c>
      <c r="E8622">
        <v>0</v>
      </c>
      <c r="F8622">
        <f t="shared" si="134"/>
        <v>0.3</v>
      </c>
      <c r="I8622">
        <v>20240101</v>
      </c>
      <c r="J8622" t="s">
        <v>23695</v>
      </c>
    </row>
    <row r="8623" spans="1:19" x14ac:dyDescent="0.3">
      <c r="A8623" s="160">
        <v>63080</v>
      </c>
      <c r="B8623" t="s">
        <v>23696</v>
      </c>
      <c r="C8623" t="s">
        <v>23659</v>
      </c>
      <c r="D8623">
        <v>0.3</v>
      </c>
      <c r="E8623">
        <v>0</v>
      </c>
      <c r="F8623">
        <f t="shared" si="134"/>
        <v>0.3</v>
      </c>
      <c r="I8623">
        <v>20240101</v>
      </c>
      <c r="J8623" t="s">
        <v>23691</v>
      </c>
    </row>
    <row r="8624" spans="1:19" x14ac:dyDescent="0.3">
      <c r="A8624" s="160">
        <v>63083</v>
      </c>
      <c r="B8624" t="s">
        <v>23697</v>
      </c>
      <c r="C8624" t="s">
        <v>7994</v>
      </c>
      <c r="D8624">
        <v>0.8</v>
      </c>
      <c r="E8624">
        <v>0</v>
      </c>
      <c r="F8624">
        <f t="shared" si="134"/>
        <v>0.8</v>
      </c>
      <c r="I8624">
        <v>20230701</v>
      </c>
      <c r="J8624" t="s">
        <v>8009</v>
      </c>
    </row>
    <row r="8625" spans="1:67" x14ac:dyDescent="0.3">
      <c r="A8625" s="160">
        <v>63087</v>
      </c>
      <c r="B8625" t="s">
        <v>23698</v>
      </c>
      <c r="C8625" t="s">
        <v>23659</v>
      </c>
      <c r="D8625">
        <v>0.3</v>
      </c>
      <c r="E8625">
        <v>0</v>
      </c>
      <c r="F8625">
        <f t="shared" si="134"/>
        <v>0.3</v>
      </c>
      <c r="I8625">
        <v>20240101</v>
      </c>
      <c r="J8625" t="s">
        <v>23662</v>
      </c>
    </row>
    <row r="8626" spans="1:67" x14ac:dyDescent="0.3">
      <c r="A8626" s="160">
        <v>63088</v>
      </c>
      <c r="B8626" t="s">
        <v>23699</v>
      </c>
      <c r="C8626" t="s">
        <v>23659</v>
      </c>
      <c r="D8626">
        <v>0.3</v>
      </c>
      <c r="E8626">
        <v>0</v>
      </c>
      <c r="F8626">
        <f t="shared" si="134"/>
        <v>0.3</v>
      </c>
      <c r="I8626">
        <v>20240101</v>
      </c>
      <c r="J8626" t="s">
        <v>23695</v>
      </c>
    </row>
    <row r="8627" spans="1:67" x14ac:dyDescent="0.3">
      <c r="A8627" s="160">
        <v>63089</v>
      </c>
      <c r="B8627" t="s">
        <v>23700</v>
      </c>
      <c r="C8627" t="s">
        <v>7994</v>
      </c>
      <c r="D8627">
        <v>0.8</v>
      </c>
      <c r="E8627">
        <v>0</v>
      </c>
      <c r="F8627">
        <f t="shared" si="134"/>
        <v>0.8</v>
      </c>
      <c r="I8627">
        <v>20230701</v>
      </c>
      <c r="J8627" t="s">
        <v>8010</v>
      </c>
    </row>
    <row r="8628" spans="1:67" x14ac:dyDescent="0.3">
      <c r="A8628" s="160">
        <v>63091</v>
      </c>
      <c r="B8628" t="s">
        <v>23701</v>
      </c>
      <c r="C8628" t="s">
        <v>23659</v>
      </c>
      <c r="D8628">
        <v>0.3</v>
      </c>
      <c r="E8628">
        <v>0</v>
      </c>
      <c r="F8628">
        <f t="shared" si="134"/>
        <v>0.3</v>
      </c>
      <c r="I8628">
        <v>20240101</v>
      </c>
      <c r="J8628" t="s">
        <v>23660</v>
      </c>
    </row>
    <row r="8629" spans="1:67" x14ac:dyDescent="0.3">
      <c r="A8629" s="160">
        <v>63092</v>
      </c>
      <c r="B8629" t="s">
        <v>23702</v>
      </c>
      <c r="C8629" t="s">
        <v>7994</v>
      </c>
      <c r="D8629">
        <v>0.8</v>
      </c>
      <c r="E8629">
        <v>0</v>
      </c>
      <c r="F8629">
        <f t="shared" si="134"/>
        <v>0.8</v>
      </c>
      <c r="I8629">
        <v>20230701</v>
      </c>
      <c r="J8629" t="s">
        <v>8011</v>
      </c>
    </row>
    <row r="8630" spans="1:67" x14ac:dyDescent="0.3">
      <c r="A8630" s="160">
        <v>63095</v>
      </c>
      <c r="B8630" t="s">
        <v>23703</v>
      </c>
      <c r="C8630" t="s">
        <v>7974</v>
      </c>
      <c r="D8630">
        <v>0.6</v>
      </c>
      <c r="E8630">
        <v>0</v>
      </c>
      <c r="F8630">
        <f t="shared" si="134"/>
        <v>0.6</v>
      </c>
      <c r="I8630">
        <v>20250101</v>
      </c>
      <c r="J8630" t="s">
        <v>8012</v>
      </c>
    </row>
    <row r="8631" spans="1:67" x14ac:dyDescent="0.3">
      <c r="A8631" s="160">
        <v>63097</v>
      </c>
      <c r="B8631" t="s">
        <v>23704</v>
      </c>
      <c r="C8631" t="s">
        <v>23659</v>
      </c>
      <c r="D8631">
        <v>0.3</v>
      </c>
      <c r="E8631">
        <v>0</v>
      </c>
      <c r="F8631">
        <f t="shared" si="134"/>
        <v>0.3</v>
      </c>
      <c r="I8631">
        <v>20240101</v>
      </c>
      <c r="J8631" t="s">
        <v>23691</v>
      </c>
    </row>
    <row r="8632" spans="1:67" x14ac:dyDescent="0.3">
      <c r="A8632" s="160">
        <v>63099</v>
      </c>
      <c r="B8632" t="s">
        <v>23705</v>
      </c>
      <c r="C8632" t="s">
        <v>7977</v>
      </c>
      <c r="D8632">
        <v>2</v>
      </c>
      <c r="E8632">
        <v>0</v>
      </c>
      <c r="F8632">
        <f t="shared" si="134"/>
        <v>2</v>
      </c>
      <c r="I8632">
        <v>20190701</v>
      </c>
      <c r="J8632" t="s">
        <v>8013</v>
      </c>
    </row>
    <row r="8633" spans="1:67" x14ac:dyDescent="0.3">
      <c r="A8633" s="160">
        <v>63102</v>
      </c>
      <c r="B8633" t="s">
        <v>23706</v>
      </c>
      <c r="C8633" t="s">
        <v>7974</v>
      </c>
      <c r="D8633">
        <v>0.6</v>
      </c>
      <c r="E8633">
        <v>0</v>
      </c>
      <c r="F8633">
        <f t="shared" si="134"/>
        <v>0.6</v>
      </c>
      <c r="I8633">
        <v>20250101</v>
      </c>
      <c r="J8633" t="s">
        <v>8012</v>
      </c>
    </row>
    <row r="8634" spans="1:67" x14ac:dyDescent="0.3">
      <c r="A8634" s="160">
        <v>63103</v>
      </c>
      <c r="B8634" t="s">
        <v>23707</v>
      </c>
      <c r="C8634" t="s">
        <v>7994</v>
      </c>
      <c r="D8634">
        <v>0.8</v>
      </c>
      <c r="E8634">
        <v>0</v>
      </c>
      <c r="F8634">
        <f t="shared" si="134"/>
        <v>0.8</v>
      </c>
      <c r="I8634">
        <v>20230701</v>
      </c>
      <c r="J8634" t="s">
        <v>8014</v>
      </c>
      <c r="K8634" t="s">
        <v>8015</v>
      </c>
    </row>
    <row r="8635" spans="1:67" x14ac:dyDescent="0.3">
      <c r="A8635" s="160">
        <v>63107</v>
      </c>
      <c r="B8635" t="s">
        <v>23708</v>
      </c>
      <c r="C8635" t="s">
        <v>7994</v>
      </c>
      <c r="D8635">
        <v>0.8</v>
      </c>
      <c r="E8635">
        <v>0</v>
      </c>
      <c r="F8635">
        <f t="shared" si="134"/>
        <v>0.8</v>
      </c>
      <c r="I8635">
        <v>20230701</v>
      </c>
      <c r="J8635" t="s">
        <v>8010</v>
      </c>
    </row>
    <row r="8636" spans="1:67" x14ac:dyDescent="0.3">
      <c r="A8636" s="160">
        <v>63108</v>
      </c>
      <c r="B8636" t="s">
        <v>23709</v>
      </c>
      <c r="C8636" t="s">
        <v>7994</v>
      </c>
      <c r="D8636">
        <v>0.8</v>
      </c>
      <c r="E8636">
        <v>0</v>
      </c>
      <c r="F8636">
        <f t="shared" si="134"/>
        <v>0.8</v>
      </c>
      <c r="I8636">
        <v>20230701</v>
      </c>
      <c r="J8636" t="s">
        <v>7995</v>
      </c>
    </row>
    <row r="8637" spans="1:67" x14ac:dyDescent="0.3">
      <c r="A8637" s="160">
        <v>63109</v>
      </c>
      <c r="B8637" t="s">
        <v>23710</v>
      </c>
      <c r="C8637" t="s">
        <v>23659</v>
      </c>
      <c r="D8637">
        <v>0.3</v>
      </c>
      <c r="E8637">
        <v>0</v>
      </c>
      <c r="F8637">
        <f t="shared" si="134"/>
        <v>0.3</v>
      </c>
      <c r="I8637">
        <v>20240101</v>
      </c>
      <c r="J8637" t="s">
        <v>23691</v>
      </c>
    </row>
    <row r="8638" spans="1:67" x14ac:dyDescent="0.3">
      <c r="A8638" s="160">
        <v>63111</v>
      </c>
      <c r="B8638" t="s">
        <v>23711</v>
      </c>
      <c r="C8638" t="s">
        <v>23659</v>
      </c>
      <c r="D8638">
        <v>0.3</v>
      </c>
      <c r="E8638">
        <v>0</v>
      </c>
      <c r="F8638">
        <f t="shared" si="134"/>
        <v>0.3</v>
      </c>
      <c r="I8638">
        <v>20240101</v>
      </c>
      <c r="J8638" t="s">
        <v>23691</v>
      </c>
    </row>
    <row r="8639" spans="1:67" x14ac:dyDescent="0.3">
      <c r="A8639" s="160">
        <v>63112</v>
      </c>
      <c r="B8639" t="s">
        <v>23712</v>
      </c>
      <c r="C8639" t="s">
        <v>7994</v>
      </c>
      <c r="D8639">
        <v>0.8</v>
      </c>
      <c r="E8639">
        <v>0</v>
      </c>
      <c r="F8639">
        <f t="shared" si="134"/>
        <v>0.8</v>
      </c>
      <c r="I8639">
        <v>20230701</v>
      </c>
      <c r="J8639" t="s">
        <v>8010</v>
      </c>
    </row>
    <row r="8640" spans="1:67" x14ac:dyDescent="0.3">
      <c r="A8640" s="160">
        <v>63113</v>
      </c>
      <c r="B8640" t="s">
        <v>23713</v>
      </c>
      <c r="C8640" t="s">
        <v>7977</v>
      </c>
      <c r="D8640">
        <v>2</v>
      </c>
      <c r="E8640">
        <v>0</v>
      </c>
      <c r="F8640">
        <f t="shared" si="134"/>
        <v>2</v>
      </c>
      <c r="I8640">
        <v>20190701</v>
      </c>
      <c r="J8640" t="s">
        <v>8016</v>
      </c>
      <c r="K8640" t="s">
        <v>8017</v>
      </c>
      <c r="L8640" t="s">
        <v>8018</v>
      </c>
      <c r="M8640" t="s">
        <v>8019</v>
      </c>
      <c r="N8640" t="s">
        <v>8020</v>
      </c>
      <c r="O8640" t="s">
        <v>8021</v>
      </c>
      <c r="P8640" t="s">
        <v>8022</v>
      </c>
      <c r="Q8640" t="s">
        <v>8023</v>
      </c>
      <c r="R8640" t="s">
        <v>8024</v>
      </c>
      <c r="S8640" t="s">
        <v>8025</v>
      </c>
      <c r="T8640" t="s">
        <v>8026</v>
      </c>
      <c r="U8640" t="s">
        <v>8027</v>
      </c>
      <c r="V8640" t="s">
        <v>8028</v>
      </c>
      <c r="W8640" t="s">
        <v>8029</v>
      </c>
      <c r="X8640" t="s">
        <v>8030</v>
      </c>
      <c r="Y8640" t="s">
        <v>8031</v>
      </c>
      <c r="Z8640" t="s">
        <v>8032</v>
      </c>
      <c r="AA8640" t="s">
        <v>8033</v>
      </c>
      <c r="AB8640" t="s">
        <v>7991</v>
      </c>
      <c r="AC8640" t="s">
        <v>8034</v>
      </c>
      <c r="AD8640" t="s">
        <v>7992</v>
      </c>
      <c r="AE8640" t="s">
        <v>8035</v>
      </c>
      <c r="AF8640" t="s">
        <v>8036</v>
      </c>
      <c r="AG8640" t="s">
        <v>8037</v>
      </c>
      <c r="AH8640" t="s">
        <v>8038</v>
      </c>
      <c r="AI8640" t="s">
        <v>8039</v>
      </c>
      <c r="AJ8640" t="s">
        <v>8040</v>
      </c>
      <c r="AK8640" t="s">
        <v>8041</v>
      </c>
      <c r="AL8640" t="s">
        <v>8042</v>
      </c>
      <c r="AM8640" t="s">
        <v>8043</v>
      </c>
      <c r="AN8640" t="s">
        <v>8044</v>
      </c>
      <c r="AO8640" t="s">
        <v>8045</v>
      </c>
      <c r="AP8640" t="s">
        <v>8046</v>
      </c>
      <c r="AQ8640" t="s">
        <v>8047</v>
      </c>
      <c r="AR8640" t="s">
        <v>8048</v>
      </c>
      <c r="AS8640" t="s">
        <v>8049</v>
      </c>
      <c r="AT8640" t="s">
        <v>8050</v>
      </c>
      <c r="AU8640" t="s">
        <v>8051</v>
      </c>
      <c r="AV8640" t="s">
        <v>8052</v>
      </c>
      <c r="AW8640" t="s">
        <v>8053</v>
      </c>
      <c r="AX8640" t="s">
        <v>7999</v>
      </c>
      <c r="AY8640" t="s">
        <v>8054</v>
      </c>
      <c r="AZ8640" t="s">
        <v>8055</v>
      </c>
      <c r="BA8640" t="s">
        <v>8056</v>
      </c>
      <c r="BB8640" t="s">
        <v>8057</v>
      </c>
      <c r="BC8640" t="s">
        <v>8058</v>
      </c>
      <c r="BD8640" t="s">
        <v>8059</v>
      </c>
      <c r="BE8640" t="s">
        <v>8060</v>
      </c>
      <c r="BF8640" t="s">
        <v>7978</v>
      </c>
      <c r="BG8640" t="s">
        <v>8061</v>
      </c>
      <c r="BH8640" t="s">
        <v>8062</v>
      </c>
      <c r="BI8640" t="s">
        <v>8063</v>
      </c>
      <c r="BJ8640" t="s">
        <v>7980</v>
      </c>
      <c r="BK8640" t="s">
        <v>8064</v>
      </c>
      <c r="BL8640" t="s">
        <v>8065</v>
      </c>
      <c r="BM8640" t="s">
        <v>8066</v>
      </c>
      <c r="BN8640" t="s">
        <v>8067</v>
      </c>
      <c r="BO8640" t="s">
        <v>8068</v>
      </c>
    </row>
    <row r="8641" spans="1:15" x14ac:dyDescent="0.3">
      <c r="A8641" s="160">
        <v>63114</v>
      </c>
      <c r="B8641" t="s">
        <v>23714</v>
      </c>
      <c r="C8641" t="s">
        <v>23659</v>
      </c>
      <c r="D8641">
        <v>0.3</v>
      </c>
      <c r="E8641">
        <v>0</v>
      </c>
      <c r="F8641">
        <f t="shared" si="134"/>
        <v>0.3</v>
      </c>
      <c r="I8641">
        <v>20240101</v>
      </c>
      <c r="J8641" t="s">
        <v>23660</v>
      </c>
    </row>
    <row r="8642" spans="1:15" x14ac:dyDescent="0.3">
      <c r="A8642" s="160">
        <v>63121</v>
      </c>
      <c r="B8642" t="s">
        <v>23715</v>
      </c>
      <c r="C8642" t="s">
        <v>23659</v>
      </c>
      <c r="D8642">
        <v>0.3</v>
      </c>
      <c r="E8642">
        <v>0</v>
      </c>
      <c r="F8642">
        <f t="shared" si="134"/>
        <v>0.3</v>
      </c>
      <c r="I8642">
        <v>20240101</v>
      </c>
      <c r="J8642" t="s">
        <v>23716</v>
      </c>
    </row>
    <row r="8643" spans="1:15" x14ac:dyDescent="0.3">
      <c r="A8643" s="160">
        <v>63122</v>
      </c>
      <c r="B8643" t="s">
        <v>23717</v>
      </c>
      <c r="C8643" t="s">
        <v>23659</v>
      </c>
      <c r="D8643">
        <v>0.3</v>
      </c>
      <c r="E8643">
        <v>0</v>
      </c>
      <c r="F8643">
        <f t="shared" si="134"/>
        <v>0.3</v>
      </c>
      <c r="I8643">
        <v>20240101</v>
      </c>
      <c r="J8643" t="s">
        <v>23691</v>
      </c>
    </row>
    <row r="8644" spans="1:15" x14ac:dyDescent="0.3">
      <c r="A8644" s="160">
        <v>63124</v>
      </c>
      <c r="B8644" t="s">
        <v>23718</v>
      </c>
      <c r="C8644" t="s">
        <v>7977</v>
      </c>
      <c r="D8644">
        <v>2</v>
      </c>
      <c r="E8644">
        <v>0</v>
      </c>
      <c r="F8644">
        <f t="shared" si="134"/>
        <v>2</v>
      </c>
      <c r="I8644">
        <v>20190701</v>
      </c>
      <c r="J8644" t="s">
        <v>8072</v>
      </c>
      <c r="K8644" t="s">
        <v>8073</v>
      </c>
      <c r="L8644" t="s">
        <v>8074</v>
      </c>
      <c r="M8644" t="s">
        <v>8075</v>
      </c>
      <c r="N8644" t="s">
        <v>8076</v>
      </c>
      <c r="O8644" t="s">
        <v>7997</v>
      </c>
    </row>
    <row r="8645" spans="1:15" x14ac:dyDescent="0.3">
      <c r="A8645" s="160">
        <v>63125</v>
      </c>
      <c r="B8645" t="s">
        <v>23719</v>
      </c>
      <c r="C8645" t="s">
        <v>7974</v>
      </c>
      <c r="D8645">
        <v>0.6</v>
      </c>
      <c r="E8645">
        <v>0</v>
      </c>
      <c r="F8645">
        <f t="shared" si="134"/>
        <v>0.6</v>
      </c>
      <c r="I8645">
        <v>20250101</v>
      </c>
      <c r="J8645" t="s">
        <v>7986</v>
      </c>
    </row>
    <row r="8646" spans="1:15" x14ac:dyDescent="0.3">
      <c r="A8646" s="160">
        <v>63133</v>
      </c>
      <c r="B8646" t="s">
        <v>23720</v>
      </c>
      <c r="C8646" t="s">
        <v>7977</v>
      </c>
      <c r="D8646">
        <v>2</v>
      </c>
      <c r="E8646">
        <v>0</v>
      </c>
      <c r="F8646">
        <f t="shared" si="134"/>
        <v>2</v>
      </c>
      <c r="I8646">
        <v>20190701</v>
      </c>
      <c r="J8646" t="s">
        <v>8077</v>
      </c>
    </row>
    <row r="8647" spans="1:15" x14ac:dyDescent="0.3">
      <c r="A8647" s="160">
        <v>63134</v>
      </c>
      <c r="B8647" t="s">
        <v>23721</v>
      </c>
      <c r="C8647" t="s">
        <v>23659</v>
      </c>
      <c r="D8647">
        <v>0.3</v>
      </c>
      <c r="E8647">
        <v>0</v>
      </c>
      <c r="F8647">
        <f t="shared" ref="F8647:F8710" si="135">D8647+E8647</f>
        <v>0.3</v>
      </c>
      <c r="I8647">
        <v>20240101</v>
      </c>
      <c r="J8647" t="s">
        <v>23660</v>
      </c>
    </row>
    <row r="8648" spans="1:15" x14ac:dyDescent="0.3">
      <c r="A8648" s="160">
        <v>63138</v>
      </c>
      <c r="B8648" t="s">
        <v>23722</v>
      </c>
      <c r="C8648" t="s">
        <v>7974</v>
      </c>
      <c r="D8648">
        <v>0.6</v>
      </c>
      <c r="E8648">
        <v>0</v>
      </c>
      <c r="F8648">
        <f t="shared" si="135"/>
        <v>0.6</v>
      </c>
      <c r="I8648">
        <v>20250101</v>
      </c>
      <c r="J8648" t="s">
        <v>8078</v>
      </c>
      <c r="K8648" t="s">
        <v>8079</v>
      </c>
    </row>
    <row r="8649" spans="1:15" x14ac:dyDescent="0.3">
      <c r="A8649" s="160">
        <v>63141</v>
      </c>
      <c r="B8649" t="s">
        <v>23723</v>
      </c>
      <c r="C8649" t="s">
        <v>7977</v>
      </c>
      <c r="D8649">
        <v>2</v>
      </c>
      <c r="E8649">
        <v>0</v>
      </c>
      <c r="F8649">
        <f t="shared" si="135"/>
        <v>2</v>
      </c>
      <c r="I8649">
        <v>20190701</v>
      </c>
      <c r="J8649" t="s">
        <v>8008</v>
      </c>
      <c r="K8649" t="s">
        <v>8080</v>
      </c>
    </row>
    <row r="8650" spans="1:15" x14ac:dyDescent="0.3">
      <c r="A8650" s="160">
        <v>63145</v>
      </c>
      <c r="B8650" t="s">
        <v>23724</v>
      </c>
      <c r="C8650" t="s">
        <v>23659</v>
      </c>
      <c r="D8650">
        <v>0.3</v>
      </c>
      <c r="E8650">
        <v>0</v>
      </c>
      <c r="F8650">
        <f t="shared" si="135"/>
        <v>0.3</v>
      </c>
      <c r="I8650">
        <v>20240101</v>
      </c>
      <c r="J8650" t="s">
        <v>23725</v>
      </c>
    </row>
    <row r="8651" spans="1:15" x14ac:dyDescent="0.3">
      <c r="A8651" s="160">
        <v>63148</v>
      </c>
      <c r="B8651" t="s">
        <v>23726</v>
      </c>
      <c r="C8651" t="s">
        <v>7994</v>
      </c>
      <c r="D8651">
        <v>0.8</v>
      </c>
      <c r="E8651">
        <v>0</v>
      </c>
      <c r="F8651">
        <f t="shared" si="135"/>
        <v>0.8</v>
      </c>
      <c r="I8651">
        <v>20230701</v>
      </c>
      <c r="J8651" t="s">
        <v>8010</v>
      </c>
    </row>
    <row r="8652" spans="1:15" x14ac:dyDescent="0.3">
      <c r="A8652" s="160">
        <v>63149</v>
      </c>
      <c r="B8652" t="s">
        <v>23727</v>
      </c>
      <c r="C8652" t="s">
        <v>7994</v>
      </c>
      <c r="D8652">
        <v>0.8</v>
      </c>
      <c r="E8652">
        <v>0</v>
      </c>
      <c r="F8652">
        <f t="shared" si="135"/>
        <v>0.8</v>
      </c>
      <c r="I8652">
        <v>20230701</v>
      </c>
      <c r="J8652" t="s">
        <v>8010</v>
      </c>
    </row>
    <row r="8653" spans="1:15" x14ac:dyDescent="0.3">
      <c r="A8653" s="160">
        <v>63150</v>
      </c>
      <c r="B8653" t="s">
        <v>23728</v>
      </c>
      <c r="C8653" t="s">
        <v>7994</v>
      </c>
      <c r="D8653">
        <v>0.8</v>
      </c>
      <c r="E8653">
        <v>0</v>
      </c>
      <c r="F8653">
        <f t="shared" si="135"/>
        <v>0.8</v>
      </c>
      <c r="I8653">
        <v>20230701</v>
      </c>
      <c r="J8653" t="s">
        <v>8081</v>
      </c>
      <c r="K8653" t="s">
        <v>8082</v>
      </c>
      <c r="L8653" t="s">
        <v>8015</v>
      </c>
      <c r="M8653" t="s">
        <v>8009</v>
      </c>
    </row>
    <row r="8654" spans="1:15" x14ac:dyDescent="0.3">
      <c r="A8654" s="160">
        <v>63151</v>
      </c>
      <c r="B8654" t="s">
        <v>23729</v>
      </c>
      <c r="C8654" t="s">
        <v>7974</v>
      </c>
      <c r="D8654">
        <v>0.6</v>
      </c>
      <c r="E8654">
        <v>0</v>
      </c>
      <c r="F8654">
        <f t="shared" si="135"/>
        <v>0.6</v>
      </c>
      <c r="I8654">
        <v>20250101</v>
      </c>
      <c r="J8654" t="s">
        <v>8078</v>
      </c>
      <c r="K8654" t="s">
        <v>8079</v>
      </c>
      <c r="L8654" t="s">
        <v>7976</v>
      </c>
    </row>
    <row r="8655" spans="1:15" x14ac:dyDescent="0.3">
      <c r="A8655" s="160">
        <v>63156</v>
      </c>
      <c r="B8655" t="s">
        <v>23730</v>
      </c>
      <c r="C8655" t="s">
        <v>23659</v>
      </c>
      <c r="D8655">
        <v>0.3</v>
      </c>
      <c r="E8655">
        <v>0</v>
      </c>
      <c r="F8655">
        <f t="shared" si="135"/>
        <v>0.3</v>
      </c>
      <c r="I8655">
        <v>20240101</v>
      </c>
      <c r="J8655" t="s">
        <v>23672</v>
      </c>
    </row>
    <row r="8656" spans="1:15" x14ac:dyDescent="0.3">
      <c r="A8656" s="160">
        <v>63160</v>
      </c>
      <c r="B8656" t="s">
        <v>23731</v>
      </c>
      <c r="C8656" t="s">
        <v>23659</v>
      </c>
      <c r="D8656">
        <v>0.3</v>
      </c>
      <c r="E8656">
        <v>0</v>
      </c>
      <c r="F8656">
        <f t="shared" si="135"/>
        <v>0.3</v>
      </c>
      <c r="I8656">
        <v>20240101</v>
      </c>
      <c r="J8656" t="s">
        <v>23675</v>
      </c>
    </row>
    <row r="8657" spans="1:16" x14ac:dyDescent="0.3">
      <c r="A8657" s="160">
        <v>63164</v>
      </c>
      <c r="B8657" t="s">
        <v>23732</v>
      </c>
      <c r="C8657" t="s">
        <v>7977</v>
      </c>
      <c r="D8657">
        <v>2</v>
      </c>
      <c r="E8657">
        <v>0</v>
      </c>
      <c r="F8657">
        <f t="shared" si="135"/>
        <v>2</v>
      </c>
      <c r="I8657">
        <v>20190701</v>
      </c>
      <c r="J8657" t="s">
        <v>8083</v>
      </c>
    </row>
    <row r="8658" spans="1:16" x14ac:dyDescent="0.3">
      <c r="A8658" s="160">
        <v>63166</v>
      </c>
      <c r="B8658" t="s">
        <v>23733</v>
      </c>
      <c r="C8658" t="s">
        <v>23659</v>
      </c>
      <c r="D8658">
        <v>0.3</v>
      </c>
      <c r="E8658">
        <v>0</v>
      </c>
      <c r="F8658">
        <f t="shared" si="135"/>
        <v>0.3</v>
      </c>
      <c r="I8658">
        <v>20240101</v>
      </c>
      <c r="J8658" t="s">
        <v>23660</v>
      </c>
    </row>
    <row r="8659" spans="1:16" x14ac:dyDescent="0.3">
      <c r="A8659" s="160">
        <v>63172</v>
      </c>
      <c r="B8659" t="s">
        <v>23734</v>
      </c>
      <c r="C8659" t="s">
        <v>23659</v>
      </c>
      <c r="D8659">
        <v>0.3</v>
      </c>
      <c r="E8659">
        <v>0</v>
      </c>
      <c r="F8659">
        <f t="shared" si="135"/>
        <v>0.3</v>
      </c>
      <c r="I8659">
        <v>20240101</v>
      </c>
      <c r="J8659" t="s">
        <v>23691</v>
      </c>
    </row>
    <row r="8660" spans="1:16" x14ac:dyDescent="0.3">
      <c r="A8660" s="160">
        <v>63178</v>
      </c>
      <c r="B8660" t="s">
        <v>23735</v>
      </c>
      <c r="C8660" t="s">
        <v>23659</v>
      </c>
      <c r="D8660">
        <v>0.3</v>
      </c>
      <c r="E8660">
        <v>0</v>
      </c>
      <c r="F8660">
        <f t="shared" si="135"/>
        <v>0.3</v>
      </c>
      <c r="I8660">
        <v>20240101</v>
      </c>
      <c r="J8660" t="s">
        <v>23675</v>
      </c>
      <c r="K8660" t="s">
        <v>23680</v>
      </c>
      <c r="L8660" t="s">
        <v>23681</v>
      </c>
      <c r="M8660" t="s">
        <v>23736</v>
      </c>
      <c r="N8660" t="s">
        <v>23683</v>
      </c>
      <c r="O8660" t="s">
        <v>23737</v>
      </c>
      <c r="P8660" t="s">
        <v>23738</v>
      </c>
    </row>
    <row r="8661" spans="1:16" x14ac:dyDescent="0.3">
      <c r="A8661" s="160">
        <v>63182</v>
      </c>
      <c r="B8661" t="s">
        <v>23739</v>
      </c>
      <c r="C8661" t="s">
        <v>23659</v>
      </c>
      <c r="D8661">
        <v>0.3</v>
      </c>
      <c r="E8661">
        <v>0</v>
      </c>
      <c r="F8661">
        <f t="shared" si="135"/>
        <v>0.3</v>
      </c>
      <c r="I8661">
        <v>20240101</v>
      </c>
      <c r="J8661" t="s">
        <v>23672</v>
      </c>
    </row>
    <row r="8662" spans="1:16" x14ac:dyDescent="0.3">
      <c r="A8662" s="160">
        <v>63184</v>
      </c>
      <c r="B8662" t="s">
        <v>23740</v>
      </c>
      <c r="C8662" t="s">
        <v>7974</v>
      </c>
      <c r="D8662">
        <v>0.6</v>
      </c>
      <c r="E8662">
        <v>0</v>
      </c>
      <c r="F8662">
        <f t="shared" si="135"/>
        <v>0.6</v>
      </c>
      <c r="I8662">
        <v>20250101</v>
      </c>
      <c r="J8662" t="s">
        <v>8012</v>
      </c>
    </row>
    <row r="8663" spans="1:16" x14ac:dyDescent="0.3">
      <c r="A8663" s="160">
        <v>63185</v>
      </c>
      <c r="B8663" t="s">
        <v>23741</v>
      </c>
      <c r="C8663" t="s">
        <v>23659</v>
      </c>
      <c r="D8663">
        <v>0.3</v>
      </c>
      <c r="E8663">
        <v>0</v>
      </c>
      <c r="F8663">
        <f t="shared" si="135"/>
        <v>0.3</v>
      </c>
      <c r="I8663">
        <v>20240101</v>
      </c>
      <c r="J8663" t="s">
        <v>23672</v>
      </c>
    </row>
    <row r="8664" spans="1:16" x14ac:dyDescent="0.3">
      <c r="A8664" s="160">
        <v>63193</v>
      </c>
      <c r="B8664" t="s">
        <v>23742</v>
      </c>
      <c r="C8664" t="s">
        <v>7977</v>
      </c>
      <c r="D8664">
        <v>2</v>
      </c>
      <c r="E8664">
        <v>0</v>
      </c>
      <c r="F8664">
        <f t="shared" si="135"/>
        <v>2</v>
      </c>
      <c r="I8664">
        <v>20190701</v>
      </c>
      <c r="J8664" t="s">
        <v>8084</v>
      </c>
      <c r="K8664" t="s">
        <v>8085</v>
      </c>
      <c r="L8664" t="s">
        <v>8086</v>
      </c>
    </row>
    <row r="8665" spans="1:16" x14ac:dyDescent="0.3">
      <c r="A8665" s="160">
        <v>63195</v>
      </c>
      <c r="B8665" t="s">
        <v>23743</v>
      </c>
      <c r="C8665" t="s">
        <v>7974</v>
      </c>
      <c r="D8665">
        <v>0.6</v>
      </c>
      <c r="E8665">
        <v>0</v>
      </c>
      <c r="F8665">
        <f t="shared" si="135"/>
        <v>0.6</v>
      </c>
      <c r="I8665">
        <v>20250101</v>
      </c>
      <c r="J8665" t="s">
        <v>8087</v>
      </c>
    </row>
    <row r="8666" spans="1:16" x14ac:dyDescent="0.3">
      <c r="A8666" s="160">
        <v>63199</v>
      </c>
      <c r="B8666" t="s">
        <v>23744</v>
      </c>
      <c r="C8666" t="s">
        <v>23659</v>
      </c>
      <c r="D8666">
        <v>0.3</v>
      </c>
      <c r="E8666">
        <v>0</v>
      </c>
      <c r="F8666">
        <f t="shared" si="135"/>
        <v>0.3</v>
      </c>
      <c r="I8666">
        <v>20240101</v>
      </c>
      <c r="J8666" t="s">
        <v>23691</v>
      </c>
    </row>
    <row r="8667" spans="1:16" x14ac:dyDescent="0.3">
      <c r="A8667" s="160">
        <v>63200</v>
      </c>
      <c r="B8667" t="s">
        <v>23745</v>
      </c>
      <c r="C8667" t="s">
        <v>7994</v>
      </c>
      <c r="D8667">
        <v>0.8</v>
      </c>
      <c r="E8667">
        <v>0</v>
      </c>
      <c r="F8667">
        <f t="shared" si="135"/>
        <v>0.8</v>
      </c>
      <c r="I8667">
        <v>20230701</v>
      </c>
      <c r="J8667" t="s">
        <v>8083</v>
      </c>
    </row>
    <row r="8668" spans="1:16" x14ac:dyDescent="0.3">
      <c r="A8668" s="160">
        <v>63202</v>
      </c>
      <c r="B8668" t="s">
        <v>23746</v>
      </c>
      <c r="C8668" t="s">
        <v>23659</v>
      </c>
      <c r="D8668">
        <v>0.3</v>
      </c>
      <c r="E8668">
        <v>0</v>
      </c>
      <c r="F8668">
        <f t="shared" si="135"/>
        <v>0.3</v>
      </c>
      <c r="I8668">
        <v>20240101</v>
      </c>
      <c r="J8668" t="s">
        <v>23660</v>
      </c>
    </row>
    <row r="8669" spans="1:16" x14ac:dyDescent="0.3">
      <c r="A8669" s="160">
        <v>63203</v>
      </c>
      <c r="B8669" t="s">
        <v>23747</v>
      </c>
      <c r="C8669" t="s">
        <v>7994</v>
      </c>
      <c r="D8669">
        <v>0.8</v>
      </c>
      <c r="E8669">
        <v>0</v>
      </c>
      <c r="F8669">
        <f t="shared" si="135"/>
        <v>0.8</v>
      </c>
      <c r="I8669">
        <v>20230701</v>
      </c>
      <c r="J8669" t="s">
        <v>7995</v>
      </c>
      <c r="K8669" t="s">
        <v>8081</v>
      </c>
      <c r="L8669" t="s">
        <v>8082</v>
      </c>
      <c r="M8669" t="s">
        <v>8015</v>
      </c>
    </row>
    <row r="8670" spans="1:16" x14ac:dyDescent="0.3">
      <c r="A8670" s="160">
        <v>63204</v>
      </c>
      <c r="B8670" t="s">
        <v>23748</v>
      </c>
      <c r="C8670" t="s">
        <v>7994</v>
      </c>
      <c r="D8670">
        <v>0.8</v>
      </c>
      <c r="E8670">
        <v>0</v>
      </c>
      <c r="F8670">
        <f t="shared" si="135"/>
        <v>0.8</v>
      </c>
      <c r="I8670">
        <v>20230701</v>
      </c>
      <c r="J8670" t="s">
        <v>7988</v>
      </c>
    </row>
    <row r="8671" spans="1:16" x14ac:dyDescent="0.3">
      <c r="A8671" s="160">
        <v>63209</v>
      </c>
      <c r="B8671" t="s">
        <v>23749</v>
      </c>
      <c r="C8671" t="s">
        <v>23659</v>
      </c>
      <c r="D8671">
        <v>0.3</v>
      </c>
      <c r="E8671">
        <v>0</v>
      </c>
      <c r="F8671">
        <f t="shared" si="135"/>
        <v>0.3</v>
      </c>
      <c r="I8671">
        <v>20240101</v>
      </c>
      <c r="J8671" t="s">
        <v>23660</v>
      </c>
    </row>
    <row r="8672" spans="1:16" x14ac:dyDescent="0.3">
      <c r="A8672" s="160">
        <v>63212</v>
      </c>
      <c r="B8672" t="s">
        <v>23750</v>
      </c>
      <c r="C8672" t="s">
        <v>7994</v>
      </c>
      <c r="D8672">
        <v>0.8</v>
      </c>
      <c r="E8672">
        <v>0</v>
      </c>
      <c r="F8672">
        <f t="shared" si="135"/>
        <v>0.8</v>
      </c>
      <c r="I8672">
        <v>20230701</v>
      </c>
      <c r="J8672" t="s">
        <v>7995</v>
      </c>
      <c r="K8672" t="s">
        <v>8015</v>
      </c>
    </row>
    <row r="8673" spans="1:13" x14ac:dyDescent="0.3">
      <c r="A8673" s="160">
        <v>63213</v>
      </c>
      <c r="B8673" t="s">
        <v>23751</v>
      </c>
      <c r="C8673" t="s">
        <v>7994</v>
      </c>
      <c r="D8673">
        <v>0.8</v>
      </c>
      <c r="E8673">
        <v>0</v>
      </c>
      <c r="F8673">
        <f t="shared" si="135"/>
        <v>0.8</v>
      </c>
      <c r="I8673">
        <v>20230701</v>
      </c>
      <c r="J8673" t="s">
        <v>8088</v>
      </c>
    </row>
    <row r="8674" spans="1:13" x14ac:dyDescent="0.3">
      <c r="A8674" s="160">
        <v>63215</v>
      </c>
      <c r="B8674" t="s">
        <v>23752</v>
      </c>
      <c r="C8674" t="s">
        <v>7994</v>
      </c>
      <c r="D8674">
        <v>0.8</v>
      </c>
      <c r="E8674">
        <v>0</v>
      </c>
      <c r="F8674">
        <f t="shared" si="135"/>
        <v>0.8</v>
      </c>
      <c r="I8674">
        <v>20230701</v>
      </c>
      <c r="J8674" t="s">
        <v>8010</v>
      </c>
    </row>
    <row r="8675" spans="1:13" x14ac:dyDescent="0.3">
      <c r="A8675" s="160">
        <v>63220</v>
      </c>
      <c r="B8675" t="s">
        <v>23753</v>
      </c>
      <c r="C8675" t="s">
        <v>23659</v>
      </c>
      <c r="D8675">
        <v>0.3</v>
      </c>
      <c r="E8675">
        <v>0</v>
      </c>
      <c r="F8675">
        <f t="shared" si="135"/>
        <v>0.3</v>
      </c>
      <c r="I8675">
        <v>20240101</v>
      </c>
      <c r="J8675" t="s">
        <v>23662</v>
      </c>
    </row>
    <row r="8676" spans="1:13" x14ac:dyDescent="0.3">
      <c r="A8676" s="160">
        <v>63222</v>
      </c>
      <c r="B8676" t="s">
        <v>23754</v>
      </c>
      <c r="C8676" t="s">
        <v>23659</v>
      </c>
      <c r="D8676">
        <v>0.3</v>
      </c>
      <c r="E8676">
        <v>0</v>
      </c>
      <c r="F8676">
        <f t="shared" si="135"/>
        <v>0.3</v>
      </c>
      <c r="I8676">
        <v>20240101</v>
      </c>
      <c r="J8676" t="s">
        <v>23691</v>
      </c>
    </row>
    <row r="8677" spans="1:13" x14ac:dyDescent="0.3">
      <c r="A8677" s="160">
        <v>63224</v>
      </c>
      <c r="B8677" t="s">
        <v>23755</v>
      </c>
      <c r="C8677" t="s">
        <v>7994</v>
      </c>
      <c r="D8677">
        <v>0.8</v>
      </c>
      <c r="E8677">
        <v>0</v>
      </c>
      <c r="F8677">
        <f t="shared" si="135"/>
        <v>0.8</v>
      </c>
      <c r="I8677">
        <v>20230701</v>
      </c>
      <c r="J8677" t="s">
        <v>7995</v>
      </c>
      <c r="K8677" t="s">
        <v>8015</v>
      </c>
      <c r="L8677" t="s">
        <v>8089</v>
      </c>
    </row>
    <row r="8678" spans="1:13" x14ac:dyDescent="0.3">
      <c r="A8678" s="160">
        <v>63226</v>
      </c>
      <c r="B8678" t="s">
        <v>23756</v>
      </c>
      <c r="C8678" t="s">
        <v>7977</v>
      </c>
      <c r="D8678">
        <v>2</v>
      </c>
      <c r="E8678">
        <v>0</v>
      </c>
      <c r="F8678">
        <f t="shared" si="135"/>
        <v>2</v>
      </c>
      <c r="I8678">
        <v>20190701</v>
      </c>
      <c r="J8678" t="s">
        <v>8090</v>
      </c>
    </row>
    <row r="8679" spans="1:13" x14ac:dyDescent="0.3">
      <c r="A8679" s="160">
        <v>63231</v>
      </c>
      <c r="B8679" t="s">
        <v>23757</v>
      </c>
      <c r="C8679" t="s">
        <v>7974</v>
      </c>
      <c r="D8679">
        <v>0.6</v>
      </c>
      <c r="E8679">
        <v>0</v>
      </c>
      <c r="F8679">
        <f t="shared" si="135"/>
        <v>0.6</v>
      </c>
      <c r="I8679">
        <v>20250101</v>
      </c>
      <c r="J8679" t="s">
        <v>8091</v>
      </c>
    </row>
    <row r="8680" spans="1:13" x14ac:dyDescent="0.3">
      <c r="A8680" s="160">
        <v>63234</v>
      </c>
      <c r="B8680" t="s">
        <v>17284</v>
      </c>
      <c r="C8680" t="s">
        <v>23659</v>
      </c>
      <c r="D8680">
        <v>0.3</v>
      </c>
      <c r="E8680">
        <v>0</v>
      </c>
      <c r="F8680">
        <f t="shared" si="135"/>
        <v>0.3</v>
      </c>
      <c r="I8680">
        <v>20240101</v>
      </c>
      <c r="J8680" t="s">
        <v>23691</v>
      </c>
    </row>
    <row r="8681" spans="1:13" x14ac:dyDescent="0.3">
      <c r="A8681" s="160">
        <v>63241</v>
      </c>
      <c r="B8681" t="s">
        <v>19100</v>
      </c>
      <c r="C8681" t="s">
        <v>23659</v>
      </c>
      <c r="D8681">
        <v>0.3</v>
      </c>
      <c r="E8681">
        <v>0</v>
      </c>
      <c r="F8681">
        <f t="shared" si="135"/>
        <v>0.3</v>
      </c>
      <c r="I8681">
        <v>20240101</v>
      </c>
      <c r="J8681" t="s">
        <v>23716</v>
      </c>
    </row>
    <row r="8682" spans="1:13" x14ac:dyDescent="0.3">
      <c r="A8682" s="160">
        <v>63242</v>
      </c>
      <c r="B8682" t="s">
        <v>23758</v>
      </c>
      <c r="C8682" t="s">
        <v>23659</v>
      </c>
      <c r="D8682">
        <v>0.3</v>
      </c>
      <c r="E8682">
        <v>0</v>
      </c>
      <c r="F8682">
        <f t="shared" si="135"/>
        <v>0.3</v>
      </c>
      <c r="I8682">
        <v>20240101</v>
      </c>
      <c r="J8682" t="s">
        <v>23660</v>
      </c>
    </row>
    <row r="8683" spans="1:13" x14ac:dyDescent="0.3">
      <c r="A8683" s="160">
        <v>63244</v>
      </c>
      <c r="B8683" t="s">
        <v>23759</v>
      </c>
      <c r="C8683" t="s">
        <v>7994</v>
      </c>
      <c r="D8683">
        <v>0.8</v>
      </c>
      <c r="E8683">
        <v>0</v>
      </c>
      <c r="F8683">
        <f t="shared" si="135"/>
        <v>0.8</v>
      </c>
      <c r="I8683">
        <v>20230701</v>
      </c>
      <c r="J8683" t="s">
        <v>7995</v>
      </c>
      <c r="K8683" t="s">
        <v>8015</v>
      </c>
    </row>
    <row r="8684" spans="1:13" x14ac:dyDescent="0.3">
      <c r="A8684" s="160">
        <v>63245</v>
      </c>
      <c r="B8684" t="s">
        <v>23760</v>
      </c>
      <c r="C8684" t="s">
        <v>7994</v>
      </c>
      <c r="D8684">
        <v>0.8</v>
      </c>
      <c r="E8684">
        <v>0</v>
      </c>
      <c r="F8684">
        <f t="shared" si="135"/>
        <v>0.8</v>
      </c>
      <c r="I8684">
        <v>20230701</v>
      </c>
      <c r="J8684" t="s">
        <v>7995</v>
      </c>
      <c r="K8684" t="s">
        <v>8081</v>
      </c>
      <c r="L8684" t="s">
        <v>8082</v>
      </c>
      <c r="M8684" t="s">
        <v>8015</v>
      </c>
    </row>
    <row r="8685" spans="1:13" x14ac:dyDescent="0.3">
      <c r="A8685" s="160">
        <v>63249</v>
      </c>
      <c r="B8685" t="s">
        <v>23761</v>
      </c>
      <c r="C8685" t="s">
        <v>7974</v>
      </c>
      <c r="D8685">
        <v>0.6</v>
      </c>
      <c r="E8685">
        <v>0</v>
      </c>
      <c r="F8685">
        <f t="shared" si="135"/>
        <v>0.6</v>
      </c>
      <c r="I8685">
        <v>20250101</v>
      </c>
      <c r="J8685" t="s">
        <v>7986</v>
      </c>
    </row>
    <row r="8686" spans="1:13" x14ac:dyDescent="0.3">
      <c r="A8686" s="160">
        <v>63250</v>
      </c>
      <c r="B8686" t="s">
        <v>23762</v>
      </c>
      <c r="C8686" t="s">
        <v>23659</v>
      </c>
      <c r="D8686">
        <v>0.3</v>
      </c>
      <c r="E8686">
        <v>0</v>
      </c>
      <c r="F8686">
        <f t="shared" si="135"/>
        <v>0.3</v>
      </c>
      <c r="I8686">
        <v>20240101</v>
      </c>
      <c r="J8686" t="s">
        <v>23691</v>
      </c>
    </row>
    <row r="8687" spans="1:13" x14ac:dyDescent="0.3">
      <c r="A8687" s="160">
        <v>63253</v>
      </c>
      <c r="B8687" t="s">
        <v>23763</v>
      </c>
      <c r="C8687" t="s">
        <v>7974</v>
      </c>
      <c r="D8687">
        <v>0.6</v>
      </c>
      <c r="E8687">
        <v>0</v>
      </c>
      <c r="F8687">
        <f t="shared" si="135"/>
        <v>0.6</v>
      </c>
      <c r="I8687">
        <v>20250101</v>
      </c>
      <c r="J8687" t="s">
        <v>8012</v>
      </c>
    </row>
    <row r="8688" spans="1:13" x14ac:dyDescent="0.3">
      <c r="A8688" s="160">
        <v>63254</v>
      </c>
      <c r="B8688" t="s">
        <v>23764</v>
      </c>
      <c r="C8688" t="s">
        <v>7977</v>
      </c>
      <c r="D8688">
        <v>2</v>
      </c>
      <c r="E8688">
        <v>0</v>
      </c>
      <c r="F8688">
        <f t="shared" si="135"/>
        <v>2</v>
      </c>
      <c r="I8688">
        <v>20190701</v>
      </c>
      <c r="J8688" t="s">
        <v>8008</v>
      </c>
      <c r="K8688" t="s">
        <v>8080</v>
      </c>
    </row>
    <row r="8689" spans="1:13" x14ac:dyDescent="0.3">
      <c r="A8689" s="160">
        <v>63255</v>
      </c>
      <c r="B8689" t="s">
        <v>23765</v>
      </c>
      <c r="C8689" t="s">
        <v>23659</v>
      </c>
      <c r="D8689">
        <v>0.3</v>
      </c>
      <c r="E8689">
        <v>0</v>
      </c>
      <c r="F8689">
        <f t="shared" si="135"/>
        <v>0.3</v>
      </c>
      <c r="I8689">
        <v>20240101</v>
      </c>
      <c r="J8689" t="s">
        <v>23660</v>
      </c>
    </row>
    <row r="8690" spans="1:13" x14ac:dyDescent="0.3">
      <c r="A8690" s="160">
        <v>63260</v>
      </c>
      <c r="B8690" t="s">
        <v>23766</v>
      </c>
      <c r="C8690" t="s">
        <v>7974</v>
      </c>
      <c r="D8690">
        <v>0.6</v>
      </c>
      <c r="E8690">
        <v>0</v>
      </c>
      <c r="F8690">
        <f t="shared" si="135"/>
        <v>0.6</v>
      </c>
      <c r="I8690">
        <v>20250101</v>
      </c>
      <c r="J8690" t="s">
        <v>8092</v>
      </c>
    </row>
    <row r="8691" spans="1:13" x14ac:dyDescent="0.3">
      <c r="A8691" s="160">
        <v>63261</v>
      </c>
      <c r="B8691" t="s">
        <v>23767</v>
      </c>
      <c r="C8691" t="s">
        <v>23659</v>
      </c>
      <c r="D8691">
        <v>0.3</v>
      </c>
      <c r="E8691">
        <v>0</v>
      </c>
      <c r="F8691">
        <f t="shared" si="135"/>
        <v>0.3</v>
      </c>
      <c r="I8691">
        <v>20240101</v>
      </c>
      <c r="J8691" t="s">
        <v>23675</v>
      </c>
    </row>
    <row r="8692" spans="1:13" x14ac:dyDescent="0.3">
      <c r="A8692" s="160">
        <v>63263</v>
      </c>
      <c r="B8692" t="s">
        <v>23768</v>
      </c>
      <c r="C8692" t="s">
        <v>7977</v>
      </c>
      <c r="D8692">
        <v>2</v>
      </c>
      <c r="E8692">
        <v>0</v>
      </c>
      <c r="F8692">
        <f t="shared" si="135"/>
        <v>2</v>
      </c>
      <c r="I8692">
        <v>20190701</v>
      </c>
      <c r="J8692" t="s">
        <v>8001</v>
      </c>
      <c r="K8692" t="s">
        <v>8008</v>
      </c>
      <c r="L8692" t="s">
        <v>8093</v>
      </c>
    </row>
    <row r="8693" spans="1:13" x14ac:dyDescent="0.3">
      <c r="A8693" s="160">
        <v>63267</v>
      </c>
      <c r="B8693" t="s">
        <v>23769</v>
      </c>
      <c r="C8693" t="s">
        <v>7974</v>
      </c>
      <c r="D8693">
        <v>0.6</v>
      </c>
      <c r="E8693">
        <v>0</v>
      </c>
      <c r="F8693">
        <f t="shared" si="135"/>
        <v>0.6</v>
      </c>
      <c r="I8693">
        <v>20250101</v>
      </c>
      <c r="J8693" t="s">
        <v>8094</v>
      </c>
    </row>
    <row r="8694" spans="1:13" x14ac:dyDescent="0.3">
      <c r="A8694" s="160">
        <v>63268</v>
      </c>
      <c r="B8694" t="s">
        <v>23770</v>
      </c>
      <c r="C8694" t="s">
        <v>23659</v>
      </c>
      <c r="D8694">
        <v>0.3</v>
      </c>
      <c r="E8694">
        <v>0</v>
      </c>
      <c r="F8694">
        <f t="shared" si="135"/>
        <v>0.3</v>
      </c>
      <c r="I8694">
        <v>20240101</v>
      </c>
      <c r="J8694" t="s">
        <v>23675</v>
      </c>
      <c r="K8694" t="s">
        <v>23736</v>
      </c>
    </row>
    <row r="8695" spans="1:13" x14ac:dyDescent="0.3">
      <c r="A8695" s="160">
        <v>63269</v>
      </c>
      <c r="B8695" t="s">
        <v>23771</v>
      </c>
      <c r="C8695" t="s">
        <v>23659</v>
      </c>
      <c r="D8695">
        <v>0.3</v>
      </c>
      <c r="E8695">
        <v>0</v>
      </c>
      <c r="F8695">
        <f t="shared" si="135"/>
        <v>0.3</v>
      </c>
      <c r="I8695">
        <v>20240101</v>
      </c>
      <c r="J8695" t="s">
        <v>23772</v>
      </c>
    </row>
    <row r="8696" spans="1:13" x14ac:dyDescent="0.3">
      <c r="A8696" s="160">
        <v>63270</v>
      </c>
      <c r="B8696" t="s">
        <v>23773</v>
      </c>
      <c r="C8696" t="s">
        <v>23659</v>
      </c>
      <c r="D8696">
        <v>0.3</v>
      </c>
      <c r="E8696">
        <v>0</v>
      </c>
      <c r="F8696">
        <f t="shared" si="135"/>
        <v>0.3</v>
      </c>
      <c r="I8696">
        <v>20240101</v>
      </c>
      <c r="J8696" t="s">
        <v>23675</v>
      </c>
      <c r="K8696" t="s">
        <v>23681</v>
      </c>
    </row>
    <row r="8697" spans="1:13" x14ac:dyDescent="0.3">
      <c r="A8697" s="160">
        <v>63271</v>
      </c>
      <c r="B8697" t="s">
        <v>23774</v>
      </c>
      <c r="C8697" t="s">
        <v>7974</v>
      </c>
      <c r="D8697">
        <v>0.6</v>
      </c>
      <c r="E8697">
        <v>0</v>
      </c>
      <c r="F8697">
        <f t="shared" si="135"/>
        <v>0.6</v>
      </c>
      <c r="I8697">
        <v>20250101</v>
      </c>
      <c r="J8697" t="s">
        <v>8012</v>
      </c>
    </row>
    <row r="8698" spans="1:13" x14ac:dyDescent="0.3">
      <c r="A8698" s="160">
        <v>63272</v>
      </c>
      <c r="B8698" t="s">
        <v>23775</v>
      </c>
      <c r="C8698" t="s">
        <v>7977</v>
      </c>
      <c r="D8698">
        <v>2</v>
      </c>
      <c r="E8698">
        <v>0</v>
      </c>
      <c r="F8698">
        <f t="shared" si="135"/>
        <v>2</v>
      </c>
      <c r="I8698">
        <v>20190701</v>
      </c>
      <c r="J8698" t="s">
        <v>7979</v>
      </c>
      <c r="K8698" t="s">
        <v>7984</v>
      </c>
    </row>
    <row r="8699" spans="1:13" x14ac:dyDescent="0.3">
      <c r="A8699" s="160">
        <v>63273</v>
      </c>
      <c r="B8699" t="s">
        <v>23776</v>
      </c>
      <c r="C8699" t="s">
        <v>7977</v>
      </c>
      <c r="D8699">
        <v>2</v>
      </c>
      <c r="E8699">
        <v>0</v>
      </c>
      <c r="F8699">
        <f t="shared" si="135"/>
        <v>2</v>
      </c>
      <c r="I8699">
        <v>20190701</v>
      </c>
      <c r="J8699" t="s">
        <v>8072</v>
      </c>
      <c r="K8699" t="s">
        <v>8073</v>
      </c>
      <c r="L8699" t="s">
        <v>8074</v>
      </c>
      <c r="M8699" t="s">
        <v>8076</v>
      </c>
    </row>
    <row r="8700" spans="1:13" x14ac:dyDescent="0.3">
      <c r="A8700" s="160">
        <v>63275</v>
      </c>
      <c r="B8700" t="s">
        <v>23777</v>
      </c>
      <c r="C8700" t="s">
        <v>23659</v>
      </c>
      <c r="D8700">
        <v>0.3</v>
      </c>
      <c r="E8700">
        <v>0</v>
      </c>
      <c r="F8700">
        <f t="shared" si="135"/>
        <v>0.3</v>
      </c>
      <c r="I8700">
        <v>20240101</v>
      </c>
      <c r="J8700" t="s">
        <v>23675</v>
      </c>
      <c r="K8700" t="s">
        <v>23680</v>
      </c>
      <c r="L8700" t="s">
        <v>23681</v>
      </c>
    </row>
    <row r="8701" spans="1:13" x14ac:dyDescent="0.3">
      <c r="A8701" s="160">
        <v>63276</v>
      </c>
      <c r="B8701" t="s">
        <v>23778</v>
      </c>
      <c r="C8701" t="s">
        <v>7974</v>
      </c>
      <c r="D8701">
        <v>0.6</v>
      </c>
      <c r="E8701">
        <v>0</v>
      </c>
      <c r="F8701">
        <f t="shared" si="135"/>
        <v>0.6</v>
      </c>
      <c r="I8701">
        <v>20250101</v>
      </c>
      <c r="J8701" t="s">
        <v>8079</v>
      </c>
      <c r="K8701" t="s">
        <v>7976</v>
      </c>
      <c r="L8701" t="s">
        <v>8095</v>
      </c>
    </row>
    <row r="8702" spans="1:13" x14ac:dyDescent="0.3">
      <c r="A8702" s="160">
        <v>63277</v>
      </c>
      <c r="B8702" t="s">
        <v>23779</v>
      </c>
      <c r="C8702" t="s">
        <v>23659</v>
      </c>
      <c r="D8702">
        <v>0.3</v>
      </c>
      <c r="E8702">
        <v>0</v>
      </c>
      <c r="F8702">
        <f t="shared" si="135"/>
        <v>0.3</v>
      </c>
      <c r="I8702">
        <v>20240101</v>
      </c>
      <c r="J8702" t="s">
        <v>23695</v>
      </c>
    </row>
    <row r="8703" spans="1:13" x14ac:dyDescent="0.3">
      <c r="A8703" s="160">
        <v>63278</v>
      </c>
      <c r="B8703" t="s">
        <v>23780</v>
      </c>
      <c r="C8703" t="s">
        <v>7994</v>
      </c>
      <c r="D8703">
        <v>0.8</v>
      </c>
      <c r="E8703">
        <v>0</v>
      </c>
      <c r="F8703">
        <f t="shared" si="135"/>
        <v>0.8</v>
      </c>
      <c r="I8703">
        <v>20230701</v>
      </c>
      <c r="J8703" t="s">
        <v>7995</v>
      </c>
      <c r="K8703" t="s">
        <v>8089</v>
      </c>
    </row>
    <row r="8704" spans="1:13" x14ac:dyDescent="0.3">
      <c r="A8704" s="160">
        <v>63282</v>
      </c>
      <c r="B8704" t="s">
        <v>23781</v>
      </c>
      <c r="C8704" t="s">
        <v>23659</v>
      </c>
      <c r="D8704">
        <v>0.3</v>
      </c>
      <c r="E8704">
        <v>0</v>
      </c>
      <c r="F8704">
        <f t="shared" si="135"/>
        <v>0.3</v>
      </c>
      <c r="I8704">
        <v>20240101</v>
      </c>
      <c r="J8704" t="s">
        <v>23782</v>
      </c>
    </row>
    <row r="8705" spans="1:17" x14ac:dyDescent="0.3">
      <c r="A8705" s="160">
        <v>63284</v>
      </c>
      <c r="B8705" t="s">
        <v>23783</v>
      </c>
      <c r="C8705" t="s">
        <v>7977</v>
      </c>
      <c r="D8705">
        <v>2</v>
      </c>
      <c r="E8705">
        <v>0</v>
      </c>
      <c r="F8705">
        <f t="shared" si="135"/>
        <v>2</v>
      </c>
      <c r="I8705">
        <v>20190701</v>
      </c>
      <c r="J8705" t="s">
        <v>8088</v>
      </c>
    </row>
    <row r="8706" spans="1:17" x14ac:dyDescent="0.3">
      <c r="A8706" s="160">
        <v>63287</v>
      </c>
      <c r="B8706" t="s">
        <v>23784</v>
      </c>
      <c r="C8706" t="s">
        <v>23659</v>
      </c>
      <c r="D8706">
        <v>0.3</v>
      </c>
      <c r="E8706">
        <v>0</v>
      </c>
      <c r="F8706">
        <f t="shared" si="135"/>
        <v>0.3</v>
      </c>
      <c r="I8706">
        <v>20240101</v>
      </c>
      <c r="J8706" t="s">
        <v>23675</v>
      </c>
      <c r="K8706" t="s">
        <v>23681</v>
      </c>
    </row>
    <row r="8707" spans="1:17" x14ac:dyDescent="0.3">
      <c r="A8707" s="160">
        <v>63290</v>
      </c>
      <c r="B8707" t="s">
        <v>23785</v>
      </c>
      <c r="C8707" t="s">
        <v>7994</v>
      </c>
      <c r="D8707">
        <v>0.8</v>
      </c>
      <c r="E8707">
        <v>0</v>
      </c>
      <c r="F8707">
        <f t="shared" si="135"/>
        <v>0.8</v>
      </c>
      <c r="I8707">
        <v>20240101</v>
      </c>
      <c r="J8707" t="s">
        <v>8096</v>
      </c>
    </row>
    <row r="8708" spans="1:17" x14ac:dyDescent="0.3">
      <c r="A8708" s="160">
        <v>63291</v>
      </c>
      <c r="B8708" t="s">
        <v>23786</v>
      </c>
      <c r="C8708" t="s">
        <v>7974</v>
      </c>
      <c r="D8708">
        <v>0.6</v>
      </c>
      <c r="E8708">
        <v>0</v>
      </c>
      <c r="F8708">
        <f t="shared" si="135"/>
        <v>0.6</v>
      </c>
      <c r="I8708">
        <v>20250101</v>
      </c>
      <c r="J8708" t="s">
        <v>8012</v>
      </c>
    </row>
    <row r="8709" spans="1:17" x14ac:dyDescent="0.3">
      <c r="A8709" s="160">
        <v>63298</v>
      </c>
      <c r="B8709" t="s">
        <v>23787</v>
      </c>
      <c r="C8709" t="s">
        <v>7974</v>
      </c>
      <c r="D8709">
        <v>0.6</v>
      </c>
      <c r="E8709">
        <v>0</v>
      </c>
      <c r="F8709">
        <f t="shared" si="135"/>
        <v>0.6</v>
      </c>
      <c r="I8709">
        <v>20250101</v>
      </c>
      <c r="J8709" t="s">
        <v>7987</v>
      </c>
    </row>
    <row r="8710" spans="1:17" x14ac:dyDescent="0.3">
      <c r="A8710" s="160">
        <v>63299</v>
      </c>
      <c r="B8710" t="s">
        <v>23788</v>
      </c>
      <c r="C8710" t="s">
        <v>23659</v>
      </c>
      <c r="D8710">
        <v>0.3</v>
      </c>
      <c r="E8710">
        <v>0</v>
      </c>
      <c r="F8710">
        <f t="shared" si="135"/>
        <v>0.3</v>
      </c>
      <c r="I8710">
        <v>20240101</v>
      </c>
      <c r="J8710" t="s">
        <v>23662</v>
      </c>
    </row>
    <row r="8711" spans="1:17" x14ac:dyDescent="0.3">
      <c r="A8711" s="160">
        <v>63300</v>
      </c>
      <c r="B8711" t="s">
        <v>23789</v>
      </c>
      <c r="C8711" t="s">
        <v>7994</v>
      </c>
      <c r="D8711">
        <v>0.8</v>
      </c>
      <c r="E8711">
        <v>0</v>
      </c>
      <c r="F8711">
        <f t="shared" ref="F8711:F8774" si="136">D8711+E8711</f>
        <v>0.8</v>
      </c>
      <c r="I8711">
        <v>20230701</v>
      </c>
      <c r="J8711" t="s">
        <v>7995</v>
      </c>
      <c r="K8711" t="s">
        <v>8081</v>
      </c>
      <c r="L8711" t="s">
        <v>8082</v>
      </c>
      <c r="M8711" t="s">
        <v>8015</v>
      </c>
      <c r="N8711" t="s">
        <v>8089</v>
      </c>
      <c r="O8711" t="s">
        <v>8097</v>
      </c>
      <c r="P8711" t="s">
        <v>8098</v>
      </c>
      <c r="Q8711" t="s">
        <v>8099</v>
      </c>
    </row>
    <row r="8712" spans="1:17" x14ac:dyDescent="0.3">
      <c r="A8712" s="160">
        <v>63301</v>
      </c>
      <c r="B8712" t="s">
        <v>23790</v>
      </c>
      <c r="C8712" t="s">
        <v>7974</v>
      </c>
      <c r="D8712">
        <v>0.6</v>
      </c>
      <c r="E8712">
        <v>0</v>
      </c>
      <c r="F8712">
        <f t="shared" si="136"/>
        <v>0.6</v>
      </c>
      <c r="I8712">
        <v>20250101</v>
      </c>
      <c r="J8712" t="s">
        <v>8012</v>
      </c>
    </row>
    <row r="8713" spans="1:17" x14ac:dyDescent="0.3">
      <c r="A8713" s="160">
        <v>63303</v>
      </c>
      <c r="B8713" t="s">
        <v>23791</v>
      </c>
      <c r="C8713" t="s">
        <v>23659</v>
      </c>
      <c r="D8713">
        <v>0.3</v>
      </c>
      <c r="E8713">
        <v>0</v>
      </c>
      <c r="F8713">
        <f t="shared" si="136"/>
        <v>0.3</v>
      </c>
      <c r="I8713">
        <v>20240101</v>
      </c>
      <c r="J8713" t="s">
        <v>23662</v>
      </c>
    </row>
    <row r="8714" spans="1:17" x14ac:dyDescent="0.3">
      <c r="A8714" s="160">
        <v>63307</v>
      </c>
      <c r="B8714" t="s">
        <v>23792</v>
      </c>
      <c r="C8714" t="s">
        <v>7977</v>
      </c>
      <c r="D8714">
        <v>2</v>
      </c>
      <c r="E8714">
        <v>0</v>
      </c>
      <c r="F8714">
        <f t="shared" si="136"/>
        <v>2</v>
      </c>
      <c r="I8714">
        <v>20190701</v>
      </c>
      <c r="J8714" t="s">
        <v>8100</v>
      </c>
    </row>
    <row r="8715" spans="1:17" x14ac:dyDescent="0.3">
      <c r="A8715" s="160">
        <v>63308</v>
      </c>
      <c r="B8715" t="s">
        <v>23793</v>
      </c>
      <c r="C8715" t="s">
        <v>7977</v>
      </c>
      <c r="D8715">
        <v>2</v>
      </c>
      <c r="E8715">
        <v>0</v>
      </c>
      <c r="F8715">
        <f t="shared" si="136"/>
        <v>2</v>
      </c>
      <c r="I8715">
        <v>20190701</v>
      </c>
      <c r="J8715" t="s">
        <v>8101</v>
      </c>
      <c r="K8715" t="s">
        <v>8001</v>
      </c>
      <c r="L8715" t="s">
        <v>8007</v>
      </c>
      <c r="M8715" t="s">
        <v>8008</v>
      </c>
    </row>
    <row r="8716" spans="1:17" x14ac:dyDescent="0.3">
      <c r="A8716" s="160">
        <v>63310</v>
      </c>
      <c r="B8716" t="s">
        <v>23794</v>
      </c>
      <c r="C8716" t="s">
        <v>7974</v>
      </c>
      <c r="D8716">
        <v>0.6</v>
      </c>
      <c r="E8716">
        <v>0</v>
      </c>
      <c r="F8716">
        <f t="shared" si="136"/>
        <v>0.6</v>
      </c>
      <c r="I8716">
        <v>20250101</v>
      </c>
      <c r="J8716" t="s">
        <v>7986</v>
      </c>
    </row>
    <row r="8717" spans="1:17" x14ac:dyDescent="0.3">
      <c r="A8717" s="160">
        <v>63313</v>
      </c>
      <c r="B8717" t="s">
        <v>23795</v>
      </c>
      <c r="C8717" t="s">
        <v>23659</v>
      </c>
      <c r="D8717">
        <v>0.3</v>
      </c>
      <c r="E8717">
        <v>0</v>
      </c>
      <c r="F8717">
        <f t="shared" si="136"/>
        <v>0.3</v>
      </c>
      <c r="I8717">
        <v>20240101</v>
      </c>
      <c r="J8717" t="s">
        <v>23662</v>
      </c>
    </row>
    <row r="8718" spans="1:17" x14ac:dyDescent="0.3">
      <c r="A8718" s="160">
        <v>63321</v>
      </c>
      <c r="B8718" t="s">
        <v>23796</v>
      </c>
      <c r="C8718" t="s">
        <v>23659</v>
      </c>
      <c r="D8718">
        <v>0.3</v>
      </c>
      <c r="E8718">
        <v>0</v>
      </c>
      <c r="F8718">
        <f t="shared" si="136"/>
        <v>0.3</v>
      </c>
      <c r="I8718">
        <v>20240101</v>
      </c>
      <c r="J8718" t="s">
        <v>23675</v>
      </c>
    </row>
    <row r="8719" spans="1:17" x14ac:dyDescent="0.3">
      <c r="A8719" s="160">
        <v>63322</v>
      </c>
      <c r="B8719" t="s">
        <v>23797</v>
      </c>
      <c r="C8719" t="s">
        <v>7994</v>
      </c>
      <c r="D8719">
        <v>0.8</v>
      </c>
      <c r="E8719">
        <v>0</v>
      </c>
      <c r="F8719">
        <f t="shared" si="136"/>
        <v>0.8</v>
      </c>
      <c r="I8719">
        <v>20230701</v>
      </c>
      <c r="J8719" t="s">
        <v>8083</v>
      </c>
    </row>
    <row r="8720" spans="1:17" x14ac:dyDescent="0.3">
      <c r="A8720" s="160">
        <v>63327</v>
      </c>
      <c r="B8720" t="s">
        <v>23798</v>
      </c>
      <c r="C8720" t="s">
        <v>7994</v>
      </c>
      <c r="D8720">
        <v>0.8</v>
      </c>
      <c r="E8720">
        <v>0</v>
      </c>
      <c r="F8720">
        <f t="shared" si="136"/>
        <v>0.8</v>
      </c>
      <c r="I8720">
        <v>20230701</v>
      </c>
      <c r="J8720" t="s">
        <v>7995</v>
      </c>
      <c r="K8720" t="s">
        <v>8015</v>
      </c>
    </row>
    <row r="8721" spans="1:70" x14ac:dyDescent="0.3">
      <c r="A8721" s="160">
        <v>63330</v>
      </c>
      <c r="B8721" t="s">
        <v>23799</v>
      </c>
      <c r="C8721" t="s">
        <v>23659</v>
      </c>
      <c r="D8721">
        <v>0.3</v>
      </c>
      <c r="E8721">
        <v>0</v>
      </c>
      <c r="F8721">
        <f t="shared" si="136"/>
        <v>0.3</v>
      </c>
      <c r="I8721">
        <v>20240101</v>
      </c>
      <c r="J8721" t="s">
        <v>23691</v>
      </c>
    </row>
    <row r="8722" spans="1:70" x14ac:dyDescent="0.3">
      <c r="A8722" s="160">
        <v>63340</v>
      </c>
      <c r="B8722" t="s">
        <v>23800</v>
      </c>
      <c r="C8722" t="s">
        <v>23659</v>
      </c>
      <c r="D8722">
        <v>0.3</v>
      </c>
      <c r="E8722">
        <v>0</v>
      </c>
      <c r="F8722">
        <f t="shared" si="136"/>
        <v>0.3</v>
      </c>
      <c r="I8722">
        <v>20240101</v>
      </c>
      <c r="J8722" t="s">
        <v>23695</v>
      </c>
    </row>
    <row r="8723" spans="1:70" x14ac:dyDescent="0.3">
      <c r="A8723" s="160">
        <v>63342</v>
      </c>
      <c r="B8723" t="s">
        <v>23801</v>
      </c>
      <c r="C8723" t="s">
        <v>23659</v>
      </c>
      <c r="D8723">
        <v>0.3</v>
      </c>
      <c r="E8723">
        <v>0</v>
      </c>
      <c r="F8723">
        <f t="shared" si="136"/>
        <v>0.3</v>
      </c>
      <c r="I8723">
        <v>20240101</v>
      </c>
      <c r="J8723" t="s">
        <v>23691</v>
      </c>
    </row>
    <row r="8724" spans="1:70" x14ac:dyDescent="0.3">
      <c r="A8724" s="160">
        <v>63343</v>
      </c>
      <c r="B8724" t="s">
        <v>23802</v>
      </c>
      <c r="C8724" t="s">
        <v>7974</v>
      </c>
      <c r="D8724">
        <v>0.6</v>
      </c>
      <c r="E8724">
        <v>0</v>
      </c>
      <c r="F8724">
        <f t="shared" si="136"/>
        <v>0.6</v>
      </c>
      <c r="I8724">
        <v>20250101</v>
      </c>
      <c r="J8724" t="s">
        <v>8102</v>
      </c>
    </row>
    <row r="8725" spans="1:70" x14ac:dyDescent="0.3">
      <c r="A8725" s="160">
        <v>63345</v>
      </c>
      <c r="B8725" t="s">
        <v>23803</v>
      </c>
      <c r="C8725" t="s">
        <v>7977</v>
      </c>
      <c r="D8725">
        <v>2</v>
      </c>
      <c r="E8725">
        <v>0</v>
      </c>
      <c r="F8725">
        <f t="shared" si="136"/>
        <v>2</v>
      </c>
      <c r="I8725">
        <v>20190701</v>
      </c>
      <c r="J8725" t="s">
        <v>7998</v>
      </c>
    </row>
    <row r="8726" spans="1:70" x14ac:dyDescent="0.3">
      <c r="A8726" s="160">
        <v>63348</v>
      </c>
      <c r="B8726" t="s">
        <v>23804</v>
      </c>
      <c r="C8726" t="s">
        <v>23659</v>
      </c>
      <c r="D8726">
        <v>0.3</v>
      </c>
      <c r="E8726">
        <v>0</v>
      </c>
      <c r="F8726">
        <f t="shared" si="136"/>
        <v>0.3</v>
      </c>
      <c r="I8726">
        <v>20240101</v>
      </c>
      <c r="J8726" t="s">
        <v>23695</v>
      </c>
    </row>
    <row r="8727" spans="1:70" x14ac:dyDescent="0.3">
      <c r="A8727" s="160">
        <v>63352</v>
      </c>
      <c r="B8727" t="s">
        <v>23805</v>
      </c>
      <c r="C8727" t="s">
        <v>23659</v>
      </c>
      <c r="D8727">
        <v>0.3</v>
      </c>
      <c r="E8727">
        <v>0</v>
      </c>
      <c r="F8727">
        <f t="shared" si="136"/>
        <v>0.3</v>
      </c>
      <c r="I8727">
        <v>20240101</v>
      </c>
      <c r="J8727" t="s">
        <v>23660</v>
      </c>
    </row>
    <row r="8728" spans="1:70" x14ac:dyDescent="0.3">
      <c r="A8728" s="160">
        <v>63356</v>
      </c>
      <c r="B8728" t="s">
        <v>23806</v>
      </c>
      <c r="C8728" t="s">
        <v>23659</v>
      </c>
      <c r="D8728">
        <v>0.3</v>
      </c>
      <c r="E8728">
        <v>0</v>
      </c>
      <c r="F8728">
        <f t="shared" si="136"/>
        <v>0.3</v>
      </c>
      <c r="I8728">
        <v>20240101</v>
      </c>
      <c r="J8728" t="s">
        <v>23660</v>
      </c>
    </row>
    <row r="8729" spans="1:70" x14ac:dyDescent="0.3">
      <c r="A8729" s="160">
        <v>63357</v>
      </c>
      <c r="B8729" t="s">
        <v>23807</v>
      </c>
      <c r="C8729" t="s">
        <v>23659</v>
      </c>
      <c r="D8729">
        <v>0.3</v>
      </c>
      <c r="E8729">
        <v>0</v>
      </c>
      <c r="F8729">
        <f t="shared" si="136"/>
        <v>0.3</v>
      </c>
      <c r="I8729">
        <v>20240101</v>
      </c>
      <c r="J8729" t="s">
        <v>23660</v>
      </c>
    </row>
    <row r="8730" spans="1:70" x14ac:dyDescent="0.3">
      <c r="A8730" s="160">
        <v>63362</v>
      </c>
      <c r="B8730" t="s">
        <v>23808</v>
      </c>
      <c r="C8730" t="s">
        <v>7994</v>
      </c>
      <c r="D8730">
        <v>0.8</v>
      </c>
      <c r="E8730">
        <v>0</v>
      </c>
      <c r="F8730">
        <f t="shared" si="136"/>
        <v>0.8</v>
      </c>
      <c r="I8730">
        <v>20230701</v>
      </c>
      <c r="J8730" t="s">
        <v>8010</v>
      </c>
    </row>
    <row r="8731" spans="1:70" x14ac:dyDescent="0.3">
      <c r="A8731" s="160">
        <v>63364</v>
      </c>
      <c r="B8731" t="s">
        <v>23809</v>
      </c>
      <c r="C8731" t="s">
        <v>7974</v>
      </c>
      <c r="D8731">
        <v>0.6</v>
      </c>
      <c r="E8731">
        <v>0</v>
      </c>
      <c r="F8731">
        <f t="shared" si="136"/>
        <v>0.6</v>
      </c>
      <c r="I8731">
        <v>20250101</v>
      </c>
      <c r="J8731" t="s">
        <v>8087</v>
      </c>
    </row>
    <row r="8732" spans="1:70" x14ac:dyDescent="0.3">
      <c r="A8732" s="160">
        <v>63366</v>
      </c>
      <c r="B8732" t="s">
        <v>23810</v>
      </c>
      <c r="C8732" t="s">
        <v>23659</v>
      </c>
      <c r="D8732">
        <v>0.3</v>
      </c>
      <c r="E8732">
        <v>0</v>
      </c>
      <c r="F8732">
        <f t="shared" si="136"/>
        <v>0.3</v>
      </c>
      <c r="I8732">
        <v>20240101</v>
      </c>
      <c r="J8732" t="s">
        <v>23725</v>
      </c>
    </row>
    <row r="8733" spans="1:70" x14ac:dyDescent="0.3">
      <c r="A8733" s="160">
        <v>63367</v>
      </c>
      <c r="B8733" t="s">
        <v>23811</v>
      </c>
      <c r="C8733" t="s">
        <v>23659</v>
      </c>
      <c r="D8733">
        <v>0.3</v>
      </c>
      <c r="E8733">
        <v>0</v>
      </c>
      <c r="F8733">
        <f t="shared" si="136"/>
        <v>0.3</v>
      </c>
      <c r="I8733">
        <v>20240101</v>
      </c>
      <c r="J8733" t="s">
        <v>23672</v>
      </c>
    </row>
    <row r="8734" spans="1:70" x14ac:dyDescent="0.3">
      <c r="A8734" s="160">
        <v>63372</v>
      </c>
      <c r="B8734" t="s">
        <v>23812</v>
      </c>
      <c r="C8734" t="s">
        <v>7994</v>
      </c>
      <c r="D8734">
        <v>0.8</v>
      </c>
      <c r="E8734">
        <v>0</v>
      </c>
      <c r="F8734">
        <f t="shared" si="136"/>
        <v>0.8</v>
      </c>
      <c r="I8734">
        <v>20230701</v>
      </c>
      <c r="J8734" t="s">
        <v>8103</v>
      </c>
      <c r="BP8734" t="s">
        <v>8069</v>
      </c>
      <c r="BQ8734" t="s">
        <v>8070</v>
      </c>
      <c r="BR8734" t="s">
        <v>8071</v>
      </c>
    </row>
    <row r="8735" spans="1:70" x14ac:dyDescent="0.3">
      <c r="A8735" s="160">
        <v>63375</v>
      </c>
      <c r="B8735" t="s">
        <v>23813</v>
      </c>
      <c r="C8735" t="s">
        <v>23659</v>
      </c>
      <c r="D8735">
        <v>0.3</v>
      </c>
      <c r="E8735">
        <v>0</v>
      </c>
      <c r="F8735">
        <f t="shared" si="136"/>
        <v>0.3</v>
      </c>
      <c r="I8735">
        <v>20240101</v>
      </c>
      <c r="J8735" t="s">
        <v>23672</v>
      </c>
    </row>
    <row r="8736" spans="1:70" x14ac:dyDescent="0.3">
      <c r="A8736" s="160">
        <v>63376</v>
      </c>
      <c r="B8736" t="s">
        <v>23814</v>
      </c>
      <c r="C8736" t="s">
        <v>23659</v>
      </c>
      <c r="D8736">
        <v>0.3</v>
      </c>
      <c r="E8736">
        <v>0</v>
      </c>
      <c r="F8736">
        <f t="shared" si="136"/>
        <v>0.3</v>
      </c>
      <c r="I8736">
        <v>20240101</v>
      </c>
      <c r="J8736" t="s">
        <v>23695</v>
      </c>
    </row>
    <row r="8737" spans="1:12" x14ac:dyDescent="0.3">
      <c r="A8737" s="160">
        <v>63381</v>
      </c>
      <c r="B8737" t="s">
        <v>23815</v>
      </c>
      <c r="C8737" t="s">
        <v>7994</v>
      </c>
      <c r="D8737">
        <v>0.8</v>
      </c>
      <c r="E8737">
        <v>0</v>
      </c>
      <c r="F8737">
        <f t="shared" si="136"/>
        <v>0.8</v>
      </c>
      <c r="I8737">
        <v>20240101</v>
      </c>
      <c r="J8737" t="s">
        <v>8096</v>
      </c>
    </row>
    <row r="8738" spans="1:12" x14ac:dyDescent="0.3">
      <c r="A8738" s="160">
        <v>63389</v>
      </c>
      <c r="B8738" t="s">
        <v>23816</v>
      </c>
      <c r="C8738" t="s">
        <v>23659</v>
      </c>
      <c r="D8738">
        <v>0.3</v>
      </c>
      <c r="E8738">
        <v>0</v>
      </c>
      <c r="F8738">
        <f t="shared" si="136"/>
        <v>0.3</v>
      </c>
      <c r="I8738">
        <v>20240101</v>
      </c>
      <c r="J8738" t="s">
        <v>23725</v>
      </c>
    </row>
    <row r="8739" spans="1:12" x14ac:dyDescent="0.3">
      <c r="A8739" s="160">
        <v>63392</v>
      </c>
      <c r="B8739" t="s">
        <v>23817</v>
      </c>
      <c r="C8739" t="s">
        <v>23659</v>
      </c>
      <c r="D8739">
        <v>0.3</v>
      </c>
      <c r="E8739">
        <v>0</v>
      </c>
      <c r="F8739">
        <f t="shared" si="136"/>
        <v>0.3</v>
      </c>
      <c r="I8739">
        <v>20240101</v>
      </c>
      <c r="J8739" t="s">
        <v>23675</v>
      </c>
    </row>
    <row r="8740" spans="1:12" x14ac:dyDescent="0.3">
      <c r="A8740" s="160">
        <v>63393</v>
      </c>
      <c r="B8740" t="s">
        <v>23818</v>
      </c>
      <c r="C8740" t="s">
        <v>7974</v>
      </c>
      <c r="D8740">
        <v>0.6</v>
      </c>
      <c r="E8740">
        <v>0</v>
      </c>
      <c r="F8740">
        <f t="shared" si="136"/>
        <v>0.6</v>
      </c>
      <c r="I8740">
        <v>20250101</v>
      </c>
      <c r="J8740" t="s">
        <v>8094</v>
      </c>
    </row>
    <row r="8741" spans="1:12" x14ac:dyDescent="0.3">
      <c r="A8741" s="160">
        <v>63402</v>
      </c>
      <c r="B8741" t="s">
        <v>23819</v>
      </c>
      <c r="C8741" t="s">
        <v>7974</v>
      </c>
      <c r="D8741">
        <v>0.6</v>
      </c>
      <c r="E8741">
        <v>0</v>
      </c>
      <c r="F8741">
        <f t="shared" si="136"/>
        <v>0.6</v>
      </c>
      <c r="I8741">
        <v>20250101</v>
      </c>
      <c r="J8741" t="s">
        <v>8079</v>
      </c>
      <c r="K8741" t="s">
        <v>7976</v>
      </c>
      <c r="L8741" t="s">
        <v>8094</v>
      </c>
    </row>
    <row r="8742" spans="1:12" x14ac:dyDescent="0.3">
      <c r="A8742" s="160">
        <v>63403</v>
      </c>
      <c r="B8742" t="s">
        <v>20018</v>
      </c>
      <c r="C8742" t="s">
        <v>23659</v>
      </c>
      <c r="D8742">
        <v>0.3</v>
      </c>
      <c r="E8742">
        <v>0</v>
      </c>
      <c r="F8742">
        <f t="shared" si="136"/>
        <v>0.3</v>
      </c>
      <c r="I8742">
        <v>20240101</v>
      </c>
      <c r="J8742" t="s">
        <v>23691</v>
      </c>
    </row>
    <row r="8743" spans="1:12" x14ac:dyDescent="0.3">
      <c r="A8743" s="160">
        <v>63404</v>
      </c>
      <c r="B8743" t="s">
        <v>23820</v>
      </c>
      <c r="C8743" t="s">
        <v>23659</v>
      </c>
      <c r="D8743">
        <v>0.3</v>
      </c>
      <c r="E8743">
        <v>0</v>
      </c>
      <c r="F8743">
        <f t="shared" si="136"/>
        <v>0.3</v>
      </c>
      <c r="I8743">
        <v>20240101</v>
      </c>
      <c r="J8743" t="s">
        <v>23675</v>
      </c>
      <c r="K8743" t="s">
        <v>23680</v>
      </c>
    </row>
    <row r="8744" spans="1:12" x14ac:dyDescent="0.3">
      <c r="A8744" s="160">
        <v>63409</v>
      </c>
      <c r="B8744" t="s">
        <v>23821</v>
      </c>
      <c r="C8744" t="s">
        <v>23659</v>
      </c>
      <c r="D8744">
        <v>0.3</v>
      </c>
      <c r="E8744">
        <v>0</v>
      </c>
      <c r="F8744">
        <f t="shared" si="136"/>
        <v>0.3</v>
      </c>
      <c r="I8744">
        <v>20240101</v>
      </c>
      <c r="J8744" t="s">
        <v>23691</v>
      </c>
    </row>
    <row r="8745" spans="1:12" x14ac:dyDescent="0.3">
      <c r="A8745" s="160">
        <v>63411</v>
      </c>
      <c r="B8745" t="s">
        <v>23822</v>
      </c>
      <c r="C8745" t="s">
        <v>23659</v>
      </c>
      <c r="D8745">
        <v>0.3</v>
      </c>
      <c r="E8745">
        <v>0</v>
      </c>
      <c r="F8745">
        <f t="shared" si="136"/>
        <v>0.3</v>
      </c>
      <c r="I8745">
        <v>20240101</v>
      </c>
      <c r="J8745" t="s">
        <v>23675</v>
      </c>
      <c r="K8745" t="s">
        <v>23680</v>
      </c>
    </row>
    <row r="8746" spans="1:12" x14ac:dyDescent="0.3">
      <c r="A8746" s="160">
        <v>63414</v>
      </c>
      <c r="B8746" t="s">
        <v>23823</v>
      </c>
      <c r="C8746" t="s">
        <v>7974</v>
      </c>
      <c r="D8746">
        <v>0.6</v>
      </c>
      <c r="E8746">
        <v>0</v>
      </c>
      <c r="F8746">
        <f t="shared" si="136"/>
        <v>0.6</v>
      </c>
      <c r="I8746">
        <v>20250101</v>
      </c>
      <c r="J8746" t="s">
        <v>7986</v>
      </c>
    </row>
    <row r="8747" spans="1:12" x14ac:dyDescent="0.3">
      <c r="A8747" s="160">
        <v>63415</v>
      </c>
      <c r="B8747" t="s">
        <v>23824</v>
      </c>
      <c r="C8747" t="s">
        <v>23659</v>
      </c>
      <c r="D8747">
        <v>0.3</v>
      </c>
      <c r="E8747">
        <v>0</v>
      </c>
      <c r="F8747">
        <f t="shared" si="136"/>
        <v>0.3</v>
      </c>
      <c r="I8747">
        <v>20240101</v>
      </c>
      <c r="J8747" t="s">
        <v>23725</v>
      </c>
    </row>
    <row r="8748" spans="1:12" x14ac:dyDescent="0.3">
      <c r="A8748" s="160">
        <v>63417</v>
      </c>
      <c r="B8748" t="s">
        <v>23825</v>
      </c>
      <c r="C8748" t="s">
        <v>7994</v>
      </c>
      <c r="D8748">
        <v>0.8</v>
      </c>
      <c r="E8748">
        <v>0</v>
      </c>
      <c r="F8748">
        <f t="shared" si="136"/>
        <v>0.8</v>
      </c>
      <c r="I8748">
        <v>20230701</v>
      </c>
      <c r="J8748" t="s">
        <v>8082</v>
      </c>
      <c r="K8748" t="s">
        <v>8009</v>
      </c>
    </row>
    <row r="8749" spans="1:12" x14ac:dyDescent="0.3">
      <c r="A8749" s="160">
        <v>63418</v>
      </c>
      <c r="B8749" t="s">
        <v>23826</v>
      </c>
      <c r="C8749" t="s">
        <v>7974</v>
      </c>
      <c r="D8749">
        <v>0.6</v>
      </c>
      <c r="E8749">
        <v>0</v>
      </c>
      <c r="F8749">
        <f t="shared" si="136"/>
        <v>0.6</v>
      </c>
      <c r="I8749">
        <v>20250101</v>
      </c>
      <c r="J8749" t="s">
        <v>7986</v>
      </c>
    </row>
    <row r="8750" spans="1:12" x14ac:dyDescent="0.3">
      <c r="A8750" s="160">
        <v>63422</v>
      </c>
      <c r="B8750" t="s">
        <v>23827</v>
      </c>
      <c r="C8750" t="s">
        <v>23659</v>
      </c>
      <c r="D8750">
        <v>0.3</v>
      </c>
      <c r="E8750">
        <v>0</v>
      </c>
      <c r="F8750">
        <f t="shared" si="136"/>
        <v>0.3</v>
      </c>
      <c r="I8750">
        <v>20240101</v>
      </c>
      <c r="J8750" t="s">
        <v>23675</v>
      </c>
    </row>
    <row r="8751" spans="1:12" x14ac:dyDescent="0.3">
      <c r="A8751" s="160">
        <v>63423</v>
      </c>
      <c r="B8751" t="s">
        <v>23828</v>
      </c>
      <c r="C8751" t="s">
        <v>23659</v>
      </c>
      <c r="D8751">
        <v>0.3</v>
      </c>
      <c r="E8751">
        <v>0</v>
      </c>
      <c r="F8751">
        <f t="shared" si="136"/>
        <v>0.3</v>
      </c>
      <c r="I8751">
        <v>20240101</v>
      </c>
      <c r="J8751" t="s">
        <v>23725</v>
      </c>
    </row>
    <row r="8752" spans="1:12" x14ac:dyDescent="0.3">
      <c r="A8752" s="160">
        <v>63424</v>
      </c>
      <c r="B8752" t="s">
        <v>23829</v>
      </c>
      <c r="C8752" t="s">
        <v>7994</v>
      </c>
      <c r="D8752">
        <v>0.8</v>
      </c>
      <c r="E8752">
        <v>0</v>
      </c>
      <c r="F8752">
        <f t="shared" si="136"/>
        <v>0.8</v>
      </c>
      <c r="I8752">
        <v>20230701</v>
      </c>
      <c r="J8752" t="s">
        <v>8010</v>
      </c>
    </row>
    <row r="8753" spans="1:18" x14ac:dyDescent="0.3">
      <c r="A8753" s="160">
        <v>63429</v>
      </c>
      <c r="B8753" t="s">
        <v>23830</v>
      </c>
      <c r="C8753" t="s">
        <v>23659</v>
      </c>
      <c r="D8753">
        <v>0.3</v>
      </c>
      <c r="E8753">
        <v>0</v>
      </c>
      <c r="F8753">
        <f t="shared" si="136"/>
        <v>0.3</v>
      </c>
      <c r="I8753">
        <v>20240101</v>
      </c>
      <c r="J8753" t="s">
        <v>23660</v>
      </c>
    </row>
    <row r="8754" spans="1:18" x14ac:dyDescent="0.3">
      <c r="A8754" s="160">
        <v>63430</v>
      </c>
      <c r="B8754" t="s">
        <v>23831</v>
      </c>
      <c r="C8754" t="s">
        <v>7974</v>
      </c>
      <c r="D8754">
        <v>0.6</v>
      </c>
      <c r="E8754">
        <v>0</v>
      </c>
      <c r="F8754">
        <f t="shared" si="136"/>
        <v>0.6</v>
      </c>
      <c r="I8754">
        <v>20250101</v>
      </c>
      <c r="J8754" t="s">
        <v>8078</v>
      </c>
      <c r="K8754" t="s">
        <v>8104</v>
      </c>
      <c r="L8754" t="s">
        <v>8105</v>
      </c>
      <c r="M8754" t="s">
        <v>8106</v>
      </c>
      <c r="N8754" t="s">
        <v>8107</v>
      </c>
      <c r="O8754" t="s">
        <v>8108</v>
      </c>
      <c r="P8754" t="s">
        <v>8079</v>
      </c>
      <c r="Q8754" t="s">
        <v>8109</v>
      </c>
      <c r="R8754" t="s">
        <v>7976</v>
      </c>
    </row>
    <row r="8755" spans="1:18" x14ac:dyDescent="0.3">
      <c r="A8755" s="160">
        <v>63435</v>
      </c>
      <c r="B8755" t="s">
        <v>23832</v>
      </c>
      <c r="C8755" t="s">
        <v>23659</v>
      </c>
      <c r="D8755">
        <v>0.3</v>
      </c>
      <c r="E8755">
        <v>0</v>
      </c>
      <c r="F8755">
        <f t="shared" si="136"/>
        <v>0.3</v>
      </c>
      <c r="I8755">
        <v>20240101</v>
      </c>
      <c r="J8755" t="s">
        <v>23691</v>
      </c>
    </row>
    <row r="8756" spans="1:18" x14ac:dyDescent="0.3">
      <c r="A8756" s="160">
        <v>63439</v>
      </c>
      <c r="B8756" t="s">
        <v>23833</v>
      </c>
      <c r="C8756" t="s">
        <v>23659</v>
      </c>
      <c r="D8756">
        <v>0.3</v>
      </c>
      <c r="E8756">
        <v>0</v>
      </c>
      <c r="F8756">
        <f t="shared" si="136"/>
        <v>0.3</v>
      </c>
      <c r="I8756">
        <v>20240101</v>
      </c>
      <c r="J8756" t="s">
        <v>23725</v>
      </c>
    </row>
    <row r="8757" spans="1:18" x14ac:dyDescent="0.3">
      <c r="A8757" s="160">
        <v>63442</v>
      </c>
      <c r="B8757" t="s">
        <v>23834</v>
      </c>
      <c r="C8757" t="s">
        <v>23659</v>
      </c>
      <c r="D8757">
        <v>0.3</v>
      </c>
      <c r="E8757">
        <v>0</v>
      </c>
      <c r="F8757">
        <f t="shared" si="136"/>
        <v>0.3</v>
      </c>
      <c r="I8757">
        <v>20240101</v>
      </c>
      <c r="J8757" t="s">
        <v>23695</v>
      </c>
    </row>
    <row r="8758" spans="1:18" x14ac:dyDescent="0.3">
      <c r="A8758" s="160">
        <v>63443</v>
      </c>
      <c r="B8758" t="s">
        <v>23835</v>
      </c>
      <c r="C8758" t="s">
        <v>7994</v>
      </c>
      <c r="D8758">
        <v>0.8</v>
      </c>
      <c r="E8758">
        <v>0</v>
      </c>
      <c r="F8758">
        <f t="shared" si="136"/>
        <v>0.8</v>
      </c>
      <c r="I8758">
        <v>20230701</v>
      </c>
      <c r="J8758" t="s">
        <v>8010</v>
      </c>
    </row>
    <row r="8759" spans="1:18" x14ac:dyDescent="0.3">
      <c r="A8759" s="160">
        <v>63444</v>
      </c>
      <c r="B8759" t="s">
        <v>23836</v>
      </c>
      <c r="C8759" t="s">
        <v>23659</v>
      </c>
      <c r="D8759">
        <v>0.3</v>
      </c>
      <c r="E8759">
        <v>0</v>
      </c>
      <c r="F8759">
        <f t="shared" si="136"/>
        <v>0.3</v>
      </c>
      <c r="I8759">
        <v>20240101</v>
      </c>
      <c r="J8759" t="s">
        <v>23675</v>
      </c>
    </row>
    <row r="8760" spans="1:18" x14ac:dyDescent="0.3">
      <c r="A8760" s="160">
        <v>63448</v>
      </c>
      <c r="B8760" t="s">
        <v>23837</v>
      </c>
      <c r="C8760" t="s">
        <v>23659</v>
      </c>
      <c r="D8760">
        <v>0.3</v>
      </c>
      <c r="E8760">
        <v>0</v>
      </c>
      <c r="F8760">
        <f t="shared" si="136"/>
        <v>0.3</v>
      </c>
      <c r="I8760">
        <v>20240101</v>
      </c>
      <c r="J8760" t="s">
        <v>23695</v>
      </c>
    </row>
    <row r="8761" spans="1:18" x14ac:dyDescent="0.3">
      <c r="A8761" s="160">
        <v>63452</v>
      </c>
      <c r="B8761" t="s">
        <v>16286</v>
      </c>
      <c r="C8761" t="s">
        <v>23659</v>
      </c>
      <c r="D8761">
        <v>0.3</v>
      </c>
      <c r="E8761">
        <v>0</v>
      </c>
      <c r="F8761">
        <f t="shared" si="136"/>
        <v>0.3</v>
      </c>
      <c r="I8761">
        <v>20240101</v>
      </c>
      <c r="J8761" t="s">
        <v>23691</v>
      </c>
    </row>
    <row r="8762" spans="1:18" x14ac:dyDescent="0.3">
      <c r="A8762" s="160">
        <v>63456</v>
      </c>
      <c r="B8762" t="s">
        <v>23838</v>
      </c>
      <c r="C8762" t="s">
        <v>23659</v>
      </c>
      <c r="D8762">
        <v>0.3</v>
      </c>
      <c r="E8762">
        <v>0</v>
      </c>
      <c r="F8762">
        <f t="shared" si="136"/>
        <v>0.3</v>
      </c>
      <c r="I8762">
        <v>20240101</v>
      </c>
      <c r="J8762" t="s">
        <v>23660</v>
      </c>
    </row>
    <row r="8763" spans="1:18" x14ac:dyDescent="0.3">
      <c r="A8763" s="160">
        <v>63458</v>
      </c>
      <c r="B8763" t="s">
        <v>15295</v>
      </c>
      <c r="C8763" t="s">
        <v>23659</v>
      </c>
      <c r="D8763">
        <v>0.3</v>
      </c>
      <c r="E8763">
        <v>0</v>
      </c>
      <c r="F8763">
        <f t="shared" si="136"/>
        <v>0.3</v>
      </c>
      <c r="I8763">
        <v>20240101</v>
      </c>
      <c r="J8763" t="s">
        <v>23660</v>
      </c>
    </row>
    <row r="8764" spans="1:18" x14ac:dyDescent="0.3">
      <c r="A8764" s="160">
        <v>63463</v>
      </c>
      <c r="B8764" t="s">
        <v>23839</v>
      </c>
      <c r="C8764" t="s">
        <v>7974</v>
      </c>
      <c r="D8764">
        <v>0.6</v>
      </c>
      <c r="E8764">
        <v>0</v>
      </c>
      <c r="F8764">
        <f t="shared" si="136"/>
        <v>0.6</v>
      </c>
      <c r="I8764">
        <v>20250101</v>
      </c>
      <c r="J8764" t="s">
        <v>7975</v>
      </c>
    </row>
    <row r="8765" spans="1:18" x14ac:dyDescent="0.3">
      <c r="A8765" s="160">
        <v>63466</v>
      </c>
      <c r="B8765" t="s">
        <v>23840</v>
      </c>
      <c r="C8765" t="s">
        <v>23659</v>
      </c>
      <c r="D8765">
        <v>0.3</v>
      </c>
      <c r="E8765">
        <v>0</v>
      </c>
      <c r="F8765">
        <f t="shared" si="136"/>
        <v>0.3</v>
      </c>
      <c r="I8765">
        <v>20240101</v>
      </c>
      <c r="J8765" t="s">
        <v>23675</v>
      </c>
    </row>
    <row r="8766" spans="1:18" x14ac:dyDescent="0.3">
      <c r="A8766" s="160">
        <v>63468</v>
      </c>
      <c r="B8766" t="s">
        <v>23841</v>
      </c>
      <c r="C8766" t="s">
        <v>7974</v>
      </c>
      <c r="D8766">
        <v>0.6</v>
      </c>
      <c r="E8766">
        <v>0</v>
      </c>
      <c r="F8766">
        <f t="shared" si="136"/>
        <v>0.6</v>
      </c>
      <c r="I8766">
        <v>20250101</v>
      </c>
      <c r="J8766" t="s">
        <v>7986</v>
      </c>
    </row>
    <row r="8767" spans="1:18" x14ac:dyDescent="0.3">
      <c r="A8767" s="160">
        <v>63469</v>
      </c>
      <c r="B8767" t="s">
        <v>23842</v>
      </c>
      <c r="C8767" t="s">
        <v>7974</v>
      </c>
      <c r="D8767">
        <v>0.6</v>
      </c>
      <c r="E8767">
        <v>0</v>
      </c>
      <c r="F8767">
        <f t="shared" si="136"/>
        <v>0.6</v>
      </c>
      <c r="I8767">
        <v>20250101</v>
      </c>
      <c r="J8767" t="s">
        <v>7986</v>
      </c>
    </row>
    <row r="8768" spans="1:18" x14ac:dyDescent="0.3">
      <c r="A8768" s="160">
        <v>63470</v>
      </c>
      <c r="B8768" t="s">
        <v>23843</v>
      </c>
      <c r="C8768" t="s">
        <v>7994</v>
      </c>
      <c r="D8768">
        <v>0.8</v>
      </c>
      <c r="E8768">
        <v>0</v>
      </c>
      <c r="F8768">
        <f t="shared" si="136"/>
        <v>0.8</v>
      </c>
      <c r="I8768">
        <v>20230701</v>
      </c>
      <c r="J8768" t="s">
        <v>8082</v>
      </c>
      <c r="K8768" t="s">
        <v>8009</v>
      </c>
    </row>
    <row r="8769" spans="1:15" x14ac:dyDescent="0.3">
      <c r="A8769" s="160">
        <v>64006</v>
      </c>
      <c r="B8769" t="s">
        <v>23844</v>
      </c>
      <c r="C8769" t="s">
        <v>8192</v>
      </c>
      <c r="D8769">
        <v>0.55000000000000004</v>
      </c>
      <c r="E8769">
        <v>0</v>
      </c>
      <c r="F8769">
        <f t="shared" si="136"/>
        <v>0.55000000000000004</v>
      </c>
      <c r="I8769">
        <v>20240101</v>
      </c>
      <c r="J8769" t="s">
        <v>23845</v>
      </c>
    </row>
    <row r="8770" spans="1:15" x14ac:dyDescent="0.3">
      <c r="A8770" s="160">
        <v>64007</v>
      </c>
      <c r="B8770" t="s">
        <v>23846</v>
      </c>
      <c r="C8770" t="s">
        <v>8192</v>
      </c>
      <c r="D8770">
        <v>0.55000000000000004</v>
      </c>
      <c r="E8770">
        <v>0</v>
      </c>
      <c r="F8770">
        <f t="shared" si="136"/>
        <v>0.55000000000000004</v>
      </c>
      <c r="I8770">
        <v>20240101</v>
      </c>
      <c r="J8770" t="s">
        <v>8193</v>
      </c>
    </row>
    <row r="8771" spans="1:15" x14ac:dyDescent="0.3">
      <c r="A8771" s="160">
        <v>64008</v>
      </c>
      <c r="B8771" t="s">
        <v>23847</v>
      </c>
      <c r="C8771" t="s">
        <v>4762</v>
      </c>
      <c r="D8771">
        <v>2</v>
      </c>
      <c r="E8771">
        <v>0</v>
      </c>
      <c r="F8771">
        <f t="shared" si="136"/>
        <v>2</v>
      </c>
      <c r="I8771">
        <v>20240101</v>
      </c>
      <c r="J8771" t="s">
        <v>8110</v>
      </c>
    </row>
    <row r="8772" spans="1:15" x14ac:dyDescent="0.3">
      <c r="A8772" s="160">
        <v>64009</v>
      </c>
      <c r="B8772" t="s">
        <v>23848</v>
      </c>
      <c r="C8772" t="s">
        <v>4762</v>
      </c>
      <c r="D8772">
        <v>2</v>
      </c>
      <c r="E8772">
        <v>0</v>
      </c>
      <c r="F8772">
        <f t="shared" si="136"/>
        <v>2</v>
      </c>
      <c r="I8772">
        <v>20240101</v>
      </c>
      <c r="J8772" t="s">
        <v>8111</v>
      </c>
    </row>
    <row r="8773" spans="1:15" x14ac:dyDescent="0.3">
      <c r="A8773" s="160">
        <v>64010</v>
      </c>
      <c r="B8773" t="s">
        <v>23849</v>
      </c>
      <c r="C8773" t="s">
        <v>4762</v>
      </c>
      <c r="D8773">
        <v>2</v>
      </c>
      <c r="E8773">
        <v>0</v>
      </c>
      <c r="F8773">
        <f t="shared" si="136"/>
        <v>2</v>
      </c>
      <c r="I8773">
        <v>20240101</v>
      </c>
      <c r="J8773" t="s">
        <v>8112</v>
      </c>
    </row>
    <row r="8774" spans="1:15" x14ac:dyDescent="0.3">
      <c r="A8774" s="160">
        <v>64011</v>
      </c>
      <c r="B8774" t="s">
        <v>23850</v>
      </c>
      <c r="C8774" t="s">
        <v>4762</v>
      </c>
      <c r="D8774">
        <v>2</v>
      </c>
      <c r="E8774">
        <v>0</v>
      </c>
      <c r="F8774">
        <f t="shared" si="136"/>
        <v>2</v>
      </c>
      <c r="I8774">
        <v>20240101</v>
      </c>
      <c r="J8774" t="s">
        <v>8110</v>
      </c>
    </row>
    <row r="8775" spans="1:15" x14ac:dyDescent="0.3">
      <c r="A8775" s="160">
        <v>64012</v>
      </c>
      <c r="B8775" t="s">
        <v>23851</v>
      </c>
      <c r="C8775" t="s">
        <v>4762</v>
      </c>
      <c r="D8775">
        <v>2</v>
      </c>
      <c r="E8775">
        <v>0</v>
      </c>
      <c r="F8775">
        <f t="shared" ref="F8775:F8838" si="137">D8775+E8775</f>
        <v>2</v>
      </c>
      <c r="I8775">
        <v>20240101</v>
      </c>
      <c r="J8775" t="s">
        <v>8113</v>
      </c>
    </row>
    <row r="8776" spans="1:15" x14ac:dyDescent="0.3">
      <c r="A8776" s="160">
        <v>64013</v>
      </c>
      <c r="B8776" t="s">
        <v>23852</v>
      </c>
      <c r="C8776" t="s">
        <v>4762</v>
      </c>
      <c r="D8776">
        <v>2</v>
      </c>
      <c r="E8776">
        <v>0</v>
      </c>
      <c r="F8776">
        <f t="shared" si="137"/>
        <v>2</v>
      </c>
      <c r="I8776">
        <v>20240101</v>
      </c>
      <c r="J8776" t="s">
        <v>8110</v>
      </c>
    </row>
    <row r="8777" spans="1:15" x14ac:dyDescent="0.3">
      <c r="A8777" s="160">
        <v>64014</v>
      </c>
      <c r="B8777" t="s">
        <v>23853</v>
      </c>
      <c r="C8777" t="s">
        <v>4762</v>
      </c>
      <c r="D8777">
        <v>2</v>
      </c>
      <c r="E8777">
        <v>0</v>
      </c>
      <c r="F8777">
        <f t="shared" si="137"/>
        <v>2</v>
      </c>
      <c r="I8777">
        <v>20240101</v>
      </c>
      <c r="J8777" t="s">
        <v>8114</v>
      </c>
    </row>
    <row r="8778" spans="1:15" x14ac:dyDescent="0.3">
      <c r="A8778" s="160">
        <v>64015</v>
      </c>
      <c r="B8778" t="s">
        <v>23854</v>
      </c>
      <c r="C8778" t="s">
        <v>4762</v>
      </c>
      <c r="D8778">
        <v>2</v>
      </c>
      <c r="E8778">
        <v>0</v>
      </c>
      <c r="F8778">
        <f t="shared" si="137"/>
        <v>2</v>
      </c>
      <c r="I8778">
        <v>20240101</v>
      </c>
      <c r="J8778" t="s">
        <v>8115</v>
      </c>
    </row>
    <row r="8779" spans="1:15" x14ac:dyDescent="0.3">
      <c r="A8779" s="160">
        <v>64016</v>
      </c>
      <c r="B8779" t="s">
        <v>23855</v>
      </c>
      <c r="C8779" t="s">
        <v>4762</v>
      </c>
      <c r="D8779">
        <v>2</v>
      </c>
      <c r="E8779">
        <v>0</v>
      </c>
      <c r="F8779">
        <f t="shared" si="137"/>
        <v>2</v>
      </c>
      <c r="I8779">
        <v>20240101</v>
      </c>
      <c r="J8779" t="s">
        <v>8116</v>
      </c>
    </row>
    <row r="8780" spans="1:15" x14ac:dyDescent="0.3">
      <c r="A8780" s="160">
        <v>64017</v>
      </c>
      <c r="B8780" t="s">
        <v>23856</v>
      </c>
      <c r="C8780" t="s">
        <v>4762</v>
      </c>
      <c r="D8780">
        <v>2</v>
      </c>
      <c r="E8780">
        <v>0</v>
      </c>
      <c r="F8780">
        <f t="shared" si="137"/>
        <v>2</v>
      </c>
      <c r="I8780">
        <v>20240101</v>
      </c>
      <c r="J8780" t="s">
        <v>8115</v>
      </c>
    </row>
    <row r="8781" spans="1:15" x14ac:dyDescent="0.3">
      <c r="A8781" s="160">
        <v>64018</v>
      </c>
      <c r="B8781" t="s">
        <v>23857</v>
      </c>
      <c r="C8781" t="s">
        <v>4762</v>
      </c>
      <c r="D8781">
        <v>2</v>
      </c>
      <c r="E8781">
        <v>0</v>
      </c>
      <c r="F8781">
        <f t="shared" si="137"/>
        <v>2</v>
      </c>
      <c r="I8781">
        <v>20240101</v>
      </c>
      <c r="J8781" t="s">
        <v>8112</v>
      </c>
    </row>
    <row r="8782" spans="1:15" x14ac:dyDescent="0.3">
      <c r="A8782" s="160">
        <v>64019</v>
      </c>
      <c r="B8782" t="s">
        <v>23858</v>
      </c>
      <c r="C8782" t="s">
        <v>4762</v>
      </c>
      <c r="D8782">
        <v>2</v>
      </c>
      <c r="E8782">
        <v>0</v>
      </c>
      <c r="F8782">
        <f t="shared" si="137"/>
        <v>2</v>
      </c>
      <c r="I8782">
        <v>20240101</v>
      </c>
      <c r="J8782" t="s">
        <v>8112</v>
      </c>
    </row>
    <row r="8783" spans="1:15" x14ac:dyDescent="0.3">
      <c r="A8783" s="160">
        <v>64024</v>
      </c>
      <c r="B8783" t="s">
        <v>23859</v>
      </c>
      <c r="C8783" t="s">
        <v>4762</v>
      </c>
      <c r="D8783">
        <v>2</v>
      </c>
      <c r="E8783">
        <v>0</v>
      </c>
      <c r="F8783">
        <f t="shared" si="137"/>
        <v>2</v>
      </c>
      <c r="I8783">
        <v>20160101</v>
      </c>
      <c r="J8783" t="s">
        <v>8117</v>
      </c>
      <c r="K8783" t="s">
        <v>8118</v>
      </c>
      <c r="L8783" t="s">
        <v>8119</v>
      </c>
      <c r="M8783" t="s">
        <v>8120</v>
      </c>
      <c r="N8783" t="s">
        <v>8121</v>
      </c>
      <c r="O8783" t="s">
        <v>8122</v>
      </c>
    </row>
    <row r="8784" spans="1:15" x14ac:dyDescent="0.3">
      <c r="A8784" s="160">
        <v>64026</v>
      </c>
      <c r="B8784" t="s">
        <v>23860</v>
      </c>
      <c r="C8784" t="s">
        <v>4762</v>
      </c>
      <c r="D8784">
        <v>2</v>
      </c>
      <c r="E8784">
        <v>0</v>
      </c>
      <c r="F8784">
        <f t="shared" si="137"/>
        <v>2</v>
      </c>
      <c r="I8784">
        <v>20240101</v>
      </c>
      <c r="J8784" t="s">
        <v>8110</v>
      </c>
    </row>
    <row r="8785" spans="1:14" x14ac:dyDescent="0.3">
      <c r="A8785" s="160">
        <v>64029</v>
      </c>
      <c r="B8785" t="s">
        <v>23861</v>
      </c>
      <c r="C8785" t="s">
        <v>8192</v>
      </c>
      <c r="D8785">
        <v>0.55000000000000004</v>
      </c>
      <c r="E8785">
        <v>0</v>
      </c>
      <c r="F8785">
        <f t="shared" si="137"/>
        <v>0.55000000000000004</v>
      </c>
      <c r="I8785">
        <v>20240101</v>
      </c>
      <c r="J8785" t="s">
        <v>23862</v>
      </c>
    </row>
    <row r="8786" spans="1:14" x14ac:dyDescent="0.3">
      <c r="A8786" s="160">
        <v>64031</v>
      </c>
      <c r="B8786" t="s">
        <v>23863</v>
      </c>
      <c r="C8786" t="s">
        <v>4762</v>
      </c>
      <c r="D8786">
        <v>2</v>
      </c>
      <c r="E8786">
        <v>0</v>
      </c>
      <c r="F8786">
        <f t="shared" si="137"/>
        <v>2</v>
      </c>
      <c r="I8786">
        <v>20240101</v>
      </c>
      <c r="J8786" t="s">
        <v>8123</v>
      </c>
    </row>
    <row r="8787" spans="1:14" x14ac:dyDescent="0.3">
      <c r="A8787" s="160">
        <v>64034</v>
      </c>
      <c r="B8787" t="s">
        <v>23864</v>
      </c>
      <c r="C8787" t="s">
        <v>4762</v>
      </c>
      <c r="D8787">
        <v>2</v>
      </c>
      <c r="E8787">
        <v>0</v>
      </c>
      <c r="F8787">
        <f t="shared" si="137"/>
        <v>2</v>
      </c>
      <c r="I8787">
        <v>20240101</v>
      </c>
      <c r="J8787" t="s">
        <v>8112</v>
      </c>
    </row>
    <row r="8788" spans="1:14" x14ac:dyDescent="0.3">
      <c r="A8788" s="160">
        <v>64035</v>
      </c>
      <c r="B8788" t="s">
        <v>23865</v>
      </c>
      <c r="C8788" t="s">
        <v>4762</v>
      </c>
      <c r="D8788">
        <v>2</v>
      </c>
      <c r="E8788">
        <v>0</v>
      </c>
      <c r="F8788">
        <f t="shared" si="137"/>
        <v>2</v>
      </c>
      <c r="I8788">
        <v>20240101</v>
      </c>
      <c r="J8788" t="s">
        <v>8111</v>
      </c>
    </row>
    <row r="8789" spans="1:14" x14ac:dyDescent="0.3">
      <c r="A8789" s="160">
        <v>64036</v>
      </c>
      <c r="B8789" t="s">
        <v>23866</v>
      </c>
      <c r="C8789" t="s">
        <v>4762</v>
      </c>
      <c r="D8789">
        <v>2</v>
      </c>
      <c r="E8789">
        <v>0</v>
      </c>
      <c r="F8789">
        <f t="shared" si="137"/>
        <v>2</v>
      </c>
      <c r="I8789">
        <v>20240101</v>
      </c>
      <c r="J8789" t="s">
        <v>8112</v>
      </c>
    </row>
    <row r="8790" spans="1:14" x14ac:dyDescent="0.3">
      <c r="A8790" s="160">
        <v>64037</v>
      </c>
      <c r="B8790" t="s">
        <v>23867</v>
      </c>
      <c r="C8790" t="s">
        <v>8124</v>
      </c>
      <c r="D8790">
        <v>0.5</v>
      </c>
      <c r="E8790">
        <v>0</v>
      </c>
      <c r="F8790">
        <f t="shared" si="137"/>
        <v>0.5</v>
      </c>
      <c r="I8790">
        <v>20180101</v>
      </c>
      <c r="J8790" t="s">
        <v>8125</v>
      </c>
    </row>
    <row r="8791" spans="1:14" x14ac:dyDescent="0.3">
      <c r="A8791" s="160">
        <v>64038</v>
      </c>
      <c r="B8791" t="s">
        <v>23868</v>
      </c>
      <c r="C8791" t="s">
        <v>4762</v>
      </c>
      <c r="D8791">
        <v>2</v>
      </c>
      <c r="E8791">
        <v>0</v>
      </c>
      <c r="F8791">
        <f t="shared" si="137"/>
        <v>2</v>
      </c>
      <c r="I8791">
        <v>20240101</v>
      </c>
      <c r="J8791" t="s">
        <v>8126</v>
      </c>
      <c r="K8791" t="s">
        <v>8127</v>
      </c>
      <c r="L8791" t="s">
        <v>8128</v>
      </c>
      <c r="M8791" t="s">
        <v>8129</v>
      </c>
      <c r="N8791" t="s">
        <v>8130</v>
      </c>
    </row>
    <row r="8792" spans="1:14" x14ac:dyDescent="0.3">
      <c r="A8792" s="160">
        <v>64039</v>
      </c>
      <c r="B8792" t="s">
        <v>23869</v>
      </c>
      <c r="C8792" t="s">
        <v>8192</v>
      </c>
      <c r="D8792">
        <v>0.55000000000000004</v>
      </c>
      <c r="E8792">
        <v>0</v>
      </c>
      <c r="F8792">
        <f t="shared" si="137"/>
        <v>0.55000000000000004</v>
      </c>
      <c r="I8792">
        <v>20240101</v>
      </c>
      <c r="J8792" t="s">
        <v>8193</v>
      </c>
    </row>
    <row r="8793" spans="1:14" x14ac:dyDescent="0.3">
      <c r="A8793" s="160">
        <v>64040</v>
      </c>
      <c r="B8793" t="s">
        <v>23870</v>
      </c>
      <c r="C8793" t="s">
        <v>8192</v>
      </c>
      <c r="D8793">
        <v>0.55000000000000004</v>
      </c>
      <c r="E8793">
        <v>0</v>
      </c>
      <c r="F8793">
        <f t="shared" si="137"/>
        <v>0.55000000000000004</v>
      </c>
      <c r="I8793">
        <v>20240101</v>
      </c>
      <c r="J8793" t="s">
        <v>23862</v>
      </c>
    </row>
    <row r="8794" spans="1:14" x14ac:dyDescent="0.3">
      <c r="A8794" s="160">
        <v>64041</v>
      </c>
      <c r="B8794" t="s">
        <v>23871</v>
      </c>
      <c r="C8794" t="s">
        <v>8124</v>
      </c>
      <c r="D8794">
        <v>1.8</v>
      </c>
      <c r="E8794">
        <v>0</v>
      </c>
      <c r="F8794">
        <f t="shared" si="137"/>
        <v>1.8</v>
      </c>
      <c r="I8794">
        <v>20110101</v>
      </c>
      <c r="J8794" t="s">
        <v>8131</v>
      </c>
    </row>
    <row r="8795" spans="1:14" x14ac:dyDescent="0.3">
      <c r="A8795" s="160">
        <v>64045</v>
      </c>
      <c r="B8795" t="s">
        <v>23872</v>
      </c>
      <c r="C8795" t="s">
        <v>4762</v>
      </c>
      <c r="D8795">
        <v>2</v>
      </c>
      <c r="E8795">
        <v>0</v>
      </c>
      <c r="F8795">
        <f t="shared" si="137"/>
        <v>2</v>
      </c>
      <c r="I8795">
        <v>20240101</v>
      </c>
      <c r="J8795" t="s">
        <v>8112</v>
      </c>
    </row>
    <row r="8796" spans="1:14" x14ac:dyDescent="0.3">
      <c r="A8796" s="160">
        <v>64046</v>
      </c>
      <c r="B8796" t="s">
        <v>23873</v>
      </c>
      <c r="C8796" t="s">
        <v>4762</v>
      </c>
      <c r="D8796">
        <v>2</v>
      </c>
      <c r="E8796">
        <v>0</v>
      </c>
      <c r="F8796">
        <f t="shared" si="137"/>
        <v>2</v>
      </c>
      <c r="I8796">
        <v>20240101</v>
      </c>
      <c r="J8796" t="s">
        <v>8132</v>
      </c>
    </row>
    <row r="8797" spans="1:14" x14ac:dyDescent="0.3">
      <c r="A8797" s="160">
        <v>64047</v>
      </c>
      <c r="B8797" t="s">
        <v>23874</v>
      </c>
      <c r="C8797" t="s">
        <v>4762</v>
      </c>
      <c r="D8797">
        <v>2</v>
      </c>
      <c r="E8797">
        <v>0</v>
      </c>
      <c r="F8797">
        <f t="shared" si="137"/>
        <v>2</v>
      </c>
      <c r="I8797">
        <v>20240101</v>
      </c>
      <c r="J8797" t="s">
        <v>8110</v>
      </c>
    </row>
    <row r="8798" spans="1:14" x14ac:dyDescent="0.3">
      <c r="A8798" s="160">
        <v>64049</v>
      </c>
      <c r="B8798" t="s">
        <v>23875</v>
      </c>
      <c r="C8798" t="s">
        <v>4762</v>
      </c>
      <c r="D8798">
        <v>2</v>
      </c>
      <c r="E8798">
        <v>0</v>
      </c>
      <c r="F8798">
        <f t="shared" si="137"/>
        <v>2</v>
      </c>
      <c r="I8798">
        <v>20240101</v>
      </c>
      <c r="J8798" t="s">
        <v>8112</v>
      </c>
    </row>
    <row r="8799" spans="1:14" x14ac:dyDescent="0.3">
      <c r="A8799" s="160">
        <v>64050</v>
      </c>
      <c r="B8799" t="s">
        <v>23876</v>
      </c>
      <c r="C8799" t="s">
        <v>4762</v>
      </c>
      <c r="D8799">
        <v>2</v>
      </c>
      <c r="E8799">
        <v>0</v>
      </c>
      <c r="F8799">
        <f t="shared" si="137"/>
        <v>2</v>
      </c>
      <c r="I8799">
        <v>20240101</v>
      </c>
      <c r="J8799" t="s">
        <v>8113</v>
      </c>
    </row>
    <row r="8800" spans="1:14" x14ac:dyDescent="0.3">
      <c r="A8800" s="160">
        <v>64051</v>
      </c>
      <c r="B8800" t="s">
        <v>23877</v>
      </c>
      <c r="C8800" t="s">
        <v>4762</v>
      </c>
      <c r="D8800">
        <v>2</v>
      </c>
      <c r="E8800">
        <v>0</v>
      </c>
      <c r="F8800">
        <f t="shared" si="137"/>
        <v>2</v>
      </c>
      <c r="I8800">
        <v>20240101</v>
      </c>
      <c r="J8800" t="s">
        <v>8112</v>
      </c>
    </row>
    <row r="8801" spans="1:27" x14ac:dyDescent="0.3">
      <c r="A8801" s="160">
        <v>64059</v>
      </c>
      <c r="B8801" t="s">
        <v>23878</v>
      </c>
      <c r="C8801" t="s">
        <v>8124</v>
      </c>
      <c r="D8801">
        <v>1.8</v>
      </c>
      <c r="E8801">
        <v>0</v>
      </c>
      <c r="F8801">
        <f t="shared" si="137"/>
        <v>1.8</v>
      </c>
      <c r="I8801">
        <v>20110101</v>
      </c>
      <c r="J8801" t="s">
        <v>8133</v>
      </c>
    </row>
    <row r="8802" spans="1:27" x14ac:dyDescent="0.3">
      <c r="A8802" s="160">
        <v>64060</v>
      </c>
      <c r="B8802" t="s">
        <v>23879</v>
      </c>
      <c r="C8802" t="s">
        <v>8124</v>
      </c>
      <c r="D8802">
        <v>0.5</v>
      </c>
      <c r="E8802">
        <v>0</v>
      </c>
      <c r="F8802">
        <f t="shared" si="137"/>
        <v>0.5</v>
      </c>
      <c r="I8802">
        <v>20180101</v>
      </c>
      <c r="J8802" t="s">
        <v>8125</v>
      </c>
    </row>
    <row r="8803" spans="1:27" x14ac:dyDescent="0.3">
      <c r="A8803" s="160">
        <v>64064</v>
      </c>
      <c r="B8803" t="s">
        <v>23880</v>
      </c>
      <c r="C8803" t="s">
        <v>8192</v>
      </c>
      <c r="D8803">
        <v>0.55000000000000004</v>
      </c>
      <c r="E8803">
        <v>0</v>
      </c>
      <c r="F8803">
        <f t="shared" si="137"/>
        <v>0.55000000000000004</v>
      </c>
      <c r="I8803">
        <v>20240101</v>
      </c>
      <c r="J8803" t="s">
        <v>23881</v>
      </c>
    </row>
    <row r="8804" spans="1:27" x14ac:dyDescent="0.3">
      <c r="A8804" s="160">
        <v>64065</v>
      </c>
      <c r="B8804" t="s">
        <v>23882</v>
      </c>
      <c r="C8804" t="s">
        <v>4762</v>
      </c>
      <c r="D8804">
        <v>2</v>
      </c>
      <c r="E8804">
        <v>0</v>
      </c>
      <c r="F8804">
        <f t="shared" si="137"/>
        <v>2</v>
      </c>
      <c r="I8804">
        <v>20240101</v>
      </c>
      <c r="J8804" t="s">
        <v>8134</v>
      </c>
      <c r="K8804" t="s">
        <v>8135</v>
      </c>
      <c r="L8804" t="s">
        <v>8136</v>
      </c>
    </row>
    <row r="8805" spans="1:27" x14ac:dyDescent="0.3">
      <c r="A8805" s="160">
        <v>64066</v>
      </c>
      <c r="B8805" t="s">
        <v>23883</v>
      </c>
      <c r="C8805" t="s">
        <v>4762</v>
      </c>
      <c r="D8805">
        <v>2</v>
      </c>
      <c r="E8805">
        <v>0</v>
      </c>
      <c r="F8805">
        <f t="shared" si="137"/>
        <v>2</v>
      </c>
      <c r="I8805">
        <v>20240101</v>
      </c>
      <c r="J8805" t="s">
        <v>8110</v>
      </c>
    </row>
    <row r="8806" spans="1:27" x14ac:dyDescent="0.3">
      <c r="A8806" s="160">
        <v>64072</v>
      </c>
      <c r="B8806" t="s">
        <v>23884</v>
      </c>
      <c r="C8806" t="s">
        <v>8124</v>
      </c>
      <c r="D8806">
        <v>0.5</v>
      </c>
      <c r="E8806">
        <v>0</v>
      </c>
      <c r="F8806">
        <f t="shared" si="137"/>
        <v>0.5</v>
      </c>
      <c r="I8806">
        <v>20240101</v>
      </c>
      <c r="J8806" t="s">
        <v>8137</v>
      </c>
    </row>
    <row r="8807" spans="1:27" x14ac:dyDescent="0.3">
      <c r="A8807" s="160">
        <v>64080</v>
      </c>
      <c r="B8807" t="s">
        <v>23885</v>
      </c>
      <c r="C8807" t="s">
        <v>8124</v>
      </c>
      <c r="D8807">
        <v>0.5</v>
      </c>
      <c r="E8807">
        <v>0</v>
      </c>
      <c r="F8807">
        <f t="shared" si="137"/>
        <v>0.5</v>
      </c>
      <c r="I8807">
        <v>20180101</v>
      </c>
      <c r="J8807" t="s">
        <v>8125</v>
      </c>
    </row>
    <row r="8808" spans="1:27" x14ac:dyDescent="0.3">
      <c r="A8808" s="160">
        <v>64081</v>
      </c>
      <c r="B8808" t="s">
        <v>23886</v>
      </c>
      <c r="C8808" t="s">
        <v>4762</v>
      </c>
      <c r="D8808">
        <v>2</v>
      </c>
      <c r="E8808">
        <v>0</v>
      </c>
      <c r="F8808">
        <f t="shared" si="137"/>
        <v>2</v>
      </c>
      <c r="I8808">
        <v>20240101</v>
      </c>
      <c r="J8808" t="s">
        <v>8113</v>
      </c>
    </row>
    <row r="8809" spans="1:27" x14ac:dyDescent="0.3">
      <c r="A8809" s="160">
        <v>64085</v>
      </c>
      <c r="B8809" t="s">
        <v>23887</v>
      </c>
      <c r="C8809" t="s">
        <v>8192</v>
      </c>
      <c r="D8809">
        <v>0.55000000000000004</v>
      </c>
      <c r="E8809">
        <v>0</v>
      </c>
      <c r="F8809">
        <f t="shared" si="137"/>
        <v>0.55000000000000004</v>
      </c>
      <c r="I8809">
        <v>20240101</v>
      </c>
      <c r="J8809" t="s">
        <v>23845</v>
      </c>
    </row>
    <row r="8810" spans="1:27" x14ac:dyDescent="0.3">
      <c r="A8810" s="160">
        <v>64086</v>
      </c>
      <c r="B8810" t="s">
        <v>23888</v>
      </c>
      <c r="C8810" t="s">
        <v>4762</v>
      </c>
      <c r="D8810">
        <v>2</v>
      </c>
      <c r="E8810">
        <v>0</v>
      </c>
      <c r="F8810">
        <f t="shared" si="137"/>
        <v>2</v>
      </c>
      <c r="I8810">
        <v>20240101</v>
      </c>
      <c r="J8810" t="s">
        <v>8138</v>
      </c>
    </row>
    <row r="8811" spans="1:27" x14ac:dyDescent="0.3">
      <c r="A8811" s="160">
        <v>64092</v>
      </c>
      <c r="B8811" t="s">
        <v>23889</v>
      </c>
      <c r="C8811" t="s">
        <v>4762</v>
      </c>
      <c r="D8811">
        <v>2</v>
      </c>
      <c r="E8811">
        <v>0</v>
      </c>
      <c r="F8811">
        <f t="shared" si="137"/>
        <v>2</v>
      </c>
      <c r="I8811">
        <v>20240101</v>
      </c>
      <c r="J8811" t="s">
        <v>8116</v>
      </c>
    </row>
    <row r="8812" spans="1:27" x14ac:dyDescent="0.3">
      <c r="A8812" s="160">
        <v>64093</v>
      </c>
      <c r="B8812" t="s">
        <v>23890</v>
      </c>
      <c r="C8812" t="s">
        <v>4762</v>
      </c>
      <c r="D8812">
        <v>2</v>
      </c>
      <c r="E8812">
        <v>0</v>
      </c>
      <c r="F8812">
        <f t="shared" si="137"/>
        <v>2</v>
      </c>
      <c r="I8812">
        <v>20240101</v>
      </c>
      <c r="J8812" t="s">
        <v>8113</v>
      </c>
    </row>
    <row r="8813" spans="1:27" x14ac:dyDescent="0.3">
      <c r="A8813" s="160">
        <v>64094</v>
      </c>
      <c r="B8813" t="s">
        <v>23891</v>
      </c>
      <c r="C8813" t="s">
        <v>4762</v>
      </c>
      <c r="D8813">
        <v>2</v>
      </c>
      <c r="E8813">
        <v>0</v>
      </c>
      <c r="F8813">
        <f t="shared" si="137"/>
        <v>2</v>
      </c>
      <c r="I8813">
        <v>20240101</v>
      </c>
      <c r="J8813" t="s">
        <v>8139</v>
      </c>
    </row>
    <row r="8814" spans="1:27" x14ac:dyDescent="0.3">
      <c r="A8814" s="160">
        <v>64100</v>
      </c>
      <c r="B8814" t="s">
        <v>23892</v>
      </c>
      <c r="C8814" t="s">
        <v>4762</v>
      </c>
      <c r="D8814">
        <v>2</v>
      </c>
      <c r="E8814">
        <v>0</v>
      </c>
      <c r="F8814">
        <f t="shared" si="137"/>
        <v>2</v>
      </c>
      <c r="I8814">
        <v>20240101</v>
      </c>
      <c r="J8814" t="s">
        <v>8126</v>
      </c>
      <c r="K8814" t="s">
        <v>8127</v>
      </c>
      <c r="L8814" t="s">
        <v>8130</v>
      </c>
      <c r="M8814" t="s">
        <v>8140</v>
      </c>
    </row>
    <row r="8815" spans="1:27" x14ac:dyDescent="0.3">
      <c r="A8815" s="160">
        <v>64102</v>
      </c>
      <c r="B8815" t="s">
        <v>23893</v>
      </c>
      <c r="C8815" t="s">
        <v>4762</v>
      </c>
      <c r="D8815">
        <v>2</v>
      </c>
      <c r="E8815">
        <v>0</v>
      </c>
      <c r="F8815">
        <f t="shared" si="137"/>
        <v>2</v>
      </c>
      <c r="I8815">
        <v>20160101</v>
      </c>
      <c r="J8815" t="s">
        <v>8141</v>
      </c>
      <c r="K8815" t="s">
        <v>8142</v>
      </c>
      <c r="L8815" t="s">
        <v>8143</v>
      </c>
      <c r="M8815" t="s">
        <v>8144</v>
      </c>
      <c r="N8815" t="s">
        <v>8145</v>
      </c>
      <c r="O8815" t="s">
        <v>8146</v>
      </c>
      <c r="P8815" t="s">
        <v>8147</v>
      </c>
      <c r="Q8815" t="s">
        <v>8148</v>
      </c>
      <c r="R8815" t="s">
        <v>8149</v>
      </c>
      <c r="S8815" t="s">
        <v>8150</v>
      </c>
      <c r="T8815" t="s">
        <v>8151</v>
      </c>
      <c r="U8815" t="s">
        <v>8152</v>
      </c>
      <c r="V8815" t="s">
        <v>8153</v>
      </c>
      <c r="W8815" t="s">
        <v>8154</v>
      </c>
      <c r="X8815" t="s">
        <v>8155</v>
      </c>
      <c r="Y8815" t="s">
        <v>8156</v>
      </c>
      <c r="Z8815" t="s">
        <v>8157</v>
      </c>
      <c r="AA8815" t="s">
        <v>8158</v>
      </c>
    </row>
    <row r="8816" spans="1:27" x14ac:dyDescent="0.3">
      <c r="A8816" s="160">
        <v>64104</v>
      </c>
      <c r="B8816" t="s">
        <v>23894</v>
      </c>
      <c r="C8816" t="s">
        <v>8192</v>
      </c>
      <c r="D8816">
        <v>0.55000000000000004</v>
      </c>
      <c r="E8816">
        <v>0</v>
      </c>
      <c r="F8816">
        <f t="shared" si="137"/>
        <v>0.55000000000000004</v>
      </c>
      <c r="I8816">
        <v>20240101</v>
      </c>
      <c r="J8816" t="s">
        <v>23845</v>
      </c>
    </row>
    <row r="8817" spans="1:17" x14ac:dyDescent="0.3">
      <c r="A8817" s="160">
        <v>64105</v>
      </c>
      <c r="B8817" t="s">
        <v>23895</v>
      </c>
      <c r="C8817" t="s">
        <v>4762</v>
      </c>
      <c r="D8817">
        <v>2</v>
      </c>
      <c r="E8817">
        <v>0</v>
      </c>
      <c r="F8817">
        <f t="shared" si="137"/>
        <v>2</v>
      </c>
      <c r="I8817">
        <v>20240101</v>
      </c>
      <c r="J8817" t="s">
        <v>8112</v>
      </c>
    </row>
    <row r="8818" spans="1:17" x14ac:dyDescent="0.3">
      <c r="A8818" s="160">
        <v>64106</v>
      </c>
      <c r="B8818" t="s">
        <v>23896</v>
      </c>
      <c r="C8818" t="s">
        <v>4762</v>
      </c>
      <c r="D8818">
        <v>2</v>
      </c>
      <c r="E8818">
        <v>0</v>
      </c>
      <c r="F8818">
        <f t="shared" si="137"/>
        <v>2</v>
      </c>
      <c r="I8818">
        <v>20240101</v>
      </c>
      <c r="J8818" t="s">
        <v>8112</v>
      </c>
    </row>
    <row r="8819" spans="1:17" x14ac:dyDescent="0.3">
      <c r="A8819" s="160">
        <v>64107</v>
      </c>
      <c r="B8819" t="s">
        <v>23897</v>
      </c>
      <c r="C8819" t="s">
        <v>4762</v>
      </c>
      <c r="D8819">
        <v>2</v>
      </c>
      <c r="E8819">
        <v>0</v>
      </c>
      <c r="F8819">
        <f t="shared" si="137"/>
        <v>2</v>
      </c>
      <c r="I8819">
        <v>20240101</v>
      </c>
      <c r="J8819" t="s">
        <v>8110</v>
      </c>
    </row>
    <row r="8820" spans="1:17" x14ac:dyDescent="0.3">
      <c r="A8820" s="160">
        <v>64113</v>
      </c>
      <c r="B8820" t="s">
        <v>23898</v>
      </c>
      <c r="C8820" t="s">
        <v>4762</v>
      </c>
      <c r="D8820">
        <v>2</v>
      </c>
      <c r="E8820">
        <v>0</v>
      </c>
      <c r="F8820">
        <f t="shared" si="137"/>
        <v>2</v>
      </c>
      <c r="I8820">
        <v>20240101</v>
      </c>
      <c r="J8820" t="s">
        <v>8123</v>
      </c>
    </row>
    <row r="8821" spans="1:17" x14ac:dyDescent="0.3">
      <c r="A8821" s="160">
        <v>64115</v>
      </c>
      <c r="B8821" t="s">
        <v>23899</v>
      </c>
      <c r="C8821" t="s">
        <v>4762</v>
      </c>
      <c r="D8821">
        <v>2</v>
      </c>
      <c r="E8821">
        <v>0</v>
      </c>
      <c r="F8821">
        <f t="shared" si="137"/>
        <v>2</v>
      </c>
      <c r="I8821">
        <v>20240101</v>
      </c>
      <c r="J8821" t="s">
        <v>8113</v>
      </c>
    </row>
    <row r="8822" spans="1:17" x14ac:dyDescent="0.3">
      <c r="A8822" s="160">
        <v>64120</v>
      </c>
      <c r="B8822" t="s">
        <v>23900</v>
      </c>
      <c r="C8822" t="s">
        <v>4762</v>
      </c>
      <c r="D8822">
        <v>2</v>
      </c>
      <c r="E8822">
        <v>0</v>
      </c>
      <c r="F8822">
        <f t="shared" si="137"/>
        <v>2</v>
      </c>
      <c r="I8822">
        <v>20240101</v>
      </c>
      <c r="J8822" t="s">
        <v>8112</v>
      </c>
    </row>
    <row r="8823" spans="1:17" x14ac:dyDescent="0.3">
      <c r="A8823" s="160">
        <v>64121</v>
      </c>
      <c r="B8823" t="s">
        <v>23901</v>
      </c>
      <c r="C8823" t="s">
        <v>8124</v>
      </c>
      <c r="D8823">
        <v>0.5</v>
      </c>
      <c r="E8823">
        <v>0</v>
      </c>
      <c r="F8823">
        <f t="shared" si="137"/>
        <v>0.5</v>
      </c>
      <c r="I8823">
        <v>20180101</v>
      </c>
      <c r="J8823" t="s">
        <v>8125</v>
      </c>
    </row>
    <row r="8824" spans="1:17" x14ac:dyDescent="0.3">
      <c r="A8824" s="160">
        <v>64122</v>
      </c>
      <c r="B8824" t="s">
        <v>23902</v>
      </c>
      <c r="C8824" t="s">
        <v>4762</v>
      </c>
      <c r="D8824">
        <v>2</v>
      </c>
      <c r="E8824">
        <v>0</v>
      </c>
      <c r="F8824">
        <f t="shared" si="137"/>
        <v>2</v>
      </c>
      <c r="I8824">
        <v>20160101</v>
      </c>
      <c r="J8824" t="s">
        <v>8126</v>
      </c>
      <c r="K8824" t="s">
        <v>8127</v>
      </c>
      <c r="L8824" t="s">
        <v>8128</v>
      </c>
      <c r="M8824" t="s">
        <v>8159</v>
      </c>
      <c r="N8824" t="s">
        <v>8129</v>
      </c>
      <c r="O8824" t="s">
        <v>8130</v>
      </c>
      <c r="P8824" t="s">
        <v>8160</v>
      </c>
      <c r="Q8824" t="s">
        <v>8140</v>
      </c>
    </row>
    <row r="8825" spans="1:17" x14ac:dyDescent="0.3">
      <c r="A8825" s="160">
        <v>64123</v>
      </c>
      <c r="B8825" t="s">
        <v>23903</v>
      </c>
      <c r="C8825" t="s">
        <v>4762</v>
      </c>
      <c r="D8825">
        <v>2</v>
      </c>
      <c r="E8825">
        <v>0</v>
      </c>
      <c r="F8825">
        <f t="shared" si="137"/>
        <v>2</v>
      </c>
      <c r="I8825">
        <v>20240101</v>
      </c>
      <c r="J8825" t="s">
        <v>8139</v>
      </c>
    </row>
    <row r="8826" spans="1:17" x14ac:dyDescent="0.3">
      <c r="A8826" s="160">
        <v>64124</v>
      </c>
      <c r="B8826" t="s">
        <v>23904</v>
      </c>
      <c r="C8826" t="s">
        <v>4762</v>
      </c>
      <c r="D8826">
        <v>2</v>
      </c>
      <c r="E8826">
        <v>0</v>
      </c>
      <c r="F8826">
        <f t="shared" si="137"/>
        <v>2</v>
      </c>
      <c r="I8826">
        <v>20240101</v>
      </c>
      <c r="J8826" t="s">
        <v>8161</v>
      </c>
    </row>
    <row r="8827" spans="1:17" x14ac:dyDescent="0.3">
      <c r="A8827" s="160">
        <v>64125</v>
      </c>
      <c r="B8827" t="s">
        <v>23905</v>
      </c>
      <c r="C8827" t="s">
        <v>4762</v>
      </c>
      <c r="D8827">
        <v>2</v>
      </c>
      <c r="E8827">
        <v>0</v>
      </c>
      <c r="F8827">
        <f t="shared" si="137"/>
        <v>2</v>
      </c>
      <c r="I8827">
        <v>20160101</v>
      </c>
      <c r="J8827" t="s">
        <v>8111</v>
      </c>
    </row>
    <row r="8828" spans="1:17" x14ac:dyDescent="0.3">
      <c r="A8828" s="160">
        <v>64126</v>
      </c>
      <c r="B8828" t="s">
        <v>23906</v>
      </c>
      <c r="C8828" t="s">
        <v>8192</v>
      </c>
      <c r="D8828">
        <v>0.55000000000000004</v>
      </c>
      <c r="E8828">
        <v>0</v>
      </c>
      <c r="F8828">
        <f t="shared" si="137"/>
        <v>0.55000000000000004</v>
      </c>
      <c r="I8828">
        <v>20240101</v>
      </c>
      <c r="J8828" t="s">
        <v>8193</v>
      </c>
      <c r="K8828" t="s">
        <v>8194</v>
      </c>
      <c r="L8828" t="s">
        <v>8195</v>
      </c>
    </row>
    <row r="8829" spans="1:17" x14ac:dyDescent="0.3">
      <c r="A8829" s="160">
        <v>64129</v>
      </c>
      <c r="B8829" t="s">
        <v>23907</v>
      </c>
      <c r="C8829" t="s">
        <v>8124</v>
      </c>
      <c r="D8829">
        <v>1.8</v>
      </c>
      <c r="E8829">
        <v>0</v>
      </c>
      <c r="F8829">
        <f t="shared" si="137"/>
        <v>1.8</v>
      </c>
      <c r="I8829">
        <v>20110101</v>
      </c>
      <c r="J8829" t="s">
        <v>8162</v>
      </c>
      <c r="K8829" t="s">
        <v>8163</v>
      </c>
      <c r="L8829" t="s">
        <v>8164</v>
      </c>
      <c r="M8829" t="s">
        <v>8165</v>
      </c>
      <c r="N8829" t="s">
        <v>8166</v>
      </c>
    </row>
    <row r="8830" spans="1:17" x14ac:dyDescent="0.3">
      <c r="A8830" s="160">
        <v>64130</v>
      </c>
      <c r="B8830" t="s">
        <v>23908</v>
      </c>
      <c r="C8830" t="s">
        <v>4762</v>
      </c>
      <c r="D8830">
        <v>2</v>
      </c>
      <c r="E8830">
        <v>0</v>
      </c>
      <c r="F8830">
        <f t="shared" si="137"/>
        <v>2</v>
      </c>
      <c r="I8830">
        <v>20240101</v>
      </c>
      <c r="J8830" t="s">
        <v>8167</v>
      </c>
      <c r="K8830" t="s">
        <v>8168</v>
      </c>
    </row>
    <row r="8831" spans="1:17" x14ac:dyDescent="0.3">
      <c r="A8831" s="160">
        <v>64132</v>
      </c>
      <c r="B8831" t="s">
        <v>23909</v>
      </c>
      <c r="C8831" t="s">
        <v>8124</v>
      </c>
      <c r="D8831">
        <v>1.8</v>
      </c>
      <c r="E8831">
        <v>0</v>
      </c>
      <c r="F8831">
        <f t="shared" si="137"/>
        <v>1.8</v>
      </c>
      <c r="I8831">
        <v>20110101</v>
      </c>
      <c r="J8831" t="s">
        <v>8131</v>
      </c>
    </row>
    <row r="8832" spans="1:17" x14ac:dyDescent="0.3">
      <c r="A8832" s="160">
        <v>64134</v>
      </c>
      <c r="B8832" t="s">
        <v>23910</v>
      </c>
      <c r="C8832" t="s">
        <v>4762</v>
      </c>
      <c r="D8832">
        <v>2</v>
      </c>
      <c r="E8832">
        <v>0</v>
      </c>
      <c r="F8832">
        <f t="shared" si="137"/>
        <v>2</v>
      </c>
      <c r="I8832">
        <v>20240101</v>
      </c>
      <c r="J8832" t="s">
        <v>8138</v>
      </c>
    </row>
    <row r="8833" spans="1:10" x14ac:dyDescent="0.3">
      <c r="A8833" s="160">
        <v>64136</v>
      </c>
      <c r="B8833" t="s">
        <v>23911</v>
      </c>
      <c r="C8833" t="s">
        <v>8192</v>
      </c>
      <c r="D8833">
        <v>0.55000000000000004</v>
      </c>
      <c r="E8833">
        <v>0</v>
      </c>
      <c r="F8833">
        <f t="shared" si="137"/>
        <v>0.55000000000000004</v>
      </c>
      <c r="I8833">
        <v>20240101</v>
      </c>
      <c r="J8833" t="s">
        <v>23845</v>
      </c>
    </row>
    <row r="8834" spans="1:10" x14ac:dyDescent="0.3">
      <c r="A8834" s="160">
        <v>64139</v>
      </c>
      <c r="B8834" t="s">
        <v>23912</v>
      </c>
      <c r="C8834" t="s">
        <v>8124</v>
      </c>
      <c r="D8834">
        <v>0.5</v>
      </c>
      <c r="E8834">
        <v>0</v>
      </c>
      <c r="F8834">
        <f t="shared" si="137"/>
        <v>0.5</v>
      </c>
      <c r="I8834">
        <v>20180101</v>
      </c>
      <c r="J8834" t="s">
        <v>8137</v>
      </c>
    </row>
    <row r="8835" spans="1:10" x14ac:dyDescent="0.3">
      <c r="A8835" s="160">
        <v>64140</v>
      </c>
      <c r="B8835" t="s">
        <v>23913</v>
      </c>
      <c r="C8835" t="s">
        <v>4762</v>
      </c>
      <c r="D8835">
        <v>2</v>
      </c>
      <c r="E8835">
        <v>0</v>
      </c>
      <c r="F8835">
        <f t="shared" si="137"/>
        <v>2</v>
      </c>
      <c r="I8835">
        <v>20160101</v>
      </c>
      <c r="J8835" t="s">
        <v>8169</v>
      </c>
    </row>
    <row r="8836" spans="1:10" x14ac:dyDescent="0.3">
      <c r="A8836" s="160">
        <v>64142</v>
      </c>
      <c r="B8836" t="s">
        <v>23914</v>
      </c>
      <c r="C8836" t="s">
        <v>8124</v>
      </c>
      <c r="D8836">
        <v>0.5</v>
      </c>
      <c r="E8836">
        <v>0</v>
      </c>
      <c r="F8836">
        <f t="shared" si="137"/>
        <v>0.5</v>
      </c>
      <c r="I8836">
        <v>20180101</v>
      </c>
      <c r="J8836" t="s">
        <v>8125</v>
      </c>
    </row>
    <row r="8837" spans="1:10" x14ac:dyDescent="0.3">
      <c r="A8837" s="160">
        <v>64147</v>
      </c>
      <c r="B8837" t="s">
        <v>23915</v>
      </c>
      <c r="C8837" t="s">
        <v>4762</v>
      </c>
      <c r="D8837">
        <v>2</v>
      </c>
      <c r="E8837">
        <v>0</v>
      </c>
      <c r="F8837">
        <f t="shared" si="137"/>
        <v>2</v>
      </c>
      <c r="I8837">
        <v>20240101</v>
      </c>
      <c r="J8837" t="s">
        <v>8138</v>
      </c>
    </row>
    <row r="8838" spans="1:10" x14ac:dyDescent="0.3">
      <c r="A8838" s="160">
        <v>64150</v>
      </c>
      <c r="B8838" t="s">
        <v>23916</v>
      </c>
      <c r="C8838" t="s">
        <v>4762</v>
      </c>
      <c r="D8838">
        <v>2</v>
      </c>
      <c r="E8838">
        <v>0</v>
      </c>
      <c r="F8838">
        <f t="shared" si="137"/>
        <v>2</v>
      </c>
      <c r="I8838">
        <v>20240101</v>
      </c>
      <c r="J8838" t="s">
        <v>8112</v>
      </c>
    </row>
    <row r="8839" spans="1:10" x14ac:dyDescent="0.3">
      <c r="A8839" s="160">
        <v>64154</v>
      </c>
      <c r="B8839" t="s">
        <v>23917</v>
      </c>
      <c r="C8839" t="s">
        <v>4762</v>
      </c>
      <c r="D8839">
        <v>2</v>
      </c>
      <c r="E8839">
        <v>0</v>
      </c>
      <c r="F8839">
        <f t="shared" ref="F8839:F8902" si="138">D8839+E8839</f>
        <v>2</v>
      </c>
      <c r="I8839">
        <v>20240101</v>
      </c>
      <c r="J8839" t="s">
        <v>8110</v>
      </c>
    </row>
    <row r="8840" spans="1:10" x14ac:dyDescent="0.3">
      <c r="A8840" s="160">
        <v>64155</v>
      </c>
      <c r="B8840" t="s">
        <v>23918</v>
      </c>
      <c r="C8840" t="s">
        <v>4762</v>
      </c>
      <c r="D8840">
        <v>2</v>
      </c>
      <c r="E8840">
        <v>0</v>
      </c>
      <c r="F8840">
        <f t="shared" si="138"/>
        <v>2</v>
      </c>
      <c r="I8840">
        <v>20240101</v>
      </c>
      <c r="J8840" t="s">
        <v>8110</v>
      </c>
    </row>
    <row r="8841" spans="1:10" x14ac:dyDescent="0.3">
      <c r="A8841" s="160">
        <v>64156</v>
      </c>
      <c r="B8841" t="s">
        <v>23919</v>
      </c>
      <c r="C8841" t="s">
        <v>8192</v>
      </c>
      <c r="D8841">
        <v>0.55000000000000004</v>
      </c>
      <c r="E8841">
        <v>0</v>
      </c>
      <c r="F8841">
        <f t="shared" si="138"/>
        <v>0.55000000000000004</v>
      </c>
      <c r="I8841">
        <v>20240101</v>
      </c>
      <c r="J8841" t="s">
        <v>23920</v>
      </c>
    </row>
    <row r="8842" spans="1:10" x14ac:dyDescent="0.3">
      <c r="A8842" s="160">
        <v>64160</v>
      </c>
      <c r="B8842" t="s">
        <v>23921</v>
      </c>
      <c r="C8842" t="s">
        <v>4762</v>
      </c>
      <c r="D8842">
        <v>2</v>
      </c>
      <c r="E8842">
        <v>0</v>
      </c>
      <c r="F8842">
        <f t="shared" si="138"/>
        <v>2</v>
      </c>
      <c r="I8842">
        <v>20240101</v>
      </c>
      <c r="J8842" t="s">
        <v>8114</v>
      </c>
    </row>
    <row r="8843" spans="1:10" x14ac:dyDescent="0.3">
      <c r="A8843" s="160">
        <v>64161</v>
      </c>
      <c r="B8843" t="s">
        <v>23922</v>
      </c>
      <c r="C8843" t="s">
        <v>4762</v>
      </c>
      <c r="D8843">
        <v>2</v>
      </c>
      <c r="E8843">
        <v>0</v>
      </c>
      <c r="F8843">
        <f t="shared" si="138"/>
        <v>2</v>
      </c>
      <c r="I8843">
        <v>20240101</v>
      </c>
      <c r="J8843" t="s">
        <v>8139</v>
      </c>
    </row>
    <row r="8844" spans="1:10" x14ac:dyDescent="0.3">
      <c r="A8844" s="160">
        <v>64162</v>
      </c>
      <c r="B8844" t="s">
        <v>23923</v>
      </c>
      <c r="C8844" t="s">
        <v>4762</v>
      </c>
      <c r="D8844">
        <v>2</v>
      </c>
      <c r="E8844">
        <v>0</v>
      </c>
      <c r="F8844">
        <f t="shared" si="138"/>
        <v>2</v>
      </c>
      <c r="I8844">
        <v>20240101</v>
      </c>
      <c r="J8844" t="s">
        <v>8115</v>
      </c>
    </row>
    <row r="8845" spans="1:10" x14ac:dyDescent="0.3">
      <c r="A8845" s="160">
        <v>64166</v>
      </c>
      <c r="B8845" t="s">
        <v>21593</v>
      </c>
      <c r="C8845" t="s">
        <v>4762</v>
      </c>
      <c r="D8845">
        <v>2</v>
      </c>
      <c r="E8845">
        <v>0</v>
      </c>
      <c r="F8845">
        <f t="shared" si="138"/>
        <v>2</v>
      </c>
      <c r="I8845">
        <v>20240101</v>
      </c>
      <c r="J8845" t="s">
        <v>8110</v>
      </c>
    </row>
    <row r="8846" spans="1:10" x14ac:dyDescent="0.3">
      <c r="A8846" s="160">
        <v>64185</v>
      </c>
      <c r="B8846" t="s">
        <v>23924</v>
      </c>
      <c r="C8846" t="s">
        <v>8192</v>
      </c>
      <c r="D8846">
        <v>0.55000000000000004</v>
      </c>
      <c r="E8846">
        <v>0</v>
      </c>
      <c r="F8846">
        <f t="shared" si="138"/>
        <v>0.55000000000000004</v>
      </c>
      <c r="I8846">
        <v>20240101</v>
      </c>
      <c r="J8846" t="s">
        <v>23845</v>
      </c>
    </row>
    <row r="8847" spans="1:10" x14ac:dyDescent="0.3">
      <c r="A8847" s="160">
        <v>64187</v>
      </c>
      <c r="B8847" t="s">
        <v>23925</v>
      </c>
      <c r="C8847" t="s">
        <v>4762</v>
      </c>
      <c r="D8847">
        <v>2</v>
      </c>
      <c r="E8847">
        <v>0</v>
      </c>
      <c r="F8847">
        <f t="shared" si="138"/>
        <v>2</v>
      </c>
      <c r="I8847">
        <v>20240101</v>
      </c>
      <c r="J8847" t="s">
        <v>8113</v>
      </c>
    </row>
    <row r="8848" spans="1:10" x14ac:dyDescent="0.3">
      <c r="A8848" s="160">
        <v>64188</v>
      </c>
      <c r="B8848" t="s">
        <v>23926</v>
      </c>
      <c r="C8848" t="s">
        <v>4762</v>
      </c>
      <c r="D8848">
        <v>2</v>
      </c>
      <c r="E8848">
        <v>0</v>
      </c>
      <c r="F8848">
        <f t="shared" si="138"/>
        <v>2</v>
      </c>
      <c r="I8848">
        <v>20240101</v>
      </c>
      <c r="J8848" t="s">
        <v>8113</v>
      </c>
    </row>
    <row r="8849" spans="1:13" x14ac:dyDescent="0.3">
      <c r="A8849" s="160">
        <v>64189</v>
      </c>
      <c r="B8849" t="s">
        <v>23927</v>
      </c>
      <c r="C8849" t="s">
        <v>4762</v>
      </c>
      <c r="D8849">
        <v>2</v>
      </c>
      <c r="E8849">
        <v>0</v>
      </c>
      <c r="F8849">
        <f t="shared" si="138"/>
        <v>2</v>
      </c>
      <c r="I8849">
        <v>20240101</v>
      </c>
      <c r="J8849" t="s">
        <v>8170</v>
      </c>
      <c r="K8849" t="s">
        <v>8171</v>
      </c>
      <c r="L8849" t="s">
        <v>8172</v>
      </c>
      <c r="M8849" t="s">
        <v>8135</v>
      </c>
    </row>
    <row r="8850" spans="1:13" x14ac:dyDescent="0.3">
      <c r="A8850" s="160">
        <v>64198</v>
      </c>
      <c r="B8850" t="s">
        <v>23928</v>
      </c>
      <c r="C8850" t="s">
        <v>8124</v>
      </c>
      <c r="D8850">
        <v>0.5</v>
      </c>
      <c r="E8850">
        <v>0</v>
      </c>
      <c r="F8850">
        <f t="shared" si="138"/>
        <v>0.5</v>
      </c>
      <c r="I8850">
        <v>20180101</v>
      </c>
      <c r="J8850" t="s">
        <v>8125</v>
      </c>
    </row>
    <row r="8851" spans="1:13" x14ac:dyDescent="0.3">
      <c r="A8851" s="160">
        <v>64202</v>
      </c>
      <c r="B8851" t="s">
        <v>23929</v>
      </c>
      <c r="C8851" t="s">
        <v>4762</v>
      </c>
      <c r="D8851">
        <v>2</v>
      </c>
      <c r="E8851">
        <v>0</v>
      </c>
      <c r="F8851">
        <f t="shared" si="138"/>
        <v>2</v>
      </c>
      <c r="I8851">
        <v>20240101</v>
      </c>
      <c r="J8851" t="s">
        <v>8112</v>
      </c>
    </row>
    <row r="8852" spans="1:13" x14ac:dyDescent="0.3">
      <c r="A8852" s="160">
        <v>64206</v>
      </c>
      <c r="B8852" t="s">
        <v>23930</v>
      </c>
      <c r="C8852" t="s">
        <v>8192</v>
      </c>
      <c r="D8852">
        <v>0.55000000000000004</v>
      </c>
      <c r="E8852">
        <v>0</v>
      </c>
      <c r="F8852">
        <f t="shared" si="138"/>
        <v>0.55000000000000004</v>
      </c>
      <c r="I8852">
        <v>20240101</v>
      </c>
      <c r="J8852" t="s">
        <v>23845</v>
      </c>
    </row>
    <row r="8853" spans="1:13" x14ac:dyDescent="0.3">
      <c r="A8853" s="160">
        <v>64207</v>
      </c>
      <c r="B8853" t="s">
        <v>23931</v>
      </c>
      <c r="C8853" t="s">
        <v>8192</v>
      </c>
      <c r="D8853">
        <v>0.55000000000000004</v>
      </c>
      <c r="E8853">
        <v>0</v>
      </c>
      <c r="F8853">
        <f t="shared" si="138"/>
        <v>0.55000000000000004</v>
      </c>
      <c r="I8853">
        <v>20240101</v>
      </c>
      <c r="J8853" t="s">
        <v>23932</v>
      </c>
    </row>
    <row r="8854" spans="1:13" x14ac:dyDescent="0.3">
      <c r="A8854" s="160">
        <v>64209</v>
      </c>
      <c r="B8854" t="s">
        <v>23933</v>
      </c>
      <c r="C8854" t="s">
        <v>8192</v>
      </c>
      <c r="D8854">
        <v>0.55000000000000004</v>
      </c>
      <c r="E8854">
        <v>0</v>
      </c>
      <c r="F8854">
        <f t="shared" si="138"/>
        <v>0.55000000000000004</v>
      </c>
      <c r="I8854">
        <v>20240101</v>
      </c>
      <c r="J8854" t="s">
        <v>23932</v>
      </c>
    </row>
    <row r="8855" spans="1:13" x14ac:dyDescent="0.3">
      <c r="A8855" s="160">
        <v>64213</v>
      </c>
      <c r="B8855" t="s">
        <v>23934</v>
      </c>
      <c r="C8855" t="s">
        <v>4762</v>
      </c>
      <c r="D8855">
        <v>2</v>
      </c>
      <c r="E8855">
        <v>0</v>
      </c>
      <c r="F8855">
        <f t="shared" si="138"/>
        <v>2</v>
      </c>
      <c r="I8855">
        <v>20240101</v>
      </c>
      <c r="J8855" t="s">
        <v>8114</v>
      </c>
    </row>
    <row r="8856" spans="1:13" x14ac:dyDescent="0.3">
      <c r="A8856" s="160">
        <v>64214</v>
      </c>
      <c r="B8856" t="s">
        <v>23935</v>
      </c>
      <c r="C8856" t="s">
        <v>4762</v>
      </c>
      <c r="D8856">
        <v>2</v>
      </c>
      <c r="E8856">
        <v>0</v>
      </c>
      <c r="F8856">
        <f t="shared" si="138"/>
        <v>2</v>
      </c>
      <c r="I8856">
        <v>20240101</v>
      </c>
      <c r="J8856" t="s">
        <v>8113</v>
      </c>
    </row>
    <row r="8857" spans="1:13" x14ac:dyDescent="0.3">
      <c r="A8857" s="160">
        <v>64217</v>
      </c>
      <c r="B8857" t="s">
        <v>23936</v>
      </c>
      <c r="C8857" t="s">
        <v>8192</v>
      </c>
      <c r="D8857">
        <v>0.55000000000000004</v>
      </c>
      <c r="E8857">
        <v>0</v>
      </c>
      <c r="F8857">
        <f t="shared" si="138"/>
        <v>0.55000000000000004</v>
      </c>
      <c r="I8857">
        <v>20240101</v>
      </c>
      <c r="J8857" t="s">
        <v>8193</v>
      </c>
    </row>
    <row r="8858" spans="1:13" x14ac:dyDescent="0.3">
      <c r="A8858" s="160">
        <v>64218</v>
      </c>
      <c r="B8858" t="s">
        <v>23937</v>
      </c>
      <c r="C8858" t="s">
        <v>4762</v>
      </c>
      <c r="D8858">
        <v>2</v>
      </c>
      <c r="E8858">
        <v>0</v>
      </c>
      <c r="F8858">
        <f t="shared" si="138"/>
        <v>2</v>
      </c>
      <c r="I8858">
        <v>20240101</v>
      </c>
      <c r="J8858" t="s">
        <v>8110</v>
      </c>
    </row>
    <row r="8859" spans="1:13" x14ac:dyDescent="0.3">
      <c r="A8859" s="160">
        <v>64219</v>
      </c>
      <c r="B8859" t="s">
        <v>23938</v>
      </c>
      <c r="C8859" t="s">
        <v>8192</v>
      </c>
      <c r="D8859">
        <v>0.55000000000000004</v>
      </c>
      <c r="E8859">
        <v>0</v>
      </c>
      <c r="F8859">
        <f t="shared" si="138"/>
        <v>0.55000000000000004</v>
      </c>
      <c r="I8859">
        <v>20240101</v>
      </c>
      <c r="J8859" t="s">
        <v>8137</v>
      </c>
    </row>
    <row r="8860" spans="1:13" x14ac:dyDescent="0.3">
      <c r="A8860" s="160">
        <v>64220</v>
      </c>
      <c r="B8860" t="s">
        <v>23939</v>
      </c>
      <c r="C8860" t="s">
        <v>8192</v>
      </c>
      <c r="D8860">
        <v>0.55000000000000004</v>
      </c>
      <c r="E8860">
        <v>0</v>
      </c>
      <c r="F8860">
        <f t="shared" si="138"/>
        <v>0.55000000000000004</v>
      </c>
      <c r="I8860">
        <v>20240101</v>
      </c>
      <c r="J8860" t="s">
        <v>8193</v>
      </c>
    </row>
    <row r="8861" spans="1:13" x14ac:dyDescent="0.3">
      <c r="A8861" s="160">
        <v>64221</v>
      </c>
      <c r="B8861" t="s">
        <v>23940</v>
      </c>
      <c r="C8861" t="s">
        <v>4762</v>
      </c>
      <c r="D8861">
        <v>2</v>
      </c>
      <c r="E8861">
        <v>0</v>
      </c>
      <c r="F8861">
        <f t="shared" si="138"/>
        <v>2</v>
      </c>
      <c r="I8861">
        <v>20240101</v>
      </c>
      <c r="J8861" t="s">
        <v>8112</v>
      </c>
    </row>
    <row r="8862" spans="1:13" x14ac:dyDescent="0.3">
      <c r="A8862" s="160">
        <v>64222</v>
      </c>
      <c r="B8862" t="s">
        <v>23941</v>
      </c>
      <c r="C8862" t="s">
        <v>4762</v>
      </c>
      <c r="D8862">
        <v>2</v>
      </c>
      <c r="E8862">
        <v>0</v>
      </c>
      <c r="F8862">
        <f t="shared" si="138"/>
        <v>2</v>
      </c>
      <c r="I8862">
        <v>20240101</v>
      </c>
      <c r="J8862" t="s">
        <v>8115</v>
      </c>
    </row>
    <row r="8863" spans="1:13" x14ac:dyDescent="0.3">
      <c r="A8863" s="160">
        <v>64223</v>
      </c>
      <c r="B8863" t="s">
        <v>23942</v>
      </c>
      <c r="C8863" t="s">
        <v>8192</v>
      </c>
      <c r="D8863">
        <v>0.55000000000000004</v>
      </c>
      <c r="E8863">
        <v>0</v>
      </c>
      <c r="F8863">
        <f t="shared" si="138"/>
        <v>0.55000000000000004</v>
      </c>
      <c r="I8863">
        <v>20240101</v>
      </c>
      <c r="J8863" t="s">
        <v>23845</v>
      </c>
    </row>
    <row r="8864" spans="1:13" x14ac:dyDescent="0.3">
      <c r="A8864" s="160">
        <v>64224</v>
      </c>
      <c r="B8864" t="s">
        <v>23943</v>
      </c>
      <c r="C8864" t="s">
        <v>8192</v>
      </c>
      <c r="D8864">
        <v>0.55000000000000004</v>
      </c>
      <c r="E8864">
        <v>0</v>
      </c>
      <c r="F8864">
        <f t="shared" si="138"/>
        <v>0.55000000000000004</v>
      </c>
      <c r="I8864">
        <v>20240101</v>
      </c>
      <c r="J8864" t="s">
        <v>8193</v>
      </c>
      <c r="K8864" t="s">
        <v>8194</v>
      </c>
    </row>
    <row r="8865" spans="1:11" x14ac:dyDescent="0.3">
      <c r="A8865" s="160">
        <v>64225</v>
      </c>
      <c r="B8865" t="s">
        <v>23944</v>
      </c>
      <c r="C8865" t="s">
        <v>8192</v>
      </c>
      <c r="D8865">
        <v>0.55000000000000004</v>
      </c>
      <c r="E8865">
        <v>0</v>
      </c>
      <c r="F8865">
        <f t="shared" si="138"/>
        <v>0.55000000000000004</v>
      </c>
      <c r="I8865">
        <v>20240101</v>
      </c>
      <c r="J8865" t="s">
        <v>23862</v>
      </c>
    </row>
    <row r="8866" spans="1:11" x14ac:dyDescent="0.3">
      <c r="A8866" s="160">
        <v>64228</v>
      </c>
      <c r="B8866" t="s">
        <v>23945</v>
      </c>
      <c r="C8866" t="s">
        <v>4762</v>
      </c>
      <c r="D8866">
        <v>2</v>
      </c>
      <c r="E8866">
        <v>0</v>
      </c>
      <c r="F8866">
        <f t="shared" si="138"/>
        <v>2</v>
      </c>
      <c r="I8866">
        <v>20240101</v>
      </c>
      <c r="J8866" t="s">
        <v>8112</v>
      </c>
    </row>
    <row r="8867" spans="1:11" x14ac:dyDescent="0.3">
      <c r="A8867" s="160">
        <v>64229</v>
      </c>
      <c r="B8867" t="s">
        <v>23946</v>
      </c>
      <c r="C8867" t="s">
        <v>4762</v>
      </c>
      <c r="D8867">
        <v>2</v>
      </c>
      <c r="E8867">
        <v>0</v>
      </c>
      <c r="F8867">
        <f t="shared" si="138"/>
        <v>2</v>
      </c>
      <c r="I8867">
        <v>20240101</v>
      </c>
      <c r="J8867" t="s">
        <v>8110</v>
      </c>
    </row>
    <row r="8868" spans="1:11" x14ac:dyDescent="0.3">
      <c r="A8868" s="160">
        <v>64230</v>
      </c>
      <c r="B8868" t="s">
        <v>23947</v>
      </c>
      <c r="C8868" t="s">
        <v>8124</v>
      </c>
      <c r="D8868">
        <v>1.8</v>
      </c>
      <c r="E8868">
        <v>0</v>
      </c>
      <c r="F8868">
        <f t="shared" si="138"/>
        <v>1.8</v>
      </c>
      <c r="I8868">
        <v>20110101</v>
      </c>
      <c r="J8868" t="s">
        <v>8137</v>
      </c>
    </row>
    <row r="8869" spans="1:11" x14ac:dyDescent="0.3">
      <c r="A8869" s="160">
        <v>64231</v>
      </c>
      <c r="B8869" t="s">
        <v>23948</v>
      </c>
      <c r="C8869" t="s">
        <v>4762</v>
      </c>
      <c r="D8869">
        <v>2</v>
      </c>
      <c r="E8869">
        <v>0</v>
      </c>
      <c r="F8869">
        <f t="shared" si="138"/>
        <v>2</v>
      </c>
      <c r="I8869">
        <v>20240101</v>
      </c>
      <c r="J8869" t="s">
        <v>8113</v>
      </c>
    </row>
    <row r="8870" spans="1:11" x14ac:dyDescent="0.3">
      <c r="A8870" s="160">
        <v>64235</v>
      </c>
      <c r="B8870" t="s">
        <v>23949</v>
      </c>
      <c r="C8870" t="s">
        <v>4762</v>
      </c>
      <c r="D8870">
        <v>2</v>
      </c>
      <c r="E8870">
        <v>0</v>
      </c>
      <c r="F8870">
        <f t="shared" si="138"/>
        <v>2</v>
      </c>
      <c r="I8870">
        <v>20240101</v>
      </c>
      <c r="J8870" t="s">
        <v>8112</v>
      </c>
    </row>
    <row r="8871" spans="1:11" x14ac:dyDescent="0.3">
      <c r="A8871" s="160">
        <v>64237</v>
      </c>
      <c r="B8871" t="s">
        <v>23950</v>
      </c>
      <c r="C8871" t="s">
        <v>8124</v>
      </c>
      <c r="D8871">
        <v>1.8</v>
      </c>
      <c r="E8871">
        <v>0</v>
      </c>
      <c r="F8871">
        <f t="shared" si="138"/>
        <v>1.8</v>
      </c>
      <c r="I8871">
        <v>20110101</v>
      </c>
      <c r="J8871" t="s">
        <v>8173</v>
      </c>
    </row>
    <row r="8872" spans="1:11" x14ac:dyDescent="0.3">
      <c r="A8872" s="160">
        <v>64241</v>
      </c>
      <c r="B8872" t="s">
        <v>23951</v>
      </c>
      <c r="C8872" t="s">
        <v>8192</v>
      </c>
      <c r="D8872">
        <v>0.55000000000000004</v>
      </c>
      <c r="E8872">
        <v>0</v>
      </c>
      <c r="F8872">
        <f t="shared" si="138"/>
        <v>0.55000000000000004</v>
      </c>
      <c r="I8872">
        <v>20240101</v>
      </c>
      <c r="J8872" t="s">
        <v>8193</v>
      </c>
      <c r="K8872" t="s">
        <v>8195</v>
      </c>
    </row>
    <row r="8873" spans="1:11" x14ac:dyDescent="0.3">
      <c r="A8873" s="160">
        <v>64244</v>
      </c>
      <c r="B8873" t="s">
        <v>23952</v>
      </c>
      <c r="C8873" t="s">
        <v>8192</v>
      </c>
      <c r="D8873">
        <v>0.55000000000000004</v>
      </c>
      <c r="E8873">
        <v>0</v>
      </c>
      <c r="F8873">
        <f t="shared" si="138"/>
        <v>0.55000000000000004</v>
      </c>
      <c r="I8873">
        <v>20240101</v>
      </c>
      <c r="J8873" t="s">
        <v>8193</v>
      </c>
    </row>
    <row r="8874" spans="1:11" x14ac:dyDescent="0.3">
      <c r="A8874" s="160">
        <v>64245</v>
      </c>
      <c r="B8874" t="s">
        <v>23953</v>
      </c>
      <c r="C8874" t="s">
        <v>8192</v>
      </c>
      <c r="D8874">
        <v>0.55000000000000004</v>
      </c>
      <c r="E8874">
        <v>0</v>
      </c>
      <c r="F8874">
        <f t="shared" si="138"/>
        <v>0.55000000000000004</v>
      </c>
      <c r="I8874">
        <v>20240101</v>
      </c>
      <c r="J8874" t="s">
        <v>8193</v>
      </c>
    </row>
    <row r="8875" spans="1:11" x14ac:dyDescent="0.3">
      <c r="A8875" s="160">
        <v>64247</v>
      </c>
      <c r="B8875" t="s">
        <v>23954</v>
      </c>
      <c r="C8875" t="s">
        <v>4762</v>
      </c>
      <c r="D8875">
        <v>2</v>
      </c>
      <c r="E8875">
        <v>0</v>
      </c>
      <c r="F8875">
        <f t="shared" si="138"/>
        <v>2</v>
      </c>
      <c r="I8875">
        <v>20240101</v>
      </c>
      <c r="J8875" t="s">
        <v>8113</v>
      </c>
    </row>
    <row r="8876" spans="1:11" x14ac:dyDescent="0.3">
      <c r="A8876" s="160">
        <v>64249</v>
      </c>
      <c r="B8876" t="s">
        <v>23955</v>
      </c>
      <c r="C8876" t="s">
        <v>4762</v>
      </c>
      <c r="D8876">
        <v>2</v>
      </c>
      <c r="E8876">
        <v>0</v>
      </c>
      <c r="F8876">
        <f t="shared" si="138"/>
        <v>2</v>
      </c>
      <c r="I8876">
        <v>20240101</v>
      </c>
      <c r="J8876" t="s">
        <v>8111</v>
      </c>
    </row>
    <row r="8877" spans="1:11" x14ac:dyDescent="0.3">
      <c r="A8877" s="160">
        <v>64250</v>
      </c>
      <c r="B8877" t="s">
        <v>23956</v>
      </c>
      <c r="C8877" t="s">
        <v>4762</v>
      </c>
      <c r="D8877">
        <v>2</v>
      </c>
      <c r="E8877">
        <v>0</v>
      </c>
      <c r="F8877">
        <f t="shared" si="138"/>
        <v>2</v>
      </c>
      <c r="I8877">
        <v>20240101</v>
      </c>
      <c r="J8877" t="s">
        <v>8139</v>
      </c>
    </row>
    <row r="8878" spans="1:11" x14ac:dyDescent="0.3">
      <c r="A8878" s="160">
        <v>64252</v>
      </c>
      <c r="B8878" t="s">
        <v>23957</v>
      </c>
      <c r="C8878" t="s">
        <v>8192</v>
      </c>
      <c r="D8878">
        <v>0.55000000000000004</v>
      </c>
      <c r="E8878">
        <v>0</v>
      </c>
      <c r="F8878">
        <f t="shared" si="138"/>
        <v>0.55000000000000004</v>
      </c>
      <c r="I8878">
        <v>20240101</v>
      </c>
      <c r="J8878" t="s">
        <v>8193</v>
      </c>
      <c r="K8878" t="s">
        <v>8195</v>
      </c>
    </row>
    <row r="8879" spans="1:11" x14ac:dyDescent="0.3">
      <c r="A8879" s="160">
        <v>64255</v>
      </c>
      <c r="B8879" t="s">
        <v>23958</v>
      </c>
      <c r="C8879" t="s">
        <v>4762</v>
      </c>
      <c r="D8879">
        <v>2</v>
      </c>
      <c r="E8879">
        <v>0</v>
      </c>
      <c r="F8879">
        <f t="shared" si="138"/>
        <v>2</v>
      </c>
      <c r="I8879">
        <v>20240101</v>
      </c>
      <c r="J8879" t="s">
        <v>8174</v>
      </c>
    </row>
    <row r="8880" spans="1:11" x14ac:dyDescent="0.3">
      <c r="A8880" s="160">
        <v>64256</v>
      </c>
      <c r="B8880" t="s">
        <v>23959</v>
      </c>
      <c r="C8880" t="s">
        <v>4762</v>
      </c>
      <c r="D8880">
        <v>2</v>
      </c>
      <c r="E8880">
        <v>0</v>
      </c>
      <c r="F8880">
        <f t="shared" si="138"/>
        <v>2</v>
      </c>
      <c r="I8880">
        <v>20240101</v>
      </c>
      <c r="J8880" t="s">
        <v>8138</v>
      </c>
    </row>
    <row r="8881" spans="1:13" x14ac:dyDescent="0.3">
      <c r="A8881" s="160">
        <v>64258</v>
      </c>
      <c r="B8881" t="s">
        <v>18756</v>
      </c>
      <c r="C8881" t="s">
        <v>4762</v>
      </c>
      <c r="D8881">
        <v>2</v>
      </c>
      <c r="E8881">
        <v>0</v>
      </c>
      <c r="F8881">
        <f t="shared" si="138"/>
        <v>2</v>
      </c>
      <c r="I8881">
        <v>20240101</v>
      </c>
      <c r="J8881" t="s">
        <v>8115</v>
      </c>
    </row>
    <row r="8882" spans="1:13" x14ac:dyDescent="0.3">
      <c r="A8882" s="160">
        <v>64259</v>
      </c>
      <c r="B8882" t="s">
        <v>23960</v>
      </c>
      <c r="C8882" t="s">
        <v>4762</v>
      </c>
      <c r="D8882">
        <v>2</v>
      </c>
      <c r="E8882">
        <v>0</v>
      </c>
      <c r="F8882">
        <f t="shared" si="138"/>
        <v>2</v>
      </c>
      <c r="I8882">
        <v>20240101</v>
      </c>
      <c r="J8882" t="s">
        <v>8132</v>
      </c>
    </row>
    <row r="8883" spans="1:13" x14ac:dyDescent="0.3">
      <c r="A8883" s="160">
        <v>64260</v>
      </c>
      <c r="B8883" t="s">
        <v>23961</v>
      </c>
      <c r="C8883" t="s">
        <v>4762</v>
      </c>
      <c r="D8883">
        <v>2</v>
      </c>
      <c r="E8883">
        <v>0</v>
      </c>
      <c r="F8883">
        <f t="shared" si="138"/>
        <v>2</v>
      </c>
      <c r="I8883">
        <v>20240101</v>
      </c>
      <c r="J8883" t="s">
        <v>8167</v>
      </c>
      <c r="K8883" t="s">
        <v>8175</v>
      </c>
      <c r="L8883" t="s">
        <v>8168</v>
      </c>
      <c r="M8883" t="s">
        <v>8176</v>
      </c>
    </row>
    <row r="8884" spans="1:13" x14ac:dyDescent="0.3">
      <c r="A8884" s="160">
        <v>64261</v>
      </c>
      <c r="B8884" t="s">
        <v>23962</v>
      </c>
      <c r="C8884" t="s">
        <v>8192</v>
      </c>
      <c r="D8884">
        <v>0.55000000000000004</v>
      </c>
      <c r="E8884">
        <v>0</v>
      </c>
      <c r="F8884">
        <f t="shared" si="138"/>
        <v>0.55000000000000004</v>
      </c>
      <c r="I8884">
        <v>20240101</v>
      </c>
      <c r="J8884" t="s">
        <v>23920</v>
      </c>
    </row>
    <row r="8885" spans="1:13" x14ac:dyDescent="0.3">
      <c r="A8885" s="160">
        <v>64264</v>
      </c>
      <c r="B8885" t="s">
        <v>23963</v>
      </c>
      <c r="C8885" t="s">
        <v>4762</v>
      </c>
      <c r="D8885">
        <v>2</v>
      </c>
      <c r="E8885">
        <v>0</v>
      </c>
      <c r="F8885">
        <f t="shared" si="138"/>
        <v>2</v>
      </c>
      <c r="I8885">
        <v>20240101</v>
      </c>
      <c r="J8885" t="s">
        <v>8113</v>
      </c>
    </row>
    <row r="8886" spans="1:13" x14ac:dyDescent="0.3">
      <c r="A8886" s="160">
        <v>64265</v>
      </c>
      <c r="B8886" t="s">
        <v>23964</v>
      </c>
      <c r="C8886" t="s">
        <v>4762</v>
      </c>
      <c r="D8886">
        <v>2</v>
      </c>
      <c r="E8886">
        <v>0</v>
      </c>
      <c r="F8886">
        <f t="shared" si="138"/>
        <v>2</v>
      </c>
      <c r="I8886">
        <v>20240101</v>
      </c>
      <c r="J8886" t="s">
        <v>8112</v>
      </c>
    </row>
    <row r="8887" spans="1:13" x14ac:dyDescent="0.3">
      <c r="A8887" s="160">
        <v>64267</v>
      </c>
      <c r="B8887" t="s">
        <v>23965</v>
      </c>
      <c r="C8887" t="s">
        <v>4762</v>
      </c>
      <c r="D8887">
        <v>2</v>
      </c>
      <c r="E8887">
        <v>0</v>
      </c>
      <c r="F8887">
        <f t="shared" si="138"/>
        <v>2</v>
      </c>
      <c r="I8887">
        <v>20240101</v>
      </c>
      <c r="J8887" t="s">
        <v>8112</v>
      </c>
    </row>
    <row r="8888" spans="1:13" x14ac:dyDescent="0.3">
      <c r="A8888" s="160">
        <v>64268</v>
      </c>
      <c r="B8888" t="s">
        <v>23966</v>
      </c>
      <c r="C8888" t="s">
        <v>4762</v>
      </c>
      <c r="D8888">
        <v>2</v>
      </c>
      <c r="E8888">
        <v>0</v>
      </c>
      <c r="F8888">
        <f t="shared" si="138"/>
        <v>2</v>
      </c>
      <c r="I8888">
        <v>20240101</v>
      </c>
      <c r="J8888" t="s">
        <v>8113</v>
      </c>
    </row>
    <row r="8889" spans="1:13" x14ac:dyDescent="0.3">
      <c r="A8889" s="160">
        <v>64269</v>
      </c>
      <c r="B8889" t="s">
        <v>23967</v>
      </c>
      <c r="C8889" t="s">
        <v>8124</v>
      </c>
      <c r="D8889">
        <v>1.8</v>
      </c>
      <c r="E8889">
        <v>0</v>
      </c>
      <c r="F8889">
        <f t="shared" si="138"/>
        <v>1.8</v>
      </c>
      <c r="I8889">
        <v>20110101</v>
      </c>
      <c r="J8889" t="s">
        <v>8131</v>
      </c>
    </row>
    <row r="8890" spans="1:13" x14ac:dyDescent="0.3">
      <c r="A8890" s="160">
        <v>64271</v>
      </c>
      <c r="B8890" t="s">
        <v>23968</v>
      </c>
      <c r="C8890" t="s">
        <v>4762</v>
      </c>
      <c r="D8890">
        <v>2</v>
      </c>
      <c r="E8890">
        <v>0</v>
      </c>
      <c r="F8890">
        <f t="shared" si="138"/>
        <v>2</v>
      </c>
      <c r="I8890">
        <v>20240101</v>
      </c>
      <c r="J8890" t="s">
        <v>8132</v>
      </c>
    </row>
    <row r="8891" spans="1:13" x14ac:dyDescent="0.3">
      <c r="A8891" s="160">
        <v>64272</v>
      </c>
      <c r="B8891" t="s">
        <v>23969</v>
      </c>
      <c r="C8891" t="s">
        <v>4762</v>
      </c>
      <c r="D8891">
        <v>2</v>
      </c>
      <c r="E8891">
        <v>0</v>
      </c>
      <c r="F8891">
        <f t="shared" si="138"/>
        <v>2</v>
      </c>
      <c r="I8891">
        <v>20240101</v>
      </c>
      <c r="J8891" t="s">
        <v>8112</v>
      </c>
    </row>
    <row r="8892" spans="1:13" x14ac:dyDescent="0.3">
      <c r="A8892" s="160">
        <v>64273</v>
      </c>
      <c r="B8892" t="s">
        <v>23970</v>
      </c>
      <c r="C8892" t="s">
        <v>4762</v>
      </c>
      <c r="D8892">
        <v>2</v>
      </c>
      <c r="E8892">
        <v>0</v>
      </c>
      <c r="F8892">
        <f t="shared" si="138"/>
        <v>2</v>
      </c>
      <c r="I8892">
        <v>20240101</v>
      </c>
      <c r="J8892" t="s">
        <v>8161</v>
      </c>
    </row>
    <row r="8893" spans="1:13" x14ac:dyDescent="0.3">
      <c r="A8893" s="160">
        <v>64274</v>
      </c>
      <c r="B8893" t="s">
        <v>23971</v>
      </c>
      <c r="C8893" t="s">
        <v>4762</v>
      </c>
      <c r="D8893">
        <v>2</v>
      </c>
      <c r="E8893">
        <v>0</v>
      </c>
      <c r="F8893">
        <f t="shared" si="138"/>
        <v>2</v>
      </c>
      <c r="I8893">
        <v>20240101</v>
      </c>
      <c r="J8893" t="s">
        <v>8110</v>
      </c>
    </row>
    <row r="8894" spans="1:13" x14ac:dyDescent="0.3">
      <c r="A8894" s="160">
        <v>64275</v>
      </c>
      <c r="B8894" t="s">
        <v>23972</v>
      </c>
      <c r="C8894" t="s">
        <v>4762</v>
      </c>
      <c r="D8894">
        <v>2</v>
      </c>
      <c r="E8894">
        <v>0</v>
      </c>
      <c r="F8894">
        <f t="shared" si="138"/>
        <v>2</v>
      </c>
      <c r="I8894">
        <v>20240101</v>
      </c>
      <c r="J8894" t="s">
        <v>8110</v>
      </c>
    </row>
    <row r="8895" spans="1:13" x14ac:dyDescent="0.3">
      <c r="A8895" s="160">
        <v>64276</v>
      </c>
      <c r="B8895" t="s">
        <v>23973</v>
      </c>
      <c r="C8895" t="s">
        <v>8192</v>
      </c>
      <c r="D8895">
        <v>0.55000000000000004</v>
      </c>
      <c r="E8895">
        <v>0</v>
      </c>
      <c r="F8895">
        <f t="shared" si="138"/>
        <v>0.55000000000000004</v>
      </c>
      <c r="I8895">
        <v>20240101</v>
      </c>
      <c r="J8895" t="s">
        <v>23862</v>
      </c>
    </row>
    <row r="8896" spans="1:13" x14ac:dyDescent="0.3">
      <c r="A8896" s="160">
        <v>64277</v>
      </c>
      <c r="B8896" t="s">
        <v>23974</v>
      </c>
      <c r="C8896" t="s">
        <v>4762</v>
      </c>
      <c r="D8896">
        <v>2</v>
      </c>
      <c r="E8896">
        <v>0</v>
      </c>
      <c r="F8896">
        <f t="shared" si="138"/>
        <v>2</v>
      </c>
      <c r="I8896">
        <v>20240101</v>
      </c>
      <c r="J8896" t="s">
        <v>8138</v>
      </c>
    </row>
    <row r="8897" spans="1:10" x14ac:dyDescent="0.3">
      <c r="A8897" s="160">
        <v>64279</v>
      </c>
      <c r="B8897" t="s">
        <v>23975</v>
      </c>
      <c r="C8897" t="s">
        <v>4762</v>
      </c>
      <c r="D8897">
        <v>2</v>
      </c>
      <c r="E8897">
        <v>0</v>
      </c>
      <c r="F8897">
        <f t="shared" si="138"/>
        <v>2</v>
      </c>
      <c r="I8897">
        <v>20240101</v>
      </c>
      <c r="J8897" t="s">
        <v>8114</v>
      </c>
    </row>
    <row r="8898" spans="1:10" x14ac:dyDescent="0.3">
      <c r="A8898" s="160">
        <v>64282</v>
      </c>
      <c r="B8898" t="s">
        <v>23976</v>
      </c>
      <c r="C8898" t="s">
        <v>4762</v>
      </c>
      <c r="D8898">
        <v>2</v>
      </c>
      <c r="E8898">
        <v>0</v>
      </c>
      <c r="F8898">
        <f t="shared" si="138"/>
        <v>2</v>
      </c>
      <c r="I8898">
        <v>20240101</v>
      </c>
      <c r="J8898" t="s">
        <v>8174</v>
      </c>
    </row>
    <row r="8899" spans="1:10" x14ac:dyDescent="0.3">
      <c r="A8899" s="160">
        <v>64283</v>
      </c>
      <c r="B8899" t="s">
        <v>23977</v>
      </c>
      <c r="C8899" t="s">
        <v>4762</v>
      </c>
      <c r="D8899">
        <v>2</v>
      </c>
      <c r="E8899">
        <v>0</v>
      </c>
      <c r="F8899">
        <f t="shared" si="138"/>
        <v>2</v>
      </c>
      <c r="I8899">
        <v>20240101</v>
      </c>
      <c r="J8899" t="s">
        <v>8110</v>
      </c>
    </row>
    <row r="8900" spans="1:10" x14ac:dyDescent="0.3">
      <c r="A8900" s="160">
        <v>64284</v>
      </c>
      <c r="B8900" t="s">
        <v>23978</v>
      </c>
      <c r="C8900" t="s">
        <v>8124</v>
      </c>
      <c r="D8900">
        <v>1.8</v>
      </c>
      <c r="E8900">
        <v>0</v>
      </c>
      <c r="F8900">
        <f t="shared" si="138"/>
        <v>1.8</v>
      </c>
      <c r="I8900">
        <v>20110101</v>
      </c>
      <c r="J8900" t="s">
        <v>8173</v>
      </c>
    </row>
    <row r="8901" spans="1:10" x14ac:dyDescent="0.3">
      <c r="A8901" s="160">
        <v>64285</v>
      </c>
      <c r="B8901" t="s">
        <v>23979</v>
      </c>
      <c r="C8901" t="s">
        <v>4762</v>
      </c>
      <c r="D8901">
        <v>2</v>
      </c>
      <c r="E8901">
        <v>0</v>
      </c>
      <c r="F8901">
        <f t="shared" si="138"/>
        <v>2</v>
      </c>
      <c r="I8901">
        <v>20240101</v>
      </c>
      <c r="J8901" t="s">
        <v>8112</v>
      </c>
    </row>
    <row r="8902" spans="1:10" x14ac:dyDescent="0.3">
      <c r="A8902" s="160">
        <v>64289</v>
      </c>
      <c r="B8902" t="s">
        <v>23980</v>
      </c>
      <c r="C8902" t="s">
        <v>4762</v>
      </c>
      <c r="D8902">
        <v>2</v>
      </c>
      <c r="E8902">
        <v>0</v>
      </c>
      <c r="F8902">
        <f t="shared" si="138"/>
        <v>2</v>
      </c>
      <c r="I8902">
        <v>20240101</v>
      </c>
      <c r="J8902" t="s">
        <v>8138</v>
      </c>
    </row>
    <row r="8903" spans="1:10" x14ac:dyDescent="0.3">
      <c r="A8903" s="160">
        <v>64294</v>
      </c>
      <c r="B8903" t="s">
        <v>23981</v>
      </c>
      <c r="C8903" t="s">
        <v>4762</v>
      </c>
      <c r="D8903">
        <v>2</v>
      </c>
      <c r="E8903">
        <v>0</v>
      </c>
      <c r="F8903">
        <f t="shared" ref="F8903:F8966" si="139">D8903+E8903</f>
        <v>2</v>
      </c>
      <c r="I8903">
        <v>20240101</v>
      </c>
      <c r="J8903" t="s">
        <v>8112</v>
      </c>
    </row>
    <row r="8904" spans="1:10" x14ac:dyDescent="0.3">
      <c r="A8904" s="160">
        <v>64297</v>
      </c>
      <c r="B8904" t="s">
        <v>23982</v>
      </c>
      <c r="C8904" t="s">
        <v>4762</v>
      </c>
      <c r="D8904">
        <v>2</v>
      </c>
      <c r="E8904">
        <v>0</v>
      </c>
      <c r="F8904">
        <f t="shared" si="139"/>
        <v>2</v>
      </c>
      <c r="I8904">
        <v>20240101</v>
      </c>
      <c r="J8904" t="s">
        <v>8110</v>
      </c>
    </row>
    <row r="8905" spans="1:10" x14ac:dyDescent="0.3">
      <c r="A8905" s="160">
        <v>64298</v>
      </c>
      <c r="B8905" t="s">
        <v>23983</v>
      </c>
      <c r="C8905" t="s">
        <v>4762</v>
      </c>
      <c r="D8905">
        <v>2</v>
      </c>
      <c r="E8905">
        <v>0</v>
      </c>
      <c r="F8905">
        <f t="shared" si="139"/>
        <v>2</v>
      </c>
      <c r="I8905">
        <v>20240101</v>
      </c>
      <c r="J8905" t="s">
        <v>8115</v>
      </c>
    </row>
    <row r="8906" spans="1:10" x14ac:dyDescent="0.3">
      <c r="A8906" s="160">
        <v>64303</v>
      </c>
      <c r="B8906" t="s">
        <v>23984</v>
      </c>
      <c r="C8906" t="s">
        <v>4762</v>
      </c>
      <c r="D8906">
        <v>2</v>
      </c>
      <c r="E8906">
        <v>0</v>
      </c>
      <c r="F8906">
        <f t="shared" si="139"/>
        <v>2</v>
      </c>
      <c r="I8906">
        <v>20240101</v>
      </c>
      <c r="J8906" t="s">
        <v>8115</v>
      </c>
    </row>
    <row r="8907" spans="1:10" x14ac:dyDescent="0.3">
      <c r="A8907" s="160">
        <v>64304</v>
      </c>
      <c r="B8907" t="s">
        <v>23985</v>
      </c>
      <c r="C8907" t="s">
        <v>4762</v>
      </c>
      <c r="D8907">
        <v>2</v>
      </c>
      <c r="E8907">
        <v>0</v>
      </c>
      <c r="F8907">
        <f t="shared" si="139"/>
        <v>2</v>
      </c>
      <c r="I8907">
        <v>20240101</v>
      </c>
      <c r="J8907" t="s">
        <v>8177</v>
      </c>
    </row>
    <row r="8908" spans="1:10" x14ac:dyDescent="0.3">
      <c r="A8908" s="160">
        <v>64310</v>
      </c>
      <c r="B8908" t="s">
        <v>23986</v>
      </c>
      <c r="C8908" t="s">
        <v>8192</v>
      </c>
      <c r="D8908">
        <v>0.55000000000000004</v>
      </c>
      <c r="E8908">
        <v>0</v>
      </c>
      <c r="F8908">
        <f t="shared" si="139"/>
        <v>0.55000000000000004</v>
      </c>
      <c r="I8908">
        <v>20240101</v>
      </c>
      <c r="J8908" t="s">
        <v>23862</v>
      </c>
    </row>
    <row r="8909" spans="1:10" x14ac:dyDescent="0.3">
      <c r="A8909" s="160">
        <v>64313</v>
      </c>
      <c r="B8909" t="s">
        <v>23987</v>
      </c>
      <c r="C8909" t="s">
        <v>4762</v>
      </c>
      <c r="D8909">
        <v>2</v>
      </c>
      <c r="E8909">
        <v>0</v>
      </c>
      <c r="F8909">
        <f t="shared" si="139"/>
        <v>2</v>
      </c>
      <c r="I8909">
        <v>20240101</v>
      </c>
      <c r="J8909" t="s">
        <v>8132</v>
      </c>
    </row>
    <row r="8910" spans="1:10" x14ac:dyDescent="0.3">
      <c r="A8910" s="160">
        <v>64314</v>
      </c>
      <c r="B8910" t="s">
        <v>23988</v>
      </c>
      <c r="C8910" t="s">
        <v>4762</v>
      </c>
      <c r="D8910">
        <v>2</v>
      </c>
      <c r="E8910">
        <v>0</v>
      </c>
      <c r="F8910">
        <f t="shared" si="139"/>
        <v>2</v>
      </c>
      <c r="I8910">
        <v>20240101</v>
      </c>
      <c r="J8910" t="s">
        <v>8112</v>
      </c>
    </row>
    <row r="8911" spans="1:10" x14ac:dyDescent="0.3">
      <c r="A8911" s="160">
        <v>64315</v>
      </c>
      <c r="B8911" t="s">
        <v>23989</v>
      </c>
      <c r="C8911" t="s">
        <v>8124</v>
      </c>
      <c r="D8911">
        <v>0.5</v>
      </c>
      <c r="E8911">
        <v>0</v>
      </c>
      <c r="F8911">
        <f t="shared" si="139"/>
        <v>0.5</v>
      </c>
      <c r="I8911">
        <v>20180101</v>
      </c>
      <c r="J8911" t="s">
        <v>8173</v>
      </c>
    </row>
    <row r="8912" spans="1:10" x14ac:dyDescent="0.3">
      <c r="A8912" s="160">
        <v>64316</v>
      </c>
      <c r="B8912" t="s">
        <v>23990</v>
      </c>
      <c r="C8912" t="s">
        <v>4762</v>
      </c>
      <c r="D8912">
        <v>2</v>
      </c>
      <c r="E8912">
        <v>0</v>
      </c>
      <c r="F8912">
        <f t="shared" si="139"/>
        <v>2</v>
      </c>
      <c r="I8912">
        <v>20240101</v>
      </c>
      <c r="J8912" t="s">
        <v>8178</v>
      </c>
    </row>
    <row r="8913" spans="1:18" x14ac:dyDescent="0.3">
      <c r="A8913" s="160">
        <v>64317</v>
      </c>
      <c r="B8913" t="s">
        <v>23991</v>
      </c>
      <c r="C8913" t="s">
        <v>4762</v>
      </c>
      <c r="D8913">
        <v>2</v>
      </c>
      <c r="E8913">
        <v>0</v>
      </c>
      <c r="F8913">
        <f t="shared" si="139"/>
        <v>2</v>
      </c>
      <c r="I8913">
        <v>20240101</v>
      </c>
      <c r="J8913" t="s">
        <v>8174</v>
      </c>
    </row>
    <row r="8914" spans="1:18" x14ac:dyDescent="0.3">
      <c r="A8914" s="160">
        <v>64319</v>
      </c>
      <c r="B8914" t="s">
        <v>23992</v>
      </c>
      <c r="C8914" t="s">
        <v>4762</v>
      </c>
      <c r="D8914">
        <v>2</v>
      </c>
      <c r="E8914">
        <v>0</v>
      </c>
      <c r="F8914">
        <f t="shared" si="139"/>
        <v>2</v>
      </c>
      <c r="I8914">
        <v>20240101</v>
      </c>
      <c r="J8914" t="s">
        <v>8112</v>
      </c>
    </row>
    <row r="8915" spans="1:18" x14ac:dyDescent="0.3">
      <c r="A8915" s="160">
        <v>64322</v>
      </c>
      <c r="B8915" t="s">
        <v>23993</v>
      </c>
      <c r="C8915" t="s">
        <v>4762</v>
      </c>
      <c r="D8915">
        <v>2</v>
      </c>
      <c r="E8915">
        <v>0</v>
      </c>
      <c r="F8915">
        <f t="shared" si="139"/>
        <v>2</v>
      </c>
      <c r="I8915">
        <v>20240101</v>
      </c>
      <c r="J8915" t="s">
        <v>8110</v>
      </c>
    </row>
    <row r="8916" spans="1:18" x14ac:dyDescent="0.3">
      <c r="A8916" s="160">
        <v>64324</v>
      </c>
      <c r="B8916" t="s">
        <v>23994</v>
      </c>
      <c r="C8916" t="s">
        <v>8192</v>
      </c>
      <c r="D8916">
        <v>0.55000000000000004</v>
      </c>
      <c r="E8916">
        <v>0</v>
      </c>
      <c r="F8916">
        <f t="shared" si="139"/>
        <v>0.55000000000000004</v>
      </c>
      <c r="I8916">
        <v>20240101</v>
      </c>
      <c r="J8916" t="s">
        <v>8137</v>
      </c>
    </row>
    <row r="8917" spans="1:18" x14ac:dyDescent="0.3">
      <c r="A8917" s="160">
        <v>64325</v>
      </c>
      <c r="B8917" t="s">
        <v>23995</v>
      </c>
      <c r="C8917" t="s">
        <v>8192</v>
      </c>
      <c r="D8917">
        <v>0.55000000000000004</v>
      </c>
      <c r="E8917">
        <v>0</v>
      </c>
      <c r="F8917">
        <f t="shared" si="139"/>
        <v>0.55000000000000004</v>
      </c>
      <c r="I8917">
        <v>20240101</v>
      </c>
      <c r="J8917" t="s">
        <v>8137</v>
      </c>
    </row>
    <row r="8918" spans="1:18" x14ac:dyDescent="0.3">
      <c r="A8918" s="160">
        <v>64327</v>
      </c>
      <c r="B8918" t="s">
        <v>23996</v>
      </c>
      <c r="C8918" t="s">
        <v>4762</v>
      </c>
      <c r="D8918">
        <v>2</v>
      </c>
      <c r="E8918">
        <v>0</v>
      </c>
      <c r="F8918">
        <f t="shared" si="139"/>
        <v>2</v>
      </c>
      <c r="I8918">
        <v>20240101</v>
      </c>
      <c r="J8918" t="s">
        <v>8110</v>
      </c>
    </row>
    <row r="8919" spans="1:18" x14ac:dyDescent="0.3">
      <c r="A8919" s="160">
        <v>64328</v>
      </c>
      <c r="B8919" t="s">
        <v>23997</v>
      </c>
      <c r="C8919" t="s">
        <v>8192</v>
      </c>
      <c r="D8919">
        <v>0.55000000000000004</v>
      </c>
      <c r="E8919">
        <v>0</v>
      </c>
      <c r="F8919">
        <f t="shared" si="139"/>
        <v>0.55000000000000004</v>
      </c>
      <c r="I8919">
        <v>20240101</v>
      </c>
      <c r="J8919" t="s">
        <v>8193</v>
      </c>
    </row>
    <row r="8920" spans="1:18" x14ac:dyDescent="0.3">
      <c r="A8920" s="160">
        <v>64329</v>
      </c>
      <c r="B8920" t="s">
        <v>23998</v>
      </c>
      <c r="C8920" t="s">
        <v>8124</v>
      </c>
      <c r="D8920">
        <v>1.8</v>
      </c>
      <c r="E8920">
        <v>0</v>
      </c>
      <c r="F8920">
        <f t="shared" si="139"/>
        <v>1.8</v>
      </c>
      <c r="I8920">
        <v>20110101</v>
      </c>
      <c r="J8920" t="s">
        <v>8131</v>
      </c>
    </row>
    <row r="8921" spans="1:18" x14ac:dyDescent="0.3">
      <c r="A8921" s="160">
        <v>64330</v>
      </c>
      <c r="B8921" t="s">
        <v>23999</v>
      </c>
      <c r="C8921" t="s">
        <v>8192</v>
      </c>
      <c r="D8921">
        <v>0.55000000000000004</v>
      </c>
      <c r="E8921">
        <v>0</v>
      </c>
      <c r="F8921">
        <f t="shared" si="139"/>
        <v>0.55000000000000004</v>
      </c>
      <c r="I8921">
        <v>20240101</v>
      </c>
      <c r="J8921" t="s">
        <v>23845</v>
      </c>
    </row>
    <row r="8922" spans="1:18" x14ac:dyDescent="0.3">
      <c r="A8922" s="160">
        <v>64335</v>
      </c>
      <c r="B8922" t="s">
        <v>24000</v>
      </c>
      <c r="C8922" t="s">
        <v>8124</v>
      </c>
      <c r="D8922">
        <v>1.8</v>
      </c>
      <c r="E8922">
        <v>0</v>
      </c>
      <c r="F8922">
        <f t="shared" si="139"/>
        <v>1.8</v>
      </c>
      <c r="I8922">
        <v>20110101</v>
      </c>
      <c r="J8922" t="s">
        <v>8125</v>
      </c>
      <c r="K8922" t="s">
        <v>8179</v>
      </c>
      <c r="L8922" t="s">
        <v>8180</v>
      </c>
      <c r="M8922" t="s">
        <v>8181</v>
      </c>
      <c r="N8922" t="s">
        <v>8182</v>
      </c>
      <c r="O8922" t="s">
        <v>8183</v>
      </c>
      <c r="P8922" t="s">
        <v>8184</v>
      </c>
      <c r="Q8922" t="s">
        <v>8185</v>
      </c>
      <c r="R8922" t="s">
        <v>8186</v>
      </c>
    </row>
    <row r="8923" spans="1:18" x14ac:dyDescent="0.3">
      <c r="A8923" s="160">
        <v>64336</v>
      </c>
      <c r="B8923" t="s">
        <v>24001</v>
      </c>
      <c r="C8923" t="s">
        <v>8192</v>
      </c>
      <c r="D8923">
        <v>0.55000000000000004</v>
      </c>
      <c r="E8923">
        <v>0</v>
      </c>
      <c r="F8923">
        <f t="shared" si="139"/>
        <v>0.55000000000000004</v>
      </c>
      <c r="I8923">
        <v>20240101</v>
      </c>
      <c r="J8923" t="s">
        <v>23845</v>
      </c>
    </row>
    <row r="8924" spans="1:18" x14ac:dyDescent="0.3">
      <c r="A8924" s="160">
        <v>64340</v>
      </c>
      <c r="B8924" t="s">
        <v>24002</v>
      </c>
      <c r="C8924" t="s">
        <v>4762</v>
      </c>
      <c r="D8924">
        <v>2</v>
      </c>
      <c r="E8924">
        <v>0</v>
      </c>
      <c r="F8924">
        <f t="shared" si="139"/>
        <v>2</v>
      </c>
      <c r="I8924">
        <v>20240101</v>
      </c>
      <c r="J8924" t="s">
        <v>8115</v>
      </c>
    </row>
    <row r="8925" spans="1:18" x14ac:dyDescent="0.3">
      <c r="A8925" s="160">
        <v>64341</v>
      </c>
      <c r="B8925" t="s">
        <v>24003</v>
      </c>
      <c r="C8925" t="s">
        <v>4762</v>
      </c>
      <c r="D8925">
        <v>2</v>
      </c>
      <c r="E8925">
        <v>0</v>
      </c>
      <c r="F8925">
        <f t="shared" si="139"/>
        <v>2</v>
      </c>
      <c r="I8925">
        <v>20240101</v>
      </c>
      <c r="J8925" t="s">
        <v>8113</v>
      </c>
    </row>
    <row r="8926" spans="1:18" x14ac:dyDescent="0.3">
      <c r="A8926" s="160">
        <v>64342</v>
      </c>
      <c r="B8926" t="s">
        <v>24004</v>
      </c>
      <c r="C8926" t="s">
        <v>4762</v>
      </c>
      <c r="D8926">
        <v>2</v>
      </c>
      <c r="E8926">
        <v>0</v>
      </c>
      <c r="F8926">
        <f t="shared" si="139"/>
        <v>2</v>
      </c>
      <c r="I8926">
        <v>20240101</v>
      </c>
      <c r="J8926" t="s">
        <v>8178</v>
      </c>
    </row>
    <row r="8927" spans="1:18" x14ac:dyDescent="0.3">
      <c r="A8927" s="160">
        <v>64345</v>
      </c>
      <c r="B8927" t="s">
        <v>24005</v>
      </c>
      <c r="C8927" t="s">
        <v>4762</v>
      </c>
      <c r="D8927">
        <v>2</v>
      </c>
      <c r="E8927">
        <v>0</v>
      </c>
      <c r="F8927">
        <f t="shared" si="139"/>
        <v>2</v>
      </c>
      <c r="I8927">
        <v>20240101</v>
      </c>
      <c r="J8927" t="s">
        <v>8112</v>
      </c>
    </row>
    <row r="8928" spans="1:18" x14ac:dyDescent="0.3">
      <c r="A8928" s="160">
        <v>64348</v>
      </c>
      <c r="B8928" t="s">
        <v>24006</v>
      </c>
      <c r="C8928" t="s">
        <v>8124</v>
      </c>
      <c r="D8928">
        <v>1.8</v>
      </c>
      <c r="E8928">
        <v>0</v>
      </c>
      <c r="F8928">
        <f t="shared" si="139"/>
        <v>1.8</v>
      </c>
      <c r="I8928">
        <v>20110101</v>
      </c>
      <c r="J8928" t="s">
        <v>8162</v>
      </c>
    </row>
    <row r="8929" spans="1:11" x14ac:dyDescent="0.3">
      <c r="A8929" s="160">
        <v>64350</v>
      </c>
      <c r="B8929" t="s">
        <v>24007</v>
      </c>
      <c r="C8929" t="s">
        <v>4762</v>
      </c>
      <c r="D8929">
        <v>2</v>
      </c>
      <c r="E8929">
        <v>0</v>
      </c>
      <c r="F8929">
        <f t="shared" si="139"/>
        <v>2</v>
      </c>
      <c r="I8929">
        <v>20240101</v>
      </c>
      <c r="J8929" t="s">
        <v>8114</v>
      </c>
    </row>
    <row r="8930" spans="1:11" x14ac:dyDescent="0.3">
      <c r="A8930" s="160">
        <v>64351</v>
      </c>
      <c r="B8930" t="s">
        <v>24008</v>
      </c>
      <c r="C8930" t="s">
        <v>8192</v>
      </c>
      <c r="D8930">
        <v>0.55000000000000004</v>
      </c>
      <c r="E8930">
        <v>0</v>
      </c>
      <c r="F8930">
        <f t="shared" si="139"/>
        <v>0.55000000000000004</v>
      </c>
      <c r="I8930">
        <v>20240101</v>
      </c>
      <c r="J8930" t="s">
        <v>23862</v>
      </c>
    </row>
    <row r="8931" spans="1:11" x14ac:dyDescent="0.3">
      <c r="A8931" s="160">
        <v>64360</v>
      </c>
      <c r="B8931" t="s">
        <v>24009</v>
      </c>
      <c r="C8931" t="s">
        <v>8192</v>
      </c>
      <c r="D8931">
        <v>0.55000000000000004</v>
      </c>
      <c r="E8931">
        <v>0</v>
      </c>
      <c r="F8931">
        <f t="shared" si="139"/>
        <v>0.55000000000000004</v>
      </c>
      <c r="I8931">
        <v>20240101</v>
      </c>
      <c r="J8931" t="s">
        <v>23881</v>
      </c>
    </row>
    <row r="8932" spans="1:11" x14ac:dyDescent="0.3">
      <c r="A8932" s="160">
        <v>64362</v>
      </c>
      <c r="B8932" t="s">
        <v>24010</v>
      </c>
      <c r="C8932" t="s">
        <v>4762</v>
      </c>
      <c r="D8932">
        <v>2</v>
      </c>
      <c r="E8932">
        <v>0</v>
      </c>
      <c r="F8932">
        <f t="shared" si="139"/>
        <v>2</v>
      </c>
      <c r="I8932">
        <v>20240101</v>
      </c>
      <c r="J8932" t="s">
        <v>8112</v>
      </c>
    </row>
    <row r="8933" spans="1:11" x14ac:dyDescent="0.3">
      <c r="A8933" s="160">
        <v>64364</v>
      </c>
      <c r="B8933" t="s">
        <v>24011</v>
      </c>
      <c r="C8933" t="s">
        <v>4762</v>
      </c>
      <c r="D8933">
        <v>2</v>
      </c>
      <c r="E8933">
        <v>0</v>
      </c>
      <c r="F8933">
        <f t="shared" si="139"/>
        <v>2</v>
      </c>
      <c r="I8933">
        <v>20240101</v>
      </c>
      <c r="J8933" t="s">
        <v>8138</v>
      </c>
    </row>
    <row r="8934" spans="1:11" x14ac:dyDescent="0.3">
      <c r="A8934" s="160">
        <v>64368</v>
      </c>
      <c r="B8934" t="s">
        <v>24012</v>
      </c>
      <c r="C8934" t="s">
        <v>4762</v>
      </c>
      <c r="D8934">
        <v>2</v>
      </c>
      <c r="E8934">
        <v>0</v>
      </c>
      <c r="F8934">
        <f t="shared" si="139"/>
        <v>2</v>
      </c>
      <c r="I8934">
        <v>20240101</v>
      </c>
      <c r="J8934" t="s">
        <v>8112</v>
      </c>
    </row>
    <row r="8935" spans="1:11" x14ac:dyDescent="0.3">
      <c r="A8935" s="160">
        <v>64371</v>
      </c>
      <c r="B8935" t="s">
        <v>24013</v>
      </c>
      <c r="C8935" t="s">
        <v>4762</v>
      </c>
      <c r="D8935">
        <v>2</v>
      </c>
      <c r="E8935">
        <v>0</v>
      </c>
      <c r="F8935">
        <f t="shared" si="139"/>
        <v>2</v>
      </c>
      <c r="I8935">
        <v>20240101</v>
      </c>
      <c r="J8935" t="s">
        <v>8113</v>
      </c>
    </row>
    <row r="8936" spans="1:11" x14ac:dyDescent="0.3">
      <c r="A8936" s="160">
        <v>64373</v>
      </c>
      <c r="B8936" t="s">
        <v>24014</v>
      </c>
      <c r="C8936" t="s">
        <v>8124</v>
      </c>
      <c r="D8936">
        <v>1.8</v>
      </c>
      <c r="E8936">
        <v>0</v>
      </c>
      <c r="F8936">
        <f t="shared" si="139"/>
        <v>1.8</v>
      </c>
      <c r="I8936">
        <v>20110101</v>
      </c>
      <c r="J8936" t="s">
        <v>8173</v>
      </c>
    </row>
    <row r="8937" spans="1:11" x14ac:dyDescent="0.3">
      <c r="A8937" s="160">
        <v>64375</v>
      </c>
      <c r="B8937" t="s">
        <v>24015</v>
      </c>
      <c r="C8937" t="s">
        <v>4762</v>
      </c>
      <c r="D8937">
        <v>2</v>
      </c>
      <c r="E8937">
        <v>0</v>
      </c>
      <c r="F8937">
        <f t="shared" si="139"/>
        <v>2</v>
      </c>
      <c r="I8937">
        <v>20240101</v>
      </c>
      <c r="J8937" t="s">
        <v>8112</v>
      </c>
    </row>
    <row r="8938" spans="1:11" x14ac:dyDescent="0.3">
      <c r="A8938" s="160">
        <v>64376</v>
      </c>
      <c r="B8938" t="s">
        <v>24016</v>
      </c>
      <c r="C8938" t="s">
        <v>8124</v>
      </c>
      <c r="D8938">
        <v>0.5</v>
      </c>
      <c r="E8938">
        <v>0</v>
      </c>
      <c r="F8938">
        <f t="shared" si="139"/>
        <v>0.5</v>
      </c>
      <c r="I8938">
        <v>20180101</v>
      </c>
      <c r="J8938" t="s">
        <v>8187</v>
      </c>
    </row>
    <row r="8939" spans="1:11" x14ac:dyDescent="0.3">
      <c r="A8939" s="160">
        <v>64377</v>
      </c>
      <c r="B8939" t="s">
        <v>24017</v>
      </c>
      <c r="C8939" t="s">
        <v>4762</v>
      </c>
      <c r="D8939">
        <v>2</v>
      </c>
      <c r="E8939">
        <v>0</v>
      </c>
      <c r="F8939">
        <f t="shared" si="139"/>
        <v>2</v>
      </c>
      <c r="I8939">
        <v>20240101</v>
      </c>
      <c r="J8939" t="s">
        <v>8138</v>
      </c>
    </row>
    <row r="8940" spans="1:11" x14ac:dyDescent="0.3">
      <c r="A8940" s="160">
        <v>64378</v>
      </c>
      <c r="B8940" t="s">
        <v>24018</v>
      </c>
      <c r="C8940" t="s">
        <v>4762</v>
      </c>
      <c r="D8940">
        <v>2</v>
      </c>
      <c r="E8940">
        <v>0</v>
      </c>
      <c r="F8940">
        <f t="shared" si="139"/>
        <v>2</v>
      </c>
      <c r="I8940">
        <v>20240101</v>
      </c>
      <c r="J8940" t="s">
        <v>8113</v>
      </c>
    </row>
    <row r="8941" spans="1:11" x14ac:dyDescent="0.3">
      <c r="A8941" s="160">
        <v>64379</v>
      </c>
      <c r="B8941" t="s">
        <v>24019</v>
      </c>
      <c r="C8941" t="s">
        <v>4762</v>
      </c>
      <c r="D8941">
        <v>2</v>
      </c>
      <c r="E8941">
        <v>0</v>
      </c>
      <c r="F8941">
        <f t="shared" si="139"/>
        <v>2</v>
      </c>
      <c r="I8941">
        <v>20240101</v>
      </c>
      <c r="J8941" t="s">
        <v>8110</v>
      </c>
    </row>
    <row r="8942" spans="1:11" x14ac:dyDescent="0.3">
      <c r="A8942" s="160">
        <v>64391</v>
      </c>
      <c r="B8942" t="s">
        <v>24020</v>
      </c>
      <c r="C8942" t="s">
        <v>4762</v>
      </c>
      <c r="D8942">
        <v>2</v>
      </c>
      <c r="E8942">
        <v>0</v>
      </c>
      <c r="F8942">
        <f t="shared" si="139"/>
        <v>2</v>
      </c>
      <c r="I8942">
        <v>20240101</v>
      </c>
      <c r="J8942" t="s">
        <v>8113</v>
      </c>
    </row>
    <row r="8943" spans="1:11" x14ac:dyDescent="0.3">
      <c r="A8943" s="160">
        <v>64399</v>
      </c>
      <c r="B8943" t="s">
        <v>24021</v>
      </c>
      <c r="C8943" t="s">
        <v>8124</v>
      </c>
      <c r="D8943">
        <v>1.8</v>
      </c>
      <c r="E8943">
        <v>0</v>
      </c>
      <c r="F8943">
        <f t="shared" si="139"/>
        <v>1.8</v>
      </c>
      <c r="I8943">
        <v>20110101</v>
      </c>
      <c r="J8943" t="s">
        <v>8188</v>
      </c>
      <c r="K8943" t="s">
        <v>8189</v>
      </c>
    </row>
    <row r="8944" spans="1:11" x14ac:dyDescent="0.3">
      <c r="A8944" s="160">
        <v>64404</v>
      </c>
      <c r="B8944" t="s">
        <v>24022</v>
      </c>
      <c r="C8944" t="s">
        <v>4762</v>
      </c>
      <c r="D8944">
        <v>2</v>
      </c>
      <c r="E8944">
        <v>0</v>
      </c>
      <c r="F8944">
        <f t="shared" si="139"/>
        <v>2</v>
      </c>
      <c r="I8944">
        <v>20240101</v>
      </c>
      <c r="J8944" t="s">
        <v>8115</v>
      </c>
    </row>
    <row r="8945" spans="1:14" x14ac:dyDescent="0.3">
      <c r="A8945" s="160">
        <v>64405</v>
      </c>
      <c r="B8945" t="s">
        <v>24023</v>
      </c>
      <c r="C8945" t="s">
        <v>8124</v>
      </c>
      <c r="D8945">
        <v>1.8</v>
      </c>
      <c r="E8945">
        <v>0</v>
      </c>
      <c r="F8945">
        <f t="shared" si="139"/>
        <v>1.8</v>
      </c>
      <c r="I8945">
        <v>20110101</v>
      </c>
      <c r="J8945" t="s">
        <v>8190</v>
      </c>
    </row>
    <row r="8946" spans="1:14" x14ac:dyDescent="0.3">
      <c r="A8946" s="160">
        <v>64407</v>
      </c>
      <c r="B8946" t="s">
        <v>24024</v>
      </c>
      <c r="C8946" t="s">
        <v>4762</v>
      </c>
      <c r="D8946">
        <v>2</v>
      </c>
      <c r="E8946">
        <v>0</v>
      </c>
      <c r="F8946">
        <f t="shared" si="139"/>
        <v>2</v>
      </c>
      <c r="I8946">
        <v>20240101</v>
      </c>
      <c r="J8946" t="s">
        <v>8177</v>
      </c>
    </row>
    <row r="8947" spans="1:14" x14ac:dyDescent="0.3">
      <c r="A8947" s="160">
        <v>64409</v>
      </c>
      <c r="B8947" t="s">
        <v>24025</v>
      </c>
      <c r="C8947" t="s">
        <v>8192</v>
      </c>
      <c r="D8947">
        <v>0.55000000000000004</v>
      </c>
      <c r="E8947">
        <v>0</v>
      </c>
      <c r="F8947">
        <f t="shared" si="139"/>
        <v>0.55000000000000004</v>
      </c>
      <c r="I8947">
        <v>20240101</v>
      </c>
      <c r="J8947" t="s">
        <v>8193</v>
      </c>
      <c r="K8947" t="s">
        <v>8194</v>
      </c>
    </row>
    <row r="8948" spans="1:14" x14ac:dyDescent="0.3">
      <c r="A8948" s="160">
        <v>64411</v>
      </c>
      <c r="B8948" t="s">
        <v>24026</v>
      </c>
      <c r="C8948" t="s">
        <v>4762</v>
      </c>
      <c r="D8948">
        <v>2</v>
      </c>
      <c r="E8948">
        <v>0</v>
      </c>
      <c r="F8948">
        <f t="shared" si="139"/>
        <v>2</v>
      </c>
      <c r="I8948">
        <v>20240101</v>
      </c>
      <c r="J8948" t="s">
        <v>8113</v>
      </c>
    </row>
    <row r="8949" spans="1:14" x14ac:dyDescent="0.3">
      <c r="A8949" s="160">
        <v>64415</v>
      </c>
      <c r="B8949" t="s">
        <v>24027</v>
      </c>
      <c r="C8949" t="s">
        <v>8124</v>
      </c>
      <c r="D8949">
        <v>1.8</v>
      </c>
      <c r="E8949">
        <v>0</v>
      </c>
      <c r="F8949">
        <f t="shared" si="139"/>
        <v>1.8</v>
      </c>
      <c r="I8949">
        <v>20110101</v>
      </c>
      <c r="J8949" t="s">
        <v>8191</v>
      </c>
    </row>
    <row r="8950" spans="1:14" x14ac:dyDescent="0.3">
      <c r="A8950" s="160">
        <v>64421</v>
      </c>
      <c r="B8950" t="s">
        <v>24028</v>
      </c>
      <c r="C8950" t="s">
        <v>8192</v>
      </c>
      <c r="D8950">
        <v>0.55000000000000004</v>
      </c>
      <c r="E8950">
        <v>0</v>
      </c>
      <c r="F8950">
        <f t="shared" si="139"/>
        <v>0.55000000000000004</v>
      </c>
      <c r="I8950">
        <v>20240101</v>
      </c>
      <c r="J8950" t="s">
        <v>23920</v>
      </c>
    </row>
    <row r="8951" spans="1:14" x14ac:dyDescent="0.3">
      <c r="A8951" s="160">
        <v>64422</v>
      </c>
      <c r="B8951" t="s">
        <v>24029</v>
      </c>
      <c r="C8951" t="s">
        <v>8192</v>
      </c>
      <c r="D8951">
        <v>0.55000000000000004</v>
      </c>
      <c r="E8951">
        <v>0</v>
      </c>
      <c r="F8951">
        <f t="shared" si="139"/>
        <v>0.55000000000000004</v>
      </c>
      <c r="I8951">
        <v>20240101</v>
      </c>
      <c r="J8951" t="s">
        <v>8193</v>
      </c>
      <c r="K8951" t="s">
        <v>8194</v>
      </c>
      <c r="L8951" t="s">
        <v>8195</v>
      </c>
      <c r="M8951" t="s">
        <v>8196</v>
      </c>
      <c r="N8951" t="s">
        <v>8197</v>
      </c>
    </row>
    <row r="8952" spans="1:14" x14ac:dyDescent="0.3">
      <c r="A8952" s="160">
        <v>64424</v>
      </c>
      <c r="B8952" t="s">
        <v>24030</v>
      </c>
      <c r="C8952" t="s">
        <v>4762</v>
      </c>
      <c r="D8952">
        <v>2</v>
      </c>
      <c r="E8952">
        <v>0</v>
      </c>
      <c r="F8952">
        <f t="shared" si="139"/>
        <v>2</v>
      </c>
      <c r="I8952">
        <v>20240101</v>
      </c>
      <c r="J8952" t="s">
        <v>8113</v>
      </c>
    </row>
    <row r="8953" spans="1:14" x14ac:dyDescent="0.3">
      <c r="A8953" s="160">
        <v>64425</v>
      </c>
      <c r="B8953" t="s">
        <v>24031</v>
      </c>
      <c r="C8953" t="s">
        <v>4762</v>
      </c>
      <c r="D8953">
        <v>2</v>
      </c>
      <c r="E8953">
        <v>0</v>
      </c>
      <c r="F8953">
        <f t="shared" si="139"/>
        <v>2</v>
      </c>
      <c r="I8953">
        <v>20240101</v>
      </c>
      <c r="J8953" t="s">
        <v>8112</v>
      </c>
    </row>
    <row r="8954" spans="1:14" x14ac:dyDescent="0.3">
      <c r="A8954" s="160">
        <v>64426</v>
      </c>
      <c r="B8954" t="s">
        <v>24032</v>
      </c>
      <c r="C8954" t="s">
        <v>8192</v>
      </c>
      <c r="D8954">
        <v>0.55000000000000004</v>
      </c>
      <c r="E8954">
        <v>0</v>
      </c>
      <c r="F8954">
        <f t="shared" si="139"/>
        <v>0.55000000000000004</v>
      </c>
      <c r="I8954">
        <v>20240101</v>
      </c>
      <c r="J8954" t="s">
        <v>8193</v>
      </c>
    </row>
    <row r="8955" spans="1:14" x14ac:dyDescent="0.3">
      <c r="A8955" s="160">
        <v>64429</v>
      </c>
      <c r="B8955" t="s">
        <v>24033</v>
      </c>
      <c r="C8955" t="s">
        <v>4762</v>
      </c>
      <c r="D8955">
        <v>2</v>
      </c>
      <c r="E8955">
        <v>0</v>
      </c>
      <c r="F8955">
        <f t="shared" si="139"/>
        <v>2</v>
      </c>
      <c r="I8955">
        <v>20240101</v>
      </c>
      <c r="J8955" t="s">
        <v>8112</v>
      </c>
    </row>
    <row r="8956" spans="1:14" x14ac:dyDescent="0.3">
      <c r="A8956" s="160">
        <v>64432</v>
      </c>
      <c r="B8956" t="s">
        <v>24034</v>
      </c>
      <c r="C8956" t="s">
        <v>4762</v>
      </c>
      <c r="D8956">
        <v>2</v>
      </c>
      <c r="E8956">
        <v>0</v>
      </c>
      <c r="F8956">
        <f t="shared" si="139"/>
        <v>2</v>
      </c>
      <c r="I8956">
        <v>20240101</v>
      </c>
      <c r="J8956" t="s">
        <v>8115</v>
      </c>
    </row>
    <row r="8957" spans="1:14" x14ac:dyDescent="0.3">
      <c r="A8957" s="160">
        <v>64433</v>
      </c>
      <c r="B8957" t="s">
        <v>24035</v>
      </c>
      <c r="C8957" t="s">
        <v>8192</v>
      </c>
      <c r="D8957">
        <v>0.55000000000000004</v>
      </c>
      <c r="E8957">
        <v>0</v>
      </c>
      <c r="F8957">
        <f t="shared" si="139"/>
        <v>0.55000000000000004</v>
      </c>
      <c r="I8957">
        <v>20240101</v>
      </c>
      <c r="J8957" t="s">
        <v>23845</v>
      </c>
    </row>
    <row r="8958" spans="1:14" x14ac:dyDescent="0.3">
      <c r="A8958" s="160">
        <v>64435</v>
      </c>
      <c r="B8958" t="s">
        <v>24036</v>
      </c>
      <c r="C8958" t="s">
        <v>4762</v>
      </c>
      <c r="D8958">
        <v>2</v>
      </c>
      <c r="E8958">
        <v>0</v>
      </c>
      <c r="F8958">
        <f t="shared" si="139"/>
        <v>2</v>
      </c>
      <c r="I8958">
        <v>20240101</v>
      </c>
      <c r="J8958" t="s">
        <v>8198</v>
      </c>
    </row>
    <row r="8959" spans="1:14" x14ac:dyDescent="0.3">
      <c r="A8959" s="160">
        <v>64436</v>
      </c>
      <c r="B8959" t="s">
        <v>24037</v>
      </c>
      <c r="C8959" t="s">
        <v>4762</v>
      </c>
      <c r="D8959">
        <v>2</v>
      </c>
      <c r="E8959">
        <v>0</v>
      </c>
      <c r="F8959">
        <f t="shared" si="139"/>
        <v>2</v>
      </c>
      <c r="I8959">
        <v>20240101</v>
      </c>
      <c r="J8959" t="s">
        <v>8161</v>
      </c>
    </row>
    <row r="8960" spans="1:14" x14ac:dyDescent="0.3">
      <c r="A8960" s="160">
        <v>64437</v>
      </c>
      <c r="B8960" t="s">
        <v>24038</v>
      </c>
      <c r="C8960" t="s">
        <v>4762</v>
      </c>
      <c r="D8960">
        <v>2</v>
      </c>
      <c r="E8960">
        <v>0</v>
      </c>
      <c r="F8960">
        <f t="shared" si="139"/>
        <v>2</v>
      </c>
      <c r="I8960">
        <v>20240101</v>
      </c>
      <c r="J8960" t="s">
        <v>8112</v>
      </c>
    </row>
    <row r="8961" spans="1:63" x14ac:dyDescent="0.3">
      <c r="A8961" s="160">
        <v>64439</v>
      </c>
      <c r="B8961" t="s">
        <v>24039</v>
      </c>
      <c r="C8961" t="s">
        <v>8124</v>
      </c>
      <c r="D8961">
        <v>1.8</v>
      </c>
      <c r="E8961">
        <v>0</v>
      </c>
      <c r="F8961">
        <f t="shared" si="139"/>
        <v>1.8</v>
      </c>
      <c r="I8961">
        <v>20110101</v>
      </c>
      <c r="J8961" t="s">
        <v>8131</v>
      </c>
    </row>
    <row r="8962" spans="1:63" x14ac:dyDescent="0.3">
      <c r="A8962" s="160">
        <v>64441</v>
      </c>
      <c r="B8962" t="s">
        <v>24040</v>
      </c>
      <c r="C8962" t="s">
        <v>4762</v>
      </c>
      <c r="D8962">
        <v>2</v>
      </c>
      <c r="E8962">
        <v>0</v>
      </c>
      <c r="F8962">
        <f t="shared" si="139"/>
        <v>2</v>
      </c>
      <c r="I8962">
        <v>20240101</v>
      </c>
      <c r="J8962" t="s">
        <v>8112</v>
      </c>
    </row>
    <row r="8963" spans="1:63" x14ac:dyDescent="0.3">
      <c r="A8963" s="160">
        <v>64445</v>
      </c>
      <c r="B8963" t="s">
        <v>24041</v>
      </c>
      <c r="C8963" t="s">
        <v>8124</v>
      </c>
      <c r="D8963">
        <v>1.8</v>
      </c>
      <c r="E8963">
        <v>0</v>
      </c>
      <c r="F8963">
        <f t="shared" si="139"/>
        <v>1.8</v>
      </c>
      <c r="I8963">
        <v>20110101</v>
      </c>
      <c r="J8963" t="s">
        <v>8199</v>
      </c>
      <c r="K8963" t="s">
        <v>8200</v>
      </c>
      <c r="L8963" t="s">
        <v>8201</v>
      </c>
      <c r="M8963" t="s">
        <v>8202</v>
      </c>
      <c r="N8963" t="s">
        <v>8203</v>
      </c>
      <c r="O8963" t="s">
        <v>8204</v>
      </c>
      <c r="P8963" t="s">
        <v>8205</v>
      </c>
      <c r="Q8963" t="s">
        <v>8206</v>
      </c>
      <c r="R8963" t="s">
        <v>8207</v>
      </c>
      <c r="S8963" t="s">
        <v>8208</v>
      </c>
      <c r="T8963" t="s">
        <v>8209</v>
      </c>
      <c r="U8963" t="s">
        <v>8210</v>
      </c>
      <c r="V8963" t="s">
        <v>8211</v>
      </c>
      <c r="W8963" t="s">
        <v>8212</v>
      </c>
      <c r="X8963" t="s">
        <v>8213</v>
      </c>
      <c r="Y8963" t="s">
        <v>8214</v>
      </c>
      <c r="Z8963" t="s">
        <v>8215</v>
      </c>
      <c r="AA8963" t="s">
        <v>8216</v>
      </c>
      <c r="AB8963" t="s">
        <v>8217</v>
      </c>
      <c r="AC8963" t="s">
        <v>8218</v>
      </c>
      <c r="AD8963" t="s">
        <v>8219</v>
      </c>
      <c r="AE8963" t="s">
        <v>8220</v>
      </c>
      <c r="AF8963" t="s">
        <v>8221</v>
      </c>
      <c r="AG8963" t="s">
        <v>8222</v>
      </c>
      <c r="AH8963" t="s">
        <v>8223</v>
      </c>
      <c r="AI8963" t="s">
        <v>8224</v>
      </c>
      <c r="AJ8963" t="s">
        <v>8225</v>
      </c>
      <c r="AK8963" t="s">
        <v>8226</v>
      </c>
      <c r="AL8963" t="s">
        <v>8227</v>
      </c>
      <c r="AM8963" t="s">
        <v>8228</v>
      </c>
      <c r="AN8963" t="s">
        <v>8229</v>
      </c>
      <c r="AO8963" t="s">
        <v>8230</v>
      </c>
      <c r="AP8963" t="s">
        <v>8231</v>
      </c>
      <c r="AQ8963" t="s">
        <v>8232</v>
      </c>
      <c r="AR8963" t="s">
        <v>8233</v>
      </c>
      <c r="AS8963" t="s">
        <v>8234</v>
      </c>
      <c r="AT8963" t="s">
        <v>8235</v>
      </c>
      <c r="AU8963" t="s">
        <v>8236</v>
      </c>
      <c r="AV8963" t="s">
        <v>8237</v>
      </c>
      <c r="AW8963" t="s">
        <v>8238</v>
      </c>
      <c r="AX8963" t="s">
        <v>8239</v>
      </c>
      <c r="AY8963" t="s">
        <v>8240</v>
      </c>
      <c r="AZ8963" t="s">
        <v>8241</v>
      </c>
      <c r="BA8963" t="s">
        <v>8242</v>
      </c>
      <c r="BB8963" t="s">
        <v>8243</v>
      </c>
      <c r="BC8963" t="s">
        <v>8244</v>
      </c>
      <c r="BD8963" t="s">
        <v>8245</v>
      </c>
      <c r="BE8963" t="s">
        <v>8246</v>
      </c>
      <c r="BF8963" t="s">
        <v>8247</v>
      </c>
      <c r="BG8963" t="s">
        <v>8248</v>
      </c>
      <c r="BH8963" t="s">
        <v>8249</v>
      </c>
      <c r="BI8963" t="s">
        <v>8250</v>
      </c>
      <c r="BJ8963" t="s">
        <v>8251</v>
      </c>
      <c r="BK8963" t="s">
        <v>8252</v>
      </c>
    </row>
    <row r="8964" spans="1:63" x14ac:dyDescent="0.3">
      <c r="A8964" s="160">
        <v>64448</v>
      </c>
      <c r="B8964" t="s">
        <v>24042</v>
      </c>
      <c r="C8964" t="s">
        <v>8124</v>
      </c>
      <c r="D8964">
        <v>0.5</v>
      </c>
      <c r="E8964">
        <v>0</v>
      </c>
      <c r="F8964">
        <f t="shared" si="139"/>
        <v>0.5</v>
      </c>
      <c r="I8964">
        <v>20180101</v>
      </c>
      <c r="J8964" t="s">
        <v>8125</v>
      </c>
      <c r="K8964" t="s">
        <v>8182</v>
      </c>
    </row>
    <row r="8965" spans="1:63" x14ac:dyDescent="0.3">
      <c r="A8965" s="160">
        <v>64449</v>
      </c>
      <c r="B8965" t="s">
        <v>24043</v>
      </c>
      <c r="C8965" t="s">
        <v>8192</v>
      </c>
      <c r="D8965">
        <v>0.55000000000000004</v>
      </c>
      <c r="E8965">
        <v>0</v>
      </c>
      <c r="F8965">
        <f t="shared" si="139"/>
        <v>0.55000000000000004</v>
      </c>
      <c r="I8965">
        <v>20240101</v>
      </c>
      <c r="J8965" t="s">
        <v>8193</v>
      </c>
    </row>
    <row r="8966" spans="1:63" x14ac:dyDescent="0.3">
      <c r="A8966" s="160">
        <v>64458</v>
      </c>
      <c r="B8966" t="s">
        <v>24044</v>
      </c>
      <c r="C8966" t="s">
        <v>8192</v>
      </c>
      <c r="D8966">
        <v>0.55000000000000004</v>
      </c>
      <c r="E8966">
        <v>0</v>
      </c>
      <c r="F8966">
        <f t="shared" si="139"/>
        <v>0.55000000000000004</v>
      </c>
      <c r="I8966">
        <v>20240101</v>
      </c>
      <c r="J8966" t="s">
        <v>24045</v>
      </c>
    </row>
    <row r="8967" spans="1:63" x14ac:dyDescent="0.3">
      <c r="A8967" s="160">
        <v>64460</v>
      </c>
      <c r="B8967" t="s">
        <v>24046</v>
      </c>
      <c r="C8967" t="s">
        <v>8192</v>
      </c>
      <c r="D8967">
        <v>0.55000000000000004</v>
      </c>
      <c r="E8967">
        <v>0</v>
      </c>
      <c r="F8967">
        <f t="shared" ref="F8967:F9030" si="140">D8967+E8967</f>
        <v>0.55000000000000004</v>
      </c>
      <c r="I8967">
        <v>20240101</v>
      </c>
      <c r="J8967" t="s">
        <v>8193</v>
      </c>
    </row>
    <row r="8968" spans="1:63" x14ac:dyDescent="0.3">
      <c r="A8968" s="160">
        <v>64467</v>
      </c>
      <c r="B8968" t="s">
        <v>24047</v>
      </c>
      <c r="C8968" t="s">
        <v>8124</v>
      </c>
      <c r="D8968">
        <v>0.5</v>
      </c>
      <c r="E8968">
        <v>0</v>
      </c>
      <c r="F8968">
        <f t="shared" si="140"/>
        <v>0.5</v>
      </c>
      <c r="I8968">
        <v>20180101</v>
      </c>
      <c r="J8968" t="s">
        <v>8173</v>
      </c>
    </row>
    <row r="8969" spans="1:63" x14ac:dyDescent="0.3">
      <c r="A8969" s="160">
        <v>64468</v>
      </c>
      <c r="B8969" t="s">
        <v>24048</v>
      </c>
      <c r="C8969" t="s">
        <v>4762</v>
      </c>
      <c r="D8969">
        <v>2</v>
      </c>
      <c r="E8969">
        <v>0</v>
      </c>
      <c r="F8969">
        <f t="shared" si="140"/>
        <v>2</v>
      </c>
      <c r="I8969">
        <v>20240101</v>
      </c>
      <c r="J8969" t="s">
        <v>8113</v>
      </c>
    </row>
    <row r="8970" spans="1:63" x14ac:dyDescent="0.3">
      <c r="A8970" s="160">
        <v>64475</v>
      </c>
      <c r="B8970" t="s">
        <v>24049</v>
      </c>
      <c r="C8970" t="s">
        <v>4762</v>
      </c>
      <c r="D8970">
        <v>2</v>
      </c>
      <c r="E8970">
        <v>0</v>
      </c>
      <c r="F8970">
        <f t="shared" si="140"/>
        <v>2</v>
      </c>
      <c r="I8970">
        <v>20240101</v>
      </c>
      <c r="J8970" t="s">
        <v>8178</v>
      </c>
    </row>
    <row r="8971" spans="1:63" x14ac:dyDescent="0.3">
      <c r="A8971" s="160">
        <v>64476</v>
      </c>
      <c r="B8971" t="s">
        <v>24050</v>
      </c>
      <c r="C8971" t="s">
        <v>4762</v>
      </c>
      <c r="D8971">
        <v>2</v>
      </c>
      <c r="E8971">
        <v>0</v>
      </c>
      <c r="F8971">
        <f t="shared" si="140"/>
        <v>2</v>
      </c>
      <c r="I8971">
        <v>20240101</v>
      </c>
      <c r="J8971" t="s">
        <v>8132</v>
      </c>
    </row>
    <row r="8972" spans="1:63" x14ac:dyDescent="0.3">
      <c r="A8972" s="160">
        <v>64477</v>
      </c>
      <c r="B8972" t="s">
        <v>24051</v>
      </c>
      <c r="C8972" t="s">
        <v>4762</v>
      </c>
      <c r="D8972">
        <v>2</v>
      </c>
      <c r="E8972">
        <v>0</v>
      </c>
      <c r="F8972">
        <f t="shared" si="140"/>
        <v>2</v>
      </c>
      <c r="I8972">
        <v>20240101</v>
      </c>
      <c r="J8972" t="s">
        <v>8116</v>
      </c>
    </row>
    <row r="8973" spans="1:63" x14ac:dyDescent="0.3">
      <c r="A8973" s="160">
        <v>64478</v>
      </c>
      <c r="B8973" t="s">
        <v>24052</v>
      </c>
      <c r="C8973" t="s">
        <v>8124</v>
      </c>
      <c r="D8973">
        <v>0.5</v>
      </c>
      <c r="E8973">
        <v>0</v>
      </c>
      <c r="F8973">
        <f t="shared" si="140"/>
        <v>0.5</v>
      </c>
      <c r="I8973">
        <v>20180101</v>
      </c>
      <c r="J8973" t="s">
        <v>8173</v>
      </c>
    </row>
    <row r="8974" spans="1:63" x14ac:dyDescent="0.3">
      <c r="A8974" s="160">
        <v>64481</v>
      </c>
      <c r="B8974" t="s">
        <v>24053</v>
      </c>
      <c r="C8974" t="s">
        <v>8192</v>
      </c>
      <c r="D8974">
        <v>0.55000000000000004</v>
      </c>
      <c r="E8974">
        <v>0</v>
      </c>
      <c r="F8974">
        <f t="shared" si="140"/>
        <v>0.55000000000000004</v>
      </c>
      <c r="I8974">
        <v>20240101</v>
      </c>
      <c r="J8974" t="s">
        <v>8193</v>
      </c>
    </row>
    <row r="8975" spans="1:63" x14ac:dyDescent="0.3">
      <c r="A8975" s="160">
        <v>64483</v>
      </c>
      <c r="B8975" t="s">
        <v>24054</v>
      </c>
      <c r="C8975" t="s">
        <v>4762</v>
      </c>
      <c r="D8975">
        <v>2</v>
      </c>
      <c r="E8975">
        <v>0</v>
      </c>
      <c r="F8975">
        <f t="shared" si="140"/>
        <v>2</v>
      </c>
      <c r="I8975">
        <v>20240101</v>
      </c>
      <c r="J8975" t="s">
        <v>8170</v>
      </c>
      <c r="K8975" t="s">
        <v>8253</v>
      </c>
      <c r="L8975" t="s">
        <v>8171</v>
      </c>
      <c r="M8975" t="s">
        <v>8135</v>
      </c>
    </row>
    <row r="8976" spans="1:63" x14ac:dyDescent="0.3">
      <c r="A8976" s="160">
        <v>64484</v>
      </c>
      <c r="B8976" t="s">
        <v>19534</v>
      </c>
      <c r="C8976" t="s">
        <v>4762</v>
      </c>
      <c r="D8976">
        <v>2</v>
      </c>
      <c r="E8976">
        <v>0</v>
      </c>
      <c r="F8976">
        <f t="shared" si="140"/>
        <v>2</v>
      </c>
      <c r="I8976">
        <v>20240101</v>
      </c>
      <c r="J8976" t="s">
        <v>8110</v>
      </c>
    </row>
    <row r="8977" spans="1:11" x14ac:dyDescent="0.3">
      <c r="A8977" s="160">
        <v>64485</v>
      </c>
      <c r="B8977" t="s">
        <v>24055</v>
      </c>
      <c r="C8977" t="s">
        <v>4762</v>
      </c>
      <c r="D8977">
        <v>2</v>
      </c>
      <c r="E8977">
        <v>0</v>
      </c>
      <c r="F8977">
        <f t="shared" si="140"/>
        <v>2</v>
      </c>
      <c r="I8977">
        <v>20240101</v>
      </c>
      <c r="J8977" t="s">
        <v>8110</v>
      </c>
    </row>
    <row r="8978" spans="1:11" x14ac:dyDescent="0.3">
      <c r="A8978" s="160">
        <v>64487</v>
      </c>
      <c r="B8978" t="s">
        <v>24056</v>
      </c>
      <c r="C8978" t="s">
        <v>4762</v>
      </c>
      <c r="D8978">
        <v>2</v>
      </c>
      <c r="E8978">
        <v>0</v>
      </c>
      <c r="F8978">
        <f t="shared" si="140"/>
        <v>2</v>
      </c>
      <c r="I8978">
        <v>20240101</v>
      </c>
      <c r="J8978" t="s">
        <v>8112</v>
      </c>
    </row>
    <row r="8979" spans="1:11" x14ac:dyDescent="0.3">
      <c r="A8979" s="160">
        <v>64489</v>
      </c>
      <c r="B8979" t="s">
        <v>24057</v>
      </c>
      <c r="C8979" t="s">
        <v>4762</v>
      </c>
      <c r="D8979">
        <v>2</v>
      </c>
      <c r="E8979">
        <v>0</v>
      </c>
      <c r="F8979">
        <f t="shared" si="140"/>
        <v>2</v>
      </c>
      <c r="I8979">
        <v>20240101</v>
      </c>
      <c r="J8979" t="s">
        <v>8132</v>
      </c>
    </row>
    <row r="8980" spans="1:11" x14ac:dyDescent="0.3">
      <c r="A8980" s="160">
        <v>64490</v>
      </c>
      <c r="B8980" t="s">
        <v>24058</v>
      </c>
      <c r="C8980" t="s">
        <v>4762</v>
      </c>
      <c r="D8980">
        <v>2</v>
      </c>
      <c r="E8980">
        <v>0</v>
      </c>
      <c r="F8980">
        <f t="shared" si="140"/>
        <v>2</v>
      </c>
      <c r="I8980">
        <v>20240101</v>
      </c>
      <c r="J8980" t="s">
        <v>8161</v>
      </c>
    </row>
    <row r="8981" spans="1:11" x14ac:dyDescent="0.3">
      <c r="A8981" s="160">
        <v>64492</v>
      </c>
      <c r="B8981" t="s">
        <v>16691</v>
      </c>
      <c r="C8981" t="s">
        <v>4762</v>
      </c>
      <c r="D8981">
        <v>2</v>
      </c>
      <c r="E8981">
        <v>0</v>
      </c>
      <c r="F8981">
        <f t="shared" si="140"/>
        <v>2</v>
      </c>
      <c r="I8981">
        <v>20240101</v>
      </c>
      <c r="J8981" t="s">
        <v>8110</v>
      </c>
    </row>
    <row r="8982" spans="1:11" x14ac:dyDescent="0.3">
      <c r="A8982" s="160">
        <v>64493</v>
      </c>
      <c r="B8982" t="s">
        <v>24059</v>
      </c>
      <c r="C8982" t="s">
        <v>4762</v>
      </c>
      <c r="D8982">
        <v>2</v>
      </c>
      <c r="E8982">
        <v>0</v>
      </c>
      <c r="F8982">
        <f t="shared" si="140"/>
        <v>2</v>
      </c>
      <c r="I8982">
        <v>20240101</v>
      </c>
      <c r="J8982" t="s">
        <v>8112</v>
      </c>
    </row>
    <row r="8983" spans="1:11" x14ac:dyDescent="0.3">
      <c r="A8983" s="160">
        <v>64495</v>
      </c>
      <c r="B8983" t="s">
        <v>24060</v>
      </c>
      <c r="C8983" t="s">
        <v>4762</v>
      </c>
      <c r="D8983">
        <v>2</v>
      </c>
      <c r="E8983">
        <v>0</v>
      </c>
      <c r="F8983">
        <f t="shared" si="140"/>
        <v>2</v>
      </c>
      <c r="I8983">
        <v>20240101</v>
      </c>
      <c r="J8983" t="s">
        <v>8134</v>
      </c>
      <c r="K8983" t="s">
        <v>8135</v>
      </c>
    </row>
    <row r="8984" spans="1:11" x14ac:dyDescent="0.3">
      <c r="A8984" s="160">
        <v>64496</v>
      </c>
      <c r="B8984" t="s">
        <v>24061</v>
      </c>
      <c r="C8984" t="s">
        <v>4762</v>
      </c>
      <c r="D8984">
        <v>2</v>
      </c>
      <c r="E8984">
        <v>0</v>
      </c>
      <c r="F8984">
        <f t="shared" si="140"/>
        <v>2</v>
      </c>
      <c r="I8984">
        <v>20160101</v>
      </c>
      <c r="J8984" t="s">
        <v>8177</v>
      </c>
    </row>
    <row r="8985" spans="1:11" x14ac:dyDescent="0.3">
      <c r="A8985" s="160">
        <v>64502</v>
      </c>
      <c r="B8985" t="s">
        <v>24062</v>
      </c>
      <c r="C8985" t="s">
        <v>4762</v>
      </c>
      <c r="D8985">
        <v>2</v>
      </c>
      <c r="E8985">
        <v>0</v>
      </c>
      <c r="F8985">
        <f t="shared" si="140"/>
        <v>2</v>
      </c>
      <c r="I8985">
        <v>20240101</v>
      </c>
      <c r="J8985" t="s">
        <v>8139</v>
      </c>
    </row>
    <row r="8986" spans="1:11" x14ac:dyDescent="0.3">
      <c r="A8986" s="160">
        <v>64504</v>
      </c>
      <c r="B8986" t="s">
        <v>24063</v>
      </c>
      <c r="C8986" t="s">
        <v>4762</v>
      </c>
      <c r="D8986">
        <v>2</v>
      </c>
      <c r="E8986">
        <v>0</v>
      </c>
      <c r="F8986">
        <f t="shared" si="140"/>
        <v>2</v>
      </c>
      <c r="I8986">
        <v>20240101</v>
      </c>
      <c r="J8986" t="s">
        <v>8134</v>
      </c>
    </row>
    <row r="8987" spans="1:11" x14ac:dyDescent="0.3">
      <c r="A8987" s="160">
        <v>64506</v>
      </c>
      <c r="B8987" t="s">
        <v>24064</v>
      </c>
      <c r="C8987" t="s">
        <v>8192</v>
      </c>
      <c r="D8987">
        <v>0.55000000000000004</v>
      </c>
      <c r="E8987">
        <v>0</v>
      </c>
      <c r="F8987">
        <f t="shared" si="140"/>
        <v>0.55000000000000004</v>
      </c>
      <c r="I8987">
        <v>20240101</v>
      </c>
      <c r="J8987" t="s">
        <v>23845</v>
      </c>
    </row>
    <row r="8988" spans="1:11" x14ac:dyDescent="0.3">
      <c r="A8988" s="160">
        <v>64508</v>
      </c>
      <c r="B8988" t="s">
        <v>24065</v>
      </c>
      <c r="C8988" t="s">
        <v>8192</v>
      </c>
      <c r="D8988">
        <v>0.55000000000000004</v>
      </c>
      <c r="E8988">
        <v>0</v>
      </c>
      <c r="F8988">
        <f t="shared" si="140"/>
        <v>0.55000000000000004</v>
      </c>
      <c r="I8988">
        <v>20240101</v>
      </c>
      <c r="J8988" t="s">
        <v>8193</v>
      </c>
    </row>
    <row r="8989" spans="1:11" x14ac:dyDescent="0.3">
      <c r="A8989" s="160">
        <v>64509</v>
      </c>
      <c r="B8989" t="s">
        <v>24066</v>
      </c>
      <c r="C8989" t="s">
        <v>4762</v>
      </c>
      <c r="D8989">
        <v>2</v>
      </c>
      <c r="E8989">
        <v>0</v>
      </c>
      <c r="F8989">
        <f t="shared" si="140"/>
        <v>2</v>
      </c>
      <c r="I8989">
        <v>20240101</v>
      </c>
      <c r="J8989" t="s">
        <v>8115</v>
      </c>
    </row>
    <row r="8990" spans="1:11" x14ac:dyDescent="0.3">
      <c r="A8990" s="160">
        <v>64511</v>
      </c>
      <c r="B8990" t="s">
        <v>24067</v>
      </c>
      <c r="C8990" t="s">
        <v>8124</v>
      </c>
      <c r="D8990">
        <v>1.8</v>
      </c>
      <c r="E8990">
        <v>0</v>
      </c>
      <c r="F8990">
        <f t="shared" si="140"/>
        <v>1.8</v>
      </c>
      <c r="I8990">
        <v>20110101</v>
      </c>
      <c r="J8990" t="s">
        <v>8125</v>
      </c>
    </row>
    <row r="8991" spans="1:11" x14ac:dyDescent="0.3">
      <c r="A8991" s="160">
        <v>64518</v>
      </c>
      <c r="B8991" t="s">
        <v>24068</v>
      </c>
      <c r="C8991" t="s">
        <v>8124</v>
      </c>
      <c r="D8991">
        <v>1.8</v>
      </c>
      <c r="E8991">
        <v>0</v>
      </c>
      <c r="F8991">
        <f t="shared" si="140"/>
        <v>1.8</v>
      </c>
      <c r="I8991">
        <v>20110101</v>
      </c>
      <c r="J8991" t="s">
        <v>8131</v>
      </c>
    </row>
    <row r="8992" spans="1:11" x14ac:dyDescent="0.3">
      <c r="A8992" s="160">
        <v>64519</v>
      </c>
      <c r="B8992" t="s">
        <v>24069</v>
      </c>
      <c r="C8992" t="s">
        <v>8124</v>
      </c>
      <c r="D8992">
        <v>1.8</v>
      </c>
      <c r="E8992">
        <v>0</v>
      </c>
      <c r="F8992">
        <f t="shared" si="140"/>
        <v>1.8</v>
      </c>
      <c r="I8992">
        <v>20110101</v>
      </c>
      <c r="J8992" t="s">
        <v>8188</v>
      </c>
      <c r="K8992" t="s">
        <v>8189</v>
      </c>
    </row>
    <row r="8993" spans="1:14" x14ac:dyDescent="0.3">
      <c r="A8993" s="160">
        <v>64520</v>
      </c>
      <c r="B8993" t="s">
        <v>24070</v>
      </c>
      <c r="C8993" t="s">
        <v>8124</v>
      </c>
      <c r="D8993">
        <v>1.8</v>
      </c>
      <c r="E8993">
        <v>0</v>
      </c>
      <c r="F8993">
        <f t="shared" si="140"/>
        <v>1.8</v>
      </c>
      <c r="I8993">
        <v>20110101</v>
      </c>
      <c r="J8993" t="s">
        <v>8190</v>
      </c>
    </row>
    <row r="8994" spans="1:14" x14ac:dyDescent="0.3">
      <c r="A8994" s="160">
        <v>64525</v>
      </c>
      <c r="B8994" t="s">
        <v>24071</v>
      </c>
      <c r="C8994" t="s">
        <v>8124</v>
      </c>
      <c r="D8994">
        <v>0.5</v>
      </c>
      <c r="E8994">
        <v>0</v>
      </c>
      <c r="F8994">
        <f t="shared" si="140"/>
        <v>0.5</v>
      </c>
      <c r="I8994">
        <v>20180101</v>
      </c>
      <c r="J8994" t="s">
        <v>8125</v>
      </c>
    </row>
    <row r="8995" spans="1:14" x14ac:dyDescent="0.3">
      <c r="A8995" s="160">
        <v>64527</v>
      </c>
      <c r="B8995" t="s">
        <v>24072</v>
      </c>
      <c r="C8995" t="s">
        <v>4762</v>
      </c>
      <c r="D8995">
        <v>2</v>
      </c>
      <c r="E8995">
        <v>0</v>
      </c>
      <c r="F8995">
        <f t="shared" si="140"/>
        <v>2</v>
      </c>
      <c r="I8995">
        <v>20240101</v>
      </c>
      <c r="J8995" t="s">
        <v>8114</v>
      </c>
    </row>
    <row r="8996" spans="1:14" x14ac:dyDescent="0.3">
      <c r="A8996" s="160">
        <v>64528</v>
      </c>
      <c r="B8996" t="s">
        <v>24073</v>
      </c>
      <c r="C8996" t="s">
        <v>4762</v>
      </c>
      <c r="D8996">
        <v>2</v>
      </c>
      <c r="E8996">
        <v>0</v>
      </c>
      <c r="F8996">
        <f t="shared" si="140"/>
        <v>2</v>
      </c>
      <c r="I8996">
        <v>20240101</v>
      </c>
      <c r="J8996" t="s">
        <v>8161</v>
      </c>
    </row>
    <row r="8997" spans="1:14" x14ac:dyDescent="0.3">
      <c r="A8997" s="160">
        <v>64533</v>
      </c>
      <c r="B8997" t="s">
        <v>24074</v>
      </c>
      <c r="C8997" t="s">
        <v>4762</v>
      </c>
      <c r="D8997">
        <v>2</v>
      </c>
      <c r="E8997">
        <v>0</v>
      </c>
      <c r="F8997">
        <f t="shared" si="140"/>
        <v>2</v>
      </c>
      <c r="I8997">
        <v>20240101</v>
      </c>
      <c r="J8997" t="s">
        <v>8115</v>
      </c>
    </row>
    <row r="8998" spans="1:14" x14ac:dyDescent="0.3">
      <c r="A8998" s="160">
        <v>64537</v>
      </c>
      <c r="B8998" t="s">
        <v>24075</v>
      </c>
      <c r="C8998" t="s">
        <v>4762</v>
      </c>
      <c r="D8998">
        <v>2</v>
      </c>
      <c r="E8998">
        <v>0</v>
      </c>
      <c r="F8998">
        <f t="shared" si="140"/>
        <v>2</v>
      </c>
      <c r="I8998">
        <v>20240101</v>
      </c>
      <c r="J8998" t="s">
        <v>8115</v>
      </c>
    </row>
    <row r="8999" spans="1:14" x14ac:dyDescent="0.3">
      <c r="A8999" s="160">
        <v>64538</v>
      </c>
      <c r="B8999" t="s">
        <v>24076</v>
      </c>
      <c r="C8999" t="s">
        <v>4762</v>
      </c>
      <c r="D8999">
        <v>2</v>
      </c>
      <c r="E8999">
        <v>0</v>
      </c>
      <c r="F8999">
        <f t="shared" si="140"/>
        <v>2</v>
      </c>
      <c r="I8999">
        <v>20240101</v>
      </c>
      <c r="J8999" t="s">
        <v>8110</v>
      </c>
    </row>
    <row r="9000" spans="1:14" x14ac:dyDescent="0.3">
      <c r="A9000" s="160">
        <v>64539</v>
      </c>
      <c r="B9000" t="s">
        <v>24077</v>
      </c>
      <c r="C9000" t="s">
        <v>4762</v>
      </c>
      <c r="D9000">
        <v>2</v>
      </c>
      <c r="E9000">
        <v>0</v>
      </c>
      <c r="F9000">
        <f t="shared" si="140"/>
        <v>2</v>
      </c>
      <c r="I9000">
        <v>20240101</v>
      </c>
      <c r="J9000" t="s">
        <v>8112</v>
      </c>
    </row>
    <row r="9001" spans="1:14" x14ac:dyDescent="0.3">
      <c r="A9001" s="160">
        <v>64540</v>
      </c>
      <c r="B9001" t="s">
        <v>24078</v>
      </c>
      <c r="C9001" t="s">
        <v>4762</v>
      </c>
      <c r="D9001">
        <v>2</v>
      </c>
      <c r="E9001">
        <v>0</v>
      </c>
      <c r="F9001">
        <f t="shared" si="140"/>
        <v>2</v>
      </c>
      <c r="I9001">
        <v>20240101</v>
      </c>
      <c r="J9001" t="s">
        <v>8177</v>
      </c>
    </row>
    <row r="9002" spans="1:14" x14ac:dyDescent="0.3">
      <c r="A9002" s="160">
        <v>64542</v>
      </c>
      <c r="B9002" t="s">
        <v>24079</v>
      </c>
      <c r="C9002" t="s">
        <v>8192</v>
      </c>
      <c r="D9002">
        <v>0.55000000000000004</v>
      </c>
      <c r="E9002">
        <v>0</v>
      </c>
      <c r="F9002">
        <f t="shared" si="140"/>
        <v>0.55000000000000004</v>
      </c>
      <c r="I9002">
        <v>20240101</v>
      </c>
      <c r="J9002" t="s">
        <v>23845</v>
      </c>
    </row>
    <row r="9003" spans="1:14" x14ac:dyDescent="0.3">
      <c r="A9003" s="160">
        <v>64543</v>
      </c>
      <c r="B9003" t="s">
        <v>24080</v>
      </c>
      <c r="C9003" t="s">
        <v>4762</v>
      </c>
      <c r="D9003">
        <v>2</v>
      </c>
      <c r="E9003">
        <v>0</v>
      </c>
      <c r="F9003">
        <f t="shared" si="140"/>
        <v>2</v>
      </c>
      <c r="I9003">
        <v>20240101</v>
      </c>
      <c r="J9003" t="s">
        <v>8116</v>
      </c>
    </row>
    <row r="9004" spans="1:14" x14ac:dyDescent="0.3">
      <c r="A9004" s="160">
        <v>64545</v>
      </c>
      <c r="B9004" t="s">
        <v>24081</v>
      </c>
      <c r="C9004" t="s">
        <v>4762</v>
      </c>
      <c r="D9004">
        <v>2</v>
      </c>
      <c r="E9004">
        <v>0</v>
      </c>
      <c r="F9004">
        <f t="shared" si="140"/>
        <v>2</v>
      </c>
      <c r="I9004">
        <v>20240101</v>
      </c>
      <c r="J9004" t="s">
        <v>8254</v>
      </c>
      <c r="K9004" t="s">
        <v>8167</v>
      </c>
      <c r="L9004" t="s">
        <v>8175</v>
      </c>
      <c r="M9004" t="s">
        <v>8168</v>
      </c>
      <c r="N9004" t="s">
        <v>8176</v>
      </c>
    </row>
    <row r="9005" spans="1:14" x14ac:dyDescent="0.3">
      <c r="A9005" s="160">
        <v>64546</v>
      </c>
      <c r="B9005" t="s">
        <v>24082</v>
      </c>
      <c r="C9005" t="s">
        <v>4762</v>
      </c>
      <c r="D9005">
        <v>2</v>
      </c>
      <c r="E9005">
        <v>0</v>
      </c>
      <c r="F9005">
        <f t="shared" si="140"/>
        <v>2</v>
      </c>
      <c r="I9005">
        <v>20240101</v>
      </c>
      <c r="J9005" t="s">
        <v>8138</v>
      </c>
    </row>
    <row r="9006" spans="1:14" x14ac:dyDescent="0.3">
      <c r="A9006" s="160">
        <v>64547</v>
      </c>
      <c r="B9006" t="s">
        <v>24083</v>
      </c>
      <c r="C9006" t="s">
        <v>4762</v>
      </c>
      <c r="D9006">
        <v>2</v>
      </c>
      <c r="E9006">
        <v>0</v>
      </c>
      <c r="F9006">
        <f t="shared" si="140"/>
        <v>2</v>
      </c>
      <c r="I9006">
        <v>20240101</v>
      </c>
      <c r="J9006" t="s">
        <v>8174</v>
      </c>
    </row>
    <row r="9007" spans="1:14" x14ac:dyDescent="0.3">
      <c r="A9007" s="160">
        <v>64549</v>
      </c>
      <c r="B9007" t="s">
        <v>24084</v>
      </c>
      <c r="C9007" t="s">
        <v>8124</v>
      </c>
      <c r="D9007">
        <v>1.8</v>
      </c>
      <c r="E9007">
        <v>0</v>
      </c>
      <c r="F9007">
        <f t="shared" si="140"/>
        <v>1.8</v>
      </c>
      <c r="I9007">
        <v>20110101</v>
      </c>
      <c r="J9007" t="s">
        <v>8125</v>
      </c>
    </row>
    <row r="9008" spans="1:14" x14ac:dyDescent="0.3">
      <c r="A9008" s="160">
        <v>64550</v>
      </c>
      <c r="B9008" t="s">
        <v>24085</v>
      </c>
      <c r="C9008" t="s">
        <v>8124</v>
      </c>
      <c r="D9008">
        <v>0.5</v>
      </c>
      <c r="E9008">
        <v>0</v>
      </c>
      <c r="F9008">
        <f t="shared" si="140"/>
        <v>0.5</v>
      </c>
      <c r="I9008">
        <v>20180101</v>
      </c>
      <c r="J9008" t="s">
        <v>8173</v>
      </c>
    </row>
    <row r="9009" spans="1:11" x14ac:dyDescent="0.3">
      <c r="A9009" s="160">
        <v>64551</v>
      </c>
      <c r="B9009" t="s">
        <v>24086</v>
      </c>
      <c r="C9009" t="s">
        <v>8192</v>
      </c>
      <c r="D9009">
        <v>0.55000000000000004</v>
      </c>
      <c r="E9009">
        <v>0</v>
      </c>
      <c r="F9009">
        <f t="shared" si="140"/>
        <v>0.55000000000000004</v>
      </c>
      <c r="I9009">
        <v>20240101</v>
      </c>
      <c r="J9009" t="s">
        <v>8193</v>
      </c>
    </row>
    <row r="9010" spans="1:11" x14ac:dyDescent="0.3">
      <c r="A9010" s="160">
        <v>64558</v>
      </c>
      <c r="B9010" t="s">
        <v>24087</v>
      </c>
      <c r="C9010" t="s">
        <v>4762</v>
      </c>
      <c r="D9010">
        <v>2</v>
      </c>
      <c r="E9010">
        <v>0</v>
      </c>
      <c r="F9010">
        <f t="shared" si="140"/>
        <v>2</v>
      </c>
      <c r="I9010">
        <v>20240101</v>
      </c>
      <c r="J9010" t="s">
        <v>8177</v>
      </c>
    </row>
    <row r="9011" spans="1:11" x14ac:dyDescent="0.3">
      <c r="A9011" s="160">
        <v>64559</v>
      </c>
      <c r="B9011" t="s">
        <v>24088</v>
      </c>
      <c r="C9011" t="s">
        <v>4762</v>
      </c>
      <c r="D9011">
        <v>2</v>
      </c>
      <c r="E9011">
        <v>0</v>
      </c>
      <c r="F9011">
        <f t="shared" si="140"/>
        <v>2</v>
      </c>
      <c r="I9011">
        <v>20240101</v>
      </c>
      <c r="J9011" t="s">
        <v>8113</v>
      </c>
    </row>
    <row r="9012" spans="1:11" x14ac:dyDescent="0.3">
      <c r="A9012" s="160">
        <v>65002</v>
      </c>
      <c r="B9012" t="s">
        <v>24089</v>
      </c>
      <c r="C9012" t="s">
        <v>8255</v>
      </c>
      <c r="D9012">
        <v>1.05</v>
      </c>
      <c r="E9012">
        <v>0</v>
      </c>
      <c r="F9012">
        <f t="shared" si="140"/>
        <v>1.05</v>
      </c>
      <c r="I9012">
        <v>20240101</v>
      </c>
      <c r="J9012" t="s">
        <v>8256</v>
      </c>
      <c r="K9012" t="s">
        <v>8257</v>
      </c>
    </row>
    <row r="9013" spans="1:11" x14ac:dyDescent="0.3">
      <c r="A9013" s="160">
        <v>65005</v>
      </c>
      <c r="B9013" t="s">
        <v>24090</v>
      </c>
      <c r="C9013" t="s">
        <v>8255</v>
      </c>
      <c r="D9013">
        <v>1.05</v>
      </c>
      <c r="E9013">
        <v>0</v>
      </c>
      <c r="F9013">
        <f t="shared" si="140"/>
        <v>1.05</v>
      </c>
      <c r="I9013">
        <v>20170701</v>
      </c>
      <c r="J9013" t="s">
        <v>8258</v>
      </c>
    </row>
    <row r="9014" spans="1:11" x14ac:dyDescent="0.3">
      <c r="A9014" s="160">
        <v>65007</v>
      </c>
      <c r="B9014" t="s">
        <v>24091</v>
      </c>
      <c r="C9014" t="s">
        <v>8255</v>
      </c>
      <c r="D9014">
        <v>0</v>
      </c>
      <c r="E9014">
        <v>0</v>
      </c>
      <c r="F9014">
        <f t="shared" si="140"/>
        <v>0</v>
      </c>
      <c r="I9014">
        <v>20231001</v>
      </c>
      <c r="J9014" t="s">
        <v>8259</v>
      </c>
      <c r="K9014" t="s">
        <v>8260</v>
      </c>
    </row>
    <row r="9015" spans="1:11" x14ac:dyDescent="0.3">
      <c r="A9015" s="160">
        <v>65010</v>
      </c>
      <c r="B9015" t="s">
        <v>24092</v>
      </c>
      <c r="C9015" t="s">
        <v>8255</v>
      </c>
      <c r="D9015">
        <v>1.05</v>
      </c>
      <c r="E9015">
        <v>0</v>
      </c>
      <c r="F9015">
        <f t="shared" si="140"/>
        <v>1.05</v>
      </c>
      <c r="I9015">
        <v>20170701</v>
      </c>
      <c r="J9015" t="s">
        <v>8261</v>
      </c>
    </row>
    <row r="9016" spans="1:11" x14ac:dyDescent="0.3">
      <c r="A9016" s="160">
        <v>65011</v>
      </c>
      <c r="B9016" t="s">
        <v>18278</v>
      </c>
      <c r="C9016" t="s">
        <v>8255</v>
      </c>
      <c r="D9016">
        <v>1.05</v>
      </c>
      <c r="E9016">
        <v>0</v>
      </c>
      <c r="F9016">
        <f t="shared" si="140"/>
        <v>1.05</v>
      </c>
      <c r="I9016">
        <v>20240101</v>
      </c>
      <c r="J9016" t="s">
        <v>8256</v>
      </c>
    </row>
    <row r="9017" spans="1:11" x14ac:dyDescent="0.3">
      <c r="A9017" s="160">
        <v>65019</v>
      </c>
      <c r="B9017" t="s">
        <v>24093</v>
      </c>
      <c r="C9017" t="s">
        <v>8255</v>
      </c>
      <c r="D9017">
        <v>1.05</v>
      </c>
      <c r="E9017">
        <v>0</v>
      </c>
      <c r="F9017">
        <f t="shared" si="140"/>
        <v>1.05</v>
      </c>
      <c r="I9017">
        <v>20170701</v>
      </c>
      <c r="J9017" t="s">
        <v>8258</v>
      </c>
    </row>
    <row r="9018" spans="1:11" x14ac:dyDescent="0.3">
      <c r="A9018" s="160">
        <v>65020</v>
      </c>
      <c r="B9018" t="s">
        <v>24094</v>
      </c>
      <c r="C9018" t="s">
        <v>8255</v>
      </c>
      <c r="D9018">
        <v>1.05</v>
      </c>
      <c r="E9018">
        <v>0</v>
      </c>
      <c r="F9018">
        <f t="shared" si="140"/>
        <v>1.05</v>
      </c>
      <c r="I9018">
        <v>20240101</v>
      </c>
      <c r="J9018" t="s">
        <v>8256</v>
      </c>
    </row>
    <row r="9019" spans="1:11" x14ac:dyDescent="0.3">
      <c r="A9019" s="160">
        <v>65033</v>
      </c>
      <c r="B9019" t="s">
        <v>24095</v>
      </c>
      <c r="C9019" t="s">
        <v>8255</v>
      </c>
      <c r="D9019">
        <v>1.05</v>
      </c>
      <c r="E9019">
        <v>0</v>
      </c>
      <c r="F9019">
        <f t="shared" si="140"/>
        <v>1.05</v>
      </c>
      <c r="I9019">
        <v>20240101</v>
      </c>
      <c r="J9019" t="s">
        <v>8256</v>
      </c>
    </row>
    <row r="9020" spans="1:11" x14ac:dyDescent="0.3">
      <c r="A9020" s="160">
        <v>65038</v>
      </c>
      <c r="B9020" t="s">
        <v>24096</v>
      </c>
      <c r="C9020" t="s">
        <v>8255</v>
      </c>
      <c r="D9020">
        <v>1.05</v>
      </c>
      <c r="E9020">
        <v>0</v>
      </c>
      <c r="F9020">
        <f t="shared" si="140"/>
        <v>1.05</v>
      </c>
      <c r="I9020">
        <v>20240101</v>
      </c>
      <c r="J9020" t="s">
        <v>8256</v>
      </c>
    </row>
    <row r="9021" spans="1:11" x14ac:dyDescent="0.3">
      <c r="A9021" s="160">
        <v>65040</v>
      </c>
      <c r="B9021" t="s">
        <v>24097</v>
      </c>
      <c r="C9021" t="s">
        <v>8255</v>
      </c>
      <c r="D9021">
        <v>1.05</v>
      </c>
      <c r="E9021">
        <v>0</v>
      </c>
      <c r="F9021">
        <f t="shared" si="140"/>
        <v>1.05</v>
      </c>
      <c r="I9021">
        <v>20240101</v>
      </c>
      <c r="J9021" t="s">
        <v>8256</v>
      </c>
    </row>
    <row r="9022" spans="1:11" x14ac:dyDescent="0.3">
      <c r="A9022" s="160">
        <v>65044</v>
      </c>
      <c r="B9022" t="s">
        <v>24098</v>
      </c>
      <c r="C9022" t="s">
        <v>8255</v>
      </c>
      <c r="D9022">
        <v>1.05</v>
      </c>
      <c r="E9022">
        <v>0</v>
      </c>
      <c r="F9022">
        <f t="shared" si="140"/>
        <v>1.05</v>
      </c>
      <c r="I9022">
        <v>20230101</v>
      </c>
      <c r="J9022" t="s">
        <v>8262</v>
      </c>
    </row>
    <row r="9023" spans="1:11" x14ac:dyDescent="0.3">
      <c r="A9023" s="160">
        <v>65047</v>
      </c>
      <c r="B9023" t="s">
        <v>24099</v>
      </c>
      <c r="C9023" t="s">
        <v>8255</v>
      </c>
      <c r="D9023">
        <v>1.05</v>
      </c>
      <c r="E9023">
        <v>0</v>
      </c>
      <c r="F9023">
        <f t="shared" si="140"/>
        <v>1.05</v>
      </c>
      <c r="I9023">
        <v>20170701</v>
      </c>
      <c r="J9023" t="s">
        <v>8263</v>
      </c>
      <c r="K9023" t="s">
        <v>8264</v>
      </c>
    </row>
    <row r="9024" spans="1:11" x14ac:dyDescent="0.3">
      <c r="A9024" s="160">
        <v>65048</v>
      </c>
      <c r="B9024" t="s">
        <v>24100</v>
      </c>
      <c r="C9024" t="s">
        <v>8255</v>
      </c>
      <c r="D9024">
        <v>1.05</v>
      </c>
      <c r="E9024">
        <v>0</v>
      </c>
      <c r="F9024">
        <f t="shared" si="140"/>
        <v>1.05</v>
      </c>
      <c r="I9024">
        <v>20170701</v>
      </c>
      <c r="J9024" t="s">
        <v>8259</v>
      </c>
    </row>
    <row r="9025" spans="1:11" x14ac:dyDescent="0.3">
      <c r="A9025" s="160">
        <v>65052</v>
      </c>
      <c r="B9025" t="s">
        <v>24101</v>
      </c>
      <c r="C9025" t="s">
        <v>8255</v>
      </c>
      <c r="D9025">
        <v>1.05</v>
      </c>
      <c r="E9025">
        <v>0</v>
      </c>
      <c r="F9025">
        <f t="shared" si="140"/>
        <v>1.05</v>
      </c>
      <c r="I9025">
        <v>20170701</v>
      </c>
      <c r="J9025" t="s">
        <v>8265</v>
      </c>
    </row>
    <row r="9026" spans="1:11" x14ac:dyDescent="0.3">
      <c r="A9026" s="160">
        <v>65057</v>
      </c>
      <c r="B9026" t="s">
        <v>24102</v>
      </c>
      <c r="C9026" t="s">
        <v>8255</v>
      </c>
      <c r="D9026">
        <v>1.05</v>
      </c>
      <c r="E9026">
        <v>0</v>
      </c>
      <c r="F9026">
        <f t="shared" si="140"/>
        <v>1.05</v>
      </c>
      <c r="I9026">
        <v>20170701</v>
      </c>
      <c r="J9026" t="s">
        <v>8265</v>
      </c>
    </row>
    <row r="9027" spans="1:11" x14ac:dyDescent="0.3">
      <c r="A9027" s="160">
        <v>65062</v>
      </c>
      <c r="B9027" t="s">
        <v>24103</v>
      </c>
      <c r="C9027" t="s">
        <v>8255</v>
      </c>
      <c r="D9027">
        <v>1.05</v>
      </c>
      <c r="E9027">
        <v>0</v>
      </c>
      <c r="F9027">
        <f t="shared" si="140"/>
        <v>1.05</v>
      </c>
      <c r="I9027">
        <v>20170701</v>
      </c>
      <c r="J9027" t="s">
        <v>8261</v>
      </c>
    </row>
    <row r="9028" spans="1:11" x14ac:dyDescent="0.3">
      <c r="A9028" s="160">
        <v>65063</v>
      </c>
      <c r="B9028" t="s">
        <v>24104</v>
      </c>
      <c r="C9028" t="s">
        <v>8255</v>
      </c>
      <c r="D9028">
        <v>1.05</v>
      </c>
      <c r="E9028">
        <v>0</v>
      </c>
      <c r="F9028">
        <f t="shared" si="140"/>
        <v>1.05</v>
      </c>
      <c r="I9028">
        <v>20170701</v>
      </c>
      <c r="J9028" t="s">
        <v>8258</v>
      </c>
    </row>
    <row r="9029" spans="1:11" x14ac:dyDescent="0.3">
      <c r="A9029" s="160">
        <v>65065</v>
      </c>
      <c r="B9029" t="s">
        <v>24105</v>
      </c>
      <c r="C9029" t="s">
        <v>8255</v>
      </c>
      <c r="D9029">
        <v>1.05</v>
      </c>
      <c r="E9029">
        <v>0</v>
      </c>
      <c r="F9029">
        <f t="shared" si="140"/>
        <v>1.05</v>
      </c>
      <c r="I9029">
        <v>20240101</v>
      </c>
      <c r="J9029" t="s">
        <v>8256</v>
      </c>
    </row>
    <row r="9030" spans="1:11" x14ac:dyDescent="0.3">
      <c r="A9030" s="160">
        <v>65067</v>
      </c>
      <c r="B9030" t="s">
        <v>24106</v>
      </c>
      <c r="C9030" t="s">
        <v>8255</v>
      </c>
      <c r="D9030">
        <v>1.05</v>
      </c>
      <c r="E9030">
        <v>0</v>
      </c>
      <c r="F9030">
        <f t="shared" si="140"/>
        <v>1.05</v>
      </c>
      <c r="I9030">
        <v>20170701</v>
      </c>
      <c r="J9030" t="s">
        <v>8265</v>
      </c>
    </row>
    <row r="9031" spans="1:11" x14ac:dyDescent="0.3">
      <c r="A9031" s="160">
        <v>65070</v>
      </c>
      <c r="B9031" t="s">
        <v>24107</v>
      </c>
      <c r="C9031" t="s">
        <v>8255</v>
      </c>
      <c r="D9031">
        <v>1.05</v>
      </c>
      <c r="E9031">
        <v>0</v>
      </c>
      <c r="F9031">
        <f t="shared" ref="F9031:F9094" si="141">D9031+E9031</f>
        <v>1.05</v>
      </c>
      <c r="I9031">
        <v>20170701</v>
      </c>
      <c r="J9031" t="s">
        <v>8256</v>
      </c>
    </row>
    <row r="9032" spans="1:11" x14ac:dyDescent="0.3">
      <c r="A9032" s="160">
        <v>65072</v>
      </c>
      <c r="B9032" t="s">
        <v>24108</v>
      </c>
      <c r="C9032" t="s">
        <v>8255</v>
      </c>
      <c r="D9032">
        <v>1.05</v>
      </c>
      <c r="E9032">
        <v>0</v>
      </c>
      <c r="F9032">
        <f t="shared" si="141"/>
        <v>1.05</v>
      </c>
      <c r="I9032">
        <v>20170701</v>
      </c>
      <c r="J9032" t="s">
        <v>8266</v>
      </c>
    </row>
    <row r="9033" spans="1:11" x14ac:dyDescent="0.3">
      <c r="A9033" s="160">
        <v>65073</v>
      </c>
      <c r="B9033" t="s">
        <v>24109</v>
      </c>
      <c r="C9033" t="s">
        <v>8255</v>
      </c>
      <c r="D9033">
        <v>1.05</v>
      </c>
      <c r="E9033">
        <v>0</v>
      </c>
      <c r="F9033">
        <f t="shared" si="141"/>
        <v>1.05</v>
      </c>
      <c r="I9033">
        <v>20170701</v>
      </c>
      <c r="J9033" t="s">
        <v>8267</v>
      </c>
    </row>
    <row r="9034" spans="1:11" x14ac:dyDescent="0.3">
      <c r="A9034" s="160">
        <v>65080</v>
      </c>
      <c r="B9034" t="s">
        <v>16174</v>
      </c>
      <c r="C9034" t="s">
        <v>8255</v>
      </c>
      <c r="D9034">
        <v>1.05</v>
      </c>
      <c r="E9034">
        <v>0</v>
      </c>
      <c r="F9034">
        <f t="shared" si="141"/>
        <v>1.05</v>
      </c>
      <c r="I9034">
        <v>20170701</v>
      </c>
      <c r="J9034" t="s">
        <v>8265</v>
      </c>
    </row>
    <row r="9035" spans="1:11" x14ac:dyDescent="0.3">
      <c r="A9035" s="160">
        <v>65082</v>
      </c>
      <c r="B9035" t="s">
        <v>24110</v>
      </c>
      <c r="C9035" t="s">
        <v>8255</v>
      </c>
      <c r="D9035">
        <v>1.05</v>
      </c>
      <c r="E9035">
        <v>0</v>
      </c>
      <c r="F9035">
        <f t="shared" si="141"/>
        <v>1.05</v>
      </c>
      <c r="I9035">
        <v>20240101</v>
      </c>
      <c r="J9035" t="s">
        <v>8256</v>
      </c>
    </row>
    <row r="9036" spans="1:11" x14ac:dyDescent="0.3">
      <c r="A9036" s="160">
        <v>65083</v>
      </c>
      <c r="B9036" t="s">
        <v>24111</v>
      </c>
      <c r="C9036" t="s">
        <v>8255</v>
      </c>
      <c r="D9036">
        <v>1.05</v>
      </c>
      <c r="E9036">
        <v>0</v>
      </c>
      <c r="F9036">
        <f t="shared" si="141"/>
        <v>1.05</v>
      </c>
      <c r="I9036">
        <v>20170701</v>
      </c>
      <c r="J9036" t="s">
        <v>8258</v>
      </c>
    </row>
    <row r="9037" spans="1:11" x14ac:dyDescent="0.3">
      <c r="A9037" s="160">
        <v>65084</v>
      </c>
      <c r="B9037" t="s">
        <v>24112</v>
      </c>
      <c r="C9037" t="s">
        <v>8255</v>
      </c>
      <c r="D9037">
        <v>1.05</v>
      </c>
      <c r="E9037">
        <v>0</v>
      </c>
      <c r="F9037">
        <f t="shared" si="141"/>
        <v>1.05</v>
      </c>
      <c r="I9037">
        <v>20170701</v>
      </c>
      <c r="J9037" t="s">
        <v>8258</v>
      </c>
    </row>
    <row r="9038" spans="1:11" x14ac:dyDescent="0.3">
      <c r="A9038" s="160">
        <v>65086</v>
      </c>
      <c r="B9038" t="s">
        <v>24113</v>
      </c>
      <c r="C9038" t="s">
        <v>8255</v>
      </c>
      <c r="D9038">
        <v>1.05</v>
      </c>
      <c r="E9038">
        <v>0</v>
      </c>
      <c r="F9038">
        <f t="shared" si="141"/>
        <v>1.05</v>
      </c>
      <c r="I9038">
        <v>20170701</v>
      </c>
      <c r="J9038" t="s">
        <v>8268</v>
      </c>
    </row>
    <row r="9039" spans="1:11" x14ac:dyDescent="0.3">
      <c r="A9039" s="160">
        <v>65100</v>
      </c>
      <c r="B9039" t="s">
        <v>24114</v>
      </c>
      <c r="C9039" t="s">
        <v>8255</v>
      </c>
      <c r="D9039">
        <v>1.05</v>
      </c>
      <c r="E9039">
        <v>0</v>
      </c>
      <c r="F9039">
        <f t="shared" si="141"/>
        <v>1.05</v>
      </c>
      <c r="I9039">
        <v>20170701</v>
      </c>
      <c r="J9039" t="s">
        <v>8269</v>
      </c>
      <c r="K9039" t="s">
        <v>8270</v>
      </c>
    </row>
    <row r="9040" spans="1:11" x14ac:dyDescent="0.3">
      <c r="A9040" s="160">
        <v>65101</v>
      </c>
      <c r="B9040" t="s">
        <v>24115</v>
      </c>
      <c r="C9040" t="s">
        <v>8255</v>
      </c>
      <c r="D9040">
        <v>1.05</v>
      </c>
      <c r="E9040">
        <v>0</v>
      </c>
      <c r="F9040">
        <f t="shared" si="141"/>
        <v>1.05</v>
      </c>
      <c r="I9040">
        <v>20170701</v>
      </c>
      <c r="J9040" t="s">
        <v>8268</v>
      </c>
    </row>
    <row r="9041" spans="1:10" x14ac:dyDescent="0.3">
      <c r="A9041" s="160">
        <v>65103</v>
      </c>
      <c r="B9041" t="s">
        <v>24116</v>
      </c>
      <c r="C9041" t="s">
        <v>8255</v>
      </c>
      <c r="D9041">
        <v>1.05</v>
      </c>
      <c r="E9041">
        <v>0</v>
      </c>
      <c r="F9041">
        <f t="shared" si="141"/>
        <v>1.05</v>
      </c>
      <c r="I9041">
        <v>20230101</v>
      </c>
      <c r="J9041" t="s">
        <v>8262</v>
      </c>
    </row>
    <row r="9042" spans="1:10" x14ac:dyDescent="0.3">
      <c r="A9042" s="160">
        <v>65104</v>
      </c>
      <c r="B9042" t="s">
        <v>24117</v>
      </c>
      <c r="C9042" t="s">
        <v>8255</v>
      </c>
      <c r="D9042">
        <v>1.05</v>
      </c>
      <c r="E9042">
        <v>0</v>
      </c>
      <c r="F9042">
        <f t="shared" si="141"/>
        <v>1.05</v>
      </c>
      <c r="I9042">
        <v>20170701</v>
      </c>
      <c r="J9042" t="s">
        <v>8262</v>
      </c>
    </row>
    <row r="9043" spans="1:10" x14ac:dyDescent="0.3">
      <c r="A9043" s="160">
        <v>65107</v>
      </c>
      <c r="B9043" t="s">
        <v>24118</v>
      </c>
      <c r="C9043" t="s">
        <v>8255</v>
      </c>
      <c r="D9043">
        <v>1.05</v>
      </c>
      <c r="E9043">
        <v>0</v>
      </c>
      <c r="F9043">
        <f t="shared" si="141"/>
        <v>1.05</v>
      </c>
      <c r="I9043">
        <v>20240101</v>
      </c>
      <c r="J9043" t="s">
        <v>8256</v>
      </c>
    </row>
    <row r="9044" spans="1:10" x14ac:dyDescent="0.3">
      <c r="A9044" s="160">
        <v>65108</v>
      </c>
      <c r="B9044" t="s">
        <v>24119</v>
      </c>
      <c r="C9044" t="s">
        <v>8255</v>
      </c>
      <c r="D9044">
        <v>1.05</v>
      </c>
      <c r="E9044">
        <v>0</v>
      </c>
      <c r="F9044">
        <f t="shared" si="141"/>
        <v>1.05</v>
      </c>
      <c r="I9044">
        <v>20170701</v>
      </c>
      <c r="J9044" t="s">
        <v>8266</v>
      </c>
    </row>
    <row r="9045" spans="1:10" x14ac:dyDescent="0.3">
      <c r="A9045" s="160">
        <v>65115</v>
      </c>
      <c r="B9045" t="s">
        <v>24120</v>
      </c>
      <c r="C9045" t="s">
        <v>8255</v>
      </c>
      <c r="D9045">
        <v>1.05</v>
      </c>
      <c r="E9045">
        <v>0</v>
      </c>
      <c r="F9045">
        <f t="shared" si="141"/>
        <v>1.05</v>
      </c>
      <c r="I9045">
        <v>20230101</v>
      </c>
      <c r="J9045" t="s">
        <v>8262</v>
      </c>
    </row>
    <row r="9046" spans="1:10" x14ac:dyDescent="0.3">
      <c r="A9046" s="160">
        <v>65120</v>
      </c>
      <c r="B9046" t="s">
        <v>24121</v>
      </c>
      <c r="C9046" t="s">
        <v>8255</v>
      </c>
      <c r="D9046">
        <v>1.05</v>
      </c>
      <c r="E9046">
        <v>0</v>
      </c>
      <c r="F9046">
        <f t="shared" si="141"/>
        <v>1.05</v>
      </c>
      <c r="I9046">
        <v>20170701</v>
      </c>
      <c r="J9046" t="s">
        <v>8268</v>
      </c>
    </row>
    <row r="9047" spans="1:10" x14ac:dyDescent="0.3">
      <c r="A9047" s="160">
        <v>65121</v>
      </c>
      <c r="B9047" t="s">
        <v>24122</v>
      </c>
      <c r="C9047" t="s">
        <v>8255</v>
      </c>
      <c r="D9047">
        <v>1.05</v>
      </c>
      <c r="E9047">
        <v>0</v>
      </c>
      <c r="F9047">
        <f t="shared" si="141"/>
        <v>1.05</v>
      </c>
      <c r="I9047">
        <v>20170701</v>
      </c>
      <c r="J9047" t="s">
        <v>8271</v>
      </c>
    </row>
    <row r="9048" spans="1:10" x14ac:dyDescent="0.3">
      <c r="A9048" s="160">
        <v>65131</v>
      </c>
      <c r="B9048" t="s">
        <v>24123</v>
      </c>
      <c r="C9048" t="s">
        <v>8255</v>
      </c>
      <c r="D9048">
        <v>1.05</v>
      </c>
      <c r="E9048">
        <v>0</v>
      </c>
      <c r="F9048">
        <f t="shared" si="141"/>
        <v>1.05</v>
      </c>
      <c r="I9048">
        <v>20230101</v>
      </c>
      <c r="J9048" t="s">
        <v>8262</v>
      </c>
    </row>
    <row r="9049" spans="1:10" x14ac:dyDescent="0.3">
      <c r="A9049" s="160">
        <v>65133</v>
      </c>
      <c r="B9049" t="s">
        <v>24124</v>
      </c>
      <c r="C9049" t="s">
        <v>8255</v>
      </c>
      <c r="D9049">
        <v>1.05</v>
      </c>
      <c r="E9049">
        <v>0</v>
      </c>
      <c r="F9049">
        <f t="shared" si="141"/>
        <v>1.05</v>
      </c>
      <c r="I9049">
        <v>20170701</v>
      </c>
      <c r="J9049" t="s">
        <v>8262</v>
      </c>
    </row>
    <row r="9050" spans="1:10" x14ac:dyDescent="0.3">
      <c r="A9050" s="160">
        <v>65142</v>
      </c>
      <c r="B9050" t="s">
        <v>24125</v>
      </c>
      <c r="C9050" t="s">
        <v>8255</v>
      </c>
      <c r="D9050">
        <v>1.05</v>
      </c>
      <c r="E9050">
        <v>0</v>
      </c>
      <c r="F9050">
        <f t="shared" si="141"/>
        <v>1.05</v>
      </c>
      <c r="I9050">
        <v>20230101</v>
      </c>
      <c r="J9050" t="s">
        <v>8262</v>
      </c>
    </row>
    <row r="9051" spans="1:10" x14ac:dyDescent="0.3">
      <c r="A9051" s="160">
        <v>65144</v>
      </c>
      <c r="B9051" t="s">
        <v>24126</v>
      </c>
      <c r="C9051" t="s">
        <v>8255</v>
      </c>
      <c r="D9051">
        <v>1.05</v>
      </c>
      <c r="E9051">
        <v>0</v>
      </c>
      <c r="F9051">
        <f t="shared" si="141"/>
        <v>1.05</v>
      </c>
      <c r="I9051">
        <v>20230101</v>
      </c>
      <c r="J9051" t="s">
        <v>8256</v>
      </c>
    </row>
    <row r="9052" spans="1:10" x14ac:dyDescent="0.3">
      <c r="A9052" s="160">
        <v>65146</v>
      </c>
      <c r="B9052" t="s">
        <v>24127</v>
      </c>
      <c r="C9052" t="s">
        <v>8255</v>
      </c>
      <c r="D9052">
        <v>1.05</v>
      </c>
      <c r="E9052">
        <v>0</v>
      </c>
      <c r="F9052">
        <f t="shared" si="141"/>
        <v>1.05</v>
      </c>
      <c r="I9052">
        <v>20170701</v>
      </c>
      <c r="J9052" t="s">
        <v>8263</v>
      </c>
    </row>
    <row r="9053" spans="1:10" x14ac:dyDescent="0.3">
      <c r="A9053" s="160">
        <v>65149</v>
      </c>
      <c r="B9053" t="s">
        <v>24128</v>
      </c>
      <c r="C9053" t="s">
        <v>8255</v>
      </c>
      <c r="D9053">
        <v>1.05</v>
      </c>
      <c r="E9053">
        <v>0</v>
      </c>
      <c r="F9053">
        <f t="shared" si="141"/>
        <v>1.05</v>
      </c>
      <c r="I9053">
        <v>20170701</v>
      </c>
      <c r="J9053" t="s">
        <v>8268</v>
      </c>
    </row>
    <row r="9054" spans="1:10" x14ac:dyDescent="0.3">
      <c r="A9054" s="160">
        <v>65151</v>
      </c>
      <c r="B9054" t="s">
        <v>15921</v>
      </c>
      <c r="C9054" t="s">
        <v>8255</v>
      </c>
      <c r="D9054">
        <v>1.05</v>
      </c>
      <c r="E9054">
        <v>0</v>
      </c>
      <c r="F9054">
        <f t="shared" si="141"/>
        <v>1.05</v>
      </c>
      <c r="I9054">
        <v>20170701</v>
      </c>
      <c r="J9054" t="s">
        <v>8262</v>
      </c>
    </row>
    <row r="9055" spans="1:10" x14ac:dyDescent="0.3">
      <c r="A9055" s="160">
        <v>65153</v>
      </c>
      <c r="B9055" t="s">
        <v>24129</v>
      </c>
      <c r="C9055" t="s">
        <v>8255</v>
      </c>
      <c r="D9055">
        <v>1.05</v>
      </c>
      <c r="E9055">
        <v>0</v>
      </c>
      <c r="F9055">
        <f t="shared" si="141"/>
        <v>1.05</v>
      </c>
      <c r="I9055">
        <v>20170701</v>
      </c>
      <c r="J9055" t="s">
        <v>8262</v>
      </c>
    </row>
    <row r="9056" spans="1:10" x14ac:dyDescent="0.3">
      <c r="A9056" s="160">
        <v>65156</v>
      </c>
      <c r="B9056" t="s">
        <v>24130</v>
      </c>
      <c r="C9056" t="s">
        <v>8255</v>
      </c>
      <c r="D9056">
        <v>1.05</v>
      </c>
      <c r="E9056">
        <v>0</v>
      </c>
      <c r="F9056">
        <f t="shared" si="141"/>
        <v>1.05</v>
      </c>
      <c r="I9056">
        <v>20170701</v>
      </c>
      <c r="J9056" t="s">
        <v>8262</v>
      </c>
    </row>
    <row r="9057" spans="1:11" x14ac:dyDescent="0.3">
      <c r="A9057" s="160">
        <v>65161</v>
      </c>
      <c r="B9057" t="s">
        <v>24131</v>
      </c>
      <c r="C9057" t="s">
        <v>8255</v>
      </c>
      <c r="D9057">
        <v>1.05</v>
      </c>
      <c r="E9057">
        <v>0</v>
      </c>
      <c r="F9057">
        <f t="shared" si="141"/>
        <v>1.05</v>
      </c>
      <c r="I9057">
        <v>20170701</v>
      </c>
      <c r="J9057" t="s">
        <v>8267</v>
      </c>
    </row>
    <row r="9058" spans="1:11" x14ac:dyDescent="0.3">
      <c r="A9058" s="160">
        <v>65164</v>
      </c>
      <c r="B9058" t="s">
        <v>24132</v>
      </c>
      <c r="C9058" t="s">
        <v>8255</v>
      </c>
      <c r="D9058">
        <v>1.05</v>
      </c>
      <c r="E9058">
        <v>0</v>
      </c>
      <c r="F9058">
        <f t="shared" si="141"/>
        <v>1.05</v>
      </c>
      <c r="I9058">
        <v>20240101</v>
      </c>
      <c r="J9058" t="s">
        <v>8256</v>
      </c>
    </row>
    <row r="9059" spans="1:11" x14ac:dyDescent="0.3">
      <c r="A9059" s="160">
        <v>65181</v>
      </c>
      <c r="B9059" t="s">
        <v>24133</v>
      </c>
      <c r="C9059" t="s">
        <v>8255</v>
      </c>
      <c r="D9059">
        <v>1.05</v>
      </c>
      <c r="E9059">
        <v>0</v>
      </c>
      <c r="F9059">
        <f t="shared" si="141"/>
        <v>1.05</v>
      </c>
      <c r="I9059">
        <v>20170701</v>
      </c>
      <c r="J9059" t="s">
        <v>8268</v>
      </c>
    </row>
    <row r="9060" spans="1:11" x14ac:dyDescent="0.3">
      <c r="A9060" s="160">
        <v>65185</v>
      </c>
      <c r="B9060" t="s">
        <v>24134</v>
      </c>
      <c r="C9060" t="s">
        <v>8255</v>
      </c>
      <c r="D9060">
        <v>1.05</v>
      </c>
      <c r="E9060">
        <v>0</v>
      </c>
      <c r="F9060">
        <f t="shared" si="141"/>
        <v>1.05</v>
      </c>
      <c r="I9060">
        <v>20170701</v>
      </c>
      <c r="J9060" t="s">
        <v>8269</v>
      </c>
    </row>
    <row r="9061" spans="1:11" x14ac:dyDescent="0.3">
      <c r="A9061" s="160">
        <v>65189</v>
      </c>
      <c r="B9061" t="s">
        <v>24135</v>
      </c>
      <c r="C9061" t="s">
        <v>8255</v>
      </c>
      <c r="D9061">
        <v>1.05</v>
      </c>
      <c r="E9061">
        <v>0</v>
      </c>
      <c r="F9061">
        <f t="shared" si="141"/>
        <v>1.05</v>
      </c>
      <c r="I9061">
        <v>20170701</v>
      </c>
      <c r="J9061" t="s">
        <v>8269</v>
      </c>
    </row>
    <row r="9062" spans="1:11" x14ac:dyDescent="0.3">
      <c r="A9062" s="160">
        <v>65191</v>
      </c>
      <c r="B9062" t="s">
        <v>24136</v>
      </c>
      <c r="C9062" t="s">
        <v>8255</v>
      </c>
      <c r="D9062">
        <v>1.05</v>
      </c>
      <c r="E9062">
        <v>0</v>
      </c>
      <c r="F9062">
        <f t="shared" si="141"/>
        <v>1.05</v>
      </c>
      <c r="I9062">
        <v>20240101</v>
      </c>
      <c r="J9062" t="s">
        <v>8256</v>
      </c>
    </row>
    <row r="9063" spans="1:11" x14ac:dyDescent="0.3">
      <c r="A9063" s="160">
        <v>65197</v>
      </c>
      <c r="B9063" t="s">
        <v>20510</v>
      </c>
      <c r="C9063" t="s">
        <v>8255</v>
      </c>
      <c r="D9063">
        <v>1.05</v>
      </c>
      <c r="E9063">
        <v>0</v>
      </c>
      <c r="F9063">
        <f t="shared" si="141"/>
        <v>1.05</v>
      </c>
      <c r="I9063">
        <v>20240101</v>
      </c>
      <c r="J9063" t="s">
        <v>8256</v>
      </c>
    </row>
    <row r="9064" spans="1:11" x14ac:dyDescent="0.3">
      <c r="A9064" s="160">
        <v>65200</v>
      </c>
      <c r="B9064" t="s">
        <v>24137</v>
      </c>
      <c r="C9064" t="s">
        <v>8255</v>
      </c>
      <c r="D9064">
        <v>1.05</v>
      </c>
      <c r="E9064">
        <v>0</v>
      </c>
      <c r="F9064">
        <f t="shared" si="141"/>
        <v>1.05</v>
      </c>
      <c r="I9064">
        <v>20240101</v>
      </c>
      <c r="J9064" t="s">
        <v>8272</v>
      </c>
    </row>
    <row r="9065" spans="1:11" x14ac:dyDescent="0.3">
      <c r="A9065" s="160">
        <v>65201</v>
      </c>
      <c r="B9065" t="s">
        <v>24138</v>
      </c>
      <c r="C9065" t="s">
        <v>8255</v>
      </c>
      <c r="D9065">
        <v>1.05</v>
      </c>
      <c r="E9065">
        <v>0</v>
      </c>
      <c r="F9065">
        <f t="shared" si="141"/>
        <v>1.05</v>
      </c>
      <c r="I9065">
        <v>20170701</v>
      </c>
      <c r="J9065" t="s">
        <v>8256</v>
      </c>
    </row>
    <row r="9066" spans="1:11" x14ac:dyDescent="0.3">
      <c r="A9066" s="160">
        <v>65203</v>
      </c>
      <c r="B9066" t="s">
        <v>24139</v>
      </c>
      <c r="C9066" t="s">
        <v>8255</v>
      </c>
      <c r="D9066">
        <v>1.05</v>
      </c>
      <c r="E9066">
        <v>0</v>
      </c>
      <c r="F9066">
        <f t="shared" si="141"/>
        <v>1.05</v>
      </c>
      <c r="I9066">
        <v>20240101</v>
      </c>
      <c r="J9066" t="s">
        <v>8256</v>
      </c>
    </row>
    <row r="9067" spans="1:11" x14ac:dyDescent="0.3">
      <c r="A9067" s="160">
        <v>65204</v>
      </c>
      <c r="B9067" t="s">
        <v>24140</v>
      </c>
      <c r="C9067" t="s">
        <v>8255</v>
      </c>
      <c r="D9067">
        <v>1.05</v>
      </c>
      <c r="E9067">
        <v>0</v>
      </c>
      <c r="F9067">
        <f t="shared" si="141"/>
        <v>1.05</v>
      </c>
      <c r="I9067">
        <v>20170701</v>
      </c>
      <c r="J9067" t="s">
        <v>8262</v>
      </c>
    </row>
    <row r="9068" spans="1:11" x14ac:dyDescent="0.3">
      <c r="A9068" s="160">
        <v>65206</v>
      </c>
      <c r="B9068" t="s">
        <v>24141</v>
      </c>
      <c r="C9068" t="s">
        <v>8255</v>
      </c>
      <c r="D9068">
        <v>1.05</v>
      </c>
      <c r="E9068">
        <v>0</v>
      </c>
      <c r="F9068">
        <f t="shared" si="141"/>
        <v>1.05</v>
      </c>
      <c r="I9068">
        <v>20170701</v>
      </c>
      <c r="J9068" t="s">
        <v>8268</v>
      </c>
    </row>
    <row r="9069" spans="1:11" x14ac:dyDescent="0.3">
      <c r="A9069" s="160">
        <v>65220</v>
      </c>
      <c r="B9069" t="s">
        <v>24142</v>
      </c>
      <c r="C9069" t="s">
        <v>8255</v>
      </c>
      <c r="D9069">
        <v>1.05</v>
      </c>
      <c r="E9069">
        <v>0</v>
      </c>
      <c r="F9069">
        <f t="shared" si="141"/>
        <v>1.05</v>
      </c>
      <c r="I9069">
        <v>20170701</v>
      </c>
      <c r="J9069" t="s">
        <v>8265</v>
      </c>
    </row>
    <row r="9070" spans="1:11" x14ac:dyDescent="0.3">
      <c r="A9070" s="160">
        <v>65221</v>
      </c>
      <c r="B9070" t="s">
        <v>24143</v>
      </c>
      <c r="C9070" t="s">
        <v>8255</v>
      </c>
      <c r="D9070">
        <v>1.05</v>
      </c>
      <c r="E9070">
        <v>0</v>
      </c>
      <c r="F9070">
        <f t="shared" si="141"/>
        <v>1.05</v>
      </c>
      <c r="I9070">
        <v>20170701</v>
      </c>
      <c r="J9070" t="s">
        <v>8272</v>
      </c>
    </row>
    <row r="9071" spans="1:11" x14ac:dyDescent="0.3">
      <c r="A9071" s="160">
        <v>65222</v>
      </c>
      <c r="B9071" t="s">
        <v>24144</v>
      </c>
      <c r="C9071" t="s">
        <v>8255</v>
      </c>
      <c r="D9071">
        <v>1.05</v>
      </c>
      <c r="E9071">
        <v>0</v>
      </c>
      <c r="F9071">
        <f t="shared" si="141"/>
        <v>1.05</v>
      </c>
      <c r="I9071">
        <v>20170701</v>
      </c>
      <c r="J9071" t="s">
        <v>8268</v>
      </c>
    </row>
    <row r="9072" spans="1:11" x14ac:dyDescent="0.3">
      <c r="A9072" s="160">
        <v>65223</v>
      </c>
      <c r="B9072" t="s">
        <v>24145</v>
      </c>
      <c r="C9072" t="s">
        <v>8255</v>
      </c>
      <c r="D9072">
        <v>1.05</v>
      </c>
      <c r="E9072">
        <v>0</v>
      </c>
      <c r="F9072">
        <f t="shared" si="141"/>
        <v>1.05</v>
      </c>
      <c r="I9072">
        <v>20170701</v>
      </c>
      <c r="J9072" t="s">
        <v>8273</v>
      </c>
      <c r="K9072" t="s">
        <v>8274</v>
      </c>
    </row>
    <row r="9073" spans="1:13" x14ac:dyDescent="0.3">
      <c r="A9073" s="160">
        <v>65225</v>
      </c>
      <c r="B9073" t="s">
        <v>24146</v>
      </c>
      <c r="C9073" t="s">
        <v>8255</v>
      </c>
      <c r="D9073">
        <v>1.05</v>
      </c>
      <c r="E9073">
        <v>0</v>
      </c>
      <c r="F9073">
        <f t="shared" si="141"/>
        <v>1.05</v>
      </c>
      <c r="I9073">
        <v>20170701</v>
      </c>
      <c r="J9073" t="s">
        <v>8262</v>
      </c>
    </row>
    <row r="9074" spans="1:13" x14ac:dyDescent="0.3">
      <c r="A9074" s="160">
        <v>65226</v>
      </c>
      <c r="B9074" t="s">
        <v>24147</v>
      </c>
      <c r="C9074" t="s">
        <v>8255</v>
      </c>
      <c r="D9074">
        <v>1.05</v>
      </c>
      <c r="E9074">
        <v>0</v>
      </c>
      <c r="F9074">
        <f t="shared" si="141"/>
        <v>1.05</v>
      </c>
      <c r="I9074">
        <v>20170701</v>
      </c>
      <c r="J9074" t="s">
        <v>8275</v>
      </c>
      <c r="K9074" t="s">
        <v>8276</v>
      </c>
      <c r="L9074" t="s">
        <v>8277</v>
      </c>
      <c r="M9074" t="s">
        <v>8278</v>
      </c>
    </row>
    <row r="9075" spans="1:13" x14ac:dyDescent="0.3">
      <c r="A9075" s="160">
        <v>65232</v>
      </c>
      <c r="B9075" t="s">
        <v>24148</v>
      </c>
      <c r="C9075" t="s">
        <v>8255</v>
      </c>
      <c r="D9075">
        <v>1.05</v>
      </c>
      <c r="E9075">
        <v>0</v>
      </c>
      <c r="F9075">
        <f t="shared" si="141"/>
        <v>1.05</v>
      </c>
      <c r="I9075">
        <v>20230101</v>
      </c>
      <c r="J9075" t="s">
        <v>8262</v>
      </c>
    </row>
    <row r="9076" spans="1:13" x14ac:dyDescent="0.3">
      <c r="A9076" s="160">
        <v>65233</v>
      </c>
      <c r="B9076" t="s">
        <v>24149</v>
      </c>
      <c r="C9076" t="s">
        <v>8255</v>
      </c>
      <c r="D9076">
        <v>1.05</v>
      </c>
      <c r="E9076">
        <v>0</v>
      </c>
      <c r="F9076">
        <f t="shared" si="141"/>
        <v>1.05</v>
      </c>
      <c r="I9076">
        <v>20240101</v>
      </c>
      <c r="J9076" t="s">
        <v>8256</v>
      </c>
    </row>
    <row r="9077" spans="1:13" x14ac:dyDescent="0.3">
      <c r="A9077" s="160">
        <v>65235</v>
      </c>
      <c r="B9077" t="s">
        <v>24150</v>
      </c>
      <c r="C9077" t="s">
        <v>8255</v>
      </c>
      <c r="D9077">
        <v>1.05</v>
      </c>
      <c r="E9077">
        <v>0</v>
      </c>
      <c r="F9077">
        <f t="shared" si="141"/>
        <v>1.05</v>
      </c>
      <c r="I9077">
        <v>20170701</v>
      </c>
      <c r="J9077" t="s">
        <v>8279</v>
      </c>
    </row>
    <row r="9078" spans="1:13" x14ac:dyDescent="0.3">
      <c r="A9078" s="160">
        <v>65236</v>
      </c>
      <c r="B9078" t="s">
        <v>24151</v>
      </c>
      <c r="C9078" t="s">
        <v>8255</v>
      </c>
      <c r="D9078">
        <v>1.05</v>
      </c>
      <c r="E9078">
        <v>0</v>
      </c>
      <c r="F9078">
        <f t="shared" si="141"/>
        <v>1.05</v>
      </c>
      <c r="I9078">
        <v>20240101</v>
      </c>
      <c r="J9078" t="s">
        <v>8256</v>
      </c>
    </row>
    <row r="9079" spans="1:13" x14ac:dyDescent="0.3">
      <c r="A9079" s="160">
        <v>65237</v>
      </c>
      <c r="B9079" t="s">
        <v>24152</v>
      </c>
      <c r="C9079" t="s">
        <v>8255</v>
      </c>
      <c r="D9079">
        <v>1.05</v>
      </c>
      <c r="E9079">
        <v>0</v>
      </c>
      <c r="F9079">
        <f t="shared" si="141"/>
        <v>1.05</v>
      </c>
      <c r="I9079">
        <v>20240101</v>
      </c>
      <c r="J9079" t="s">
        <v>8256</v>
      </c>
    </row>
    <row r="9080" spans="1:13" x14ac:dyDescent="0.3">
      <c r="A9080" s="160">
        <v>65244</v>
      </c>
      <c r="B9080" t="s">
        <v>24153</v>
      </c>
      <c r="C9080" t="s">
        <v>8255</v>
      </c>
      <c r="D9080">
        <v>1.05</v>
      </c>
      <c r="E9080">
        <v>0</v>
      </c>
      <c r="F9080">
        <f t="shared" si="141"/>
        <v>1.05</v>
      </c>
      <c r="I9080">
        <v>20170701</v>
      </c>
      <c r="J9080" t="s">
        <v>8269</v>
      </c>
    </row>
    <row r="9081" spans="1:13" x14ac:dyDescent="0.3">
      <c r="A9081" s="160">
        <v>65247</v>
      </c>
      <c r="B9081" t="s">
        <v>24154</v>
      </c>
      <c r="C9081" t="s">
        <v>8255</v>
      </c>
      <c r="D9081">
        <v>1.05</v>
      </c>
      <c r="E9081">
        <v>0</v>
      </c>
      <c r="F9081">
        <f t="shared" si="141"/>
        <v>1.05</v>
      </c>
      <c r="I9081">
        <v>20240101</v>
      </c>
      <c r="J9081" t="s">
        <v>8256</v>
      </c>
    </row>
    <row r="9082" spans="1:13" x14ac:dyDescent="0.3">
      <c r="A9082" s="160">
        <v>65251</v>
      </c>
      <c r="B9082" t="s">
        <v>24155</v>
      </c>
      <c r="C9082" t="s">
        <v>8255</v>
      </c>
      <c r="D9082">
        <v>1.05</v>
      </c>
      <c r="E9082">
        <v>0</v>
      </c>
      <c r="F9082">
        <f t="shared" si="141"/>
        <v>1.05</v>
      </c>
      <c r="I9082">
        <v>20170701</v>
      </c>
      <c r="J9082" t="s">
        <v>8273</v>
      </c>
      <c r="K9082" t="s">
        <v>8274</v>
      </c>
    </row>
    <row r="9083" spans="1:13" x14ac:dyDescent="0.3">
      <c r="A9083" s="160">
        <v>65252</v>
      </c>
      <c r="B9083" t="s">
        <v>24156</v>
      </c>
      <c r="C9083" t="s">
        <v>8255</v>
      </c>
      <c r="D9083">
        <v>1.05</v>
      </c>
      <c r="E9083">
        <v>0</v>
      </c>
      <c r="F9083">
        <f t="shared" si="141"/>
        <v>1.05</v>
      </c>
      <c r="I9083">
        <v>20170701</v>
      </c>
      <c r="J9083" t="s">
        <v>8280</v>
      </c>
      <c r="K9083" t="s">
        <v>8265</v>
      </c>
    </row>
    <row r="9084" spans="1:13" x14ac:dyDescent="0.3">
      <c r="A9084" s="160">
        <v>65257</v>
      </c>
      <c r="B9084" t="s">
        <v>24157</v>
      </c>
      <c r="C9084" t="s">
        <v>8255</v>
      </c>
      <c r="D9084">
        <v>1.05</v>
      </c>
      <c r="E9084">
        <v>0</v>
      </c>
      <c r="F9084">
        <f t="shared" si="141"/>
        <v>1.05</v>
      </c>
      <c r="I9084">
        <v>20170701</v>
      </c>
      <c r="J9084" t="s">
        <v>8281</v>
      </c>
      <c r="K9084" t="s">
        <v>8265</v>
      </c>
    </row>
    <row r="9085" spans="1:13" x14ac:dyDescent="0.3">
      <c r="A9085" s="160">
        <v>65259</v>
      </c>
      <c r="B9085" t="s">
        <v>18776</v>
      </c>
      <c r="C9085" t="s">
        <v>8255</v>
      </c>
      <c r="D9085">
        <v>1.05</v>
      </c>
      <c r="E9085">
        <v>0</v>
      </c>
      <c r="F9085">
        <f t="shared" si="141"/>
        <v>1.05</v>
      </c>
      <c r="I9085">
        <v>20170701</v>
      </c>
      <c r="J9085" t="s">
        <v>8262</v>
      </c>
    </row>
    <row r="9086" spans="1:13" x14ac:dyDescent="0.3">
      <c r="A9086" s="160">
        <v>65265</v>
      </c>
      <c r="B9086" t="s">
        <v>24158</v>
      </c>
      <c r="C9086" t="s">
        <v>8255</v>
      </c>
      <c r="D9086">
        <v>1.05</v>
      </c>
      <c r="E9086">
        <v>0</v>
      </c>
      <c r="F9086">
        <f t="shared" si="141"/>
        <v>1.05</v>
      </c>
      <c r="I9086">
        <v>20170701</v>
      </c>
      <c r="J9086" t="s">
        <v>8262</v>
      </c>
    </row>
    <row r="9087" spans="1:13" x14ac:dyDescent="0.3">
      <c r="A9087" s="160">
        <v>65268</v>
      </c>
      <c r="B9087" t="s">
        <v>24159</v>
      </c>
      <c r="C9087" t="s">
        <v>8255</v>
      </c>
      <c r="D9087">
        <v>1.05</v>
      </c>
      <c r="E9087">
        <v>0</v>
      </c>
      <c r="F9087">
        <f t="shared" si="141"/>
        <v>1.05</v>
      </c>
      <c r="I9087">
        <v>20170701</v>
      </c>
      <c r="J9087" t="s">
        <v>8265</v>
      </c>
    </row>
    <row r="9088" spans="1:13" x14ac:dyDescent="0.3">
      <c r="A9088" s="160">
        <v>65269</v>
      </c>
      <c r="B9088" t="s">
        <v>24160</v>
      </c>
      <c r="C9088" t="s">
        <v>8255</v>
      </c>
      <c r="D9088">
        <v>1.05</v>
      </c>
      <c r="E9088">
        <v>0</v>
      </c>
      <c r="F9088">
        <f t="shared" si="141"/>
        <v>1.05</v>
      </c>
      <c r="I9088">
        <v>20170701</v>
      </c>
      <c r="J9088" t="s">
        <v>8267</v>
      </c>
    </row>
    <row r="9089" spans="1:18" x14ac:dyDescent="0.3">
      <c r="A9089" s="160">
        <v>65270</v>
      </c>
      <c r="B9089" t="s">
        <v>24161</v>
      </c>
      <c r="C9089" t="s">
        <v>8255</v>
      </c>
      <c r="D9089">
        <v>1.05</v>
      </c>
      <c r="E9089">
        <v>0</v>
      </c>
      <c r="F9089">
        <f t="shared" si="141"/>
        <v>1.05</v>
      </c>
      <c r="I9089">
        <v>20170701</v>
      </c>
      <c r="J9089" t="s">
        <v>8268</v>
      </c>
    </row>
    <row r="9090" spans="1:18" x14ac:dyDescent="0.3">
      <c r="A9090" s="160">
        <v>65271</v>
      </c>
      <c r="B9090" t="s">
        <v>24162</v>
      </c>
      <c r="C9090" t="s">
        <v>8255</v>
      </c>
      <c r="D9090">
        <v>1.05</v>
      </c>
      <c r="E9090">
        <v>0</v>
      </c>
      <c r="F9090">
        <f t="shared" si="141"/>
        <v>1.05</v>
      </c>
      <c r="I9090">
        <v>20240101</v>
      </c>
      <c r="J9090" t="s">
        <v>8256</v>
      </c>
    </row>
    <row r="9091" spans="1:18" x14ac:dyDescent="0.3">
      <c r="A9091" s="160">
        <v>65272</v>
      </c>
      <c r="B9091" t="s">
        <v>24163</v>
      </c>
      <c r="C9091" t="s">
        <v>8255</v>
      </c>
      <c r="D9091">
        <v>1.05</v>
      </c>
      <c r="E9091">
        <v>0</v>
      </c>
      <c r="F9091">
        <f t="shared" si="141"/>
        <v>1.05</v>
      </c>
      <c r="I9091">
        <v>20170701</v>
      </c>
      <c r="J9091" t="s">
        <v>8268</v>
      </c>
    </row>
    <row r="9092" spans="1:18" x14ac:dyDescent="0.3">
      <c r="A9092" s="160">
        <v>65276</v>
      </c>
      <c r="B9092" t="s">
        <v>24164</v>
      </c>
      <c r="C9092" t="s">
        <v>8255</v>
      </c>
      <c r="D9092">
        <v>1.05</v>
      </c>
      <c r="E9092">
        <v>0</v>
      </c>
      <c r="F9092">
        <f t="shared" si="141"/>
        <v>1.05</v>
      </c>
      <c r="I9092">
        <v>20170701</v>
      </c>
      <c r="J9092" t="s">
        <v>8262</v>
      </c>
    </row>
    <row r="9093" spans="1:18" x14ac:dyDescent="0.3">
      <c r="A9093" s="160">
        <v>65280</v>
      </c>
      <c r="B9093" t="s">
        <v>24165</v>
      </c>
      <c r="C9093" t="s">
        <v>8255</v>
      </c>
      <c r="D9093">
        <v>1.05</v>
      </c>
      <c r="E9093">
        <v>0</v>
      </c>
      <c r="F9093">
        <f t="shared" si="141"/>
        <v>1.05</v>
      </c>
      <c r="I9093">
        <v>20240101</v>
      </c>
      <c r="J9093" t="s">
        <v>8256</v>
      </c>
    </row>
    <row r="9094" spans="1:18" x14ac:dyDescent="0.3">
      <c r="A9094" s="160">
        <v>65281</v>
      </c>
      <c r="B9094" t="s">
        <v>24166</v>
      </c>
      <c r="C9094" t="s">
        <v>8255</v>
      </c>
      <c r="D9094">
        <v>1.05</v>
      </c>
      <c r="E9094">
        <v>0</v>
      </c>
      <c r="F9094">
        <f t="shared" si="141"/>
        <v>1.05</v>
      </c>
      <c r="I9094">
        <v>20170701</v>
      </c>
      <c r="J9094" t="s">
        <v>8272</v>
      </c>
    </row>
    <row r="9095" spans="1:18" x14ac:dyDescent="0.3">
      <c r="A9095" s="160">
        <v>65284</v>
      </c>
      <c r="B9095" t="s">
        <v>24167</v>
      </c>
      <c r="C9095" t="s">
        <v>8255</v>
      </c>
      <c r="D9095">
        <v>1.05</v>
      </c>
      <c r="E9095">
        <v>0</v>
      </c>
      <c r="F9095">
        <f t="shared" ref="F9095:F9158" si="142">D9095+E9095</f>
        <v>1.05</v>
      </c>
      <c r="I9095">
        <v>20170701</v>
      </c>
      <c r="J9095" t="s">
        <v>8279</v>
      </c>
      <c r="K9095" t="s">
        <v>8282</v>
      </c>
    </row>
    <row r="9096" spans="1:18" x14ac:dyDescent="0.3">
      <c r="A9096" s="160">
        <v>65285</v>
      </c>
      <c r="B9096" t="s">
        <v>24168</v>
      </c>
      <c r="C9096" t="s">
        <v>8255</v>
      </c>
      <c r="D9096">
        <v>1.05</v>
      </c>
      <c r="E9096">
        <v>0</v>
      </c>
      <c r="F9096">
        <f t="shared" si="142"/>
        <v>1.05</v>
      </c>
      <c r="I9096">
        <v>20170701</v>
      </c>
      <c r="J9096" t="s">
        <v>8262</v>
      </c>
    </row>
    <row r="9097" spans="1:18" x14ac:dyDescent="0.3">
      <c r="A9097" s="160">
        <v>65286</v>
      </c>
      <c r="B9097" t="s">
        <v>24169</v>
      </c>
      <c r="C9097" t="s">
        <v>8255</v>
      </c>
      <c r="D9097">
        <v>1.05</v>
      </c>
      <c r="E9097">
        <v>0</v>
      </c>
      <c r="F9097">
        <f t="shared" si="142"/>
        <v>1.05</v>
      </c>
      <c r="I9097">
        <v>20240101</v>
      </c>
      <c r="J9097" t="s">
        <v>8256</v>
      </c>
      <c r="K9097" t="s">
        <v>8280</v>
      </c>
      <c r="L9097" t="s">
        <v>8283</v>
      </c>
      <c r="M9097" t="s">
        <v>8284</v>
      </c>
      <c r="N9097" t="s">
        <v>8281</v>
      </c>
      <c r="O9097" t="s">
        <v>8285</v>
      </c>
      <c r="P9097" t="s">
        <v>8286</v>
      </c>
      <c r="Q9097" t="s">
        <v>8257</v>
      </c>
      <c r="R9097" t="s">
        <v>8287</v>
      </c>
    </row>
    <row r="9098" spans="1:18" x14ac:dyDescent="0.3">
      <c r="A9098" s="160">
        <v>65291</v>
      </c>
      <c r="B9098" t="s">
        <v>24170</v>
      </c>
      <c r="C9098" t="s">
        <v>8255</v>
      </c>
      <c r="D9098">
        <v>1.05</v>
      </c>
      <c r="E9098">
        <v>0</v>
      </c>
      <c r="F9098">
        <f t="shared" si="142"/>
        <v>1.05</v>
      </c>
      <c r="I9098">
        <v>20240101</v>
      </c>
      <c r="J9098" t="s">
        <v>8256</v>
      </c>
    </row>
    <row r="9099" spans="1:18" x14ac:dyDescent="0.3">
      <c r="A9099" s="160">
        <v>65292</v>
      </c>
      <c r="B9099" t="s">
        <v>24171</v>
      </c>
      <c r="C9099" t="s">
        <v>8255</v>
      </c>
      <c r="D9099">
        <v>1.05</v>
      </c>
      <c r="E9099">
        <v>0</v>
      </c>
      <c r="F9099">
        <f t="shared" si="142"/>
        <v>1.05</v>
      </c>
      <c r="I9099">
        <v>20170701</v>
      </c>
      <c r="J9099" t="s">
        <v>8269</v>
      </c>
    </row>
    <row r="9100" spans="1:18" x14ac:dyDescent="0.3">
      <c r="A9100" s="160">
        <v>65297</v>
      </c>
      <c r="B9100" t="s">
        <v>24172</v>
      </c>
      <c r="C9100" t="s">
        <v>8255</v>
      </c>
      <c r="D9100">
        <v>1.05</v>
      </c>
      <c r="E9100">
        <v>0</v>
      </c>
      <c r="F9100">
        <f t="shared" si="142"/>
        <v>1.05</v>
      </c>
      <c r="I9100">
        <v>20170701</v>
      </c>
      <c r="J9100" t="s">
        <v>8267</v>
      </c>
    </row>
    <row r="9101" spans="1:18" x14ac:dyDescent="0.3">
      <c r="A9101" s="160">
        <v>65298</v>
      </c>
      <c r="B9101" t="s">
        <v>24173</v>
      </c>
      <c r="C9101" t="s">
        <v>8255</v>
      </c>
      <c r="D9101">
        <v>1.05</v>
      </c>
      <c r="E9101">
        <v>0</v>
      </c>
      <c r="F9101">
        <f t="shared" si="142"/>
        <v>1.05</v>
      </c>
      <c r="I9101">
        <v>20230101</v>
      </c>
      <c r="J9101" t="s">
        <v>8262</v>
      </c>
    </row>
    <row r="9102" spans="1:18" x14ac:dyDescent="0.3">
      <c r="A9102" s="160">
        <v>65299</v>
      </c>
      <c r="B9102" t="s">
        <v>16669</v>
      </c>
      <c r="C9102" t="s">
        <v>8255</v>
      </c>
      <c r="D9102">
        <v>1.05</v>
      </c>
      <c r="E9102">
        <v>0</v>
      </c>
      <c r="F9102">
        <f t="shared" si="142"/>
        <v>1.05</v>
      </c>
      <c r="I9102">
        <v>20170701</v>
      </c>
      <c r="J9102" t="s">
        <v>8271</v>
      </c>
    </row>
    <row r="9103" spans="1:18" x14ac:dyDescent="0.3">
      <c r="A9103" s="160">
        <v>65301</v>
      </c>
      <c r="B9103" t="s">
        <v>19083</v>
      </c>
      <c r="C9103" t="s">
        <v>8255</v>
      </c>
      <c r="D9103">
        <v>1.05</v>
      </c>
      <c r="E9103">
        <v>0</v>
      </c>
      <c r="F9103">
        <f t="shared" si="142"/>
        <v>1.05</v>
      </c>
      <c r="I9103">
        <v>20230101</v>
      </c>
      <c r="J9103" t="s">
        <v>8262</v>
      </c>
    </row>
    <row r="9104" spans="1:18" x14ac:dyDescent="0.3">
      <c r="A9104" s="160">
        <v>65303</v>
      </c>
      <c r="B9104" t="s">
        <v>24174</v>
      </c>
      <c r="C9104" t="s">
        <v>8255</v>
      </c>
      <c r="D9104">
        <v>1.05</v>
      </c>
      <c r="E9104">
        <v>0</v>
      </c>
      <c r="F9104">
        <f t="shared" si="142"/>
        <v>1.05</v>
      </c>
      <c r="I9104">
        <v>20170701</v>
      </c>
      <c r="J9104" t="s">
        <v>8268</v>
      </c>
    </row>
    <row r="9105" spans="1:13" x14ac:dyDescent="0.3">
      <c r="A9105" s="160">
        <v>65313</v>
      </c>
      <c r="B9105" t="s">
        <v>24175</v>
      </c>
      <c r="C9105" t="s">
        <v>8255</v>
      </c>
      <c r="D9105">
        <v>1.05</v>
      </c>
      <c r="E9105">
        <v>0</v>
      </c>
      <c r="F9105">
        <f t="shared" si="142"/>
        <v>1.05</v>
      </c>
      <c r="I9105">
        <v>20170701</v>
      </c>
      <c r="J9105" t="s">
        <v>8258</v>
      </c>
    </row>
    <row r="9106" spans="1:13" x14ac:dyDescent="0.3">
      <c r="A9106" s="160">
        <v>65321</v>
      </c>
      <c r="B9106" t="s">
        <v>18831</v>
      </c>
      <c r="C9106" t="s">
        <v>8255</v>
      </c>
      <c r="D9106">
        <v>1.05</v>
      </c>
      <c r="E9106">
        <v>0</v>
      </c>
      <c r="F9106">
        <f t="shared" si="142"/>
        <v>1.05</v>
      </c>
      <c r="I9106">
        <v>20170701</v>
      </c>
      <c r="J9106" t="s">
        <v>8261</v>
      </c>
    </row>
    <row r="9107" spans="1:13" x14ac:dyDescent="0.3">
      <c r="A9107" s="160">
        <v>65324</v>
      </c>
      <c r="B9107" t="s">
        <v>24176</v>
      </c>
      <c r="C9107" t="s">
        <v>8255</v>
      </c>
      <c r="D9107">
        <v>1.05</v>
      </c>
      <c r="E9107">
        <v>0</v>
      </c>
      <c r="F9107">
        <f t="shared" si="142"/>
        <v>1.05</v>
      </c>
      <c r="I9107">
        <v>20170701</v>
      </c>
      <c r="J9107" t="s">
        <v>8268</v>
      </c>
    </row>
    <row r="9108" spans="1:13" x14ac:dyDescent="0.3">
      <c r="A9108" s="160">
        <v>65326</v>
      </c>
      <c r="B9108" t="s">
        <v>24177</v>
      </c>
      <c r="C9108" t="s">
        <v>8255</v>
      </c>
      <c r="D9108">
        <v>1.05</v>
      </c>
      <c r="E9108">
        <v>0</v>
      </c>
      <c r="F9108">
        <f t="shared" si="142"/>
        <v>1.05</v>
      </c>
      <c r="I9108">
        <v>20230101</v>
      </c>
      <c r="J9108" t="s">
        <v>8262</v>
      </c>
    </row>
    <row r="9109" spans="1:13" x14ac:dyDescent="0.3">
      <c r="A9109" s="160">
        <v>65331</v>
      </c>
      <c r="B9109" t="s">
        <v>24178</v>
      </c>
      <c r="C9109" t="s">
        <v>8255</v>
      </c>
      <c r="D9109">
        <v>1.05</v>
      </c>
      <c r="E9109">
        <v>0</v>
      </c>
      <c r="F9109">
        <f t="shared" si="142"/>
        <v>1.05</v>
      </c>
      <c r="I9109">
        <v>20170701</v>
      </c>
      <c r="J9109" t="s">
        <v>8288</v>
      </c>
      <c r="K9109" t="s">
        <v>8273</v>
      </c>
      <c r="L9109" t="s">
        <v>8274</v>
      </c>
      <c r="M9109" t="s">
        <v>8289</v>
      </c>
    </row>
    <row r="9110" spans="1:13" x14ac:dyDescent="0.3">
      <c r="A9110" s="160">
        <v>65332</v>
      </c>
      <c r="B9110" t="s">
        <v>24179</v>
      </c>
      <c r="C9110" t="s">
        <v>8255</v>
      </c>
      <c r="D9110">
        <v>1.05</v>
      </c>
      <c r="E9110">
        <v>0</v>
      </c>
      <c r="F9110">
        <f t="shared" si="142"/>
        <v>1.05</v>
      </c>
      <c r="I9110">
        <v>20170701</v>
      </c>
      <c r="J9110" t="s">
        <v>8262</v>
      </c>
    </row>
    <row r="9111" spans="1:13" x14ac:dyDescent="0.3">
      <c r="A9111" s="160">
        <v>65333</v>
      </c>
      <c r="B9111" t="s">
        <v>24180</v>
      </c>
      <c r="C9111" t="s">
        <v>8255</v>
      </c>
      <c r="D9111">
        <v>1.05</v>
      </c>
      <c r="E9111">
        <v>0</v>
      </c>
      <c r="F9111">
        <f t="shared" si="142"/>
        <v>1.05</v>
      </c>
      <c r="I9111">
        <v>20170701</v>
      </c>
      <c r="J9111" t="s">
        <v>8268</v>
      </c>
    </row>
    <row r="9112" spans="1:13" x14ac:dyDescent="0.3">
      <c r="A9112" s="160">
        <v>65334</v>
      </c>
      <c r="B9112" t="s">
        <v>24181</v>
      </c>
      <c r="C9112" t="s">
        <v>8255</v>
      </c>
      <c r="D9112">
        <v>1.05</v>
      </c>
      <c r="E9112">
        <v>0</v>
      </c>
      <c r="F9112">
        <f t="shared" si="142"/>
        <v>1.05</v>
      </c>
      <c r="I9112">
        <v>20240101</v>
      </c>
      <c r="J9112" t="s">
        <v>8256</v>
      </c>
    </row>
    <row r="9113" spans="1:13" x14ac:dyDescent="0.3">
      <c r="A9113" s="160">
        <v>65339</v>
      </c>
      <c r="B9113" t="s">
        <v>24182</v>
      </c>
      <c r="C9113" t="s">
        <v>8255</v>
      </c>
      <c r="D9113">
        <v>1.05</v>
      </c>
      <c r="E9113">
        <v>0</v>
      </c>
      <c r="F9113">
        <f t="shared" si="142"/>
        <v>1.05</v>
      </c>
      <c r="I9113">
        <v>20170701</v>
      </c>
      <c r="J9113" t="s">
        <v>8265</v>
      </c>
    </row>
    <row r="9114" spans="1:13" x14ac:dyDescent="0.3">
      <c r="A9114" s="160">
        <v>65340</v>
      </c>
      <c r="B9114" t="s">
        <v>24183</v>
      </c>
      <c r="C9114" t="s">
        <v>8255</v>
      </c>
      <c r="D9114">
        <v>1.05</v>
      </c>
      <c r="E9114">
        <v>0</v>
      </c>
      <c r="F9114">
        <f t="shared" si="142"/>
        <v>1.05</v>
      </c>
      <c r="I9114">
        <v>20170701</v>
      </c>
      <c r="J9114" t="s">
        <v>8263</v>
      </c>
      <c r="K9114" t="s">
        <v>8264</v>
      </c>
    </row>
    <row r="9115" spans="1:13" x14ac:dyDescent="0.3">
      <c r="A9115" s="160">
        <v>65343</v>
      </c>
      <c r="B9115" t="s">
        <v>24184</v>
      </c>
      <c r="C9115" t="s">
        <v>8255</v>
      </c>
      <c r="D9115">
        <v>1.05</v>
      </c>
      <c r="E9115">
        <v>0</v>
      </c>
      <c r="F9115">
        <f t="shared" si="142"/>
        <v>1.05</v>
      </c>
      <c r="I9115">
        <v>20240101</v>
      </c>
      <c r="J9115" t="s">
        <v>8256</v>
      </c>
    </row>
    <row r="9116" spans="1:13" x14ac:dyDescent="0.3">
      <c r="A9116" s="160">
        <v>65344</v>
      </c>
      <c r="B9116" t="s">
        <v>24185</v>
      </c>
      <c r="C9116" t="s">
        <v>8255</v>
      </c>
      <c r="D9116">
        <v>1.05</v>
      </c>
      <c r="E9116">
        <v>0</v>
      </c>
      <c r="F9116">
        <f t="shared" si="142"/>
        <v>1.05</v>
      </c>
      <c r="I9116">
        <v>20170701</v>
      </c>
      <c r="J9116" t="s">
        <v>8265</v>
      </c>
    </row>
    <row r="9117" spans="1:13" x14ac:dyDescent="0.3">
      <c r="A9117" s="160">
        <v>65345</v>
      </c>
      <c r="B9117" t="s">
        <v>24186</v>
      </c>
      <c r="C9117" t="s">
        <v>8255</v>
      </c>
      <c r="D9117">
        <v>1.05</v>
      </c>
      <c r="E9117">
        <v>0</v>
      </c>
      <c r="F9117">
        <f t="shared" si="142"/>
        <v>1.05</v>
      </c>
      <c r="I9117">
        <v>20240101</v>
      </c>
      <c r="J9117" t="s">
        <v>8256</v>
      </c>
    </row>
    <row r="9118" spans="1:13" x14ac:dyDescent="0.3">
      <c r="A9118" s="160">
        <v>65346</v>
      </c>
      <c r="B9118" t="s">
        <v>24187</v>
      </c>
      <c r="C9118" t="s">
        <v>8255</v>
      </c>
      <c r="D9118">
        <v>1.05</v>
      </c>
      <c r="E9118">
        <v>0</v>
      </c>
      <c r="F9118">
        <f t="shared" si="142"/>
        <v>1.05</v>
      </c>
      <c r="I9118">
        <v>20170701</v>
      </c>
      <c r="J9118" t="s">
        <v>8268</v>
      </c>
    </row>
    <row r="9119" spans="1:13" x14ac:dyDescent="0.3">
      <c r="A9119" s="160">
        <v>65348</v>
      </c>
      <c r="B9119" t="s">
        <v>24188</v>
      </c>
      <c r="C9119" t="s">
        <v>8255</v>
      </c>
      <c r="D9119">
        <v>1.05</v>
      </c>
      <c r="E9119">
        <v>0</v>
      </c>
      <c r="F9119">
        <f t="shared" si="142"/>
        <v>1.05</v>
      </c>
      <c r="I9119">
        <v>20240101</v>
      </c>
      <c r="J9119" t="s">
        <v>8256</v>
      </c>
    </row>
    <row r="9120" spans="1:13" x14ac:dyDescent="0.3">
      <c r="A9120" s="160">
        <v>65349</v>
      </c>
      <c r="B9120" t="s">
        <v>24189</v>
      </c>
      <c r="C9120" t="s">
        <v>8255</v>
      </c>
      <c r="D9120">
        <v>1.05</v>
      </c>
      <c r="E9120">
        <v>0</v>
      </c>
      <c r="F9120">
        <f t="shared" si="142"/>
        <v>1.05</v>
      </c>
      <c r="I9120">
        <v>20240101</v>
      </c>
      <c r="J9120" t="s">
        <v>8256</v>
      </c>
    </row>
    <row r="9121" spans="1:11" x14ac:dyDescent="0.3">
      <c r="A9121" s="160">
        <v>65350</v>
      </c>
      <c r="B9121" t="s">
        <v>24190</v>
      </c>
      <c r="C9121" t="s">
        <v>8255</v>
      </c>
      <c r="D9121">
        <v>1.05</v>
      </c>
      <c r="E9121">
        <v>0</v>
      </c>
      <c r="F9121">
        <f t="shared" si="142"/>
        <v>1.05</v>
      </c>
      <c r="I9121">
        <v>20170701</v>
      </c>
      <c r="J9121" t="s">
        <v>8290</v>
      </c>
    </row>
    <row r="9122" spans="1:11" x14ac:dyDescent="0.3">
      <c r="A9122" s="160">
        <v>65351</v>
      </c>
      <c r="B9122" t="s">
        <v>24191</v>
      </c>
      <c r="C9122" t="s">
        <v>8255</v>
      </c>
      <c r="D9122">
        <v>1.05</v>
      </c>
      <c r="E9122">
        <v>0</v>
      </c>
      <c r="F9122">
        <f t="shared" si="142"/>
        <v>1.05</v>
      </c>
      <c r="I9122">
        <v>20240101</v>
      </c>
      <c r="J9122" t="s">
        <v>8256</v>
      </c>
    </row>
    <row r="9123" spans="1:11" x14ac:dyDescent="0.3">
      <c r="A9123" s="160">
        <v>65355</v>
      </c>
      <c r="B9123" t="s">
        <v>24192</v>
      </c>
      <c r="C9123" t="s">
        <v>8255</v>
      </c>
      <c r="D9123">
        <v>1.05</v>
      </c>
      <c r="E9123">
        <v>0</v>
      </c>
      <c r="F9123">
        <f t="shared" si="142"/>
        <v>1.05</v>
      </c>
      <c r="I9123">
        <v>20240101</v>
      </c>
      <c r="J9123" t="s">
        <v>8256</v>
      </c>
    </row>
    <row r="9124" spans="1:11" x14ac:dyDescent="0.3">
      <c r="A9124" s="160">
        <v>65357</v>
      </c>
      <c r="B9124" t="s">
        <v>24193</v>
      </c>
      <c r="C9124" t="s">
        <v>8255</v>
      </c>
      <c r="D9124">
        <v>1.05</v>
      </c>
      <c r="E9124">
        <v>0</v>
      </c>
      <c r="F9124">
        <f t="shared" si="142"/>
        <v>1.05</v>
      </c>
      <c r="I9124">
        <v>20170701</v>
      </c>
      <c r="J9124" t="s">
        <v>8268</v>
      </c>
    </row>
    <row r="9125" spans="1:11" x14ac:dyDescent="0.3">
      <c r="A9125" s="160">
        <v>65360</v>
      </c>
      <c r="B9125" t="s">
        <v>24194</v>
      </c>
      <c r="C9125" t="s">
        <v>8255</v>
      </c>
      <c r="D9125">
        <v>1.05</v>
      </c>
      <c r="E9125">
        <v>0</v>
      </c>
      <c r="F9125">
        <f t="shared" si="142"/>
        <v>1.05</v>
      </c>
      <c r="I9125">
        <v>20240101</v>
      </c>
      <c r="J9125" t="s">
        <v>8291</v>
      </c>
    </row>
    <row r="9126" spans="1:11" x14ac:dyDescent="0.3">
      <c r="A9126" s="160">
        <v>65364</v>
      </c>
      <c r="B9126" t="s">
        <v>24195</v>
      </c>
      <c r="C9126" t="s">
        <v>8255</v>
      </c>
      <c r="D9126">
        <v>1.05</v>
      </c>
      <c r="E9126">
        <v>0</v>
      </c>
      <c r="F9126">
        <f t="shared" si="142"/>
        <v>1.05</v>
      </c>
      <c r="I9126">
        <v>20170701</v>
      </c>
      <c r="J9126" t="s">
        <v>8269</v>
      </c>
    </row>
    <row r="9127" spans="1:11" x14ac:dyDescent="0.3">
      <c r="A9127" s="160">
        <v>65366</v>
      </c>
      <c r="B9127" t="s">
        <v>24196</v>
      </c>
      <c r="C9127" t="s">
        <v>8255</v>
      </c>
      <c r="D9127">
        <v>1.05</v>
      </c>
      <c r="E9127">
        <v>0</v>
      </c>
      <c r="F9127">
        <f t="shared" si="142"/>
        <v>1.05</v>
      </c>
      <c r="I9127">
        <v>20240101</v>
      </c>
      <c r="J9127" t="s">
        <v>8256</v>
      </c>
      <c r="K9127" t="s">
        <v>8283</v>
      </c>
    </row>
    <row r="9128" spans="1:11" x14ac:dyDescent="0.3">
      <c r="A9128" s="160">
        <v>65369</v>
      </c>
      <c r="B9128" t="s">
        <v>24197</v>
      </c>
      <c r="C9128" t="s">
        <v>8255</v>
      </c>
      <c r="D9128">
        <v>1.05</v>
      </c>
      <c r="E9128">
        <v>0</v>
      </c>
      <c r="F9128">
        <f t="shared" si="142"/>
        <v>1.05</v>
      </c>
      <c r="I9128">
        <v>20170701</v>
      </c>
      <c r="J9128" t="s">
        <v>8262</v>
      </c>
    </row>
    <row r="9129" spans="1:11" x14ac:dyDescent="0.3">
      <c r="A9129" s="160">
        <v>65372</v>
      </c>
      <c r="B9129" t="s">
        <v>24198</v>
      </c>
      <c r="C9129" t="s">
        <v>8255</v>
      </c>
      <c r="D9129">
        <v>1.05</v>
      </c>
      <c r="E9129">
        <v>0</v>
      </c>
      <c r="F9129">
        <f t="shared" si="142"/>
        <v>1.05</v>
      </c>
      <c r="I9129">
        <v>20170701</v>
      </c>
      <c r="J9129" t="s">
        <v>8271</v>
      </c>
    </row>
    <row r="9130" spans="1:11" x14ac:dyDescent="0.3">
      <c r="A9130" s="160">
        <v>65380</v>
      </c>
      <c r="B9130" t="s">
        <v>24199</v>
      </c>
      <c r="C9130" t="s">
        <v>8255</v>
      </c>
      <c r="D9130">
        <v>1.05</v>
      </c>
      <c r="E9130">
        <v>0</v>
      </c>
      <c r="F9130">
        <f t="shared" si="142"/>
        <v>1.05</v>
      </c>
      <c r="I9130">
        <v>20170701</v>
      </c>
      <c r="J9130" t="s">
        <v>8262</v>
      </c>
    </row>
    <row r="9131" spans="1:11" x14ac:dyDescent="0.3">
      <c r="A9131" s="160">
        <v>65386</v>
      </c>
      <c r="B9131" t="s">
        <v>24200</v>
      </c>
      <c r="C9131" t="s">
        <v>8255</v>
      </c>
      <c r="D9131">
        <v>1.05</v>
      </c>
      <c r="E9131">
        <v>0</v>
      </c>
      <c r="F9131">
        <f t="shared" si="142"/>
        <v>1.05</v>
      </c>
      <c r="I9131">
        <v>20240101</v>
      </c>
      <c r="J9131" t="s">
        <v>8256</v>
      </c>
    </row>
    <row r="9132" spans="1:11" x14ac:dyDescent="0.3">
      <c r="A9132" s="160">
        <v>65392</v>
      </c>
      <c r="B9132" t="s">
        <v>21439</v>
      </c>
      <c r="C9132" t="s">
        <v>8255</v>
      </c>
      <c r="D9132">
        <v>1.05</v>
      </c>
      <c r="E9132">
        <v>0</v>
      </c>
      <c r="F9132">
        <f t="shared" si="142"/>
        <v>1.05</v>
      </c>
      <c r="I9132">
        <v>20170701</v>
      </c>
      <c r="J9132" t="s">
        <v>8258</v>
      </c>
    </row>
    <row r="9133" spans="1:11" x14ac:dyDescent="0.3">
      <c r="A9133" s="160">
        <v>65395</v>
      </c>
      <c r="B9133" t="s">
        <v>24201</v>
      </c>
      <c r="C9133" t="s">
        <v>8255</v>
      </c>
      <c r="D9133">
        <v>1.05</v>
      </c>
      <c r="E9133">
        <v>0</v>
      </c>
      <c r="F9133">
        <f t="shared" si="142"/>
        <v>1.05</v>
      </c>
      <c r="I9133">
        <v>20240101</v>
      </c>
      <c r="J9133" t="s">
        <v>8291</v>
      </c>
    </row>
    <row r="9134" spans="1:11" x14ac:dyDescent="0.3">
      <c r="A9134" s="160">
        <v>65401</v>
      </c>
      <c r="B9134" t="s">
        <v>24202</v>
      </c>
      <c r="C9134" t="s">
        <v>8255</v>
      </c>
      <c r="D9134">
        <v>1.05</v>
      </c>
      <c r="E9134">
        <v>0</v>
      </c>
      <c r="F9134">
        <f t="shared" si="142"/>
        <v>1.05</v>
      </c>
      <c r="I9134">
        <v>20170701</v>
      </c>
      <c r="J9134" t="s">
        <v>8258</v>
      </c>
    </row>
    <row r="9135" spans="1:11" x14ac:dyDescent="0.3">
      <c r="A9135" s="160">
        <v>65406</v>
      </c>
      <c r="B9135" t="s">
        <v>24203</v>
      </c>
      <c r="C9135" t="s">
        <v>8255</v>
      </c>
      <c r="D9135">
        <v>1.05</v>
      </c>
      <c r="E9135">
        <v>0</v>
      </c>
      <c r="F9135">
        <f t="shared" si="142"/>
        <v>1.05</v>
      </c>
      <c r="I9135">
        <v>20170701</v>
      </c>
      <c r="J9135" t="s">
        <v>8259</v>
      </c>
    </row>
    <row r="9136" spans="1:11" x14ac:dyDescent="0.3">
      <c r="A9136" s="160">
        <v>65410</v>
      </c>
      <c r="B9136" t="s">
        <v>24204</v>
      </c>
      <c r="C9136" t="s">
        <v>8255</v>
      </c>
      <c r="D9136">
        <v>1.05</v>
      </c>
      <c r="E9136">
        <v>0</v>
      </c>
      <c r="F9136">
        <f t="shared" si="142"/>
        <v>1.05</v>
      </c>
      <c r="I9136">
        <v>20170701</v>
      </c>
      <c r="J9136" t="s">
        <v>8292</v>
      </c>
    </row>
    <row r="9137" spans="1:52" x14ac:dyDescent="0.3">
      <c r="A9137" s="160">
        <v>65415</v>
      </c>
      <c r="B9137" t="s">
        <v>24205</v>
      </c>
      <c r="C9137" t="s">
        <v>8255</v>
      </c>
      <c r="D9137">
        <v>1.05</v>
      </c>
      <c r="E9137">
        <v>0</v>
      </c>
      <c r="F9137">
        <f t="shared" si="142"/>
        <v>1.05</v>
      </c>
      <c r="I9137">
        <v>20240101</v>
      </c>
      <c r="J9137" t="s">
        <v>8256</v>
      </c>
    </row>
    <row r="9138" spans="1:52" x14ac:dyDescent="0.3">
      <c r="A9138" s="160">
        <v>65417</v>
      </c>
      <c r="B9138" t="s">
        <v>24206</v>
      </c>
      <c r="C9138" t="s">
        <v>8255</v>
      </c>
      <c r="D9138">
        <v>1.05</v>
      </c>
      <c r="E9138">
        <v>0</v>
      </c>
      <c r="F9138">
        <f t="shared" si="142"/>
        <v>1.05</v>
      </c>
      <c r="I9138">
        <v>20170701</v>
      </c>
      <c r="J9138" t="s">
        <v>8292</v>
      </c>
      <c r="K9138" t="s">
        <v>8293</v>
      </c>
    </row>
    <row r="9139" spans="1:52" x14ac:dyDescent="0.3">
      <c r="A9139" s="160">
        <v>65421</v>
      </c>
      <c r="B9139" t="s">
        <v>24207</v>
      </c>
      <c r="C9139" t="s">
        <v>8255</v>
      </c>
      <c r="D9139">
        <v>1.05</v>
      </c>
      <c r="E9139">
        <v>0</v>
      </c>
      <c r="F9139">
        <f t="shared" si="142"/>
        <v>1.05</v>
      </c>
      <c r="I9139">
        <v>20240101</v>
      </c>
      <c r="J9139" t="s">
        <v>8256</v>
      </c>
    </row>
    <row r="9140" spans="1:52" x14ac:dyDescent="0.3">
      <c r="A9140" s="160">
        <v>65422</v>
      </c>
      <c r="B9140" t="s">
        <v>24208</v>
      </c>
      <c r="C9140" t="s">
        <v>8255</v>
      </c>
      <c r="D9140">
        <v>1.05</v>
      </c>
      <c r="E9140">
        <v>0</v>
      </c>
      <c r="F9140">
        <f t="shared" si="142"/>
        <v>1.05</v>
      </c>
      <c r="I9140">
        <v>20170701</v>
      </c>
      <c r="J9140" t="s">
        <v>8269</v>
      </c>
    </row>
    <row r="9141" spans="1:52" x14ac:dyDescent="0.3">
      <c r="A9141" s="160">
        <v>65425</v>
      </c>
      <c r="B9141" t="s">
        <v>24209</v>
      </c>
      <c r="C9141" t="s">
        <v>8255</v>
      </c>
      <c r="D9141">
        <v>1.05</v>
      </c>
      <c r="E9141">
        <v>0</v>
      </c>
      <c r="F9141">
        <f t="shared" si="142"/>
        <v>1.05</v>
      </c>
      <c r="I9141">
        <v>20170701</v>
      </c>
      <c r="J9141" t="s">
        <v>8271</v>
      </c>
    </row>
    <row r="9142" spans="1:52" x14ac:dyDescent="0.3">
      <c r="A9142" s="160">
        <v>65426</v>
      </c>
      <c r="B9142" t="s">
        <v>24210</v>
      </c>
      <c r="C9142" t="s">
        <v>8255</v>
      </c>
      <c r="D9142">
        <v>1.05</v>
      </c>
      <c r="E9142">
        <v>0</v>
      </c>
      <c r="F9142">
        <f t="shared" si="142"/>
        <v>1.05</v>
      </c>
      <c r="I9142">
        <v>20170701</v>
      </c>
      <c r="J9142" t="s">
        <v>8268</v>
      </c>
    </row>
    <row r="9143" spans="1:52" x14ac:dyDescent="0.3">
      <c r="A9143" s="160">
        <v>65430</v>
      </c>
      <c r="B9143" t="s">
        <v>24211</v>
      </c>
      <c r="C9143" t="s">
        <v>8255</v>
      </c>
      <c r="D9143">
        <v>1.05</v>
      </c>
      <c r="E9143">
        <v>0</v>
      </c>
      <c r="F9143">
        <f t="shared" si="142"/>
        <v>1.05</v>
      </c>
      <c r="I9143">
        <v>20170701</v>
      </c>
      <c r="J9143" t="s">
        <v>8262</v>
      </c>
    </row>
    <row r="9144" spans="1:52" x14ac:dyDescent="0.3">
      <c r="A9144" s="160">
        <v>65433</v>
      </c>
      <c r="B9144" t="s">
        <v>24212</v>
      </c>
      <c r="C9144" t="s">
        <v>8255</v>
      </c>
      <c r="D9144">
        <v>1.05</v>
      </c>
      <c r="E9144">
        <v>0</v>
      </c>
      <c r="F9144">
        <f t="shared" si="142"/>
        <v>1.05</v>
      </c>
      <c r="I9144">
        <v>20170701</v>
      </c>
      <c r="J9144" t="s">
        <v>8294</v>
      </c>
    </row>
    <row r="9145" spans="1:52" x14ac:dyDescent="0.3">
      <c r="A9145" s="160">
        <v>65436</v>
      </c>
      <c r="B9145" t="s">
        <v>24213</v>
      </c>
      <c r="C9145" t="s">
        <v>8255</v>
      </c>
      <c r="D9145">
        <v>1.05</v>
      </c>
      <c r="E9145">
        <v>0</v>
      </c>
      <c r="F9145">
        <f t="shared" si="142"/>
        <v>1.05</v>
      </c>
      <c r="I9145">
        <v>20170701</v>
      </c>
      <c r="J9145" t="s">
        <v>8262</v>
      </c>
    </row>
    <row r="9146" spans="1:52" x14ac:dyDescent="0.3">
      <c r="A9146" s="160">
        <v>65438</v>
      </c>
      <c r="B9146" t="s">
        <v>24214</v>
      </c>
      <c r="C9146" t="s">
        <v>8255</v>
      </c>
      <c r="D9146">
        <v>1.05</v>
      </c>
      <c r="E9146">
        <v>0</v>
      </c>
      <c r="F9146">
        <f t="shared" si="142"/>
        <v>1.05</v>
      </c>
      <c r="I9146">
        <v>20170701</v>
      </c>
      <c r="J9146" t="s">
        <v>8271</v>
      </c>
    </row>
    <row r="9147" spans="1:52" x14ac:dyDescent="0.3">
      <c r="A9147" s="160">
        <v>65439</v>
      </c>
      <c r="B9147" t="s">
        <v>24215</v>
      </c>
      <c r="C9147" t="s">
        <v>8255</v>
      </c>
      <c r="D9147">
        <v>1.05</v>
      </c>
      <c r="E9147">
        <v>0</v>
      </c>
      <c r="F9147">
        <f t="shared" si="142"/>
        <v>1.05</v>
      </c>
      <c r="I9147">
        <v>20170701</v>
      </c>
      <c r="J9147" t="s">
        <v>8269</v>
      </c>
    </row>
    <row r="9148" spans="1:52" x14ac:dyDescent="0.3">
      <c r="A9148" s="160">
        <v>65440</v>
      </c>
      <c r="B9148" t="s">
        <v>24216</v>
      </c>
      <c r="C9148" t="s">
        <v>8255</v>
      </c>
      <c r="D9148">
        <v>1.05</v>
      </c>
      <c r="E9148">
        <v>0</v>
      </c>
      <c r="F9148">
        <f t="shared" si="142"/>
        <v>1.05</v>
      </c>
      <c r="I9148">
        <v>20170701</v>
      </c>
      <c r="J9148" t="s">
        <v>8295</v>
      </c>
      <c r="K9148" t="s">
        <v>8296</v>
      </c>
      <c r="L9148" t="s">
        <v>8297</v>
      </c>
      <c r="M9148" t="s">
        <v>8298</v>
      </c>
      <c r="N9148" t="s">
        <v>8275</v>
      </c>
      <c r="O9148" t="s">
        <v>8299</v>
      </c>
      <c r="P9148" t="s">
        <v>8300</v>
      </c>
      <c r="Q9148" t="s">
        <v>8301</v>
      </c>
      <c r="R9148" t="s">
        <v>8302</v>
      </c>
      <c r="S9148" t="s">
        <v>8288</v>
      </c>
      <c r="T9148" t="s">
        <v>8303</v>
      </c>
      <c r="U9148" t="s">
        <v>8304</v>
      </c>
      <c r="V9148" t="s">
        <v>8305</v>
      </c>
      <c r="W9148" t="s">
        <v>8306</v>
      </c>
      <c r="X9148" t="s">
        <v>8307</v>
      </c>
      <c r="Y9148" t="s">
        <v>8308</v>
      </c>
      <c r="Z9148" t="s">
        <v>8309</v>
      </c>
      <c r="AA9148" t="s">
        <v>8310</v>
      </c>
      <c r="AB9148" t="s">
        <v>8311</v>
      </c>
      <c r="AC9148" t="s">
        <v>8312</v>
      </c>
      <c r="AD9148" t="s">
        <v>8313</v>
      </c>
      <c r="AE9148" t="s">
        <v>8314</v>
      </c>
      <c r="AF9148" t="s">
        <v>8315</v>
      </c>
      <c r="AG9148" t="s">
        <v>8316</v>
      </c>
      <c r="AH9148" t="s">
        <v>8274</v>
      </c>
      <c r="AI9148" t="s">
        <v>8289</v>
      </c>
      <c r="AJ9148" t="s">
        <v>8317</v>
      </c>
      <c r="AK9148" t="s">
        <v>8318</v>
      </c>
      <c r="AL9148" t="s">
        <v>8319</v>
      </c>
      <c r="AM9148" t="s">
        <v>8320</v>
      </c>
      <c r="AN9148" t="s">
        <v>8321</v>
      </c>
      <c r="AO9148" t="s">
        <v>8322</v>
      </c>
      <c r="AP9148" t="s">
        <v>8323</v>
      </c>
      <c r="AQ9148" t="s">
        <v>8324</v>
      </c>
      <c r="AR9148" t="s">
        <v>8325</v>
      </c>
      <c r="AS9148" t="s">
        <v>8326</v>
      </c>
      <c r="AT9148" t="s">
        <v>8327</v>
      </c>
      <c r="AU9148" t="s">
        <v>8328</v>
      </c>
      <c r="AV9148" t="s">
        <v>8282</v>
      </c>
      <c r="AW9148" t="s">
        <v>8329</v>
      </c>
      <c r="AX9148" t="s">
        <v>8330</v>
      </c>
      <c r="AY9148" t="s">
        <v>8331</v>
      </c>
      <c r="AZ9148" t="s">
        <v>8332</v>
      </c>
    </row>
    <row r="9149" spans="1:52" x14ac:dyDescent="0.3">
      <c r="A9149" s="160">
        <v>65446</v>
      </c>
      <c r="B9149" t="s">
        <v>24217</v>
      </c>
      <c r="C9149" t="s">
        <v>8255</v>
      </c>
      <c r="D9149">
        <v>1.05</v>
      </c>
      <c r="E9149">
        <v>0</v>
      </c>
      <c r="F9149">
        <f t="shared" si="142"/>
        <v>1.05</v>
      </c>
      <c r="I9149">
        <v>20170701</v>
      </c>
      <c r="J9149" t="s">
        <v>8267</v>
      </c>
    </row>
    <row r="9150" spans="1:52" x14ac:dyDescent="0.3">
      <c r="A9150" s="160">
        <v>65457</v>
      </c>
      <c r="B9150" t="s">
        <v>24218</v>
      </c>
      <c r="C9150" t="s">
        <v>8255</v>
      </c>
      <c r="D9150">
        <v>1.05</v>
      </c>
      <c r="E9150">
        <v>0</v>
      </c>
      <c r="F9150">
        <f t="shared" si="142"/>
        <v>1.05</v>
      </c>
      <c r="I9150">
        <v>20170701</v>
      </c>
      <c r="J9150" t="s">
        <v>8267</v>
      </c>
    </row>
    <row r="9151" spans="1:52" x14ac:dyDescent="0.3">
      <c r="A9151" s="160">
        <v>65464</v>
      </c>
      <c r="B9151" t="s">
        <v>24219</v>
      </c>
      <c r="C9151" t="s">
        <v>8255</v>
      </c>
      <c r="D9151">
        <v>1.05</v>
      </c>
      <c r="E9151">
        <v>0</v>
      </c>
      <c r="F9151">
        <f t="shared" si="142"/>
        <v>1.05</v>
      </c>
      <c r="I9151">
        <v>20170701</v>
      </c>
      <c r="J9151" t="s">
        <v>8258</v>
      </c>
    </row>
    <row r="9152" spans="1:52" x14ac:dyDescent="0.3">
      <c r="A9152" s="160">
        <v>65470</v>
      </c>
      <c r="B9152" t="s">
        <v>24220</v>
      </c>
      <c r="C9152" t="s">
        <v>8255</v>
      </c>
      <c r="D9152">
        <v>1.05</v>
      </c>
      <c r="E9152">
        <v>0</v>
      </c>
      <c r="F9152">
        <f t="shared" si="142"/>
        <v>1.05</v>
      </c>
      <c r="I9152">
        <v>20240101</v>
      </c>
      <c r="J9152" t="s">
        <v>8256</v>
      </c>
    </row>
    <row r="9153" spans="1:14" x14ac:dyDescent="0.3">
      <c r="A9153" s="160">
        <v>65477</v>
      </c>
      <c r="B9153" t="s">
        <v>24221</v>
      </c>
      <c r="C9153" t="s">
        <v>8255</v>
      </c>
      <c r="D9153">
        <v>1.05</v>
      </c>
      <c r="E9153">
        <v>0</v>
      </c>
      <c r="F9153">
        <f t="shared" si="142"/>
        <v>1.05</v>
      </c>
      <c r="I9153">
        <v>20170701</v>
      </c>
      <c r="J9153" t="s">
        <v>8271</v>
      </c>
    </row>
    <row r="9154" spans="1:14" x14ac:dyDescent="0.3">
      <c r="A9154" s="160">
        <v>65479</v>
      </c>
      <c r="B9154" t="s">
        <v>24222</v>
      </c>
      <c r="C9154" t="s">
        <v>8255</v>
      </c>
      <c r="D9154">
        <v>1.05</v>
      </c>
      <c r="E9154">
        <v>0</v>
      </c>
      <c r="F9154">
        <f t="shared" si="142"/>
        <v>1.05</v>
      </c>
      <c r="I9154">
        <v>20170701</v>
      </c>
      <c r="J9154" t="s">
        <v>8272</v>
      </c>
    </row>
    <row r="9155" spans="1:14" x14ac:dyDescent="0.3">
      <c r="A9155" s="160">
        <v>66012</v>
      </c>
      <c r="B9155" t="s">
        <v>24223</v>
      </c>
      <c r="C9155" t="s">
        <v>8333</v>
      </c>
      <c r="D9155">
        <v>1.7</v>
      </c>
      <c r="E9155">
        <v>0</v>
      </c>
      <c r="F9155">
        <f t="shared" si="142"/>
        <v>1.7</v>
      </c>
      <c r="I9155">
        <v>20180101</v>
      </c>
      <c r="J9155" t="s">
        <v>8334</v>
      </c>
    </row>
    <row r="9156" spans="1:14" x14ac:dyDescent="0.3">
      <c r="A9156" s="160">
        <v>66014</v>
      </c>
      <c r="B9156" t="s">
        <v>24224</v>
      </c>
      <c r="C9156" t="s">
        <v>8333</v>
      </c>
      <c r="D9156">
        <v>1.7</v>
      </c>
      <c r="E9156">
        <v>0</v>
      </c>
      <c r="F9156">
        <f t="shared" si="142"/>
        <v>1.7</v>
      </c>
      <c r="I9156">
        <v>20180101</v>
      </c>
      <c r="J9156" t="s">
        <v>8335</v>
      </c>
    </row>
    <row r="9157" spans="1:14" x14ac:dyDescent="0.3">
      <c r="A9157" s="160">
        <v>66017</v>
      </c>
      <c r="B9157" t="s">
        <v>24225</v>
      </c>
      <c r="C9157" t="s">
        <v>8333</v>
      </c>
      <c r="D9157">
        <v>1.7</v>
      </c>
      <c r="E9157">
        <v>0</v>
      </c>
      <c r="F9157">
        <f t="shared" si="142"/>
        <v>1.7</v>
      </c>
      <c r="I9157">
        <v>20180101</v>
      </c>
      <c r="J9157" t="s">
        <v>8336</v>
      </c>
      <c r="K9157" t="s">
        <v>8337</v>
      </c>
      <c r="L9157" t="s">
        <v>8338</v>
      </c>
      <c r="M9157" t="s">
        <v>8339</v>
      </c>
    </row>
    <row r="9158" spans="1:14" x14ac:dyDescent="0.3">
      <c r="A9158" s="160">
        <v>66021</v>
      </c>
      <c r="B9158" t="s">
        <v>24226</v>
      </c>
      <c r="C9158" t="s">
        <v>8333</v>
      </c>
      <c r="D9158">
        <v>1.7</v>
      </c>
      <c r="E9158">
        <v>0</v>
      </c>
      <c r="F9158">
        <f t="shared" si="142"/>
        <v>1.7</v>
      </c>
      <c r="I9158">
        <v>20180101</v>
      </c>
      <c r="J9158" t="s">
        <v>8340</v>
      </c>
      <c r="K9158" t="s">
        <v>8341</v>
      </c>
    </row>
    <row r="9159" spans="1:14" x14ac:dyDescent="0.3">
      <c r="A9159" s="160">
        <v>66028</v>
      </c>
      <c r="B9159" t="s">
        <v>24227</v>
      </c>
      <c r="C9159" t="s">
        <v>8333</v>
      </c>
      <c r="D9159">
        <v>1.7</v>
      </c>
      <c r="E9159">
        <v>0</v>
      </c>
      <c r="F9159">
        <f t="shared" ref="F9159:F9222" si="143">D9159+E9159</f>
        <v>1.7</v>
      </c>
      <c r="I9159">
        <v>20180101</v>
      </c>
      <c r="J9159" t="s">
        <v>8342</v>
      </c>
      <c r="K9159" t="s">
        <v>8343</v>
      </c>
      <c r="L9159" t="s">
        <v>8344</v>
      </c>
      <c r="M9159" t="s">
        <v>8345</v>
      </c>
      <c r="N9159" t="s">
        <v>8346</v>
      </c>
    </row>
    <row r="9160" spans="1:14" x14ac:dyDescent="0.3">
      <c r="A9160" s="160">
        <v>66030</v>
      </c>
      <c r="B9160" t="s">
        <v>24228</v>
      </c>
      <c r="C9160" t="s">
        <v>8333</v>
      </c>
      <c r="D9160">
        <v>1.7</v>
      </c>
      <c r="E9160">
        <v>0</v>
      </c>
      <c r="F9160">
        <f t="shared" si="143"/>
        <v>1.7</v>
      </c>
      <c r="I9160">
        <v>20180101</v>
      </c>
      <c r="J9160" t="s">
        <v>8347</v>
      </c>
    </row>
    <row r="9161" spans="1:14" x14ac:dyDescent="0.3">
      <c r="A9161" s="160">
        <v>66037</v>
      </c>
      <c r="B9161" t="s">
        <v>24229</v>
      </c>
      <c r="C9161" t="s">
        <v>8333</v>
      </c>
      <c r="D9161">
        <v>1.7</v>
      </c>
      <c r="E9161">
        <v>0</v>
      </c>
      <c r="F9161">
        <f t="shared" si="143"/>
        <v>1.7</v>
      </c>
      <c r="I9161">
        <v>20180101</v>
      </c>
      <c r="J9161" t="s">
        <v>8348</v>
      </c>
      <c r="K9161" t="s">
        <v>8349</v>
      </c>
      <c r="L9161" t="s">
        <v>8350</v>
      </c>
    </row>
    <row r="9162" spans="1:14" x14ac:dyDescent="0.3">
      <c r="A9162" s="160">
        <v>66038</v>
      </c>
      <c r="B9162" t="s">
        <v>24230</v>
      </c>
      <c r="C9162" t="s">
        <v>8333</v>
      </c>
      <c r="D9162">
        <v>1.7</v>
      </c>
      <c r="E9162">
        <v>0</v>
      </c>
      <c r="F9162">
        <f t="shared" si="143"/>
        <v>1.7</v>
      </c>
      <c r="I9162">
        <v>20180101</v>
      </c>
      <c r="J9162" t="s">
        <v>8351</v>
      </c>
    </row>
    <row r="9163" spans="1:14" x14ac:dyDescent="0.3">
      <c r="A9163" s="160">
        <v>66041</v>
      </c>
      <c r="B9163" t="s">
        <v>24231</v>
      </c>
      <c r="C9163" t="s">
        <v>8333</v>
      </c>
      <c r="D9163">
        <v>1.7</v>
      </c>
      <c r="E9163">
        <v>0</v>
      </c>
      <c r="F9163">
        <f t="shared" si="143"/>
        <v>1.7</v>
      </c>
      <c r="I9163">
        <v>20180101</v>
      </c>
      <c r="J9163" t="s">
        <v>8347</v>
      </c>
    </row>
    <row r="9164" spans="1:14" x14ac:dyDescent="0.3">
      <c r="A9164" s="160">
        <v>66042</v>
      </c>
      <c r="B9164" t="s">
        <v>24232</v>
      </c>
      <c r="C9164" t="s">
        <v>8333</v>
      </c>
      <c r="D9164">
        <v>1.7</v>
      </c>
      <c r="E9164">
        <v>0</v>
      </c>
      <c r="F9164">
        <f t="shared" si="143"/>
        <v>1.7</v>
      </c>
      <c r="I9164">
        <v>20240101</v>
      </c>
      <c r="J9164" t="s">
        <v>8352</v>
      </c>
    </row>
    <row r="9165" spans="1:14" x14ac:dyDescent="0.3">
      <c r="A9165">
        <v>66058</v>
      </c>
      <c r="C9165" t="s">
        <v>27562</v>
      </c>
      <c r="D9165">
        <v>1.7</v>
      </c>
      <c r="E9165">
        <v>0</v>
      </c>
      <c r="F9165">
        <f t="shared" si="143"/>
        <v>1.7</v>
      </c>
      <c r="I9165">
        <v>20250101</v>
      </c>
      <c r="J9165" t="s">
        <v>27563</v>
      </c>
    </row>
    <row r="9166" spans="1:14" x14ac:dyDescent="0.3">
      <c r="A9166" s="160">
        <v>66069</v>
      </c>
      <c r="B9166" t="s">
        <v>24233</v>
      </c>
      <c r="C9166" t="s">
        <v>8333</v>
      </c>
      <c r="D9166">
        <v>1.7</v>
      </c>
      <c r="E9166">
        <v>0</v>
      </c>
      <c r="F9166">
        <f t="shared" si="143"/>
        <v>1.7</v>
      </c>
      <c r="I9166">
        <v>20180101</v>
      </c>
      <c r="J9166" t="s">
        <v>8347</v>
      </c>
    </row>
    <row r="9167" spans="1:14" x14ac:dyDescent="0.3">
      <c r="A9167" s="160">
        <v>66071</v>
      </c>
      <c r="B9167" t="s">
        <v>24234</v>
      </c>
      <c r="C9167" t="s">
        <v>8333</v>
      </c>
      <c r="D9167">
        <v>1.7</v>
      </c>
      <c r="E9167">
        <v>0</v>
      </c>
      <c r="F9167">
        <f t="shared" si="143"/>
        <v>1.7</v>
      </c>
      <c r="I9167">
        <v>20240101</v>
      </c>
      <c r="J9167" t="s">
        <v>8353</v>
      </c>
    </row>
    <row r="9168" spans="1:14" x14ac:dyDescent="0.3">
      <c r="A9168" s="160">
        <v>66101</v>
      </c>
      <c r="B9168" t="s">
        <v>24235</v>
      </c>
      <c r="C9168" t="s">
        <v>8333</v>
      </c>
      <c r="D9168">
        <v>1.7</v>
      </c>
      <c r="E9168">
        <v>0</v>
      </c>
      <c r="F9168">
        <f t="shared" si="143"/>
        <v>1.7</v>
      </c>
      <c r="I9168">
        <v>20180101</v>
      </c>
      <c r="J9168" t="s">
        <v>8354</v>
      </c>
      <c r="K9168" t="s">
        <v>8355</v>
      </c>
    </row>
    <row r="9169" spans="1:67" x14ac:dyDescent="0.3">
      <c r="A9169" s="160">
        <v>66118</v>
      </c>
      <c r="B9169" t="s">
        <v>24236</v>
      </c>
      <c r="C9169" t="s">
        <v>8333</v>
      </c>
      <c r="D9169">
        <v>1.7</v>
      </c>
      <c r="E9169">
        <v>0</v>
      </c>
      <c r="F9169">
        <f t="shared" si="143"/>
        <v>1.7</v>
      </c>
      <c r="I9169">
        <v>20240101</v>
      </c>
      <c r="J9169" t="s">
        <v>8352</v>
      </c>
    </row>
    <row r="9170" spans="1:67" x14ac:dyDescent="0.3">
      <c r="A9170" s="160">
        <v>66127</v>
      </c>
      <c r="B9170" t="s">
        <v>24237</v>
      </c>
      <c r="C9170" t="s">
        <v>8333</v>
      </c>
      <c r="D9170">
        <v>1.7</v>
      </c>
      <c r="E9170">
        <v>0</v>
      </c>
      <c r="F9170">
        <f t="shared" si="143"/>
        <v>1.7</v>
      </c>
      <c r="I9170">
        <v>20180101</v>
      </c>
      <c r="J9170" t="s">
        <v>8347</v>
      </c>
    </row>
    <row r="9171" spans="1:67" x14ac:dyDescent="0.3">
      <c r="A9171" s="160">
        <v>66136</v>
      </c>
      <c r="B9171" t="s">
        <v>24238</v>
      </c>
      <c r="C9171" t="s">
        <v>8333</v>
      </c>
      <c r="D9171">
        <v>1.7</v>
      </c>
      <c r="E9171">
        <v>0</v>
      </c>
      <c r="F9171">
        <f t="shared" si="143"/>
        <v>1.7</v>
      </c>
      <c r="I9171">
        <v>20180101</v>
      </c>
      <c r="J9171" t="s">
        <v>8356</v>
      </c>
      <c r="K9171" t="s">
        <v>8357</v>
      </c>
      <c r="L9171" t="s">
        <v>8358</v>
      </c>
      <c r="M9171" t="s">
        <v>8359</v>
      </c>
      <c r="N9171" t="s">
        <v>8360</v>
      </c>
      <c r="O9171" t="s">
        <v>8361</v>
      </c>
      <c r="P9171" t="s">
        <v>8362</v>
      </c>
      <c r="Q9171" t="s">
        <v>8363</v>
      </c>
      <c r="R9171" t="s">
        <v>8364</v>
      </c>
      <c r="S9171" t="s">
        <v>8365</v>
      </c>
      <c r="T9171" t="s">
        <v>8366</v>
      </c>
      <c r="U9171" t="s">
        <v>8367</v>
      </c>
      <c r="V9171" t="s">
        <v>8368</v>
      </c>
      <c r="W9171" t="s">
        <v>8369</v>
      </c>
      <c r="X9171" t="s">
        <v>8370</v>
      </c>
      <c r="Y9171" t="s">
        <v>8371</v>
      </c>
      <c r="Z9171" t="s">
        <v>8372</v>
      </c>
      <c r="AA9171" t="s">
        <v>8373</v>
      </c>
      <c r="AB9171" t="s">
        <v>8374</v>
      </c>
      <c r="AC9171" t="s">
        <v>8375</v>
      </c>
      <c r="AD9171" t="s">
        <v>8376</v>
      </c>
      <c r="AE9171" t="s">
        <v>8377</v>
      </c>
      <c r="AF9171" t="s">
        <v>8378</v>
      </c>
      <c r="AG9171" t="s">
        <v>8379</v>
      </c>
      <c r="AH9171" t="s">
        <v>8380</v>
      </c>
      <c r="AI9171" t="s">
        <v>8381</v>
      </c>
      <c r="AJ9171" t="s">
        <v>8382</v>
      </c>
      <c r="AK9171" t="s">
        <v>8383</v>
      </c>
      <c r="AL9171" t="s">
        <v>8384</v>
      </c>
      <c r="AM9171" t="s">
        <v>8340</v>
      </c>
      <c r="AN9171" t="s">
        <v>8385</v>
      </c>
      <c r="AO9171" t="s">
        <v>8386</v>
      </c>
      <c r="AP9171" t="s">
        <v>8387</v>
      </c>
      <c r="AQ9171" t="s">
        <v>8388</v>
      </c>
      <c r="AR9171" t="s">
        <v>8389</v>
      </c>
      <c r="AS9171" t="s">
        <v>8345</v>
      </c>
      <c r="AT9171" t="s">
        <v>8390</v>
      </c>
      <c r="AU9171" t="s">
        <v>8391</v>
      </c>
      <c r="AV9171" t="s">
        <v>8392</v>
      </c>
      <c r="AW9171" t="s">
        <v>8393</v>
      </c>
      <c r="AX9171" t="s">
        <v>8394</v>
      </c>
      <c r="AY9171" t="s">
        <v>8395</v>
      </c>
      <c r="AZ9171" t="s">
        <v>8396</v>
      </c>
      <c r="BA9171" t="s">
        <v>8397</v>
      </c>
      <c r="BB9171" t="s">
        <v>8398</v>
      </c>
      <c r="BC9171" t="s">
        <v>8399</v>
      </c>
      <c r="BD9171" t="s">
        <v>8400</v>
      </c>
      <c r="BE9171" t="s">
        <v>8401</v>
      </c>
      <c r="BF9171" t="s">
        <v>8402</v>
      </c>
      <c r="BG9171" t="s">
        <v>8403</v>
      </c>
      <c r="BH9171" t="s">
        <v>8404</v>
      </c>
      <c r="BI9171" t="s">
        <v>8405</v>
      </c>
      <c r="BJ9171" t="s">
        <v>8406</v>
      </c>
      <c r="BK9171" t="s">
        <v>8407</v>
      </c>
      <c r="BL9171" t="s">
        <v>8408</v>
      </c>
      <c r="BM9171" t="s">
        <v>8409</v>
      </c>
      <c r="BN9171" t="s">
        <v>8410</v>
      </c>
      <c r="BO9171" t="s">
        <v>8411</v>
      </c>
    </row>
    <row r="9172" spans="1:67" x14ac:dyDescent="0.3">
      <c r="A9172" s="160">
        <v>66138</v>
      </c>
      <c r="B9172" t="s">
        <v>24239</v>
      </c>
      <c r="C9172" t="s">
        <v>8333</v>
      </c>
      <c r="D9172">
        <v>1.7</v>
      </c>
      <c r="E9172">
        <v>0</v>
      </c>
      <c r="F9172">
        <f t="shared" si="143"/>
        <v>1.7</v>
      </c>
      <c r="I9172">
        <v>20180101</v>
      </c>
      <c r="J9172" t="s">
        <v>8347</v>
      </c>
    </row>
    <row r="9173" spans="1:67" x14ac:dyDescent="0.3">
      <c r="A9173" s="160">
        <v>66140</v>
      </c>
      <c r="B9173" t="s">
        <v>24240</v>
      </c>
      <c r="C9173" t="s">
        <v>8333</v>
      </c>
      <c r="D9173">
        <v>1.7</v>
      </c>
      <c r="E9173">
        <v>0</v>
      </c>
      <c r="F9173">
        <f t="shared" si="143"/>
        <v>1.7</v>
      </c>
      <c r="I9173">
        <v>20180101</v>
      </c>
      <c r="J9173" t="s">
        <v>8417</v>
      </c>
    </row>
    <row r="9174" spans="1:67" x14ac:dyDescent="0.3">
      <c r="A9174" s="160">
        <v>66144</v>
      </c>
      <c r="B9174" t="s">
        <v>24241</v>
      </c>
      <c r="C9174" t="s">
        <v>8333</v>
      </c>
      <c r="D9174">
        <v>1.7</v>
      </c>
      <c r="E9174">
        <v>0</v>
      </c>
      <c r="F9174">
        <f t="shared" si="143"/>
        <v>1.7</v>
      </c>
      <c r="I9174">
        <v>20180101</v>
      </c>
      <c r="J9174" t="s">
        <v>8418</v>
      </c>
    </row>
    <row r="9175" spans="1:67" x14ac:dyDescent="0.3">
      <c r="A9175" s="160">
        <v>66145</v>
      </c>
      <c r="B9175" t="s">
        <v>24242</v>
      </c>
      <c r="C9175" t="s">
        <v>8333</v>
      </c>
      <c r="D9175">
        <v>1.7</v>
      </c>
      <c r="E9175">
        <v>0</v>
      </c>
      <c r="F9175">
        <f t="shared" si="143"/>
        <v>1.7</v>
      </c>
      <c r="I9175">
        <v>20180101</v>
      </c>
      <c r="J9175" t="s">
        <v>8354</v>
      </c>
    </row>
    <row r="9176" spans="1:67" x14ac:dyDescent="0.3">
      <c r="A9176" s="160">
        <v>66164</v>
      </c>
      <c r="B9176" t="s">
        <v>24243</v>
      </c>
      <c r="C9176" t="s">
        <v>8333</v>
      </c>
      <c r="D9176">
        <v>1.7</v>
      </c>
      <c r="E9176">
        <v>0</v>
      </c>
      <c r="F9176">
        <f t="shared" si="143"/>
        <v>1.7</v>
      </c>
      <c r="I9176">
        <v>20180101</v>
      </c>
      <c r="J9176" t="s">
        <v>8347</v>
      </c>
      <c r="K9176" t="s">
        <v>8419</v>
      </c>
      <c r="L9176" t="s">
        <v>8420</v>
      </c>
      <c r="M9176" t="s">
        <v>8421</v>
      </c>
      <c r="N9176" t="s">
        <v>8422</v>
      </c>
      <c r="O9176" t="s">
        <v>8423</v>
      </c>
    </row>
    <row r="9177" spans="1:67" x14ac:dyDescent="0.3">
      <c r="A9177" s="160">
        <v>66172</v>
      </c>
      <c r="B9177" t="s">
        <v>24244</v>
      </c>
      <c r="C9177" t="s">
        <v>8333</v>
      </c>
      <c r="D9177">
        <v>1.7</v>
      </c>
      <c r="E9177">
        <v>0</v>
      </c>
      <c r="F9177">
        <f t="shared" si="143"/>
        <v>1.7</v>
      </c>
      <c r="I9177">
        <v>20180101</v>
      </c>
      <c r="J9177" t="s">
        <v>8378</v>
      </c>
      <c r="K9177" t="s">
        <v>8424</v>
      </c>
      <c r="L9177" t="s">
        <v>8412</v>
      </c>
    </row>
    <row r="9178" spans="1:67" x14ac:dyDescent="0.3">
      <c r="A9178" s="160">
        <v>66174</v>
      </c>
      <c r="B9178" t="s">
        <v>24245</v>
      </c>
      <c r="C9178" t="s">
        <v>8333</v>
      </c>
      <c r="D9178">
        <v>1.7</v>
      </c>
      <c r="E9178">
        <v>0</v>
      </c>
      <c r="F9178">
        <f t="shared" si="143"/>
        <v>1.7</v>
      </c>
      <c r="I9178">
        <v>20180101</v>
      </c>
      <c r="J9178" t="s">
        <v>8425</v>
      </c>
    </row>
    <row r="9179" spans="1:67" x14ac:dyDescent="0.3">
      <c r="A9179" s="160">
        <v>66176</v>
      </c>
      <c r="B9179" t="s">
        <v>16803</v>
      </c>
      <c r="C9179" t="s">
        <v>8333</v>
      </c>
      <c r="D9179">
        <v>1.7</v>
      </c>
      <c r="E9179">
        <v>0</v>
      </c>
      <c r="F9179">
        <f t="shared" si="143"/>
        <v>1.7</v>
      </c>
      <c r="I9179">
        <v>20180101</v>
      </c>
      <c r="J9179" t="s">
        <v>8426</v>
      </c>
    </row>
    <row r="9180" spans="1:67" x14ac:dyDescent="0.3">
      <c r="A9180" s="160">
        <v>66180</v>
      </c>
      <c r="B9180" t="s">
        <v>24246</v>
      </c>
      <c r="C9180" t="s">
        <v>8333</v>
      </c>
      <c r="D9180">
        <v>1.7</v>
      </c>
      <c r="E9180">
        <v>0</v>
      </c>
      <c r="F9180">
        <f t="shared" si="143"/>
        <v>1.7</v>
      </c>
      <c r="I9180">
        <v>20180101</v>
      </c>
      <c r="J9180" t="s">
        <v>8427</v>
      </c>
    </row>
    <row r="9181" spans="1:67" x14ac:dyDescent="0.3">
      <c r="A9181" s="160">
        <v>66182</v>
      </c>
      <c r="B9181" t="s">
        <v>24247</v>
      </c>
      <c r="C9181" t="s">
        <v>8333</v>
      </c>
      <c r="D9181">
        <v>1.7</v>
      </c>
      <c r="E9181">
        <v>0</v>
      </c>
      <c r="F9181">
        <f t="shared" si="143"/>
        <v>1.7</v>
      </c>
      <c r="I9181">
        <v>20180101</v>
      </c>
      <c r="J9181" t="s">
        <v>8349</v>
      </c>
      <c r="K9181" t="s">
        <v>8428</v>
      </c>
    </row>
    <row r="9182" spans="1:67" x14ac:dyDescent="0.3">
      <c r="A9182" s="160">
        <v>66186</v>
      </c>
      <c r="B9182" t="s">
        <v>18415</v>
      </c>
      <c r="C9182" t="s">
        <v>8333</v>
      </c>
      <c r="D9182">
        <v>1.7</v>
      </c>
      <c r="E9182">
        <v>0</v>
      </c>
      <c r="F9182">
        <f t="shared" si="143"/>
        <v>1.7</v>
      </c>
      <c r="I9182">
        <v>20180101</v>
      </c>
      <c r="J9182" t="s">
        <v>8429</v>
      </c>
      <c r="K9182" t="s">
        <v>8430</v>
      </c>
    </row>
    <row r="9183" spans="1:67" x14ac:dyDescent="0.3">
      <c r="A9183" s="160">
        <v>66189</v>
      </c>
      <c r="B9183" t="s">
        <v>24248</v>
      </c>
      <c r="C9183" t="s">
        <v>8333</v>
      </c>
      <c r="D9183">
        <v>1.7</v>
      </c>
      <c r="E9183">
        <v>0</v>
      </c>
      <c r="F9183">
        <f t="shared" si="143"/>
        <v>1.7</v>
      </c>
      <c r="I9183">
        <v>20180101</v>
      </c>
      <c r="J9183" t="s">
        <v>8431</v>
      </c>
      <c r="K9183" t="s">
        <v>8345</v>
      </c>
      <c r="L9183" t="s">
        <v>8346</v>
      </c>
    </row>
    <row r="9184" spans="1:67" x14ac:dyDescent="0.3">
      <c r="A9184" s="160">
        <v>66195</v>
      </c>
      <c r="B9184" t="s">
        <v>24249</v>
      </c>
      <c r="C9184" t="s">
        <v>8333</v>
      </c>
      <c r="D9184">
        <v>1.7</v>
      </c>
      <c r="E9184">
        <v>0</v>
      </c>
      <c r="F9184">
        <f t="shared" si="143"/>
        <v>1.7</v>
      </c>
      <c r="I9184">
        <v>20180101</v>
      </c>
      <c r="J9184" t="s">
        <v>8432</v>
      </c>
    </row>
    <row r="9185" spans="1:12" x14ac:dyDescent="0.3">
      <c r="A9185" s="160">
        <v>66205</v>
      </c>
      <c r="B9185" t="s">
        <v>24250</v>
      </c>
      <c r="C9185" t="s">
        <v>8333</v>
      </c>
      <c r="D9185">
        <v>1.7</v>
      </c>
      <c r="E9185">
        <v>0</v>
      </c>
      <c r="F9185">
        <f t="shared" si="143"/>
        <v>1.7</v>
      </c>
      <c r="I9185">
        <v>20240101</v>
      </c>
      <c r="J9185" t="s">
        <v>8352</v>
      </c>
    </row>
    <row r="9186" spans="1:12" x14ac:dyDescent="0.3">
      <c r="A9186" s="160">
        <v>66212</v>
      </c>
      <c r="B9186" t="s">
        <v>24251</v>
      </c>
      <c r="C9186" t="s">
        <v>8333</v>
      </c>
      <c r="D9186">
        <v>1.7</v>
      </c>
      <c r="E9186">
        <v>0</v>
      </c>
      <c r="F9186">
        <f t="shared" si="143"/>
        <v>1.7</v>
      </c>
      <c r="I9186">
        <v>20180101</v>
      </c>
      <c r="J9186" t="s">
        <v>8433</v>
      </c>
    </row>
    <row r="9187" spans="1:12" x14ac:dyDescent="0.3">
      <c r="A9187" s="160">
        <v>66213</v>
      </c>
      <c r="B9187" t="s">
        <v>24252</v>
      </c>
      <c r="C9187" t="s">
        <v>8333</v>
      </c>
      <c r="D9187">
        <v>1.7</v>
      </c>
      <c r="E9187">
        <v>0</v>
      </c>
      <c r="F9187">
        <f t="shared" si="143"/>
        <v>1.7</v>
      </c>
      <c r="I9187">
        <v>20180101</v>
      </c>
      <c r="J9187" t="s">
        <v>8434</v>
      </c>
    </row>
    <row r="9188" spans="1:12" x14ac:dyDescent="0.3">
      <c r="A9188" s="160">
        <v>66224</v>
      </c>
      <c r="B9188" t="s">
        <v>24253</v>
      </c>
      <c r="C9188" t="s">
        <v>8333</v>
      </c>
      <c r="D9188">
        <v>1.7</v>
      </c>
      <c r="E9188">
        <v>0</v>
      </c>
      <c r="F9188">
        <f t="shared" si="143"/>
        <v>1.7</v>
      </c>
      <c r="I9188">
        <v>20180101</v>
      </c>
      <c r="J9188" t="s">
        <v>8435</v>
      </c>
    </row>
    <row r="9189" spans="1:12" x14ac:dyDescent="0.3">
      <c r="A9189" s="160">
        <v>66227</v>
      </c>
      <c r="B9189" t="s">
        <v>24254</v>
      </c>
      <c r="C9189" t="s">
        <v>8333</v>
      </c>
      <c r="D9189">
        <v>1.7</v>
      </c>
      <c r="E9189">
        <v>0</v>
      </c>
      <c r="F9189">
        <f t="shared" si="143"/>
        <v>1.7</v>
      </c>
      <c r="I9189">
        <v>20180101</v>
      </c>
      <c r="J9189" t="s">
        <v>8436</v>
      </c>
    </row>
    <row r="9190" spans="1:12" x14ac:dyDescent="0.3">
      <c r="A9190" s="160">
        <v>66228</v>
      </c>
      <c r="B9190" t="s">
        <v>24255</v>
      </c>
      <c r="C9190" t="s">
        <v>8333</v>
      </c>
      <c r="D9190">
        <v>1.7</v>
      </c>
      <c r="E9190">
        <v>0</v>
      </c>
      <c r="F9190">
        <f t="shared" si="143"/>
        <v>1.7</v>
      </c>
      <c r="I9190">
        <v>20180101</v>
      </c>
      <c r="J9190" t="s">
        <v>8437</v>
      </c>
    </row>
    <row r="9191" spans="1:12" x14ac:dyDescent="0.3">
      <c r="A9191" s="160">
        <v>66231</v>
      </c>
      <c r="B9191" t="s">
        <v>24256</v>
      </c>
      <c r="C9191" t="s">
        <v>8333</v>
      </c>
      <c r="D9191">
        <v>1.7</v>
      </c>
      <c r="E9191">
        <v>0</v>
      </c>
      <c r="F9191">
        <f t="shared" si="143"/>
        <v>1.7</v>
      </c>
      <c r="I9191">
        <v>20180101</v>
      </c>
      <c r="J9191" t="s">
        <v>8347</v>
      </c>
    </row>
    <row r="9192" spans="1:12" x14ac:dyDescent="0.3">
      <c r="A9192" s="160">
        <v>67001</v>
      </c>
      <c r="B9192" t="s">
        <v>24257</v>
      </c>
      <c r="C9192" t="s">
        <v>8438</v>
      </c>
      <c r="D9192">
        <v>2</v>
      </c>
      <c r="E9192">
        <v>0</v>
      </c>
      <c r="F9192">
        <f t="shared" si="143"/>
        <v>2</v>
      </c>
      <c r="I9192">
        <v>20170601</v>
      </c>
      <c r="J9192" t="s">
        <v>8439</v>
      </c>
      <c r="K9192" t="s">
        <v>8440</v>
      </c>
    </row>
    <row r="9193" spans="1:12" x14ac:dyDescent="0.3">
      <c r="A9193">
        <v>67003</v>
      </c>
      <c r="C9193" t="s">
        <v>27564</v>
      </c>
      <c r="D9193">
        <v>0.6</v>
      </c>
      <c r="E9193">
        <v>0</v>
      </c>
      <c r="F9193">
        <f t="shared" si="143"/>
        <v>0.6</v>
      </c>
      <c r="I9193">
        <v>20250101</v>
      </c>
      <c r="J9193" t="s">
        <v>27565</v>
      </c>
    </row>
    <row r="9194" spans="1:12" x14ac:dyDescent="0.3">
      <c r="A9194">
        <v>67011</v>
      </c>
      <c r="C9194" t="s">
        <v>27564</v>
      </c>
      <c r="D9194">
        <v>0.6</v>
      </c>
      <c r="E9194">
        <v>0</v>
      </c>
      <c r="F9194">
        <f t="shared" si="143"/>
        <v>0.6</v>
      </c>
      <c r="I9194">
        <v>20250101</v>
      </c>
      <c r="J9194" t="s">
        <v>27566</v>
      </c>
    </row>
    <row r="9195" spans="1:12" x14ac:dyDescent="0.3">
      <c r="A9195" s="160">
        <v>67019</v>
      </c>
      <c r="B9195" t="s">
        <v>24258</v>
      </c>
      <c r="C9195" t="s">
        <v>27564</v>
      </c>
      <c r="D9195">
        <v>0.6</v>
      </c>
      <c r="E9195">
        <v>0</v>
      </c>
      <c r="F9195">
        <f t="shared" si="143"/>
        <v>0.6</v>
      </c>
      <c r="I9195">
        <v>20250101</v>
      </c>
      <c r="J9195" t="s">
        <v>8441</v>
      </c>
      <c r="K9195" t="s">
        <v>8442</v>
      </c>
      <c r="L9195" t="s">
        <v>8443</v>
      </c>
    </row>
    <row r="9196" spans="1:12" x14ac:dyDescent="0.3">
      <c r="A9196">
        <v>67022</v>
      </c>
      <c r="C9196" t="s">
        <v>27564</v>
      </c>
      <c r="D9196">
        <v>0.6</v>
      </c>
      <c r="E9196">
        <v>0</v>
      </c>
      <c r="F9196">
        <f t="shared" si="143"/>
        <v>0.6</v>
      </c>
      <c r="I9196">
        <v>20250101</v>
      </c>
      <c r="J9196" t="s">
        <v>27565</v>
      </c>
    </row>
    <row r="9197" spans="1:12" x14ac:dyDescent="0.3">
      <c r="A9197" s="160">
        <v>67023</v>
      </c>
      <c r="B9197" t="s">
        <v>24259</v>
      </c>
      <c r="C9197" t="s">
        <v>8444</v>
      </c>
      <c r="D9197">
        <v>0.6</v>
      </c>
      <c r="E9197">
        <v>0</v>
      </c>
      <c r="F9197">
        <f t="shared" si="143"/>
        <v>0.6</v>
      </c>
      <c r="I9197">
        <v>20220101</v>
      </c>
      <c r="J9197" t="s">
        <v>8445</v>
      </c>
      <c r="K9197" t="s">
        <v>8446</v>
      </c>
      <c r="L9197" t="s">
        <v>8447</v>
      </c>
    </row>
    <row r="9198" spans="1:12" x14ac:dyDescent="0.3">
      <c r="A9198" s="160">
        <v>67031</v>
      </c>
      <c r="B9198" t="s">
        <v>24260</v>
      </c>
      <c r="C9198" t="s">
        <v>8448</v>
      </c>
      <c r="D9198">
        <v>0.5</v>
      </c>
      <c r="E9198">
        <v>0</v>
      </c>
      <c r="F9198">
        <f t="shared" si="143"/>
        <v>0.5</v>
      </c>
      <c r="I9198">
        <v>20210801</v>
      </c>
      <c r="J9198" t="s">
        <v>8449</v>
      </c>
    </row>
    <row r="9199" spans="1:12" x14ac:dyDescent="0.3">
      <c r="A9199" s="160">
        <v>67033</v>
      </c>
      <c r="B9199" t="s">
        <v>24261</v>
      </c>
      <c r="C9199" t="s">
        <v>8444</v>
      </c>
      <c r="D9199">
        <v>0.6</v>
      </c>
      <c r="E9199">
        <v>0</v>
      </c>
      <c r="F9199">
        <f t="shared" si="143"/>
        <v>0.6</v>
      </c>
      <c r="I9199">
        <v>20220101</v>
      </c>
      <c r="J9199" t="s">
        <v>8450</v>
      </c>
      <c r="K9199" t="s">
        <v>8451</v>
      </c>
      <c r="L9199" t="s">
        <v>8452</v>
      </c>
    </row>
    <row r="9200" spans="1:12" x14ac:dyDescent="0.3">
      <c r="A9200" s="160">
        <v>67035</v>
      </c>
      <c r="B9200" t="s">
        <v>24262</v>
      </c>
      <c r="C9200" t="s">
        <v>8444</v>
      </c>
      <c r="D9200">
        <v>0.6</v>
      </c>
      <c r="E9200">
        <v>0</v>
      </c>
      <c r="F9200">
        <f t="shared" si="143"/>
        <v>0.6</v>
      </c>
      <c r="I9200">
        <v>20220101</v>
      </c>
      <c r="J9200" t="s">
        <v>8450</v>
      </c>
    </row>
    <row r="9201" spans="1:15" x14ac:dyDescent="0.3">
      <c r="A9201" s="160">
        <v>67039</v>
      </c>
      <c r="B9201" t="s">
        <v>24263</v>
      </c>
      <c r="C9201" t="s">
        <v>8444</v>
      </c>
      <c r="D9201">
        <v>0.6</v>
      </c>
      <c r="E9201">
        <v>0</v>
      </c>
      <c r="F9201">
        <f t="shared" si="143"/>
        <v>0.6</v>
      </c>
      <c r="I9201">
        <v>20220101</v>
      </c>
      <c r="J9201" t="s">
        <v>8450</v>
      </c>
      <c r="K9201" t="s">
        <v>8452</v>
      </c>
    </row>
    <row r="9202" spans="1:15" x14ac:dyDescent="0.3">
      <c r="A9202">
        <v>67040</v>
      </c>
      <c r="C9202" t="s">
        <v>27564</v>
      </c>
      <c r="D9202">
        <v>0.6</v>
      </c>
      <c r="E9202">
        <v>0</v>
      </c>
      <c r="F9202">
        <f t="shared" si="143"/>
        <v>0.6</v>
      </c>
      <c r="I9202">
        <v>20250101</v>
      </c>
      <c r="J9202" t="s">
        <v>8441</v>
      </c>
    </row>
    <row r="9203" spans="1:15" x14ac:dyDescent="0.3">
      <c r="A9203" s="160">
        <v>67043</v>
      </c>
      <c r="B9203" t="s">
        <v>24264</v>
      </c>
      <c r="C9203" t="s">
        <v>8438</v>
      </c>
      <c r="D9203">
        <v>2</v>
      </c>
      <c r="E9203">
        <v>0</v>
      </c>
      <c r="F9203">
        <f t="shared" si="143"/>
        <v>2</v>
      </c>
      <c r="I9203">
        <v>20110101</v>
      </c>
      <c r="J9203" t="s">
        <v>8453</v>
      </c>
      <c r="K9203" t="s">
        <v>8454</v>
      </c>
      <c r="L9203" t="s">
        <v>8455</v>
      </c>
      <c r="M9203" t="s">
        <v>8456</v>
      </c>
      <c r="N9203" t="s">
        <v>8457</v>
      </c>
      <c r="O9203" t="s">
        <v>8458</v>
      </c>
    </row>
    <row r="9204" spans="1:15" x14ac:dyDescent="0.3">
      <c r="A9204" s="160">
        <v>67046</v>
      </c>
      <c r="B9204" t="s">
        <v>24265</v>
      </c>
      <c r="C9204" t="s">
        <v>8444</v>
      </c>
      <c r="D9204">
        <v>0.6</v>
      </c>
      <c r="E9204">
        <v>0</v>
      </c>
      <c r="F9204">
        <f t="shared" si="143"/>
        <v>0.6</v>
      </c>
      <c r="I9204">
        <v>20220101</v>
      </c>
      <c r="J9204" t="s">
        <v>8459</v>
      </c>
      <c r="K9204" t="s">
        <v>8460</v>
      </c>
      <c r="L9204" t="s">
        <v>8461</v>
      </c>
      <c r="M9204" t="s">
        <v>8462</v>
      </c>
    </row>
    <row r="9205" spans="1:15" x14ac:dyDescent="0.3">
      <c r="A9205" s="160">
        <v>67048</v>
      </c>
      <c r="B9205" t="s">
        <v>24266</v>
      </c>
      <c r="C9205" t="s">
        <v>8444</v>
      </c>
      <c r="D9205">
        <v>0.6</v>
      </c>
      <c r="E9205">
        <v>0</v>
      </c>
      <c r="F9205">
        <f t="shared" si="143"/>
        <v>0.6</v>
      </c>
      <c r="I9205">
        <v>20220101</v>
      </c>
      <c r="J9205" t="s">
        <v>8463</v>
      </c>
    </row>
    <row r="9206" spans="1:15" x14ac:dyDescent="0.3">
      <c r="A9206" s="160">
        <v>67049</v>
      </c>
      <c r="B9206" t="s">
        <v>24267</v>
      </c>
      <c r="C9206" t="s">
        <v>8438</v>
      </c>
      <c r="D9206">
        <v>2</v>
      </c>
      <c r="E9206">
        <v>0</v>
      </c>
      <c r="F9206">
        <f t="shared" si="143"/>
        <v>2</v>
      </c>
      <c r="I9206">
        <v>20110101</v>
      </c>
      <c r="J9206" t="s">
        <v>8464</v>
      </c>
    </row>
    <row r="9207" spans="1:15" x14ac:dyDescent="0.3">
      <c r="A9207">
        <v>67053</v>
      </c>
      <c r="C9207" t="s">
        <v>27564</v>
      </c>
      <c r="D9207">
        <v>0.6</v>
      </c>
      <c r="E9207">
        <v>0</v>
      </c>
      <c r="F9207">
        <f t="shared" si="143"/>
        <v>0.6</v>
      </c>
      <c r="I9207">
        <v>20250101</v>
      </c>
      <c r="J9207" t="s">
        <v>27566</v>
      </c>
    </row>
    <row r="9208" spans="1:15" x14ac:dyDescent="0.3">
      <c r="A9208">
        <v>67056</v>
      </c>
      <c r="C9208" t="s">
        <v>27564</v>
      </c>
      <c r="D9208">
        <v>0.6</v>
      </c>
      <c r="E9208">
        <v>0</v>
      </c>
      <c r="F9208">
        <f t="shared" si="143"/>
        <v>0.6</v>
      </c>
      <c r="I9208">
        <v>20250101</v>
      </c>
      <c r="J9208" t="s">
        <v>27566</v>
      </c>
    </row>
    <row r="9209" spans="1:15" x14ac:dyDescent="0.3">
      <c r="A9209">
        <v>67062</v>
      </c>
      <c r="C9209" t="s">
        <v>27564</v>
      </c>
      <c r="D9209">
        <v>0.6</v>
      </c>
      <c r="E9209">
        <v>0</v>
      </c>
      <c r="F9209">
        <f t="shared" si="143"/>
        <v>0.6</v>
      </c>
      <c r="I9209">
        <v>20250101</v>
      </c>
      <c r="J9209" t="s">
        <v>27565</v>
      </c>
    </row>
    <row r="9210" spans="1:15" x14ac:dyDescent="0.3">
      <c r="A9210">
        <v>67063</v>
      </c>
      <c r="C9210" t="s">
        <v>27564</v>
      </c>
      <c r="D9210">
        <v>0.6</v>
      </c>
      <c r="E9210">
        <v>0</v>
      </c>
      <c r="F9210">
        <f t="shared" si="143"/>
        <v>0.6</v>
      </c>
      <c r="I9210">
        <v>20250101</v>
      </c>
      <c r="J9210" t="s">
        <v>27565</v>
      </c>
    </row>
    <row r="9211" spans="1:15" x14ac:dyDescent="0.3">
      <c r="A9211" s="160">
        <v>67065</v>
      </c>
      <c r="B9211" t="s">
        <v>24268</v>
      </c>
      <c r="C9211" t="s">
        <v>8438</v>
      </c>
      <c r="D9211">
        <v>2</v>
      </c>
      <c r="E9211">
        <v>0</v>
      </c>
      <c r="F9211">
        <f t="shared" si="143"/>
        <v>2</v>
      </c>
      <c r="I9211">
        <v>20170601</v>
      </c>
      <c r="J9211" t="s">
        <v>8465</v>
      </c>
    </row>
    <row r="9212" spans="1:15" x14ac:dyDescent="0.3">
      <c r="A9212" s="160">
        <v>67067</v>
      </c>
      <c r="B9212" t="s">
        <v>24269</v>
      </c>
      <c r="C9212" t="s">
        <v>8444</v>
      </c>
      <c r="D9212">
        <v>0.6</v>
      </c>
      <c r="E9212">
        <v>0</v>
      </c>
      <c r="F9212">
        <f t="shared" si="143"/>
        <v>0.6</v>
      </c>
      <c r="I9212">
        <v>20220101</v>
      </c>
      <c r="J9212" t="s">
        <v>8450</v>
      </c>
      <c r="K9212" t="s">
        <v>8451</v>
      </c>
      <c r="L9212" t="s">
        <v>8466</v>
      </c>
      <c r="M9212" t="s">
        <v>8452</v>
      </c>
    </row>
    <row r="9213" spans="1:15" x14ac:dyDescent="0.3">
      <c r="A9213" s="160">
        <v>67073</v>
      </c>
      <c r="B9213" t="s">
        <v>19609</v>
      </c>
      <c r="C9213" t="s">
        <v>27564</v>
      </c>
      <c r="D9213">
        <v>0.6</v>
      </c>
      <c r="E9213">
        <v>0</v>
      </c>
      <c r="F9213">
        <f t="shared" si="143"/>
        <v>0.6</v>
      </c>
      <c r="I9213">
        <v>20250101</v>
      </c>
      <c r="J9213" t="s">
        <v>8442</v>
      </c>
      <c r="K9213" t="s">
        <v>8467</v>
      </c>
      <c r="L9213" t="s">
        <v>8443</v>
      </c>
      <c r="M9213" t="s">
        <v>8468</v>
      </c>
      <c r="N9213" t="s">
        <v>8469</v>
      </c>
    </row>
    <row r="9214" spans="1:15" x14ac:dyDescent="0.3">
      <c r="A9214" s="160">
        <v>67087</v>
      </c>
      <c r="B9214" t="s">
        <v>24270</v>
      </c>
      <c r="C9214" t="s">
        <v>8444</v>
      </c>
      <c r="D9214">
        <v>0.6</v>
      </c>
      <c r="E9214">
        <v>0</v>
      </c>
      <c r="F9214">
        <f t="shared" si="143"/>
        <v>0.6</v>
      </c>
      <c r="I9214">
        <v>20220101</v>
      </c>
      <c r="J9214" t="s">
        <v>8463</v>
      </c>
    </row>
    <row r="9215" spans="1:15" x14ac:dyDescent="0.3">
      <c r="A9215">
        <v>67092</v>
      </c>
      <c r="C9215" t="s">
        <v>27564</v>
      </c>
      <c r="D9215">
        <v>0.6</v>
      </c>
      <c r="E9215">
        <v>0</v>
      </c>
      <c r="F9215">
        <f t="shared" si="143"/>
        <v>0.6</v>
      </c>
      <c r="I9215">
        <v>20250101</v>
      </c>
      <c r="J9215" t="s">
        <v>27565</v>
      </c>
      <c r="K9215" t="s">
        <v>8561</v>
      </c>
    </row>
    <row r="9216" spans="1:15" x14ac:dyDescent="0.3">
      <c r="A9216" s="160">
        <v>67094</v>
      </c>
      <c r="B9216" t="s">
        <v>24271</v>
      </c>
      <c r="C9216" t="s">
        <v>27564</v>
      </c>
      <c r="D9216">
        <v>0.6</v>
      </c>
      <c r="E9216">
        <v>0</v>
      </c>
      <c r="F9216">
        <f t="shared" si="143"/>
        <v>0.6</v>
      </c>
      <c r="I9216">
        <v>20250101</v>
      </c>
      <c r="J9216" t="s">
        <v>8470</v>
      </c>
    </row>
    <row r="9217" spans="1:20" x14ac:dyDescent="0.3">
      <c r="A9217" s="160">
        <v>67100</v>
      </c>
      <c r="B9217" t="s">
        <v>24272</v>
      </c>
      <c r="C9217" t="s">
        <v>8444</v>
      </c>
      <c r="D9217">
        <v>0.6</v>
      </c>
      <c r="E9217">
        <v>0</v>
      </c>
      <c r="F9217">
        <f t="shared" si="143"/>
        <v>0.6</v>
      </c>
      <c r="I9217">
        <v>20220101</v>
      </c>
      <c r="J9217" t="s">
        <v>8450</v>
      </c>
    </row>
    <row r="9218" spans="1:20" x14ac:dyDescent="0.3">
      <c r="A9218" s="160">
        <v>67115</v>
      </c>
      <c r="B9218" t="s">
        <v>24273</v>
      </c>
      <c r="C9218" t="s">
        <v>27564</v>
      </c>
      <c r="D9218">
        <v>0.6</v>
      </c>
      <c r="E9218">
        <v>0</v>
      </c>
      <c r="F9218">
        <f t="shared" si="143"/>
        <v>0.6</v>
      </c>
      <c r="I9218">
        <v>20250101</v>
      </c>
      <c r="J9218" t="s">
        <v>8441</v>
      </c>
    </row>
    <row r="9219" spans="1:20" x14ac:dyDescent="0.3">
      <c r="A9219" s="160">
        <v>67116</v>
      </c>
      <c r="B9219" t="s">
        <v>24274</v>
      </c>
      <c r="C9219" t="s">
        <v>27564</v>
      </c>
      <c r="D9219">
        <v>0.6</v>
      </c>
      <c r="E9219">
        <v>0</v>
      </c>
      <c r="F9219">
        <f t="shared" si="143"/>
        <v>0.6</v>
      </c>
      <c r="I9219">
        <v>20250101</v>
      </c>
      <c r="J9219" t="s">
        <v>8441</v>
      </c>
    </row>
    <row r="9220" spans="1:20" x14ac:dyDescent="0.3">
      <c r="A9220" s="160">
        <v>67118</v>
      </c>
      <c r="B9220" t="s">
        <v>24275</v>
      </c>
      <c r="C9220" t="s">
        <v>8438</v>
      </c>
      <c r="D9220">
        <v>2</v>
      </c>
      <c r="E9220">
        <v>0</v>
      </c>
      <c r="F9220">
        <f t="shared" si="143"/>
        <v>2</v>
      </c>
      <c r="I9220">
        <v>20110101</v>
      </c>
      <c r="J9220" t="s">
        <v>8471</v>
      </c>
      <c r="K9220" t="s">
        <v>8472</v>
      </c>
      <c r="L9220" t="s">
        <v>8439</v>
      </c>
      <c r="M9220" t="s">
        <v>8473</v>
      </c>
    </row>
    <row r="9221" spans="1:20" x14ac:dyDescent="0.3">
      <c r="A9221" s="160">
        <v>67119</v>
      </c>
      <c r="B9221" t="s">
        <v>24276</v>
      </c>
      <c r="C9221" t="s">
        <v>8438</v>
      </c>
      <c r="D9221">
        <v>2</v>
      </c>
      <c r="E9221">
        <v>0</v>
      </c>
      <c r="F9221">
        <f t="shared" si="143"/>
        <v>2</v>
      </c>
      <c r="I9221">
        <v>20110101</v>
      </c>
      <c r="J9221" t="s">
        <v>8474</v>
      </c>
    </row>
    <row r="9222" spans="1:20" x14ac:dyDescent="0.3">
      <c r="A9222">
        <v>67121</v>
      </c>
      <c r="C9222" t="s">
        <v>27564</v>
      </c>
      <c r="D9222">
        <v>0.6</v>
      </c>
      <c r="E9222">
        <v>0</v>
      </c>
      <c r="F9222">
        <f t="shared" si="143"/>
        <v>0.6</v>
      </c>
      <c r="I9222">
        <v>20250101</v>
      </c>
      <c r="J9222" t="s">
        <v>27566</v>
      </c>
      <c r="K9222" t="s">
        <v>8443</v>
      </c>
    </row>
    <row r="9223" spans="1:20" x14ac:dyDescent="0.3">
      <c r="A9223" s="160">
        <v>67123</v>
      </c>
      <c r="B9223" t="s">
        <v>24277</v>
      </c>
      <c r="C9223" t="s">
        <v>8444</v>
      </c>
      <c r="D9223">
        <v>0.6</v>
      </c>
      <c r="E9223">
        <v>0</v>
      </c>
      <c r="F9223">
        <f t="shared" ref="F9223:F9286" si="144">D9223+E9223</f>
        <v>0.6</v>
      </c>
      <c r="I9223">
        <v>20220101</v>
      </c>
      <c r="J9223" t="s">
        <v>8463</v>
      </c>
    </row>
    <row r="9224" spans="1:20" x14ac:dyDescent="0.3">
      <c r="A9224" s="160">
        <v>67124</v>
      </c>
      <c r="B9224" t="s">
        <v>24278</v>
      </c>
      <c r="C9224" t="s">
        <v>8438</v>
      </c>
      <c r="D9224">
        <v>2</v>
      </c>
      <c r="E9224">
        <v>0</v>
      </c>
      <c r="F9224">
        <f t="shared" si="144"/>
        <v>2</v>
      </c>
      <c r="I9224">
        <v>20110101</v>
      </c>
      <c r="J9224" t="s">
        <v>8475</v>
      </c>
      <c r="K9224" t="s">
        <v>8476</v>
      </c>
      <c r="L9224" t="s">
        <v>8477</v>
      </c>
      <c r="M9224" t="s">
        <v>8478</v>
      </c>
      <c r="N9224" t="s">
        <v>8479</v>
      </c>
      <c r="O9224" t="s">
        <v>8480</v>
      </c>
      <c r="P9224" t="s">
        <v>8481</v>
      </c>
      <c r="Q9224" t="s">
        <v>8482</v>
      </c>
      <c r="R9224" t="s">
        <v>8483</v>
      </c>
      <c r="S9224" t="s">
        <v>8484</v>
      </c>
    </row>
    <row r="9225" spans="1:20" x14ac:dyDescent="0.3">
      <c r="A9225" s="160">
        <v>67131</v>
      </c>
      <c r="B9225" t="s">
        <v>24279</v>
      </c>
      <c r="C9225" t="s">
        <v>8438</v>
      </c>
      <c r="D9225">
        <v>2</v>
      </c>
      <c r="E9225">
        <v>0</v>
      </c>
      <c r="F9225">
        <f t="shared" si="144"/>
        <v>2</v>
      </c>
      <c r="I9225">
        <v>20110101</v>
      </c>
      <c r="J9225" t="s">
        <v>8485</v>
      </c>
      <c r="K9225" t="s">
        <v>8486</v>
      </c>
      <c r="L9225" t="s">
        <v>8487</v>
      </c>
      <c r="M9225" t="s">
        <v>8488</v>
      </c>
      <c r="N9225" t="s">
        <v>8489</v>
      </c>
      <c r="O9225" t="s">
        <v>8490</v>
      </c>
    </row>
    <row r="9226" spans="1:20" x14ac:dyDescent="0.3">
      <c r="A9226" s="160">
        <v>67137</v>
      </c>
      <c r="B9226" t="s">
        <v>24280</v>
      </c>
      <c r="C9226" t="s">
        <v>8438</v>
      </c>
      <c r="D9226">
        <v>2</v>
      </c>
      <c r="E9226">
        <v>0</v>
      </c>
      <c r="F9226">
        <f t="shared" si="144"/>
        <v>2</v>
      </c>
      <c r="I9226">
        <v>20110101</v>
      </c>
      <c r="J9226" t="s">
        <v>8491</v>
      </c>
      <c r="K9226" t="s">
        <v>8489</v>
      </c>
      <c r="L9226" t="s">
        <v>8490</v>
      </c>
      <c r="M9226" t="s">
        <v>8492</v>
      </c>
    </row>
    <row r="9227" spans="1:20" x14ac:dyDescent="0.3">
      <c r="A9227">
        <v>67143</v>
      </c>
      <c r="C9227" t="s">
        <v>27564</v>
      </c>
      <c r="D9227">
        <v>0.6</v>
      </c>
      <c r="E9227">
        <v>0</v>
      </c>
      <c r="F9227">
        <f t="shared" si="144"/>
        <v>0.6</v>
      </c>
      <c r="I9227">
        <v>20250101</v>
      </c>
      <c r="J9227" t="s">
        <v>27565</v>
      </c>
    </row>
    <row r="9228" spans="1:20" x14ac:dyDescent="0.3">
      <c r="A9228" s="160">
        <v>67152</v>
      </c>
      <c r="B9228" t="s">
        <v>24281</v>
      </c>
      <c r="C9228" t="s">
        <v>8438</v>
      </c>
      <c r="D9228">
        <v>2</v>
      </c>
      <c r="E9228">
        <v>0</v>
      </c>
      <c r="F9228">
        <f t="shared" si="144"/>
        <v>2</v>
      </c>
      <c r="I9228">
        <v>20110101</v>
      </c>
      <c r="J9228" t="s">
        <v>8493</v>
      </c>
      <c r="K9228" t="s">
        <v>8486</v>
      </c>
      <c r="L9228" t="s">
        <v>8487</v>
      </c>
      <c r="M9228" t="s">
        <v>8488</v>
      </c>
      <c r="N9228" t="s">
        <v>8491</v>
      </c>
      <c r="O9228" t="s">
        <v>8494</v>
      </c>
      <c r="P9228" t="s">
        <v>8489</v>
      </c>
      <c r="Q9228" t="s">
        <v>8490</v>
      </c>
      <c r="R9228" t="s">
        <v>8495</v>
      </c>
      <c r="S9228" t="s">
        <v>8496</v>
      </c>
      <c r="T9228" t="s">
        <v>8497</v>
      </c>
    </row>
    <row r="9229" spans="1:20" x14ac:dyDescent="0.3">
      <c r="A9229" s="160">
        <v>67180</v>
      </c>
      <c r="B9229" t="s">
        <v>24282</v>
      </c>
      <c r="C9229" t="s">
        <v>8444</v>
      </c>
      <c r="D9229">
        <v>0.6</v>
      </c>
      <c r="E9229">
        <v>0</v>
      </c>
      <c r="F9229">
        <f t="shared" si="144"/>
        <v>0.6</v>
      </c>
      <c r="I9229">
        <v>20220101</v>
      </c>
      <c r="J9229" t="s">
        <v>8445</v>
      </c>
      <c r="K9229" t="s">
        <v>8446</v>
      </c>
      <c r="L9229" t="s">
        <v>8498</v>
      </c>
      <c r="M9229" t="s">
        <v>8447</v>
      </c>
      <c r="N9229" t="s">
        <v>8499</v>
      </c>
      <c r="O9229" t="s">
        <v>8500</v>
      </c>
    </row>
    <row r="9230" spans="1:20" x14ac:dyDescent="0.3">
      <c r="A9230" s="160">
        <v>67182</v>
      </c>
      <c r="B9230" t="s">
        <v>24283</v>
      </c>
      <c r="C9230" t="s">
        <v>8438</v>
      </c>
      <c r="D9230">
        <v>2</v>
      </c>
      <c r="E9230">
        <v>0</v>
      </c>
      <c r="F9230">
        <f t="shared" si="144"/>
        <v>2</v>
      </c>
      <c r="I9230">
        <v>20170601</v>
      </c>
      <c r="J9230" t="s">
        <v>8475</v>
      </c>
      <c r="K9230" t="s">
        <v>8478</v>
      </c>
      <c r="L9230" t="s">
        <v>8501</v>
      </c>
      <c r="M9230" t="s">
        <v>8502</v>
      </c>
    </row>
    <row r="9231" spans="1:20" x14ac:dyDescent="0.3">
      <c r="A9231">
        <v>67187</v>
      </c>
      <c r="C9231" t="s">
        <v>27564</v>
      </c>
      <c r="D9231">
        <v>0.6</v>
      </c>
      <c r="E9231">
        <v>0</v>
      </c>
      <c r="F9231">
        <f t="shared" si="144"/>
        <v>0.6</v>
      </c>
      <c r="I9231">
        <v>20250101</v>
      </c>
      <c r="J9231" t="s">
        <v>27566</v>
      </c>
    </row>
    <row r="9232" spans="1:20" x14ac:dyDescent="0.3">
      <c r="A9232">
        <v>67195</v>
      </c>
      <c r="C9232" t="s">
        <v>27564</v>
      </c>
      <c r="D9232">
        <v>0.6</v>
      </c>
      <c r="E9232">
        <v>0</v>
      </c>
      <c r="F9232">
        <f t="shared" si="144"/>
        <v>0.6</v>
      </c>
      <c r="I9232">
        <v>20250101</v>
      </c>
      <c r="J9232" t="s">
        <v>27566</v>
      </c>
    </row>
    <row r="9233" spans="1:21" x14ac:dyDescent="0.3">
      <c r="A9233">
        <v>67196</v>
      </c>
      <c r="C9233" t="s">
        <v>27564</v>
      </c>
      <c r="D9233">
        <v>0.6</v>
      </c>
      <c r="E9233">
        <v>0</v>
      </c>
      <c r="F9233">
        <f t="shared" si="144"/>
        <v>0.6</v>
      </c>
      <c r="I9233">
        <v>20250101</v>
      </c>
      <c r="J9233" t="s">
        <v>8441</v>
      </c>
      <c r="K9233" t="s">
        <v>8442</v>
      </c>
      <c r="L9233" t="s">
        <v>8561</v>
      </c>
    </row>
    <row r="9234" spans="1:21" x14ac:dyDescent="0.3">
      <c r="A9234" s="160">
        <v>67203</v>
      </c>
      <c r="B9234" t="s">
        <v>24284</v>
      </c>
      <c r="C9234" t="s">
        <v>8444</v>
      </c>
      <c r="D9234">
        <v>0.6</v>
      </c>
      <c r="E9234">
        <v>0</v>
      </c>
      <c r="F9234">
        <f t="shared" si="144"/>
        <v>0.6</v>
      </c>
      <c r="I9234">
        <v>20220101</v>
      </c>
      <c r="J9234" t="s">
        <v>8450</v>
      </c>
    </row>
    <row r="9235" spans="1:21" x14ac:dyDescent="0.3">
      <c r="A9235" s="160">
        <v>67204</v>
      </c>
      <c r="B9235" t="s">
        <v>24285</v>
      </c>
      <c r="C9235" t="s">
        <v>8438</v>
      </c>
      <c r="D9235">
        <v>2</v>
      </c>
      <c r="E9235">
        <v>0</v>
      </c>
      <c r="F9235">
        <f t="shared" si="144"/>
        <v>2</v>
      </c>
      <c r="I9235">
        <v>20110101</v>
      </c>
      <c r="J9235" t="s">
        <v>8503</v>
      </c>
      <c r="K9235" t="s">
        <v>8453</v>
      </c>
      <c r="L9235" t="s">
        <v>8454</v>
      </c>
      <c r="M9235" t="s">
        <v>8455</v>
      </c>
      <c r="N9235" t="s">
        <v>8456</v>
      </c>
      <c r="O9235" t="s">
        <v>8457</v>
      </c>
      <c r="P9235" t="s">
        <v>8504</v>
      </c>
      <c r="Q9235" t="s">
        <v>8505</v>
      </c>
      <c r="R9235" t="s">
        <v>8506</v>
      </c>
      <c r="S9235" t="s">
        <v>8507</v>
      </c>
    </row>
    <row r="9236" spans="1:21" x14ac:dyDescent="0.3">
      <c r="A9236" s="160">
        <v>67212</v>
      </c>
      <c r="B9236" t="s">
        <v>24286</v>
      </c>
      <c r="C9236" t="s">
        <v>8438</v>
      </c>
      <c r="D9236">
        <v>2</v>
      </c>
      <c r="E9236">
        <v>0</v>
      </c>
      <c r="F9236">
        <f t="shared" si="144"/>
        <v>2</v>
      </c>
      <c r="I9236">
        <v>20110101</v>
      </c>
      <c r="J9236" t="s">
        <v>8508</v>
      </c>
      <c r="K9236" t="s">
        <v>8479</v>
      </c>
      <c r="L9236" t="s">
        <v>8509</v>
      </c>
      <c r="M9236" t="s">
        <v>8510</v>
      </c>
    </row>
    <row r="9237" spans="1:21" x14ac:dyDescent="0.3">
      <c r="A9237" s="160">
        <v>67215</v>
      </c>
      <c r="B9237" t="s">
        <v>24287</v>
      </c>
      <c r="C9237" t="s">
        <v>8444</v>
      </c>
      <c r="D9237">
        <v>0.6</v>
      </c>
      <c r="E9237">
        <v>0</v>
      </c>
      <c r="F9237">
        <f t="shared" si="144"/>
        <v>0.6</v>
      </c>
      <c r="I9237">
        <v>20220101</v>
      </c>
      <c r="J9237" t="s">
        <v>8511</v>
      </c>
    </row>
    <row r="9238" spans="1:21" x14ac:dyDescent="0.3">
      <c r="A9238" s="160">
        <v>67218</v>
      </c>
      <c r="B9238" t="s">
        <v>24288</v>
      </c>
      <c r="C9238" t="s">
        <v>8438</v>
      </c>
      <c r="D9238">
        <v>2</v>
      </c>
      <c r="E9238">
        <v>0</v>
      </c>
      <c r="F9238">
        <f t="shared" si="144"/>
        <v>2</v>
      </c>
      <c r="I9238">
        <v>20110101</v>
      </c>
      <c r="J9238" t="s">
        <v>8512</v>
      </c>
      <c r="K9238" t="s">
        <v>8513</v>
      </c>
      <c r="L9238" t="s">
        <v>8486</v>
      </c>
      <c r="M9238" t="s">
        <v>8487</v>
      </c>
      <c r="N9238" t="s">
        <v>8488</v>
      </c>
      <c r="O9238" t="s">
        <v>8491</v>
      </c>
      <c r="P9238" t="s">
        <v>8494</v>
      </c>
      <c r="Q9238" t="s">
        <v>8514</v>
      </c>
      <c r="R9238" t="s">
        <v>8515</v>
      </c>
      <c r="S9238" t="s">
        <v>8516</v>
      </c>
      <c r="T9238" t="s">
        <v>8489</v>
      </c>
      <c r="U9238" t="s">
        <v>8490</v>
      </c>
    </row>
    <row r="9239" spans="1:21" x14ac:dyDescent="0.3">
      <c r="A9239" s="160">
        <v>67223</v>
      </c>
      <c r="B9239" t="s">
        <v>24289</v>
      </c>
      <c r="C9239" t="s">
        <v>8448</v>
      </c>
      <c r="D9239">
        <v>0.5</v>
      </c>
      <c r="E9239">
        <v>0</v>
      </c>
      <c r="F9239">
        <f t="shared" si="144"/>
        <v>0.5</v>
      </c>
      <c r="I9239">
        <v>20210801</v>
      </c>
      <c r="J9239" t="s">
        <v>8517</v>
      </c>
    </row>
    <row r="9240" spans="1:21" x14ac:dyDescent="0.3">
      <c r="A9240" s="160">
        <v>67230</v>
      </c>
      <c r="B9240" t="s">
        <v>24290</v>
      </c>
      <c r="C9240" t="s">
        <v>8444</v>
      </c>
      <c r="D9240">
        <v>0.6</v>
      </c>
      <c r="E9240">
        <v>0</v>
      </c>
      <c r="F9240">
        <f t="shared" si="144"/>
        <v>0.6</v>
      </c>
      <c r="I9240">
        <v>20220101</v>
      </c>
      <c r="J9240" t="s">
        <v>8459</v>
      </c>
      <c r="K9240" t="s">
        <v>8461</v>
      </c>
    </row>
    <row r="9241" spans="1:21" x14ac:dyDescent="0.3">
      <c r="A9241" s="160">
        <v>67238</v>
      </c>
      <c r="B9241" t="s">
        <v>24291</v>
      </c>
      <c r="C9241" t="s">
        <v>8444</v>
      </c>
      <c r="D9241">
        <v>0.6</v>
      </c>
      <c r="E9241">
        <v>0</v>
      </c>
      <c r="F9241">
        <f t="shared" si="144"/>
        <v>0.6</v>
      </c>
      <c r="I9241">
        <v>20220101</v>
      </c>
      <c r="J9241" t="s">
        <v>8463</v>
      </c>
    </row>
    <row r="9242" spans="1:21" x14ac:dyDescent="0.3">
      <c r="A9242" s="160">
        <v>67239</v>
      </c>
      <c r="B9242" t="s">
        <v>24292</v>
      </c>
      <c r="C9242" t="s">
        <v>27564</v>
      </c>
      <c r="D9242">
        <v>0.6</v>
      </c>
      <c r="E9242">
        <v>0</v>
      </c>
      <c r="F9242">
        <f t="shared" si="144"/>
        <v>0.6</v>
      </c>
      <c r="I9242">
        <v>20250101</v>
      </c>
      <c r="J9242" t="s">
        <v>8441</v>
      </c>
    </row>
    <row r="9243" spans="1:21" x14ac:dyDescent="0.3">
      <c r="A9243" s="160">
        <v>67247</v>
      </c>
      <c r="B9243" t="s">
        <v>24293</v>
      </c>
      <c r="C9243" t="s">
        <v>8438</v>
      </c>
      <c r="D9243">
        <v>2</v>
      </c>
      <c r="E9243">
        <v>0</v>
      </c>
      <c r="F9243">
        <f t="shared" si="144"/>
        <v>2</v>
      </c>
      <c r="I9243">
        <v>20170601</v>
      </c>
      <c r="J9243" t="s">
        <v>8518</v>
      </c>
    </row>
    <row r="9244" spans="1:21" x14ac:dyDescent="0.3">
      <c r="A9244" s="160">
        <v>67248</v>
      </c>
      <c r="B9244" t="s">
        <v>24294</v>
      </c>
      <c r="C9244" t="s">
        <v>8448</v>
      </c>
      <c r="D9244">
        <v>0.5</v>
      </c>
      <c r="E9244">
        <v>0</v>
      </c>
      <c r="F9244">
        <f t="shared" si="144"/>
        <v>0.5</v>
      </c>
      <c r="I9244">
        <v>20210801</v>
      </c>
      <c r="J9244" t="s">
        <v>8519</v>
      </c>
      <c r="K9244" t="s">
        <v>8517</v>
      </c>
    </row>
    <row r="9245" spans="1:21" x14ac:dyDescent="0.3">
      <c r="A9245" s="160">
        <v>67249</v>
      </c>
      <c r="B9245" t="s">
        <v>24295</v>
      </c>
      <c r="C9245" t="s">
        <v>8444</v>
      </c>
      <c r="D9245">
        <v>0.6</v>
      </c>
      <c r="E9245">
        <v>0</v>
      </c>
      <c r="F9245">
        <f t="shared" si="144"/>
        <v>0.6</v>
      </c>
      <c r="I9245">
        <v>20220101</v>
      </c>
      <c r="J9245" t="s">
        <v>8450</v>
      </c>
    </row>
    <row r="9246" spans="1:21" x14ac:dyDescent="0.3">
      <c r="A9246" s="160">
        <v>67250</v>
      </c>
      <c r="B9246" t="s">
        <v>24296</v>
      </c>
      <c r="C9246" t="s">
        <v>8444</v>
      </c>
      <c r="D9246">
        <v>0.6</v>
      </c>
      <c r="E9246">
        <v>0</v>
      </c>
      <c r="F9246">
        <f t="shared" si="144"/>
        <v>0.6</v>
      </c>
      <c r="I9246">
        <v>20220101</v>
      </c>
      <c r="J9246" t="s">
        <v>8450</v>
      </c>
      <c r="K9246" t="s">
        <v>8466</v>
      </c>
      <c r="L9246" t="s">
        <v>8452</v>
      </c>
    </row>
    <row r="9247" spans="1:21" x14ac:dyDescent="0.3">
      <c r="A9247">
        <v>67255</v>
      </c>
      <c r="C9247" t="s">
        <v>27564</v>
      </c>
      <c r="D9247">
        <v>0.6</v>
      </c>
      <c r="E9247">
        <v>0</v>
      </c>
      <c r="F9247">
        <f t="shared" si="144"/>
        <v>0.6</v>
      </c>
      <c r="I9247">
        <v>20250101</v>
      </c>
      <c r="J9247" t="s">
        <v>27565</v>
      </c>
    </row>
    <row r="9248" spans="1:21" x14ac:dyDescent="0.3">
      <c r="A9248" s="160">
        <v>67256</v>
      </c>
      <c r="B9248" t="s">
        <v>24297</v>
      </c>
      <c r="C9248" t="s">
        <v>8438</v>
      </c>
      <c r="D9248">
        <v>2</v>
      </c>
      <c r="E9248">
        <v>0</v>
      </c>
      <c r="F9248">
        <f t="shared" si="144"/>
        <v>2</v>
      </c>
      <c r="I9248">
        <v>20110101</v>
      </c>
      <c r="J9248" t="s">
        <v>8520</v>
      </c>
      <c r="K9248" t="s">
        <v>8521</v>
      </c>
      <c r="L9248" t="s">
        <v>8522</v>
      </c>
    </row>
    <row r="9249" spans="1:19" x14ac:dyDescent="0.3">
      <c r="A9249" s="160">
        <v>67267</v>
      </c>
      <c r="B9249" t="s">
        <v>24298</v>
      </c>
      <c r="C9249" t="s">
        <v>8438</v>
      </c>
      <c r="D9249">
        <v>2</v>
      </c>
      <c r="E9249">
        <v>0</v>
      </c>
      <c r="F9249">
        <f t="shared" si="144"/>
        <v>2</v>
      </c>
      <c r="I9249">
        <v>20110101</v>
      </c>
      <c r="J9249" t="s">
        <v>8472</v>
      </c>
      <c r="K9249" t="s">
        <v>8523</v>
      </c>
      <c r="L9249" t="s">
        <v>8524</v>
      </c>
      <c r="M9249" t="s">
        <v>8475</v>
      </c>
      <c r="N9249" t="s">
        <v>8476</v>
      </c>
      <c r="O9249" t="s">
        <v>8477</v>
      </c>
      <c r="P9249" t="s">
        <v>8478</v>
      </c>
      <c r="Q9249" t="s">
        <v>8479</v>
      </c>
      <c r="R9249" t="s">
        <v>8480</v>
      </c>
      <c r="S9249" t="s">
        <v>8525</v>
      </c>
    </row>
    <row r="9250" spans="1:19" x14ac:dyDescent="0.3">
      <c r="A9250" s="160">
        <v>67268</v>
      </c>
      <c r="B9250" t="s">
        <v>24299</v>
      </c>
      <c r="C9250" t="s">
        <v>8438</v>
      </c>
      <c r="D9250">
        <v>2</v>
      </c>
      <c r="E9250">
        <v>0</v>
      </c>
      <c r="F9250">
        <f t="shared" si="144"/>
        <v>2</v>
      </c>
      <c r="I9250">
        <v>20110101</v>
      </c>
      <c r="J9250" t="s">
        <v>8492</v>
      </c>
    </row>
    <row r="9251" spans="1:19" x14ac:dyDescent="0.3">
      <c r="A9251">
        <v>67277</v>
      </c>
      <c r="C9251" t="s">
        <v>27564</v>
      </c>
      <c r="D9251">
        <v>0.6</v>
      </c>
      <c r="E9251">
        <v>0</v>
      </c>
      <c r="F9251">
        <f t="shared" si="144"/>
        <v>0.6</v>
      </c>
      <c r="I9251">
        <v>20250101</v>
      </c>
      <c r="J9251" t="s">
        <v>27566</v>
      </c>
    </row>
    <row r="9252" spans="1:19" x14ac:dyDescent="0.3">
      <c r="A9252">
        <v>67280</v>
      </c>
      <c r="C9252" t="s">
        <v>27564</v>
      </c>
      <c r="D9252">
        <v>0.6</v>
      </c>
      <c r="E9252">
        <v>0</v>
      </c>
      <c r="F9252">
        <f t="shared" si="144"/>
        <v>0.6</v>
      </c>
      <c r="I9252">
        <v>20250101</v>
      </c>
      <c r="J9252" t="s">
        <v>27565</v>
      </c>
    </row>
    <row r="9253" spans="1:19" x14ac:dyDescent="0.3">
      <c r="A9253">
        <v>67281</v>
      </c>
      <c r="C9253" t="s">
        <v>27564</v>
      </c>
      <c r="D9253">
        <v>0.6</v>
      </c>
      <c r="E9253">
        <v>0</v>
      </c>
      <c r="F9253">
        <f t="shared" si="144"/>
        <v>0.6</v>
      </c>
      <c r="I9253">
        <v>20250101</v>
      </c>
      <c r="J9253" t="s">
        <v>27566</v>
      </c>
      <c r="K9253" t="s">
        <v>8443</v>
      </c>
    </row>
    <row r="9254" spans="1:19" x14ac:dyDescent="0.3">
      <c r="A9254" s="160">
        <v>67286</v>
      </c>
      <c r="B9254" t="s">
        <v>24300</v>
      </c>
      <c r="C9254" t="s">
        <v>8448</v>
      </c>
      <c r="D9254">
        <v>0.5</v>
      </c>
      <c r="E9254">
        <v>0</v>
      </c>
      <c r="F9254">
        <f t="shared" si="144"/>
        <v>0.5</v>
      </c>
      <c r="I9254">
        <v>20210801</v>
      </c>
      <c r="J9254" t="s">
        <v>8449</v>
      </c>
    </row>
    <row r="9255" spans="1:19" x14ac:dyDescent="0.3">
      <c r="A9255" s="160">
        <v>67296</v>
      </c>
      <c r="B9255" t="s">
        <v>24301</v>
      </c>
      <c r="C9255" t="s">
        <v>8438</v>
      </c>
      <c r="D9255">
        <v>2</v>
      </c>
      <c r="E9255">
        <v>0</v>
      </c>
      <c r="F9255">
        <f t="shared" si="144"/>
        <v>2</v>
      </c>
      <c r="I9255">
        <v>20110101</v>
      </c>
      <c r="J9255" t="s">
        <v>8526</v>
      </c>
      <c r="K9255" t="s">
        <v>8527</v>
      </c>
      <c r="L9255" t="s">
        <v>8528</v>
      </c>
    </row>
    <row r="9256" spans="1:19" x14ac:dyDescent="0.3">
      <c r="A9256" s="160">
        <v>67298</v>
      </c>
      <c r="B9256" t="s">
        <v>24302</v>
      </c>
      <c r="C9256" t="s">
        <v>8444</v>
      </c>
      <c r="D9256">
        <v>0.6</v>
      </c>
      <c r="E9256">
        <v>0</v>
      </c>
      <c r="F9256">
        <f t="shared" si="144"/>
        <v>0.6</v>
      </c>
      <c r="I9256">
        <v>20220101</v>
      </c>
      <c r="J9256" t="s">
        <v>8450</v>
      </c>
    </row>
    <row r="9257" spans="1:19" x14ac:dyDescent="0.3">
      <c r="A9257" s="160">
        <v>67301</v>
      </c>
      <c r="B9257" t="s">
        <v>24303</v>
      </c>
      <c r="C9257" t="s">
        <v>8444</v>
      </c>
      <c r="D9257">
        <v>0.6</v>
      </c>
      <c r="E9257">
        <v>0</v>
      </c>
      <c r="F9257">
        <f t="shared" si="144"/>
        <v>0.6</v>
      </c>
      <c r="I9257">
        <v>20220101</v>
      </c>
      <c r="J9257" t="s">
        <v>8451</v>
      </c>
      <c r="K9257" t="s">
        <v>8466</v>
      </c>
      <c r="L9257" t="s">
        <v>8452</v>
      </c>
      <c r="M9257" t="s">
        <v>8529</v>
      </c>
    </row>
    <row r="9258" spans="1:19" x14ac:dyDescent="0.3">
      <c r="A9258" s="160">
        <v>67304</v>
      </c>
      <c r="B9258" t="s">
        <v>24304</v>
      </c>
      <c r="C9258" t="s">
        <v>8444</v>
      </c>
      <c r="D9258">
        <v>0.6</v>
      </c>
      <c r="E9258">
        <v>0</v>
      </c>
      <c r="F9258">
        <f t="shared" si="144"/>
        <v>0.6</v>
      </c>
      <c r="I9258">
        <v>20220101</v>
      </c>
      <c r="J9258" t="s">
        <v>8463</v>
      </c>
    </row>
    <row r="9259" spans="1:19" x14ac:dyDescent="0.3">
      <c r="A9259" s="160">
        <v>67309</v>
      </c>
      <c r="B9259" t="s">
        <v>24305</v>
      </c>
      <c r="C9259" t="s">
        <v>8438</v>
      </c>
      <c r="D9259">
        <v>2</v>
      </c>
      <c r="E9259">
        <v>0</v>
      </c>
      <c r="F9259">
        <f t="shared" si="144"/>
        <v>2</v>
      </c>
      <c r="I9259">
        <v>20110101</v>
      </c>
      <c r="J9259" t="s">
        <v>8520</v>
      </c>
      <c r="K9259" t="s">
        <v>8521</v>
      </c>
      <c r="L9259" t="s">
        <v>8522</v>
      </c>
      <c r="M9259" t="s">
        <v>8530</v>
      </c>
      <c r="N9259" t="s">
        <v>8531</v>
      </c>
    </row>
    <row r="9260" spans="1:19" x14ac:dyDescent="0.3">
      <c r="A9260" s="160">
        <v>67310</v>
      </c>
      <c r="B9260" t="s">
        <v>24306</v>
      </c>
      <c r="C9260" t="s">
        <v>27564</v>
      </c>
      <c r="D9260">
        <v>0.6</v>
      </c>
      <c r="E9260">
        <v>0</v>
      </c>
      <c r="F9260">
        <f t="shared" si="144"/>
        <v>0.6</v>
      </c>
      <c r="I9260">
        <v>20250101</v>
      </c>
      <c r="J9260" t="s">
        <v>8441</v>
      </c>
    </row>
    <row r="9261" spans="1:19" x14ac:dyDescent="0.3">
      <c r="A9261" s="160">
        <v>67311</v>
      </c>
      <c r="B9261" t="s">
        <v>24307</v>
      </c>
      <c r="C9261" t="s">
        <v>27564</v>
      </c>
      <c r="D9261">
        <v>0.6</v>
      </c>
      <c r="E9261">
        <v>0</v>
      </c>
      <c r="F9261">
        <f t="shared" si="144"/>
        <v>0.6</v>
      </c>
      <c r="I9261">
        <v>20250101</v>
      </c>
      <c r="J9261" t="s">
        <v>8441</v>
      </c>
      <c r="K9261" t="s">
        <v>8532</v>
      </c>
      <c r="L9261" t="s">
        <v>8533</v>
      </c>
    </row>
    <row r="9262" spans="1:19" x14ac:dyDescent="0.3">
      <c r="A9262">
        <v>67317</v>
      </c>
      <c r="C9262" t="s">
        <v>27564</v>
      </c>
      <c r="D9262">
        <v>0.6</v>
      </c>
      <c r="E9262">
        <v>0</v>
      </c>
      <c r="F9262">
        <f t="shared" si="144"/>
        <v>0.6</v>
      </c>
      <c r="I9262">
        <v>20250101</v>
      </c>
      <c r="J9262" t="s">
        <v>27565</v>
      </c>
    </row>
    <row r="9263" spans="1:19" x14ac:dyDescent="0.3">
      <c r="A9263">
        <v>67320</v>
      </c>
      <c r="C9263" t="s">
        <v>27564</v>
      </c>
      <c r="D9263">
        <v>0.6</v>
      </c>
      <c r="E9263">
        <v>0</v>
      </c>
      <c r="F9263">
        <f t="shared" si="144"/>
        <v>0.6</v>
      </c>
      <c r="I9263">
        <v>20250101</v>
      </c>
      <c r="J9263" t="s">
        <v>27565</v>
      </c>
      <c r="K9263" t="s">
        <v>8561</v>
      </c>
    </row>
    <row r="9264" spans="1:19" x14ac:dyDescent="0.3">
      <c r="A9264" s="160">
        <v>67326</v>
      </c>
      <c r="B9264" t="s">
        <v>24308</v>
      </c>
      <c r="C9264" t="s">
        <v>8438</v>
      </c>
      <c r="D9264">
        <v>2</v>
      </c>
      <c r="E9264">
        <v>0</v>
      </c>
      <c r="F9264">
        <f t="shared" si="144"/>
        <v>2</v>
      </c>
      <c r="I9264">
        <v>20110101</v>
      </c>
      <c r="J9264" t="s">
        <v>8534</v>
      </c>
      <c r="K9264" t="s">
        <v>8527</v>
      </c>
      <c r="L9264" t="s">
        <v>8472</v>
      </c>
      <c r="M9264" t="s">
        <v>8535</v>
      </c>
      <c r="N9264" t="s">
        <v>8522</v>
      </c>
    </row>
    <row r="9265" spans="1:19" x14ac:dyDescent="0.3">
      <c r="A9265" s="160">
        <v>67328</v>
      </c>
      <c r="B9265" t="s">
        <v>24309</v>
      </c>
      <c r="C9265" t="s">
        <v>8444</v>
      </c>
      <c r="D9265">
        <v>0.6</v>
      </c>
      <c r="E9265">
        <v>0</v>
      </c>
      <c r="F9265">
        <f t="shared" si="144"/>
        <v>0.6</v>
      </c>
      <c r="I9265">
        <v>20220101</v>
      </c>
      <c r="J9265" t="s">
        <v>8463</v>
      </c>
    </row>
    <row r="9266" spans="1:19" x14ac:dyDescent="0.3">
      <c r="A9266" s="160">
        <v>67329</v>
      </c>
      <c r="B9266" t="s">
        <v>24310</v>
      </c>
      <c r="C9266" t="s">
        <v>8448</v>
      </c>
      <c r="D9266">
        <v>0.5</v>
      </c>
      <c r="E9266">
        <v>0</v>
      </c>
      <c r="F9266">
        <f t="shared" si="144"/>
        <v>0.5</v>
      </c>
      <c r="I9266">
        <v>20210801</v>
      </c>
      <c r="J9266" t="s">
        <v>8449</v>
      </c>
      <c r="K9266" t="s">
        <v>8536</v>
      </c>
      <c r="L9266" t="s">
        <v>8537</v>
      </c>
    </row>
    <row r="9267" spans="1:19" x14ac:dyDescent="0.3">
      <c r="A9267" s="160">
        <v>67331</v>
      </c>
      <c r="B9267" t="s">
        <v>24311</v>
      </c>
      <c r="C9267" t="s">
        <v>8444</v>
      </c>
      <c r="D9267">
        <v>0.6</v>
      </c>
      <c r="E9267">
        <v>0</v>
      </c>
      <c r="F9267">
        <f t="shared" si="144"/>
        <v>0.6</v>
      </c>
      <c r="I9267">
        <v>20220101</v>
      </c>
      <c r="J9267" t="s">
        <v>8445</v>
      </c>
    </row>
    <row r="9268" spans="1:19" x14ac:dyDescent="0.3">
      <c r="A9268" s="160">
        <v>67343</v>
      </c>
      <c r="B9268" t="s">
        <v>24312</v>
      </c>
      <c r="C9268" t="s">
        <v>8438</v>
      </c>
      <c r="D9268">
        <v>2</v>
      </c>
      <c r="E9268">
        <v>0</v>
      </c>
      <c r="F9268">
        <f t="shared" si="144"/>
        <v>2</v>
      </c>
      <c r="I9268">
        <v>20110101</v>
      </c>
      <c r="J9268" t="s">
        <v>8527</v>
      </c>
      <c r="K9268" t="s">
        <v>8538</v>
      </c>
      <c r="L9268" t="s">
        <v>8539</v>
      </c>
      <c r="M9268" t="s">
        <v>8472</v>
      </c>
      <c r="N9268" t="s">
        <v>8439</v>
      </c>
      <c r="O9268" t="s">
        <v>8540</v>
      </c>
      <c r="P9268" t="s">
        <v>8541</v>
      </c>
      <c r="Q9268" t="s">
        <v>8542</v>
      </c>
      <c r="R9268" t="s">
        <v>8543</v>
      </c>
      <c r="S9268" t="s">
        <v>8544</v>
      </c>
    </row>
    <row r="9269" spans="1:19" x14ac:dyDescent="0.3">
      <c r="A9269" s="160">
        <v>67345</v>
      </c>
      <c r="B9269" t="s">
        <v>24313</v>
      </c>
      <c r="C9269" t="s">
        <v>8444</v>
      </c>
      <c r="D9269">
        <v>0.6</v>
      </c>
      <c r="E9269">
        <v>0</v>
      </c>
      <c r="F9269">
        <f t="shared" si="144"/>
        <v>0.6</v>
      </c>
      <c r="I9269">
        <v>20220101</v>
      </c>
      <c r="J9269" t="s">
        <v>8459</v>
      </c>
      <c r="K9269" t="s">
        <v>8460</v>
      </c>
      <c r="L9269" t="s">
        <v>8462</v>
      </c>
    </row>
    <row r="9270" spans="1:19" x14ac:dyDescent="0.3">
      <c r="A9270" s="160">
        <v>67348</v>
      </c>
      <c r="B9270" t="s">
        <v>24314</v>
      </c>
      <c r="C9270" t="s">
        <v>8448</v>
      </c>
      <c r="D9270">
        <v>0.5</v>
      </c>
      <c r="E9270">
        <v>0</v>
      </c>
      <c r="F9270">
        <f t="shared" si="144"/>
        <v>0.5</v>
      </c>
      <c r="I9270">
        <v>20210801</v>
      </c>
      <c r="J9270" t="s">
        <v>8449</v>
      </c>
      <c r="K9270" t="s">
        <v>8536</v>
      </c>
      <c r="L9270" t="s">
        <v>8537</v>
      </c>
      <c r="M9270" t="s">
        <v>8545</v>
      </c>
      <c r="N9270" t="s">
        <v>8519</v>
      </c>
      <c r="O9270" t="s">
        <v>8546</v>
      </c>
      <c r="P9270" t="s">
        <v>8547</v>
      </c>
      <c r="Q9270" t="s">
        <v>8548</v>
      </c>
    </row>
    <row r="9271" spans="1:19" x14ac:dyDescent="0.3">
      <c r="A9271" s="160">
        <v>67350</v>
      </c>
      <c r="B9271" t="s">
        <v>24315</v>
      </c>
      <c r="C9271" t="s">
        <v>8438</v>
      </c>
      <c r="D9271">
        <v>2</v>
      </c>
      <c r="E9271">
        <v>0</v>
      </c>
      <c r="F9271">
        <f t="shared" si="144"/>
        <v>2</v>
      </c>
      <c r="I9271">
        <v>20110101</v>
      </c>
      <c r="J9271" t="s">
        <v>8472</v>
      </c>
      <c r="K9271" t="s">
        <v>8549</v>
      </c>
    </row>
    <row r="9272" spans="1:19" x14ac:dyDescent="0.3">
      <c r="A9272" s="160">
        <v>67359</v>
      </c>
      <c r="B9272" t="s">
        <v>24316</v>
      </c>
      <c r="C9272" t="s">
        <v>8444</v>
      </c>
      <c r="D9272">
        <v>0.6</v>
      </c>
      <c r="E9272">
        <v>0</v>
      </c>
      <c r="F9272">
        <f t="shared" si="144"/>
        <v>0.6</v>
      </c>
      <c r="I9272">
        <v>20220101</v>
      </c>
      <c r="J9272" t="s">
        <v>8450</v>
      </c>
      <c r="K9272" t="s">
        <v>8550</v>
      </c>
      <c r="L9272" t="s">
        <v>8551</v>
      </c>
    </row>
    <row r="9273" spans="1:19" x14ac:dyDescent="0.3">
      <c r="A9273">
        <v>67360</v>
      </c>
      <c r="C9273" t="s">
        <v>27564</v>
      </c>
      <c r="D9273">
        <v>0.6</v>
      </c>
      <c r="E9273">
        <v>0</v>
      </c>
      <c r="F9273">
        <f t="shared" si="144"/>
        <v>0.6</v>
      </c>
      <c r="I9273">
        <v>20250101</v>
      </c>
      <c r="J9273" t="s">
        <v>27566</v>
      </c>
    </row>
    <row r="9274" spans="1:19" x14ac:dyDescent="0.3">
      <c r="A9274" s="160">
        <v>67361</v>
      </c>
      <c r="B9274" t="s">
        <v>24317</v>
      </c>
      <c r="C9274" t="s">
        <v>8444</v>
      </c>
      <c r="D9274">
        <v>0.6</v>
      </c>
      <c r="E9274">
        <v>0</v>
      </c>
      <c r="F9274">
        <f t="shared" si="144"/>
        <v>0.6</v>
      </c>
      <c r="I9274">
        <v>20220101</v>
      </c>
      <c r="J9274" t="s">
        <v>8450</v>
      </c>
    </row>
    <row r="9275" spans="1:19" x14ac:dyDescent="0.3">
      <c r="A9275" s="160">
        <v>67362</v>
      </c>
      <c r="B9275" t="s">
        <v>24318</v>
      </c>
      <c r="C9275" t="s">
        <v>27564</v>
      </c>
      <c r="D9275">
        <v>0.6</v>
      </c>
      <c r="E9275">
        <v>0</v>
      </c>
      <c r="F9275">
        <f t="shared" si="144"/>
        <v>0.6</v>
      </c>
      <c r="I9275">
        <v>20250101</v>
      </c>
      <c r="J9275" t="s">
        <v>8441</v>
      </c>
      <c r="K9275" t="s">
        <v>8467</v>
      </c>
      <c r="L9275" t="s">
        <v>8443</v>
      </c>
    </row>
    <row r="9276" spans="1:19" x14ac:dyDescent="0.3">
      <c r="A9276" s="160">
        <v>67363</v>
      </c>
      <c r="B9276" t="s">
        <v>24319</v>
      </c>
      <c r="C9276" t="s">
        <v>8438</v>
      </c>
      <c r="D9276">
        <v>2</v>
      </c>
      <c r="E9276">
        <v>0</v>
      </c>
      <c r="F9276">
        <f t="shared" si="144"/>
        <v>2</v>
      </c>
      <c r="I9276">
        <v>20170601</v>
      </c>
      <c r="J9276" t="s">
        <v>8552</v>
      </c>
    </row>
    <row r="9277" spans="1:19" x14ac:dyDescent="0.3">
      <c r="A9277" s="160">
        <v>67365</v>
      </c>
      <c r="B9277" t="s">
        <v>24320</v>
      </c>
      <c r="C9277" t="s">
        <v>8438</v>
      </c>
      <c r="D9277">
        <v>2</v>
      </c>
      <c r="E9277">
        <v>0</v>
      </c>
      <c r="F9277">
        <f t="shared" si="144"/>
        <v>2</v>
      </c>
      <c r="I9277">
        <v>20110101</v>
      </c>
      <c r="J9277" t="s">
        <v>8475</v>
      </c>
      <c r="K9277" t="s">
        <v>8553</v>
      </c>
      <c r="L9277" t="s">
        <v>8554</v>
      </c>
      <c r="M9277" t="s">
        <v>8555</v>
      </c>
      <c r="N9277" t="s">
        <v>8476</v>
      </c>
      <c r="O9277" t="s">
        <v>8477</v>
      </c>
      <c r="P9277" t="s">
        <v>8478</v>
      </c>
      <c r="Q9277" t="s">
        <v>8480</v>
      </c>
    </row>
    <row r="9278" spans="1:19" x14ac:dyDescent="0.3">
      <c r="A9278" s="160">
        <v>67372</v>
      </c>
      <c r="B9278" t="s">
        <v>24321</v>
      </c>
      <c r="C9278" t="s">
        <v>8444</v>
      </c>
      <c r="D9278">
        <v>0.6</v>
      </c>
      <c r="E9278">
        <v>0</v>
      </c>
      <c r="F9278">
        <f t="shared" si="144"/>
        <v>0.6</v>
      </c>
      <c r="I9278">
        <v>20220101</v>
      </c>
      <c r="J9278" t="s">
        <v>8463</v>
      </c>
    </row>
    <row r="9279" spans="1:19" x14ac:dyDescent="0.3">
      <c r="A9279" s="160">
        <v>67378</v>
      </c>
      <c r="B9279" t="s">
        <v>24322</v>
      </c>
      <c r="C9279" t="s">
        <v>8438</v>
      </c>
      <c r="D9279">
        <v>2</v>
      </c>
      <c r="E9279">
        <v>0</v>
      </c>
      <c r="F9279">
        <f t="shared" si="144"/>
        <v>2</v>
      </c>
      <c r="I9279">
        <v>20110101</v>
      </c>
      <c r="J9279" t="s">
        <v>8556</v>
      </c>
      <c r="K9279" t="s">
        <v>8489</v>
      </c>
    </row>
    <row r="9280" spans="1:19" x14ac:dyDescent="0.3">
      <c r="A9280" s="160">
        <v>67389</v>
      </c>
      <c r="B9280" t="s">
        <v>24323</v>
      </c>
      <c r="C9280" t="s">
        <v>8438</v>
      </c>
      <c r="D9280">
        <v>2</v>
      </c>
      <c r="E9280">
        <v>0</v>
      </c>
      <c r="F9280">
        <f t="shared" si="144"/>
        <v>2</v>
      </c>
      <c r="I9280">
        <v>20110101</v>
      </c>
      <c r="J9280" t="s">
        <v>8472</v>
      </c>
      <c r="K9280" t="s">
        <v>8557</v>
      </c>
      <c r="L9280" t="s">
        <v>8521</v>
      </c>
      <c r="M9280" t="s">
        <v>8522</v>
      </c>
      <c r="N9280" t="s">
        <v>8558</v>
      </c>
      <c r="O9280" t="s">
        <v>8559</v>
      </c>
    </row>
    <row r="9281" spans="1:72" x14ac:dyDescent="0.3">
      <c r="A9281">
        <v>67398</v>
      </c>
      <c r="C9281" t="s">
        <v>27564</v>
      </c>
      <c r="D9281">
        <v>0.6</v>
      </c>
      <c r="E9281">
        <v>0</v>
      </c>
      <c r="F9281">
        <f t="shared" si="144"/>
        <v>0.6</v>
      </c>
      <c r="I9281">
        <v>20250101</v>
      </c>
      <c r="J9281" t="s">
        <v>27566</v>
      </c>
    </row>
    <row r="9282" spans="1:72" x14ac:dyDescent="0.3">
      <c r="A9282" s="160">
        <v>67407</v>
      </c>
      <c r="B9282" t="s">
        <v>24324</v>
      </c>
      <c r="C9282" t="s">
        <v>8444</v>
      </c>
      <c r="D9282">
        <v>0.6</v>
      </c>
      <c r="E9282">
        <v>0</v>
      </c>
      <c r="F9282">
        <f t="shared" si="144"/>
        <v>0.6</v>
      </c>
      <c r="I9282">
        <v>20220101</v>
      </c>
      <c r="J9282" t="s">
        <v>8560</v>
      </c>
    </row>
    <row r="9283" spans="1:72" x14ac:dyDescent="0.3">
      <c r="A9283" s="160">
        <v>67417</v>
      </c>
      <c r="B9283" t="s">
        <v>24325</v>
      </c>
      <c r="C9283" t="s">
        <v>8444</v>
      </c>
      <c r="D9283">
        <v>0.6</v>
      </c>
      <c r="E9283">
        <v>0</v>
      </c>
      <c r="F9283">
        <f t="shared" si="144"/>
        <v>0.6</v>
      </c>
      <c r="I9283">
        <v>20220101</v>
      </c>
      <c r="J9283" t="s">
        <v>8450</v>
      </c>
    </row>
    <row r="9284" spans="1:72" x14ac:dyDescent="0.3">
      <c r="A9284">
        <v>67422</v>
      </c>
      <c r="C9284" t="s">
        <v>27564</v>
      </c>
      <c r="D9284">
        <v>0.6</v>
      </c>
      <c r="E9284">
        <v>0</v>
      </c>
      <c r="F9284">
        <f t="shared" si="144"/>
        <v>0.6</v>
      </c>
      <c r="I9284">
        <v>20250101</v>
      </c>
      <c r="J9284" t="s">
        <v>27566</v>
      </c>
    </row>
    <row r="9285" spans="1:72" x14ac:dyDescent="0.3">
      <c r="A9285">
        <v>67426</v>
      </c>
      <c r="C9285" t="s">
        <v>27564</v>
      </c>
      <c r="D9285">
        <v>0.6</v>
      </c>
      <c r="E9285">
        <v>0</v>
      </c>
      <c r="F9285">
        <f t="shared" si="144"/>
        <v>0.6</v>
      </c>
      <c r="I9285">
        <v>20250101</v>
      </c>
      <c r="J9285" t="s">
        <v>27565</v>
      </c>
    </row>
    <row r="9286" spans="1:72" x14ac:dyDescent="0.3">
      <c r="A9286">
        <v>67427</v>
      </c>
      <c r="C9286" t="s">
        <v>27564</v>
      </c>
      <c r="D9286">
        <v>0.6</v>
      </c>
      <c r="E9286">
        <v>0</v>
      </c>
      <c r="F9286">
        <f t="shared" si="144"/>
        <v>0.6</v>
      </c>
      <c r="I9286">
        <v>20250101</v>
      </c>
      <c r="J9286" t="s">
        <v>27565</v>
      </c>
    </row>
    <row r="9287" spans="1:72" x14ac:dyDescent="0.3">
      <c r="A9287">
        <v>67430</v>
      </c>
      <c r="C9287" t="s">
        <v>27564</v>
      </c>
      <c r="D9287">
        <v>0.6</v>
      </c>
      <c r="E9287">
        <v>0</v>
      </c>
      <c r="F9287">
        <f t="shared" ref="F9287:F9350" si="145">D9287+E9287</f>
        <v>0.6</v>
      </c>
      <c r="I9287">
        <v>20250101</v>
      </c>
      <c r="J9287" t="s">
        <v>27565</v>
      </c>
    </row>
    <row r="9288" spans="1:72" x14ac:dyDescent="0.3">
      <c r="A9288" s="160">
        <v>67445</v>
      </c>
      <c r="B9288" t="s">
        <v>24326</v>
      </c>
      <c r="C9288" t="s">
        <v>27564</v>
      </c>
      <c r="D9288">
        <v>0.6</v>
      </c>
      <c r="E9288">
        <v>0</v>
      </c>
      <c r="F9288">
        <f t="shared" si="145"/>
        <v>0.6</v>
      </c>
      <c r="I9288">
        <v>20250101</v>
      </c>
      <c r="J9288" t="s">
        <v>8532</v>
      </c>
      <c r="K9288" t="s">
        <v>8533</v>
      </c>
      <c r="L9288" t="s">
        <v>8561</v>
      </c>
      <c r="M9288" t="s">
        <v>8562</v>
      </c>
    </row>
    <row r="9289" spans="1:72" x14ac:dyDescent="0.3">
      <c r="A9289" s="160">
        <v>67447</v>
      </c>
      <c r="B9289" t="s">
        <v>24327</v>
      </c>
      <c r="C9289" t="s">
        <v>8438</v>
      </c>
      <c r="D9289">
        <v>2</v>
      </c>
      <c r="E9289">
        <v>0</v>
      </c>
      <c r="F9289">
        <f t="shared" si="145"/>
        <v>2</v>
      </c>
      <c r="I9289">
        <v>20110101</v>
      </c>
      <c r="J9289" t="s">
        <v>8512</v>
      </c>
      <c r="K9289" t="s">
        <v>8526</v>
      </c>
      <c r="L9289" t="s">
        <v>8563</v>
      </c>
      <c r="M9289" t="s">
        <v>8534</v>
      </c>
      <c r="N9289" t="s">
        <v>8564</v>
      </c>
      <c r="O9289" t="s">
        <v>8472</v>
      </c>
      <c r="P9289" t="s">
        <v>8565</v>
      </c>
      <c r="Q9289" t="s">
        <v>8566</v>
      </c>
      <c r="R9289" t="s">
        <v>8567</v>
      </c>
      <c r="S9289" t="s">
        <v>8568</v>
      </c>
      <c r="T9289" t="s">
        <v>8569</v>
      </c>
      <c r="U9289" t="s">
        <v>8570</v>
      </c>
      <c r="V9289" t="s">
        <v>8571</v>
      </c>
      <c r="W9289" t="s">
        <v>8572</v>
      </c>
      <c r="X9289" t="s">
        <v>8573</v>
      </c>
      <c r="Y9289" t="s">
        <v>8574</v>
      </c>
      <c r="Z9289" t="s">
        <v>8575</v>
      </c>
      <c r="AA9289" t="s">
        <v>8576</v>
      </c>
      <c r="AB9289" t="s">
        <v>8577</v>
      </c>
      <c r="AC9289" t="s">
        <v>8578</v>
      </c>
      <c r="AD9289" t="s">
        <v>8579</v>
      </c>
      <c r="AE9289" t="s">
        <v>8580</v>
      </c>
      <c r="AF9289" t="s">
        <v>8581</v>
      </c>
    </row>
    <row r="9290" spans="1:72" x14ac:dyDescent="0.3">
      <c r="A9290" s="160">
        <v>67449</v>
      </c>
      <c r="B9290" t="s">
        <v>24328</v>
      </c>
      <c r="C9290" t="s">
        <v>8444</v>
      </c>
      <c r="D9290">
        <v>0.6</v>
      </c>
      <c r="E9290">
        <v>0</v>
      </c>
      <c r="F9290">
        <f t="shared" si="145"/>
        <v>0.6</v>
      </c>
      <c r="I9290">
        <v>20220101</v>
      </c>
      <c r="J9290" t="s">
        <v>8459</v>
      </c>
      <c r="BP9290" t="s">
        <v>8412</v>
      </c>
      <c r="BQ9290" t="s">
        <v>8413</v>
      </c>
      <c r="BR9290" t="s">
        <v>8414</v>
      </c>
      <c r="BS9290" t="s">
        <v>8415</v>
      </c>
      <c r="BT9290" t="s">
        <v>8416</v>
      </c>
    </row>
    <row r="9291" spans="1:72" x14ac:dyDescent="0.3">
      <c r="A9291" s="160">
        <v>67450</v>
      </c>
      <c r="B9291" t="s">
        <v>24329</v>
      </c>
      <c r="C9291" t="s">
        <v>8444</v>
      </c>
      <c r="D9291">
        <v>0.6</v>
      </c>
      <c r="E9291">
        <v>0</v>
      </c>
      <c r="F9291">
        <f t="shared" si="145"/>
        <v>0.6</v>
      </c>
      <c r="I9291">
        <v>20220101</v>
      </c>
      <c r="J9291" t="s">
        <v>8459</v>
      </c>
    </row>
    <row r="9292" spans="1:72" x14ac:dyDescent="0.3">
      <c r="A9292">
        <v>67453</v>
      </c>
      <c r="C9292" t="s">
        <v>27564</v>
      </c>
      <c r="D9292">
        <v>0.6</v>
      </c>
      <c r="E9292">
        <v>0</v>
      </c>
      <c r="F9292">
        <f t="shared" si="145"/>
        <v>0.6</v>
      </c>
      <c r="I9292">
        <v>20250101</v>
      </c>
      <c r="J9292" t="s">
        <v>27566</v>
      </c>
    </row>
    <row r="9293" spans="1:72" x14ac:dyDescent="0.3">
      <c r="A9293" s="160">
        <v>67458</v>
      </c>
      <c r="B9293" t="s">
        <v>24330</v>
      </c>
      <c r="C9293" t="s">
        <v>8444</v>
      </c>
      <c r="D9293">
        <v>0.6</v>
      </c>
      <c r="E9293">
        <v>0</v>
      </c>
      <c r="F9293">
        <f t="shared" si="145"/>
        <v>0.6</v>
      </c>
      <c r="I9293">
        <v>20220101</v>
      </c>
      <c r="J9293" t="s">
        <v>8447</v>
      </c>
      <c r="K9293" t="s">
        <v>8550</v>
      </c>
      <c r="L9293" t="s">
        <v>8551</v>
      </c>
    </row>
    <row r="9294" spans="1:72" x14ac:dyDescent="0.3">
      <c r="A9294">
        <v>67461</v>
      </c>
      <c r="C9294" t="s">
        <v>27564</v>
      </c>
      <c r="D9294">
        <v>0.6</v>
      </c>
      <c r="E9294">
        <v>0</v>
      </c>
      <c r="F9294">
        <f t="shared" si="145"/>
        <v>0.6</v>
      </c>
      <c r="I9294">
        <v>20250101</v>
      </c>
      <c r="J9294" t="s">
        <v>27566</v>
      </c>
    </row>
    <row r="9295" spans="1:72" x14ac:dyDescent="0.3">
      <c r="A9295" s="160">
        <v>67462</v>
      </c>
      <c r="B9295" t="s">
        <v>24331</v>
      </c>
      <c r="C9295" t="s">
        <v>27564</v>
      </c>
      <c r="D9295">
        <v>0.6</v>
      </c>
      <c r="E9295">
        <v>0</v>
      </c>
      <c r="F9295">
        <f t="shared" si="145"/>
        <v>0.6</v>
      </c>
      <c r="I9295">
        <v>20250101</v>
      </c>
      <c r="J9295" t="s">
        <v>8441</v>
      </c>
      <c r="K9295" t="s">
        <v>8532</v>
      </c>
      <c r="L9295" t="s">
        <v>8533</v>
      </c>
      <c r="M9295" t="s">
        <v>8442</v>
      </c>
      <c r="N9295" t="s">
        <v>8467</v>
      </c>
      <c r="O9295" t="s">
        <v>8582</v>
      </c>
      <c r="P9295" t="s">
        <v>8443</v>
      </c>
      <c r="Q9295" t="s">
        <v>8561</v>
      </c>
      <c r="R9295" t="s">
        <v>8583</v>
      </c>
    </row>
    <row r="9296" spans="1:72" x14ac:dyDescent="0.3">
      <c r="A9296" s="160">
        <v>67468</v>
      </c>
      <c r="B9296" t="s">
        <v>24332</v>
      </c>
      <c r="C9296" t="s">
        <v>6591</v>
      </c>
      <c r="D9296">
        <v>0.55000000000000004</v>
      </c>
      <c r="E9296">
        <v>0</v>
      </c>
      <c r="F9296">
        <f t="shared" si="145"/>
        <v>0.55000000000000004</v>
      </c>
      <c r="I9296">
        <v>20020101</v>
      </c>
      <c r="J9296" t="s">
        <v>8584</v>
      </c>
    </row>
    <row r="9297" spans="1:67" x14ac:dyDescent="0.3">
      <c r="A9297" s="160">
        <v>67471</v>
      </c>
      <c r="B9297" t="s">
        <v>24333</v>
      </c>
      <c r="C9297" t="s">
        <v>8438</v>
      </c>
      <c r="D9297">
        <v>2</v>
      </c>
      <c r="E9297">
        <v>0</v>
      </c>
      <c r="F9297">
        <f t="shared" si="145"/>
        <v>2</v>
      </c>
      <c r="I9297">
        <v>20110101</v>
      </c>
      <c r="J9297" t="s">
        <v>8558</v>
      </c>
      <c r="K9297" t="s">
        <v>8585</v>
      </c>
      <c r="L9297" t="s">
        <v>8586</v>
      </c>
      <c r="M9297" t="s">
        <v>8587</v>
      </c>
    </row>
    <row r="9298" spans="1:67" x14ac:dyDescent="0.3">
      <c r="A9298">
        <v>67477</v>
      </c>
      <c r="C9298" t="s">
        <v>27564</v>
      </c>
      <c r="D9298">
        <v>0.6</v>
      </c>
      <c r="E9298">
        <v>0</v>
      </c>
      <c r="F9298">
        <f t="shared" si="145"/>
        <v>0.6</v>
      </c>
      <c r="I9298">
        <v>20250101</v>
      </c>
      <c r="J9298" t="s">
        <v>27565</v>
      </c>
      <c r="K9298" t="s">
        <v>8561</v>
      </c>
    </row>
    <row r="9299" spans="1:67" x14ac:dyDescent="0.3">
      <c r="A9299" s="160">
        <v>67482</v>
      </c>
      <c r="B9299" t="s">
        <v>24334</v>
      </c>
      <c r="C9299" t="s">
        <v>8438</v>
      </c>
      <c r="D9299">
        <v>2</v>
      </c>
      <c r="E9299">
        <v>0</v>
      </c>
      <c r="F9299">
        <f t="shared" si="145"/>
        <v>2</v>
      </c>
      <c r="I9299">
        <v>20110101</v>
      </c>
      <c r="J9299" t="s">
        <v>8588</v>
      </c>
      <c r="K9299" t="s">
        <v>8589</v>
      </c>
      <c r="L9299" t="s">
        <v>8590</v>
      </c>
      <c r="M9299" t="s">
        <v>8591</v>
      </c>
      <c r="N9299" t="s">
        <v>8592</v>
      </c>
      <c r="O9299" t="s">
        <v>8593</v>
      </c>
      <c r="P9299" t="s">
        <v>8594</v>
      </c>
      <c r="Q9299" t="s">
        <v>8512</v>
      </c>
      <c r="R9299" t="s">
        <v>8595</v>
      </c>
      <c r="S9299" t="s">
        <v>8596</v>
      </c>
      <c r="T9299" t="s">
        <v>8597</v>
      </c>
      <c r="U9299" t="s">
        <v>8598</v>
      </c>
      <c r="V9299" t="s">
        <v>8526</v>
      </c>
      <c r="W9299" t="s">
        <v>8563</v>
      </c>
      <c r="X9299" t="s">
        <v>8534</v>
      </c>
      <c r="Y9299" t="s">
        <v>8564</v>
      </c>
      <c r="Z9299" t="s">
        <v>8599</v>
      </c>
      <c r="AA9299" t="s">
        <v>8600</v>
      </c>
      <c r="AB9299" t="s">
        <v>8601</v>
      </c>
      <c r="AC9299" t="s">
        <v>8602</v>
      </c>
      <c r="AD9299" t="s">
        <v>8603</v>
      </c>
      <c r="AE9299" t="s">
        <v>8604</v>
      </c>
      <c r="AF9299" t="s">
        <v>8605</v>
      </c>
      <c r="AG9299" t="s">
        <v>8606</v>
      </c>
      <c r="AH9299" t="s">
        <v>8607</v>
      </c>
      <c r="AI9299" t="s">
        <v>8608</v>
      </c>
      <c r="AJ9299" t="s">
        <v>8609</v>
      </c>
      <c r="AK9299" t="s">
        <v>8610</v>
      </c>
      <c r="AL9299" t="s">
        <v>8611</v>
      </c>
      <c r="AM9299" t="s">
        <v>8612</v>
      </c>
      <c r="AN9299" t="s">
        <v>8527</v>
      </c>
      <c r="AO9299" t="s">
        <v>8538</v>
      </c>
      <c r="AP9299" t="s">
        <v>8471</v>
      </c>
      <c r="AQ9299" t="s">
        <v>8539</v>
      </c>
      <c r="AR9299" t="s">
        <v>8613</v>
      </c>
      <c r="AS9299" t="s">
        <v>8614</v>
      </c>
      <c r="AT9299" t="s">
        <v>8472</v>
      </c>
      <c r="AU9299" t="s">
        <v>8615</v>
      </c>
      <c r="AV9299" t="s">
        <v>8616</v>
      </c>
      <c r="AW9299" t="s">
        <v>8565</v>
      </c>
      <c r="AX9299" t="s">
        <v>8617</v>
      </c>
      <c r="AY9299" t="s">
        <v>8618</v>
      </c>
      <c r="AZ9299" t="s">
        <v>8619</v>
      </c>
      <c r="BA9299" t="s">
        <v>8566</v>
      </c>
      <c r="BB9299" t="s">
        <v>8620</v>
      </c>
      <c r="BC9299" t="s">
        <v>8621</v>
      </c>
      <c r="BD9299" t="s">
        <v>8622</v>
      </c>
      <c r="BE9299" t="s">
        <v>8503</v>
      </c>
      <c r="BF9299" t="s">
        <v>8623</v>
      </c>
      <c r="BG9299" t="s">
        <v>8624</v>
      </c>
      <c r="BH9299" t="s">
        <v>8625</v>
      </c>
      <c r="BI9299" t="s">
        <v>8626</v>
      </c>
      <c r="BJ9299" t="s">
        <v>8627</v>
      </c>
      <c r="BK9299" t="s">
        <v>8628</v>
      </c>
      <c r="BL9299" t="s">
        <v>8629</v>
      </c>
      <c r="BM9299" t="s">
        <v>8630</v>
      </c>
      <c r="BN9299" t="s">
        <v>8631</v>
      </c>
      <c r="BO9299" t="s">
        <v>8632</v>
      </c>
    </row>
    <row r="9300" spans="1:67" x14ac:dyDescent="0.3">
      <c r="A9300">
        <v>67486</v>
      </c>
      <c r="C9300" t="s">
        <v>27564</v>
      </c>
      <c r="D9300">
        <v>0.6</v>
      </c>
      <c r="E9300">
        <v>0</v>
      </c>
      <c r="F9300">
        <f t="shared" si="145"/>
        <v>0.6</v>
      </c>
      <c r="I9300">
        <v>20250101</v>
      </c>
      <c r="J9300" t="s">
        <v>8533</v>
      </c>
      <c r="K9300" t="s">
        <v>8442</v>
      </c>
      <c r="L9300" t="s">
        <v>8443</v>
      </c>
      <c r="M9300" t="s">
        <v>27567</v>
      </c>
    </row>
    <row r="9301" spans="1:67" x14ac:dyDescent="0.3">
      <c r="A9301">
        <v>67490</v>
      </c>
      <c r="C9301" t="s">
        <v>27564</v>
      </c>
      <c r="D9301">
        <v>0.6</v>
      </c>
      <c r="E9301">
        <v>0</v>
      </c>
      <c r="F9301">
        <f t="shared" si="145"/>
        <v>0.6</v>
      </c>
      <c r="I9301">
        <v>20250101</v>
      </c>
      <c r="J9301" t="s">
        <v>27565</v>
      </c>
      <c r="K9301" t="s">
        <v>8561</v>
      </c>
    </row>
    <row r="9302" spans="1:67" x14ac:dyDescent="0.3">
      <c r="A9302">
        <v>67493</v>
      </c>
      <c r="C9302" t="s">
        <v>27564</v>
      </c>
      <c r="D9302">
        <v>0.6</v>
      </c>
      <c r="E9302">
        <v>0</v>
      </c>
      <c r="F9302">
        <f t="shared" si="145"/>
        <v>0.6</v>
      </c>
      <c r="I9302">
        <v>20250101</v>
      </c>
      <c r="J9302" t="s">
        <v>27565</v>
      </c>
      <c r="K9302" t="s">
        <v>8561</v>
      </c>
    </row>
    <row r="9303" spans="1:67" x14ac:dyDescent="0.3">
      <c r="A9303" s="160">
        <v>67497</v>
      </c>
      <c r="B9303" t="s">
        <v>24335</v>
      </c>
      <c r="C9303" t="s">
        <v>8444</v>
      </c>
      <c r="D9303">
        <v>0.6</v>
      </c>
      <c r="E9303">
        <v>0</v>
      </c>
      <c r="F9303">
        <f t="shared" si="145"/>
        <v>0.6</v>
      </c>
      <c r="I9303">
        <v>20220101</v>
      </c>
      <c r="J9303" t="s">
        <v>8463</v>
      </c>
    </row>
    <row r="9304" spans="1:67" x14ac:dyDescent="0.3">
      <c r="A9304" s="160">
        <v>67498</v>
      </c>
      <c r="B9304" t="s">
        <v>24336</v>
      </c>
      <c r="C9304" t="s">
        <v>8444</v>
      </c>
      <c r="D9304">
        <v>0.6</v>
      </c>
      <c r="E9304">
        <v>0</v>
      </c>
      <c r="F9304">
        <f t="shared" si="145"/>
        <v>0.6</v>
      </c>
      <c r="I9304">
        <v>20220101</v>
      </c>
      <c r="J9304" t="s">
        <v>8463</v>
      </c>
    </row>
    <row r="9305" spans="1:67" x14ac:dyDescent="0.3">
      <c r="A9305">
        <v>67499</v>
      </c>
      <c r="C9305" t="s">
        <v>27564</v>
      </c>
      <c r="D9305">
        <v>0.6</v>
      </c>
      <c r="E9305">
        <v>0</v>
      </c>
      <c r="F9305">
        <f t="shared" si="145"/>
        <v>0.6</v>
      </c>
      <c r="I9305">
        <v>20250101</v>
      </c>
      <c r="J9305" t="s">
        <v>27565</v>
      </c>
    </row>
    <row r="9306" spans="1:67" x14ac:dyDescent="0.3">
      <c r="A9306" s="160">
        <v>67505</v>
      </c>
      <c r="B9306" t="s">
        <v>24337</v>
      </c>
      <c r="C9306" t="s">
        <v>27564</v>
      </c>
      <c r="D9306">
        <v>0.6</v>
      </c>
      <c r="E9306">
        <v>0</v>
      </c>
      <c r="F9306">
        <f t="shared" si="145"/>
        <v>0.6</v>
      </c>
      <c r="I9306">
        <v>20250101</v>
      </c>
      <c r="J9306" t="s">
        <v>8533</v>
      </c>
      <c r="K9306" t="s">
        <v>8469</v>
      </c>
    </row>
    <row r="9307" spans="1:67" x14ac:dyDescent="0.3">
      <c r="A9307" s="160">
        <v>67506</v>
      </c>
      <c r="B9307" t="s">
        <v>24338</v>
      </c>
      <c r="C9307" t="s">
        <v>8438</v>
      </c>
      <c r="D9307">
        <v>2</v>
      </c>
      <c r="E9307">
        <v>0</v>
      </c>
      <c r="F9307">
        <f t="shared" si="145"/>
        <v>2</v>
      </c>
      <c r="I9307">
        <v>20110101</v>
      </c>
      <c r="J9307" t="s">
        <v>8664</v>
      </c>
      <c r="K9307" t="s">
        <v>8665</v>
      </c>
      <c r="L9307" t="s">
        <v>8474</v>
      </c>
    </row>
    <row r="9308" spans="1:67" x14ac:dyDescent="0.3">
      <c r="A9308">
        <v>67507</v>
      </c>
      <c r="C9308" t="s">
        <v>27564</v>
      </c>
      <c r="D9308">
        <v>0.6</v>
      </c>
      <c r="E9308">
        <v>0</v>
      </c>
      <c r="F9308">
        <f t="shared" si="145"/>
        <v>0.6</v>
      </c>
      <c r="I9308">
        <v>20250101</v>
      </c>
      <c r="J9308" t="s">
        <v>27565</v>
      </c>
      <c r="K9308" t="s">
        <v>8561</v>
      </c>
    </row>
    <row r="9309" spans="1:67" x14ac:dyDescent="0.3">
      <c r="A9309" s="160">
        <v>67510</v>
      </c>
      <c r="B9309" t="s">
        <v>24339</v>
      </c>
      <c r="C9309" t="s">
        <v>8444</v>
      </c>
      <c r="D9309">
        <v>0.6</v>
      </c>
      <c r="E9309">
        <v>0</v>
      </c>
      <c r="F9309">
        <f t="shared" si="145"/>
        <v>0.6</v>
      </c>
      <c r="I9309">
        <v>20220101</v>
      </c>
      <c r="J9309" t="s">
        <v>8450</v>
      </c>
    </row>
    <row r="9310" spans="1:67" x14ac:dyDescent="0.3">
      <c r="A9310" s="160">
        <v>67519</v>
      </c>
      <c r="B9310" t="s">
        <v>24340</v>
      </c>
      <c r="C9310" t="s">
        <v>8438</v>
      </c>
      <c r="D9310">
        <v>2</v>
      </c>
      <c r="E9310">
        <v>0</v>
      </c>
      <c r="F9310">
        <f t="shared" si="145"/>
        <v>2</v>
      </c>
      <c r="I9310">
        <v>20110101</v>
      </c>
      <c r="J9310" t="s">
        <v>8666</v>
      </c>
    </row>
    <row r="9311" spans="1:67" x14ac:dyDescent="0.3">
      <c r="A9311" s="160">
        <v>67540</v>
      </c>
      <c r="B9311" t="s">
        <v>24341</v>
      </c>
      <c r="C9311" t="s">
        <v>8444</v>
      </c>
      <c r="D9311">
        <v>0.6</v>
      </c>
      <c r="E9311">
        <v>0</v>
      </c>
      <c r="F9311">
        <f t="shared" si="145"/>
        <v>0.6</v>
      </c>
      <c r="I9311">
        <v>20220101</v>
      </c>
      <c r="J9311" t="s">
        <v>8550</v>
      </c>
      <c r="K9311" t="s">
        <v>8551</v>
      </c>
    </row>
    <row r="9312" spans="1:67" x14ac:dyDescent="0.3">
      <c r="A9312" s="160">
        <v>67546</v>
      </c>
      <c r="B9312" t="s">
        <v>24342</v>
      </c>
      <c r="C9312" t="s">
        <v>8444</v>
      </c>
      <c r="D9312">
        <v>0.6</v>
      </c>
      <c r="E9312">
        <v>0</v>
      </c>
      <c r="F9312">
        <f t="shared" si="145"/>
        <v>0.6</v>
      </c>
      <c r="I9312">
        <v>20220101</v>
      </c>
      <c r="J9312" t="s">
        <v>8529</v>
      </c>
    </row>
    <row r="9313" spans="1:18" x14ac:dyDescent="0.3">
      <c r="A9313">
        <v>67547</v>
      </c>
      <c r="C9313" t="s">
        <v>27564</v>
      </c>
      <c r="D9313">
        <v>0.6</v>
      </c>
      <c r="E9313">
        <v>0</v>
      </c>
      <c r="F9313">
        <f t="shared" si="145"/>
        <v>0.6</v>
      </c>
      <c r="I9313">
        <v>20250101</v>
      </c>
      <c r="J9313" t="s">
        <v>8467</v>
      </c>
      <c r="K9313" t="s">
        <v>8443</v>
      </c>
      <c r="L9313" t="s">
        <v>27568</v>
      </c>
    </row>
    <row r="9314" spans="1:18" x14ac:dyDescent="0.3">
      <c r="A9314" s="160">
        <v>67551</v>
      </c>
      <c r="B9314" t="s">
        <v>24343</v>
      </c>
      <c r="C9314" t="s">
        <v>8438</v>
      </c>
      <c r="D9314">
        <v>2</v>
      </c>
      <c r="E9314">
        <v>0</v>
      </c>
      <c r="F9314">
        <f t="shared" si="145"/>
        <v>2</v>
      </c>
      <c r="I9314">
        <v>20110101</v>
      </c>
      <c r="J9314" t="s">
        <v>8667</v>
      </c>
      <c r="K9314" t="s">
        <v>8472</v>
      </c>
      <c r="L9314" t="s">
        <v>8439</v>
      </c>
      <c r="M9314" t="s">
        <v>8668</v>
      </c>
    </row>
    <row r="9315" spans="1:18" x14ac:dyDescent="0.3">
      <c r="A9315" s="160">
        <v>68007</v>
      </c>
      <c r="B9315" t="s">
        <v>24344</v>
      </c>
      <c r="C9315" t="s">
        <v>8669</v>
      </c>
      <c r="D9315">
        <v>0.8</v>
      </c>
      <c r="E9315">
        <v>0</v>
      </c>
      <c r="F9315">
        <f t="shared" si="145"/>
        <v>0.8</v>
      </c>
      <c r="I9315">
        <v>20230101</v>
      </c>
      <c r="J9315" t="s">
        <v>8670</v>
      </c>
    </row>
    <row r="9316" spans="1:18" x14ac:dyDescent="0.3">
      <c r="A9316" s="160">
        <v>68013</v>
      </c>
      <c r="B9316" t="s">
        <v>24345</v>
      </c>
      <c r="C9316" t="s">
        <v>8671</v>
      </c>
      <c r="D9316">
        <v>0.6</v>
      </c>
      <c r="E9316">
        <v>0</v>
      </c>
      <c r="F9316">
        <f t="shared" si="145"/>
        <v>0.6</v>
      </c>
      <c r="I9316">
        <v>20230101</v>
      </c>
      <c r="J9316" t="s">
        <v>8672</v>
      </c>
    </row>
    <row r="9317" spans="1:18" x14ac:dyDescent="0.3">
      <c r="A9317" s="160">
        <v>68015</v>
      </c>
      <c r="B9317" t="s">
        <v>24346</v>
      </c>
      <c r="C9317" t="s">
        <v>8673</v>
      </c>
      <c r="D9317">
        <v>2</v>
      </c>
      <c r="E9317">
        <v>0</v>
      </c>
      <c r="F9317">
        <f t="shared" si="145"/>
        <v>2</v>
      </c>
      <c r="I9317">
        <v>20170701</v>
      </c>
      <c r="J9317" t="s">
        <v>8674</v>
      </c>
      <c r="K9317" t="s">
        <v>8675</v>
      </c>
      <c r="L9317" t="s">
        <v>8676</v>
      </c>
    </row>
    <row r="9318" spans="1:18" x14ac:dyDescent="0.3">
      <c r="A9318" s="160">
        <v>68020</v>
      </c>
      <c r="B9318" t="s">
        <v>24347</v>
      </c>
      <c r="C9318" t="s">
        <v>8673</v>
      </c>
      <c r="D9318">
        <v>2</v>
      </c>
      <c r="E9318">
        <v>0</v>
      </c>
      <c r="F9318">
        <f t="shared" si="145"/>
        <v>2</v>
      </c>
      <c r="I9318">
        <v>20210701</v>
      </c>
      <c r="J9318" t="s">
        <v>8677</v>
      </c>
    </row>
    <row r="9319" spans="1:18" x14ac:dyDescent="0.3">
      <c r="A9319" s="160">
        <v>68021</v>
      </c>
      <c r="B9319" t="s">
        <v>24348</v>
      </c>
      <c r="C9319" t="s">
        <v>8671</v>
      </c>
      <c r="D9319">
        <v>0.6</v>
      </c>
      <c r="E9319">
        <v>0</v>
      </c>
      <c r="F9319">
        <f t="shared" si="145"/>
        <v>0.6</v>
      </c>
      <c r="I9319">
        <v>20230101</v>
      </c>
      <c r="J9319" t="s">
        <v>8678</v>
      </c>
    </row>
    <row r="9320" spans="1:18" x14ac:dyDescent="0.3">
      <c r="A9320" s="160">
        <v>68022</v>
      </c>
      <c r="B9320" t="s">
        <v>24349</v>
      </c>
      <c r="C9320" t="s">
        <v>8673</v>
      </c>
      <c r="D9320">
        <v>2</v>
      </c>
      <c r="E9320">
        <v>0</v>
      </c>
      <c r="F9320">
        <f t="shared" si="145"/>
        <v>2</v>
      </c>
      <c r="I9320">
        <v>20170701</v>
      </c>
      <c r="J9320" t="s">
        <v>8674</v>
      </c>
    </row>
    <row r="9321" spans="1:18" x14ac:dyDescent="0.3">
      <c r="A9321" s="160">
        <v>68032</v>
      </c>
      <c r="B9321" t="s">
        <v>24350</v>
      </c>
      <c r="C9321" t="s">
        <v>8673</v>
      </c>
      <c r="D9321">
        <v>2</v>
      </c>
      <c r="E9321">
        <v>0</v>
      </c>
      <c r="F9321">
        <f t="shared" si="145"/>
        <v>2</v>
      </c>
      <c r="I9321">
        <v>20170701</v>
      </c>
      <c r="J9321" t="s">
        <v>8679</v>
      </c>
    </row>
    <row r="9322" spans="1:18" x14ac:dyDescent="0.3">
      <c r="A9322" s="160">
        <v>68038</v>
      </c>
      <c r="B9322" t="s">
        <v>24351</v>
      </c>
      <c r="C9322" t="s">
        <v>8669</v>
      </c>
      <c r="D9322">
        <v>0.8</v>
      </c>
      <c r="E9322">
        <v>0</v>
      </c>
      <c r="F9322">
        <f t="shared" si="145"/>
        <v>0.8</v>
      </c>
      <c r="I9322">
        <v>20230101</v>
      </c>
      <c r="J9322" t="s">
        <v>8680</v>
      </c>
    </row>
    <row r="9323" spans="1:18" x14ac:dyDescent="0.3">
      <c r="A9323" s="160">
        <v>68042</v>
      </c>
      <c r="B9323" t="s">
        <v>24352</v>
      </c>
      <c r="C9323" t="s">
        <v>8671</v>
      </c>
      <c r="D9323">
        <v>0.6</v>
      </c>
      <c r="E9323">
        <v>0</v>
      </c>
      <c r="F9323">
        <f t="shared" si="145"/>
        <v>0.6</v>
      </c>
      <c r="I9323">
        <v>20230101</v>
      </c>
      <c r="J9323" t="s">
        <v>8681</v>
      </c>
    </row>
    <row r="9324" spans="1:18" x14ac:dyDescent="0.3">
      <c r="A9324" s="160">
        <v>68043</v>
      </c>
      <c r="B9324" t="s">
        <v>24353</v>
      </c>
      <c r="C9324" t="s">
        <v>8673</v>
      </c>
      <c r="D9324">
        <v>2</v>
      </c>
      <c r="E9324">
        <v>0</v>
      </c>
      <c r="F9324">
        <f t="shared" si="145"/>
        <v>2</v>
      </c>
      <c r="I9324">
        <v>20170701</v>
      </c>
      <c r="J9324" t="s">
        <v>8682</v>
      </c>
    </row>
    <row r="9325" spans="1:18" x14ac:dyDescent="0.3">
      <c r="A9325" s="160">
        <v>68054</v>
      </c>
      <c r="B9325" t="s">
        <v>24354</v>
      </c>
      <c r="C9325" t="s">
        <v>8671</v>
      </c>
      <c r="D9325">
        <v>0.6</v>
      </c>
      <c r="E9325">
        <v>0</v>
      </c>
      <c r="F9325">
        <f t="shared" si="145"/>
        <v>0.6</v>
      </c>
      <c r="I9325">
        <v>20230101</v>
      </c>
      <c r="J9325" t="s">
        <v>8678</v>
      </c>
    </row>
    <row r="9326" spans="1:18" x14ac:dyDescent="0.3">
      <c r="A9326" s="160">
        <v>68055</v>
      </c>
      <c r="B9326" t="s">
        <v>24355</v>
      </c>
      <c r="C9326" t="s">
        <v>8673</v>
      </c>
      <c r="D9326">
        <v>2</v>
      </c>
      <c r="E9326">
        <v>0</v>
      </c>
      <c r="F9326">
        <f t="shared" si="145"/>
        <v>2</v>
      </c>
      <c r="I9326">
        <v>20170701</v>
      </c>
      <c r="J9326" t="s">
        <v>8683</v>
      </c>
    </row>
    <row r="9327" spans="1:18" x14ac:dyDescent="0.3">
      <c r="A9327" s="160">
        <v>68056</v>
      </c>
      <c r="B9327" t="s">
        <v>24356</v>
      </c>
      <c r="C9327" t="s">
        <v>8673</v>
      </c>
      <c r="D9327">
        <v>2</v>
      </c>
      <c r="E9327">
        <v>0</v>
      </c>
      <c r="F9327">
        <f t="shared" si="145"/>
        <v>2</v>
      </c>
      <c r="I9327">
        <v>20170701</v>
      </c>
      <c r="J9327" t="s">
        <v>8684</v>
      </c>
      <c r="K9327" t="s">
        <v>8685</v>
      </c>
      <c r="L9327" t="s">
        <v>8686</v>
      </c>
      <c r="M9327" t="s">
        <v>8687</v>
      </c>
      <c r="N9327" t="s">
        <v>8688</v>
      </c>
      <c r="O9327" t="s">
        <v>8689</v>
      </c>
      <c r="P9327" t="s">
        <v>8690</v>
      </c>
      <c r="Q9327" t="s">
        <v>8691</v>
      </c>
      <c r="R9327" t="s">
        <v>8692</v>
      </c>
    </row>
    <row r="9328" spans="1:18" x14ac:dyDescent="0.3">
      <c r="A9328" s="160">
        <v>68061</v>
      </c>
      <c r="B9328" t="s">
        <v>24357</v>
      </c>
      <c r="C9328" t="s">
        <v>8671</v>
      </c>
      <c r="D9328">
        <v>0.6</v>
      </c>
      <c r="E9328">
        <v>0</v>
      </c>
      <c r="F9328">
        <f t="shared" si="145"/>
        <v>0.6</v>
      </c>
      <c r="I9328">
        <v>20230101</v>
      </c>
      <c r="J9328" t="s">
        <v>8672</v>
      </c>
    </row>
    <row r="9329" spans="1:36" x14ac:dyDescent="0.3">
      <c r="A9329" s="160">
        <v>68064</v>
      </c>
      <c r="B9329" t="s">
        <v>24358</v>
      </c>
      <c r="C9329" t="s">
        <v>8673</v>
      </c>
      <c r="D9329">
        <v>2</v>
      </c>
      <c r="E9329">
        <v>0</v>
      </c>
      <c r="F9329">
        <f t="shared" si="145"/>
        <v>2</v>
      </c>
      <c r="I9329">
        <v>20210701</v>
      </c>
      <c r="J9329" t="s">
        <v>8693</v>
      </c>
      <c r="K9329" t="s">
        <v>8677</v>
      </c>
    </row>
    <row r="9330" spans="1:36" x14ac:dyDescent="0.3">
      <c r="A9330" s="160">
        <v>68066</v>
      </c>
      <c r="B9330" t="s">
        <v>24359</v>
      </c>
      <c r="C9330" t="s">
        <v>8669</v>
      </c>
      <c r="D9330">
        <v>0.8</v>
      </c>
      <c r="E9330">
        <v>0</v>
      </c>
      <c r="F9330">
        <f t="shared" si="145"/>
        <v>0.8</v>
      </c>
      <c r="I9330">
        <v>20230101</v>
      </c>
      <c r="J9330" t="s">
        <v>8694</v>
      </c>
      <c r="K9330" t="s">
        <v>8695</v>
      </c>
      <c r="L9330" t="s">
        <v>8696</v>
      </c>
      <c r="M9330" t="s">
        <v>8697</v>
      </c>
      <c r="N9330" t="s">
        <v>8698</v>
      </c>
      <c r="O9330" t="s">
        <v>8699</v>
      </c>
      <c r="P9330" t="s">
        <v>8700</v>
      </c>
      <c r="Q9330" t="s">
        <v>8701</v>
      </c>
      <c r="R9330" t="s">
        <v>8702</v>
      </c>
      <c r="S9330" t="s">
        <v>8703</v>
      </c>
      <c r="T9330" t="s">
        <v>8704</v>
      </c>
      <c r="U9330" t="s">
        <v>8705</v>
      </c>
      <c r="V9330" t="s">
        <v>8706</v>
      </c>
      <c r="W9330" t="s">
        <v>8707</v>
      </c>
      <c r="X9330" t="s">
        <v>8708</v>
      </c>
      <c r="Y9330" t="s">
        <v>8709</v>
      </c>
      <c r="Z9330" t="s">
        <v>8710</v>
      </c>
      <c r="AA9330" t="s">
        <v>8711</v>
      </c>
      <c r="AB9330" t="s">
        <v>8712</v>
      </c>
      <c r="AC9330" t="s">
        <v>8713</v>
      </c>
      <c r="AD9330" t="s">
        <v>8714</v>
      </c>
      <c r="AE9330" t="s">
        <v>8715</v>
      </c>
      <c r="AF9330" t="s">
        <v>8716</v>
      </c>
      <c r="AG9330" t="s">
        <v>8717</v>
      </c>
      <c r="AH9330" t="s">
        <v>8718</v>
      </c>
      <c r="AI9330" t="s">
        <v>8719</v>
      </c>
      <c r="AJ9330" t="s">
        <v>8720</v>
      </c>
    </row>
    <row r="9331" spans="1:36" x14ac:dyDescent="0.3">
      <c r="A9331" s="160">
        <v>68070</v>
      </c>
      <c r="B9331" t="s">
        <v>24360</v>
      </c>
      <c r="C9331" t="s">
        <v>8673</v>
      </c>
      <c r="D9331">
        <v>2</v>
      </c>
      <c r="E9331">
        <v>0</v>
      </c>
      <c r="F9331">
        <f t="shared" si="145"/>
        <v>2</v>
      </c>
      <c r="I9331">
        <v>20170701</v>
      </c>
      <c r="J9331" t="s">
        <v>8684</v>
      </c>
      <c r="K9331" t="s">
        <v>8685</v>
      </c>
      <c r="L9331" t="s">
        <v>8686</v>
      </c>
      <c r="M9331" t="s">
        <v>8687</v>
      </c>
      <c r="N9331" t="s">
        <v>8688</v>
      </c>
      <c r="O9331" t="s">
        <v>8689</v>
      </c>
      <c r="P9331" t="s">
        <v>8690</v>
      </c>
      <c r="Q9331" t="s">
        <v>8691</v>
      </c>
      <c r="R9331" t="s">
        <v>8692</v>
      </c>
    </row>
    <row r="9332" spans="1:36" x14ac:dyDescent="0.3">
      <c r="A9332" s="160">
        <v>68072</v>
      </c>
      <c r="B9332" t="s">
        <v>24361</v>
      </c>
      <c r="C9332" t="s">
        <v>8673</v>
      </c>
      <c r="D9332">
        <v>2</v>
      </c>
      <c r="E9332">
        <v>0</v>
      </c>
      <c r="F9332">
        <f t="shared" si="145"/>
        <v>2</v>
      </c>
      <c r="I9332">
        <v>20170701</v>
      </c>
      <c r="J9332" t="s">
        <v>8683</v>
      </c>
    </row>
    <row r="9333" spans="1:36" x14ac:dyDescent="0.3">
      <c r="A9333" s="160">
        <v>68084</v>
      </c>
      <c r="B9333" t="s">
        <v>24362</v>
      </c>
      <c r="C9333" t="s">
        <v>8673</v>
      </c>
      <c r="D9333">
        <v>2</v>
      </c>
      <c r="E9333">
        <v>0</v>
      </c>
      <c r="F9333">
        <f t="shared" si="145"/>
        <v>2</v>
      </c>
      <c r="I9333">
        <v>20170701</v>
      </c>
      <c r="J9333" t="s">
        <v>8683</v>
      </c>
    </row>
    <row r="9334" spans="1:36" x14ac:dyDescent="0.3">
      <c r="A9334" s="160">
        <v>68088</v>
      </c>
      <c r="B9334" t="s">
        <v>24363</v>
      </c>
      <c r="C9334" t="s">
        <v>8673</v>
      </c>
      <c r="D9334">
        <v>2</v>
      </c>
      <c r="E9334">
        <v>0</v>
      </c>
      <c r="F9334">
        <f t="shared" si="145"/>
        <v>2</v>
      </c>
      <c r="I9334">
        <v>20170701</v>
      </c>
      <c r="J9334" t="s">
        <v>8682</v>
      </c>
    </row>
    <row r="9335" spans="1:36" x14ac:dyDescent="0.3">
      <c r="A9335" s="160">
        <v>68093</v>
      </c>
      <c r="B9335" t="s">
        <v>24364</v>
      </c>
      <c r="C9335" t="s">
        <v>8673</v>
      </c>
      <c r="D9335">
        <v>2</v>
      </c>
      <c r="E9335">
        <v>0</v>
      </c>
      <c r="F9335">
        <f t="shared" si="145"/>
        <v>2</v>
      </c>
      <c r="I9335">
        <v>20170701</v>
      </c>
      <c r="J9335" t="s">
        <v>8721</v>
      </c>
    </row>
    <row r="9336" spans="1:36" x14ac:dyDescent="0.3">
      <c r="A9336" s="160">
        <v>68094</v>
      </c>
      <c r="B9336" t="s">
        <v>24365</v>
      </c>
      <c r="C9336" t="s">
        <v>8671</v>
      </c>
      <c r="D9336">
        <v>0.6</v>
      </c>
      <c r="E9336">
        <v>0</v>
      </c>
      <c r="F9336">
        <f t="shared" si="145"/>
        <v>0.6</v>
      </c>
      <c r="I9336">
        <v>20230101</v>
      </c>
      <c r="J9336" t="s">
        <v>8672</v>
      </c>
    </row>
    <row r="9337" spans="1:36" x14ac:dyDescent="0.3">
      <c r="A9337" s="160">
        <v>68095</v>
      </c>
      <c r="B9337" t="s">
        <v>24366</v>
      </c>
      <c r="C9337" t="s">
        <v>8669</v>
      </c>
      <c r="D9337">
        <v>0.8</v>
      </c>
      <c r="E9337">
        <v>0</v>
      </c>
      <c r="F9337">
        <f t="shared" si="145"/>
        <v>0.8</v>
      </c>
      <c r="I9337">
        <v>20230101</v>
      </c>
      <c r="J9337" t="s">
        <v>8680</v>
      </c>
    </row>
    <row r="9338" spans="1:36" x14ac:dyDescent="0.3">
      <c r="A9338" s="160">
        <v>68101</v>
      </c>
      <c r="B9338" t="s">
        <v>24367</v>
      </c>
      <c r="C9338" t="s">
        <v>8673</v>
      </c>
      <c r="D9338">
        <v>2</v>
      </c>
      <c r="E9338">
        <v>0</v>
      </c>
      <c r="F9338">
        <f t="shared" si="145"/>
        <v>2</v>
      </c>
      <c r="I9338">
        <v>20170701</v>
      </c>
      <c r="J9338" t="s">
        <v>8722</v>
      </c>
    </row>
    <row r="9339" spans="1:36" x14ac:dyDescent="0.3">
      <c r="A9339" s="160">
        <v>68103</v>
      </c>
      <c r="B9339" t="s">
        <v>24368</v>
      </c>
      <c r="C9339" t="s">
        <v>8671</v>
      </c>
      <c r="D9339">
        <v>0.6</v>
      </c>
      <c r="E9339">
        <v>0</v>
      </c>
      <c r="F9339">
        <f t="shared" si="145"/>
        <v>0.6</v>
      </c>
      <c r="I9339">
        <v>20230101</v>
      </c>
      <c r="J9339" t="s">
        <v>8723</v>
      </c>
    </row>
    <row r="9340" spans="1:36" x14ac:dyDescent="0.3">
      <c r="A9340">
        <v>68110</v>
      </c>
      <c r="C9340" t="s">
        <v>27564</v>
      </c>
      <c r="D9340">
        <v>0.6</v>
      </c>
      <c r="E9340">
        <v>0</v>
      </c>
      <c r="F9340">
        <f t="shared" si="145"/>
        <v>0.6</v>
      </c>
      <c r="I9340">
        <v>20250101</v>
      </c>
      <c r="J9340" t="s">
        <v>8680</v>
      </c>
    </row>
    <row r="9341" spans="1:36" x14ac:dyDescent="0.3">
      <c r="A9341" s="160">
        <v>68118</v>
      </c>
      <c r="B9341" t="s">
        <v>24369</v>
      </c>
      <c r="C9341" t="s">
        <v>8673</v>
      </c>
      <c r="D9341">
        <v>2</v>
      </c>
      <c r="E9341">
        <v>0</v>
      </c>
      <c r="F9341">
        <f t="shared" si="145"/>
        <v>2</v>
      </c>
      <c r="I9341">
        <v>20170701</v>
      </c>
      <c r="J9341" t="s">
        <v>8683</v>
      </c>
    </row>
    <row r="9342" spans="1:36" x14ac:dyDescent="0.3">
      <c r="A9342" s="160">
        <v>68120</v>
      </c>
      <c r="B9342" t="s">
        <v>24370</v>
      </c>
      <c r="C9342" t="s">
        <v>8671</v>
      </c>
      <c r="D9342">
        <v>0.6</v>
      </c>
      <c r="E9342">
        <v>0</v>
      </c>
      <c r="F9342">
        <f t="shared" si="145"/>
        <v>0.6</v>
      </c>
      <c r="I9342">
        <v>20230101</v>
      </c>
      <c r="J9342" t="s">
        <v>8672</v>
      </c>
    </row>
    <row r="9343" spans="1:36" x14ac:dyDescent="0.3">
      <c r="A9343" s="160">
        <v>68121</v>
      </c>
      <c r="B9343" t="s">
        <v>24371</v>
      </c>
      <c r="C9343" t="s">
        <v>8671</v>
      </c>
      <c r="D9343">
        <v>0.6</v>
      </c>
      <c r="E9343">
        <v>0</v>
      </c>
      <c r="F9343">
        <f t="shared" si="145"/>
        <v>0.6</v>
      </c>
      <c r="I9343">
        <v>20230101</v>
      </c>
      <c r="J9343" t="s">
        <v>8672</v>
      </c>
    </row>
    <row r="9344" spans="1:36" x14ac:dyDescent="0.3">
      <c r="A9344" s="160">
        <v>68126</v>
      </c>
      <c r="B9344" t="s">
        <v>24372</v>
      </c>
      <c r="C9344" t="s">
        <v>8671</v>
      </c>
      <c r="D9344">
        <v>0.6</v>
      </c>
      <c r="E9344">
        <v>0</v>
      </c>
      <c r="F9344">
        <f t="shared" si="145"/>
        <v>0.6</v>
      </c>
      <c r="I9344">
        <v>20230101</v>
      </c>
      <c r="J9344" t="s">
        <v>8672</v>
      </c>
      <c r="K9344" t="s">
        <v>8724</v>
      </c>
    </row>
    <row r="9345" spans="1:19" x14ac:dyDescent="0.3">
      <c r="A9345" s="160">
        <v>68129</v>
      </c>
      <c r="B9345" t="s">
        <v>24373</v>
      </c>
      <c r="C9345" t="s">
        <v>8673</v>
      </c>
      <c r="D9345">
        <v>2</v>
      </c>
      <c r="E9345">
        <v>0</v>
      </c>
      <c r="F9345">
        <f t="shared" si="145"/>
        <v>2</v>
      </c>
      <c r="I9345">
        <v>20170701</v>
      </c>
      <c r="J9345" t="s">
        <v>8687</v>
      </c>
      <c r="K9345" t="s">
        <v>8722</v>
      </c>
    </row>
    <row r="9346" spans="1:19" x14ac:dyDescent="0.3">
      <c r="A9346" s="160">
        <v>68132</v>
      </c>
      <c r="B9346" t="s">
        <v>24374</v>
      </c>
      <c r="C9346" t="s">
        <v>8671</v>
      </c>
      <c r="D9346">
        <v>0.6</v>
      </c>
      <c r="E9346">
        <v>0</v>
      </c>
      <c r="F9346">
        <f t="shared" si="145"/>
        <v>0.6</v>
      </c>
      <c r="I9346">
        <v>20230101</v>
      </c>
      <c r="J9346" t="s">
        <v>8723</v>
      </c>
    </row>
    <row r="9347" spans="1:19" x14ac:dyDescent="0.3">
      <c r="A9347" s="160">
        <v>68134</v>
      </c>
      <c r="B9347" t="s">
        <v>24375</v>
      </c>
      <c r="C9347" t="s">
        <v>8669</v>
      </c>
      <c r="D9347">
        <v>0.8</v>
      </c>
      <c r="E9347">
        <v>0</v>
      </c>
      <c r="F9347">
        <f t="shared" si="145"/>
        <v>0.8</v>
      </c>
      <c r="I9347">
        <v>20230101</v>
      </c>
      <c r="J9347" t="s">
        <v>8725</v>
      </c>
      <c r="K9347" t="s">
        <v>8726</v>
      </c>
    </row>
    <row r="9348" spans="1:19" x14ac:dyDescent="0.3">
      <c r="A9348" s="160">
        <v>68135</v>
      </c>
      <c r="B9348" t="s">
        <v>24376</v>
      </c>
      <c r="C9348" t="s">
        <v>8671</v>
      </c>
      <c r="D9348">
        <v>0.6</v>
      </c>
      <c r="E9348">
        <v>0</v>
      </c>
      <c r="F9348">
        <f t="shared" si="145"/>
        <v>0.6</v>
      </c>
      <c r="I9348">
        <v>20230101</v>
      </c>
      <c r="J9348" t="s">
        <v>8672</v>
      </c>
      <c r="K9348" t="s">
        <v>8724</v>
      </c>
      <c r="L9348" t="s">
        <v>8727</v>
      </c>
    </row>
    <row r="9349" spans="1:19" x14ac:dyDescent="0.3">
      <c r="A9349" s="160">
        <v>68143</v>
      </c>
      <c r="B9349" t="s">
        <v>24377</v>
      </c>
      <c r="C9349" t="s">
        <v>8669</v>
      </c>
      <c r="D9349">
        <v>0.8</v>
      </c>
      <c r="E9349">
        <v>0</v>
      </c>
      <c r="F9349">
        <f t="shared" si="145"/>
        <v>0.8</v>
      </c>
      <c r="I9349">
        <v>20230101</v>
      </c>
      <c r="J9349" t="s">
        <v>8695</v>
      </c>
      <c r="K9349" t="s">
        <v>8717</v>
      </c>
      <c r="L9349" t="s">
        <v>8680</v>
      </c>
    </row>
    <row r="9350" spans="1:19" x14ac:dyDescent="0.3">
      <c r="A9350" s="160">
        <v>68144</v>
      </c>
      <c r="B9350" t="s">
        <v>24378</v>
      </c>
      <c r="C9350" t="s">
        <v>8673</v>
      </c>
      <c r="D9350">
        <v>2</v>
      </c>
      <c r="E9350">
        <v>0</v>
      </c>
      <c r="F9350">
        <f t="shared" si="145"/>
        <v>2</v>
      </c>
      <c r="I9350">
        <v>20210701</v>
      </c>
      <c r="J9350" t="s">
        <v>8677</v>
      </c>
    </row>
    <row r="9351" spans="1:19" x14ac:dyDescent="0.3">
      <c r="A9351" s="160">
        <v>68145</v>
      </c>
      <c r="B9351" t="s">
        <v>24379</v>
      </c>
      <c r="C9351" t="s">
        <v>8669</v>
      </c>
      <c r="D9351">
        <v>0.8</v>
      </c>
      <c r="E9351">
        <v>0</v>
      </c>
      <c r="F9351">
        <f t="shared" ref="F9351:F9414" si="146">D9351+E9351</f>
        <v>0.8</v>
      </c>
      <c r="I9351">
        <v>20230101</v>
      </c>
      <c r="J9351" t="s">
        <v>8696</v>
      </c>
      <c r="K9351" t="s">
        <v>8713</v>
      </c>
      <c r="L9351" t="s">
        <v>8717</v>
      </c>
      <c r="M9351" t="s">
        <v>8719</v>
      </c>
      <c r="N9351" t="s">
        <v>8728</v>
      </c>
    </row>
    <row r="9352" spans="1:19" x14ac:dyDescent="0.3">
      <c r="A9352" s="160">
        <v>68146</v>
      </c>
      <c r="B9352" t="s">
        <v>24380</v>
      </c>
      <c r="C9352" t="s">
        <v>8669</v>
      </c>
      <c r="D9352">
        <v>0.8</v>
      </c>
      <c r="E9352">
        <v>0</v>
      </c>
      <c r="F9352">
        <f t="shared" si="146"/>
        <v>0.8</v>
      </c>
      <c r="I9352">
        <v>20230101</v>
      </c>
      <c r="J9352" t="s">
        <v>8696</v>
      </c>
      <c r="K9352" t="s">
        <v>8704</v>
      </c>
      <c r="L9352" t="s">
        <v>8705</v>
      </c>
      <c r="M9352" t="s">
        <v>8729</v>
      </c>
      <c r="N9352" t="s">
        <v>8730</v>
      </c>
    </row>
    <row r="9353" spans="1:19" x14ac:dyDescent="0.3">
      <c r="A9353" s="160">
        <v>68149</v>
      </c>
      <c r="B9353" t="s">
        <v>24381</v>
      </c>
      <c r="C9353" t="s">
        <v>8671</v>
      </c>
      <c r="D9353">
        <v>0.6</v>
      </c>
      <c r="E9353">
        <v>0</v>
      </c>
      <c r="F9353">
        <f t="shared" si="146"/>
        <v>0.6</v>
      </c>
      <c r="I9353">
        <v>20230101</v>
      </c>
      <c r="J9353" t="s">
        <v>8731</v>
      </c>
      <c r="K9353" t="s">
        <v>8732</v>
      </c>
      <c r="L9353" t="s">
        <v>8733</v>
      </c>
      <c r="M9353" t="s">
        <v>8734</v>
      </c>
    </row>
    <row r="9354" spans="1:19" x14ac:dyDescent="0.3">
      <c r="A9354" s="160">
        <v>68154</v>
      </c>
      <c r="B9354" t="s">
        <v>24382</v>
      </c>
      <c r="C9354" t="s">
        <v>8673</v>
      </c>
      <c r="D9354">
        <v>2</v>
      </c>
      <c r="E9354">
        <v>0</v>
      </c>
      <c r="F9354">
        <f t="shared" si="146"/>
        <v>2</v>
      </c>
      <c r="I9354">
        <v>20170701</v>
      </c>
      <c r="J9354" t="s">
        <v>8693</v>
      </c>
      <c r="K9354" t="s">
        <v>8735</v>
      </c>
      <c r="L9354" t="s">
        <v>8736</v>
      </c>
      <c r="M9354" t="s">
        <v>8737</v>
      </c>
      <c r="N9354" t="s">
        <v>8738</v>
      </c>
      <c r="O9354" t="s">
        <v>8739</v>
      </c>
      <c r="P9354" t="s">
        <v>8740</v>
      </c>
      <c r="Q9354" t="s">
        <v>8741</v>
      </c>
      <c r="R9354" t="s">
        <v>8742</v>
      </c>
      <c r="S9354" t="s">
        <v>8676</v>
      </c>
    </row>
    <row r="9355" spans="1:19" x14ac:dyDescent="0.3">
      <c r="A9355" s="160">
        <v>68155</v>
      </c>
      <c r="B9355" t="s">
        <v>24383</v>
      </c>
      <c r="C9355" t="s">
        <v>8669</v>
      </c>
      <c r="D9355">
        <v>0.8</v>
      </c>
      <c r="E9355">
        <v>0</v>
      </c>
      <c r="F9355">
        <f t="shared" si="146"/>
        <v>0.8</v>
      </c>
      <c r="I9355">
        <v>20230101</v>
      </c>
      <c r="J9355" t="s">
        <v>8743</v>
      </c>
      <c r="K9355" t="s">
        <v>8720</v>
      </c>
      <c r="L9355" t="s">
        <v>8744</v>
      </c>
    </row>
    <row r="9356" spans="1:19" x14ac:dyDescent="0.3">
      <c r="A9356" s="160">
        <v>68157</v>
      </c>
      <c r="B9356" t="s">
        <v>24384</v>
      </c>
      <c r="C9356" t="s">
        <v>8669</v>
      </c>
      <c r="D9356">
        <v>0.8</v>
      </c>
      <c r="E9356">
        <v>0</v>
      </c>
      <c r="F9356">
        <f t="shared" si="146"/>
        <v>0.8</v>
      </c>
      <c r="I9356">
        <v>20230101</v>
      </c>
      <c r="J9356" t="s">
        <v>8717</v>
      </c>
      <c r="K9356" t="s">
        <v>8680</v>
      </c>
    </row>
    <row r="9357" spans="1:19" x14ac:dyDescent="0.3">
      <c r="A9357" s="160">
        <v>68160</v>
      </c>
      <c r="B9357" t="s">
        <v>24385</v>
      </c>
      <c r="C9357" t="s">
        <v>8671</v>
      </c>
      <c r="D9357">
        <v>0.6</v>
      </c>
      <c r="E9357">
        <v>0</v>
      </c>
      <c r="F9357">
        <f t="shared" si="146"/>
        <v>0.6</v>
      </c>
      <c r="I9357">
        <v>20230101</v>
      </c>
      <c r="J9357" t="s">
        <v>8723</v>
      </c>
    </row>
    <row r="9358" spans="1:19" x14ac:dyDescent="0.3">
      <c r="A9358" s="160">
        <v>68163</v>
      </c>
      <c r="B9358" t="s">
        <v>24386</v>
      </c>
      <c r="C9358" t="s">
        <v>8671</v>
      </c>
      <c r="D9358">
        <v>0.6</v>
      </c>
      <c r="E9358">
        <v>0</v>
      </c>
      <c r="F9358">
        <f t="shared" si="146"/>
        <v>0.6</v>
      </c>
      <c r="I9358">
        <v>20230101</v>
      </c>
      <c r="J9358" t="s">
        <v>8745</v>
      </c>
    </row>
    <row r="9359" spans="1:19" x14ac:dyDescent="0.3">
      <c r="A9359" s="160">
        <v>68166</v>
      </c>
      <c r="B9359" t="s">
        <v>24387</v>
      </c>
      <c r="C9359" t="s">
        <v>8673</v>
      </c>
      <c r="D9359">
        <v>2</v>
      </c>
      <c r="E9359">
        <v>0</v>
      </c>
      <c r="F9359">
        <f t="shared" si="146"/>
        <v>2</v>
      </c>
      <c r="I9359">
        <v>20170701</v>
      </c>
      <c r="J9359" t="s">
        <v>8746</v>
      </c>
      <c r="K9359" t="s">
        <v>8747</v>
      </c>
      <c r="L9359" t="s">
        <v>8748</v>
      </c>
      <c r="M9359" t="s">
        <v>8749</v>
      </c>
      <c r="N9359" t="s">
        <v>8750</v>
      </c>
      <c r="O9359" t="s">
        <v>8751</v>
      </c>
      <c r="P9359" t="s">
        <v>8752</v>
      </c>
    </row>
    <row r="9360" spans="1:19" x14ac:dyDescent="0.3">
      <c r="A9360" s="160">
        <v>68168</v>
      </c>
      <c r="B9360" t="s">
        <v>24388</v>
      </c>
      <c r="C9360" t="s">
        <v>8671</v>
      </c>
      <c r="D9360">
        <v>0.6</v>
      </c>
      <c r="E9360">
        <v>0</v>
      </c>
      <c r="F9360">
        <f t="shared" si="146"/>
        <v>0.6</v>
      </c>
      <c r="I9360">
        <v>20230101</v>
      </c>
      <c r="J9360" t="s">
        <v>8672</v>
      </c>
    </row>
    <row r="9361" spans="1:50" x14ac:dyDescent="0.3">
      <c r="A9361" s="160">
        <v>68170</v>
      </c>
      <c r="B9361" t="s">
        <v>24389</v>
      </c>
      <c r="C9361" t="s">
        <v>8671</v>
      </c>
      <c r="D9361">
        <v>0.6</v>
      </c>
      <c r="E9361">
        <v>0</v>
      </c>
      <c r="F9361">
        <f t="shared" si="146"/>
        <v>0.6</v>
      </c>
      <c r="I9361">
        <v>20230101</v>
      </c>
      <c r="J9361" t="s">
        <v>8723</v>
      </c>
    </row>
    <row r="9362" spans="1:50" x14ac:dyDescent="0.3">
      <c r="A9362" s="160">
        <v>68174</v>
      </c>
      <c r="B9362" t="s">
        <v>24390</v>
      </c>
      <c r="C9362" t="s">
        <v>8671</v>
      </c>
      <c r="D9362">
        <v>0.6</v>
      </c>
      <c r="E9362">
        <v>0</v>
      </c>
      <c r="F9362">
        <f t="shared" si="146"/>
        <v>0.6</v>
      </c>
      <c r="I9362">
        <v>20230101</v>
      </c>
      <c r="J9362" t="s">
        <v>8683</v>
      </c>
    </row>
    <row r="9363" spans="1:50" x14ac:dyDescent="0.3">
      <c r="A9363" s="160">
        <v>68182</v>
      </c>
      <c r="B9363" t="s">
        <v>24391</v>
      </c>
      <c r="C9363" t="s">
        <v>8671</v>
      </c>
      <c r="D9363">
        <v>0.6</v>
      </c>
      <c r="E9363">
        <v>0</v>
      </c>
      <c r="F9363">
        <f t="shared" si="146"/>
        <v>0.6</v>
      </c>
      <c r="I9363">
        <v>20230101</v>
      </c>
      <c r="J9363" t="s">
        <v>8672</v>
      </c>
      <c r="K9363" t="s">
        <v>8724</v>
      </c>
    </row>
    <row r="9364" spans="1:50" x14ac:dyDescent="0.3">
      <c r="A9364" s="160">
        <v>68183</v>
      </c>
      <c r="B9364" t="s">
        <v>24392</v>
      </c>
      <c r="C9364" t="s">
        <v>8671</v>
      </c>
      <c r="D9364">
        <v>0.6</v>
      </c>
      <c r="E9364">
        <v>0</v>
      </c>
      <c r="F9364">
        <f t="shared" si="146"/>
        <v>0.6</v>
      </c>
      <c r="I9364">
        <v>20230101</v>
      </c>
      <c r="J9364" t="s">
        <v>8672</v>
      </c>
    </row>
    <row r="9365" spans="1:50" x14ac:dyDescent="0.3">
      <c r="A9365">
        <v>68185</v>
      </c>
      <c r="C9365" t="s">
        <v>27564</v>
      </c>
      <c r="D9365">
        <v>0.6</v>
      </c>
      <c r="E9365">
        <v>0</v>
      </c>
      <c r="F9365">
        <f t="shared" si="146"/>
        <v>0.6</v>
      </c>
      <c r="I9365">
        <v>20250101</v>
      </c>
      <c r="J9365" t="s">
        <v>27569</v>
      </c>
    </row>
    <row r="9366" spans="1:50" x14ac:dyDescent="0.3">
      <c r="A9366" s="160">
        <v>68195</v>
      </c>
      <c r="B9366" t="s">
        <v>24393</v>
      </c>
      <c r="C9366" t="s">
        <v>8673</v>
      </c>
      <c r="D9366">
        <v>2</v>
      </c>
      <c r="E9366">
        <v>0</v>
      </c>
      <c r="F9366">
        <f t="shared" si="146"/>
        <v>2</v>
      </c>
      <c r="I9366">
        <v>20170701</v>
      </c>
      <c r="J9366" t="s">
        <v>8753</v>
      </c>
    </row>
    <row r="9367" spans="1:50" x14ac:dyDescent="0.3">
      <c r="A9367" s="160">
        <v>68197</v>
      </c>
      <c r="B9367" t="s">
        <v>24394</v>
      </c>
      <c r="C9367" t="s">
        <v>8671</v>
      </c>
      <c r="D9367">
        <v>0.6</v>
      </c>
      <c r="E9367">
        <v>0</v>
      </c>
      <c r="F9367">
        <f t="shared" si="146"/>
        <v>0.6</v>
      </c>
      <c r="I9367">
        <v>20230101</v>
      </c>
      <c r="J9367" t="s">
        <v>8723</v>
      </c>
    </row>
    <row r="9368" spans="1:50" x14ac:dyDescent="0.3">
      <c r="A9368" s="160">
        <v>68198</v>
      </c>
      <c r="B9368" t="s">
        <v>24395</v>
      </c>
      <c r="C9368" t="s">
        <v>8671</v>
      </c>
      <c r="D9368">
        <v>0.6</v>
      </c>
      <c r="E9368">
        <v>0</v>
      </c>
      <c r="F9368">
        <f t="shared" si="146"/>
        <v>0.6</v>
      </c>
      <c r="I9368">
        <v>20230101</v>
      </c>
      <c r="J9368" t="s">
        <v>8723</v>
      </c>
    </row>
    <row r="9369" spans="1:50" x14ac:dyDescent="0.3">
      <c r="A9369" s="160">
        <v>68207</v>
      </c>
      <c r="B9369" t="s">
        <v>24396</v>
      </c>
      <c r="C9369" t="s">
        <v>8671</v>
      </c>
      <c r="D9369">
        <v>0.6</v>
      </c>
      <c r="E9369">
        <v>0</v>
      </c>
      <c r="F9369">
        <f t="shared" si="146"/>
        <v>0.6</v>
      </c>
      <c r="I9369">
        <v>20230101</v>
      </c>
      <c r="J9369" t="s">
        <v>8681</v>
      </c>
    </row>
    <row r="9370" spans="1:50" x14ac:dyDescent="0.3">
      <c r="A9370" s="160">
        <v>68208</v>
      </c>
      <c r="B9370" t="s">
        <v>24397</v>
      </c>
      <c r="C9370" t="s">
        <v>8671</v>
      </c>
      <c r="D9370">
        <v>0.6</v>
      </c>
      <c r="E9370">
        <v>0</v>
      </c>
      <c r="F9370">
        <f t="shared" si="146"/>
        <v>0.6</v>
      </c>
      <c r="I9370">
        <v>20230101</v>
      </c>
      <c r="J9370" t="s">
        <v>8672</v>
      </c>
    </row>
    <row r="9371" spans="1:50" x14ac:dyDescent="0.3">
      <c r="A9371" s="160">
        <v>68218</v>
      </c>
      <c r="B9371" t="s">
        <v>24398</v>
      </c>
      <c r="C9371" t="s">
        <v>8673</v>
      </c>
      <c r="D9371">
        <v>2</v>
      </c>
      <c r="E9371">
        <v>0</v>
      </c>
      <c r="F9371">
        <f t="shared" si="146"/>
        <v>2</v>
      </c>
      <c r="I9371">
        <v>20170701</v>
      </c>
      <c r="J9371" t="s">
        <v>8685</v>
      </c>
      <c r="K9371" t="s">
        <v>8754</v>
      </c>
    </row>
    <row r="9372" spans="1:50" x14ac:dyDescent="0.3">
      <c r="A9372" s="160">
        <v>68224</v>
      </c>
      <c r="B9372" t="s">
        <v>24399</v>
      </c>
      <c r="C9372" t="s">
        <v>8673</v>
      </c>
      <c r="D9372">
        <v>2</v>
      </c>
      <c r="E9372">
        <v>0</v>
      </c>
      <c r="F9372">
        <f t="shared" si="146"/>
        <v>2</v>
      </c>
      <c r="I9372">
        <v>20170701</v>
      </c>
      <c r="J9372" t="s">
        <v>8684</v>
      </c>
      <c r="K9372" t="s">
        <v>8755</v>
      </c>
      <c r="L9372" t="s">
        <v>8756</v>
      </c>
      <c r="M9372" t="s">
        <v>8757</v>
      </c>
      <c r="N9372" t="s">
        <v>8758</v>
      </c>
      <c r="O9372" t="s">
        <v>8693</v>
      </c>
      <c r="P9372" t="s">
        <v>8759</v>
      </c>
      <c r="Q9372" t="s">
        <v>8685</v>
      </c>
      <c r="R9372" t="s">
        <v>8686</v>
      </c>
      <c r="S9372" t="s">
        <v>8687</v>
      </c>
      <c r="T9372" t="s">
        <v>8688</v>
      </c>
      <c r="U9372" t="s">
        <v>8760</v>
      </c>
      <c r="V9372" t="s">
        <v>8761</v>
      </c>
      <c r="W9372" t="s">
        <v>8762</v>
      </c>
      <c r="X9372" t="s">
        <v>8763</v>
      </c>
      <c r="Y9372" t="s">
        <v>8764</v>
      </c>
      <c r="Z9372" t="s">
        <v>8765</v>
      </c>
      <c r="AA9372" t="s">
        <v>8766</v>
      </c>
      <c r="AB9372" t="s">
        <v>8689</v>
      </c>
      <c r="AC9372" t="s">
        <v>8690</v>
      </c>
      <c r="AD9372" t="s">
        <v>8767</v>
      </c>
      <c r="AE9372" t="s">
        <v>8768</v>
      </c>
      <c r="AF9372" t="s">
        <v>8691</v>
      </c>
      <c r="AG9372" t="s">
        <v>8769</v>
      </c>
      <c r="AH9372" t="s">
        <v>8770</v>
      </c>
      <c r="AI9372" t="s">
        <v>8771</v>
      </c>
      <c r="AJ9372" t="s">
        <v>8772</v>
      </c>
      <c r="AK9372" t="s">
        <v>8773</v>
      </c>
      <c r="AL9372" t="s">
        <v>8774</v>
      </c>
      <c r="AM9372" t="s">
        <v>8775</v>
      </c>
      <c r="AN9372" t="s">
        <v>8776</v>
      </c>
      <c r="AO9372" t="s">
        <v>8777</v>
      </c>
      <c r="AP9372" t="s">
        <v>8778</v>
      </c>
      <c r="AQ9372" t="s">
        <v>8779</v>
      </c>
      <c r="AR9372" t="s">
        <v>8780</v>
      </c>
      <c r="AS9372" t="s">
        <v>8781</v>
      </c>
      <c r="AT9372" t="s">
        <v>8782</v>
      </c>
      <c r="AU9372" t="s">
        <v>8783</v>
      </c>
      <c r="AV9372" t="s">
        <v>8752</v>
      </c>
      <c r="AW9372" t="s">
        <v>8784</v>
      </c>
      <c r="AX9372" t="s">
        <v>8785</v>
      </c>
    </row>
    <row r="9373" spans="1:50" x14ac:dyDescent="0.3">
      <c r="A9373" s="160">
        <v>68227</v>
      </c>
      <c r="B9373" t="s">
        <v>24400</v>
      </c>
      <c r="C9373" t="s">
        <v>8669</v>
      </c>
      <c r="D9373">
        <v>0.8</v>
      </c>
      <c r="E9373">
        <v>0</v>
      </c>
      <c r="F9373">
        <f t="shared" si="146"/>
        <v>0.8</v>
      </c>
      <c r="I9373">
        <v>20230101</v>
      </c>
      <c r="J9373" t="s">
        <v>8680</v>
      </c>
    </row>
    <row r="9374" spans="1:50" x14ac:dyDescent="0.3">
      <c r="A9374" s="160">
        <v>68232</v>
      </c>
      <c r="B9374" t="s">
        <v>24401</v>
      </c>
      <c r="C9374" t="s">
        <v>8671</v>
      </c>
      <c r="D9374">
        <v>0.6</v>
      </c>
      <c r="E9374">
        <v>0</v>
      </c>
      <c r="F9374">
        <f t="shared" si="146"/>
        <v>0.6</v>
      </c>
      <c r="I9374">
        <v>20230101</v>
      </c>
      <c r="J9374" t="s">
        <v>8672</v>
      </c>
    </row>
    <row r="9375" spans="1:50" x14ac:dyDescent="0.3">
      <c r="A9375" s="160">
        <v>68237</v>
      </c>
      <c r="B9375" t="s">
        <v>24402</v>
      </c>
      <c r="C9375" t="s">
        <v>8669</v>
      </c>
      <c r="D9375">
        <v>0.8</v>
      </c>
      <c r="E9375">
        <v>0</v>
      </c>
      <c r="F9375">
        <f t="shared" si="146"/>
        <v>0.8</v>
      </c>
      <c r="I9375">
        <v>20230101</v>
      </c>
      <c r="J9375" t="s">
        <v>8786</v>
      </c>
    </row>
    <row r="9376" spans="1:50" x14ac:dyDescent="0.3">
      <c r="A9376" s="160">
        <v>68238</v>
      </c>
      <c r="B9376" t="s">
        <v>24403</v>
      </c>
      <c r="C9376" t="s">
        <v>8673</v>
      </c>
      <c r="D9376">
        <v>2</v>
      </c>
      <c r="E9376">
        <v>0</v>
      </c>
      <c r="F9376">
        <f t="shared" si="146"/>
        <v>2</v>
      </c>
      <c r="I9376">
        <v>20210701</v>
      </c>
      <c r="J9376" t="s">
        <v>8745</v>
      </c>
    </row>
    <row r="9377" spans="1:100" x14ac:dyDescent="0.3">
      <c r="A9377" s="160">
        <v>68253</v>
      </c>
      <c r="B9377" t="s">
        <v>24404</v>
      </c>
      <c r="C9377" t="s">
        <v>8673</v>
      </c>
      <c r="D9377">
        <v>2</v>
      </c>
      <c r="E9377">
        <v>0</v>
      </c>
      <c r="F9377">
        <f t="shared" si="146"/>
        <v>2</v>
      </c>
      <c r="I9377">
        <v>20210701</v>
      </c>
      <c r="J9377" t="s">
        <v>8677</v>
      </c>
    </row>
    <row r="9378" spans="1:100" x14ac:dyDescent="0.3">
      <c r="A9378" s="160">
        <v>68254</v>
      </c>
      <c r="B9378" t="s">
        <v>24405</v>
      </c>
      <c r="C9378" t="s">
        <v>8673</v>
      </c>
      <c r="D9378">
        <v>2</v>
      </c>
      <c r="E9378">
        <v>0</v>
      </c>
      <c r="F9378">
        <f t="shared" si="146"/>
        <v>2</v>
      </c>
      <c r="I9378">
        <v>20210701</v>
      </c>
      <c r="J9378" t="s">
        <v>8677</v>
      </c>
    </row>
    <row r="9379" spans="1:100" x14ac:dyDescent="0.3">
      <c r="A9379" s="160">
        <v>68256</v>
      </c>
      <c r="B9379" t="s">
        <v>24406</v>
      </c>
      <c r="C9379" t="s">
        <v>8673</v>
      </c>
      <c r="D9379">
        <v>2</v>
      </c>
      <c r="E9379">
        <v>0</v>
      </c>
      <c r="F9379">
        <f t="shared" si="146"/>
        <v>2</v>
      </c>
      <c r="I9379">
        <v>20170701</v>
      </c>
      <c r="J9379" t="s">
        <v>8787</v>
      </c>
    </row>
    <row r="9380" spans="1:100" x14ac:dyDescent="0.3">
      <c r="A9380" s="160">
        <v>68258</v>
      </c>
      <c r="B9380" t="s">
        <v>24407</v>
      </c>
      <c r="C9380" t="s">
        <v>8673</v>
      </c>
      <c r="D9380">
        <v>2</v>
      </c>
      <c r="E9380">
        <v>0</v>
      </c>
      <c r="F9380">
        <f t="shared" si="146"/>
        <v>2</v>
      </c>
      <c r="I9380">
        <v>20170701</v>
      </c>
      <c r="J9380" t="s">
        <v>8788</v>
      </c>
    </row>
    <row r="9381" spans="1:100" x14ac:dyDescent="0.3">
      <c r="A9381" s="160">
        <v>68263</v>
      </c>
      <c r="B9381" t="s">
        <v>24408</v>
      </c>
      <c r="C9381" t="s">
        <v>8671</v>
      </c>
      <c r="D9381">
        <v>0.6</v>
      </c>
      <c r="E9381">
        <v>0</v>
      </c>
      <c r="F9381">
        <f t="shared" si="146"/>
        <v>0.6</v>
      </c>
      <c r="I9381">
        <v>20230101</v>
      </c>
      <c r="J9381" t="s">
        <v>8681</v>
      </c>
    </row>
    <row r="9382" spans="1:100" x14ac:dyDescent="0.3">
      <c r="A9382" s="160">
        <v>68264</v>
      </c>
      <c r="B9382" t="s">
        <v>24409</v>
      </c>
      <c r="C9382" t="s">
        <v>8671</v>
      </c>
      <c r="D9382">
        <v>0.6</v>
      </c>
      <c r="E9382">
        <v>0</v>
      </c>
      <c r="F9382">
        <f t="shared" si="146"/>
        <v>0.6</v>
      </c>
      <c r="I9382">
        <v>20230101</v>
      </c>
      <c r="J9382" t="s">
        <v>8672</v>
      </c>
    </row>
    <row r="9383" spans="1:100" x14ac:dyDescent="0.3">
      <c r="A9383" s="160">
        <v>68265</v>
      </c>
      <c r="B9383" t="s">
        <v>24410</v>
      </c>
      <c r="C9383" t="s">
        <v>8671</v>
      </c>
      <c r="D9383">
        <v>0.6</v>
      </c>
      <c r="E9383">
        <v>0</v>
      </c>
      <c r="F9383">
        <f t="shared" si="146"/>
        <v>0.6</v>
      </c>
      <c r="I9383">
        <v>20230101</v>
      </c>
      <c r="J9383" t="s">
        <v>8723</v>
      </c>
    </row>
    <row r="9384" spans="1:100" x14ac:dyDescent="0.3">
      <c r="A9384" s="160">
        <v>68267</v>
      </c>
      <c r="B9384" t="s">
        <v>24411</v>
      </c>
      <c r="C9384" t="s">
        <v>8673</v>
      </c>
      <c r="D9384">
        <v>2</v>
      </c>
      <c r="E9384">
        <v>0</v>
      </c>
      <c r="F9384">
        <f t="shared" si="146"/>
        <v>2</v>
      </c>
      <c r="I9384">
        <v>20170701</v>
      </c>
      <c r="J9384" t="s">
        <v>8789</v>
      </c>
    </row>
    <row r="9385" spans="1:100" x14ac:dyDescent="0.3">
      <c r="A9385" s="160">
        <v>68270</v>
      </c>
      <c r="B9385" t="s">
        <v>24412</v>
      </c>
      <c r="C9385" t="s">
        <v>8673</v>
      </c>
      <c r="D9385">
        <v>2</v>
      </c>
      <c r="E9385">
        <v>0</v>
      </c>
      <c r="F9385">
        <f t="shared" si="146"/>
        <v>2</v>
      </c>
      <c r="I9385">
        <v>20170701</v>
      </c>
      <c r="J9385" t="s">
        <v>8755</v>
      </c>
      <c r="K9385" t="s">
        <v>8787</v>
      </c>
    </row>
    <row r="9386" spans="1:100" x14ac:dyDescent="0.3">
      <c r="A9386" s="160">
        <v>68271</v>
      </c>
      <c r="B9386" t="s">
        <v>24413</v>
      </c>
      <c r="C9386" t="s">
        <v>8673</v>
      </c>
      <c r="D9386">
        <v>2</v>
      </c>
      <c r="E9386">
        <v>0</v>
      </c>
      <c r="F9386">
        <f t="shared" si="146"/>
        <v>2</v>
      </c>
      <c r="I9386">
        <v>20170701</v>
      </c>
      <c r="J9386" t="s">
        <v>8756</v>
      </c>
      <c r="K9386" t="s">
        <v>8759</v>
      </c>
      <c r="L9386" t="s">
        <v>8767</v>
      </c>
      <c r="M9386" t="s">
        <v>8790</v>
      </c>
    </row>
    <row r="9387" spans="1:100" x14ac:dyDescent="0.3">
      <c r="A9387" s="160">
        <v>68272</v>
      </c>
      <c r="B9387" t="s">
        <v>24413</v>
      </c>
      <c r="C9387" t="s">
        <v>8669</v>
      </c>
      <c r="D9387">
        <v>0.8</v>
      </c>
      <c r="E9387">
        <v>0</v>
      </c>
      <c r="F9387">
        <f t="shared" si="146"/>
        <v>0.8</v>
      </c>
      <c r="I9387">
        <v>20230101</v>
      </c>
      <c r="J9387" t="s">
        <v>8680</v>
      </c>
    </row>
    <row r="9388" spans="1:100" x14ac:dyDescent="0.3">
      <c r="A9388" s="160">
        <v>68278</v>
      </c>
      <c r="B9388" t="s">
        <v>24414</v>
      </c>
      <c r="C9388" t="s">
        <v>8673</v>
      </c>
      <c r="D9388">
        <v>2</v>
      </c>
      <c r="E9388">
        <v>0</v>
      </c>
      <c r="F9388">
        <f t="shared" si="146"/>
        <v>2</v>
      </c>
      <c r="I9388">
        <v>20170701</v>
      </c>
      <c r="J9388" t="s">
        <v>8791</v>
      </c>
      <c r="K9388" t="s">
        <v>8792</v>
      </c>
      <c r="L9388" t="s">
        <v>8793</v>
      </c>
      <c r="M9388" t="s">
        <v>8794</v>
      </c>
    </row>
    <row r="9389" spans="1:100" x14ac:dyDescent="0.3">
      <c r="A9389">
        <v>68283</v>
      </c>
      <c r="C9389" t="s">
        <v>27564</v>
      </c>
      <c r="D9389">
        <v>0.6</v>
      </c>
      <c r="E9389">
        <v>0</v>
      </c>
      <c r="F9389">
        <f t="shared" si="146"/>
        <v>0.6</v>
      </c>
      <c r="I9389">
        <v>20250101</v>
      </c>
      <c r="J9389" t="s">
        <v>27569</v>
      </c>
      <c r="BP9389" t="s">
        <v>8633</v>
      </c>
      <c r="BQ9389" t="s">
        <v>8634</v>
      </c>
      <c r="BR9389" t="s">
        <v>8635</v>
      </c>
      <c r="BS9389" t="s">
        <v>8636</v>
      </c>
      <c r="BT9389" t="s">
        <v>8637</v>
      </c>
      <c r="BU9389" t="s">
        <v>8439</v>
      </c>
      <c r="BV9389" t="s">
        <v>8638</v>
      </c>
      <c r="BW9389" t="s">
        <v>8639</v>
      </c>
      <c r="BX9389" t="s">
        <v>8640</v>
      </c>
      <c r="BY9389" t="s">
        <v>8641</v>
      </c>
      <c r="BZ9389" t="s">
        <v>8642</v>
      </c>
      <c r="CA9389" t="s">
        <v>8567</v>
      </c>
      <c r="CB9389" t="s">
        <v>8643</v>
      </c>
      <c r="CC9389" t="s">
        <v>8644</v>
      </c>
      <c r="CD9389" t="s">
        <v>8645</v>
      </c>
      <c r="CE9389" t="s">
        <v>8646</v>
      </c>
      <c r="CF9389" t="s">
        <v>8647</v>
      </c>
      <c r="CG9389" t="s">
        <v>8648</v>
      </c>
      <c r="CH9389" t="s">
        <v>8649</v>
      </c>
      <c r="CI9389" t="s">
        <v>8650</v>
      </c>
      <c r="CJ9389" t="s">
        <v>8651</v>
      </c>
      <c r="CK9389" t="s">
        <v>8652</v>
      </c>
      <c r="CL9389" t="s">
        <v>8653</v>
      </c>
      <c r="CM9389" t="s">
        <v>8654</v>
      </c>
      <c r="CN9389" t="s">
        <v>8655</v>
      </c>
      <c r="CO9389" t="s">
        <v>8656</v>
      </c>
      <c r="CP9389" t="s">
        <v>8657</v>
      </c>
      <c r="CQ9389" t="s">
        <v>8658</v>
      </c>
      <c r="CR9389" t="s">
        <v>8659</v>
      </c>
      <c r="CS9389" t="s">
        <v>8660</v>
      </c>
      <c r="CT9389" t="s">
        <v>8661</v>
      </c>
      <c r="CU9389" t="s">
        <v>8662</v>
      </c>
      <c r="CV9389" t="s">
        <v>8663</v>
      </c>
    </row>
    <row r="9390" spans="1:100" x14ac:dyDescent="0.3">
      <c r="A9390" s="160">
        <v>68286</v>
      </c>
      <c r="B9390" t="s">
        <v>24415</v>
      </c>
      <c r="C9390" t="s">
        <v>8671</v>
      </c>
      <c r="D9390">
        <v>0.6</v>
      </c>
      <c r="E9390">
        <v>0</v>
      </c>
      <c r="F9390">
        <f t="shared" si="146"/>
        <v>0.6</v>
      </c>
      <c r="I9390">
        <v>20230101</v>
      </c>
      <c r="J9390" t="s">
        <v>8795</v>
      </c>
      <c r="K9390" t="s">
        <v>8796</v>
      </c>
    </row>
    <row r="9391" spans="1:100" x14ac:dyDescent="0.3">
      <c r="A9391" s="160">
        <v>68289</v>
      </c>
      <c r="B9391" t="s">
        <v>24416</v>
      </c>
      <c r="C9391" t="s">
        <v>8673</v>
      </c>
      <c r="D9391">
        <v>2</v>
      </c>
      <c r="E9391">
        <v>0</v>
      </c>
      <c r="F9391">
        <f t="shared" si="146"/>
        <v>2</v>
      </c>
      <c r="I9391">
        <v>20170701</v>
      </c>
      <c r="J9391" t="s">
        <v>8797</v>
      </c>
      <c r="K9391" t="s">
        <v>8798</v>
      </c>
      <c r="L9391" t="s">
        <v>8799</v>
      </c>
    </row>
    <row r="9392" spans="1:100" x14ac:dyDescent="0.3">
      <c r="A9392">
        <v>68294</v>
      </c>
      <c r="C9392" t="s">
        <v>27564</v>
      </c>
      <c r="D9392">
        <v>0.6</v>
      </c>
      <c r="E9392">
        <v>0</v>
      </c>
      <c r="F9392">
        <f t="shared" si="146"/>
        <v>0.6</v>
      </c>
      <c r="I9392">
        <v>20250101</v>
      </c>
      <c r="J9392" t="s">
        <v>27570</v>
      </c>
    </row>
    <row r="9393" spans="1:20" x14ac:dyDescent="0.3">
      <c r="A9393" s="160">
        <v>68295</v>
      </c>
      <c r="B9393" t="s">
        <v>24417</v>
      </c>
      <c r="C9393" t="s">
        <v>8669</v>
      </c>
      <c r="D9393">
        <v>0.8</v>
      </c>
      <c r="E9393">
        <v>0</v>
      </c>
      <c r="F9393">
        <f t="shared" si="146"/>
        <v>0.8</v>
      </c>
      <c r="I9393">
        <v>20230101</v>
      </c>
      <c r="J9393" t="s">
        <v>8717</v>
      </c>
      <c r="K9393" t="s">
        <v>8719</v>
      </c>
      <c r="L9393" t="s">
        <v>8800</v>
      </c>
    </row>
    <row r="9394" spans="1:20" x14ac:dyDescent="0.3">
      <c r="A9394" s="160">
        <v>68297</v>
      </c>
      <c r="B9394" t="s">
        <v>24418</v>
      </c>
      <c r="C9394" t="s">
        <v>8671</v>
      </c>
      <c r="D9394">
        <v>0.6</v>
      </c>
      <c r="E9394">
        <v>0</v>
      </c>
      <c r="F9394">
        <f t="shared" si="146"/>
        <v>0.6</v>
      </c>
      <c r="I9394">
        <v>20230101</v>
      </c>
      <c r="J9394" t="s">
        <v>8801</v>
      </c>
      <c r="K9394" t="s">
        <v>8802</v>
      </c>
      <c r="L9394" t="s">
        <v>8783</v>
      </c>
      <c r="M9394" t="s">
        <v>8803</v>
      </c>
      <c r="N9394" t="s">
        <v>8804</v>
      </c>
      <c r="O9394" t="s">
        <v>8727</v>
      </c>
      <c r="P9394" t="s">
        <v>8805</v>
      </c>
      <c r="Q9394" t="s">
        <v>8806</v>
      </c>
      <c r="R9394" t="s">
        <v>8796</v>
      </c>
      <c r="S9394" t="s">
        <v>8807</v>
      </c>
      <c r="T9394" t="s">
        <v>8808</v>
      </c>
    </row>
    <row r="9395" spans="1:20" x14ac:dyDescent="0.3">
      <c r="A9395">
        <v>68298</v>
      </c>
      <c r="C9395" t="s">
        <v>27564</v>
      </c>
      <c r="D9395">
        <v>0.6</v>
      </c>
      <c r="E9395">
        <v>0</v>
      </c>
      <c r="F9395">
        <f t="shared" si="146"/>
        <v>0.6</v>
      </c>
      <c r="I9395">
        <v>20250101</v>
      </c>
      <c r="J9395" t="s">
        <v>27570</v>
      </c>
    </row>
    <row r="9396" spans="1:20" x14ac:dyDescent="0.3">
      <c r="A9396" s="160">
        <v>68300</v>
      </c>
      <c r="B9396" t="s">
        <v>24419</v>
      </c>
      <c r="C9396" t="s">
        <v>8673</v>
      </c>
      <c r="D9396">
        <v>2</v>
      </c>
      <c r="E9396">
        <v>0</v>
      </c>
      <c r="F9396">
        <f t="shared" si="146"/>
        <v>2</v>
      </c>
      <c r="I9396">
        <v>20170701</v>
      </c>
      <c r="J9396" t="s">
        <v>8756</v>
      </c>
      <c r="K9396" t="s">
        <v>8693</v>
      </c>
      <c r="L9396" t="s">
        <v>8767</v>
      </c>
      <c r="M9396" t="s">
        <v>8768</v>
      </c>
      <c r="N9396" t="s">
        <v>8793</v>
      </c>
      <c r="O9396" t="s">
        <v>8674</v>
      </c>
      <c r="P9396" t="s">
        <v>8675</v>
      </c>
      <c r="Q9396" t="s">
        <v>8676</v>
      </c>
      <c r="R9396" t="s">
        <v>8809</v>
      </c>
      <c r="S9396" t="s">
        <v>8810</v>
      </c>
    </row>
    <row r="9397" spans="1:20" x14ac:dyDescent="0.3">
      <c r="A9397" s="160">
        <v>68301</v>
      </c>
      <c r="B9397" t="s">
        <v>24420</v>
      </c>
      <c r="C9397" t="s">
        <v>8671</v>
      </c>
      <c r="D9397">
        <v>0.6</v>
      </c>
      <c r="E9397">
        <v>0</v>
      </c>
      <c r="F9397">
        <f t="shared" si="146"/>
        <v>0.6</v>
      </c>
      <c r="I9397">
        <v>20230101</v>
      </c>
      <c r="J9397" t="s">
        <v>8683</v>
      </c>
    </row>
    <row r="9398" spans="1:20" x14ac:dyDescent="0.3">
      <c r="A9398" s="160">
        <v>68309</v>
      </c>
      <c r="B9398" t="s">
        <v>24421</v>
      </c>
      <c r="C9398" t="s">
        <v>8671</v>
      </c>
      <c r="D9398">
        <v>0.6</v>
      </c>
      <c r="E9398">
        <v>0</v>
      </c>
      <c r="F9398">
        <f t="shared" si="146"/>
        <v>0.6</v>
      </c>
      <c r="I9398">
        <v>20230101</v>
      </c>
      <c r="J9398" t="s">
        <v>8723</v>
      </c>
    </row>
    <row r="9399" spans="1:20" x14ac:dyDescent="0.3">
      <c r="A9399" s="160">
        <v>68321</v>
      </c>
      <c r="B9399" t="s">
        <v>24422</v>
      </c>
      <c r="C9399" t="s">
        <v>8673</v>
      </c>
      <c r="D9399">
        <v>2</v>
      </c>
      <c r="E9399">
        <v>0</v>
      </c>
      <c r="F9399">
        <f t="shared" si="146"/>
        <v>2</v>
      </c>
      <c r="I9399">
        <v>20170701</v>
      </c>
      <c r="J9399" t="s">
        <v>8811</v>
      </c>
    </row>
    <row r="9400" spans="1:20" x14ac:dyDescent="0.3">
      <c r="A9400" s="160">
        <v>68323</v>
      </c>
      <c r="B9400" t="s">
        <v>24423</v>
      </c>
      <c r="C9400" t="s">
        <v>8673</v>
      </c>
      <c r="D9400">
        <v>2</v>
      </c>
      <c r="E9400">
        <v>0</v>
      </c>
      <c r="F9400">
        <f t="shared" si="146"/>
        <v>2</v>
      </c>
      <c r="I9400">
        <v>20170701</v>
      </c>
      <c r="J9400" t="s">
        <v>8683</v>
      </c>
    </row>
    <row r="9401" spans="1:20" x14ac:dyDescent="0.3">
      <c r="A9401" s="160">
        <v>68324</v>
      </c>
      <c r="B9401" t="s">
        <v>24424</v>
      </c>
      <c r="C9401" t="s">
        <v>8671</v>
      </c>
      <c r="D9401">
        <v>0.6</v>
      </c>
      <c r="E9401">
        <v>0</v>
      </c>
      <c r="F9401">
        <f t="shared" si="146"/>
        <v>0.6</v>
      </c>
      <c r="I9401">
        <v>20230101</v>
      </c>
      <c r="J9401" t="s">
        <v>8683</v>
      </c>
    </row>
    <row r="9402" spans="1:20" x14ac:dyDescent="0.3">
      <c r="A9402" s="160">
        <v>68327</v>
      </c>
      <c r="B9402" t="s">
        <v>24425</v>
      </c>
      <c r="C9402" t="s">
        <v>8671</v>
      </c>
      <c r="D9402">
        <v>0.6</v>
      </c>
      <c r="E9402">
        <v>0</v>
      </c>
      <c r="F9402">
        <f t="shared" si="146"/>
        <v>0.6</v>
      </c>
      <c r="I9402">
        <v>20230101</v>
      </c>
      <c r="J9402" t="s">
        <v>8723</v>
      </c>
    </row>
    <row r="9403" spans="1:20" x14ac:dyDescent="0.3">
      <c r="A9403" s="160">
        <v>68331</v>
      </c>
      <c r="B9403" t="s">
        <v>24426</v>
      </c>
      <c r="C9403" t="s">
        <v>8669</v>
      </c>
      <c r="D9403">
        <v>0.8</v>
      </c>
      <c r="E9403">
        <v>0</v>
      </c>
      <c r="F9403">
        <f t="shared" si="146"/>
        <v>0.8</v>
      </c>
      <c r="I9403">
        <v>20230101</v>
      </c>
      <c r="J9403" t="s">
        <v>8670</v>
      </c>
    </row>
    <row r="9404" spans="1:20" x14ac:dyDescent="0.3">
      <c r="A9404" s="160">
        <v>68338</v>
      </c>
      <c r="B9404" t="s">
        <v>24427</v>
      </c>
      <c r="C9404" t="s">
        <v>8669</v>
      </c>
      <c r="D9404">
        <v>0.8</v>
      </c>
      <c r="E9404">
        <v>0</v>
      </c>
      <c r="F9404">
        <f t="shared" si="146"/>
        <v>0.8</v>
      </c>
      <c r="I9404">
        <v>20230101</v>
      </c>
      <c r="J9404" t="s">
        <v>8786</v>
      </c>
      <c r="K9404" t="s">
        <v>8744</v>
      </c>
    </row>
    <row r="9405" spans="1:20" x14ac:dyDescent="0.3">
      <c r="A9405" s="160">
        <v>68341</v>
      </c>
      <c r="B9405" t="s">
        <v>24428</v>
      </c>
      <c r="C9405" t="s">
        <v>8671</v>
      </c>
      <c r="D9405">
        <v>0.6</v>
      </c>
      <c r="E9405">
        <v>0</v>
      </c>
      <c r="F9405">
        <f t="shared" si="146"/>
        <v>0.6</v>
      </c>
      <c r="I9405">
        <v>20230101</v>
      </c>
      <c r="J9405" t="s">
        <v>8723</v>
      </c>
    </row>
    <row r="9406" spans="1:20" x14ac:dyDescent="0.3">
      <c r="A9406" s="160">
        <v>68343</v>
      </c>
      <c r="B9406" t="s">
        <v>24429</v>
      </c>
      <c r="C9406" t="s">
        <v>8673</v>
      </c>
      <c r="D9406">
        <v>2</v>
      </c>
      <c r="E9406">
        <v>0</v>
      </c>
      <c r="F9406">
        <f t="shared" si="146"/>
        <v>2</v>
      </c>
      <c r="I9406">
        <v>20170701</v>
      </c>
      <c r="J9406" t="s">
        <v>8812</v>
      </c>
    </row>
    <row r="9407" spans="1:20" x14ac:dyDescent="0.3">
      <c r="A9407" s="160">
        <v>68349</v>
      </c>
      <c r="B9407" t="s">
        <v>24430</v>
      </c>
      <c r="C9407" t="s">
        <v>8671</v>
      </c>
      <c r="D9407">
        <v>0.6</v>
      </c>
      <c r="E9407">
        <v>0</v>
      </c>
      <c r="F9407">
        <f t="shared" si="146"/>
        <v>0.6</v>
      </c>
      <c r="I9407">
        <v>20230101</v>
      </c>
      <c r="J9407" t="s">
        <v>8795</v>
      </c>
      <c r="K9407" t="s">
        <v>8804</v>
      </c>
      <c r="L9407" t="s">
        <v>8727</v>
      </c>
      <c r="M9407" t="s">
        <v>8805</v>
      </c>
      <c r="N9407" t="s">
        <v>8732</v>
      </c>
    </row>
    <row r="9408" spans="1:20" x14ac:dyDescent="0.3">
      <c r="A9408" s="160">
        <v>68353</v>
      </c>
      <c r="B9408" t="s">
        <v>24431</v>
      </c>
      <c r="C9408" t="s">
        <v>8671</v>
      </c>
      <c r="D9408">
        <v>0.6</v>
      </c>
      <c r="E9408">
        <v>0</v>
      </c>
      <c r="F9408">
        <f t="shared" si="146"/>
        <v>0.6</v>
      </c>
      <c r="I9408">
        <v>20230101</v>
      </c>
      <c r="J9408" t="s">
        <v>8813</v>
      </c>
    </row>
    <row r="9409" spans="1:14" x14ac:dyDescent="0.3">
      <c r="A9409" s="160">
        <v>68354</v>
      </c>
      <c r="B9409" t="s">
        <v>24432</v>
      </c>
      <c r="C9409" t="s">
        <v>8669</v>
      </c>
      <c r="D9409">
        <v>0.8</v>
      </c>
      <c r="E9409">
        <v>0</v>
      </c>
      <c r="F9409">
        <f t="shared" si="146"/>
        <v>0.8</v>
      </c>
      <c r="I9409">
        <v>20230101</v>
      </c>
      <c r="J9409" t="s">
        <v>8786</v>
      </c>
    </row>
    <row r="9410" spans="1:14" x14ac:dyDescent="0.3">
      <c r="A9410" s="160">
        <v>68357</v>
      </c>
      <c r="B9410" t="s">
        <v>24433</v>
      </c>
      <c r="C9410" t="s">
        <v>8671</v>
      </c>
      <c r="D9410">
        <v>0.6</v>
      </c>
      <c r="E9410">
        <v>0</v>
      </c>
      <c r="F9410">
        <f t="shared" si="146"/>
        <v>0.6</v>
      </c>
      <c r="I9410">
        <v>20230101</v>
      </c>
      <c r="J9410" t="s">
        <v>8723</v>
      </c>
    </row>
    <row r="9411" spans="1:14" x14ac:dyDescent="0.3">
      <c r="A9411" s="160">
        <v>68362</v>
      </c>
      <c r="B9411" t="s">
        <v>24434</v>
      </c>
      <c r="C9411" t="s">
        <v>8671</v>
      </c>
      <c r="D9411">
        <v>0.6</v>
      </c>
      <c r="E9411">
        <v>0</v>
      </c>
      <c r="F9411">
        <f t="shared" si="146"/>
        <v>0.6</v>
      </c>
      <c r="I9411">
        <v>20230101</v>
      </c>
      <c r="J9411" t="s">
        <v>8672</v>
      </c>
    </row>
    <row r="9412" spans="1:14" x14ac:dyDescent="0.3">
      <c r="A9412" s="160">
        <v>68365</v>
      </c>
      <c r="B9412" t="s">
        <v>24435</v>
      </c>
      <c r="C9412" t="s">
        <v>8669</v>
      </c>
      <c r="D9412">
        <v>0.8</v>
      </c>
      <c r="E9412">
        <v>0</v>
      </c>
      <c r="F9412">
        <f t="shared" si="146"/>
        <v>0.8</v>
      </c>
      <c r="I9412">
        <v>20230101</v>
      </c>
      <c r="J9412" t="s">
        <v>8814</v>
      </c>
    </row>
    <row r="9413" spans="1:14" x14ac:dyDescent="0.3">
      <c r="A9413" s="160">
        <v>68366</v>
      </c>
      <c r="B9413" t="s">
        <v>24436</v>
      </c>
      <c r="C9413" t="s">
        <v>8669</v>
      </c>
      <c r="D9413">
        <v>0.8</v>
      </c>
      <c r="E9413">
        <v>0</v>
      </c>
      <c r="F9413">
        <f t="shared" si="146"/>
        <v>0.8</v>
      </c>
      <c r="I9413">
        <v>20230101</v>
      </c>
      <c r="J9413" t="s">
        <v>8680</v>
      </c>
    </row>
    <row r="9414" spans="1:14" x14ac:dyDescent="0.3">
      <c r="A9414" s="160">
        <v>68374</v>
      </c>
      <c r="B9414" t="s">
        <v>24437</v>
      </c>
      <c r="C9414" t="s">
        <v>8669</v>
      </c>
      <c r="D9414">
        <v>0.8</v>
      </c>
      <c r="E9414">
        <v>0</v>
      </c>
      <c r="F9414">
        <f t="shared" si="146"/>
        <v>0.8</v>
      </c>
      <c r="I9414">
        <v>20230101</v>
      </c>
      <c r="J9414" t="s">
        <v>8815</v>
      </c>
      <c r="K9414" t="s">
        <v>8814</v>
      </c>
      <c r="L9414" t="s">
        <v>8720</v>
      </c>
      <c r="M9414" t="s">
        <v>8744</v>
      </c>
    </row>
    <row r="9415" spans="1:14" x14ac:dyDescent="0.3">
      <c r="A9415" s="160">
        <v>68375</v>
      </c>
      <c r="B9415" t="s">
        <v>24438</v>
      </c>
      <c r="C9415" t="s">
        <v>8673</v>
      </c>
      <c r="D9415">
        <v>2</v>
      </c>
      <c r="E9415">
        <v>0</v>
      </c>
      <c r="F9415">
        <f t="shared" ref="F9415:F9478" si="147">D9415+E9415</f>
        <v>2</v>
      </c>
      <c r="I9415">
        <v>20180101</v>
      </c>
      <c r="J9415" t="s">
        <v>8816</v>
      </c>
      <c r="K9415" t="s">
        <v>8817</v>
      </c>
      <c r="L9415" t="s">
        <v>8818</v>
      </c>
    </row>
    <row r="9416" spans="1:14" x14ac:dyDescent="0.3">
      <c r="A9416" s="160">
        <v>68376</v>
      </c>
      <c r="B9416" t="s">
        <v>24439</v>
      </c>
      <c r="C9416" t="s">
        <v>8673</v>
      </c>
      <c r="D9416">
        <v>2</v>
      </c>
      <c r="E9416">
        <v>0</v>
      </c>
      <c r="F9416">
        <f t="shared" si="147"/>
        <v>2</v>
      </c>
      <c r="I9416">
        <v>20170701</v>
      </c>
      <c r="J9416" t="s">
        <v>8797</v>
      </c>
      <c r="K9416" t="s">
        <v>8819</v>
      </c>
      <c r="L9416" t="s">
        <v>8798</v>
      </c>
      <c r="M9416" t="s">
        <v>8820</v>
      </c>
      <c r="N9416" t="s">
        <v>8799</v>
      </c>
    </row>
    <row r="9417" spans="1:14" x14ac:dyDescent="0.3">
      <c r="A9417" s="160">
        <v>68382</v>
      </c>
      <c r="B9417" t="s">
        <v>24440</v>
      </c>
      <c r="C9417" t="s">
        <v>8671</v>
      </c>
      <c r="D9417">
        <v>0.6</v>
      </c>
      <c r="E9417">
        <v>0</v>
      </c>
      <c r="F9417">
        <f t="shared" si="147"/>
        <v>0.6</v>
      </c>
      <c r="I9417">
        <v>20230101</v>
      </c>
      <c r="J9417" t="s">
        <v>8813</v>
      </c>
    </row>
    <row r="9418" spans="1:14" x14ac:dyDescent="0.3">
      <c r="A9418" s="160">
        <v>68384</v>
      </c>
      <c r="B9418" t="s">
        <v>24441</v>
      </c>
      <c r="C9418" t="s">
        <v>8673</v>
      </c>
      <c r="D9418">
        <v>2</v>
      </c>
      <c r="E9418">
        <v>0</v>
      </c>
      <c r="F9418">
        <f t="shared" si="147"/>
        <v>2</v>
      </c>
      <c r="I9418">
        <v>20170701</v>
      </c>
      <c r="J9418" t="s">
        <v>8721</v>
      </c>
    </row>
    <row r="9419" spans="1:14" x14ac:dyDescent="0.3">
      <c r="A9419" s="160">
        <v>68385</v>
      </c>
      <c r="B9419" t="s">
        <v>24442</v>
      </c>
      <c r="C9419" t="s">
        <v>8669</v>
      </c>
      <c r="D9419">
        <v>0.8</v>
      </c>
      <c r="E9419">
        <v>0</v>
      </c>
      <c r="F9419">
        <f t="shared" si="147"/>
        <v>0.8</v>
      </c>
      <c r="I9419">
        <v>20230101</v>
      </c>
      <c r="J9419" t="s">
        <v>8786</v>
      </c>
    </row>
    <row r="9420" spans="1:14" x14ac:dyDescent="0.3">
      <c r="A9420" s="160">
        <v>68386</v>
      </c>
      <c r="B9420" t="s">
        <v>24443</v>
      </c>
      <c r="C9420" t="s">
        <v>8673</v>
      </c>
      <c r="D9420">
        <v>2</v>
      </c>
      <c r="E9420">
        <v>0</v>
      </c>
      <c r="F9420">
        <f t="shared" si="147"/>
        <v>2</v>
      </c>
      <c r="I9420">
        <v>20170701</v>
      </c>
      <c r="J9420" t="s">
        <v>8683</v>
      </c>
    </row>
    <row r="9421" spans="1:14" x14ac:dyDescent="0.3">
      <c r="A9421" s="160">
        <v>69001</v>
      </c>
      <c r="B9421" t="s">
        <v>24444</v>
      </c>
      <c r="C9421" t="s">
        <v>177</v>
      </c>
      <c r="D9421">
        <v>0.65</v>
      </c>
      <c r="E9421">
        <v>0</v>
      </c>
      <c r="F9421">
        <f t="shared" si="147"/>
        <v>0.65</v>
      </c>
      <c r="G9421">
        <v>0.75</v>
      </c>
      <c r="H9421">
        <f t="shared" ref="H9421:H9426" si="148">G9421*F9421</f>
        <v>0.48750000000000004</v>
      </c>
      <c r="I9421">
        <v>20240701</v>
      </c>
      <c r="J9421" t="s">
        <v>8821</v>
      </c>
    </row>
    <row r="9422" spans="1:14" x14ac:dyDescent="0.3">
      <c r="A9422" s="160">
        <v>69002</v>
      </c>
      <c r="B9422" t="s">
        <v>24445</v>
      </c>
      <c r="C9422" t="s">
        <v>177</v>
      </c>
      <c r="D9422">
        <v>0.65</v>
      </c>
      <c r="E9422">
        <v>0</v>
      </c>
      <c r="F9422">
        <f t="shared" si="147"/>
        <v>0.65</v>
      </c>
      <c r="G9422">
        <v>0.75</v>
      </c>
      <c r="H9422">
        <f t="shared" si="148"/>
        <v>0.48750000000000004</v>
      </c>
      <c r="I9422">
        <v>20240101</v>
      </c>
      <c r="J9422" t="s">
        <v>8822</v>
      </c>
    </row>
    <row r="9423" spans="1:14" x14ac:dyDescent="0.3">
      <c r="A9423" s="160">
        <v>69003</v>
      </c>
      <c r="B9423" t="s">
        <v>24446</v>
      </c>
      <c r="C9423" t="s">
        <v>177</v>
      </c>
      <c r="D9423">
        <v>2</v>
      </c>
      <c r="E9423">
        <v>0</v>
      </c>
      <c r="F9423">
        <f t="shared" si="147"/>
        <v>2</v>
      </c>
      <c r="G9423">
        <v>0.75</v>
      </c>
      <c r="H9423">
        <f t="shared" si="148"/>
        <v>1.5</v>
      </c>
      <c r="I9423">
        <v>20220701</v>
      </c>
      <c r="J9423" t="s">
        <v>8823</v>
      </c>
      <c r="K9423" t="s">
        <v>8824</v>
      </c>
    </row>
    <row r="9424" spans="1:14" x14ac:dyDescent="0.3">
      <c r="A9424" s="160">
        <v>69004</v>
      </c>
      <c r="B9424" t="s">
        <v>24447</v>
      </c>
      <c r="C9424" t="s">
        <v>177</v>
      </c>
      <c r="D9424">
        <v>0.8</v>
      </c>
      <c r="E9424">
        <v>0</v>
      </c>
      <c r="F9424">
        <f t="shared" si="147"/>
        <v>0.8</v>
      </c>
      <c r="G9424">
        <v>0.75</v>
      </c>
      <c r="H9424">
        <f t="shared" si="148"/>
        <v>0.60000000000000009</v>
      </c>
      <c r="I9424">
        <v>20240701</v>
      </c>
      <c r="J9424" t="s">
        <v>8825</v>
      </c>
    </row>
    <row r="9425" spans="1:19" x14ac:dyDescent="0.3">
      <c r="A9425" s="160">
        <v>69005</v>
      </c>
      <c r="B9425" t="s">
        <v>24448</v>
      </c>
      <c r="C9425" t="s">
        <v>177</v>
      </c>
      <c r="D9425">
        <v>0.8</v>
      </c>
      <c r="E9425">
        <v>0</v>
      </c>
      <c r="F9425">
        <f t="shared" si="147"/>
        <v>0.8</v>
      </c>
      <c r="G9425">
        <v>0.75</v>
      </c>
      <c r="H9425">
        <f t="shared" si="148"/>
        <v>0.60000000000000009</v>
      </c>
      <c r="I9425">
        <v>20240701</v>
      </c>
      <c r="J9425" t="s">
        <v>8826</v>
      </c>
    </row>
    <row r="9426" spans="1:19" x14ac:dyDescent="0.3">
      <c r="A9426" s="160">
        <v>69006</v>
      </c>
      <c r="B9426" t="s">
        <v>24449</v>
      </c>
      <c r="C9426" t="s">
        <v>177</v>
      </c>
      <c r="D9426">
        <v>0.65</v>
      </c>
      <c r="E9426">
        <v>0</v>
      </c>
      <c r="F9426">
        <f t="shared" si="147"/>
        <v>0.65</v>
      </c>
      <c r="G9426">
        <v>0.75</v>
      </c>
      <c r="H9426">
        <f t="shared" si="148"/>
        <v>0.48750000000000004</v>
      </c>
      <c r="I9426">
        <v>20240701</v>
      </c>
      <c r="J9426" t="s">
        <v>8827</v>
      </c>
    </row>
    <row r="9427" spans="1:19" x14ac:dyDescent="0.3">
      <c r="A9427" s="160">
        <v>69007</v>
      </c>
      <c r="B9427" t="s">
        <v>24450</v>
      </c>
      <c r="C9427" t="s">
        <v>4472</v>
      </c>
      <c r="D9427">
        <v>0.8</v>
      </c>
      <c r="E9427">
        <v>0</v>
      </c>
      <c r="F9427">
        <f t="shared" si="147"/>
        <v>0.8</v>
      </c>
      <c r="I9427">
        <v>20180901</v>
      </c>
      <c r="J9427" t="s">
        <v>8828</v>
      </c>
      <c r="K9427" t="s">
        <v>8829</v>
      </c>
    </row>
    <row r="9428" spans="1:19" x14ac:dyDescent="0.3">
      <c r="A9428" s="160">
        <v>69008</v>
      </c>
      <c r="B9428" t="s">
        <v>24451</v>
      </c>
      <c r="C9428" t="s">
        <v>177</v>
      </c>
      <c r="D9428">
        <v>0.65</v>
      </c>
      <c r="E9428">
        <v>0</v>
      </c>
      <c r="F9428">
        <f t="shared" si="147"/>
        <v>0.65</v>
      </c>
      <c r="G9428">
        <v>0.75</v>
      </c>
      <c r="H9428">
        <f t="shared" ref="H9428:H9459" si="149">G9428*F9428</f>
        <v>0.48750000000000004</v>
      </c>
      <c r="I9428">
        <v>20240701</v>
      </c>
      <c r="J9428" t="s">
        <v>8830</v>
      </c>
    </row>
    <row r="9429" spans="1:19" x14ac:dyDescent="0.3">
      <c r="A9429" s="160">
        <v>69009</v>
      </c>
      <c r="B9429" t="s">
        <v>24452</v>
      </c>
      <c r="C9429" t="s">
        <v>177</v>
      </c>
      <c r="D9429">
        <v>0.8</v>
      </c>
      <c r="E9429">
        <v>0</v>
      </c>
      <c r="F9429">
        <f t="shared" si="147"/>
        <v>0.8</v>
      </c>
      <c r="G9429">
        <v>0.75</v>
      </c>
      <c r="H9429">
        <f t="shared" si="149"/>
        <v>0.60000000000000009</v>
      </c>
      <c r="I9429">
        <v>20240701</v>
      </c>
      <c r="J9429" t="s">
        <v>8826</v>
      </c>
    </row>
    <row r="9430" spans="1:19" x14ac:dyDescent="0.3">
      <c r="A9430" s="160">
        <v>69010</v>
      </c>
      <c r="B9430" t="s">
        <v>24453</v>
      </c>
      <c r="C9430" t="s">
        <v>177</v>
      </c>
      <c r="D9430">
        <v>0.8</v>
      </c>
      <c r="E9430">
        <v>0</v>
      </c>
      <c r="F9430">
        <f t="shared" si="147"/>
        <v>0.8</v>
      </c>
      <c r="G9430">
        <v>0.75</v>
      </c>
      <c r="H9430">
        <f t="shared" si="149"/>
        <v>0.60000000000000009</v>
      </c>
      <c r="I9430">
        <v>20240701</v>
      </c>
      <c r="J9430" t="s">
        <v>8831</v>
      </c>
      <c r="K9430" t="s">
        <v>8832</v>
      </c>
      <c r="L9430" t="s">
        <v>8833</v>
      </c>
      <c r="M9430" t="s">
        <v>8834</v>
      </c>
    </row>
    <row r="9431" spans="1:19" x14ac:dyDescent="0.3">
      <c r="A9431" s="160">
        <v>69012</v>
      </c>
      <c r="B9431" t="s">
        <v>24454</v>
      </c>
      <c r="C9431" t="s">
        <v>177</v>
      </c>
      <c r="D9431">
        <v>0.65</v>
      </c>
      <c r="E9431">
        <v>0</v>
      </c>
      <c r="F9431">
        <f t="shared" si="147"/>
        <v>0.65</v>
      </c>
      <c r="G9431">
        <v>0.75</v>
      </c>
      <c r="H9431">
        <f t="shared" si="149"/>
        <v>0.48750000000000004</v>
      </c>
      <c r="I9431">
        <v>20240701</v>
      </c>
      <c r="J9431" t="s">
        <v>8835</v>
      </c>
    </row>
    <row r="9432" spans="1:19" x14ac:dyDescent="0.3">
      <c r="A9432" s="160">
        <v>69013</v>
      </c>
      <c r="B9432" t="s">
        <v>24455</v>
      </c>
      <c r="C9432" t="s">
        <v>177</v>
      </c>
      <c r="D9432">
        <v>0.9</v>
      </c>
      <c r="E9432">
        <v>0</v>
      </c>
      <c r="F9432">
        <f t="shared" si="147"/>
        <v>0.9</v>
      </c>
      <c r="G9432">
        <v>0.75</v>
      </c>
      <c r="H9432">
        <f t="shared" si="149"/>
        <v>0.67500000000000004</v>
      </c>
      <c r="I9432">
        <v>20240701</v>
      </c>
      <c r="J9432" t="s">
        <v>8836</v>
      </c>
      <c r="K9432" t="s">
        <v>8837</v>
      </c>
      <c r="L9432" t="s">
        <v>8838</v>
      </c>
      <c r="M9432" t="s">
        <v>8839</v>
      </c>
      <c r="N9432" t="s">
        <v>8840</v>
      </c>
      <c r="O9432" t="s">
        <v>8841</v>
      </c>
      <c r="P9432" t="s">
        <v>8842</v>
      </c>
      <c r="Q9432" t="s">
        <v>8843</v>
      </c>
      <c r="R9432" t="s">
        <v>8844</v>
      </c>
      <c r="S9432" t="s">
        <v>8845</v>
      </c>
    </row>
    <row r="9433" spans="1:19" x14ac:dyDescent="0.3">
      <c r="A9433" s="160">
        <v>69014</v>
      </c>
      <c r="B9433" t="s">
        <v>24456</v>
      </c>
      <c r="C9433" t="s">
        <v>177</v>
      </c>
      <c r="D9433">
        <v>0.65</v>
      </c>
      <c r="E9433">
        <v>0</v>
      </c>
      <c r="F9433">
        <f t="shared" si="147"/>
        <v>0.65</v>
      </c>
      <c r="G9433">
        <v>0.75</v>
      </c>
      <c r="H9433">
        <f t="shared" si="149"/>
        <v>0.48750000000000004</v>
      </c>
      <c r="I9433">
        <v>20240701</v>
      </c>
      <c r="J9433" t="s">
        <v>8846</v>
      </c>
    </row>
    <row r="9434" spans="1:19" x14ac:dyDescent="0.3">
      <c r="A9434" s="160">
        <v>69016</v>
      </c>
      <c r="B9434" t="s">
        <v>24457</v>
      </c>
      <c r="C9434" t="s">
        <v>177</v>
      </c>
      <c r="D9434">
        <v>0.65</v>
      </c>
      <c r="E9434">
        <v>0</v>
      </c>
      <c r="F9434">
        <f t="shared" si="147"/>
        <v>0.65</v>
      </c>
      <c r="G9434">
        <v>0.75</v>
      </c>
      <c r="H9434">
        <f t="shared" si="149"/>
        <v>0.48750000000000004</v>
      </c>
      <c r="I9434">
        <v>20240101</v>
      </c>
      <c r="J9434" t="s">
        <v>8822</v>
      </c>
    </row>
    <row r="9435" spans="1:19" x14ac:dyDescent="0.3">
      <c r="A9435" s="160">
        <v>69017</v>
      </c>
      <c r="B9435" t="s">
        <v>24458</v>
      </c>
      <c r="C9435" t="s">
        <v>177</v>
      </c>
      <c r="D9435">
        <v>0.8</v>
      </c>
      <c r="E9435">
        <v>0</v>
      </c>
      <c r="F9435">
        <f t="shared" si="147"/>
        <v>0.8</v>
      </c>
      <c r="G9435">
        <v>0.75</v>
      </c>
      <c r="H9435">
        <f t="shared" si="149"/>
        <v>0.60000000000000009</v>
      </c>
      <c r="I9435">
        <v>20240701</v>
      </c>
      <c r="J9435" t="s">
        <v>8847</v>
      </c>
    </row>
    <row r="9436" spans="1:19" x14ac:dyDescent="0.3">
      <c r="A9436" s="160">
        <v>69018</v>
      </c>
      <c r="B9436" t="s">
        <v>15768</v>
      </c>
      <c r="C9436" t="s">
        <v>177</v>
      </c>
      <c r="D9436">
        <v>0.65</v>
      </c>
      <c r="E9436">
        <v>0</v>
      </c>
      <c r="F9436">
        <f t="shared" si="147"/>
        <v>0.65</v>
      </c>
      <c r="G9436">
        <v>0.75</v>
      </c>
      <c r="H9436">
        <f t="shared" si="149"/>
        <v>0.48750000000000004</v>
      </c>
      <c r="I9436">
        <v>20240701</v>
      </c>
      <c r="J9436" t="s">
        <v>8835</v>
      </c>
    </row>
    <row r="9437" spans="1:19" x14ac:dyDescent="0.3">
      <c r="A9437" s="160">
        <v>69019</v>
      </c>
      <c r="B9437" t="s">
        <v>24459</v>
      </c>
      <c r="C9437" t="s">
        <v>177</v>
      </c>
      <c r="D9437">
        <v>0.65</v>
      </c>
      <c r="E9437">
        <v>0</v>
      </c>
      <c r="F9437">
        <f t="shared" si="147"/>
        <v>0.65</v>
      </c>
      <c r="G9437">
        <v>0.75</v>
      </c>
      <c r="H9437">
        <f t="shared" si="149"/>
        <v>0.48750000000000004</v>
      </c>
      <c r="I9437">
        <v>20240701</v>
      </c>
      <c r="J9437" t="s">
        <v>8848</v>
      </c>
      <c r="K9437" t="s">
        <v>8849</v>
      </c>
      <c r="L9437" t="s">
        <v>8850</v>
      </c>
      <c r="M9437" t="s">
        <v>8851</v>
      </c>
    </row>
    <row r="9438" spans="1:19" x14ac:dyDescent="0.3">
      <c r="A9438" s="160">
        <v>69020</v>
      </c>
      <c r="B9438" t="s">
        <v>24460</v>
      </c>
      <c r="C9438" t="s">
        <v>177</v>
      </c>
      <c r="D9438">
        <v>0.8</v>
      </c>
      <c r="E9438">
        <v>0</v>
      </c>
      <c r="F9438">
        <f t="shared" si="147"/>
        <v>0.8</v>
      </c>
      <c r="G9438">
        <v>0.75</v>
      </c>
      <c r="H9438">
        <f t="shared" si="149"/>
        <v>0.60000000000000009</v>
      </c>
      <c r="I9438">
        <v>20240701</v>
      </c>
      <c r="J9438" t="s">
        <v>8825</v>
      </c>
    </row>
    <row r="9439" spans="1:19" x14ac:dyDescent="0.3">
      <c r="A9439" s="160">
        <v>69021</v>
      </c>
      <c r="B9439" t="s">
        <v>24461</v>
      </c>
      <c r="C9439" t="s">
        <v>177</v>
      </c>
      <c r="D9439">
        <v>0.8</v>
      </c>
      <c r="E9439">
        <v>0</v>
      </c>
      <c r="F9439">
        <f t="shared" si="147"/>
        <v>0.8</v>
      </c>
      <c r="G9439">
        <v>0.75</v>
      </c>
      <c r="H9439">
        <f t="shared" si="149"/>
        <v>0.60000000000000009</v>
      </c>
      <c r="I9439">
        <v>20240701</v>
      </c>
      <c r="J9439" t="s">
        <v>8852</v>
      </c>
      <c r="K9439" t="s">
        <v>8853</v>
      </c>
    </row>
    <row r="9440" spans="1:19" x14ac:dyDescent="0.3">
      <c r="A9440" s="160">
        <v>69022</v>
      </c>
      <c r="B9440" t="s">
        <v>24462</v>
      </c>
      <c r="C9440" t="s">
        <v>177</v>
      </c>
      <c r="D9440">
        <v>0.8</v>
      </c>
      <c r="E9440">
        <v>0</v>
      </c>
      <c r="F9440">
        <f t="shared" si="147"/>
        <v>0.8</v>
      </c>
      <c r="G9440">
        <v>0.75</v>
      </c>
      <c r="H9440">
        <f t="shared" si="149"/>
        <v>0.60000000000000009</v>
      </c>
      <c r="I9440">
        <v>20240701</v>
      </c>
      <c r="J9440" t="s">
        <v>8853</v>
      </c>
    </row>
    <row r="9441" spans="1:20" x14ac:dyDescent="0.3">
      <c r="A9441" s="160">
        <v>69023</v>
      </c>
      <c r="B9441" t="s">
        <v>24463</v>
      </c>
      <c r="C9441" t="s">
        <v>177</v>
      </c>
      <c r="D9441">
        <v>0.9</v>
      </c>
      <c r="E9441">
        <v>0</v>
      </c>
      <c r="F9441">
        <f t="shared" si="147"/>
        <v>0.9</v>
      </c>
      <c r="G9441">
        <v>0.75</v>
      </c>
      <c r="H9441">
        <f t="shared" si="149"/>
        <v>0.67500000000000004</v>
      </c>
      <c r="I9441">
        <v>20240701</v>
      </c>
      <c r="J9441" t="s">
        <v>8854</v>
      </c>
    </row>
    <row r="9442" spans="1:20" x14ac:dyDescent="0.3">
      <c r="A9442" s="160">
        <v>69024</v>
      </c>
      <c r="B9442" t="s">
        <v>24464</v>
      </c>
      <c r="C9442" t="s">
        <v>177</v>
      </c>
      <c r="D9442">
        <v>0.8</v>
      </c>
      <c r="E9442">
        <v>0</v>
      </c>
      <c r="F9442">
        <f t="shared" si="147"/>
        <v>0.8</v>
      </c>
      <c r="G9442">
        <v>0.75</v>
      </c>
      <c r="H9442">
        <f t="shared" si="149"/>
        <v>0.60000000000000009</v>
      </c>
      <c r="I9442">
        <v>20240701</v>
      </c>
      <c r="J9442" t="s">
        <v>8847</v>
      </c>
    </row>
    <row r="9443" spans="1:20" x14ac:dyDescent="0.3">
      <c r="A9443" s="160">
        <v>69026</v>
      </c>
      <c r="B9443" t="s">
        <v>24465</v>
      </c>
      <c r="C9443" t="s">
        <v>177</v>
      </c>
      <c r="D9443">
        <v>0.8</v>
      </c>
      <c r="E9443">
        <v>0</v>
      </c>
      <c r="F9443">
        <f t="shared" si="147"/>
        <v>0.8</v>
      </c>
      <c r="G9443">
        <v>0.75</v>
      </c>
      <c r="H9443">
        <f t="shared" si="149"/>
        <v>0.60000000000000009</v>
      </c>
      <c r="I9443">
        <v>20240701</v>
      </c>
      <c r="J9443" t="s">
        <v>8847</v>
      </c>
    </row>
    <row r="9444" spans="1:20" x14ac:dyDescent="0.3">
      <c r="A9444" s="160">
        <v>69027</v>
      </c>
      <c r="B9444" t="s">
        <v>24466</v>
      </c>
      <c r="C9444" t="s">
        <v>177</v>
      </c>
      <c r="D9444">
        <v>1.1499999999999999</v>
      </c>
      <c r="E9444">
        <v>0</v>
      </c>
      <c r="F9444">
        <f t="shared" si="147"/>
        <v>1.1499999999999999</v>
      </c>
      <c r="G9444">
        <v>0.75</v>
      </c>
      <c r="H9444">
        <f t="shared" si="149"/>
        <v>0.86249999999999993</v>
      </c>
      <c r="I9444">
        <v>20240701</v>
      </c>
      <c r="J9444" t="s">
        <v>8855</v>
      </c>
    </row>
    <row r="9445" spans="1:20" x14ac:dyDescent="0.3">
      <c r="A9445" s="160">
        <v>69028</v>
      </c>
      <c r="B9445" t="s">
        <v>24467</v>
      </c>
      <c r="C9445" t="s">
        <v>177</v>
      </c>
      <c r="D9445">
        <v>0.8</v>
      </c>
      <c r="E9445">
        <v>0</v>
      </c>
      <c r="F9445">
        <f t="shared" si="147"/>
        <v>0.8</v>
      </c>
      <c r="G9445">
        <v>0.75</v>
      </c>
      <c r="H9445">
        <f t="shared" si="149"/>
        <v>0.60000000000000009</v>
      </c>
      <c r="I9445">
        <v>20240701</v>
      </c>
      <c r="J9445" t="s">
        <v>8856</v>
      </c>
    </row>
    <row r="9446" spans="1:20" x14ac:dyDescent="0.3">
      <c r="A9446" s="160">
        <v>69029</v>
      </c>
      <c r="B9446" t="s">
        <v>24468</v>
      </c>
      <c r="C9446" t="s">
        <v>177</v>
      </c>
      <c r="D9446">
        <v>2</v>
      </c>
      <c r="E9446">
        <v>0</v>
      </c>
      <c r="F9446">
        <f t="shared" si="147"/>
        <v>2</v>
      </c>
      <c r="G9446">
        <v>0.75</v>
      </c>
      <c r="H9446">
        <f t="shared" si="149"/>
        <v>1.5</v>
      </c>
      <c r="I9446">
        <v>20220701</v>
      </c>
      <c r="J9446" t="s">
        <v>8857</v>
      </c>
      <c r="K9446" t="s">
        <v>8858</v>
      </c>
      <c r="L9446" t="s">
        <v>8859</v>
      </c>
      <c r="M9446" t="s">
        <v>8860</v>
      </c>
      <c r="N9446" t="s">
        <v>8861</v>
      </c>
      <c r="O9446" t="s">
        <v>8862</v>
      </c>
      <c r="P9446" t="s">
        <v>8863</v>
      </c>
      <c r="Q9446" t="s">
        <v>8864</v>
      </c>
      <c r="R9446" t="s">
        <v>8865</v>
      </c>
      <c r="S9446" t="s">
        <v>8866</v>
      </c>
      <c r="T9446" t="s">
        <v>8867</v>
      </c>
    </row>
    <row r="9447" spans="1:20" x14ac:dyDescent="0.3">
      <c r="A9447" s="160">
        <v>69030</v>
      </c>
      <c r="B9447" t="s">
        <v>24469</v>
      </c>
      <c r="C9447" t="s">
        <v>177</v>
      </c>
      <c r="D9447">
        <v>0.65</v>
      </c>
      <c r="E9447">
        <v>0</v>
      </c>
      <c r="F9447">
        <f t="shared" si="147"/>
        <v>0.65</v>
      </c>
      <c r="G9447">
        <v>0.75</v>
      </c>
      <c r="H9447">
        <f t="shared" si="149"/>
        <v>0.48750000000000004</v>
      </c>
      <c r="I9447">
        <v>20240701</v>
      </c>
      <c r="J9447" t="s">
        <v>8853</v>
      </c>
    </row>
    <row r="9448" spans="1:20" x14ac:dyDescent="0.3">
      <c r="A9448" s="160">
        <v>69031</v>
      </c>
      <c r="B9448" t="s">
        <v>24470</v>
      </c>
      <c r="C9448" t="s">
        <v>177</v>
      </c>
      <c r="D9448">
        <v>0.65</v>
      </c>
      <c r="E9448">
        <v>0</v>
      </c>
      <c r="F9448">
        <f t="shared" si="147"/>
        <v>0.65</v>
      </c>
      <c r="G9448">
        <v>0.75</v>
      </c>
      <c r="H9448">
        <f t="shared" si="149"/>
        <v>0.48750000000000004</v>
      </c>
      <c r="I9448">
        <v>20240701</v>
      </c>
      <c r="J9448" t="s">
        <v>8853</v>
      </c>
    </row>
    <row r="9449" spans="1:20" x14ac:dyDescent="0.3">
      <c r="A9449" s="160">
        <v>69032</v>
      </c>
      <c r="B9449" t="s">
        <v>24471</v>
      </c>
      <c r="C9449" t="s">
        <v>177</v>
      </c>
      <c r="D9449">
        <v>0.8</v>
      </c>
      <c r="E9449">
        <v>0</v>
      </c>
      <c r="F9449">
        <f t="shared" si="147"/>
        <v>0.8</v>
      </c>
      <c r="G9449">
        <v>0.75</v>
      </c>
      <c r="H9449">
        <f t="shared" si="149"/>
        <v>0.60000000000000009</v>
      </c>
      <c r="I9449">
        <v>20240701</v>
      </c>
      <c r="J9449" t="s">
        <v>8831</v>
      </c>
      <c r="K9449" t="s">
        <v>8833</v>
      </c>
      <c r="L9449" t="s">
        <v>8852</v>
      </c>
    </row>
    <row r="9450" spans="1:20" x14ac:dyDescent="0.3">
      <c r="A9450" s="160">
        <v>69033</v>
      </c>
      <c r="B9450" t="s">
        <v>24472</v>
      </c>
      <c r="C9450" t="s">
        <v>177</v>
      </c>
      <c r="D9450">
        <v>2</v>
      </c>
      <c r="E9450">
        <v>0</v>
      </c>
      <c r="F9450">
        <f t="shared" si="147"/>
        <v>2</v>
      </c>
      <c r="G9450">
        <v>0.75</v>
      </c>
      <c r="H9450">
        <f t="shared" si="149"/>
        <v>1.5</v>
      </c>
      <c r="I9450">
        <v>20220701</v>
      </c>
      <c r="J9450" t="s">
        <v>8868</v>
      </c>
    </row>
    <row r="9451" spans="1:20" x14ac:dyDescent="0.3">
      <c r="A9451" s="160">
        <v>69034</v>
      </c>
      <c r="B9451" t="s">
        <v>24473</v>
      </c>
      <c r="C9451" t="s">
        <v>177</v>
      </c>
      <c r="D9451">
        <v>2</v>
      </c>
      <c r="E9451">
        <v>0</v>
      </c>
      <c r="F9451">
        <f t="shared" si="147"/>
        <v>2</v>
      </c>
      <c r="G9451">
        <v>0.75</v>
      </c>
      <c r="H9451">
        <f t="shared" si="149"/>
        <v>1.5</v>
      </c>
      <c r="I9451">
        <v>20220701</v>
      </c>
      <c r="J9451" t="s">
        <v>8869</v>
      </c>
      <c r="K9451" t="s">
        <v>8870</v>
      </c>
      <c r="L9451" t="s">
        <v>8871</v>
      </c>
      <c r="M9451" t="s">
        <v>8872</v>
      </c>
      <c r="N9451" t="s">
        <v>8873</v>
      </c>
      <c r="O9451" t="s">
        <v>8874</v>
      </c>
      <c r="P9451" t="s">
        <v>8875</v>
      </c>
      <c r="Q9451" t="s">
        <v>8876</v>
      </c>
      <c r="R9451" t="s">
        <v>8877</v>
      </c>
      <c r="S9451" t="s">
        <v>8878</v>
      </c>
    </row>
    <row r="9452" spans="1:20" x14ac:dyDescent="0.3">
      <c r="A9452" s="160">
        <v>69035</v>
      </c>
      <c r="B9452" t="s">
        <v>24474</v>
      </c>
      <c r="C9452" t="s">
        <v>177</v>
      </c>
      <c r="D9452">
        <v>0.65</v>
      </c>
      <c r="E9452">
        <v>0</v>
      </c>
      <c r="F9452">
        <f t="shared" si="147"/>
        <v>0.65</v>
      </c>
      <c r="G9452">
        <v>0.75</v>
      </c>
      <c r="H9452">
        <f t="shared" si="149"/>
        <v>0.48750000000000004</v>
      </c>
      <c r="I9452">
        <v>20240101</v>
      </c>
      <c r="J9452" t="s">
        <v>8879</v>
      </c>
    </row>
    <row r="9453" spans="1:20" x14ac:dyDescent="0.3">
      <c r="A9453" s="160">
        <v>69036</v>
      </c>
      <c r="B9453" t="s">
        <v>24475</v>
      </c>
      <c r="C9453" t="s">
        <v>177</v>
      </c>
      <c r="D9453">
        <v>0.65</v>
      </c>
      <c r="E9453">
        <v>0</v>
      </c>
      <c r="F9453">
        <f t="shared" si="147"/>
        <v>0.65</v>
      </c>
      <c r="G9453">
        <v>0.75</v>
      </c>
      <c r="H9453">
        <f t="shared" si="149"/>
        <v>0.48750000000000004</v>
      </c>
      <c r="I9453">
        <v>20240701</v>
      </c>
      <c r="J9453" t="s">
        <v>8848</v>
      </c>
    </row>
    <row r="9454" spans="1:20" x14ac:dyDescent="0.3">
      <c r="A9454" s="160">
        <v>69037</v>
      </c>
      <c r="B9454" t="s">
        <v>24476</v>
      </c>
      <c r="C9454" t="s">
        <v>177</v>
      </c>
      <c r="D9454">
        <v>0.65</v>
      </c>
      <c r="E9454">
        <v>0</v>
      </c>
      <c r="F9454">
        <f t="shared" si="147"/>
        <v>0.65</v>
      </c>
      <c r="G9454">
        <v>0.75</v>
      </c>
      <c r="H9454">
        <f t="shared" si="149"/>
        <v>0.48750000000000004</v>
      </c>
      <c r="I9454">
        <v>20240701</v>
      </c>
      <c r="J9454" t="s">
        <v>8880</v>
      </c>
    </row>
    <row r="9455" spans="1:20" x14ac:dyDescent="0.3">
      <c r="A9455" s="160">
        <v>69038</v>
      </c>
      <c r="B9455" t="s">
        <v>24477</v>
      </c>
      <c r="C9455" t="s">
        <v>177</v>
      </c>
      <c r="D9455">
        <v>0.65</v>
      </c>
      <c r="E9455">
        <v>0</v>
      </c>
      <c r="F9455">
        <f t="shared" si="147"/>
        <v>0.65</v>
      </c>
      <c r="G9455">
        <v>0.75</v>
      </c>
      <c r="H9455">
        <f t="shared" si="149"/>
        <v>0.48750000000000004</v>
      </c>
      <c r="I9455">
        <v>20240701</v>
      </c>
      <c r="J9455" t="s">
        <v>8881</v>
      </c>
    </row>
    <row r="9456" spans="1:20" x14ac:dyDescent="0.3">
      <c r="A9456" s="160">
        <v>69039</v>
      </c>
      <c r="B9456" t="s">
        <v>24478</v>
      </c>
      <c r="C9456" t="s">
        <v>177</v>
      </c>
      <c r="D9456">
        <v>0.8</v>
      </c>
      <c r="E9456">
        <v>0</v>
      </c>
      <c r="F9456">
        <f t="shared" si="147"/>
        <v>0.8</v>
      </c>
      <c r="G9456">
        <v>0.75</v>
      </c>
      <c r="H9456">
        <f t="shared" si="149"/>
        <v>0.60000000000000009</v>
      </c>
      <c r="I9456">
        <v>20240701</v>
      </c>
      <c r="J9456" t="s">
        <v>8847</v>
      </c>
    </row>
    <row r="9457" spans="1:17" x14ac:dyDescent="0.3">
      <c r="A9457" s="160">
        <v>69040</v>
      </c>
      <c r="B9457" t="s">
        <v>24479</v>
      </c>
      <c r="C9457" t="s">
        <v>177</v>
      </c>
      <c r="D9457">
        <v>2</v>
      </c>
      <c r="E9457">
        <v>0</v>
      </c>
      <c r="F9457">
        <f t="shared" si="147"/>
        <v>2</v>
      </c>
      <c r="G9457">
        <v>0.75</v>
      </c>
      <c r="H9457">
        <f t="shared" si="149"/>
        <v>1.5</v>
      </c>
      <c r="I9457">
        <v>20220701</v>
      </c>
      <c r="J9457" t="s">
        <v>8882</v>
      </c>
      <c r="K9457" t="s">
        <v>8883</v>
      </c>
      <c r="L9457" t="s">
        <v>8884</v>
      </c>
      <c r="M9457" t="s">
        <v>8885</v>
      </c>
      <c r="N9457" t="s">
        <v>8886</v>
      </c>
      <c r="O9457" t="s">
        <v>8887</v>
      </c>
      <c r="P9457" t="s">
        <v>8888</v>
      </c>
      <c r="Q9457" t="s">
        <v>8889</v>
      </c>
    </row>
    <row r="9458" spans="1:17" x14ac:dyDescent="0.3">
      <c r="A9458" s="160">
        <v>69042</v>
      </c>
      <c r="B9458" t="s">
        <v>24480</v>
      </c>
      <c r="C9458" t="s">
        <v>177</v>
      </c>
      <c r="D9458">
        <v>0.65</v>
      </c>
      <c r="E9458">
        <v>0</v>
      </c>
      <c r="F9458">
        <f t="shared" si="147"/>
        <v>0.65</v>
      </c>
      <c r="G9458">
        <v>0.75</v>
      </c>
      <c r="H9458">
        <f t="shared" si="149"/>
        <v>0.48750000000000004</v>
      </c>
      <c r="I9458">
        <v>20240701</v>
      </c>
      <c r="J9458" t="s">
        <v>8890</v>
      </c>
    </row>
    <row r="9459" spans="1:17" x14ac:dyDescent="0.3">
      <c r="A9459" s="160">
        <v>69043</v>
      </c>
      <c r="B9459" t="s">
        <v>24481</v>
      </c>
      <c r="C9459" t="s">
        <v>177</v>
      </c>
      <c r="D9459">
        <v>1.1499999999999999</v>
      </c>
      <c r="E9459">
        <v>0</v>
      </c>
      <c r="F9459">
        <f t="shared" si="147"/>
        <v>1.1499999999999999</v>
      </c>
      <c r="G9459">
        <v>0.75</v>
      </c>
      <c r="H9459">
        <f t="shared" si="149"/>
        <v>0.86249999999999993</v>
      </c>
      <c r="I9459">
        <v>20240701</v>
      </c>
      <c r="J9459" t="s">
        <v>8891</v>
      </c>
    </row>
    <row r="9460" spans="1:17" x14ac:dyDescent="0.3">
      <c r="A9460" s="160">
        <v>69044</v>
      </c>
      <c r="B9460" t="s">
        <v>24482</v>
      </c>
      <c r="C9460" t="s">
        <v>177</v>
      </c>
      <c r="D9460">
        <v>2</v>
      </c>
      <c r="E9460">
        <v>0</v>
      </c>
      <c r="F9460">
        <f t="shared" si="147"/>
        <v>2</v>
      </c>
      <c r="G9460">
        <v>0.75</v>
      </c>
      <c r="H9460">
        <f t="shared" ref="H9460:H9478" si="150">G9460*F9460</f>
        <v>1.5</v>
      </c>
      <c r="I9460">
        <v>20220701</v>
      </c>
      <c r="J9460" t="s">
        <v>8892</v>
      </c>
      <c r="K9460" t="s">
        <v>8893</v>
      </c>
    </row>
    <row r="9461" spans="1:17" x14ac:dyDescent="0.3">
      <c r="A9461" s="160">
        <v>69045</v>
      </c>
      <c r="B9461" t="s">
        <v>24483</v>
      </c>
      <c r="C9461" t="s">
        <v>177</v>
      </c>
      <c r="D9461">
        <v>0.65</v>
      </c>
      <c r="E9461">
        <v>0</v>
      </c>
      <c r="F9461">
        <f t="shared" si="147"/>
        <v>0.65</v>
      </c>
      <c r="G9461">
        <v>0.75</v>
      </c>
      <c r="H9461">
        <f t="shared" si="150"/>
        <v>0.48750000000000004</v>
      </c>
      <c r="I9461">
        <v>20240701</v>
      </c>
      <c r="J9461" t="s">
        <v>8848</v>
      </c>
      <c r="K9461" t="s">
        <v>8850</v>
      </c>
    </row>
    <row r="9462" spans="1:17" x14ac:dyDescent="0.3">
      <c r="A9462" s="160">
        <v>69046</v>
      </c>
      <c r="B9462" t="s">
        <v>24484</v>
      </c>
      <c r="C9462" t="s">
        <v>177</v>
      </c>
      <c r="D9462">
        <v>2</v>
      </c>
      <c r="E9462">
        <v>0</v>
      </c>
      <c r="F9462">
        <f t="shared" si="147"/>
        <v>2</v>
      </c>
      <c r="G9462">
        <v>0.75</v>
      </c>
      <c r="H9462">
        <f t="shared" si="150"/>
        <v>1.5</v>
      </c>
      <c r="I9462">
        <v>20220701</v>
      </c>
      <c r="J9462" t="s">
        <v>8894</v>
      </c>
    </row>
    <row r="9463" spans="1:17" x14ac:dyDescent="0.3">
      <c r="A9463" s="160">
        <v>69047</v>
      </c>
      <c r="B9463" t="s">
        <v>24485</v>
      </c>
      <c r="C9463" t="s">
        <v>177</v>
      </c>
      <c r="D9463">
        <v>0.8</v>
      </c>
      <c r="E9463">
        <v>0</v>
      </c>
      <c r="F9463">
        <f t="shared" si="147"/>
        <v>0.8</v>
      </c>
      <c r="G9463">
        <v>0.75</v>
      </c>
      <c r="H9463">
        <f t="shared" si="150"/>
        <v>0.60000000000000009</v>
      </c>
      <c r="I9463">
        <v>20240701</v>
      </c>
      <c r="J9463" t="s">
        <v>8825</v>
      </c>
    </row>
    <row r="9464" spans="1:17" x14ac:dyDescent="0.3">
      <c r="A9464" s="160">
        <v>69049</v>
      </c>
      <c r="B9464" t="s">
        <v>24486</v>
      </c>
      <c r="C9464" t="s">
        <v>177</v>
      </c>
      <c r="D9464">
        <v>0.8</v>
      </c>
      <c r="E9464">
        <v>0</v>
      </c>
      <c r="F9464">
        <f t="shared" si="147"/>
        <v>0.8</v>
      </c>
      <c r="G9464">
        <v>0.75</v>
      </c>
      <c r="H9464">
        <f t="shared" si="150"/>
        <v>0.60000000000000009</v>
      </c>
      <c r="I9464">
        <v>20240701</v>
      </c>
      <c r="J9464" t="s">
        <v>8825</v>
      </c>
    </row>
    <row r="9465" spans="1:17" x14ac:dyDescent="0.3">
      <c r="A9465" s="160">
        <v>69050</v>
      </c>
      <c r="B9465" t="s">
        <v>24487</v>
      </c>
      <c r="C9465" t="s">
        <v>177</v>
      </c>
      <c r="D9465">
        <v>0.8</v>
      </c>
      <c r="E9465">
        <v>0</v>
      </c>
      <c r="F9465">
        <f t="shared" si="147"/>
        <v>0.8</v>
      </c>
      <c r="G9465">
        <v>0.75</v>
      </c>
      <c r="H9465">
        <f t="shared" si="150"/>
        <v>0.60000000000000009</v>
      </c>
      <c r="I9465">
        <v>20240701</v>
      </c>
      <c r="J9465" t="s">
        <v>8825</v>
      </c>
    </row>
    <row r="9466" spans="1:17" x14ac:dyDescent="0.3">
      <c r="A9466" s="160">
        <v>69051</v>
      </c>
      <c r="B9466" t="s">
        <v>24488</v>
      </c>
      <c r="C9466" t="s">
        <v>177</v>
      </c>
      <c r="D9466">
        <v>0.8</v>
      </c>
      <c r="E9466">
        <v>0</v>
      </c>
      <c r="F9466">
        <f t="shared" si="147"/>
        <v>0.8</v>
      </c>
      <c r="G9466">
        <v>0.75</v>
      </c>
      <c r="H9466">
        <f t="shared" si="150"/>
        <v>0.60000000000000009</v>
      </c>
      <c r="I9466">
        <v>20240701</v>
      </c>
      <c r="J9466" t="s">
        <v>8897</v>
      </c>
    </row>
    <row r="9467" spans="1:17" x14ac:dyDescent="0.3">
      <c r="A9467" s="160">
        <v>69052</v>
      </c>
      <c r="B9467" t="s">
        <v>24489</v>
      </c>
      <c r="C9467" t="s">
        <v>177</v>
      </c>
      <c r="D9467">
        <v>0.8</v>
      </c>
      <c r="E9467">
        <v>0</v>
      </c>
      <c r="F9467">
        <f t="shared" si="147"/>
        <v>0.8</v>
      </c>
      <c r="G9467">
        <v>0.75</v>
      </c>
      <c r="H9467">
        <f t="shared" si="150"/>
        <v>0.60000000000000009</v>
      </c>
      <c r="I9467">
        <v>20240701</v>
      </c>
      <c r="J9467" t="s">
        <v>8825</v>
      </c>
    </row>
    <row r="9468" spans="1:17" x14ac:dyDescent="0.3">
      <c r="A9468" s="160">
        <v>69053</v>
      </c>
      <c r="B9468" t="s">
        <v>24490</v>
      </c>
      <c r="C9468" t="s">
        <v>177</v>
      </c>
      <c r="D9468">
        <v>0.65</v>
      </c>
      <c r="E9468">
        <v>0</v>
      </c>
      <c r="F9468">
        <f t="shared" si="147"/>
        <v>0.65</v>
      </c>
      <c r="G9468">
        <v>0.75</v>
      </c>
      <c r="H9468">
        <f t="shared" si="150"/>
        <v>0.48750000000000004</v>
      </c>
      <c r="I9468">
        <v>20240701</v>
      </c>
      <c r="J9468" t="s">
        <v>8879</v>
      </c>
    </row>
    <row r="9469" spans="1:17" x14ac:dyDescent="0.3">
      <c r="A9469" s="160">
        <v>69054</v>
      </c>
      <c r="B9469" t="s">
        <v>24491</v>
      </c>
      <c r="C9469" t="s">
        <v>177</v>
      </c>
      <c r="D9469">
        <v>0.65</v>
      </c>
      <c r="E9469">
        <v>0</v>
      </c>
      <c r="F9469">
        <f t="shared" si="147"/>
        <v>0.65</v>
      </c>
      <c r="G9469">
        <v>0.75</v>
      </c>
      <c r="H9469">
        <f t="shared" si="150"/>
        <v>0.48750000000000004</v>
      </c>
      <c r="I9469">
        <v>20240701</v>
      </c>
      <c r="J9469" t="s">
        <v>8835</v>
      </c>
    </row>
    <row r="9470" spans="1:17" x14ac:dyDescent="0.3">
      <c r="A9470" s="160">
        <v>69055</v>
      </c>
      <c r="B9470" t="s">
        <v>24492</v>
      </c>
      <c r="C9470" t="s">
        <v>177</v>
      </c>
      <c r="D9470">
        <v>0.8</v>
      </c>
      <c r="E9470">
        <v>0</v>
      </c>
      <c r="F9470">
        <f t="shared" si="147"/>
        <v>0.8</v>
      </c>
      <c r="G9470">
        <v>0.75</v>
      </c>
      <c r="H9470">
        <f t="shared" si="150"/>
        <v>0.60000000000000009</v>
      </c>
      <c r="I9470">
        <v>20240701</v>
      </c>
      <c r="J9470" t="s">
        <v>8825</v>
      </c>
    </row>
    <row r="9471" spans="1:17" x14ac:dyDescent="0.3">
      <c r="A9471" s="160">
        <v>69056</v>
      </c>
      <c r="B9471" t="s">
        <v>24493</v>
      </c>
      <c r="C9471" t="s">
        <v>177</v>
      </c>
      <c r="D9471">
        <v>0.8</v>
      </c>
      <c r="E9471">
        <v>0</v>
      </c>
      <c r="F9471">
        <f t="shared" si="147"/>
        <v>0.8</v>
      </c>
      <c r="G9471">
        <v>0.75</v>
      </c>
      <c r="H9471">
        <f t="shared" si="150"/>
        <v>0.60000000000000009</v>
      </c>
      <c r="I9471">
        <v>20240701</v>
      </c>
      <c r="J9471" t="s">
        <v>8825</v>
      </c>
    </row>
    <row r="9472" spans="1:17" x14ac:dyDescent="0.3">
      <c r="A9472" s="160">
        <v>69057</v>
      </c>
      <c r="B9472" t="s">
        <v>24494</v>
      </c>
      <c r="C9472" t="s">
        <v>177</v>
      </c>
      <c r="D9472">
        <v>0.8</v>
      </c>
      <c r="E9472">
        <v>0</v>
      </c>
      <c r="F9472">
        <f t="shared" si="147"/>
        <v>0.8</v>
      </c>
      <c r="G9472">
        <v>0.75</v>
      </c>
      <c r="H9472">
        <f t="shared" si="150"/>
        <v>0.60000000000000009</v>
      </c>
      <c r="I9472">
        <v>20240701</v>
      </c>
      <c r="J9472" t="s">
        <v>8831</v>
      </c>
    </row>
    <row r="9473" spans="1:14" x14ac:dyDescent="0.3">
      <c r="A9473" s="160">
        <v>69058</v>
      </c>
      <c r="B9473" t="s">
        <v>24495</v>
      </c>
      <c r="C9473" t="s">
        <v>177</v>
      </c>
      <c r="D9473">
        <v>0.65</v>
      </c>
      <c r="E9473">
        <v>0</v>
      </c>
      <c r="F9473">
        <f t="shared" si="147"/>
        <v>0.65</v>
      </c>
      <c r="G9473">
        <v>0.75</v>
      </c>
      <c r="H9473">
        <f t="shared" si="150"/>
        <v>0.48750000000000004</v>
      </c>
      <c r="I9473">
        <v>20240701</v>
      </c>
      <c r="J9473" t="s">
        <v>8898</v>
      </c>
    </row>
    <row r="9474" spans="1:14" x14ac:dyDescent="0.3">
      <c r="A9474" s="160">
        <v>69059</v>
      </c>
      <c r="B9474" t="s">
        <v>24496</v>
      </c>
      <c r="C9474" t="s">
        <v>177</v>
      </c>
      <c r="D9474">
        <v>0.8</v>
      </c>
      <c r="E9474">
        <v>0</v>
      </c>
      <c r="F9474">
        <f t="shared" si="147"/>
        <v>0.8</v>
      </c>
      <c r="G9474">
        <v>0.75</v>
      </c>
      <c r="H9474">
        <f t="shared" si="150"/>
        <v>0.60000000000000009</v>
      </c>
      <c r="I9474">
        <v>20240701</v>
      </c>
      <c r="J9474" t="s">
        <v>8825</v>
      </c>
    </row>
    <row r="9475" spans="1:14" x14ac:dyDescent="0.3">
      <c r="A9475" s="160">
        <v>69060</v>
      </c>
      <c r="B9475" t="s">
        <v>24497</v>
      </c>
      <c r="C9475" t="s">
        <v>177</v>
      </c>
      <c r="D9475">
        <v>0.65</v>
      </c>
      <c r="E9475">
        <v>0</v>
      </c>
      <c r="F9475">
        <f t="shared" si="147"/>
        <v>0.65</v>
      </c>
      <c r="G9475">
        <v>0.75</v>
      </c>
      <c r="H9475">
        <f t="shared" si="150"/>
        <v>0.48750000000000004</v>
      </c>
      <c r="I9475">
        <v>20240701</v>
      </c>
      <c r="J9475" t="s">
        <v>8880</v>
      </c>
    </row>
    <row r="9476" spans="1:14" x14ac:dyDescent="0.3">
      <c r="A9476" s="160">
        <v>69061</v>
      </c>
      <c r="B9476" t="s">
        <v>24498</v>
      </c>
      <c r="C9476" t="s">
        <v>177</v>
      </c>
      <c r="D9476">
        <v>0.9</v>
      </c>
      <c r="E9476">
        <v>0</v>
      </c>
      <c r="F9476">
        <f t="shared" si="147"/>
        <v>0.9</v>
      </c>
      <c r="G9476">
        <v>0.75</v>
      </c>
      <c r="H9476">
        <f t="shared" si="150"/>
        <v>0.67500000000000004</v>
      </c>
      <c r="I9476">
        <v>20240701</v>
      </c>
      <c r="J9476" t="s">
        <v>8899</v>
      </c>
      <c r="K9476" t="s">
        <v>8843</v>
      </c>
    </row>
    <row r="9477" spans="1:14" x14ac:dyDescent="0.3">
      <c r="A9477" s="160">
        <v>69062</v>
      </c>
      <c r="B9477" t="s">
        <v>24499</v>
      </c>
      <c r="C9477" t="s">
        <v>177</v>
      </c>
      <c r="D9477">
        <v>0.65</v>
      </c>
      <c r="E9477">
        <v>0</v>
      </c>
      <c r="F9477">
        <f t="shared" si="147"/>
        <v>0.65</v>
      </c>
      <c r="G9477">
        <v>0.75</v>
      </c>
      <c r="H9477">
        <f t="shared" si="150"/>
        <v>0.48750000000000004</v>
      </c>
      <c r="I9477">
        <v>20240701</v>
      </c>
      <c r="J9477" t="s">
        <v>8890</v>
      </c>
    </row>
    <row r="9478" spans="1:14" x14ac:dyDescent="0.3">
      <c r="A9478" s="160">
        <v>69063</v>
      </c>
      <c r="B9478" t="s">
        <v>24500</v>
      </c>
      <c r="C9478" t="s">
        <v>177</v>
      </c>
      <c r="D9478">
        <v>2</v>
      </c>
      <c r="E9478">
        <v>0</v>
      </c>
      <c r="F9478">
        <f t="shared" si="147"/>
        <v>2</v>
      </c>
      <c r="G9478">
        <v>0.75</v>
      </c>
      <c r="H9478">
        <f t="shared" si="150"/>
        <v>1.5</v>
      </c>
      <c r="I9478">
        <v>20220701</v>
      </c>
      <c r="J9478" t="s">
        <v>8900</v>
      </c>
    </row>
    <row r="9479" spans="1:14" x14ac:dyDescent="0.3">
      <c r="A9479" s="160">
        <v>69064</v>
      </c>
      <c r="B9479" t="s">
        <v>24501</v>
      </c>
      <c r="C9479" t="s">
        <v>4472</v>
      </c>
      <c r="D9479">
        <v>0.8</v>
      </c>
      <c r="E9479">
        <v>0</v>
      </c>
      <c r="F9479">
        <f t="shared" ref="F9479:F9542" si="151">D9479+E9479</f>
        <v>0.8</v>
      </c>
      <c r="I9479">
        <v>20180901</v>
      </c>
      <c r="J9479" t="s">
        <v>8828</v>
      </c>
      <c r="K9479" t="s">
        <v>8829</v>
      </c>
    </row>
    <row r="9480" spans="1:14" x14ac:dyDescent="0.3">
      <c r="A9480" s="160">
        <v>69065</v>
      </c>
      <c r="B9480" t="s">
        <v>24502</v>
      </c>
      <c r="C9480" t="s">
        <v>177</v>
      </c>
      <c r="D9480">
        <v>0.65</v>
      </c>
      <c r="E9480">
        <v>0</v>
      </c>
      <c r="F9480">
        <f t="shared" si="151"/>
        <v>0.65</v>
      </c>
      <c r="G9480">
        <v>0.75</v>
      </c>
      <c r="H9480">
        <f t="shared" ref="H9480:H9492" si="152">G9480*F9480</f>
        <v>0.48750000000000004</v>
      </c>
      <c r="I9480">
        <v>20240701</v>
      </c>
      <c r="J9480" t="s">
        <v>8848</v>
      </c>
    </row>
    <row r="9481" spans="1:14" x14ac:dyDescent="0.3">
      <c r="A9481" s="160">
        <v>69066</v>
      </c>
      <c r="B9481" t="s">
        <v>24503</v>
      </c>
      <c r="C9481" t="s">
        <v>177</v>
      </c>
      <c r="D9481">
        <v>0.65</v>
      </c>
      <c r="E9481">
        <v>0</v>
      </c>
      <c r="F9481">
        <f t="shared" si="151"/>
        <v>0.65</v>
      </c>
      <c r="G9481">
        <v>0.75</v>
      </c>
      <c r="H9481">
        <f t="shared" si="152"/>
        <v>0.48750000000000004</v>
      </c>
      <c r="I9481">
        <v>20240701</v>
      </c>
      <c r="J9481" t="s">
        <v>8901</v>
      </c>
    </row>
    <row r="9482" spans="1:14" x14ac:dyDescent="0.3">
      <c r="A9482" s="160">
        <v>69067</v>
      </c>
      <c r="B9482" t="s">
        <v>24504</v>
      </c>
      <c r="C9482" t="s">
        <v>177</v>
      </c>
      <c r="D9482">
        <v>0.8</v>
      </c>
      <c r="E9482">
        <v>0</v>
      </c>
      <c r="F9482">
        <f t="shared" si="151"/>
        <v>0.8</v>
      </c>
      <c r="G9482">
        <v>0.75</v>
      </c>
      <c r="H9482">
        <f t="shared" si="152"/>
        <v>0.60000000000000009</v>
      </c>
      <c r="I9482">
        <v>20240701</v>
      </c>
      <c r="J9482" t="s">
        <v>8853</v>
      </c>
    </row>
    <row r="9483" spans="1:14" x14ac:dyDescent="0.3">
      <c r="A9483" s="160">
        <v>69068</v>
      </c>
      <c r="B9483" t="s">
        <v>24505</v>
      </c>
      <c r="C9483" t="s">
        <v>177</v>
      </c>
      <c r="D9483">
        <v>2</v>
      </c>
      <c r="E9483">
        <v>0</v>
      </c>
      <c r="F9483">
        <f t="shared" si="151"/>
        <v>2</v>
      </c>
      <c r="G9483">
        <v>0.75</v>
      </c>
      <c r="H9483">
        <f t="shared" si="152"/>
        <v>1.5</v>
      </c>
      <c r="I9483">
        <v>20220701</v>
      </c>
      <c r="J9483" t="s">
        <v>8868</v>
      </c>
    </row>
    <row r="9484" spans="1:14" x14ac:dyDescent="0.3">
      <c r="A9484" s="160">
        <v>69069</v>
      </c>
      <c r="B9484" t="s">
        <v>24506</v>
      </c>
      <c r="C9484" t="s">
        <v>177</v>
      </c>
      <c r="D9484">
        <v>2</v>
      </c>
      <c r="E9484">
        <v>0</v>
      </c>
      <c r="F9484">
        <f t="shared" si="151"/>
        <v>2</v>
      </c>
      <c r="G9484">
        <v>0.75</v>
      </c>
      <c r="H9484">
        <f t="shared" si="152"/>
        <v>1.5</v>
      </c>
      <c r="I9484">
        <v>20220701</v>
      </c>
      <c r="J9484" t="s">
        <v>8902</v>
      </c>
    </row>
    <row r="9485" spans="1:14" x14ac:dyDescent="0.3">
      <c r="A9485" s="160">
        <v>69070</v>
      </c>
      <c r="B9485" t="s">
        <v>24507</v>
      </c>
      <c r="C9485" t="s">
        <v>177</v>
      </c>
      <c r="D9485">
        <v>0.65</v>
      </c>
      <c r="E9485">
        <v>0</v>
      </c>
      <c r="F9485">
        <f t="shared" si="151"/>
        <v>0.65</v>
      </c>
      <c r="G9485">
        <v>0.75</v>
      </c>
      <c r="H9485">
        <f t="shared" si="152"/>
        <v>0.48750000000000004</v>
      </c>
      <c r="I9485">
        <v>20240701</v>
      </c>
      <c r="J9485" t="s">
        <v>8827</v>
      </c>
    </row>
    <row r="9486" spans="1:14" x14ac:dyDescent="0.3">
      <c r="A9486" s="160">
        <v>69071</v>
      </c>
      <c r="B9486" t="s">
        <v>24508</v>
      </c>
      <c r="C9486" t="s">
        <v>177</v>
      </c>
      <c r="D9486">
        <v>2</v>
      </c>
      <c r="E9486">
        <v>0</v>
      </c>
      <c r="F9486">
        <f t="shared" si="151"/>
        <v>2</v>
      </c>
      <c r="G9486">
        <v>0.75</v>
      </c>
      <c r="H9486">
        <f t="shared" si="152"/>
        <v>1.5</v>
      </c>
      <c r="I9486">
        <v>20220701</v>
      </c>
      <c r="J9486" t="s">
        <v>8823</v>
      </c>
      <c r="K9486" t="s">
        <v>8824</v>
      </c>
      <c r="L9486" t="s">
        <v>8903</v>
      </c>
    </row>
    <row r="9487" spans="1:14" x14ac:dyDescent="0.3">
      <c r="A9487" s="160">
        <v>69072</v>
      </c>
      <c r="B9487" t="s">
        <v>24509</v>
      </c>
      <c r="C9487" t="s">
        <v>177</v>
      </c>
      <c r="D9487">
        <v>2</v>
      </c>
      <c r="E9487">
        <v>0</v>
      </c>
      <c r="F9487">
        <f t="shared" si="151"/>
        <v>2</v>
      </c>
      <c r="G9487">
        <v>0.75</v>
      </c>
      <c r="H9487">
        <f t="shared" si="152"/>
        <v>1.5</v>
      </c>
      <c r="I9487">
        <v>20220701</v>
      </c>
      <c r="J9487" t="s">
        <v>8904</v>
      </c>
      <c r="K9487" t="s">
        <v>8905</v>
      </c>
      <c r="L9487" t="s">
        <v>8906</v>
      </c>
      <c r="M9487" t="s">
        <v>8907</v>
      </c>
      <c r="N9487" t="s">
        <v>8908</v>
      </c>
    </row>
    <row r="9488" spans="1:14" x14ac:dyDescent="0.3">
      <c r="A9488" s="160">
        <v>69074</v>
      </c>
      <c r="B9488" t="s">
        <v>24510</v>
      </c>
      <c r="C9488" t="s">
        <v>177</v>
      </c>
      <c r="D9488">
        <v>0.9</v>
      </c>
      <c r="E9488">
        <v>0</v>
      </c>
      <c r="F9488">
        <f t="shared" si="151"/>
        <v>0.9</v>
      </c>
      <c r="G9488">
        <v>0.75</v>
      </c>
      <c r="H9488">
        <f t="shared" si="152"/>
        <v>0.67500000000000004</v>
      </c>
      <c r="I9488">
        <v>20240701</v>
      </c>
      <c r="J9488" t="s">
        <v>8899</v>
      </c>
    </row>
    <row r="9489" spans="1:16" x14ac:dyDescent="0.3">
      <c r="A9489" s="160">
        <v>69075</v>
      </c>
      <c r="B9489" t="s">
        <v>24511</v>
      </c>
      <c r="C9489" t="s">
        <v>177</v>
      </c>
      <c r="D9489">
        <v>0.65</v>
      </c>
      <c r="E9489">
        <v>0</v>
      </c>
      <c r="F9489">
        <f t="shared" si="151"/>
        <v>0.65</v>
      </c>
      <c r="G9489">
        <v>0.75</v>
      </c>
      <c r="H9489">
        <f t="shared" si="152"/>
        <v>0.48750000000000004</v>
      </c>
      <c r="I9489">
        <v>20240701</v>
      </c>
      <c r="J9489" t="s">
        <v>8821</v>
      </c>
    </row>
    <row r="9490" spans="1:16" x14ac:dyDescent="0.3">
      <c r="A9490" s="160">
        <v>69076</v>
      </c>
      <c r="B9490" t="s">
        <v>24512</v>
      </c>
      <c r="C9490" t="s">
        <v>177</v>
      </c>
      <c r="D9490">
        <v>0.8</v>
      </c>
      <c r="E9490">
        <v>0</v>
      </c>
      <c r="F9490">
        <f t="shared" si="151"/>
        <v>0.8</v>
      </c>
      <c r="G9490">
        <v>0.75</v>
      </c>
      <c r="H9490">
        <f t="shared" si="152"/>
        <v>0.60000000000000009</v>
      </c>
      <c r="I9490">
        <v>20240701</v>
      </c>
      <c r="J9490" t="s">
        <v>8825</v>
      </c>
    </row>
    <row r="9491" spans="1:16" x14ac:dyDescent="0.3">
      <c r="A9491" s="160">
        <v>69077</v>
      </c>
      <c r="B9491" t="s">
        <v>24513</v>
      </c>
      <c r="C9491" t="s">
        <v>177</v>
      </c>
      <c r="D9491">
        <v>0.65</v>
      </c>
      <c r="E9491">
        <v>0</v>
      </c>
      <c r="F9491">
        <f t="shared" si="151"/>
        <v>0.65</v>
      </c>
      <c r="G9491">
        <v>0.75</v>
      </c>
      <c r="H9491">
        <f t="shared" si="152"/>
        <v>0.48750000000000004</v>
      </c>
      <c r="I9491">
        <v>20240701</v>
      </c>
      <c r="J9491" t="s">
        <v>8848</v>
      </c>
    </row>
    <row r="9492" spans="1:16" x14ac:dyDescent="0.3">
      <c r="A9492" s="160">
        <v>69078</v>
      </c>
      <c r="B9492" t="s">
        <v>24514</v>
      </c>
      <c r="C9492" t="s">
        <v>177</v>
      </c>
      <c r="D9492">
        <v>0.65</v>
      </c>
      <c r="E9492">
        <v>0</v>
      </c>
      <c r="F9492">
        <f t="shared" si="151"/>
        <v>0.65</v>
      </c>
      <c r="G9492">
        <v>0.75</v>
      </c>
      <c r="H9492">
        <f t="shared" si="152"/>
        <v>0.48750000000000004</v>
      </c>
      <c r="I9492">
        <v>20240701</v>
      </c>
      <c r="J9492" t="s">
        <v>8909</v>
      </c>
    </row>
    <row r="9493" spans="1:16" x14ac:dyDescent="0.3">
      <c r="A9493" s="160">
        <v>69080</v>
      </c>
      <c r="B9493" t="s">
        <v>24515</v>
      </c>
      <c r="C9493" t="s">
        <v>4472</v>
      </c>
      <c r="D9493">
        <v>0.8</v>
      </c>
      <c r="E9493">
        <v>0</v>
      </c>
      <c r="F9493">
        <f t="shared" si="151"/>
        <v>0.8</v>
      </c>
      <c r="I9493">
        <v>20180901</v>
      </c>
      <c r="J9493" t="s">
        <v>8895</v>
      </c>
    </row>
    <row r="9494" spans="1:16" x14ac:dyDescent="0.3">
      <c r="A9494" s="160">
        <v>69081</v>
      </c>
      <c r="B9494" t="s">
        <v>24516</v>
      </c>
      <c r="C9494" t="s">
        <v>177</v>
      </c>
      <c r="D9494">
        <v>2</v>
      </c>
      <c r="E9494">
        <v>0</v>
      </c>
      <c r="F9494">
        <f t="shared" si="151"/>
        <v>2</v>
      </c>
      <c r="G9494">
        <v>0.75</v>
      </c>
      <c r="H9494">
        <f t="shared" ref="H9494:H9509" si="153">G9494*F9494</f>
        <v>1.5</v>
      </c>
      <c r="I9494">
        <v>20220701</v>
      </c>
      <c r="J9494" t="s">
        <v>8910</v>
      </c>
      <c r="K9494" t="s">
        <v>8911</v>
      </c>
      <c r="L9494" t="s">
        <v>8912</v>
      </c>
      <c r="M9494" t="s">
        <v>8913</v>
      </c>
      <c r="N9494" t="s">
        <v>8914</v>
      </c>
      <c r="O9494" t="s">
        <v>8906</v>
      </c>
      <c r="P9494" t="s">
        <v>8915</v>
      </c>
    </row>
    <row r="9495" spans="1:16" x14ac:dyDescent="0.3">
      <c r="A9495" s="160">
        <v>69082</v>
      </c>
      <c r="B9495" t="s">
        <v>24517</v>
      </c>
      <c r="C9495" t="s">
        <v>177</v>
      </c>
      <c r="D9495">
        <v>0.65</v>
      </c>
      <c r="E9495">
        <v>0</v>
      </c>
      <c r="F9495">
        <f t="shared" si="151"/>
        <v>0.65</v>
      </c>
      <c r="G9495">
        <v>0.75</v>
      </c>
      <c r="H9495">
        <f t="shared" si="153"/>
        <v>0.48750000000000004</v>
      </c>
      <c r="I9495">
        <v>20240701</v>
      </c>
      <c r="J9495" t="s">
        <v>8879</v>
      </c>
    </row>
    <row r="9496" spans="1:16" x14ac:dyDescent="0.3">
      <c r="A9496" s="160">
        <v>69083</v>
      </c>
      <c r="B9496" t="s">
        <v>24518</v>
      </c>
      <c r="C9496" t="s">
        <v>177</v>
      </c>
      <c r="D9496">
        <v>0.8</v>
      </c>
      <c r="E9496">
        <v>0</v>
      </c>
      <c r="F9496">
        <f t="shared" si="151"/>
        <v>0.8</v>
      </c>
      <c r="G9496">
        <v>0.75</v>
      </c>
      <c r="H9496">
        <f t="shared" si="153"/>
        <v>0.60000000000000009</v>
      </c>
      <c r="I9496">
        <v>20240701</v>
      </c>
      <c r="J9496" t="s">
        <v>8831</v>
      </c>
      <c r="K9496" t="s">
        <v>8833</v>
      </c>
    </row>
    <row r="9497" spans="1:16" x14ac:dyDescent="0.3">
      <c r="A9497" s="160">
        <v>69084</v>
      </c>
      <c r="B9497" t="s">
        <v>24519</v>
      </c>
      <c r="C9497" t="s">
        <v>177</v>
      </c>
      <c r="D9497">
        <v>0.65</v>
      </c>
      <c r="E9497">
        <v>0</v>
      </c>
      <c r="F9497">
        <f t="shared" si="151"/>
        <v>0.65</v>
      </c>
      <c r="G9497">
        <v>0.75</v>
      </c>
      <c r="H9497">
        <f t="shared" si="153"/>
        <v>0.48750000000000004</v>
      </c>
      <c r="I9497">
        <v>20240701</v>
      </c>
      <c r="J9497" t="s">
        <v>8916</v>
      </c>
    </row>
    <row r="9498" spans="1:16" x14ac:dyDescent="0.3">
      <c r="A9498" s="160">
        <v>69085</v>
      </c>
      <c r="B9498" t="s">
        <v>24520</v>
      </c>
      <c r="C9498" t="s">
        <v>177</v>
      </c>
      <c r="D9498">
        <v>2</v>
      </c>
      <c r="E9498">
        <v>0</v>
      </c>
      <c r="F9498">
        <f t="shared" si="151"/>
        <v>2</v>
      </c>
      <c r="G9498">
        <v>0.75</v>
      </c>
      <c r="H9498">
        <f t="shared" si="153"/>
        <v>1.5</v>
      </c>
      <c r="I9498">
        <v>20220701</v>
      </c>
      <c r="J9498" t="s">
        <v>8823</v>
      </c>
      <c r="K9498" t="s">
        <v>8824</v>
      </c>
      <c r="L9498" t="s">
        <v>8917</v>
      </c>
      <c r="M9498" t="s">
        <v>8903</v>
      </c>
    </row>
    <row r="9499" spans="1:16" x14ac:dyDescent="0.3">
      <c r="A9499" s="160">
        <v>69086</v>
      </c>
      <c r="B9499" t="s">
        <v>24521</v>
      </c>
      <c r="C9499" t="s">
        <v>177</v>
      </c>
      <c r="D9499">
        <v>0.8</v>
      </c>
      <c r="E9499">
        <v>0</v>
      </c>
      <c r="F9499">
        <f t="shared" si="151"/>
        <v>0.8</v>
      </c>
      <c r="G9499">
        <v>0.75</v>
      </c>
      <c r="H9499">
        <f t="shared" si="153"/>
        <v>0.60000000000000009</v>
      </c>
      <c r="I9499">
        <v>20240701</v>
      </c>
      <c r="J9499" t="s">
        <v>8831</v>
      </c>
      <c r="K9499" t="s">
        <v>8852</v>
      </c>
    </row>
    <row r="9500" spans="1:16" x14ac:dyDescent="0.3">
      <c r="A9500" s="160">
        <v>69087</v>
      </c>
      <c r="B9500" t="s">
        <v>24522</v>
      </c>
      <c r="C9500" t="s">
        <v>177</v>
      </c>
      <c r="D9500">
        <v>2</v>
      </c>
      <c r="E9500">
        <v>0</v>
      </c>
      <c r="F9500">
        <f t="shared" si="151"/>
        <v>2</v>
      </c>
      <c r="G9500">
        <v>0.75</v>
      </c>
      <c r="H9500">
        <f t="shared" si="153"/>
        <v>1.5</v>
      </c>
      <c r="I9500">
        <v>20220701</v>
      </c>
      <c r="J9500" t="s">
        <v>8868</v>
      </c>
    </row>
    <row r="9501" spans="1:16" x14ac:dyDescent="0.3">
      <c r="A9501" s="160">
        <v>69088</v>
      </c>
      <c r="B9501" t="s">
        <v>24523</v>
      </c>
      <c r="C9501" t="s">
        <v>177</v>
      </c>
      <c r="D9501">
        <v>2</v>
      </c>
      <c r="E9501">
        <v>0</v>
      </c>
      <c r="F9501">
        <f t="shared" si="151"/>
        <v>2</v>
      </c>
      <c r="G9501">
        <v>0.75</v>
      </c>
      <c r="H9501">
        <f t="shared" si="153"/>
        <v>1.5</v>
      </c>
      <c r="I9501">
        <v>20220701</v>
      </c>
      <c r="J9501" t="s">
        <v>8868</v>
      </c>
    </row>
    <row r="9502" spans="1:16" x14ac:dyDescent="0.3">
      <c r="A9502" s="160">
        <v>69089</v>
      </c>
      <c r="B9502" t="s">
        <v>21254</v>
      </c>
      <c r="C9502" t="s">
        <v>177</v>
      </c>
      <c r="D9502">
        <v>2</v>
      </c>
      <c r="E9502">
        <v>0</v>
      </c>
      <c r="F9502">
        <f t="shared" si="151"/>
        <v>2</v>
      </c>
      <c r="G9502">
        <v>0.75</v>
      </c>
      <c r="H9502">
        <f t="shared" si="153"/>
        <v>1.5</v>
      </c>
      <c r="I9502">
        <v>20220701</v>
      </c>
      <c r="J9502" t="s">
        <v>8918</v>
      </c>
      <c r="K9502" t="s">
        <v>8919</v>
      </c>
      <c r="L9502" t="s">
        <v>8920</v>
      </c>
      <c r="M9502" t="s">
        <v>8921</v>
      </c>
      <c r="N9502" t="s">
        <v>8922</v>
      </c>
    </row>
    <row r="9503" spans="1:16" x14ac:dyDescent="0.3">
      <c r="A9503" s="160">
        <v>69090</v>
      </c>
      <c r="B9503" t="s">
        <v>24524</v>
      </c>
      <c r="C9503" t="s">
        <v>177</v>
      </c>
      <c r="D9503">
        <v>0.8</v>
      </c>
      <c r="E9503">
        <v>0</v>
      </c>
      <c r="F9503">
        <f t="shared" si="151"/>
        <v>0.8</v>
      </c>
      <c r="G9503">
        <v>0.75</v>
      </c>
      <c r="H9503">
        <f t="shared" si="153"/>
        <v>0.60000000000000009</v>
      </c>
      <c r="I9503">
        <v>20240701</v>
      </c>
      <c r="J9503" t="s">
        <v>8847</v>
      </c>
    </row>
    <row r="9504" spans="1:16" x14ac:dyDescent="0.3">
      <c r="A9504" s="160">
        <v>69091</v>
      </c>
      <c r="B9504" t="s">
        <v>24525</v>
      </c>
      <c r="C9504" t="s">
        <v>177</v>
      </c>
      <c r="D9504">
        <v>2</v>
      </c>
      <c r="E9504">
        <v>0</v>
      </c>
      <c r="F9504">
        <f t="shared" si="151"/>
        <v>2</v>
      </c>
      <c r="G9504">
        <v>0.75</v>
      </c>
      <c r="H9504">
        <f t="shared" si="153"/>
        <v>1.5</v>
      </c>
      <c r="I9504">
        <v>20220701</v>
      </c>
      <c r="J9504" t="s">
        <v>8895</v>
      </c>
      <c r="K9504" t="s">
        <v>8923</v>
      </c>
      <c r="L9504" t="s">
        <v>8896</v>
      </c>
    </row>
    <row r="9505" spans="1:19" x14ac:dyDescent="0.3">
      <c r="A9505" s="160">
        <v>69092</v>
      </c>
      <c r="B9505" t="s">
        <v>24526</v>
      </c>
      <c r="C9505" t="s">
        <v>177</v>
      </c>
      <c r="D9505">
        <v>0.9</v>
      </c>
      <c r="E9505">
        <v>0</v>
      </c>
      <c r="F9505">
        <f t="shared" si="151"/>
        <v>0.9</v>
      </c>
      <c r="G9505">
        <v>0.75</v>
      </c>
      <c r="H9505">
        <f t="shared" si="153"/>
        <v>0.67500000000000004</v>
      </c>
      <c r="I9505">
        <v>20240701</v>
      </c>
      <c r="J9505" t="s">
        <v>8836</v>
      </c>
      <c r="K9505" t="s">
        <v>8837</v>
      </c>
      <c r="L9505" t="s">
        <v>8838</v>
      </c>
      <c r="M9505" t="s">
        <v>8839</v>
      </c>
      <c r="N9505" t="s">
        <v>8841</v>
      </c>
      <c r="O9505" t="s">
        <v>8842</v>
      </c>
      <c r="P9505" t="s">
        <v>8843</v>
      </c>
      <c r="Q9505" t="s">
        <v>8844</v>
      </c>
      <c r="R9505" t="s">
        <v>8845</v>
      </c>
      <c r="S9505" t="s">
        <v>8924</v>
      </c>
    </row>
    <row r="9506" spans="1:19" x14ac:dyDescent="0.3">
      <c r="A9506" s="160">
        <v>69093</v>
      </c>
      <c r="B9506" t="s">
        <v>24527</v>
      </c>
      <c r="C9506" t="s">
        <v>177</v>
      </c>
      <c r="D9506">
        <v>0.65</v>
      </c>
      <c r="E9506">
        <v>0</v>
      </c>
      <c r="F9506">
        <f t="shared" si="151"/>
        <v>0.65</v>
      </c>
      <c r="G9506">
        <v>0.75</v>
      </c>
      <c r="H9506">
        <f t="shared" si="153"/>
        <v>0.48750000000000004</v>
      </c>
      <c r="I9506">
        <v>20240701</v>
      </c>
      <c r="J9506" t="s">
        <v>8880</v>
      </c>
    </row>
    <row r="9507" spans="1:19" x14ac:dyDescent="0.3">
      <c r="A9507" s="160">
        <v>69094</v>
      </c>
      <c r="B9507" t="s">
        <v>24528</v>
      </c>
      <c r="C9507" t="s">
        <v>177</v>
      </c>
      <c r="D9507">
        <v>0.8</v>
      </c>
      <c r="E9507">
        <v>0</v>
      </c>
      <c r="F9507">
        <f t="shared" si="151"/>
        <v>0.8</v>
      </c>
      <c r="G9507">
        <v>0.75</v>
      </c>
      <c r="H9507">
        <f t="shared" si="153"/>
        <v>0.60000000000000009</v>
      </c>
      <c r="I9507">
        <v>20240701</v>
      </c>
      <c r="J9507" t="s">
        <v>8902</v>
      </c>
    </row>
    <row r="9508" spans="1:19" x14ac:dyDescent="0.3">
      <c r="A9508" s="160">
        <v>69095</v>
      </c>
      <c r="B9508" t="s">
        <v>24529</v>
      </c>
      <c r="C9508" t="s">
        <v>177</v>
      </c>
      <c r="D9508">
        <v>0.65</v>
      </c>
      <c r="E9508">
        <v>0</v>
      </c>
      <c r="F9508">
        <f t="shared" si="151"/>
        <v>0.65</v>
      </c>
      <c r="G9508">
        <v>0.75</v>
      </c>
      <c r="H9508">
        <f t="shared" si="153"/>
        <v>0.48750000000000004</v>
      </c>
      <c r="I9508">
        <v>20240701</v>
      </c>
      <c r="J9508" t="s">
        <v>8846</v>
      </c>
    </row>
    <row r="9509" spans="1:19" x14ac:dyDescent="0.3">
      <c r="A9509" s="160">
        <v>69096</v>
      </c>
      <c r="B9509" t="s">
        <v>24530</v>
      </c>
      <c r="C9509" t="s">
        <v>177</v>
      </c>
      <c r="D9509">
        <v>2</v>
      </c>
      <c r="E9509">
        <v>0</v>
      </c>
      <c r="F9509">
        <f t="shared" si="151"/>
        <v>2</v>
      </c>
      <c r="G9509">
        <v>0.75</v>
      </c>
      <c r="H9509">
        <f t="shared" si="153"/>
        <v>1.5</v>
      </c>
      <c r="I9509">
        <v>20220701</v>
      </c>
      <c r="J9509" t="s">
        <v>8925</v>
      </c>
      <c r="K9509" t="s">
        <v>8923</v>
      </c>
      <c r="L9509" t="s">
        <v>8896</v>
      </c>
    </row>
    <row r="9510" spans="1:19" x14ac:dyDescent="0.3">
      <c r="A9510" s="160">
        <v>69097</v>
      </c>
      <c r="B9510" t="s">
        <v>24531</v>
      </c>
      <c r="C9510" t="s">
        <v>4472</v>
      </c>
      <c r="D9510">
        <v>0.8</v>
      </c>
      <c r="E9510">
        <v>0</v>
      </c>
      <c r="F9510">
        <f t="shared" si="151"/>
        <v>0.8</v>
      </c>
      <c r="I9510">
        <v>20180901</v>
      </c>
      <c r="J9510" t="s">
        <v>8828</v>
      </c>
    </row>
    <row r="9511" spans="1:19" x14ac:dyDescent="0.3">
      <c r="A9511" s="160">
        <v>69098</v>
      </c>
      <c r="B9511" t="s">
        <v>24532</v>
      </c>
      <c r="C9511" t="s">
        <v>177</v>
      </c>
      <c r="D9511">
        <v>0.65</v>
      </c>
      <c r="E9511">
        <v>0</v>
      </c>
      <c r="F9511">
        <f t="shared" si="151"/>
        <v>0.65</v>
      </c>
      <c r="G9511">
        <v>0.75</v>
      </c>
      <c r="H9511">
        <f t="shared" ref="H9511:H9529" si="154">G9511*F9511</f>
        <v>0.48750000000000004</v>
      </c>
      <c r="I9511">
        <v>20240701</v>
      </c>
      <c r="J9511" t="s">
        <v>8846</v>
      </c>
    </row>
    <row r="9512" spans="1:19" x14ac:dyDescent="0.3">
      <c r="A9512" s="160">
        <v>69099</v>
      </c>
      <c r="B9512" t="s">
        <v>24533</v>
      </c>
      <c r="C9512" t="s">
        <v>177</v>
      </c>
      <c r="D9512">
        <v>0.65</v>
      </c>
      <c r="E9512">
        <v>0</v>
      </c>
      <c r="F9512">
        <f t="shared" si="151"/>
        <v>0.65</v>
      </c>
      <c r="G9512">
        <v>0.75</v>
      </c>
      <c r="H9512">
        <f t="shared" si="154"/>
        <v>0.48750000000000004</v>
      </c>
      <c r="I9512">
        <v>20240701</v>
      </c>
      <c r="J9512" t="s">
        <v>8846</v>
      </c>
    </row>
    <row r="9513" spans="1:19" x14ac:dyDescent="0.3">
      <c r="A9513" s="160">
        <v>69100</v>
      </c>
      <c r="B9513" t="s">
        <v>24534</v>
      </c>
      <c r="C9513" t="s">
        <v>177</v>
      </c>
      <c r="D9513">
        <v>2</v>
      </c>
      <c r="E9513">
        <v>0</v>
      </c>
      <c r="F9513">
        <f t="shared" si="151"/>
        <v>2</v>
      </c>
      <c r="G9513">
        <v>0.75</v>
      </c>
      <c r="H9513">
        <f t="shared" si="154"/>
        <v>1.5</v>
      </c>
      <c r="I9513">
        <v>20220701</v>
      </c>
      <c r="J9513" t="s">
        <v>8926</v>
      </c>
    </row>
    <row r="9514" spans="1:19" x14ac:dyDescent="0.3">
      <c r="A9514" s="160">
        <v>69101</v>
      </c>
      <c r="B9514" t="s">
        <v>24534</v>
      </c>
      <c r="C9514" t="s">
        <v>177</v>
      </c>
      <c r="D9514">
        <v>0.8</v>
      </c>
      <c r="E9514">
        <v>0</v>
      </c>
      <c r="F9514">
        <f t="shared" si="151"/>
        <v>0.8</v>
      </c>
      <c r="G9514">
        <v>0.75</v>
      </c>
      <c r="H9514">
        <f t="shared" si="154"/>
        <v>0.60000000000000009</v>
      </c>
      <c r="I9514">
        <v>20240701</v>
      </c>
      <c r="J9514" t="s">
        <v>8899</v>
      </c>
    </row>
    <row r="9515" spans="1:19" x14ac:dyDescent="0.3">
      <c r="A9515" s="160">
        <v>69102</v>
      </c>
      <c r="B9515" t="s">
        <v>24535</v>
      </c>
      <c r="C9515" t="s">
        <v>177</v>
      </c>
      <c r="D9515">
        <v>0.65</v>
      </c>
      <c r="E9515">
        <v>0</v>
      </c>
      <c r="F9515">
        <f t="shared" si="151"/>
        <v>0.65</v>
      </c>
      <c r="G9515">
        <v>0.75</v>
      </c>
      <c r="H9515">
        <f t="shared" si="154"/>
        <v>0.48750000000000004</v>
      </c>
      <c r="I9515">
        <v>20240701</v>
      </c>
      <c r="J9515" t="s">
        <v>8821</v>
      </c>
    </row>
    <row r="9516" spans="1:19" x14ac:dyDescent="0.3">
      <c r="A9516" s="160">
        <v>69103</v>
      </c>
      <c r="B9516" t="s">
        <v>24536</v>
      </c>
      <c r="C9516" t="s">
        <v>177</v>
      </c>
      <c r="D9516">
        <v>0.65</v>
      </c>
      <c r="E9516">
        <v>0</v>
      </c>
      <c r="F9516">
        <f t="shared" si="151"/>
        <v>0.65</v>
      </c>
      <c r="G9516">
        <v>0.75</v>
      </c>
      <c r="H9516">
        <f t="shared" si="154"/>
        <v>0.48750000000000004</v>
      </c>
      <c r="I9516">
        <v>20240701</v>
      </c>
      <c r="J9516" t="s">
        <v>8879</v>
      </c>
    </row>
    <row r="9517" spans="1:19" x14ac:dyDescent="0.3">
      <c r="A9517" s="160">
        <v>69104</v>
      </c>
      <c r="B9517" t="s">
        <v>24537</v>
      </c>
      <c r="C9517" t="s">
        <v>177</v>
      </c>
      <c r="D9517">
        <v>0.65</v>
      </c>
      <c r="E9517">
        <v>0</v>
      </c>
      <c r="F9517">
        <f t="shared" si="151"/>
        <v>0.65</v>
      </c>
      <c r="G9517">
        <v>0.75</v>
      </c>
      <c r="H9517">
        <f t="shared" si="154"/>
        <v>0.48750000000000004</v>
      </c>
      <c r="I9517">
        <v>20240701</v>
      </c>
      <c r="J9517" t="s">
        <v>8879</v>
      </c>
    </row>
    <row r="9518" spans="1:19" x14ac:dyDescent="0.3">
      <c r="A9518" s="160">
        <v>69105</v>
      </c>
      <c r="B9518" t="s">
        <v>24538</v>
      </c>
      <c r="C9518" t="s">
        <v>177</v>
      </c>
      <c r="D9518">
        <v>0.9</v>
      </c>
      <c r="E9518">
        <v>0</v>
      </c>
      <c r="F9518">
        <f t="shared" si="151"/>
        <v>0.9</v>
      </c>
      <c r="G9518">
        <v>0.75</v>
      </c>
      <c r="H9518">
        <f t="shared" si="154"/>
        <v>0.67500000000000004</v>
      </c>
      <c r="I9518">
        <v>20240701</v>
      </c>
      <c r="J9518" t="s">
        <v>8899</v>
      </c>
      <c r="K9518" t="s">
        <v>8845</v>
      </c>
    </row>
    <row r="9519" spans="1:19" x14ac:dyDescent="0.3">
      <c r="A9519" s="160">
        <v>69106</v>
      </c>
      <c r="B9519" t="s">
        <v>24539</v>
      </c>
      <c r="C9519" t="s">
        <v>177</v>
      </c>
      <c r="D9519">
        <v>0.8</v>
      </c>
      <c r="E9519">
        <v>0</v>
      </c>
      <c r="F9519">
        <f t="shared" si="151"/>
        <v>0.8</v>
      </c>
      <c r="G9519">
        <v>0.75</v>
      </c>
      <c r="H9519">
        <f t="shared" si="154"/>
        <v>0.60000000000000009</v>
      </c>
      <c r="I9519">
        <v>20240701</v>
      </c>
      <c r="J9519" t="s">
        <v>8826</v>
      </c>
    </row>
    <row r="9520" spans="1:19" x14ac:dyDescent="0.3">
      <c r="A9520" s="160">
        <v>69107</v>
      </c>
      <c r="B9520" t="s">
        <v>24540</v>
      </c>
      <c r="C9520" t="s">
        <v>177</v>
      </c>
      <c r="D9520">
        <v>0.65</v>
      </c>
      <c r="E9520">
        <v>0</v>
      </c>
      <c r="F9520">
        <f t="shared" si="151"/>
        <v>0.65</v>
      </c>
      <c r="G9520">
        <v>0.75</v>
      </c>
      <c r="H9520">
        <f t="shared" si="154"/>
        <v>0.48750000000000004</v>
      </c>
      <c r="I9520">
        <v>20240701</v>
      </c>
      <c r="J9520" t="s">
        <v>8880</v>
      </c>
    </row>
    <row r="9521" spans="1:19" x14ac:dyDescent="0.3">
      <c r="A9521" s="160">
        <v>69108</v>
      </c>
      <c r="B9521" t="s">
        <v>24541</v>
      </c>
      <c r="C9521" t="s">
        <v>177</v>
      </c>
      <c r="D9521">
        <v>0.65</v>
      </c>
      <c r="E9521">
        <v>0</v>
      </c>
      <c r="F9521">
        <f t="shared" si="151"/>
        <v>0.65</v>
      </c>
      <c r="G9521">
        <v>0.75</v>
      </c>
      <c r="H9521">
        <f t="shared" si="154"/>
        <v>0.48750000000000004</v>
      </c>
      <c r="I9521">
        <v>20240701</v>
      </c>
      <c r="J9521" t="s">
        <v>8848</v>
      </c>
    </row>
    <row r="9522" spans="1:19" x14ac:dyDescent="0.3">
      <c r="A9522" s="160">
        <v>69109</v>
      </c>
      <c r="B9522" t="s">
        <v>24542</v>
      </c>
      <c r="C9522" t="s">
        <v>177</v>
      </c>
      <c r="D9522">
        <v>0.65</v>
      </c>
      <c r="E9522">
        <v>0</v>
      </c>
      <c r="F9522">
        <f t="shared" si="151"/>
        <v>0.65</v>
      </c>
      <c r="G9522">
        <v>0.75</v>
      </c>
      <c r="H9522">
        <f t="shared" si="154"/>
        <v>0.48750000000000004</v>
      </c>
      <c r="I9522">
        <v>20240701</v>
      </c>
      <c r="J9522" t="s">
        <v>8835</v>
      </c>
    </row>
    <row r="9523" spans="1:19" x14ac:dyDescent="0.3">
      <c r="A9523" s="160">
        <v>69110</v>
      </c>
      <c r="B9523" t="s">
        <v>24543</v>
      </c>
      <c r="C9523" t="s">
        <v>177</v>
      </c>
      <c r="D9523">
        <v>0.65</v>
      </c>
      <c r="E9523">
        <v>0</v>
      </c>
      <c r="F9523">
        <f t="shared" si="151"/>
        <v>0.65</v>
      </c>
      <c r="G9523">
        <v>0.75</v>
      </c>
      <c r="H9523">
        <f t="shared" si="154"/>
        <v>0.48750000000000004</v>
      </c>
      <c r="I9523">
        <v>20240701</v>
      </c>
      <c r="J9523" t="s">
        <v>8890</v>
      </c>
    </row>
    <row r="9524" spans="1:19" x14ac:dyDescent="0.3">
      <c r="A9524" s="160">
        <v>69111</v>
      </c>
      <c r="B9524" t="s">
        <v>24544</v>
      </c>
      <c r="C9524" t="s">
        <v>177</v>
      </c>
      <c r="D9524">
        <v>0.8</v>
      </c>
      <c r="E9524">
        <v>0</v>
      </c>
      <c r="F9524">
        <f t="shared" si="151"/>
        <v>0.8</v>
      </c>
      <c r="G9524">
        <v>0.75</v>
      </c>
      <c r="H9524">
        <f t="shared" si="154"/>
        <v>0.60000000000000009</v>
      </c>
      <c r="I9524">
        <v>20240701</v>
      </c>
      <c r="J9524" t="s">
        <v>8847</v>
      </c>
    </row>
    <row r="9525" spans="1:19" x14ac:dyDescent="0.3">
      <c r="A9525" s="160">
        <v>69112</v>
      </c>
      <c r="B9525" t="s">
        <v>24545</v>
      </c>
      <c r="C9525" t="s">
        <v>177</v>
      </c>
      <c r="D9525">
        <v>0.8</v>
      </c>
      <c r="E9525">
        <v>0</v>
      </c>
      <c r="F9525">
        <f t="shared" si="151"/>
        <v>0.8</v>
      </c>
      <c r="G9525">
        <v>0.75</v>
      </c>
      <c r="H9525">
        <f t="shared" si="154"/>
        <v>0.60000000000000009</v>
      </c>
      <c r="I9525">
        <v>20240701</v>
      </c>
      <c r="J9525" t="s">
        <v>8831</v>
      </c>
      <c r="K9525" t="s">
        <v>8852</v>
      </c>
    </row>
    <row r="9526" spans="1:19" x14ac:dyDescent="0.3">
      <c r="A9526" s="160">
        <v>69113</v>
      </c>
      <c r="B9526" t="s">
        <v>24546</v>
      </c>
      <c r="C9526" t="s">
        <v>177</v>
      </c>
      <c r="D9526">
        <v>0.8</v>
      </c>
      <c r="E9526">
        <v>0</v>
      </c>
      <c r="F9526">
        <f t="shared" si="151"/>
        <v>0.8</v>
      </c>
      <c r="G9526">
        <v>0.75</v>
      </c>
      <c r="H9526">
        <f t="shared" si="154"/>
        <v>0.60000000000000009</v>
      </c>
      <c r="I9526">
        <v>20240701</v>
      </c>
      <c r="J9526" t="s">
        <v>8847</v>
      </c>
    </row>
    <row r="9527" spans="1:19" x14ac:dyDescent="0.3">
      <c r="A9527" s="160">
        <v>69115</v>
      </c>
      <c r="B9527" t="s">
        <v>24547</v>
      </c>
      <c r="C9527" t="s">
        <v>177</v>
      </c>
      <c r="D9527">
        <v>0.9</v>
      </c>
      <c r="E9527">
        <v>0</v>
      </c>
      <c r="F9527">
        <f t="shared" si="151"/>
        <v>0.9</v>
      </c>
      <c r="G9527">
        <v>0.75</v>
      </c>
      <c r="H9527">
        <f t="shared" si="154"/>
        <v>0.67500000000000004</v>
      </c>
      <c r="I9527">
        <v>20240701</v>
      </c>
      <c r="J9527" t="s">
        <v>8836</v>
      </c>
      <c r="K9527" t="s">
        <v>8837</v>
      </c>
      <c r="L9527" t="s">
        <v>8839</v>
      </c>
      <c r="M9527" t="s">
        <v>8840</v>
      </c>
      <c r="N9527" t="s">
        <v>8841</v>
      </c>
      <c r="O9527" t="s">
        <v>8842</v>
      </c>
      <c r="P9527" t="s">
        <v>8843</v>
      </c>
      <c r="Q9527" t="s">
        <v>8844</v>
      </c>
      <c r="R9527" t="s">
        <v>8845</v>
      </c>
      <c r="S9527" t="s">
        <v>8924</v>
      </c>
    </row>
    <row r="9528" spans="1:19" x14ac:dyDescent="0.3">
      <c r="A9528" s="160">
        <v>69116</v>
      </c>
      <c r="B9528" t="s">
        <v>24548</v>
      </c>
      <c r="C9528" t="s">
        <v>177</v>
      </c>
      <c r="D9528">
        <v>2</v>
      </c>
      <c r="E9528">
        <v>0</v>
      </c>
      <c r="F9528">
        <f t="shared" si="151"/>
        <v>2</v>
      </c>
      <c r="G9528">
        <v>0.75</v>
      </c>
      <c r="H9528">
        <f t="shared" si="154"/>
        <v>1.5</v>
      </c>
      <c r="I9528">
        <v>20220701</v>
      </c>
      <c r="J9528" t="s">
        <v>8927</v>
      </c>
    </row>
    <row r="9529" spans="1:19" x14ac:dyDescent="0.3">
      <c r="A9529" s="160">
        <v>69117</v>
      </c>
      <c r="B9529" t="s">
        <v>24549</v>
      </c>
      <c r="C9529" t="s">
        <v>177</v>
      </c>
      <c r="D9529">
        <v>2</v>
      </c>
      <c r="E9529">
        <v>0</v>
      </c>
      <c r="F9529">
        <f t="shared" si="151"/>
        <v>2</v>
      </c>
      <c r="G9529">
        <v>0.75</v>
      </c>
      <c r="H9529">
        <f t="shared" si="154"/>
        <v>1.5</v>
      </c>
      <c r="I9529">
        <v>20220701</v>
      </c>
      <c r="J9529" t="s">
        <v>8825</v>
      </c>
    </row>
    <row r="9530" spans="1:19" x14ac:dyDescent="0.3">
      <c r="A9530" s="160">
        <v>69118</v>
      </c>
      <c r="B9530" t="s">
        <v>24550</v>
      </c>
      <c r="C9530" t="s">
        <v>4472</v>
      </c>
      <c r="D9530">
        <v>0.8</v>
      </c>
      <c r="E9530">
        <v>0</v>
      </c>
      <c r="F9530">
        <f t="shared" si="151"/>
        <v>0.8</v>
      </c>
      <c r="I9530">
        <v>20180901</v>
      </c>
      <c r="J9530" t="s">
        <v>8895</v>
      </c>
    </row>
    <row r="9531" spans="1:19" x14ac:dyDescent="0.3">
      <c r="A9531" s="160">
        <v>69119</v>
      </c>
      <c r="B9531" t="s">
        <v>24551</v>
      </c>
      <c r="C9531" t="s">
        <v>4472</v>
      </c>
      <c r="D9531">
        <v>0.8</v>
      </c>
      <c r="E9531">
        <v>0</v>
      </c>
      <c r="F9531">
        <f t="shared" si="151"/>
        <v>0.8</v>
      </c>
      <c r="I9531">
        <v>20180901</v>
      </c>
      <c r="J9531" t="s">
        <v>8828</v>
      </c>
    </row>
    <row r="9532" spans="1:19" x14ac:dyDescent="0.3">
      <c r="A9532" s="160">
        <v>69120</v>
      </c>
      <c r="B9532" t="s">
        <v>24552</v>
      </c>
      <c r="C9532" t="s">
        <v>177</v>
      </c>
      <c r="D9532">
        <v>0.65</v>
      </c>
      <c r="E9532">
        <v>0</v>
      </c>
      <c r="F9532">
        <f t="shared" si="151"/>
        <v>0.65</v>
      </c>
      <c r="G9532">
        <v>0.75</v>
      </c>
      <c r="H9532">
        <f t="shared" ref="H9532:H9563" si="155">G9532*F9532</f>
        <v>0.48750000000000004</v>
      </c>
      <c r="I9532">
        <v>20240701</v>
      </c>
      <c r="J9532" t="s">
        <v>8881</v>
      </c>
    </row>
    <row r="9533" spans="1:19" x14ac:dyDescent="0.3">
      <c r="A9533" s="160">
        <v>69121</v>
      </c>
      <c r="B9533" t="s">
        <v>24553</v>
      </c>
      <c r="C9533" t="s">
        <v>177</v>
      </c>
      <c r="D9533">
        <v>0.8</v>
      </c>
      <c r="E9533">
        <v>0</v>
      </c>
      <c r="F9533">
        <f t="shared" si="151"/>
        <v>0.8</v>
      </c>
      <c r="G9533">
        <v>0.75</v>
      </c>
      <c r="H9533">
        <f t="shared" si="155"/>
        <v>0.60000000000000009</v>
      </c>
      <c r="I9533">
        <v>20240701</v>
      </c>
      <c r="J9533" t="s">
        <v>8825</v>
      </c>
    </row>
    <row r="9534" spans="1:19" x14ac:dyDescent="0.3">
      <c r="A9534" s="160">
        <v>69122</v>
      </c>
      <c r="B9534" t="s">
        <v>24554</v>
      </c>
      <c r="C9534" t="s">
        <v>177</v>
      </c>
      <c r="D9534">
        <v>0.8</v>
      </c>
      <c r="E9534">
        <v>0</v>
      </c>
      <c r="F9534">
        <f t="shared" si="151"/>
        <v>0.8</v>
      </c>
      <c r="G9534">
        <v>0.75</v>
      </c>
      <c r="H9534">
        <f t="shared" si="155"/>
        <v>0.60000000000000009</v>
      </c>
      <c r="I9534">
        <v>20240701</v>
      </c>
      <c r="J9534" t="s">
        <v>8826</v>
      </c>
    </row>
    <row r="9535" spans="1:19" x14ac:dyDescent="0.3">
      <c r="A9535" s="160">
        <v>69124</v>
      </c>
      <c r="B9535" t="s">
        <v>24555</v>
      </c>
      <c r="C9535" t="s">
        <v>177</v>
      </c>
      <c r="D9535">
        <v>0.65</v>
      </c>
      <c r="E9535">
        <v>0</v>
      </c>
      <c r="F9535">
        <f t="shared" si="151"/>
        <v>0.65</v>
      </c>
      <c r="G9535">
        <v>0.75</v>
      </c>
      <c r="H9535">
        <f t="shared" si="155"/>
        <v>0.48750000000000004</v>
      </c>
      <c r="I9535">
        <v>20240701</v>
      </c>
      <c r="J9535" t="s">
        <v>8835</v>
      </c>
    </row>
    <row r="9536" spans="1:19" x14ac:dyDescent="0.3">
      <c r="A9536" s="160">
        <v>69125</v>
      </c>
      <c r="B9536" t="s">
        <v>24556</v>
      </c>
      <c r="C9536" t="s">
        <v>177</v>
      </c>
      <c r="D9536">
        <v>0.8</v>
      </c>
      <c r="E9536">
        <v>0</v>
      </c>
      <c r="F9536">
        <f t="shared" si="151"/>
        <v>0.8</v>
      </c>
      <c r="G9536">
        <v>0.75</v>
      </c>
      <c r="H9536">
        <f t="shared" si="155"/>
        <v>0.60000000000000009</v>
      </c>
      <c r="I9536">
        <v>20240701</v>
      </c>
      <c r="J9536" t="s">
        <v>8825</v>
      </c>
    </row>
    <row r="9537" spans="1:13" x14ac:dyDescent="0.3">
      <c r="A9537" s="160">
        <v>69126</v>
      </c>
      <c r="B9537" t="s">
        <v>15517</v>
      </c>
      <c r="C9537" t="s">
        <v>177</v>
      </c>
      <c r="D9537">
        <v>0.8</v>
      </c>
      <c r="E9537">
        <v>0</v>
      </c>
      <c r="F9537">
        <f t="shared" si="151"/>
        <v>0.8</v>
      </c>
      <c r="G9537">
        <v>0.75</v>
      </c>
      <c r="H9537">
        <f t="shared" si="155"/>
        <v>0.60000000000000009</v>
      </c>
      <c r="I9537">
        <v>20240701</v>
      </c>
      <c r="J9537" t="s">
        <v>8826</v>
      </c>
    </row>
    <row r="9538" spans="1:13" x14ac:dyDescent="0.3">
      <c r="A9538" s="160">
        <v>69127</v>
      </c>
      <c r="B9538" t="s">
        <v>24557</v>
      </c>
      <c r="C9538" t="s">
        <v>177</v>
      </c>
      <c r="D9538">
        <v>2</v>
      </c>
      <c r="E9538">
        <v>0</v>
      </c>
      <c r="F9538">
        <f t="shared" si="151"/>
        <v>2</v>
      </c>
      <c r="G9538">
        <v>0.75</v>
      </c>
      <c r="H9538">
        <f t="shared" si="155"/>
        <v>1.5</v>
      </c>
      <c r="I9538">
        <v>20220701</v>
      </c>
      <c r="J9538" t="s">
        <v>8928</v>
      </c>
    </row>
    <row r="9539" spans="1:13" x14ac:dyDescent="0.3">
      <c r="A9539" s="160">
        <v>69130</v>
      </c>
      <c r="B9539" t="s">
        <v>24558</v>
      </c>
      <c r="C9539" t="s">
        <v>177</v>
      </c>
      <c r="D9539">
        <v>0.65</v>
      </c>
      <c r="E9539">
        <v>0</v>
      </c>
      <c r="F9539">
        <f t="shared" si="151"/>
        <v>0.65</v>
      </c>
      <c r="G9539">
        <v>0.75</v>
      </c>
      <c r="H9539">
        <f t="shared" si="155"/>
        <v>0.48750000000000004</v>
      </c>
      <c r="I9539">
        <v>20240701</v>
      </c>
      <c r="J9539" t="s">
        <v>8827</v>
      </c>
    </row>
    <row r="9540" spans="1:13" x14ac:dyDescent="0.3">
      <c r="A9540" s="160">
        <v>69131</v>
      </c>
      <c r="B9540" t="s">
        <v>24559</v>
      </c>
      <c r="C9540" t="s">
        <v>177</v>
      </c>
      <c r="D9540">
        <v>0.8</v>
      </c>
      <c r="E9540">
        <v>0</v>
      </c>
      <c r="F9540">
        <f t="shared" si="151"/>
        <v>0.8</v>
      </c>
      <c r="G9540">
        <v>0.75</v>
      </c>
      <c r="H9540">
        <f t="shared" si="155"/>
        <v>0.60000000000000009</v>
      </c>
      <c r="I9540">
        <v>20240701</v>
      </c>
      <c r="J9540" t="s">
        <v>8929</v>
      </c>
    </row>
    <row r="9541" spans="1:13" x14ac:dyDescent="0.3">
      <c r="A9541" s="160">
        <v>69132</v>
      </c>
      <c r="B9541" t="s">
        <v>24560</v>
      </c>
      <c r="C9541" t="s">
        <v>177</v>
      </c>
      <c r="D9541">
        <v>0.65</v>
      </c>
      <c r="E9541">
        <v>0</v>
      </c>
      <c r="F9541">
        <f t="shared" si="151"/>
        <v>0.65</v>
      </c>
      <c r="G9541">
        <v>0.75</v>
      </c>
      <c r="H9541">
        <f t="shared" si="155"/>
        <v>0.48750000000000004</v>
      </c>
      <c r="I9541">
        <v>20240701</v>
      </c>
      <c r="J9541" t="s">
        <v>8846</v>
      </c>
    </row>
    <row r="9542" spans="1:13" x14ac:dyDescent="0.3">
      <c r="A9542" s="160">
        <v>69133</v>
      </c>
      <c r="B9542" t="s">
        <v>24561</v>
      </c>
      <c r="C9542" t="s">
        <v>177</v>
      </c>
      <c r="D9542">
        <v>1.1499999999999999</v>
      </c>
      <c r="E9542">
        <v>0</v>
      </c>
      <c r="F9542">
        <f t="shared" si="151"/>
        <v>1.1499999999999999</v>
      </c>
      <c r="G9542">
        <v>0.75</v>
      </c>
      <c r="H9542">
        <f t="shared" si="155"/>
        <v>0.86249999999999993</v>
      </c>
      <c r="I9542">
        <v>20240701</v>
      </c>
      <c r="J9542" t="s">
        <v>8894</v>
      </c>
    </row>
    <row r="9543" spans="1:13" x14ac:dyDescent="0.3">
      <c r="A9543" s="160">
        <v>69134</v>
      </c>
      <c r="B9543" t="s">
        <v>24562</v>
      </c>
      <c r="C9543" t="s">
        <v>177</v>
      </c>
      <c r="D9543">
        <v>0.8</v>
      </c>
      <c r="E9543">
        <v>0</v>
      </c>
      <c r="F9543">
        <f t="shared" ref="F9543:F9606" si="156">D9543+E9543</f>
        <v>0.8</v>
      </c>
      <c r="G9543">
        <v>0.75</v>
      </c>
      <c r="H9543">
        <f t="shared" si="155"/>
        <v>0.60000000000000009</v>
      </c>
      <c r="I9543">
        <v>20240701</v>
      </c>
      <c r="J9543" t="s">
        <v>8847</v>
      </c>
    </row>
    <row r="9544" spans="1:13" x14ac:dyDescent="0.3">
      <c r="A9544" s="160">
        <v>69135</v>
      </c>
      <c r="B9544" t="s">
        <v>24563</v>
      </c>
      <c r="C9544" t="s">
        <v>177</v>
      </c>
      <c r="D9544">
        <v>0.65</v>
      </c>
      <c r="E9544">
        <v>0</v>
      </c>
      <c r="F9544">
        <f t="shared" si="156"/>
        <v>0.65</v>
      </c>
      <c r="G9544">
        <v>0.75</v>
      </c>
      <c r="H9544">
        <f t="shared" si="155"/>
        <v>0.48750000000000004</v>
      </c>
      <c r="I9544">
        <v>20240101</v>
      </c>
      <c r="J9544" t="s">
        <v>8930</v>
      </c>
    </row>
    <row r="9545" spans="1:13" x14ac:dyDescent="0.3">
      <c r="A9545" s="160">
        <v>69136</v>
      </c>
      <c r="B9545" t="s">
        <v>19893</v>
      </c>
      <c r="C9545" t="s">
        <v>177</v>
      </c>
      <c r="D9545">
        <v>1.1499999999999999</v>
      </c>
      <c r="E9545">
        <v>0</v>
      </c>
      <c r="F9545">
        <f t="shared" si="156"/>
        <v>1.1499999999999999</v>
      </c>
      <c r="G9545">
        <v>0.75</v>
      </c>
      <c r="H9545">
        <f t="shared" si="155"/>
        <v>0.86249999999999993</v>
      </c>
      <c r="I9545">
        <v>20240701</v>
      </c>
      <c r="J9545" t="s">
        <v>8895</v>
      </c>
      <c r="K9545" t="s">
        <v>8896</v>
      </c>
    </row>
    <row r="9546" spans="1:13" x14ac:dyDescent="0.3">
      <c r="A9546" s="160">
        <v>69137</v>
      </c>
      <c r="B9546" t="s">
        <v>24564</v>
      </c>
      <c r="C9546" t="s">
        <v>177</v>
      </c>
      <c r="D9546">
        <v>0.9</v>
      </c>
      <c r="E9546">
        <v>0</v>
      </c>
      <c r="F9546">
        <f t="shared" si="156"/>
        <v>0.9</v>
      </c>
      <c r="G9546">
        <v>0.75</v>
      </c>
      <c r="H9546">
        <f t="shared" si="155"/>
        <v>0.67500000000000004</v>
      </c>
      <c r="I9546">
        <v>20240701</v>
      </c>
      <c r="J9546" t="s">
        <v>8899</v>
      </c>
    </row>
    <row r="9547" spans="1:13" x14ac:dyDescent="0.3">
      <c r="A9547" s="160">
        <v>69138</v>
      </c>
      <c r="B9547" t="s">
        <v>24565</v>
      </c>
      <c r="C9547" t="s">
        <v>177</v>
      </c>
      <c r="D9547">
        <v>0.65</v>
      </c>
      <c r="E9547">
        <v>0</v>
      </c>
      <c r="F9547">
        <f t="shared" si="156"/>
        <v>0.65</v>
      </c>
      <c r="G9547">
        <v>0.75</v>
      </c>
      <c r="H9547">
        <f t="shared" si="155"/>
        <v>0.48750000000000004</v>
      </c>
      <c r="I9547">
        <v>20240701</v>
      </c>
      <c r="J9547" t="s">
        <v>8846</v>
      </c>
    </row>
    <row r="9548" spans="1:13" x14ac:dyDescent="0.3">
      <c r="A9548" s="160">
        <v>69139</v>
      </c>
      <c r="B9548" t="s">
        <v>24566</v>
      </c>
      <c r="C9548" t="s">
        <v>177</v>
      </c>
      <c r="D9548">
        <v>0.65</v>
      </c>
      <c r="E9548">
        <v>0</v>
      </c>
      <c r="F9548">
        <f t="shared" si="156"/>
        <v>0.65</v>
      </c>
      <c r="G9548">
        <v>0.75</v>
      </c>
      <c r="H9548">
        <f t="shared" si="155"/>
        <v>0.48750000000000004</v>
      </c>
      <c r="I9548">
        <v>20240701</v>
      </c>
      <c r="J9548" t="s">
        <v>8881</v>
      </c>
    </row>
    <row r="9549" spans="1:13" x14ac:dyDescent="0.3">
      <c r="A9549" s="160">
        <v>69140</v>
      </c>
      <c r="B9549" t="s">
        <v>24567</v>
      </c>
      <c r="C9549" t="s">
        <v>177</v>
      </c>
      <c r="D9549">
        <v>0.8</v>
      </c>
      <c r="E9549">
        <v>0</v>
      </c>
      <c r="F9549">
        <f t="shared" si="156"/>
        <v>0.8</v>
      </c>
      <c r="G9549">
        <v>0.75</v>
      </c>
      <c r="H9549">
        <f t="shared" si="155"/>
        <v>0.60000000000000009</v>
      </c>
      <c r="I9549">
        <v>20240701</v>
      </c>
      <c r="J9549" t="s">
        <v>8826</v>
      </c>
    </row>
    <row r="9550" spans="1:13" x14ac:dyDescent="0.3">
      <c r="A9550" s="160">
        <v>69141</v>
      </c>
      <c r="B9550" t="s">
        <v>24568</v>
      </c>
      <c r="C9550" t="s">
        <v>177</v>
      </c>
      <c r="D9550">
        <v>0.8</v>
      </c>
      <c r="E9550">
        <v>0</v>
      </c>
      <c r="F9550">
        <f t="shared" si="156"/>
        <v>0.8</v>
      </c>
      <c r="G9550">
        <v>0.75</v>
      </c>
      <c r="H9550">
        <f t="shared" si="155"/>
        <v>0.60000000000000009</v>
      </c>
      <c r="I9550">
        <v>20240701</v>
      </c>
      <c r="J9550" t="s">
        <v>8897</v>
      </c>
    </row>
    <row r="9551" spans="1:13" x14ac:dyDescent="0.3">
      <c r="A9551" s="160">
        <v>69142</v>
      </c>
      <c r="B9551" t="s">
        <v>24569</v>
      </c>
      <c r="C9551" t="s">
        <v>177</v>
      </c>
      <c r="D9551">
        <v>2</v>
      </c>
      <c r="E9551">
        <v>0</v>
      </c>
      <c r="F9551">
        <f t="shared" si="156"/>
        <v>2</v>
      </c>
      <c r="G9551">
        <v>0.75</v>
      </c>
      <c r="H9551">
        <f t="shared" si="155"/>
        <v>1.5</v>
      </c>
      <c r="I9551">
        <v>20220701</v>
      </c>
      <c r="J9551" t="s">
        <v>8931</v>
      </c>
      <c r="K9551" t="s">
        <v>8932</v>
      </c>
      <c r="L9551" t="s">
        <v>8933</v>
      </c>
      <c r="M9551" t="s">
        <v>8934</v>
      </c>
    </row>
    <row r="9552" spans="1:13" x14ac:dyDescent="0.3">
      <c r="A9552" s="160">
        <v>69143</v>
      </c>
      <c r="B9552" t="s">
        <v>24570</v>
      </c>
      <c r="C9552" t="s">
        <v>177</v>
      </c>
      <c r="D9552">
        <v>2</v>
      </c>
      <c r="E9552">
        <v>0</v>
      </c>
      <c r="F9552">
        <f t="shared" si="156"/>
        <v>2</v>
      </c>
      <c r="G9552">
        <v>0.75</v>
      </c>
      <c r="H9552">
        <f t="shared" si="155"/>
        <v>1.5</v>
      </c>
      <c r="I9552">
        <v>20220701</v>
      </c>
      <c r="J9552" t="s">
        <v>8823</v>
      </c>
      <c r="K9552" t="s">
        <v>8824</v>
      </c>
      <c r="L9552" t="s">
        <v>8917</v>
      </c>
      <c r="M9552" t="s">
        <v>8903</v>
      </c>
    </row>
    <row r="9553" spans="1:14" x14ac:dyDescent="0.3">
      <c r="A9553" s="160">
        <v>69145</v>
      </c>
      <c r="B9553" t="s">
        <v>24571</v>
      </c>
      <c r="C9553" t="s">
        <v>177</v>
      </c>
      <c r="D9553">
        <v>0.65</v>
      </c>
      <c r="E9553">
        <v>0</v>
      </c>
      <c r="F9553">
        <f t="shared" si="156"/>
        <v>0.65</v>
      </c>
      <c r="G9553">
        <v>0.75</v>
      </c>
      <c r="H9553">
        <f t="shared" si="155"/>
        <v>0.48750000000000004</v>
      </c>
      <c r="I9553">
        <v>20240701</v>
      </c>
      <c r="J9553" t="s">
        <v>8854</v>
      </c>
    </row>
    <row r="9554" spans="1:14" x14ac:dyDescent="0.3">
      <c r="A9554" s="160">
        <v>69148</v>
      </c>
      <c r="B9554" t="s">
        <v>24572</v>
      </c>
      <c r="C9554" t="s">
        <v>177</v>
      </c>
      <c r="D9554">
        <v>0.8</v>
      </c>
      <c r="E9554">
        <v>0</v>
      </c>
      <c r="F9554">
        <f t="shared" si="156"/>
        <v>0.8</v>
      </c>
      <c r="G9554">
        <v>0.75</v>
      </c>
      <c r="H9554">
        <f t="shared" si="155"/>
        <v>0.60000000000000009</v>
      </c>
      <c r="I9554">
        <v>20240701</v>
      </c>
      <c r="J9554" t="s">
        <v>8855</v>
      </c>
    </row>
    <row r="9555" spans="1:14" x14ac:dyDescent="0.3">
      <c r="A9555" s="160">
        <v>69149</v>
      </c>
      <c r="B9555" t="s">
        <v>24573</v>
      </c>
      <c r="C9555" t="s">
        <v>177</v>
      </c>
      <c r="D9555">
        <v>2</v>
      </c>
      <c r="E9555">
        <v>0</v>
      </c>
      <c r="F9555">
        <f t="shared" si="156"/>
        <v>2</v>
      </c>
      <c r="G9555">
        <v>0.75</v>
      </c>
      <c r="H9555">
        <f t="shared" si="155"/>
        <v>1.5</v>
      </c>
      <c r="I9555">
        <v>20220701</v>
      </c>
      <c r="J9555" t="s">
        <v>8935</v>
      </c>
      <c r="K9555" t="s">
        <v>8861</v>
      </c>
      <c r="L9555" t="s">
        <v>8936</v>
      </c>
      <c r="M9555" t="s">
        <v>8932</v>
      </c>
      <c r="N9555" t="s">
        <v>8933</v>
      </c>
    </row>
    <row r="9556" spans="1:14" x14ac:dyDescent="0.3">
      <c r="A9556" s="160">
        <v>69151</v>
      </c>
      <c r="B9556" t="s">
        <v>24574</v>
      </c>
      <c r="C9556" t="s">
        <v>177</v>
      </c>
      <c r="D9556">
        <v>0.9</v>
      </c>
      <c r="E9556">
        <v>0</v>
      </c>
      <c r="F9556">
        <f t="shared" si="156"/>
        <v>0.9</v>
      </c>
      <c r="G9556">
        <v>0.75</v>
      </c>
      <c r="H9556">
        <f t="shared" si="155"/>
        <v>0.67500000000000004</v>
      </c>
      <c r="I9556">
        <v>20240701</v>
      </c>
      <c r="J9556" t="s">
        <v>8854</v>
      </c>
    </row>
    <row r="9557" spans="1:14" x14ac:dyDescent="0.3">
      <c r="A9557" s="160">
        <v>69152</v>
      </c>
      <c r="B9557" t="s">
        <v>24575</v>
      </c>
      <c r="C9557" t="s">
        <v>177</v>
      </c>
      <c r="D9557">
        <v>2</v>
      </c>
      <c r="E9557">
        <v>0</v>
      </c>
      <c r="F9557">
        <f t="shared" si="156"/>
        <v>2</v>
      </c>
      <c r="G9557">
        <v>0.75</v>
      </c>
      <c r="H9557">
        <f t="shared" si="155"/>
        <v>1.5</v>
      </c>
      <c r="I9557">
        <v>20220701</v>
      </c>
      <c r="J9557" t="s">
        <v>8937</v>
      </c>
      <c r="K9557" t="s">
        <v>8938</v>
      </c>
      <c r="L9557" t="s">
        <v>8939</v>
      </c>
      <c r="M9557" t="s">
        <v>8940</v>
      </c>
      <c r="N9557" t="s">
        <v>8941</v>
      </c>
    </row>
    <row r="9558" spans="1:14" x14ac:dyDescent="0.3">
      <c r="A9558" s="160">
        <v>69153</v>
      </c>
      <c r="B9558" t="s">
        <v>24576</v>
      </c>
      <c r="C9558" t="s">
        <v>177</v>
      </c>
      <c r="D9558">
        <v>2</v>
      </c>
      <c r="E9558">
        <v>0</v>
      </c>
      <c r="F9558">
        <f t="shared" si="156"/>
        <v>2</v>
      </c>
      <c r="G9558">
        <v>0.75</v>
      </c>
      <c r="H9558">
        <f t="shared" si="155"/>
        <v>1.5</v>
      </c>
      <c r="I9558">
        <v>20220701</v>
      </c>
      <c r="J9558" t="s">
        <v>8823</v>
      </c>
      <c r="K9558" t="s">
        <v>8917</v>
      </c>
      <c r="L9558" t="s">
        <v>8903</v>
      </c>
    </row>
    <row r="9559" spans="1:14" x14ac:dyDescent="0.3">
      <c r="A9559" s="160">
        <v>69154</v>
      </c>
      <c r="B9559" t="s">
        <v>24577</v>
      </c>
      <c r="C9559" t="s">
        <v>177</v>
      </c>
      <c r="D9559">
        <v>0.8</v>
      </c>
      <c r="E9559">
        <v>0</v>
      </c>
      <c r="F9559">
        <f t="shared" si="156"/>
        <v>0.8</v>
      </c>
      <c r="G9559">
        <v>0.75</v>
      </c>
      <c r="H9559">
        <f t="shared" si="155"/>
        <v>0.60000000000000009</v>
      </c>
      <c r="I9559">
        <v>20240701</v>
      </c>
      <c r="J9559" t="s">
        <v>8902</v>
      </c>
    </row>
    <row r="9560" spans="1:14" x14ac:dyDescent="0.3">
      <c r="A9560" s="160">
        <v>69155</v>
      </c>
      <c r="B9560" t="s">
        <v>24578</v>
      </c>
      <c r="C9560" t="s">
        <v>177</v>
      </c>
      <c r="D9560">
        <v>0.65</v>
      </c>
      <c r="E9560">
        <v>0</v>
      </c>
      <c r="F9560">
        <f t="shared" si="156"/>
        <v>0.65</v>
      </c>
      <c r="G9560">
        <v>0.75</v>
      </c>
      <c r="H9560">
        <f t="shared" si="155"/>
        <v>0.48750000000000004</v>
      </c>
      <c r="I9560">
        <v>20240701</v>
      </c>
      <c r="J9560" t="s">
        <v>8890</v>
      </c>
    </row>
    <row r="9561" spans="1:14" x14ac:dyDescent="0.3">
      <c r="A9561" s="160">
        <v>69156</v>
      </c>
      <c r="B9561" t="s">
        <v>15587</v>
      </c>
      <c r="C9561" t="s">
        <v>177</v>
      </c>
      <c r="D9561">
        <v>0.8</v>
      </c>
      <c r="E9561">
        <v>0</v>
      </c>
      <c r="F9561">
        <f t="shared" si="156"/>
        <v>0.8</v>
      </c>
      <c r="G9561">
        <v>0.75</v>
      </c>
      <c r="H9561">
        <f t="shared" si="155"/>
        <v>0.60000000000000009</v>
      </c>
      <c r="I9561">
        <v>20240701</v>
      </c>
      <c r="J9561" t="s">
        <v>8826</v>
      </c>
    </row>
    <row r="9562" spans="1:14" x14ac:dyDescent="0.3">
      <c r="A9562" s="160">
        <v>69157</v>
      </c>
      <c r="B9562" t="s">
        <v>24579</v>
      </c>
      <c r="C9562" t="s">
        <v>177</v>
      </c>
      <c r="D9562">
        <v>0.65</v>
      </c>
      <c r="E9562">
        <v>0</v>
      </c>
      <c r="F9562">
        <f t="shared" si="156"/>
        <v>0.65</v>
      </c>
      <c r="G9562">
        <v>0.75</v>
      </c>
      <c r="H9562">
        <f t="shared" si="155"/>
        <v>0.48750000000000004</v>
      </c>
      <c r="I9562">
        <v>20240701</v>
      </c>
      <c r="J9562" t="s">
        <v>8830</v>
      </c>
    </row>
    <row r="9563" spans="1:14" x14ac:dyDescent="0.3">
      <c r="A9563" s="160">
        <v>69159</v>
      </c>
      <c r="B9563" t="s">
        <v>24580</v>
      </c>
      <c r="C9563" t="s">
        <v>177</v>
      </c>
      <c r="D9563">
        <v>0.8</v>
      </c>
      <c r="E9563">
        <v>0</v>
      </c>
      <c r="F9563">
        <f t="shared" si="156"/>
        <v>0.8</v>
      </c>
      <c r="G9563">
        <v>0.75</v>
      </c>
      <c r="H9563">
        <f t="shared" si="155"/>
        <v>0.60000000000000009</v>
      </c>
      <c r="I9563">
        <v>20240701</v>
      </c>
      <c r="J9563" t="s">
        <v>8836</v>
      </c>
      <c r="K9563" t="s">
        <v>8837</v>
      </c>
      <c r="L9563" t="s">
        <v>8838</v>
      </c>
      <c r="M9563" t="s">
        <v>8843</v>
      </c>
    </row>
    <row r="9564" spans="1:14" x14ac:dyDescent="0.3">
      <c r="A9564" s="160">
        <v>69160</v>
      </c>
      <c r="B9564" t="s">
        <v>24581</v>
      </c>
      <c r="C9564" t="s">
        <v>177</v>
      </c>
      <c r="D9564">
        <v>0.65</v>
      </c>
      <c r="E9564">
        <v>0</v>
      </c>
      <c r="F9564">
        <f t="shared" si="156"/>
        <v>0.65</v>
      </c>
      <c r="G9564">
        <v>0.75</v>
      </c>
      <c r="H9564">
        <f t="shared" ref="H9564:H9591" si="157">G9564*F9564</f>
        <v>0.48750000000000004</v>
      </c>
      <c r="I9564">
        <v>20240701</v>
      </c>
      <c r="J9564" t="s">
        <v>8880</v>
      </c>
    </row>
    <row r="9565" spans="1:14" x14ac:dyDescent="0.3">
      <c r="A9565" s="160">
        <v>69161</v>
      </c>
      <c r="B9565" t="s">
        <v>24582</v>
      </c>
      <c r="C9565" t="s">
        <v>177</v>
      </c>
      <c r="D9565">
        <v>0.65</v>
      </c>
      <c r="E9565">
        <v>0</v>
      </c>
      <c r="F9565">
        <f t="shared" si="156"/>
        <v>0.65</v>
      </c>
      <c r="G9565">
        <v>0.75</v>
      </c>
      <c r="H9565">
        <f t="shared" si="157"/>
        <v>0.48750000000000004</v>
      </c>
      <c r="I9565">
        <v>20240101</v>
      </c>
      <c r="J9565" t="s">
        <v>8822</v>
      </c>
    </row>
    <row r="9566" spans="1:14" x14ac:dyDescent="0.3">
      <c r="A9566" s="160">
        <v>69162</v>
      </c>
      <c r="B9566" t="s">
        <v>24583</v>
      </c>
      <c r="C9566" t="s">
        <v>177</v>
      </c>
      <c r="D9566">
        <v>0.65</v>
      </c>
      <c r="E9566">
        <v>0</v>
      </c>
      <c r="F9566">
        <f t="shared" si="156"/>
        <v>0.65</v>
      </c>
      <c r="G9566">
        <v>0.75</v>
      </c>
      <c r="H9566">
        <f t="shared" si="157"/>
        <v>0.48750000000000004</v>
      </c>
      <c r="I9566">
        <v>20240701</v>
      </c>
      <c r="J9566" t="s">
        <v>8835</v>
      </c>
    </row>
    <row r="9567" spans="1:14" x14ac:dyDescent="0.3">
      <c r="A9567" s="160">
        <v>69163</v>
      </c>
      <c r="B9567" t="s">
        <v>24584</v>
      </c>
      <c r="C9567" t="s">
        <v>177</v>
      </c>
      <c r="D9567">
        <v>2</v>
      </c>
      <c r="E9567">
        <v>0</v>
      </c>
      <c r="F9567">
        <f t="shared" si="156"/>
        <v>2</v>
      </c>
      <c r="G9567">
        <v>0.75</v>
      </c>
      <c r="H9567">
        <f t="shared" si="157"/>
        <v>1.5</v>
      </c>
      <c r="I9567">
        <v>20220701</v>
      </c>
      <c r="J9567" t="s">
        <v>8943</v>
      </c>
    </row>
    <row r="9568" spans="1:14" x14ac:dyDescent="0.3">
      <c r="A9568" s="160">
        <v>69164</v>
      </c>
      <c r="B9568" t="s">
        <v>24585</v>
      </c>
      <c r="C9568" t="s">
        <v>177</v>
      </c>
      <c r="D9568">
        <v>0.65</v>
      </c>
      <c r="E9568">
        <v>0</v>
      </c>
      <c r="F9568">
        <f t="shared" si="156"/>
        <v>0.65</v>
      </c>
      <c r="G9568">
        <v>0.75</v>
      </c>
      <c r="H9568">
        <f t="shared" si="157"/>
        <v>0.48750000000000004</v>
      </c>
      <c r="I9568">
        <v>20240701</v>
      </c>
      <c r="J9568" t="s">
        <v>8901</v>
      </c>
    </row>
    <row r="9569" spans="1:15" x14ac:dyDescent="0.3">
      <c r="A9569" s="160">
        <v>69165</v>
      </c>
      <c r="B9569" t="s">
        <v>24586</v>
      </c>
      <c r="C9569" t="s">
        <v>177</v>
      </c>
      <c r="D9569">
        <v>0.65</v>
      </c>
      <c r="E9569">
        <v>0</v>
      </c>
      <c r="F9569">
        <f t="shared" si="156"/>
        <v>0.65</v>
      </c>
      <c r="G9569">
        <v>0.75</v>
      </c>
      <c r="H9569">
        <f t="shared" si="157"/>
        <v>0.48750000000000004</v>
      </c>
      <c r="I9569">
        <v>20240701</v>
      </c>
      <c r="J9569" t="s">
        <v>8835</v>
      </c>
    </row>
    <row r="9570" spans="1:15" x14ac:dyDescent="0.3">
      <c r="A9570" s="160">
        <v>69166</v>
      </c>
      <c r="B9570" t="s">
        <v>24587</v>
      </c>
      <c r="C9570" t="s">
        <v>177</v>
      </c>
      <c r="D9570">
        <v>0.8</v>
      </c>
      <c r="E9570">
        <v>0</v>
      </c>
      <c r="F9570">
        <f t="shared" si="156"/>
        <v>0.8</v>
      </c>
      <c r="G9570">
        <v>0.75</v>
      </c>
      <c r="H9570">
        <f t="shared" si="157"/>
        <v>0.60000000000000009</v>
      </c>
      <c r="I9570">
        <v>20240701</v>
      </c>
      <c r="J9570" t="s">
        <v>8897</v>
      </c>
    </row>
    <row r="9571" spans="1:15" x14ac:dyDescent="0.3">
      <c r="A9571" s="160">
        <v>69167</v>
      </c>
      <c r="B9571" t="s">
        <v>24588</v>
      </c>
      <c r="C9571" t="s">
        <v>177</v>
      </c>
      <c r="D9571">
        <v>0.9</v>
      </c>
      <c r="E9571">
        <v>0</v>
      </c>
      <c r="F9571">
        <f t="shared" si="156"/>
        <v>0.9</v>
      </c>
      <c r="G9571">
        <v>0.75</v>
      </c>
      <c r="H9571">
        <f t="shared" si="157"/>
        <v>0.67500000000000004</v>
      </c>
      <c r="I9571">
        <v>20240701</v>
      </c>
      <c r="J9571" t="s">
        <v>8899</v>
      </c>
    </row>
    <row r="9572" spans="1:15" x14ac:dyDescent="0.3">
      <c r="A9572" s="160">
        <v>69168</v>
      </c>
      <c r="B9572" t="s">
        <v>24589</v>
      </c>
      <c r="C9572" t="s">
        <v>177</v>
      </c>
      <c r="D9572">
        <v>2</v>
      </c>
      <c r="E9572">
        <v>0</v>
      </c>
      <c r="F9572">
        <f t="shared" si="156"/>
        <v>2</v>
      </c>
      <c r="G9572">
        <v>0.75</v>
      </c>
      <c r="H9572">
        <f t="shared" si="157"/>
        <v>1.5</v>
      </c>
      <c r="I9572">
        <v>20220701</v>
      </c>
      <c r="J9572" t="s">
        <v>8868</v>
      </c>
    </row>
    <row r="9573" spans="1:15" x14ac:dyDescent="0.3">
      <c r="A9573" s="160">
        <v>69169</v>
      </c>
      <c r="B9573" t="s">
        <v>24590</v>
      </c>
      <c r="C9573" t="s">
        <v>177</v>
      </c>
      <c r="D9573">
        <v>0.65</v>
      </c>
      <c r="E9573">
        <v>0</v>
      </c>
      <c r="F9573">
        <f t="shared" si="156"/>
        <v>0.65</v>
      </c>
      <c r="G9573">
        <v>0.75</v>
      </c>
      <c r="H9573">
        <f t="shared" si="157"/>
        <v>0.48750000000000004</v>
      </c>
      <c r="I9573">
        <v>20240701</v>
      </c>
      <c r="J9573" t="s">
        <v>8827</v>
      </c>
    </row>
    <row r="9574" spans="1:15" x14ac:dyDescent="0.3">
      <c r="A9574" s="160">
        <v>69170</v>
      </c>
      <c r="B9574" t="s">
        <v>24591</v>
      </c>
      <c r="C9574" t="s">
        <v>177</v>
      </c>
      <c r="D9574">
        <v>0.8</v>
      </c>
      <c r="E9574">
        <v>0</v>
      </c>
      <c r="F9574">
        <f t="shared" si="156"/>
        <v>0.8</v>
      </c>
      <c r="G9574">
        <v>0.75</v>
      </c>
      <c r="H9574">
        <f t="shared" si="157"/>
        <v>0.60000000000000009</v>
      </c>
      <c r="I9574">
        <v>20240701</v>
      </c>
      <c r="J9574" t="s">
        <v>8929</v>
      </c>
    </row>
    <row r="9575" spans="1:15" x14ac:dyDescent="0.3">
      <c r="A9575" s="160">
        <v>69171</v>
      </c>
      <c r="B9575" t="s">
        <v>24592</v>
      </c>
      <c r="C9575" t="s">
        <v>177</v>
      </c>
      <c r="D9575">
        <v>0.8</v>
      </c>
      <c r="E9575">
        <v>0</v>
      </c>
      <c r="F9575">
        <f t="shared" si="156"/>
        <v>0.8</v>
      </c>
      <c r="G9575">
        <v>0.75</v>
      </c>
      <c r="H9575">
        <f t="shared" si="157"/>
        <v>0.60000000000000009</v>
      </c>
      <c r="I9575">
        <v>20240701</v>
      </c>
      <c r="J9575" t="s">
        <v>8831</v>
      </c>
      <c r="K9575" t="s">
        <v>8832</v>
      </c>
      <c r="L9575" t="s">
        <v>8944</v>
      </c>
    </row>
    <row r="9576" spans="1:15" x14ac:dyDescent="0.3">
      <c r="A9576" s="160">
        <v>69172</v>
      </c>
      <c r="B9576" t="s">
        <v>24593</v>
      </c>
      <c r="C9576" t="s">
        <v>177</v>
      </c>
      <c r="D9576">
        <v>0.9</v>
      </c>
      <c r="E9576">
        <v>0</v>
      </c>
      <c r="F9576">
        <f t="shared" si="156"/>
        <v>0.9</v>
      </c>
      <c r="G9576">
        <v>0.75</v>
      </c>
      <c r="H9576">
        <f t="shared" si="157"/>
        <v>0.67500000000000004</v>
      </c>
      <c r="I9576">
        <v>20240701</v>
      </c>
      <c r="J9576" t="s">
        <v>8854</v>
      </c>
    </row>
    <row r="9577" spans="1:15" x14ac:dyDescent="0.3">
      <c r="A9577" s="160">
        <v>69173</v>
      </c>
      <c r="B9577" t="s">
        <v>21032</v>
      </c>
      <c r="C9577" t="s">
        <v>177</v>
      </c>
      <c r="D9577">
        <v>0.8</v>
      </c>
      <c r="E9577">
        <v>0</v>
      </c>
      <c r="F9577">
        <f t="shared" si="156"/>
        <v>0.8</v>
      </c>
      <c r="G9577">
        <v>0.75</v>
      </c>
      <c r="H9577">
        <f t="shared" si="157"/>
        <v>0.60000000000000009</v>
      </c>
      <c r="I9577">
        <v>20240701</v>
      </c>
      <c r="J9577" t="s">
        <v>8830</v>
      </c>
    </row>
    <row r="9578" spans="1:15" x14ac:dyDescent="0.3">
      <c r="A9578" s="160">
        <v>69174</v>
      </c>
      <c r="B9578" t="s">
        <v>24594</v>
      </c>
      <c r="C9578" t="s">
        <v>177</v>
      </c>
      <c r="D9578">
        <v>0.65</v>
      </c>
      <c r="E9578">
        <v>0</v>
      </c>
      <c r="F9578">
        <f t="shared" si="156"/>
        <v>0.65</v>
      </c>
      <c r="G9578">
        <v>0.75</v>
      </c>
      <c r="H9578">
        <f t="shared" si="157"/>
        <v>0.48750000000000004</v>
      </c>
      <c r="I9578">
        <v>20240701</v>
      </c>
      <c r="J9578" t="s">
        <v>8821</v>
      </c>
    </row>
    <row r="9579" spans="1:15" x14ac:dyDescent="0.3">
      <c r="A9579" s="160">
        <v>69175</v>
      </c>
      <c r="B9579" t="s">
        <v>20672</v>
      </c>
      <c r="C9579" t="s">
        <v>177</v>
      </c>
      <c r="D9579">
        <v>0.8</v>
      </c>
      <c r="E9579">
        <v>0</v>
      </c>
      <c r="F9579">
        <f t="shared" si="156"/>
        <v>0.8</v>
      </c>
      <c r="G9579">
        <v>0.75</v>
      </c>
      <c r="H9579">
        <f t="shared" si="157"/>
        <v>0.60000000000000009</v>
      </c>
      <c r="I9579">
        <v>20240701</v>
      </c>
      <c r="J9579" t="s">
        <v>8831</v>
      </c>
      <c r="K9579" t="s">
        <v>8832</v>
      </c>
      <c r="L9579" t="s">
        <v>8833</v>
      </c>
      <c r="M9579" t="s">
        <v>8834</v>
      </c>
      <c r="N9579" t="s">
        <v>8944</v>
      </c>
      <c r="O9579" t="s">
        <v>8852</v>
      </c>
    </row>
    <row r="9580" spans="1:15" x14ac:dyDescent="0.3">
      <c r="A9580" s="160">
        <v>69176</v>
      </c>
      <c r="B9580" t="s">
        <v>24595</v>
      </c>
      <c r="C9580" t="s">
        <v>177</v>
      </c>
      <c r="D9580">
        <v>0.8</v>
      </c>
      <c r="E9580">
        <v>0</v>
      </c>
      <c r="F9580">
        <f t="shared" si="156"/>
        <v>0.8</v>
      </c>
      <c r="G9580">
        <v>0.75</v>
      </c>
      <c r="H9580">
        <f t="shared" si="157"/>
        <v>0.60000000000000009</v>
      </c>
      <c r="I9580">
        <v>20240701</v>
      </c>
      <c r="J9580" t="s">
        <v>8929</v>
      </c>
    </row>
    <row r="9581" spans="1:15" x14ac:dyDescent="0.3">
      <c r="A9581" s="160">
        <v>69177</v>
      </c>
      <c r="B9581" t="s">
        <v>24596</v>
      </c>
      <c r="C9581" t="s">
        <v>177</v>
      </c>
      <c r="D9581">
        <v>0.8</v>
      </c>
      <c r="E9581">
        <v>0</v>
      </c>
      <c r="F9581">
        <f t="shared" si="156"/>
        <v>0.8</v>
      </c>
      <c r="G9581">
        <v>0.75</v>
      </c>
      <c r="H9581">
        <f t="shared" si="157"/>
        <v>0.60000000000000009</v>
      </c>
      <c r="I9581">
        <v>20240701</v>
      </c>
      <c r="J9581" t="s">
        <v>8831</v>
      </c>
    </row>
    <row r="9582" spans="1:15" x14ac:dyDescent="0.3">
      <c r="A9582" s="160">
        <v>69178</v>
      </c>
      <c r="B9582" t="s">
        <v>24597</v>
      </c>
      <c r="C9582" t="s">
        <v>177</v>
      </c>
      <c r="D9582">
        <v>0.65</v>
      </c>
      <c r="E9582">
        <v>0</v>
      </c>
      <c r="F9582">
        <f t="shared" si="156"/>
        <v>0.65</v>
      </c>
      <c r="G9582">
        <v>0.75</v>
      </c>
      <c r="H9582">
        <f t="shared" si="157"/>
        <v>0.48750000000000004</v>
      </c>
      <c r="I9582">
        <v>20240701</v>
      </c>
      <c r="J9582" t="s">
        <v>8846</v>
      </c>
    </row>
    <row r="9583" spans="1:15" x14ac:dyDescent="0.3">
      <c r="A9583" s="160">
        <v>69179</v>
      </c>
      <c r="B9583" t="s">
        <v>17550</v>
      </c>
      <c r="C9583" t="s">
        <v>177</v>
      </c>
      <c r="D9583">
        <v>0.8</v>
      </c>
      <c r="E9583">
        <v>0</v>
      </c>
      <c r="F9583">
        <f t="shared" si="156"/>
        <v>0.8</v>
      </c>
      <c r="G9583">
        <v>0.75</v>
      </c>
      <c r="H9583">
        <f t="shared" si="157"/>
        <v>0.60000000000000009</v>
      </c>
      <c r="I9583">
        <v>20240701</v>
      </c>
      <c r="J9583" t="s">
        <v>8895</v>
      </c>
      <c r="K9583" t="s">
        <v>8896</v>
      </c>
    </row>
    <row r="9584" spans="1:15" x14ac:dyDescent="0.3">
      <c r="A9584" s="160">
        <v>69180</v>
      </c>
      <c r="B9584" t="s">
        <v>24598</v>
      </c>
      <c r="C9584" t="s">
        <v>177</v>
      </c>
      <c r="D9584">
        <v>0.8</v>
      </c>
      <c r="E9584">
        <v>0</v>
      </c>
      <c r="F9584">
        <f t="shared" si="156"/>
        <v>0.8</v>
      </c>
      <c r="G9584">
        <v>0.75</v>
      </c>
      <c r="H9584">
        <f t="shared" si="157"/>
        <v>0.60000000000000009</v>
      </c>
      <c r="I9584">
        <v>20240701</v>
      </c>
      <c r="J9584" t="s">
        <v>8897</v>
      </c>
    </row>
    <row r="9585" spans="1:11" x14ac:dyDescent="0.3">
      <c r="A9585" s="160">
        <v>69181</v>
      </c>
      <c r="B9585" t="s">
        <v>24599</v>
      </c>
      <c r="C9585" t="s">
        <v>177</v>
      </c>
      <c r="D9585">
        <v>0.65</v>
      </c>
      <c r="E9585">
        <v>0</v>
      </c>
      <c r="F9585">
        <f t="shared" si="156"/>
        <v>0.65</v>
      </c>
      <c r="G9585">
        <v>0.75</v>
      </c>
      <c r="H9585">
        <f t="shared" si="157"/>
        <v>0.48750000000000004</v>
      </c>
      <c r="I9585">
        <v>20240701</v>
      </c>
      <c r="J9585" t="s">
        <v>8821</v>
      </c>
    </row>
    <row r="9586" spans="1:11" x14ac:dyDescent="0.3">
      <c r="A9586" s="160">
        <v>69182</v>
      </c>
      <c r="B9586" t="s">
        <v>24600</v>
      </c>
      <c r="C9586" t="s">
        <v>177</v>
      </c>
      <c r="D9586">
        <v>0.65</v>
      </c>
      <c r="E9586">
        <v>0</v>
      </c>
      <c r="F9586">
        <f t="shared" si="156"/>
        <v>0.65</v>
      </c>
      <c r="G9586">
        <v>0.75</v>
      </c>
      <c r="H9586">
        <f t="shared" si="157"/>
        <v>0.48750000000000004</v>
      </c>
      <c r="I9586">
        <v>20240701</v>
      </c>
      <c r="J9586" t="s">
        <v>8822</v>
      </c>
    </row>
    <row r="9587" spans="1:11" x14ac:dyDescent="0.3">
      <c r="A9587" s="160">
        <v>69183</v>
      </c>
      <c r="B9587" t="s">
        <v>24601</v>
      </c>
      <c r="C9587" t="s">
        <v>177</v>
      </c>
      <c r="D9587">
        <v>0.65</v>
      </c>
      <c r="E9587">
        <v>0</v>
      </c>
      <c r="F9587">
        <f t="shared" si="156"/>
        <v>0.65</v>
      </c>
      <c r="G9587">
        <v>0.75</v>
      </c>
      <c r="H9587">
        <f t="shared" si="157"/>
        <v>0.48750000000000004</v>
      </c>
      <c r="I9587">
        <v>20240701</v>
      </c>
      <c r="J9587" t="s">
        <v>8880</v>
      </c>
    </row>
    <row r="9588" spans="1:11" x14ac:dyDescent="0.3">
      <c r="A9588" s="160">
        <v>69184</v>
      </c>
      <c r="B9588" t="s">
        <v>23567</v>
      </c>
      <c r="C9588" t="s">
        <v>177</v>
      </c>
      <c r="D9588">
        <v>0.65</v>
      </c>
      <c r="E9588">
        <v>0</v>
      </c>
      <c r="F9588">
        <f t="shared" si="156"/>
        <v>0.65</v>
      </c>
      <c r="G9588">
        <v>0.75</v>
      </c>
      <c r="H9588">
        <f t="shared" si="157"/>
        <v>0.48750000000000004</v>
      </c>
      <c r="I9588">
        <v>20240701</v>
      </c>
      <c r="J9588" t="s">
        <v>8897</v>
      </c>
    </row>
    <row r="9589" spans="1:11" x14ac:dyDescent="0.3">
      <c r="A9589" s="160">
        <v>69186</v>
      </c>
      <c r="B9589" t="s">
        <v>24602</v>
      </c>
      <c r="C9589" t="s">
        <v>177</v>
      </c>
      <c r="D9589">
        <v>0.65</v>
      </c>
      <c r="E9589">
        <v>0</v>
      </c>
      <c r="F9589">
        <f t="shared" si="156"/>
        <v>0.65</v>
      </c>
      <c r="G9589">
        <v>0.75</v>
      </c>
      <c r="H9589">
        <f t="shared" si="157"/>
        <v>0.48750000000000004</v>
      </c>
      <c r="I9589">
        <v>20240101</v>
      </c>
      <c r="J9589" t="s">
        <v>8822</v>
      </c>
    </row>
    <row r="9590" spans="1:11" x14ac:dyDescent="0.3">
      <c r="A9590" s="160">
        <v>69187</v>
      </c>
      <c r="B9590" t="s">
        <v>24603</v>
      </c>
      <c r="C9590" t="s">
        <v>177</v>
      </c>
      <c r="D9590">
        <v>0.65</v>
      </c>
      <c r="E9590">
        <v>0</v>
      </c>
      <c r="F9590">
        <f t="shared" si="156"/>
        <v>0.65</v>
      </c>
      <c r="G9590">
        <v>0.75</v>
      </c>
      <c r="H9590">
        <f t="shared" si="157"/>
        <v>0.48750000000000004</v>
      </c>
      <c r="I9590">
        <v>20240701</v>
      </c>
      <c r="J9590" t="s">
        <v>8945</v>
      </c>
    </row>
    <row r="9591" spans="1:11" x14ac:dyDescent="0.3">
      <c r="A9591" s="160">
        <v>69188</v>
      </c>
      <c r="B9591" t="s">
        <v>24604</v>
      </c>
      <c r="C9591" t="s">
        <v>177</v>
      </c>
      <c r="D9591">
        <v>0.65</v>
      </c>
      <c r="E9591">
        <v>0</v>
      </c>
      <c r="F9591">
        <f t="shared" si="156"/>
        <v>0.65</v>
      </c>
      <c r="G9591">
        <v>0.75</v>
      </c>
      <c r="H9591">
        <f t="shared" si="157"/>
        <v>0.48750000000000004</v>
      </c>
      <c r="I9591">
        <v>20240701</v>
      </c>
      <c r="J9591" t="s">
        <v>8821</v>
      </c>
    </row>
    <row r="9592" spans="1:11" x14ac:dyDescent="0.3">
      <c r="A9592" s="160">
        <v>69189</v>
      </c>
      <c r="B9592" t="s">
        <v>20628</v>
      </c>
      <c r="C9592" t="s">
        <v>4472</v>
      </c>
      <c r="D9592">
        <v>0.8</v>
      </c>
      <c r="E9592">
        <v>0</v>
      </c>
      <c r="F9592">
        <f t="shared" si="156"/>
        <v>0.8</v>
      </c>
      <c r="I9592">
        <v>20180901</v>
      </c>
      <c r="J9592" t="s">
        <v>8946</v>
      </c>
    </row>
    <row r="9593" spans="1:11" x14ac:dyDescent="0.3">
      <c r="A9593" s="160">
        <v>69190</v>
      </c>
      <c r="B9593" t="s">
        <v>24605</v>
      </c>
      <c r="C9593" t="s">
        <v>177</v>
      </c>
      <c r="D9593">
        <v>0.8</v>
      </c>
      <c r="E9593">
        <v>0</v>
      </c>
      <c r="F9593">
        <f t="shared" si="156"/>
        <v>0.8</v>
      </c>
      <c r="G9593">
        <v>0.75</v>
      </c>
      <c r="H9593">
        <f>G9593*F9593</f>
        <v>0.60000000000000009</v>
      </c>
      <c r="I9593">
        <v>20240701</v>
      </c>
      <c r="J9593" t="s">
        <v>8928</v>
      </c>
    </row>
    <row r="9594" spans="1:11" x14ac:dyDescent="0.3">
      <c r="A9594" s="160">
        <v>69191</v>
      </c>
      <c r="B9594" t="s">
        <v>24606</v>
      </c>
      <c r="C9594" t="s">
        <v>177</v>
      </c>
      <c r="D9594">
        <v>2</v>
      </c>
      <c r="E9594">
        <v>0</v>
      </c>
      <c r="F9594">
        <f t="shared" si="156"/>
        <v>2</v>
      </c>
      <c r="G9594">
        <v>0.75</v>
      </c>
      <c r="H9594">
        <f>G9594*F9594</f>
        <v>1.5</v>
      </c>
      <c r="I9594">
        <v>20220701</v>
      </c>
      <c r="J9594" t="s">
        <v>8947</v>
      </c>
      <c r="K9594" t="s">
        <v>8948</v>
      </c>
    </row>
    <row r="9595" spans="1:11" x14ac:dyDescent="0.3">
      <c r="A9595" s="160">
        <v>69192</v>
      </c>
      <c r="B9595" t="s">
        <v>24607</v>
      </c>
      <c r="C9595" t="s">
        <v>177</v>
      </c>
      <c r="D9595">
        <v>0.9</v>
      </c>
      <c r="E9595">
        <v>0</v>
      </c>
      <c r="F9595">
        <f t="shared" si="156"/>
        <v>0.9</v>
      </c>
      <c r="G9595">
        <v>0.75</v>
      </c>
      <c r="H9595">
        <f>G9595*F9595</f>
        <v>0.67500000000000004</v>
      </c>
      <c r="I9595">
        <v>20240701</v>
      </c>
      <c r="J9595" t="s">
        <v>8880</v>
      </c>
    </row>
    <row r="9596" spans="1:11" x14ac:dyDescent="0.3">
      <c r="A9596" s="160">
        <v>69193</v>
      </c>
      <c r="B9596" t="s">
        <v>24608</v>
      </c>
      <c r="C9596" t="s">
        <v>4472</v>
      </c>
      <c r="D9596">
        <v>0.8</v>
      </c>
      <c r="E9596">
        <v>0</v>
      </c>
      <c r="F9596">
        <f t="shared" si="156"/>
        <v>0.8</v>
      </c>
      <c r="I9596">
        <v>20180901</v>
      </c>
      <c r="J9596" t="s">
        <v>8946</v>
      </c>
    </row>
    <row r="9597" spans="1:11" x14ac:dyDescent="0.3">
      <c r="A9597" s="160">
        <v>69194</v>
      </c>
      <c r="B9597" t="s">
        <v>24609</v>
      </c>
      <c r="C9597" t="s">
        <v>177</v>
      </c>
      <c r="D9597">
        <v>2</v>
      </c>
      <c r="E9597">
        <v>0</v>
      </c>
      <c r="F9597">
        <f t="shared" si="156"/>
        <v>2</v>
      </c>
      <c r="G9597">
        <v>0.75</v>
      </c>
      <c r="H9597">
        <f t="shared" ref="H9597:H9626" si="158">G9597*F9597</f>
        <v>1.5</v>
      </c>
      <c r="I9597">
        <v>20220701</v>
      </c>
      <c r="J9597" t="s">
        <v>8949</v>
      </c>
      <c r="K9597" t="s">
        <v>8948</v>
      </c>
    </row>
    <row r="9598" spans="1:11" x14ac:dyDescent="0.3">
      <c r="A9598" s="160">
        <v>69196</v>
      </c>
      <c r="B9598" t="s">
        <v>24610</v>
      </c>
      <c r="C9598" t="s">
        <v>177</v>
      </c>
      <c r="D9598">
        <v>0.65</v>
      </c>
      <c r="E9598">
        <v>0</v>
      </c>
      <c r="F9598">
        <f t="shared" si="156"/>
        <v>0.65</v>
      </c>
      <c r="G9598">
        <v>0.75</v>
      </c>
      <c r="H9598">
        <f t="shared" si="158"/>
        <v>0.48750000000000004</v>
      </c>
      <c r="I9598">
        <v>20240701</v>
      </c>
      <c r="J9598" t="s">
        <v>8835</v>
      </c>
    </row>
    <row r="9599" spans="1:11" x14ac:dyDescent="0.3">
      <c r="A9599" s="160">
        <v>69197</v>
      </c>
      <c r="B9599" t="s">
        <v>24611</v>
      </c>
      <c r="C9599" t="s">
        <v>177</v>
      </c>
      <c r="D9599">
        <v>0.9</v>
      </c>
      <c r="E9599">
        <v>0</v>
      </c>
      <c r="F9599">
        <f t="shared" si="156"/>
        <v>0.9</v>
      </c>
      <c r="G9599">
        <v>0.75</v>
      </c>
      <c r="H9599">
        <f t="shared" si="158"/>
        <v>0.67500000000000004</v>
      </c>
      <c r="I9599">
        <v>20240701</v>
      </c>
      <c r="J9599" t="s">
        <v>8854</v>
      </c>
    </row>
    <row r="9600" spans="1:11" x14ac:dyDescent="0.3">
      <c r="A9600" s="160">
        <v>69198</v>
      </c>
      <c r="B9600" t="s">
        <v>24612</v>
      </c>
      <c r="C9600" t="s">
        <v>177</v>
      </c>
      <c r="D9600">
        <v>0.65</v>
      </c>
      <c r="E9600">
        <v>0</v>
      </c>
      <c r="F9600">
        <f t="shared" si="156"/>
        <v>0.65</v>
      </c>
      <c r="G9600">
        <v>0.75</v>
      </c>
      <c r="H9600">
        <f t="shared" si="158"/>
        <v>0.48750000000000004</v>
      </c>
      <c r="I9600">
        <v>20240701</v>
      </c>
      <c r="J9600" t="s">
        <v>8854</v>
      </c>
    </row>
    <row r="9601" spans="1:14" x14ac:dyDescent="0.3">
      <c r="A9601" s="160">
        <v>69199</v>
      </c>
      <c r="B9601" t="s">
        <v>24613</v>
      </c>
      <c r="C9601" t="s">
        <v>177</v>
      </c>
      <c r="D9601">
        <v>2</v>
      </c>
      <c r="E9601">
        <v>0</v>
      </c>
      <c r="F9601">
        <f t="shared" si="156"/>
        <v>2</v>
      </c>
      <c r="G9601">
        <v>0.75</v>
      </c>
      <c r="H9601">
        <f t="shared" si="158"/>
        <v>1.5</v>
      </c>
      <c r="I9601">
        <v>20220701</v>
      </c>
      <c r="J9601" t="s">
        <v>8950</v>
      </c>
      <c r="K9601" t="s">
        <v>8951</v>
      </c>
      <c r="L9601" t="s">
        <v>8952</v>
      </c>
      <c r="M9601" t="s">
        <v>8953</v>
      </c>
    </row>
    <row r="9602" spans="1:14" x14ac:dyDescent="0.3">
      <c r="A9602" s="160">
        <v>69200</v>
      </c>
      <c r="B9602" t="s">
        <v>24614</v>
      </c>
      <c r="C9602" t="s">
        <v>177</v>
      </c>
      <c r="D9602">
        <v>0.65</v>
      </c>
      <c r="E9602">
        <v>0</v>
      </c>
      <c r="F9602">
        <f t="shared" si="156"/>
        <v>0.65</v>
      </c>
      <c r="G9602">
        <v>0.75</v>
      </c>
      <c r="H9602">
        <f t="shared" si="158"/>
        <v>0.48750000000000004</v>
      </c>
      <c r="I9602">
        <v>20240701</v>
      </c>
      <c r="J9602" t="s">
        <v>8830</v>
      </c>
    </row>
    <row r="9603" spans="1:14" x14ac:dyDescent="0.3">
      <c r="A9603" s="160">
        <v>69201</v>
      </c>
      <c r="B9603" t="s">
        <v>24615</v>
      </c>
      <c r="C9603" t="s">
        <v>177</v>
      </c>
      <c r="D9603">
        <v>0.65</v>
      </c>
      <c r="E9603">
        <v>0</v>
      </c>
      <c r="F9603">
        <f t="shared" si="156"/>
        <v>0.65</v>
      </c>
      <c r="G9603">
        <v>0.75</v>
      </c>
      <c r="H9603">
        <f t="shared" si="158"/>
        <v>0.48750000000000004</v>
      </c>
      <c r="I9603">
        <v>20240701</v>
      </c>
      <c r="J9603" t="s">
        <v>8846</v>
      </c>
    </row>
    <row r="9604" spans="1:14" x14ac:dyDescent="0.3">
      <c r="A9604" s="160">
        <v>69202</v>
      </c>
      <c r="B9604" t="s">
        <v>24616</v>
      </c>
      <c r="C9604" t="s">
        <v>177</v>
      </c>
      <c r="D9604">
        <v>2</v>
      </c>
      <c r="E9604">
        <v>0</v>
      </c>
      <c r="F9604">
        <f t="shared" si="156"/>
        <v>2</v>
      </c>
      <c r="G9604">
        <v>0.75</v>
      </c>
      <c r="H9604">
        <f t="shared" si="158"/>
        <v>1.5</v>
      </c>
      <c r="I9604">
        <v>20220701</v>
      </c>
      <c r="J9604" t="s">
        <v>8954</v>
      </c>
    </row>
    <row r="9605" spans="1:14" x14ac:dyDescent="0.3">
      <c r="A9605" s="160">
        <v>69203</v>
      </c>
      <c r="B9605" t="s">
        <v>24617</v>
      </c>
      <c r="C9605" t="s">
        <v>177</v>
      </c>
      <c r="D9605">
        <v>0.65</v>
      </c>
      <c r="E9605">
        <v>0</v>
      </c>
      <c r="F9605">
        <f t="shared" si="156"/>
        <v>0.65</v>
      </c>
      <c r="G9605">
        <v>0.75</v>
      </c>
      <c r="H9605">
        <f t="shared" si="158"/>
        <v>0.48750000000000004</v>
      </c>
      <c r="I9605">
        <v>20240701</v>
      </c>
      <c r="J9605" t="s">
        <v>8846</v>
      </c>
    </row>
    <row r="9606" spans="1:14" x14ac:dyDescent="0.3">
      <c r="A9606" s="160">
        <v>69204</v>
      </c>
      <c r="B9606" t="s">
        <v>24618</v>
      </c>
      <c r="C9606" t="s">
        <v>177</v>
      </c>
      <c r="D9606">
        <v>2</v>
      </c>
      <c r="E9606">
        <v>0</v>
      </c>
      <c r="F9606">
        <f t="shared" si="156"/>
        <v>2</v>
      </c>
      <c r="G9606">
        <v>0.75</v>
      </c>
      <c r="H9606">
        <f t="shared" si="158"/>
        <v>1.5</v>
      </c>
      <c r="I9606">
        <v>20220701</v>
      </c>
      <c r="J9606" t="s">
        <v>8955</v>
      </c>
      <c r="K9606" t="s">
        <v>8956</v>
      </c>
      <c r="L9606" t="s">
        <v>8957</v>
      </c>
      <c r="M9606" t="s">
        <v>8958</v>
      </c>
      <c r="N9606" t="s">
        <v>8959</v>
      </c>
    </row>
    <row r="9607" spans="1:14" x14ac:dyDescent="0.3">
      <c r="A9607" s="160">
        <v>69205</v>
      </c>
      <c r="B9607" t="s">
        <v>24619</v>
      </c>
      <c r="C9607" t="s">
        <v>177</v>
      </c>
      <c r="D9607">
        <v>2</v>
      </c>
      <c r="E9607">
        <v>0</v>
      </c>
      <c r="F9607">
        <f t="shared" ref="F9607:F9670" si="159">D9607+E9607</f>
        <v>2</v>
      </c>
      <c r="G9607">
        <v>0.75</v>
      </c>
      <c r="H9607">
        <f t="shared" si="158"/>
        <v>1.5</v>
      </c>
      <c r="I9607">
        <v>20220701</v>
      </c>
      <c r="J9607" t="s">
        <v>8902</v>
      </c>
    </row>
    <row r="9608" spans="1:14" x14ac:dyDescent="0.3">
      <c r="A9608" s="160">
        <v>69206</v>
      </c>
      <c r="B9608" t="s">
        <v>24620</v>
      </c>
      <c r="C9608" t="s">
        <v>177</v>
      </c>
      <c r="D9608">
        <v>0.65</v>
      </c>
      <c r="E9608">
        <v>0</v>
      </c>
      <c r="F9608">
        <f t="shared" si="159"/>
        <v>0.65</v>
      </c>
      <c r="G9608">
        <v>0.75</v>
      </c>
      <c r="H9608">
        <f t="shared" si="158"/>
        <v>0.48750000000000004</v>
      </c>
      <c r="I9608">
        <v>20240701</v>
      </c>
      <c r="J9608" t="s">
        <v>8960</v>
      </c>
    </row>
    <row r="9609" spans="1:14" x14ac:dyDescent="0.3">
      <c r="A9609" s="160">
        <v>69207</v>
      </c>
      <c r="B9609" t="s">
        <v>24621</v>
      </c>
      <c r="C9609" t="s">
        <v>177</v>
      </c>
      <c r="D9609">
        <v>2</v>
      </c>
      <c r="E9609">
        <v>0</v>
      </c>
      <c r="F9609">
        <f t="shared" si="159"/>
        <v>2</v>
      </c>
      <c r="G9609">
        <v>0.75</v>
      </c>
      <c r="H9609">
        <f t="shared" si="158"/>
        <v>1.5</v>
      </c>
      <c r="I9609">
        <v>20220701</v>
      </c>
      <c r="J9609" t="s">
        <v>8943</v>
      </c>
    </row>
    <row r="9610" spans="1:14" x14ac:dyDescent="0.3">
      <c r="A9610" s="160">
        <v>69208</v>
      </c>
      <c r="B9610" t="s">
        <v>24622</v>
      </c>
      <c r="C9610" t="s">
        <v>177</v>
      </c>
      <c r="D9610">
        <v>0.8</v>
      </c>
      <c r="E9610">
        <v>0</v>
      </c>
      <c r="F9610">
        <f t="shared" si="159"/>
        <v>0.8</v>
      </c>
      <c r="G9610">
        <v>0.75</v>
      </c>
      <c r="H9610">
        <f t="shared" si="158"/>
        <v>0.60000000000000009</v>
      </c>
      <c r="I9610">
        <v>20240701</v>
      </c>
      <c r="J9610" t="s">
        <v>8831</v>
      </c>
      <c r="K9610" t="s">
        <v>8832</v>
      </c>
      <c r="L9610" t="s">
        <v>8833</v>
      </c>
      <c r="M9610" t="s">
        <v>8834</v>
      </c>
    </row>
    <row r="9611" spans="1:14" x14ac:dyDescent="0.3">
      <c r="A9611" s="160">
        <v>69209</v>
      </c>
      <c r="B9611" t="s">
        <v>24623</v>
      </c>
      <c r="C9611" t="s">
        <v>177</v>
      </c>
      <c r="D9611">
        <v>0.65</v>
      </c>
      <c r="E9611">
        <v>0</v>
      </c>
      <c r="F9611">
        <f t="shared" si="159"/>
        <v>0.65</v>
      </c>
      <c r="G9611">
        <v>0.75</v>
      </c>
      <c r="H9611">
        <f t="shared" si="158"/>
        <v>0.48750000000000004</v>
      </c>
      <c r="I9611">
        <v>20240101</v>
      </c>
      <c r="J9611" t="s">
        <v>8822</v>
      </c>
    </row>
    <row r="9612" spans="1:14" x14ac:dyDescent="0.3">
      <c r="A9612" s="160">
        <v>69212</v>
      </c>
      <c r="B9612" t="s">
        <v>24624</v>
      </c>
      <c r="C9612" t="s">
        <v>177</v>
      </c>
      <c r="D9612">
        <v>0.8</v>
      </c>
      <c r="E9612">
        <v>0</v>
      </c>
      <c r="F9612">
        <f t="shared" si="159"/>
        <v>0.8</v>
      </c>
      <c r="G9612">
        <v>0.75</v>
      </c>
      <c r="H9612">
        <f t="shared" si="158"/>
        <v>0.60000000000000009</v>
      </c>
      <c r="I9612">
        <v>20240701</v>
      </c>
      <c r="J9612" t="s">
        <v>8825</v>
      </c>
    </row>
    <row r="9613" spans="1:14" x14ac:dyDescent="0.3">
      <c r="A9613" s="160">
        <v>69214</v>
      </c>
      <c r="B9613" t="s">
        <v>24625</v>
      </c>
      <c r="C9613" t="s">
        <v>177</v>
      </c>
      <c r="D9613">
        <v>0.65</v>
      </c>
      <c r="E9613">
        <v>0</v>
      </c>
      <c r="F9613">
        <f t="shared" si="159"/>
        <v>0.65</v>
      </c>
      <c r="G9613">
        <v>0.75</v>
      </c>
      <c r="H9613">
        <f t="shared" si="158"/>
        <v>0.48750000000000004</v>
      </c>
      <c r="I9613">
        <v>20240701</v>
      </c>
      <c r="J9613" t="s">
        <v>8827</v>
      </c>
    </row>
    <row r="9614" spans="1:14" x14ac:dyDescent="0.3">
      <c r="A9614" s="160">
        <v>69215</v>
      </c>
      <c r="B9614" t="s">
        <v>17216</v>
      </c>
      <c r="C9614" t="s">
        <v>177</v>
      </c>
      <c r="D9614">
        <v>0.9</v>
      </c>
      <c r="E9614">
        <v>0</v>
      </c>
      <c r="F9614">
        <f t="shared" si="159"/>
        <v>0.9</v>
      </c>
      <c r="G9614">
        <v>0.75</v>
      </c>
      <c r="H9614">
        <f t="shared" si="158"/>
        <v>0.67500000000000004</v>
      </c>
      <c r="I9614">
        <v>20240701</v>
      </c>
      <c r="J9614" t="s">
        <v>8899</v>
      </c>
    </row>
    <row r="9615" spans="1:14" x14ac:dyDescent="0.3">
      <c r="A9615" s="160">
        <v>69216</v>
      </c>
      <c r="B9615" t="s">
        <v>24626</v>
      </c>
      <c r="C9615" t="s">
        <v>177</v>
      </c>
      <c r="D9615">
        <v>0.8</v>
      </c>
      <c r="E9615">
        <v>0</v>
      </c>
      <c r="F9615">
        <f t="shared" si="159"/>
        <v>0.8</v>
      </c>
      <c r="G9615">
        <v>0.75</v>
      </c>
      <c r="H9615">
        <f t="shared" si="158"/>
        <v>0.60000000000000009</v>
      </c>
      <c r="I9615">
        <v>20240701</v>
      </c>
      <c r="J9615" t="s">
        <v>8853</v>
      </c>
    </row>
    <row r="9616" spans="1:14" x14ac:dyDescent="0.3">
      <c r="A9616" s="160">
        <v>69217</v>
      </c>
      <c r="B9616" t="s">
        <v>24627</v>
      </c>
      <c r="C9616" t="s">
        <v>177</v>
      </c>
      <c r="D9616">
        <v>0.65</v>
      </c>
      <c r="E9616">
        <v>0</v>
      </c>
      <c r="F9616">
        <f t="shared" si="159"/>
        <v>0.65</v>
      </c>
      <c r="G9616">
        <v>0.75</v>
      </c>
      <c r="H9616">
        <f t="shared" si="158"/>
        <v>0.48750000000000004</v>
      </c>
      <c r="I9616">
        <v>20240701</v>
      </c>
      <c r="J9616" t="s">
        <v>8880</v>
      </c>
    </row>
    <row r="9617" spans="1:11" x14ac:dyDescent="0.3">
      <c r="A9617" s="160">
        <v>69218</v>
      </c>
      <c r="B9617" t="s">
        <v>24628</v>
      </c>
      <c r="C9617" t="s">
        <v>177</v>
      </c>
      <c r="D9617">
        <v>0.65</v>
      </c>
      <c r="E9617">
        <v>0</v>
      </c>
      <c r="F9617">
        <f t="shared" si="159"/>
        <v>0.65</v>
      </c>
      <c r="G9617">
        <v>0.75</v>
      </c>
      <c r="H9617">
        <f t="shared" si="158"/>
        <v>0.48750000000000004</v>
      </c>
      <c r="I9617">
        <v>20240701</v>
      </c>
      <c r="J9617" t="s">
        <v>8848</v>
      </c>
    </row>
    <row r="9618" spans="1:11" x14ac:dyDescent="0.3">
      <c r="A9618" s="160">
        <v>69219</v>
      </c>
      <c r="B9618" t="s">
        <v>24629</v>
      </c>
      <c r="C9618" t="s">
        <v>177</v>
      </c>
      <c r="D9618">
        <v>0.8</v>
      </c>
      <c r="E9618">
        <v>0</v>
      </c>
      <c r="F9618">
        <f t="shared" si="159"/>
        <v>0.8</v>
      </c>
      <c r="G9618">
        <v>0.75</v>
      </c>
      <c r="H9618">
        <f t="shared" si="158"/>
        <v>0.60000000000000009</v>
      </c>
      <c r="I9618">
        <v>20240701</v>
      </c>
      <c r="J9618" t="s">
        <v>8897</v>
      </c>
    </row>
    <row r="9619" spans="1:11" x14ac:dyDescent="0.3">
      <c r="A9619" s="160">
        <v>69220</v>
      </c>
      <c r="B9619" t="s">
        <v>24630</v>
      </c>
      <c r="C9619" t="s">
        <v>177</v>
      </c>
      <c r="D9619">
        <v>0.65</v>
      </c>
      <c r="E9619">
        <v>0</v>
      </c>
      <c r="F9619">
        <f t="shared" si="159"/>
        <v>0.65</v>
      </c>
      <c r="G9619">
        <v>0.75</v>
      </c>
      <c r="H9619">
        <f t="shared" si="158"/>
        <v>0.48750000000000004</v>
      </c>
      <c r="I9619">
        <v>20240701</v>
      </c>
      <c r="J9619" t="s">
        <v>8945</v>
      </c>
    </row>
    <row r="9620" spans="1:11" x14ac:dyDescent="0.3">
      <c r="A9620" s="160">
        <v>69225</v>
      </c>
      <c r="B9620" t="s">
        <v>24631</v>
      </c>
      <c r="C9620" t="s">
        <v>177</v>
      </c>
      <c r="D9620">
        <v>0.65</v>
      </c>
      <c r="E9620">
        <v>0</v>
      </c>
      <c r="F9620">
        <f t="shared" si="159"/>
        <v>0.65</v>
      </c>
      <c r="G9620">
        <v>0.75</v>
      </c>
      <c r="H9620">
        <f t="shared" si="158"/>
        <v>0.48750000000000004</v>
      </c>
      <c r="I9620">
        <v>20240701</v>
      </c>
      <c r="J9620" t="s">
        <v>8821</v>
      </c>
      <c r="K9620" t="s">
        <v>8961</v>
      </c>
    </row>
    <row r="9621" spans="1:11" x14ac:dyDescent="0.3">
      <c r="A9621" s="160">
        <v>69227</v>
      </c>
      <c r="B9621" t="s">
        <v>24632</v>
      </c>
      <c r="C9621" t="s">
        <v>177</v>
      </c>
      <c r="D9621">
        <v>0.65</v>
      </c>
      <c r="E9621">
        <v>0</v>
      </c>
      <c r="F9621">
        <f t="shared" si="159"/>
        <v>0.65</v>
      </c>
      <c r="G9621">
        <v>0.75</v>
      </c>
      <c r="H9621">
        <f t="shared" si="158"/>
        <v>0.48750000000000004</v>
      </c>
      <c r="I9621">
        <v>20240701</v>
      </c>
      <c r="J9621" t="s">
        <v>8909</v>
      </c>
    </row>
    <row r="9622" spans="1:11" x14ac:dyDescent="0.3">
      <c r="A9622" s="160">
        <v>69228</v>
      </c>
      <c r="B9622" t="s">
        <v>24633</v>
      </c>
      <c r="C9622" t="s">
        <v>177</v>
      </c>
      <c r="D9622">
        <v>0.8</v>
      </c>
      <c r="E9622">
        <v>0</v>
      </c>
      <c r="F9622">
        <f t="shared" si="159"/>
        <v>0.8</v>
      </c>
      <c r="G9622">
        <v>0.75</v>
      </c>
      <c r="H9622">
        <f t="shared" si="158"/>
        <v>0.60000000000000009</v>
      </c>
      <c r="I9622">
        <v>20240701</v>
      </c>
      <c r="J9622" t="s">
        <v>8897</v>
      </c>
    </row>
    <row r="9623" spans="1:11" x14ac:dyDescent="0.3">
      <c r="A9623" s="160">
        <v>69229</v>
      </c>
      <c r="B9623" t="s">
        <v>24634</v>
      </c>
      <c r="C9623" t="s">
        <v>177</v>
      </c>
      <c r="D9623">
        <v>0.65</v>
      </c>
      <c r="E9623">
        <v>0</v>
      </c>
      <c r="F9623">
        <f t="shared" si="159"/>
        <v>0.65</v>
      </c>
      <c r="G9623">
        <v>0.75</v>
      </c>
      <c r="H9623">
        <f t="shared" si="158"/>
        <v>0.48750000000000004</v>
      </c>
      <c r="I9623">
        <v>20240701</v>
      </c>
      <c r="J9623" t="s">
        <v>8880</v>
      </c>
    </row>
    <row r="9624" spans="1:11" x14ac:dyDescent="0.3">
      <c r="A9624" s="160">
        <v>69231</v>
      </c>
      <c r="B9624" t="s">
        <v>24635</v>
      </c>
      <c r="C9624" t="s">
        <v>177</v>
      </c>
      <c r="D9624">
        <v>0.8</v>
      </c>
      <c r="E9624">
        <v>0</v>
      </c>
      <c r="F9624">
        <f t="shared" si="159"/>
        <v>0.8</v>
      </c>
      <c r="G9624">
        <v>0.75</v>
      </c>
      <c r="H9624">
        <f t="shared" si="158"/>
        <v>0.60000000000000009</v>
      </c>
      <c r="I9624">
        <v>20240701</v>
      </c>
      <c r="J9624" t="s">
        <v>8831</v>
      </c>
      <c r="K9624" t="s">
        <v>8944</v>
      </c>
    </row>
    <row r="9625" spans="1:11" x14ac:dyDescent="0.3">
      <c r="A9625" s="160">
        <v>69233</v>
      </c>
      <c r="B9625" t="s">
        <v>24636</v>
      </c>
      <c r="C9625" t="s">
        <v>177</v>
      </c>
      <c r="D9625">
        <v>2</v>
      </c>
      <c r="E9625">
        <v>0</v>
      </c>
      <c r="F9625">
        <f t="shared" si="159"/>
        <v>2</v>
      </c>
      <c r="G9625">
        <v>0.75</v>
      </c>
      <c r="H9625">
        <f t="shared" si="158"/>
        <v>1.5</v>
      </c>
      <c r="I9625">
        <v>20220701</v>
      </c>
      <c r="J9625" t="s">
        <v>8868</v>
      </c>
    </row>
    <row r="9626" spans="1:11" x14ac:dyDescent="0.3">
      <c r="A9626" s="160">
        <v>69234</v>
      </c>
      <c r="B9626" t="s">
        <v>24637</v>
      </c>
      <c r="C9626" t="s">
        <v>177</v>
      </c>
      <c r="D9626">
        <v>0.65</v>
      </c>
      <c r="E9626">
        <v>0</v>
      </c>
      <c r="F9626">
        <f t="shared" si="159"/>
        <v>0.65</v>
      </c>
      <c r="G9626">
        <v>0.75</v>
      </c>
      <c r="H9626">
        <f t="shared" si="158"/>
        <v>0.48750000000000004</v>
      </c>
      <c r="I9626">
        <v>20240701</v>
      </c>
      <c r="J9626" t="s">
        <v>8830</v>
      </c>
    </row>
    <row r="9627" spans="1:11" x14ac:dyDescent="0.3">
      <c r="A9627" s="160">
        <v>69235</v>
      </c>
      <c r="B9627" t="s">
        <v>24638</v>
      </c>
      <c r="C9627" t="s">
        <v>4472</v>
      </c>
      <c r="D9627">
        <v>0.8</v>
      </c>
      <c r="E9627">
        <v>0</v>
      </c>
      <c r="F9627">
        <f t="shared" si="159"/>
        <v>0.8</v>
      </c>
      <c r="I9627">
        <v>20130701</v>
      </c>
      <c r="J9627" t="s">
        <v>8946</v>
      </c>
    </row>
    <row r="9628" spans="1:11" x14ac:dyDescent="0.3">
      <c r="A9628" s="160">
        <v>69236</v>
      </c>
      <c r="B9628" t="s">
        <v>24639</v>
      </c>
      <c r="C9628" t="s">
        <v>4472</v>
      </c>
      <c r="D9628">
        <v>0.8</v>
      </c>
      <c r="E9628">
        <v>0</v>
      </c>
      <c r="F9628">
        <f t="shared" si="159"/>
        <v>0.8</v>
      </c>
      <c r="I9628">
        <v>20180901</v>
      </c>
      <c r="J9628" t="s">
        <v>8895</v>
      </c>
    </row>
    <row r="9629" spans="1:11" x14ac:dyDescent="0.3">
      <c r="A9629" s="160">
        <v>69238</v>
      </c>
      <c r="B9629" t="s">
        <v>24640</v>
      </c>
      <c r="C9629" t="s">
        <v>177</v>
      </c>
      <c r="D9629">
        <v>0.65</v>
      </c>
      <c r="E9629">
        <v>0</v>
      </c>
      <c r="F9629">
        <f t="shared" si="159"/>
        <v>0.65</v>
      </c>
      <c r="G9629">
        <v>0.75</v>
      </c>
      <c r="H9629">
        <f t="shared" ref="H9629:H9640" si="160">G9629*F9629</f>
        <v>0.48750000000000004</v>
      </c>
      <c r="I9629">
        <v>20240701</v>
      </c>
      <c r="J9629" t="s">
        <v>8890</v>
      </c>
    </row>
    <row r="9630" spans="1:11" x14ac:dyDescent="0.3">
      <c r="A9630" s="160">
        <v>69239</v>
      </c>
      <c r="B9630" t="s">
        <v>24641</v>
      </c>
      <c r="C9630" t="s">
        <v>177</v>
      </c>
      <c r="D9630">
        <v>0.8</v>
      </c>
      <c r="E9630">
        <v>0</v>
      </c>
      <c r="F9630">
        <f t="shared" si="159"/>
        <v>0.8</v>
      </c>
      <c r="G9630">
        <v>0.75</v>
      </c>
      <c r="H9630">
        <f t="shared" si="160"/>
        <v>0.60000000000000009</v>
      </c>
      <c r="I9630">
        <v>20240701</v>
      </c>
      <c r="J9630" t="s">
        <v>8847</v>
      </c>
    </row>
    <row r="9631" spans="1:11" x14ac:dyDescent="0.3">
      <c r="A9631" s="160">
        <v>69240</v>
      </c>
      <c r="B9631" t="s">
        <v>24642</v>
      </c>
      <c r="C9631" t="s">
        <v>177</v>
      </c>
      <c r="D9631">
        <v>0.65</v>
      </c>
      <c r="E9631">
        <v>0</v>
      </c>
      <c r="F9631">
        <f t="shared" si="159"/>
        <v>0.65</v>
      </c>
      <c r="G9631">
        <v>0.75</v>
      </c>
      <c r="H9631">
        <f t="shared" si="160"/>
        <v>0.48750000000000004</v>
      </c>
      <c r="I9631">
        <v>20240701</v>
      </c>
      <c r="J9631" t="s">
        <v>8942</v>
      </c>
    </row>
    <row r="9632" spans="1:11" x14ac:dyDescent="0.3">
      <c r="A9632" s="160">
        <v>69241</v>
      </c>
      <c r="B9632" t="s">
        <v>24643</v>
      </c>
      <c r="C9632" t="s">
        <v>177</v>
      </c>
      <c r="D9632">
        <v>0.8</v>
      </c>
      <c r="E9632">
        <v>0</v>
      </c>
      <c r="F9632">
        <f t="shared" si="159"/>
        <v>0.8</v>
      </c>
      <c r="G9632">
        <v>0.75</v>
      </c>
      <c r="H9632">
        <f t="shared" si="160"/>
        <v>0.60000000000000009</v>
      </c>
      <c r="I9632">
        <v>20240701</v>
      </c>
      <c r="J9632" t="s">
        <v>8897</v>
      </c>
    </row>
    <row r="9633" spans="1:26" x14ac:dyDescent="0.3">
      <c r="A9633" s="160">
        <v>69242</v>
      </c>
      <c r="B9633" t="s">
        <v>24644</v>
      </c>
      <c r="C9633" t="s">
        <v>177</v>
      </c>
      <c r="D9633">
        <v>0.65</v>
      </c>
      <c r="E9633">
        <v>0</v>
      </c>
      <c r="F9633">
        <f t="shared" si="159"/>
        <v>0.65</v>
      </c>
      <c r="G9633">
        <v>0.75</v>
      </c>
      <c r="H9633">
        <f t="shared" si="160"/>
        <v>0.48750000000000004</v>
      </c>
      <c r="I9633">
        <v>20240701</v>
      </c>
      <c r="J9633" t="s">
        <v>8848</v>
      </c>
    </row>
    <row r="9634" spans="1:26" x14ac:dyDescent="0.3">
      <c r="A9634" s="160">
        <v>69243</v>
      </c>
      <c r="B9634" t="s">
        <v>24645</v>
      </c>
      <c r="C9634" t="s">
        <v>177</v>
      </c>
      <c r="D9634">
        <v>0.65</v>
      </c>
      <c r="E9634">
        <v>0</v>
      </c>
      <c r="F9634">
        <f t="shared" si="159"/>
        <v>0.65</v>
      </c>
      <c r="G9634">
        <v>0.75</v>
      </c>
      <c r="H9634">
        <f t="shared" si="160"/>
        <v>0.48750000000000004</v>
      </c>
      <c r="I9634">
        <v>20240701</v>
      </c>
      <c r="J9634" t="s">
        <v>8821</v>
      </c>
      <c r="K9634" t="s">
        <v>8961</v>
      </c>
      <c r="L9634" t="s">
        <v>8962</v>
      </c>
      <c r="M9634" t="s">
        <v>8963</v>
      </c>
    </row>
    <row r="9635" spans="1:26" x14ac:dyDescent="0.3">
      <c r="A9635" s="160">
        <v>69244</v>
      </c>
      <c r="B9635" t="s">
        <v>24646</v>
      </c>
      <c r="C9635" t="s">
        <v>177</v>
      </c>
      <c r="D9635">
        <v>2</v>
      </c>
      <c r="E9635">
        <v>0</v>
      </c>
      <c r="F9635">
        <f t="shared" si="159"/>
        <v>2</v>
      </c>
      <c r="G9635">
        <v>0.75</v>
      </c>
      <c r="H9635">
        <f t="shared" si="160"/>
        <v>1.5</v>
      </c>
      <c r="I9635">
        <v>20220701</v>
      </c>
      <c r="J9635" t="s">
        <v>8964</v>
      </c>
      <c r="K9635" t="s">
        <v>8919</v>
      </c>
      <c r="L9635" t="s">
        <v>8920</v>
      </c>
      <c r="M9635" t="s">
        <v>8921</v>
      </c>
      <c r="N9635" t="s">
        <v>8965</v>
      </c>
      <c r="O9635" t="s">
        <v>8922</v>
      </c>
    </row>
    <row r="9636" spans="1:26" x14ac:dyDescent="0.3">
      <c r="A9636" s="160">
        <v>69245</v>
      </c>
      <c r="B9636" t="s">
        <v>24647</v>
      </c>
      <c r="C9636" t="s">
        <v>177</v>
      </c>
      <c r="D9636">
        <v>0.8</v>
      </c>
      <c r="E9636">
        <v>0</v>
      </c>
      <c r="F9636">
        <f t="shared" si="159"/>
        <v>0.8</v>
      </c>
      <c r="G9636">
        <v>0.75</v>
      </c>
      <c r="H9636">
        <f t="shared" si="160"/>
        <v>0.60000000000000009</v>
      </c>
      <c r="I9636">
        <v>20240701</v>
      </c>
      <c r="J9636" t="s">
        <v>8847</v>
      </c>
    </row>
    <row r="9637" spans="1:26" x14ac:dyDescent="0.3">
      <c r="A9637" s="160">
        <v>69246</v>
      </c>
      <c r="B9637" t="s">
        <v>24648</v>
      </c>
      <c r="C9637" t="s">
        <v>177</v>
      </c>
      <c r="D9637">
        <v>0.8</v>
      </c>
      <c r="E9637">
        <v>0</v>
      </c>
      <c r="F9637">
        <f t="shared" si="159"/>
        <v>0.8</v>
      </c>
      <c r="G9637">
        <v>0.75</v>
      </c>
      <c r="H9637">
        <f t="shared" si="160"/>
        <v>0.60000000000000009</v>
      </c>
      <c r="I9637">
        <v>20240701</v>
      </c>
      <c r="J9637" t="s">
        <v>8847</v>
      </c>
    </row>
    <row r="9638" spans="1:26" x14ac:dyDescent="0.3">
      <c r="A9638" s="160">
        <v>69248</v>
      </c>
      <c r="B9638" t="s">
        <v>24649</v>
      </c>
      <c r="C9638" t="s">
        <v>177</v>
      </c>
      <c r="D9638">
        <v>0.65</v>
      </c>
      <c r="E9638">
        <v>0</v>
      </c>
      <c r="F9638">
        <f t="shared" si="159"/>
        <v>0.65</v>
      </c>
      <c r="G9638">
        <v>0.75</v>
      </c>
      <c r="H9638">
        <f t="shared" si="160"/>
        <v>0.48750000000000004</v>
      </c>
      <c r="I9638">
        <v>20240701</v>
      </c>
      <c r="J9638" t="s">
        <v>8942</v>
      </c>
    </row>
    <row r="9639" spans="1:26" x14ac:dyDescent="0.3">
      <c r="A9639" s="160">
        <v>69249</v>
      </c>
      <c r="B9639" t="s">
        <v>24650</v>
      </c>
      <c r="C9639" t="s">
        <v>177</v>
      </c>
      <c r="D9639">
        <v>0.8</v>
      </c>
      <c r="E9639">
        <v>0</v>
      </c>
      <c r="F9639">
        <f t="shared" si="159"/>
        <v>0.8</v>
      </c>
      <c r="G9639">
        <v>0.75</v>
      </c>
      <c r="H9639">
        <f t="shared" si="160"/>
        <v>0.60000000000000009</v>
      </c>
      <c r="I9639">
        <v>20240701</v>
      </c>
      <c r="J9639" t="s">
        <v>8929</v>
      </c>
    </row>
    <row r="9640" spans="1:26" x14ac:dyDescent="0.3">
      <c r="A9640" s="160">
        <v>69250</v>
      </c>
      <c r="B9640" t="s">
        <v>24651</v>
      </c>
      <c r="C9640" t="s">
        <v>177</v>
      </c>
      <c r="D9640">
        <v>2</v>
      </c>
      <c r="E9640">
        <v>0</v>
      </c>
      <c r="F9640">
        <f t="shared" si="159"/>
        <v>2</v>
      </c>
      <c r="G9640">
        <v>0.75</v>
      </c>
      <c r="H9640">
        <f t="shared" si="160"/>
        <v>1.5</v>
      </c>
      <c r="I9640">
        <v>20220701</v>
      </c>
      <c r="J9640" t="s">
        <v>8893</v>
      </c>
      <c r="K9640" t="s">
        <v>8966</v>
      </c>
    </row>
    <row r="9641" spans="1:26" x14ac:dyDescent="0.3">
      <c r="A9641" s="160">
        <v>69252</v>
      </c>
      <c r="B9641" t="s">
        <v>24652</v>
      </c>
      <c r="C9641" t="s">
        <v>4472</v>
      </c>
      <c r="D9641">
        <v>0.8</v>
      </c>
      <c r="E9641">
        <v>0</v>
      </c>
      <c r="F9641">
        <f t="shared" si="159"/>
        <v>0.8</v>
      </c>
      <c r="I9641">
        <v>20180901</v>
      </c>
      <c r="J9641" t="s">
        <v>8828</v>
      </c>
    </row>
    <row r="9642" spans="1:26" x14ac:dyDescent="0.3">
      <c r="A9642" s="160">
        <v>69253</v>
      </c>
      <c r="B9642" t="s">
        <v>24653</v>
      </c>
      <c r="C9642" t="s">
        <v>4472</v>
      </c>
      <c r="D9642">
        <v>0.8</v>
      </c>
      <c r="E9642">
        <v>0</v>
      </c>
      <c r="F9642">
        <f t="shared" si="159"/>
        <v>0.8</v>
      </c>
      <c r="I9642">
        <v>20180901</v>
      </c>
      <c r="J9642" t="s">
        <v>8828</v>
      </c>
    </row>
    <row r="9643" spans="1:26" x14ac:dyDescent="0.3">
      <c r="A9643" s="160">
        <v>69254</v>
      </c>
      <c r="B9643" t="s">
        <v>24654</v>
      </c>
      <c r="C9643" t="s">
        <v>177</v>
      </c>
      <c r="D9643">
        <v>0.65</v>
      </c>
      <c r="E9643">
        <v>0</v>
      </c>
      <c r="F9643">
        <f t="shared" si="159"/>
        <v>0.65</v>
      </c>
      <c r="G9643">
        <v>0.75</v>
      </c>
      <c r="H9643">
        <f t="shared" ref="H9643:H9674" si="161">G9643*F9643</f>
        <v>0.48750000000000004</v>
      </c>
      <c r="I9643">
        <v>20240701</v>
      </c>
      <c r="J9643" t="s">
        <v>8821</v>
      </c>
    </row>
    <row r="9644" spans="1:26" x14ac:dyDescent="0.3">
      <c r="A9644" s="160">
        <v>69255</v>
      </c>
      <c r="B9644" t="s">
        <v>24655</v>
      </c>
      <c r="C9644" t="s">
        <v>177</v>
      </c>
      <c r="D9644">
        <v>0.8</v>
      </c>
      <c r="E9644">
        <v>0</v>
      </c>
      <c r="F9644">
        <f t="shared" si="159"/>
        <v>0.8</v>
      </c>
      <c r="G9644">
        <v>0.75</v>
      </c>
      <c r="H9644">
        <f t="shared" si="161"/>
        <v>0.60000000000000009</v>
      </c>
      <c r="I9644">
        <v>20240701</v>
      </c>
      <c r="J9644" t="s">
        <v>8967</v>
      </c>
    </row>
    <row r="9645" spans="1:26" x14ac:dyDescent="0.3">
      <c r="A9645" s="160">
        <v>69256</v>
      </c>
      <c r="B9645" t="s">
        <v>24656</v>
      </c>
      <c r="C9645" t="s">
        <v>177</v>
      </c>
      <c r="D9645">
        <v>2</v>
      </c>
      <c r="E9645">
        <v>0</v>
      </c>
      <c r="F9645">
        <f t="shared" si="159"/>
        <v>2</v>
      </c>
      <c r="G9645">
        <v>0.75</v>
      </c>
      <c r="H9645">
        <f t="shared" si="161"/>
        <v>1.5</v>
      </c>
      <c r="I9645">
        <v>20220701</v>
      </c>
      <c r="J9645" t="s">
        <v>8968</v>
      </c>
      <c r="K9645" t="s">
        <v>8969</v>
      </c>
      <c r="L9645" t="s">
        <v>8970</v>
      </c>
      <c r="M9645" t="s">
        <v>8858</v>
      </c>
      <c r="N9645" t="s">
        <v>8971</v>
      </c>
      <c r="O9645" t="s">
        <v>8972</v>
      </c>
      <c r="P9645" t="s">
        <v>8973</v>
      </c>
      <c r="Q9645" t="s">
        <v>8974</v>
      </c>
      <c r="R9645" t="s">
        <v>8975</v>
      </c>
    </row>
    <row r="9646" spans="1:26" x14ac:dyDescent="0.3">
      <c r="A9646" s="160">
        <v>69257</v>
      </c>
      <c r="B9646" t="s">
        <v>24657</v>
      </c>
      <c r="C9646" t="s">
        <v>177</v>
      </c>
      <c r="D9646">
        <v>0.9</v>
      </c>
      <c r="E9646">
        <v>0</v>
      </c>
      <c r="F9646">
        <f t="shared" si="159"/>
        <v>0.9</v>
      </c>
      <c r="G9646">
        <v>0.75</v>
      </c>
      <c r="H9646">
        <f t="shared" si="161"/>
        <v>0.67500000000000004</v>
      </c>
      <c r="I9646">
        <v>20240701</v>
      </c>
      <c r="J9646" t="s">
        <v>8854</v>
      </c>
    </row>
    <row r="9647" spans="1:26" x14ac:dyDescent="0.3">
      <c r="A9647" s="160">
        <v>69258</v>
      </c>
      <c r="B9647" t="s">
        <v>24658</v>
      </c>
      <c r="C9647" t="s">
        <v>177</v>
      </c>
      <c r="D9647">
        <v>0.65</v>
      </c>
      <c r="E9647">
        <v>0</v>
      </c>
      <c r="F9647">
        <f t="shared" si="159"/>
        <v>0.65</v>
      </c>
      <c r="G9647">
        <v>0.75</v>
      </c>
      <c r="H9647">
        <f t="shared" si="161"/>
        <v>0.48750000000000004</v>
      </c>
      <c r="I9647">
        <v>20240701</v>
      </c>
      <c r="J9647" t="s">
        <v>8916</v>
      </c>
    </row>
    <row r="9648" spans="1:26" x14ac:dyDescent="0.3">
      <c r="A9648" s="160">
        <v>69259</v>
      </c>
      <c r="B9648" t="s">
        <v>24659</v>
      </c>
      <c r="C9648" t="s">
        <v>177</v>
      </c>
      <c r="D9648">
        <v>2</v>
      </c>
      <c r="E9648">
        <v>0</v>
      </c>
      <c r="F9648">
        <f t="shared" si="159"/>
        <v>2</v>
      </c>
      <c r="G9648">
        <v>0.75</v>
      </c>
      <c r="H9648">
        <f t="shared" si="161"/>
        <v>1.5</v>
      </c>
      <c r="I9648">
        <v>20220701</v>
      </c>
      <c r="J9648" t="s">
        <v>8976</v>
      </c>
      <c r="K9648" t="s">
        <v>8977</v>
      </c>
      <c r="L9648" t="s">
        <v>8978</v>
      </c>
      <c r="M9648" t="s">
        <v>8979</v>
      </c>
      <c r="N9648" t="s">
        <v>8980</v>
      </c>
      <c r="O9648" t="s">
        <v>8981</v>
      </c>
      <c r="P9648" t="s">
        <v>8982</v>
      </c>
      <c r="Q9648" t="s">
        <v>8983</v>
      </c>
      <c r="R9648" t="s">
        <v>8984</v>
      </c>
      <c r="S9648" t="s">
        <v>8985</v>
      </c>
      <c r="T9648" t="s">
        <v>8986</v>
      </c>
      <c r="U9648" t="s">
        <v>8987</v>
      </c>
      <c r="V9648" t="s">
        <v>8988</v>
      </c>
      <c r="W9648" t="s">
        <v>8989</v>
      </c>
      <c r="X9648" t="s">
        <v>8990</v>
      </c>
      <c r="Y9648" t="s">
        <v>8991</v>
      </c>
      <c r="Z9648" t="s">
        <v>8992</v>
      </c>
    </row>
    <row r="9649" spans="1:35" x14ac:dyDescent="0.3">
      <c r="A9649" s="160">
        <v>69260</v>
      </c>
      <c r="B9649" t="s">
        <v>24660</v>
      </c>
      <c r="C9649" t="s">
        <v>177</v>
      </c>
      <c r="D9649">
        <v>2</v>
      </c>
      <c r="E9649">
        <v>0</v>
      </c>
      <c r="F9649">
        <f t="shared" si="159"/>
        <v>2</v>
      </c>
      <c r="G9649">
        <v>0.75</v>
      </c>
      <c r="H9649">
        <f t="shared" si="161"/>
        <v>1.5</v>
      </c>
      <c r="I9649">
        <v>20220701</v>
      </c>
      <c r="J9649" t="s">
        <v>8894</v>
      </c>
    </row>
    <row r="9650" spans="1:35" x14ac:dyDescent="0.3">
      <c r="A9650" s="160">
        <v>69261</v>
      </c>
      <c r="B9650" t="s">
        <v>24661</v>
      </c>
      <c r="C9650" t="s">
        <v>177</v>
      </c>
      <c r="D9650">
        <v>0.65</v>
      </c>
      <c r="E9650">
        <v>0</v>
      </c>
      <c r="F9650">
        <f t="shared" si="159"/>
        <v>0.65</v>
      </c>
      <c r="G9650">
        <v>0.75</v>
      </c>
      <c r="H9650">
        <f t="shared" si="161"/>
        <v>0.48750000000000004</v>
      </c>
      <c r="I9650">
        <v>20240701</v>
      </c>
      <c r="J9650" t="s">
        <v>8835</v>
      </c>
    </row>
    <row r="9651" spans="1:35" x14ac:dyDescent="0.3">
      <c r="A9651" s="160">
        <v>69263</v>
      </c>
      <c r="B9651" t="s">
        <v>24662</v>
      </c>
      <c r="C9651" t="s">
        <v>177</v>
      </c>
      <c r="D9651">
        <v>0.65</v>
      </c>
      <c r="E9651">
        <v>0</v>
      </c>
      <c r="F9651">
        <f t="shared" si="159"/>
        <v>0.65</v>
      </c>
      <c r="G9651">
        <v>0.75</v>
      </c>
      <c r="H9651">
        <f t="shared" si="161"/>
        <v>0.48750000000000004</v>
      </c>
      <c r="I9651">
        <v>20240701</v>
      </c>
      <c r="J9651" t="s">
        <v>8881</v>
      </c>
    </row>
    <row r="9652" spans="1:35" x14ac:dyDescent="0.3">
      <c r="A9652" s="160">
        <v>69264</v>
      </c>
      <c r="B9652" t="s">
        <v>24663</v>
      </c>
      <c r="C9652" t="s">
        <v>177</v>
      </c>
      <c r="D9652">
        <v>0.9</v>
      </c>
      <c r="E9652">
        <v>0</v>
      </c>
      <c r="F9652">
        <f t="shared" si="159"/>
        <v>0.9</v>
      </c>
      <c r="G9652">
        <v>0.75</v>
      </c>
      <c r="H9652">
        <f t="shared" si="161"/>
        <v>0.67500000000000004</v>
      </c>
      <c r="I9652">
        <v>20240701</v>
      </c>
      <c r="J9652" t="s">
        <v>8836</v>
      </c>
      <c r="K9652" t="s">
        <v>8837</v>
      </c>
      <c r="L9652" t="s">
        <v>8838</v>
      </c>
      <c r="M9652" t="s">
        <v>8839</v>
      </c>
      <c r="N9652" t="s">
        <v>8840</v>
      </c>
      <c r="O9652" t="s">
        <v>8841</v>
      </c>
      <c r="P9652" t="s">
        <v>8842</v>
      </c>
      <c r="Q9652" t="s">
        <v>8843</v>
      </c>
      <c r="R9652" t="s">
        <v>8844</v>
      </c>
      <c r="S9652" t="s">
        <v>8845</v>
      </c>
      <c r="T9652" t="s">
        <v>8993</v>
      </c>
      <c r="U9652" t="s">
        <v>8924</v>
      </c>
      <c r="V9652" t="s">
        <v>8994</v>
      </c>
    </row>
    <row r="9653" spans="1:35" x14ac:dyDescent="0.3">
      <c r="A9653" s="160">
        <v>69265</v>
      </c>
      <c r="B9653" t="s">
        <v>24664</v>
      </c>
      <c r="C9653" t="s">
        <v>177</v>
      </c>
      <c r="D9653">
        <v>0.9</v>
      </c>
      <c r="E9653">
        <v>0</v>
      </c>
      <c r="F9653">
        <f t="shared" si="159"/>
        <v>0.9</v>
      </c>
      <c r="G9653">
        <v>0.75</v>
      </c>
      <c r="H9653">
        <f t="shared" si="161"/>
        <v>0.67500000000000004</v>
      </c>
      <c r="I9653">
        <v>20240701</v>
      </c>
      <c r="J9653" t="s">
        <v>8899</v>
      </c>
    </row>
    <row r="9654" spans="1:35" x14ac:dyDescent="0.3">
      <c r="A9654" s="160">
        <v>69266</v>
      </c>
      <c r="B9654" t="s">
        <v>24665</v>
      </c>
      <c r="C9654" t="s">
        <v>177</v>
      </c>
      <c r="D9654">
        <v>2</v>
      </c>
      <c r="E9654">
        <v>0</v>
      </c>
      <c r="F9654">
        <f t="shared" si="159"/>
        <v>2</v>
      </c>
      <c r="G9654">
        <v>0.75</v>
      </c>
      <c r="H9654">
        <f t="shared" si="161"/>
        <v>1.5</v>
      </c>
      <c r="I9654">
        <v>20220701</v>
      </c>
      <c r="J9654" t="s">
        <v>8995</v>
      </c>
      <c r="K9654" t="s">
        <v>8977</v>
      </c>
      <c r="L9654" t="s">
        <v>8996</v>
      </c>
      <c r="M9654" t="s">
        <v>8997</v>
      </c>
      <c r="N9654" t="s">
        <v>8998</v>
      </c>
      <c r="O9654" t="s">
        <v>8999</v>
      </c>
      <c r="P9654" t="s">
        <v>9000</v>
      </c>
      <c r="Q9654" t="s">
        <v>9001</v>
      </c>
      <c r="R9654" t="s">
        <v>9002</v>
      </c>
      <c r="S9654" t="s">
        <v>9003</v>
      </c>
      <c r="T9654" t="s">
        <v>9004</v>
      </c>
      <c r="U9654" t="s">
        <v>9005</v>
      </c>
      <c r="V9654" t="s">
        <v>9006</v>
      </c>
      <c r="W9654" t="s">
        <v>9007</v>
      </c>
      <c r="X9654" t="s">
        <v>9008</v>
      </c>
      <c r="Y9654" t="s">
        <v>9009</v>
      </c>
      <c r="Z9654" t="s">
        <v>9010</v>
      </c>
      <c r="AA9654" t="s">
        <v>9011</v>
      </c>
      <c r="AB9654" t="s">
        <v>9012</v>
      </c>
      <c r="AC9654" t="s">
        <v>9013</v>
      </c>
      <c r="AD9654" t="s">
        <v>9014</v>
      </c>
      <c r="AE9654" t="s">
        <v>9015</v>
      </c>
      <c r="AF9654" t="s">
        <v>9016</v>
      </c>
      <c r="AG9654" t="s">
        <v>9017</v>
      </c>
      <c r="AH9654" t="s">
        <v>9018</v>
      </c>
      <c r="AI9654" t="s">
        <v>9019</v>
      </c>
    </row>
    <row r="9655" spans="1:35" x14ac:dyDescent="0.3">
      <c r="A9655" s="160">
        <v>69267</v>
      </c>
      <c r="B9655" t="s">
        <v>24666</v>
      </c>
      <c r="C9655" t="s">
        <v>177</v>
      </c>
      <c r="D9655">
        <v>0.65</v>
      </c>
      <c r="E9655">
        <v>0</v>
      </c>
      <c r="F9655">
        <f t="shared" si="159"/>
        <v>0.65</v>
      </c>
      <c r="G9655">
        <v>0.75</v>
      </c>
      <c r="H9655">
        <f t="shared" si="161"/>
        <v>0.48750000000000004</v>
      </c>
      <c r="I9655">
        <v>20240701</v>
      </c>
      <c r="J9655" t="s">
        <v>9020</v>
      </c>
    </row>
    <row r="9656" spans="1:35" x14ac:dyDescent="0.3">
      <c r="A9656" s="160">
        <v>69268</v>
      </c>
      <c r="B9656" t="s">
        <v>24667</v>
      </c>
      <c r="C9656" t="s">
        <v>177</v>
      </c>
      <c r="D9656">
        <v>1.1499999999999999</v>
      </c>
      <c r="E9656">
        <v>0</v>
      </c>
      <c r="F9656">
        <f t="shared" si="159"/>
        <v>1.1499999999999999</v>
      </c>
      <c r="G9656">
        <v>0.75</v>
      </c>
      <c r="H9656">
        <f t="shared" si="161"/>
        <v>0.86249999999999993</v>
      </c>
      <c r="I9656">
        <v>20240701</v>
      </c>
      <c r="J9656" t="s">
        <v>8894</v>
      </c>
    </row>
    <row r="9657" spans="1:35" x14ac:dyDescent="0.3">
      <c r="A9657" s="160">
        <v>69269</v>
      </c>
      <c r="B9657" t="s">
        <v>24668</v>
      </c>
      <c r="C9657" t="s">
        <v>177</v>
      </c>
      <c r="D9657">
        <v>0.8</v>
      </c>
      <c r="E9657">
        <v>0</v>
      </c>
      <c r="F9657">
        <f t="shared" si="159"/>
        <v>0.8</v>
      </c>
      <c r="G9657">
        <v>0.75</v>
      </c>
      <c r="H9657">
        <f t="shared" si="161"/>
        <v>0.60000000000000009</v>
      </c>
      <c r="I9657">
        <v>20240701</v>
      </c>
      <c r="J9657" t="s">
        <v>8929</v>
      </c>
    </row>
    <row r="9658" spans="1:35" x14ac:dyDescent="0.3">
      <c r="A9658" s="160">
        <v>69270</v>
      </c>
      <c r="B9658" t="s">
        <v>24669</v>
      </c>
      <c r="C9658" t="s">
        <v>177</v>
      </c>
      <c r="D9658">
        <v>0.9</v>
      </c>
      <c r="E9658">
        <v>0</v>
      </c>
      <c r="F9658">
        <f t="shared" si="159"/>
        <v>0.9</v>
      </c>
      <c r="G9658">
        <v>0.75</v>
      </c>
      <c r="H9658">
        <f t="shared" si="161"/>
        <v>0.67500000000000004</v>
      </c>
      <c r="I9658">
        <v>20240701</v>
      </c>
      <c r="J9658" t="s">
        <v>9021</v>
      </c>
    </row>
    <row r="9659" spans="1:35" x14ac:dyDescent="0.3">
      <c r="A9659" s="160">
        <v>69271</v>
      </c>
      <c r="B9659" t="s">
        <v>24670</v>
      </c>
      <c r="C9659" t="s">
        <v>177</v>
      </c>
      <c r="D9659">
        <v>2</v>
      </c>
      <c r="E9659">
        <v>0</v>
      </c>
      <c r="F9659">
        <f t="shared" si="159"/>
        <v>2</v>
      </c>
      <c r="G9659">
        <v>0.75</v>
      </c>
      <c r="H9659">
        <f t="shared" si="161"/>
        <v>1.5</v>
      </c>
      <c r="I9659">
        <v>20220701</v>
      </c>
      <c r="J9659" t="s">
        <v>9022</v>
      </c>
      <c r="K9659" t="s">
        <v>9023</v>
      </c>
      <c r="L9659" t="s">
        <v>9024</v>
      </c>
      <c r="M9659" t="s">
        <v>9025</v>
      </c>
      <c r="N9659" t="s">
        <v>9026</v>
      </c>
      <c r="O9659" t="s">
        <v>9027</v>
      </c>
      <c r="P9659" t="s">
        <v>9028</v>
      </c>
      <c r="Q9659" t="s">
        <v>9029</v>
      </c>
      <c r="R9659" t="s">
        <v>9030</v>
      </c>
    </row>
    <row r="9660" spans="1:35" x14ac:dyDescent="0.3">
      <c r="A9660" s="160">
        <v>69272</v>
      </c>
      <c r="B9660" t="s">
        <v>24671</v>
      </c>
      <c r="C9660" t="s">
        <v>177</v>
      </c>
      <c r="D9660">
        <v>0.9</v>
      </c>
      <c r="E9660">
        <v>0</v>
      </c>
      <c r="F9660">
        <f t="shared" si="159"/>
        <v>0.9</v>
      </c>
      <c r="G9660">
        <v>0.75</v>
      </c>
      <c r="H9660">
        <f t="shared" si="161"/>
        <v>0.67500000000000004</v>
      </c>
      <c r="I9660">
        <v>20240701</v>
      </c>
      <c r="J9660" t="s">
        <v>9031</v>
      </c>
      <c r="K9660" t="s">
        <v>9032</v>
      </c>
    </row>
    <row r="9661" spans="1:35" x14ac:dyDescent="0.3">
      <c r="A9661" s="160">
        <v>69273</v>
      </c>
      <c r="B9661" t="s">
        <v>24672</v>
      </c>
      <c r="C9661" t="s">
        <v>177</v>
      </c>
      <c r="D9661">
        <v>2</v>
      </c>
      <c r="E9661">
        <v>0</v>
      </c>
      <c r="F9661">
        <f t="shared" si="159"/>
        <v>2</v>
      </c>
      <c r="G9661">
        <v>0.75</v>
      </c>
      <c r="H9661">
        <f t="shared" si="161"/>
        <v>1.5</v>
      </c>
      <c r="I9661">
        <v>20220701</v>
      </c>
      <c r="J9661" t="s">
        <v>9033</v>
      </c>
      <c r="K9661" t="s">
        <v>9034</v>
      </c>
      <c r="L9661" t="s">
        <v>9035</v>
      </c>
      <c r="M9661" t="s">
        <v>9036</v>
      </c>
      <c r="N9661" t="s">
        <v>9037</v>
      </c>
      <c r="O9661" t="s">
        <v>9038</v>
      </c>
      <c r="P9661" t="s">
        <v>9039</v>
      </c>
      <c r="Q9661" t="s">
        <v>8992</v>
      </c>
    </row>
    <row r="9662" spans="1:35" x14ac:dyDescent="0.3">
      <c r="A9662" s="160">
        <v>69275</v>
      </c>
      <c r="B9662" t="s">
        <v>24673</v>
      </c>
      <c r="C9662" t="s">
        <v>177</v>
      </c>
      <c r="D9662">
        <v>2</v>
      </c>
      <c r="E9662">
        <v>0</v>
      </c>
      <c r="F9662">
        <f t="shared" si="159"/>
        <v>2</v>
      </c>
      <c r="G9662">
        <v>0.75</v>
      </c>
      <c r="H9662">
        <f t="shared" si="161"/>
        <v>1.5</v>
      </c>
      <c r="I9662">
        <v>20220701</v>
      </c>
      <c r="J9662" t="s">
        <v>9040</v>
      </c>
      <c r="K9662" t="s">
        <v>9041</v>
      </c>
      <c r="L9662" t="s">
        <v>9042</v>
      </c>
      <c r="M9662" t="s">
        <v>9043</v>
      </c>
      <c r="N9662" t="s">
        <v>9044</v>
      </c>
      <c r="O9662" t="s">
        <v>9045</v>
      </c>
    </row>
    <row r="9663" spans="1:35" x14ac:dyDescent="0.3">
      <c r="A9663" s="160">
        <v>69276</v>
      </c>
      <c r="B9663" t="s">
        <v>24674</v>
      </c>
      <c r="C9663" t="s">
        <v>177</v>
      </c>
      <c r="D9663">
        <v>2</v>
      </c>
      <c r="E9663">
        <v>0</v>
      </c>
      <c r="F9663">
        <f t="shared" si="159"/>
        <v>2</v>
      </c>
      <c r="G9663">
        <v>0.75</v>
      </c>
      <c r="H9663">
        <f t="shared" si="161"/>
        <v>1.5</v>
      </c>
      <c r="I9663">
        <v>20220701</v>
      </c>
      <c r="J9663" t="s">
        <v>9046</v>
      </c>
      <c r="K9663" t="s">
        <v>9047</v>
      </c>
      <c r="L9663" t="s">
        <v>9048</v>
      </c>
      <c r="M9663" t="s">
        <v>9032</v>
      </c>
      <c r="N9663" t="s">
        <v>9039</v>
      </c>
    </row>
    <row r="9664" spans="1:35" x14ac:dyDescent="0.3">
      <c r="A9664" s="160">
        <v>69277</v>
      </c>
      <c r="B9664" t="s">
        <v>24675</v>
      </c>
      <c r="C9664" t="s">
        <v>177</v>
      </c>
      <c r="D9664">
        <v>2</v>
      </c>
      <c r="E9664">
        <v>0</v>
      </c>
      <c r="F9664">
        <f t="shared" si="159"/>
        <v>2</v>
      </c>
      <c r="G9664">
        <v>0.75</v>
      </c>
      <c r="H9664">
        <f t="shared" si="161"/>
        <v>1.5</v>
      </c>
      <c r="I9664">
        <v>20220701</v>
      </c>
      <c r="J9664" t="s">
        <v>9049</v>
      </c>
      <c r="K9664" t="s">
        <v>9050</v>
      </c>
      <c r="L9664" t="s">
        <v>9051</v>
      </c>
      <c r="M9664" t="s">
        <v>9052</v>
      </c>
      <c r="N9664" t="s">
        <v>9053</v>
      </c>
      <c r="O9664" t="s">
        <v>9054</v>
      </c>
      <c r="P9664" t="s">
        <v>9055</v>
      </c>
      <c r="Q9664" t="s">
        <v>9056</v>
      </c>
    </row>
    <row r="9665" spans="1:30" x14ac:dyDescent="0.3">
      <c r="A9665" s="160">
        <v>69278</v>
      </c>
      <c r="B9665" t="s">
        <v>24676</v>
      </c>
      <c r="C9665" t="s">
        <v>177</v>
      </c>
      <c r="D9665">
        <v>2</v>
      </c>
      <c r="E9665">
        <v>0</v>
      </c>
      <c r="F9665">
        <f t="shared" si="159"/>
        <v>2</v>
      </c>
      <c r="G9665">
        <v>0.75</v>
      </c>
      <c r="H9665">
        <f t="shared" si="161"/>
        <v>1.5</v>
      </c>
      <c r="I9665">
        <v>20220701</v>
      </c>
      <c r="J9665" t="s">
        <v>9057</v>
      </c>
      <c r="K9665" t="s">
        <v>9058</v>
      </c>
      <c r="L9665" t="s">
        <v>9059</v>
      </c>
    </row>
    <row r="9666" spans="1:30" x14ac:dyDescent="0.3">
      <c r="A9666" s="160">
        <v>69279</v>
      </c>
      <c r="B9666" t="s">
        <v>24677</v>
      </c>
      <c r="C9666" t="s">
        <v>177</v>
      </c>
      <c r="D9666">
        <v>2</v>
      </c>
      <c r="E9666">
        <v>0</v>
      </c>
      <c r="F9666">
        <f t="shared" si="159"/>
        <v>2</v>
      </c>
      <c r="G9666">
        <v>0.75</v>
      </c>
      <c r="H9666">
        <f t="shared" si="161"/>
        <v>1.5</v>
      </c>
      <c r="I9666">
        <v>20220701</v>
      </c>
      <c r="J9666" t="s">
        <v>9060</v>
      </c>
      <c r="K9666" t="s">
        <v>9061</v>
      </c>
      <c r="L9666" t="s">
        <v>9062</v>
      </c>
    </row>
    <row r="9667" spans="1:30" x14ac:dyDescent="0.3">
      <c r="A9667" s="160">
        <v>69280</v>
      </c>
      <c r="B9667" t="s">
        <v>24678</v>
      </c>
      <c r="C9667" t="s">
        <v>177</v>
      </c>
      <c r="D9667">
        <v>2</v>
      </c>
      <c r="E9667">
        <v>0</v>
      </c>
      <c r="F9667">
        <f t="shared" si="159"/>
        <v>2</v>
      </c>
      <c r="G9667">
        <v>0.75</v>
      </c>
      <c r="H9667">
        <f t="shared" si="161"/>
        <v>1.5</v>
      </c>
      <c r="I9667">
        <v>20220701</v>
      </c>
      <c r="J9667" t="s">
        <v>9060</v>
      </c>
    </row>
    <row r="9668" spans="1:30" x14ac:dyDescent="0.3">
      <c r="A9668" s="160">
        <v>69281</v>
      </c>
      <c r="B9668" t="s">
        <v>24679</v>
      </c>
      <c r="C9668" t="s">
        <v>177</v>
      </c>
      <c r="D9668">
        <v>0.9</v>
      </c>
      <c r="E9668">
        <v>0</v>
      </c>
      <c r="F9668">
        <f t="shared" si="159"/>
        <v>0.9</v>
      </c>
      <c r="G9668">
        <v>0.75</v>
      </c>
      <c r="H9668">
        <f t="shared" si="161"/>
        <v>0.67500000000000004</v>
      </c>
      <c r="I9668">
        <v>20240701</v>
      </c>
      <c r="J9668" t="s">
        <v>9063</v>
      </c>
      <c r="K9668" t="s">
        <v>9021</v>
      </c>
    </row>
    <row r="9669" spans="1:30" x14ac:dyDescent="0.3">
      <c r="A9669" s="160">
        <v>69282</v>
      </c>
      <c r="B9669" t="s">
        <v>24680</v>
      </c>
      <c r="C9669" t="s">
        <v>177</v>
      </c>
      <c r="D9669">
        <v>2</v>
      </c>
      <c r="E9669">
        <v>0</v>
      </c>
      <c r="F9669">
        <f t="shared" si="159"/>
        <v>2</v>
      </c>
      <c r="G9669">
        <v>0.75</v>
      </c>
      <c r="H9669">
        <f t="shared" si="161"/>
        <v>1.5</v>
      </c>
      <c r="I9669">
        <v>20220701</v>
      </c>
      <c r="J9669" t="s">
        <v>9060</v>
      </c>
      <c r="K9669" t="s">
        <v>9061</v>
      </c>
      <c r="L9669" t="s">
        <v>9064</v>
      </c>
      <c r="M9669" t="s">
        <v>9062</v>
      </c>
      <c r="N9669" t="s">
        <v>9065</v>
      </c>
    </row>
    <row r="9670" spans="1:30" x14ac:dyDescent="0.3">
      <c r="A9670" s="160">
        <v>69283</v>
      </c>
      <c r="B9670" t="s">
        <v>24681</v>
      </c>
      <c r="C9670" t="s">
        <v>177</v>
      </c>
      <c r="D9670">
        <v>2</v>
      </c>
      <c r="E9670">
        <v>0</v>
      </c>
      <c r="F9670">
        <f t="shared" si="159"/>
        <v>2</v>
      </c>
      <c r="G9670">
        <v>0.75</v>
      </c>
      <c r="H9670">
        <f t="shared" si="161"/>
        <v>1.5</v>
      </c>
      <c r="I9670">
        <v>20220701</v>
      </c>
      <c r="J9670" t="s">
        <v>9066</v>
      </c>
      <c r="K9670" t="s">
        <v>9038</v>
      </c>
    </row>
    <row r="9671" spans="1:30" x14ac:dyDescent="0.3">
      <c r="A9671" s="160">
        <v>69284</v>
      </c>
      <c r="B9671" t="s">
        <v>24682</v>
      </c>
      <c r="C9671" t="s">
        <v>177</v>
      </c>
      <c r="D9671">
        <v>2</v>
      </c>
      <c r="E9671">
        <v>0</v>
      </c>
      <c r="F9671">
        <f t="shared" ref="F9671:F9734" si="162">D9671+E9671</f>
        <v>2</v>
      </c>
      <c r="G9671">
        <v>0.75</v>
      </c>
      <c r="H9671">
        <f t="shared" si="161"/>
        <v>1.5</v>
      </c>
      <c r="I9671">
        <v>20220701</v>
      </c>
      <c r="J9671" t="s">
        <v>8823</v>
      </c>
      <c r="K9671" t="s">
        <v>8824</v>
      </c>
      <c r="L9671" t="s">
        <v>8917</v>
      </c>
      <c r="M9671" t="s">
        <v>8903</v>
      </c>
    </row>
    <row r="9672" spans="1:30" x14ac:dyDescent="0.3">
      <c r="A9672" s="160">
        <v>69285</v>
      </c>
      <c r="B9672" t="s">
        <v>24683</v>
      </c>
      <c r="C9672" t="s">
        <v>177</v>
      </c>
      <c r="D9672">
        <v>2</v>
      </c>
      <c r="E9672">
        <v>0</v>
      </c>
      <c r="F9672">
        <f t="shared" si="162"/>
        <v>2</v>
      </c>
      <c r="G9672">
        <v>0.75</v>
      </c>
      <c r="H9672">
        <f t="shared" si="161"/>
        <v>1.5</v>
      </c>
      <c r="I9672">
        <v>20220701</v>
      </c>
      <c r="J9672" t="s">
        <v>9060</v>
      </c>
      <c r="K9672" t="s">
        <v>9061</v>
      </c>
      <c r="L9672" t="s">
        <v>9062</v>
      </c>
      <c r="M9672" t="s">
        <v>9067</v>
      </c>
    </row>
    <row r="9673" spans="1:30" x14ac:dyDescent="0.3">
      <c r="A9673" s="160">
        <v>69286</v>
      </c>
      <c r="B9673" t="s">
        <v>24684</v>
      </c>
      <c r="C9673" t="s">
        <v>177</v>
      </c>
      <c r="D9673">
        <v>2</v>
      </c>
      <c r="E9673">
        <v>0</v>
      </c>
      <c r="F9673">
        <f t="shared" si="162"/>
        <v>2</v>
      </c>
      <c r="G9673">
        <v>0.75</v>
      </c>
      <c r="H9673">
        <f t="shared" si="161"/>
        <v>1.5</v>
      </c>
      <c r="I9673">
        <v>20220701</v>
      </c>
      <c r="J9673" t="s">
        <v>9068</v>
      </c>
      <c r="K9673" t="s">
        <v>9069</v>
      </c>
      <c r="L9673" t="s">
        <v>9070</v>
      </c>
      <c r="M9673" t="s">
        <v>9071</v>
      </c>
      <c r="N9673" t="s">
        <v>9072</v>
      </c>
      <c r="O9673" t="s">
        <v>9073</v>
      </c>
      <c r="P9673" t="s">
        <v>9074</v>
      </c>
      <c r="Q9673" t="s">
        <v>9075</v>
      </c>
      <c r="R9673" t="s">
        <v>9076</v>
      </c>
    </row>
    <row r="9674" spans="1:30" x14ac:dyDescent="0.3">
      <c r="A9674" s="160">
        <v>69287</v>
      </c>
      <c r="B9674" t="s">
        <v>24685</v>
      </c>
      <c r="C9674" t="s">
        <v>177</v>
      </c>
      <c r="D9674">
        <v>2</v>
      </c>
      <c r="E9674">
        <v>0</v>
      </c>
      <c r="F9674">
        <f t="shared" si="162"/>
        <v>2</v>
      </c>
      <c r="G9674">
        <v>0.75</v>
      </c>
      <c r="H9674">
        <f t="shared" si="161"/>
        <v>1.5</v>
      </c>
      <c r="I9674">
        <v>20220701</v>
      </c>
      <c r="J9674" t="s">
        <v>9077</v>
      </c>
      <c r="K9674" t="s">
        <v>9078</v>
      </c>
    </row>
    <row r="9675" spans="1:30" x14ac:dyDescent="0.3">
      <c r="A9675" s="160">
        <v>69288</v>
      </c>
      <c r="B9675" t="s">
        <v>24686</v>
      </c>
      <c r="C9675" t="s">
        <v>177</v>
      </c>
      <c r="D9675">
        <v>2</v>
      </c>
      <c r="E9675">
        <v>0</v>
      </c>
      <c r="F9675">
        <f t="shared" si="162"/>
        <v>2</v>
      </c>
      <c r="G9675">
        <v>0.75</v>
      </c>
      <c r="H9675">
        <f t="shared" ref="H9675:H9695" si="163">G9675*F9675</f>
        <v>1.5</v>
      </c>
      <c r="I9675">
        <v>20220701</v>
      </c>
      <c r="J9675" t="s">
        <v>9077</v>
      </c>
      <c r="K9675" t="s">
        <v>9078</v>
      </c>
    </row>
    <row r="9676" spans="1:30" x14ac:dyDescent="0.3">
      <c r="A9676" s="160">
        <v>69289</v>
      </c>
      <c r="B9676" t="s">
        <v>24687</v>
      </c>
      <c r="C9676" t="s">
        <v>177</v>
      </c>
      <c r="D9676">
        <v>2</v>
      </c>
      <c r="E9676">
        <v>0</v>
      </c>
      <c r="F9676">
        <f t="shared" si="162"/>
        <v>2</v>
      </c>
      <c r="G9676">
        <v>0.75</v>
      </c>
      <c r="H9676">
        <f t="shared" si="163"/>
        <v>1.5</v>
      </c>
      <c r="I9676">
        <v>20220701</v>
      </c>
      <c r="J9676" t="s">
        <v>9066</v>
      </c>
      <c r="K9676" t="s">
        <v>9038</v>
      </c>
    </row>
    <row r="9677" spans="1:30" x14ac:dyDescent="0.3">
      <c r="A9677" s="160">
        <v>69290</v>
      </c>
      <c r="B9677" t="s">
        <v>16085</v>
      </c>
      <c r="C9677" t="s">
        <v>177</v>
      </c>
      <c r="D9677">
        <v>2</v>
      </c>
      <c r="E9677">
        <v>0</v>
      </c>
      <c r="F9677">
        <f t="shared" si="162"/>
        <v>2</v>
      </c>
      <c r="G9677">
        <v>0.75</v>
      </c>
      <c r="H9677">
        <f t="shared" si="163"/>
        <v>1.5</v>
      </c>
      <c r="I9677">
        <v>20220701</v>
      </c>
      <c r="J9677" t="s">
        <v>9079</v>
      </c>
      <c r="K9677" t="s">
        <v>9080</v>
      </c>
      <c r="L9677" t="s">
        <v>9081</v>
      </c>
      <c r="M9677" t="s">
        <v>9082</v>
      </c>
      <c r="N9677" t="s">
        <v>9083</v>
      </c>
      <c r="O9677" t="s">
        <v>9084</v>
      </c>
      <c r="P9677" t="s">
        <v>9085</v>
      </c>
      <c r="Q9677" t="s">
        <v>9086</v>
      </c>
      <c r="R9677" t="s">
        <v>9087</v>
      </c>
      <c r="S9677" t="s">
        <v>9088</v>
      </c>
      <c r="T9677" t="s">
        <v>9089</v>
      </c>
      <c r="U9677" t="s">
        <v>9090</v>
      </c>
      <c r="V9677" t="s">
        <v>9091</v>
      </c>
      <c r="W9677" t="s">
        <v>9092</v>
      </c>
      <c r="X9677" t="s">
        <v>9093</v>
      </c>
      <c r="Y9677" t="s">
        <v>9094</v>
      </c>
      <c r="Z9677" t="s">
        <v>9095</v>
      </c>
      <c r="AA9677" t="s">
        <v>8915</v>
      </c>
      <c r="AB9677" t="s">
        <v>9096</v>
      </c>
      <c r="AC9677" t="s">
        <v>9097</v>
      </c>
      <c r="AD9677" t="s">
        <v>9098</v>
      </c>
    </row>
    <row r="9678" spans="1:30" x14ac:dyDescent="0.3">
      <c r="A9678" s="160">
        <v>69291</v>
      </c>
      <c r="B9678" t="s">
        <v>24688</v>
      </c>
      <c r="C9678" t="s">
        <v>177</v>
      </c>
      <c r="D9678">
        <v>0.9</v>
      </c>
      <c r="E9678">
        <v>0</v>
      </c>
      <c r="F9678">
        <f t="shared" si="162"/>
        <v>0.9</v>
      </c>
      <c r="G9678">
        <v>0.75</v>
      </c>
      <c r="H9678">
        <f t="shared" si="163"/>
        <v>0.67500000000000004</v>
      </c>
      <c r="I9678">
        <v>20240701</v>
      </c>
      <c r="J9678" t="s">
        <v>9031</v>
      </c>
    </row>
    <row r="9679" spans="1:30" x14ac:dyDescent="0.3">
      <c r="A9679" s="160">
        <v>69292</v>
      </c>
      <c r="B9679" t="s">
        <v>24689</v>
      </c>
      <c r="C9679" t="s">
        <v>177</v>
      </c>
      <c r="D9679">
        <v>2</v>
      </c>
      <c r="E9679">
        <v>0</v>
      </c>
      <c r="F9679">
        <f t="shared" si="162"/>
        <v>2</v>
      </c>
      <c r="G9679">
        <v>0.75</v>
      </c>
      <c r="H9679">
        <f t="shared" si="163"/>
        <v>1.5</v>
      </c>
      <c r="I9679">
        <v>20220701</v>
      </c>
      <c r="J9679" t="s">
        <v>9099</v>
      </c>
    </row>
    <row r="9680" spans="1:30" x14ac:dyDescent="0.3">
      <c r="A9680" s="160">
        <v>69293</v>
      </c>
      <c r="B9680" t="s">
        <v>24690</v>
      </c>
      <c r="C9680" t="s">
        <v>177</v>
      </c>
      <c r="D9680">
        <v>2</v>
      </c>
      <c r="E9680">
        <v>0</v>
      </c>
      <c r="F9680">
        <f t="shared" si="162"/>
        <v>2</v>
      </c>
      <c r="G9680">
        <v>0.75</v>
      </c>
      <c r="H9680">
        <f t="shared" si="163"/>
        <v>1.5</v>
      </c>
      <c r="I9680">
        <v>20220701</v>
      </c>
      <c r="J9680" t="s">
        <v>9099</v>
      </c>
    </row>
    <row r="9681" spans="1:67" x14ac:dyDescent="0.3">
      <c r="A9681" s="160">
        <v>69294</v>
      </c>
      <c r="B9681" t="s">
        <v>24691</v>
      </c>
      <c r="C9681" t="s">
        <v>177</v>
      </c>
      <c r="D9681">
        <v>0.9</v>
      </c>
      <c r="E9681">
        <v>0</v>
      </c>
      <c r="F9681">
        <f t="shared" si="162"/>
        <v>0.9</v>
      </c>
      <c r="G9681">
        <v>0.75</v>
      </c>
      <c r="H9681">
        <f t="shared" si="163"/>
        <v>0.67500000000000004</v>
      </c>
      <c r="I9681">
        <v>20240701</v>
      </c>
      <c r="J9681" t="s">
        <v>9031</v>
      </c>
    </row>
    <row r="9682" spans="1:67" x14ac:dyDescent="0.3">
      <c r="A9682" s="160">
        <v>69295</v>
      </c>
      <c r="B9682" t="s">
        <v>24692</v>
      </c>
      <c r="C9682" t="s">
        <v>177</v>
      </c>
      <c r="D9682">
        <v>0.9</v>
      </c>
      <c r="E9682">
        <v>0</v>
      </c>
      <c r="F9682">
        <f t="shared" si="162"/>
        <v>0.9</v>
      </c>
      <c r="G9682">
        <v>0.75</v>
      </c>
      <c r="H9682">
        <f t="shared" si="163"/>
        <v>0.67500000000000004</v>
      </c>
      <c r="I9682">
        <v>20240701</v>
      </c>
      <c r="J9682" t="s">
        <v>9031</v>
      </c>
    </row>
    <row r="9683" spans="1:67" x14ac:dyDescent="0.3">
      <c r="A9683" s="160">
        <v>69296</v>
      </c>
      <c r="B9683" t="s">
        <v>24693</v>
      </c>
      <c r="C9683" t="s">
        <v>177</v>
      </c>
      <c r="D9683">
        <v>2</v>
      </c>
      <c r="E9683">
        <v>0</v>
      </c>
      <c r="F9683">
        <f t="shared" si="162"/>
        <v>2</v>
      </c>
      <c r="G9683">
        <v>0.75</v>
      </c>
      <c r="H9683">
        <f t="shared" si="163"/>
        <v>1.5</v>
      </c>
      <c r="I9683">
        <v>20220701</v>
      </c>
      <c r="J9683" t="s">
        <v>9031</v>
      </c>
    </row>
    <row r="9684" spans="1:67" x14ac:dyDescent="0.3">
      <c r="A9684" s="160">
        <v>69297</v>
      </c>
      <c r="B9684" t="s">
        <v>19837</v>
      </c>
      <c r="C9684" t="s">
        <v>177</v>
      </c>
      <c r="D9684">
        <v>0.9</v>
      </c>
      <c r="E9684">
        <v>0</v>
      </c>
      <c r="F9684">
        <f t="shared" si="162"/>
        <v>0.9</v>
      </c>
      <c r="G9684">
        <v>0.75</v>
      </c>
      <c r="H9684">
        <f t="shared" si="163"/>
        <v>0.67500000000000004</v>
      </c>
      <c r="I9684">
        <v>20240701</v>
      </c>
      <c r="J9684" t="s">
        <v>9031</v>
      </c>
    </row>
    <row r="9685" spans="1:67" x14ac:dyDescent="0.3">
      <c r="A9685" s="160">
        <v>69298</v>
      </c>
      <c r="B9685" t="s">
        <v>24694</v>
      </c>
      <c r="C9685" t="s">
        <v>177</v>
      </c>
      <c r="D9685">
        <v>2</v>
      </c>
      <c r="E9685">
        <v>0</v>
      </c>
      <c r="F9685">
        <f t="shared" si="162"/>
        <v>2</v>
      </c>
      <c r="G9685">
        <v>0.75</v>
      </c>
      <c r="H9685">
        <f t="shared" si="163"/>
        <v>1.5</v>
      </c>
      <c r="I9685">
        <v>20220701</v>
      </c>
      <c r="J9685" t="s">
        <v>9066</v>
      </c>
      <c r="K9685" t="s">
        <v>9038</v>
      </c>
    </row>
    <row r="9686" spans="1:67" x14ac:dyDescent="0.3">
      <c r="A9686" s="160">
        <v>69299</v>
      </c>
      <c r="B9686" t="s">
        <v>24695</v>
      </c>
      <c r="C9686" t="s">
        <v>177</v>
      </c>
      <c r="D9686">
        <v>2</v>
      </c>
      <c r="E9686">
        <v>0</v>
      </c>
      <c r="F9686">
        <f t="shared" si="162"/>
        <v>2</v>
      </c>
      <c r="G9686">
        <v>0.75</v>
      </c>
      <c r="H9686">
        <f t="shared" si="163"/>
        <v>1.5</v>
      </c>
      <c r="I9686">
        <v>20220701</v>
      </c>
      <c r="J9686" t="s">
        <v>9100</v>
      </c>
      <c r="K9686" t="s">
        <v>9101</v>
      </c>
      <c r="L9686" t="s">
        <v>9078</v>
      </c>
      <c r="M9686" t="s">
        <v>9102</v>
      </c>
    </row>
    <row r="9687" spans="1:67" x14ac:dyDescent="0.3">
      <c r="A9687" s="160">
        <v>69381</v>
      </c>
      <c r="B9687" t="s">
        <v>24696</v>
      </c>
      <c r="C9687" t="s">
        <v>177</v>
      </c>
      <c r="D9687">
        <v>2</v>
      </c>
      <c r="E9687">
        <v>0</v>
      </c>
      <c r="F9687">
        <f t="shared" si="162"/>
        <v>2</v>
      </c>
      <c r="G9687">
        <v>0.75</v>
      </c>
      <c r="H9687">
        <f t="shared" si="163"/>
        <v>1.5</v>
      </c>
      <c r="I9687">
        <v>20220701</v>
      </c>
      <c r="J9687" t="s">
        <v>9103</v>
      </c>
      <c r="K9687" t="s">
        <v>9104</v>
      </c>
      <c r="L9687" t="s">
        <v>9105</v>
      </c>
      <c r="M9687" t="s">
        <v>9106</v>
      </c>
      <c r="N9687" t="s">
        <v>9107</v>
      </c>
      <c r="O9687" t="s">
        <v>9108</v>
      </c>
      <c r="P9687" t="s">
        <v>9109</v>
      </c>
      <c r="Q9687" t="s">
        <v>9110</v>
      </c>
      <c r="R9687" t="s">
        <v>9111</v>
      </c>
      <c r="S9687" t="s">
        <v>9112</v>
      </c>
      <c r="T9687" t="s">
        <v>9113</v>
      </c>
      <c r="U9687" t="s">
        <v>9114</v>
      </c>
      <c r="V9687" t="s">
        <v>9115</v>
      </c>
      <c r="W9687" t="s">
        <v>9116</v>
      </c>
      <c r="X9687" t="s">
        <v>9117</v>
      </c>
      <c r="Y9687" t="s">
        <v>9118</v>
      </c>
      <c r="Z9687" t="s">
        <v>9119</v>
      </c>
      <c r="AA9687" t="s">
        <v>9120</v>
      </c>
      <c r="AB9687" t="s">
        <v>9121</v>
      </c>
    </row>
    <row r="9688" spans="1:67" x14ac:dyDescent="0.3">
      <c r="A9688" s="160">
        <v>69382</v>
      </c>
      <c r="B9688" t="s">
        <v>24697</v>
      </c>
      <c r="C9688" t="s">
        <v>177</v>
      </c>
      <c r="D9688">
        <v>2</v>
      </c>
      <c r="E9688">
        <v>0</v>
      </c>
      <c r="F9688">
        <f t="shared" si="162"/>
        <v>2</v>
      </c>
      <c r="G9688">
        <v>0.75</v>
      </c>
      <c r="H9688">
        <f t="shared" si="163"/>
        <v>1.5</v>
      </c>
      <c r="I9688">
        <v>20220701</v>
      </c>
      <c r="J9688" t="s">
        <v>9122</v>
      </c>
      <c r="K9688" t="s">
        <v>9104</v>
      </c>
      <c r="L9688" t="s">
        <v>9123</v>
      </c>
      <c r="M9688" t="s">
        <v>9113</v>
      </c>
      <c r="N9688" t="s">
        <v>9124</v>
      </c>
      <c r="O9688" t="s">
        <v>9125</v>
      </c>
      <c r="P9688" t="s">
        <v>9114</v>
      </c>
      <c r="Q9688" t="s">
        <v>9126</v>
      </c>
      <c r="R9688" t="s">
        <v>9127</v>
      </c>
      <c r="S9688" t="s">
        <v>9128</v>
      </c>
      <c r="T9688" t="s">
        <v>9129</v>
      </c>
      <c r="U9688" t="s">
        <v>9130</v>
      </c>
      <c r="V9688" t="s">
        <v>9131</v>
      </c>
      <c r="W9688" t="s">
        <v>9132</v>
      </c>
      <c r="X9688" t="s">
        <v>9133</v>
      </c>
      <c r="Y9688" t="s">
        <v>9134</v>
      </c>
      <c r="Z9688" t="s">
        <v>9117</v>
      </c>
      <c r="AA9688" t="s">
        <v>9135</v>
      </c>
      <c r="AB9688" t="s">
        <v>9136</v>
      </c>
      <c r="AC9688" t="s">
        <v>9137</v>
      </c>
      <c r="AD9688" t="s">
        <v>9138</v>
      </c>
      <c r="AE9688" t="s">
        <v>9139</v>
      </c>
      <c r="AF9688" t="s">
        <v>9140</v>
      </c>
      <c r="AG9688" t="s">
        <v>9141</v>
      </c>
      <c r="AH9688" t="s">
        <v>9142</v>
      </c>
      <c r="AI9688" t="s">
        <v>9143</v>
      </c>
      <c r="AJ9688" t="s">
        <v>9144</v>
      </c>
      <c r="AK9688" t="s">
        <v>9145</v>
      </c>
      <c r="AL9688" t="s">
        <v>9146</v>
      </c>
      <c r="AM9688" t="s">
        <v>9147</v>
      </c>
      <c r="AN9688" t="s">
        <v>9148</v>
      </c>
      <c r="AO9688" t="s">
        <v>9149</v>
      </c>
    </row>
    <row r="9689" spans="1:67" x14ac:dyDescent="0.3">
      <c r="A9689" s="160">
        <v>69383</v>
      </c>
      <c r="B9689" t="s">
        <v>24698</v>
      </c>
      <c r="C9689" t="s">
        <v>177</v>
      </c>
      <c r="D9689">
        <v>2</v>
      </c>
      <c r="E9689">
        <v>0</v>
      </c>
      <c r="F9689">
        <f t="shared" si="162"/>
        <v>2</v>
      </c>
      <c r="G9689">
        <v>0.75</v>
      </c>
      <c r="H9689">
        <f t="shared" si="163"/>
        <v>1.5</v>
      </c>
      <c r="I9689">
        <v>20220701</v>
      </c>
      <c r="J9689" t="s">
        <v>9150</v>
      </c>
      <c r="K9689" t="s">
        <v>9151</v>
      </c>
      <c r="L9689" t="s">
        <v>9152</v>
      </c>
      <c r="M9689" t="s">
        <v>9153</v>
      </c>
      <c r="N9689" t="s">
        <v>9154</v>
      </c>
      <c r="O9689" t="s">
        <v>9155</v>
      </c>
      <c r="P9689" t="s">
        <v>9156</v>
      </c>
      <c r="Q9689" t="s">
        <v>9157</v>
      </c>
      <c r="R9689" t="s">
        <v>9158</v>
      </c>
      <c r="S9689" t="s">
        <v>9159</v>
      </c>
      <c r="T9689" t="s">
        <v>9160</v>
      </c>
      <c r="U9689" t="s">
        <v>9161</v>
      </c>
      <c r="V9689" t="s">
        <v>9162</v>
      </c>
      <c r="W9689" t="s">
        <v>9163</v>
      </c>
      <c r="X9689" t="s">
        <v>9164</v>
      </c>
      <c r="Y9689" t="s">
        <v>9165</v>
      </c>
      <c r="Z9689" t="s">
        <v>9166</v>
      </c>
      <c r="AA9689" t="s">
        <v>9167</v>
      </c>
      <c r="AB9689" t="s">
        <v>9168</v>
      </c>
      <c r="AC9689" t="s">
        <v>9169</v>
      </c>
      <c r="AD9689" t="s">
        <v>9170</v>
      </c>
      <c r="AE9689" t="s">
        <v>9171</v>
      </c>
      <c r="AF9689" t="s">
        <v>9172</v>
      </c>
      <c r="AG9689" t="s">
        <v>9173</v>
      </c>
      <c r="AH9689" t="s">
        <v>9174</v>
      </c>
      <c r="AI9689" t="s">
        <v>9175</v>
      </c>
      <c r="AJ9689" t="s">
        <v>9176</v>
      </c>
      <c r="AK9689" t="s">
        <v>9177</v>
      </c>
      <c r="AL9689" t="s">
        <v>9178</v>
      </c>
      <c r="AM9689" t="s">
        <v>9179</v>
      </c>
      <c r="AN9689" t="s">
        <v>9180</v>
      </c>
      <c r="AO9689" t="s">
        <v>9181</v>
      </c>
      <c r="AP9689" t="s">
        <v>9182</v>
      </c>
      <c r="AQ9689" t="s">
        <v>9183</v>
      </c>
      <c r="AR9689" t="s">
        <v>9184</v>
      </c>
      <c r="AS9689" t="s">
        <v>9185</v>
      </c>
      <c r="AT9689" t="s">
        <v>9186</v>
      </c>
      <c r="AU9689" t="s">
        <v>9187</v>
      </c>
      <c r="AV9689" t="s">
        <v>9188</v>
      </c>
      <c r="AW9689" t="s">
        <v>9189</v>
      </c>
      <c r="AX9689" t="s">
        <v>9190</v>
      </c>
      <c r="AY9689" t="s">
        <v>9191</v>
      </c>
      <c r="AZ9689" t="s">
        <v>9192</v>
      </c>
      <c r="BA9689" t="s">
        <v>9193</v>
      </c>
      <c r="BB9689" t="s">
        <v>9194</v>
      </c>
      <c r="BC9689" t="s">
        <v>9195</v>
      </c>
      <c r="BD9689" t="s">
        <v>9196</v>
      </c>
      <c r="BE9689" t="s">
        <v>9197</v>
      </c>
      <c r="BF9689" t="s">
        <v>9198</v>
      </c>
      <c r="BG9689" t="s">
        <v>9199</v>
      </c>
      <c r="BH9689" t="s">
        <v>9200</v>
      </c>
      <c r="BI9689" t="s">
        <v>9201</v>
      </c>
      <c r="BJ9689" t="s">
        <v>9202</v>
      </c>
      <c r="BK9689" t="s">
        <v>9203</v>
      </c>
      <c r="BL9689" t="s">
        <v>9204</v>
      </c>
      <c r="BM9689" t="s">
        <v>9205</v>
      </c>
      <c r="BN9689" t="s">
        <v>9206</v>
      </c>
      <c r="BO9689" t="s">
        <v>9207</v>
      </c>
    </row>
    <row r="9690" spans="1:67" x14ac:dyDescent="0.3">
      <c r="A9690" s="160">
        <v>69384</v>
      </c>
      <c r="B9690" t="s">
        <v>24699</v>
      </c>
      <c r="C9690" t="s">
        <v>177</v>
      </c>
      <c r="D9690">
        <v>2</v>
      </c>
      <c r="E9690">
        <v>0</v>
      </c>
      <c r="F9690">
        <f t="shared" si="162"/>
        <v>2</v>
      </c>
      <c r="G9690">
        <v>0.75</v>
      </c>
      <c r="H9690">
        <f t="shared" si="163"/>
        <v>1.5</v>
      </c>
      <c r="I9690">
        <v>20220701</v>
      </c>
      <c r="J9690" t="s">
        <v>9222</v>
      </c>
      <c r="K9690" t="s">
        <v>9115</v>
      </c>
      <c r="L9690" t="s">
        <v>9116</v>
      </c>
      <c r="M9690" t="s">
        <v>9223</v>
      </c>
      <c r="N9690" t="s">
        <v>9117</v>
      </c>
      <c r="O9690" t="s">
        <v>9224</v>
      </c>
      <c r="P9690" t="s">
        <v>9225</v>
      </c>
      <c r="Q9690" t="s">
        <v>9226</v>
      </c>
    </row>
    <row r="9691" spans="1:67" x14ac:dyDescent="0.3">
      <c r="A9691" s="160">
        <v>69385</v>
      </c>
      <c r="B9691" t="s">
        <v>24700</v>
      </c>
      <c r="C9691" t="s">
        <v>177</v>
      </c>
      <c r="D9691">
        <v>2</v>
      </c>
      <c r="E9691">
        <v>0</v>
      </c>
      <c r="F9691">
        <f t="shared" si="162"/>
        <v>2</v>
      </c>
      <c r="G9691">
        <v>0.75</v>
      </c>
      <c r="H9691">
        <f t="shared" si="163"/>
        <v>1.5</v>
      </c>
      <c r="I9691">
        <v>20220701</v>
      </c>
      <c r="J9691" t="s">
        <v>9227</v>
      </c>
      <c r="K9691" t="s">
        <v>9228</v>
      </c>
      <c r="L9691" t="s">
        <v>9229</v>
      </c>
      <c r="M9691" t="s">
        <v>9230</v>
      </c>
      <c r="N9691" t="s">
        <v>9231</v>
      </c>
      <c r="O9691" t="s">
        <v>9232</v>
      </c>
    </row>
    <row r="9692" spans="1:67" x14ac:dyDescent="0.3">
      <c r="A9692" s="160">
        <v>69386</v>
      </c>
      <c r="B9692" t="s">
        <v>24701</v>
      </c>
      <c r="C9692" t="s">
        <v>177</v>
      </c>
      <c r="D9692">
        <v>2</v>
      </c>
      <c r="E9692">
        <v>0</v>
      </c>
      <c r="F9692">
        <f t="shared" si="162"/>
        <v>2</v>
      </c>
      <c r="G9692">
        <v>0.75</v>
      </c>
      <c r="H9692">
        <f t="shared" si="163"/>
        <v>1.5</v>
      </c>
      <c r="I9692">
        <v>20220701</v>
      </c>
      <c r="J9692" t="s">
        <v>9233</v>
      </c>
      <c r="K9692" t="s">
        <v>9234</v>
      </c>
      <c r="L9692" t="s">
        <v>9235</v>
      </c>
      <c r="M9692" t="s">
        <v>9151</v>
      </c>
      <c r="N9692" t="s">
        <v>9236</v>
      </c>
      <c r="O9692" t="s">
        <v>9165</v>
      </c>
      <c r="P9692" t="s">
        <v>9237</v>
      </c>
      <c r="Q9692" t="s">
        <v>9238</v>
      </c>
      <c r="R9692" t="s">
        <v>9239</v>
      </c>
      <c r="S9692" t="s">
        <v>9240</v>
      </c>
      <c r="T9692" t="s">
        <v>9241</v>
      </c>
      <c r="U9692" t="s">
        <v>9206</v>
      </c>
      <c r="V9692" t="s">
        <v>9242</v>
      </c>
      <c r="W9692" t="s">
        <v>9243</v>
      </c>
      <c r="X9692" t="s">
        <v>9244</v>
      </c>
      <c r="Y9692" t="s">
        <v>9245</v>
      </c>
      <c r="Z9692" t="s">
        <v>9246</v>
      </c>
      <c r="AA9692" t="s">
        <v>9247</v>
      </c>
      <c r="AB9692" t="s">
        <v>9248</v>
      </c>
      <c r="AC9692" t="s">
        <v>9249</v>
      </c>
      <c r="AD9692" t="s">
        <v>9250</v>
      </c>
      <c r="AE9692" t="s">
        <v>9251</v>
      </c>
      <c r="AF9692" t="s">
        <v>9252</v>
      </c>
      <c r="AG9692" t="s">
        <v>9253</v>
      </c>
      <c r="AH9692" t="s">
        <v>9254</v>
      </c>
      <c r="AI9692" t="s">
        <v>9255</v>
      </c>
      <c r="AJ9692" t="s">
        <v>9256</v>
      </c>
      <c r="AK9692" t="s">
        <v>9257</v>
      </c>
      <c r="AL9692" t="s">
        <v>9258</v>
      </c>
      <c r="AM9692" t="s">
        <v>9259</v>
      </c>
      <c r="AN9692" t="s">
        <v>9260</v>
      </c>
      <c r="AO9692" t="s">
        <v>9261</v>
      </c>
      <c r="AP9692" t="s">
        <v>9262</v>
      </c>
      <c r="AQ9692" t="s">
        <v>9263</v>
      </c>
    </row>
    <row r="9693" spans="1:67" x14ac:dyDescent="0.3">
      <c r="A9693" s="160">
        <v>69387</v>
      </c>
      <c r="B9693" t="s">
        <v>24702</v>
      </c>
      <c r="C9693" t="s">
        <v>177</v>
      </c>
      <c r="D9693">
        <v>2</v>
      </c>
      <c r="E9693">
        <v>0</v>
      </c>
      <c r="F9693">
        <f t="shared" si="162"/>
        <v>2</v>
      </c>
      <c r="G9693">
        <v>0.75</v>
      </c>
      <c r="H9693">
        <f t="shared" si="163"/>
        <v>1.5</v>
      </c>
      <c r="I9693">
        <v>20220701</v>
      </c>
      <c r="J9693" t="s">
        <v>9264</v>
      </c>
      <c r="K9693" t="s">
        <v>9134</v>
      </c>
      <c r="L9693" t="s">
        <v>9265</v>
      </c>
      <c r="M9693" t="s">
        <v>9266</v>
      </c>
      <c r="N9693" t="s">
        <v>9267</v>
      </c>
      <c r="O9693" t="s">
        <v>9268</v>
      </c>
      <c r="P9693" t="s">
        <v>9269</v>
      </c>
      <c r="Q9693" t="s">
        <v>9270</v>
      </c>
      <c r="R9693" t="s">
        <v>9271</v>
      </c>
      <c r="S9693" t="s">
        <v>9272</v>
      </c>
      <c r="T9693" t="s">
        <v>9273</v>
      </c>
      <c r="U9693" t="s">
        <v>9274</v>
      </c>
      <c r="V9693" t="s">
        <v>9275</v>
      </c>
      <c r="W9693" t="s">
        <v>9276</v>
      </c>
      <c r="X9693" t="s">
        <v>9277</v>
      </c>
      <c r="Y9693" t="s">
        <v>9278</v>
      </c>
      <c r="Z9693" t="s">
        <v>9279</v>
      </c>
      <c r="AA9693" t="s">
        <v>9280</v>
      </c>
      <c r="AB9693" t="s">
        <v>9281</v>
      </c>
      <c r="AC9693" t="s">
        <v>9282</v>
      </c>
      <c r="AD9693" t="s">
        <v>9283</v>
      </c>
      <c r="AE9693" t="s">
        <v>9284</v>
      </c>
      <c r="AF9693" t="s">
        <v>9285</v>
      </c>
      <c r="AG9693" t="s">
        <v>9286</v>
      </c>
      <c r="AH9693" t="s">
        <v>9287</v>
      </c>
      <c r="AI9693" t="s">
        <v>9288</v>
      </c>
      <c r="AJ9693" t="s">
        <v>9289</v>
      </c>
      <c r="AK9693" t="s">
        <v>9290</v>
      </c>
      <c r="AL9693" t="s">
        <v>9291</v>
      </c>
      <c r="AM9693" t="s">
        <v>8888</v>
      </c>
      <c r="AN9693" t="s">
        <v>9098</v>
      </c>
      <c r="AO9693" t="s">
        <v>9292</v>
      </c>
    </row>
    <row r="9694" spans="1:67" x14ac:dyDescent="0.3">
      <c r="A9694" s="160">
        <v>69388</v>
      </c>
      <c r="B9694" t="s">
        <v>24703</v>
      </c>
      <c r="C9694" t="s">
        <v>177</v>
      </c>
      <c r="D9694">
        <v>2</v>
      </c>
      <c r="E9694">
        <v>0</v>
      </c>
      <c r="F9694">
        <f t="shared" si="162"/>
        <v>2</v>
      </c>
      <c r="G9694">
        <v>0.75</v>
      </c>
      <c r="H9694">
        <f t="shared" si="163"/>
        <v>1.5</v>
      </c>
      <c r="I9694">
        <v>20220701</v>
      </c>
      <c r="J9694" t="s">
        <v>9293</v>
      </c>
      <c r="K9694" t="s">
        <v>8977</v>
      </c>
      <c r="L9694" t="s">
        <v>9294</v>
      </c>
      <c r="M9694" t="s">
        <v>8978</v>
      </c>
      <c r="N9694" t="s">
        <v>8979</v>
      </c>
      <c r="O9694" t="s">
        <v>8980</v>
      </c>
      <c r="P9694" t="s">
        <v>9295</v>
      </c>
      <c r="Q9694" t="s">
        <v>9296</v>
      </c>
      <c r="R9694" t="s">
        <v>9297</v>
      </c>
      <c r="S9694" t="s">
        <v>9159</v>
      </c>
      <c r="T9694" t="s">
        <v>9298</v>
      </c>
      <c r="U9694" t="s">
        <v>9299</v>
      </c>
      <c r="V9694" t="s">
        <v>9300</v>
      </c>
      <c r="W9694" t="s">
        <v>9301</v>
      </c>
      <c r="X9694" t="s">
        <v>9302</v>
      </c>
    </row>
    <row r="9695" spans="1:67" x14ac:dyDescent="0.3">
      <c r="A9695" s="160">
        <v>69389</v>
      </c>
      <c r="B9695" t="s">
        <v>24704</v>
      </c>
      <c r="C9695" t="s">
        <v>177</v>
      </c>
      <c r="D9695">
        <v>2</v>
      </c>
      <c r="E9695">
        <v>0</v>
      </c>
      <c r="F9695">
        <f t="shared" si="162"/>
        <v>2</v>
      </c>
      <c r="G9695">
        <v>0.75</v>
      </c>
      <c r="H9695">
        <f t="shared" si="163"/>
        <v>1.5</v>
      </c>
      <c r="I9695">
        <v>20220701</v>
      </c>
      <c r="J9695" t="s">
        <v>9303</v>
      </c>
      <c r="K9695" t="s">
        <v>9304</v>
      </c>
      <c r="L9695" t="s">
        <v>9305</v>
      </c>
      <c r="M9695" t="s">
        <v>9306</v>
      </c>
      <c r="N9695" t="s">
        <v>9307</v>
      </c>
      <c r="O9695" t="s">
        <v>9308</v>
      </c>
      <c r="P9695" t="s">
        <v>9309</v>
      </c>
      <c r="Q9695" t="s">
        <v>9310</v>
      </c>
      <c r="R9695" t="s">
        <v>9311</v>
      </c>
      <c r="S9695" t="s">
        <v>9312</v>
      </c>
      <c r="T9695" t="s">
        <v>9313</v>
      </c>
      <c r="U9695" t="s">
        <v>9314</v>
      </c>
      <c r="V9695" t="s">
        <v>9315</v>
      </c>
      <c r="W9695" t="s">
        <v>9316</v>
      </c>
      <c r="X9695" t="s">
        <v>9317</v>
      </c>
      <c r="Y9695" t="s">
        <v>9318</v>
      </c>
      <c r="Z9695" t="s">
        <v>9319</v>
      </c>
      <c r="AA9695" t="s">
        <v>9320</v>
      </c>
    </row>
    <row r="9696" spans="1:67" x14ac:dyDescent="0.3">
      <c r="A9696" s="160">
        <v>70019</v>
      </c>
      <c r="B9696" t="s">
        <v>24705</v>
      </c>
      <c r="C9696" t="s">
        <v>9321</v>
      </c>
      <c r="D9696">
        <v>0.6</v>
      </c>
      <c r="E9696">
        <v>0</v>
      </c>
      <c r="F9696">
        <f t="shared" si="162"/>
        <v>0.6</v>
      </c>
      <c r="I9696">
        <v>20180101</v>
      </c>
      <c r="J9696" t="s">
        <v>9322</v>
      </c>
    </row>
    <row r="9697" spans="1:10" x14ac:dyDescent="0.3">
      <c r="A9697" s="160">
        <v>70020</v>
      </c>
      <c r="B9697" t="s">
        <v>24706</v>
      </c>
      <c r="C9697" t="s">
        <v>9321</v>
      </c>
      <c r="D9697">
        <v>0.6</v>
      </c>
      <c r="E9697">
        <v>0</v>
      </c>
      <c r="F9697">
        <f t="shared" si="162"/>
        <v>0.6</v>
      </c>
      <c r="I9697">
        <v>20180101</v>
      </c>
      <c r="J9697" t="s">
        <v>9322</v>
      </c>
    </row>
    <row r="9698" spans="1:10" x14ac:dyDescent="0.3">
      <c r="A9698" s="160">
        <v>70064</v>
      </c>
      <c r="B9698" t="s">
        <v>24707</v>
      </c>
      <c r="C9698" t="s">
        <v>2458</v>
      </c>
      <c r="D9698">
        <v>0.6</v>
      </c>
      <c r="E9698">
        <v>0</v>
      </c>
      <c r="F9698">
        <f t="shared" si="162"/>
        <v>0.6</v>
      </c>
      <c r="I9698">
        <v>20230701</v>
      </c>
      <c r="J9698" t="s">
        <v>9323</v>
      </c>
    </row>
    <row r="9699" spans="1:10" x14ac:dyDescent="0.3">
      <c r="A9699" s="160">
        <v>70096</v>
      </c>
      <c r="B9699" t="s">
        <v>24708</v>
      </c>
      <c r="C9699" t="s">
        <v>2458</v>
      </c>
      <c r="D9699">
        <v>0.6</v>
      </c>
      <c r="E9699">
        <v>0</v>
      </c>
      <c r="F9699">
        <f t="shared" si="162"/>
        <v>0.6</v>
      </c>
      <c r="I9699">
        <v>20230701</v>
      </c>
      <c r="J9699" t="s">
        <v>9323</v>
      </c>
    </row>
    <row r="9700" spans="1:10" x14ac:dyDescent="0.3">
      <c r="A9700" s="160">
        <v>70116</v>
      </c>
      <c r="B9700" t="s">
        <v>24709</v>
      </c>
      <c r="C9700" t="s">
        <v>2458</v>
      </c>
      <c r="D9700">
        <v>0.6</v>
      </c>
      <c r="E9700">
        <v>0</v>
      </c>
      <c r="F9700">
        <f t="shared" si="162"/>
        <v>0.6</v>
      </c>
      <c r="I9700">
        <v>20230701</v>
      </c>
      <c r="J9700" t="s">
        <v>9323</v>
      </c>
    </row>
    <row r="9701" spans="1:10" x14ac:dyDescent="0.3">
      <c r="A9701" s="160">
        <v>70117</v>
      </c>
      <c r="B9701" t="s">
        <v>24710</v>
      </c>
      <c r="C9701" t="s">
        <v>2458</v>
      </c>
      <c r="D9701">
        <v>0.6</v>
      </c>
      <c r="E9701">
        <v>0</v>
      </c>
      <c r="F9701">
        <f t="shared" si="162"/>
        <v>0.6</v>
      </c>
      <c r="I9701">
        <v>20230701</v>
      </c>
      <c r="J9701" t="s">
        <v>9323</v>
      </c>
    </row>
    <row r="9702" spans="1:10" x14ac:dyDescent="0.3">
      <c r="A9702" s="160">
        <v>70121</v>
      </c>
      <c r="B9702" t="s">
        <v>24711</v>
      </c>
      <c r="C9702" t="s">
        <v>2458</v>
      </c>
      <c r="D9702">
        <v>0.6</v>
      </c>
      <c r="E9702">
        <v>0</v>
      </c>
      <c r="F9702">
        <f t="shared" si="162"/>
        <v>0.6</v>
      </c>
      <c r="I9702">
        <v>20230701</v>
      </c>
      <c r="J9702" t="s">
        <v>9323</v>
      </c>
    </row>
    <row r="9703" spans="1:10" x14ac:dyDescent="0.3">
      <c r="A9703" s="160">
        <v>70134</v>
      </c>
      <c r="B9703" t="s">
        <v>24712</v>
      </c>
      <c r="C9703" t="s">
        <v>9321</v>
      </c>
      <c r="D9703">
        <v>0.6</v>
      </c>
      <c r="E9703">
        <v>0</v>
      </c>
      <c r="F9703">
        <f t="shared" si="162"/>
        <v>0.6</v>
      </c>
      <c r="I9703">
        <v>20180101</v>
      </c>
      <c r="J9703" t="s">
        <v>9322</v>
      </c>
    </row>
    <row r="9704" spans="1:10" x14ac:dyDescent="0.3">
      <c r="A9704" s="160">
        <v>70147</v>
      </c>
      <c r="B9704" t="s">
        <v>24713</v>
      </c>
      <c r="C9704" t="s">
        <v>2458</v>
      </c>
      <c r="D9704">
        <v>0.6</v>
      </c>
      <c r="E9704">
        <v>0</v>
      </c>
      <c r="F9704">
        <f t="shared" si="162"/>
        <v>0.6</v>
      </c>
      <c r="I9704">
        <v>20230701</v>
      </c>
      <c r="J9704" t="s">
        <v>9323</v>
      </c>
    </row>
    <row r="9705" spans="1:10" x14ac:dyDescent="0.3">
      <c r="A9705" s="160">
        <v>70149</v>
      </c>
      <c r="B9705" t="s">
        <v>24714</v>
      </c>
      <c r="C9705" t="s">
        <v>2458</v>
      </c>
      <c r="D9705">
        <v>0.6</v>
      </c>
      <c r="E9705">
        <v>0</v>
      </c>
      <c r="F9705">
        <f t="shared" si="162"/>
        <v>0.6</v>
      </c>
      <c r="I9705">
        <v>20230701</v>
      </c>
      <c r="J9705" t="s">
        <v>9323</v>
      </c>
    </row>
    <row r="9706" spans="1:10" x14ac:dyDescent="0.3">
      <c r="A9706" s="160">
        <v>70160</v>
      </c>
      <c r="B9706" t="s">
        <v>24715</v>
      </c>
      <c r="C9706" t="s">
        <v>2458</v>
      </c>
      <c r="D9706">
        <v>0.6</v>
      </c>
      <c r="E9706">
        <v>0</v>
      </c>
      <c r="F9706">
        <f t="shared" si="162"/>
        <v>0.6</v>
      </c>
      <c r="I9706">
        <v>20230701</v>
      </c>
      <c r="J9706" t="s">
        <v>9323</v>
      </c>
    </row>
    <row r="9707" spans="1:10" x14ac:dyDescent="0.3">
      <c r="A9707" s="160">
        <v>70163</v>
      </c>
      <c r="B9707" t="s">
        <v>17316</v>
      </c>
      <c r="C9707" t="s">
        <v>9321</v>
      </c>
      <c r="D9707">
        <v>0.6</v>
      </c>
      <c r="E9707">
        <v>0</v>
      </c>
      <c r="F9707">
        <f t="shared" si="162"/>
        <v>0.6</v>
      </c>
      <c r="I9707">
        <v>20180101</v>
      </c>
      <c r="J9707" t="s">
        <v>9322</v>
      </c>
    </row>
    <row r="9708" spans="1:10" x14ac:dyDescent="0.3">
      <c r="A9708" s="160">
        <v>70166</v>
      </c>
      <c r="B9708" t="s">
        <v>24716</v>
      </c>
      <c r="C9708" t="s">
        <v>9321</v>
      </c>
      <c r="D9708">
        <v>0.6</v>
      </c>
      <c r="E9708">
        <v>0</v>
      </c>
      <c r="F9708">
        <f t="shared" si="162"/>
        <v>0.6</v>
      </c>
      <c r="I9708">
        <v>20180101</v>
      </c>
      <c r="J9708" t="s">
        <v>9322</v>
      </c>
    </row>
    <row r="9709" spans="1:10" x14ac:dyDescent="0.3">
      <c r="A9709" s="160">
        <v>70179</v>
      </c>
      <c r="B9709" t="s">
        <v>24717</v>
      </c>
      <c r="C9709" t="s">
        <v>9321</v>
      </c>
      <c r="D9709">
        <v>0.6</v>
      </c>
      <c r="E9709">
        <v>0</v>
      </c>
      <c r="F9709">
        <f t="shared" si="162"/>
        <v>0.6</v>
      </c>
      <c r="I9709">
        <v>20180101</v>
      </c>
      <c r="J9709" t="s">
        <v>9322</v>
      </c>
    </row>
    <row r="9710" spans="1:10" x14ac:dyDescent="0.3">
      <c r="A9710" s="160">
        <v>70182</v>
      </c>
      <c r="B9710" t="s">
        <v>15410</v>
      </c>
      <c r="C9710" t="s">
        <v>2458</v>
      </c>
      <c r="D9710">
        <v>0.6</v>
      </c>
      <c r="E9710">
        <v>0</v>
      </c>
      <c r="F9710">
        <f t="shared" si="162"/>
        <v>0.6</v>
      </c>
      <c r="I9710">
        <v>20230701</v>
      </c>
      <c r="J9710" t="s">
        <v>9323</v>
      </c>
    </row>
    <row r="9711" spans="1:10" x14ac:dyDescent="0.3">
      <c r="A9711" s="160">
        <v>70184</v>
      </c>
      <c r="B9711" t="s">
        <v>24718</v>
      </c>
      <c r="C9711" t="s">
        <v>2458</v>
      </c>
      <c r="D9711">
        <v>0.6</v>
      </c>
      <c r="E9711">
        <v>0</v>
      </c>
      <c r="F9711">
        <f t="shared" si="162"/>
        <v>0.6</v>
      </c>
      <c r="I9711">
        <v>20230701</v>
      </c>
      <c r="J9711" t="s">
        <v>9323</v>
      </c>
    </row>
    <row r="9712" spans="1:10" x14ac:dyDescent="0.3">
      <c r="A9712" s="160">
        <v>70206</v>
      </c>
      <c r="B9712" t="s">
        <v>24719</v>
      </c>
      <c r="C9712" t="s">
        <v>2458</v>
      </c>
      <c r="D9712">
        <v>0.6</v>
      </c>
      <c r="E9712">
        <v>0</v>
      </c>
      <c r="F9712">
        <f t="shared" si="162"/>
        <v>0.6</v>
      </c>
      <c r="I9712">
        <v>20230701</v>
      </c>
      <c r="J9712" t="s">
        <v>9323</v>
      </c>
    </row>
    <row r="9713" spans="1:17" x14ac:dyDescent="0.3">
      <c r="A9713" s="160">
        <v>70207</v>
      </c>
      <c r="B9713" t="s">
        <v>24720</v>
      </c>
      <c r="C9713" t="s">
        <v>9321</v>
      </c>
      <c r="D9713">
        <v>0.6</v>
      </c>
      <c r="E9713">
        <v>0</v>
      </c>
      <c r="F9713">
        <f t="shared" si="162"/>
        <v>0.6</v>
      </c>
      <c r="I9713">
        <v>20180101</v>
      </c>
      <c r="J9713" t="s">
        <v>9322</v>
      </c>
      <c r="K9713" t="s">
        <v>9324</v>
      </c>
      <c r="L9713" t="s">
        <v>9325</v>
      </c>
      <c r="M9713" t="s">
        <v>9326</v>
      </c>
    </row>
    <row r="9714" spans="1:17" x14ac:dyDescent="0.3">
      <c r="A9714" s="160">
        <v>70221</v>
      </c>
      <c r="B9714" t="s">
        <v>24721</v>
      </c>
      <c r="C9714" t="s">
        <v>2458</v>
      </c>
      <c r="D9714">
        <v>0.6</v>
      </c>
      <c r="E9714">
        <v>0</v>
      </c>
      <c r="F9714">
        <f t="shared" si="162"/>
        <v>0.6</v>
      </c>
      <c r="I9714">
        <v>20230701</v>
      </c>
      <c r="J9714" t="s">
        <v>9323</v>
      </c>
    </row>
    <row r="9715" spans="1:17" x14ac:dyDescent="0.3">
      <c r="A9715" s="160">
        <v>70261</v>
      </c>
      <c r="B9715" t="s">
        <v>24722</v>
      </c>
      <c r="C9715" t="s">
        <v>9321</v>
      </c>
      <c r="D9715">
        <v>0.6</v>
      </c>
      <c r="E9715">
        <v>0</v>
      </c>
      <c r="F9715">
        <f t="shared" si="162"/>
        <v>0.6</v>
      </c>
      <c r="I9715">
        <v>20180101</v>
      </c>
      <c r="J9715" t="s">
        <v>9322</v>
      </c>
      <c r="K9715" t="s">
        <v>9327</v>
      </c>
      <c r="L9715" t="s">
        <v>9328</v>
      </c>
      <c r="M9715" t="s">
        <v>9324</v>
      </c>
      <c r="N9715" t="s">
        <v>9325</v>
      </c>
    </row>
    <row r="9716" spans="1:17" x14ac:dyDescent="0.3">
      <c r="A9716" s="160">
        <v>70285</v>
      </c>
      <c r="B9716" t="s">
        <v>24723</v>
      </c>
      <c r="C9716" t="s">
        <v>2458</v>
      </c>
      <c r="D9716">
        <v>0.6</v>
      </c>
      <c r="E9716">
        <v>0</v>
      </c>
      <c r="F9716">
        <f t="shared" si="162"/>
        <v>0.6</v>
      </c>
      <c r="I9716">
        <v>20230701</v>
      </c>
      <c r="J9716" t="s">
        <v>9323</v>
      </c>
    </row>
    <row r="9717" spans="1:17" x14ac:dyDescent="0.3">
      <c r="A9717" s="160">
        <v>70312</v>
      </c>
      <c r="B9717" t="s">
        <v>24724</v>
      </c>
      <c r="C9717" t="s">
        <v>2458</v>
      </c>
      <c r="D9717">
        <v>0.6</v>
      </c>
      <c r="E9717">
        <v>0</v>
      </c>
      <c r="F9717">
        <f t="shared" si="162"/>
        <v>0.6</v>
      </c>
      <c r="I9717">
        <v>20230701</v>
      </c>
      <c r="J9717" t="s">
        <v>9323</v>
      </c>
    </row>
    <row r="9718" spans="1:17" x14ac:dyDescent="0.3">
      <c r="A9718" s="160">
        <v>70330</v>
      </c>
      <c r="B9718" t="s">
        <v>24725</v>
      </c>
      <c r="C9718" t="s">
        <v>2458</v>
      </c>
      <c r="D9718">
        <v>0.6</v>
      </c>
      <c r="E9718">
        <v>0</v>
      </c>
      <c r="F9718">
        <f t="shared" si="162"/>
        <v>0.6</v>
      </c>
      <c r="I9718">
        <v>20230701</v>
      </c>
      <c r="J9718" t="s">
        <v>9323</v>
      </c>
    </row>
    <row r="9719" spans="1:17" x14ac:dyDescent="0.3">
      <c r="A9719" s="160">
        <v>70358</v>
      </c>
      <c r="B9719" t="s">
        <v>24726</v>
      </c>
      <c r="C9719" t="s">
        <v>9321</v>
      </c>
      <c r="D9719">
        <v>0.6</v>
      </c>
      <c r="E9719">
        <v>0</v>
      </c>
      <c r="F9719">
        <f t="shared" si="162"/>
        <v>0.6</v>
      </c>
      <c r="I9719">
        <v>20180101</v>
      </c>
      <c r="J9719" t="s">
        <v>9322</v>
      </c>
    </row>
    <row r="9720" spans="1:17" x14ac:dyDescent="0.3">
      <c r="A9720" s="160">
        <v>70363</v>
      </c>
      <c r="B9720" t="s">
        <v>24727</v>
      </c>
      <c r="C9720" t="s">
        <v>9321</v>
      </c>
      <c r="D9720">
        <v>0.6</v>
      </c>
      <c r="E9720">
        <v>0</v>
      </c>
      <c r="F9720">
        <f t="shared" si="162"/>
        <v>0.6</v>
      </c>
      <c r="I9720">
        <v>20180101</v>
      </c>
      <c r="J9720" t="s">
        <v>9322</v>
      </c>
    </row>
    <row r="9721" spans="1:17" x14ac:dyDescent="0.3">
      <c r="A9721" s="160">
        <v>70367</v>
      </c>
      <c r="B9721" t="s">
        <v>24728</v>
      </c>
      <c r="C9721" t="s">
        <v>9321</v>
      </c>
      <c r="D9721">
        <v>0.6</v>
      </c>
      <c r="E9721">
        <v>0</v>
      </c>
      <c r="F9721">
        <f t="shared" si="162"/>
        <v>0.6</v>
      </c>
      <c r="I9721">
        <v>20180101</v>
      </c>
      <c r="J9721" t="s">
        <v>9322</v>
      </c>
    </row>
    <row r="9722" spans="1:17" x14ac:dyDescent="0.3">
      <c r="A9722" s="160">
        <v>70378</v>
      </c>
      <c r="B9722" t="s">
        <v>24729</v>
      </c>
      <c r="C9722" t="s">
        <v>9321</v>
      </c>
      <c r="D9722">
        <v>0.6</v>
      </c>
      <c r="E9722">
        <v>0</v>
      </c>
      <c r="F9722">
        <f t="shared" si="162"/>
        <v>0.6</v>
      </c>
      <c r="I9722">
        <v>20180101</v>
      </c>
      <c r="J9722" t="s">
        <v>9322</v>
      </c>
      <c r="K9722" t="s">
        <v>9329</v>
      </c>
      <c r="L9722" t="s">
        <v>9324</v>
      </c>
    </row>
    <row r="9723" spans="1:17" x14ac:dyDescent="0.3">
      <c r="A9723" s="160">
        <v>70388</v>
      </c>
      <c r="B9723" t="s">
        <v>24730</v>
      </c>
      <c r="C9723" t="s">
        <v>9321</v>
      </c>
      <c r="D9723">
        <v>0.6</v>
      </c>
      <c r="E9723">
        <v>0</v>
      </c>
      <c r="F9723">
        <f t="shared" si="162"/>
        <v>0.6</v>
      </c>
      <c r="I9723">
        <v>20180101</v>
      </c>
      <c r="J9723" t="s">
        <v>9322</v>
      </c>
      <c r="K9723" t="s">
        <v>9327</v>
      </c>
      <c r="L9723" t="s">
        <v>9330</v>
      </c>
      <c r="M9723" t="s">
        <v>9331</v>
      </c>
      <c r="N9723" t="s">
        <v>9329</v>
      </c>
      <c r="O9723" t="s">
        <v>9324</v>
      </c>
      <c r="P9723" t="s">
        <v>9325</v>
      </c>
      <c r="Q9723" t="s">
        <v>9326</v>
      </c>
    </row>
    <row r="9724" spans="1:17" x14ac:dyDescent="0.3">
      <c r="A9724" s="160">
        <v>70428</v>
      </c>
      <c r="B9724" t="s">
        <v>24731</v>
      </c>
      <c r="C9724" t="s">
        <v>9321</v>
      </c>
      <c r="D9724">
        <v>0.6</v>
      </c>
      <c r="E9724">
        <v>0</v>
      </c>
      <c r="F9724">
        <f t="shared" si="162"/>
        <v>0.6</v>
      </c>
      <c r="I9724">
        <v>20180101</v>
      </c>
      <c r="J9724" t="s">
        <v>9322</v>
      </c>
      <c r="K9724" t="s">
        <v>9330</v>
      </c>
      <c r="L9724" t="s">
        <v>9324</v>
      </c>
    </row>
    <row r="9725" spans="1:17" x14ac:dyDescent="0.3">
      <c r="A9725" s="160">
        <v>70429</v>
      </c>
      <c r="B9725" t="s">
        <v>24732</v>
      </c>
      <c r="C9725" t="s">
        <v>9321</v>
      </c>
      <c r="D9725">
        <v>0.6</v>
      </c>
      <c r="E9725">
        <v>0</v>
      </c>
      <c r="F9725">
        <f t="shared" si="162"/>
        <v>0.6</v>
      </c>
      <c r="I9725">
        <v>20180101</v>
      </c>
      <c r="J9725" t="s">
        <v>9322</v>
      </c>
    </row>
    <row r="9726" spans="1:17" x14ac:dyDescent="0.3">
      <c r="A9726" s="160">
        <v>70433</v>
      </c>
      <c r="B9726" t="s">
        <v>24733</v>
      </c>
      <c r="C9726" t="s">
        <v>9321</v>
      </c>
      <c r="D9726">
        <v>0.6</v>
      </c>
      <c r="E9726">
        <v>0</v>
      </c>
      <c r="F9726">
        <f t="shared" si="162"/>
        <v>0.6</v>
      </c>
      <c r="I9726">
        <v>20180101</v>
      </c>
      <c r="J9726" t="s">
        <v>9322</v>
      </c>
      <c r="K9726" t="s">
        <v>9328</v>
      </c>
      <c r="L9726" t="s">
        <v>9330</v>
      </c>
      <c r="M9726" t="s">
        <v>9324</v>
      </c>
    </row>
    <row r="9727" spans="1:17" x14ac:dyDescent="0.3">
      <c r="A9727" s="160">
        <v>70477</v>
      </c>
      <c r="B9727" t="s">
        <v>24734</v>
      </c>
      <c r="C9727" t="s">
        <v>2458</v>
      </c>
      <c r="D9727">
        <v>0.6</v>
      </c>
      <c r="E9727">
        <v>0</v>
      </c>
      <c r="F9727">
        <f t="shared" si="162"/>
        <v>0.6</v>
      </c>
      <c r="I9727">
        <v>20230701</v>
      </c>
      <c r="J9727" t="s">
        <v>9323</v>
      </c>
    </row>
    <row r="9728" spans="1:17" x14ac:dyDescent="0.3">
      <c r="A9728" s="160">
        <v>70497</v>
      </c>
      <c r="B9728" t="s">
        <v>24735</v>
      </c>
      <c r="C9728" t="s">
        <v>2458</v>
      </c>
      <c r="D9728">
        <v>0.6</v>
      </c>
      <c r="E9728">
        <v>0</v>
      </c>
      <c r="F9728">
        <f t="shared" si="162"/>
        <v>0.6</v>
      </c>
      <c r="I9728">
        <v>20230701</v>
      </c>
      <c r="J9728" t="s">
        <v>9323</v>
      </c>
    </row>
    <row r="9729" spans="1:23" x14ac:dyDescent="0.3">
      <c r="A9729" s="160">
        <v>70506</v>
      </c>
      <c r="B9729" t="s">
        <v>24736</v>
      </c>
      <c r="C9729" t="s">
        <v>2458</v>
      </c>
      <c r="D9729">
        <v>0.6</v>
      </c>
      <c r="E9729">
        <v>0</v>
      </c>
      <c r="F9729">
        <f t="shared" si="162"/>
        <v>0.6</v>
      </c>
      <c r="I9729">
        <v>20230701</v>
      </c>
      <c r="J9729" t="s">
        <v>9323</v>
      </c>
    </row>
    <row r="9730" spans="1:23" x14ac:dyDescent="0.3">
      <c r="A9730" s="160">
        <v>70513</v>
      </c>
      <c r="B9730" t="s">
        <v>24737</v>
      </c>
      <c r="C9730" t="s">
        <v>9321</v>
      </c>
      <c r="D9730">
        <v>0.6</v>
      </c>
      <c r="E9730">
        <v>0</v>
      </c>
      <c r="F9730">
        <f t="shared" si="162"/>
        <v>0.6</v>
      </c>
      <c r="I9730">
        <v>20180101</v>
      </c>
      <c r="J9730" t="s">
        <v>9322</v>
      </c>
      <c r="K9730" t="s">
        <v>9330</v>
      </c>
      <c r="L9730" t="s">
        <v>9325</v>
      </c>
      <c r="M9730" t="s">
        <v>9326</v>
      </c>
    </row>
    <row r="9731" spans="1:23" x14ac:dyDescent="0.3">
      <c r="A9731" s="160">
        <v>70547</v>
      </c>
      <c r="B9731" t="s">
        <v>24738</v>
      </c>
      <c r="C9731" t="s">
        <v>2458</v>
      </c>
      <c r="D9731">
        <v>0.6</v>
      </c>
      <c r="E9731">
        <v>0</v>
      </c>
      <c r="F9731">
        <f t="shared" si="162"/>
        <v>0.6</v>
      </c>
      <c r="I9731">
        <v>20230701</v>
      </c>
      <c r="J9731" t="s">
        <v>9323</v>
      </c>
    </row>
    <row r="9732" spans="1:23" x14ac:dyDescent="0.3">
      <c r="A9732" s="160">
        <v>70550</v>
      </c>
      <c r="B9732" t="s">
        <v>24739</v>
      </c>
      <c r="C9732" t="s">
        <v>9321</v>
      </c>
      <c r="D9732">
        <v>0.6</v>
      </c>
      <c r="E9732">
        <v>0</v>
      </c>
      <c r="F9732">
        <f t="shared" si="162"/>
        <v>0.6</v>
      </c>
      <c r="I9732">
        <v>20180101</v>
      </c>
      <c r="J9732" t="s">
        <v>9322</v>
      </c>
      <c r="K9732" t="s">
        <v>9327</v>
      </c>
      <c r="L9732" t="s">
        <v>9328</v>
      </c>
      <c r="M9732" t="s">
        <v>9330</v>
      </c>
      <c r="N9732" t="s">
        <v>9331</v>
      </c>
      <c r="O9732" t="s">
        <v>9329</v>
      </c>
      <c r="P9732" t="s">
        <v>9324</v>
      </c>
      <c r="Q9732" t="s">
        <v>9325</v>
      </c>
      <c r="R9732" t="s">
        <v>9332</v>
      </c>
      <c r="S9732" t="s">
        <v>9326</v>
      </c>
      <c r="T9732" t="s">
        <v>9333</v>
      </c>
      <c r="U9732" t="s">
        <v>9334</v>
      </c>
      <c r="V9732" t="s">
        <v>9335</v>
      </c>
      <c r="W9732" t="s">
        <v>9336</v>
      </c>
    </row>
    <row r="9733" spans="1:23" x14ac:dyDescent="0.3">
      <c r="A9733" s="160">
        <v>70559</v>
      </c>
      <c r="B9733" t="s">
        <v>24740</v>
      </c>
      <c r="C9733" t="s">
        <v>9321</v>
      </c>
      <c r="D9733">
        <v>0.6</v>
      </c>
      <c r="E9733">
        <v>0</v>
      </c>
      <c r="F9733">
        <f t="shared" si="162"/>
        <v>0.6</v>
      </c>
      <c r="I9733">
        <v>20180101</v>
      </c>
      <c r="J9733" t="s">
        <v>9322</v>
      </c>
    </row>
    <row r="9734" spans="1:23" x14ac:dyDescent="0.3">
      <c r="A9734" s="160">
        <v>70567</v>
      </c>
      <c r="B9734" t="s">
        <v>24741</v>
      </c>
      <c r="C9734" t="s">
        <v>2458</v>
      </c>
      <c r="D9734">
        <v>0.6</v>
      </c>
      <c r="E9734">
        <v>0</v>
      </c>
      <c r="F9734">
        <f t="shared" si="162"/>
        <v>0.6</v>
      </c>
      <c r="I9734">
        <v>20230701</v>
      </c>
      <c r="J9734" t="s">
        <v>9323</v>
      </c>
    </row>
    <row r="9735" spans="1:23" x14ac:dyDescent="0.3">
      <c r="A9735" s="160">
        <v>70579</v>
      </c>
      <c r="B9735" t="s">
        <v>24742</v>
      </c>
      <c r="C9735" t="s">
        <v>2458</v>
      </c>
      <c r="D9735">
        <v>0.6</v>
      </c>
      <c r="E9735">
        <v>0</v>
      </c>
      <c r="F9735">
        <f t="shared" ref="F9735:F9798" si="164">D9735+E9735</f>
        <v>0.6</v>
      </c>
      <c r="I9735">
        <v>20230701</v>
      </c>
      <c r="J9735" t="s">
        <v>9323</v>
      </c>
    </row>
    <row r="9736" spans="1:23" x14ac:dyDescent="0.3">
      <c r="A9736" s="160">
        <v>71003</v>
      </c>
      <c r="B9736" t="s">
        <v>24743</v>
      </c>
      <c r="C9736" t="s">
        <v>9337</v>
      </c>
      <c r="D9736">
        <v>1</v>
      </c>
      <c r="E9736">
        <v>0</v>
      </c>
      <c r="F9736">
        <f t="shared" si="164"/>
        <v>1</v>
      </c>
      <c r="I9736">
        <v>20240101</v>
      </c>
      <c r="J9736" t="s">
        <v>9338</v>
      </c>
    </row>
    <row r="9737" spans="1:23" x14ac:dyDescent="0.3">
      <c r="A9737" s="160">
        <v>71005</v>
      </c>
      <c r="B9737" t="s">
        <v>24744</v>
      </c>
      <c r="C9737" t="s">
        <v>9337</v>
      </c>
      <c r="D9737">
        <v>1</v>
      </c>
      <c r="E9737">
        <v>0</v>
      </c>
      <c r="F9737">
        <f t="shared" si="164"/>
        <v>1</v>
      </c>
      <c r="I9737">
        <v>20190701</v>
      </c>
      <c r="J9737" t="s">
        <v>9339</v>
      </c>
    </row>
    <row r="9738" spans="1:23" x14ac:dyDescent="0.3">
      <c r="A9738" s="160">
        <v>71016</v>
      </c>
      <c r="B9738" t="s">
        <v>19754</v>
      </c>
      <c r="C9738" t="s">
        <v>241</v>
      </c>
      <c r="D9738">
        <v>0.8</v>
      </c>
      <c r="E9738">
        <v>0</v>
      </c>
      <c r="F9738">
        <f t="shared" si="164"/>
        <v>0.8</v>
      </c>
      <c r="I9738">
        <v>20140701</v>
      </c>
      <c r="J9738" t="s">
        <v>9340</v>
      </c>
    </row>
    <row r="9739" spans="1:23" x14ac:dyDescent="0.3">
      <c r="A9739" s="160">
        <v>71019</v>
      </c>
      <c r="B9739" t="s">
        <v>24745</v>
      </c>
      <c r="C9739" t="s">
        <v>9337</v>
      </c>
      <c r="D9739">
        <v>1</v>
      </c>
      <c r="E9739">
        <v>0</v>
      </c>
      <c r="F9739">
        <f t="shared" si="164"/>
        <v>1</v>
      </c>
      <c r="I9739">
        <v>20100101</v>
      </c>
      <c r="J9739" t="s">
        <v>9341</v>
      </c>
    </row>
    <row r="9740" spans="1:23" x14ac:dyDescent="0.3">
      <c r="A9740" s="160">
        <v>71032</v>
      </c>
      <c r="B9740" t="s">
        <v>24746</v>
      </c>
      <c r="C9740" t="s">
        <v>241</v>
      </c>
      <c r="D9740">
        <v>0.8</v>
      </c>
      <c r="E9740">
        <v>0</v>
      </c>
      <c r="F9740">
        <f t="shared" si="164"/>
        <v>0.8</v>
      </c>
      <c r="I9740">
        <v>20140701</v>
      </c>
      <c r="J9740" t="s">
        <v>9342</v>
      </c>
    </row>
    <row r="9741" spans="1:23" x14ac:dyDescent="0.3">
      <c r="A9741" s="160">
        <v>71038</v>
      </c>
      <c r="B9741" t="s">
        <v>24747</v>
      </c>
      <c r="C9741" t="s">
        <v>9343</v>
      </c>
      <c r="D9741">
        <v>0.6</v>
      </c>
      <c r="E9741">
        <v>0</v>
      </c>
      <c r="F9741">
        <f t="shared" si="164"/>
        <v>0.6</v>
      </c>
      <c r="I9741">
        <v>20100330</v>
      </c>
      <c r="J9741" t="s">
        <v>9344</v>
      </c>
    </row>
    <row r="9742" spans="1:23" x14ac:dyDescent="0.3">
      <c r="A9742" s="160">
        <v>71040</v>
      </c>
      <c r="B9742" t="s">
        <v>24748</v>
      </c>
      <c r="C9742" t="s">
        <v>9343</v>
      </c>
      <c r="D9742">
        <v>0.6</v>
      </c>
      <c r="E9742">
        <v>0</v>
      </c>
      <c r="F9742">
        <f t="shared" si="164"/>
        <v>0.6</v>
      </c>
      <c r="I9742">
        <v>20100330</v>
      </c>
      <c r="J9742" t="s">
        <v>9345</v>
      </c>
    </row>
    <row r="9743" spans="1:23" x14ac:dyDescent="0.3">
      <c r="A9743" s="160">
        <v>71051</v>
      </c>
      <c r="B9743" t="s">
        <v>24749</v>
      </c>
      <c r="C9743" t="s">
        <v>9337</v>
      </c>
      <c r="D9743">
        <v>1</v>
      </c>
      <c r="E9743">
        <v>0</v>
      </c>
      <c r="F9743">
        <f t="shared" si="164"/>
        <v>1</v>
      </c>
      <c r="I9743">
        <v>20190701</v>
      </c>
      <c r="J9743" t="s">
        <v>9346</v>
      </c>
    </row>
    <row r="9744" spans="1:23" x14ac:dyDescent="0.3">
      <c r="A9744" s="160">
        <v>71059</v>
      </c>
      <c r="B9744" t="s">
        <v>24465</v>
      </c>
      <c r="C9744" t="s">
        <v>9343</v>
      </c>
      <c r="D9744">
        <v>0.6</v>
      </c>
      <c r="E9744">
        <v>0</v>
      </c>
      <c r="F9744">
        <f t="shared" si="164"/>
        <v>0.6</v>
      </c>
      <c r="I9744">
        <v>20100330</v>
      </c>
      <c r="J9744" t="s">
        <v>9347</v>
      </c>
    </row>
    <row r="9745" spans="1:29" x14ac:dyDescent="0.3">
      <c r="A9745" s="160">
        <v>71069</v>
      </c>
      <c r="B9745" t="s">
        <v>24750</v>
      </c>
      <c r="C9745" t="s">
        <v>241</v>
      </c>
      <c r="D9745">
        <v>0.8</v>
      </c>
      <c r="E9745">
        <v>0</v>
      </c>
      <c r="F9745">
        <f t="shared" si="164"/>
        <v>0.8</v>
      </c>
      <c r="I9745">
        <v>20140701</v>
      </c>
      <c r="J9745" t="s">
        <v>9342</v>
      </c>
    </row>
    <row r="9746" spans="1:29" x14ac:dyDescent="0.3">
      <c r="A9746" s="160">
        <v>71073</v>
      </c>
      <c r="B9746" t="s">
        <v>24751</v>
      </c>
      <c r="C9746" t="s">
        <v>2111</v>
      </c>
      <c r="D9746">
        <v>0.6</v>
      </c>
      <c r="E9746">
        <v>0</v>
      </c>
      <c r="F9746">
        <f t="shared" si="164"/>
        <v>0.6</v>
      </c>
      <c r="I9746">
        <v>20170101</v>
      </c>
      <c r="J9746" t="s">
        <v>9346</v>
      </c>
    </row>
    <row r="9747" spans="1:29" x14ac:dyDescent="0.3">
      <c r="A9747" s="160">
        <v>71074</v>
      </c>
      <c r="B9747" t="s">
        <v>24752</v>
      </c>
      <c r="C9747" t="s">
        <v>241</v>
      </c>
      <c r="D9747">
        <v>0.8</v>
      </c>
      <c r="E9747">
        <v>0</v>
      </c>
      <c r="F9747">
        <f t="shared" si="164"/>
        <v>0.8</v>
      </c>
      <c r="I9747">
        <v>20140701</v>
      </c>
      <c r="J9747" t="s">
        <v>9348</v>
      </c>
    </row>
    <row r="9748" spans="1:29" x14ac:dyDescent="0.3">
      <c r="A9748" s="160">
        <v>71076</v>
      </c>
      <c r="B9748" t="s">
        <v>24753</v>
      </c>
      <c r="C9748" t="s">
        <v>9337</v>
      </c>
      <c r="D9748">
        <v>1</v>
      </c>
      <c r="E9748">
        <v>0</v>
      </c>
      <c r="F9748">
        <f t="shared" si="164"/>
        <v>1</v>
      </c>
      <c r="I9748">
        <v>20100101</v>
      </c>
      <c r="J9748" t="s">
        <v>9349</v>
      </c>
      <c r="K9748" t="s">
        <v>9350</v>
      </c>
      <c r="L9748" t="s">
        <v>9351</v>
      </c>
      <c r="M9748" t="s">
        <v>9352</v>
      </c>
      <c r="N9748" t="s">
        <v>9353</v>
      </c>
      <c r="O9748" t="s">
        <v>9354</v>
      </c>
      <c r="P9748" t="s">
        <v>9355</v>
      </c>
      <c r="Q9748" t="s">
        <v>9356</v>
      </c>
      <c r="R9748" t="s">
        <v>9357</v>
      </c>
      <c r="S9748" t="s">
        <v>9358</v>
      </c>
      <c r="T9748" t="s">
        <v>9359</v>
      </c>
      <c r="U9748" t="s">
        <v>9360</v>
      </c>
      <c r="V9748" t="s">
        <v>9361</v>
      </c>
      <c r="W9748" t="s">
        <v>9362</v>
      </c>
      <c r="X9748" t="s">
        <v>9363</v>
      </c>
      <c r="Y9748" t="s">
        <v>9364</v>
      </c>
      <c r="Z9748" t="s">
        <v>9365</v>
      </c>
      <c r="AA9748" t="s">
        <v>9366</v>
      </c>
      <c r="AB9748" t="s">
        <v>9367</v>
      </c>
      <c r="AC9748" t="s">
        <v>9368</v>
      </c>
    </row>
    <row r="9749" spans="1:29" x14ac:dyDescent="0.3">
      <c r="A9749" s="160">
        <v>71078</v>
      </c>
      <c r="B9749" t="s">
        <v>24754</v>
      </c>
      <c r="C9749" t="s">
        <v>9337</v>
      </c>
      <c r="D9749">
        <v>1</v>
      </c>
      <c r="E9749">
        <v>0</v>
      </c>
      <c r="F9749">
        <f t="shared" si="164"/>
        <v>1</v>
      </c>
      <c r="I9749">
        <v>20190701</v>
      </c>
      <c r="J9749" t="s">
        <v>9339</v>
      </c>
    </row>
    <row r="9750" spans="1:29" x14ac:dyDescent="0.3">
      <c r="A9750" s="160">
        <v>71081</v>
      </c>
      <c r="B9750" t="s">
        <v>24755</v>
      </c>
      <c r="C9750" t="s">
        <v>9337</v>
      </c>
      <c r="D9750">
        <v>1</v>
      </c>
      <c r="E9750">
        <v>0</v>
      </c>
      <c r="F9750">
        <f t="shared" si="164"/>
        <v>1</v>
      </c>
      <c r="I9750">
        <v>20100101</v>
      </c>
      <c r="J9750" t="s">
        <v>9350</v>
      </c>
      <c r="K9750" t="s">
        <v>9351</v>
      </c>
      <c r="L9750" t="s">
        <v>9352</v>
      </c>
      <c r="M9750" t="s">
        <v>9354</v>
      </c>
      <c r="N9750" t="s">
        <v>9355</v>
      </c>
      <c r="O9750" t="s">
        <v>9357</v>
      </c>
      <c r="P9750" t="s">
        <v>9369</v>
      </c>
    </row>
    <row r="9751" spans="1:29" x14ac:dyDescent="0.3">
      <c r="A9751" s="160">
        <v>71084</v>
      </c>
      <c r="B9751" t="s">
        <v>24756</v>
      </c>
      <c r="C9751" t="s">
        <v>241</v>
      </c>
      <c r="D9751">
        <v>0.8</v>
      </c>
      <c r="E9751">
        <v>0</v>
      </c>
      <c r="F9751">
        <f t="shared" si="164"/>
        <v>0.8</v>
      </c>
      <c r="I9751">
        <v>20170701</v>
      </c>
      <c r="J9751" t="s">
        <v>9370</v>
      </c>
      <c r="K9751" t="s">
        <v>9348</v>
      </c>
    </row>
    <row r="9752" spans="1:29" x14ac:dyDescent="0.3">
      <c r="A9752" s="160">
        <v>71085</v>
      </c>
      <c r="B9752" t="s">
        <v>24757</v>
      </c>
      <c r="C9752" t="s">
        <v>2111</v>
      </c>
      <c r="D9752">
        <v>0.6</v>
      </c>
      <c r="E9752">
        <v>0</v>
      </c>
      <c r="F9752">
        <f t="shared" si="164"/>
        <v>0.6</v>
      </c>
      <c r="I9752">
        <v>20180101</v>
      </c>
      <c r="J9752" t="s">
        <v>2113</v>
      </c>
    </row>
    <row r="9753" spans="1:29" x14ac:dyDescent="0.3">
      <c r="A9753" s="160">
        <v>71090</v>
      </c>
      <c r="B9753" t="s">
        <v>24758</v>
      </c>
      <c r="C9753" t="s">
        <v>241</v>
      </c>
      <c r="D9753">
        <v>0.8</v>
      </c>
      <c r="E9753">
        <v>0</v>
      </c>
      <c r="F9753">
        <f t="shared" si="164"/>
        <v>0.8</v>
      </c>
      <c r="I9753">
        <v>20170701</v>
      </c>
      <c r="J9753" t="s">
        <v>9370</v>
      </c>
      <c r="K9753" t="s">
        <v>9371</v>
      </c>
      <c r="L9753" t="s">
        <v>9348</v>
      </c>
    </row>
    <row r="9754" spans="1:29" x14ac:dyDescent="0.3">
      <c r="A9754" s="160">
        <v>71099</v>
      </c>
      <c r="B9754" t="s">
        <v>24759</v>
      </c>
      <c r="C9754" t="s">
        <v>241</v>
      </c>
      <c r="D9754">
        <v>0.8</v>
      </c>
      <c r="E9754">
        <v>0</v>
      </c>
      <c r="F9754">
        <f t="shared" si="164"/>
        <v>0.8</v>
      </c>
      <c r="I9754">
        <v>20140701</v>
      </c>
      <c r="J9754" t="s">
        <v>9340</v>
      </c>
    </row>
    <row r="9755" spans="1:29" x14ac:dyDescent="0.3">
      <c r="A9755" s="160">
        <v>71102</v>
      </c>
      <c r="B9755" t="s">
        <v>24760</v>
      </c>
      <c r="C9755" t="s">
        <v>9337</v>
      </c>
      <c r="D9755">
        <v>1</v>
      </c>
      <c r="E9755">
        <v>0</v>
      </c>
      <c r="F9755">
        <f t="shared" si="164"/>
        <v>1</v>
      </c>
      <c r="I9755">
        <v>20100101</v>
      </c>
      <c r="J9755" t="s">
        <v>9349</v>
      </c>
    </row>
    <row r="9756" spans="1:29" x14ac:dyDescent="0.3">
      <c r="A9756" s="160">
        <v>71103</v>
      </c>
      <c r="B9756" t="s">
        <v>24761</v>
      </c>
      <c r="C9756" t="s">
        <v>9343</v>
      </c>
      <c r="D9756">
        <v>0.6</v>
      </c>
      <c r="E9756">
        <v>0</v>
      </c>
      <c r="F9756">
        <f t="shared" si="164"/>
        <v>0.6</v>
      </c>
      <c r="I9756">
        <v>20240101</v>
      </c>
      <c r="J9756" t="s">
        <v>9344</v>
      </c>
    </row>
    <row r="9757" spans="1:29" x14ac:dyDescent="0.3">
      <c r="A9757" s="160">
        <v>71105</v>
      </c>
      <c r="B9757" t="s">
        <v>24762</v>
      </c>
      <c r="C9757" t="s">
        <v>241</v>
      </c>
      <c r="D9757">
        <v>0.8</v>
      </c>
      <c r="E9757">
        <v>0</v>
      </c>
      <c r="F9757">
        <f t="shared" si="164"/>
        <v>0.8</v>
      </c>
      <c r="I9757">
        <v>20140701</v>
      </c>
      <c r="J9757" t="s">
        <v>9372</v>
      </c>
      <c r="K9757" t="s">
        <v>9373</v>
      </c>
      <c r="L9757" t="s">
        <v>9374</v>
      </c>
      <c r="M9757" t="s">
        <v>9375</v>
      </c>
    </row>
    <row r="9758" spans="1:29" x14ac:dyDescent="0.3">
      <c r="A9758" s="160">
        <v>71107</v>
      </c>
      <c r="B9758" t="s">
        <v>24763</v>
      </c>
      <c r="C9758" t="s">
        <v>9337</v>
      </c>
      <c r="D9758">
        <v>1</v>
      </c>
      <c r="E9758">
        <v>0</v>
      </c>
      <c r="F9758">
        <f t="shared" si="164"/>
        <v>1</v>
      </c>
      <c r="I9758">
        <v>20100101</v>
      </c>
      <c r="J9758" t="s">
        <v>9339</v>
      </c>
    </row>
    <row r="9759" spans="1:29" x14ac:dyDescent="0.3">
      <c r="A9759" s="160">
        <v>71108</v>
      </c>
      <c r="B9759" t="s">
        <v>24764</v>
      </c>
      <c r="C9759" t="s">
        <v>241</v>
      </c>
      <c r="D9759">
        <v>0.8</v>
      </c>
      <c r="E9759">
        <v>0</v>
      </c>
      <c r="F9759">
        <f t="shared" si="164"/>
        <v>0.8</v>
      </c>
      <c r="I9759">
        <v>20170701</v>
      </c>
      <c r="J9759" t="s">
        <v>9348</v>
      </c>
    </row>
    <row r="9760" spans="1:29" x14ac:dyDescent="0.3">
      <c r="A9760" s="160">
        <v>71109</v>
      </c>
      <c r="B9760" t="s">
        <v>24765</v>
      </c>
      <c r="C9760" t="s">
        <v>9337</v>
      </c>
      <c r="D9760">
        <v>1</v>
      </c>
      <c r="E9760">
        <v>0</v>
      </c>
      <c r="F9760">
        <f t="shared" si="164"/>
        <v>1</v>
      </c>
      <c r="I9760">
        <v>20190701</v>
      </c>
      <c r="J9760" t="s">
        <v>9346</v>
      </c>
    </row>
    <row r="9761" spans="1:83" x14ac:dyDescent="0.3">
      <c r="A9761" s="160">
        <v>71117</v>
      </c>
      <c r="B9761" t="s">
        <v>24766</v>
      </c>
      <c r="C9761" t="s">
        <v>9337</v>
      </c>
      <c r="D9761">
        <v>1</v>
      </c>
      <c r="E9761">
        <v>0</v>
      </c>
      <c r="F9761">
        <f t="shared" si="164"/>
        <v>1</v>
      </c>
      <c r="I9761">
        <v>20100101</v>
      </c>
      <c r="J9761" t="s">
        <v>9362</v>
      </c>
      <c r="K9761" t="s">
        <v>9376</v>
      </c>
    </row>
    <row r="9762" spans="1:83" x14ac:dyDescent="0.3">
      <c r="A9762" s="160">
        <v>71118</v>
      </c>
      <c r="B9762" t="s">
        <v>24767</v>
      </c>
      <c r="C9762" t="s">
        <v>9337</v>
      </c>
      <c r="D9762">
        <v>1</v>
      </c>
      <c r="E9762">
        <v>0</v>
      </c>
      <c r="F9762">
        <f t="shared" si="164"/>
        <v>1</v>
      </c>
      <c r="I9762">
        <v>20100101</v>
      </c>
      <c r="J9762" t="s">
        <v>9356</v>
      </c>
      <c r="K9762" t="s">
        <v>9377</v>
      </c>
      <c r="L9762" t="s">
        <v>9378</v>
      </c>
    </row>
    <row r="9763" spans="1:83" x14ac:dyDescent="0.3">
      <c r="A9763" s="160">
        <v>71119</v>
      </c>
      <c r="B9763" t="s">
        <v>24768</v>
      </c>
      <c r="C9763" t="s">
        <v>2111</v>
      </c>
      <c r="D9763">
        <v>0.6</v>
      </c>
      <c r="E9763">
        <v>0</v>
      </c>
      <c r="F9763">
        <f t="shared" si="164"/>
        <v>0.6</v>
      </c>
      <c r="I9763">
        <v>20170101</v>
      </c>
      <c r="J9763" t="s">
        <v>9346</v>
      </c>
    </row>
    <row r="9764" spans="1:83" x14ac:dyDescent="0.3">
      <c r="A9764" s="160">
        <v>71122</v>
      </c>
      <c r="B9764" t="s">
        <v>24769</v>
      </c>
      <c r="C9764" t="s">
        <v>9337</v>
      </c>
      <c r="D9764">
        <v>1</v>
      </c>
      <c r="E9764">
        <v>0</v>
      </c>
      <c r="F9764">
        <f t="shared" si="164"/>
        <v>1</v>
      </c>
      <c r="I9764">
        <v>20190701</v>
      </c>
      <c r="J9764" t="s">
        <v>9346</v>
      </c>
    </row>
    <row r="9765" spans="1:83" x14ac:dyDescent="0.3">
      <c r="A9765" s="160">
        <v>71126</v>
      </c>
      <c r="B9765" t="s">
        <v>24770</v>
      </c>
      <c r="C9765" t="s">
        <v>241</v>
      </c>
      <c r="D9765">
        <v>0.8</v>
      </c>
      <c r="E9765">
        <v>0</v>
      </c>
      <c r="F9765">
        <f t="shared" si="164"/>
        <v>0.8</v>
      </c>
      <c r="I9765">
        <v>20140701</v>
      </c>
      <c r="J9765" t="s">
        <v>9379</v>
      </c>
      <c r="K9765" t="s">
        <v>9380</v>
      </c>
      <c r="L9765" t="s">
        <v>9342</v>
      </c>
    </row>
    <row r="9766" spans="1:83" x14ac:dyDescent="0.3">
      <c r="A9766" s="160">
        <v>71132</v>
      </c>
      <c r="B9766" t="s">
        <v>24771</v>
      </c>
      <c r="C9766" t="s">
        <v>9343</v>
      </c>
      <c r="D9766">
        <v>0.6</v>
      </c>
      <c r="E9766">
        <v>0</v>
      </c>
      <c r="F9766">
        <f t="shared" si="164"/>
        <v>0.6</v>
      </c>
      <c r="I9766">
        <v>20100330</v>
      </c>
      <c r="J9766" t="s">
        <v>9381</v>
      </c>
    </row>
    <row r="9767" spans="1:83" x14ac:dyDescent="0.3">
      <c r="A9767" s="160">
        <v>71150</v>
      </c>
      <c r="B9767" t="s">
        <v>24772</v>
      </c>
      <c r="C9767" t="s">
        <v>241</v>
      </c>
      <c r="D9767">
        <v>0.8</v>
      </c>
      <c r="E9767">
        <v>0</v>
      </c>
      <c r="F9767">
        <f t="shared" si="164"/>
        <v>0.8</v>
      </c>
      <c r="I9767">
        <v>20140701</v>
      </c>
      <c r="J9767" t="s">
        <v>9370</v>
      </c>
      <c r="K9767" t="s">
        <v>9382</v>
      </c>
    </row>
    <row r="9768" spans="1:83" x14ac:dyDescent="0.3">
      <c r="A9768" s="160">
        <v>71153</v>
      </c>
      <c r="B9768" t="s">
        <v>24773</v>
      </c>
      <c r="C9768" t="s">
        <v>9343</v>
      </c>
      <c r="D9768">
        <v>0.6</v>
      </c>
      <c r="E9768">
        <v>0</v>
      </c>
      <c r="F9768">
        <f t="shared" si="164"/>
        <v>0.6</v>
      </c>
      <c r="I9768">
        <v>20100330</v>
      </c>
      <c r="J9768" t="s">
        <v>9383</v>
      </c>
      <c r="K9768" t="s">
        <v>9384</v>
      </c>
      <c r="L9768" t="s">
        <v>9385</v>
      </c>
      <c r="M9768" t="s">
        <v>9386</v>
      </c>
      <c r="N9768" t="s">
        <v>9387</v>
      </c>
      <c r="O9768" t="s">
        <v>9388</v>
      </c>
      <c r="P9768" t="s">
        <v>9389</v>
      </c>
      <c r="BP9768" t="s">
        <v>9208</v>
      </c>
      <c r="BQ9768" t="s">
        <v>9209</v>
      </c>
      <c r="BR9768" t="s">
        <v>9210</v>
      </c>
      <c r="BS9768" t="s">
        <v>9211</v>
      </c>
      <c r="BT9768" t="s">
        <v>8996</v>
      </c>
      <c r="BU9768" t="s">
        <v>9212</v>
      </c>
      <c r="BV9768" t="s">
        <v>9213</v>
      </c>
      <c r="BW9768" t="s">
        <v>9214</v>
      </c>
      <c r="BX9768" t="s">
        <v>9215</v>
      </c>
      <c r="BY9768" t="s">
        <v>9216</v>
      </c>
      <c r="BZ9768" t="s">
        <v>9217</v>
      </c>
      <c r="CA9768" t="s">
        <v>9218</v>
      </c>
      <c r="CB9768" t="s">
        <v>9219</v>
      </c>
      <c r="CC9768" t="s">
        <v>9220</v>
      </c>
      <c r="CD9768" t="s">
        <v>9221</v>
      </c>
      <c r="CE9768" t="s">
        <v>9096</v>
      </c>
    </row>
    <row r="9769" spans="1:83" x14ac:dyDescent="0.3">
      <c r="A9769" s="160">
        <v>71154</v>
      </c>
      <c r="B9769" t="s">
        <v>19622</v>
      </c>
      <c r="C9769" t="s">
        <v>9337</v>
      </c>
      <c r="D9769">
        <v>1</v>
      </c>
      <c r="E9769">
        <v>0</v>
      </c>
      <c r="F9769">
        <f t="shared" si="164"/>
        <v>1</v>
      </c>
      <c r="I9769">
        <v>20100101</v>
      </c>
      <c r="J9769" t="s">
        <v>9350</v>
      </c>
      <c r="K9769" t="s">
        <v>9351</v>
      </c>
      <c r="L9769" t="s">
        <v>9352</v>
      </c>
      <c r="M9769" t="s">
        <v>9353</v>
      </c>
      <c r="N9769" t="s">
        <v>9354</v>
      </c>
      <c r="O9769" t="s">
        <v>9355</v>
      </c>
      <c r="P9769" t="s">
        <v>9356</v>
      </c>
      <c r="Q9769" t="s">
        <v>9369</v>
      </c>
    </row>
    <row r="9770" spans="1:83" x14ac:dyDescent="0.3">
      <c r="A9770" s="160">
        <v>71169</v>
      </c>
      <c r="B9770" t="s">
        <v>24774</v>
      </c>
      <c r="C9770" t="s">
        <v>241</v>
      </c>
      <c r="D9770">
        <v>0.8</v>
      </c>
      <c r="E9770">
        <v>0</v>
      </c>
      <c r="F9770">
        <f t="shared" si="164"/>
        <v>0.8</v>
      </c>
      <c r="I9770">
        <v>20140701</v>
      </c>
      <c r="J9770" t="s">
        <v>9342</v>
      </c>
    </row>
    <row r="9771" spans="1:83" x14ac:dyDescent="0.3">
      <c r="A9771" s="160">
        <v>71170</v>
      </c>
      <c r="B9771" t="s">
        <v>24775</v>
      </c>
      <c r="C9771" t="s">
        <v>9337</v>
      </c>
      <c r="D9771">
        <v>1</v>
      </c>
      <c r="E9771">
        <v>0</v>
      </c>
      <c r="F9771">
        <f t="shared" si="164"/>
        <v>1</v>
      </c>
      <c r="I9771">
        <v>20100101</v>
      </c>
      <c r="J9771" t="s">
        <v>9346</v>
      </c>
    </row>
    <row r="9772" spans="1:83" x14ac:dyDescent="0.3">
      <c r="A9772" s="160">
        <v>71171</v>
      </c>
      <c r="B9772" t="s">
        <v>24776</v>
      </c>
      <c r="C9772" t="s">
        <v>9337</v>
      </c>
      <c r="D9772">
        <v>1</v>
      </c>
      <c r="E9772">
        <v>0</v>
      </c>
      <c r="F9772">
        <f t="shared" si="164"/>
        <v>1</v>
      </c>
      <c r="I9772">
        <v>20190701</v>
      </c>
      <c r="J9772" t="s">
        <v>9339</v>
      </c>
    </row>
    <row r="9773" spans="1:83" x14ac:dyDescent="0.3">
      <c r="A9773" s="160">
        <v>71174</v>
      </c>
      <c r="B9773" t="s">
        <v>24777</v>
      </c>
      <c r="C9773" t="s">
        <v>2111</v>
      </c>
      <c r="D9773">
        <v>0.6</v>
      </c>
      <c r="E9773">
        <v>0</v>
      </c>
      <c r="F9773">
        <f t="shared" si="164"/>
        <v>0.6</v>
      </c>
      <c r="I9773">
        <v>20170101</v>
      </c>
      <c r="J9773" t="s">
        <v>9346</v>
      </c>
    </row>
    <row r="9774" spans="1:83" x14ac:dyDescent="0.3">
      <c r="A9774" s="160">
        <v>71182</v>
      </c>
      <c r="B9774" t="s">
        <v>24778</v>
      </c>
      <c r="C9774" t="s">
        <v>9337</v>
      </c>
      <c r="D9774">
        <v>1</v>
      </c>
      <c r="E9774">
        <v>0</v>
      </c>
      <c r="F9774">
        <f t="shared" si="164"/>
        <v>1</v>
      </c>
      <c r="I9774">
        <v>20100101</v>
      </c>
      <c r="J9774" t="s">
        <v>9341</v>
      </c>
    </row>
    <row r="9775" spans="1:83" x14ac:dyDescent="0.3">
      <c r="A9775" s="160">
        <v>71187</v>
      </c>
      <c r="B9775" t="s">
        <v>24779</v>
      </c>
      <c r="C9775" t="s">
        <v>9343</v>
      </c>
      <c r="D9775">
        <v>0.6</v>
      </c>
      <c r="E9775">
        <v>0</v>
      </c>
      <c r="F9775">
        <f t="shared" si="164"/>
        <v>0.6</v>
      </c>
      <c r="I9775">
        <v>20100330</v>
      </c>
      <c r="J9775" t="s">
        <v>9390</v>
      </c>
    </row>
    <row r="9776" spans="1:83" x14ac:dyDescent="0.3">
      <c r="A9776" s="160">
        <v>71189</v>
      </c>
      <c r="B9776" t="s">
        <v>24780</v>
      </c>
      <c r="C9776" t="s">
        <v>9337</v>
      </c>
      <c r="D9776">
        <v>1</v>
      </c>
      <c r="E9776">
        <v>0</v>
      </c>
      <c r="F9776">
        <f t="shared" si="164"/>
        <v>1</v>
      </c>
      <c r="I9776">
        <v>20100101</v>
      </c>
      <c r="J9776" t="s">
        <v>9362</v>
      </c>
      <c r="K9776" t="s">
        <v>9376</v>
      </c>
    </row>
    <row r="9777" spans="1:15" x14ac:dyDescent="0.3">
      <c r="A9777" s="160">
        <v>71194</v>
      </c>
      <c r="B9777" t="s">
        <v>24781</v>
      </c>
      <c r="C9777" t="s">
        <v>9337</v>
      </c>
      <c r="D9777">
        <v>1</v>
      </c>
      <c r="E9777">
        <v>0</v>
      </c>
      <c r="F9777">
        <f t="shared" si="164"/>
        <v>1</v>
      </c>
      <c r="I9777">
        <v>20100101</v>
      </c>
      <c r="J9777" t="s">
        <v>9346</v>
      </c>
    </row>
    <row r="9778" spans="1:15" x14ac:dyDescent="0.3">
      <c r="A9778" s="160">
        <v>71202</v>
      </c>
      <c r="B9778" t="s">
        <v>24782</v>
      </c>
      <c r="C9778" t="s">
        <v>9337</v>
      </c>
      <c r="D9778">
        <v>1</v>
      </c>
      <c r="E9778">
        <v>0</v>
      </c>
      <c r="F9778">
        <f t="shared" si="164"/>
        <v>1</v>
      </c>
      <c r="I9778">
        <v>20100101</v>
      </c>
      <c r="J9778" t="s">
        <v>9346</v>
      </c>
    </row>
    <row r="9779" spans="1:15" x14ac:dyDescent="0.3">
      <c r="A9779" s="160">
        <v>71204</v>
      </c>
      <c r="B9779" t="s">
        <v>24783</v>
      </c>
      <c r="C9779" t="s">
        <v>9337</v>
      </c>
      <c r="D9779">
        <v>1</v>
      </c>
      <c r="E9779">
        <v>0</v>
      </c>
      <c r="F9779">
        <f t="shared" si="164"/>
        <v>1</v>
      </c>
      <c r="I9779">
        <v>20100101</v>
      </c>
      <c r="J9779" t="s">
        <v>9350</v>
      </c>
      <c r="K9779" t="s">
        <v>9355</v>
      </c>
      <c r="L9779" t="s">
        <v>9356</v>
      </c>
      <c r="M9779" t="s">
        <v>9357</v>
      </c>
      <c r="N9779" t="s">
        <v>9358</v>
      </c>
      <c r="O9779" t="s">
        <v>9369</v>
      </c>
    </row>
    <row r="9780" spans="1:15" x14ac:dyDescent="0.3">
      <c r="A9780" s="160">
        <v>71210</v>
      </c>
      <c r="B9780" t="s">
        <v>24784</v>
      </c>
      <c r="C9780" t="s">
        <v>241</v>
      </c>
      <c r="D9780">
        <v>0.8</v>
      </c>
      <c r="E9780">
        <v>0</v>
      </c>
      <c r="F9780">
        <f t="shared" si="164"/>
        <v>0.8</v>
      </c>
      <c r="I9780">
        <v>20140701</v>
      </c>
      <c r="J9780" t="s">
        <v>9342</v>
      </c>
    </row>
    <row r="9781" spans="1:15" x14ac:dyDescent="0.3">
      <c r="A9781" s="160">
        <v>71212</v>
      </c>
      <c r="B9781" t="s">
        <v>24785</v>
      </c>
      <c r="C9781" t="s">
        <v>9343</v>
      </c>
      <c r="D9781">
        <v>0.6</v>
      </c>
      <c r="E9781">
        <v>0</v>
      </c>
      <c r="F9781">
        <f t="shared" si="164"/>
        <v>0.6</v>
      </c>
      <c r="I9781">
        <v>20100330</v>
      </c>
      <c r="J9781" t="s">
        <v>9381</v>
      </c>
    </row>
    <row r="9782" spans="1:15" x14ac:dyDescent="0.3">
      <c r="A9782" s="160">
        <v>71215</v>
      </c>
      <c r="B9782" t="s">
        <v>24786</v>
      </c>
      <c r="C9782" t="s">
        <v>9337</v>
      </c>
      <c r="D9782">
        <v>1</v>
      </c>
      <c r="E9782">
        <v>0</v>
      </c>
      <c r="F9782">
        <f t="shared" si="164"/>
        <v>1</v>
      </c>
      <c r="I9782">
        <v>20100101</v>
      </c>
      <c r="J9782" t="s">
        <v>9391</v>
      </c>
    </row>
    <row r="9783" spans="1:15" x14ac:dyDescent="0.3">
      <c r="A9783" s="160">
        <v>71221</v>
      </c>
      <c r="B9783" t="s">
        <v>24787</v>
      </c>
      <c r="C9783" t="s">
        <v>9337</v>
      </c>
      <c r="D9783">
        <v>1</v>
      </c>
      <c r="E9783">
        <v>0</v>
      </c>
      <c r="F9783">
        <f t="shared" si="164"/>
        <v>1</v>
      </c>
      <c r="I9783">
        <v>20100101</v>
      </c>
      <c r="J9783" t="s">
        <v>9353</v>
      </c>
      <c r="K9783" t="s">
        <v>9341</v>
      </c>
    </row>
    <row r="9784" spans="1:15" x14ac:dyDescent="0.3">
      <c r="A9784" s="160">
        <v>71222</v>
      </c>
      <c r="B9784" t="s">
        <v>15938</v>
      </c>
      <c r="C9784" t="s">
        <v>9343</v>
      </c>
      <c r="D9784">
        <v>0.6</v>
      </c>
      <c r="E9784">
        <v>0</v>
      </c>
      <c r="F9784">
        <f t="shared" si="164"/>
        <v>0.6</v>
      </c>
      <c r="I9784">
        <v>20240101</v>
      </c>
      <c r="J9784" t="s">
        <v>9392</v>
      </c>
      <c r="K9784" t="s">
        <v>9393</v>
      </c>
    </row>
    <row r="9785" spans="1:15" x14ac:dyDescent="0.3">
      <c r="A9785" s="160">
        <v>71235</v>
      </c>
      <c r="B9785" t="s">
        <v>24788</v>
      </c>
      <c r="C9785" t="s">
        <v>241</v>
      </c>
      <c r="D9785">
        <v>0.8</v>
      </c>
      <c r="E9785">
        <v>0</v>
      </c>
      <c r="F9785">
        <f t="shared" si="164"/>
        <v>0.8</v>
      </c>
      <c r="I9785">
        <v>20140701</v>
      </c>
      <c r="J9785" t="s">
        <v>9394</v>
      </c>
      <c r="K9785" t="s">
        <v>9395</v>
      </c>
      <c r="L9785" t="s">
        <v>9396</v>
      </c>
      <c r="M9785" t="s">
        <v>9397</v>
      </c>
    </row>
    <row r="9786" spans="1:15" x14ac:dyDescent="0.3">
      <c r="A9786" s="160">
        <v>71236</v>
      </c>
      <c r="B9786" t="s">
        <v>24789</v>
      </c>
      <c r="C9786" t="s">
        <v>241</v>
      </c>
      <c r="D9786">
        <v>0.8</v>
      </c>
      <c r="E9786">
        <v>0</v>
      </c>
      <c r="F9786">
        <f t="shared" si="164"/>
        <v>0.8</v>
      </c>
      <c r="I9786">
        <v>20140701</v>
      </c>
      <c r="J9786" t="s">
        <v>9342</v>
      </c>
    </row>
    <row r="9787" spans="1:15" x14ac:dyDescent="0.3">
      <c r="A9787" s="160">
        <v>71241</v>
      </c>
      <c r="B9787" t="s">
        <v>24790</v>
      </c>
      <c r="C9787" t="s">
        <v>9337</v>
      </c>
      <c r="D9787">
        <v>1</v>
      </c>
      <c r="E9787">
        <v>0</v>
      </c>
      <c r="F9787">
        <f t="shared" si="164"/>
        <v>1</v>
      </c>
      <c r="I9787">
        <v>20100101</v>
      </c>
      <c r="J9787" t="s">
        <v>9341</v>
      </c>
    </row>
    <row r="9788" spans="1:15" x14ac:dyDescent="0.3">
      <c r="A9788" s="160">
        <v>71250</v>
      </c>
      <c r="B9788" t="s">
        <v>24791</v>
      </c>
      <c r="C9788" t="s">
        <v>241</v>
      </c>
      <c r="D9788">
        <v>0.8</v>
      </c>
      <c r="E9788">
        <v>0</v>
      </c>
      <c r="F9788">
        <f t="shared" si="164"/>
        <v>0.8</v>
      </c>
      <c r="I9788">
        <v>20140701</v>
      </c>
      <c r="J9788" t="s">
        <v>9397</v>
      </c>
    </row>
    <row r="9789" spans="1:15" x14ac:dyDescent="0.3">
      <c r="A9789" s="160">
        <v>71253</v>
      </c>
      <c r="B9789" t="s">
        <v>24792</v>
      </c>
      <c r="C9789" t="s">
        <v>9337</v>
      </c>
      <c r="D9789">
        <v>1</v>
      </c>
      <c r="E9789">
        <v>0</v>
      </c>
      <c r="F9789">
        <f t="shared" si="164"/>
        <v>1</v>
      </c>
      <c r="I9789">
        <v>20100101</v>
      </c>
      <c r="J9789" t="s">
        <v>9376</v>
      </c>
    </row>
    <row r="9790" spans="1:15" x14ac:dyDescent="0.3">
      <c r="A9790" s="160">
        <v>71257</v>
      </c>
      <c r="B9790" t="s">
        <v>24793</v>
      </c>
      <c r="C9790" t="s">
        <v>9337</v>
      </c>
      <c r="D9790">
        <v>1</v>
      </c>
      <c r="E9790">
        <v>0</v>
      </c>
      <c r="F9790">
        <f t="shared" si="164"/>
        <v>1</v>
      </c>
      <c r="I9790">
        <v>20100101</v>
      </c>
      <c r="J9790" t="s">
        <v>9369</v>
      </c>
    </row>
    <row r="9791" spans="1:15" x14ac:dyDescent="0.3">
      <c r="A9791" s="160">
        <v>71258</v>
      </c>
      <c r="B9791" t="s">
        <v>24794</v>
      </c>
      <c r="C9791" t="s">
        <v>241</v>
      </c>
      <c r="D9791">
        <v>0.8</v>
      </c>
      <c r="E9791">
        <v>0</v>
      </c>
      <c r="F9791">
        <f t="shared" si="164"/>
        <v>0.8</v>
      </c>
      <c r="I9791">
        <v>20170701</v>
      </c>
      <c r="J9791" t="s">
        <v>9348</v>
      </c>
    </row>
    <row r="9792" spans="1:15" x14ac:dyDescent="0.3">
      <c r="A9792" s="160">
        <v>71265</v>
      </c>
      <c r="B9792" t="s">
        <v>24795</v>
      </c>
      <c r="C9792" t="s">
        <v>9337</v>
      </c>
      <c r="D9792">
        <v>1</v>
      </c>
      <c r="E9792">
        <v>0</v>
      </c>
      <c r="F9792">
        <f t="shared" si="164"/>
        <v>1</v>
      </c>
      <c r="I9792">
        <v>20100101</v>
      </c>
      <c r="J9792" t="s">
        <v>9369</v>
      </c>
    </row>
    <row r="9793" spans="1:34" x14ac:dyDescent="0.3">
      <c r="A9793" s="160">
        <v>71269</v>
      </c>
      <c r="B9793" t="s">
        <v>24796</v>
      </c>
      <c r="C9793" t="s">
        <v>9337</v>
      </c>
      <c r="D9793">
        <v>1</v>
      </c>
      <c r="E9793">
        <v>0</v>
      </c>
      <c r="F9793">
        <f t="shared" si="164"/>
        <v>1</v>
      </c>
      <c r="I9793">
        <v>20100101</v>
      </c>
      <c r="J9793" t="s">
        <v>9349</v>
      </c>
      <c r="K9793" t="s">
        <v>9351</v>
      </c>
      <c r="L9793" t="s">
        <v>9353</v>
      </c>
      <c r="M9793" t="s">
        <v>9357</v>
      </c>
    </row>
    <row r="9794" spans="1:34" x14ac:dyDescent="0.3">
      <c r="A9794" s="160">
        <v>71270</v>
      </c>
      <c r="B9794" t="s">
        <v>24797</v>
      </c>
      <c r="C9794" t="s">
        <v>241</v>
      </c>
      <c r="D9794">
        <v>0.8</v>
      </c>
      <c r="E9794">
        <v>0</v>
      </c>
      <c r="F9794">
        <f t="shared" si="164"/>
        <v>0.8</v>
      </c>
      <c r="I9794">
        <v>20140701</v>
      </c>
      <c r="J9794" t="s">
        <v>9398</v>
      </c>
      <c r="K9794" t="s">
        <v>9399</v>
      </c>
      <c r="L9794" t="s">
        <v>9379</v>
      </c>
      <c r="M9794" t="s">
        <v>9394</v>
      </c>
      <c r="N9794" t="s">
        <v>9400</v>
      </c>
      <c r="O9794" t="s">
        <v>9401</v>
      </c>
      <c r="P9794" t="s">
        <v>9395</v>
      </c>
      <c r="Q9794" t="s">
        <v>9396</v>
      </c>
      <c r="R9794" t="s">
        <v>9380</v>
      </c>
      <c r="S9794" t="s">
        <v>9402</v>
      </c>
      <c r="T9794" t="s">
        <v>9403</v>
      </c>
      <c r="U9794" t="s">
        <v>9404</v>
      </c>
      <c r="V9794" t="s">
        <v>9405</v>
      </c>
      <c r="W9794" t="s">
        <v>9406</v>
      </c>
      <c r="X9794" t="s">
        <v>9373</v>
      </c>
      <c r="Y9794" t="s">
        <v>9374</v>
      </c>
      <c r="Z9794" t="s">
        <v>9407</v>
      </c>
      <c r="AA9794" t="s">
        <v>9408</v>
      </c>
      <c r="AB9794" t="s">
        <v>9409</v>
      </c>
      <c r="AC9794" t="s">
        <v>9410</v>
      </c>
      <c r="AD9794" t="s">
        <v>9411</v>
      </c>
      <c r="AE9794" t="s">
        <v>9412</v>
      </c>
      <c r="AF9794" t="s">
        <v>9413</v>
      </c>
      <c r="AG9794" t="s">
        <v>9414</v>
      </c>
      <c r="AH9794" t="s">
        <v>9371</v>
      </c>
    </row>
    <row r="9795" spans="1:34" x14ac:dyDescent="0.3">
      <c r="A9795" s="160">
        <v>71278</v>
      </c>
      <c r="B9795" t="s">
        <v>24798</v>
      </c>
      <c r="C9795" t="s">
        <v>9343</v>
      </c>
      <c r="D9795">
        <v>0.6</v>
      </c>
      <c r="E9795">
        <v>0</v>
      </c>
      <c r="F9795">
        <f t="shared" si="164"/>
        <v>0.6</v>
      </c>
      <c r="I9795">
        <v>20240101</v>
      </c>
      <c r="J9795" t="s">
        <v>9392</v>
      </c>
    </row>
    <row r="9796" spans="1:34" x14ac:dyDescent="0.3">
      <c r="A9796" s="160">
        <v>71282</v>
      </c>
      <c r="B9796" t="s">
        <v>16845</v>
      </c>
      <c r="C9796" t="s">
        <v>9343</v>
      </c>
      <c r="D9796">
        <v>0.6</v>
      </c>
      <c r="E9796">
        <v>0</v>
      </c>
      <c r="F9796">
        <f t="shared" si="164"/>
        <v>0.6</v>
      </c>
      <c r="I9796">
        <v>20240101</v>
      </c>
      <c r="J9796" t="s">
        <v>9344</v>
      </c>
    </row>
    <row r="9797" spans="1:34" x14ac:dyDescent="0.3">
      <c r="A9797" s="160">
        <v>71283</v>
      </c>
      <c r="B9797" t="s">
        <v>24799</v>
      </c>
      <c r="C9797" t="s">
        <v>9337</v>
      </c>
      <c r="D9797">
        <v>1</v>
      </c>
      <c r="E9797">
        <v>0</v>
      </c>
      <c r="F9797">
        <f t="shared" si="164"/>
        <v>1</v>
      </c>
      <c r="I9797">
        <v>20100101</v>
      </c>
      <c r="J9797" t="s">
        <v>9415</v>
      </c>
    </row>
    <row r="9798" spans="1:34" x14ac:dyDescent="0.3">
      <c r="A9798" s="160">
        <v>71292</v>
      </c>
      <c r="B9798" t="s">
        <v>24800</v>
      </c>
      <c r="C9798" t="s">
        <v>9337</v>
      </c>
      <c r="D9798">
        <v>1</v>
      </c>
      <c r="E9798">
        <v>0</v>
      </c>
      <c r="F9798">
        <f t="shared" si="164"/>
        <v>1</v>
      </c>
      <c r="I9798">
        <v>20100101</v>
      </c>
      <c r="J9798" t="s">
        <v>9341</v>
      </c>
    </row>
    <row r="9799" spans="1:34" x14ac:dyDescent="0.3">
      <c r="A9799" s="160">
        <v>71294</v>
      </c>
      <c r="B9799" t="s">
        <v>24801</v>
      </c>
      <c r="C9799" t="s">
        <v>9337</v>
      </c>
      <c r="D9799">
        <v>1</v>
      </c>
      <c r="E9799">
        <v>0</v>
      </c>
      <c r="F9799">
        <f t="shared" ref="F9799:F9862" si="165">D9799+E9799</f>
        <v>1</v>
      </c>
      <c r="I9799">
        <v>20100101</v>
      </c>
      <c r="J9799" t="s">
        <v>9341</v>
      </c>
    </row>
    <row r="9800" spans="1:34" x14ac:dyDescent="0.3">
      <c r="A9800" s="160">
        <v>71299</v>
      </c>
      <c r="B9800" t="s">
        <v>24802</v>
      </c>
      <c r="C9800" t="s">
        <v>241</v>
      </c>
      <c r="D9800">
        <v>0.8</v>
      </c>
      <c r="E9800">
        <v>0</v>
      </c>
      <c r="F9800">
        <f t="shared" si="165"/>
        <v>0.8</v>
      </c>
      <c r="I9800">
        <v>20140701</v>
      </c>
      <c r="J9800" t="s">
        <v>9342</v>
      </c>
    </row>
    <row r="9801" spans="1:34" x14ac:dyDescent="0.3">
      <c r="A9801" s="160">
        <v>71306</v>
      </c>
      <c r="B9801" t="s">
        <v>24803</v>
      </c>
      <c r="C9801" t="s">
        <v>9343</v>
      </c>
      <c r="D9801">
        <v>0.6</v>
      </c>
      <c r="E9801">
        <v>0</v>
      </c>
      <c r="F9801">
        <f t="shared" si="165"/>
        <v>0.6</v>
      </c>
      <c r="I9801">
        <v>20100330</v>
      </c>
      <c r="J9801" t="s">
        <v>9392</v>
      </c>
      <c r="K9801" t="s">
        <v>9393</v>
      </c>
      <c r="L9801" t="s">
        <v>9416</v>
      </c>
      <c r="M9801" t="s">
        <v>9417</v>
      </c>
      <c r="N9801" t="s">
        <v>9418</v>
      </c>
      <c r="O9801" t="s">
        <v>9419</v>
      </c>
      <c r="P9801" t="s">
        <v>9420</v>
      </c>
      <c r="Q9801" t="s">
        <v>9421</v>
      </c>
      <c r="R9801" t="s">
        <v>9422</v>
      </c>
      <c r="S9801" t="s">
        <v>9423</v>
      </c>
    </row>
    <row r="9802" spans="1:34" x14ac:dyDescent="0.3">
      <c r="A9802" s="160">
        <v>71309</v>
      </c>
      <c r="B9802" t="s">
        <v>24804</v>
      </c>
      <c r="C9802" t="s">
        <v>9343</v>
      </c>
      <c r="D9802">
        <v>0.6</v>
      </c>
      <c r="E9802">
        <v>0</v>
      </c>
      <c r="F9802">
        <f t="shared" si="165"/>
        <v>0.6</v>
      </c>
      <c r="I9802">
        <v>20100330</v>
      </c>
      <c r="J9802" t="s">
        <v>9384</v>
      </c>
      <c r="K9802" t="s">
        <v>9344</v>
      </c>
    </row>
    <row r="9803" spans="1:34" x14ac:dyDescent="0.3">
      <c r="A9803" s="160">
        <v>71310</v>
      </c>
      <c r="B9803" t="s">
        <v>24805</v>
      </c>
      <c r="C9803" t="s">
        <v>9343</v>
      </c>
      <c r="D9803">
        <v>0.6</v>
      </c>
      <c r="E9803">
        <v>0</v>
      </c>
      <c r="F9803">
        <f t="shared" si="165"/>
        <v>0.6</v>
      </c>
      <c r="I9803">
        <v>20100330</v>
      </c>
      <c r="J9803" t="s">
        <v>9390</v>
      </c>
    </row>
    <row r="9804" spans="1:34" x14ac:dyDescent="0.3">
      <c r="A9804" s="160">
        <v>71333</v>
      </c>
      <c r="B9804" t="s">
        <v>24806</v>
      </c>
      <c r="C9804" t="s">
        <v>9337</v>
      </c>
      <c r="D9804">
        <v>1</v>
      </c>
      <c r="E9804">
        <v>0</v>
      </c>
      <c r="F9804">
        <f t="shared" si="165"/>
        <v>1</v>
      </c>
      <c r="I9804">
        <v>20100101</v>
      </c>
      <c r="J9804" t="s">
        <v>9376</v>
      </c>
    </row>
    <row r="9805" spans="1:34" x14ac:dyDescent="0.3">
      <c r="A9805" s="160">
        <v>71343</v>
      </c>
      <c r="B9805" t="s">
        <v>24807</v>
      </c>
      <c r="C9805" t="s">
        <v>2111</v>
      </c>
      <c r="D9805">
        <v>0.6</v>
      </c>
      <c r="E9805">
        <v>0</v>
      </c>
      <c r="F9805">
        <f t="shared" si="165"/>
        <v>0.6</v>
      </c>
      <c r="I9805">
        <v>20170101</v>
      </c>
      <c r="J9805" t="s">
        <v>9346</v>
      </c>
    </row>
    <row r="9806" spans="1:34" x14ac:dyDescent="0.3">
      <c r="A9806" s="160">
        <v>71345</v>
      </c>
      <c r="B9806" t="s">
        <v>24808</v>
      </c>
      <c r="C9806" t="s">
        <v>241</v>
      </c>
      <c r="D9806">
        <v>0.8</v>
      </c>
      <c r="E9806">
        <v>0</v>
      </c>
      <c r="F9806">
        <f t="shared" si="165"/>
        <v>0.8</v>
      </c>
      <c r="I9806">
        <v>20140701</v>
      </c>
      <c r="J9806" t="s">
        <v>9340</v>
      </c>
    </row>
    <row r="9807" spans="1:34" x14ac:dyDescent="0.3">
      <c r="A9807" s="160">
        <v>71346</v>
      </c>
      <c r="B9807" t="s">
        <v>24809</v>
      </c>
      <c r="C9807" t="s">
        <v>9343</v>
      </c>
      <c r="D9807">
        <v>0.6</v>
      </c>
      <c r="E9807">
        <v>0</v>
      </c>
      <c r="F9807">
        <f t="shared" si="165"/>
        <v>0.6</v>
      </c>
      <c r="I9807">
        <v>20100330</v>
      </c>
      <c r="J9807" t="s">
        <v>9381</v>
      </c>
    </row>
    <row r="9808" spans="1:34" x14ac:dyDescent="0.3">
      <c r="A9808" s="160">
        <v>71356</v>
      </c>
      <c r="B9808" t="s">
        <v>24810</v>
      </c>
      <c r="C9808" t="s">
        <v>9343</v>
      </c>
      <c r="D9808">
        <v>0.6</v>
      </c>
      <c r="E9808">
        <v>0</v>
      </c>
      <c r="F9808">
        <f t="shared" si="165"/>
        <v>0.6</v>
      </c>
      <c r="I9808">
        <v>20240101</v>
      </c>
      <c r="J9808" t="s">
        <v>9424</v>
      </c>
    </row>
    <row r="9809" spans="1:12" x14ac:dyDescent="0.3">
      <c r="A9809" s="160">
        <v>71360</v>
      </c>
      <c r="B9809" t="s">
        <v>24811</v>
      </c>
      <c r="C9809" t="s">
        <v>241</v>
      </c>
      <c r="D9809">
        <v>0.8</v>
      </c>
      <c r="E9809">
        <v>0</v>
      </c>
      <c r="F9809">
        <f t="shared" si="165"/>
        <v>0.8</v>
      </c>
      <c r="I9809">
        <v>20140701</v>
      </c>
      <c r="J9809" t="s">
        <v>9342</v>
      </c>
    </row>
    <row r="9810" spans="1:12" x14ac:dyDescent="0.3">
      <c r="A9810" s="160">
        <v>71362</v>
      </c>
      <c r="B9810" t="s">
        <v>24812</v>
      </c>
      <c r="C9810" t="s">
        <v>241</v>
      </c>
      <c r="D9810">
        <v>0.8</v>
      </c>
      <c r="E9810">
        <v>0</v>
      </c>
      <c r="F9810">
        <f t="shared" si="165"/>
        <v>0.8</v>
      </c>
      <c r="I9810">
        <v>20170701</v>
      </c>
      <c r="J9810" t="s">
        <v>9348</v>
      </c>
    </row>
    <row r="9811" spans="1:12" x14ac:dyDescent="0.3">
      <c r="A9811" s="160">
        <v>71369</v>
      </c>
      <c r="B9811" t="s">
        <v>15598</v>
      </c>
      <c r="C9811" t="s">
        <v>9337</v>
      </c>
      <c r="D9811">
        <v>1</v>
      </c>
      <c r="E9811">
        <v>0</v>
      </c>
      <c r="F9811">
        <f t="shared" si="165"/>
        <v>1</v>
      </c>
      <c r="I9811">
        <v>20190701</v>
      </c>
      <c r="J9811" t="s">
        <v>9346</v>
      </c>
    </row>
    <row r="9812" spans="1:12" x14ac:dyDescent="0.3">
      <c r="A9812" s="160">
        <v>71371</v>
      </c>
      <c r="B9812" t="s">
        <v>24813</v>
      </c>
      <c r="C9812" t="s">
        <v>241</v>
      </c>
      <c r="D9812">
        <v>0.8</v>
      </c>
      <c r="E9812">
        <v>0</v>
      </c>
      <c r="F9812">
        <f t="shared" si="165"/>
        <v>0.8</v>
      </c>
      <c r="I9812">
        <v>20140701</v>
      </c>
      <c r="J9812" t="s">
        <v>9342</v>
      </c>
    </row>
    <row r="9813" spans="1:12" x14ac:dyDescent="0.3">
      <c r="A9813" s="160">
        <v>71372</v>
      </c>
      <c r="B9813" t="s">
        <v>24814</v>
      </c>
      <c r="C9813" t="s">
        <v>241</v>
      </c>
      <c r="D9813">
        <v>0.8</v>
      </c>
      <c r="E9813">
        <v>0</v>
      </c>
      <c r="F9813">
        <f t="shared" si="165"/>
        <v>0.8</v>
      </c>
      <c r="I9813">
        <v>20170701</v>
      </c>
      <c r="J9813" t="s">
        <v>9370</v>
      </c>
      <c r="K9813" t="s">
        <v>9374</v>
      </c>
      <c r="L9813" t="s">
        <v>9348</v>
      </c>
    </row>
    <row r="9814" spans="1:12" x14ac:dyDescent="0.3">
      <c r="A9814" s="160">
        <v>71378</v>
      </c>
      <c r="B9814" t="s">
        <v>22924</v>
      </c>
      <c r="C9814" t="s">
        <v>9337</v>
      </c>
      <c r="D9814">
        <v>1</v>
      </c>
      <c r="E9814">
        <v>0</v>
      </c>
      <c r="F9814">
        <f t="shared" si="165"/>
        <v>1</v>
      </c>
      <c r="I9814">
        <v>20100101</v>
      </c>
      <c r="J9814" t="s">
        <v>9346</v>
      </c>
    </row>
    <row r="9815" spans="1:12" x14ac:dyDescent="0.3">
      <c r="A9815" s="160">
        <v>71384</v>
      </c>
      <c r="B9815" t="s">
        <v>24815</v>
      </c>
      <c r="C9815" t="s">
        <v>9337</v>
      </c>
      <c r="D9815">
        <v>1</v>
      </c>
      <c r="E9815">
        <v>0</v>
      </c>
      <c r="F9815">
        <f t="shared" si="165"/>
        <v>1</v>
      </c>
      <c r="I9815">
        <v>20100101</v>
      </c>
      <c r="J9815" t="s">
        <v>9415</v>
      </c>
    </row>
    <row r="9816" spans="1:12" x14ac:dyDescent="0.3">
      <c r="A9816" s="160">
        <v>71385</v>
      </c>
      <c r="B9816" t="s">
        <v>24816</v>
      </c>
      <c r="C9816" t="s">
        <v>241</v>
      </c>
      <c r="D9816">
        <v>0.8</v>
      </c>
      <c r="E9816">
        <v>0</v>
      </c>
      <c r="F9816">
        <f t="shared" si="165"/>
        <v>0.8</v>
      </c>
      <c r="I9816">
        <v>20170701</v>
      </c>
      <c r="J9816" t="s">
        <v>9348</v>
      </c>
    </row>
    <row r="9817" spans="1:12" x14ac:dyDescent="0.3">
      <c r="A9817" s="160">
        <v>71390</v>
      </c>
      <c r="B9817" t="s">
        <v>24817</v>
      </c>
      <c r="C9817" t="s">
        <v>9343</v>
      </c>
      <c r="D9817">
        <v>0.6</v>
      </c>
      <c r="E9817">
        <v>0</v>
      </c>
      <c r="F9817">
        <f t="shared" si="165"/>
        <v>0.6</v>
      </c>
      <c r="I9817">
        <v>20100330</v>
      </c>
      <c r="J9817" t="s">
        <v>9392</v>
      </c>
      <c r="K9817" t="s">
        <v>9423</v>
      </c>
    </row>
    <row r="9818" spans="1:12" x14ac:dyDescent="0.3">
      <c r="A9818" s="160">
        <v>71391</v>
      </c>
      <c r="B9818" t="s">
        <v>24818</v>
      </c>
      <c r="C9818" t="s">
        <v>9337</v>
      </c>
      <c r="D9818">
        <v>1</v>
      </c>
      <c r="E9818">
        <v>0</v>
      </c>
      <c r="F9818">
        <f t="shared" si="165"/>
        <v>1</v>
      </c>
      <c r="I9818">
        <v>20190701</v>
      </c>
      <c r="J9818" t="s">
        <v>9339</v>
      </c>
    </row>
    <row r="9819" spans="1:12" x14ac:dyDescent="0.3">
      <c r="A9819" s="160">
        <v>71403</v>
      </c>
      <c r="B9819" t="s">
        <v>24819</v>
      </c>
      <c r="C9819" t="s">
        <v>9337</v>
      </c>
      <c r="D9819">
        <v>1</v>
      </c>
      <c r="E9819">
        <v>0</v>
      </c>
      <c r="F9819">
        <f t="shared" si="165"/>
        <v>1</v>
      </c>
      <c r="I9819">
        <v>20100101</v>
      </c>
      <c r="J9819" t="s">
        <v>9341</v>
      </c>
    </row>
    <row r="9820" spans="1:12" x14ac:dyDescent="0.3">
      <c r="A9820" s="160">
        <v>71404</v>
      </c>
      <c r="B9820" t="s">
        <v>24820</v>
      </c>
      <c r="C9820" t="s">
        <v>9337</v>
      </c>
      <c r="D9820">
        <v>1</v>
      </c>
      <c r="E9820">
        <v>0</v>
      </c>
      <c r="F9820">
        <f t="shared" si="165"/>
        <v>1</v>
      </c>
      <c r="I9820">
        <v>20100101</v>
      </c>
      <c r="J9820" t="s">
        <v>9425</v>
      </c>
    </row>
    <row r="9821" spans="1:12" x14ac:dyDescent="0.3">
      <c r="A9821" s="160">
        <v>71412</v>
      </c>
      <c r="B9821" t="s">
        <v>24821</v>
      </c>
      <c r="C9821" t="s">
        <v>9343</v>
      </c>
      <c r="D9821">
        <v>0.6</v>
      </c>
      <c r="E9821">
        <v>0</v>
      </c>
      <c r="F9821">
        <f t="shared" si="165"/>
        <v>0.6</v>
      </c>
      <c r="I9821">
        <v>20100330</v>
      </c>
      <c r="J9821" t="s">
        <v>9390</v>
      </c>
    </row>
    <row r="9822" spans="1:12" x14ac:dyDescent="0.3">
      <c r="A9822" s="160">
        <v>71413</v>
      </c>
      <c r="B9822" t="s">
        <v>24822</v>
      </c>
      <c r="C9822" t="s">
        <v>9343</v>
      </c>
      <c r="D9822">
        <v>0.6</v>
      </c>
      <c r="E9822">
        <v>0</v>
      </c>
      <c r="F9822">
        <f t="shared" si="165"/>
        <v>0.6</v>
      </c>
      <c r="I9822">
        <v>20140701</v>
      </c>
      <c r="J9822" t="s">
        <v>9347</v>
      </c>
    </row>
    <row r="9823" spans="1:12" x14ac:dyDescent="0.3">
      <c r="A9823" s="160">
        <v>71425</v>
      </c>
      <c r="B9823" t="s">
        <v>18397</v>
      </c>
      <c r="C9823" t="s">
        <v>9337</v>
      </c>
      <c r="D9823">
        <v>1</v>
      </c>
      <c r="E9823">
        <v>0</v>
      </c>
      <c r="F9823">
        <f t="shared" si="165"/>
        <v>1</v>
      </c>
      <c r="I9823">
        <v>20190701</v>
      </c>
      <c r="J9823" t="s">
        <v>9339</v>
      </c>
    </row>
    <row r="9824" spans="1:12" x14ac:dyDescent="0.3">
      <c r="A9824" s="160">
        <v>71430</v>
      </c>
      <c r="B9824" t="s">
        <v>24823</v>
      </c>
      <c r="C9824" t="s">
        <v>9337</v>
      </c>
      <c r="D9824">
        <v>1</v>
      </c>
      <c r="E9824">
        <v>0</v>
      </c>
      <c r="F9824">
        <f t="shared" si="165"/>
        <v>1</v>
      </c>
      <c r="I9824">
        <v>20100101</v>
      </c>
      <c r="J9824" t="s">
        <v>9341</v>
      </c>
    </row>
    <row r="9825" spans="1:18" x14ac:dyDescent="0.3">
      <c r="A9825" s="160">
        <v>71435</v>
      </c>
      <c r="B9825" t="s">
        <v>24824</v>
      </c>
      <c r="C9825" t="s">
        <v>9343</v>
      </c>
      <c r="D9825">
        <v>0.6</v>
      </c>
      <c r="E9825">
        <v>0</v>
      </c>
      <c r="F9825">
        <f t="shared" si="165"/>
        <v>0.6</v>
      </c>
      <c r="I9825">
        <v>20140701</v>
      </c>
      <c r="J9825" t="s">
        <v>9390</v>
      </c>
    </row>
    <row r="9826" spans="1:18" x14ac:dyDescent="0.3">
      <c r="A9826" s="160">
        <v>71436</v>
      </c>
      <c r="B9826" t="s">
        <v>24825</v>
      </c>
      <c r="C9826" t="s">
        <v>9343</v>
      </c>
      <c r="D9826">
        <v>0.6</v>
      </c>
      <c r="E9826">
        <v>0</v>
      </c>
      <c r="F9826">
        <f t="shared" si="165"/>
        <v>0.6</v>
      </c>
      <c r="I9826">
        <v>20100330</v>
      </c>
      <c r="J9826" t="s">
        <v>9390</v>
      </c>
    </row>
    <row r="9827" spans="1:18" x14ac:dyDescent="0.3">
      <c r="A9827" s="160">
        <v>71442</v>
      </c>
      <c r="B9827" t="s">
        <v>24826</v>
      </c>
      <c r="C9827" t="s">
        <v>9337</v>
      </c>
      <c r="D9827">
        <v>1</v>
      </c>
      <c r="E9827">
        <v>0</v>
      </c>
      <c r="F9827">
        <f t="shared" si="165"/>
        <v>1</v>
      </c>
      <c r="I9827">
        <v>20190701</v>
      </c>
      <c r="J9827" t="s">
        <v>9339</v>
      </c>
    </row>
    <row r="9828" spans="1:18" x14ac:dyDescent="0.3">
      <c r="A9828" s="160">
        <v>71443</v>
      </c>
      <c r="B9828" t="s">
        <v>24827</v>
      </c>
      <c r="C9828" t="s">
        <v>9337</v>
      </c>
      <c r="D9828">
        <v>1</v>
      </c>
      <c r="E9828">
        <v>0</v>
      </c>
      <c r="F9828">
        <f t="shared" si="165"/>
        <v>1</v>
      </c>
      <c r="I9828">
        <v>20190701</v>
      </c>
      <c r="J9828" t="s">
        <v>9338</v>
      </c>
    </row>
    <row r="9829" spans="1:18" x14ac:dyDescent="0.3">
      <c r="A9829" s="160">
        <v>71444</v>
      </c>
      <c r="B9829" t="s">
        <v>24828</v>
      </c>
      <c r="C9829" t="s">
        <v>9337</v>
      </c>
      <c r="D9829">
        <v>1</v>
      </c>
      <c r="E9829">
        <v>0</v>
      </c>
      <c r="F9829">
        <f t="shared" si="165"/>
        <v>1</v>
      </c>
      <c r="I9829">
        <v>20100101</v>
      </c>
      <c r="J9829" t="s">
        <v>9415</v>
      </c>
    </row>
    <row r="9830" spans="1:18" x14ac:dyDescent="0.3">
      <c r="A9830" s="160">
        <v>71445</v>
      </c>
      <c r="B9830" t="s">
        <v>17804</v>
      </c>
      <c r="C9830" t="s">
        <v>9337</v>
      </c>
      <c r="D9830">
        <v>1</v>
      </c>
      <c r="E9830">
        <v>0</v>
      </c>
      <c r="F9830">
        <f t="shared" si="165"/>
        <v>1</v>
      </c>
      <c r="I9830">
        <v>20100101</v>
      </c>
      <c r="J9830" t="s">
        <v>9352</v>
      </c>
      <c r="K9830" t="s">
        <v>9354</v>
      </c>
      <c r="L9830" t="s">
        <v>9355</v>
      </c>
      <c r="M9830" t="s">
        <v>9358</v>
      </c>
      <c r="N9830" t="s">
        <v>9362</v>
      </c>
      <c r="O9830" t="s">
        <v>9376</v>
      </c>
    </row>
    <row r="9831" spans="1:18" x14ac:dyDescent="0.3">
      <c r="A9831" s="160">
        <v>71447</v>
      </c>
      <c r="B9831" t="s">
        <v>24829</v>
      </c>
      <c r="C9831" t="s">
        <v>9337</v>
      </c>
      <c r="D9831">
        <v>1</v>
      </c>
      <c r="E9831">
        <v>0</v>
      </c>
      <c r="F9831">
        <f t="shared" si="165"/>
        <v>1</v>
      </c>
      <c r="I9831">
        <v>20100101</v>
      </c>
      <c r="J9831" t="s">
        <v>9341</v>
      </c>
    </row>
    <row r="9832" spans="1:18" x14ac:dyDescent="0.3">
      <c r="A9832" s="160">
        <v>71448</v>
      </c>
      <c r="B9832" t="s">
        <v>24830</v>
      </c>
      <c r="C9832" t="s">
        <v>241</v>
      </c>
      <c r="D9832">
        <v>0.8</v>
      </c>
      <c r="E9832">
        <v>0</v>
      </c>
      <c r="F9832">
        <f t="shared" si="165"/>
        <v>0.8</v>
      </c>
      <c r="I9832">
        <v>20140701</v>
      </c>
      <c r="J9832" t="s">
        <v>9396</v>
      </c>
      <c r="K9832" t="s">
        <v>9402</v>
      </c>
      <c r="L9832" t="s">
        <v>9426</v>
      </c>
    </row>
    <row r="9833" spans="1:18" x14ac:dyDescent="0.3">
      <c r="A9833" s="160">
        <v>71459</v>
      </c>
      <c r="B9833" t="s">
        <v>24831</v>
      </c>
      <c r="C9833" t="s">
        <v>9337</v>
      </c>
      <c r="D9833">
        <v>1</v>
      </c>
      <c r="E9833">
        <v>0</v>
      </c>
      <c r="F9833">
        <f t="shared" si="165"/>
        <v>1</v>
      </c>
      <c r="I9833">
        <v>20100101</v>
      </c>
      <c r="J9833" t="s">
        <v>9341</v>
      </c>
    </row>
    <row r="9834" spans="1:18" x14ac:dyDescent="0.3">
      <c r="A9834" s="160">
        <v>71460</v>
      </c>
      <c r="B9834" t="s">
        <v>24832</v>
      </c>
      <c r="C9834" t="s">
        <v>241</v>
      </c>
      <c r="D9834">
        <v>0.8</v>
      </c>
      <c r="E9834">
        <v>0</v>
      </c>
      <c r="F9834">
        <f t="shared" si="165"/>
        <v>0.8</v>
      </c>
      <c r="I9834">
        <v>20140701</v>
      </c>
      <c r="J9834" t="s">
        <v>9340</v>
      </c>
    </row>
    <row r="9835" spans="1:18" x14ac:dyDescent="0.3">
      <c r="A9835" s="160">
        <v>71468</v>
      </c>
      <c r="B9835" t="s">
        <v>24833</v>
      </c>
      <c r="C9835" t="s">
        <v>9343</v>
      </c>
      <c r="D9835">
        <v>0.6</v>
      </c>
      <c r="E9835">
        <v>0</v>
      </c>
      <c r="F9835">
        <f t="shared" si="165"/>
        <v>0.6</v>
      </c>
      <c r="I9835">
        <v>20140701</v>
      </c>
      <c r="J9835" t="s">
        <v>9384</v>
      </c>
      <c r="K9835" t="s">
        <v>9347</v>
      </c>
    </row>
    <row r="9836" spans="1:18" x14ac:dyDescent="0.3">
      <c r="A9836" s="160">
        <v>71475</v>
      </c>
      <c r="B9836" t="s">
        <v>15275</v>
      </c>
      <c r="C9836" t="s">
        <v>9337</v>
      </c>
      <c r="D9836">
        <v>1</v>
      </c>
      <c r="E9836">
        <v>0</v>
      </c>
      <c r="F9836">
        <f t="shared" si="165"/>
        <v>1</v>
      </c>
      <c r="I9836">
        <v>20100101</v>
      </c>
      <c r="J9836" t="s">
        <v>9349</v>
      </c>
      <c r="K9836" t="s">
        <v>9350</v>
      </c>
      <c r="L9836" t="s">
        <v>9351</v>
      </c>
      <c r="M9836" t="s">
        <v>9352</v>
      </c>
      <c r="N9836" t="s">
        <v>9354</v>
      </c>
      <c r="O9836" t="s">
        <v>9355</v>
      </c>
      <c r="P9836" t="s">
        <v>9356</v>
      </c>
      <c r="Q9836" t="s">
        <v>9357</v>
      </c>
      <c r="R9836" t="s">
        <v>9358</v>
      </c>
    </row>
    <row r="9837" spans="1:18" x14ac:dyDescent="0.3">
      <c r="A9837" s="160">
        <v>71479</v>
      </c>
      <c r="B9837" t="s">
        <v>24834</v>
      </c>
      <c r="C9837" t="s">
        <v>9343</v>
      </c>
      <c r="D9837">
        <v>0.6</v>
      </c>
      <c r="E9837">
        <v>0</v>
      </c>
      <c r="F9837">
        <f t="shared" si="165"/>
        <v>0.6</v>
      </c>
      <c r="I9837">
        <v>20240101</v>
      </c>
      <c r="J9837" t="s">
        <v>9383</v>
      </c>
      <c r="K9837" t="s">
        <v>9384</v>
      </c>
      <c r="L9837" t="s">
        <v>9386</v>
      </c>
      <c r="M9837" t="s">
        <v>9388</v>
      </c>
    </row>
    <row r="9838" spans="1:18" x14ac:dyDescent="0.3">
      <c r="A9838" s="160">
        <v>71480</v>
      </c>
      <c r="B9838" t="s">
        <v>24835</v>
      </c>
      <c r="C9838" t="s">
        <v>9337</v>
      </c>
      <c r="D9838">
        <v>1</v>
      </c>
      <c r="E9838">
        <v>0</v>
      </c>
      <c r="F9838">
        <f t="shared" si="165"/>
        <v>1</v>
      </c>
      <c r="I9838">
        <v>20190701</v>
      </c>
      <c r="J9838" t="s">
        <v>9339</v>
      </c>
    </row>
    <row r="9839" spans="1:18" x14ac:dyDescent="0.3">
      <c r="A9839" s="160">
        <v>71481</v>
      </c>
      <c r="B9839" t="s">
        <v>24836</v>
      </c>
      <c r="C9839" t="s">
        <v>241</v>
      </c>
      <c r="D9839">
        <v>0.8</v>
      </c>
      <c r="E9839">
        <v>0</v>
      </c>
      <c r="F9839">
        <f t="shared" si="165"/>
        <v>0.8</v>
      </c>
      <c r="I9839">
        <v>20170701</v>
      </c>
      <c r="J9839" t="s">
        <v>9399</v>
      </c>
      <c r="K9839" t="s">
        <v>9348</v>
      </c>
    </row>
    <row r="9840" spans="1:18" x14ac:dyDescent="0.3">
      <c r="A9840" s="160">
        <v>71482</v>
      </c>
      <c r="B9840" t="s">
        <v>24837</v>
      </c>
      <c r="C9840" t="s">
        <v>9343</v>
      </c>
      <c r="D9840">
        <v>0.6</v>
      </c>
      <c r="E9840">
        <v>0</v>
      </c>
      <c r="F9840">
        <f t="shared" si="165"/>
        <v>0.6</v>
      </c>
      <c r="I9840">
        <v>20240101</v>
      </c>
      <c r="J9840" t="s">
        <v>9344</v>
      </c>
    </row>
    <row r="9841" spans="1:16" x14ac:dyDescent="0.3">
      <c r="A9841" s="160">
        <v>71486</v>
      </c>
      <c r="B9841" t="s">
        <v>24838</v>
      </c>
      <c r="C9841" t="s">
        <v>9343</v>
      </c>
      <c r="D9841">
        <v>0.6</v>
      </c>
      <c r="E9841">
        <v>0</v>
      </c>
      <c r="F9841">
        <f t="shared" si="165"/>
        <v>0.6</v>
      </c>
      <c r="I9841">
        <v>20100330</v>
      </c>
      <c r="J9841" t="s">
        <v>9424</v>
      </c>
    </row>
    <row r="9842" spans="1:16" x14ac:dyDescent="0.3">
      <c r="A9842" s="160">
        <v>71487</v>
      </c>
      <c r="B9842" t="s">
        <v>24641</v>
      </c>
      <c r="C9842" t="s">
        <v>241</v>
      </c>
      <c r="D9842">
        <v>0.8</v>
      </c>
      <c r="E9842">
        <v>0</v>
      </c>
      <c r="F9842">
        <f t="shared" si="165"/>
        <v>0.8</v>
      </c>
      <c r="I9842">
        <v>20170701</v>
      </c>
      <c r="J9842" t="s">
        <v>9348</v>
      </c>
    </row>
    <row r="9843" spans="1:16" x14ac:dyDescent="0.3">
      <c r="A9843" s="160">
        <v>71494</v>
      </c>
      <c r="B9843" t="s">
        <v>24839</v>
      </c>
      <c r="C9843" t="s">
        <v>241</v>
      </c>
      <c r="D9843">
        <v>0.8</v>
      </c>
      <c r="E9843">
        <v>0</v>
      </c>
      <c r="F9843">
        <f t="shared" si="165"/>
        <v>0.8</v>
      </c>
      <c r="I9843">
        <v>20140701</v>
      </c>
      <c r="J9843" t="s">
        <v>9340</v>
      </c>
    </row>
    <row r="9844" spans="1:16" x14ac:dyDescent="0.3">
      <c r="A9844" s="160">
        <v>71496</v>
      </c>
      <c r="B9844" t="s">
        <v>24840</v>
      </c>
      <c r="C9844" t="s">
        <v>9337</v>
      </c>
      <c r="D9844">
        <v>1</v>
      </c>
      <c r="E9844">
        <v>0</v>
      </c>
      <c r="F9844">
        <f t="shared" si="165"/>
        <v>1</v>
      </c>
      <c r="I9844">
        <v>20190701</v>
      </c>
      <c r="J9844" t="s">
        <v>9346</v>
      </c>
    </row>
    <row r="9845" spans="1:16" x14ac:dyDescent="0.3">
      <c r="A9845" s="160">
        <v>71497</v>
      </c>
      <c r="B9845" t="s">
        <v>24841</v>
      </c>
      <c r="C9845" t="s">
        <v>241</v>
      </c>
      <c r="D9845">
        <v>0.8</v>
      </c>
      <c r="E9845">
        <v>0</v>
      </c>
      <c r="F9845">
        <f t="shared" si="165"/>
        <v>0.8</v>
      </c>
      <c r="I9845">
        <v>20140701</v>
      </c>
      <c r="J9845" t="s">
        <v>9398</v>
      </c>
      <c r="K9845" t="s">
        <v>9399</v>
      </c>
      <c r="L9845" t="s">
        <v>9395</v>
      </c>
      <c r="M9845" t="s">
        <v>9396</v>
      </c>
      <c r="N9845" t="s">
        <v>9402</v>
      </c>
      <c r="O9845" t="s">
        <v>9403</v>
      </c>
      <c r="P9845" t="s">
        <v>9404</v>
      </c>
    </row>
    <row r="9846" spans="1:16" x14ac:dyDescent="0.3">
      <c r="A9846" s="160">
        <v>71499</v>
      </c>
      <c r="B9846" t="s">
        <v>24842</v>
      </c>
      <c r="C9846" t="s">
        <v>9343</v>
      </c>
      <c r="D9846">
        <v>0.6</v>
      </c>
      <c r="E9846">
        <v>0</v>
      </c>
      <c r="F9846">
        <f t="shared" si="165"/>
        <v>0.6</v>
      </c>
      <c r="I9846">
        <v>20100330</v>
      </c>
      <c r="J9846" t="s">
        <v>9417</v>
      </c>
      <c r="K9846" t="s">
        <v>9418</v>
      </c>
      <c r="L9846" t="s">
        <v>9427</v>
      </c>
    </row>
    <row r="9847" spans="1:16" x14ac:dyDescent="0.3">
      <c r="A9847" s="160">
        <v>71502</v>
      </c>
      <c r="B9847" t="s">
        <v>24843</v>
      </c>
      <c r="C9847" t="s">
        <v>9337</v>
      </c>
      <c r="D9847">
        <v>1</v>
      </c>
      <c r="E9847">
        <v>0</v>
      </c>
      <c r="F9847">
        <f t="shared" si="165"/>
        <v>1</v>
      </c>
      <c r="I9847">
        <v>20100101</v>
      </c>
      <c r="J9847" t="s">
        <v>9351</v>
      </c>
      <c r="K9847" t="s">
        <v>9369</v>
      </c>
    </row>
    <row r="9848" spans="1:16" x14ac:dyDescent="0.3">
      <c r="A9848" s="160">
        <v>71513</v>
      </c>
      <c r="B9848" t="s">
        <v>24844</v>
      </c>
      <c r="C9848" t="s">
        <v>241</v>
      </c>
      <c r="D9848">
        <v>0.8</v>
      </c>
      <c r="E9848">
        <v>0</v>
      </c>
      <c r="F9848">
        <f t="shared" si="165"/>
        <v>0.8</v>
      </c>
      <c r="I9848">
        <v>20140701</v>
      </c>
      <c r="J9848" t="s">
        <v>9340</v>
      </c>
    </row>
    <row r="9849" spans="1:16" x14ac:dyDescent="0.3">
      <c r="A9849" s="160">
        <v>71520</v>
      </c>
      <c r="B9849" t="s">
        <v>24845</v>
      </c>
      <c r="C9849" t="s">
        <v>9337</v>
      </c>
      <c r="D9849">
        <v>1</v>
      </c>
      <c r="E9849">
        <v>0</v>
      </c>
      <c r="F9849">
        <f t="shared" si="165"/>
        <v>1</v>
      </c>
      <c r="I9849">
        <v>20100101</v>
      </c>
      <c r="J9849" t="s">
        <v>9349</v>
      </c>
      <c r="K9849" t="s">
        <v>9350</v>
      </c>
      <c r="L9849" t="s">
        <v>9352</v>
      </c>
      <c r="M9849" t="s">
        <v>9360</v>
      </c>
      <c r="N9849" t="s">
        <v>9363</v>
      </c>
    </row>
    <row r="9850" spans="1:16" x14ac:dyDescent="0.3">
      <c r="A9850" s="160">
        <v>71525</v>
      </c>
      <c r="B9850" t="s">
        <v>24846</v>
      </c>
      <c r="C9850" t="s">
        <v>241</v>
      </c>
      <c r="D9850">
        <v>0.8</v>
      </c>
      <c r="E9850">
        <v>0</v>
      </c>
      <c r="F9850">
        <f t="shared" si="165"/>
        <v>0.8</v>
      </c>
      <c r="I9850">
        <v>20140701</v>
      </c>
      <c r="J9850" t="s">
        <v>9342</v>
      </c>
    </row>
    <row r="9851" spans="1:16" x14ac:dyDescent="0.3">
      <c r="A9851" s="160">
        <v>71526</v>
      </c>
      <c r="B9851" t="s">
        <v>24847</v>
      </c>
      <c r="C9851" t="s">
        <v>241</v>
      </c>
      <c r="D9851">
        <v>0.8</v>
      </c>
      <c r="E9851">
        <v>0</v>
      </c>
      <c r="F9851">
        <f t="shared" si="165"/>
        <v>0.8</v>
      </c>
      <c r="I9851">
        <v>20140701</v>
      </c>
      <c r="J9851" t="s">
        <v>9342</v>
      </c>
    </row>
    <row r="9852" spans="1:16" x14ac:dyDescent="0.3">
      <c r="A9852" s="160">
        <v>71540</v>
      </c>
      <c r="B9852" t="s">
        <v>24848</v>
      </c>
      <c r="C9852" t="s">
        <v>9343</v>
      </c>
      <c r="D9852">
        <v>0.6</v>
      </c>
      <c r="E9852">
        <v>0</v>
      </c>
      <c r="F9852">
        <f t="shared" si="165"/>
        <v>0.6</v>
      </c>
      <c r="I9852">
        <v>20100330</v>
      </c>
      <c r="J9852" t="s">
        <v>9390</v>
      </c>
    </row>
    <row r="9853" spans="1:16" x14ac:dyDescent="0.3">
      <c r="A9853" s="160">
        <v>71555</v>
      </c>
      <c r="B9853" t="s">
        <v>24849</v>
      </c>
      <c r="C9853" t="s">
        <v>9337</v>
      </c>
      <c r="D9853">
        <v>1</v>
      </c>
      <c r="E9853">
        <v>0</v>
      </c>
      <c r="F9853">
        <f t="shared" si="165"/>
        <v>1</v>
      </c>
      <c r="I9853">
        <v>20100101</v>
      </c>
      <c r="J9853" t="s">
        <v>9415</v>
      </c>
      <c r="K9853" t="s">
        <v>9428</v>
      </c>
    </row>
    <row r="9854" spans="1:16" x14ac:dyDescent="0.3">
      <c r="A9854" s="160">
        <v>71556</v>
      </c>
      <c r="B9854" t="s">
        <v>24850</v>
      </c>
      <c r="C9854" t="s">
        <v>241</v>
      </c>
      <c r="D9854">
        <v>0.8</v>
      </c>
      <c r="E9854">
        <v>0</v>
      </c>
      <c r="F9854">
        <f t="shared" si="165"/>
        <v>0.8</v>
      </c>
      <c r="I9854">
        <v>20170701</v>
      </c>
      <c r="J9854" t="s">
        <v>9398</v>
      </c>
      <c r="K9854" t="s">
        <v>9379</v>
      </c>
      <c r="L9854" t="s">
        <v>9380</v>
      </c>
      <c r="M9854" t="s">
        <v>9374</v>
      </c>
    </row>
    <row r="9855" spans="1:16" x14ac:dyDescent="0.3">
      <c r="A9855" s="160">
        <v>71567</v>
      </c>
      <c r="B9855" t="s">
        <v>24851</v>
      </c>
      <c r="C9855" t="s">
        <v>241</v>
      </c>
      <c r="D9855">
        <v>0.8</v>
      </c>
      <c r="E9855">
        <v>0</v>
      </c>
      <c r="F9855">
        <f t="shared" si="165"/>
        <v>0.8</v>
      </c>
      <c r="I9855">
        <v>20140701</v>
      </c>
      <c r="J9855" t="s">
        <v>9342</v>
      </c>
    </row>
    <row r="9856" spans="1:16" x14ac:dyDescent="0.3">
      <c r="A9856" s="160">
        <v>71574</v>
      </c>
      <c r="B9856" t="s">
        <v>24852</v>
      </c>
      <c r="C9856" t="s">
        <v>241</v>
      </c>
      <c r="D9856">
        <v>0.8</v>
      </c>
      <c r="E9856">
        <v>0</v>
      </c>
      <c r="F9856">
        <f t="shared" si="165"/>
        <v>0.8</v>
      </c>
      <c r="I9856">
        <v>20140701</v>
      </c>
      <c r="J9856" t="s">
        <v>9342</v>
      </c>
    </row>
    <row r="9857" spans="1:17" x14ac:dyDescent="0.3">
      <c r="A9857" s="160">
        <v>71583</v>
      </c>
      <c r="B9857" t="s">
        <v>24853</v>
      </c>
      <c r="C9857" t="s">
        <v>241</v>
      </c>
      <c r="D9857">
        <v>0.8</v>
      </c>
      <c r="E9857">
        <v>0</v>
      </c>
      <c r="F9857">
        <f t="shared" si="165"/>
        <v>0.8</v>
      </c>
      <c r="I9857">
        <v>20170701</v>
      </c>
      <c r="J9857" t="s">
        <v>9382</v>
      </c>
    </row>
    <row r="9858" spans="1:17" x14ac:dyDescent="0.3">
      <c r="A9858" s="160">
        <v>71585</v>
      </c>
      <c r="B9858" t="s">
        <v>24854</v>
      </c>
      <c r="C9858" t="s">
        <v>9337</v>
      </c>
      <c r="D9858">
        <v>1</v>
      </c>
      <c r="E9858">
        <v>0</v>
      </c>
      <c r="F9858">
        <f t="shared" si="165"/>
        <v>1</v>
      </c>
      <c r="I9858">
        <v>20100101</v>
      </c>
      <c r="J9858" t="s">
        <v>9355</v>
      </c>
      <c r="K9858" t="s">
        <v>9369</v>
      </c>
    </row>
    <row r="9859" spans="1:17" x14ac:dyDescent="0.3">
      <c r="A9859" s="160">
        <v>72001</v>
      </c>
      <c r="B9859" t="s">
        <v>24855</v>
      </c>
      <c r="C9859" t="s">
        <v>9429</v>
      </c>
      <c r="D9859">
        <v>2</v>
      </c>
      <c r="E9859">
        <v>0</v>
      </c>
      <c r="F9859">
        <f t="shared" si="165"/>
        <v>2</v>
      </c>
      <c r="I9859">
        <v>20180101</v>
      </c>
      <c r="J9859" t="s">
        <v>9430</v>
      </c>
    </row>
    <row r="9860" spans="1:17" x14ac:dyDescent="0.3">
      <c r="A9860" s="160">
        <v>72003</v>
      </c>
      <c r="B9860" t="s">
        <v>17842</v>
      </c>
      <c r="C9860" t="s">
        <v>9429</v>
      </c>
      <c r="D9860">
        <v>2</v>
      </c>
      <c r="E9860">
        <v>0</v>
      </c>
      <c r="F9860">
        <f t="shared" si="165"/>
        <v>2</v>
      </c>
      <c r="I9860">
        <v>20110601</v>
      </c>
      <c r="J9860" t="s">
        <v>9431</v>
      </c>
      <c r="K9860" t="s">
        <v>9432</v>
      </c>
      <c r="L9860" t="s">
        <v>9433</v>
      </c>
      <c r="M9860" t="s">
        <v>9434</v>
      </c>
    </row>
    <row r="9861" spans="1:17" x14ac:dyDescent="0.3">
      <c r="A9861" s="160">
        <v>72006</v>
      </c>
      <c r="B9861" t="s">
        <v>24856</v>
      </c>
      <c r="C9861" t="s">
        <v>7607</v>
      </c>
      <c r="D9861">
        <v>0.8</v>
      </c>
      <c r="E9861">
        <v>0</v>
      </c>
      <c r="F9861">
        <f t="shared" si="165"/>
        <v>0.8</v>
      </c>
      <c r="I9861">
        <v>20240101</v>
      </c>
      <c r="J9861" t="s">
        <v>9435</v>
      </c>
    </row>
    <row r="9862" spans="1:17" x14ac:dyDescent="0.3">
      <c r="A9862" s="160">
        <v>72007</v>
      </c>
      <c r="B9862" t="s">
        <v>24857</v>
      </c>
      <c r="C9862" t="s">
        <v>9444</v>
      </c>
      <c r="D9862">
        <v>0.75</v>
      </c>
      <c r="E9862">
        <v>0</v>
      </c>
      <c r="F9862">
        <f t="shared" si="165"/>
        <v>0.75</v>
      </c>
      <c r="I9862">
        <v>20250101</v>
      </c>
      <c r="J9862" t="s">
        <v>24858</v>
      </c>
    </row>
    <row r="9863" spans="1:17" x14ac:dyDescent="0.3">
      <c r="A9863" s="160">
        <v>72008</v>
      </c>
      <c r="B9863" t="s">
        <v>24859</v>
      </c>
      <c r="C9863" t="s">
        <v>9429</v>
      </c>
      <c r="D9863">
        <v>2</v>
      </c>
      <c r="E9863">
        <v>0</v>
      </c>
      <c r="F9863">
        <f t="shared" ref="F9863:F9926" si="166">D9863+E9863</f>
        <v>2</v>
      </c>
      <c r="I9863">
        <v>20110601</v>
      </c>
      <c r="J9863" t="s">
        <v>9436</v>
      </c>
      <c r="K9863" t="s">
        <v>9437</v>
      </c>
      <c r="L9863" t="s">
        <v>9438</v>
      </c>
      <c r="M9863" t="s">
        <v>9439</v>
      </c>
      <c r="N9863" t="s">
        <v>9440</v>
      </c>
      <c r="O9863" t="s">
        <v>9441</v>
      </c>
      <c r="P9863" t="s">
        <v>9442</v>
      </c>
      <c r="Q9863" t="s">
        <v>9443</v>
      </c>
    </row>
    <row r="9864" spans="1:17" x14ac:dyDescent="0.3">
      <c r="A9864" s="160">
        <v>72023</v>
      </c>
      <c r="B9864" t="s">
        <v>24860</v>
      </c>
      <c r="C9864" t="s">
        <v>9444</v>
      </c>
      <c r="D9864">
        <v>0.75</v>
      </c>
      <c r="E9864">
        <v>0</v>
      </c>
      <c r="F9864">
        <f t="shared" si="166"/>
        <v>0.75</v>
      </c>
      <c r="I9864">
        <v>20250101</v>
      </c>
      <c r="J9864" t="s">
        <v>24861</v>
      </c>
    </row>
    <row r="9865" spans="1:17" x14ac:dyDescent="0.3">
      <c r="A9865" s="160">
        <v>72024</v>
      </c>
      <c r="B9865" t="s">
        <v>24862</v>
      </c>
      <c r="C9865" t="s">
        <v>9444</v>
      </c>
      <c r="D9865">
        <v>0.75</v>
      </c>
      <c r="E9865">
        <v>0</v>
      </c>
      <c r="F9865">
        <f t="shared" si="166"/>
        <v>0.75</v>
      </c>
      <c r="I9865">
        <v>20250101</v>
      </c>
      <c r="J9865" t="s">
        <v>9430</v>
      </c>
    </row>
    <row r="9866" spans="1:17" x14ac:dyDescent="0.3">
      <c r="A9866" s="160">
        <v>72042</v>
      </c>
      <c r="B9866" t="s">
        <v>24863</v>
      </c>
      <c r="C9866" t="s">
        <v>9444</v>
      </c>
      <c r="D9866">
        <v>0.75</v>
      </c>
      <c r="E9866">
        <v>0</v>
      </c>
      <c r="F9866">
        <f t="shared" si="166"/>
        <v>0.75</v>
      </c>
      <c r="I9866">
        <v>20250101</v>
      </c>
      <c r="J9866" t="s">
        <v>24864</v>
      </c>
    </row>
    <row r="9867" spans="1:17" x14ac:dyDescent="0.3">
      <c r="A9867" s="160">
        <v>72046</v>
      </c>
      <c r="B9867" t="s">
        <v>24865</v>
      </c>
      <c r="C9867" t="s">
        <v>9444</v>
      </c>
      <c r="D9867">
        <v>0.75</v>
      </c>
      <c r="E9867">
        <v>0</v>
      </c>
      <c r="F9867">
        <f t="shared" si="166"/>
        <v>0.75</v>
      </c>
      <c r="I9867">
        <v>20250101</v>
      </c>
      <c r="J9867" t="s">
        <v>24858</v>
      </c>
    </row>
    <row r="9868" spans="1:17" x14ac:dyDescent="0.3">
      <c r="A9868" s="160">
        <v>72047</v>
      </c>
      <c r="B9868" t="s">
        <v>24866</v>
      </c>
      <c r="C9868" t="s">
        <v>9444</v>
      </c>
      <c r="D9868">
        <v>0.75</v>
      </c>
      <c r="E9868">
        <v>0</v>
      </c>
      <c r="F9868">
        <f t="shared" si="166"/>
        <v>0.75</v>
      </c>
      <c r="I9868">
        <v>20250101</v>
      </c>
      <c r="J9868" t="s">
        <v>9445</v>
      </c>
    </row>
    <row r="9869" spans="1:17" x14ac:dyDescent="0.3">
      <c r="A9869" s="160">
        <v>72051</v>
      </c>
      <c r="B9869" t="s">
        <v>24867</v>
      </c>
      <c r="C9869" t="s">
        <v>9444</v>
      </c>
      <c r="D9869">
        <v>0.75</v>
      </c>
      <c r="E9869">
        <v>0</v>
      </c>
      <c r="F9869">
        <f t="shared" si="166"/>
        <v>0.75</v>
      </c>
      <c r="I9869">
        <v>20250101</v>
      </c>
      <c r="J9869" t="s">
        <v>24868</v>
      </c>
    </row>
    <row r="9870" spans="1:17" x14ac:dyDescent="0.3">
      <c r="A9870" s="160">
        <v>72053</v>
      </c>
      <c r="B9870" t="s">
        <v>24869</v>
      </c>
      <c r="C9870" t="s">
        <v>9444</v>
      </c>
      <c r="D9870">
        <v>0.75</v>
      </c>
      <c r="E9870">
        <v>0</v>
      </c>
      <c r="F9870">
        <f t="shared" si="166"/>
        <v>0.75</v>
      </c>
      <c r="I9870">
        <v>20250101</v>
      </c>
      <c r="J9870" t="s">
        <v>9445</v>
      </c>
    </row>
    <row r="9871" spans="1:17" x14ac:dyDescent="0.3">
      <c r="A9871" s="160">
        <v>72054</v>
      </c>
      <c r="B9871" t="s">
        <v>24870</v>
      </c>
      <c r="C9871" t="s">
        <v>9429</v>
      </c>
      <c r="D9871">
        <v>2</v>
      </c>
      <c r="E9871">
        <v>0</v>
      </c>
      <c r="F9871">
        <f t="shared" si="166"/>
        <v>2</v>
      </c>
      <c r="I9871">
        <v>20180101</v>
      </c>
      <c r="J9871" t="s">
        <v>9446</v>
      </c>
      <c r="K9871" t="s">
        <v>9447</v>
      </c>
    </row>
    <row r="9872" spans="1:17" x14ac:dyDescent="0.3">
      <c r="A9872" s="160">
        <v>72056</v>
      </c>
      <c r="B9872" t="s">
        <v>24871</v>
      </c>
      <c r="C9872" t="s">
        <v>7607</v>
      </c>
      <c r="D9872">
        <v>0.8</v>
      </c>
      <c r="E9872">
        <v>0</v>
      </c>
      <c r="F9872">
        <f t="shared" si="166"/>
        <v>0.8</v>
      </c>
      <c r="I9872">
        <v>20240101</v>
      </c>
      <c r="J9872" t="s">
        <v>9435</v>
      </c>
    </row>
    <row r="9873" spans="1:10" x14ac:dyDescent="0.3">
      <c r="A9873" s="160">
        <v>72058</v>
      </c>
      <c r="B9873" t="s">
        <v>21067</v>
      </c>
      <c r="C9873" t="s">
        <v>9444</v>
      </c>
      <c r="D9873">
        <v>0.75</v>
      </c>
      <c r="E9873">
        <v>0</v>
      </c>
      <c r="F9873">
        <f t="shared" si="166"/>
        <v>0.75</v>
      </c>
      <c r="I9873">
        <v>20250101</v>
      </c>
      <c r="J9873" t="s">
        <v>9448</v>
      </c>
    </row>
    <row r="9874" spans="1:10" x14ac:dyDescent="0.3">
      <c r="A9874" s="160">
        <v>72065</v>
      </c>
      <c r="B9874" t="s">
        <v>24872</v>
      </c>
      <c r="C9874" t="s">
        <v>9429</v>
      </c>
      <c r="D9874">
        <v>2</v>
      </c>
      <c r="E9874">
        <v>0</v>
      </c>
      <c r="F9874">
        <f t="shared" si="166"/>
        <v>2</v>
      </c>
      <c r="I9874">
        <v>20110601</v>
      </c>
      <c r="J9874" t="s">
        <v>9430</v>
      </c>
    </row>
    <row r="9875" spans="1:10" x14ac:dyDescent="0.3">
      <c r="A9875" s="160">
        <v>72066</v>
      </c>
      <c r="B9875" t="s">
        <v>24873</v>
      </c>
      <c r="C9875" t="s">
        <v>9444</v>
      </c>
      <c r="D9875">
        <v>0.75</v>
      </c>
      <c r="E9875">
        <v>0</v>
      </c>
      <c r="F9875">
        <f t="shared" si="166"/>
        <v>0.75</v>
      </c>
      <c r="I9875">
        <v>20250101</v>
      </c>
      <c r="J9875" t="s">
        <v>24874</v>
      </c>
    </row>
    <row r="9876" spans="1:10" x14ac:dyDescent="0.3">
      <c r="A9876" s="160">
        <v>72073</v>
      </c>
      <c r="B9876" t="s">
        <v>24875</v>
      </c>
      <c r="C9876" t="s">
        <v>9429</v>
      </c>
      <c r="D9876">
        <v>2</v>
      </c>
      <c r="E9876">
        <v>0</v>
      </c>
      <c r="F9876">
        <f t="shared" si="166"/>
        <v>2</v>
      </c>
      <c r="I9876">
        <v>20180101</v>
      </c>
      <c r="J9876" t="s">
        <v>9449</v>
      </c>
    </row>
    <row r="9877" spans="1:10" x14ac:dyDescent="0.3">
      <c r="A9877" s="160">
        <v>72075</v>
      </c>
      <c r="B9877" t="s">
        <v>24876</v>
      </c>
      <c r="C9877" t="s">
        <v>9444</v>
      </c>
      <c r="D9877">
        <v>0.75</v>
      </c>
      <c r="E9877">
        <v>0</v>
      </c>
      <c r="F9877">
        <f t="shared" si="166"/>
        <v>0.75</v>
      </c>
      <c r="I9877">
        <v>20250101</v>
      </c>
      <c r="J9877" t="s">
        <v>24877</v>
      </c>
    </row>
    <row r="9878" spans="1:10" x14ac:dyDescent="0.3">
      <c r="A9878" s="160">
        <v>72076</v>
      </c>
      <c r="B9878" t="s">
        <v>20761</v>
      </c>
      <c r="C9878" t="s">
        <v>7607</v>
      </c>
      <c r="D9878">
        <v>0.8</v>
      </c>
      <c r="E9878">
        <v>0</v>
      </c>
      <c r="F9878">
        <f t="shared" si="166"/>
        <v>0.8</v>
      </c>
      <c r="I9878">
        <v>20240101</v>
      </c>
      <c r="J9878" t="s">
        <v>9435</v>
      </c>
    </row>
    <row r="9879" spans="1:10" x14ac:dyDescent="0.3">
      <c r="A9879" s="160">
        <v>72082</v>
      </c>
      <c r="B9879" t="s">
        <v>24878</v>
      </c>
      <c r="C9879" t="s">
        <v>7607</v>
      </c>
      <c r="D9879">
        <v>0.8</v>
      </c>
      <c r="E9879">
        <v>0</v>
      </c>
      <c r="F9879">
        <f t="shared" si="166"/>
        <v>0.8</v>
      </c>
      <c r="I9879">
        <v>20240101</v>
      </c>
      <c r="J9879" t="s">
        <v>9435</v>
      </c>
    </row>
    <row r="9880" spans="1:10" x14ac:dyDescent="0.3">
      <c r="A9880" s="160">
        <v>72089</v>
      </c>
      <c r="B9880" t="s">
        <v>24879</v>
      </c>
      <c r="C9880" t="s">
        <v>9444</v>
      </c>
      <c r="D9880">
        <v>0.75</v>
      </c>
      <c r="E9880">
        <v>0</v>
      </c>
      <c r="F9880">
        <f t="shared" si="166"/>
        <v>0.75</v>
      </c>
      <c r="I9880">
        <v>20250101</v>
      </c>
      <c r="J9880" t="s">
        <v>24874</v>
      </c>
    </row>
    <row r="9881" spans="1:10" x14ac:dyDescent="0.3">
      <c r="A9881" s="160">
        <v>72090</v>
      </c>
      <c r="B9881" t="s">
        <v>24880</v>
      </c>
      <c r="C9881" t="s">
        <v>9444</v>
      </c>
      <c r="D9881">
        <v>0.75</v>
      </c>
      <c r="E9881">
        <v>0</v>
      </c>
      <c r="F9881">
        <f t="shared" si="166"/>
        <v>0.75</v>
      </c>
      <c r="I9881">
        <v>20250101</v>
      </c>
      <c r="J9881" t="s">
        <v>24881</v>
      </c>
    </row>
    <row r="9882" spans="1:10" x14ac:dyDescent="0.3">
      <c r="A9882" s="160">
        <v>72094</v>
      </c>
      <c r="B9882" t="s">
        <v>24882</v>
      </c>
      <c r="C9882" t="s">
        <v>9444</v>
      </c>
      <c r="D9882">
        <v>0.75</v>
      </c>
      <c r="E9882">
        <v>0</v>
      </c>
      <c r="F9882">
        <f t="shared" si="166"/>
        <v>0.75</v>
      </c>
      <c r="I9882">
        <v>20250101</v>
      </c>
      <c r="J9882" t="s">
        <v>24864</v>
      </c>
    </row>
    <row r="9883" spans="1:10" x14ac:dyDescent="0.3">
      <c r="A9883" s="160">
        <v>72095</v>
      </c>
      <c r="B9883" t="s">
        <v>24883</v>
      </c>
      <c r="C9883" t="s">
        <v>9429</v>
      </c>
      <c r="D9883">
        <v>2</v>
      </c>
      <c r="E9883">
        <v>0</v>
      </c>
      <c r="F9883">
        <f t="shared" si="166"/>
        <v>2</v>
      </c>
      <c r="I9883">
        <v>20110601</v>
      </c>
      <c r="J9883" t="s">
        <v>9450</v>
      </c>
    </row>
    <row r="9884" spans="1:10" x14ac:dyDescent="0.3">
      <c r="A9884" s="160">
        <v>72099</v>
      </c>
      <c r="B9884" t="s">
        <v>24884</v>
      </c>
      <c r="C9884" t="s">
        <v>9444</v>
      </c>
      <c r="D9884">
        <v>0.75</v>
      </c>
      <c r="E9884">
        <v>0</v>
      </c>
      <c r="F9884">
        <f t="shared" si="166"/>
        <v>0.75</v>
      </c>
      <c r="I9884">
        <v>20250101</v>
      </c>
      <c r="J9884" t="s">
        <v>24861</v>
      </c>
    </row>
    <row r="9885" spans="1:10" x14ac:dyDescent="0.3">
      <c r="A9885" s="160">
        <v>72109</v>
      </c>
      <c r="B9885" t="s">
        <v>24885</v>
      </c>
      <c r="C9885" t="s">
        <v>9444</v>
      </c>
      <c r="D9885">
        <v>0.75</v>
      </c>
      <c r="E9885">
        <v>0</v>
      </c>
      <c r="F9885">
        <f t="shared" si="166"/>
        <v>0.75</v>
      </c>
      <c r="I9885">
        <v>20250101</v>
      </c>
      <c r="J9885" t="s">
        <v>24886</v>
      </c>
    </row>
    <row r="9886" spans="1:10" x14ac:dyDescent="0.3">
      <c r="A9886" s="160">
        <v>72111</v>
      </c>
      <c r="B9886" t="s">
        <v>24887</v>
      </c>
      <c r="C9886" t="s">
        <v>9444</v>
      </c>
      <c r="D9886">
        <v>0.75</v>
      </c>
      <c r="E9886">
        <v>0</v>
      </c>
      <c r="F9886">
        <f t="shared" si="166"/>
        <v>0.75</v>
      </c>
      <c r="I9886">
        <v>20250101</v>
      </c>
      <c r="J9886" t="s">
        <v>24874</v>
      </c>
    </row>
    <row r="9887" spans="1:10" x14ac:dyDescent="0.3">
      <c r="A9887" s="160">
        <v>72113</v>
      </c>
      <c r="B9887" t="s">
        <v>24888</v>
      </c>
      <c r="C9887" t="s">
        <v>9444</v>
      </c>
      <c r="D9887">
        <v>0.75</v>
      </c>
      <c r="E9887">
        <v>0</v>
      </c>
      <c r="F9887">
        <f t="shared" si="166"/>
        <v>0.75</v>
      </c>
      <c r="I9887">
        <v>20250101</v>
      </c>
      <c r="J9887" t="s">
        <v>9449</v>
      </c>
    </row>
    <row r="9888" spans="1:10" x14ac:dyDescent="0.3">
      <c r="A9888" s="160">
        <v>72119</v>
      </c>
      <c r="B9888" t="s">
        <v>24889</v>
      </c>
      <c r="C9888" t="s">
        <v>9444</v>
      </c>
      <c r="D9888">
        <v>0.75</v>
      </c>
      <c r="E9888">
        <v>0</v>
      </c>
      <c r="F9888">
        <f t="shared" si="166"/>
        <v>0.75</v>
      </c>
      <c r="I9888">
        <v>20250101</v>
      </c>
      <c r="J9888" t="s">
        <v>24874</v>
      </c>
    </row>
    <row r="9889" spans="1:11" x14ac:dyDescent="0.3">
      <c r="A9889" s="160">
        <v>72124</v>
      </c>
      <c r="B9889" t="s">
        <v>24890</v>
      </c>
      <c r="C9889" t="s">
        <v>9444</v>
      </c>
      <c r="D9889">
        <v>0.75</v>
      </c>
      <c r="E9889">
        <v>0</v>
      </c>
      <c r="F9889">
        <f t="shared" si="166"/>
        <v>0.75</v>
      </c>
      <c r="I9889">
        <v>20250101</v>
      </c>
      <c r="J9889" t="s">
        <v>9511</v>
      </c>
    </row>
    <row r="9890" spans="1:11" x14ac:dyDescent="0.3">
      <c r="A9890" s="160">
        <v>72127</v>
      </c>
      <c r="B9890" t="s">
        <v>24891</v>
      </c>
      <c r="C9890" t="s">
        <v>9444</v>
      </c>
      <c r="D9890">
        <v>0.75</v>
      </c>
      <c r="E9890">
        <v>0</v>
      </c>
      <c r="F9890">
        <f t="shared" si="166"/>
        <v>0.75</v>
      </c>
      <c r="I9890">
        <v>20250101</v>
      </c>
      <c r="J9890" t="s">
        <v>9431</v>
      </c>
    </row>
    <row r="9891" spans="1:11" x14ac:dyDescent="0.3">
      <c r="A9891" s="160">
        <v>72130</v>
      </c>
      <c r="B9891" t="s">
        <v>24892</v>
      </c>
      <c r="C9891" t="s">
        <v>9429</v>
      </c>
      <c r="D9891">
        <v>2</v>
      </c>
      <c r="E9891">
        <v>0</v>
      </c>
      <c r="F9891">
        <f t="shared" si="166"/>
        <v>2</v>
      </c>
      <c r="I9891">
        <v>20180101</v>
      </c>
      <c r="J9891" t="s">
        <v>9449</v>
      </c>
    </row>
    <row r="9892" spans="1:11" x14ac:dyDescent="0.3">
      <c r="A9892" s="160">
        <v>72131</v>
      </c>
      <c r="B9892" t="s">
        <v>24893</v>
      </c>
      <c r="C9892" t="s">
        <v>9444</v>
      </c>
      <c r="D9892">
        <v>0.75</v>
      </c>
      <c r="E9892">
        <v>0</v>
      </c>
      <c r="F9892">
        <f t="shared" si="166"/>
        <v>0.75</v>
      </c>
      <c r="I9892">
        <v>20250101</v>
      </c>
      <c r="J9892" t="s">
        <v>24894</v>
      </c>
    </row>
    <row r="9893" spans="1:11" x14ac:dyDescent="0.3">
      <c r="A9893" s="160">
        <v>72133</v>
      </c>
      <c r="B9893" t="s">
        <v>24895</v>
      </c>
      <c r="C9893" t="s">
        <v>9444</v>
      </c>
      <c r="D9893">
        <v>0.75</v>
      </c>
      <c r="E9893">
        <v>0</v>
      </c>
      <c r="F9893">
        <f t="shared" si="166"/>
        <v>0.75</v>
      </c>
      <c r="I9893">
        <v>20250101</v>
      </c>
      <c r="J9893" t="s">
        <v>24877</v>
      </c>
    </row>
    <row r="9894" spans="1:11" x14ac:dyDescent="0.3">
      <c r="A9894" s="160">
        <v>72137</v>
      </c>
      <c r="B9894" t="s">
        <v>24896</v>
      </c>
      <c r="C9894" t="s">
        <v>7607</v>
      </c>
      <c r="D9894">
        <v>0.8</v>
      </c>
      <c r="E9894">
        <v>0</v>
      </c>
      <c r="F9894">
        <f t="shared" si="166"/>
        <v>0.8</v>
      </c>
      <c r="I9894">
        <v>20240101</v>
      </c>
      <c r="J9894" t="s">
        <v>9451</v>
      </c>
      <c r="K9894" t="s">
        <v>9435</v>
      </c>
    </row>
    <row r="9895" spans="1:11" x14ac:dyDescent="0.3">
      <c r="A9895" s="160">
        <v>72145</v>
      </c>
      <c r="B9895" t="s">
        <v>24897</v>
      </c>
      <c r="C9895" t="s">
        <v>9444</v>
      </c>
      <c r="D9895">
        <v>0.75</v>
      </c>
      <c r="E9895">
        <v>0</v>
      </c>
      <c r="F9895">
        <f t="shared" si="166"/>
        <v>0.75</v>
      </c>
      <c r="I9895">
        <v>20250101</v>
      </c>
      <c r="J9895" t="s">
        <v>24886</v>
      </c>
    </row>
    <row r="9896" spans="1:11" x14ac:dyDescent="0.3">
      <c r="A9896" s="160">
        <v>72146</v>
      </c>
      <c r="B9896" t="s">
        <v>24898</v>
      </c>
      <c r="C9896" t="s">
        <v>9444</v>
      </c>
      <c r="D9896">
        <v>0.75</v>
      </c>
      <c r="E9896">
        <v>0</v>
      </c>
      <c r="F9896">
        <f t="shared" si="166"/>
        <v>0.75</v>
      </c>
      <c r="I9896">
        <v>20250101</v>
      </c>
      <c r="J9896" t="s">
        <v>9437</v>
      </c>
      <c r="K9896" t="s">
        <v>9438</v>
      </c>
    </row>
    <row r="9897" spans="1:11" x14ac:dyDescent="0.3">
      <c r="A9897" s="160">
        <v>72147</v>
      </c>
      <c r="B9897" t="s">
        <v>24899</v>
      </c>
      <c r="C9897" t="s">
        <v>9444</v>
      </c>
      <c r="D9897">
        <v>0.75</v>
      </c>
      <c r="E9897">
        <v>0</v>
      </c>
      <c r="F9897">
        <f t="shared" si="166"/>
        <v>0.75</v>
      </c>
      <c r="I9897">
        <v>20250101</v>
      </c>
      <c r="J9897" t="s">
        <v>24900</v>
      </c>
    </row>
    <row r="9898" spans="1:11" x14ac:dyDescent="0.3">
      <c r="A9898" s="160">
        <v>72150</v>
      </c>
      <c r="B9898" t="s">
        <v>24901</v>
      </c>
      <c r="C9898" t="s">
        <v>9444</v>
      </c>
      <c r="D9898">
        <v>0.75</v>
      </c>
      <c r="E9898">
        <v>0</v>
      </c>
      <c r="F9898">
        <f t="shared" si="166"/>
        <v>0.75</v>
      </c>
      <c r="I9898">
        <v>20250101</v>
      </c>
      <c r="J9898" t="s">
        <v>24900</v>
      </c>
    </row>
    <row r="9899" spans="1:11" x14ac:dyDescent="0.3">
      <c r="A9899" s="160">
        <v>72155</v>
      </c>
      <c r="B9899" t="s">
        <v>24902</v>
      </c>
      <c r="C9899" t="s">
        <v>9444</v>
      </c>
      <c r="D9899">
        <v>0.75</v>
      </c>
      <c r="E9899">
        <v>0</v>
      </c>
      <c r="F9899">
        <f t="shared" si="166"/>
        <v>0.75</v>
      </c>
      <c r="I9899">
        <v>20250101</v>
      </c>
      <c r="J9899" t="s">
        <v>9511</v>
      </c>
    </row>
    <row r="9900" spans="1:11" x14ac:dyDescent="0.3">
      <c r="A9900" s="160">
        <v>72157</v>
      </c>
      <c r="B9900" t="s">
        <v>19791</v>
      </c>
      <c r="C9900" t="s">
        <v>9444</v>
      </c>
      <c r="D9900">
        <v>0.75</v>
      </c>
      <c r="E9900">
        <v>0</v>
      </c>
      <c r="F9900">
        <f t="shared" si="166"/>
        <v>0.75</v>
      </c>
      <c r="I9900">
        <v>20250101</v>
      </c>
      <c r="J9900" t="s">
        <v>24874</v>
      </c>
    </row>
    <row r="9901" spans="1:11" x14ac:dyDescent="0.3">
      <c r="A9901" s="160">
        <v>72165</v>
      </c>
      <c r="B9901" t="s">
        <v>24903</v>
      </c>
      <c r="C9901" t="s">
        <v>9444</v>
      </c>
      <c r="D9901">
        <v>0.75</v>
      </c>
      <c r="E9901">
        <v>0</v>
      </c>
      <c r="F9901">
        <f t="shared" si="166"/>
        <v>0.75</v>
      </c>
      <c r="I9901">
        <v>20250101</v>
      </c>
      <c r="J9901" t="s">
        <v>24904</v>
      </c>
    </row>
    <row r="9902" spans="1:11" x14ac:dyDescent="0.3">
      <c r="A9902" s="160">
        <v>72169</v>
      </c>
      <c r="B9902" t="s">
        <v>24905</v>
      </c>
      <c r="C9902" t="s">
        <v>9444</v>
      </c>
      <c r="D9902">
        <v>0.75</v>
      </c>
      <c r="E9902">
        <v>0</v>
      </c>
      <c r="F9902">
        <f t="shared" si="166"/>
        <v>0.75</v>
      </c>
      <c r="I9902">
        <v>20250101</v>
      </c>
      <c r="J9902" t="s">
        <v>24877</v>
      </c>
    </row>
    <row r="9903" spans="1:11" x14ac:dyDescent="0.3">
      <c r="A9903" s="160">
        <v>72178</v>
      </c>
      <c r="B9903" t="s">
        <v>24906</v>
      </c>
      <c r="C9903" t="s">
        <v>9444</v>
      </c>
      <c r="D9903">
        <v>0.75</v>
      </c>
      <c r="E9903">
        <v>0</v>
      </c>
      <c r="F9903">
        <f t="shared" si="166"/>
        <v>0.75</v>
      </c>
      <c r="I9903">
        <v>20250101</v>
      </c>
      <c r="J9903" t="s">
        <v>24864</v>
      </c>
    </row>
    <row r="9904" spans="1:11" x14ac:dyDescent="0.3">
      <c r="A9904" s="160">
        <v>72179</v>
      </c>
      <c r="B9904" t="s">
        <v>24907</v>
      </c>
      <c r="C9904" t="s">
        <v>9444</v>
      </c>
      <c r="D9904">
        <v>0.75</v>
      </c>
      <c r="E9904">
        <v>0</v>
      </c>
      <c r="F9904">
        <f t="shared" si="166"/>
        <v>0.75</v>
      </c>
      <c r="I9904">
        <v>20250101</v>
      </c>
      <c r="J9904" t="s">
        <v>24908</v>
      </c>
    </row>
    <row r="9905" spans="1:67" x14ac:dyDescent="0.3">
      <c r="A9905" s="160">
        <v>72181</v>
      </c>
      <c r="B9905" t="s">
        <v>24909</v>
      </c>
      <c r="C9905" t="s">
        <v>9429</v>
      </c>
      <c r="D9905">
        <v>2</v>
      </c>
      <c r="E9905">
        <v>0</v>
      </c>
      <c r="F9905">
        <f t="shared" si="166"/>
        <v>2</v>
      </c>
      <c r="I9905">
        <v>20110601</v>
      </c>
      <c r="J9905" t="s">
        <v>9452</v>
      </c>
      <c r="K9905" t="s">
        <v>9453</v>
      </c>
      <c r="L9905" t="s">
        <v>9454</v>
      </c>
      <c r="M9905" t="s">
        <v>9455</v>
      </c>
      <c r="N9905" t="s">
        <v>9436</v>
      </c>
      <c r="O9905" t="s">
        <v>9456</v>
      </c>
      <c r="P9905" t="s">
        <v>9457</v>
      </c>
      <c r="Q9905" t="s">
        <v>9458</v>
      </c>
      <c r="R9905" t="s">
        <v>9446</v>
      </c>
      <c r="S9905" t="s">
        <v>9459</v>
      </c>
      <c r="T9905" t="s">
        <v>9460</v>
      </c>
      <c r="U9905" t="s">
        <v>9461</v>
      </c>
      <c r="V9905" t="s">
        <v>9462</v>
      </c>
      <c r="W9905" t="s">
        <v>9463</v>
      </c>
      <c r="X9905" t="s">
        <v>9464</v>
      </c>
      <c r="Y9905" t="s">
        <v>9465</v>
      </c>
      <c r="Z9905" t="s">
        <v>9466</v>
      </c>
      <c r="AA9905" t="s">
        <v>9467</v>
      </c>
      <c r="AB9905" t="s">
        <v>9468</v>
      </c>
      <c r="AC9905" t="s">
        <v>9469</v>
      </c>
      <c r="AD9905" t="s">
        <v>9470</v>
      </c>
      <c r="AE9905" t="s">
        <v>9471</v>
      </c>
      <c r="AF9905" t="s">
        <v>9472</v>
      </c>
      <c r="AG9905" t="s">
        <v>9473</v>
      </c>
      <c r="AH9905" t="s">
        <v>9474</v>
      </c>
      <c r="AI9905" t="s">
        <v>9475</v>
      </c>
      <c r="AJ9905" t="s">
        <v>9476</v>
      </c>
      <c r="AK9905" t="s">
        <v>9477</v>
      </c>
      <c r="AL9905" t="s">
        <v>9478</v>
      </c>
      <c r="AM9905" t="s">
        <v>9479</v>
      </c>
      <c r="AN9905" t="s">
        <v>9480</v>
      </c>
      <c r="AO9905" t="s">
        <v>9481</v>
      </c>
      <c r="AP9905" t="s">
        <v>9482</v>
      </c>
      <c r="AQ9905" t="s">
        <v>9483</v>
      </c>
      <c r="AR9905" t="s">
        <v>9484</v>
      </c>
      <c r="AS9905" t="s">
        <v>9485</v>
      </c>
      <c r="AT9905" t="s">
        <v>9486</v>
      </c>
      <c r="AU9905" t="s">
        <v>9487</v>
      </c>
      <c r="AV9905" t="s">
        <v>9488</v>
      </c>
      <c r="AW9905" t="s">
        <v>9489</v>
      </c>
      <c r="AX9905" t="s">
        <v>9490</v>
      </c>
      <c r="AY9905" t="s">
        <v>9491</v>
      </c>
      <c r="AZ9905" t="s">
        <v>9492</v>
      </c>
      <c r="BA9905" t="s">
        <v>9493</v>
      </c>
      <c r="BB9905" t="s">
        <v>9494</v>
      </c>
      <c r="BC9905" t="s">
        <v>9495</v>
      </c>
      <c r="BD9905" t="s">
        <v>9496</v>
      </c>
      <c r="BE9905" t="s">
        <v>9497</v>
      </c>
      <c r="BF9905" t="s">
        <v>9498</v>
      </c>
      <c r="BG9905" t="s">
        <v>9499</v>
      </c>
      <c r="BH9905" t="s">
        <v>9500</v>
      </c>
      <c r="BI9905" t="s">
        <v>9501</v>
      </c>
      <c r="BJ9905" t="s">
        <v>9502</v>
      </c>
      <c r="BK9905" t="s">
        <v>9503</v>
      </c>
      <c r="BL9905" t="s">
        <v>9504</v>
      </c>
      <c r="BM9905" t="s">
        <v>9505</v>
      </c>
      <c r="BN9905" t="s">
        <v>9506</v>
      </c>
      <c r="BO9905" t="s">
        <v>9507</v>
      </c>
    </row>
    <row r="9906" spans="1:67" x14ac:dyDescent="0.3">
      <c r="A9906" s="160">
        <v>72187</v>
      </c>
      <c r="B9906" t="s">
        <v>24910</v>
      </c>
      <c r="C9906" t="s">
        <v>9444</v>
      </c>
      <c r="D9906">
        <v>0.75</v>
      </c>
      <c r="E9906">
        <v>0</v>
      </c>
      <c r="F9906">
        <f t="shared" si="166"/>
        <v>0.75</v>
      </c>
      <c r="I9906">
        <v>20250101</v>
      </c>
      <c r="J9906" t="s">
        <v>9511</v>
      </c>
    </row>
    <row r="9907" spans="1:67" x14ac:dyDescent="0.3">
      <c r="A9907" s="160">
        <v>72195</v>
      </c>
      <c r="B9907" t="s">
        <v>24911</v>
      </c>
      <c r="C9907" t="s">
        <v>9444</v>
      </c>
      <c r="D9907">
        <v>0.75</v>
      </c>
      <c r="E9907">
        <v>0</v>
      </c>
      <c r="F9907">
        <f t="shared" si="166"/>
        <v>0.75</v>
      </c>
      <c r="I9907">
        <v>20250101</v>
      </c>
      <c r="J9907" t="s">
        <v>24908</v>
      </c>
    </row>
    <row r="9908" spans="1:67" x14ac:dyDescent="0.3">
      <c r="A9908" s="160">
        <v>72197</v>
      </c>
      <c r="B9908" t="s">
        <v>24912</v>
      </c>
      <c r="C9908" t="s">
        <v>9444</v>
      </c>
      <c r="D9908">
        <v>0.75</v>
      </c>
      <c r="E9908">
        <v>0</v>
      </c>
      <c r="F9908">
        <f t="shared" si="166"/>
        <v>0.75</v>
      </c>
      <c r="I9908">
        <v>20250101</v>
      </c>
      <c r="J9908" t="s">
        <v>24874</v>
      </c>
    </row>
    <row r="9909" spans="1:67" x14ac:dyDescent="0.3">
      <c r="A9909" s="160">
        <v>72198</v>
      </c>
      <c r="B9909" t="s">
        <v>24913</v>
      </c>
      <c r="C9909" t="s">
        <v>9429</v>
      </c>
      <c r="D9909">
        <v>2</v>
      </c>
      <c r="E9909">
        <v>0</v>
      </c>
      <c r="F9909">
        <f t="shared" si="166"/>
        <v>2</v>
      </c>
      <c r="I9909">
        <v>20180101</v>
      </c>
      <c r="J9909" t="s">
        <v>9430</v>
      </c>
    </row>
    <row r="9910" spans="1:67" x14ac:dyDescent="0.3">
      <c r="A9910" s="160">
        <v>72200</v>
      </c>
      <c r="B9910" t="s">
        <v>24914</v>
      </c>
      <c r="C9910" t="s">
        <v>9444</v>
      </c>
      <c r="D9910">
        <v>0.75</v>
      </c>
      <c r="E9910">
        <v>0</v>
      </c>
      <c r="F9910">
        <f t="shared" si="166"/>
        <v>0.75</v>
      </c>
      <c r="I9910">
        <v>20250101</v>
      </c>
      <c r="J9910" t="s">
        <v>9437</v>
      </c>
      <c r="K9910" t="s">
        <v>9438</v>
      </c>
      <c r="L9910" t="s">
        <v>9439</v>
      </c>
    </row>
    <row r="9911" spans="1:67" x14ac:dyDescent="0.3">
      <c r="A9911" s="160">
        <v>72205</v>
      </c>
      <c r="B9911" t="s">
        <v>24915</v>
      </c>
      <c r="C9911" t="s">
        <v>9444</v>
      </c>
      <c r="D9911">
        <v>0.75</v>
      </c>
      <c r="E9911">
        <v>0</v>
      </c>
      <c r="F9911">
        <f t="shared" si="166"/>
        <v>0.75</v>
      </c>
      <c r="I9911">
        <v>20250101</v>
      </c>
      <c r="J9911" t="s">
        <v>24900</v>
      </c>
    </row>
    <row r="9912" spans="1:67" x14ac:dyDescent="0.3">
      <c r="A9912" s="160">
        <v>72211</v>
      </c>
      <c r="B9912" t="s">
        <v>24916</v>
      </c>
      <c r="C9912" t="s">
        <v>9444</v>
      </c>
      <c r="D9912">
        <v>0.75</v>
      </c>
      <c r="E9912">
        <v>0</v>
      </c>
      <c r="F9912">
        <f t="shared" si="166"/>
        <v>0.75</v>
      </c>
      <c r="I9912">
        <v>20250101</v>
      </c>
      <c r="J9912" t="s">
        <v>24886</v>
      </c>
    </row>
    <row r="9913" spans="1:67" x14ac:dyDescent="0.3">
      <c r="A9913" s="160">
        <v>72213</v>
      </c>
      <c r="B9913" t="s">
        <v>24917</v>
      </c>
      <c r="C9913" t="s">
        <v>9429</v>
      </c>
      <c r="D9913">
        <v>2</v>
      </c>
      <c r="E9913">
        <v>0</v>
      </c>
      <c r="F9913">
        <f t="shared" si="166"/>
        <v>2</v>
      </c>
      <c r="I9913">
        <v>20110601</v>
      </c>
      <c r="J9913" t="s">
        <v>9437</v>
      </c>
      <c r="K9913" t="s">
        <v>9438</v>
      </c>
      <c r="L9913" t="s">
        <v>9439</v>
      </c>
    </row>
    <row r="9914" spans="1:67" x14ac:dyDescent="0.3">
      <c r="A9914" s="160">
        <v>72216</v>
      </c>
      <c r="B9914" t="s">
        <v>24918</v>
      </c>
      <c r="C9914" t="s">
        <v>9444</v>
      </c>
      <c r="D9914">
        <v>0.75</v>
      </c>
      <c r="E9914">
        <v>0</v>
      </c>
      <c r="F9914">
        <f t="shared" si="166"/>
        <v>0.75</v>
      </c>
      <c r="I9914">
        <v>20250101</v>
      </c>
      <c r="J9914" t="s">
        <v>24874</v>
      </c>
    </row>
    <row r="9915" spans="1:67" x14ac:dyDescent="0.3">
      <c r="A9915" s="160">
        <v>72217</v>
      </c>
      <c r="B9915" t="s">
        <v>24919</v>
      </c>
      <c r="C9915" t="s">
        <v>9444</v>
      </c>
      <c r="D9915">
        <v>0.75</v>
      </c>
      <c r="E9915">
        <v>0</v>
      </c>
      <c r="F9915">
        <f t="shared" si="166"/>
        <v>0.75</v>
      </c>
      <c r="I9915">
        <v>20250101</v>
      </c>
      <c r="J9915" t="s">
        <v>9450</v>
      </c>
    </row>
    <row r="9916" spans="1:67" x14ac:dyDescent="0.3">
      <c r="A9916" s="160">
        <v>72218</v>
      </c>
      <c r="B9916" t="s">
        <v>24920</v>
      </c>
      <c r="C9916" t="s">
        <v>9444</v>
      </c>
      <c r="D9916">
        <v>0.75</v>
      </c>
      <c r="E9916">
        <v>0</v>
      </c>
      <c r="F9916">
        <f t="shared" si="166"/>
        <v>0.75</v>
      </c>
      <c r="I9916">
        <v>20250101</v>
      </c>
      <c r="J9916" t="s">
        <v>24886</v>
      </c>
    </row>
    <row r="9917" spans="1:67" x14ac:dyDescent="0.3">
      <c r="A9917" s="160">
        <v>72219</v>
      </c>
      <c r="B9917" t="s">
        <v>24921</v>
      </c>
      <c r="C9917" t="s">
        <v>9444</v>
      </c>
      <c r="D9917">
        <v>0.75</v>
      </c>
      <c r="E9917">
        <v>0</v>
      </c>
      <c r="F9917">
        <f t="shared" si="166"/>
        <v>0.75</v>
      </c>
      <c r="I9917">
        <v>20250101</v>
      </c>
      <c r="J9917" t="s">
        <v>24874</v>
      </c>
    </row>
    <row r="9918" spans="1:67" x14ac:dyDescent="0.3">
      <c r="A9918" s="160">
        <v>72224</v>
      </c>
      <c r="B9918" t="s">
        <v>24922</v>
      </c>
      <c r="C9918" t="s">
        <v>9444</v>
      </c>
      <c r="D9918">
        <v>0.75</v>
      </c>
      <c r="E9918">
        <v>0</v>
      </c>
      <c r="F9918">
        <f t="shared" si="166"/>
        <v>0.75</v>
      </c>
      <c r="I9918">
        <v>20250101</v>
      </c>
      <c r="J9918" t="s">
        <v>24858</v>
      </c>
    </row>
    <row r="9919" spans="1:67" x14ac:dyDescent="0.3">
      <c r="A9919" s="160">
        <v>72229</v>
      </c>
      <c r="B9919" t="s">
        <v>24923</v>
      </c>
      <c r="C9919" t="s">
        <v>9444</v>
      </c>
      <c r="D9919">
        <v>0.75</v>
      </c>
      <c r="E9919">
        <v>0</v>
      </c>
      <c r="F9919">
        <f t="shared" si="166"/>
        <v>0.75</v>
      </c>
      <c r="I9919">
        <v>20250101</v>
      </c>
      <c r="J9919" t="s">
        <v>24886</v>
      </c>
    </row>
    <row r="9920" spans="1:67" x14ac:dyDescent="0.3">
      <c r="A9920" s="160">
        <v>72230</v>
      </c>
      <c r="B9920" t="s">
        <v>24924</v>
      </c>
      <c r="C9920" t="s">
        <v>9444</v>
      </c>
      <c r="D9920">
        <v>0.75</v>
      </c>
      <c r="E9920">
        <v>0</v>
      </c>
      <c r="F9920">
        <f t="shared" si="166"/>
        <v>0.75</v>
      </c>
      <c r="I9920">
        <v>20250101</v>
      </c>
      <c r="J9920" t="s">
        <v>24868</v>
      </c>
    </row>
    <row r="9921" spans="1:11" x14ac:dyDescent="0.3">
      <c r="A9921" s="160">
        <v>72231</v>
      </c>
      <c r="B9921" t="s">
        <v>24925</v>
      </c>
      <c r="C9921" t="s">
        <v>9444</v>
      </c>
      <c r="D9921">
        <v>0.75</v>
      </c>
      <c r="E9921">
        <v>0</v>
      </c>
      <c r="F9921">
        <f t="shared" si="166"/>
        <v>0.75</v>
      </c>
      <c r="I9921">
        <v>20250101</v>
      </c>
      <c r="J9921" t="s">
        <v>9445</v>
      </c>
    </row>
    <row r="9922" spans="1:11" x14ac:dyDescent="0.3">
      <c r="A9922" s="160">
        <v>72234</v>
      </c>
      <c r="B9922" t="s">
        <v>24926</v>
      </c>
      <c r="C9922" t="s">
        <v>9444</v>
      </c>
      <c r="D9922">
        <v>0.75</v>
      </c>
      <c r="E9922">
        <v>0</v>
      </c>
      <c r="F9922">
        <f t="shared" si="166"/>
        <v>0.75</v>
      </c>
      <c r="I9922">
        <v>20250101</v>
      </c>
      <c r="J9922" t="s">
        <v>24886</v>
      </c>
    </row>
    <row r="9923" spans="1:11" x14ac:dyDescent="0.3">
      <c r="A9923" s="160">
        <v>72241</v>
      </c>
      <c r="B9923" t="s">
        <v>24927</v>
      </c>
      <c r="C9923" t="s">
        <v>9444</v>
      </c>
      <c r="D9923">
        <v>0.75</v>
      </c>
      <c r="E9923">
        <v>0</v>
      </c>
      <c r="F9923">
        <f t="shared" si="166"/>
        <v>0.75</v>
      </c>
      <c r="I9923">
        <v>20250101</v>
      </c>
      <c r="J9923" t="s">
        <v>24904</v>
      </c>
    </row>
    <row r="9924" spans="1:11" x14ac:dyDescent="0.3">
      <c r="A9924" s="160">
        <v>72247</v>
      </c>
      <c r="B9924" t="s">
        <v>24928</v>
      </c>
      <c r="C9924" t="s">
        <v>9429</v>
      </c>
      <c r="D9924">
        <v>2</v>
      </c>
      <c r="E9924">
        <v>0</v>
      </c>
      <c r="F9924">
        <f t="shared" si="166"/>
        <v>2</v>
      </c>
      <c r="I9924">
        <v>20180101</v>
      </c>
      <c r="J9924" t="s">
        <v>9431</v>
      </c>
    </row>
    <row r="9925" spans="1:11" x14ac:dyDescent="0.3">
      <c r="A9925" s="160">
        <v>72249</v>
      </c>
      <c r="B9925" t="s">
        <v>24929</v>
      </c>
      <c r="C9925" t="s">
        <v>9444</v>
      </c>
      <c r="D9925">
        <v>0.75</v>
      </c>
      <c r="E9925">
        <v>0</v>
      </c>
      <c r="F9925">
        <f t="shared" si="166"/>
        <v>0.75</v>
      </c>
      <c r="I9925">
        <v>20250101</v>
      </c>
      <c r="J9925" t="s">
        <v>9449</v>
      </c>
    </row>
    <row r="9926" spans="1:11" x14ac:dyDescent="0.3">
      <c r="A9926" s="160">
        <v>72253</v>
      </c>
      <c r="B9926" t="s">
        <v>24930</v>
      </c>
      <c r="C9926" t="s">
        <v>9444</v>
      </c>
      <c r="D9926">
        <v>0.75</v>
      </c>
      <c r="E9926">
        <v>0</v>
      </c>
      <c r="F9926">
        <f t="shared" si="166"/>
        <v>0.75</v>
      </c>
      <c r="I9926">
        <v>20250101</v>
      </c>
      <c r="J9926" t="s">
        <v>24877</v>
      </c>
    </row>
    <row r="9927" spans="1:11" x14ac:dyDescent="0.3">
      <c r="A9927" s="160">
        <v>72255</v>
      </c>
      <c r="B9927" t="s">
        <v>24931</v>
      </c>
      <c r="C9927" t="s">
        <v>9444</v>
      </c>
      <c r="D9927">
        <v>0.75</v>
      </c>
      <c r="E9927">
        <v>0</v>
      </c>
      <c r="F9927">
        <f t="shared" ref="F9927:F9990" si="167">D9927+E9927</f>
        <v>0.75</v>
      </c>
      <c r="I9927">
        <v>20250101</v>
      </c>
      <c r="J9927" t="s">
        <v>24886</v>
      </c>
    </row>
    <row r="9928" spans="1:11" x14ac:dyDescent="0.3">
      <c r="A9928" s="160">
        <v>72256</v>
      </c>
      <c r="B9928" t="s">
        <v>24932</v>
      </c>
      <c r="C9928" t="s">
        <v>9444</v>
      </c>
      <c r="D9928">
        <v>0.75</v>
      </c>
      <c r="E9928">
        <v>0</v>
      </c>
      <c r="F9928">
        <f t="shared" si="167"/>
        <v>0.75</v>
      </c>
      <c r="I9928">
        <v>20250101</v>
      </c>
      <c r="J9928" t="s">
        <v>24886</v>
      </c>
    </row>
    <row r="9929" spans="1:11" x14ac:dyDescent="0.3">
      <c r="A9929" s="160">
        <v>72257</v>
      </c>
      <c r="B9929" t="s">
        <v>24933</v>
      </c>
      <c r="C9929" t="s">
        <v>9429</v>
      </c>
      <c r="D9929">
        <v>2</v>
      </c>
      <c r="E9929">
        <v>0</v>
      </c>
      <c r="F9929">
        <f t="shared" si="167"/>
        <v>2</v>
      </c>
      <c r="I9929">
        <v>20110601</v>
      </c>
      <c r="J9929" t="s">
        <v>9431</v>
      </c>
      <c r="K9929" t="s">
        <v>9434</v>
      </c>
    </row>
    <row r="9930" spans="1:11" x14ac:dyDescent="0.3">
      <c r="A9930" s="160">
        <v>72260</v>
      </c>
      <c r="B9930" t="s">
        <v>24934</v>
      </c>
      <c r="C9930" t="s">
        <v>9429</v>
      </c>
      <c r="D9930">
        <v>2</v>
      </c>
      <c r="E9930">
        <v>0</v>
      </c>
      <c r="F9930">
        <f t="shared" si="167"/>
        <v>2</v>
      </c>
      <c r="I9930">
        <v>20180101</v>
      </c>
      <c r="J9930" t="s">
        <v>9437</v>
      </c>
    </row>
    <row r="9931" spans="1:11" x14ac:dyDescent="0.3">
      <c r="A9931" s="160">
        <v>72261</v>
      </c>
      <c r="B9931" t="s">
        <v>24935</v>
      </c>
      <c r="C9931" t="s">
        <v>9444</v>
      </c>
      <c r="D9931">
        <v>0.75</v>
      </c>
      <c r="E9931">
        <v>0</v>
      </c>
      <c r="F9931">
        <f t="shared" si="167"/>
        <v>0.75</v>
      </c>
      <c r="I9931">
        <v>20250101</v>
      </c>
      <c r="J9931" t="s">
        <v>24874</v>
      </c>
    </row>
    <row r="9932" spans="1:11" x14ac:dyDescent="0.3">
      <c r="A9932" s="160">
        <v>72268</v>
      </c>
      <c r="B9932" t="s">
        <v>24936</v>
      </c>
      <c r="C9932" t="s">
        <v>9444</v>
      </c>
      <c r="D9932">
        <v>0.75</v>
      </c>
      <c r="E9932">
        <v>0</v>
      </c>
      <c r="F9932">
        <f t="shared" si="167"/>
        <v>0.75</v>
      </c>
      <c r="I9932">
        <v>20250101</v>
      </c>
      <c r="J9932" t="s">
        <v>9511</v>
      </c>
    </row>
    <row r="9933" spans="1:11" x14ac:dyDescent="0.3">
      <c r="A9933" s="160">
        <v>72271</v>
      </c>
      <c r="B9933" t="s">
        <v>24937</v>
      </c>
      <c r="C9933" t="s">
        <v>9444</v>
      </c>
      <c r="D9933">
        <v>0.75</v>
      </c>
      <c r="E9933">
        <v>0</v>
      </c>
      <c r="F9933">
        <f t="shared" si="167"/>
        <v>0.75</v>
      </c>
      <c r="I9933">
        <v>20250101</v>
      </c>
      <c r="J9933" t="s">
        <v>24938</v>
      </c>
    </row>
    <row r="9934" spans="1:11" x14ac:dyDescent="0.3">
      <c r="A9934" s="160">
        <v>72275</v>
      </c>
      <c r="B9934" t="s">
        <v>24939</v>
      </c>
      <c r="C9934" t="s">
        <v>9444</v>
      </c>
      <c r="D9934">
        <v>0.75</v>
      </c>
      <c r="E9934">
        <v>0</v>
      </c>
      <c r="F9934">
        <f t="shared" si="167"/>
        <v>0.75</v>
      </c>
      <c r="I9934">
        <v>20250101</v>
      </c>
      <c r="J9934" t="s">
        <v>24940</v>
      </c>
    </row>
    <row r="9935" spans="1:11" x14ac:dyDescent="0.3">
      <c r="A9935" s="160">
        <v>72280</v>
      </c>
      <c r="B9935" t="s">
        <v>24941</v>
      </c>
      <c r="C9935" t="s">
        <v>9429</v>
      </c>
      <c r="D9935">
        <v>2</v>
      </c>
      <c r="E9935">
        <v>0</v>
      </c>
      <c r="F9935">
        <f t="shared" si="167"/>
        <v>2</v>
      </c>
      <c r="I9935">
        <v>20180101</v>
      </c>
      <c r="J9935" t="s">
        <v>9431</v>
      </c>
    </row>
    <row r="9936" spans="1:11" x14ac:dyDescent="0.3">
      <c r="A9936" s="160">
        <v>72287</v>
      </c>
      <c r="B9936" t="s">
        <v>24942</v>
      </c>
      <c r="C9936" t="s">
        <v>9444</v>
      </c>
      <c r="D9936">
        <v>0.75</v>
      </c>
      <c r="E9936">
        <v>0</v>
      </c>
      <c r="F9936">
        <f t="shared" si="167"/>
        <v>0.75</v>
      </c>
      <c r="I9936">
        <v>20250101</v>
      </c>
      <c r="J9936" t="s">
        <v>9511</v>
      </c>
    </row>
    <row r="9937" spans="1:10" x14ac:dyDescent="0.3">
      <c r="A9937" s="160">
        <v>72289</v>
      </c>
      <c r="B9937" t="s">
        <v>24943</v>
      </c>
      <c r="C9937" t="s">
        <v>9444</v>
      </c>
      <c r="D9937">
        <v>0.75</v>
      </c>
      <c r="E9937">
        <v>0</v>
      </c>
      <c r="F9937">
        <f t="shared" si="167"/>
        <v>0.75</v>
      </c>
      <c r="I9937">
        <v>20250101</v>
      </c>
      <c r="J9937" t="s">
        <v>24900</v>
      </c>
    </row>
    <row r="9938" spans="1:10" x14ac:dyDescent="0.3">
      <c r="A9938" s="160">
        <v>72290</v>
      </c>
      <c r="B9938" t="s">
        <v>24944</v>
      </c>
      <c r="C9938" t="s">
        <v>9444</v>
      </c>
      <c r="D9938">
        <v>0.75</v>
      </c>
      <c r="E9938">
        <v>0</v>
      </c>
      <c r="F9938">
        <f t="shared" si="167"/>
        <v>0.75</v>
      </c>
      <c r="I9938">
        <v>20250101</v>
      </c>
      <c r="J9938" t="s">
        <v>24900</v>
      </c>
    </row>
    <row r="9939" spans="1:10" x14ac:dyDescent="0.3">
      <c r="A9939" s="160">
        <v>72293</v>
      </c>
      <c r="B9939" t="s">
        <v>24945</v>
      </c>
      <c r="C9939" t="s">
        <v>9444</v>
      </c>
      <c r="D9939">
        <v>0.75</v>
      </c>
      <c r="E9939">
        <v>0</v>
      </c>
      <c r="F9939">
        <f t="shared" si="167"/>
        <v>0.75</v>
      </c>
      <c r="I9939">
        <v>20250101</v>
      </c>
      <c r="J9939" t="s">
        <v>24894</v>
      </c>
    </row>
    <row r="9940" spans="1:10" x14ac:dyDescent="0.3">
      <c r="A9940" s="160">
        <v>72298</v>
      </c>
      <c r="B9940" t="s">
        <v>24946</v>
      </c>
      <c r="C9940" t="s">
        <v>9444</v>
      </c>
      <c r="D9940">
        <v>0.75</v>
      </c>
      <c r="E9940">
        <v>0</v>
      </c>
      <c r="F9940">
        <f t="shared" si="167"/>
        <v>0.75</v>
      </c>
      <c r="I9940">
        <v>20250101</v>
      </c>
      <c r="J9940" t="s">
        <v>24864</v>
      </c>
    </row>
    <row r="9941" spans="1:10" x14ac:dyDescent="0.3">
      <c r="A9941" s="160">
        <v>72299</v>
      </c>
      <c r="B9941" t="s">
        <v>24947</v>
      </c>
      <c r="C9941" t="s">
        <v>9444</v>
      </c>
      <c r="D9941">
        <v>0.75</v>
      </c>
      <c r="E9941">
        <v>0</v>
      </c>
      <c r="F9941">
        <f t="shared" si="167"/>
        <v>0.75</v>
      </c>
      <c r="I9941">
        <v>20250101</v>
      </c>
      <c r="J9941" t="s">
        <v>9511</v>
      </c>
    </row>
    <row r="9942" spans="1:10" x14ac:dyDescent="0.3">
      <c r="A9942" s="160">
        <v>72300</v>
      </c>
      <c r="B9942" t="s">
        <v>24948</v>
      </c>
      <c r="C9942" t="s">
        <v>9444</v>
      </c>
      <c r="D9942">
        <v>0.75</v>
      </c>
      <c r="E9942">
        <v>0</v>
      </c>
      <c r="F9942">
        <f t="shared" si="167"/>
        <v>0.75</v>
      </c>
      <c r="I9942">
        <v>20250101</v>
      </c>
      <c r="J9942" t="s">
        <v>9447</v>
      </c>
    </row>
    <row r="9943" spans="1:10" x14ac:dyDescent="0.3">
      <c r="A9943" s="160">
        <v>72303</v>
      </c>
      <c r="B9943" t="s">
        <v>24949</v>
      </c>
      <c r="C9943" t="s">
        <v>9444</v>
      </c>
      <c r="D9943">
        <v>0.75</v>
      </c>
      <c r="E9943">
        <v>0</v>
      </c>
      <c r="F9943">
        <f t="shared" si="167"/>
        <v>0.75</v>
      </c>
      <c r="I9943">
        <v>20250101</v>
      </c>
      <c r="J9943" t="s">
        <v>24864</v>
      </c>
    </row>
    <row r="9944" spans="1:10" x14ac:dyDescent="0.3">
      <c r="A9944" s="160">
        <v>72306</v>
      </c>
      <c r="B9944" t="s">
        <v>24950</v>
      </c>
      <c r="C9944" t="s">
        <v>9444</v>
      </c>
      <c r="D9944">
        <v>0.75</v>
      </c>
      <c r="E9944">
        <v>0</v>
      </c>
      <c r="F9944">
        <f t="shared" si="167"/>
        <v>0.75</v>
      </c>
      <c r="I9944">
        <v>20250101</v>
      </c>
      <c r="J9944" t="s">
        <v>9511</v>
      </c>
    </row>
    <row r="9945" spans="1:10" x14ac:dyDescent="0.3">
      <c r="A9945" s="160">
        <v>72308</v>
      </c>
      <c r="B9945" t="s">
        <v>24951</v>
      </c>
      <c r="C9945" t="s">
        <v>7607</v>
      </c>
      <c r="D9945">
        <v>0.8</v>
      </c>
      <c r="E9945">
        <v>0</v>
      </c>
      <c r="F9945">
        <f t="shared" si="167"/>
        <v>0.8</v>
      </c>
      <c r="I9945">
        <v>20240101</v>
      </c>
      <c r="J9945" t="s">
        <v>9435</v>
      </c>
    </row>
    <row r="9946" spans="1:10" x14ac:dyDescent="0.3">
      <c r="A9946" s="160">
        <v>72310</v>
      </c>
      <c r="B9946" t="s">
        <v>24952</v>
      </c>
      <c r="C9946" t="s">
        <v>9444</v>
      </c>
      <c r="D9946">
        <v>0.75</v>
      </c>
      <c r="E9946">
        <v>0</v>
      </c>
      <c r="F9946">
        <f t="shared" si="167"/>
        <v>0.75</v>
      </c>
      <c r="I9946">
        <v>20250101</v>
      </c>
      <c r="J9946" t="s">
        <v>9450</v>
      </c>
    </row>
    <row r="9947" spans="1:10" x14ac:dyDescent="0.3">
      <c r="A9947" s="160">
        <v>72315</v>
      </c>
      <c r="B9947" t="s">
        <v>24953</v>
      </c>
      <c r="C9947" t="s">
        <v>9444</v>
      </c>
      <c r="D9947">
        <v>0.75</v>
      </c>
      <c r="E9947">
        <v>0</v>
      </c>
      <c r="F9947">
        <f t="shared" si="167"/>
        <v>0.75</v>
      </c>
      <c r="I9947">
        <v>20250101</v>
      </c>
      <c r="J9947" t="s">
        <v>24886</v>
      </c>
    </row>
    <row r="9948" spans="1:10" x14ac:dyDescent="0.3">
      <c r="A9948" s="160">
        <v>72319</v>
      </c>
      <c r="B9948" t="s">
        <v>24954</v>
      </c>
      <c r="C9948" t="s">
        <v>9444</v>
      </c>
      <c r="D9948">
        <v>0.75</v>
      </c>
      <c r="E9948">
        <v>0</v>
      </c>
      <c r="F9948">
        <f t="shared" si="167"/>
        <v>0.75</v>
      </c>
      <c r="I9948">
        <v>20250101</v>
      </c>
      <c r="J9948" t="s">
        <v>24900</v>
      </c>
    </row>
    <row r="9949" spans="1:10" x14ac:dyDescent="0.3">
      <c r="A9949" s="160">
        <v>72320</v>
      </c>
      <c r="B9949" t="s">
        <v>16693</v>
      </c>
      <c r="C9949" t="s">
        <v>9429</v>
      </c>
      <c r="D9949">
        <v>2</v>
      </c>
      <c r="E9949">
        <v>0</v>
      </c>
      <c r="F9949">
        <f t="shared" si="167"/>
        <v>2</v>
      </c>
      <c r="I9949">
        <v>20180101</v>
      </c>
      <c r="J9949" t="s">
        <v>9430</v>
      </c>
    </row>
    <row r="9950" spans="1:10" x14ac:dyDescent="0.3">
      <c r="A9950" s="160">
        <v>72321</v>
      </c>
      <c r="B9950" t="s">
        <v>18947</v>
      </c>
      <c r="C9950" t="s">
        <v>9444</v>
      </c>
      <c r="D9950">
        <v>0.75</v>
      </c>
      <c r="E9950">
        <v>0</v>
      </c>
      <c r="F9950">
        <f t="shared" si="167"/>
        <v>0.75</v>
      </c>
      <c r="I9950">
        <v>20250101</v>
      </c>
      <c r="J9950" t="s">
        <v>24874</v>
      </c>
    </row>
    <row r="9951" spans="1:10" x14ac:dyDescent="0.3">
      <c r="A9951" s="160">
        <v>72328</v>
      </c>
      <c r="B9951" t="s">
        <v>24955</v>
      </c>
      <c r="C9951" t="s">
        <v>9429</v>
      </c>
      <c r="D9951">
        <v>2</v>
      </c>
      <c r="E9951">
        <v>0</v>
      </c>
      <c r="F9951">
        <f t="shared" si="167"/>
        <v>2</v>
      </c>
      <c r="I9951">
        <v>20110601</v>
      </c>
      <c r="J9951" t="s">
        <v>9450</v>
      </c>
    </row>
    <row r="9952" spans="1:10" x14ac:dyDescent="0.3">
      <c r="A9952" s="160">
        <v>72329</v>
      </c>
      <c r="B9952" t="s">
        <v>24956</v>
      </c>
      <c r="C9952" t="s">
        <v>9444</v>
      </c>
      <c r="D9952">
        <v>0.75</v>
      </c>
      <c r="E9952">
        <v>0</v>
      </c>
      <c r="F9952">
        <f t="shared" si="167"/>
        <v>0.75</v>
      </c>
      <c r="I9952">
        <v>20250101</v>
      </c>
      <c r="J9952" t="s">
        <v>24940</v>
      </c>
    </row>
    <row r="9953" spans="1:12" x14ac:dyDescent="0.3">
      <c r="A9953" s="160">
        <v>72334</v>
      </c>
      <c r="B9953" t="s">
        <v>24957</v>
      </c>
      <c r="C9953" t="s">
        <v>9444</v>
      </c>
      <c r="D9953">
        <v>0.75</v>
      </c>
      <c r="E9953">
        <v>0</v>
      </c>
      <c r="F9953">
        <f t="shared" si="167"/>
        <v>0.75</v>
      </c>
      <c r="I9953">
        <v>20250101</v>
      </c>
      <c r="J9953" t="s">
        <v>24886</v>
      </c>
    </row>
    <row r="9954" spans="1:12" x14ac:dyDescent="0.3">
      <c r="A9954" s="160">
        <v>72335</v>
      </c>
      <c r="B9954" t="s">
        <v>24958</v>
      </c>
      <c r="C9954" t="s">
        <v>9444</v>
      </c>
      <c r="D9954">
        <v>0.75</v>
      </c>
      <c r="E9954">
        <v>0</v>
      </c>
      <c r="F9954">
        <f t="shared" si="167"/>
        <v>0.75</v>
      </c>
      <c r="I9954">
        <v>20250101</v>
      </c>
      <c r="J9954" t="s">
        <v>24940</v>
      </c>
    </row>
    <row r="9955" spans="1:12" x14ac:dyDescent="0.3">
      <c r="A9955" s="160">
        <v>72338</v>
      </c>
      <c r="B9955" t="s">
        <v>24959</v>
      </c>
      <c r="C9955" t="s">
        <v>9444</v>
      </c>
      <c r="D9955">
        <v>0.75</v>
      </c>
      <c r="E9955">
        <v>0</v>
      </c>
      <c r="F9955">
        <f t="shared" si="167"/>
        <v>0.75</v>
      </c>
      <c r="I9955">
        <v>20250101</v>
      </c>
      <c r="J9955" t="s">
        <v>24900</v>
      </c>
    </row>
    <row r="9956" spans="1:12" x14ac:dyDescent="0.3">
      <c r="A9956" s="160">
        <v>72339</v>
      </c>
      <c r="B9956" t="s">
        <v>24960</v>
      </c>
      <c r="C9956" t="s">
        <v>9444</v>
      </c>
      <c r="D9956">
        <v>0.75</v>
      </c>
      <c r="E9956">
        <v>0</v>
      </c>
      <c r="F9956">
        <f t="shared" si="167"/>
        <v>0.75</v>
      </c>
      <c r="I9956">
        <v>20250101</v>
      </c>
      <c r="J9956" t="s">
        <v>24877</v>
      </c>
    </row>
    <row r="9957" spans="1:12" x14ac:dyDescent="0.3">
      <c r="A9957" s="160">
        <v>72340</v>
      </c>
      <c r="B9957" t="s">
        <v>24961</v>
      </c>
      <c r="C9957" t="s">
        <v>9444</v>
      </c>
      <c r="D9957">
        <v>0.75</v>
      </c>
      <c r="E9957">
        <v>0</v>
      </c>
      <c r="F9957">
        <f t="shared" si="167"/>
        <v>0.75</v>
      </c>
      <c r="I9957">
        <v>20250101</v>
      </c>
      <c r="J9957" t="s">
        <v>24861</v>
      </c>
    </row>
    <row r="9958" spans="1:12" x14ac:dyDescent="0.3">
      <c r="A9958" s="160">
        <v>72341</v>
      </c>
      <c r="B9958" t="s">
        <v>24962</v>
      </c>
      <c r="C9958" t="s">
        <v>9444</v>
      </c>
      <c r="D9958">
        <v>0.75</v>
      </c>
      <c r="E9958">
        <v>0</v>
      </c>
      <c r="F9958">
        <f t="shared" si="167"/>
        <v>0.75</v>
      </c>
      <c r="I9958">
        <v>20250101</v>
      </c>
      <c r="J9958" t="s">
        <v>24858</v>
      </c>
    </row>
    <row r="9959" spans="1:12" x14ac:dyDescent="0.3">
      <c r="A9959" s="160">
        <v>72344</v>
      </c>
      <c r="B9959" t="s">
        <v>24963</v>
      </c>
      <c r="C9959" t="s">
        <v>9444</v>
      </c>
      <c r="D9959">
        <v>0.75</v>
      </c>
      <c r="E9959">
        <v>0</v>
      </c>
      <c r="F9959">
        <f t="shared" si="167"/>
        <v>0.75</v>
      </c>
      <c r="I9959">
        <v>20250101</v>
      </c>
      <c r="J9959" t="s">
        <v>9431</v>
      </c>
      <c r="K9959" t="s">
        <v>24964</v>
      </c>
      <c r="L9959" t="s">
        <v>9432</v>
      </c>
    </row>
    <row r="9960" spans="1:12" x14ac:dyDescent="0.3">
      <c r="A9960" s="160">
        <v>72345</v>
      </c>
      <c r="B9960" t="s">
        <v>24965</v>
      </c>
      <c r="C9960" t="s">
        <v>9444</v>
      </c>
      <c r="D9960">
        <v>0.75</v>
      </c>
      <c r="E9960">
        <v>0</v>
      </c>
      <c r="F9960">
        <f t="shared" si="167"/>
        <v>0.75</v>
      </c>
      <c r="I9960">
        <v>20250101</v>
      </c>
      <c r="J9960" t="s">
        <v>24858</v>
      </c>
    </row>
    <row r="9961" spans="1:12" x14ac:dyDescent="0.3">
      <c r="A9961" s="160">
        <v>72346</v>
      </c>
      <c r="B9961" t="s">
        <v>24966</v>
      </c>
      <c r="C9961" t="s">
        <v>9444</v>
      </c>
      <c r="D9961">
        <v>0.75</v>
      </c>
      <c r="E9961">
        <v>0</v>
      </c>
      <c r="F9961">
        <f t="shared" si="167"/>
        <v>0.75</v>
      </c>
      <c r="I9961">
        <v>20250101</v>
      </c>
      <c r="J9961" t="s">
        <v>24877</v>
      </c>
    </row>
    <row r="9962" spans="1:12" x14ac:dyDescent="0.3">
      <c r="A9962" s="160">
        <v>72349</v>
      </c>
      <c r="B9962" t="s">
        <v>24967</v>
      </c>
      <c r="C9962" t="s">
        <v>9444</v>
      </c>
      <c r="D9962">
        <v>0.75</v>
      </c>
      <c r="E9962">
        <v>0</v>
      </c>
      <c r="F9962">
        <f t="shared" si="167"/>
        <v>0.75</v>
      </c>
      <c r="I9962">
        <v>20250101</v>
      </c>
      <c r="J9962" t="s">
        <v>24861</v>
      </c>
    </row>
    <row r="9963" spans="1:12" x14ac:dyDescent="0.3">
      <c r="A9963" s="160">
        <v>72350</v>
      </c>
      <c r="B9963" t="s">
        <v>24968</v>
      </c>
      <c r="C9963" t="s">
        <v>9444</v>
      </c>
      <c r="D9963">
        <v>0.75</v>
      </c>
      <c r="E9963">
        <v>0</v>
      </c>
      <c r="F9963">
        <f t="shared" si="167"/>
        <v>0.75</v>
      </c>
      <c r="I9963">
        <v>20250101</v>
      </c>
      <c r="J9963" t="s">
        <v>9511</v>
      </c>
    </row>
    <row r="9964" spans="1:12" x14ac:dyDescent="0.3">
      <c r="A9964" s="160">
        <v>72351</v>
      </c>
      <c r="B9964" t="s">
        <v>24969</v>
      </c>
      <c r="C9964" t="s">
        <v>9444</v>
      </c>
      <c r="D9964">
        <v>0.75</v>
      </c>
      <c r="E9964">
        <v>0</v>
      </c>
      <c r="F9964">
        <f t="shared" si="167"/>
        <v>0.75</v>
      </c>
      <c r="I9964">
        <v>20250101</v>
      </c>
      <c r="J9964" t="s">
        <v>24874</v>
      </c>
    </row>
    <row r="9965" spans="1:12" x14ac:dyDescent="0.3">
      <c r="A9965" s="160">
        <v>72358</v>
      </c>
      <c r="B9965" t="s">
        <v>24970</v>
      </c>
      <c r="C9965" t="s">
        <v>9444</v>
      </c>
      <c r="D9965">
        <v>0.75</v>
      </c>
      <c r="E9965">
        <v>0</v>
      </c>
      <c r="F9965">
        <f t="shared" si="167"/>
        <v>0.75</v>
      </c>
      <c r="I9965">
        <v>20250101</v>
      </c>
      <c r="J9965" t="s">
        <v>24881</v>
      </c>
    </row>
    <row r="9966" spans="1:12" x14ac:dyDescent="0.3">
      <c r="A9966" s="160">
        <v>72359</v>
      </c>
      <c r="B9966" t="s">
        <v>24971</v>
      </c>
      <c r="C9966" t="s">
        <v>9444</v>
      </c>
      <c r="D9966">
        <v>0.75</v>
      </c>
      <c r="E9966">
        <v>0</v>
      </c>
      <c r="F9966">
        <f t="shared" si="167"/>
        <v>0.75</v>
      </c>
      <c r="I9966">
        <v>20250101</v>
      </c>
      <c r="J9966" t="s">
        <v>24938</v>
      </c>
    </row>
    <row r="9967" spans="1:12" x14ac:dyDescent="0.3">
      <c r="A9967" s="160">
        <v>72360</v>
      </c>
      <c r="B9967" t="s">
        <v>24972</v>
      </c>
      <c r="C9967" t="s">
        <v>9429</v>
      </c>
      <c r="D9967">
        <v>2</v>
      </c>
      <c r="E9967">
        <v>0</v>
      </c>
      <c r="F9967">
        <f t="shared" si="167"/>
        <v>2</v>
      </c>
      <c r="I9967">
        <v>20180101</v>
      </c>
      <c r="J9967" t="s">
        <v>9430</v>
      </c>
    </row>
    <row r="9968" spans="1:12" x14ac:dyDescent="0.3">
      <c r="A9968" s="160">
        <v>72361</v>
      </c>
      <c r="B9968" t="s">
        <v>24973</v>
      </c>
      <c r="C9968" t="s">
        <v>9444</v>
      </c>
      <c r="D9968">
        <v>0.75</v>
      </c>
      <c r="E9968">
        <v>0</v>
      </c>
      <c r="F9968">
        <f t="shared" si="167"/>
        <v>0.75</v>
      </c>
      <c r="I9968">
        <v>20250101</v>
      </c>
      <c r="J9968" t="s">
        <v>24864</v>
      </c>
    </row>
    <row r="9969" spans="1:70" x14ac:dyDescent="0.3">
      <c r="A9969" s="160">
        <v>72381</v>
      </c>
      <c r="B9969" t="s">
        <v>24974</v>
      </c>
      <c r="C9969" t="s">
        <v>9444</v>
      </c>
      <c r="D9969">
        <v>0.75</v>
      </c>
      <c r="E9969">
        <v>0</v>
      </c>
      <c r="F9969">
        <f t="shared" si="167"/>
        <v>0.75</v>
      </c>
      <c r="I9969">
        <v>20250101</v>
      </c>
      <c r="J9969" t="s">
        <v>24877</v>
      </c>
    </row>
    <row r="9970" spans="1:70" x14ac:dyDescent="0.3">
      <c r="A9970" s="160">
        <v>72382</v>
      </c>
      <c r="B9970" t="s">
        <v>17012</v>
      </c>
      <c r="C9970" t="s">
        <v>9444</v>
      </c>
      <c r="D9970">
        <v>0.75</v>
      </c>
      <c r="E9970">
        <v>0</v>
      </c>
      <c r="F9970">
        <f t="shared" si="167"/>
        <v>0.75</v>
      </c>
      <c r="I9970">
        <v>20250101</v>
      </c>
      <c r="J9970" t="s">
        <v>24864</v>
      </c>
    </row>
    <row r="9971" spans="1:70" x14ac:dyDescent="0.3">
      <c r="A9971" s="160">
        <v>72386</v>
      </c>
      <c r="B9971" t="s">
        <v>24975</v>
      </c>
      <c r="C9971" t="s">
        <v>9429</v>
      </c>
      <c r="D9971">
        <v>2</v>
      </c>
      <c r="E9971">
        <v>0</v>
      </c>
      <c r="F9971">
        <f t="shared" si="167"/>
        <v>2</v>
      </c>
      <c r="I9971">
        <v>20110601</v>
      </c>
      <c r="J9971" t="s">
        <v>9512</v>
      </c>
    </row>
    <row r="9972" spans="1:70" x14ac:dyDescent="0.3">
      <c r="A9972" s="160">
        <v>73004</v>
      </c>
      <c r="B9972" t="s">
        <v>24976</v>
      </c>
      <c r="C9972" t="s">
        <v>9513</v>
      </c>
      <c r="D9972">
        <v>1.75</v>
      </c>
      <c r="E9972">
        <v>0</v>
      </c>
      <c r="F9972">
        <f t="shared" si="167"/>
        <v>1.75</v>
      </c>
      <c r="I9972">
        <v>20240101</v>
      </c>
      <c r="J9972" t="s">
        <v>9514</v>
      </c>
    </row>
    <row r="9973" spans="1:70" x14ac:dyDescent="0.3">
      <c r="A9973" s="160">
        <v>73005</v>
      </c>
      <c r="B9973" t="s">
        <v>24977</v>
      </c>
      <c r="C9973" t="s">
        <v>9513</v>
      </c>
      <c r="D9973">
        <v>1.75</v>
      </c>
      <c r="E9973">
        <v>0</v>
      </c>
      <c r="F9973">
        <f t="shared" si="167"/>
        <v>1.75</v>
      </c>
      <c r="I9973">
        <v>20240101</v>
      </c>
      <c r="J9973" t="s">
        <v>9514</v>
      </c>
    </row>
    <row r="9974" spans="1:70" x14ac:dyDescent="0.3">
      <c r="A9974" s="160">
        <v>73008</v>
      </c>
      <c r="B9974" t="s">
        <v>24978</v>
      </c>
      <c r="C9974" t="s">
        <v>9515</v>
      </c>
      <c r="D9974">
        <v>0.8</v>
      </c>
      <c r="E9974">
        <v>0</v>
      </c>
      <c r="F9974">
        <f t="shared" si="167"/>
        <v>0.8</v>
      </c>
      <c r="I9974">
        <v>20220101</v>
      </c>
      <c r="J9974" t="s">
        <v>9516</v>
      </c>
      <c r="K9974" t="s">
        <v>9517</v>
      </c>
      <c r="L9974" t="s">
        <v>9518</v>
      </c>
      <c r="M9974" t="s">
        <v>9519</v>
      </c>
      <c r="N9974" t="s">
        <v>9520</v>
      </c>
      <c r="O9974" t="s">
        <v>9521</v>
      </c>
      <c r="P9974" t="s">
        <v>9522</v>
      </c>
      <c r="Q9974" t="s">
        <v>9523</v>
      </c>
      <c r="R9974" t="s">
        <v>9524</v>
      </c>
    </row>
    <row r="9975" spans="1:70" x14ac:dyDescent="0.3">
      <c r="A9975" s="160">
        <v>73010</v>
      </c>
      <c r="B9975" t="s">
        <v>24979</v>
      </c>
      <c r="C9975" t="s">
        <v>9515</v>
      </c>
      <c r="D9975">
        <v>0.8</v>
      </c>
      <c r="E9975">
        <v>0</v>
      </c>
      <c r="F9975">
        <f t="shared" si="167"/>
        <v>0.8</v>
      </c>
      <c r="I9975">
        <v>20230101</v>
      </c>
      <c r="J9975" t="s">
        <v>9525</v>
      </c>
    </row>
    <row r="9976" spans="1:70" x14ac:dyDescent="0.3">
      <c r="A9976" s="160">
        <v>73020</v>
      </c>
      <c r="B9976" t="s">
        <v>24980</v>
      </c>
      <c r="C9976" t="s">
        <v>9513</v>
      </c>
      <c r="D9976">
        <v>1.75</v>
      </c>
      <c r="E9976">
        <v>0</v>
      </c>
      <c r="F9976">
        <f t="shared" si="167"/>
        <v>1.75</v>
      </c>
      <c r="I9976">
        <v>20240101</v>
      </c>
      <c r="J9976" t="s">
        <v>9514</v>
      </c>
    </row>
    <row r="9977" spans="1:70" x14ac:dyDescent="0.3">
      <c r="A9977" s="160">
        <v>73029</v>
      </c>
      <c r="B9977" t="s">
        <v>24981</v>
      </c>
      <c r="C9977" t="s">
        <v>9513</v>
      </c>
      <c r="D9977">
        <v>1.75</v>
      </c>
      <c r="E9977">
        <v>0</v>
      </c>
      <c r="F9977">
        <f t="shared" si="167"/>
        <v>1.75</v>
      </c>
      <c r="I9977">
        <v>20140101</v>
      </c>
      <c r="J9977" t="s">
        <v>9526</v>
      </c>
      <c r="K9977" t="s">
        <v>9527</v>
      </c>
      <c r="L9977" t="s">
        <v>9528</v>
      </c>
      <c r="M9977" t="s">
        <v>9529</v>
      </c>
      <c r="N9977" t="s">
        <v>9530</v>
      </c>
      <c r="O9977" t="s">
        <v>9531</v>
      </c>
    </row>
    <row r="9978" spans="1:70" x14ac:dyDescent="0.3">
      <c r="A9978" s="160">
        <v>73030</v>
      </c>
      <c r="B9978" t="s">
        <v>24982</v>
      </c>
      <c r="C9978" t="s">
        <v>9513</v>
      </c>
      <c r="D9978">
        <v>1.75</v>
      </c>
      <c r="E9978">
        <v>0</v>
      </c>
      <c r="F9978">
        <f t="shared" si="167"/>
        <v>1.75</v>
      </c>
      <c r="I9978">
        <v>20140101</v>
      </c>
      <c r="J9978" t="s">
        <v>9532</v>
      </c>
      <c r="K9978" t="s">
        <v>9533</v>
      </c>
      <c r="L9978" t="s">
        <v>9534</v>
      </c>
      <c r="M9978" t="s">
        <v>9535</v>
      </c>
    </row>
    <row r="9979" spans="1:70" x14ac:dyDescent="0.3">
      <c r="A9979" s="160">
        <v>73031</v>
      </c>
      <c r="B9979" t="s">
        <v>18619</v>
      </c>
      <c r="C9979" t="s">
        <v>9513</v>
      </c>
      <c r="D9979">
        <v>1.75</v>
      </c>
      <c r="E9979">
        <v>0</v>
      </c>
      <c r="F9979">
        <f t="shared" si="167"/>
        <v>1.75</v>
      </c>
      <c r="I9979">
        <v>20140101</v>
      </c>
      <c r="J9979" t="s">
        <v>9526</v>
      </c>
      <c r="K9979" t="s">
        <v>9536</v>
      </c>
      <c r="L9979" t="s">
        <v>9537</v>
      </c>
      <c r="M9979" t="s">
        <v>9538</v>
      </c>
      <c r="N9979" t="s">
        <v>9539</v>
      </c>
      <c r="O9979" t="s">
        <v>9529</v>
      </c>
      <c r="P9979" t="s">
        <v>9540</v>
      </c>
      <c r="Q9979" t="s">
        <v>9541</v>
      </c>
      <c r="R9979" t="s">
        <v>9542</v>
      </c>
      <c r="S9979" t="s">
        <v>9533</v>
      </c>
    </row>
    <row r="9980" spans="1:70" x14ac:dyDescent="0.3">
      <c r="A9980" s="160">
        <v>73036</v>
      </c>
      <c r="B9980" t="s">
        <v>24983</v>
      </c>
      <c r="C9980" t="s">
        <v>9513</v>
      </c>
      <c r="D9980">
        <v>1.75</v>
      </c>
      <c r="E9980">
        <v>0</v>
      </c>
      <c r="F9980">
        <f t="shared" si="167"/>
        <v>1.75</v>
      </c>
      <c r="I9980">
        <v>20240101</v>
      </c>
      <c r="J9980" t="s">
        <v>9514</v>
      </c>
    </row>
    <row r="9981" spans="1:70" x14ac:dyDescent="0.3">
      <c r="A9981" s="160">
        <v>73043</v>
      </c>
      <c r="B9981" t="s">
        <v>24984</v>
      </c>
      <c r="C9981" t="s">
        <v>9515</v>
      </c>
      <c r="D9981">
        <v>0.8</v>
      </c>
      <c r="E9981">
        <v>0</v>
      </c>
      <c r="F9981">
        <f t="shared" si="167"/>
        <v>0.8</v>
      </c>
      <c r="I9981">
        <v>20230101</v>
      </c>
      <c r="J9981" t="s">
        <v>9525</v>
      </c>
    </row>
    <row r="9982" spans="1:70" x14ac:dyDescent="0.3">
      <c r="A9982" s="160">
        <v>73050</v>
      </c>
      <c r="B9982" t="s">
        <v>24985</v>
      </c>
      <c r="C9982" t="s">
        <v>9515</v>
      </c>
      <c r="D9982">
        <v>0.8</v>
      </c>
      <c r="E9982">
        <v>0</v>
      </c>
      <c r="F9982">
        <f t="shared" si="167"/>
        <v>0.8</v>
      </c>
      <c r="I9982">
        <v>20220101</v>
      </c>
      <c r="J9982" t="s">
        <v>9543</v>
      </c>
    </row>
    <row r="9983" spans="1:70" x14ac:dyDescent="0.3">
      <c r="A9983" s="160">
        <v>73051</v>
      </c>
      <c r="B9983" t="s">
        <v>24986</v>
      </c>
      <c r="C9983" t="s">
        <v>9515</v>
      </c>
      <c r="D9983">
        <v>0.8</v>
      </c>
      <c r="E9983">
        <v>0</v>
      </c>
      <c r="F9983">
        <f t="shared" si="167"/>
        <v>0.8</v>
      </c>
      <c r="I9983">
        <v>20220101</v>
      </c>
      <c r="J9983" t="s">
        <v>9543</v>
      </c>
      <c r="K9983" t="s">
        <v>9544</v>
      </c>
      <c r="L9983" t="s">
        <v>9545</v>
      </c>
      <c r="M9983" t="s">
        <v>9546</v>
      </c>
      <c r="N9983" t="s">
        <v>9547</v>
      </c>
      <c r="O9983" t="s">
        <v>9548</v>
      </c>
      <c r="P9983" t="s">
        <v>9549</v>
      </c>
      <c r="Q9983" t="s">
        <v>9550</v>
      </c>
      <c r="R9983" t="s">
        <v>9551</v>
      </c>
      <c r="S9983" t="s">
        <v>9552</v>
      </c>
      <c r="T9983" t="s">
        <v>9553</v>
      </c>
    </row>
    <row r="9984" spans="1:70" x14ac:dyDescent="0.3">
      <c r="A9984" s="160">
        <v>73054</v>
      </c>
      <c r="B9984" t="s">
        <v>24987</v>
      </c>
      <c r="C9984" t="s">
        <v>9554</v>
      </c>
      <c r="D9984">
        <v>0.05</v>
      </c>
      <c r="E9984">
        <v>0</v>
      </c>
      <c r="F9984">
        <f t="shared" si="167"/>
        <v>0.05</v>
      </c>
      <c r="I9984">
        <v>20190101</v>
      </c>
      <c r="J9984" t="s">
        <v>9555</v>
      </c>
      <c r="K9984" t="s">
        <v>9556</v>
      </c>
      <c r="L9984" t="s">
        <v>9557</v>
      </c>
      <c r="M9984" t="s">
        <v>9558</v>
      </c>
      <c r="N9984" t="s">
        <v>9559</v>
      </c>
      <c r="O9984" t="s">
        <v>9560</v>
      </c>
      <c r="P9984" t="s">
        <v>9561</v>
      </c>
      <c r="BP9984" t="s">
        <v>9508</v>
      </c>
      <c r="BQ9984" t="s">
        <v>9509</v>
      </c>
      <c r="BR9984" t="s">
        <v>9510</v>
      </c>
    </row>
    <row r="9985" spans="1:35" x14ac:dyDescent="0.3">
      <c r="A9985" s="160">
        <v>73059</v>
      </c>
      <c r="B9985" t="s">
        <v>24988</v>
      </c>
      <c r="C9985" t="s">
        <v>9515</v>
      </c>
      <c r="D9985">
        <v>0.8</v>
      </c>
      <c r="E9985">
        <v>0</v>
      </c>
      <c r="F9985">
        <f t="shared" si="167"/>
        <v>0.8</v>
      </c>
      <c r="I9985">
        <v>20220101</v>
      </c>
      <c r="J9985" t="s">
        <v>9516</v>
      </c>
      <c r="K9985" t="s">
        <v>9517</v>
      </c>
      <c r="L9985" t="s">
        <v>9518</v>
      </c>
      <c r="M9985" t="s">
        <v>9524</v>
      </c>
    </row>
    <row r="9986" spans="1:35" x14ac:dyDescent="0.3">
      <c r="A9986" s="160">
        <v>73064</v>
      </c>
      <c r="B9986" t="s">
        <v>24989</v>
      </c>
      <c r="C9986" t="s">
        <v>9513</v>
      </c>
      <c r="D9986">
        <v>1.75</v>
      </c>
      <c r="E9986">
        <v>0</v>
      </c>
      <c r="F9986">
        <f t="shared" si="167"/>
        <v>1.75</v>
      </c>
      <c r="I9986">
        <v>20140101</v>
      </c>
      <c r="J9986" t="s">
        <v>9562</v>
      </c>
      <c r="K9986" t="s">
        <v>9563</v>
      </c>
      <c r="L9986" t="s">
        <v>9564</v>
      </c>
      <c r="M9986" t="s">
        <v>9565</v>
      </c>
      <c r="N9986" t="s">
        <v>9566</v>
      </c>
      <c r="O9986" t="s">
        <v>9533</v>
      </c>
    </row>
    <row r="9987" spans="1:35" x14ac:dyDescent="0.3">
      <c r="A9987" s="160">
        <v>73065</v>
      </c>
      <c r="B9987" t="s">
        <v>24990</v>
      </c>
      <c r="C9987" t="s">
        <v>9513</v>
      </c>
      <c r="D9987">
        <v>1.75</v>
      </c>
      <c r="E9987">
        <v>0</v>
      </c>
      <c r="F9987">
        <f t="shared" si="167"/>
        <v>1.75</v>
      </c>
      <c r="I9987">
        <v>20140101</v>
      </c>
      <c r="J9987" t="s">
        <v>9526</v>
      </c>
      <c r="K9987" t="s">
        <v>9527</v>
      </c>
      <c r="L9987" t="s">
        <v>9567</v>
      </c>
      <c r="M9987" t="s">
        <v>9528</v>
      </c>
      <c r="N9987" t="s">
        <v>9568</v>
      </c>
      <c r="O9987" t="s">
        <v>9536</v>
      </c>
      <c r="P9987" t="s">
        <v>9537</v>
      </c>
      <c r="Q9987" t="s">
        <v>9538</v>
      </c>
      <c r="R9987" t="s">
        <v>9539</v>
      </c>
      <c r="S9987" t="s">
        <v>9569</v>
      </c>
      <c r="T9987" t="s">
        <v>9570</v>
      </c>
      <c r="U9987" t="s">
        <v>9529</v>
      </c>
      <c r="V9987" t="s">
        <v>9571</v>
      </c>
      <c r="W9987" t="s">
        <v>9572</v>
      </c>
      <c r="X9987" t="s">
        <v>9573</v>
      </c>
      <c r="Y9987" t="s">
        <v>9530</v>
      </c>
      <c r="Z9987" t="s">
        <v>9574</v>
      </c>
      <c r="AA9987" t="s">
        <v>9575</v>
      </c>
      <c r="AB9987" t="s">
        <v>9540</v>
      </c>
      <c r="AC9987" t="s">
        <v>9541</v>
      </c>
      <c r="AD9987" t="s">
        <v>9542</v>
      </c>
      <c r="AE9987" t="s">
        <v>9576</v>
      </c>
      <c r="AF9987" t="s">
        <v>9577</v>
      </c>
      <c r="AG9987" t="s">
        <v>9578</v>
      </c>
      <c r="AH9987" t="s">
        <v>9579</v>
      </c>
      <c r="AI9987" t="s">
        <v>9580</v>
      </c>
    </row>
    <row r="9988" spans="1:35" x14ac:dyDescent="0.3">
      <c r="A9988" s="160">
        <v>73073</v>
      </c>
      <c r="B9988" t="s">
        <v>24991</v>
      </c>
      <c r="C9988" t="s">
        <v>9515</v>
      </c>
      <c r="D9988">
        <v>0.8</v>
      </c>
      <c r="E9988">
        <v>0</v>
      </c>
      <c r="F9988">
        <f t="shared" si="167"/>
        <v>0.8</v>
      </c>
      <c r="I9988">
        <v>20230101</v>
      </c>
      <c r="J9988" t="s">
        <v>9581</v>
      </c>
    </row>
    <row r="9989" spans="1:35" x14ac:dyDescent="0.3">
      <c r="A9989" s="160">
        <v>73076</v>
      </c>
      <c r="B9989" t="s">
        <v>24992</v>
      </c>
      <c r="C9989" t="s">
        <v>9515</v>
      </c>
      <c r="D9989">
        <v>0.8</v>
      </c>
      <c r="E9989">
        <v>0</v>
      </c>
      <c r="F9989">
        <f t="shared" si="167"/>
        <v>0.8</v>
      </c>
      <c r="I9989">
        <v>20220101</v>
      </c>
      <c r="J9989" t="s">
        <v>9543</v>
      </c>
    </row>
    <row r="9990" spans="1:35" x14ac:dyDescent="0.3">
      <c r="A9990" s="160">
        <v>73081</v>
      </c>
      <c r="B9990" t="s">
        <v>24993</v>
      </c>
      <c r="C9990" t="s">
        <v>9513</v>
      </c>
      <c r="D9990">
        <v>1.75</v>
      </c>
      <c r="E9990">
        <v>0</v>
      </c>
      <c r="F9990">
        <f t="shared" si="167"/>
        <v>1.75</v>
      </c>
      <c r="I9990">
        <v>20240101</v>
      </c>
      <c r="J9990" t="s">
        <v>9582</v>
      </c>
    </row>
    <row r="9991" spans="1:35" x14ac:dyDescent="0.3">
      <c r="A9991" s="160">
        <v>73085</v>
      </c>
      <c r="B9991" t="s">
        <v>24994</v>
      </c>
      <c r="C9991" t="s">
        <v>9515</v>
      </c>
      <c r="D9991">
        <v>0.8</v>
      </c>
      <c r="E9991">
        <v>0</v>
      </c>
      <c r="F9991">
        <f t="shared" ref="F9991:F10054" si="168">D9991+E9991</f>
        <v>0.8</v>
      </c>
      <c r="I9991">
        <v>20230101</v>
      </c>
      <c r="J9991" t="s">
        <v>9581</v>
      </c>
    </row>
    <row r="9992" spans="1:35" x14ac:dyDescent="0.3">
      <c r="A9992" s="160">
        <v>73087</v>
      </c>
      <c r="B9992" t="s">
        <v>24995</v>
      </c>
      <c r="C9992" t="s">
        <v>9513</v>
      </c>
      <c r="D9992">
        <v>1.75</v>
      </c>
      <c r="E9992">
        <v>0</v>
      </c>
      <c r="F9992">
        <f t="shared" si="168"/>
        <v>1.75</v>
      </c>
      <c r="I9992">
        <v>20140101</v>
      </c>
      <c r="J9992" t="s">
        <v>9583</v>
      </c>
      <c r="K9992" t="s">
        <v>9584</v>
      </c>
    </row>
    <row r="9993" spans="1:35" x14ac:dyDescent="0.3">
      <c r="A9993" s="160">
        <v>73090</v>
      </c>
      <c r="B9993" t="s">
        <v>24996</v>
      </c>
      <c r="C9993" t="s">
        <v>9513</v>
      </c>
      <c r="D9993">
        <v>1.75</v>
      </c>
      <c r="E9993">
        <v>0</v>
      </c>
      <c r="F9993">
        <f t="shared" si="168"/>
        <v>1.75</v>
      </c>
      <c r="I9993">
        <v>20240101</v>
      </c>
      <c r="J9993" t="s">
        <v>9582</v>
      </c>
    </row>
    <row r="9994" spans="1:35" x14ac:dyDescent="0.3">
      <c r="A9994" s="160">
        <v>73091</v>
      </c>
      <c r="B9994" t="s">
        <v>24997</v>
      </c>
      <c r="C9994" t="s">
        <v>9515</v>
      </c>
      <c r="D9994">
        <v>0.8</v>
      </c>
      <c r="E9994">
        <v>0</v>
      </c>
      <c r="F9994">
        <f t="shared" si="168"/>
        <v>0.8</v>
      </c>
      <c r="I9994">
        <v>20230101</v>
      </c>
      <c r="J9994" t="s">
        <v>9581</v>
      </c>
    </row>
    <row r="9995" spans="1:35" x14ac:dyDescent="0.3">
      <c r="A9995" s="160">
        <v>73097</v>
      </c>
      <c r="B9995" t="s">
        <v>24998</v>
      </c>
      <c r="C9995" t="s">
        <v>9513</v>
      </c>
      <c r="D9995">
        <v>1.75</v>
      </c>
      <c r="E9995">
        <v>0</v>
      </c>
      <c r="F9995">
        <f t="shared" si="168"/>
        <v>1.75</v>
      </c>
      <c r="I9995">
        <v>20140101</v>
      </c>
      <c r="J9995" t="s">
        <v>9562</v>
      </c>
    </row>
    <row r="9996" spans="1:35" x14ac:dyDescent="0.3">
      <c r="A9996" s="160">
        <v>73098</v>
      </c>
      <c r="B9996" t="s">
        <v>24999</v>
      </c>
      <c r="C9996" t="s">
        <v>9513</v>
      </c>
      <c r="D9996">
        <v>1.75</v>
      </c>
      <c r="E9996">
        <v>0</v>
      </c>
      <c r="F9996">
        <f t="shared" si="168"/>
        <v>1.75</v>
      </c>
      <c r="I9996">
        <v>20140101</v>
      </c>
      <c r="J9996" t="s">
        <v>9532</v>
      </c>
    </row>
    <row r="9997" spans="1:35" x14ac:dyDescent="0.3">
      <c r="A9997" s="160">
        <v>73101</v>
      </c>
      <c r="B9997" t="s">
        <v>25000</v>
      </c>
      <c r="C9997" t="s">
        <v>9513</v>
      </c>
      <c r="D9997">
        <v>1.75</v>
      </c>
      <c r="E9997">
        <v>0</v>
      </c>
      <c r="F9997">
        <f t="shared" si="168"/>
        <v>1.75</v>
      </c>
      <c r="I9997">
        <v>20240101</v>
      </c>
      <c r="J9997" t="s">
        <v>9582</v>
      </c>
    </row>
    <row r="9998" spans="1:35" x14ac:dyDescent="0.3">
      <c r="A9998" s="160">
        <v>73103</v>
      </c>
      <c r="B9998" t="s">
        <v>25001</v>
      </c>
      <c r="C9998" t="s">
        <v>9515</v>
      </c>
      <c r="D9998">
        <v>0.8</v>
      </c>
      <c r="E9998">
        <v>0</v>
      </c>
      <c r="F9998">
        <f t="shared" si="168"/>
        <v>0.8</v>
      </c>
      <c r="I9998">
        <v>20220101</v>
      </c>
      <c r="J9998" t="s">
        <v>9519</v>
      </c>
      <c r="K9998" t="s">
        <v>9584</v>
      </c>
      <c r="L9998" t="s">
        <v>9585</v>
      </c>
    </row>
    <row r="9999" spans="1:35" x14ac:dyDescent="0.3">
      <c r="A9999" s="160">
        <v>73106</v>
      </c>
      <c r="B9999" t="s">
        <v>25002</v>
      </c>
      <c r="C9999" t="s">
        <v>9513</v>
      </c>
      <c r="D9999">
        <v>1.75</v>
      </c>
      <c r="E9999">
        <v>0</v>
      </c>
      <c r="F9999">
        <f t="shared" si="168"/>
        <v>1.75</v>
      </c>
      <c r="I9999">
        <v>20240101</v>
      </c>
      <c r="J9999" t="s">
        <v>9582</v>
      </c>
    </row>
    <row r="10000" spans="1:35" x14ac:dyDescent="0.3">
      <c r="A10000" s="160">
        <v>73128</v>
      </c>
      <c r="B10000" t="s">
        <v>25003</v>
      </c>
      <c r="C10000" t="s">
        <v>9515</v>
      </c>
      <c r="D10000">
        <v>0.8</v>
      </c>
      <c r="E10000">
        <v>0</v>
      </c>
      <c r="F10000">
        <f t="shared" si="168"/>
        <v>0.8</v>
      </c>
      <c r="I10000">
        <v>20220101</v>
      </c>
      <c r="J10000" t="s">
        <v>9516</v>
      </c>
      <c r="K10000" t="s">
        <v>9517</v>
      </c>
      <c r="L10000" t="s">
        <v>9518</v>
      </c>
      <c r="M10000" t="s">
        <v>9524</v>
      </c>
    </row>
    <row r="10001" spans="1:14" x14ac:dyDescent="0.3">
      <c r="A10001" s="160">
        <v>73137</v>
      </c>
      <c r="B10001" t="s">
        <v>25004</v>
      </c>
      <c r="C10001" t="s">
        <v>9513</v>
      </c>
      <c r="D10001">
        <v>1.75</v>
      </c>
      <c r="E10001">
        <v>0</v>
      </c>
      <c r="F10001">
        <f t="shared" si="168"/>
        <v>1.75</v>
      </c>
      <c r="I10001">
        <v>20140101</v>
      </c>
      <c r="J10001" t="s">
        <v>9526</v>
      </c>
      <c r="K10001" t="s">
        <v>9528</v>
      </c>
      <c r="L10001" t="s">
        <v>9529</v>
      </c>
    </row>
    <row r="10002" spans="1:14" x14ac:dyDescent="0.3">
      <c r="A10002" s="160">
        <v>73139</v>
      </c>
      <c r="B10002" t="s">
        <v>25005</v>
      </c>
      <c r="C10002" t="s">
        <v>9513</v>
      </c>
      <c r="D10002">
        <v>1.75</v>
      </c>
      <c r="E10002">
        <v>0</v>
      </c>
      <c r="F10002">
        <f t="shared" si="168"/>
        <v>1.75</v>
      </c>
      <c r="I10002">
        <v>20240101</v>
      </c>
      <c r="J10002" t="s">
        <v>9582</v>
      </c>
    </row>
    <row r="10003" spans="1:14" x14ac:dyDescent="0.3">
      <c r="A10003" s="160">
        <v>73146</v>
      </c>
      <c r="B10003" t="s">
        <v>25006</v>
      </c>
      <c r="C10003" t="s">
        <v>9513</v>
      </c>
      <c r="D10003">
        <v>1.75</v>
      </c>
      <c r="E10003">
        <v>0</v>
      </c>
      <c r="F10003">
        <f t="shared" si="168"/>
        <v>1.75</v>
      </c>
      <c r="I10003">
        <v>20240101</v>
      </c>
      <c r="J10003" t="s">
        <v>9514</v>
      </c>
    </row>
    <row r="10004" spans="1:14" x14ac:dyDescent="0.3">
      <c r="A10004" s="160">
        <v>73155</v>
      </c>
      <c r="B10004" t="s">
        <v>25007</v>
      </c>
      <c r="C10004" t="s">
        <v>9515</v>
      </c>
      <c r="D10004">
        <v>0.8</v>
      </c>
      <c r="E10004">
        <v>0</v>
      </c>
      <c r="F10004">
        <f t="shared" si="168"/>
        <v>0.8</v>
      </c>
      <c r="I10004">
        <v>20220101</v>
      </c>
      <c r="J10004" t="s">
        <v>9585</v>
      </c>
    </row>
    <row r="10005" spans="1:14" x14ac:dyDescent="0.3">
      <c r="A10005" s="160">
        <v>73160</v>
      </c>
      <c r="B10005" t="s">
        <v>25008</v>
      </c>
      <c r="C10005" t="s">
        <v>9513</v>
      </c>
      <c r="D10005">
        <v>1.75</v>
      </c>
      <c r="E10005">
        <v>0</v>
      </c>
      <c r="F10005">
        <f t="shared" si="168"/>
        <v>1.75</v>
      </c>
      <c r="I10005">
        <v>20140101</v>
      </c>
      <c r="J10005" t="s">
        <v>9526</v>
      </c>
      <c r="K10005" t="s">
        <v>9567</v>
      </c>
      <c r="L10005" t="s">
        <v>9536</v>
      </c>
    </row>
    <row r="10006" spans="1:14" x14ac:dyDescent="0.3">
      <c r="A10006" s="160">
        <v>73164</v>
      </c>
      <c r="B10006" t="s">
        <v>25009</v>
      </c>
      <c r="C10006" t="s">
        <v>9515</v>
      </c>
      <c r="D10006">
        <v>0.8</v>
      </c>
      <c r="E10006">
        <v>0</v>
      </c>
      <c r="F10006">
        <f t="shared" si="168"/>
        <v>0.8</v>
      </c>
      <c r="I10006">
        <v>20220101</v>
      </c>
      <c r="J10006" t="s">
        <v>9516</v>
      </c>
    </row>
    <row r="10007" spans="1:14" x14ac:dyDescent="0.3">
      <c r="A10007" s="160">
        <v>73178</v>
      </c>
      <c r="B10007" t="s">
        <v>25010</v>
      </c>
      <c r="C10007" t="s">
        <v>9513</v>
      </c>
      <c r="D10007">
        <v>1.75</v>
      </c>
      <c r="E10007">
        <v>0</v>
      </c>
      <c r="F10007">
        <f t="shared" si="168"/>
        <v>1.75</v>
      </c>
      <c r="I10007">
        <v>20240101</v>
      </c>
      <c r="J10007" t="s">
        <v>9514</v>
      </c>
    </row>
    <row r="10008" spans="1:14" x14ac:dyDescent="0.3">
      <c r="A10008" s="160">
        <v>73179</v>
      </c>
      <c r="B10008" t="s">
        <v>25011</v>
      </c>
      <c r="C10008" t="s">
        <v>9513</v>
      </c>
      <c r="D10008">
        <v>1.75</v>
      </c>
      <c r="E10008">
        <v>0</v>
      </c>
      <c r="F10008">
        <f t="shared" si="168"/>
        <v>1.75</v>
      </c>
      <c r="I10008">
        <v>20140101</v>
      </c>
      <c r="J10008" t="s">
        <v>9586</v>
      </c>
      <c r="K10008" t="s">
        <v>9587</v>
      </c>
      <c r="L10008" t="s">
        <v>9588</v>
      </c>
      <c r="M10008" t="s">
        <v>9584</v>
      </c>
    </row>
    <row r="10009" spans="1:14" x14ac:dyDescent="0.3">
      <c r="A10009" s="160">
        <v>73180</v>
      </c>
      <c r="B10009" t="s">
        <v>25012</v>
      </c>
      <c r="C10009" t="s">
        <v>9515</v>
      </c>
      <c r="D10009">
        <v>0.8</v>
      </c>
      <c r="E10009">
        <v>0</v>
      </c>
      <c r="F10009">
        <f t="shared" si="168"/>
        <v>0.8</v>
      </c>
      <c r="I10009">
        <v>20230101</v>
      </c>
      <c r="J10009" t="s">
        <v>9581</v>
      </c>
    </row>
    <row r="10010" spans="1:14" x14ac:dyDescent="0.3">
      <c r="A10010" s="160">
        <v>73182</v>
      </c>
      <c r="B10010" t="s">
        <v>25013</v>
      </c>
      <c r="C10010" t="s">
        <v>9515</v>
      </c>
      <c r="D10010">
        <v>0.8</v>
      </c>
      <c r="E10010">
        <v>0</v>
      </c>
      <c r="F10010">
        <f t="shared" si="168"/>
        <v>0.8</v>
      </c>
      <c r="I10010">
        <v>20220101</v>
      </c>
      <c r="J10010" t="s">
        <v>9516</v>
      </c>
      <c r="K10010" t="s">
        <v>9518</v>
      </c>
      <c r="L10010" t="s">
        <v>9523</v>
      </c>
      <c r="M10010" t="s">
        <v>9524</v>
      </c>
    </row>
    <row r="10011" spans="1:14" x14ac:dyDescent="0.3">
      <c r="A10011" s="160">
        <v>73192</v>
      </c>
      <c r="B10011" t="s">
        <v>25014</v>
      </c>
      <c r="C10011" t="s">
        <v>9513</v>
      </c>
      <c r="D10011">
        <v>1.75</v>
      </c>
      <c r="E10011">
        <v>0</v>
      </c>
      <c r="F10011">
        <f t="shared" si="168"/>
        <v>1.75</v>
      </c>
      <c r="I10011">
        <v>20240101</v>
      </c>
      <c r="J10011" t="s">
        <v>9514</v>
      </c>
    </row>
    <row r="10012" spans="1:14" x14ac:dyDescent="0.3">
      <c r="A10012" s="160">
        <v>73193</v>
      </c>
      <c r="B10012" t="s">
        <v>25015</v>
      </c>
      <c r="C10012" t="s">
        <v>9515</v>
      </c>
      <c r="D10012">
        <v>0.8</v>
      </c>
      <c r="E10012">
        <v>0</v>
      </c>
      <c r="F10012">
        <f t="shared" si="168"/>
        <v>0.8</v>
      </c>
      <c r="I10012">
        <v>20220101</v>
      </c>
      <c r="J10012" t="s">
        <v>9581</v>
      </c>
    </row>
    <row r="10013" spans="1:14" x14ac:dyDescent="0.3">
      <c r="A10013" s="160">
        <v>73208</v>
      </c>
      <c r="B10013" t="s">
        <v>25016</v>
      </c>
      <c r="C10013" t="s">
        <v>9515</v>
      </c>
      <c r="D10013">
        <v>0.8</v>
      </c>
      <c r="E10013">
        <v>0</v>
      </c>
      <c r="F10013">
        <f t="shared" si="168"/>
        <v>0.8</v>
      </c>
      <c r="I10013">
        <v>20220101</v>
      </c>
      <c r="J10013" t="s">
        <v>9516</v>
      </c>
      <c r="K10013" t="s">
        <v>9518</v>
      </c>
    </row>
    <row r="10014" spans="1:14" x14ac:dyDescent="0.3">
      <c r="A10014" s="160">
        <v>73210</v>
      </c>
      <c r="B10014" t="s">
        <v>25017</v>
      </c>
      <c r="C10014" t="s">
        <v>9513</v>
      </c>
      <c r="D10014">
        <v>1.75</v>
      </c>
      <c r="E10014">
        <v>0</v>
      </c>
      <c r="F10014">
        <f t="shared" si="168"/>
        <v>1.75</v>
      </c>
      <c r="I10014">
        <v>20140101</v>
      </c>
      <c r="J10014" t="s">
        <v>9562</v>
      </c>
    </row>
    <row r="10015" spans="1:14" x14ac:dyDescent="0.3">
      <c r="A10015" s="160">
        <v>73213</v>
      </c>
      <c r="B10015" t="s">
        <v>25018</v>
      </c>
      <c r="C10015" t="s">
        <v>9513</v>
      </c>
      <c r="D10015">
        <v>1.75</v>
      </c>
      <c r="E10015">
        <v>0</v>
      </c>
      <c r="F10015">
        <f t="shared" si="168"/>
        <v>1.75</v>
      </c>
      <c r="I10015">
        <v>20140101</v>
      </c>
      <c r="J10015" t="s">
        <v>9589</v>
      </c>
      <c r="K10015" t="s">
        <v>9590</v>
      </c>
      <c r="L10015" t="s">
        <v>9591</v>
      </c>
      <c r="M10015" t="s">
        <v>9592</v>
      </c>
      <c r="N10015" t="s">
        <v>9593</v>
      </c>
    </row>
    <row r="10016" spans="1:14" x14ac:dyDescent="0.3">
      <c r="A10016" s="160">
        <v>73218</v>
      </c>
      <c r="B10016" t="s">
        <v>25019</v>
      </c>
      <c r="C10016" t="s">
        <v>9515</v>
      </c>
      <c r="D10016">
        <v>0.8</v>
      </c>
      <c r="E10016">
        <v>0</v>
      </c>
      <c r="F10016">
        <f t="shared" si="168"/>
        <v>0.8</v>
      </c>
      <c r="I10016">
        <v>20230101</v>
      </c>
      <c r="J10016" t="s">
        <v>9581</v>
      </c>
    </row>
    <row r="10017" spans="1:14" x14ac:dyDescent="0.3">
      <c r="A10017" s="160">
        <v>73222</v>
      </c>
      <c r="B10017" t="s">
        <v>25020</v>
      </c>
      <c r="C10017" t="s">
        <v>9513</v>
      </c>
      <c r="D10017">
        <v>1.75</v>
      </c>
      <c r="E10017">
        <v>0</v>
      </c>
      <c r="F10017">
        <f t="shared" si="168"/>
        <v>1.75</v>
      </c>
      <c r="I10017">
        <v>20140101</v>
      </c>
      <c r="J10017" t="s">
        <v>9532</v>
      </c>
      <c r="K10017" t="s">
        <v>9594</v>
      </c>
      <c r="L10017" t="s">
        <v>9533</v>
      </c>
      <c r="M10017" t="s">
        <v>9535</v>
      </c>
      <c r="N10017" t="s">
        <v>9590</v>
      </c>
    </row>
    <row r="10018" spans="1:14" x14ac:dyDescent="0.3">
      <c r="A10018" s="160">
        <v>73225</v>
      </c>
      <c r="B10018" t="s">
        <v>25021</v>
      </c>
      <c r="C10018" t="s">
        <v>9513</v>
      </c>
      <c r="D10018">
        <v>1.75</v>
      </c>
      <c r="E10018">
        <v>0</v>
      </c>
      <c r="F10018">
        <f t="shared" si="168"/>
        <v>1.75</v>
      </c>
      <c r="I10018">
        <v>20140101</v>
      </c>
      <c r="J10018" t="s">
        <v>9562</v>
      </c>
    </row>
    <row r="10019" spans="1:14" x14ac:dyDescent="0.3">
      <c r="A10019" s="160">
        <v>73228</v>
      </c>
      <c r="B10019" t="s">
        <v>25022</v>
      </c>
      <c r="C10019" t="s">
        <v>9513</v>
      </c>
      <c r="D10019">
        <v>1.75</v>
      </c>
      <c r="E10019">
        <v>0</v>
      </c>
      <c r="F10019">
        <f t="shared" si="168"/>
        <v>1.75</v>
      </c>
      <c r="I10019">
        <v>20140101</v>
      </c>
      <c r="J10019" t="s">
        <v>9583</v>
      </c>
    </row>
    <row r="10020" spans="1:14" x14ac:dyDescent="0.3">
      <c r="A10020" s="160">
        <v>73234</v>
      </c>
      <c r="B10020" t="s">
        <v>25023</v>
      </c>
      <c r="C10020" t="s">
        <v>9513</v>
      </c>
      <c r="D10020">
        <v>1.75</v>
      </c>
      <c r="E10020">
        <v>0</v>
      </c>
      <c r="F10020">
        <f t="shared" si="168"/>
        <v>1.75</v>
      </c>
      <c r="I10020">
        <v>20240101</v>
      </c>
      <c r="J10020" t="s">
        <v>9514</v>
      </c>
    </row>
    <row r="10021" spans="1:14" x14ac:dyDescent="0.3">
      <c r="A10021" s="160">
        <v>73243</v>
      </c>
      <c r="B10021" t="s">
        <v>25024</v>
      </c>
      <c r="C10021" t="s">
        <v>9513</v>
      </c>
      <c r="D10021">
        <v>1.75</v>
      </c>
      <c r="E10021">
        <v>0</v>
      </c>
      <c r="F10021">
        <f t="shared" si="168"/>
        <v>1.75</v>
      </c>
      <c r="I10021">
        <v>20140101</v>
      </c>
      <c r="J10021" t="s">
        <v>9532</v>
      </c>
      <c r="K10021" t="s">
        <v>9533</v>
      </c>
    </row>
    <row r="10022" spans="1:14" x14ac:dyDescent="0.3">
      <c r="A10022" s="160">
        <v>73249</v>
      </c>
      <c r="B10022" t="s">
        <v>25025</v>
      </c>
      <c r="C10022" t="s">
        <v>9513</v>
      </c>
      <c r="D10022">
        <v>1.75</v>
      </c>
      <c r="E10022">
        <v>0</v>
      </c>
      <c r="F10022">
        <f t="shared" si="168"/>
        <v>1.75</v>
      </c>
      <c r="I10022">
        <v>20140101</v>
      </c>
      <c r="J10022" t="s">
        <v>9539</v>
      </c>
      <c r="K10022" t="s">
        <v>9562</v>
      </c>
      <c r="L10022" t="s">
        <v>9564</v>
      </c>
    </row>
    <row r="10023" spans="1:14" x14ac:dyDescent="0.3">
      <c r="A10023" s="160">
        <v>73263</v>
      </c>
      <c r="B10023" t="s">
        <v>25026</v>
      </c>
      <c r="C10023" t="s">
        <v>9515</v>
      </c>
      <c r="D10023">
        <v>0.8</v>
      </c>
      <c r="E10023">
        <v>0</v>
      </c>
      <c r="F10023">
        <f t="shared" si="168"/>
        <v>0.8</v>
      </c>
      <c r="I10023">
        <v>20220101</v>
      </c>
      <c r="J10023" t="s">
        <v>9516</v>
      </c>
      <c r="K10023" t="s">
        <v>9523</v>
      </c>
    </row>
    <row r="10024" spans="1:14" x14ac:dyDescent="0.3">
      <c r="A10024" s="160">
        <v>73265</v>
      </c>
      <c r="B10024" t="s">
        <v>23815</v>
      </c>
      <c r="C10024" t="s">
        <v>9515</v>
      </c>
      <c r="D10024">
        <v>0.8</v>
      </c>
      <c r="E10024">
        <v>0</v>
      </c>
      <c r="F10024">
        <f t="shared" si="168"/>
        <v>0.8</v>
      </c>
      <c r="I10024">
        <v>20230101</v>
      </c>
      <c r="J10024" t="s">
        <v>9525</v>
      </c>
    </row>
    <row r="10025" spans="1:14" x14ac:dyDescent="0.3">
      <c r="A10025" s="160">
        <v>73273</v>
      </c>
      <c r="B10025" t="s">
        <v>25027</v>
      </c>
      <c r="C10025" t="s">
        <v>9515</v>
      </c>
      <c r="D10025">
        <v>0.8</v>
      </c>
      <c r="E10025">
        <v>0</v>
      </c>
      <c r="F10025">
        <f t="shared" si="168"/>
        <v>0.8</v>
      </c>
      <c r="I10025">
        <v>20230101</v>
      </c>
      <c r="J10025" t="s">
        <v>9581</v>
      </c>
    </row>
    <row r="10026" spans="1:14" x14ac:dyDescent="0.3">
      <c r="A10026" s="160">
        <v>73277</v>
      </c>
      <c r="B10026" t="s">
        <v>25028</v>
      </c>
      <c r="C10026" t="s">
        <v>9513</v>
      </c>
      <c r="D10026">
        <v>1.75</v>
      </c>
      <c r="E10026">
        <v>0</v>
      </c>
      <c r="F10026">
        <f t="shared" si="168"/>
        <v>1.75</v>
      </c>
      <c r="I10026">
        <v>20240101</v>
      </c>
      <c r="J10026" t="s">
        <v>9582</v>
      </c>
    </row>
    <row r="10027" spans="1:14" x14ac:dyDescent="0.3">
      <c r="A10027" s="160">
        <v>73281</v>
      </c>
      <c r="B10027" t="s">
        <v>15276</v>
      </c>
      <c r="C10027" t="s">
        <v>9513</v>
      </c>
      <c r="D10027">
        <v>1.75</v>
      </c>
      <c r="E10027">
        <v>0</v>
      </c>
      <c r="F10027">
        <f t="shared" si="168"/>
        <v>1.75</v>
      </c>
      <c r="I10027">
        <v>20140101</v>
      </c>
      <c r="J10027" t="s">
        <v>9567</v>
      </c>
      <c r="K10027" t="s">
        <v>9583</v>
      </c>
    </row>
    <row r="10028" spans="1:14" x14ac:dyDescent="0.3">
      <c r="A10028" s="160">
        <v>73286</v>
      </c>
      <c r="B10028" t="s">
        <v>25029</v>
      </c>
      <c r="C10028" t="s">
        <v>9515</v>
      </c>
      <c r="D10028">
        <v>0.8</v>
      </c>
      <c r="E10028">
        <v>0</v>
      </c>
      <c r="F10028">
        <f t="shared" si="168"/>
        <v>0.8</v>
      </c>
      <c r="I10028">
        <v>20230101</v>
      </c>
      <c r="J10028" t="s">
        <v>9581</v>
      </c>
    </row>
    <row r="10029" spans="1:14" x14ac:dyDescent="0.3">
      <c r="A10029" s="160">
        <v>73288</v>
      </c>
      <c r="B10029" t="s">
        <v>25030</v>
      </c>
      <c r="C10029" t="s">
        <v>9513</v>
      </c>
      <c r="D10029">
        <v>1.75</v>
      </c>
      <c r="E10029">
        <v>0</v>
      </c>
      <c r="F10029">
        <f t="shared" si="168"/>
        <v>1.75</v>
      </c>
      <c r="I10029">
        <v>20140101</v>
      </c>
      <c r="J10029" t="s">
        <v>9526</v>
      </c>
      <c r="K10029" t="s">
        <v>9527</v>
      </c>
      <c r="L10029" t="s">
        <v>9568</v>
      </c>
      <c r="M10029" t="s">
        <v>9537</v>
      </c>
    </row>
    <row r="10030" spans="1:14" x14ac:dyDescent="0.3">
      <c r="A10030" s="160">
        <v>73293</v>
      </c>
      <c r="B10030" t="s">
        <v>25031</v>
      </c>
      <c r="C10030" t="s">
        <v>9513</v>
      </c>
      <c r="D10030">
        <v>1.75</v>
      </c>
      <c r="E10030">
        <v>0</v>
      </c>
      <c r="F10030">
        <f t="shared" si="168"/>
        <v>1.75</v>
      </c>
      <c r="I10030">
        <v>20140101</v>
      </c>
      <c r="J10030" t="s">
        <v>9532</v>
      </c>
    </row>
    <row r="10031" spans="1:14" x14ac:dyDescent="0.3">
      <c r="A10031" s="160">
        <v>73294</v>
      </c>
      <c r="B10031" t="s">
        <v>25032</v>
      </c>
      <c r="C10031" t="s">
        <v>9513</v>
      </c>
      <c r="D10031">
        <v>1.75</v>
      </c>
      <c r="E10031">
        <v>0</v>
      </c>
      <c r="F10031">
        <f t="shared" si="168"/>
        <v>1.75</v>
      </c>
      <c r="I10031">
        <v>20140101</v>
      </c>
      <c r="J10031" t="s">
        <v>9562</v>
      </c>
    </row>
    <row r="10032" spans="1:14" x14ac:dyDescent="0.3">
      <c r="A10032" s="160">
        <v>73300</v>
      </c>
      <c r="B10032" t="s">
        <v>25033</v>
      </c>
      <c r="C10032" t="s">
        <v>9515</v>
      </c>
      <c r="D10032">
        <v>0.8</v>
      </c>
      <c r="E10032">
        <v>0</v>
      </c>
      <c r="F10032">
        <f t="shared" si="168"/>
        <v>0.8</v>
      </c>
      <c r="I10032">
        <v>20220101</v>
      </c>
      <c r="J10032" t="s">
        <v>9516</v>
      </c>
      <c r="K10032" t="s">
        <v>9519</v>
      </c>
      <c r="L10032" t="s">
        <v>9521</v>
      </c>
      <c r="M10032" t="s">
        <v>9522</v>
      </c>
      <c r="N10032" t="s">
        <v>9523</v>
      </c>
    </row>
    <row r="10033" spans="1:52" x14ac:dyDescent="0.3">
      <c r="A10033" s="160">
        <v>73301</v>
      </c>
      <c r="B10033" t="s">
        <v>25034</v>
      </c>
      <c r="C10033" t="s">
        <v>9515</v>
      </c>
      <c r="D10033">
        <v>0.8</v>
      </c>
      <c r="E10033">
        <v>0</v>
      </c>
      <c r="F10033">
        <f t="shared" si="168"/>
        <v>0.8</v>
      </c>
      <c r="I10033">
        <v>20220101</v>
      </c>
      <c r="J10033" t="s">
        <v>9516</v>
      </c>
      <c r="K10033" t="s">
        <v>9520</v>
      </c>
    </row>
    <row r="10034" spans="1:52" x14ac:dyDescent="0.3">
      <c r="A10034" s="160">
        <v>73310</v>
      </c>
      <c r="B10034" t="s">
        <v>25035</v>
      </c>
      <c r="C10034" t="s">
        <v>9513</v>
      </c>
      <c r="D10034">
        <v>1.75</v>
      </c>
      <c r="E10034">
        <v>0</v>
      </c>
      <c r="F10034">
        <f t="shared" si="168"/>
        <v>1.75</v>
      </c>
      <c r="I10034">
        <v>20140101</v>
      </c>
      <c r="J10034" t="s">
        <v>9532</v>
      </c>
      <c r="K10034" t="s">
        <v>9533</v>
      </c>
    </row>
    <row r="10035" spans="1:52" x14ac:dyDescent="0.3">
      <c r="A10035" s="160">
        <v>73326</v>
      </c>
      <c r="B10035" t="s">
        <v>25036</v>
      </c>
      <c r="C10035" t="s">
        <v>9513</v>
      </c>
      <c r="D10035">
        <v>1.75</v>
      </c>
      <c r="E10035">
        <v>0</v>
      </c>
      <c r="F10035">
        <f t="shared" si="168"/>
        <v>1.75</v>
      </c>
      <c r="I10035">
        <v>20140101</v>
      </c>
      <c r="J10035" t="s">
        <v>9536</v>
      </c>
      <c r="K10035" t="s">
        <v>9583</v>
      </c>
    </row>
    <row r="10036" spans="1:52" x14ac:dyDescent="0.3">
      <c r="A10036" s="160">
        <v>73327</v>
      </c>
      <c r="B10036" t="s">
        <v>25037</v>
      </c>
      <c r="C10036" t="s">
        <v>9515</v>
      </c>
      <c r="D10036">
        <v>0.8</v>
      </c>
      <c r="E10036">
        <v>0</v>
      </c>
      <c r="F10036">
        <f t="shared" si="168"/>
        <v>0.8</v>
      </c>
      <c r="I10036">
        <v>20230101</v>
      </c>
      <c r="J10036" t="s">
        <v>9581</v>
      </c>
    </row>
    <row r="10037" spans="1:52" x14ac:dyDescent="0.3">
      <c r="A10037" s="160">
        <v>73328</v>
      </c>
      <c r="B10037" t="s">
        <v>25038</v>
      </c>
      <c r="C10037" t="s">
        <v>9515</v>
      </c>
      <c r="D10037">
        <v>0.8</v>
      </c>
      <c r="E10037">
        <v>0</v>
      </c>
      <c r="F10037">
        <f t="shared" si="168"/>
        <v>0.8</v>
      </c>
      <c r="I10037">
        <v>20220101</v>
      </c>
      <c r="J10037" t="s">
        <v>9585</v>
      </c>
    </row>
    <row r="10038" spans="1:52" x14ac:dyDescent="0.3">
      <c r="A10038" s="160">
        <v>73329</v>
      </c>
      <c r="B10038" t="s">
        <v>25039</v>
      </c>
      <c r="C10038" t="s">
        <v>9515</v>
      </c>
      <c r="D10038">
        <v>0.8</v>
      </c>
      <c r="E10038">
        <v>0</v>
      </c>
      <c r="F10038">
        <f t="shared" si="168"/>
        <v>0.8</v>
      </c>
      <c r="I10038">
        <v>20220101</v>
      </c>
      <c r="J10038" t="s">
        <v>9537</v>
      </c>
      <c r="K10038" t="s">
        <v>9580</v>
      </c>
      <c r="L10038" t="s">
        <v>9587</v>
      </c>
      <c r="M10038" t="s">
        <v>9588</v>
      </c>
      <c r="N10038" t="s">
        <v>9584</v>
      </c>
      <c r="O10038" t="s">
        <v>9585</v>
      </c>
    </row>
    <row r="10039" spans="1:52" x14ac:dyDescent="0.3">
      <c r="A10039" s="160">
        <v>74001</v>
      </c>
      <c r="B10039" t="s">
        <v>25040</v>
      </c>
      <c r="C10039" t="s">
        <v>9595</v>
      </c>
      <c r="D10039">
        <v>0.8</v>
      </c>
      <c r="E10039">
        <v>0</v>
      </c>
      <c r="F10039">
        <f t="shared" si="168"/>
        <v>0.8</v>
      </c>
      <c r="I10039">
        <v>20250101</v>
      </c>
      <c r="J10039" t="s">
        <v>9596</v>
      </c>
    </row>
    <row r="10040" spans="1:52" x14ac:dyDescent="0.3">
      <c r="A10040" s="160">
        <v>74002</v>
      </c>
      <c r="B10040" t="s">
        <v>25041</v>
      </c>
      <c r="C10040" t="s">
        <v>9597</v>
      </c>
      <c r="D10040">
        <v>1.6</v>
      </c>
      <c r="E10040">
        <v>0</v>
      </c>
      <c r="F10040">
        <f t="shared" si="168"/>
        <v>1.6</v>
      </c>
      <c r="I10040">
        <v>20250101</v>
      </c>
      <c r="J10040" t="s">
        <v>9598</v>
      </c>
    </row>
    <row r="10041" spans="1:52" x14ac:dyDescent="0.3">
      <c r="A10041" s="160">
        <v>74004</v>
      </c>
      <c r="B10041" t="s">
        <v>25042</v>
      </c>
      <c r="C10041" t="s">
        <v>9597</v>
      </c>
      <c r="D10041">
        <v>1.6</v>
      </c>
      <c r="E10041">
        <v>0</v>
      </c>
      <c r="F10041">
        <f t="shared" si="168"/>
        <v>1.6</v>
      </c>
      <c r="I10041">
        <v>20250101</v>
      </c>
      <c r="J10041" t="s">
        <v>9598</v>
      </c>
    </row>
    <row r="10042" spans="1:52" x14ac:dyDescent="0.3">
      <c r="A10042" s="160">
        <v>74005</v>
      </c>
      <c r="B10042" t="s">
        <v>25043</v>
      </c>
      <c r="C10042" t="s">
        <v>9599</v>
      </c>
      <c r="D10042">
        <v>0.5</v>
      </c>
      <c r="E10042">
        <v>0</v>
      </c>
      <c r="F10042">
        <f t="shared" si="168"/>
        <v>0.5</v>
      </c>
      <c r="I10042">
        <v>19910101</v>
      </c>
      <c r="J10042" t="s">
        <v>9600</v>
      </c>
      <c r="K10042" t="s">
        <v>9601</v>
      </c>
      <c r="L10042" t="s">
        <v>9602</v>
      </c>
    </row>
    <row r="10043" spans="1:52" x14ac:dyDescent="0.3">
      <c r="A10043" s="160">
        <v>74007</v>
      </c>
      <c r="B10043" t="s">
        <v>25044</v>
      </c>
      <c r="C10043" t="s">
        <v>25045</v>
      </c>
      <c r="D10043">
        <v>0.45</v>
      </c>
      <c r="E10043">
        <v>0</v>
      </c>
      <c r="F10043">
        <f t="shared" si="168"/>
        <v>0.45</v>
      </c>
      <c r="I10043">
        <v>20230101</v>
      </c>
      <c r="J10043" t="s">
        <v>9603</v>
      </c>
      <c r="K10043" t="s">
        <v>9604</v>
      </c>
      <c r="L10043" t="s">
        <v>9605</v>
      </c>
      <c r="M10043" t="s">
        <v>9606</v>
      </c>
      <c r="N10043" t="s">
        <v>9607</v>
      </c>
      <c r="O10043" t="s">
        <v>9608</v>
      </c>
    </row>
    <row r="10044" spans="1:52" x14ac:dyDescent="0.3">
      <c r="A10044" s="160">
        <v>74008</v>
      </c>
      <c r="B10044" t="s">
        <v>25046</v>
      </c>
      <c r="C10044" t="s">
        <v>9609</v>
      </c>
      <c r="D10044">
        <v>1.1000000000000001</v>
      </c>
      <c r="E10044">
        <v>0</v>
      </c>
      <c r="F10044">
        <f t="shared" si="168"/>
        <v>1.1000000000000001</v>
      </c>
      <c r="I10044">
        <v>20120101</v>
      </c>
      <c r="J10044" t="s">
        <v>9610</v>
      </c>
      <c r="K10044" t="s">
        <v>9611</v>
      </c>
      <c r="L10044" t="s">
        <v>9612</v>
      </c>
    </row>
    <row r="10045" spans="1:52" x14ac:dyDescent="0.3">
      <c r="A10045" s="160">
        <v>74010</v>
      </c>
      <c r="B10045" t="s">
        <v>25047</v>
      </c>
      <c r="C10045" t="s">
        <v>9597</v>
      </c>
      <c r="D10045">
        <v>1.6</v>
      </c>
      <c r="E10045">
        <v>0</v>
      </c>
      <c r="F10045">
        <f t="shared" si="168"/>
        <v>1.6</v>
      </c>
      <c r="I10045">
        <v>20250101</v>
      </c>
      <c r="J10045" t="s">
        <v>9613</v>
      </c>
      <c r="K10045" t="s">
        <v>9614</v>
      </c>
      <c r="L10045" t="s">
        <v>9615</v>
      </c>
      <c r="M10045" t="s">
        <v>9616</v>
      </c>
      <c r="N10045" t="s">
        <v>9617</v>
      </c>
      <c r="O10045" t="s">
        <v>9618</v>
      </c>
      <c r="P10045" t="s">
        <v>9619</v>
      </c>
      <c r="Q10045" t="s">
        <v>9620</v>
      </c>
      <c r="R10045" t="s">
        <v>9621</v>
      </c>
      <c r="S10045" t="s">
        <v>9622</v>
      </c>
      <c r="T10045" t="s">
        <v>9623</v>
      </c>
      <c r="U10045" t="s">
        <v>9624</v>
      </c>
      <c r="V10045" t="s">
        <v>9625</v>
      </c>
      <c r="W10045" t="s">
        <v>9626</v>
      </c>
      <c r="X10045" t="s">
        <v>9627</v>
      </c>
      <c r="Y10045" t="s">
        <v>9628</v>
      </c>
      <c r="Z10045" t="s">
        <v>9629</v>
      </c>
      <c r="AA10045" t="s">
        <v>9630</v>
      </c>
      <c r="AB10045" t="s">
        <v>9631</v>
      </c>
      <c r="AC10045" t="s">
        <v>9632</v>
      </c>
      <c r="AD10045" t="s">
        <v>9633</v>
      </c>
      <c r="AE10045" t="s">
        <v>9634</v>
      </c>
      <c r="AF10045" t="s">
        <v>9635</v>
      </c>
      <c r="AG10045" t="s">
        <v>9636</v>
      </c>
      <c r="AH10045" t="s">
        <v>9637</v>
      </c>
      <c r="AI10045" t="s">
        <v>9638</v>
      </c>
      <c r="AJ10045" t="s">
        <v>9639</v>
      </c>
      <c r="AK10045" t="s">
        <v>9670</v>
      </c>
      <c r="AL10045" t="s">
        <v>9715</v>
      </c>
      <c r="AM10045" t="s">
        <v>9653</v>
      </c>
      <c r="AN10045" t="s">
        <v>9640</v>
      </c>
      <c r="AO10045" t="s">
        <v>9641</v>
      </c>
      <c r="AP10045" t="s">
        <v>9642</v>
      </c>
      <c r="AQ10045" t="s">
        <v>9643</v>
      </c>
      <c r="AR10045" t="s">
        <v>9644</v>
      </c>
      <c r="AS10045" t="s">
        <v>9645</v>
      </c>
      <c r="AT10045" t="s">
        <v>9646</v>
      </c>
      <c r="AU10045" t="s">
        <v>9647</v>
      </c>
      <c r="AV10045" t="s">
        <v>9648</v>
      </c>
      <c r="AW10045" t="s">
        <v>9649</v>
      </c>
      <c r="AX10045" t="s">
        <v>9650</v>
      </c>
      <c r="AY10045" t="s">
        <v>9651</v>
      </c>
      <c r="AZ10045" t="s">
        <v>9652</v>
      </c>
    </row>
    <row r="10046" spans="1:52" x14ac:dyDescent="0.3">
      <c r="A10046" s="160">
        <v>74011</v>
      </c>
      <c r="B10046" t="s">
        <v>25047</v>
      </c>
      <c r="C10046" t="s">
        <v>9597</v>
      </c>
      <c r="D10046">
        <v>1.6</v>
      </c>
      <c r="E10046">
        <v>0</v>
      </c>
      <c r="F10046">
        <f t="shared" si="168"/>
        <v>1.6</v>
      </c>
      <c r="I10046">
        <v>20250101</v>
      </c>
      <c r="J10046" t="s">
        <v>9653</v>
      </c>
      <c r="K10046" t="s">
        <v>9654</v>
      </c>
      <c r="L10046" t="s">
        <v>9655</v>
      </c>
      <c r="M10046" t="s">
        <v>9656</v>
      </c>
      <c r="N10046" t="s">
        <v>9657</v>
      </c>
      <c r="O10046" t="s">
        <v>9658</v>
      </c>
    </row>
    <row r="10047" spans="1:52" x14ac:dyDescent="0.3">
      <c r="A10047" s="160">
        <v>74012</v>
      </c>
      <c r="B10047" t="s">
        <v>25048</v>
      </c>
      <c r="C10047" t="s">
        <v>9609</v>
      </c>
      <c r="D10047">
        <v>1.1000000000000001</v>
      </c>
      <c r="E10047">
        <v>0</v>
      </c>
      <c r="F10047">
        <f t="shared" si="168"/>
        <v>1.1000000000000001</v>
      </c>
      <c r="I10047">
        <v>20120101</v>
      </c>
      <c r="J10047" t="s">
        <v>9610</v>
      </c>
      <c r="K10047" t="s">
        <v>9659</v>
      </c>
      <c r="L10047" t="s">
        <v>9660</v>
      </c>
      <c r="M10047" t="s">
        <v>9661</v>
      </c>
      <c r="N10047" t="s">
        <v>9662</v>
      </c>
      <c r="O10047" t="s">
        <v>9663</v>
      </c>
      <c r="P10047" t="s">
        <v>9611</v>
      </c>
      <c r="Q10047" t="s">
        <v>9664</v>
      </c>
      <c r="R10047" t="s">
        <v>9665</v>
      </c>
    </row>
    <row r="10048" spans="1:52" x14ac:dyDescent="0.3">
      <c r="A10048" s="160">
        <v>74013</v>
      </c>
      <c r="B10048" t="s">
        <v>25049</v>
      </c>
      <c r="C10048" t="s">
        <v>9599</v>
      </c>
      <c r="D10048">
        <v>0.5</v>
      </c>
      <c r="E10048">
        <v>0</v>
      </c>
      <c r="F10048">
        <f t="shared" si="168"/>
        <v>0.5</v>
      </c>
      <c r="I10048">
        <v>19910101</v>
      </c>
      <c r="J10048" t="s">
        <v>9600</v>
      </c>
      <c r="K10048" t="s">
        <v>9666</v>
      </c>
      <c r="L10048" t="s">
        <v>9601</v>
      </c>
      <c r="M10048" t="s">
        <v>9667</v>
      </c>
      <c r="N10048" t="s">
        <v>9602</v>
      </c>
      <c r="O10048" t="s">
        <v>9668</v>
      </c>
    </row>
    <row r="10049" spans="1:17" x14ac:dyDescent="0.3">
      <c r="A10049" s="160">
        <v>74015</v>
      </c>
      <c r="B10049" t="s">
        <v>25050</v>
      </c>
      <c r="C10049" t="s">
        <v>25045</v>
      </c>
      <c r="D10049">
        <v>0.45</v>
      </c>
      <c r="E10049">
        <v>0</v>
      </c>
      <c r="F10049">
        <f t="shared" si="168"/>
        <v>0.45</v>
      </c>
      <c r="I10049">
        <v>20230101</v>
      </c>
      <c r="J10049" t="s">
        <v>9669</v>
      </c>
    </row>
    <row r="10050" spans="1:17" x14ac:dyDescent="0.3">
      <c r="A10050" s="160">
        <v>74016</v>
      </c>
      <c r="B10050" t="s">
        <v>25051</v>
      </c>
      <c r="C10050" t="s">
        <v>25052</v>
      </c>
      <c r="D10050">
        <v>0.75</v>
      </c>
      <c r="E10050">
        <v>0</v>
      </c>
      <c r="F10050">
        <f t="shared" si="168"/>
        <v>0.75</v>
      </c>
      <c r="I10050">
        <v>20240101</v>
      </c>
      <c r="J10050" t="s">
        <v>25053</v>
      </c>
      <c r="K10050" t="s">
        <v>25054</v>
      </c>
      <c r="L10050" t="s">
        <v>25055</v>
      </c>
      <c r="M10050" t="s">
        <v>25056</v>
      </c>
      <c r="N10050" t="s">
        <v>25057</v>
      </c>
      <c r="O10050" t="s">
        <v>25058</v>
      </c>
      <c r="P10050" t="s">
        <v>25059</v>
      </c>
    </row>
    <row r="10051" spans="1:17" x14ac:dyDescent="0.3">
      <c r="A10051" s="160">
        <v>74018</v>
      </c>
      <c r="B10051" t="s">
        <v>25060</v>
      </c>
      <c r="C10051" t="s">
        <v>25045</v>
      </c>
      <c r="D10051">
        <v>0.45</v>
      </c>
      <c r="E10051">
        <v>0</v>
      </c>
      <c r="F10051">
        <f t="shared" si="168"/>
        <v>0.45</v>
      </c>
      <c r="I10051">
        <v>20230101</v>
      </c>
      <c r="J10051" t="s">
        <v>9603</v>
      </c>
      <c r="K10051" t="s">
        <v>9604</v>
      </c>
    </row>
    <row r="10052" spans="1:17" x14ac:dyDescent="0.3">
      <c r="A10052" s="160">
        <v>74019</v>
      </c>
      <c r="B10052" t="s">
        <v>25061</v>
      </c>
      <c r="C10052" t="s">
        <v>9597</v>
      </c>
      <c r="D10052">
        <v>1.6</v>
      </c>
      <c r="E10052">
        <v>0</v>
      </c>
      <c r="F10052">
        <f t="shared" si="168"/>
        <v>1.6</v>
      </c>
      <c r="I10052">
        <v>20250101</v>
      </c>
      <c r="J10052" t="s">
        <v>9670</v>
      </c>
      <c r="K10052" t="s">
        <v>9671</v>
      </c>
      <c r="L10052" t="s">
        <v>9672</v>
      </c>
      <c r="M10052" t="s">
        <v>9673</v>
      </c>
    </row>
    <row r="10053" spans="1:17" x14ac:dyDescent="0.3">
      <c r="A10053" s="160">
        <v>74020</v>
      </c>
      <c r="B10053" t="s">
        <v>25062</v>
      </c>
      <c r="C10053" t="s">
        <v>9599</v>
      </c>
      <c r="D10053">
        <v>0.5</v>
      </c>
      <c r="E10053">
        <v>0</v>
      </c>
      <c r="F10053">
        <f t="shared" si="168"/>
        <v>0.5</v>
      </c>
      <c r="I10053">
        <v>20210101</v>
      </c>
      <c r="J10053" t="s">
        <v>9600</v>
      </c>
      <c r="K10053" t="s">
        <v>9666</v>
      </c>
      <c r="L10053" t="s">
        <v>9668</v>
      </c>
    </row>
    <row r="10054" spans="1:17" x14ac:dyDescent="0.3">
      <c r="A10054" s="160">
        <v>74021</v>
      </c>
      <c r="B10054" t="s">
        <v>25063</v>
      </c>
      <c r="C10054" t="s">
        <v>25045</v>
      </c>
      <c r="D10054">
        <v>0.45</v>
      </c>
      <c r="E10054">
        <v>0</v>
      </c>
      <c r="F10054">
        <f t="shared" si="168"/>
        <v>0.45</v>
      </c>
      <c r="I10054">
        <v>20230101</v>
      </c>
      <c r="J10054" t="s">
        <v>9674</v>
      </c>
    </row>
    <row r="10055" spans="1:17" x14ac:dyDescent="0.3">
      <c r="A10055" s="160">
        <v>74022</v>
      </c>
      <c r="B10055" t="s">
        <v>25063</v>
      </c>
      <c r="C10055" t="s">
        <v>9597</v>
      </c>
      <c r="D10055">
        <v>1.6</v>
      </c>
      <c r="E10055">
        <v>0</v>
      </c>
      <c r="F10055">
        <f t="shared" ref="F10055:F10118" si="169">D10055+E10055</f>
        <v>1.6</v>
      </c>
      <c r="I10055">
        <v>20250101</v>
      </c>
      <c r="J10055" t="s">
        <v>9675</v>
      </c>
    </row>
    <row r="10056" spans="1:17" x14ac:dyDescent="0.3">
      <c r="A10056" s="160">
        <v>74024</v>
      </c>
      <c r="B10056" t="s">
        <v>25064</v>
      </c>
      <c r="C10056" t="s">
        <v>25045</v>
      </c>
      <c r="D10056">
        <v>0.45</v>
      </c>
      <c r="E10056">
        <v>0</v>
      </c>
      <c r="F10056">
        <f t="shared" si="169"/>
        <v>0.45</v>
      </c>
      <c r="I10056">
        <v>20230101</v>
      </c>
      <c r="J10056" t="s">
        <v>9676</v>
      </c>
      <c r="K10056" t="s">
        <v>9677</v>
      </c>
      <c r="L10056" t="s">
        <v>9678</v>
      </c>
      <c r="M10056" t="s">
        <v>9679</v>
      </c>
    </row>
    <row r="10057" spans="1:17" x14ac:dyDescent="0.3">
      <c r="A10057" s="160">
        <v>74025</v>
      </c>
      <c r="B10057" t="s">
        <v>25065</v>
      </c>
      <c r="C10057" t="s">
        <v>9599</v>
      </c>
      <c r="D10057">
        <v>0.5</v>
      </c>
      <c r="E10057">
        <v>0</v>
      </c>
      <c r="F10057">
        <f t="shared" si="169"/>
        <v>0.5</v>
      </c>
      <c r="I10057">
        <v>20210101</v>
      </c>
      <c r="J10057" t="s">
        <v>9680</v>
      </c>
    </row>
    <row r="10058" spans="1:17" x14ac:dyDescent="0.3">
      <c r="A10058" s="160">
        <v>74031</v>
      </c>
      <c r="B10058" t="s">
        <v>16862</v>
      </c>
      <c r="C10058" t="s">
        <v>25052</v>
      </c>
      <c r="D10058">
        <v>0.75</v>
      </c>
      <c r="E10058">
        <v>0</v>
      </c>
      <c r="F10058">
        <f t="shared" si="169"/>
        <v>0.75</v>
      </c>
      <c r="I10058">
        <v>20240101</v>
      </c>
      <c r="J10058" t="s">
        <v>25053</v>
      </c>
      <c r="K10058" t="s">
        <v>25056</v>
      </c>
    </row>
    <row r="10059" spans="1:17" x14ac:dyDescent="0.3">
      <c r="A10059" s="160">
        <v>74033</v>
      </c>
      <c r="B10059" t="s">
        <v>25066</v>
      </c>
      <c r="C10059" t="s">
        <v>9595</v>
      </c>
      <c r="D10059">
        <v>0.8</v>
      </c>
      <c r="E10059">
        <v>0</v>
      </c>
      <c r="F10059">
        <f t="shared" si="169"/>
        <v>0.8</v>
      </c>
      <c r="I10059">
        <v>20250101</v>
      </c>
      <c r="J10059" t="s">
        <v>9681</v>
      </c>
    </row>
    <row r="10060" spans="1:17" x14ac:dyDescent="0.3">
      <c r="A10060" s="160">
        <v>74035</v>
      </c>
      <c r="B10060" t="s">
        <v>25067</v>
      </c>
      <c r="C10060" t="s">
        <v>9682</v>
      </c>
      <c r="D10060">
        <v>0.5</v>
      </c>
      <c r="E10060">
        <v>0</v>
      </c>
      <c r="F10060">
        <f t="shared" si="169"/>
        <v>0.5</v>
      </c>
      <c r="I10060">
        <v>20240701</v>
      </c>
      <c r="J10060" t="s">
        <v>9683</v>
      </c>
    </row>
    <row r="10061" spans="1:17" x14ac:dyDescent="0.3">
      <c r="A10061" s="160">
        <v>74036</v>
      </c>
      <c r="B10061" t="s">
        <v>25068</v>
      </c>
      <c r="C10061" t="s">
        <v>9597</v>
      </c>
      <c r="D10061">
        <v>1.6</v>
      </c>
      <c r="E10061">
        <v>0</v>
      </c>
      <c r="F10061">
        <f t="shared" si="169"/>
        <v>1.6</v>
      </c>
      <c r="I10061">
        <v>20250101</v>
      </c>
      <c r="J10061" t="s">
        <v>9684</v>
      </c>
    </row>
    <row r="10062" spans="1:17" x14ac:dyDescent="0.3">
      <c r="A10062" s="160">
        <v>74040</v>
      </c>
      <c r="B10062" t="s">
        <v>25069</v>
      </c>
      <c r="C10062" t="s">
        <v>9609</v>
      </c>
      <c r="D10062">
        <v>1.1000000000000001</v>
      </c>
      <c r="E10062">
        <v>0</v>
      </c>
      <c r="F10062">
        <f t="shared" si="169"/>
        <v>1.1000000000000001</v>
      </c>
      <c r="I10062">
        <v>20120101</v>
      </c>
      <c r="J10062" t="s">
        <v>9674</v>
      </c>
    </row>
    <row r="10063" spans="1:17" x14ac:dyDescent="0.3">
      <c r="A10063" s="160">
        <v>74041</v>
      </c>
      <c r="B10063" t="s">
        <v>18286</v>
      </c>
      <c r="C10063" t="s">
        <v>9595</v>
      </c>
      <c r="D10063">
        <v>0.8</v>
      </c>
      <c r="E10063">
        <v>0</v>
      </c>
      <c r="F10063">
        <f t="shared" si="169"/>
        <v>0.8</v>
      </c>
      <c r="I10063">
        <v>20250101</v>
      </c>
      <c r="J10063" t="s">
        <v>9596</v>
      </c>
    </row>
    <row r="10064" spans="1:17" x14ac:dyDescent="0.3">
      <c r="A10064" s="160">
        <v>74042</v>
      </c>
      <c r="B10064" t="s">
        <v>25070</v>
      </c>
      <c r="C10064" t="s">
        <v>25045</v>
      </c>
      <c r="D10064">
        <v>0.45</v>
      </c>
      <c r="E10064">
        <v>0</v>
      </c>
      <c r="F10064">
        <f t="shared" si="169"/>
        <v>0.45</v>
      </c>
      <c r="I10064">
        <v>20230101</v>
      </c>
      <c r="J10064" t="s">
        <v>9676</v>
      </c>
      <c r="K10064" t="s">
        <v>9677</v>
      </c>
      <c r="L10064" t="s">
        <v>9678</v>
      </c>
      <c r="M10064" t="s">
        <v>9685</v>
      </c>
      <c r="N10064" t="s">
        <v>9679</v>
      </c>
      <c r="O10064" t="s">
        <v>9686</v>
      </c>
      <c r="P10064" t="s">
        <v>9687</v>
      </c>
      <c r="Q10064" t="s">
        <v>9688</v>
      </c>
    </row>
    <row r="10065" spans="1:11" x14ac:dyDescent="0.3">
      <c r="A10065" s="160">
        <v>74043</v>
      </c>
      <c r="B10065" t="s">
        <v>25071</v>
      </c>
      <c r="C10065" t="s">
        <v>9599</v>
      </c>
      <c r="D10065">
        <v>0.5</v>
      </c>
      <c r="E10065">
        <v>0</v>
      </c>
      <c r="F10065">
        <f t="shared" si="169"/>
        <v>0.5</v>
      </c>
      <c r="I10065">
        <v>20210101</v>
      </c>
      <c r="J10065" t="s">
        <v>9689</v>
      </c>
    </row>
    <row r="10066" spans="1:11" x14ac:dyDescent="0.3">
      <c r="A10066" s="160">
        <v>74044</v>
      </c>
      <c r="B10066" t="s">
        <v>25072</v>
      </c>
      <c r="C10066" t="s">
        <v>25052</v>
      </c>
      <c r="D10066">
        <v>0.75</v>
      </c>
      <c r="E10066">
        <v>0</v>
      </c>
      <c r="F10066">
        <f t="shared" si="169"/>
        <v>0.75</v>
      </c>
      <c r="I10066">
        <v>20240101</v>
      </c>
      <c r="J10066" t="s">
        <v>25053</v>
      </c>
    </row>
    <row r="10067" spans="1:11" x14ac:dyDescent="0.3">
      <c r="A10067" s="160">
        <v>74046</v>
      </c>
      <c r="B10067" t="s">
        <v>25073</v>
      </c>
      <c r="C10067" t="s">
        <v>9682</v>
      </c>
      <c r="D10067">
        <v>0.5</v>
      </c>
      <c r="E10067">
        <v>0</v>
      </c>
      <c r="F10067">
        <f t="shared" si="169"/>
        <v>0.5</v>
      </c>
      <c r="I10067">
        <v>20240701</v>
      </c>
      <c r="J10067" t="s">
        <v>9683</v>
      </c>
      <c r="K10067" t="s">
        <v>9690</v>
      </c>
    </row>
    <row r="10068" spans="1:11" x14ac:dyDescent="0.3">
      <c r="A10068" s="160">
        <v>74048</v>
      </c>
      <c r="B10068" t="s">
        <v>25074</v>
      </c>
      <c r="C10068" t="s">
        <v>9599</v>
      </c>
      <c r="D10068">
        <v>0.5</v>
      </c>
      <c r="E10068">
        <v>0</v>
      </c>
      <c r="F10068">
        <f t="shared" si="169"/>
        <v>0.5</v>
      </c>
      <c r="I10068">
        <v>20210101</v>
      </c>
      <c r="J10068" t="s">
        <v>9689</v>
      </c>
    </row>
    <row r="10069" spans="1:11" x14ac:dyDescent="0.3">
      <c r="A10069" s="160">
        <v>74049</v>
      </c>
      <c r="B10069" t="s">
        <v>25075</v>
      </c>
      <c r="C10069" t="s">
        <v>25045</v>
      </c>
      <c r="D10069">
        <v>0.45</v>
      </c>
      <c r="E10069">
        <v>0</v>
      </c>
      <c r="F10069">
        <f t="shared" si="169"/>
        <v>0.45</v>
      </c>
      <c r="I10069">
        <v>20230101</v>
      </c>
      <c r="J10069" t="s">
        <v>9676</v>
      </c>
    </row>
    <row r="10070" spans="1:11" x14ac:dyDescent="0.3">
      <c r="A10070" s="160">
        <v>74053</v>
      </c>
      <c r="B10070" t="s">
        <v>25076</v>
      </c>
      <c r="C10070" t="s">
        <v>9599</v>
      </c>
      <c r="D10070">
        <v>0.5</v>
      </c>
      <c r="E10070">
        <v>0</v>
      </c>
      <c r="F10070">
        <f t="shared" si="169"/>
        <v>0.5</v>
      </c>
      <c r="I10070">
        <v>20210101</v>
      </c>
      <c r="J10070" t="s">
        <v>9691</v>
      </c>
    </row>
    <row r="10071" spans="1:11" x14ac:dyDescent="0.3">
      <c r="A10071" s="160">
        <v>74054</v>
      </c>
      <c r="B10071" t="s">
        <v>25077</v>
      </c>
      <c r="C10071" t="s">
        <v>9597</v>
      </c>
      <c r="D10071">
        <v>1.6</v>
      </c>
      <c r="E10071">
        <v>0</v>
      </c>
      <c r="F10071">
        <f t="shared" si="169"/>
        <v>1.6</v>
      </c>
      <c r="I10071">
        <v>20250101</v>
      </c>
      <c r="J10071" t="s">
        <v>9598</v>
      </c>
      <c r="K10071" t="s">
        <v>9646</v>
      </c>
    </row>
    <row r="10072" spans="1:11" x14ac:dyDescent="0.3">
      <c r="A10072" s="160">
        <v>74057</v>
      </c>
      <c r="B10072" t="s">
        <v>25078</v>
      </c>
      <c r="C10072" t="s">
        <v>9595</v>
      </c>
      <c r="D10072">
        <v>0.8</v>
      </c>
      <c r="E10072">
        <v>0</v>
      </c>
      <c r="F10072">
        <f t="shared" si="169"/>
        <v>0.8</v>
      </c>
      <c r="I10072">
        <v>20250101</v>
      </c>
      <c r="J10072" t="s">
        <v>9681</v>
      </c>
      <c r="K10072" t="s">
        <v>9692</v>
      </c>
    </row>
    <row r="10073" spans="1:11" x14ac:dyDescent="0.3">
      <c r="A10073" s="160">
        <v>74058</v>
      </c>
      <c r="B10073" t="s">
        <v>25079</v>
      </c>
      <c r="C10073" t="s">
        <v>9595</v>
      </c>
      <c r="D10073">
        <v>0.8</v>
      </c>
      <c r="E10073">
        <v>0</v>
      </c>
      <c r="F10073">
        <f t="shared" si="169"/>
        <v>0.8</v>
      </c>
      <c r="I10073">
        <v>20250101</v>
      </c>
      <c r="J10073" t="s">
        <v>9596</v>
      </c>
    </row>
    <row r="10074" spans="1:11" x14ac:dyDescent="0.3">
      <c r="A10074" s="160">
        <v>74059</v>
      </c>
      <c r="B10074" t="s">
        <v>25080</v>
      </c>
      <c r="C10074" t="s">
        <v>25045</v>
      </c>
      <c r="D10074">
        <v>0.45</v>
      </c>
      <c r="E10074">
        <v>0</v>
      </c>
      <c r="F10074">
        <f t="shared" si="169"/>
        <v>0.45</v>
      </c>
      <c r="I10074">
        <v>20230101</v>
      </c>
      <c r="J10074" t="s">
        <v>9603</v>
      </c>
    </row>
    <row r="10075" spans="1:11" x14ac:dyDescent="0.3">
      <c r="A10075" s="160">
        <v>74060</v>
      </c>
      <c r="B10075" t="s">
        <v>25081</v>
      </c>
      <c r="C10075" t="s">
        <v>9597</v>
      </c>
      <c r="D10075">
        <v>1.6</v>
      </c>
      <c r="E10075">
        <v>0</v>
      </c>
      <c r="F10075">
        <f t="shared" si="169"/>
        <v>1.6</v>
      </c>
      <c r="I10075">
        <v>20250101</v>
      </c>
      <c r="J10075" t="s">
        <v>9693</v>
      </c>
    </row>
    <row r="10076" spans="1:11" x14ac:dyDescent="0.3">
      <c r="A10076" s="160">
        <v>74061</v>
      </c>
      <c r="B10076" t="s">
        <v>25082</v>
      </c>
      <c r="C10076" t="s">
        <v>9597</v>
      </c>
      <c r="D10076">
        <v>1.6</v>
      </c>
      <c r="E10076">
        <v>0</v>
      </c>
      <c r="F10076">
        <f t="shared" si="169"/>
        <v>1.6</v>
      </c>
      <c r="I10076">
        <v>20250101</v>
      </c>
      <c r="J10076" t="s">
        <v>9598</v>
      </c>
    </row>
    <row r="10077" spans="1:11" x14ac:dyDescent="0.3">
      <c r="A10077" s="160">
        <v>74062</v>
      </c>
      <c r="B10077" t="s">
        <v>25083</v>
      </c>
      <c r="C10077" t="s">
        <v>9597</v>
      </c>
      <c r="D10077">
        <v>1.6</v>
      </c>
      <c r="E10077">
        <v>0</v>
      </c>
      <c r="F10077">
        <f t="shared" si="169"/>
        <v>1.6</v>
      </c>
      <c r="I10077">
        <v>20250101</v>
      </c>
      <c r="J10077" t="s">
        <v>9670</v>
      </c>
    </row>
    <row r="10078" spans="1:11" x14ac:dyDescent="0.3">
      <c r="A10078" s="160">
        <v>74063</v>
      </c>
      <c r="B10078" t="s">
        <v>25084</v>
      </c>
      <c r="C10078" t="s">
        <v>9595</v>
      </c>
      <c r="D10078">
        <v>0.8</v>
      </c>
      <c r="E10078">
        <v>0</v>
      </c>
      <c r="F10078">
        <f t="shared" si="169"/>
        <v>0.8</v>
      </c>
      <c r="I10078">
        <v>20250101</v>
      </c>
      <c r="J10078" t="s">
        <v>9694</v>
      </c>
    </row>
    <row r="10079" spans="1:11" x14ac:dyDescent="0.3">
      <c r="A10079" s="160">
        <v>74067</v>
      </c>
      <c r="B10079" t="s">
        <v>25085</v>
      </c>
      <c r="C10079" t="s">
        <v>9597</v>
      </c>
      <c r="D10079">
        <v>1.6</v>
      </c>
      <c r="E10079">
        <v>0</v>
      </c>
      <c r="F10079">
        <f t="shared" si="169"/>
        <v>1.6</v>
      </c>
      <c r="I10079">
        <v>20250101</v>
      </c>
      <c r="J10079" t="s">
        <v>9695</v>
      </c>
    </row>
    <row r="10080" spans="1:11" x14ac:dyDescent="0.3">
      <c r="A10080" s="160">
        <v>74069</v>
      </c>
      <c r="B10080" t="s">
        <v>25086</v>
      </c>
      <c r="C10080" t="s">
        <v>25052</v>
      </c>
      <c r="D10080">
        <v>0.75</v>
      </c>
      <c r="E10080">
        <v>0</v>
      </c>
      <c r="F10080">
        <f t="shared" si="169"/>
        <v>0.75</v>
      </c>
      <c r="I10080">
        <v>20240101</v>
      </c>
      <c r="J10080" t="s">
        <v>25087</v>
      </c>
    </row>
    <row r="10081" spans="1:12" x14ac:dyDescent="0.3">
      <c r="A10081" s="160">
        <v>74070</v>
      </c>
      <c r="B10081" t="s">
        <v>25088</v>
      </c>
      <c r="C10081" t="s">
        <v>9599</v>
      </c>
      <c r="D10081">
        <v>0.5</v>
      </c>
      <c r="E10081">
        <v>0</v>
      </c>
      <c r="F10081">
        <f t="shared" si="169"/>
        <v>0.5</v>
      </c>
      <c r="I10081">
        <v>20210101</v>
      </c>
      <c r="J10081" t="s">
        <v>9680</v>
      </c>
    </row>
    <row r="10082" spans="1:12" x14ac:dyDescent="0.3">
      <c r="A10082" s="160">
        <v>74073</v>
      </c>
      <c r="B10082" t="s">
        <v>25089</v>
      </c>
      <c r="C10082" t="s">
        <v>9595</v>
      </c>
      <c r="D10082">
        <v>0.8</v>
      </c>
      <c r="E10082">
        <v>0</v>
      </c>
      <c r="F10082">
        <f t="shared" si="169"/>
        <v>0.8</v>
      </c>
      <c r="I10082">
        <v>20250101</v>
      </c>
      <c r="J10082" t="s">
        <v>9681</v>
      </c>
    </row>
    <row r="10083" spans="1:12" x14ac:dyDescent="0.3">
      <c r="A10083" s="160">
        <v>74074</v>
      </c>
      <c r="B10083" t="s">
        <v>25090</v>
      </c>
      <c r="C10083" t="s">
        <v>25052</v>
      </c>
      <c r="D10083">
        <v>0.75</v>
      </c>
      <c r="E10083">
        <v>0</v>
      </c>
      <c r="F10083">
        <f t="shared" si="169"/>
        <v>0.75</v>
      </c>
      <c r="I10083">
        <v>20240101</v>
      </c>
      <c r="J10083" t="s">
        <v>25087</v>
      </c>
    </row>
    <row r="10084" spans="1:12" x14ac:dyDescent="0.3">
      <c r="A10084" s="160">
        <v>74082</v>
      </c>
      <c r="B10084" t="s">
        <v>25091</v>
      </c>
      <c r="C10084" t="s">
        <v>25052</v>
      </c>
      <c r="D10084">
        <v>0.75</v>
      </c>
      <c r="E10084">
        <v>0</v>
      </c>
      <c r="F10084">
        <f t="shared" si="169"/>
        <v>0.75</v>
      </c>
      <c r="I10084">
        <v>20240101</v>
      </c>
      <c r="J10084" t="s">
        <v>25053</v>
      </c>
      <c r="K10084" t="s">
        <v>25054</v>
      </c>
      <c r="L10084" t="s">
        <v>25058</v>
      </c>
    </row>
    <row r="10085" spans="1:12" x14ac:dyDescent="0.3">
      <c r="A10085" s="160">
        <v>74087</v>
      </c>
      <c r="B10085" t="s">
        <v>25092</v>
      </c>
      <c r="C10085" t="s">
        <v>25045</v>
      </c>
      <c r="D10085">
        <v>0.45</v>
      </c>
      <c r="E10085">
        <v>0</v>
      </c>
      <c r="F10085">
        <f t="shared" si="169"/>
        <v>0.45</v>
      </c>
      <c r="I10085">
        <v>20230101</v>
      </c>
      <c r="J10085" t="s">
        <v>9676</v>
      </c>
      <c r="K10085" t="s">
        <v>9679</v>
      </c>
    </row>
    <row r="10086" spans="1:12" x14ac:dyDescent="0.3">
      <c r="A10086" s="160">
        <v>74090</v>
      </c>
      <c r="B10086" t="s">
        <v>25093</v>
      </c>
      <c r="C10086" t="s">
        <v>25045</v>
      </c>
      <c r="D10086">
        <v>0.45</v>
      </c>
      <c r="E10086">
        <v>0</v>
      </c>
      <c r="F10086">
        <f t="shared" si="169"/>
        <v>0.45</v>
      </c>
      <c r="I10086">
        <v>20230101</v>
      </c>
      <c r="J10086" t="s">
        <v>9603</v>
      </c>
    </row>
    <row r="10087" spans="1:12" x14ac:dyDescent="0.3">
      <c r="A10087" s="160">
        <v>74093</v>
      </c>
      <c r="B10087" t="s">
        <v>25094</v>
      </c>
      <c r="C10087" t="s">
        <v>9597</v>
      </c>
      <c r="D10087">
        <v>1.6</v>
      </c>
      <c r="E10087">
        <v>0</v>
      </c>
      <c r="F10087">
        <f t="shared" si="169"/>
        <v>1.6</v>
      </c>
      <c r="I10087">
        <v>20250101</v>
      </c>
      <c r="J10087" t="s">
        <v>9696</v>
      </c>
      <c r="K10087" t="s">
        <v>9697</v>
      </c>
      <c r="L10087" t="s">
        <v>9698</v>
      </c>
    </row>
    <row r="10088" spans="1:12" x14ac:dyDescent="0.3">
      <c r="A10088" s="160">
        <v>74094</v>
      </c>
      <c r="B10088" t="s">
        <v>25095</v>
      </c>
      <c r="C10088" t="s">
        <v>9609</v>
      </c>
      <c r="D10088">
        <v>1.1000000000000001</v>
      </c>
      <c r="E10088">
        <v>0</v>
      </c>
      <c r="F10088">
        <f t="shared" si="169"/>
        <v>1.1000000000000001</v>
      </c>
      <c r="I10088">
        <v>20120101</v>
      </c>
      <c r="J10088" t="s">
        <v>9674</v>
      </c>
      <c r="K10088" t="s">
        <v>9699</v>
      </c>
    </row>
    <row r="10089" spans="1:12" x14ac:dyDescent="0.3">
      <c r="A10089" s="160">
        <v>74095</v>
      </c>
      <c r="B10089" t="s">
        <v>25096</v>
      </c>
      <c r="C10089" t="s">
        <v>9682</v>
      </c>
      <c r="D10089">
        <v>0.5</v>
      </c>
      <c r="E10089">
        <v>0</v>
      </c>
      <c r="F10089">
        <f t="shared" si="169"/>
        <v>0.5</v>
      </c>
      <c r="I10089">
        <v>20240701</v>
      </c>
      <c r="J10089" t="s">
        <v>9683</v>
      </c>
    </row>
    <row r="10090" spans="1:12" x14ac:dyDescent="0.3">
      <c r="A10090" s="160">
        <v>74097</v>
      </c>
      <c r="B10090" t="s">
        <v>25097</v>
      </c>
      <c r="C10090" t="s">
        <v>9597</v>
      </c>
      <c r="D10090">
        <v>1.6</v>
      </c>
      <c r="E10090">
        <v>0</v>
      </c>
      <c r="F10090">
        <f t="shared" si="169"/>
        <v>1.6</v>
      </c>
      <c r="I10090">
        <v>20250101</v>
      </c>
      <c r="J10090" t="s">
        <v>9598</v>
      </c>
    </row>
    <row r="10091" spans="1:12" x14ac:dyDescent="0.3">
      <c r="A10091" s="160">
        <v>74101</v>
      </c>
      <c r="B10091" t="s">
        <v>25098</v>
      </c>
      <c r="C10091" t="s">
        <v>25052</v>
      </c>
      <c r="D10091">
        <v>0.75</v>
      </c>
      <c r="E10091">
        <v>0</v>
      </c>
      <c r="F10091">
        <f t="shared" si="169"/>
        <v>0.75</v>
      </c>
      <c r="I10091">
        <v>20240101</v>
      </c>
      <c r="J10091" t="s">
        <v>25087</v>
      </c>
    </row>
    <row r="10092" spans="1:12" x14ac:dyDescent="0.3">
      <c r="A10092" s="160">
        <v>74105</v>
      </c>
      <c r="B10092" t="s">
        <v>25099</v>
      </c>
      <c r="C10092" t="s">
        <v>9599</v>
      </c>
      <c r="D10092">
        <v>0.5</v>
      </c>
      <c r="E10092">
        <v>0</v>
      </c>
      <c r="F10092">
        <f t="shared" si="169"/>
        <v>0.5</v>
      </c>
      <c r="I10092">
        <v>20210101</v>
      </c>
      <c r="J10092" t="s">
        <v>9680</v>
      </c>
    </row>
    <row r="10093" spans="1:12" x14ac:dyDescent="0.3">
      <c r="A10093" s="160">
        <v>74106</v>
      </c>
      <c r="B10093" t="s">
        <v>25100</v>
      </c>
      <c r="C10093" t="s">
        <v>9599</v>
      </c>
      <c r="D10093">
        <v>0.5</v>
      </c>
      <c r="E10093">
        <v>0</v>
      </c>
      <c r="F10093">
        <f t="shared" si="169"/>
        <v>0.5</v>
      </c>
      <c r="I10093">
        <v>20210101</v>
      </c>
      <c r="J10093" t="s">
        <v>9691</v>
      </c>
    </row>
    <row r="10094" spans="1:12" x14ac:dyDescent="0.3">
      <c r="A10094" s="160">
        <v>74108</v>
      </c>
      <c r="B10094" t="s">
        <v>25101</v>
      </c>
      <c r="C10094" t="s">
        <v>9597</v>
      </c>
      <c r="D10094">
        <v>1.6</v>
      </c>
      <c r="E10094">
        <v>0</v>
      </c>
      <c r="F10094">
        <f t="shared" si="169"/>
        <v>1.6</v>
      </c>
      <c r="I10094">
        <v>20250101</v>
      </c>
      <c r="J10094" t="s">
        <v>9693</v>
      </c>
    </row>
    <row r="10095" spans="1:12" x14ac:dyDescent="0.3">
      <c r="A10095" s="160">
        <v>74111</v>
      </c>
      <c r="B10095" t="s">
        <v>25102</v>
      </c>
      <c r="C10095" t="s">
        <v>9597</v>
      </c>
      <c r="D10095">
        <v>1.6</v>
      </c>
      <c r="E10095">
        <v>0</v>
      </c>
      <c r="F10095">
        <f t="shared" si="169"/>
        <v>1.6</v>
      </c>
      <c r="I10095">
        <v>20250101</v>
      </c>
      <c r="J10095" t="s">
        <v>9693</v>
      </c>
    </row>
    <row r="10096" spans="1:12" x14ac:dyDescent="0.3">
      <c r="A10096" s="160">
        <v>74112</v>
      </c>
      <c r="B10096" t="s">
        <v>25103</v>
      </c>
      <c r="C10096" t="s">
        <v>9597</v>
      </c>
      <c r="D10096">
        <v>1.6</v>
      </c>
      <c r="E10096">
        <v>0</v>
      </c>
      <c r="F10096">
        <f t="shared" si="169"/>
        <v>1.6</v>
      </c>
      <c r="I10096">
        <v>20250101</v>
      </c>
      <c r="J10096" t="s">
        <v>9700</v>
      </c>
      <c r="K10096" t="s">
        <v>9670</v>
      </c>
    </row>
    <row r="10097" spans="1:13" x14ac:dyDescent="0.3">
      <c r="A10097" s="160">
        <v>74116</v>
      </c>
      <c r="B10097" t="s">
        <v>25104</v>
      </c>
      <c r="C10097" t="s">
        <v>25045</v>
      </c>
      <c r="D10097">
        <v>0.45</v>
      </c>
      <c r="E10097">
        <v>0</v>
      </c>
      <c r="F10097">
        <f t="shared" si="169"/>
        <v>0.45</v>
      </c>
      <c r="I10097">
        <v>20230101</v>
      </c>
      <c r="J10097" t="s">
        <v>9603</v>
      </c>
      <c r="K10097" t="s">
        <v>9604</v>
      </c>
      <c r="L10097" t="s">
        <v>9606</v>
      </c>
      <c r="M10097" t="s">
        <v>9608</v>
      </c>
    </row>
    <row r="10098" spans="1:13" x14ac:dyDescent="0.3">
      <c r="A10098" s="160">
        <v>74117</v>
      </c>
      <c r="B10098" t="s">
        <v>25105</v>
      </c>
      <c r="C10098" t="s">
        <v>9682</v>
      </c>
      <c r="D10098">
        <v>0.5</v>
      </c>
      <c r="E10098">
        <v>0</v>
      </c>
      <c r="F10098">
        <f t="shared" si="169"/>
        <v>0.5</v>
      </c>
      <c r="I10098">
        <v>20240701</v>
      </c>
      <c r="J10098" t="s">
        <v>9683</v>
      </c>
    </row>
    <row r="10099" spans="1:13" x14ac:dyDescent="0.3">
      <c r="A10099" s="160">
        <v>74118</v>
      </c>
      <c r="B10099" t="s">
        <v>25106</v>
      </c>
      <c r="C10099" t="s">
        <v>9609</v>
      </c>
      <c r="D10099">
        <v>1.1000000000000001</v>
      </c>
      <c r="E10099">
        <v>0</v>
      </c>
      <c r="F10099">
        <f t="shared" si="169"/>
        <v>1.1000000000000001</v>
      </c>
      <c r="I10099">
        <v>20120101</v>
      </c>
      <c r="J10099" t="s">
        <v>9610</v>
      </c>
      <c r="K10099" t="s">
        <v>9663</v>
      </c>
      <c r="L10099" t="s">
        <v>9665</v>
      </c>
    </row>
    <row r="10100" spans="1:13" x14ac:dyDescent="0.3">
      <c r="A10100" s="160">
        <v>74119</v>
      </c>
      <c r="B10100" t="s">
        <v>25107</v>
      </c>
      <c r="C10100" t="s">
        <v>9595</v>
      </c>
      <c r="D10100">
        <v>0.8</v>
      </c>
      <c r="E10100">
        <v>0</v>
      </c>
      <c r="F10100">
        <f t="shared" si="169"/>
        <v>0.8</v>
      </c>
      <c r="I10100">
        <v>20240101</v>
      </c>
      <c r="J10100" t="s">
        <v>9681</v>
      </c>
      <c r="K10100" t="s">
        <v>9701</v>
      </c>
      <c r="L10100" t="s">
        <v>9692</v>
      </c>
      <c r="M10100" t="s">
        <v>9702</v>
      </c>
    </row>
    <row r="10101" spans="1:13" x14ac:dyDescent="0.3">
      <c r="A10101" s="160">
        <v>74120</v>
      </c>
      <c r="B10101" t="s">
        <v>25107</v>
      </c>
      <c r="C10101" t="s">
        <v>9597</v>
      </c>
      <c r="D10101">
        <v>1.6</v>
      </c>
      <c r="E10101">
        <v>0</v>
      </c>
      <c r="F10101">
        <f t="shared" si="169"/>
        <v>1.6</v>
      </c>
      <c r="I10101">
        <v>20250101</v>
      </c>
      <c r="J10101" t="s">
        <v>9675</v>
      </c>
    </row>
    <row r="10102" spans="1:13" x14ac:dyDescent="0.3">
      <c r="A10102" s="160">
        <v>74121</v>
      </c>
      <c r="B10102" t="s">
        <v>25108</v>
      </c>
      <c r="C10102" t="s">
        <v>9599</v>
      </c>
      <c r="D10102">
        <v>0.5</v>
      </c>
      <c r="E10102">
        <v>0</v>
      </c>
      <c r="F10102">
        <f t="shared" si="169"/>
        <v>0.5</v>
      </c>
      <c r="I10102">
        <v>20210101</v>
      </c>
      <c r="J10102" t="s">
        <v>9680</v>
      </c>
    </row>
    <row r="10103" spans="1:13" x14ac:dyDescent="0.3">
      <c r="A10103" s="160">
        <v>74122</v>
      </c>
      <c r="B10103" t="s">
        <v>25109</v>
      </c>
      <c r="C10103" t="s">
        <v>25045</v>
      </c>
      <c r="D10103">
        <v>0.45</v>
      </c>
      <c r="E10103">
        <v>0</v>
      </c>
      <c r="F10103">
        <f t="shared" si="169"/>
        <v>0.45</v>
      </c>
      <c r="I10103">
        <v>20230101</v>
      </c>
      <c r="J10103" t="s">
        <v>9676</v>
      </c>
    </row>
    <row r="10104" spans="1:13" x14ac:dyDescent="0.3">
      <c r="A10104" s="160">
        <v>74124</v>
      </c>
      <c r="B10104" t="s">
        <v>25110</v>
      </c>
      <c r="C10104" t="s">
        <v>25052</v>
      </c>
      <c r="D10104">
        <v>0.75</v>
      </c>
      <c r="E10104">
        <v>0</v>
      </c>
      <c r="F10104">
        <f t="shared" si="169"/>
        <v>0.75</v>
      </c>
      <c r="I10104">
        <v>20240101</v>
      </c>
      <c r="J10104" t="s">
        <v>25053</v>
      </c>
      <c r="K10104" t="s">
        <v>25054</v>
      </c>
      <c r="L10104" t="s">
        <v>25055</v>
      </c>
    </row>
    <row r="10105" spans="1:13" x14ac:dyDescent="0.3">
      <c r="A10105" s="160">
        <v>74126</v>
      </c>
      <c r="B10105" t="s">
        <v>25111</v>
      </c>
      <c r="C10105" t="s">
        <v>9599</v>
      </c>
      <c r="D10105">
        <v>0.5</v>
      </c>
      <c r="E10105">
        <v>0</v>
      </c>
      <c r="F10105">
        <f t="shared" si="169"/>
        <v>0.5</v>
      </c>
      <c r="I10105">
        <v>20210101</v>
      </c>
      <c r="J10105" t="s">
        <v>9689</v>
      </c>
    </row>
    <row r="10106" spans="1:13" x14ac:dyDescent="0.3">
      <c r="A10106" s="160">
        <v>74127</v>
      </c>
      <c r="B10106" t="s">
        <v>25112</v>
      </c>
      <c r="C10106" t="s">
        <v>9595</v>
      </c>
      <c r="D10106">
        <v>0.8</v>
      </c>
      <c r="E10106">
        <v>0</v>
      </c>
      <c r="F10106">
        <f t="shared" si="169"/>
        <v>0.8</v>
      </c>
      <c r="I10106">
        <v>20250101</v>
      </c>
      <c r="J10106" t="s">
        <v>9681</v>
      </c>
    </row>
    <row r="10107" spans="1:13" x14ac:dyDescent="0.3">
      <c r="A10107" s="160">
        <v>74128</v>
      </c>
      <c r="B10107" t="s">
        <v>25113</v>
      </c>
      <c r="C10107" t="s">
        <v>25045</v>
      </c>
      <c r="D10107">
        <v>0.45</v>
      </c>
      <c r="E10107">
        <v>0</v>
      </c>
      <c r="F10107">
        <f t="shared" si="169"/>
        <v>0.45</v>
      </c>
      <c r="I10107">
        <v>20230101</v>
      </c>
      <c r="J10107" t="s">
        <v>9703</v>
      </c>
    </row>
    <row r="10108" spans="1:13" x14ac:dyDescent="0.3">
      <c r="A10108" s="160">
        <v>74133</v>
      </c>
      <c r="B10108" t="s">
        <v>25114</v>
      </c>
      <c r="C10108" t="s">
        <v>9609</v>
      </c>
      <c r="D10108">
        <v>1.1000000000000001</v>
      </c>
      <c r="E10108">
        <v>0</v>
      </c>
      <c r="F10108">
        <f t="shared" si="169"/>
        <v>1.1000000000000001</v>
      </c>
      <c r="I10108">
        <v>20120101</v>
      </c>
      <c r="J10108" t="s">
        <v>9704</v>
      </c>
    </row>
    <row r="10109" spans="1:13" x14ac:dyDescent="0.3">
      <c r="A10109" s="160">
        <v>74137</v>
      </c>
      <c r="B10109" t="s">
        <v>25115</v>
      </c>
      <c r="C10109" t="s">
        <v>9597</v>
      </c>
      <c r="D10109">
        <v>1.6</v>
      </c>
      <c r="E10109">
        <v>0</v>
      </c>
      <c r="F10109">
        <f t="shared" si="169"/>
        <v>1.6</v>
      </c>
      <c r="I10109">
        <v>20250101</v>
      </c>
      <c r="J10109" t="s">
        <v>9675</v>
      </c>
    </row>
    <row r="10110" spans="1:13" x14ac:dyDescent="0.3">
      <c r="A10110" s="160">
        <v>74138</v>
      </c>
      <c r="B10110" t="s">
        <v>25116</v>
      </c>
      <c r="C10110" t="s">
        <v>9597</v>
      </c>
      <c r="D10110">
        <v>1.6</v>
      </c>
      <c r="E10110">
        <v>0</v>
      </c>
      <c r="F10110">
        <f t="shared" si="169"/>
        <v>1.6</v>
      </c>
      <c r="I10110">
        <v>20250101</v>
      </c>
      <c r="J10110" t="s">
        <v>9598</v>
      </c>
    </row>
    <row r="10111" spans="1:13" x14ac:dyDescent="0.3">
      <c r="A10111" s="160">
        <v>74141</v>
      </c>
      <c r="B10111" t="s">
        <v>25117</v>
      </c>
      <c r="C10111" t="s">
        <v>9682</v>
      </c>
      <c r="D10111">
        <v>0.5</v>
      </c>
      <c r="E10111">
        <v>0</v>
      </c>
      <c r="F10111">
        <f t="shared" si="169"/>
        <v>0.5</v>
      </c>
      <c r="I10111">
        <v>20240701</v>
      </c>
      <c r="J10111" t="s">
        <v>9683</v>
      </c>
    </row>
    <row r="10112" spans="1:13" x14ac:dyDescent="0.3">
      <c r="A10112" s="160">
        <v>74142</v>
      </c>
      <c r="B10112" t="s">
        <v>25118</v>
      </c>
      <c r="C10112" t="s">
        <v>9597</v>
      </c>
      <c r="D10112">
        <v>1.6</v>
      </c>
      <c r="E10112">
        <v>0</v>
      </c>
      <c r="F10112">
        <f t="shared" si="169"/>
        <v>1.6</v>
      </c>
      <c r="I10112">
        <v>20250101</v>
      </c>
      <c r="J10112" t="s">
        <v>9598</v>
      </c>
    </row>
    <row r="10113" spans="1:16" x14ac:dyDescent="0.3">
      <c r="A10113" s="160">
        <v>74144</v>
      </c>
      <c r="B10113" t="s">
        <v>25119</v>
      </c>
      <c r="C10113" t="s">
        <v>25052</v>
      </c>
      <c r="D10113">
        <v>0.75</v>
      </c>
      <c r="E10113">
        <v>0</v>
      </c>
      <c r="F10113">
        <f t="shared" si="169"/>
        <v>0.75</v>
      </c>
      <c r="I10113">
        <v>20240101</v>
      </c>
      <c r="J10113" t="s">
        <v>25087</v>
      </c>
    </row>
    <row r="10114" spans="1:16" x14ac:dyDescent="0.3">
      <c r="A10114" s="160">
        <v>74145</v>
      </c>
      <c r="B10114" t="s">
        <v>15491</v>
      </c>
      <c r="C10114" t="s">
        <v>9609</v>
      </c>
      <c r="D10114">
        <v>1.1000000000000001</v>
      </c>
      <c r="E10114">
        <v>0</v>
      </c>
      <c r="F10114">
        <f t="shared" si="169"/>
        <v>1.1000000000000001</v>
      </c>
      <c r="I10114">
        <v>20120101</v>
      </c>
      <c r="J10114" t="s">
        <v>9610</v>
      </c>
      <c r="K10114" t="s">
        <v>9662</v>
      </c>
      <c r="L10114" t="s">
        <v>9663</v>
      </c>
    </row>
    <row r="10115" spans="1:16" x14ac:dyDescent="0.3">
      <c r="A10115" s="160">
        <v>74146</v>
      </c>
      <c r="B10115" t="s">
        <v>25120</v>
      </c>
      <c r="C10115" t="s">
        <v>9595</v>
      </c>
      <c r="D10115">
        <v>0.8</v>
      </c>
      <c r="E10115">
        <v>0</v>
      </c>
      <c r="F10115">
        <f t="shared" si="169"/>
        <v>0.8</v>
      </c>
      <c r="I10115">
        <v>20250101</v>
      </c>
      <c r="J10115" t="s">
        <v>9681</v>
      </c>
      <c r="K10115" t="s">
        <v>9701</v>
      </c>
    </row>
    <row r="10116" spans="1:16" x14ac:dyDescent="0.3">
      <c r="A10116" s="160">
        <v>74148</v>
      </c>
      <c r="B10116" t="s">
        <v>25121</v>
      </c>
      <c r="C10116" t="s">
        <v>9597</v>
      </c>
      <c r="D10116">
        <v>1.6</v>
      </c>
      <c r="E10116">
        <v>0</v>
      </c>
      <c r="F10116">
        <f t="shared" si="169"/>
        <v>1.6</v>
      </c>
      <c r="I10116">
        <v>20250101</v>
      </c>
      <c r="J10116" t="s">
        <v>9705</v>
      </c>
    </row>
    <row r="10117" spans="1:16" x14ac:dyDescent="0.3">
      <c r="A10117" s="160">
        <v>74150</v>
      </c>
      <c r="B10117" t="s">
        <v>25122</v>
      </c>
      <c r="C10117" t="s">
        <v>9599</v>
      </c>
      <c r="D10117">
        <v>0.5</v>
      </c>
      <c r="E10117">
        <v>0</v>
      </c>
      <c r="F10117">
        <f t="shared" si="169"/>
        <v>0.5</v>
      </c>
      <c r="I10117">
        <v>20210101</v>
      </c>
      <c r="J10117" t="s">
        <v>9680</v>
      </c>
    </row>
    <row r="10118" spans="1:16" x14ac:dyDescent="0.3">
      <c r="A10118" s="160">
        <v>74151</v>
      </c>
      <c r="B10118" t="s">
        <v>25123</v>
      </c>
      <c r="C10118" t="s">
        <v>9682</v>
      </c>
      <c r="D10118">
        <v>0.5</v>
      </c>
      <c r="E10118">
        <v>0</v>
      </c>
      <c r="F10118">
        <f t="shared" si="169"/>
        <v>0.5</v>
      </c>
      <c r="I10118">
        <v>20240701</v>
      </c>
      <c r="J10118" t="s">
        <v>9683</v>
      </c>
    </row>
    <row r="10119" spans="1:16" x14ac:dyDescent="0.3">
      <c r="A10119" s="160">
        <v>74153</v>
      </c>
      <c r="B10119" t="s">
        <v>25124</v>
      </c>
      <c r="C10119" t="s">
        <v>9609</v>
      </c>
      <c r="D10119">
        <v>1.1000000000000001</v>
      </c>
      <c r="E10119">
        <v>0</v>
      </c>
      <c r="F10119">
        <f t="shared" ref="F10119:F10182" si="170">D10119+E10119</f>
        <v>1.1000000000000001</v>
      </c>
      <c r="I10119">
        <v>20120101</v>
      </c>
      <c r="J10119" t="s">
        <v>9674</v>
      </c>
    </row>
    <row r="10120" spans="1:16" x14ac:dyDescent="0.3">
      <c r="A10120" s="160">
        <v>74154</v>
      </c>
      <c r="B10120" t="s">
        <v>25125</v>
      </c>
      <c r="C10120" t="s">
        <v>9595</v>
      </c>
      <c r="D10120">
        <v>0.8</v>
      </c>
      <c r="E10120">
        <v>0</v>
      </c>
      <c r="F10120">
        <f t="shared" si="170"/>
        <v>0.8</v>
      </c>
      <c r="I10120">
        <v>20250101</v>
      </c>
      <c r="J10120" t="s">
        <v>9681</v>
      </c>
      <c r="K10120" t="s">
        <v>9701</v>
      </c>
      <c r="L10120" t="s">
        <v>9692</v>
      </c>
    </row>
    <row r="10121" spans="1:16" x14ac:dyDescent="0.3">
      <c r="A10121" s="160">
        <v>74156</v>
      </c>
      <c r="B10121" t="s">
        <v>25126</v>
      </c>
      <c r="C10121" t="s">
        <v>9599</v>
      </c>
      <c r="D10121">
        <v>0.5</v>
      </c>
      <c r="E10121">
        <v>0</v>
      </c>
      <c r="F10121">
        <f t="shared" si="170"/>
        <v>0.5</v>
      </c>
      <c r="I10121">
        <v>20210101</v>
      </c>
      <c r="J10121" t="s">
        <v>9689</v>
      </c>
    </row>
    <row r="10122" spans="1:16" x14ac:dyDescent="0.3">
      <c r="A10122" s="160">
        <v>74157</v>
      </c>
      <c r="B10122" t="s">
        <v>25127</v>
      </c>
      <c r="C10122" t="s">
        <v>9599</v>
      </c>
      <c r="D10122">
        <v>0.5</v>
      </c>
      <c r="E10122">
        <v>0</v>
      </c>
      <c r="F10122">
        <f t="shared" si="170"/>
        <v>0.5</v>
      </c>
      <c r="I10122">
        <v>20210101</v>
      </c>
      <c r="J10122" t="s">
        <v>9600</v>
      </c>
    </row>
    <row r="10123" spans="1:16" x14ac:dyDescent="0.3">
      <c r="A10123" s="160">
        <v>74158</v>
      </c>
      <c r="B10123" t="s">
        <v>25128</v>
      </c>
      <c r="C10123" t="s">
        <v>9609</v>
      </c>
      <c r="D10123">
        <v>1.1000000000000001</v>
      </c>
      <c r="E10123">
        <v>0</v>
      </c>
      <c r="F10123">
        <f t="shared" si="170"/>
        <v>1.1000000000000001</v>
      </c>
      <c r="I10123">
        <v>20120101</v>
      </c>
      <c r="J10123" t="s">
        <v>9680</v>
      </c>
    </row>
    <row r="10124" spans="1:16" x14ac:dyDescent="0.3">
      <c r="A10124" s="160">
        <v>74161</v>
      </c>
      <c r="B10124" t="s">
        <v>25129</v>
      </c>
      <c r="C10124" t="s">
        <v>9682</v>
      </c>
      <c r="D10124">
        <v>0.5</v>
      </c>
      <c r="E10124">
        <v>0</v>
      </c>
      <c r="F10124">
        <f t="shared" si="170"/>
        <v>0.5</v>
      </c>
      <c r="I10124">
        <v>20240701</v>
      </c>
      <c r="J10124" t="s">
        <v>9683</v>
      </c>
    </row>
    <row r="10125" spans="1:16" x14ac:dyDescent="0.3">
      <c r="A10125" s="160">
        <v>74162</v>
      </c>
      <c r="B10125" t="s">
        <v>25130</v>
      </c>
      <c r="C10125" t="s">
        <v>25045</v>
      </c>
      <c r="D10125">
        <v>0.45</v>
      </c>
      <c r="E10125">
        <v>0</v>
      </c>
      <c r="F10125">
        <f t="shared" si="170"/>
        <v>0.45</v>
      </c>
      <c r="I10125">
        <v>20230101</v>
      </c>
      <c r="J10125" t="s">
        <v>9703</v>
      </c>
    </row>
    <row r="10126" spans="1:16" x14ac:dyDescent="0.3">
      <c r="A10126" s="160">
        <v>74163</v>
      </c>
      <c r="B10126" t="s">
        <v>25131</v>
      </c>
      <c r="C10126" t="s">
        <v>9599</v>
      </c>
      <c r="D10126">
        <v>0.5</v>
      </c>
      <c r="E10126">
        <v>0</v>
      </c>
      <c r="F10126">
        <f t="shared" si="170"/>
        <v>0.5</v>
      </c>
      <c r="I10126">
        <v>19910101</v>
      </c>
      <c r="J10126" t="s">
        <v>9600</v>
      </c>
      <c r="K10126" t="s">
        <v>9666</v>
      </c>
      <c r="L10126" t="s">
        <v>9601</v>
      </c>
      <c r="M10126" t="s">
        <v>9667</v>
      </c>
      <c r="N10126" t="s">
        <v>9602</v>
      </c>
      <c r="O10126" t="s">
        <v>9706</v>
      </c>
      <c r="P10126" t="s">
        <v>9668</v>
      </c>
    </row>
    <row r="10127" spans="1:16" x14ac:dyDescent="0.3">
      <c r="A10127" s="160">
        <v>74164</v>
      </c>
      <c r="B10127" t="s">
        <v>25132</v>
      </c>
      <c r="C10127" t="s">
        <v>25045</v>
      </c>
      <c r="D10127">
        <v>0.45</v>
      </c>
      <c r="E10127">
        <v>0</v>
      </c>
      <c r="F10127">
        <f t="shared" si="170"/>
        <v>0.45</v>
      </c>
      <c r="I10127">
        <v>20230101</v>
      </c>
      <c r="J10127" t="s">
        <v>9707</v>
      </c>
    </row>
    <row r="10128" spans="1:16" x14ac:dyDescent="0.3">
      <c r="A10128" s="160">
        <v>74165</v>
      </c>
      <c r="B10128" t="s">
        <v>25133</v>
      </c>
      <c r="C10128" t="s">
        <v>9682</v>
      </c>
      <c r="D10128">
        <v>0.5</v>
      </c>
      <c r="E10128">
        <v>0</v>
      </c>
      <c r="F10128">
        <f t="shared" si="170"/>
        <v>0.5</v>
      </c>
      <c r="I10128">
        <v>20240701</v>
      </c>
      <c r="J10128" t="s">
        <v>9683</v>
      </c>
      <c r="K10128" t="s">
        <v>9708</v>
      </c>
      <c r="L10128" t="s">
        <v>9690</v>
      </c>
      <c r="M10128" t="s">
        <v>9709</v>
      </c>
    </row>
    <row r="10129" spans="1:18" x14ac:dyDescent="0.3">
      <c r="A10129" s="160">
        <v>74166</v>
      </c>
      <c r="B10129" t="s">
        <v>25134</v>
      </c>
      <c r="C10129" t="s">
        <v>9595</v>
      </c>
      <c r="D10129">
        <v>0.8</v>
      </c>
      <c r="E10129">
        <v>0</v>
      </c>
      <c r="F10129">
        <f t="shared" si="170"/>
        <v>0.8</v>
      </c>
      <c r="I10129">
        <v>20240101</v>
      </c>
      <c r="J10129" t="s">
        <v>9600</v>
      </c>
      <c r="K10129" t="s">
        <v>9668</v>
      </c>
    </row>
    <row r="10130" spans="1:18" x14ac:dyDescent="0.3">
      <c r="A10130" s="160">
        <v>74170</v>
      </c>
      <c r="B10130" t="s">
        <v>25135</v>
      </c>
      <c r="C10130" t="s">
        <v>9682</v>
      </c>
      <c r="D10130">
        <v>0.5</v>
      </c>
      <c r="E10130">
        <v>0</v>
      </c>
      <c r="F10130">
        <f t="shared" si="170"/>
        <v>0.5</v>
      </c>
      <c r="I10130">
        <v>20240701</v>
      </c>
      <c r="J10130" t="s">
        <v>9683</v>
      </c>
    </row>
    <row r="10131" spans="1:18" x14ac:dyDescent="0.3">
      <c r="A10131" s="160">
        <v>74171</v>
      </c>
      <c r="B10131" t="s">
        <v>25136</v>
      </c>
      <c r="C10131" t="s">
        <v>9599</v>
      </c>
      <c r="D10131">
        <v>0.5</v>
      </c>
      <c r="E10131">
        <v>0</v>
      </c>
      <c r="F10131">
        <f t="shared" si="170"/>
        <v>0.5</v>
      </c>
      <c r="I10131">
        <v>20210101</v>
      </c>
      <c r="J10131" t="s">
        <v>9680</v>
      </c>
    </row>
    <row r="10132" spans="1:18" x14ac:dyDescent="0.3">
      <c r="A10132" s="160">
        <v>74172</v>
      </c>
      <c r="B10132" t="s">
        <v>25137</v>
      </c>
      <c r="C10132" t="s">
        <v>9595</v>
      </c>
      <c r="D10132">
        <v>0.8</v>
      </c>
      <c r="E10132">
        <v>0</v>
      </c>
      <c r="F10132">
        <f t="shared" si="170"/>
        <v>0.8</v>
      </c>
      <c r="I10132">
        <v>20250101</v>
      </c>
      <c r="J10132" t="s">
        <v>9681</v>
      </c>
    </row>
    <row r="10133" spans="1:18" x14ac:dyDescent="0.3">
      <c r="A10133" s="160">
        <v>74174</v>
      </c>
      <c r="B10133" t="s">
        <v>25138</v>
      </c>
      <c r="C10133" t="s">
        <v>25045</v>
      </c>
      <c r="D10133">
        <v>0.45</v>
      </c>
      <c r="E10133">
        <v>0</v>
      </c>
      <c r="F10133">
        <f t="shared" si="170"/>
        <v>0.45</v>
      </c>
      <c r="I10133">
        <v>20230101</v>
      </c>
      <c r="J10133" t="s">
        <v>9710</v>
      </c>
    </row>
    <row r="10134" spans="1:18" x14ac:dyDescent="0.3">
      <c r="A10134" s="160">
        <v>74175</v>
      </c>
      <c r="B10134" t="s">
        <v>25139</v>
      </c>
      <c r="C10134" t="s">
        <v>9595</v>
      </c>
      <c r="D10134">
        <v>0.8</v>
      </c>
      <c r="E10134">
        <v>0</v>
      </c>
      <c r="F10134">
        <f t="shared" si="170"/>
        <v>0.8</v>
      </c>
      <c r="I10134">
        <v>20250101</v>
      </c>
      <c r="J10134" t="s">
        <v>9681</v>
      </c>
    </row>
    <row r="10135" spans="1:18" x14ac:dyDescent="0.3">
      <c r="A10135" s="160">
        <v>74176</v>
      </c>
      <c r="B10135" t="s">
        <v>25140</v>
      </c>
      <c r="C10135" t="s">
        <v>9597</v>
      </c>
      <c r="D10135">
        <v>1.6</v>
      </c>
      <c r="E10135">
        <v>0</v>
      </c>
      <c r="F10135">
        <f t="shared" si="170"/>
        <v>1.6</v>
      </c>
      <c r="I10135">
        <v>20250101</v>
      </c>
      <c r="J10135" t="s">
        <v>9684</v>
      </c>
    </row>
    <row r="10136" spans="1:18" x14ac:dyDescent="0.3">
      <c r="A10136" s="160">
        <v>74180</v>
      </c>
      <c r="B10136" t="s">
        <v>25141</v>
      </c>
      <c r="C10136" t="s">
        <v>9599</v>
      </c>
      <c r="D10136">
        <v>0.5</v>
      </c>
      <c r="E10136">
        <v>0</v>
      </c>
      <c r="F10136">
        <f t="shared" si="170"/>
        <v>0.5</v>
      </c>
      <c r="I10136">
        <v>20210101</v>
      </c>
      <c r="J10136" t="s">
        <v>9680</v>
      </c>
    </row>
    <row r="10137" spans="1:18" x14ac:dyDescent="0.3">
      <c r="A10137" s="160">
        <v>74181</v>
      </c>
      <c r="B10137" t="s">
        <v>25141</v>
      </c>
      <c r="C10137" t="s">
        <v>9597</v>
      </c>
      <c r="D10137">
        <v>1.6</v>
      </c>
      <c r="E10137">
        <v>0</v>
      </c>
      <c r="F10137">
        <f t="shared" si="170"/>
        <v>1.6</v>
      </c>
      <c r="I10137">
        <v>20250101</v>
      </c>
      <c r="J10137" t="s">
        <v>9614</v>
      </c>
      <c r="K10137" t="s">
        <v>9670</v>
      </c>
      <c r="L10137" t="s">
        <v>9671</v>
      </c>
      <c r="M10137" t="s">
        <v>9672</v>
      </c>
      <c r="N10137" t="s">
        <v>9673</v>
      </c>
      <c r="O10137" t="s">
        <v>9711</v>
      </c>
      <c r="P10137" t="s">
        <v>9712</v>
      </c>
      <c r="Q10137" t="s">
        <v>9645</v>
      </c>
      <c r="R10137" t="s">
        <v>9713</v>
      </c>
    </row>
    <row r="10138" spans="1:18" x14ac:dyDescent="0.3">
      <c r="A10138" s="160">
        <v>74182</v>
      </c>
      <c r="B10138" t="s">
        <v>25141</v>
      </c>
      <c r="C10138" t="s">
        <v>9597</v>
      </c>
      <c r="D10138">
        <v>1.6</v>
      </c>
      <c r="E10138">
        <v>0</v>
      </c>
      <c r="F10138">
        <f t="shared" si="170"/>
        <v>1.6</v>
      </c>
      <c r="I10138">
        <v>20250101</v>
      </c>
      <c r="J10138" t="s">
        <v>9640</v>
      </c>
    </row>
    <row r="10139" spans="1:18" x14ac:dyDescent="0.3">
      <c r="A10139" s="160">
        <v>74185</v>
      </c>
      <c r="B10139" t="s">
        <v>25142</v>
      </c>
      <c r="C10139" t="s">
        <v>25045</v>
      </c>
      <c r="D10139">
        <v>0.45</v>
      </c>
      <c r="E10139">
        <v>0</v>
      </c>
      <c r="F10139">
        <f t="shared" si="170"/>
        <v>0.45</v>
      </c>
      <c r="I10139">
        <v>20230101</v>
      </c>
      <c r="J10139" t="s">
        <v>9714</v>
      </c>
    </row>
    <row r="10140" spans="1:18" x14ac:dyDescent="0.3">
      <c r="A10140" s="160">
        <v>74186</v>
      </c>
      <c r="B10140" t="s">
        <v>25143</v>
      </c>
      <c r="C10140" t="s">
        <v>9597</v>
      </c>
      <c r="D10140">
        <v>1.6</v>
      </c>
      <c r="E10140">
        <v>0</v>
      </c>
      <c r="F10140">
        <f t="shared" si="170"/>
        <v>1.6</v>
      </c>
      <c r="I10140">
        <v>20250101</v>
      </c>
      <c r="J10140" t="s">
        <v>9617</v>
      </c>
      <c r="K10140" t="s">
        <v>9715</v>
      </c>
    </row>
    <row r="10141" spans="1:18" x14ac:dyDescent="0.3">
      <c r="A10141" s="160">
        <v>74192</v>
      </c>
      <c r="B10141" t="s">
        <v>25144</v>
      </c>
      <c r="C10141" t="s">
        <v>9682</v>
      </c>
      <c r="D10141">
        <v>0.5</v>
      </c>
      <c r="E10141">
        <v>0</v>
      </c>
      <c r="F10141">
        <f t="shared" si="170"/>
        <v>0.5</v>
      </c>
      <c r="I10141">
        <v>20240701</v>
      </c>
      <c r="J10141" t="s">
        <v>9683</v>
      </c>
    </row>
    <row r="10142" spans="1:18" x14ac:dyDescent="0.3">
      <c r="A10142" s="160">
        <v>74193</v>
      </c>
      <c r="B10142" t="s">
        <v>25145</v>
      </c>
      <c r="C10142" t="s">
        <v>25045</v>
      </c>
      <c r="D10142">
        <v>0.45</v>
      </c>
      <c r="E10142">
        <v>0</v>
      </c>
      <c r="F10142">
        <f t="shared" si="170"/>
        <v>0.45</v>
      </c>
      <c r="I10142">
        <v>20230101</v>
      </c>
      <c r="J10142" t="s">
        <v>9714</v>
      </c>
    </row>
    <row r="10143" spans="1:18" x14ac:dyDescent="0.3">
      <c r="A10143" s="160">
        <v>74194</v>
      </c>
      <c r="B10143" t="s">
        <v>25146</v>
      </c>
      <c r="C10143" t="s">
        <v>9597</v>
      </c>
      <c r="D10143">
        <v>1.6</v>
      </c>
      <c r="E10143">
        <v>0</v>
      </c>
      <c r="F10143">
        <f t="shared" si="170"/>
        <v>1.6</v>
      </c>
      <c r="I10143">
        <v>20250101</v>
      </c>
      <c r="J10143" t="s">
        <v>9598</v>
      </c>
    </row>
    <row r="10144" spans="1:18" x14ac:dyDescent="0.3">
      <c r="A10144" s="160">
        <v>74197</v>
      </c>
      <c r="B10144" t="s">
        <v>25147</v>
      </c>
      <c r="C10144" t="s">
        <v>25045</v>
      </c>
      <c r="D10144">
        <v>0.45</v>
      </c>
      <c r="E10144">
        <v>0</v>
      </c>
      <c r="F10144">
        <f t="shared" si="170"/>
        <v>0.45</v>
      </c>
      <c r="I10144">
        <v>20230101</v>
      </c>
      <c r="J10144" t="s">
        <v>9674</v>
      </c>
    </row>
    <row r="10145" spans="1:11" x14ac:dyDescent="0.3">
      <c r="A10145" s="160">
        <v>74198</v>
      </c>
      <c r="B10145" t="s">
        <v>25148</v>
      </c>
      <c r="C10145" t="s">
        <v>9597</v>
      </c>
      <c r="D10145">
        <v>1.6</v>
      </c>
      <c r="E10145">
        <v>0</v>
      </c>
      <c r="F10145">
        <f t="shared" si="170"/>
        <v>1.6</v>
      </c>
      <c r="I10145">
        <v>20250101</v>
      </c>
      <c r="J10145" t="s">
        <v>9670</v>
      </c>
    </row>
    <row r="10146" spans="1:11" x14ac:dyDescent="0.3">
      <c r="A10146" s="160">
        <v>74199</v>
      </c>
      <c r="B10146" t="s">
        <v>25149</v>
      </c>
      <c r="C10146" t="s">
        <v>9599</v>
      </c>
      <c r="D10146">
        <v>0.5</v>
      </c>
      <c r="E10146">
        <v>0</v>
      </c>
      <c r="F10146">
        <f t="shared" si="170"/>
        <v>0.5</v>
      </c>
      <c r="I10146">
        <v>20210101</v>
      </c>
      <c r="J10146" t="s">
        <v>9680</v>
      </c>
    </row>
    <row r="10147" spans="1:11" x14ac:dyDescent="0.3">
      <c r="A10147" s="160">
        <v>74200</v>
      </c>
      <c r="B10147" t="s">
        <v>25150</v>
      </c>
      <c r="C10147" t="s">
        <v>9595</v>
      </c>
      <c r="D10147">
        <v>0.8</v>
      </c>
      <c r="E10147">
        <v>0</v>
      </c>
      <c r="F10147">
        <f t="shared" si="170"/>
        <v>0.8</v>
      </c>
      <c r="I10147">
        <v>20250101</v>
      </c>
      <c r="J10147" t="s">
        <v>9681</v>
      </c>
      <c r="K10147" t="s">
        <v>9701</v>
      </c>
    </row>
    <row r="10148" spans="1:11" x14ac:dyDescent="0.3">
      <c r="A10148" s="160">
        <v>74201</v>
      </c>
      <c r="B10148" t="s">
        <v>25151</v>
      </c>
      <c r="C10148" t="s">
        <v>25052</v>
      </c>
      <c r="D10148">
        <v>0.75</v>
      </c>
      <c r="E10148">
        <v>0</v>
      </c>
      <c r="F10148">
        <f t="shared" si="170"/>
        <v>0.75</v>
      </c>
      <c r="I10148">
        <v>20240101</v>
      </c>
      <c r="J10148" t="s">
        <v>25053</v>
      </c>
      <c r="K10148" t="s">
        <v>25054</v>
      </c>
    </row>
    <row r="10149" spans="1:11" x14ac:dyDescent="0.3">
      <c r="A10149" s="160">
        <v>74203</v>
      </c>
      <c r="B10149" t="s">
        <v>25152</v>
      </c>
      <c r="C10149" t="s">
        <v>9595</v>
      </c>
      <c r="D10149">
        <v>0.8</v>
      </c>
      <c r="E10149">
        <v>0</v>
      </c>
      <c r="F10149">
        <f t="shared" si="170"/>
        <v>0.8</v>
      </c>
      <c r="I10149">
        <v>20250101</v>
      </c>
      <c r="J10149" t="s">
        <v>9681</v>
      </c>
    </row>
    <row r="10150" spans="1:11" x14ac:dyDescent="0.3">
      <c r="A10150" s="160">
        <v>74204</v>
      </c>
      <c r="B10150" t="s">
        <v>25152</v>
      </c>
      <c r="C10150" t="s">
        <v>9597</v>
      </c>
      <c r="D10150">
        <v>1.6</v>
      </c>
      <c r="E10150">
        <v>0</v>
      </c>
      <c r="F10150">
        <f t="shared" si="170"/>
        <v>1.6</v>
      </c>
      <c r="I10150">
        <v>20250101</v>
      </c>
      <c r="J10150" t="s">
        <v>9670</v>
      </c>
    </row>
    <row r="10151" spans="1:11" x14ac:dyDescent="0.3">
      <c r="A10151" s="160">
        <v>74205</v>
      </c>
      <c r="B10151" t="s">
        <v>25153</v>
      </c>
      <c r="C10151" t="s">
        <v>25045</v>
      </c>
      <c r="D10151">
        <v>0.45</v>
      </c>
      <c r="E10151">
        <v>0</v>
      </c>
      <c r="F10151">
        <f t="shared" si="170"/>
        <v>0.45</v>
      </c>
      <c r="I10151">
        <v>20230101</v>
      </c>
      <c r="J10151" t="s">
        <v>9710</v>
      </c>
    </row>
    <row r="10152" spans="1:11" x14ac:dyDescent="0.3">
      <c r="A10152" s="160">
        <v>74206</v>
      </c>
      <c r="B10152" t="s">
        <v>25154</v>
      </c>
      <c r="C10152" t="s">
        <v>9599</v>
      </c>
      <c r="D10152">
        <v>0.5</v>
      </c>
      <c r="E10152">
        <v>0</v>
      </c>
      <c r="F10152">
        <f t="shared" si="170"/>
        <v>0.5</v>
      </c>
      <c r="I10152">
        <v>20210101</v>
      </c>
      <c r="J10152" t="s">
        <v>9691</v>
      </c>
    </row>
    <row r="10153" spans="1:11" x14ac:dyDescent="0.3">
      <c r="A10153" s="160">
        <v>74209</v>
      </c>
      <c r="B10153" t="s">
        <v>25155</v>
      </c>
      <c r="C10153" t="s">
        <v>25045</v>
      </c>
      <c r="D10153">
        <v>0.45</v>
      </c>
      <c r="E10153">
        <v>0</v>
      </c>
      <c r="F10153">
        <f t="shared" si="170"/>
        <v>0.45</v>
      </c>
      <c r="I10153">
        <v>20230101</v>
      </c>
      <c r="J10153" t="s">
        <v>9703</v>
      </c>
    </row>
    <row r="10154" spans="1:11" x14ac:dyDescent="0.3">
      <c r="A10154" s="160">
        <v>74210</v>
      </c>
      <c r="B10154" t="s">
        <v>25156</v>
      </c>
      <c r="C10154" t="s">
        <v>9599</v>
      </c>
      <c r="D10154">
        <v>0.5</v>
      </c>
      <c r="E10154">
        <v>0</v>
      </c>
      <c r="F10154">
        <f t="shared" si="170"/>
        <v>0.5</v>
      </c>
      <c r="I10154">
        <v>20210101</v>
      </c>
      <c r="J10154" t="s">
        <v>9691</v>
      </c>
    </row>
    <row r="10155" spans="1:11" x14ac:dyDescent="0.3">
      <c r="A10155" s="160">
        <v>74211</v>
      </c>
      <c r="B10155" t="s">
        <v>25157</v>
      </c>
      <c r="C10155" t="s">
        <v>25045</v>
      </c>
      <c r="D10155">
        <v>0.45</v>
      </c>
      <c r="E10155">
        <v>0</v>
      </c>
      <c r="F10155">
        <f t="shared" si="170"/>
        <v>0.45</v>
      </c>
      <c r="I10155">
        <v>20230101</v>
      </c>
      <c r="J10155" t="s">
        <v>9607</v>
      </c>
      <c r="K10155" t="s">
        <v>9669</v>
      </c>
    </row>
    <row r="10156" spans="1:11" x14ac:dyDescent="0.3">
      <c r="A10156" s="160">
        <v>74212</v>
      </c>
      <c r="B10156" t="s">
        <v>25158</v>
      </c>
      <c r="C10156" t="s">
        <v>25045</v>
      </c>
      <c r="D10156">
        <v>0.45</v>
      </c>
      <c r="E10156">
        <v>0</v>
      </c>
      <c r="F10156">
        <f t="shared" si="170"/>
        <v>0.45</v>
      </c>
      <c r="I10156">
        <v>20230101</v>
      </c>
      <c r="J10156" t="s">
        <v>9676</v>
      </c>
    </row>
    <row r="10157" spans="1:11" x14ac:dyDescent="0.3">
      <c r="A10157" s="160">
        <v>74213</v>
      </c>
      <c r="B10157" t="s">
        <v>25159</v>
      </c>
      <c r="C10157" t="s">
        <v>9597</v>
      </c>
      <c r="D10157">
        <v>1.6</v>
      </c>
      <c r="E10157">
        <v>0</v>
      </c>
      <c r="F10157">
        <f t="shared" si="170"/>
        <v>1.6</v>
      </c>
      <c r="I10157">
        <v>20250101</v>
      </c>
      <c r="J10157" t="s">
        <v>9700</v>
      </c>
      <c r="K10157" t="s">
        <v>9712</v>
      </c>
    </row>
    <row r="10158" spans="1:11" x14ac:dyDescent="0.3">
      <c r="A10158" s="160">
        <v>74216</v>
      </c>
      <c r="B10158" t="s">
        <v>25160</v>
      </c>
      <c r="C10158" t="s">
        <v>25052</v>
      </c>
      <c r="D10158">
        <v>0.75</v>
      </c>
      <c r="E10158">
        <v>0</v>
      </c>
      <c r="F10158">
        <f t="shared" si="170"/>
        <v>0.75</v>
      </c>
      <c r="I10158">
        <v>20240101</v>
      </c>
      <c r="J10158" t="s">
        <v>25053</v>
      </c>
    </row>
    <row r="10159" spans="1:11" x14ac:dyDescent="0.3">
      <c r="A10159" s="160">
        <v>74217</v>
      </c>
      <c r="B10159" t="s">
        <v>25160</v>
      </c>
      <c r="C10159" t="s">
        <v>9597</v>
      </c>
      <c r="D10159">
        <v>1.6</v>
      </c>
      <c r="E10159">
        <v>0</v>
      </c>
      <c r="F10159">
        <f t="shared" si="170"/>
        <v>1.6</v>
      </c>
      <c r="I10159">
        <v>20250101</v>
      </c>
    </row>
    <row r="10160" spans="1:11" x14ac:dyDescent="0.3">
      <c r="A10160" s="160">
        <v>74218</v>
      </c>
      <c r="B10160" t="s">
        <v>25161</v>
      </c>
      <c r="C10160" t="s">
        <v>9595</v>
      </c>
      <c r="D10160">
        <v>0.8</v>
      </c>
      <c r="E10160">
        <v>0</v>
      </c>
      <c r="F10160">
        <f t="shared" si="170"/>
        <v>0.8</v>
      </c>
      <c r="I10160">
        <v>20240101</v>
      </c>
      <c r="J10160" t="s">
        <v>9681</v>
      </c>
    </row>
    <row r="10161" spans="1:16" x14ac:dyDescent="0.3">
      <c r="A10161" s="160">
        <v>74219</v>
      </c>
      <c r="B10161" t="s">
        <v>25162</v>
      </c>
      <c r="C10161" t="s">
        <v>9597</v>
      </c>
      <c r="D10161">
        <v>1.6</v>
      </c>
      <c r="E10161">
        <v>0</v>
      </c>
      <c r="F10161">
        <f t="shared" si="170"/>
        <v>1.6</v>
      </c>
      <c r="I10161">
        <v>20250101</v>
      </c>
      <c r="J10161" t="s">
        <v>9715</v>
      </c>
    </row>
    <row r="10162" spans="1:16" x14ac:dyDescent="0.3">
      <c r="A10162" s="160">
        <v>74220</v>
      </c>
      <c r="B10162" t="s">
        <v>25163</v>
      </c>
      <c r="C10162" t="s">
        <v>25045</v>
      </c>
      <c r="D10162">
        <v>0.45</v>
      </c>
      <c r="E10162">
        <v>0</v>
      </c>
      <c r="F10162">
        <f t="shared" si="170"/>
        <v>0.45</v>
      </c>
      <c r="I10162">
        <v>20230101</v>
      </c>
      <c r="J10162" t="s">
        <v>9669</v>
      </c>
    </row>
    <row r="10163" spans="1:16" x14ac:dyDescent="0.3">
      <c r="A10163" s="160">
        <v>74224</v>
      </c>
      <c r="B10163" t="s">
        <v>25164</v>
      </c>
      <c r="C10163" t="s">
        <v>25045</v>
      </c>
      <c r="D10163">
        <v>0.45</v>
      </c>
      <c r="E10163">
        <v>0</v>
      </c>
      <c r="F10163">
        <f t="shared" si="170"/>
        <v>0.45</v>
      </c>
      <c r="I10163">
        <v>20230101</v>
      </c>
      <c r="J10163" t="s">
        <v>9603</v>
      </c>
      <c r="K10163" t="s">
        <v>9604</v>
      </c>
      <c r="L10163" t="s">
        <v>9605</v>
      </c>
      <c r="M10163" t="s">
        <v>9606</v>
      </c>
      <c r="N10163" t="s">
        <v>9607</v>
      </c>
      <c r="O10163" t="s">
        <v>9608</v>
      </c>
      <c r="P10163" t="s">
        <v>9716</v>
      </c>
    </row>
    <row r="10164" spans="1:16" x14ac:dyDescent="0.3">
      <c r="A10164" s="160">
        <v>74225</v>
      </c>
      <c r="B10164" t="s">
        <v>25165</v>
      </c>
      <c r="C10164" t="s">
        <v>9682</v>
      </c>
      <c r="D10164">
        <v>0.5</v>
      </c>
      <c r="E10164">
        <v>0</v>
      </c>
      <c r="F10164">
        <f t="shared" si="170"/>
        <v>0.5</v>
      </c>
      <c r="I10164">
        <v>20240701</v>
      </c>
      <c r="J10164" t="s">
        <v>9683</v>
      </c>
      <c r="K10164" t="s">
        <v>9708</v>
      </c>
      <c r="L10164" t="s">
        <v>9690</v>
      </c>
      <c r="M10164" t="s">
        <v>9717</v>
      </c>
      <c r="N10164" t="s">
        <v>9718</v>
      </c>
    </row>
    <row r="10165" spans="1:16" x14ac:dyDescent="0.3">
      <c r="A10165" s="160">
        <v>74229</v>
      </c>
      <c r="B10165" t="s">
        <v>25166</v>
      </c>
      <c r="C10165" t="s">
        <v>9609</v>
      </c>
      <c r="D10165">
        <v>1.1000000000000001</v>
      </c>
      <c r="E10165">
        <v>0</v>
      </c>
      <c r="F10165">
        <f t="shared" si="170"/>
        <v>1.1000000000000001</v>
      </c>
      <c r="I10165">
        <v>20120101</v>
      </c>
      <c r="J10165" t="s">
        <v>9680</v>
      </c>
    </row>
    <row r="10166" spans="1:16" x14ac:dyDescent="0.3">
      <c r="A10166" s="160">
        <v>74231</v>
      </c>
      <c r="B10166" t="s">
        <v>24821</v>
      </c>
      <c r="C10166" t="s">
        <v>9682</v>
      </c>
      <c r="D10166">
        <v>0.5</v>
      </c>
      <c r="E10166">
        <v>0</v>
      </c>
      <c r="F10166">
        <f t="shared" si="170"/>
        <v>0.5</v>
      </c>
      <c r="I10166">
        <v>20240701</v>
      </c>
      <c r="J10166" t="s">
        <v>9683</v>
      </c>
    </row>
    <row r="10167" spans="1:16" x14ac:dyDescent="0.3">
      <c r="A10167" s="160">
        <v>74232</v>
      </c>
      <c r="B10167" t="s">
        <v>25167</v>
      </c>
      <c r="C10167" t="s">
        <v>9597</v>
      </c>
      <c r="D10167">
        <v>1.6</v>
      </c>
      <c r="E10167">
        <v>0</v>
      </c>
      <c r="F10167">
        <f t="shared" si="170"/>
        <v>1.6</v>
      </c>
      <c r="I10167">
        <v>20250101</v>
      </c>
      <c r="J10167" t="s">
        <v>9693</v>
      </c>
    </row>
    <row r="10168" spans="1:16" x14ac:dyDescent="0.3">
      <c r="A10168" s="160">
        <v>74233</v>
      </c>
      <c r="B10168" t="s">
        <v>22937</v>
      </c>
      <c r="C10168" t="s">
        <v>9597</v>
      </c>
      <c r="D10168">
        <v>1.6</v>
      </c>
      <c r="E10168">
        <v>0</v>
      </c>
      <c r="F10168">
        <f t="shared" si="170"/>
        <v>1.6</v>
      </c>
      <c r="I10168">
        <v>20250101</v>
      </c>
      <c r="J10168" t="s">
        <v>9598</v>
      </c>
    </row>
    <row r="10169" spans="1:16" x14ac:dyDescent="0.3">
      <c r="A10169" s="160">
        <v>74240</v>
      </c>
      <c r="B10169" t="s">
        <v>25168</v>
      </c>
      <c r="C10169" t="s">
        <v>25045</v>
      </c>
      <c r="D10169">
        <v>0.45</v>
      </c>
      <c r="E10169">
        <v>0</v>
      </c>
      <c r="F10169">
        <f t="shared" si="170"/>
        <v>0.45</v>
      </c>
      <c r="I10169">
        <v>20230101</v>
      </c>
      <c r="J10169" t="s">
        <v>9703</v>
      </c>
    </row>
    <row r="10170" spans="1:16" x14ac:dyDescent="0.3">
      <c r="A10170" s="160">
        <v>74241</v>
      </c>
      <c r="B10170" t="s">
        <v>25169</v>
      </c>
      <c r="C10170" t="s">
        <v>25045</v>
      </c>
      <c r="D10170">
        <v>0.45</v>
      </c>
      <c r="E10170">
        <v>0</v>
      </c>
      <c r="F10170">
        <f t="shared" si="170"/>
        <v>0.45</v>
      </c>
      <c r="I10170">
        <v>20230101</v>
      </c>
      <c r="J10170" t="s">
        <v>9710</v>
      </c>
    </row>
    <row r="10171" spans="1:16" x14ac:dyDescent="0.3">
      <c r="A10171" s="160">
        <v>74242</v>
      </c>
      <c r="B10171" t="s">
        <v>25170</v>
      </c>
      <c r="C10171" t="s">
        <v>9597</v>
      </c>
      <c r="D10171">
        <v>1.6</v>
      </c>
      <c r="E10171">
        <v>0</v>
      </c>
      <c r="F10171">
        <f t="shared" si="170"/>
        <v>1.6</v>
      </c>
      <c r="I10171">
        <v>20250101</v>
      </c>
      <c r="J10171" t="s">
        <v>9693</v>
      </c>
    </row>
    <row r="10172" spans="1:16" x14ac:dyDescent="0.3">
      <c r="A10172" s="160">
        <v>74243</v>
      </c>
      <c r="B10172" t="s">
        <v>25171</v>
      </c>
      <c r="C10172" t="s">
        <v>25052</v>
      </c>
      <c r="D10172">
        <v>0.75</v>
      </c>
      <c r="E10172">
        <v>0</v>
      </c>
      <c r="F10172">
        <f t="shared" si="170"/>
        <v>0.75</v>
      </c>
      <c r="I10172">
        <v>20240101</v>
      </c>
      <c r="J10172" t="s">
        <v>25053</v>
      </c>
      <c r="K10172" t="s">
        <v>25054</v>
      </c>
      <c r="L10172" t="s">
        <v>25055</v>
      </c>
      <c r="M10172" t="s">
        <v>25056</v>
      </c>
      <c r="N10172" t="s">
        <v>25057</v>
      </c>
      <c r="O10172" t="s">
        <v>25059</v>
      </c>
    </row>
    <row r="10173" spans="1:16" x14ac:dyDescent="0.3">
      <c r="A10173" s="160">
        <v>74244</v>
      </c>
      <c r="B10173" t="s">
        <v>16155</v>
      </c>
      <c r="C10173" t="s">
        <v>25045</v>
      </c>
      <c r="D10173">
        <v>0.45</v>
      </c>
      <c r="E10173">
        <v>0</v>
      </c>
      <c r="F10173">
        <f t="shared" si="170"/>
        <v>0.45</v>
      </c>
      <c r="I10173">
        <v>20230101</v>
      </c>
      <c r="J10173" t="s">
        <v>9603</v>
      </c>
      <c r="K10173" t="s">
        <v>9607</v>
      </c>
    </row>
    <row r="10174" spans="1:16" x14ac:dyDescent="0.3">
      <c r="A10174" s="160">
        <v>74245</v>
      </c>
      <c r="B10174" t="s">
        <v>16155</v>
      </c>
      <c r="C10174" t="s">
        <v>9597</v>
      </c>
      <c r="D10174">
        <v>1.6</v>
      </c>
      <c r="E10174">
        <v>0</v>
      </c>
      <c r="F10174">
        <f t="shared" si="170"/>
        <v>1.6</v>
      </c>
      <c r="I10174">
        <v>20250101</v>
      </c>
      <c r="J10174" t="s">
        <v>9670</v>
      </c>
      <c r="K10174" t="s">
        <v>9671</v>
      </c>
    </row>
    <row r="10175" spans="1:16" x14ac:dyDescent="0.3">
      <c r="A10175" s="160">
        <v>74249</v>
      </c>
      <c r="B10175" t="s">
        <v>25172</v>
      </c>
      <c r="C10175" t="s">
        <v>9595</v>
      </c>
      <c r="D10175">
        <v>0.8</v>
      </c>
      <c r="E10175">
        <v>0</v>
      </c>
      <c r="F10175">
        <f t="shared" si="170"/>
        <v>0.8</v>
      </c>
      <c r="I10175">
        <v>20250101</v>
      </c>
      <c r="J10175" t="s">
        <v>9681</v>
      </c>
    </row>
    <row r="10176" spans="1:16" x14ac:dyDescent="0.3">
      <c r="A10176" s="160">
        <v>74250</v>
      </c>
      <c r="B10176" t="s">
        <v>25173</v>
      </c>
      <c r="C10176" t="s">
        <v>25045</v>
      </c>
      <c r="D10176">
        <v>0.45</v>
      </c>
      <c r="E10176">
        <v>0</v>
      </c>
      <c r="F10176">
        <f t="shared" si="170"/>
        <v>0.45</v>
      </c>
      <c r="I10176">
        <v>20230101</v>
      </c>
      <c r="J10176" t="s">
        <v>9603</v>
      </c>
      <c r="K10176" t="s">
        <v>9607</v>
      </c>
      <c r="L10176" t="s">
        <v>9719</v>
      </c>
    </row>
    <row r="10177" spans="1:18" x14ac:dyDescent="0.3">
      <c r="A10177" s="160">
        <v>74253</v>
      </c>
      <c r="B10177" t="s">
        <v>25174</v>
      </c>
      <c r="C10177" t="s">
        <v>25045</v>
      </c>
      <c r="D10177">
        <v>0.45</v>
      </c>
      <c r="E10177">
        <v>0</v>
      </c>
      <c r="F10177">
        <f t="shared" si="170"/>
        <v>0.45</v>
      </c>
      <c r="I10177">
        <v>20230101</v>
      </c>
      <c r="J10177" t="s">
        <v>9603</v>
      </c>
    </row>
    <row r="10178" spans="1:18" x14ac:dyDescent="0.3">
      <c r="A10178" s="160">
        <v>74254</v>
      </c>
      <c r="B10178" t="s">
        <v>16088</v>
      </c>
      <c r="C10178" t="s">
        <v>9597</v>
      </c>
      <c r="D10178">
        <v>1.6</v>
      </c>
      <c r="E10178">
        <v>0</v>
      </c>
      <c r="F10178">
        <f t="shared" si="170"/>
        <v>1.6</v>
      </c>
      <c r="I10178">
        <v>20250101</v>
      </c>
      <c r="J10178" t="s">
        <v>9598</v>
      </c>
    </row>
    <row r="10179" spans="1:18" x14ac:dyDescent="0.3">
      <c r="A10179" s="160">
        <v>74255</v>
      </c>
      <c r="B10179" t="s">
        <v>25175</v>
      </c>
      <c r="C10179" t="s">
        <v>9682</v>
      </c>
      <c r="D10179">
        <v>0.5</v>
      </c>
      <c r="E10179">
        <v>0</v>
      </c>
      <c r="F10179">
        <f t="shared" si="170"/>
        <v>0.5</v>
      </c>
      <c r="I10179">
        <v>20240701</v>
      </c>
      <c r="J10179" t="s">
        <v>9683</v>
      </c>
    </row>
    <row r="10180" spans="1:18" x14ac:dyDescent="0.3">
      <c r="A10180" s="160">
        <v>74260</v>
      </c>
      <c r="B10180" t="s">
        <v>20672</v>
      </c>
      <c r="C10180" t="s">
        <v>25052</v>
      </c>
      <c r="D10180">
        <v>0.75</v>
      </c>
      <c r="E10180">
        <v>0</v>
      </c>
      <c r="F10180">
        <f t="shared" si="170"/>
        <v>0.75</v>
      </c>
      <c r="I10180">
        <v>20240101</v>
      </c>
      <c r="J10180" t="s">
        <v>25059</v>
      </c>
      <c r="K10180" t="s">
        <v>25087</v>
      </c>
    </row>
    <row r="10181" spans="1:18" x14ac:dyDescent="0.3">
      <c r="A10181" s="160">
        <v>74262</v>
      </c>
      <c r="B10181" t="s">
        <v>25176</v>
      </c>
      <c r="C10181" t="s">
        <v>25045</v>
      </c>
      <c r="D10181">
        <v>0.45</v>
      </c>
      <c r="E10181">
        <v>0</v>
      </c>
      <c r="F10181">
        <f t="shared" si="170"/>
        <v>0.45</v>
      </c>
      <c r="I10181">
        <v>20230101</v>
      </c>
      <c r="J10181" t="s">
        <v>9669</v>
      </c>
    </row>
    <row r="10182" spans="1:18" x14ac:dyDescent="0.3">
      <c r="A10182" s="160">
        <v>74263</v>
      </c>
      <c r="B10182" t="s">
        <v>25177</v>
      </c>
      <c r="C10182" t="s">
        <v>9599</v>
      </c>
      <c r="D10182">
        <v>0.5</v>
      </c>
      <c r="E10182">
        <v>0</v>
      </c>
      <c r="F10182">
        <f t="shared" si="170"/>
        <v>0.5</v>
      </c>
      <c r="I10182">
        <v>20210101</v>
      </c>
      <c r="J10182" t="s">
        <v>9680</v>
      </c>
    </row>
    <row r="10183" spans="1:18" x14ac:dyDescent="0.3">
      <c r="A10183" s="160">
        <v>74267</v>
      </c>
      <c r="B10183" t="s">
        <v>25178</v>
      </c>
      <c r="C10183" t="s">
        <v>9597</v>
      </c>
      <c r="D10183">
        <v>1.6</v>
      </c>
      <c r="E10183">
        <v>0</v>
      </c>
      <c r="F10183">
        <f t="shared" ref="F10183:F10246" si="171">D10183+E10183</f>
        <v>1.6</v>
      </c>
      <c r="I10183">
        <v>20250101</v>
      </c>
      <c r="J10183" t="s">
        <v>9705</v>
      </c>
    </row>
    <row r="10184" spans="1:18" x14ac:dyDescent="0.3">
      <c r="A10184" s="160">
        <v>74268</v>
      </c>
      <c r="B10184" t="s">
        <v>25178</v>
      </c>
      <c r="C10184" t="s">
        <v>9597</v>
      </c>
      <c r="D10184">
        <v>1.6</v>
      </c>
      <c r="E10184">
        <v>0</v>
      </c>
      <c r="F10184">
        <f t="shared" si="171"/>
        <v>1.6</v>
      </c>
      <c r="I10184">
        <v>20250101</v>
      </c>
    </row>
    <row r="10185" spans="1:18" x14ac:dyDescent="0.3">
      <c r="A10185" s="160">
        <v>74274</v>
      </c>
      <c r="B10185" t="s">
        <v>25179</v>
      </c>
      <c r="C10185" t="s">
        <v>9682</v>
      </c>
      <c r="D10185">
        <v>0.5</v>
      </c>
      <c r="E10185">
        <v>0</v>
      </c>
      <c r="F10185">
        <f t="shared" si="171"/>
        <v>0.5</v>
      </c>
      <c r="I10185">
        <v>20240701</v>
      </c>
      <c r="J10185" t="s">
        <v>9683</v>
      </c>
    </row>
    <row r="10186" spans="1:18" x14ac:dyDescent="0.3">
      <c r="A10186" s="160">
        <v>74275</v>
      </c>
      <c r="B10186" t="s">
        <v>25180</v>
      </c>
      <c r="C10186" t="s">
        <v>9597</v>
      </c>
      <c r="D10186">
        <v>1.6</v>
      </c>
      <c r="E10186">
        <v>0</v>
      </c>
      <c r="F10186">
        <f t="shared" si="171"/>
        <v>1.6</v>
      </c>
      <c r="I10186">
        <v>20250101</v>
      </c>
      <c r="J10186" t="s">
        <v>9720</v>
      </c>
      <c r="K10186" t="s">
        <v>9684</v>
      </c>
    </row>
    <row r="10187" spans="1:18" x14ac:dyDescent="0.3">
      <c r="A10187" s="160">
        <v>74279</v>
      </c>
      <c r="B10187" t="s">
        <v>25181</v>
      </c>
      <c r="C10187" t="s">
        <v>9595</v>
      </c>
      <c r="D10187">
        <v>0.8</v>
      </c>
      <c r="E10187">
        <v>0</v>
      </c>
      <c r="F10187">
        <f t="shared" si="171"/>
        <v>0.8</v>
      </c>
      <c r="I10187">
        <v>20250101</v>
      </c>
      <c r="J10187" t="s">
        <v>9681</v>
      </c>
    </row>
    <row r="10188" spans="1:18" x14ac:dyDescent="0.3">
      <c r="A10188" s="160">
        <v>74281</v>
      </c>
      <c r="B10188" t="s">
        <v>25182</v>
      </c>
      <c r="C10188" t="s">
        <v>9599</v>
      </c>
      <c r="D10188">
        <v>0.5</v>
      </c>
      <c r="E10188">
        <v>0</v>
      </c>
      <c r="F10188">
        <f t="shared" si="171"/>
        <v>0.5</v>
      </c>
      <c r="I10188">
        <v>19910101</v>
      </c>
      <c r="J10188" t="s">
        <v>9600</v>
      </c>
      <c r="K10188" t="s">
        <v>9666</v>
      </c>
      <c r="L10188" t="s">
        <v>9601</v>
      </c>
      <c r="M10188" t="s">
        <v>9721</v>
      </c>
      <c r="N10188" t="s">
        <v>9667</v>
      </c>
      <c r="O10188" t="s">
        <v>9602</v>
      </c>
      <c r="P10188" t="s">
        <v>9706</v>
      </c>
      <c r="Q10188" t="s">
        <v>9668</v>
      </c>
      <c r="R10188" t="s">
        <v>9701</v>
      </c>
    </row>
    <row r="10189" spans="1:18" x14ac:dyDescent="0.3">
      <c r="A10189" s="160">
        <v>74282</v>
      </c>
      <c r="B10189" t="s">
        <v>25183</v>
      </c>
      <c r="C10189" t="s">
        <v>9597</v>
      </c>
      <c r="D10189">
        <v>1.6</v>
      </c>
      <c r="E10189">
        <v>0</v>
      </c>
      <c r="F10189">
        <f t="shared" si="171"/>
        <v>1.6</v>
      </c>
      <c r="I10189">
        <v>20250101</v>
      </c>
      <c r="J10189" t="s">
        <v>9670</v>
      </c>
      <c r="K10189" t="s">
        <v>9675</v>
      </c>
    </row>
    <row r="10190" spans="1:18" x14ac:dyDescent="0.3">
      <c r="A10190" s="160">
        <v>74283</v>
      </c>
      <c r="B10190" t="s">
        <v>25184</v>
      </c>
      <c r="C10190" t="s">
        <v>9682</v>
      </c>
      <c r="D10190">
        <v>0.5</v>
      </c>
      <c r="E10190">
        <v>0</v>
      </c>
      <c r="F10190">
        <f t="shared" si="171"/>
        <v>0.5</v>
      </c>
      <c r="I10190">
        <v>20240701</v>
      </c>
      <c r="J10190" t="s">
        <v>9683</v>
      </c>
    </row>
    <row r="10191" spans="1:18" x14ac:dyDescent="0.3">
      <c r="A10191" s="160">
        <v>74284</v>
      </c>
      <c r="B10191" t="s">
        <v>15988</v>
      </c>
      <c r="C10191" t="s">
        <v>25045</v>
      </c>
      <c r="D10191">
        <v>0.45</v>
      </c>
      <c r="E10191">
        <v>0</v>
      </c>
      <c r="F10191">
        <f t="shared" si="171"/>
        <v>0.45</v>
      </c>
      <c r="I10191">
        <v>20230101</v>
      </c>
      <c r="J10191" t="s">
        <v>9703</v>
      </c>
    </row>
    <row r="10192" spans="1:18" x14ac:dyDescent="0.3">
      <c r="A10192" s="160">
        <v>74286</v>
      </c>
      <c r="B10192" t="s">
        <v>25185</v>
      </c>
      <c r="C10192" t="s">
        <v>9595</v>
      </c>
      <c r="D10192">
        <v>0.8</v>
      </c>
      <c r="E10192">
        <v>0</v>
      </c>
      <c r="F10192">
        <f t="shared" si="171"/>
        <v>0.8</v>
      </c>
      <c r="I10192">
        <v>20250101</v>
      </c>
      <c r="J10192" t="s">
        <v>9596</v>
      </c>
    </row>
    <row r="10193" spans="1:17" x14ac:dyDescent="0.3">
      <c r="A10193" s="160">
        <v>74288</v>
      </c>
      <c r="B10193" t="s">
        <v>25186</v>
      </c>
      <c r="C10193" t="s">
        <v>25052</v>
      </c>
      <c r="D10193">
        <v>0.75</v>
      </c>
      <c r="E10193">
        <v>0</v>
      </c>
      <c r="F10193">
        <f t="shared" si="171"/>
        <v>0.75</v>
      </c>
      <c r="I10193">
        <v>20240101</v>
      </c>
      <c r="J10193" t="s">
        <v>25087</v>
      </c>
    </row>
    <row r="10194" spans="1:17" x14ac:dyDescent="0.3">
      <c r="A10194" s="160">
        <v>74289</v>
      </c>
      <c r="B10194" t="s">
        <v>25187</v>
      </c>
      <c r="C10194" t="s">
        <v>9682</v>
      </c>
      <c r="D10194">
        <v>0.5</v>
      </c>
      <c r="E10194">
        <v>0</v>
      </c>
      <c r="F10194">
        <f t="shared" si="171"/>
        <v>0.5</v>
      </c>
      <c r="I10194">
        <v>20240701</v>
      </c>
      <c r="J10194" t="s">
        <v>9683</v>
      </c>
      <c r="K10194" t="s">
        <v>9690</v>
      </c>
    </row>
    <row r="10195" spans="1:17" x14ac:dyDescent="0.3">
      <c r="A10195" s="160">
        <v>74292</v>
      </c>
      <c r="B10195" t="s">
        <v>25188</v>
      </c>
      <c r="C10195" t="s">
        <v>9682</v>
      </c>
      <c r="D10195">
        <v>0.5</v>
      </c>
      <c r="E10195">
        <v>0</v>
      </c>
      <c r="F10195">
        <f t="shared" si="171"/>
        <v>0.5</v>
      </c>
      <c r="I10195">
        <v>20240701</v>
      </c>
      <c r="J10195" t="s">
        <v>9683</v>
      </c>
    </row>
    <row r="10196" spans="1:17" x14ac:dyDescent="0.3">
      <c r="A10196" s="160">
        <v>74293</v>
      </c>
      <c r="B10196" t="s">
        <v>25189</v>
      </c>
      <c r="C10196" t="s">
        <v>9599</v>
      </c>
      <c r="D10196">
        <v>0.5</v>
      </c>
      <c r="E10196">
        <v>0</v>
      </c>
      <c r="F10196">
        <f t="shared" si="171"/>
        <v>0.5</v>
      </c>
      <c r="I10196">
        <v>20210101</v>
      </c>
      <c r="J10196" t="s">
        <v>9680</v>
      </c>
    </row>
    <row r="10197" spans="1:17" x14ac:dyDescent="0.3">
      <c r="A10197" s="160">
        <v>74296</v>
      </c>
      <c r="B10197" t="s">
        <v>25190</v>
      </c>
      <c r="C10197" t="s">
        <v>25052</v>
      </c>
      <c r="D10197">
        <v>0.75</v>
      </c>
      <c r="E10197">
        <v>0</v>
      </c>
      <c r="F10197">
        <f t="shared" si="171"/>
        <v>0.75</v>
      </c>
      <c r="I10197">
        <v>20240101</v>
      </c>
      <c r="J10197" t="s">
        <v>25053</v>
      </c>
      <c r="K10197" t="s">
        <v>25057</v>
      </c>
    </row>
    <row r="10198" spans="1:17" x14ac:dyDescent="0.3">
      <c r="A10198" s="160">
        <v>74297</v>
      </c>
      <c r="B10198" t="s">
        <v>25191</v>
      </c>
      <c r="C10198" t="s">
        <v>9682</v>
      </c>
      <c r="D10198">
        <v>0.5</v>
      </c>
      <c r="E10198">
        <v>0</v>
      </c>
      <c r="F10198">
        <f t="shared" si="171"/>
        <v>0.5</v>
      </c>
      <c r="I10198">
        <v>20240701</v>
      </c>
      <c r="J10198" t="s">
        <v>9683</v>
      </c>
    </row>
    <row r="10199" spans="1:17" x14ac:dyDescent="0.3">
      <c r="A10199" s="160">
        <v>74298</v>
      </c>
      <c r="B10199" t="s">
        <v>25192</v>
      </c>
      <c r="C10199" t="s">
        <v>9609</v>
      </c>
      <c r="D10199">
        <v>1.1000000000000001</v>
      </c>
      <c r="E10199">
        <v>0</v>
      </c>
      <c r="F10199">
        <f t="shared" si="171"/>
        <v>1.1000000000000001</v>
      </c>
      <c r="I10199">
        <v>20120101</v>
      </c>
      <c r="J10199" t="s">
        <v>9610</v>
      </c>
      <c r="K10199" t="s">
        <v>9659</v>
      </c>
      <c r="L10199" t="s">
        <v>9660</v>
      </c>
      <c r="M10199" t="s">
        <v>9661</v>
      </c>
      <c r="N10199" t="s">
        <v>9662</v>
      </c>
      <c r="O10199" t="s">
        <v>9663</v>
      </c>
      <c r="P10199" t="s">
        <v>9611</v>
      </c>
    </row>
    <row r="10200" spans="1:17" x14ac:dyDescent="0.3">
      <c r="A10200" s="160">
        <v>74299</v>
      </c>
      <c r="B10200" t="s">
        <v>25193</v>
      </c>
      <c r="C10200" t="s">
        <v>9597</v>
      </c>
      <c r="D10200">
        <v>1.6</v>
      </c>
      <c r="E10200">
        <v>0</v>
      </c>
      <c r="F10200">
        <f t="shared" si="171"/>
        <v>1.6</v>
      </c>
      <c r="I10200">
        <v>20250101</v>
      </c>
      <c r="J10200" t="s">
        <v>9684</v>
      </c>
    </row>
    <row r="10201" spans="1:17" x14ac:dyDescent="0.3">
      <c r="A10201" s="160">
        <v>74303</v>
      </c>
      <c r="B10201" t="s">
        <v>25194</v>
      </c>
      <c r="C10201" t="s">
        <v>9597</v>
      </c>
      <c r="D10201">
        <v>1.6</v>
      </c>
      <c r="E10201">
        <v>0</v>
      </c>
      <c r="F10201">
        <f t="shared" si="171"/>
        <v>1.6</v>
      </c>
      <c r="I10201">
        <v>20250101</v>
      </c>
      <c r="J10201" t="s">
        <v>9670</v>
      </c>
    </row>
    <row r="10202" spans="1:17" x14ac:dyDescent="0.3">
      <c r="A10202" s="160">
        <v>74304</v>
      </c>
      <c r="B10202" t="s">
        <v>25195</v>
      </c>
      <c r="C10202" t="s">
        <v>25045</v>
      </c>
      <c r="D10202">
        <v>0.45</v>
      </c>
      <c r="E10202">
        <v>0</v>
      </c>
      <c r="F10202">
        <f t="shared" si="171"/>
        <v>0.45</v>
      </c>
      <c r="I10202">
        <v>20230101</v>
      </c>
      <c r="J10202" t="s">
        <v>9703</v>
      </c>
    </row>
    <row r="10203" spans="1:17" x14ac:dyDescent="0.3">
      <c r="A10203" s="160">
        <v>74305</v>
      </c>
      <c r="B10203" t="s">
        <v>25196</v>
      </c>
      <c r="C10203" t="s">
        <v>9609</v>
      </c>
      <c r="D10203">
        <v>1.1000000000000001</v>
      </c>
      <c r="E10203">
        <v>0</v>
      </c>
      <c r="F10203">
        <f t="shared" si="171"/>
        <v>1.1000000000000001</v>
      </c>
      <c r="I10203">
        <v>20120101</v>
      </c>
      <c r="J10203" t="s">
        <v>9610</v>
      </c>
      <c r="K10203" t="s">
        <v>9659</v>
      </c>
      <c r="L10203" t="s">
        <v>9661</v>
      </c>
      <c r="M10203" t="s">
        <v>9662</v>
      </c>
      <c r="N10203" t="s">
        <v>9663</v>
      </c>
      <c r="O10203" t="s">
        <v>9611</v>
      </c>
      <c r="P10203" t="s">
        <v>9664</v>
      </c>
      <c r="Q10203" t="s">
        <v>9665</v>
      </c>
    </row>
    <row r="10204" spans="1:17" x14ac:dyDescent="0.3">
      <c r="A10204" s="160">
        <v>74308</v>
      </c>
      <c r="B10204" t="s">
        <v>25197</v>
      </c>
      <c r="C10204" t="s">
        <v>9595</v>
      </c>
      <c r="D10204">
        <v>0.8</v>
      </c>
      <c r="E10204">
        <v>0</v>
      </c>
      <c r="F10204">
        <f t="shared" si="171"/>
        <v>0.8</v>
      </c>
      <c r="I10204">
        <v>20250101</v>
      </c>
      <c r="J10204" t="s">
        <v>9681</v>
      </c>
    </row>
    <row r="10205" spans="1:17" x14ac:dyDescent="0.3">
      <c r="A10205" s="160">
        <v>74309</v>
      </c>
      <c r="B10205" t="s">
        <v>19684</v>
      </c>
      <c r="C10205" t="s">
        <v>25052</v>
      </c>
      <c r="D10205">
        <v>0.75</v>
      </c>
      <c r="E10205">
        <v>0</v>
      </c>
      <c r="F10205">
        <f t="shared" si="171"/>
        <v>0.75</v>
      </c>
      <c r="I10205">
        <v>20240101</v>
      </c>
      <c r="J10205" t="s">
        <v>25198</v>
      </c>
    </row>
    <row r="10206" spans="1:17" x14ac:dyDescent="0.3">
      <c r="A10206" s="160">
        <v>74310</v>
      </c>
      <c r="B10206" t="s">
        <v>25199</v>
      </c>
      <c r="C10206" t="s">
        <v>9597</v>
      </c>
      <c r="D10206">
        <v>1.6</v>
      </c>
      <c r="E10206">
        <v>0</v>
      </c>
      <c r="F10206">
        <f t="shared" si="171"/>
        <v>1.6</v>
      </c>
      <c r="I10206">
        <v>20250101</v>
      </c>
      <c r="J10206" t="s">
        <v>9598</v>
      </c>
    </row>
    <row r="10207" spans="1:17" x14ac:dyDescent="0.3">
      <c r="A10207" s="160">
        <v>74311</v>
      </c>
      <c r="B10207" t="s">
        <v>25200</v>
      </c>
      <c r="C10207" t="s">
        <v>25045</v>
      </c>
      <c r="D10207">
        <v>0.45</v>
      </c>
      <c r="E10207">
        <v>0</v>
      </c>
      <c r="F10207">
        <f t="shared" si="171"/>
        <v>0.45</v>
      </c>
      <c r="I10207">
        <v>20230101</v>
      </c>
      <c r="J10207" t="s">
        <v>9703</v>
      </c>
    </row>
    <row r="10208" spans="1:17" x14ac:dyDescent="0.3">
      <c r="A10208" s="160">
        <v>74312</v>
      </c>
      <c r="B10208" t="s">
        <v>25201</v>
      </c>
      <c r="C10208" t="s">
        <v>25045</v>
      </c>
      <c r="D10208">
        <v>0.45</v>
      </c>
      <c r="E10208">
        <v>0</v>
      </c>
      <c r="F10208">
        <f t="shared" si="171"/>
        <v>0.45</v>
      </c>
      <c r="I10208">
        <v>20230101</v>
      </c>
      <c r="J10208" t="s">
        <v>9676</v>
      </c>
      <c r="K10208" t="s">
        <v>9677</v>
      </c>
      <c r="L10208" t="s">
        <v>9678</v>
      </c>
    </row>
    <row r="10209" spans="1:67" x14ac:dyDescent="0.3">
      <c r="A10209" s="160">
        <v>74314</v>
      </c>
      <c r="B10209" t="s">
        <v>25202</v>
      </c>
      <c r="C10209" t="s">
        <v>25052</v>
      </c>
      <c r="D10209">
        <v>0.75</v>
      </c>
      <c r="E10209">
        <v>0</v>
      </c>
      <c r="F10209">
        <f t="shared" si="171"/>
        <v>0.75</v>
      </c>
      <c r="I10209">
        <v>20240101</v>
      </c>
      <c r="J10209" t="s">
        <v>25087</v>
      </c>
    </row>
    <row r="10210" spans="1:67" x14ac:dyDescent="0.3">
      <c r="A10210" s="160">
        <v>74315</v>
      </c>
      <c r="B10210" t="s">
        <v>25203</v>
      </c>
      <c r="C10210" t="s">
        <v>9599</v>
      </c>
      <c r="D10210">
        <v>0.5</v>
      </c>
      <c r="E10210">
        <v>0</v>
      </c>
      <c r="F10210">
        <f t="shared" si="171"/>
        <v>0.5</v>
      </c>
      <c r="I10210">
        <v>20210101</v>
      </c>
      <c r="J10210" t="s">
        <v>9680</v>
      </c>
    </row>
    <row r="10211" spans="1:67" x14ac:dyDescent="0.3">
      <c r="A10211" s="161">
        <v>75101</v>
      </c>
      <c r="B10211" t="s">
        <v>25204</v>
      </c>
      <c r="C10211" t="s">
        <v>176</v>
      </c>
      <c r="D10211">
        <v>3.2</v>
      </c>
      <c r="E10211">
        <v>0</v>
      </c>
      <c r="F10211">
        <f t="shared" si="171"/>
        <v>3.2</v>
      </c>
      <c r="G10211">
        <v>1</v>
      </c>
      <c r="H10211">
        <f t="shared" ref="H10211:H10230" si="172">G10211*F10211</f>
        <v>3.2</v>
      </c>
      <c r="I10211">
        <v>20240201</v>
      </c>
      <c r="J10211" t="s">
        <v>9722</v>
      </c>
      <c r="K10211" t="s">
        <v>9723</v>
      </c>
      <c r="L10211" t="s">
        <v>9724</v>
      </c>
      <c r="M10211" t="s">
        <v>9725</v>
      </c>
      <c r="N10211" t="s">
        <v>9726</v>
      </c>
      <c r="O10211" t="s">
        <v>9727</v>
      </c>
      <c r="P10211" t="s">
        <v>9728</v>
      </c>
      <c r="Q10211" t="s">
        <v>9729</v>
      </c>
      <c r="R10211" t="s">
        <v>9730</v>
      </c>
      <c r="S10211" t="s">
        <v>9731</v>
      </c>
      <c r="T10211" t="s">
        <v>9732</v>
      </c>
      <c r="U10211" t="s">
        <v>9733</v>
      </c>
      <c r="V10211" t="s">
        <v>9734</v>
      </c>
      <c r="W10211" t="s">
        <v>9735</v>
      </c>
      <c r="X10211" t="s">
        <v>9736</v>
      </c>
      <c r="Y10211" t="s">
        <v>9737</v>
      </c>
      <c r="Z10211" t="s">
        <v>9738</v>
      </c>
      <c r="AA10211" t="s">
        <v>9739</v>
      </c>
      <c r="AB10211" t="s">
        <v>9740</v>
      </c>
      <c r="AC10211" t="s">
        <v>9741</v>
      </c>
      <c r="AD10211" t="s">
        <v>9742</v>
      </c>
      <c r="AE10211" t="s">
        <v>9743</v>
      </c>
      <c r="AF10211" t="s">
        <v>9744</v>
      </c>
      <c r="AG10211" t="s">
        <v>9745</v>
      </c>
      <c r="AH10211" t="s">
        <v>9746</v>
      </c>
      <c r="AI10211" t="s">
        <v>9747</v>
      </c>
      <c r="AJ10211" t="s">
        <v>9748</v>
      </c>
      <c r="AK10211" t="s">
        <v>9749</v>
      </c>
      <c r="AL10211" t="s">
        <v>9750</v>
      </c>
      <c r="AM10211" t="s">
        <v>9751</v>
      </c>
      <c r="AN10211" t="s">
        <v>9752</v>
      </c>
      <c r="AO10211" t="s">
        <v>9753</v>
      </c>
      <c r="AP10211" t="s">
        <v>9754</v>
      </c>
      <c r="AQ10211" t="s">
        <v>9755</v>
      </c>
      <c r="AR10211" t="s">
        <v>9756</v>
      </c>
      <c r="AS10211" t="s">
        <v>9757</v>
      </c>
    </row>
    <row r="10212" spans="1:67" x14ac:dyDescent="0.3">
      <c r="A10212" s="160">
        <v>75102</v>
      </c>
      <c r="B10212" t="s">
        <v>25205</v>
      </c>
      <c r="C10212" t="s">
        <v>176</v>
      </c>
      <c r="D10212">
        <v>3.2</v>
      </c>
      <c r="E10212">
        <v>0</v>
      </c>
      <c r="F10212">
        <f t="shared" si="171"/>
        <v>3.2</v>
      </c>
      <c r="G10212">
        <v>1</v>
      </c>
      <c r="H10212">
        <f t="shared" si="172"/>
        <v>3.2</v>
      </c>
      <c r="I10212">
        <v>20240201</v>
      </c>
      <c r="J10212" t="s">
        <v>9758</v>
      </c>
      <c r="K10212" t="s">
        <v>9759</v>
      </c>
      <c r="L10212" t="s">
        <v>9760</v>
      </c>
      <c r="M10212" t="s">
        <v>9761</v>
      </c>
      <c r="N10212" t="s">
        <v>9762</v>
      </c>
      <c r="O10212" t="s">
        <v>9763</v>
      </c>
      <c r="P10212" t="s">
        <v>9764</v>
      </c>
      <c r="Q10212" t="s">
        <v>9765</v>
      </c>
      <c r="R10212" t="s">
        <v>9766</v>
      </c>
      <c r="S10212" t="s">
        <v>9767</v>
      </c>
      <c r="T10212" t="s">
        <v>9768</v>
      </c>
      <c r="U10212" t="s">
        <v>9769</v>
      </c>
      <c r="V10212" t="s">
        <v>9770</v>
      </c>
      <c r="W10212" t="s">
        <v>9771</v>
      </c>
      <c r="X10212" t="s">
        <v>9772</v>
      </c>
      <c r="Y10212" t="s">
        <v>9754</v>
      </c>
      <c r="Z10212" t="s">
        <v>9773</v>
      </c>
      <c r="AA10212" t="s">
        <v>9774</v>
      </c>
      <c r="AB10212" t="s">
        <v>9775</v>
      </c>
      <c r="AC10212" t="s">
        <v>9776</v>
      </c>
      <c r="AD10212" t="s">
        <v>9777</v>
      </c>
      <c r="AE10212" t="s">
        <v>9778</v>
      </c>
      <c r="AF10212" t="s">
        <v>9779</v>
      </c>
      <c r="AG10212" t="s">
        <v>9780</v>
      </c>
      <c r="AH10212" t="s">
        <v>9781</v>
      </c>
      <c r="AI10212" t="s">
        <v>9782</v>
      </c>
      <c r="AJ10212" t="s">
        <v>9783</v>
      </c>
      <c r="AK10212" t="s">
        <v>9784</v>
      </c>
      <c r="AL10212" t="s">
        <v>9785</v>
      </c>
      <c r="AM10212" t="s">
        <v>9786</v>
      </c>
      <c r="AN10212" t="s">
        <v>9787</v>
      </c>
      <c r="AO10212" t="s">
        <v>9788</v>
      </c>
      <c r="AP10212" t="s">
        <v>9789</v>
      </c>
      <c r="AQ10212" t="s">
        <v>9790</v>
      </c>
      <c r="AR10212" t="s">
        <v>9791</v>
      </c>
      <c r="AS10212" t="s">
        <v>9792</v>
      </c>
      <c r="AT10212" t="s">
        <v>9793</v>
      </c>
      <c r="AU10212" t="s">
        <v>9794</v>
      </c>
      <c r="AV10212" t="s">
        <v>9795</v>
      </c>
      <c r="AW10212" t="s">
        <v>9796</v>
      </c>
      <c r="AX10212" t="s">
        <v>9797</v>
      </c>
      <c r="AY10212" t="s">
        <v>9798</v>
      </c>
      <c r="AZ10212" t="s">
        <v>9799</v>
      </c>
    </row>
    <row r="10213" spans="1:67" x14ac:dyDescent="0.3">
      <c r="A10213" s="160">
        <v>75103</v>
      </c>
      <c r="B10213" t="s">
        <v>25206</v>
      </c>
      <c r="C10213" t="s">
        <v>176</v>
      </c>
      <c r="D10213">
        <v>3.2</v>
      </c>
      <c r="E10213">
        <v>0</v>
      </c>
      <c r="F10213">
        <f t="shared" si="171"/>
        <v>3.2</v>
      </c>
      <c r="G10213">
        <v>1</v>
      </c>
      <c r="H10213">
        <f t="shared" si="172"/>
        <v>3.2</v>
      </c>
      <c r="I10213">
        <v>20240201</v>
      </c>
      <c r="J10213" t="s">
        <v>9800</v>
      </c>
      <c r="K10213" t="s">
        <v>9801</v>
      </c>
      <c r="L10213" t="s">
        <v>9802</v>
      </c>
      <c r="M10213" t="s">
        <v>9803</v>
      </c>
      <c r="N10213" t="s">
        <v>9804</v>
      </c>
      <c r="O10213" t="s">
        <v>9805</v>
      </c>
      <c r="P10213" t="s">
        <v>9806</v>
      </c>
      <c r="Q10213" t="s">
        <v>9807</v>
      </c>
      <c r="R10213" t="s">
        <v>9808</v>
      </c>
      <c r="S10213" t="s">
        <v>9809</v>
      </c>
      <c r="T10213" t="s">
        <v>9810</v>
      </c>
      <c r="U10213" t="s">
        <v>9811</v>
      </c>
    </row>
    <row r="10214" spans="1:67" x14ac:dyDescent="0.3">
      <c r="A10214" s="160">
        <v>75104</v>
      </c>
      <c r="B10214" t="s">
        <v>25207</v>
      </c>
      <c r="C10214" t="s">
        <v>176</v>
      </c>
      <c r="D10214">
        <v>3.2</v>
      </c>
      <c r="E10214">
        <v>0</v>
      </c>
      <c r="F10214">
        <f t="shared" si="171"/>
        <v>3.2</v>
      </c>
      <c r="G10214">
        <v>1</v>
      </c>
      <c r="H10214">
        <f t="shared" si="172"/>
        <v>3.2</v>
      </c>
      <c r="I10214">
        <v>20240201</v>
      </c>
      <c r="J10214" t="s">
        <v>9812</v>
      </c>
      <c r="K10214" t="s">
        <v>9813</v>
      </c>
      <c r="L10214" t="s">
        <v>9814</v>
      </c>
      <c r="M10214" t="s">
        <v>9815</v>
      </c>
      <c r="N10214" t="s">
        <v>9816</v>
      </c>
      <c r="O10214" t="s">
        <v>9817</v>
      </c>
      <c r="P10214" t="s">
        <v>9818</v>
      </c>
      <c r="Q10214" t="s">
        <v>9819</v>
      </c>
      <c r="R10214" t="s">
        <v>9820</v>
      </c>
      <c r="S10214" t="s">
        <v>9821</v>
      </c>
      <c r="T10214" t="s">
        <v>9822</v>
      </c>
      <c r="U10214" t="s">
        <v>9823</v>
      </c>
      <c r="V10214" t="s">
        <v>9824</v>
      </c>
      <c r="W10214" t="s">
        <v>9825</v>
      </c>
      <c r="X10214" t="s">
        <v>9756</v>
      </c>
      <c r="Y10214" t="s">
        <v>9826</v>
      </c>
      <c r="Z10214" t="s">
        <v>9827</v>
      </c>
      <c r="AA10214" t="s">
        <v>9828</v>
      </c>
      <c r="AB10214" t="s">
        <v>9829</v>
      </c>
    </row>
    <row r="10215" spans="1:67" x14ac:dyDescent="0.3">
      <c r="A10215" s="160">
        <v>75105</v>
      </c>
      <c r="B10215" t="s">
        <v>25208</v>
      </c>
      <c r="C10215" t="s">
        <v>176</v>
      </c>
      <c r="D10215">
        <v>3.2</v>
      </c>
      <c r="E10215">
        <v>0</v>
      </c>
      <c r="F10215">
        <f t="shared" si="171"/>
        <v>3.2</v>
      </c>
      <c r="G10215">
        <v>1</v>
      </c>
      <c r="H10215">
        <f t="shared" si="172"/>
        <v>3.2</v>
      </c>
      <c r="I10215">
        <v>20240201</v>
      </c>
      <c r="J10215" t="s">
        <v>9830</v>
      </c>
      <c r="K10215" t="s">
        <v>9831</v>
      </c>
      <c r="L10215" t="s">
        <v>9832</v>
      </c>
      <c r="M10215" t="s">
        <v>9833</v>
      </c>
      <c r="N10215" t="s">
        <v>9834</v>
      </c>
      <c r="O10215" t="s">
        <v>9835</v>
      </c>
      <c r="P10215" t="s">
        <v>9836</v>
      </c>
      <c r="Q10215" t="s">
        <v>9837</v>
      </c>
      <c r="R10215" t="s">
        <v>9838</v>
      </c>
      <c r="S10215" t="s">
        <v>9839</v>
      </c>
      <c r="T10215" t="s">
        <v>9840</v>
      </c>
      <c r="U10215" t="s">
        <v>9841</v>
      </c>
      <c r="V10215" t="s">
        <v>9842</v>
      </c>
      <c r="W10215" t="s">
        <v>9843</v>
      </c>
      <c r="X10215" t="s">
        <v>9844</v>
      </c>
      <c r="Y10215" t="s">
        <v>9845</v>
      </c>
      <c r="Z10215" t="s">
        <v>9846</v>
      </c>
      <c r="AA10215" t="s">
        <v>9847</v>
      </c>
      <c r="AB10215" t="s">
        <v>9848</v>
      </c>
      <c r="AC10215" t="s">
        <v>9849</v>
      </c>
      <c r="AD10215" t="s">
        <v>9850</v>
      </c>
      <c r="AE10215" t="s">
        <v>9851</v>
      </c>
      <c r="AF10215" t="s">
        <v>9852</v>
      </c>
      <c r="AG10215" t="s">
        <v>9853</v>
      </c>
      <c r="AH10215" t="s">
        <v>9854</v>
      </c>
      <c r="AI10215" t="s">
        <v>9855</v>
      </c>
      <c r="AJ10215" t="s">
        <v>9856</v>
      </c>
    </row>
    <row r="10216" spans="1:67" x14ac:dyDescent="0.3">
      <c r="A10216" s="160">
        <v>75106</v>
      </c>
      <c r="B10216" t="s">
        <v>25209</v>
      </c>
      <c r="C10216" t="s">
        <v>176</v>
      </c>
      <c r="D10216">
        <v>3.2</v>
      </c>
      <c r="E10216">
        <v>0</v>
      </c>
      <c r="F10216">
        <f t="shared" si="171"/>
        <v>3.2</v>
      </c>
      <c r="G10216">
        <v>1</v>
      </c>
      <c r="H10216">
        <f t="shared" si="172"/>
        <v>3.2</v>
      </c>
      <c r="I10216">
        <v>20240201</v>
      </c>
      <c r="J10216" t="s">
        <v>9857</v>
      </c>
      <c r="K10216" t="s">
        <v>9858</v>
      </c>
      <c r="L10216" t="s">
        <v>9859</v>
      </c>
      <c r="M10216" t="s">
        <v>9860</v>
      </c>
      <c r="N10216" t="s">
        <v>9856</v>
      </c>
      <c r="O10216" t="s">
        <v>9861</v>
      </c>
      <c r="P10216" t="s">
        <v>9862</v>
      </c>
      <c r="Q10216" t="s">
        <v>9863</v>
      </c>
      <c r="R10216" t="s">
        <v>9864</v>
      </c>
      <c r="S10216" t="s">
        <v>9865</v>
      </c>
      <c r="T10216" t="s">
        <v>9866</v>
      </c>
      <c r="U10216" t="s">
        <v>9867</v>
      </c>
      <c r="V10216" t="s">
        <v>9868</v>
      </c>
      <c r="W10216" t="s">
        <v>9869</v>
      </c>
      <c r="X10216" t="s">
        <v>9870</v>
      </c>
      <c r="Y10216" t="s">
        <v>9871</v>
      </c>
      <c r="Z10216" t="s">
        <v>9872</v>
      </c>
      <c r="AA10216" t="s">
        <v>9873</v>
      </c>
      <c r="AB10216" t="s">
        <v>9874</v>
      </c>
      <c r="AC10216" t="s">
        <v>9875</v>
      </c>
      <c r="AD10216" t="s">
        <v>9876</v>
      </c>
      <c r="AE10216" t="s">
        <v>9877</v>
      </c>
      <c r="AF10216" t="s">
        <v>9878</v>
      </c>
      <c r="AG10216" t="s">
        <v>9879</v>
      </c>
    </row>
    <row r="10217" spans="1:67" x14ac:dyDescent="0.3">
      <c r="A10217" s="160">
        <v>75107</v>
      </c>
      <c r="B10217" t="s">
        <v>25210</v>
      </c>
      <c r="C10217" t="s">
        <v>176</v>
      </c>
      <c r="D10217">
        <v>3.2</v>
      </c>
      <c r="E10217">
        <v>0</v>
      </c>
      <c r="F10217">
        <f t="shared" si="171"/>
        <v>3.2</v>
      </c>
      <c r="G10217">
        <v>1</v>
      </c>
      <c r="H10217">
        <f t="shared" si="172"/>
        <v>3.2</v>
      </c>
      <c r="I10217">
        <v>20240201</v>
      </c>
      <c r="J10217" t="s">
        <v>9880</v>
      </c>
      <c r="K10217" t="s">
        <v>9881</v>
      </c>
      <c r="L10217" t="s">
        <v>9882</v>
      </c>
      <c r="M10217" t="s">
        <v>9883</v>
      </c>
      <c r="N10217" t="s">
        <v>9884</v>
      </c>
      <c r="O10217" t="s">
        <v>9885</v>
      </c>
      <c r="P10217" t="s">
        <v>9886</v>
      </c>
      <c r="Q10217" t="s">
        <v>9887</v>
      </c>
      <c r="R10217" t="s">
        <v>9888</v>
      </c>
      <c r="S10217" t="s">
        <v>9889</v>
      </c>
      <c r="T10217" t="s">
        <v>9890</v>
      </c>
      <c r="U10217" t="s">
        <v>9891</v>
      </c>
      <c r="V10217" t="s">
        <v>9892</v>
      </c>
      <c r="W10217" t="s">
        <v>9893</v>
      </c>
      <c r="X10217" t="s">
        <v>9894</v>
      </c>
      <c r="Y10217" t="s">
        <v>9895</v>
      </c>
      <c r="Z10217" t="s">
        <v>9896</v>
      </c>
      <c r="AA10217" t="s">
        <v>9897</v>
      </c>
      <c r="AB10217" t="s">
        <v>9898</v>
      </c>
      <c r="AC10217" t="s">
        <v>9899</v>
      </c>
      <c r="AD10217" t="s">
        <v>9900</v>
      </c>
      <c r="AE10217" t="s">
        <v>9901</v>
      </c>
      <c r="AF10217" t="s">
        <v>9902</v>
      </c>
      <c r="AG10217" t="s">
        <v>9903</v>
      </c>
      <c r="AH10217" t="s">
        <v>9904</v>
      </c>
      <c r="AI10217" t="s">
        <v>9905</v>
      </c>
      <c r="AJ10217" t="s">
        <v>9906</v>
      </c>
      <c r="AK10217" t="s">
        <v>9907</v>
      </c>
      <c r="AL10217" t="s">
        <v>9908</v>
      </c>
      <c r="AM10217" t="s">
        <v>9909</v>
      </c>
      <c r="AN10217" t="s">
        <v>9910</v>
      </c>
      <c r="AO10217" t="s">
        <v>9911</v>
      </c>
      <c r="AP10217" t="s">
        <v>9912</v>
      </c>
      <c r="AQ10217" t="s">
        <v>9913</v>
      </c>
    </row>
    <row r="10218" spans="1:67" x14ac:dyDescent="0.3">
      <c r="A10218" s="160">
        <v>75108</v>
      </c>
      <c r="B10218" t="s">
        <v>25211</v>
      </c>
      <c r="C10218" t="s">
        <v>176</v>
      </c>
      <c r="D10218">
        <v>3.2</v>
      </c>
      <c r="E10218">
        <v>0</v>
      </c>
      <c r="F10218">
        <f t="shared" si="171"/>
        <v>3.2</v>
      </c>
      <c r="G10218">
        <v>1</v>
      </c>
      <c r="H10218">
        <f t="shared" si="172"/>
        <v>3.2</v>
      </c>
      <c r="I10218">
        <v>20240201</v>
      </c>
      <c r="J10218" t="s">
        <v>9914</v>
      </c>
      <c r="K10218" t="s">
        <v>9915</v>
      </c>
      <c r="L10218" t="s">
        <v>9916</v>
      </c>
      <c r="M10218" t="s">
        <v>9917</v>
      </c>
      <c r="N10218" t="s">
        <v>9918</v>
      </c>
      <c r="O10218" t="s">
        <v>9919</v>
      </c>
      <c r="P10218" t="s">
        <v>9920</v>
      </c>
      <c r="Q10218" t="s">
        <v>9921</v>
      </c>
      <c r="R10218" t="s">
        <v>9922</v>
      </c>
      <c r="S10218" t="s">
        <v>9923</v>
      </c>
      <c r="T10218" t="s">
        <v>9924</v>
      </c>
      <c r="U10218" t="s">
        <v>9925</v>
      </c>
      <c r="V10218" t="s">
        <v>9926</v>
      </c>
      <c r="W10218" t="s">
        <v>9927</v>
      </c>
      <c r="X10218" t="s">
        <v>9928</v>
      </c>
      <c r="Y10218" t="s">
        <v>9929</v>
      </c>
      <c r="Z10218" t="s">
        <v>9930</v>
      </c>
      <c r="AA10218" t="s">
        <v>9931</v>
      </c>
      <c r="AB10218" t="s">
        <v>9932</v>
      </c>
      <c r="AC10218" t="s">
        <v>9933</v>
      </c>
      <c r="AD10218" t="s">
        <v>9934</v>
      </c>
      <c r="AE10218" t="s">
        <v>9935</v>
      </c>
      <c r="AF10218" t="s">
        <v>9936</v>
      </c>
      <c r="AG10218" t="s">
        <v>9937</v>
      </c>
      <c r="AH10218" t="s">
        <v>9938</v>
      </c>
      <c r="AI10218" t="s">
        <v>9939</v>
      </c>
      <c r="AJ10218" t="s">
        <v>9940</v>
      </c>
      <c r="AK10218" t="s">
        <v>9941</v>
      </c>
      <c r="AL10218" t="s">
        <v>9942</v>
      </c>
      <c r="AM10218" t="s">
        <v>9943</v>
      </c>
      <c r="AN10218" t="s">
        <v>9944</v>
      </c>
      <c r="AO10218" t="s">
        <v>9945</v>
      </c>
      <c r="AP10218" t="s">
        <v>9946</v>
      </c>
      <c r="AQ10218" t="s">
        <v>9947</v>
      </c>
      <c r="AR10218" t="s">
        <v>9948</v>
      </c>
      <c r="AS10218" t="s">
        <v>9949</v>
      </c>
      <c r="AT10218" t="s">
        <v>9950</v>
      </c>
      <c r="AU10218" t="s">
        <v>9951</v>
      </c>
      <c r="AV10218" t="s">
        <v>9952</v>
      </c>
      <c r="AW10218" t="s">
        <v>9953</v>
      </c>
      <c r="AX10218" t="s">
        <v>9954</v>
      </c>
      <c r="AY10218" t="s">
        <v>9955</v>
      </c>
      <c r="AZ10218" t="s">
        <v>9956</v>
      </c>
      <c r="BA10218" t="s">
        <v>9957</v>
      </c>
      <c r="BB10218" t="s">
        <v>9958</v>
      </c>
      <c r="BC10218" t="s">
        <v>9959</v>
      </c>
      <c r="BD10218" t="s">
        <v>9960</v>
      </c>
      <c r="BE10218" t="s">
        <v>9961</v>
      </c>
      <c r="BF10218" t="s">
        <v>9962</v>
      </c>
      <c r="BG10218" t="s">
        <v>9963</v>
      </c>
      <c r="BH10218" t="s">
        <v>9964</v>
      </c>
      <c r="BI10218" t="s">
        <v>9965</v>
      </c>
      <c r="BJ10218" t="s">
        <v>9966</v>
      </c>
      <c r="BK10218" t="s">
        <v>9967</v>
      </c>
      <c r="BL10218" t="s">
        <v>9968</v>
      </c>
      <c r="BM10218" t="s">
        <v>9969</v>
      </c>
      <c r="BN10218" t="s">
        <v>9970</v>
      </c>
      <c r="BO10218" t="s">
        <v>9971</v>
      </c>
    </row>
    <row r="10219" spans="1:67" x14ac:dyDescent="0.3">
      <c r="A10219" s="160">
        <v>75109</v>
      </c>
      <c r="B10219" t="s">
        <v>25212</v>
      </c>
      <c r="C10219" t="s">
        <v>176</v>
      </c>
      <c r="D10219">
        <v>3.2</v>
      </c>
      <c r="E10219">
        <v>0</v>
      </c>
      <c r="F10219">
        <f t="shared" si="171"/>
        <v>3.2</v>
      </c>
      <c r="G10219">
        <v>1</v>
      </c>
      <c r="H10219">
        <f t="shared" si="172"/>
        <v>3.2</v>
      </c>
      <c r="I10219">
        <v>20240201</v>
      </c>
      <c r="J10219" t="s">
        <v>9972</v>
      </c>
      <c r="K10219" t="s">
        <v>9973</v>
      </c>
      <c r="L10219" t="s">
        <v>9974</v>
      </c>
      <c r="M10219" t="s">
        <v>9975</v>
      </c>
      <c r="N10219" t="s">
        <v>9976</v>
      </c>
      <c r="O10219" t="s">
        <v>9977</v>
      </c>
      <c r="P10219" t="s">
        <v>9978</v>
      </c>
      <c r="Q10219" t="s">
        <v>9979</v>
      </c>
      <c r="R10219" t="s">
        <v>9980</v>
      </c>
      <c r="S10219" t="s">
        <v>9981</v>
      </c>
      <c r="T10219" t="s">
        <v>9982</v>
      </c>
      <c r="U10219" t="s">
        <v>9983</v>
      </c>
      <c r="V10219" t="s">
        <v>9984</v>
      </c>
      <c r="W10219" t="s">
        <v>9985</v>
      </c>
      <c r="X10219" t="s">
        <v>9986</v>
      </c>
      <c r="Y10219" t="s">
        <v>9987</v>
      </c>
      <c r="Z10219" t="s">
        <v>9988</v>
      </c>
      <c r="AA10219" t="s">
        <v>9989</v>
      </c>
      <c r="AB10219" t="s">
        <v>9990</v>
      </c>
      <c r="AC10219" t="s">
        <v>9991</v>
      </c>
      <c r="AD10219" t="s">
        <v>9992</v>
      </c>
      <c r="AE10219" t="s">
        <v>9993</v>
      </c>
      <c r="AF10219" t="s">
        <v>9994</v>
      </c>
      <c r="AG10219" t="s">
        <v>9995</v>
      </c>
      <c r="AH10219" t="s">
        <v>9996</v>
      </c>
      <c r="AI10219" t="s">
        <v>9997</v>
      </c>
      <c r="AJ10219" t="s">
        <v>9998</v>
      </c>
      <c r="AK10219" t="s">
        <v>9999</v>
      </c>
      <c r="AL10219" t="s">
        <v>10000</v>
      </c>
      <c r="AM10219" t="s">
        <v>10001</v>
      </c>
      <c r="AN10219" t="s">
        <v>10002</v>
      </c>
      <c r="AO10219" t="s">
        <v>10003</v>
      </c>
      <c r="AP10219" t="s">
        <v>10004</v>
      </c>
      <c r="AQ10219" t="s">
        <v>10005</v>
      </c>
      <c r="AR10219" t="s">
        <v>10006</v>
      </c>
      <c r="AS10219" t="s">
        <v>10007</v>
      </c>
      <c r="AT10219" t="s">
        <v>10008</v>
      </c>
      <c r="AU10219" t="s">
        <v>10009</v>
      </c>
      <c r="AV10219" t="s">
        <v>10010</v>
      </c>
      <c r="AW10219" t="s">
        <v>10011</v>
      </c>
      <c r="AX10219" t="s">
        <v>10012</v>
      </c>
      <c r="AY10219" t="s">
        <v>10013</v>
      </c>
      <c r="AZ10219" t="s">
        <v>10014</v>
      </c>
      <c r="BA10219" t="s">
        <v>10015</v>
      </c>
      <c r="BB10219" t="s">
        <v>10016</v>
      </c>
      <c r="BC10219" t="s">
        <v>10017</v>
      </c>
      <c r="BD10219" t="s">
        <v>10018</v>
      </c>
      <c r="BE10219" t="s">
        <v>10019</v>
      </c>
      <c r="BF10219" t="s">
        <v>10020</v>
      </c>
    </row>
    <row r="10220" spans="1:67" x14ac:dyDescent="0.3">
      <c r="A10220" s="160">
        <v>75110</v>
      </c>
      <c r="B10220" t="s">
        <v>25213</v>
      </c>
      <c r="C10220" t="s">
        <v>176</v>
      </c>
      <c r="D10220">
        <v>3.2</v>
      </c>
      <c r="E10220">
        <v>0</v>
      </c>
      <c r="F10220">
        <f t="shared" si="171"/>
        <v>3.2</v>
      </c>
      <c r="G10220">
        <v>1</v>
      </c>
      <c r="H10220">
        <f t="shared" si="172"/>
        <v>3.2</v>
      </c>
      <c r="I10220">
        <v>20240201</v>
      </c>
      <c r="J10220" t="s">
        <v>10021</v>
      </c>
      <c r="K10220" t="s">
        <v>10022</v>
      </c>
      <c r="L10220" t="s">
        <v>10023</v>
      </c>
      <c r="M10220" t="s">
        <v>10024</v>
      </c>
      <c r="N10220" t="s">
        <v>10025</v>
      </c>
      <c r="O10220" t="s">
        <v>10026</v>
      </c>
      <c r="P10220" t="s">
        <v>10027</v>
      </c>
      <c r="Q10220" t="s">
        <v>10028</v>
      </c>
      <c r="R10220" t="s">
        <v>10029</v>
      </c>
      <c r="S10220" t="s">
        <v>10030</v>
      </c>
      <c r="T10220" t="s">
        <v>10031</v>
      </c>
      <c r="U10220" t="s">
        <v>10032</v>
      </c>
      <c r="V10220" t="s">
        <v>10033</v>
      </c>
      <c r="W10220" t="s">
        <v>10034</v>
      </c>
      <c r="X10220" t="s">
        <v>10035</v>
      </c>
      <c r="Y10220" t="s">
        <v>10036</v>
      </c>
      <c r="Z10220" t="s">
        <v>10037</v>
      </c>
      <c r="AA10220" t="s">
        <v>10038</v>
      </c>
      <c r="AB10220" t="s">
        <v>10039</v>
      </c>
      <c r="AC10220" t="s">
        <v>10040</v>
      </c>
      <c r="AD10220" t="s">
        <v>10041</v>
      </c>
      <c r="AE10220" t="s">
        <v>10042</v>
      </c>
      <c r="AF10220" t="s">
        <v>10043</v>
      </c>
      <c r="AG10220" t="s">
        <v>10044</v>
      </c>
      <c r="AH10220" t="s">
        <v>10045</v>
      </c>
      <c r="AI10220" t="s">
        <v>10046</v>
      </c>
      <c r="AJ10220" t="s">
        <v>10047</v>
      </c>
      <c r="AK10220" t="s">
        <v>10048</v>
      </c>
      <c r="AL10220" t="s">
        <v>10049</v>
      </c>
      <c r="AM10220" t="s">
        <v>10050</v>
      </c>
      <c r="AN10220" t="s">
        <v>10051</v>
      </c>
      <c r="AO10220" t="s">
        <v>10052</v>
      </c>
      <c r="AP10220" t="s">
        <v>10053</v>
      </c>
      <c r="AQ10220" t="s">
        <v>10054</v>
      </c>
      <c r="AR10220" t="s">
        <v>10055</v>
      </c>
    </row>
    <row r="10221" spans="1:67" x14ac:dyDescent="0.3">
      <c r="A10221" s="160">
        <v>75111</v>
      </c>
      <c r="B10221" t="s">
        <v>25214</v>
      </c>
      <c r="C10221" t="s">
        <v>176</v>
      </c>
      <c r="D10221">
        <v>3.2</v>
      </c>
      <c r="E10221">
        <v>0</v>
      </c>
      <c r="F10221">
        <f t="shared" si="171"/>
        <v>3.2</v>
      </c>
      <c r="G10221">
        <v>1</v>
      </c>
      <c r="H10221">
        <f t="shared" si="172"/>
        <v>3.2</v>
      </c>
      <c r="I10221">
        <v>20240201</v>
      </c>
      <c r="J10221" t="s">
        <v>10056</v>
      </c>
      <c r="K10221" t="s">
        <v>10057</v>
      </c>
      <c r="L10221" t="s">
        <v>10058</v>
      </c>
      <c r="M10221" t="s">
        <v>10059</v>
      </c>
      <c r="N10221" t="s">
        <v>10060</v>
      </c>
      <c r="O10221" t="s">
        <v>10061</v>
      </c>
      <c r="P10221" t="s">
        <v>10062</v>
      </c>
      <c r="Q10221" t="s">
        <v>10063</v>
      </c>
      <c r="R10221" t="s">
        <v>10064</v>
      </c>
      <c r="S10221" t="s">
        <v>10065</v>
      </c>
      <c r="T10221" t="s">
        <v>10066</v>
      </c>
      <c r="U10221" t="s">
        <v>10067</v>
      </c>
      <c r="V10221" t="s">
        <v>10068</v>
      </c>
      <c r="W10221" t="s">
        <v>10069</v>
      </c>
      <c r="X10221" t="s">
        <v>10070</v>
      </c>
      <c r="Y10221" t="s">
        <v>10071</v>
      </c>
      <c r="Z10221" t="s">
        <v>10072</v>
      </c>
      <c r="AA10221" t="s">
        <v>10073</v>
      </c>
      <c r="AB10221" t="s">
        <v>10074</v>
      </c>
      <c r="AC10221" t="s">
        <v>10075</v>
      </c>
      <c r="AD10221" t="s">
        <v>10076</v>
      </c>
      <c r="AE10221" t="s">
        <v>10077</v>
      </c>
      <c r="AF10221" t="s">
        <v>10078</v>
      </c>
      <c r="AG10221" t="s">
        <v>10079</v>
      </c>
      <c r="AH10221" t="s">
        <v>10080</v>
      </c>
      <c r="AI10221" t="s">
        <v>10081</v>
      </c>
      <c r="AJ10221" t="s">
        <v>10082</v>
      </c>
      <c r="AK10221" t="s">
        <v>10083</v>
      </c>
      <c r="AL10221" t="s">
        <v>10084</v>
      </c>
      <c r="AM10221" t="s">
        <v>10085</v>
      </c>
      <c r="AN10221" t="s">
        <v>10086</v>
      </c>
      <c r="AO10221" t="s">
        <v>10087</v>
      </c>
      <c r="AP10221" t="s">
        <v>10088</v>
      </c>
      <c r="AQ10221" t="s">
        <v>10089</v>
      </c>
      <c r="AR10221" t="s">
        <v>10090</v>
      </c>
    </row>
    <row r="10222" spans="1:67" x14ac:dyDescent="0.3">
      <c r="A10222" s="160">
        <v>75112</v>
      </c>
      <c r="B10222" t="s">
        <v>25215</v>
      </c>
      <c r="C10222" t="s">
        <v>176</v>
      </c>
      <c r="D10222">
        <v>3.2</v>
      </c>
      <c r="E10222">
        <v>0</v>
      </c>
      <c r="F10222">
        <f t="shared" si="171"/>
        <v>3.2</v>
      </c>
      <c r="G10222">
        <v>1</v>
      </c>
      <c r="H10222">
        <f t="shared" si="172"/>
        <v>3.2</v>
      </c>
      <c r="I10222">
        <v>20240201</v>
      </c>
      <c r="J10222" t="s">
        <v>10091</v>
      </c>
      <c r="K10222" t="s">
        <v>10092</v>
      </c>
      <c r="L10222" t="s">
        <v>10093</v>
      </c>
      <c r="M10222" t="s">
        <v>10094</v>
      </c>
      <c r="N10222" t="s">
        <v>10095</v>
      </c>
      <c r="O10222" t="s">
        <v>10096</v>
      </c>
      <c r="P10222" t="s">
        <v>10097</v>
      </c>
      <c r="Q10222" t="s">
        <v>10098</v>
      </c>
      <c r="R10222" t="s">
        <v>10099</v>
      </c>
      <c r="S10222" t="s">
        <v>10100</v>
      </c>
      <c r="T10222" t="s">
        <v>10101</v>
      </c>
      <c r="U10222" t="s">
        <v>10102</v>
      </c>
      <c r="V10222" t="s">
        <v>10103</v>
      </c>
      <c r="W10222" t="s">
        <v>10104</v>
      </c>
      <c r="X10222" t="s">
        <v>10105</v>
      </c>
      <c r="Y10222" t="s">
        <v>10106</v>
      </c>
      <c r="Z10222" t="s">
        <v>10107</v>
      </c>
      <c r="AA10222" t="s">
        <v>10108</v>
      </c>
      <c r="AB10222" t="s">
        <v>10109</v>
      </c>
      <c r="AC10222" t="s">
        <v>10110</v>
      </c>
      <c r="AD10222" t="s">
        <v>10111</v>
      </c>
      <c r="AE10222" t="s">
        <v>10112</v>
      </c>
      <c r="AF10222" t="s">
        <v>10113</v>
      </c>
      <c r="AG10222" t="s">
        <v>10114</v>
      </c>
      <c r="AH10222" t="s">
        <v>10115</v>
      </c>
      <c r="AI10222" t="s">
        <v>10116</v>
      </c>
      <c r="AJ10222" t="s">
        <v>10117</v>
      </c>
      <c r="AK10222" t="s">
        <v>10118</v>
      </c>
      <c r="AL10222" t="s">
        <v>10119</v>
      </c>
      <c r="AM10222" t="s">
        <v>10120</v>
      </c>
      <c r="AN10222" t="s">
        <v>10121</v>
      </c>
      <c r="AO10222" t="s">
        <v>10122</v>
      </c>
      <c r="AP10222" t="s">
        <v>10123</v>
      </c>
      <c r="AQ10222" t="s">
        <v>10124</v>
      </c>
      <c r="AR10222" t="s">
        <v>10125</v>
      </c>
      <c r="AS10222" t="s">
        <v>10126</v>
      </c>
      <c r="AT10222" t="s">
        <v>10127</v>
      </c>
      <c r="AU10222" t="s">
        <v>10128</v>
      </c>
      <c r="AV10222" t="s">
        <v>10129</v>
      </c>
      <c r="AW10222" t="s">
        <v>10130</v>
      </c>
      <c r="AX10222" t="s">
        <v>10131</v>
      </c>
      <c r="AY10222" t="s">
        <v>10132</v>
      </c>
      <c r="AZ10222" t="s">
        <v>10133</v>
      </c>
      <c r="BA10222" t="s">
        <v>10134</v>
      </c>
      <c r="BB10222" t="s">
        <v>10135</v>
      </c>
      <c r="BC10222" t="s">
        <v>10136</v>
      </c>
      <c r="BD10222" t="s">
        <v>10137</v>
      </c>
      <c r="BE10222" t="s">
        <v>10138</v>
      </c>
      <c r="BF10222" t="s">
        <v>10139</v>
      </c>
      <c r="BG10222" t="s">
        <v>10140</v>
      </c>
      <c r="BH10222" t="s">
        <v>10141</v>
      </c>
    </row>
    <row r="10223" spans="1:67" x14ac:dyDescent="0.3">
      <c r="A10223" s="160">
        <v>75113</v>
      </c>
      <c r="B10223" t="s">
        <v>25216</v>
      </c>
      <c r="C10223" t="s">
        <v>176</v>
      </c>
      <c r="D10223">
        <v>3.2</v>
      </c>
      <c r="E10223">
        <v>0</v>
      </c>
      <c r="F10223">
        <f t="shared" si="171"/>
        <v>3.2</v>
      </c>
      <c r="G10223">
        <v>1</v>
      </c>
      <c r="H10223">
        <f t="shared" si="172"/>
        <v>3.2</v>
      </c>
      <c r="I10223">
        <v>20240201</v>
      </c>
      <c r="J10223" t="s">
        <v>10142</v>
      </c>
      <c r="K10223" t="s">
        <v>10143</v>
      </c>
      <c r="L10223" t="s">
        <v>10144</v>
      </c>
      <c r="M10223" t="s">
        <v>10145</v>
      </c>
      <c r="N10223" t="s">
        <v>10146</v>
      </c>
      <c r="O10223" t="s">
        <v>10147</v>
      </c>
      <c r="P10223" t="s">
        <v>10148</v>
      </c>
      <c r="Q10223" t="s">
        <v>10149</v>
      </c>
      <c r="R10223" t="s">
        <v>10150</v>
      </c>
      <c r="S10223" t="s">
        <v>10151</v>
      </c>
      <c r="T10223" t="s">
        <v>10152</v>
      </c>
      <c r="U10223" t="s">
        <v>10153</v>
      </c>
      <c r="V10223" t="s">
        <v>10154</v>
      </c>
      <c r="W10223" t="s">
        <v>10155</v>
      </c>
      <c r="X10223" t="s">
        <v>10156</v>
      </c>
      <c r="Y10223" t="s">
        <v>10157</v>
      </c>
      <c r="Z10223" t="s">
        <v>10158</v>
      </c>
      <c r="AA10223" t="s">
        <v>10159</v>
      </c>
      <c r="AB10223" t="s">
        <v>10160</v>
      </c>
      <c r="AC10223" t="s">
        <v>10161</v>
      </c>
      <c r="AD10223" t="s">
        <v>10162</v>
      </c>
      <c r="AE10223" t="s">
        <v>10163</v>
      </c>
      <c r="AF10223" t="s">
        <v>10164</v>
      </c>
      <c r="AG10223" t="s">
        <v>10165</v>
      </c>
      <c r="AH10223" t="s">
        <v>10166</v>
      </c>
      <c r="AI10223" t="s">
        <v>10167</v>
      </c>
      <c r="AJ10223" t="s">
        <v>10168</v>
      </c>
      <c r="AK10223" t="s">
        <v>10169</v>
      </c>
      <c r="AL10223" t="s">
        <v>10170</v>
      </c>
      <c r="AM10223" t="s">
        <v>10171</v>
      </c>
      <c r="AN10223" t="s">
        <v>10172</v>
      </c>
      <c r="AO10223" t="s">
        <v>10173</v>
      </c>
      <c r="AP10223" t="s">
        <v>10174</v>
      </c>
      <c r="AQ10223" t="s">
        <v>10175</v>
      </c>
      <c r="AR10223" t="s">
        <v>10176</v>
      </c>
      <c r="AS10223" t="s">
        <v>10177</v>
      </c>
      <c r="AT10223" t="s">
        <v>10178</v>
      </c>
      <c r="AU10223" t="s">
        <v>10179</v>
      </c>
      <c r="AV10223" t="s">
        <v>10180</v>
      </c>
      <c r="AW10223" t="s">
        <v>10181</v>
      </c>
      <c r="AX10223" t="s">
        <v>10182</v>
      </c>
      <c r="AY10223" t="s">
        <v>10183</v>
      </c>
      <c r="AZ10223" t="s">
        <v>10184</v>
      </c>
      <c r="BA10223" t="s">
        <v>10185</v>
      </c>
      <c r="BB10223" t="s">
        <v>10186</v>
      </c>
      <c r="BC10223" t="s">
        <v>10187</v>
      </c>
      <c r="BD10223" t="s">
        <v>10188</v>
      </c>
      <c r="BE10223" t="s">
        <v>10189</v>
      </c>
      <c r="BF10223" t="s">
        <v>10190</v>
      </c>
      <c r="BG10223" t="s">
        <v>10191</v>
      </c>
      <c r="BH10223" t="s">
        <v>10192</v>
      </c>
      <c r="BI10223" t="s">
        <v>10193</v>
      </c>
      <c r="BJ10223" t="s">
        <v>10194</v>
      </c>
      <c r="BK10223" t="s">
        <v>10195</v>
      </c>
    </row>
    <row r="10224" spans="1:67" x14ac:dyDescent="0.3">
      <c r="A10224" s="160">
        <v>75114</v>
      </c>
      <c r="B10224" t="s">
        <v>25217</v>
      </c>
      <c r="C10224" t="s">
        <v>176</v>
      </c>
      <c r="D10224">
        <v>3.2</v>
      </c>
      <c r="E10224">
        <v>0</v>
      </c>
      <c r="F10224">
        <f t="shared" si="171"/>
        <v>3.2</v>
      </c>
      <c r="G10224">
        <v>1</v>
      </c>
      <c r="H10224">
        <f t="shared" si="172"/>
        <v>3.2</v>
      </c>
      <c r="I10224">
        <v>20240201</v>
      </c>
      <c r="J10224" t="s">
        <v>10196</v>
      </c>
      <c r="K10224" t="s">
        <v>10197</v>
      </c>
      <c r="L10224" t="s">
        <v>10198</v>
      </c>
      <c r="M10224" t="s">
        <v>10199</v>
      </c>
      <c r="N10224" t="s">
        <v>10200</v>
      </c>
      <c r="O10224" t="s">
        <v>10201</v>
      </c>
      <c r="P10224" t="s">
        <v>10202</v>
      </c>
      <c r="Q10224" t="s">
        <v>10203</v>
      </c>
      <c r="R10224" t="s">
        <v>10204</v>
      </c>
      <c r="S10224" t="s">
        <v>10205</v>
      </c>
      <c r="T10224" t="s">
        <v>10206</v>
      </c>
      <c r="U10224" t="s">
        <v>10207</v>
      </c>
      <c r="V10224" t="s">
        <v>10208</v>
      </c>
      <c r="W10224" t="s">
        <v>10209</v>
      </c>
      <c r="X10224" t="s">
        <v>10210</v>
      </c>
      <c r="Y10224" t="s">
        <v>10211</v>
      </c>
      <c r="Z10224" t="s">
        <v>10212</v>
      </c>
      <c r="AA10224" t="s">
        <v>10213</v>
      </c>
      <c r="AB10224" t="s">
        <v>10214</v>
      </c>
      <c r="AC10224" t="s">
        <v>10215</v>
      </c>
      <c r="AD10224" t="s">
        <v>10216</v>
      </c>
      <c r="AE10224" t="s">
        <v>10217</v>
      </c>
      <c r="AF10224" t="s">
        <v>10218</v>
      </c>
      <c r="AG10224" t="s">
        <v>10219</v>
      </c>
      <c r="AH10224" t="s">
        <v>10220</v>
      </c>
      <c r="AI10224" t="s">
        <v>10221</v>
      </c>
      <c r="AJ10224" t="s">
        <v>10222</v>
      </c>
      <c r="AK10224" t="s">
        <v>10223</v>
      </c>
      <c r="AL10224" t="s">
        <v>10224</v>
      </c>
      <c r="AM10224" t="s">
        <v>10225</v>
      </c>
      <c r="AN10224" t="s">
        <v>10226</v>
      </c>
      <c r="AO10224" t="s">
        <v>10227</v>
      </c>
      <c r="AP10224" t="s">
        <v>10228</v>
      </c>
      <c r="AQ10224" t="s">
        <v>10229</v>
      </c>
      <c r="AR10224" t="s">
        <v>10230</v>
      </c>
      <c r="AS10224" t="s">
        <v>10231</v>
      </c>
      <c r="AT10224" t="s">
        <v>10232</v>
      </c>
    </row>
    <row r="10225" spans="1:67" x14ac:dyDescent="0.3">
      <c r="A10225" s="160">
        <v>75115</v>
      </c>
      <c r="B10225" t="s">
        <v>25218</v>
      </c>
      <c r="C10225" t="s">
        <v>176</v>
      </c>
      <c r="D10225">
        <v>3.2</v>
      </c>
      <c r="E10225">
        <v>0</v>
      </c>
      <c r="F10225">
        <f t="shared" si="171"/>
        <v>3.2</v>
      </c>
      <c r="G10225">
        <v>1</v>
      </c>
      <c r="H10225">
        <f t="shared" si="172"/>
        <v>3.2</v>
      </c>
      <c r="I10225">
        <v>20240201</v>
      </c>
      <c r="J10225" t="s">
        <v>10233</v>
      </c>
      <c r="K10225" t="s">
        <v>10234</v>
      </c>
      <c r="L10225" t="s">
        <v>10235</v>
      </c>
      <c r="M10225" t="s">
        <v>10236</v>
      </c>
      <c r="N10225" t="s">
        <v>10237</v>
      </c>
      <c r="O10225" t="s">
        <v>10238</v>
      </c>
      <c r="P10225" t="s">
        <v>10239</v>
      </c>
      <c r="Q10225" t="s">
        <v>10240</v>
      </c>
      <c r="R10225" t="s">
        <v>10241</v>
      </c>
      <c r="S10225" t="s">
        <v>10242</v>
      </c>
      <c r="T10225" t="s">
        <v>10243</v>
      </c>
      <c r="U10225" t="s">
        <v>10244</v>
      </c>
      <c r="V10225" t="s">
        <v>10245</v>
      </c>
      <c r="W10225" t="s">
        <v>10246</v>
      </c>
      <c r="X10225" t="s">
        <v>10247</v>
      </c>
      <c r="Y10225" t="s">
        <v>10248</v>
      </c>
      <c r="Z10225" t="s">
        <v>10249</v>
      </c>
      <c r="AA10225" t="s">
        <v>10250</v>
      </c>
      <c r="AB10225" t="s">
        <v>10251</v>
      </c>
      <c r="AC10225" t="s">
        <v>10252</v>
      </c>
      <c r="AD10225" t="s">
        <v>10253</v>
      </c>
      <c r="AE10225" t="s">
        <v>10254</v>
      </c>
      <c r="AF10225" t="s">
        <v>10255</v>
      </c>
      <c r="AG10225" t="s">
        <v>10256</v>
      </c>
      <c r="AH10225" t="s">
        <v>10257</v>
      </c>
      <c r="AI10225" t="s">
        <v>10258</v>
      </c>
      <c r="AJ10225" t="s">
        <v>10259</v>
      </c>
      <c r="AK10225" t="s">
        <v>10260</v>
      </c>
      <c r="AL10225" t="s">
        <v>10261</v>
      </c>
      <c r="AM10225" t="s">
        <v>10262</v>
      </c>
      <c r="AN10225" t="s">
        <v>10263</v>
      </c>
      <c r="AO10225" t="s">
        <v>10264</v>
      </c>
      <c r="AP10225" t="s">
        <v>10265</v>
      </c>
      <c r="AQ10225" t="s">
        <v>10266</v>
      </c>
      <c r="AR10225" t="s">
        <v>10267</v>
      </c>
      <c r="AS10225" t="s">
        <v>10268</v>
      </c>
      <c r="AT10225" t="s">
        <v>10269</v>
      </c>
      <c r="AU10225" t="s">
        <v>10270</v>
      </c>
      <c r="AV10225" t="s">
        <v>10271</v>
      </c>
      <c r="AW10225" t="s">
        <v>10272</v>
      </c>
      <c r="AX10225" t="s">
        <v>10273</v>
      </c>
      <c r="AY10225" t="s">
        <v>10274</v>
      </c>
      <c r="AZ10225" t="s">
        <v>10275</v>
      </c>
      <c r="BA10225" t="s">
        <v>10276</v>
      </c>
      <c r="BB10225" t="s">
        <v>10277</v>
      </c>
      <c r="BC10225" t="s">
        <v>10278</v>
      </c>
      <c r="BD10225" t="s">
        <v>10279</v>
      </c>
      <c r="BE10225" t="s">
        <v>10280</v>
      </c>
      <c r="BF10225" t="s">
        <v>10281</v>
      </c>
      <c r="BG10225" t="s">
        <v>10282</v>
      </c>
      <c r="BH10225" t="s">
        <v>10283</v>
      </c>
      <c r="BI10225" t="s">
        <v>10284</v>
      </c>
      <c r="BJ10225" t="s">
        <v>10285</v>
      </c>
      <c r="BK10225" t="s">
        <v>10286</v>
      </c>
      <c r="BL10225" t="s">
        <v>10287</v>
      </c>
      <c r="BM10225" t="s">
        <v>10288</v>
      </c>
      <c r="BN10225" t="s">
        <v>10289</v>
      </c>
      <c r="BO10225" t="s">
        <v>10290</v>
      </c>
    </row>
    <row r="10226" spans="1:67" x14ac:dyDescent="0.3">
      <c r="A10226" s="160">
        <v>75116</v>
      </c>
      <c r="B10226" t="s">
        <v>25219</v>
      </c>
      <c r="C10226" t="s">
        <v>176</v>
      </c>
      <c r="D10226">
        <v>3.2</v>
      </c>
      <c r="E10226">
        <v>0</v>
      </c>
      <c r="F10226">
        <f t="shared" si="171"/>
        <v>3.2</v>
      </c>
      <c r="G10226">
        <v>1</v>
      </c>
      <c r="H10226">
        <f t="shared" si="172"/>
        <v>3.2</v>
      </c>
      <c r="I10226">
        <v>20240201</v>
      </c>
      <c r="J10226" t="s">
        <v>10291</v>
      </c>
      <c r="K10226" t="s">
        <v>10292</v>
      </c>
      <c r="L10226" t="s">
        <v>10293</v>
      </c>
      <c r="M10226" t="s">
        <v>10294</v>
      </c>
      <c r="N10226" t="s">
        <v>10295</v>
      </c>
      <c r="O10226" t="s">
        <v>10296</v>
      </c>
      <c r="P10226" t="s">
        <v>10297</v>
      </c>
      <c r="Q10226" t="s">
        <v>10298</v>
      </c>
      <c r="R10226" t="s">
        <v>10299</v>
      </c>
      <c r="S10226" t="s">
        <v>10300</v>
      </c>
      <c r="T10226" t="s">
        <v>10301</v>
      </c>
      <c r="U10226" t="s">
        <v>10302</v>
      </c>
      <c r="V10226" t="s">
        <v>10303</v>
      </c>
      <c r="W10226" t="s">
        <v>10304</v>
      </c>
      <c r="X10226" t="s">
        <v>10305</v>
      </c>
      <c r="Y10226" t="s">
        <v>10306</v>
      </c>
      <c r="Z10226" t="s">
        <v>10307</v>
      </c>
      <c r="AA10226" t="s">
        <v>10308</v>
      </c>
      <c r="AB10226" t="s">
        <v>10309</v>
      </c>
      <c r="AC10226" t="s">
        <v>10310</v>
      </c>
      <c r="AD10226" t="s">
        <v>10311</v>
      </c>
      <c r="AE10226" t="s">
        <v>10312</v>
      </c>
      <c r="AF10226" t="s">
        <v>10313</v>
      </c>
      <c r="AG10226" t="s">
        <v>10314</v>
      </c>
      <c r="AH10226" t="s">
        <v>10315</v>
      </c>
      <c r="AI10226" t="s">
        <v>10316</v>
      </c>
      <c r="AJ10226" t="s">
        <v>10317</v>
      </c>
      <c r="AK10226" t="s">
        <v>10318</v>
      </c>
      <c r="AL10226" t="s">
        <v>10319</v>
      </c>
      <c r="AM10226" t="s">
        <v>10320</v>
      </c>
    </row>
    <row r="10227" spans="1:67" x14ac:dyDescent="0.3">
      <c r="A10227" s="160">
        <v>75117</v>
      </c>
      <c r="B10227" t="s">
        <v>25220</v>
      </c>
      <c r="C10227" t="s">
        <v>176</v>
      </c>
      <c r="D10227">
        <v>3.2</v>
      </c>
      <c r="E10227">
        <v>0</v>
      </c>
      <c r="F10227">
        <f t="shared" si="171"/>
        <v>3.2</v>
      </c>
      <c r="G10227">
        <v>1</v>
      </c>
      <c r="H10227">
        <f t="shared" si="172"/>
        <v>3.2</v>
      </c>
      <c r="I10227">
        <v>20240201</v>
      </c>
      <c r="J10227" t="s">
        <v>10321</v>
      </c>
      <c r="K10227" t="s">
        <v>10322</v>
      </c>
      <c r="L10227" t="s">
        <v>10323</v>
      </c>
      <c r="M10227" t="s">
        <v>10324</v>
      </c>
      <c r="N10227" t="s">
        <v>10325</v>
      </c>
      <c r="O10227" t="s">
        <v>10326</v>
      </c>
      <c r="P10227" t="s">
        <v>10327</v>
      </c>
      <c r="Q10227" t="s">
        <v>10328</v>
      </c>
      <c r="R10227" t="s">
        <v>10329</v>
      </c>
      <c r="S10227" t="s">
        <v>10330</v>
      </c>
      <c r="T10227" t="s">
        <v>10331</v>
      </c>
      <c r="U10227" t="s">
        <v>10332</v>
      </c>
      <c r="V10227" t="s">
        <v>10333</v>
      </c>
      <c r="W10227" t="s">
        <v>10334</v>
      </c>
      <c r="X10227" t="s">
        <v>10335</v>
      </c>
      <c r="Y10227" t="s">
        <v>10336</v>
      </c>
      <c r="Z10227" t="s">
        <v>10337</v>
      </c>
      <c r="AA10227" t="s">
        <v>10338</v>
      </c>
      <c r="AB10227" t="s">
        <v>10339</v>
      </c>
      <c r="AC10227" t="s">
        <v>10340</v>
      </c>
      <c r="AD10227" t="s">
        <v>10341</v>
      </c>
      <c r="AE10227" t="s">
        <v>10342</v>
      </c>
      <c r="AF10227" t="s">
        <v>10343</v>
      </c>
      <c r="AG10227" t="s">
        <v>10344</v>
      </c>
      <c r="AH10227" t="s">
        <v>10345</v>
      </c>
      <c r="AI10227" t="s">
        <v>10346</v>
      </c>
      <c r="AJ10227" t="s">
        <v>10347</v>
      </c>
      <c r="AK10227" t="s">
        <v>10348</v>
      </c>
      <c r="AL10227" t="s">
        <v>10349</v>
      </c>
      <c r="AM10227" t="s">
        <v>10350</v>
      </c>
      <c r="AN10227" t="s">
        <v>10351</v>
      </c>
      <c r="AO10227" t="s">
        <v>10352</v>
      </c>
      <c r="AP10227" t="s">
        <v>10353</v>
      </c>
      <c r="AQ10227" t="s">
        <v>10354</v>
      </c>
      <c r="AR10227" t="s">
        <v>10355</v>
      </c>
      <c r="AS10227" t="s">
        <v>10356</v>
      </c>
      <c r="AT10227" t="s">
        <v>10357</v>
      </c>
      <c r="AU10227" t="s">
        <v>10358</v>
      </c>
      <c r="AV10227" t="s">
        <v>10359</v>
      </c>
      <c r="AW10227" t="s">
        <v>10360</v>
      </c>
      <c r="AX10227" t="s">
        <v>10361</v>
      </c>
      <c r="AY10227" t="s">
        <v>10362</v>
      </c>
      <c r="AZ10227" t="s">
        <v>10363</v>
      </c>
      <c r="BA10227" t="s">
        <v>10364</v>
      </c>
      <c r="BB10227" t="s">
        <v>10365</v>
      </c>
      <c r="BC10227" t="s">
        <v>10366</v>
      </c>
      <c r="BD10227" t="s">
        <v>10367</v>
      </c>
      <c r="BE10227" t="s">
        <v>10368</v>
      </c>
      <c r="BF10227" t="s">
        <v>10369</v>
      </c>
      <c r="BG10227" t="s">
        <v>10370</v>
      </c>
      <c r="BH10227" t="s">
        <v>10371</v>
      </c>
      <c r="BI10227" t="s">
        <v>9971</v>
      </c>
      <c r="BJ10227" t="s">
        <v>10372</v>
      </c>
      <c r="BK10227" t="s">
        <v>10373</v>
      </c>
      <c r="BL10227" t="s">
        <v>10374</v>
      </c>
      <c r="BM10227" t="s">
        <v>10375</v>
      </c>
      <c r="BN10227" t="s">
        <v>10376</v>
      </c>
      <c r="BO10227" t="s">
        <v>10377</v>
      </c>
    </row>
    <row r="10228" spans="1:67" x14ac:dyDescent="0.3">
      <c r="A10228" s="160">
        <v>75118</v>
      </c>
      <c r="B10228" t="s">
        <v>25221</v>
      </c>
      <c r="C10228" t="s">
        <v>176</v>
      </c>
      <c r="D10228">
        <v>3.2</v>
      </c>
      <c r="E10228">
        <v>0</v>
      </c>
      <c r="F10228">
        <f t="shared" si="171"/>
        <v>3.2</v>
      </c>
      <c r="G10228">
        <v>1</v>
      </c>
      <c r="H10228">
        <f t="shared" si="172"/>
        <v>3.2</v>
      </c>
      <c r="I10228">
        <v>20240201</v>
      </c>
      <c r="J10228" t="s">
        <v>10378</v>
      </c>
      <c r="K10228" t="s">
        <v>10379</v>
      </c>
      <c r="L10228" t="s">
        <v>10380</v>
      </c>
      <c r="M10228" t="s">
        <v>10381</v>
      </c>
      <c r="N10228" t="s">
        <v>10382</v>
      </c>
      <c r="O10228" t="s">
        <v>10383</v>
      </c>
      <c r="P10228" t="s">
        <v>10384</v>
      </c>
      <c r="Q10228" t="s">
        <v>10385</v>
      </c>
      <c r="R10228" t="s">
        <v>10386</v>
      </c>
      <c r="S10228" t="s">
        <v>10387</v>
      </c>
      <c r="T10228" t="s">
        <v>10388</v>
      </c>
      <c r="U10228" t="s">
        <v>10389</v>
      </c>
      <c r="V10228" t="s">
        <v>10390</v>
      </c>
      <c r="W10228" t="s">
        <v>10391</v>
      </c>
      <c r="X10228" t="s">
        <v>10392</v>
      </c>
      <c r="Y10228" t="s">
        <v>10393</v>
      </c>
      <c r="Z10228" t="s">
        <v>10394</v>
      </c>
      <c r="AA10228" t="s">
        <v>10395</v>
      </c>
      <c r="AB10228" t="s">
        <v>10396</v>
      </c>
      <c r="AC10228" t="s">
        <v>10397</v>
      </c>
      <c r="AD10228" t="s">
        <v>10398</v>
      </c>
      <c r="AE10228" t="s">
        <v>10399</v>
      </c>
      <c r="AF10228" t="s">
        <v>10400</v>
      </c>
      <c r="AG10228" t="s">
        <v>10401</v>
      </c>
      <c r="AH10228" t="s">
        <v>10402</v>
      </c>
      <c r="AI10228" t="s">
        <v>10403</v>
      </c>
      <c r="AJ10228" t="s">
        <v>10404</v>
      </c>
      <c r="AK10228" t="s">
        <v>10405</v>
      </c>
      <c r="AL10228" t="s">
        <v>10406</v>
      </c>
      <c r="AM10228" t="s">
        <v>10407</v>
      </c>
      <c r="AN10228" t="s">
        <v>10408</v>
      </c>
      <c r="AO10228" t="s">
        <v>10409</v>
      </c>
      <c r="AP10228" t="s">
        <v>10410</v>
      </c>
      <c r="AQ10228" t="s">
        <v>10411</v>
      </c>
      <c r="AR10228" t="s">
        <v>10412</v>
      </c>
      <c r="AS10228" t="s">
        <v>10413</v>
      </c>
      <c r="AT10228" t="s">
        <v>10414</v>
      </c>
      <c r="AU10228" t="s">
        <v>10415</v>
      </c>
    </row>
    <row r="10229" spans="1:67" x14ac:dyDescent="0.3">
      <c r="A10229" s="160">
        <v>75119</v>
      </c>
      <c r="B10229" t="s">
        <v>25222</v>
      </c>
      <c r="C10229" t="s">
        <v>176</v>
      </c>
      <c r="D10229">
        <v>3.2</v>
      </c>
      <c r="E10229">
        <v>0</v>
      </c>
      <c r="F10229">
        <f t="shared" si="171"/>
        <v>3.2</v>
      </c>
      <c r="G10229">
        <v>1</v>
      </c>
      <c r="H10229">
        <f t="shared" si="172"/>
        <v>3.2</v>
      </c>
      <c r="I10229">
        <v>20240201</v>
      </c>
      <c r="J10229" t="s">
        <v>10416</v>
      </c>
      <c r="K10229" t="s">
        <v>10417</v>
      </c>
      <c r="L10229" t="s">
        <v>10418</v>
      </c>
      <c r="M10229" t="s">
        <v>10419</v>
      </c>
      <c r="N10229" t="s">
        <v>10420</v>
      </c>
      <c r="O10229" t="s">
        <v>10421</v>
      </c>
      <c r="P10229" t="s">
        <v>10422</v>
      </c>
      <c r="Q10229" t="s">
        <v>10423</v>
      </c>
      <c r="R10229" t="s">
        <v>10424</v>
      </c>
      <c r="S10229" t="s">
        <v>10425</v>
      </c>
      <c r="T10229" t="s">
        <v>10426</v>
      </c>
      <c r="U10229" t="s">
        <v>10427</v>
      </c>
      <c r="V10229" t="s">
        <v>10428</v>
      </c>
      <c r="W10229" t="s">
        <v>10429</v>
      </c>
      <c r="X10229" t="s">
        <v>10430</v>
      </c>
      <c r="Y10229" t="s">
        <v>10431</v>
      </c>
      <c r="Z10229" t="s">
        <v>10432</v>
      </c>
      <c r="AA10229" t="s">
        <v>10433</v>
      </c>
      <c r="AB10229" t="s">
        <v>10434</v>
      </c>
      <c r="AC10229" t="s">
        <v>10435</v>
      </c>
      <c r="AD10229" t="s">
        <v>10436</v>
      </c>
      <c r="AE10229" t="s">
        <v>10437</v>
      </c>
      <c r="AF10229" t="s">
        <v>10438</v>
      </c>
      <c r="AG10229" t="s">
        <v>10439</v>
      </c>
      <c r="AH10229" t="s">
        <v>10440</v>
      </c>
      <c r="AI10229" t="s">
        <v>10441</v>
      </c>
      <c r="AJ10229" t="s">
        <v>10442</v>
      </c>
      <c r="AK10229" t="s">
        <v>10443</v>
      </c>
      <c r="AL10229" t="s">
        <v>10444</v>
      </c>
      <c r="AM10229" t="s">
        <v>10445</v>
      </c>
      <c r="AN10229" t="s">
        <v>10446</v>
      </c>
      <c r="AO10229" t="s">
        <v>10447</v>
      </c>
      <c r="AP10229" t="s">
        <v>10448</v>
      </c>
      <c r="AQ10229" t="s">
        <v>10449</v>
      </c>
      <c r="AR10229" t="s">
        <v>10450</v>
      </c>
      <c r="AS10229" t="s">
        <v>10451</v>
      </c>
      <c r="AT10229" t="s">
        <v>10452</v>
      </c>
      <c r="AU10229" t="s">
        <v>10453</v>
      </c>
      <c r="AV10229" t="s">
        <v>10454</v>
      </c>
      <c r="AW10229" t="s">
        <v>10455</v>
      </c>
      <c r="AX10229" t="s">
        <v>10456</v>
      </c>
      <c r="AY10229" t="s">
        <v>10457</v>
      </c>
      <c r="AZ10229" t="s">
        <v>10458</v>
      </c>
      <c r="BA10229" t="s">
        <v>10459</v>
      </c>
      <c r="BB10229" t="s">
        <v>10460</v>
      </c>
      <c r="BC10229" t="s">
        <v>10461</v>
      </c>
      <c r="BD10229" t="s">
        <v>10462</v>
      </c>
    </row>
    <row r="10230" spans="1:67" x14ac:dyDescent="0.3">
      <c r="A10230" s="160">
        <v>75120</v>
      </c>
      <c r="B10230" t="s">
        <v>25223</v>
      </c>
      <c r="C10230" t="s">
        <v>176</v>
      </c>
      <c r="D10230">
        <v>3.2</v>
      </c>
      <c r="E10230">
        <v>0</v>
      </c>
      <c r="F10230">
        <f t="shared" si="171"/>
        <v>3.2</v>
      </c>
      <c r="G10230">
        <v>1</v>
      </c>
      <c r="H10230">
        <f t="shared" si="172"/>
        <v>3.2</v>
      </c>
      <c r="I10230">
        <v>20240201</v>
      </c>
      <c r="J10230" t="s">
        <v>10463</v>
      </c>
      <c r="K10230" t="s">
        <v>10464</v>
      </c>
      <c r="L10230" t="s">
        <v>10465</v>
      </c>
      <c r="M10230" t="s">
        <v>10466</v>
      </c>
      <c r="N10230" t="s">
        <v>10467</v>
      </c>
      <c r="O10230" t="s">
        <v>10468</v>
      </c>
      <c r="P10230" t="s">
        <v>10469</v>
      </c>
      <c r="Q10230" t="s">
        <v>10470</v>
      </c>
      <c r="R10230" t="s">
        <v>10471</v>
      </c>
      <c r="S10230" t="s">
        <v>10472</v>
      </c>
      <c r="T10230" t="s">
        <v>10473</v>
      </c>
      <c r="U10230" t="s">
        <v>10474</v>
      </c>
      <c r="V10230" t="s">
        <v>10475</v>
      </c>
      <c r="W10230" t="s">
        <v>10476</v>
      </c>
      <c r="X10230" t="s">
        <v>10477</v>
      </c>
      <c r="Y10230" t="s">
        <v>10478</v>
      </c>
      <c r="Z10230" t="s">
        <v>10479</v>
      </c>
      <c r="AA10230" t="s">
        <v>10480</v>
      </c>
      <c r="AB10230" t="s">
        <v>10481</v>
      </c>
      <c r="AC10230" t="s">
        <v>10482</v>
      </c>
      <c r="AD10230" t="s">
        <v>10483</v>
      </c>
      <c r="AE10230" t="s">
        <v>10484</v>
      </c>
      <c r="AF10230" t="s">
        <v>10485</v>
      </c>
      <c r="AG10230" t="s">
        <v>10486</v>
      </c>
      <c r="AH10230" t="s">
        <v>10487</v>
      </c>
      <c r="AI10230" t="s">
        <v>10488</v>
      </c>
      <c r="AJ10230" t="s">
        <v>10489</v>
      </c>
    </row>
    <row r="10231" spans="1:67" x14ac:dyDescent="0.3">
      <c r="A10231" s="160">
        <v>76001</v>
      </c>
      <c r="B10231" t="s">
        <v>25224</v>
      </c>
      <c r="C10231" t="s">
        <v>10490</v>
      </c>
      <c r="D10231">
        <v>0.55000000000000004</v>
      </c>
      <c r="E10231">
        <v>0</v>
      </c>
      <c r="F10231">
        <f t="shared" si="171"/>
        <v>0.55000000000000004</v>
      </c>
      <c r="I10231">
        <v>20250101</v>
      </c>
      <c r="J10231" t="s">
        <v>10491</v>
      </c>
      <c r="K10231" t="s">
        <v>10492</v>
      </c>
    </row>
    <row r="10232" spans="1:67" x14ac:dyDescent="0.3">
      <c r="A10232" s="160">
        <v>76002</v>
      </c>
      <c r="B10232" t="s">
        <v>25225</v>
      </c>
      <c r="C10232" t="s">
        <v>25226</v>
      </c>
      <c r="D10232">
        <v>0.2</v>
      </c>
      <c r="E10232">
        <v>0</v>
      </c>
      <c r="F10232">
        <f t="shared" si="171"/>
        <v>0.2</v>
      </c>
      <c r="I10232">
        <v>20240101</v>
      </c>
      <c r="J10232" t="s">
        <v>10637</v>
      </c>
    </row>
    <row r="10233" spans="1:67" x14ac:dyDescent="0.3">
      <c r="A10233" s="160">
        <v>76005</v>
      </c>
      <c r="B10233" t="s">
        <v>25227</v>
      </c>
      <c r="C10233" t="s">
        <v>10493</v>
      </c>
      <c r="D10233">
        <v>2</v>
      </c>
      <c r="E10233">
        <v>0</v>
      </c>
      <c r="F10233">
        <f t="shared" si="171"/>
        <v>2</v>
      </c>
      <c r="I10233">
        <v>20130101</v>
      </c>
      <c r="J10233" t="s">
        <v>10494</v>
      </c>
    </row>
    <row r="10234" spans="1:67" x14ac:dyDescent="0.3">
      <c r="A10234" s="160">
        <v>76008</v>
      </c>
      <c r="B10234" t="s">
        <v>25228</v>
      </c>
      <c r="C10234" t="s">
        <v>10495</v>
      </c>
      <c r="D10234">
        <v>0.8</v>
      </c>
      <c r="E10234">
        <v>0</v>
      </c>
      <c r="F10234">
        <f t="shared" si="171"/>
        <v>0.8</v>
      </c>
      <c r="I10234">
        <v>20120101</v>
      </c>
      <c r="J10234" t="s">
        <v>10496</v>
      </c>
    </row>
    <row r="10235" spans="1:67" x14ac:dyDescent="0.3">
      <c r="A10235" s="160">
        <v>76011</v>
      </c>
      <c r="B10235" t="s">
        <v>25229</v>
      </c>
      <c r="C10235" t="s">
        <v>10497</v>
      </c>
      <c r="D10235">
        <v>0.65</v>
      </c>
      <c r="E10235">
        <v>0</v>
      </c>
      <c r="F10235">
        <f t="shared" si="171"/>
        <v>0.65</v>
      </c>
      <c r="I10235">
        <v>20240101</v>
      </c>
      <c r="J10235" t="s">
        <v>10498</v>
      </c>
    </row>
    <row r="10236" spans="1:67" x14ac:dyDescent="0.3">
      <c r="A10236" s="160">
        <v>76013</v>
      </c>
      <c r="B10236" t="s">
        <v>25230</v>
      </c>
      <c r="C10236" t="s">
        <v>10497</v>
      </c>
      <c r="D10236">
        <v>0.65</v>
      </c>
      <c r="E10236">
        <v>0</v>
      </c>
      <c r="F10236">
        <f t="shared" si="171"/>
        <v>0.65</v>
      </c>
      <c r="I10236">
        <v>20240101</v>
      </c>
      <c r="J10236" t="s">
        <v>10498</v>
      </c>
    </row>
    <row r="10237" spans="1:67" x14ac:dyDescent="0.3">
      <c r="A10237" s="160">
        <v>76014</v>
      </c>
      <c r="B10237" t="s">
        <v>25231</v>
      </c>
      <c r="C10237" t="s">
        <v>10499</v>
      </c>
      <c r="D10237">
        <v>2</v>
      </c>
      <c r="E10237">
        <v>0</v>
      </c>
      <c r="F10237">
        <f t="shared" si="171"/>
        <v>2</v>
      </c>
      <c r="I10237">
        <v>20220701</v>
      </c>
      <c r="J10237" t="s">
        <v>10500</v>
      </c>
    </row>
    <row r="10238" spans="1:67" x14ac:dyDescent="0.3">
      <c r="A10238" s="160">
        <v>76017</v>
      </c>
      <c r="B10238" t="s">
        <v>25232</v>
      </c>
      <c r="C10238" t="s">
        <v>10499</v>
      </c>
      <c r="D10238">
        <v>2</v>
      </c>
      <c r="E10238">
        <v>0</v>
      </c>
      <c r="F10238">
        <f t="shared" si="171"/>
        <v>2</v>
      </c>
      <c r="I10238">
        <v>20220701</v>
      </c>
      <c r="J10238" t="s">
        <v>10500</v>
      </c>
    </row>
    <row r="10239" spans="1:67" x14ac:dyDescent="0.3">
      <c r="A10239" s="160">
        <v>76020</v>
      </c>
      <c r="B10239" t="s">
        <v>25233</v>
      </c>
      <c r="C10239" t="s">
        <v>10493</v>
      </c>
      <c r="D10239">
        <v>2</v>
      </c>
      <c r="E10239">
        <v>0</v>
      </c>
      <c r="F10239">
        <f t="shared" si="171"/>
        <v>2</v>
      </c>
      <c r="I10239">
        <v>20130101</v>
      </c>
      <c r="J10239" t="s">
        <v>10501</v>
      </c>
    </row>
    <row r="10240" spans="1:67" x14ac:dyDescent="0.3">
      <c r="A10240" s="160">
        <v>76022</v>
      </c>
      <c r="B10240" t="s">
        <v>25234</v>
      </c>
      <c r="C10240" t="s">
        <v>25226</v>
      </c>
      <c r="D10240">
        <v>0.2</v>
      </c>
      <c r="E10240">
        <v>0</v>
      </c>
      <c r="F10240">
        <f t="shared" si="171"/>
        <v>0.2</v>
      </c>
      <c r="I10240">
        <v>20240101</v>
      </c>
      <c r="J10240" t="s">
        <v>25235</v>
      </c>
    </row>
    <row r="10241" spans="1:14" x14ac:dyDescent="0.3">
      <c r="A10241" s="160">
        <v>76026</v>
      </c>
      <c r="B10241" t="s">
        <v>25236</v>
      </c>
      <c r="C10241" t="s">
        <v>10495</v>
      </c>
      <c r="D10241">
        <v>0.8</v>
      </c>
      <c r="E10241">
        <v>0</v>
      </c>
      <c r="F10241">
        <f t="shared" si="171"/>
        <v>0.8</v>
      </c>
      <c r="I10241">
        <v>20120101</v>
      </c>
      <c r="J10241" t="s">
        <v>10502</v>
      </c>
    </row>
    <row r="10242" spans="1:14" x14ac:dyDescent="0.3">
      <c r="A10242" s="160">
        <v>76030</v>
      </c>
      <c r="B10242" t="s">
        <v>25237</v>
      </c>
      <c r="C10242" t="s">
        <v>10495</v>
      </c>
      <c r="D10242">
        <v>0.8</v>
      </c>
      <c r="E10242">
        <v>0</v>
      </c>
      <c r="F10242">
        <f t="shared" si="171"/>
        <v>0.8</v>
      </c>
      <c r="I10242">
        <v>20120101</v>
      </c>
      <c r="J10242" t="s">
        <v>10503</v>
      </c>
    </row>
    <row r="10243" spans="1:14" x14ac:dyDescent="0.3">
      <c r="A10243" s="160">
        <v>76039</v>
      </c>
      <c r="B10243" t="s">
        <v>25238</v>
      </c>
      <c r="C10243" t="s">
        <v>10493</v>
      </c>
      <c r="D10243">
        <v>2</v>
      </c>
      <c r="E10243">
        <v>0</v>
      </c>
      <c r="F10243">
        <f t="shared" si="171"/>
        <v>2</v>
      </c>
      <c r="I10243">
        <v>20130101</v>
      </c>
      <c r="J10243" t="s">
        <v>10504</v>
      </c>
    </row>
    <row r="10244" spans="1:14" x14ac:dyDescent="0.3">
      <c r="A10244" s="160">
        <v>76041</v>
      </c>
      <c r="B10244" t="s">
        <v>25239</v>
      </c>
      <c r="C10244" t="s">
        <v>10490</v>
      </c>
      <c r="D10244">
        <v>0.55000000000000004</v>
      </c>
      <c r="E10244">
        <v>0</v>
      </c>
      <c r="F10244">
        <f t="shared" si="171"/>
        <v>0.55000000000000004</v>
      </c>
      <c r="I10244">
        <v>20250101</v>
      </c>
      <c r="J10244" t="s">
        <v>10491</v>
      </c>
    </row>
    <row r="10245" spans="1:14" x14ac:dyDescent="0.3">
      <c r="A10245" s="160">
        <v>76043</v>
      </c>
      <c r="B10245" t="s">
        <v>25240</v>
      </c>
      <c r="C10245" t="s">
        <v>10490</v>
      </c>
      <c r="D10245">
        <v>0.55000000000000004</v>
      </c>
      <c r="E10245">
        <v>0</v>
      </c>
      <c r="F10245">
        <f t="shared" si="171"/>
        <v>0.55000000000000004</v>
      </c>
      <c r="I10245">
        <v>20250101</v>
      </c>
      <c r="J10245" t="s">
        <v>10491</v>
      </c>
      <c r="K10245" t="s">
        <v>10492</v>
      </c>
      <c r="L10245" t="s">
        <v>10505</v>
      </c>
      <c r="M10245" t="s">
        <v>10506</v>
      </c>
      <c r="N10245" t="s">
        <v>10507</v>
      </c>
    </row>
    <row r="10246" spans="1:14" x14ac:dyDescent="0.3">
      <c r="A10246" s="160">
        <v>76055</v>
      </c>
      <c r="B10246" t="s">
        <v>25241</v>
      </c>
      <c r="C10246" t="s">
        <v>10490</v>
      </c>
      <c r="D10246">
        <v>0.55000000000000004</v>
      </c>
      <c r="E10246">
        <v>0</v>
      </c>
      <c r="F10246">
        <f t="shared" si="171"/>
        <v>0.55000000000000004</v>
      </c>
      <c r="I10246">
        <v>20250101</v>
      </c>
      <c r="J10246" t="s">
        <v>10491</v>
      </c>
      <c r="K10246" t="s">
        <v>10508</v>
      </c>
    </row>
    <row r="10247" spans="1:14" x14ac:dyDescent="0.3">
      <c r="A10247" s="160">
        <v>76056</v>
      </c>
      <c r="B10247" t="s">
        <v>25242</v>
      </c>
      <c r="C10247" t="s">
        <v>10493</v>
      </c>
      <c r="D10247">
        <v>2</v>
      </c>
      <c r="E10247">
        <v>0</v>
      </c>
      <c r="F10247">
        <f t="shared" ref="F10247:F10310" si="173">D10247+E10247</f>
        <v>2</v>
      </c>
      <c r="I10247">
        <v>20130101</v>
      </c>
      <c r="J10247" t="s">
        <v>10501</v>
      </c>
    </row>
    <row r="10248" spans="1:14" x14ac:dyDescent="0.3">
      <c r="A10248" s="160">
        <v>76057</v>
      </c>
      <c r="B10248" t="s">
        <v>25243</v>
      </c>
      <c r="C10248" t="s">
        <v>25244</v>
      </c>
      <c r="D10248">
        <v>0.6</v>
      </c>
      <c r="E10248">
        <v>0</v>
      </c>
      <c r="F10248">
        <f t="shared" si="173"/>
        <v>0.6</v>
      </c>
      <c r="I10248">
        <v>20230801</v>
      </c>
      <c r="J10248" t="s">
        <v>25245</v>
      </c>
    </row>
    <row r="10249" spans="1:14" x14ac:dyDescent="0.3">
      <c r="A10249" s="160">
        <v>76064</v>
      </c>
      <c r="B10249" t="s">
        <v>22481</v>
      </c>
      <c r="C10249" t="s">
        <v>10499</v>
      </c>
      <c r="D10249">
        <v>2</v>
      </c>
      <c r="E10249">
        <v>0</v>
      </c>
      <c r="F10249">
        <f t="shared" si="173"/>
        <v>2</v>
      </c>
      <c r="I10249">
        <v>20220701</v>
      </c>
      <c r="J10249" t="s">
        <v>10500</v>
      </c>
    </row>
    <row r="10250" spans="1:14" x14ac:dyDescent="0.3">
      <c r="A10250" s="160">
        <v>76069</v>
      </c>
      <c r="B10250" t="s">
        <v>25246</v>
      </c>
      <c r="C10250" t="s">
        <v>10493</v>
      </c>
      <c r="D10250">
        <v>2</v>
      </c>
      <c r="E10250">
        <v>0</v>
      </c>
      <c r="F10250">
        <f t="shared" si="173"/>
        <v>2</v>
      </c>
      <c r="I10250">
        <v>20130101</v>
      </c>
      <c r="J10250" t="s">
        <v>10509</v>
      </c>
      <c r="K10250" t="s">
        <v>10510</v>
      </c>
    </row>
    <row r="10251" spans="1:14" x14ac:dyDescent="0.3">
      <c r="A10251" s="160">
        <v>76079</v>
      </c>
      <c r="B10251" t="s">
        <v>16548</v>
      </c>
      <c r="C10251" t="s">
        <v>10499</v>
      </c>
      <c r="D10251">
        <v>2</v>
      </c>
      <c r="E10251">
        <v>0</v>
      </c>
      <c r="F10251">
        <f t="shared" si="173"/>
        <v>2</v>
      </c>
      <c r="I10251">
        <v>20220701</v>
      </c>
      <c r="J10251" t="s">
        <v>10511</v>
      </c>
    </row>
    <row r="10252" spans="1:14" x14ac:dyDescent="0.3">
      <c r="A10252" s="160">
        <v>76082</v>
      </c>
      <c r="B10252" t="s">
        <v>25247</v>
      </c>
      <c r="C10252" t="s">
        <v>25226</v>
      </c>
      <c r="D10252">
        <v>0.2</v>
      </c>
      <c r="E10252">
        <v>0</v>
      </c>
      <c r="F10252">
        <f t="shared" si="173"/>
        <v>0.2</v>
      </c>
      <c r="I10252">
        <v>20240101</v>
      </c>
      <c r="J10252" t="s">
        <v>25248</v>
      </c>
    </row>
    <row r="10253" spans="1:14" x14ac:dyDescent="0.3">
      <c r="A10253" s="160">
        <v>76088</v>
      </c>
      <c r="B10253" t="s">
        <v>25249</v>
      </c>
      <c r="C10253" t="s">
        <v>10493</v>
      </c>
      <c r="D10253">
        <v>2</v>
      </c>
      <c r="E10253">
        <v>0</v>
      </c>
      <c r="F10253">
        <f t="shared" si="173"/>
        <v>2</v>
      </c>
      <c r="I10253">
        <v>20130101</v>
      </c>
      <c r="J10253" t="s">
        <v>10501</v>
      </c>
    </row>
    <row r="10254" spans="1:14" x14ac:dyDescent="0.3">
      <c r="A10254" s="160">
        <v>76090</v>
      </c>
      <c r="B10254" t="s">
        <v>25250</v>
      </c>
      <c r="C10254" t="s">
        <v>25226</v>
      </c>
      <c r="D10254">
        <v>0.2</v>
      </c>
      <c r="E10254">
        <v>0</v>
      </c>
      <c r="F10254">
        <f t="shared" si="173"/>
        <v>0.2</v>
      </c>
      <c r="I10254">
        <v>20240101</v>
      </c>
      <c r="J10254" t="s">
        <v>25248</v>
      </c>
    </row>
    <row r="10255" spans="1:14" x14ac:dyDescent="0.3">
      <c r="A10255" s="160">
        <v>76092</v>
      </c>
      <c r="B10255" t="s">
        <v>25251</v>
      </c>
      <c r="C10255" t="s">
        <v>25226</v>
      </c>
      <c r="D10255">
        <v>0.2</v>
      </c>
      <c r="E10255">
        <v>0</v>
      </c>
      <c r="F10255">
        <f t="shared" si="173"/>
        <v>0.2</v>
      </c>
      <c r="I10255">
        <v>20240101</v>
      </c>
      <c r="J10255" t="s">
        <v>25248</v>
      </c>
    </row>
    <row r="10256" spans="1:14" x14ac:dyDescent="0.3">
      <c r="A10256" s="160">
        <v>76095</v>
      </c>
      <c r="B10256" t="s">
        <v>25252</v>
      </c>
      <c r="C10256" t="s">
        <v>10493</v>
      </c>
      <c r="D10256">
        <v>2</v>
      </c>
      <c r="E10256">
        <v>0</v>
      </c>
      <c r="F10256">
        <f t="shared" si="173"/>
        <v>2</v>
      </c>
      <c r="I10256">
        <v>20140101</v>
      </c>
      <c r="J10256" t="s">
        <v>10512</v>
      </c>
    </row>
    <row r="10257" spans="1:18" x14ac:dyDescent="0.3">
      <c r="A10257" s="160">
        <v>76099</v>
      </c>
      <c r="B10257" t="s">
        <v>25253</v>
      </c>
      <c r="C10257" t="s">
        <v>25244</v>
      </c>
      <c r="D10257">
        <v>0.6</v>
      </c>
      <c r="E10257">
        <v>0</v>
      </c>
      <c r="F10257">
        <f t="shared" si="173"/>
        <v>0.6</v>
      </c>
      <c r="I10257">
        <v>20230801</v>
      </c>
      <c r="J10257" t="s">
        <v>10491</v>
      </c>
      <c r="K10257" t="s">
        <v>10577</v>
      </c>
    </row>
    <row r="10258" spans="1:18" x14ac:dyDescent="0.3">
      <c r="A10258" s="160">
        <v>76103</v>
      </c>
      <c r="B10258" t="s">
        <v>25254</v>
      </c>
      <c r="C10258" t="s">
        <v>10493</v>
      </c>
      <c r="D10258">
        <v>2</v>
      </c>
      <c r="E10258">
        <v>0</v>
      </c>
      <c r="F10258">
        <f t="shared" si="173"/>
        <v>2</v>
      </c>
      <c r="I10258">
        <v>20130101</v>
      </c>
      <c r="J10258" t="s">
        <v>10510</v>
      </c>
    </row>
    <row r="10259" spans="1:18" x14ac:dyDescent="0.3">
      <c r="A10259" s="160">
        <v>76108</v>
      </c>
      <c r="B10259" t="s">
        <v>25255</v>
      </c>
      <c r="C10259" t="s">
        <v>10493</v>
      </c>
      <c r="D10259">
        <v>2</v>
      </c>
      <c r="E10259">
        <v>0</v>
      </c>
      <c r="F10259">
        <f t="shared" si="173"/>
        <v>2</v>
      </c>
      <c r="I10259">
        <v>20130101</v>
      </c>
      <c r="J10259" t="s">
        <v>10513</v>
      </c>
      <c r="K10259" t="s">
        <v>10514</v>
      </c>
      <c r="L10259" t="s">
        <v>10515</v>
      </c>
      <c r="M10259" t="s">
        <v>10516</v>
      </c>
      <c r="N10259" t="s">
        <v>10517</v>
      </c>
      <c r="O10259" t="s">
        <v>10518</v>
      </c>
      <c r="P10259" t="s">
        <v>10519</v>
      </c>
      <c r="Q10259" t="s">
        <v>10520</v>
      </c>
      <c r="R10259" t="s">
        <v>10521</v>
      </c>
    </row>
    <row r="10260" spans="1:18" x14ac:dyDescent="0.3">
      <c r="A10260" s="160">
        <v>76110</v>
      </c>
      <c r="B10260" t="s">
        <v>25256</v>
      </c>
      <c r="C10260" t="s">
        <v>10490</v>
      </c>
      <c r="D10260">
        <v>0.55000000000000004</v>
      </c>
      <c r="E10260">
        <v>0</v>
      </c>
      <c r="F10260">
        <f t="shared" si="173"/>
        <v>0.55000000000000004</v>
      </c>
      <c r="I10260">
        <v>20250101</v>
      </c>
      <c r="J10260" t="s">
        <v>10491</v>
      </c>
      <c r="K10260" t="s">
        <v>10492</v>
      </c>
    </row>
    <row r="10261" spans="1:18" x14ac:dyDescent="0.3">
      <c r="A10261" s="160">
        <v>76114</v>
      </c>
      <c r="B10261" t="s">
        <v>25257</v>
      </c>
      <c r="C10261" t="s">
        <v>25226</v>
      </c>
      <c r="D10261">
        <v>0.2</v>
      </c>
      <c r="E10261">
        <v>0</v>
      </c>
      <c r="F10261">
        <f t="shared" si="173"/>
        <v>0.2</v>
      </c>
      <c r="I10261">
        <v>20240101</v>
      </c>
      <c r="J10261" t="s">
        <v>25248</v>
      </c>
    </row>
    <row r="10262" spans="1:18" x14ac:dyDescent="0.3">
      <c r="A10262" s="160">
        <v>76115</v>
      </c>
      <c r="B10262" t="s">
        <v>25258</v>
      </c>
      <c r="C10262" t="s">
        <v>25226</v>
      </c>
      <c r="D10262">
        <v>0.2</v>
      </c>
      <c r="E10262">
        <v>0</v>
      </c>
      <c r="F10262">
        <f t="shared" si="173"/>
        <v>0.2</v>
      </c>
      <c r="I10262">
        <v>20240101</v>
      </c>
      <c r="J10262" t="s">
        <v>25248</v>
      </c>
    </row>
    <row r="10263" spans="1:18" x14ac:dyDescent="0.3">
      <c r="A10263" s="160">
        <v>76116</v>
      </c>
      <c r="B10263" t="s">
        <v>25259</v>
      </c>
      <c r="C10263" t="s">
        <v>10493</v>
      </c>
      <c r="D10263">
        <v>2</v>
      </c>
      <c r="E10263">
        <v>0</v>
      </c>
      <c r="F10263">
        <f t="shared" si="173"/>
        <v>2</v>
      </c>
      <c r="I10263">
        <v>20130101</v>
      </c>
      <c r="J10263" t="s">
        <v>10504</v>
      </c>
    </row>
    <row r="10264" spans="1:18" x14ac:dyDescent="0.3">
      <c r="A10264" s="160">
        <v>76117</v>
      </c>
      <c r="B10264" t="s">
        <v>25260</v>
      </c>
      <c r="C10264" t="s">
        <v>10499</v>
      </c>
      <c r="D10264">
        <v>2</v>
      </c>
      <c r="E10264">
        <v>0</v>
      </c>
      <c r="F10264">
        <f t="shared" si="173"/>
        <v>2</v>
      </c>
      <c r="I10264">
        <v>20220701</v>
      </c>
      <c r="J10264" t="s">
        <v>10511</v>
      </c>
    </row>
    <row r="10265" spans="1:18" x14ac:dyDescent="0.3">
      <c r="A10265" s="160">
        <v>76131</v>
      </c>
      <c r="B10265" t="s">
        <v>25261</v>
      </c>
      <c r="C10265" t="s">
        <v>10493</v>
      </c>
      <c r="D10265">
        <v>2</v>
      </c>
      <c r="E10265">
        <v>0</v>
      </c>
      <c r="F10265">
        <f t="shared" si="173"/>
        <v>2</v>
      </c>
      <c r="I10265">
        <v>20130101</v>
      </c>
      <c r="J10265" t="s">
        <v>10522</v>
      </c>
    </row>
    <row r="10266" spans="1:18" x14ac:dyDescent="0.3">
      <c r="A10266" s="160">
        <v>76135</v>
      </c>
      <c r="B10266" t="s">
        <v>17878</v>
      </c>
      <c r="C10266" t="s">
        <v>25244</v>
      </c>
      <c r="D10266">
        <v>0.6</v>
      </c>
      <c r="E10266">
        <v>0</v>
      </c>
      <c r="F10266">
        <f t="shared" si="173"/>
        <v>0.6</v>
      </c>
      <c r="I10266">
        <v>20230801</v>
      </c>
      <c r="J10266" t="s">
        <v>25245</v>
      </c>
    </row>
    <row r="10267" spans="1:18" x14ac:dyDescent="0.3">
      <c r="A10267" s="160">
        <v>76157</v>
      </c>
      <c r="B10267" t="s">
        <v>25262</v>
      </c>
      <c r="C10267" t="s">
        <v>10493</v>
      </c>
      <c r="D10267">
        <v>2</v>
      </c>
      <c r="E10267">
        <v>0</v>
      </c>
      <c r="F10267">
        <f t="shared" si="173"/>
        <v>2</v>
      </c>
      <c r="I10267">
        <v>20130101</v>
      </c>
      <c r="J10267" t="s">
        <v>10523</v>
      </c>
    </row>
    <row r="10268" spans="1:18" x14ac:dyDescent="0.3">
      <c r="A10268" s="160">
        <v>76160</v>
      </c>
      <c r="B10268" t="s">
        <v>25263</v>
      </c>
      <c r="C10268" t="s">
        <v>10490</v>
      </c>
      <c r="D10268">
        <v>0.55000000000000004</v>
      </c>
      <c r="E10268">
        <v>0</v>
      </c>
      <c r="F10268">
        <f t="shared" si="173"/>
        <v>0.55000000000000004</v>
      </c>
      <c r="I10268">
        <v>20250101</v>
      </c>
      <c r="J10268" t="s">
        <v>10491</v>
      </c>
      <c r="K10268" t="s">
        <v>10505</v>
      </c>
    </row>
    <row r="10269" spans="1:18" x14ac:dyDescent="0.3">
      <c r="A10269" s="160">
        <v>76164</v>
      </c>
      <c r="B10269" t="s">
        <v>25264</v>
      </c>
      <c r="C10269" t="s">
        <v>25226</v>
      </c>
      <c r="D10269">
        <v>0.2</v>
      </c>
      <c r="E10269">
        <v>0</v>
      </c>
      <c r="F10269">
        <f t="shared" si="173"/>
        <v>0.2</v>
      </c>
      <c r="I10269">
        <v>20240101</v>
      </c>
      <c r="J10269" t="s">
        <v>25235</v>
      </c>
    </row>
    <row r="10270" spans="1:18" x14ac:dyDescent="0.3">
      <c r="A10270" s="160">
        <v>76165</v>
      </c>
      <c r="B10270" t="s">
        <v>25265</v>
      </c>
      <c r="C10270" t="s">
        <v>10493</v>
      </c>
      <c r="D10270">
        <v>2</v>
      </c>
      <c r="E10270">
        <v>0</v>
      </c>
      <c r="F10270">
        <f t="shared" si="173"/>
        <v>2</v>
      </c>
      <c r="I10270">
        <v>20130101</v>
      </c>
      <c r="J10270" t="s">
        <v>10524</v>
      </c>
      <c r="K10270" t="s">
        <v>10525</v>
      </c>
      <c r="L10270" t="s">
        <v>10526</v>
      </c>
    </row>
    <row r="10271" spans="1:18" x14ac:dyDescent="0.3">
      <c r="A10271" s="160">
        <v>76167</v>
      </c>
      <c r="B10271" t="s">
        <v>25266</v>
      </c>
      <c r="C10271" t="s">
        <v>10499</v>
      </c>
      <c r="D10271">
        <v>2</v>
      </c>
      <c r="E10271">
        <v>0</v>
      </c>
      <c r="F10271">
        <f t="shared" si="173"/>
        <v>2</v>
      </c>
      <c r="I10271">
        <v>20150101</v>
      </c>
      <c r="J10271" t="s">
        <v>10527</v>
      </c>
    </row>
    <row r="10272" spans="1:18" x14ac:dyDescent="0.3">
      <c r="A10272" s="160">
        <v>76169</v>
      </c>
      <c r="B10272" t="s">
        <v>25267</v>
      </c>
      <c r="C10272" t="s">
        <v>10499</v>
      </c>
      <c r="D10272">
        <v>2</v>
      </c>
      <c r="E10272">
        <v>0</v>
      </c>
      <c r="F10272">
        <f t="shared" si="173"/>
        <v>2</v>
      </c>
      <c r="I10272">
        <v>20220701</v>
      </c>
      <c r="J10272" t="s">
        <v>10528</v>
      </c>
    </row>
    <row r="10273" spans="1:25" x14ac:dyDescent="0.3">
      <c r="A10273" s="160">
        <v>76178</v>
      </c>
      <c r="B10273" t="s">
        <v>25268</v>
      </c>
      <c r="C10273" t="s">
        <v>10493</v>
      </c>
      <c r="D10273">
        <v>2</v>
      </c>
      <c r="E10273">
        <v>0</v>
      </c>
      <c r="F10273">
        <f t="shared" si="173"/>
        <v>2</v>
      </c>
      <c r="I10273">
        <v>20130101</v>
      </c>
      <c r="J10273" t="s">
        <v>10529</v>
      </c>
      <c r="K10273" t="s">
        <v>10526</v>
      </c>
    </row>
    <row r="10274" spans="1:25" x14ac:dyDescent="0.3">
      <c r="A10274" s="160">
        <v>76181</v>
      </c>
      <c r="B10274" t="s">
        <v>25269</v>
      </c>
      <c r="C10274" t="s">
        <v>25226</v>
      </c>
      <c r="D10274">
        <v>0.2</v>
      </c>
      <c r="E10274">
        <v>0</v>
      </c>
      <c r="F10274">
        <f t="shared" si="173"/>
        <v>0.2</v>
      </c>
      <c r="I10274">
        <v>20240101</v>
      </c>
      <c r="J10274" t="s">
        <v>10637</v>
      </c>
    </row>
    <row r="10275" spans="1:25" x14ac:dyDescent="0.3">
      <c r="A10275" s="160">
        <v>76182</v>
      </c>
      <c r="B10275" t="s">
        <v>25270</v>
      </c>
      <c r="C10275" t="s">
        <v>25226</v>
      </c>
      <c r="D10275">
        <v>0.2</v>
      </c>
      <c r="E10275">
        <v>0</v>
      </c>
      <c r="F10275">
        <f t="shared" si="173"/>
        <v>0.2</v>
      </c>
      <c r="I10275">
        <v>20240101</v>
      </c>
      <c r="J10275" t="s">
        <v>10637</v>
      </c>
    </row>
    <row r="10276" spans="1:25" x14ac:dyDescent="0.3">
      <c r="A10276" s="160">
        <v>76183</v>
      </c>
      <c r="B10276" t="s">
        <v>25271</v>
      </c>
      <c r="C10276" t="s">
        <v>10497</v>
      </c>
      <c r="D10276">
        <v>0.65</v>
      </c>
      <c r="E10276">
        <v>0</v>
      </c>
      <c r="F10276">
        <f t="shared" si="173"/>
        <v>0.65</v>
      </c>
      <c r="I10276">
        <v>20240101</v>
      </c>
      <c r="J10276" t="s">
        <v>10530</v>
      </c>
    </row>
    <row r="10277" spans="1:25" x14ac:dyDescent="0.3">
      <c r="A10277" s="160">
        <v>76184</v>
      </c>
      <c r="B10277" t="s">
        <v>25272</v>
      </c>
      <c r="C10277" t="s">
        <v>10495</v>
      </c>
      <c r="D10277">
        <v>0.8</v>
      </c>
      <c r="E10277">
        <v>0</v>
      </c>
      <c r="F10277">
        <f t="shared" si="173"/>
        <v>0.8</v>
      </c>
      <c r="I10277">
        <v>20120101</v>
      </c>
      <c r="J10277" t="s">
        <v>10503</v>
      </c>
    </row>
    <row r="10278" spans="1:25" x14ac:dyDescent="0.3">
      <c r="A10278" s="160">
        <v>76187</v>
      </c>
      <c r="B10278" t="s">
        <v>25273</v>
      </c>
      <c r="C10278" t="s">
        <v>10497</v>
      </c>
      <c r="D10278">
        <v>0.65</v>
      </c>
      <c r="E10278">
        <v>0</v>
      </c>
      <c r="F10278">
        <f t="shared" si="173"/>
        <v>0.65</v>
      </c>
      <c r="I10278">
        <v>20240101</v>
      </c>
      <c r="J10278" t="s">
        <v>10530</v>
      </c>
      <c r="K10278" t="s">
        <v>10531</v>
      </c>
      <c r="L10278" t="s">
        <v>10532</v>
      </c>
    </row>
    <row r="10279" spans="1:25" x14ac:dyDescent="0.3">
      <c r="A10279" s="160">
        <v>76194</v>
      </c>
      <c r="B10279" t="s">
        <v>25274</v>
      </c>
      <c r="C10279" t="s">
        <v>10497</v>
      </c>
      <c r="D10279">
        <v>0.65</v>
      </c>
      <c r="E10279">
        <v>0</v>
      </c>
      <c r="F10279">
        <f t="shared" si="173"/>
        <v>0.65</v>
      </c>
      <c r="I10279">
        <v>20240101</v>
      </c>
      <c r="J10279" t="s">
        <v>10533</v>
      </c>
    </row>
    <row r="10280" spans="1:25" x14ac:dyDescent="0.3">
      <c r="A10280" s="160">
        <v>76196</v>
      </c>
      <c r="B10280" t="s">
        <v>25275</v>
      </c>
      <c r="C10280" t="s">
        <v>10499</v>
      </c>
      <c r="D10280">
        <v>2</v>
      </c>
      <c r="E10280">
        <v>0</v>
      </c>
      <c r="F10280">
        <f t="shared" si="173"/>
        <v>2</v>
      </c>
      <c r="I10280">
        <v>20220701</v>
      </c>
      <c r="J10280" t="s">
        <v>10500</v>
      </c>
    </row>
    <row r="10281" spans="1:25" x14ac:dyDescent="0.3">
      <c r="A10281" s="160">
        <v>76203</v>
      </c>
      <c r="B10281" t="s">
        <v>25276</v>
      </c>
      <c r="C10281" t="s">
        <v>10490</v>
      </c>
      <c r="D10281">
        <v>0.55000000000000004</v>
      </c>
      <c r="E10281">
        <v>0</v>
      </c>
      <c r="F10281">
        <f t="shared" si="173"/>
        <v>0.55000000000000004</v>
      </c>
      <c r="I10281">
        <v>20250101</v>
      </c>
      <c r="J10281" t="s">
        <v>10491</v>
      </c>
    </row>
    <row r="10282" spans="1:25" x14ac:dyDescent="0.3">
      <c r="A10282" s="160">
        <v>76206</v>
      </c>
      <c r="B10282" t="s">
        <v>16561</v>
      </c>
      <c r="C10282" t="s">
        <v>10499</v>
      </c>
      <c r="D10282">
        <v>2</v>
      </c>
      <c r="E10282">
        <v>0</v>
      </c>
      <c r="F10282">
        <f t="shared" si="173"/>
        <v>2</v>
      </c>
      <c r="I10282">
        <v>20220701</v>
      </c>
      <c r="J10282" t="s">
        <v>10500</v>
      </c>
    </row>
    <row r="10283" spans="1:25" x14ac:dyDescent="0.3">
      <c r="A10283" s="160">
        <v>76212</v>
      </c>
      <c r="B10283" t="s">
        <v>25277</v>
      </c>
      <c r="C10283" t="s">
        <v>10493</v>
      </c>
      <c r="D10283">
        <v>2</v>
      </c>
      <c r="E10283">
        <v>0</v>
      </c>
      <c r="F10283">
        <f t="shared" si="173"/>
        <v>2</v>
      </c>
      <c r="I10283">
        <v>20130101</v>
      </c>
      <c r="J10283" t="s">
        <v>10534</v>
      </c>
      <c r="K10283" t="s">
        <v>10535</v>
      </c>
    </row>
    <row r="10284" spans="1:25" x14ac:dyDescent="0.3">
      <c r="A10284" s="160">
        <v>76216</v>
      </c>
      <c r="B10284" t="s">
        <v>25278</v>
      </c>
      <c r="C10284" t="s">
        <v>10493</v>
      </c>
      <c r="D10284">
        <v>2</v>
      </c>
      <c r="E10284">
        <v>0</v>
      </c>
      <c r="F10284">
        <f t="shared" si="173"/>
        <v>2</v>
      </c>
      <c r="I10284">
        <v>20130101</v>
      </c>
      <c r="J10284" t="s">
        <v>10536</v>
      </c>
    </row>
    <row r="10285" spans="1:25" x14ac:dyDescent="0.3">
      <c r="A10285" s="160">
        <v>76217</v>
      </c>
      <c r="B10285" t="s">
        <v>25279</v>
      </c>
      <c r="C10285" t="s">
        <v>10495</v>
      </c>
      <c r="D10285">
        <v>0.8</v>
      </c>
      <c r="E10285">
        <v>0</v>
      </c>
      <c r="F10285">
        <f t="shared" si="173"/>
        <v>0.8</v>
      </c>
      <c r="I10285">
        <v>20120101</v>
      </c>
      <c r="J10285" t="s">
        <v>10537</v>
      </c>
      <c r="K10285" t="s">
        <v>10538</v>
      </c>
      <c r="L10285" t="s">
        <v>10539</v>
      </c>
      <c r="M10285" t="s">
        <v>10540</v>
      </c>
      <c r="N10285" t="s">
        <v>10541</v>
      </c>
      <c r="O10285" t="s">
        <v>10542</v>
      </c>
      <c r="P10285" t="s">
        <v>10543</v>
      </c>
      <c r="Q10285" t="s">
        <v>10544</v>
      </c>
      <c r="R10285" t="s">
        <v>10545</v>
      </c>
      <c r="S10285" t="s">
        <v>10546</v>
      </c>
      <c r="T10285" t="s">
        <v>10496</v>
      </c>
      <c r="U10285" t="s">
        <v>10547</v>
      </c>
      <c r="V10285" t="s">
        <v>10548</v>
      </c>
      <c r="W10285" t="s">
        <v>10549</v>
      </c>
      <c r="X10285" t="s">
        <v>10550</v>
      </c>
      <c r="Y10285" t="s">
        <v>10551</v>
      </c>
    </row>
    <row r="10286" spans="1:25" x14ac:dyDescent="0.3">
      <c r="A10286" s="160">
        <v>76222</v>
      </c>
      <c r="B10286" t="s">
        <v>25280</v>
      </c>
      <c r="C10286" t="s">
        <v>10493</v>
      </c>
      <c r="D10286">
        <v>2</v>
      </c>
      <c r="E10286">
        <v>0</v>
      </c>
      <c r="F10286">
        <f t="shared" si="173"/>
        <v>2</v>
      </c>
      <c r="I10286">
        <v>20130101</v>
      </c>
      <c r="J10286" t="s">
        <v>10501</v>
      </c>
    </row>
    <row r="10287" spans="1:25" x14ac:dyDescent="0.3">
      <c r="A10287" s="160">
        <v>76223</v>
      </c>
      <c r="B10287" t="s">
        <v>25281</v>
      </c>
      <c r="C10287" t="s">
        <v>10490</v>
      </c>
      <c r="D10287">
        <v>0.55000000000000004</v>
      </c>
      <c r="E10287">
        <v>0</v>
      </c>
      <c r="F10287">
        <f t="shared" si="173"/>
        <v>0.55000000000000004</v>
      </c>
      <c r="I10287">
        <v>20250101</v>
      </c>
      <c r="J10287" t="s">
        <v>10491</v>
      </c>
    </row>
    <row r="10288" spans="1:25" x14ac:dyDescent="0.3">
      <c r="A10288" s="160">
        <v>76225</v>
      </c>
      <c r="B10288" t="s">
        <v>25282</v>
      </c>
      <c r="C10288" t="s">
        <v>10490</v>
      </c>
      <c r="D10288">
        <v>0.55000000000000004</v>
      </c>
      <c r="E10288">
        <v>0</v>
      </c>
      <c r="F10288">
        <f t="shared" si="173"/>
        <v>0.55000000000000004</v>
      </c>
      <c r="I10288">
        <v>20250101</v>
      </c>
      <c r="J10288" t="s">
        <v>10491</v>
      </c>
    </row>
    <row r="10289" spans="1:15" x14ac:dyDescent="0.3">
      <c r="A10289" s="160">
        <v>76226</v>
      </c>
      <c r="B10289" t="s">
        <v>25283</v>
      </c>
      <c r="C10289" t="s">
        <v>10497</v>
      </c>
      <c r="D10289">
        <v>0.65</v>
      </c>
      <c r="E10289">
        <v>0</v>
      </c>
      <c r="F10289">
        <f t="shared" si="173"/>
        <v>0.65</v>
      </c>
      <c r="I10289">
        <v>20240101</v>
      </c>
      <c r="J10289" t="s">
        <v>10498</v>
      </c>
    </row>
    <row r="10290" spans="1:15" x14ac:dyDescent="0.3">
      <c r="A10290" s="160">
        <v>76231</v>
      </c>
      <c r="B10290" t="s">
        <v>25284</v>
      </c>
      <c r="C10290" t="s">
        <v>10493</v>
      </c>
      <c r="D10290">
        <v>2</v>
      </c>
      <c r="E10290">
        <v>0</v>
      </c>
      <c r="F10290">
        <f t="shared" si="173"/>
        <v>2</v>
      </c>
      <c r="I10290">
        <v>20130101</v>
      </c>
      <c r="J10290" t="s">
        <v>10552</v>
      </c>
      <c r="K10290" t="s">
        <v>10553</v>
      </c>
      <c r="L10290" t="s">
        <v>10554</v>
      </c>
      <c r="M10290" t="s">
        <v>10525</v>
      </c>
      <c r="N10290" t="s">
        <v>10526</v>
      </c>
    </row>
    <row r="10291" spans="1:15" x14ac:dyDescent="0.3">
      <c r="A10291" s="160">
        <v>76232</v>
      </c>
      <c r="B10291" t="s">
        <v>25285</v>
      </c>
      <c r="C10291" t="s">
        <v>10497</v>
      </c>
      <c r="D10291">
        <v>0.65</v>
      </c>
      <c r="E10291">
        <v>0</v>
      </c>
      <c r="F10291">
        <f t="shared" si="173"/>
        <v>0.65</v>
      </c>
      <c r="I10291">
        <v>20240101</v>
      </c>
      <c r="J10291" t="s">
        <v>10555</v>
      </c>
      <c r="K10291" t="s">
        <v>10498</v>
      </c>
    </row>
    <row r="10292" spans="1:15" x14ac:dyDescent="0.3">
      <c r="A10292" s="160">
        <v>76234</v>
      </c>
      <c r="B10292" t="s">
        <v>25286</v>
      </c>
      <c r="C10292" t="s">
        <v>25244</v>
      </c>
      <c r="D10292">
        <v>0.6</v>
      </c>
      <c r="E10292">
        <v>0</v>
      </c>
      <c r="F10292">
        <f t="shared" si="173"/>
        <v>0.6</v>
      </c>
      <c r="I10292">
        <v>20230801</v>
      </c>
      <c r="J10292" t="s">
        <v>10616</v>
      </c>
    </row>
    <row r="10293" spans="1:15" x14ac:dyDescent="0.3">
      <c r="A10293" s="160">
        <v>76236</v>
      </c>
      <c r="B10293" t="s">
        <v>25287</v>
      </c>
      <c r="C10293" t="s">
        <v>25226</v>
      </c>
      <c r="D10293">
        <v>0.2</v>
      </c>
      <c r="E10293">
        <v>0</v>
      </c>
      <c r="F10293">
        <f t="shared" si="173"/>
        <v>0.2</v>
      </c>
      <c r="I10293">
        <v>20240101</v>
      </c>
      <c r="J10293" t="s">
        <v>10637</v>
      </c>
    </row>
    <row r="10294" spans="1:15" x14ac:dyDescent="0.3">
      <c r="A10294" s="160">
        <v>76237</v>
      </c>
      <c r="B10294" t="s">
        <v>25288</v>
      </c>
      <c r="C10294" t="s">
        <v>10493</v>
      </c>
      <c r="D10294">
        <v>2</v>
      </c>
      <c r="E10294">
        <v>0</v>
      </c>
      <c r="F10294">
        <f t="shared" si="173"/>
        <v>2</v>
      </c>
      <c r="I10294">
        <v>20130101</v>
      </c>
      <c r="J10294" t="s">
        <v>10501</v>
      </c>
    </row>
    <row r="10295" spans="1:15" x14ac:dyDescent="0.3">
      <c r="A10295" s="160">
        <v>76238</v>
      </c>
      <c r="B10295" t="s">
        <v>25289</v>
      </c>
      <c r="C10295" t="s">
        <v>10499</v>
      </c>
      <c r="D10295">
        <v>2</v>
      </c>
      <c r="E10295">
        <v>0</v>
      </c>
      <c r="F10295">
        <f t="shared" si="173"/>
        <v>2</v>
      </c>
      <c r="I10295">
        <v>20150101</v>
      </c>
      <c r="J10295" t="s">
        <v>10556</v>
      </c>
    </row>
    <row r="10296" spans="1:15" x14ac:dyDescent="0.3">
      <c r="A10296" s="160">
        <v>76239</v>
      </c>
      <c r="B10296" t="s">
        <v>25290</v>
      </c>
      <c r="C10296" t="s">
        <v>10499</v>
      </c>
      <c r="D10296">
        <v>2</v>
      </c>
      <c r="E10296">
        <v>0</v>
      </c>
      <c r="F10296">
        <f t="shared" si="173"/>
        <v>2</v>
      </c>
      <c r="I10296">
        <v>20220701</v>
      </c>
      <c r="J10296" t="s">
        <v>10528</v>
      </c>
    </row>
    <row r="10297" spans="1:15" x14ac:dyDescent="0.3">
      <c r="A10297" s="160">
        <v>76240</v>
      </c>
      <c r="B10297" t="s">
        <v>25291</v>
      </c>
      <c r="C10297" t="s">
        <v>10497</v>
      </c>
      <c r="D10297">
        <v>0.65</v>
      </c>
      <c r="E10297">
        <v>0</v>
      </c>
      <c r="F10297">
        <f t="shared" si="173"/>
        <v>0.65</v>
      </c>
      <c r="I10297">
        <v>20240101</v>
      </c>
      <c r="J10297" t="s">
        <v>10530</v>
      </c>
      <c r="K10297" t="s">
        <v>10532</v>
      </c>
      <c r="L10297" t="s">
        <v>10557</v>
      </c>
    </row>
    <row r="10298" spans="1:15" x14ac:dyDescent="0.3">
      <c r="A10298" s="160">
        <v>76250</v>
      </c>
      <c r="B10298" t="s">
        <v>25292</v>
      </c>
      <c r="C10298" t="s">
        <v>10499</v>
      </c>
      <c r="D10298">
        <v>2</v>
      </c>
      <c r="E10298">
        <v>0</v>
      </c>
      <c r="F10298">
        <f t="shared" si="173"/>
        <v>2</v>
      </c>
      <c r="I10298">
        <v>20220701</v>
      </c>
      <c r="J10298" t="s">
        <v>10528</v>
      </c>
    </row>
    <row r="10299" spans="1:15" x14ac:dyDescent="0.3">
      <c r="A10299" s="160">
        <v>76254</v>
      </c>
      <c r="B10299" t="s">
        <v>25293</v>
      </c>
      <c r="C10299" t="s">
        <v>10499</v>
      </c>
      <c r="D10299">
        <v>2</v>
      </c>
      <c r="E10299">
        <v>0</v>
      </c>
      <c r="F10299">
        <f t="shared" si="173"/>
        <v>2</v>
      </c>
      <c r="I10299">
        <v>20220701</v>
      </c>
      <c r="J10299" t="s">
        <v>10511</v>
      </c>
    </row>
    <row r="10300" spans="1:15" x14ac:dyDescent="0.3">
      <c r="A10300" s="160">
        <v>76258</v>
      </c>
      <c r="B10300" t="s">
        <v>25294</v>
      </c>
      <c r="C10300" t="s">
        <v>25226</v>
      </c>
      <c r="D10300">
        <v>0.2</v>
      </c>
      <c r="E10300">
        <v>0</v>
      </c>
      <c r="F10300">
        <f t="shared" si="173"/>
        <v>0.2</v>
      </c>
      <c r="I10300">
        <v>20240101</v>
      </c>
      <c r="J10300" t="s">
        <v>10637</v>
      </c>
    </row>
    <row r="10301" spans="1:15" x14ac:dyDescent="0.3">
      <c r="A10301" s="160">
        <v>76259</v>
      </c>
      <c r="B10301" t="s">
        <v>25295</v>
      </c>
      <c r="C10301" t="s">
        <v>10497</v>
      </c>
      <c r="D10301">
        <v>0.65</v>
      </c>
      <c r="E10301">
        <v>0</v>
      </c>
      <c r="F10301">
        <f t="shared" si="173"/>
        <v>0.65</v>
      </c>
      <c r="I10301">
        <v>20240101</v>
      </c>
      <c r="J10301" t="s">
        <v>10530</v>
      </c>
      <c r="K10301" t="s">
        <v>10531</v>
      </c>
      <c r="L10301" t="s">
        <v>10558</v>
      </c>
      <c r="M10301" t="s">
        <v>10555</v>
      </c>
      <c r="N10301" t="s">
        <v>10532</v>
      </c>
      <c r="O10301" t="s">
        <v>10557</v>
      </c>
    </row>
    <row r="10302" spans="1:15" x14ac:dyDescent="0.3">
      <c r="A10302" s="160">
        <v>76268</v>
      </c>
      <c r="B10302" t="s">
        <v>25296</v>
      </c>
      <c r="C10302" t="s">
        <v>10499</v>
      </c>
      <c r="D10302">
        <v>2</v>
      </c>
      <c r="E10302">
        <v>0</v>
      </c>
      <c r="F10302">
        <f t="shared" si="173"/>
        <v>2</v>
      </c>
      <c r="I10302">
        <v>20220701</v>
      </c>
      <c r="J10302" t="s">
        <v>10500</v>
      </c>
    </row>
    <row r="10303" spans="1:15" x14ac:dyDescent="0.3">
      <c r="A10303" s="160">
        <v>76270</v>
      </c>
      <c r="B10303" t="s">
        <v>25297</v>
      </c>
      <c r="C10303" t="s">
        <v>10499</v>
      </c>
      <c r="D10303">
        <v>2</v>
      </c>
      <c r="E10303">
        <v>0</v>
      </c>
      <c r="F10303">
        <f t="shared" si="173"/>
        <v>2</v>
      </c>
      <c r="I10303">
        <v>20150101</v>
      </c>
      <c r="J10303" t="s">
        <v>10559</v>
      </c>
    </row>
    <row r="10304" spans="1:15" x14ac:dyDescent="0.3">
      <c r="A10304" s="160">
        <v>76273</v>
      </c>
      <c r="B10304" t="s">
        <v>25298</v>
      </c>
      <c r="C10304" t="s">
        <v>10493</v>
      </c>
      <c r="D10304">
        <v>2</v>
      </c>
      <c r="E10304">
        <v>0</v>
      </c>
      <c r="F10304">
        <f t="shared" si="173"/>
        <v>2</v>
      </c>
      <c r="I10304">
        <v>20130101</v>
      </c>
      <c r="J10304" t="s">
        <v>10534</v>
      </c>
    </row>
    <row r="10305" spans="1:17" x14ac:dyDescent="0.3">
      <c r="A10305" s="160">
        <v>76275</v>
      </c>
      <c r="B10305" t="s">
        <v>25299</v>
      </c>
      <c r="C10305" t="s">
        <v>10499</v>
      </c>
      <c r="D10305">
        <v>2</v>
      </c>
      <c r="E10305">
        <v>0</v>
      </c>
      <c r="F10305">
        <f t="shared" si="173"/>
        <v>2</v>
      </c>
      <c r="I10305">
        <v>20150101</v>
      </c>
      <c r="J10305" t="s">
        <v>10559</v>
      </c>
    </row>
    <row r="10306" spans="1:17" x14ac:dyDescent="0.3">
      <c r="A10306" s="160">
        <v>76279</v>
      </c>
      <c r="B10306" t="s">
        <v>25300</v>
      </c>
      <c r="C10306" t="s">
        <v>25226</v>
      </c>
      <c r="D10306">
        <v>0.2</v>
      </c>
      <c r="E10306">
        <v>0</v>
      </c>
      <c r="F10306">
        <f t="shared" si="173"/>
        <v>0.2</v>
      </c>
      <c r="I10306">
        <v>20240101</v>
      </c>
      <c r="J10306" t="s">
        <v>10637</v>
      </c>
    </row>
    <row r="10307" spans="1:17" x14ac:dyDescent="0.3">
      <c r="A10307" s="160">
        <v>76281</v>
      </c>
      <c r="B10307" t="s">
        <v>25301</v>
      </c>
      <c r="C10307" t="s">
        <v>25226</v>
      </c>
      <c r="D10307">
        <v>0.2</v>
      </c>
      <c r="E10307">
        <v>0</v>
      </c>
      <c r="F10307">
        <f t="shared" si="173"/>
        <v>0.2</v>
      </c>
      <c r="I10307">
        <v>20240101</v>
      </c>
      <c r="J10307" t="s">
        <v>25302</v>
      </c>
    </row>
    <row r="10308" spans="1:17" x14ac:dyDescent="0.3">
      <c r="A10308" s="160">
        <v>76282</v>
      </c>
      <c r="B10308" t="s">
        <v>25303</v>
      </c>
      <c r="C10308" t="s">
        <v>10493</v>
      </c>
      <c r="D10308">
        <v>2</v>
      </c>
      <c r="E10308">
        <v>0</v>
      </c>
      <c r="F10308">
        <f t="shared" si="173"/>
        <v>2</v>
      </c>
      <c r="I10308">
        <v>20130101</v>
      </c>
      <c r="J10308" t="s">
        <v>10529</v>
      </c>
    </row>
    <row r="10309" spans="1:17" x14ac:dyDescent="0.3">
      <c r="A10309" s="160">
        <v>76289</v>
      </c>
      <c r="B10309" t="s">
        <v>25304</v>
      </c>
      <c r="C10309" t="s">
        <v>10490</v>
      </c>
      <c r="D10309">
        <v>0.55000000000000004</v>
      </c>
      <c r="E10309">
        <v>0</v>
      </c>
      <c r="F10309">
        <f t="shared" si="173"/>
        <v>0.55000000000000004</v>
      </c>
      <c r="I10309">
        <v>20250101</v>
      </c>
      <c r="J10309" t="s">
        <v>10491</v>
      </c>
    </row>
    <row r="10310" spans="1:17" x14ac:dyDescent="0.3">
      <c r="A10310" s="160">
        <v>76291</v>
      </c>
      <c r="B10310" t="s">
        <v>25305</v>
      </c>
      <c r="C10310" t="s">
        <v>10497</v>
      </c>
      <c r="D10310">
        <v>0.65</v>
      </c>
      <c r="E10310">
        <v>0</v>
      </c>
      <c r="F10310">
        <f t="shared" si="173"/>
        <v>0.65</v>
      </c>
      <c r="I10310">
        <v>20240101</v>
      </c>
      <c r="J10310" t="s">
        <v>10530</v>
      </c>
    </row>
    <row r="10311" spans="1:17" x14ac:dyDescent="0.3">
      <c r="A10311" s="160">
        <v>76296</v>
      </c>
      <c r="B10311" t="s">
        <v>25306</v>
      </c>
      <c r="C10311" t="s">
        <v>10499</v>
      </c>
      <c r="D10311">
        <v>2</v>
      </c>
      <c r="E10311">
        <v>0</v>
      </c>
      <c r="F10311">
        <f t="shared" ref="F10311:F10374" si="174">D10311+E10311</f>
        <v>2</v>
      </c>
      <c r="I10311">
        <v>20150101</v>
      </c>
      <c r="J10311" t="s">
        <v>10560</v>
      </c>
    </row>
    <row r="10312" spans="1:17" x14ac:dyDescent="0.3">
      <c r="A10312" s="160">
        <v>76298</v>
      </c>
      <c r="B10312" t="s">
        <v>25307</v>
      </c>
      <c r="C10312" t="s">
        <v>10497</v>
      </c>
      <c r="D10312">
        <v>0.65</v>
      </c>
      <c r="E10312">
        <v>0</v>
      </c>
      <c r="F10312">
        <f t="shared" si="174"/>
        <v>0.65</v>
      </c>
      <c r="I10312">
        <v>20240101</v>
      </c>
      <c r="J10312" t="s">
        <v>10530</v>
      </c>
    </row>
    <row r="10313" spans="1:17" x14ac:dyDescent="0.3">
      <c r="A10313" s="160">
        <v>76299</v>
      </c>
      <c r="B10313" t="s">
        <v>25308</v>
      </c>
      <c r="C10313" t="s">
        <v>10497</v>
      </c>
      <c r="D10313">
        <v>0.65</v>
      </c>
      <c r="E10313">
        <v>0</v>
      </c>
      <c r="F10313">
        <f t="shared" si="174"/>
        <v>0.65</v>
      </c>
      <c r="I10313">
        <v>20240101</v>
      </c>
      <c r="J10313" t="s">
        <v>10498</v>
      </c>
    </row>
    <row r="10314" spans="1:17" x14ac:dyDescent="0.3">
      <c r="A10314" s="160">
        <v>76300</v>
      </c>
      <c r="B10314" t="s">
        <v>25309</v>
      </c>
      <c r="C10314" t="s">
        <v>10497</v>
      </c>
      <c r="D10314">
        <v>0.65</v>
      </c>
      <c r="E10314">
        <v>0</v>
      </c>
      <c r="F10314">
        <f t="shared" si="174"/>
        <v>0.65</v>
      </c>
      <c r="I10314">
        <v>20240101</v>
      </c>
      <c r="J10314" t="s">
        <v>10511</v>
      </c>
    </row>
    <row r="10315" spans="1:17" x14ac:dyDescent="0.3">
      <c r="A10315" s="160">
        <v>76303</v>
      </c>
      <c r="B10315" t="s">
        <v>17957</v>
      </c>
      <c r="C10315" t="s">
        <v>10499</v>
      </c>
      <c r="D10315">
        <v>2</v>
      </c>
      <c r="E10315">
        <v>0</v>
      </c>
      <c r="F10315">
        <f t="shared" si="174"/>
        <v>2</v>
      </c>
      <c r="I10315">
        <v>20220701</v>
      </c>
      <c r="J10315" t="s">
        <v>10528</v>
      </c>
    </row>
    <row r="10316" spans="1:17" x14ac:dyDescent="0.3">
      <c r="A10316" s="160">
        <v>76305</v>
      </c>
      <c r="B10316" t="s">
        <v>25310</v>
      </c>
      <c r="C10316" t="s">
        <v>10499</v>
      </c>
      <c r="D10316">
        <v>2</v>
      </c>
      <c r="E10316">
        <v>0</v>
      </c>
      <c r="F10316">
        <f t="shared" si="174"/>
        <v>2</v>
      </c>
      <c r="I10316">
        <v>20150101</v>
      </c>
      <c r="J10316" t="s">
        <v>10561</v>
      </c>
      <c r="K10316" t="s">
        <v>10562</v>
      </c>
      <c r="L10316" t="s">
        <v>10563</v>
      </c>
      <c r="M10316" t="s">
        <v>10564</v>
      </c>
      <c r="N10316" t="s">
        <v>10565</v>
      </c>
      <c r="O10316" t="s">
        <v>10566</v>
      </c>
      <c r="P10316" t="s">
        <v>10567</v>
      </c>
      <c r="Q10316" t="s">
        <v>10560</v>
      </c>
    </row>
    <row r="10317" spans="1:17" x14ac:dyDescent="0.3">
      <c r="A10317" s="160">
        <v>76307</v>
      </c>
      <c r="B10317" t="s">
        <v>25311</v>
      </c>
      <c r="C10317" t="s">
        <v>10499</v>
      </c>
      <c r="D10317">
        <v>2</v>
      </c>
      <c r="E10317">
        <v>0</v>
      </c>
      <c r="F10317">
        <f t="shared" si="174"/>
        <v>2</v>
      </c>
      <c r="I10317">
        <v>20220701</v>
      </c>
      <c r="J10317" t="s">
        <v>10500</v>
      </c>
    </row>
    <row r="10318" spans="1:17" x14ac:dyDescent="0.3">
      <c r="A10318" s="160">
        <v>76311</v>
      </c>
      <c r="B10318" t="s">
        <v>25312</v>
      </c>
      <c r="C10318" t="s">
        <v>25244</v>
      </c>
      <c r="D10318">
        <v>0.6</v>
      </c>
      <c r="E10318">
        <v>0</v>
      </c>
      <c r="F10318">
        <f t="shared" si="174"/>
        <v>0.6</v>
      </c>
      <c r="I10318">
        <v>20230801</v>
      </c>
      <c r="J10318" t="s">
        <v>10616</v>
      </c>
    </row>
    <row r="10319" spans="1:17" x14ac:dyDescent="0.3">
      <c r="A10319" s="160">
        <v>76313</v>
      </c>
      <c r="B10319" t="s">
        <v>25313</v>
      </c>
      <c r="C10319" t="s">
        <v>10493</v>
      </c>
      <c r="D10319">
        <v>2</v>
      </c>
      <c r="E10319">
        <v>0</v>
      </c>
      <c r="F10319">
        <f t="shared" si="174"/>
        <v>2</v>
      </c>
      <c r="I10319">
        <v>20130101</v>
      </c>
      <c r="J10319" t="s">
        <v>10504</v>
      </c>
    </row>
    <row r="10320" spans="1:17" x14ac:dyDescent="0.3">
      <c r="A10320" s="160">
        <v>76314</v>
      </c>
      <c r="B10320" t="s">
        <v>25314</v>
      </c>
      <c r="C10320" t="s">
        <v>10499</v>
      </c>
      <c r="D10320">
        <v>2</v>
      </c>
      <c r="E10320">
        <v>0</v>
      </c>
      <c r="F10320">
        <f t="shared" si="174"/>
        <v>2</v>
      </c>
      <c r="I10320">
        <v>20220701</v>
      </c>
      <c r="J10320" t="s">
        <v>10528</v>
      </c>
    </row>
    <row r="10321" spans="1:45" x14ac:dyDescent="0.3">
      <c r="A10321" s="160">
        <v>76318</v>
      </c>
      <c r="B10321" t="s">
        <v>25315</v>
      </c>
      <c r="C10321" t="s">
        <v>25226</v>
      </c>
      <c r="D10321">
        <v>0.2</v>
      </c>
      <c r="E10321">
        <v>0</v>
      </c>
      <c r="F10321">
        <f t="shared" si="174"/>
        <v>0.2</v>
      </c>
      <c r="I10321">
        <v>20240101</v>
      </c>
      <c r="J10321" t="s">
        <v>25302</v>
      </c>
    </row>
    <row r="10322" spans="1:45" x14ac:dyDescent="0.3">
      <c r="A10322" s="160">
        <v>76319</v>
      </c>
      <c r="B10322" t="s">
        <v>25316</v>
      </c>
      <c r="C10322" t="s">
        <v>10493</v>
      </c>
      <c r="D10322">
        <v>2</v>
      </c>
      <c r="E10322">
        <v>0</v>
      </c>
      <c r="F10322">
        <f t="shared" si="174"/>
        <v>2</v>
      </c>
      <c r="I10322">
        <v>20130101</v>
      </c>
      <c r="J10322" t="s">
        <v>10522</v>
      </c>
    </row>
    <row r="10323" spans="1:45" x14ac:dyDescent="0.3">
      <c r="A10323" s="160">
        <v>76322</v>
      </c>
      <c r="B10323" t="s">
        <v>25317</v>
      </c>
      <c r="C10323" t="s">
        <v>10493</v>
      </c>
      <c r="D10323">
        <v>2</v>
      </c>
      <c r="E10323">
        <v>0</v>
      </c>
      <c r="F10323">
        <f t="shared" si="174"/>
        <v>2</v>
      </c>
      <c r="I10323">
        <v>20130101</v>
      </c>
      <c r="J10323" t="s">
        <v>10568</v>
      </c>
      <c r="K10323" t="s">
        <v>10569</v>
      </c>
      <c r="L10323" t="s">
        <v>10570</v>
      </c>
      <c r="M10323" t="s">
        <v>10571</v>
      </c>
      <c r="N10323" t="s">
        <v>10572</v>
      </c>
      <c r="O10323" t="s">
        <v>10573</v>
      </c>
      <c r="P10323" t="s">
        <v>10574</v>
      </c>
      <c r="Q10323" t="s">
        <v>10575</v>
      </c>
      <c r="R10323" t="s">
        <v>10576</v>
      </c>
    </row>
    <row r="10324" spans="1:45" x14ac:dyDescent="0.3">
      <c r="A10324" s="160">
        <v>76324</v>
      </c>
      <c r="B10324" t="s">
        <v>25318</v>
      </c>
      <c r="C10324" t="s">
        <v>10495</v>
      </c>
      <c r="D10324">
        <v>0.8</v>
      </c>
      <c r="E10324">
        <v>0</v>
      </c>
      <c r="F10324">
        <f t="shared" si="174"/>
        <v>0.8</v>
      </c>
      <c r="I10324">
        <v>20120101</v>
      </c>
      <c r="J10324" t="s">
        <v>10496</v>
      </c>
    </row>
    <row r="10325" spans="1:45" x14ac:dyDescent="0.3">
      <c r="A10325" s="160">
        <v>76329</v>
      </c>
      <c r="B10325" t="s">
        <v>25319</v>
      </c>
      <c r="C10325" t="s">
        <v>25226</v>
      </c>
      <c r="D10325">
        <v>0.2</v>
      </c>
      <c r="E10325">
        <v>0</v>
      </c>
      <c r="F10325">
        <f t="shared" si="174"/>
        <v>0.2</v>
      </c>
      <c r="I10325">
        <v>20240101</v>
      </c>
      <c r="J10325" t="s">
        <v>25248</v>
      </c>
    </row>
    <row r="10326" spans="1:45" x14ac:dyDescent="0.3">
      <c r="A10326" s="160">
        <v>76341</v>
      </c>
      <c r="B10326" t="s">
        <v>25320</v>
      </c>
      <c r="C10326" t="s">
        <v>10499</v>
      </c>
      <c r="D10326">
        <v>2</v>
      </c>
      <c r="E10326">
        <v>0</v>
      </c>
      <c r="F10326">
        <f t="shared" si="174"/>
        <v>2</v>
      </c>
      <c r="I10326">
        <v>20150101</v>
      </c>
      <c r="J10326" t="s">
        <v>10560</v>
      </c>
    </row>
    <row r="10327" spans="1:45" x14ac:dyDescent="0.3">
      <c r="A10327" s="160">
        <v>76342</v>
      </c>
      <c r="B10327" t="s">
        <v>25321</v>
      </c>
      <c r="C10327" t="s">
        <v>25226</v>
      </c>
      <c r="D10327">
        <v>0.2</v>
      </c>
      <c r="E10327">
        <v>0</v>
      </c>
      <c r="F10327">
        <f t="shared" si="174"/>
        <v>0.2</v>
      </c>
      <c r="I10327">
        <v>20240101</v>
      </c>
      <c r="J10327" t="s">
        <v>10637</v>
      </c>
    </row>
    <row r="10328" spans="1:45" x14ac:dyDescent="0.3">
      <c r="A10328" s="160">
        <v>76347</v>
      </c>
      <c r="B10328" t="s">
        <v>25322</v>
      </c>
      <c r="C10328" t="s">
        <v>10490</v>
      </c>
      <c r="D10328">
        <v>0.55000000000000004</v>
      </c>
      <c r="E10328">
        <v>0</v>
      </c>
      <c r="F10328">
        <f t="shared" si="174"/>
        <v>0.55000000000000004</v>
      </c>
      <c r="I10328">
        <v>20250101</v>
      </c>
      <c r="J10328" t="s">
        <v>10491</v>
      </c>
    </row>
    <row r="10329" spans="1:45" x14ac:dyDescent="0.3">
      <c r="A10329" s="160">
        <v>76348</v>
      </c>
      <c r="B10329" t="s">
        <v>25323</v>
      </c>
      <c r="C10329" t="s">
        <v>10490</v>
      </c>
      <c r="D10329">
        <v>0.55000000000000004</v>
      </c>
      <c r="E10329">
        <v>0</v>
      </c>
      <c r="F10329">
        <f t="shared" si="174"/>
        <v>0.55000000000000004</v>
      </c>
      <c r="I10329">
        <v>20250101</v>
      </c>
      <c r="J10329" t="s">
        <v>10491</v>
      </c>
      <c r="K10329" t="s">
        <v>10577</v>
      </c>
    </row>
    <row r="10330" spans="1:45" x14ac:dyDescent="0.3">
      <c r="A10330" s="160">
        <v>76349</v>
      </c>
      <c r="B10330" t="s">
        <v>25324</v>
      </c>
      <c r="C10330" t="s">
        <v>10495</v>
      </c>
      <c r="D10330">
        <v>0.8</v>
      </c>
      <c r="E10330">
        <v>0</v>
      </c>
      <c r="F10330">
        <f t="shared" si="174"/>
        <v>0.8</v>
      </c>
      <c r="I10330">
        <v>20120101</v>
      </c>
      <c r="J10330" t="s">
        <v>10545</v>
      </c>
      <c r="K10330" t="s">
        <v>10503</v>
      </c>
    </row>
    <row r="10331" spans="1:45" x14ac:dyDescent="0.3">
      <c r="A10331" s="160">
        <v>76350</v>
      </c>
      <c r="B10331" t="s">
        <v>25325</v>
      </c>
      <c r="C10331" t="s">
        <v>10493</v>
      </c>
      <c r="D10331">
        <v>2</v>
      </c>
      <c r="E10331">
        <v>0</v>
      </c>
      <c r="F10331">
        <f t="shared" si="174"/>
        <v>2</v>
      </c>
      <c r="I10331">
        <v>20130101</v>
      </c>
      <c r="J10331" t="s">
        <v>10578</v>
      </c>
    </row>
    <row r="10332" spans="1:45" x14ac:dyDescent="0.3">
      <c r="A10332" s="160">
        <v>76351</v>
      </c>
      <c r="B10332" t="s">
        <v>25326</v>
      </c>
      <c r="C10332" t="s">
        <v>10499</v>
      </c>
      <c r="D10332">
        <v>2</v>
      </c>
      <c r="E10332">
        <v>0</v>
      </c>
      <c r="F10332">
        <f t="shared" si="174"/>
        <v>2</v>
      </c>
      <c r="I10332">
        <v>20150101</v>
      </c>
      <c r="J10332" t="s">
        <v>10561</v>
      </c>
      <c r="K10332" t="s">
        <v>10579</v>
      </c>
      <c r="L10332" t="s">
        <v>10580</v>
      </c>
      <c r="M10332" t="s">
        <v>10581</v>
      </c>
      <c r="N10332" t="s">
        <v>10562</v>
      </c>
      <c r="O10332" t="s">
        <v>10582</v>
      </c>
      <c r="P10332" t="s">
        <v>10583</v>
      </c>
      <c r="Q10332" t="s">
        <v>10584</v>
      </c>
      <c r="R10332" t="s">
        <v>10585</v>
      </c>
      <c r="S10332" t="s">
        <v>10586</v>
      </c>
      <c r="T10332" t="s">
        <v>10563</v>
      </c>
      <c r="U10332" t="s">
        <v>10587</v>
      </c>
      <c r="V10332" t="s">
        <v>10564</v>
      </c>
      <c r="W10332" t="s">
        <v>10588</v>
      </c>
      <c r="X10332" t="s">
        <v>10565</v>
      </c>
      <c r="Y10332" t="s">
        <v>10589</v>
      </c>
      <c r="Z10332" t="s">
        <v>10590</v>
      </c>
      <c r="AA10332" t="s">
        <v>10591</v>
      </c>
      <c r="AB10332" t="s">
        <v>10566</v>
      </c>
      <c r="AC10332" t="s">
        <v>10592</v>
      </c>
      <c r="AD10332" t="s">
        <v>10593</v>
      </c>
      <c r="AE10332" t="s">
        <v>10594</v>
      </c>
      <c r="AF10332" t="s">
        <v>10567</v>
      </c>
      <c r="AG10332" t="s">
        <v>10595</v>
      </c>
      <c r="AH10332" t="s">
        <v>10596</v>
      </c>
      <c r="AI10332" t="s">
        <v>10597</v>
      </c>
      <c r="AJ10332" t="s">
        <v>10598</v>
      </c>
      <c r="AK10332" t="s">
        <v>10599</v>
      </c>
      <c r="AL10332" t="s">
        <v>10600</v>
      </c>
      <c r="AM10332" t="s">
        <v>10601</v>
      </c>
      <c r="AN10332" t="s">
        <v>10602</v>
      </c>
      <c r="AO10332" t="s">
        <v>10603</v>
      </c>
      <c r="AP10332" t="s">
        <v>10604</v>
      </c>
      <c r="AQ10332" t="s">
        <v>10605</v>
      </c>
      <c r="AR10332" t="s">
        <v>10606</v>
      </c>
      <c r="AS10332" t="s">
        <v>10607</v>
      </c>
    </row>
    <row r="10333" spans="1:45" x14ac:dyDescent="0.3">
      <c r="A10333" s="160">
        <v>76354</v>
      </c>
      <c r="B10333" t="s">
        <v>25327</v>
      </c>
      <c r="C10333" t="s">
        <v>10493</v>
      </c>
      <c r="D10333">
        <v>2</v>
      </c>
      <c r="E10333">
        <v>0</v>
      </c>
      <c r="F10333">
        <f t="shared" si="174"/>
        <v>2</v>
      </c>
      <c r="I10333">
        <v>20130101</v>
      </c>
      <c r="J10333" t="s">
        <v>10608</v>
      </c>
    </row>
    <row r="10334" spans="1:45" x14ac:dyDescent="0.3">
      <c r="A10334" s="160">
        <v>76357</v>
      </c>
      <c r="B10334" t="s">
        <v>25328</v>
      </c>
      <c r="C10334" t="s">
        <v>10499</v>
      </c>
      <c r="D10334">
        <v>2</v>
      </c>
      <c r="E10334">
        <v>0</v>
      </c>
      <c r="F10334">
        <f t="shared" si="174"/>
        <v>2</v>
      </c>
      <c r="I10334">
        <v>20220701</v>
      </c>
      <c r="J10334" t="s">
        <v>10500</v>
      </c>
    </row>
    <row r="10335" spans="1:45" x14ac:dyDescent="0.3">
      <c r="A10335" s="160">
        <v>76361</v>
      </c>
      <c r="B10335" t="s">
        <v>17733</v>
      </c>
      <c r="C10335" t="s">
        <v>10499</v>
      </c>
      <c r="D10335">
        <v>2</v>
      </c>
      <c r="E10335">
        <v>0</v>
      </c>
      <c r="F10335">
        <f t="shared" si="174"/>
        <v>2</v>
      </c>
      <c r="I10335">
        <v>20220701</v>
      </c>
      <c r="J10335" t="s">
        <v>10500</v>
      </c>
    </row>
    <row r="10336" spans="1:45" x14ac:dyDescent="0.3">
      <c r="A10336" s="160">
        <v>76362</v>
      </c>
      <c r="B10336" t="s">
        <v>25329</v>
      </c>
      <c r="C10336" t="s">
        <v>25226</v>
      </c>
      <c r="D10336">
        <v>0.2</v>
      </c>
      <c r="E10336">
        <v>0</v>
      </c>
      <c r="F10336">
        <f t="shared" si="174"/>
        <v>0.2</v>
      </c>
      <c r="I10336">
        <v>20240101</v>
      </c>
      <c r="J10336" t="s">
        <v>25330</v>
      </c>
    </row>
    <row r="10337" spans="1:13" x14ac:dyDescent="0.3">
      <c r="A10337" s="160">
        <v>76366</v>
      </c>
      <c r="B10337" t="s">
        <v>25331</v>
      </c>
      <c r="C10337" t="s">
        <v>10493</v>
      </c>
      <c r="D10337">
        <v>2</v>
      </c>
      <c r="E10337">
        <v>0</v>
      </c>
      <c r="F10337">
        <f t="shared" si="174"/>
        <v>2</v>
      </c>
      <c r="I10337">
        <v>20130101</v>
      </c>
      <c r="J10337" t="s">
        <v>10609</v>
      </c>
    </row>
    <row r="10338" spans="1:13" x14ac:dyDescent="0.3">
      <c r="A10338" s="160">
        <v>76367</v>
      </c>
      <c r="B10338" t="s">
        <v>25332</v>
      </c>
      <c r="C10338" t="s">
        <v>10493</v>
      </c>
      <c r="D10338">
        <v>2</v>
      </c>
      <c r="E10338">
        <v>0</v>
      </c>
      <c r="F10338">
        <f t="shared" si="174"/>
        <v>2</v>
      </c>
      <c r="I10338">
        <v>20130101</v>
      </c>
      <c r="J10338" t="s">
        <v>10609</v>
      </c>
    </row>
    <row r="10339" spans="1:13" x14ac:dyDescent="0.3">
      <c r="A10339" s="160">
        <v>76377</v>
      </c>
      <c r="B10339" t="s">
        <v>25333</v>
      </c>
      <c r="C10339" t="s">
        <v>10493</v>
      </c>
      <c r="D10339">
        <v>2</v>
      </c>
      <c r="E10339">
        <v>0</v>
      </c>
      <c r="F10339">
        <f t="shared" si="174"/>
        <v>2</v>
      </c>
      <c r="I10339">
        <v>20130101</v>
      </c>
      <c r="J10339" t="s">
        <v>10513</v>
      </c>
      <c r="K10339" t="s">
        <v>10516</v>
      </c>
      <c r="L10339" t="s">
        <v>10518</v>
      </c>
      <c r="M10339" t="s">
        <v>10520</v>
      </c>
    </row>
    <row r="10340" spans="1:13" x14ac:dyDescent="0.3">
      <c r="A10340" s="160">
        <v>76378</v>
      </c>
      <c r="B10340" t="s">
        <v>25334</v>
      </c>
      <c r="C10340" t="s">
        <v>10493</v>
      </c>
      <c r="D10340">
        <v>2</v>
      </c>
      <c r="E10340">
        <v>0</v>
      </c>
      <c r="F10340">
        <f t="shared" si="174"/>
        <v>2</v>
      </c>
      <c r="I10340">
        <v>20130101</v>
      </c>
      <c r="J10340" t="s">
        <v>10501</v>
      </c>
    </row>
    <row r="10341" spans="1:13" x14ac:dyDescent="0.3">
      <c r="A10341" s="160">
        <v>76382</v>
      </c>
      <c r="B10341" t="s">
        <v>25335</v>
      </c>
      <c r="C10341" t="s">
        <v>25226</v>
      </c>
      <c r="D10341">
        <v>0.2</v>
      </c>
      <c r="E10341">
        <v>0</v>
      </c>
      <c r="F10341">
        <f t="shared" si="174"/>
        <v>0.2</v>
      </c>
      <c r="I10341">
        <v>20240101</v>
      </c>
      <c r="J10341" t="s">
        <v>25248</v>
      </c>
    </row>
    <row r="10342" spans="1:13" x14ac:dyDescent="0.3">
      <c r="A10342" s="160">
        <v>76384</v>
      </c>
      <c r="B10342" t="s">
        <v>25336</v>
      </c>
      <c r="C10342" t="s">
        <v>25226</v>
      </c>
      <c r="D10342">
        <v>0.2</v>
      </c>
      <c r="E10342">
        <v>0</v>
      </c>
      <c r="F10342">
        <f t="shared" si="174"/>
        <v>0.2</v>
      </c>
      <c r="I10342">
        <v>20240101</v>
      </c>
      <c r="J10342" t="s">
        <v>25302</v>
      </c>
    </row>
    <row r="10343" spans="1:13" x14ac:dyDescent="0.3">
      <c r="A10343" s="160">
        <v>76385</v>
      </c>
      <c r="B10343" t="s">
        <v>25337</v>
      </c>
      <c r="C10343" t="s">
        <v>25244</v>
      </c>
      <c r="D10343">
        <v>0.6</v>
      </c>
      <c r="E10343">
        <v>0</v>
      </c>
      <c r="F10343">
        <f t="shared" si="174"/>
        <v>0.6</v>
      </c>
      <c r="I10343">
        <v>20230801</v>
      </c>
      <c r="J10343" t="s">
        <v>10616</v>
      </c>
    </row>
    <row r="10344" spans="1:13" x14ac:dyDescent="0.3">
      <c r="A10344" s="160">
        <v>76386</v>
      </c>
      <c r="B10344" t="s">
        <v>25338</v>
      </c>
      <c r="C10344" t="s">
        <v>10497</v>
      </c>
      <c r="D10344">
        <v>0.65</v>
      </c>
      <c r="E10344">
        <v>0</v>
      </c>
      <c r="F10344">
        <f t="shared" si="174"/>
        <v>0.65</v>
      </c>
      <c r="I10344">
        <v>20240101</v>
      </c>
      <c r="J10344" t="s">
        <v>10498</v>
      </c>
    </row>
    <row r="10345" spans="1:13" x14ac:dyDescent="0.3">
      <c r="A10345" s="160">
        <v>76388</v>
      </c>
      <c r="B10345" t="s">
        <v>25339</v>
      </c>
      <c r="C10345" t="s">
        <v>25226</v>
      </c>
      <c r="D10345">
        <v>0.2</v>
      </c>
      <c r="E10345">
        <v>0</v>
      </c>
      <c r="F10345">
        <f t="shared" si="174"/>
        <v>0.2</v>
      </c>
      <c r="I10345">
        <v>20240101</v>
      </c>
      <c r="J10345" t="s">
        <v>25248</v>
      </c>
    </row>
    <row r="10346" spans="1:13" x14ac:dyDescent="0.3">
      <c r="A10346" s="160">
        <v>76390</v>
      </c>
      <c r="B10346" t="s">
        <v>25340</v>
      </c>
      <c r="C10346" t="s">
        <v>10497</v>
      </c>
      <c r="D10346">
        <v>0.65</v>
      </c>
      <c r="E10346">
        <v>0</v>
      </c>
      <c r="F10346">
        <f t="shared" si="174"/>
        <v>0.65</v>
      </c>
      <c r="I10346">
        <v>20240101</v>
      </c>
      <c r="J10346" t="s">
        <v>10511</v>
      </c>
    </row>
    <row r="10347" spans="1:13" x14ac:dyDescent="0.3">
      <c r="A10347" s="160">
        <v>76391</v>
      </c>
      <c r="B10347" t="s">
        <v>25341</v>
      </c>
      <c r="C10347" t="s">
        <v>10493</v>
      </c>
      <c r="D10347">
        <v>2</v>
      </c>
      <c r="E10347">
        <v>0</v>
      </c>
      <c r="F10347">
        <f t="shared" si="174"/>
        <v>2</v>
      </c>
      <c r="I10347">
        <v>20130101</v>
      </c>
      <c r="J10347" t="s">
        <v>10552</v>
      </c>
    </row>
    <row r="10348" spans="1:13" x14ac:dyDescent="0.3">
      <c r="A10348" s="160">
        <v>76398</v>
      </c>
      <c r="B10348" t="s">
        <v>25342</v>
      </c>
      <c r="C10348" t="s">
        <v>25226</v>
      </c>
      <c r="D10348">
        <v>0.2</v>
      </c>
      <c r="E10348">
        <v>0</v>
      </c>
      <c r="F10348">
        <f t="shared" si="174"/>
        <v>0.2</v>
      </c>
      <c r="I10348">
        <v>20240101</v>
      </c>
      <c r="J10348" t="s">
        <v>25235</v>
      </c>
    </row>
    <row r="10349" spans="1:13" x14ac:dyDescent="0.3">
      <c r="A10349" s="160">
        <v>76401</v>
      </c>
      <c r="B10349" t="s">
        <v>25343</v>
      </c>
      <c r="C10349" t="s">
        <v>25226</v>
      </c>
      <c r="D10349">
        <v>0.2</v>
      </c>
      <c r="E10349">
        <v>0</v>
      </c>
      <c r="F10349">
        <f t="shared" si="174"/>
        <v>0.2</v>
      </c>
      <c r="I10349">
        <v>20240101</v>
      </c>
      <c r="J10349" t="s">
        <v>25330</v>
      </c>
    </row>
    <row r="10350" spans="1:13" x14ac:dyDescent="0.3">
      <c r="A10350" s="160">
        <v>76402</v>
      </c>
      <c r="B10350" t="s">
        <v>25344</v>
      </c>
      <c r="C10350" t="s">
        <v>10493</v>
      </c>
      <c r="D10350">
        <v>2</v>
      </c>
      <c r="E10350">
        <v>0</v>
      </c>
      <c r="F10350">
        <f t="shared" si="174"/>
        <v>2</v>
      </c>
      <c r="I10350">
        <v>20130101</v>
      </c>
      <c r="J10350" t="s">
        <v>10609</v>
      </c>
    </row>
    <row r="10351" spans="1:13" x14ac:dyDescent="0.3">
      <c r="A10351" s="160">
        <v>76404</v>
      </c>
      <c r="B10351" t="s">
        <v>25345</v>
      </c>
      <c r="C10351" t="s">
        <v>10499</v>
      </c>
      <c r="D10351">
        <v>2</v>
      </c>
      <c r="E10351">
        <v>0</v>
      </c>
      <c r="F10351">
        <f t="shared" si="174"/>
        <v>2</v>
      </c>
      <c r="I10351">
        <v>20150101</v>
      </c>
      <c r="J10351" t="s">
        <v>10556</v>
      </c>
    </row>
    <row r="10352" spans="1:13" x14ac:dyDescent="0.3">
      <c r="A10352" s="160">
        <v>76406</v>
      </c>
      <c r="B10352" t="s">
        <v>25346</v>
      </c>
      <c r="C10352" t="s">
        <v>10497</v>
      </c>
      <c r="D10352">
        <v>0.65</v>
      </c>
      <c r="E10352">
        <v>0</v>
      </c>
      <c r="F10352">
        <f t="shared" si="174"/>
        <v>0.65</v>
      </c>
      <c r="I10352">
        <v>20240101</v>
      </c>
      <c r="J10352" t="s">
        <v>10530</v>
      </c>
    </row>
    <row r="10353" spans="1:21" x14ac:dyDescent="0.3">
      <c r="A10353" s="160">
        <v>76409</v>
      </c>
      <c r="B10353" t="s">
        <v>25347</v>
      </c>
      <c r="C10353" t="s">
        <v>10499</v>
      </c>
      <c r="D10353">
        <v>2</v>
      </c>
      <c r="E10353">
        <v>0</v>
      </c>
      <c r="F10353">
        <f t="shared" si="174"/>
        <v>2</v>
      </c>
      <c r="I10353">
        <v>20150101</v>
      </c>
      <c r="J10353" t="s">
        <v>10559</v>
      </c>
    </row>
    <row r="10354" spans="1:21" x14ac:dyDescent="0.3">
      <c r="A10354" s="160">
        <v>76410</v>
      </c>
      <c r="B10354" t="s">
        <v>25348</v>
      </c>
      <c r="C10354" t="s">
        <v>10493</v>
      </c>
      <c r="D10354">
        <v>2</v>
      </c>
      <c r="E10354">
        <v>0</v>
      </c>
      <c r="F10354">
        <f t="shared" si="174"/>
        <v>2</v>
      </c>
      <c r="I10354">
        <v>20130101</v>
      </c>
      <c r="J10354" t="s">
        <v>10610</v>
      </c>
      <c r="K10354" t="s">
        <v>10611</v>
      </c>
      <c r="L10354" t="s">
        <v>10612</v>
      </c>
      <c r="M10354" t="s">
        <v>10613</v>
      </c>
      <c r="N10354" t="s">
        <v>10614</v>
      </c>
      <c r="O10354" t="s">
        <v>10615</v>
      </c>
    </row>
    <row r="10355" spans="1:21" x14ac:dyDescent="0.3">
      <c r="A10355" s="160">
        <v>76413</v>
      </c>
      <c r="B10355" t="s">
        <v>25349</v>
      </c>
      <c r="C10355" t="s">
        <v>10495</v>
      </c>
      <c r="D10355">
        <v>0.8</v>
      </c>
      <c r="E10355">
        <v>0</v>
      </c>
      <c r="F10355">
        <f t="shared" si="174"/>
        <v>0.8</v>
      </c>
      <c r="I10355">
        <v>20120101</v>
      </c>
      <c r="J10355" t="s">
        <v>10502</v>
      </c>
    </row>
    <row r="10356" spans="1:21" x14ac:dyDescent="0.3">
      <c r="A10356" s="160">
        <v>76414</v>
      </c>
      <c r="B10356" t="s">
        <v>25350</v>
      </c>
      <c r="C10356" t="s">
        <v>10495</v>
      </c>
      <c r="D10356">
        <v>0.8</v>
      </c>
      <c r="E10356">
        <v>0</v>
      </c>
      <c r="F10356">
        <f t="shared" si="174"/>
        <v>0.8</v>
      </c>
      <c r="I10356">
        <v>20120101</v>
      </c>
      <c r="J10356" t="s">
        <v>10538</v>
      </c>
      <c r="K10356" t="s">
        <v>10539</v>
      </c>
      <c r="L10356" t="s">
        <v>10540</v>
      </c>
      <c r="M10356" t="s">
        <v>10541</v>
      </c>
      <c r="N10356" t="s">
        <v>10542</v>
      </c>
      <c r="O10356" t="s">
        <v>10496</v>
      </c>
    </row>
    <row r="10357" spans="1:21" x14ac:dyDescent="0.3">
      <c r="A10357" s="160">
        <v>76418</v>
      </c>
      <c r="B10357" t="s">
        <v>25351</v>
      </c>
      <c r="C10357" t="s">
        <v>25226</v>
      </c>
      <c r="D10357">
        <v>0.2</v>
      </c>
      <c r="E10357">
        <v>0</v>
      </c>
      <c r="F10357">
        <f t="shared" si="174"/>
        <v>0.2</v>
      </c>
      <c r="I10357">
        <v>20240101</v>
      </c>
      <c r="J10357" t="s">
        <v>25235</v>
      </c>
    </row>
    <row r="10358" spans="1:21" x14ac:dyDescent="0.3">
      <c r="A10358" s="160">
        <v>76421</v>
      </c>
      <c r="B10358" t="s">
        <v>25352</v>
      </c>
      <c r="C10358" t="s">
        <v>25226</v>
      </c>
      <c r="D10358">
        <v>0.2</v>
      </c>
      <c r="E10358">
        <v>0</v>
      </c>
      <c r="F10358">
        <f t="shared" si="174"/>
        <v>0.2</v>
      </c>
      <c r="I10358">
        <v>20240101</v>
      </c>
      <c r="J10358" t="s">
        <v>25302</v>
      </c>
    </row>
    <row r="10359" spans="1:21" x14ac:dyDescent="0.3">
      <c r="A10359" s="160">
        <v>76429</v>
      </c>
      <c r="B10359" t="s">
        <v>25353</v>
      </c>
      <c r="C10359" t="s">
        <v>10493</v>
      </c>
      <c r="D10359">
        <v>2</v>
      </c>
      <c r="E10359">
        <v>0</v>
      </c>
      <c r="F10359">
        <f t="shared" si="174"/>
        <v>2</v>
      </c>
      <c r="I10359">
        <v>20130101</v>
      </c>
      <c r="J10359" t="s">
        <v>10510</v>
      </c>
    </row>
    <row r="10360" spans="1:21" x14ac:dyDescent="0.3">
      <c r="A10360" s="160">
        <v>76433</v>
      </c>
      <c r="B10360" t="s">
        <v>25354</v>
      </c>
      <c r="C10360" t="s">
        <v>10490</v>
      </c>
      <c r="D10360">
        <v>0.55000000000000004</v>
      </c>
      <c r="E10360">
        <v>0</v>
      </c>
      <c r="F10360">
        <f t="shared" si="174"/>
        <v>0.55000000000000004</v>
      </c>
      <c r="I10360">
        <v>20250101</v>
      </c>
      <c r="J10360" t="s">
        <v>10616</v>
      </c>
    </row>
    <row r="10361" spans="1:21" x14ac:dyDescent="0.3">
      <c r="A10361" s="160">
        <v>76436</v>
      </c>
      <c r="B10361" t="s">
        <v>25355</v>
      </c>
      <c r="C10361" t="s">
        <v>10493</v>
      </c>
      <c r="D10361">
        <v>2</v>
      </c>
      <c r="E10361">
        <v>0</v>
      </c>
      <c r="F10361">
        <f t="shared" si="174"/>
        <v>2</v>
      </c>
      <c r="I10361">
        <v>20130101</v>
      </c>
      <c r="J10361" t="s">
        <v>10501</v>
      </c>
    </row>
    <row r="10362" spans="1:21" x14ac:dyDescent="0.3">
      <c r="A10362" s="160">
        <v>76439</v>
      </c>
      <c r="B10362" t="s">
        <v>25356</v>
      </c>
      <c r="C10362" t="s">
        <v>25226</v>
      </c>
      <c r="D10362">
        <v>0.2</v>
      </c>
      <c r="E10362">
        <v>0</v>
      </c>
      <c r="F10362">
        <f t="shared" si="174"/>
        <v>0.2</v>
      </c>
      <c r="I10362">
        <v>20240101</v>
      </c>
      <c r="J10362" t="s">
        <v>25248</v>
      </c>
    </row>
    <row r="10363" spans="1:21" x14ac:dyDescent="0.3">
      <c r="A10363" s="160">
        <v>76447</v>
      </c>
      <c r="B10363" t="s">
        <v>25357</v>
      </c>
      <c r="C10363" t="s">
        <v>10499</v>
      </c>
      <c r="D10363">
        <v>2</v>
      </c>
      <c r="E10363">
        <v>0</v>
      </c>
      <c r="F10363">
        <f t="shared" si="174"/>
        <v>2</v>
      </c>
      <c r="I10363">
        <v>20150101</v>
      </c>
      <c r="J10363" t="s">
        <v>10559</v>
      </c>
    </row>
    <row r="10364" spans="1:21" x14ac:dyDescent="0.3">
      <c r="A10364" s="160">
        <v>76448</v>
      </c>
      <c r="B10364" t="s">
        <v>25358</v>
      </c>
      <c r="C10364" t="s">
        <v>10493</v>
      </c>
      <c r="D10364">
        <v>2</v>
      </c>
      <c r="E10364">
        <v>0</v>
      </c>
      <c r="F10364">
        <f t="shared" si="174"/>
        <v>2</v>
      </c>
      <c r="I10364">
        <v>20130101</v>
      </c>
      <c r="J10364" t="s">
        <v>10504</v>
      </c>
    </row>
    <row r="10365" spans="1:21" x14ac:dyDescent="0.3">
      <c r="A10365" s="160">
        <v>76451</v>
      </c>
      <c r="B10365" t="s">
        <v>25359</v>
      </c>
      <c r="C10365" t="s">
        <v>10493</v>
      </c>
      <c r="D10365">
        <v>2</v>
      </c>
      <c r="E10365">
        <v>0</v>
      </c>
      <c r="F10365">
        <f t="shared" si="174"/>
        <v>2</v>
      </c>
      <c r="I10365">
        <v>20130101</v>
      </c>
      <c r="J10365" t="s">
        <v>10617</v>
      </c>
      <c r="K10365" t="s">
        <v>10618</v>
      </c>
      <c r="L10365" t="s">
        <v>10619</v>
      </c>
      <c r="M10365" t="s">
        <v>10620</v>
      </c>
      <c r="N10365" t="s">
        <v>10621</v>
      </c>
      <c r="O10365" t="s">
        <v>10622</v>
      </c>
      <c r="P10365" t="s">
        <v>10623</v>
      </c>
      <c r="Q10365" t="s">
        <v>10624</v>
      </c>
      <c r="R10365" t="s">
        <v>10625</v>
      </c>
      <c r="S10365" t="s">
        <v>10626</v>
      </c>
      <c r="T10365" t="s">
        <v>10627</v>
      </c>
      <c r="U10365" t="s">
        <v>10628</v>
      </c>
    </row>
    <row r="10366" spans="1:21" x14ac:dyDescent="0.3">
      <c r="A10366" s="160">
        <v>76457</v>
      </c>
      <c r="B10366" t="s">
        <v>25360</v>
      </c>
      <c r="C10366" t="s">
        <v>10493</v>
      </c>
      <c r="D10366">
        <v>2</v>
      </c>
      <c r="E10366">
        <v>0</v>
      </c>
      <c r="F10366">
        <f t="shared" si="174"/>
        <v>2</v>
      </c>
      <c r="I10366">
        <v>20130101</v>
      </c>
      <c r="J10366" t="s">
        <v>10522</v>
      </c>
    </row>
    <row r="10367" spans="1:21" x14ac:dyDescent="0.3">
      <c r="A10367" s="160">
        <v>76464</v>
      </c>
      <c r="B10367" t="s">
        <v>25361</v>
      </c>
      <c r="C10367" t="s">
        <v>10493</v>
      </c>
      <c r="D10367">
        <v>2</v>
      </c>
      <c r="E10367">
        <v>0</v>
      </c>
      <c r="F10367">
        <f t="shared" si="174"/>
        <v>2</v>
      </c>
      <c r="I10367">
        <v>20130101</v>
      </c>
      <c r="J10367" t="s">
        <v>10504</v>
      </c>
    </row>
    <row r="10368" spans="1:21" x14ac:dyDescent="0.3">
      <c r="A10368" s="160">
        <v>76468</v>
      </c>
      <c r="B10368" t="s">
        <v>25362</v>
      </c>
      <c r="C10368" t="s">
        <v>25226</v>
      </c>
      <c r="D10368">
        <v>0.2</v>
      </c>
      <c r="E10368">
        <v>0</v>
      </c>
      <c r="F10368">
        <f t="shared" si="174"/>
        <v>0.2</v>
      </c>
      <c r="I10368">
        <v>20240101</v>
      </c>
      <c r="J10368" t="s">
        <v>25248</v>
      </c>
    </row>
    <row r="10369" spans="1:14" x14ac:dyDescent="0.3">
      <c r="A10369" s="160">
        <v>76471</v>
      </c>
      <c r="B10369" t="s">
        <v>25363</v>
      </c>
      <c r="C10369" t="s">
        <v>25226</v>
      </c>
      <c r="D10369">
        <v>0.2</v>
      </c>
      <c r="E10369">
        <v>0</v>
      </c>
      <c r="F10369">
        <f t="shared" si="174"/>
        <v>0.2</v>
      </c>
      <c r="I10369">
        <v>20240101</v>
      </c>
      <c r="J10369" t="s">
        <v>25364</v>
      </c>
    </row>
    <row r="10370" spans="1:14" x14ac:dyDescent="0.3">
      <c r="A10370" s="160">
        <v>76473</v>
      </c>
      <c r="B10370" t="s">
        <v>25365</v>
      </c>
      <c r="C10370" t="s">
        <v>25226</v>
      </c>
      <c r="D10370">
        <v>0.2</v>
      </c>
      <c r="E10370">
        <v>0</v>
      </c>
      <c r="F10370">
        <f t="shared" si="174"/>
        <v>0.2</v>
      </c>
      <c r="I10370">
        <v>20240101</v>
      </c>
      <c r="J10370" t="s">
        <v>25330</v>
      </c>
    </row>
    <row r="10371" spans="1:14" x14ac:dyDescent="0.3">
      <c r="A10371" s="160">
        <v>76474</v>
      </c>
      <c r="B10371" t="s">
        <v>25366</v>
      </c>
      <c r="C10371" t="s">
        <v>10493</v>
      </c>
      <c r="D10371">
        <v>2</v>
      </c>
      <c r="E10371">
        <v>0</v>
      </c>
      <c r="F10371">
        <f t="shared" si="174"/>
        <v>2</v>
      </c>
      <c r="I10371">
        <v>20130101</v>
      </c>
      <c r="J10371" t="s">
        <v>10629</v>
      </c>
    </row>
    <row r="10372" spans="1:14" x14ac:dyDescent="0.3">
      <c r="A10372" s="160">
        <v>76475</v>
      </c>
      <c r="B10372" t="s">
        <v>25367</v>
      </c>
      <c r="C10372" t="s">
        <v>10493</v>
      </c>
      <c r="D10372">
        <v>2</v>
      </c>
      <c r="E10372">
        <v>0</v>
      </c>
      <c r="F10372">
        <f t="shared" si="174"/>
        <v>2</v>
      </c>
      <c r="I10372">
        <v>20130101</v>
      </c>
      <c r="J10372" t="s">
        <v>10504</v>
      </c>
    </row>
    <row r="10373" spans="1:14" x14ac:dyDescent="0.3">
      <c r="A10373" s="160">
        <v>76476</v>
      </c>
      <c r="B10373" t="s">
        <v>25368</v>
      </c>
      <c r="C10373" t="s">
        <v>25226</v>
      </c>
      <c r="D10373">
        <v>0.2</v>
      </c>
      <c r="E10373">
        <v>0</v>
      </c>
      <c r="F10373">
        <f t="shared" si="174"/>
        <v>0.2</v>
      </c>
      <c r="I10373">
        <v>20240101</v>
      </c>
      <c r="J10373" t="s">
        <v>25302</v>
      </c>
      <c r="K10373" t="s">
        <v>25364</v>
      </c>
    </row>
    <row r="10374" spans="1:14" x14ac:dyDescent="0.3">
      <c r="A10374" s="160">
        <v>76477</v>
      </c>
      <c r="B10374" t="s">
        <v>25369</v>
      </c>
      <c r="C10374" t="s">
        <v>10499</v>
      </c>
      <c r="D10374">
        <v>2</v>
      </c>
      <c r="E10374">
        <v>0</v>
      </c>
      <c r="F10374">
        <f t="shared" si="174"/>
        <v>2</v>
      </c>
      <c r="I10374">
        <v>20150101</v>
      </c>
      <c r="J10374" t="s">
        <v>10556</v>
      </c>
    </row>
    <row r="10375" spans="1:14" x14ac:dyDescent="0.3">
      <c r="A10375" s="160">
        <v>76481</v>
      </c>
      <c r="B10375" t="s">
        <v>25370</v>
      </c>
      <c r="C10375" t="s">
        <v>10499</v>
      </c>
      <c r="D10375">
        <v>2</v>
      </c>
      <c r="E10375">
        <v>0</v>
      </c>
      <c r="F10375">
        <f t="shared" ref="F10375:F10438" si="175">D10375+E10375</f>
        <v>2</v>
      </c>
      <c r="I10375">
        <v>20150101</v>
      </c>
      <c r="J10375" t="s">
        <v>10580</v>
      </c>
      <c r="K10375" t="s">
        <v>10581</v>
      </c>
      <c r="L10375" t="s">
        <v>10586</v>
      </c>
      <c r="M10375" t="s">
        <v>10527</v>
      </c>
    </row>
    <row r="10376" spans="1:14" x14ac:dyDescent="0.3">
      <c r="A10376" s="160">
        <v>76482</v>
      </c>
      <c r="B10376" t="s">
        <v>25371</v>
      </c>
      <c r="C10376" t="s">
        <v>10495</v>
      </c>
      <c r="D10376">
        <v>0.8</v>
      </c>
      <c r="E10376">
        <v>0</v>
      </c>
      <c r="F10376">
        <f t="shared" si="175"/>
        <v>0.8</v>
      </c>
      <c r="I10376">
        <v>20120101</v>
      </c>
      <c r="J10376" t="s">
        <v>10538</v>
      </c>
      <c r="K10376" t="s">
        <v>10545</v>
      </c>
      <c r="L10376" t="s">
        <v>10503</v>
      </c>
    </row>
    <row r="10377" spans="1:14" x14ac:dyDescent="0.3">
      <c r="A10377" s="160">
        <v>76484</v>
      </c>
      <c r="B10377" t="s">
        <v>25372</v>
      </c>
      <c r="C10377" t="s">
        <v>10493</v>
      </c>
      <c r="D10377">
        <v>2</v>
      </c>
      <c r="E10377">
        <v>0</v>
      </c>
      <c r="F10377">
        <f t="shared" si="175"/>
        <v>2</v>
      </c>
      <c r="I10377">
        <v>20130101</v>
      </c>
      <c r="J10377" t="s">
        <v>10630</v>
      </c>
    </row>
    <row r="10378" spans="1:14" x14ac:dyDescent="0.3">
      <c r="A10378" s="160">
        <v>76486</v>
      </c>
      <c r="B10378" t="s">
        <v>25373</v>
      </c>
      <c r="C10378" t="s">
        <v>10493</v>
      </c>
      <c r="D10378">
        <v>2</v>
      </c>
      <c r="E10378">
        <v>0</v>
      </c>
      <c r="F10378">
        <f t="shared" si="175"/>
        <v>2</v>
      </c>
      <c r="I10378">
        <v>20130101</v>
      </c>
      <c r="J10378" t="s">
        <v>10552</v>
      </c>
      <c r="K10378" t="s">
        <v>10525</v>
      </c>
      <c r="L10378" t="s">
        <v>10526</v>
      </c>
    </row>
    <row r="10379" spans="1:14" x14ac:dyDescent="0.3">
      <c r="A10379" s="160">
        <v>76489</v>
      </c>
      <c r="B10379" t="s">
        <v>25374</v>
      </c>
      <c r="C10379" t="s">
        <v>10499</v>
      </c>
      <c r="D10379">
        <v>2</v>
      </c>
      <c r="E10379">
        <v>0</v>
      </c>
      <c r="F10379">
        <f t="shared" si="175"/>
        <v>2</v>
      </c>
      <c r="I10379">
        <v>20220701</v>
      </c>
      <c r="J10379" t="s">
        <v>10561</v>
      </c>
      <c r="K10379" t="s">
        <v>10581</v>
      </c>
      <c r="L10379" t="s">
        <v>10582</v>
      </c>
      <c r="M10379" t="s">
        <v>10585</v>
      </c>
      <c r="N10379" t="s">
        <v>10528</v>
      </c>
    </row>
    <row r="10380" spans="1:14" x14ac:dyDescent="0.3">
      <c r="A10380" s="160">
        <v>76494</v>
      </c>
      <c r="B10380" t="s">
        <v>25375</v>
      </c>
      <c r="C10380" t="s">
        <v>25226</v>
      </c>
      <c r="D10380">
        <v>0.2</v>
      </c>
      <c r="E10380">
        <v>0</v>
      </c>
      <c r="F10380">
        <f t="shared" si="175"/>
        <v>0.2</v>
      </c>
      <c r="I10380">
        <v>20240101</v>
      </c>
      <c r="J10380" t="s">
        <v>25248</v>
      </c>
    </row>
    <row r="10381" spans="1:14" x14ac:dyDescent="0.3">
      <c r="A10381" s="160">
        <v>76495</v>
      </c>
      <c r="B10381" t="s">
        <v>25376</v>
      </c>
      <c r="C10381" t="s">
        <v>25244</v>
      </c>
      <c r="D10381">
        <v>0.6</v>
      </c>
      <c r="E10381">
        <v>0</v>
      </c>
      <c r="F10381">
        <f t="shared" si="175"/>
        <v>0.6</v>
      </c>
      <c r="I10381">
        <v>20230801</v>
      </c>
      <c r="J10381" t="s">
        <v>10616</v>
      </c>
    </row>
    <row r="10382" spans="1:14" x14ac:dyDescent="0.3">
      <c r="A10382" s="160">
        <v>76497</v>
      </c>
      <c r="B10382" t="s">
        <v>25377</v>
      </c>
      <c r="C10382" t="s">
        <v>10493</v>
      </c>
      <c r="D10382">
        <v>2</v>
      </c>
      <c r="E10382">
        <v>0</v>
      </c>
      <c r="F10382">
        <f t="shared" si="175"/>
        <v>2</v>
      </c>
      <c r="I10382">
        <v>20130101</v>
      </c>
      <c r="J10382" t="s">
        <v>10631</v>
      </c>
    </row>
    <row r="10383" spans="1:14" x14ac:dyDescent="0.3">
      <c r="A10383" s="160">
        <v>76498</v>
      </c>
      <c r="B10383" t="s">
        <v>25378</v>
      </c>
      <c r="C10383" t="s">
        <v>10493</v>
      </c>
      <c r="D10383">
        <v>2</v>
      </c>
      <c r="E10383">
        <v>0</v>
      </c>
      <c r="F10383">
        <f t="shared" si="175"/>
        <v>2</v>
      </c>
      <c r="I10383">
        <v>20130101</v>
      </c>
      <c r="J10383" t="s">
        <v>10632</v>
      </c>
      <c r="K10383" t="s">
        <v>10633</v>
      </c>
      <c r="L10383" t="s">
        <v>10634</v>
      </c>
      <c r="M10383" t="s">
        <v>10635</v>
      </c>
      <c r="N10383" t="s">
        <v>10636</v>
      </c>
    </row>
    <row r="10384" spans="1:14" x14ac:dyDescent="0.3">
      <c r="A10384" s="160">
        <v>76499</v>
      </c>
      <c r="B10384" t="s">
        <v>25379</v>
      </c>
      <c r="C10384" t="s">
        <v>25226</v>
      </c>
      <c r="D10384">
        <v>0.2</v>
      </c>
      <c r="E10384">
        <v>0</v>
      </c>
      <c r="F10384">
        <f t="shared" si="175"/>
        <v>0.2</v>
      </c>
      <c r="I10384">
        <v>20240101</v>
      </c>
      <c r="J10384" t="s">
        <v>25364</v>
      </c>
    </row>
    <row r="10385" spans="1:64" x14ac:dyDescent="0.3">
      <c r="A10385" s="160">
        <v>76501</v>
      </c>
      <c r="B10385" t="s">
        <v>25380</v>
      </c>
      <c r="C10385" t="s">
        <v>10499</v>
      </c>
      <c r="D10385">
        <v>2</v>
      </c>
      <c r="E10385">
        <v>0</v>
      </c>
      <c r="F10385">
        <f t="shared" si="175"/>
        <v>2</v>
      </c>
      <c r="I10385">
        <v>20220701</v>
      </c>
      <c r="J10385" t="s">
        <v>10500</v>
      </c>
    </row>
    <row r="10386" spans="1:64" x14ac:dyDescent="0.3">
      <c r="A10386" s="160">
        <v>76508</v>
      </c>
      <c r="B10386" t="s">
        <v>25381</v>
      </c>
      <c r="C10386" t="s">
        <v>10499</v>
      </c>
      <c r="D10386">
        <v>2</v>
      </c>
      <c r="E10386">
        <v>0</v>
      </c>
      <c r="F10386">
        <f t="shared" si="175"/>
        <v>2</v>
      </c>
      <c r="I10386">
        <v>20220701</v>
      </c>
      <c r="J10386" t="s">
        <v>10500</v>
      </c>
    </row>
    <row r="10387" spans="1:64" x14ac:dyDescent="0.3">
      <c r="A10387" s="160">
        <v>76513</v>
      </c>
      <c r="B10387" t="s">
        <v>25382</v>
      </c>
      <c r="C10387" t="s">
        <v>10493</v>
      </c>
      <c r="D10387">
        <v>2</v>
      </c>
      <c r="E10387">
        <v>0</v>
      </c>
      <c r="F10387">
        <f t="shared" si="175"/>
        <v>2</v>
      </c>
      <c r="I10387">
        <v>20130101</v>
      </c>
      <c r="J10387" t="s">
        <v>10608</v>
      </c>
    </row>
    <row r="10388" spans="1:64" x14ac:dyDescent="0.3">
      <c r="A10388" s="160">
        <v>76514</v>
      </c>
      <c r="B10388" t="s">
        <v>25383</v>
      </c>
      <c r="C10388" t="s">
        <v>10493</v>
      </c>
      <c r="D10388">
        <v>2</v>
      </c>
      <c r="E10388">
        <v>0</v>
      </c>
      <c r="F10388">
        <f t="shared" si="175"/>
        <v>2</v>
      </c>
      <c r="I10388">
        <v>20130101</v>
      </c>
      <c r="J10388" t="s">
        <v>10504</v>
      </c>
    </row>
    <row r="10389" spans="1:64" x14ac:dyDescent="0.3">
      <c r="A10389" s="160">
        <v>76518</v>
      </c>
      <c r="B10389" t="s">
        <v>25384</v>
      </c>
      <c r="C10389" t="s">
        <v>25226</v>
      </c>
      <c r="D10389">
        <v>0.2</v>
      </c>
      <c r="E10389">
        <v>0</v>
      </c>
      <c r="F10389">
        <f t="shared" si="175"/>
        <v>0.2</v>
      </c>
      <c r="I10389">
        <v>20240101</v>
      </c>
      <c r="J10389" t="s">
        <v>25248</v>
      </c>
    </row>
    <row r="10390" spans="1:64" x14ac:dyDescent="0.3">
      <c r="A10390" s="160">
        <v>76522</v>
      </c>
      <c r="B10390" t="s">
        <v>25385</v>
      </c>
      <c r="C10390" t="s">
        <v>10499</v>
      </c>
      <c r="D10390">
        <v>2</v>
      </c>
      <c r="E10390">
        <v>0</v>
      </c>
      <c r="F10390">
        <f t="shared" si="175"/>
        <v>2</v>
      </c>
      <c r="I10390">
        <v>20220701</v>
      </c>
      <c r="J10390" t="s">
        <v>10528</v>
      </c>
    </row>
    <row r="10391" spans="1:64" x14ac:dyDescent="0.3">
      <c r="A10391" s="160">
        <v>76529</v>
      </c>
      <c r="B10391" t="s">
        <v>25386</v>
      </c>
      <c r="C10391" t="s">
        <v>10497</v>
      </c>
      <c r="D10391">
        <v>0.65</v>
      </c>
      <c r="E10391">
        <v>0</v>
      </c>
      <c r="F10391">
        <f t="shared" si="175"/>
        <v>0.65</v>
      </c>
      <c r="I10391">
        <v>20240101</v>
      </c>
      <c r="J10391" t="s">
        <v>10498</v>
      </c>
    </row>
    <row r="10392" spans="1:64" x14ac:dyDescent="0.3">
      <c r="A10392" s="160">
        <v>76531</v>
      </c>
      <c r="B10392" t="s">
        <v>25387</v>
      </c>
      <c r="C10392" t="s">
        <v>10490</v>
      </c>
      <c r="D10392">
        <v>0.55000000000000004</v>
      </c>
      <c r="E10392">
        <v>0</v>
      </c>
      <c r="F10392">
        <f t="shared" si="175"/>
        <v>0.55000000000000004</v>
      </c>
      <c r="I10392">
        <v>20250101</v>
      </c>
      <c r="J10392" t="s">
        <v>10637</v>
      </c>
    </row>
    <row r="10393" spans="1:64" x14ac:dyDescent="0.3">
      <c r="A10393" s="160">
        <v>76533</v>
      </c>
      <c r="B10393" t="s">
        <v>25388</v>
      </c>
      <c r="C10393" t="s">
        <v>10499</v>
      </c>
      <c r="D10393">
        <v>2</v>
      </c>
      <c r="E10393">
        <v>0</v>
      </c>
      <c r="F10393">
        <f t="shared" si="175"/>
        <v>2</v>
      </c>
      <c r="I10393">
        <v>20150101</v>
      </c>
      <c r="J10393" t="s">
        <v>10579</v>
      </c>
      <c r="K10393" t="s">
        <v>10580</v>
      </c>
      <c r="L10393" t="s">
        <v>10585</v>
      </c>
      <c r="M10393" t="s">
        <v>10599</v>
      </c>
      <c r="N10393" t="s">
        <v>10560</v>
      </c>
    </row>
    <row r="10394" spans="1:64" x14ac:dyDescent="0.3">
      <c r="A10394" s="160">
        <v>76534</v>
      </c>
      <c r="B10394" t="s">
        <v>25389</v>
      </c>
      <c r="C10394" t="s">
        <v>10499</v>
      </c>
      <c r="D10394">
        <v>2</v>
      </c>
      <c r="E10394">
        <v>0</v>
      </c>
      <c r="F10394">
        <f t="shared" si="175"/>
        <v>2</v>
      </c>
      <c r="I10394">
        <v>20150101</v>
      </c>
      <c r="J10394" t="s">
        <v>10556</v>
      </c>
    </row>
    <row r="10395" spans="1:64" x14ac:dyDescent="0.3">
      <c r="A10395" s="160">
        <v>76536</v>
      </c>
      <c r="B10395" t="s">
        <v>25390</v>
      </c>
      <c r="C10395" t="s">
        <v>10493</v>
      </c>
      <c r="D10395">
        <v>2</v>
      </c>
      <c r="E10395">
        <v>0</v>
      </c>
      <c r="F10395">
        <f t="shared" si="175"/>
        <v>2</v>
      </c>
      <c r="I10395">
        <v>20130101</v>
      </c>
      <c r="J10395" t="s">
        <v>10534</v>
      </c>
      <c r="K10395" t="s">
        <v>10535</v>
      </c>
    </row>
    <row r="10396" spans="1:64" x14ac:dyDescent="0.3">
      <c r="A10396" s="160">
        <v>76540</v>
      </c>
      <c r="B10396" t="s">
        <v>25391</v>
      </c>
      <c r="C10396" t="s">
        <v>10493</v>
      </c>
      <c r="D10396">
        <v>2</v>
      </c>
      <c r="E10396">
        <v>0</v>
      </c>
      <c r="F10396">
        <f t="shared" si="175"/>
        <v>2</v>
      </c>
      <c r="I10396">
        <v>20130101</v>
      </c>
      <c r="J10396" t="s">
        <v>10638</v>
      </c>
      <c r="K10396" t="s">
        <v>10639</v>
      </c>
      <c r="L10396" t="s">
        <v>10640</v>
      </c>
      <c r="M10396" t="s">
        <v>10641</v>
      </c>
      <c r="N10396" t="s">
        <v>10642</v>
      </c>
      <c r="O10396" t="s">
        <v>10643</v>
      </c>
      <c r="P10396" t="s">
        <v>10644</v>
      </c>
      <c r="Q10396" t="s">
        <v>10645</v>
      </c>
      <c r="R10396" t="s">
        <v>10646</v>
      </c>
      <c r="S10396" t="s">
        <v>10647</v>
      </c>
      <c r="T10396" t="s">
        <v>10648</v>
      </c>
      <c r="U10396" t="s">
        <v>10649</v>
      </c>
      <c r="V10396" t="s">
        <v>10650</v>
      </c>
      <c r="W10396" t="s">
        <v>10651</v>
      </c>
      <c r="X10396" t="s">
        <v>10652</v>
      </c>
      <c r="Y10396" t="s">
        <v>10653</v>
      </c>
      <c r="Z10396" t="s">
        <v>10654</v>
      </c>
      <c r="AA10396" t="s">
        <v>10655</v>
      </c>
      <c r="AB10396" t="s">
        <v>10656</v>
      </c>
      <c r="AC10396" t="s">
        <v>10657</v>
      </c>
      <c r="AD10396" t="s">
        <v>10658</v>
      </c>
      <c r="AE10396" t="s">
        <v>10659</v>
      </c>
      <c r="AF10396" t="s">
        <v>10660</v>
      </c>
      <c r="AG10396" t="s">
        <v>10661</v>
      </c>
      <c r="AH10396" t="s">
        <v>10662</v>
      </c>
      <c r="AI10396" t="s">
        <v>10663</v>
      </c>
      <c r="AJ10396" t="s">
        <v>10664</v>
      </c>
      <c r="AK10396" t="s">
        <v>10665</v>
      </c>
      <c r="AL10396" t="s">
        <v>10666</v>
      </c>
      <c r="AM10396" t="s">
        <v>10667</v>
      </c>
      <c r="AN10396" t="s">
        <v>10668</v>
      </c>
      <c r="AO10396" t="s">
        <v>10669</v>
      </c>
      <c r="AP10396" t="s">
        <v>10670</v>
      </c>
      <c r="AQ10396" t="s">
        <v>10671</v>
      </c>
      <c r="AR10396" t="s">
        <v>10672</v>
      </c>
      <c r="AS10396" t="s">
        <v>10673</v>
      </c>
      <c r="AT10396" t="s">
        <v>10674</v>
      </c>
      <c r="AU10396" t="s">
        <v>10569</v>
      </c>
      <c r="AV10396" t="s">
        <v>10535</v>
      </c>
      <c r="AW10396" t="s">
        <v>10675</v>
      </c>
      <c r="AX10396" t="s">
        <v>10676</v>
      </c>
      <c r="AY10396" t="s">
        <v>10677</v>
      </c>
      <c r="AZ10396" t="s">
        <v>10678</v>
      </c>
      <c r="BA10396" t="s">
        <v>10575</v>
      </c>
      <c r="BB10396" t="s">
        <v>10679</v>
      </c>
      <c r="BC10396" t="s">
        <v>10576</v>
      </c>
      <c r="BD10396" t="s">
        <v>10680</v>
      </c>
      <c r="BE10396" t="s">
        <v>10681</v>
      </c>
      <c r="BF10396" t="s">
        <v>10682</v>
      </c>
      <c r="BG10396" t="s">
        <v>10683</v>
      </c>
      <c r="BH10396" t="s">
        <v>10684</v>
      </c>
      <c r="BI10396" t="s">
        <v>10685</v>
      </c>
      <c r="BJ10396" t="s">
        <v>10686</v>
      </c>
      <c r="BK10396" t="s">
        <v>10687</v>
      </c>
      <c r="BL10396" t="s">
        <v>10688</v>
      </c>
    </row>
    <row r="10397" spans="1:64" x14ac:dyDescent="0.3">
      <c r="A10397" s="160">
        <v>76543</v>
      </c>
      <c r="B10397" t="s">
        <v>22917</v>
      </c>
      <c r="C10397" t="s">
        <v>25226</v>
      </c>
      <c r="D10397">
        <v>0.2</v>
      </c>
      <c r="E10397">
        <v>0</v>
      </c>
      <c r="F10397">
        <f t="shared" si="175"/>
        <v>0.2</v>
      </c>
      <c r="I10397">
        <v>20240101</v>
      </c>
      <c r="J10397" t="s">
        <v>25248</v>
      </c>
    </row>
    <row r="10398" spans="1:64" x14ac:dyDescent="0.3">
      <c r="A10398" s="160">
        <v>76545</v>
      </c>
      <c r="B10398" t="s">
        <v>25392</v>
      </c>
      <c r="C10398" t="s">
        <v>10495</v>
      </c>
      <c r="D10398">
        <v>0.8</v>
      </c>
      <c r="E10398">
        <v>0</v>
      </c>
      <c r="F10398">
        <f t="shared" si="175"/>
        <v>0.8</v>
      </c>
      <c r="I10398">
        <v>20120101</v>
      </c>
      <c r="J10398" t="s">
        <v>10538</v>
      </c>
      <c r="K10398" t="s">
        <v>10539</v>
      </c>
      <c r="L10398" t="s">
        <v>10540</v>
      </c>
      <c r="M10398" t="s">
        <v>10541</v>
      </c>
      <c r="N10398" t="s">
        <v>10543</v>
      </c>
      <c r="O10398" t="s">
        <v>10544</v>
      </c>
      <c r="P10398" t="s">
        <v>10496</v>
      </c>
    </row>
    <row r="10399" spans="1:64" x14ac:dyDescent="0.3">
      <c r="A10399" s="160">
        <v>76550</v>
      </c>
      <c r="B10399" t="s">
        <v>25393</v>
      </c>
      <c r="C10399" t="s">
        <v>10493</v>
      </c>
      <c r="D10399">
        <v>2</v>
      </c>
      <c r="E10399">
        <v>0</v>
      </c>
      <c r="F10399">
        <f t="shared" si="175"/>
        <v>2</v>
      </c>
      <c r="I10399">
        <v>20130101</v>
      </c>
      <c r="J10399" t="s">
        <v>10578</v>
      </c>
    </row>
    <row r="10400" spans="1:64" x14ac:dyDescent="0.3">
      <c r="A10400" s="160">
        <v>76551</v>
      </c>
      <c r="B10400" t="s">
        <v>25394</v>
      </c>
      <c r="C10400" t="s">
        <v>10499</v>
      </c>
      <c r="D10400">
        <v>2</v>
      </c>
      <c r="E10400">
        <v>0</v>
      </c>
      <c r="F10400">
        <f t="shared" si="175"/>
        <v>2</v>
      </c>
      <c r="I10400">
        <v>20220701</v>
      </c>
      <c r="J10400" t="s">
        <v>10528</v>
      </c>
    </row>
    <row r="10401" spans="1:19" x14ac:dyDescent="0.3">
      <c r="A10401" s="160">
        <v>76552</v>
      </c>
      <c r="B10401" t="s">
        <v>25395</v>
      </c>
      <c r="C10401" t="s">
        <v>10499</v>
      </c>
      <c r="D10401">
        <v>2</v>
      </c>
      <c r="E10401">
        <v>0</v>
      </c>
      <c r="F10401">
        <f t="shared" si="175"/>
        <v>2</v>
      </c>
      <c r="I10401">
        <v>20150101</v>
      </c>
      <c r="J10401" t="s">
        <v>10582</v>
      </c>
      <c r="K10401" t="s">
        <v>10689</v>
      </c>
    </row>
    <row r="10402" spans="1:19" x14ac:dyDescent="0.3">
      <c r="A10402" s="160">
        <v>76556</v>
      </c>
      <c r="B10402" t="s">
        <v>25396</v>
      </c>
      <c r="C10402" t="s">
        <v>25226</v>
      </c>
      <c r="D10402">
        <v>0.2</v>
      </c>
      <c r="E10402">
        <v>0</v>
      </c>
      <c r="F10402">
        <f t="shared" si="175"/>
        <v>0.2</v>
      </c>
      <c r="I10402">
        <v>20240101</v>
      </c>
      <c r="J10402" t="s">
        <v>25302</v>
      </c>
    </row>
    <row r="10403" spans="1:19" x14ac:dyDescent="0.3">
      <c r="A10403" s="160">
        <v>76557</v>
      </c>
      <c r="B10403" t="s">
        <v>19816</v>
      </c>
      <c r="C10403" t="s">
        <v>25226</v>
      </c>
      <c r="D10403">
        <v>0.2</v>
      </c>
      <c r="E10403">
        <v>0</v>
      </c>
      <c r="F10403">
        <f t="shared" si="175"/>
        <v>0.2</v>
      </c>
      <c r="I10403">
        <v>20240101</v>
      </c>
      <c r="J10403" t="s">
        <v>25235</v>
      </c>
    </row>
    <row r="10404" spans="1:19" x14ac:dyDescent="0.3">
      <c r="A10404" s="160">
        <v>76558</v>
      </c>
      <c r="B10404" t="s">
        <v>25397</v>
      </c>
      <c r="C10404" t="s">
        <v>10493</v>
      </c>
      <c r="D10404">
        <v>2</v>
      </c>
      <c r="E10404">
        <v>0</v>
      </c>
      <c r="F10404">
        <f t="shared" si="175"/>
        <v>2</v>
      </c>
      <c r="I10404">
        <v>20130101</v>
      </c>
      <c r="J10404" t="s">
        <v>10504</v>
      </c>
    </row>
    <row r="10405" spans="1:19" x14ac:dyDescent="0.3">
      <c r="A10405" s="160">
        <v>76559</v>
      </c>
      <c r="B10405" t="s">
        <v>25398</v>
      </c>
      <c r="C10405" t="s">
        <v>25226</v>
      </c>
      <c r="D10405">
        <v>0.2</v>
      </c>
      <c r="E10405">
        <v>0</v>
      </c>
      <c r="F10405">
        <f t="shared" si="175"/>
        <v>0.2</v>
      </c>
      <c r="I10405">
        <v>20240101</v>
      </c>
      <c r="J10405" t="s">
        <v>10491</v>
      </c>
    </row>
    <row r="10406" spans="1:19" x14ac:dyDescent="0.3">
      <c r="A10406" s="160">
        <v>76560</v>
      </c>
      <c r="B10406" t="s">
        <v>25399</v>
      </c>
      <c r="C10406" t="s">
        <v>10493</v>
      </c>
      <c r="D10406">
        <v>2</v>
      </c>
      <c r="E10406">
        <v>0</v>
      </c>
      <c r="F10406">
        <f t="shared" si="175"/>
        <v>2</v>
      </c>
      <c r="I10406">
        <v>20130101</v>
      </c>
      <c r="J10406" t="s">
        <v>10534</v>
      </c>
    </row>
    <row r="10407" spans="1:19" x14ac:dyDescent="0.3">
      <c r="A10407" s="160">
        <v>76561</v>
      </c>
      <c r="B10407" t="s">
        <v>25400</v>
      </c>
      <c r="C10407" t="s">
        <v>10493</v>
      </c>
      <c r="D10407">
        <v>2</v>
      </c>
      <c r="E10407">
        <v>0</v>
      </c>
      <c r="F10407">
        <f t="shared" si="175"/>
        <v>2</v>
      </c>
      <c r="I10407">
        <v>20130101</v>
      </c>
      <c r="J10407" t="s">
        <v>10529</v>
      </c>
      <c r="K10407" t="s">
        <v>10525</v>
      </c>
    </row>
    <row r="10408" spans="1:19" x14ac:dyDescent="0.3">
      <c r="A10408" s="160">
        <v>76563</v>
      </c>
      <c r="B10408" t="s">
        <v>25401</v>
      </c>
      <c r="C10408" t="s">
        <v>10499</v>
      </c>
      <c r="D10408">
        <v>2</v>
      </c>
      <c r="E10408">
        <v>0</v>
      </c>
      <c r="F10408">
        <f t="shared" si="175"/>
        <v>2</v>
      </c>
      <c r="I10408">
        <v>20220701</v>
      </c>
      <c r="J10408" t="s">
        <v>10528</v>
      </c>
    </row>
    <row r="10409" spans="1:19" x14ac:dyDescent="0.3">
      <c r="A10409" s="160">
        <v>76565</v>
      </c>
      <c r="B10409" t="s">
        <v>25402</v>
      </c>
      <c r="C10409" t="s">
        <v>10495</v>
      </c>
      <c r="D10409">
        <v>0.8</v>
      </c>
      <c r="E10409">
        <v>0</v>
      </c>
      <c r="F10409">
        <f t="shared" si="175"/>
        <v>0.8</v>
      </c>
      <c r="I10409">
        <v>20120101</v>
      </c>
      <c r="J10409" t="s">
        <v>10538</v>
      </c>
      <c r="K10409" t="s">
        <v>10540</v>
      </c>
      <c r="L10409" t="s">
        <v>10541</v>
      </c>
      <c r="M10409" t="s">
        <v>10543</v>
      </c>
      <c r="N10409" t="s">
        <v>10545</v>
      </c>
      <c r="O10409" t="s">
        <v>10503</v>
      </c>
    </row>
    <row r="10410" spans="1:19" x14ac:dyDescent="0.3">
      <c r="A10410" s="160">
        <v>76566</v>
      </c>
      <c r="B10410" t="s">
        <v>25403</v>
      </c>
      <c r="C10410" t="s">
        <v>25244</v>
      </c>
      <c r="D10410">
        <v>0.6</v>
      </c>
      <c r="E10410">
        <v>0</v>
      </c>
      <c r="F10410">
        <f t="shared" si="175"/>
        <v>0.6</v>
      </c>
      <c r="I10410">
        <v>20230801</v>
      </c>
      <c r="J10410" t="s">
        <v>10616</v>
      </c>
    </row>
    <row r="10411" spans="1:19" x14ac:dyDescent="0.3">
      <c r="A10411" s="160">
        <v>76568</v>
      </c>
      <c r="B10411" t="s">
        <v>25404</v>
      </c>
      <c r="C10411" t="s">
        <v>10490</v>
      </c>
      <c r="D10411">
        <v>0.55000000000000004</v>
      </c>
      <c r="E10411">
        <v>0</v>
      </c>
      <c r="F10411">
        <f t="shared" si="175"/>
        <v>0.55000000000000004</v>
      </c>
      <c r="I10411">
        <v>20250101</v>
      </c>
      <c r="J10411" t="s">
        <v>10491</v>
      </c>
    </row>
    <row r="10412" spans="1:19" x14ac:dyDescent="0.3">
      <c r="A10412" s="160">
        <v>76575</v>
      </c>
      <c r="B10412" t="s">
        <v>25405</v>
      </c>
      <c r="C10412" t="s">
        <v>10493</v>
      </c>
      <c r="D10412">
        <v>2</v>
      </c>
      <c r="E10412">
        <v>0</v>
      </c>
      <c r="F10412">
        <f t="shared" si="175"/>
        <v>2</v>
      </c>
      <c r="I10412">
        <v>20130101</v>
      </c>
      <c r="J10412" t="s">
        <v>10690</v>
      </c>
      <c r="K10412" t="s">
        <v>10691</v>
      </c>
      <c r="L10412" t="s">
        <v>10692</v>
      </c>
      <c r="M10412" t="s">
        <v>10693</v>
      </c>
      <c r="N10412" t="s">
        <v>10694</v>
      </c>
      <c r="O10412" t="s">
        <v>10695</v>
      </c>
      <c r="P10412" t="s">
        <v>10696</v>
      </c>
      <c r="Q10412" t="s">
        <v>10697</v>
      </c>
      <c r="R10412" t="s">
        <v>10698</v>
      </c>
      <c r="S10412" t="s">
        <v>10699</v>
      </c>
    </row>
    <row r="10413" spans="1:19" x14ac:dyDescent="0.3">
      <c r="A10413" s="160">
        <v>76576</v>
      </c>
      <c r="B10413" t="s">
        <v>25406</v>
      </c>
      <c r="C10413" t="s">
        <v>25226</v>
      </c>
      <c r="D10413">
        <v>0.2</v>
      </c>
      <c r="E10413">
        <v>0</v>
      </c>
      <c r="F10413">
        <f t="shared" si="175"/>
        <v>0.2</v>
      </c>
      <c r="I10413">
        <v>20240101</v>
      </c>
      <c r="J10413" t="s">
        <v>25248</v>
      </c>
    </row>
    <row r="10414" spans="1:19" x14ac:dyDescent="0.3">
      <c r="A10414" s="160">
        <v>76585</v>
      </c>
      <c r="B10414" t="s">
        <v>25407</v>
      </c>
      <c r="C10414" t="s">
        <v>25226</v>
      </c>
      <c r="D10414">
        <v>0.2</v>
      </c>
      <c r="E10414">
        <v>0</v>
      </c>
      <c r="F10414">
        <f t="shared" si="175"/>
        <v>0.2</v>
      </c>
      <c r="I10414">
        <v>20240101</v>
      </c>
      <c r="J10414" t="s">
        <v>25235</v>
      </c>
    </row>
    <row r="10415" spans="1:19" x14ac:dyDescent="0.3">
      <c r="A10415" s="160">
        <v>76586</v>
      </c>
      <c r="B10415" t="s">
        <v>25408</v>
      </c>
      <c r="C10415" t="s">
        <v>10499</v>
      </c>
      <c r="D10415">
        <v>2</v>
      </c>
      <c r="E10415">
        <v>0</v>
      </c>
      <c r="F10415">
        <f t="shared" si="175"/>
        <v>2</v>
      </c>
      <c r="I10415">
        <v>20220701</v>
      </c>
      <c r="J10415" t="s">
        <v>10528</v>
      </c>
    </row>
    <row r="10416" spans="1:19" x14ac:dyDescent="0.3">
      <c r="A10416" s="160">
        <v>76587</v>
      </c>
      <c r="B10416" t="s">
        <v>25409</v>
      </c>
      <c r="C10416" t="s">
        <v>10497</v>
      </c>
      <c r="D10416">
        <v>0.65</v>
      </c>
      <c r="E10416">
        <v>0</v>
      </c>
      <c r="F10416">
        <f t="shared" si="175"/>
        <v>0.65</v>
      </c>
      <c r="I10416">
        <v>20240101</v>
      </c>
      <c r="J10416" t="s">
        <v>10530</v>
      </c>
    </row>
    <row r="10417" spans="1:17" x14ac:dyDescent="0.3">
      <c r="A10417" s="160">
        <v>76591</v>
      </c>
      <c r="B10417" t="s">
        <v>25410</v>
      </c>
      <c r="C10417" t="s">
        <v>10493</v>
      </c>
      <c r="D10417">
        <v>2</v>
      </c>
      <c r="E10417">
        <v>0</v>
      </c>
      <c r="F10417">
        <f t="shared" si="175"/>
        <v>2</v>
      </c>
      <c r="I10417">
        <v>20130101</v>
      </c>
      <c r="J10417" t="s">
        <v>10534</v>
      </c>
      <c r="K10417" t="s">
        <v>10535</v>
      </c>
    </row>
    <row r="10418" spans="1:17" x14ac:dyDescent="0.3">
      <c r="A10418" s="160">
        <v>76592</v>
      </c>
      <c r="B10418" t="s">
        <v>25411</v>
      </c>
      <c r="C10418" t="s">
        <v>25226</v>
      </c>
      <c r="D10418">
        <v>0.2</v>
      </c>
      <c r="E10418">
        <v>0</v>
      </c>
      <c r="F10418">
        <f t="shared" si="175"/>
        <v>0.2</v>
      </c>
      <c r="I10418">
        <v>20240101</v>
      </c>
      <c r="J10418" t="s">
        <v>25302</v>
      </c>
    </row>
    <row r="10419" spans="1:17" x14ac:dyDescent="0.3">
      <c r="A10419" s="160">
        <v>76593</v>
      </c>
      <c r="B10419" t="s">
        <v>25412</v>
      </c>
      <c r="C10419" t="s">
        <v>25226</v>
      </c>
      <c r="D10419">
        <v>0.2</v>
      </c>
      <c r="E10419">
        <v>0</v>
      </c>
      <c r="F10419">
        <f t="shared" si="175"/>
        <v>0.2</v>
      </c>
      <c r="I10419">
        <v>20240101</v>
      </c>
      <c r="J10419" t="s">
        <v>25248</v>
      </c>
    </row>
    <row r="10420" spans="1:17" x14ac:dyDescent="0.3">
      <c r="A10420" s="160">
        <v>76595</v>
      </c>
      <c r="B10420" t="s">
        <v>25413</v>
      </c>
      <c r="C10420" t="s">
        <v>10499</v>
      </c>
      <c r="D10420">
        <v>2</v>
      </c>
      <c r="E10420">
        <v>0</v>
      </c>
      <c r="F10420">
        <f t="shared" si="175"/>
        <v>2</v>
      </c>
      <c r="I10420">
        <v>20220701</v>
      </c>
      <c r="J10420" t="s">
        <v>10500</v>
      </c>
    </row>
    <row r="10421" spans="1:17" x14ac:dyDescent="0.3">
      <c r="A10421" s="160">
        <v>76596</v>
      </c>
      <c r="B10421" t="s">
        <v>25414</v>
      </c>
      <c r="C10421" t="s">
        <v>10499</v>
      </c>
      <c r="D10421">
        <v>2</v>
      </c>
      <c r="E10421">
        <v>0</v>
      </c>
      <c r="F10421">
        <f t="shared" si="175"/>
        <v>2</v>
      </c>
      <c r="I10421">
        <v>20220701</v>
      </c>
      <c r="J10421" t="s">
        <v>10560</v>
      </c>
    </row>
    <row r="10422" spans="1:17" x14ac:dyDescent="0.3">
      <c r="A10422" s="160">
        <v>76599</v>
      </c>
      <c r="B10422" t="s">
        <v>25415</v>
      </c>
      <c r="C10422" t="s">
        <v>10493</v>
      </c>
      <c r="D10422">
        <v>2</v>
      </c>
      <c r="E10422">
        <v>0</v>
      </c>
      <c r="F10422">
        <f t="shared" si="175"/>
        <v>2</v>
      </c>
      <c r="I10422">
        <v>20130101</v>
      </c>
      <c r="J10422" t="s">
        <v>10534</v>
      </c>
      <c r="K10422" t="s">
        <v>10535</v>
      </c>
    </row>
    <row r="10423" spans="1:17" x14ac:dyDescent="0.3">
      <c r="A10423" s="160">
        <v>76600</v>
      </c>
      <c r="B10423" t="s">
        <v>20891</v>
      </c>
      <c r="C10423" t="s">
        <v>10497</v>
      </c>
      <c r="D10423">
        <v>0.65</v>
      </c>
      <c r="E10423">
        <v>0</v>
      </c>
      <c r="F10423">
        <f t="shared" si="175"/>
        <v>0.65</v>
      </c>
      <c r="I10423">
        <v>20240101</v>
      </c>
      <c r="J10423" t="s">
        <v>10530</v>
      </c>
      <c r="K10423" t="s">
        <v>10531</v>
      </c>
      <c r="L10423" t="s">
        <v>10555</v>
      </c>
      <c r="M10423" t="s">
        <v>10532</v>
      </c>
      <c r="N10423" t="s">
        <v>10557</v>
      </c>
    </row>
    <row r="10424" spans="1:17" x14ac:dyDescent="0.3">
      <c r="A10424" s="160">
        <v>76605</v>
      </c>
      <c r="B10424" t="s">
        <v>25416</v>
      </c>
      <c r="C10424" t="s">
        <v>10495</v>
      </c>
      <c r="D10424">
        <v>0.8</v>
      </c>
      <c r="E10424">
        <v>0</v>
      </c>
      <c r="F10424">
        <f t="shared" si="175"/>
        <v>0.8</v>
      </c>
      <c r="I10424">
        <v>20120101</v>
      </c>
      <c r="J10424" t="s">
        <v>10700</v>
      </c>
    </row>
    <row r="10425" spans="1:17" x14ac:dyDescent="0.3">
      <c r="A10425" s="160">
        <v>76608</v>
      </c>
      <c r="B10425" t="s">
        <v>25417</v>
      </c>
      <c r="C10425" t="s">
        <v>10493</v>
      </c>
      <c r="D10425">
        <v>2</v>
      </c>
      <c r="E10425">
        <v>0</v>
      </c>
      <c r="F10425">
        <f t="shared" si="175"/>
        <v>2</v>
      </c>
      <c r="I10425">
        <v>20130101</v>
      </c>
      <c r="J10425" t="s">
        <v>10501</v>
      </c>
    </row>
    <row r="10426" spans="1:17" x14ac:dyDescent="0.3">
      <c r="A10426" s="160">
        <v>76609</v>
      </c>
      <c r="B10426" t="s">
        <v>25418</v>
      </c>
      <c r="C10426" t="s">
        <v>10499</v>
      </c>
      <c r="D10426">
        <v>2</v>
      </c>
      <c r="E10426">
        <v>0</v>
      </c>
      <c r="F10426">
        <f t="shared" si="175"/>
        <v>2</v>
      </c>
      <c r="I10426">
        <v>20220701</v>
      </c>
      <c r="J10426" t="s">
        <v>10500</v>
      </c>
    </row>
    <row r="10427" spans="1:17" x14ac:dyDescent="0.3">
      <c r="A10427" s="160">
        <v>76610</v>
      </c>
      <c r="B10427" t="s">
        <v>25419</v>
      </c>
      <c r="C10427" t="s">
        <v>10490</v>
      </c>
      <c r="D10427">
        <v>0.55000000000000004</v>
      </c>
      <c r="E10427">
        <v>0</v>
      </c>
      <c r="F10427">
        <f t="shared" si="175"/>
        <v>0.55000000000000004</v>
      </c>
      <c r="I10427">
        <v>20250101</v>
      </c>
      <c r="J10427" t="s">
        <v>10491</v>
      </c>
      <c r="K10427" t="s">
        <v>10577</v>
      </c>
      <c r="L10427" t="s">
        <v>10508</v>
      </c>
      <c r="M10427" t="s">
        <v>10492</v>
      </c>
      <c r="N10427" t="s">
        <v>10701</v>
      </c>
      <c r="O10427" t="s">
        <v>10505</v>
      </c>
      <c r="P10427" t="s">
        <v>10506</v>
      </c>
      <c r="Q10427" t="s">
        <v>10507</v>
      </c>
    </row>
    <row r="10428" spans="1:17" x14ac:dyDescent="0.3">
      <c r="A10428" s="160">
        <v>76614</v>
      </c>
      <c r="B10428" t="s">
        <v>25420</v>
      </c>
      <c r="C10428" t="s">
        <v>10493</v>
      </c>
      <c r="D10428">
        <v>2</v>
      </c>
      <c r="E10428">
        <v>0</v>
      </c>
      <c r="F10428">
        <f t="shared" si="175"/>
        <v>2</v>
      </c>
      <c r="I10428">
        <v>20130101</v>
      </c>
      <c r="J10428" t="s">
        <v>10608</v>
      </c>
    </row>
    <row r="10429" spans="1:17" x14ac:dyDescent="0.3">
      <c r="A10429" s="160">
        <v>76615</v>
      </c>
      <c r="B10429" t="s">
        <v>25421</v>
      </c>
      <c r="C10429" t="s">
        <v>10499</v>
      </c>
      <c r="D10429">
        <v>2</v>
      </c>
      <c r="E10429">
        <v>0</v>
      </c>
      <c r="F10429">
        <f t="shared" si="175"/>
        <v>2</v>
      </c>
      <c r="I10429">
        <v>20220701</v>
      </c>
      <c r="J10429" t="s">
        <v>10556</v>
      </c>
    </row>
    <row r="10430" spans="1:17" x14ac:dyDescent="0.3">
      <c r="A10430" s="160">
        <v>76616</v>
      </c>
      <c r="B10430" t="s">
        <v>25422</v>
      </c>
      <c r="C10430" t="s">
        <v>10499</v>
      </c>
      <c r="D10430">
        <v>2</v>
      </c>
      <c r="E10430">
        <v>0</v>
      </c>
      <c r="F10430">
        <f t="shared" si="175"/>
        <v>2</v>
      </c>
      <c r="I10430">
        <v>20150101</v>
      </c>
      <c r="J10430" t="s">
        <v>10559</v>
      </c>
    </row>
    <row r="10431" spans="1:17" x14ac:dyDescent="0.3">
      <c r="A10431" s="160">
        <v>76617</v>
      </c>
      <c r="B10431" t="s">
        <v>25423</v>
      </c>
      <c r="C10431" t="s">
        <v>10493</v>
      </c>
      <c r="D10431">
        <v>2</v>
      </c>
      <c r="E10431">
        <v>0</v>
      </c>
      <c r="F10431">
        <f t="shared" si="175"/>
        <v>2</v>
      </c>
      <c r="I10431">
        <v>20130101</v>
      </c>
      <c r="J10431" t="s">
        <v>10534</v>
      </c>
    </row>
    <row r="10432" spans="1:17" x14ac:dyDescent="0.3">
      <c r="A10432" s="160">
        <v>76622</v>
      </c>
      <c r="B10432" t="s">
        <v>25424</v>
      </c>
      <c r="C10432" t="s">
        <v>25226</v>
      </c>
      <c r="D10432">
        <v>0.2</v>
      </c>
      <c r="E10432">
        <v>0</v>
      </c>
      <c r="F10432">
        <f t="shared" si="175"/>
        <v>0.2</v>
      </c>
      <c r="I10432">
        <v>20240101</v>
      </c>
      <c r="J10432" t="s">
        <v>25364</v>
      </c>
    </row>
    <row r="10433" spans="1:17" x14ac:dyDescent="0.3">
      <c r="A10433" s="160">
        <v>76626</v>
      </c>
      <c r="B10433" t="s">
        <v>25425</v>
      </c>
      <c r="C10433" t="s">
        <v>25226</v>
      </c>
      <c r="D10433">
        <v>0.2</v>
      </c>
      <c r="E10433">
        <v>0</v>
      </c>
      <c r="F10433">
        <f t="shared" si="175"/>
        <v>0.2</v>
      </c>
      <c r="I10433">
        <v>20240101</v>
      </c>
      <c r="J10433" t="s">
        <v>25235</v>
      </c>
    </row>
    <row r="10434" spans="1:17" x14ac:dyDescent="0.3">
      <c r="A10434" s="160">
        <v>76627</v>
      </c>
      <c r="B10434" t="s">
        <v>25426</v>
      </c>
      <c r="C10434" t="s">
        <v>25226</v>
      </c>
      <c r="D10434">
        <v>0.2</v>
      </c>
      <c r="E10434">
        <v>0</v>
      </c>
      <c r="F10434">
        <f t="shared" si="175"/>
        <v>0.2</v>
      </c>
      <c r="I10434">
        <v>20240101</v>
      </c>
      <c r="J10434" t="s">
        <v>25302</v>
      </c>
    </row>
    <row r="10435" spans="1:17" x14ac:dyDescent="0.3">
      <c r="A10435" s="160">
        <v>76631</v>
      </c>
      <c r="B10435" t="s">
        <v>25427</v>
      </c>
      <c r="C10435" t="s">
        <v>10493</v>
      </c>
      <c r="D10435">
        <v>2</v>
      </c>
      <c r="E10435">
        <v>0</v>
      </c>
      <c r="F10435">
        <f t="shared" si="175"/>
        <v>2</v>
      </c>
      <c r="I10435">
        <v>20130101</v>
      </c>
      <c r="J10435" t="s">
        <v>10501</v>
      </c>
    </row>
    <row r="10436" spans="1:17" x14ac:dyDescent="0.3">
      <c r="A10436" s="160">
        <v>76634</v>
      </c>
      <c r="B10436" t="s">
        <v>25428</v>
      </c>
      <c r="C10436" t="s">
        <v>10493</v>
      </c>
      <c r="D10436">
        <v>2</v>
      </c>
      <c r="E10436">
        <v>0</v>
      </c>
      <c r="F10436">
        <f t="shared" si="175"/>
        <v>2</v>
      </c>
      <c r="I10436">
        <v>20130101</v>
      </c>
      <c r="J10436" t="s">
        <v>10578</v>
      </c>
    </row>
    <row r="10437" spans="1:17" x14ac:dyDescent="0.3">
      <c r="A10437" s="160">
        <v>76636</v>
      </c>
      <c r="B10437" t="s">
        <v>25429</v>
      </c>
      <c r="C10437" t="s">
        <v>10493</v>
      </c>
      <c r="D10437">
        <v>2</v>
      </c>
      <c r="E10437">
        <v>0</v>
      </c>
      <c r="F10437">
        <f t="shared" si="175"/>
        <v>2</v>
      </c>
      <c r="I10437">
        <v>20130101</v>
      </c>
      <c r="J10437" t="s">
        <v>10501</v>
      </c>
    </row>
    <row r="10438" spans="1:17" x14ac:dyDescent="0.3">
      <c r="A10438" s="160">
        <v>76637</v>
      </c>
      <c r="B10438" t="s">
        <v>25430</v>
      </c>
      <c r="C10438" t="s">
        <v>10497</v>
      </c>
      <c r="D10438">
        <v>0.65</v>
      </c>
      <c r="E10438">
        <v>0</v>
      </c>
      <c r="F10438">
        <f t="shared" si="175"/>
        <v>0.65</v>
      </c>
      <c r="I10438">
        <v>20240101</v>
      </c>
      <c r="J10438" t="s">
        <v>10498</v>
      </c>
    </row>
    <row r="10439" spans="1:17" x14ac:dyDescent="0.3">
      <c r="A10439" s="160">
        <v>76640</v>
      </c>
      <c r="B10439" t="s">
        <v>25431</v>
      </c>
      <c r="C10439" t="s">
        <v>10493</v>
      </c>
      <c r="D10439">
        <v>2</v>
      </c>
      <c r="E10439">
        <v>0</v>
      </c>
      <c r="F10439">
        <f t="shared" ref="F10439:F10502" si="176">D10439+E10439</f>
        <v>2</v>
      </c>
      <c r="I10439">
        <v>20130101</v>
      </c>
      <c r="J10439" t="s">
        <v>10524</v>
      </c>
    </row>
    <row r="10440" spans="1:17" x14ac:dyDescent="0.3">
      <c r="A10440" s="160">
        <v>76647</v>
      </c>
      <c r="B10440" t="s">
        <v>25432</v>
      </c>
      <c r="C10440" t="s">
        <v>10499</v>
      </c>
      <c r="D10440">
        <v>2</v>
      </c>
      <c r="E10440">
        <v>0</v>
      </c>
      <c r="F10440">
        <f t="shared" si="176"/>
        <v>2</v>
      </c>
      <c r="I10440">
        <v>20220701</v>
      </c>
      <c r="J10440" t="s">
        <v>10528</v>
      </c>
    </row>
    <row r="10441" spans="1:17" x14ac:dyDescent="0.3">
      <c r="A10441" s="160">
        <v>76657</v>
      </c>
      <c r="B10441" t="s">
        <v>25433</v>
      </c>
      <c r="C10441" t="s">
        <v>10499</v>
      </c>
      <c r="D10441">
        <v>2</v>
      </c>
      <c r="E10441">
        <v>0</v>
      </c>
      <c r="F10441">
        <f t="shared" si="176"/>
        <v>2</v>
      </c>
      <c r="I10441">
        <v>20220701</v>
      </c>
      <c r="J10441" t="s">
        <v>10584</v>
      </c>
      <c r="K10441" t="s">
        <v>10586</v>
      </c>
      <c r="L10441" t="s">
        <v>10587</v>
      </c>
      <c r="M10441" t="s">
        <v>10589</v>
      </c>
      <c r="N10441" t="s">
        <v>10528</v>
      </c>
    </row>
    <row r="10442" spans="1:17" x14ac:dyDescent="0.3">
      <c r="A10442" s="160">
        <v>76658</v>
      </c>
      <c r="B10442" t="s">
        <v>25434</v>
      </c>
      <c r="C10442" t="s">
        <v>10499</v>
      </c>
      <c r="D10442">
        <v>2</v>
      </c>
      <c r="E10442">
        <v>0</v>
      </c>
      <c r="F10442">
        <f t="shared" si="176"/>
        <v>2</v>
      </c>
      <c r="I10442">
        <v>20220701</v>
      </c>
      <c r="J10442" t="s">
        <v>10528</v>
      </c>
    </row>
    <row r="10443" spans="1:17" x14ac:dyDescent="0.3">
      <c r="A10443" s="160">
        <v>76660</v>
      </c>
      <c r="B10443" t="s">
        <v>25435</v>
      </c>
      <c r="C10443" t="s">
        <v>10499</v>
      </c>
      <c r="D10443">
        <v>2</v>
      </c>
      <c r="E10443">
        <v>0</v>
      </c>
      <c r="F10443">
        <f t="shared" si="176"/>
        <v>2</v>
      </c>
      <c r="I10443">
        <v>20220701</v>
      </c>
      <c r="J10443" t="s">
        <v>10579</v>
      </c>
      <c r="K10443" t="s">
        <v>10565</v>
      </c>
      <c r="L10443" t="s">
        <v>10567</v>
      </c>
      <c r="M10443" t="s">
        <v>10528</v>
      </c>
    </row>
    <row r="10444" spans="1:17" x14ac:dyDescent="0.3">
      <c r="A10444" s="160">
        <v>76663</v>
      </c>
      <c r="B10444" t="s">
        <v>25436</v>
      </c>
      <c r="C10444" t="s">
        <v>10497</v>
      </c>
      <c r="D10444">
        <v>0.65</v>
      </c>
      <c r="E10444">
        <v>0</v>
      </c>
      <c r="F10444">
        <f t="shared" si="176"/>
        <v>0.65</v>
      </c>
      <c r="I10444">
        <v>20240101</v>
      </c>
      <c r="J10444" t="s">
        <v>10498</v>
      </c>
    </row>
    <row r="10445" spans="1:17" x14ac:dyDescent="0.3">
      <c r="A10445" s="160">
        <v>76667</v>
      </c>
      <c r="B10445" t="s">
        <v>25437</v>
      </c>
      <c r="C10445" t="s">
        <v>10495</v>
      </c>
      <c r="D10445">
        <v>0.8</v>
      </c>
      <c r="E10445">
        <v>0</v>
      </c>
      <c r="F10445">
        <f t="shared" si="176"/>
        <v>0.8</v>
      </c>
      <c r="I10445">
        <v>20120101</v>
      </c>
      <c r="J10445" t="s">
        <v>10503</v>
      </c>
    </row>
    <row r="10446" spans="1:17" x14ac:dyDescent="0.3">
      <c r="A10446" s="160">
        <v>76670</v>
      </c>
      <c r="B10446" t="s">
        <v>25438</v>
      </c>
      <c r="C10446" t="s">
        <v>10497</v>
      </c>
      <c r="D10446">
        <v>0.65</v>
      </c>
      <c r="E10446">
        <v>0</v>
      </c>
      <c r="F10446">
        <f t="shared" si="176"/>
        <v>0.65</v>
      </c>
      <c r="I10446">
        <v>20240101</v>
      </c>
      <c r="J10446" t="s">
        <v>10530</v>
      </c>
      <c r="K10446" t="s">
        <v>10557</v>
      </c>
    </row>
    <row r="10447" spans="1:17" x14ac:dyDescent="0.3">
      <c r="A10447" s="160">
        <v>76680</v>
      </c>
      <c r="B10447" t="s">
        <v>25439</v>
      </c>
      <c r="C10447" t="s">
        <v>10497</v>
      </c>
      <c r="D10447">
        <v>0.65</v>
      </c>
      <c r="E10447">
        <v>0</v>
      </c>
      <c r="F10447">
        <f t="shared" si="176"/>
        <v>0.65</v>
      </c>
      <c r="I10447">
        <v>20240101</v>
      </c>
      <c r="J10447" t="s">
        <v>10498</v>
      </c>
    </row>
    <row r="10448" spans="1:17" x14ac:dyDescent="0.3">
      <c r="A10448" s="160">
        <v>76681</v>
      </c>
      <c r="B10448" t="s">
        <v>25440</v>
      </c>
      <c r="C10448" t="s">
        <v>10493</v>
      </c>
      <c r="D10448">
        <v>2</v>
      </c>
      <c r="E10448">
        <v>0</v>
      </c>
      <c r="F10448">
        <f t="shared" si="176"/>
        <v>2</v>
      </c>
      <c r="I10448">
        <v>20130101</v>
      </c>
      <c r="J10448" t="s">
        <v>10702</v>
      </c>
      <c r="K10448" t="s">
        <v>10703</v>
      </c>
      <c r="L10448" t="s">
        <v>10704</v>
      </c>
      <c r="M10448" t="s">
        <v>10690</v>
      </c>
      <c r="N10448" t="s">
        <v>10705</v>
      </c>
      <c r="O10448" t="s">
        <v>10706</v>
      </c>
      <c r="P10448" t="s">
        <v>10707</v>
      </c>
      <c r="Q10448" t="s">
        <v>10708</v>
      </c>
    </row>
    <row r="10449" spans="1:11" x14ac:dyDescent="0.3">
      <c r="A10449" s="160">
        <v>76682</v>
      </c>
      <c r="B10449" t="s">
        <v>25441</v>
      </c>
      <c r="C10449" t="s">
        <v>10493</v>
      </c>
      <c r="D10449">
        <v>2</v>
      </c>
      <c r="E10449">
        <v>0</v>
      </c>
      <c r="F10449">
        <f t="shared" si="176"/>
        <v>2</v>
      </c>
      <c r="I10449">
        <v>20130101</v>
      </c>
      <c r="J10449" t="s">
        <v>10529</v>
      </c>
    </row>
    <row r="10450" spans="1:11" x14ac:dyDescent="0.3">
      <c r="A10450" s="160">
        <v>76684</v>
      </c>
      <c r="B10450" t="s">
        <v>25442</v>
      </c>
      <c r="C10450" t="s">
        <v>25226</v>
      </c>
      <c r="D10450">
        <v>0.2</v>
      </c>
      <c r="E10450">
        <v>0</v>
      </c>
      <c r="F10450">
        <f t="shared" si="176"/>
        <v>0.2</v>
      </c>
      <c r="I10450">
        <v>20240101</v>
      </c>
      <c r="J10450" t="s">
        <v>10528</v>
      </c>
    </row>
    <row r="10451" spans="1:11" x14ac:dyDescent="0.3">
      <c r="A10451" s="160">
        <v>76685</v>
      </c>
      <c r="B10451" t="s">
        <v>25443</v>
      </c>
      <c r="C10451" t="s">
        <v>10497</v>
      </c>
      <c r="D10451">
        <v>0.65</v>
      </c>
      <c r="E10451">
        <v>0</v>
      </c>
      <c r="F10451">
        <f t="shared" si="176"/>
        <v>0.65</v>
      </c>
      <c r="I10451">
        <v>20240101</v>
      </c>
      <c r="J10451" t="s">
        <v>10498</v>
      </c>
    </row>
    <row r="10452" spans="1:11" x14ac:dyDescent="0.3">
      <c r="A10452" s="160">
        <v>76686</v>
      </c>
      <c r="B10452" t="s">
        <v>25444</v>
      </c>
      <c r="C10452" t="s">
        <v>10497</v>
      </c>
      <c r="D10452">
        <v>0.65</v>
      </c>
      <c r="E10452">
        <v>0</v>
      </c>
      <c r="F10452">
        <f t="shared" si="176"/>
        <v>0.65</v>
      </c>
      <c r="I10452">
        <v>20240101</v>
      </c>
      <c r="J10452" t="s">
        <v>10498</v>
      </c>
    </row>
    <row r="10453" spans="1:11" x14ac:dyDescent="0.3">
      <c r="A10453" s="160">
        <v>76688</v>
      </c>
      <c r="B10453" t="s">
        <v>25445</v>
      </c>
      <c r="C10453" t="s">
        <v>10497</v>
      </c>
      <c r="D10453">
        <v>0.65</v>
      </c>
      <c r="E10453">
        <v>0</v>
      </c>
      <c r="F10453">
        <f t="shared" si="176"/>
        <v>0.65</v>
      </c>
      <c r="I10453">
        <v>20240101</v>
      </c>
      <c r="J10453" t="s">
        <v>10498</v>
      </c>
    </row>
    <row r="10454" spans="1:11" x14ac:dyDescent="0.3">
      <c r="A10454" s="160">
        <v>76689</v>
      </c>
      <c r="B10454" t="s">
        <v>25446</v>
      </c>
      <c r="C10454" t="s">
        <v>10497</v>
      </c>
      <c r="D10454">
        <v>0.65</v>
      </c>
      <c r="E10454">
        <v>0</v>
      </c>
      <c r="F10454">
        <f t="shared" si="176"/>
        <v>0.65</v>
      </c>
      <c r="I10454">
        <v>20240101</v>
      </c>
      <c r="J10454" t="s">
        <v>10498</v>
      </c>
    </row>
    <row r="10455" spans="1:11" x14ac:dyDescent="0.3">
      <c r="A10455" s="160">
        <v>76693</v>
      </c>
      <c r="B10455" t="s">
        <v>25447</v>
      </c>
      <c r="C10455" t="s">
        <v>10499</v>
      </c>
      <c r="D10455">
        <v>2</v>
      </c>
      <c r="E10455">
        <v>0</v>
      </c>
      <c r="F10455">
        <f t="shared" si="176"/>
        <v>2</v>
      </c>
      <c r="I10455">
        <v>20220701</v>
      </c>
      <c r="J10455" t="s">
        <v>10511</v>
      </c>
    </row>
    <row r="10456" spans="1:11" x14ac:dyDescent="0.3">
      <c r="A10456" s="160">
        <v>76702</v>
      </c>
      <c r="B10456" t="s">
        <v>25448</v>
      </c>
      <c r="C10456" t="s">
        <v>10490</v>
      </c>
      <c r="D10456">
        <v>0.55000000000000004</v>
      </c>
      <c r="E10456">
        <v>0</v>
      </c>
      <c r="F10456">
        <f t="shared" si="176"/>
        <v>0.55000000000000004</v>
      </c>
      <c r="I10456">
        <v>20250101</v>
      </c>
      <c r="J10456" t="s">
        <v>10491</v>
      </c>
      <c r="K10456" t="s">
        <v>10701</v>
      </c>
    </row>
    <row r="10457" spans="1:11" x14ac:dyDescent="0.3">
      <c r="A10457" s="160">
        <v>76705</v>
      </c>
      <c r="B10457" t="s">
        <v>25449</v>
      </c>
      <c r="C10457" t="s">
        <v>10493</v>
      </c>
      <c r="D10457">
        <v>2</v>
      </c>
      <c r="E10457">
        <v>0</v>
      </c>
      <c r="F10457">
        <f t="shared" si="176"/>
        <v>2</v>
      </c>
      <c r="I10457">
        <v>20130101</v>
      </c>
      <c r="J10457" t="s">
        <v>10529</v>
      </c>
    </row>
    <row r="10458" spans="1:11" x14ac:dyDescent="0.3">
      <c r="A10458" s="160">
        <v>76706</v>
      </c>
      <c r="B10458" t="s">
        <v>25450</v>
      </c>
      <c r="C10458" t="s">
        <v>10497</v>
      </c>
      <c r="D10458">
        <v>0.65</v>
      </c>
      <c r="E10458">
        <v>0</v>
      </c>
      <c r="F10458">
        <f t="shared" si="176"/>
        <v>0.65</v>
      </c>
      <c r="I10458">
        <v>20240101</v>
      </c>
      <c r="J10458" t="s">
        <v>10530</v>
      </c>
    </row>
    <row r="10459" spans="1:11" x14ac:dyDescent="0.3">
      <c r="A10459" s="160">
        <v>76707</v>
      </c>
      <c r="B10459" t="s">
        <v>25451</v>
      </c>
      <c r="C10459" t="s">
        <v>10495</v>
      </c>
      <c r="D10459">
        <v>0.8</v>
      </c>
      <c r="E10459">
        <v>0</v>
      </c>
      <c r="F10459">
        <f t="shared" si="176"/>
        <v>0.8</v>
      </c>
      <c r="I10459">
        <v>20120101</v>
      </c>
      <c r="J10459" t="s">
        <v>10503</v>
      </c>
    </row>
    <row r="10460" spans="1:11" x14ac:dyDescent="0.3">
      <c r="A10460" s="160">
        <v>76708</v>
      </c>
      <c r="B10460" t="s">
        <v>25452</v>
      </c>
      <c r="C10460" t="s">
        <v>10497</v>
      </c>
      <c r="D10460">
        <v>0.65</v>
      </c>
      <c r="E10460">
        <v>0</v>
      </c>
      <c r="F10460">
        <f t="shared" si="176"/>
        <v>0.65</v>
      </c>
      <c r="I10460">
        <v>20240101</v>
      </c>
      <c r="J10460" t="s">
        <v>10530</v>
      </c>
      <c r="K10460" t="s">
        <v>10558</v>
      </c>
    </row>
    <row r="10461" spans="1:11" x14ac:dyDescent="0.3">
      <c r="A10461" s="160">
        <v>76709</v>
      </c>
      <c r="B10461" t="s">
        <v>25453</v>
      </c>
      <c r="C10461" t="s">
        <v>10493</v>
      </c>
      <c r="D10461">
        <v>2</v>
      </c>
      <c r="E10461">
        <v>0</v>
      </c>
      <c r="F10461">
        <f t="shared" si="176"/>
        <v>2</v>
      </c>
      <c r="I10461">
        <v>20130101</v>
      </c>
      <c r="J10461" t="s">
        <v>10709</v>
      </c>
    </row>
    <row r="10462" spans="1:11" x14ac:dyDescent="0.3">
      <c r="A10462" s="160">
        <v>76710</v>
      </c>
      <c r="B10462" t="s">
        <v>25454</v>
      </c>
      <c r="C10462" t="s">
        <v>25226</v>
      </c>
      <c r="D10462">
        <v>0.2</v>
      </c>
      <c r="E10462">
        <v>0</v>
      </c>
      <c r="F10462">
        <f t="shared" si="176"/>
        <v>0.2</v>
      </c>
      <c r="I10462">
        <v>20240101</v>
      </c>
      <c r="J10462" t="s">
        <v>10637</v>
      </c>
    </row>
    <row r="10463" spans="1:11" x14ac:dyDescent="0.3">
      <c r="A10463" s="160">
        <v>76712</v>
      </c>
      <c r="B10463" t="s">
        <v>25455</v>
      </c>
      <c r="C10463" t="s">
        <v>25226</v>
      </c>
      <c r="D10463">
        <v>0.2</v>
      </c>
      <c r="E10463">
        <v>0</v>
      </c>
      <c r="F10463">
        <f t="shared" si="176"/>
        <v>0.2</v>
      </c>
      <c r="I10463">
        <v>20240101</v>
      </c>
      <c r="J10463" t="s">
        <v>25302</v>
      </c>
    </row>
    <row r="10464" spans="1:11" x14ac:dyDescent="0.3">
      <c r="A10464" s="160">
        <v>76714</v>
      </c>
      <c r="B10464" t="s">
        <v>25456</v>
      </c>
      <c r="C10464" t="s">
        <v>10499</v>
      </c>
      <c r="D10464">
        <v>2</v>
      </c>
      <c r="E10464">
        <v>0</v>
      </c>
      <c r="F10464">
        <f t="shared" si="176"/>
        <v>2</v>
      </c>
      <c r="I10464">
        <v>20220701</v>
      </c>
      <c r="J10464" t="s">
        <v>10528</v>
      </c>
    </row>
    <row r="10465" spans="1:16" x14ac:dyDescent="0.3">
      <c r="A10465" s="160">
        <v>76715</v>
      </c>
      <c r="B10465" t="s">
        <v>25457</v>
      </c>
      <c r="C10465" t="s">
        <v>25226</v>
      </c>
      <c r="D10465">
        <v>0.2</v>
      </c>
      <c r="E10465">
        <v>0</v>
      </c>
      <c r="F10465">
        <f t="shared" si="176"/>
        <v>0.2</v>
      </c>
      <c r="I10465">
        <v>20240101</v>
      </c>
      <c r="J10465" t="s">
        <v>25248</v>
      </c>
    </row>
    <row r="10466" spans="1:16" x14ac:dyDescent="0.3">
      <c r="A10466" s="160">
        <v>76716</v>
      </c>
      <c r="B10466" t="s">
        <v>25458</v>
      </c>
      <c r="C10466" t="s">
        <v>10499</v>
      </c>
      <c r="D10466">
        <v>2</v>
      </c>
      <c r="E10466">
        <v>0</v>
      </c>
      <c r="F10466">
        <f t="shared" si="176"/>
        <v>2</v>
      </c>
      <c r="I10466">
        <v>20220701</v>
      </c>
      <c r="J10466" t="s">
        <v>10500</v>
      </c>
    </row>
    <row r="10467" spans="1:16" x14ac:dyDescent="0.3">
      <c r="A10467" s="160">
        <v>76717</v>
      </c>
      <c r="B10467" t="s">
        <v>25459</v>
      </c>
      <c r="C10467" t="s">
        <v>10493</v>
      </c>
      <c r="D10467">
        <v>2</v>
      </c>
      <c r="E10467">
        <v>0</v>
      </c>
      <c r="F10467">
        <f t="shared" si="176"/>
        <v>2</v>
      </c>
      <c r="I10467">
        <v>20130101</v>
      </c>
      <c r="J10467" t="s">
        <v>10523</v>
      </c>
    </row>
    <row r="10468" spans="1:16" x14ac:dyDescent="0.3">
      <c r="A10468" s="160">
        <v>76718</v>
      </c>
      <c r="B10468" t="s">
        <v>25460</v>
      </c>
      <c r="C10468" t="s">
        <v>10490</v>
      </c>
      <c r="D10468">
        <v>0.55000000000000004</v>
      </c>
      <c r="E10468">
        <v>0</v>
      </c>
      <c r="F10468">
        <f t="shared" si="176"/>
        <v>0.55000000000000004</v>
      </c>
      <c r="I10468">
        <v>20250101</v>
      </c>
      <c r="J10468" t="s">
        <v>10491</v>
      </c>
      <c r="K10468" t="s">
        <v>10577</v>
      </c>
      <c r="L10468" t="s">
        <v>10492</v>
      </c>
      <c r="M10468" t="s">
        <v>10701</v>
      </c>
      <c r="N10468" t="s">
        <v>10505</v>
      </c>
      <c r="O10468" t="s">
        <v>10506</v>
      </c>
      <c r="P10468" t="s">
        <v>10507</v>
      </c>
    </row>
    <row r="10469" spans="1:16" x14ac:dyDescent="0.3">
      <c r="A10469" s="160">
        <v>76719</v>
      </c>
      <c r="B10469" t="s">
        <v>21941</v>
      </c>
      <c r="C10469" t="s">
        <v>10497</v>
      </c>
      <c r="D10469">
        <v>0.65</v>
      </c>
      <c r="E10469">
        <v>0</v>
      </c>
      <c r="F10469">
        <f t="shared" si="176"/>
        <v>0.65</v>
      </c>
      <c r="I10469">
        <v>20240101</v>
      </c>
      <c r="J10469" t="s">
        <v>10498</v>
      </c>
    </row>
    <row r="10470" spans="1:16" x14ac:dyDescent="0.3">
      <c r="A10470" s="160">
        <v>76720</v>
      </c>
      <c r="B10470" t="s">
        <v>25461</v>
      </c>
      <c r="C10470" t="s">
        <v>10495</v>
      </c>
      <c r="D10470">
        <v>0.8</v>
      </c>
      <c r="E10470">
        <v>0</v>
      </c>
      <c r="F10470">
        <f t="shared" si="176"/>
        <v>0.8</v>
      </c>
      <c r="I10470">
        <v>20120101</v>
      </c>
      <c r="J10470" t="s">
        <v>10700</v>
      </c>
    </row>
    <row r="10471" spans="1:16" x14ac:dyDescent="0.3">
      <c r="A10471" s="160">
        <v>76726</v>
      </c>
      <c r="B10471" t="s">
        <v>25462</v>
      </c>
      <c r="C10471" t="s">
        <v>10497</v>
      </c>
      <c r="D10471">
        <v>0.65</v>
      </c>
      <c r="E10471">
        <v>0</v>
      </c>
      <c r="F10471">
        <f t="shared" si="176"/>
        <v>0.65</v>
      </c>
      <c r="I10471">
        <v>20240101</v>
      </c>
      <c r="J10471" t="s">
        <v>10533</v>
      </c>
      <c r="K10471" t="s">
        <v>10532</v>
      </c>
    </row>
    <row r="10472" spans="1:16" x14ac:dyDescent="0.3">
      <c r="A10472" s="160">
        <v>76727</v>
      </c>
      <c r="B10472" t="s">
        <v>25463</v>
      </c>
      <c r="C10472" t="s">
        <v>25226</v>
      </c>
      <c r="D10472">
        <v>0.2</v>
      </c>
      <c r="E10472">
        <v>0</v>
      </c>
      <c r="F10472">
        <f t="shared" si="176"/>
        <v>0.2</v>
      </c>
      <c r="I10472">
        <v>20240101</v>
      </c>
      <c r="J10472" t="s">
        <v>25330</v>
      </c>
    </row>
    <row r="10473" spans="1:16" x14ac:dyDescent="0.3">
      <c r="A10473" s="160">
        <v>76734</v>
      </c>
      <c r="B10473" t="s">
        <v>25464</v>
      </c>
      <c r="C10473" t="s">
        <v>10499</v>
      </c>
      <c r="D10473">
        <v>2</v>
      </c>
      <c r="E10473">
        <v>0</v>
      </c>
      <c r="F10473">
        <f t="shared" si="176"/>
        <v>2</v>
      </c>
      <c r="I10473">
        <v>20220701</v>
      </c>
      <c r="J10473" t="s">
        <v>10500</v>
      </c>
    </row>
    <row r="10474" spans="1:16" x14ac:dyDescent="0.3">
      <c r="A10474" s="160">
        <v>76741</v>
      </c>
      <c r="B10474" t="s">
        <v>25465</v>
      </c>
      <c r="C10474" t="s">
        <v>10499</v>
      </c>
      <c r="D10474">
        <v>2</v>
      </c>
      <c r="E10474">
        <v>0</v>
      </c>
      <c r="F10474">
        <f t="shared" si="176"/>
        <v>2</v>
      </c>
      <c r="I10474">
        <v>20220701</v>
      </c>
      <c r="J10474" t="s">
        <v>10500</v>
      </c>
    </row>
    <row r="10475" spans="1:16" x14ac:dyDescent="0.3">
      <c r="A10475" s="160">
        <v>76743</v>
      </c>
      <c r="B10475" t="s">
        <v>25466</v>
      </c>
      <c r="C10475" t="s">
        <v>25244</v>
      </c>
      <c r="D10475">
        <v>0.6</v>
      </c>
      <c r="E10475">
        <v>0</v>
      </c>
      <c r="F10475">
        <f t="shared" si="176"/>
        <v>0.6</v>
      </c>
      <c r="I10475">
        <v>20230801</v>
      </c>
      <c r="J10475" t="s">
        <v>25245</v>
      </c>
    </row>
    <row r="10476" spans="1:16" x14ac:dyDescent="0.3">
      <c r="A10476" s="160">
        <v>76750</v>
      </c>
      <c r="B10476" t="s">
        <v>25467</v>
      </c>
      <c r="C10476" t="s">
        <v>10493</v>
      </c>
      <c r="D10476">
        <v>2</v>
      </c>
      <c r="E10476">
        <v>0</v>
      </c>
      <c r="F10476">
        <f t="shared" si="176"/>
        <v>2</v>
      </c>
      <c r="I10476">
        <v>20130101</v>
      </c>
      <c r="J10476" t="s">
        <v>10501</v>
      </c>
    </row>
    <row r="10477" spans="1:16" x14ac:dyDescent="0.3">
      <c r="A10477" s="160">
        <v>76751</v>
      </c>
      <c r="B10477" t="s">
        <v>25468</v>
      </c>
      <c r="C10477" t="s">
        <v>25226</v>
      </c>
      <c r="D10477">
        <v>0.2</v>
      </c>
      <c r="E10477">
        <v>0</v>
      </c>
      <c r="F10477">
        <f t="shared" si="176"/>
        <v>0.2</v>
      </c>
      <c r="I10477">
        <v>20240101</v>
      </c>
      <c r="J10477" t="s">
        <v>10637</v>
      </c>
    </row>
    <row r="10478" spans="1:16" x14ac:dyDescent="0.3">
      <c r="A10478" s="160">
        <v>76753</v>
      </c>
      <c r="B10478" t="s">
        <v>25469</v>
      </c>
      <c r="C10478" t="s">
        <v>10493</v>
      </c>
      <c r="D10478">
        <v>2</v>
      </c>
      <c r="E10478">
        <v>0</v>
      </c>
      <c r="F10478">
        <f t="shared" si="176"/>
        <v>2</v>
      </c>
      <c r="I10478">
        <v>20130101</v>
      </c>
      <c r="J10478" t="s">
        <v>10504</v>
      </c>
    </row>
    <row r="10479" spans="1:16" x14ac:dyDescent="0.3">
      <c r="A10479" s="160">
        <v>76754</v>
      </c>
      <c r="B10479" t="s">
        <v>25470</v>
      </c>
      <c r="C10479" t="s">
        <v>10497</v>
      </c>
      <c r="D10479">
        <v>0.65</v>
      </c>
      <c r="E10479">
        <v>0</v>
      </c>
      <c r="F10479">
        <f t="shared" si="176"/>
        <v>0.65</v>
      </c>
      <c r="I10479">
        <v>20240101</v>
      </c>
      <c r="J10479" t="s">
        <v>10533</v>
      </c>
    </row>
    <row r="10480" spans="1:16" x14ac:dyDescent="0.3">
      <c r="A10480" s="160">
        <v>76755</v>
      </c>
      <c r="B10480" t="s">
        <v>25471</v>
      </c>
      <c r="C10480" t="s">
        <v>10497</v>
      </c>
      <c r="D10480">
        <v>0.65</v>
      </c>
      <c r="E10480">
        <v>0</v>
      </c>
      <c r="F10480">
        <f t="shared" si="176"/>
        <v>0.65</v>
      </c>
      <c r="I10480">
        <v>20240101</v>
      </c>
      <c r="J10480" t="s">
        <v>10498</v>
      </c>
    </row>
    <row r="10481" spans="1:19" x14ac:dyDescent="0.3">
      <c r="A10481" s="160">
        <v>76758</v>
      </c>
      <c r="B10481" t="s">
        <v>25472</v>
      </c>
      <c r="C10481" t="s">
        <v>10490</v>
      </c>
      <c r="D10481">
        <v>0.55000000000000004</v>
      </c>
      <c r="E10481">
        <v>0</v>
      </c>
      <c r="F10481">
        <f t="shared" si="176"/>
        <v>0.55000000000000004</v>
      </c>
      <c r="I10481">
        <v>20250101</v>
      </c>
      <c r="J10481" t="s">
        <v>10491</v>
      </c>
      <c r="K10481" t="s">
        <v>10577</v>
      </c>
      <c r="L10481" t="s">
        <v>10508</v>
      </c>
      <c r="M10481" t="s">
        <v>10492</v>
      </c>
      <c r="N10481" t="s">
        <v>10701</v>
      </c>
      <c r="O10481" t="s">
        <v>10505</v>
      </c>
      <c r="P10481" t="s">
        <v>10506</v>
      </c>
      <c r="Q10481" t="s">
        <v>10507</v>
      </c>
    </row>
    <row r="10482" spans="1:19" x14ac:dyDescent="0.3">
      <c r="A10482" s="160">
        <v>76759</v>
      </c>
      <c r="B10482" t="s">
        <v>25473</v>
      </c>
      <c r="C10482" t="s">
        <v>10493</v>
      </c>
      <c r="D10482">
        <v>2</v>
      </c>
      <c r="E10482">
        <v>0</v>
      </c>
      <c r="F10482">
        <f t="shared" si="176"/>
        <v>2</v>
      </c>
      <c r="I10482">
        <v>20130101</v>
      </c>
      <c r="J10482" t="s">
        <v>10522</v>
      </c>
    </row>
    <row r="10483" spans="1:19" x14ac:dyDescent="0.3">
      <c r="A10483" s="160">
        <v>77001</v>
      </c>
      <c r="B10483" t="s">
        <v>25474</v>
      </c>
      <c r="C10483" t="s">
        <v>176</v>
      </c>
      <c r="D10483">
        <v>1.6</v>
      </c>
      <c r="E10483">
        <v>0</v>
      </c>
      <c r="F10483">
        <f t="shared" si="176"/>
        <v>1.6</v>
      </c>
      <c r="G10483">
        <v>1</v>
      </c>
      <c r="H10483">
        <f t="shared" ref="H10483:H10546" si="177">G10483*F10483</f>
        <v>1.6</v>
      </c>
      <c r="I10483">
        <v>20170401</v>
      </c>
      <c r="J10483" t="s">
        <v>10710</v>
      </c>
    </row>
    <row r="10484" spans="1:19" x14ac:dyDescent="0.3">
      <c r="A10484" s="160">
        <v>77002</v>
      </c>
      <c r="B10484" t="s">
        <v>25475</v>
      </c>
      <c r="C10484" t="s">
        <v>176</v>
      </c>
      <c r="D10484">
        <v>1.6</v>
      </c>
      <c r="E10484">
        <v>0</v>
      </c>
      <c r="F10484">
        <f t="shared" si="176"/>
        <v>1.6</v>
      </c>
      <c r="G10484">
        <v>1</v>
      </c>
      <c r="H10484">
        <f t="shared" si="177"/>
        <v>1.6</v>
      </c>
      <c r="I10484">
        <v>20170401</v>
      </c>
      <c r="J10484" t="s">
        <v>10711</v>
      </c>
    </row>
    <row r="10485" spans="1:19" x14ac:dyDescent="0.3">
      <c r="A10485" s="160">
        <v>77003</v>
      </c>
      <c r="B10485" t="s">
        <v>25476</v>
      </c>
      <c r="C10485" t="s">
        <v>176</v>
      </c>
      <c r="D10485">
        <v>1.6</v>
      </c>
      <c r="E10485">
        <v>0</v>
      </c>
      <c r="F10485">
        <f t="shared" si="176"/>
        <v>1.6</v>
      </c>
      <c r="G10485">
        <v>1</v>
      </c>
      <c r="H10485">
        <f t="shared" si="177"/>
        <v>1.6</v>
      </c>
      <c r="I10485">
        <v>20170401</v>
      </c>
      <c r="J10485" t="s">
        <v>10710</v>
      </c>
    </row>
    <row r="10486" spans="1:19" x14ac:dyDescent="0.3">
      <c r="A10486" s="160">
        <v>77004</v>
      </c>
      <c r="B10486" t="s">
        <v>25477</v>
      </c>
      <c r="C10486" t="s">
        <v>176</v>
      </c>
      <c r="D10486">
        <v>1.6</v>
      </c>
      <c r="E10486">
        <v>0</v>
      </c>
      <c r="F10486">
        <f t="shared" si="176"/>
        <v>1.6</v>
      </c>
      <c r="G10486">
        <v>1</v>
      </c>
      <c r="H10486">
        <f t="shared" si="177"/>
        <v>1.6</v>
      </c>
      <c r="I10486">
        <v>20170401</v>
      </c>
      <c r="J10486" t="s">
        <v>10712</v>
      </c>
    </row>
    <row r="10487" spans="1:19" x14ac:dyDescent="0.3">
      <c r="A10487" s="160">
        <v>77005</v>
      </c>
      <c r="B10487" t="s">
        <v>25478</v>
      </c>
      <c r="C10487" t="s">
        <v>176</v>
      </c>
      <c r="D10487">
        <v>1.6</v>
      </c>
      <c r="E10487">
        <v>0</v>
      </c>
      <c r="F10487">
        <f t="shared" si="176"/>
        <v>1.6</v>
      </c>
      <c r="G10487">
        <v>1</v>
      </c>
      <c r="H10487">
        <f t="shared" si="177"/>
        <v>1.6</v>
      </c>
      <c r="I10487">
        <v>20170401</v>
      </c>
      <c r="J10487" t="s">
        <v>10713</v>
      </c>
      <c r="K10487" t="s">
        <v>10714</v>
      </c>
      <c r="L10487" t="s">
        <v>10715</v>
      </c>
      <c r="M10487" t="s">
        <v>10716</v>
      </c>
    </row>
    <row r="10488" spans="1:19" x14ac:dyDescent="0.3">
      <c r="A10488" s="160">
        <v>77006</v>
      </c>
      <c r="B10488" t="s">
        <v>25479</v>
      </c>
      <c r="C10488" t="s">
        <v>176</v>
      </c>
      <c r="D10488">
        <v>1.6</v>
      </c>
      <c r="E10488">
        <v>0</v>
      </c>
      <c r="F10488">
        <f t="shared" si="176"/>
        <v>1.6</v>
      </c>
      <c r="G10488">
        <v>1</v>
      </c>
      <c r="H10488">
        <f t="shared" si="177"/>
        <v>1.6</v>
      </c>
      <c r="I10488">
        <v>20170401</v>
      </c>
      <c r="J10488" t="s">
        <v>10717</v>
      </c>
    </row>
    <row r="10489" spans="1:19" x14ac:dyDescent="0.3">
      <c r="A10489" s="160">
        <v>77007</v>
      </c>
      <c r="B10489" t="s">
        <v>25480</v>
      </c>
      <c r="C10489" t="s">
        <v>176</v>
      </c>
      <c r="D10489">
        <v>1.6</v>
      </c>
      <c r="E10489">
        <v>0</v>
      </c>
      <c r="F10489">
        <f t="shared" si="176"/>
        <v>1.6</v>
      </c>
      <c r="G10489">
        <v>1</v>
      </c>
      <c r="H10489">
        <f t="shared" si="177"/>
        <v>1.6</v>
      </c>
      <c r="I10489">
        <v>20170401</v>
      </c>
      <c r="J10489" t="s">
        <v>10712</v>
      </c>
    </row>
    <row r="10490" spans="1:19" x14ac:dyDescent="0.3">
      <c r="A10490" s="160">
        <v>77008</v>
      </c>
      <c r="B10490" t="s">
        <v>25481</v>
      </c>
      <c r="C10490" t="s">
        <v>176</v>
      </c>
      <c r="D10490">
        <v>1.6</v>
      </c>
      <c r="E10490">
        <v>0</v>
      </c>
      <c r="F10490">
        <f t="shared" si="176"/>
        <v>1.6</v>
      </c>
      <c r="G10490">
        <v>1</v>
      </c>
      <c r="H10490">
        <f t="shared" si="177"/>
        <v>1.6</v>
      </c>
      <c r="I10490">
        <v>20170401</v>
      </c>
      <c r="J10490" t="s">
        <v>10718</v>
      </c>
    </row>
    <row r="10491" spans="1:19" x14ac:dyDescent="0.3">
      <c r="A10491" s="160">
        <v>77009</v>
      </c>
      <c r="B10491" t="s">
        <v>25482</v>
      </c>
      <c r="C10491" t="s">
        <v>176</v>
      </c>
      <c r="D10491">
        <v>1.6</v>
      </c>
      <c r="E10491">
        <v>0</v>
      </c>
      <c r="F10491">
        <f t="shared" si="176"/>
        <v>1.6</v>
      </c>
      <c r="G10491">
        <v>1</v>
      </c>
      <c r="H10491">
        <f t="shared" si="177"/>
        <v>1.6</v>
      </c>
      <c r="I10491">
        <v>20240101</v>
      </c>
      <c r="J10491" t="s">
        <v>10719</v>
      </c>
    </row>
    <row r="10492" spans="1:19" x14ac:dyDescent="0.3">
      <c r="A10492" s="160">
        <v>77010</v>
      </c>
      <c r="B10492" t="s">
        <v>25483</v>
      </c>
      <c r="C10492" t="s">
        <v>176</v>
      </c>
      <c r="D10492">
        <v>1.6</v>
      </c>
      <c r="E10492">
        <v>0</v>
      </c>
      <c r="F10492">
        <f t="shared" si="176"/>
        <v>1.6</v>
      </c>
      <c r="G10492">
        <v>1</v>
      </c>
      <c r="H10492">
        <f t="shared" si="177"/>
        <v>1.6</v>
      </c>
      <c r="I10492">
        <v>20170401</v>
      </c>
      <c r="J10492" t="s">
        <v>10720</v>
      </c>
      <c r="K10492" t="s">
        <v>10721</v>
      </c>
    </row>
    <row r="10493" spans="1:19" x14ac:dyDescent="0.3">
      <c r="A10493" s="160">
        <v>77011</v>
      </c>
      <c r="B10493" t="s">
        <v>25484</v>
      </c>
      <c r="C10493" t="s">
        <v>176</v>
      </c>
      <c r="D10493">
        <v>1.6</v>
      </c>
      <c r="E10493">
        <v>0</v>
      </c>
      <c r="F10493">
        <f t="shared" si="176"/>
        <v>1.6</v>
      </c>
      <c r="G10493">
        <v>1</v>
      </c>
      <c r="H10493">
        <f t="shared" si="177"/>
        <v>1.6</v>
      </c>
      <c r="I10493">
        <v>20170401</v>
      </c>
      <c r="J10493" t="s">
        <v>10722</v>
      </c>
    </row>
    <row r="10494" spans="1:19" x14ac:dyDescent="0.3">
      <c r="A10494" s="160">
        <v>77012</v>
      </c>
      <c r="B10494" t="s">
        <v>25485</v>
      </c>
      <c r="C10494" t="s">
        <v>176</v>
      </c>
      <c r="D10494">
        <v>1.6</v>
      </c>
      <c r="E10494">
        <v>0</v>
      </c>
      <c r="F10494">
        <f t="shared" si="176"/>
        <v>1.6</v>
      </c>
      <c r="G10494">
        <v>1</v>
      </c>
      <c r="H10494">
        <f t="shared" si="177"/>
        <v>1.6</v>
      </c>
      <c r="I10494">
        <v>20240101</v>
      </c>
      <c r="J10494" t="s">
        <v>10723</v>
      </c>
    </row>
    <row r="10495" spans="1:19" x14ac:dyDescent="0.3">
      <c r="A10495" s="160">
        <v>77013</v>
      </c>
      <c r="B10495" t="s">
        <v>25486</v>
      </c>
      <c r="C10495" t="s">
        <v>176</v>
      </c>
      <c r="D10495">
        <v>1.6</v>
      </c>
      <c r="E10495">
        <v>0</v>
      </c>
      <c r="F10495">
        <f t="shared" si="176"/>
        <v>1.6</v>
      </c>
      <c r="G10495">
        <v>1</v>
      </c>
      <c r="H10495">
        <f t="shared" si="177"/>
        <v>1.6</v>
      </c>
      <c r="I10495">
        <v>20170401</v>
      </c>
      <c r="J10495" t="s">
        <v>10711</v>
      </c>
    </row>
    <row r="10496" spans="1:19" x14ac:dyDescent="0.3">
      <c r="A10496" s="160">
        <v>77014</v>
      </c>
      <c r="B10496" t="s">
        <v>25487</v>
      </c>
      <c r="C10496" t="s">
        <v>176</v>
      </c>
      <c r="D10496">
        <v>1.6</v>
      </c>
      <c r="E10496">
        <v>0</v>
      </c>
      <c r="F10496">
        <f t="shared" si="176"/>
        <v>1.6</v>
      </c>
      <c r="G10496">
        <v>1</v>
      </c>
      <c r="H10496">
        <f t="shared" si="177"/>
        <v>1.6</v>
      </c>
      <c r="I10496">
        <v>20170401</v>
      </c>
      <c r="J10496" t="s">
        <v>10724</v>
      </c>
      <c r="K10496" t="s">
        <v>10725</v>
      </c>
      <c r="L10496" t="s">
        <v>10726</v>
      </c>
      <c r="M10496" t="s">
        <v>10727</v>
      </c>
      <c r="N10496" t="s">
        <v>10728</v>
      </c>
      <c r="O10496" t="s">
        <v>10729</v>
      </c>
      <c r="P10496" t="s">
        <v>10730</v>
      </c>
      <c r="Q10496" t="s">
        <v>10731</v>
      </c>
      <c r="R10496" t="s">
        <v>10732</v>
      </c>
      <c r="S10496" t="s">
        <v>10733</v>
      </c>
    </row>
    <row r="10497" spans="1:13" x14ac:dyDescent="0.3">
      <c r="A10497" s="160">
        <v>77015</v>
      </c>
      <c r="B10497" t="s">
        <v>25488</v>
      </c>
      <c r="C10497" t="s">
        <v>176</v>
      </c>
      <c r="D10497">
        <v>1.6</v>
      </c>
      <c r="E10497">
        <v>0</v>
      </c>
      <c r="F10497">
        <f t="shared" si="176"/>
        <v>1.6</v>
      </c>
      <c r="G10497">
        <v>1</v>
      </c>
      <c r="H10497">
        <f t="shared" si="177"/>
        <v>1.6</v>
      </c>
      <c r="I10497">
        <v>20170401</v>
      </c>
      <c r="J10497" t="s">
        <v>10734</v>
      </c>
    </row>
    <row r="10498" spans="1:13" x14ac:dyDescent="0.3">
      <c r="A10498" s="160">
        <v>77016</v>
      </c>
      <c r="B10498" t="s">
        <v>25489</v>
      </c>
      <c r="C10498" t="s">
        <v>176</v>
      </c>
      <c r="D10498">
        <v>1.6</v>
      </c>
      <c r="E10498">
        <v>0</v>
      </c>
      <c r="F10498">
        <f t="shared" si="176"/>
        <v>1.6</v>
      </c>
      <c r="G10498">
        <v>1</v>
      </c>
      <c r="H10498">
        <f t="shared" si="177"/>
        <v>1.6</v>
      </c>
      <c r="I10498">
        <v>20170401</v>
      </c>
      <c r="J10498" t="s">
        <v>10735</v>
      </c>
      <c r="K10498" t="s">
        <v>10736</v>
      </c>
      <c r="L10498" t="s">
        <v>10737</v>
      </c>
    </row>
    <row r="10499" spans="1:13" x14ac:dyDescent="0.3">
      <c r="A10499" s="160">
        <v>77018</v>
      </c>
      <c r="B10499" t="s">
        <v>25490</v>
      </c>
      <c r="C10499" t="s">
        <v>176</v>
      </c>
      <c r="D10499">
        <v>1.6</v>
      </c>
      <c r="E10499">
        <v>0</v>
      </c>
      <c r="F10499">
        <f t="shared" si="176"/>
        <v>1.6</v>
      </c>
      <c r="G10499">
        <v>1</v>
      </c>
      <c r="H10499">
        <f t="shared" si="177"/>
        <v>1.6</v>
      </c>
      <c r="I10499">
        <v>20170401</v>
      </c>
      <c r="J10499" t="s">
        <v>10738</v>
      </c>
      <c r="K10499" t="s">
        <v>10739</v>
      </c>
      <c r="L10499" t="s">
        <v>10740</v>
      </c>
      <c r="M10499" t="s">
        <v>10741</v>
      </c>
    </row>
    <row r="10500" spans="1:13" x14ac:dyDescent="0.3">
      <c r="A10500" s="160">
        <v>77019</v>
      </c>
      <c r="B10500" t="s">
        <v>25491</v>
      </c>
      <c r="C10500" t="s">
        <v>176</v>
      </c>
      <c r="D10500">
        <v>1.6</v>
      </c>
      <c r="E10500">
        <v>0</v>
      </c>
      <c r="F10500">
        <f t="shared" si="176"/>
        <v>1.6</v>
      </c>
      <c r="G10500">
        <v>1</v>
      </c>
      <c r="H10500">
        <f t="shared" si="177"/>
        <v>1.6</v>
      </c>
      <c r="I10500">
        <v>20170401</v>
      </c>
      <c r="J10500" t="s">
        <v>10742</v>
      </c>
    </row>
    <row r="10501" spans="1:13" x14ac:dyDescent="0.3">
      <c r="A10501" s="160">
        <v>77020</v>
      </c>
      <c r="B10501" t="s">
        <v>25492</v>
      </c>
      <c r="C10501" t="s">
        <v>176</v>
      </c>
      <c r="D10501">
        <v>1.6</v>
      </c>
      <c r="E10501">
        <v>0</v>
      </c>
      <c r="F10501">
        <f t="shared" si="176"/>
        <v>1.6</v>
      </c>
      <c r="G10501">
        <v>1</v>
      </c>
      <c r="H10501">
        <f t="shared" si="177"/>
        <v>1.6</v>
      </c>
      <c r="I10501">
        <v>20170401</v>
      </c>
      <c r="J10501" t="s">
        <v>10743</v>
      </c>
    </row>
    <row r="10502" spans="1:13" x14ac:dyDescent="0.3">
      <c r="A10502" s="160">
        <v>77021</v>
      </c>
      <c r="B10502" t="s">
        <v>25493</v>
      </c>
      <c r="C10502" t="s">
        <v>176</v>
      </c>
      <c r="D10502">
        <v>1.6</v>
      </c>
      <c r="E10502">
        <v>0</v>
      </c>
      <c r="F10502">
        <f t="shared" si="176"/>
        <v>1.6</v>
      </c>
      <c r="G10502">
        <v>1</v>
      </c>
      <c r="H10502">
        <f t="shared" si="177"/>
        <v>1.6</v>
      </c>
      <c r="I10502">
        <v>20170401</v>
      </c>
      <c r="J10502" t="s">
        <v>10744</v>
      </c>
    </row>
    <row r="10503" spans="1:13" x14ac:dyDescent="0.3">
      <c r="A10503" s="160">
        <v>77022</v>
      </c>
      <c r="B10503" t="s">
        <v>25494</v>
      </c>
      <c r="C10503" t="s">
        <v>176</v>
      </c>
      <c r="D10503">
        <v>1.6</v>
      </c>
      <c r="E10503">
        <v>0</v>
      </c>
      <c r="F10503">
        <f t="shared" ref="F10503:F10566" si="178">D10503+E10503</f>
        <v>1.6</v>
      </c>
      <c r="G10503">
        <v>1</v>
      </c>
      <c r="H10503">
        <f t="shared" si="177"/>
        <v>1.6</v>
      </c>
      <c r="I10503">
        <v>20170401</v>
      </c>
      <c r="J10503" t="s">
        <v>10717</v>
      </c>
      <c r="K10503" t="s">
        <v>10745</v>
      </c>
    </row>
    <row r="10504" spans="1:13" x14ac:dyDescent="0.3">
      <c r="A10504" s="160">
        <v>77023</v>
      </c>
      <c r="B10504" t="s">
        <v>25495</v>
      </c>
      <c r="C10504" t="s">
        <v>176</v>
      </c>
      <c r="D10504">
        <v>1.6</v>
      </c>
      <c r="E10504">
        <v>0</v>
      </c>
      <c r="F10504">
        <f t="shared" si="178"/>
        <v>1.6</v>
      </c>
      <c r="G10504">
        <v>1</v>
      </c>
      <c r="H10504">
        <f t="shared" si="177"/>
        <v>1.6</v>
      </c>
      <c r="I10504">
        <v>20170401</v>
      </c>
      <c r="J10504" t="s">
        <v>10746</v>
      </c>
    </row>
    <row r="10505" spans="1:13" x14ac:dyDescent="0.3">
      <c r="A10505" s="160">
        <v>77024</v>
      </c>
      <c r="B10505" t="s">
        <v>25496</v>
      </c>
      <c r="C10505" t="s">
        <v>176</v>
      </c>
      <c r="D10505">
        <v>1.6</v>
      </c>
      <c r="E10505">
        <v>0</v>
      </c>
      <c r="F10505">
        <f t="shared" si="178"/>
        <v>1.6</v>
      </c>
      <c r="G10505">
        <v>1</v>
      </c>
      <c r="H10505">
        <f t="shared" si="177"/>
        <v>1.6</v>
      </c>
      <c r="I10505">
        <v>20170401</v>
      </c>
      <c r="J10505" t="s">
        <v>10747</v>
      </c>
    </row>
    <row r="10506" spans="1:13" x14ac:dyDescent="0.3">
      <c r="A10506" s="160">
        <v>77025</v>
      </c>
      <c r="B10506" t="s">
        <v>25497</v>
      </c>
      <c r="C10506" t="s">
        <v>176</v>
      </c>
      <c r="D10506">
        <v>1.6</v>
      </c>
      <c r="E10506">
        <v>0</v>
      </c>
      <c r="F10506">
        <f t="shared" si="178"/>
        <v>1.6</v>
      </c>
      <c r="G10506">
        <v>1</v>
      </c>
      <c r="H10506">
        <f t="shared" si="177"/>
        <v>1.6</v>
      </c>
      <c r="I10506">
        <v>20170401</v>
      </c>
      <c r="J10506" t="s">
        <v>10742</v>
      </c>
    </row>
    <row r="10507" spans="1:13" x14ac:dyDescent="0.3">
      <c r="A10507" s="160">
        <v>77026</v>
      </c>
      <c r="B10507" t="s">
        <v>25498</v>
      </c>
      <c r="C10507" t="s">
        <v>176</v>
      </c>
      <c r="D10507">
        <v>1.6</v>
      </c>
      <c r="E10507">
        <v>0</v>
      </c>
      <c r="F10507">
        <f t="shared" si="178"/>
        <v>1.6</v>
      </c>
      <c r="G10507">
        <v>1</v>
      </c>
      <c r="H10507">
        <f t="shared" si="177"/>
        <v>1.6</v>
      </c>
      <c r="I10507">
        <v>20240101</v>
      </c>
      <c r="J10507" t="s">
        <v>10723</v>
      </c>
    </row>
    <row r="10508" spans="1:13" x14ac:dyDescent="0.3">
      <c r="A10508" s="160">
        <v>77027</v>
      </c>
      <c r="B10508" t="s">
        <v>25499</v>
      </c>
      <c r="C10508" t="s">
        <v>176</v>
      </c>
      <c r="D10508">
        <v>1.6</v>
      </c>
      <c r="E10508">
        <v>0</v>
      </c>
      <c r="F10508">
        <f t="shared" si="178"/>
        <v>1.6</v>
      </c>
      <c r="G10508">
        <v>1</v>
      </c>
      <c r="H10508">
        <f t="shared" si="177"/>
        <v>1.6</v>
      </c>
      <c r="I10508">
        <v>20240101</v>
      </c>
      <c r="J10508" t="s">
        <v>10719</v>
      </c>
    </row>
    <row r="10509" spans="1:13" x14ac:dyDescent="0.3">
      <c r="A10509" s="160">
        <v>77028</v>
      </c>
      <c r="B10509" t="s">
        <v>25499</v>
      </c>
      <c r="C10509" t="s">
        <v>176</v>
      </c>
      <c r="D10509">
        <v>1.6</v>
      </c>
      <c r="E10509">
        <v>0</v>
      </c>
      <c r="F10509">
        <f t="shared" si="178"/>
        <v>1.6</v>
      </c>
      <c r="G10509">
        <v>1</v>
      </c>
      <c r="H10509">
        <f t="shared" si="177"/>
        <v>1.6</v>
      </c>
      <c r="I10509">
        <v>20170401</v>
      </c>
      <c r="J10509" t="s">
        <v>10711</v>
      </c>
    </row>
    <row r="10510" spans="1:13" x14ac:dyDescent="0.3">
      <c r="A10510" s="160">
        <v>77029</v>
      </c>
      <c r="B10510" t="s">
        <v>25500</v>
      </c>
      <c r="C10510" t="s">
        <v>176</v>
      </c>
      <c r="D10510">
        <v>1.6</v>
      </c>
      <c r="E10510">
        <v>0</v>
      </c>
      <c r="F10510">
        <f t="shared" si="178"/>
        <v>1.6</v>
      </c>
      <c r="G10510">
        <v>1</v>
      </c>
      <c r="H10510">
        <f t="shared" si="177"/>
        <v>1.6</v>
      </c>
      <c r="I10510">
        <v>20170401</v>
      </c>
      <c r="J10510" t="s">
        <v>10712</v>
      </c>
    </row>
    <row r="10511" spans="1:13" x14ac:dyDescent="0.3">
      <c r="A10511" s="160">
        <v>77030</v>
      </c>
      <c r="B10511" t="s">
        <v>25501</v>
      </c>
      <c r="C10511" t="s">
        <v>176</v>
      </c>
      <c r="D10511">
        <v>1.6</v>
      </c>
      <c r="E10511">
        <v>0</v>
      </c>
      <c r="F10511">
        <f t="shared" si="178"/>
        <v>1.6</v>
      </c>
      <c r="G10511">
        <v>1</v>
      </c>
      <c r="H10511">
        <f t="shared" si="177"/>
        <v>1.6</v>
      </c>
      <c r="I10511">
        <v>20170401</v>
      </c>
      <c r="J10511" t="s">
        <v>10748</v>
      </c>
    </row>
    <row r="10512" spans="1:13" x14ac:dyDescent="0.3">
      <c r="A10512" s="160">
        <v>77031</v>
      </c>
      <c r="B10512" t="s">
        <v>25502</v>
      </c>
      <c r="C10512" t="s">
        <v>176</v>
      </c>
      <c r="D10512">
        <v>1.6</v>
      </c>
      <c r="E10512">
        <v>0</v>
      </c>
      <c r="F10512">
        <f t="shared" si="178"/>
        <v>1.6</v>
      </c>
      <c r="G10512">
        <v>1</v>
      </c>
      <c r="H10512">
        <f t="shared" si="177"/>
        <v>1.6</v>
      </c>
      <c r="I10512">
        <v>20170401</v>
      </c>
      <c r="J10512" t="s">
        <v>10749</v>
      </c>
    </row>
    <row r="10513" spans="1:13" x14ac:dyDescent="0.3">
      <c r="A10513" s="160">
        <v>77032</v>
      </c>
      <c r="B10513" t="s">
        <v>25503</v>
      </c>
      <c r="C10513" t="s">
        <v>176</v>
      </c>
      <c r="D10513">
        <v>1.6</v>
      </c>
      <c r="E10513">
        <v>0</v>
      </c>
      <c r="F10513">
        <f t="shared" si="178"/>
        <v>1.6</v>
      </c>
      <c r="G10513">
        <v>1</v>
      </c>
      <c r="H10513">
        <f t="shared" si="177"/>
        <v>1.6</v>
      </c>
      <c r="I10513">
        <v>20240101</v>
      </c>
      <c r="J10513" t="s">
        <v>10750</v>
      </c>
    </row>
    <row r="10514" spans="1:13" x14ac:dyDescent="0.3">
      <c r="A10514" s="160">
        <v>77033</v>
      </c>
      <c r="B10514" t="s">
        <v>25504</v>
      </c>
      <c r="C10514" t="s">
        <v>176</v>
      </c>
      <c r="D10514">
        <v>1.6</v>
      </c>
      <c r="E10514">
        <v>0</v>
      </c>
      <c r="F10514">
        <f t="shared" si="178"/>
        <v>1.6</v>
      </c>
      <c r="G10514">
        <v>1</v>
      </c>
      <c r="H10514">
        <f t="shared" si="177"/>
        <v>1.6</v>
      </c>
      <c r="I10514">
        <v>20170401</v>
      </c>
      <c r="J10514" t="s">
        <v>10743</v>
      </c>
    </row>
    <row r="10515" spans="1:13" x14ac:dyDescent="0.3">
      <c r="A10515" s="160">
        <v>77034</v>
      </c>
      <c r="B10515" t="s">
        <v>25505</v>
      </c>
      <c r="C10515" t="s">
        <v>176</v>
      </c>
      <c r="D10515">
        <v>1.6</v>
      </c>
      <c r="E10515">
        <v>0</v>
      </c>
      <c r="F10515">
        <f t="shared" si="178"/>
        <v>1.6</v>
      </c>
      <c r="G10515">
        <v>1</v>
      </c>
      <c r="H10515">
        <f t="shared" si="177"/>
        <v>1.6</v>
      </c>
      <c r="I10515">
        <v>20170401</v>
      </c>
      <c r="J10515" t="s">
        <v>10751</v>
      </c>
      <c r="K10515" t="s">
        <v>10752</v>
      </c>
    </row>
    <row r="10516" spans="1:13" x14ac:dyDescent="0.3">
      <c r="A10516" s="160">
        <v>77035</v>
      </c>
      <c r="B10516" t="s">
        <v>25506</v>
      </c>
      <c r="C10516" t="s">
        <v>176</v>
      </c>
      <c r="D10516">
        <v>1.6</v>
      </c>
      <c r="E10516">
        <v>0</v>
      </c>
      <c r="F10516">
        <f t="shared" si="178"/>
        <v>1.6</v>
      </c>
      <c r="G10516">
        <v>1</v>
      </c>
      <c r="H10516">
        <f t="shared" si="177"/>
        <v>1.6</v>
      </c>
      <c r="I10516">
        <v>20170401</v>
      </c>
      <c r="J10516" t="s">
        <v>10753</v>
      </c>
    </row>
    <row r="10517" spans="1:13" x14ac:dyDescent="0.3">
      <c r="A10517" s="160">
        <v>77036</v>
      </c>
      <c r="B10517" t="s">
        <v>25507</v>
      </c>
      <c r="C10517" t="s">
        <v>176</v>
      </c>
      <c r="D10517">
        <v>1.6</v>
      </c>
      <c r="E10517">
        <v>0</v>
      </c>
      <c r="F10517">
        <f t="shared" si="178"/>
        <v>1.6</v>
      </c>
      <c r="G10517">
        <v>1</v>
      </c>
      <c r="H10517">
        <f t="shared" si="177"/>
        <v>1.6</v>
      </c>
      <c r="I10517">
        <v>20170401</v>
      </c>
      <c r="J10517" t="s">
        <v>10743</v>
      </c>
    </row>
    <row r="10518" spans="1:13" x14ac:dyDescent="0.3">
      <c r="A10518" s="160">
        <v>77037</v>
      </c>
      <c r="B10518" t="s">
        <v>17660</v>
      </c>
      <c r="C10518" t="s">
        <v>176</v>
      </c>
      <c r="D10518">
        <v>1.6</v>
      </c>
      <c r="E10518">
        <v>0</v>
      </c>
      <c r="F10518">
        <f t="shared" si="178"/>
        <v>1.6</v>
      </c>
      <c r="G10518">
        <v>1</v>
      </c>
      <c r="H10518">
        <f t="shared" si="177"/>
        <v>1.6</v>
      </c>
      <c r="I10518">
        <v>20170401</v>
      </c>
      <c r="J10518" t="s">
        <v>10751</v>
      </c>
      <c r="K10518" t="s">
        <v>10754</v>
      </c>
    </row>
    <row r="10519" spans="1:13" x14ac:dyDescent="0.3">
      <c r="A10519" s="160">
        <v>77038</v>
      </c>
      <c r="B10519" t="s">
        <v>25508</v>
      </c>
      <c r="C10519" t="s">
        <v>176</v>
      </c>
      <c r="D10519">
        <v>1.6</v>
      </c>
      <c r="E10519">
        <v>0</v>
      </c>
      <c r="F10519">
        <f t="shared" si="178"/>
        <v>1.6</v>
      </c>
      <c r="G10519">
        <v>1</v>
      </c>
      <c r="H10519">
        <f t="shared" si="177"/>
        <v>1.6</v>
      </c>
      <c r="I10519">
        <v>20170401</v>
      </c>
      <c r="J10519" t="s">
        <v>10755</v>
      </c>
    </row>
    <row r="10520" spans="1:13" x14ac:dyDescent="0.3">
      <c r="A10520" s="160">
        <v>77039</v>
      </c>
      <c r="B10520" t="s">
        <v>25509</v>
      </c>
      <c r="C10520" t="s">
        <v>176</v>
      </c>
      <c r="D10520">
        <v>1.6</v>
      </c>
      <c r="E10520">
        <v>0</v>
      </c>
      <c r="F10520">
        <f t="shared" si="178"/>
        <v>1.6</v>
      </c>
      <c r="G10520">
        <v>1</v>
      </c>
      <c r="H10520">
        <f t="shared" si="177"/>
        <v>1.6</v>
      </c>
      <c r="I10520">
        <v>20170401</v>
      </c>
      <c r="J10520" t="s">
        <v>10755</v>
      </c>
    </row>
    <row r="10521" spans="1:13" x14ac:dyDescent="0.3">
      <c r="A10521" s="160">
        <v>77040</v>
      </c>
      <c r="B10521" t="s">
        <v>25510</v>
      </c>
      <c r="C10521" t="s">
        <v>176</v>
      </c>
      <c r="D10521">
        <v>2.0099999999999998</v>
      </c>
      <c r="E10521">
        <v>0</v>
      </c>
      <c r="F10521">
        <f t="shared" si="178"/>
        <v>2.0099999999999998</v>
      </c>
      <c r="G10521">
        <v>1</v>
      </c>
      <c r="H10521">
        <f t="shared" si="177"/>
        <v>2.0099999999999998</v>
      </c>
      <c r="I10521">
        <v>20170401</v>
      </c>
      <c r="J10521" t="s">
        <v>10756</v>
      </c>
      <c r="K10521" t="s">
        <v>10757</v>
      </c>
      <c r="L10521" t="s">
        <v>10758</v>
      </c>
      <c r="M10521" t="s">
        <v>10759</v>
      </c>
    </row>
    <row r="10522" spans="1:13" x14ac:dyDescent="0.3">
      <c r="A10522" s="160">
        <v>77041</v>
      </c>
      <c r="B10522" t="s">
        <v>25511</v>
      </c>
      <c r="C10522" t="s">
        <v>176</v>
      </c>
      <c r="D10522">
        <v>1.6</v>
      </c>
      <c r="E10522">
        <v>0</v>
      </c>
      <c r="F10522">
        <f t="shared" si="178"/>
        <v>1.6</v>
      </c>
      <c r="G10522">
        <v>1</v>
      </c>
      <c r="H10522">
        <f t="shared" si="177"/>
        <v>1.6</v>
      </c>
      <c r="I10522">
        <v>20170401</v>
      </c>
      <c r="J10522" t="s">
        <v>10710</v>
      </c>
    </row>
    <row r="10523" spans="1:13" x14ac:dyDescent="0.3">
      <c r="A10523" s="160">
        <v>77042</v>
      </c>
      <c r="B10523" t="s">
        <v>25512</v>
      </c>
      <c r="C10523" t="s">
        <v>176</v>
      </c>
      <c r="D10523">
        <v>1.6</v>
      </c>
      <c r="E10523">
        <v>0</v>
      </c>
      <c r="F10523">
        <f t="shared" si="178"/>
        <v>1.6</v>
      </c>
      <c r="G10523">
        <v>1</v>
      </c>
      <c r="H10523">
        <f t="shared" si="177"/>
        <v>1.6</v>
      </c>
      <c r="I10523">
        <v>20170401</v>
      </c>
      <c r="J10523" t="s">
        <v>10760</v>
      </c>
    </row>
    <row r="10524" spans="1:13" x14ac:dyDescent="0.3">
      <c r="A10524" s="160">
        <v>77043</v>
      </c>
      <c r="B10524" t="s">
        <v>25513</v>
      </c>
      <c r="C10524" t="s">
        <v>176</v>
      </c>
      <c r="D10524">
        <v>1.6</v>
      </c>
      <c r="E10524">
        <v>0</v>
      </c>
      <c r="F10524">
        <f t="shared" si="178"/>
        <v>1.6</v>
      </c>
      <c r="G10524">
        <v>1</v>
      </c>
      <c r="H10524">
        <f t="shared" si="177"/>
        <v>1.6</v>
      </c>
      <c r="I10524">
        <v>20170401</v>
      </c>
      <c r="J10524" t="s">
        <v>10747</v>
      </c>
    </row>
    <row r="10525" spans="1:13" x14ac:dyDescent="0.3">
      <c r="A10525" s="160">
        <v>77044</v>
      </c>
      <c r="B10525" t="s">
        <v>25514</v>
      </c>
      <c r="C10525" t="s">
        <v>176</v>
      </c>
      <c r="D10525">
        <v>1.6</v>
      </c>
      <c r="E10525">
        <v>0</v>
      </c>
      <c r="F10525">
        <f t="shared" si="178"/>
        <v>1.6</v>
      </c>
      <c r="G10525">
        <v>1</v>
      </c>
      <c r="H10525">
        <f t="shared" si="177"/>
        <v>1.6</v>
      </c>
      <c r="I10525">
        <v>20170401</v>
      </c>
      <c r="J10525" t="s">
        <v>10720</v>
      </c>
    </row>
    <row r="10526" spans="1:13" x14ac:dyDescent="0.3">
      <c r="A10526" s="160">
        <v>77045</v>
      </c>
      <c r="B10526" t="s">
        <v>25515</v>
      </c>
      <c r="C10526" t="s">
        <v>176</v>
      </c>
      <c r="D10526">
        <v>1.6</v>
      </c>
      <c r="E10526">
        <v>0</v>
      </c>
      <c r="F10526">
        <f t="shared" si="178"/>
        <v>1.6</v>
      </c>
      <c r="G10526">
        <v>1</v>
      </c>
      <c r="H10526">
        <f t="shared" si="177"/>
        <v>1.6</v>
      </c>
      <c r="I10526">
        <v>20170401</v>
      </c>
      <c r="J10526" t="s">
        <v>10722</v>
      </c>
    </row>
    <row r="10527" spans="1:13" x14ac:dyDescent="0.3">
      <c r="A10527" s="160">
        <v>77046</v>
      </c>
      <c r="B10527" t="s">
        <v>25516</v>
      </c>
      <c r="C10527" t="s">
        <v>176</v>
      </c>
      <c r="D10527">
        <v>1.6</v>
      </c>
      <c r="E10527">
        <v>0</v>
      </c>
      <c r="F10527">
        <f t="shared" si="178"/>
        <v>1.6</v>
      </c>
      <c r="G10527">
        <v>1</v>
      </c>
      <c r="H10527">
        <f t="shared" si="177"/>
        <v>1.6</v>
      </c>
      <c r="I10527">
        <v>20170401</v>
      </c>
      <c r="J10527" t="s">
        <v>10710</v>
      </c>
    </row>
    <row r="10528" spans="1:13" x14ac:dyDescent="0.3">
      <c r="A10528" s="160">
        <v>77047</v>
      </c>
      <c r="B10528" t="s">
        <v>25517</v>
      </c>
      <c r="C10528" t="s">
        <v>176</v>
      </c>
      <c r="D10528">
        <v>1.6</v>
      </c>
      <c r="E10528">
        <v>0</v>
      </c>
      <c r="F10528">
        <f t="shared" si="178"/>
        <v>1.6</v>
      </c>
      <c r="G10528">
        <v>1</v>
      </c>
      <c r="H10528">
        <f t="shared" si="177"/>
        <v>1.6</v>
      </c>
      <c r="I10528">
        <v>20170401</v>
      </c>
      <c r="J10528" t="s">
        <v>10761</v>
      </c>
      <c r="K10528" t="s">
        <v>10762</v>
      </c>
    </row>
    <row r="10529" spans="1:17" x14ac:dyDescent="0.3">
      <c r="A10529" s="160">
        <v>77048</v>
      </c>
      <c r="B10529" t="s">
        <v>25518</v>
      </c>
      <c r="C10529" t="s">
        <v>176</v>
      </c>
      <c r="D10529">
        <v>1.6</v>
      </c>
      <c r="E10529">
        <v>0</v>
      </c>
      <c r="F10529">
        <f t="shared" si="178"/>
        <v>1.6</v>
      </c>
      <c r="G10529">
        <v>1</v>
      </c>
      <c r="H10529">
        <f t="shared" si="177"/>
        <v>1.6</v>
      </c>
      <c r="I10529">
        <v>20170401</v>
      </c>
      <c r="J10529" t="s">
        <v>10763</v>
      </c>
    </row>
    <row r="10530" spans="1:17" x14ac:dyDescent="0.3">
      <c r="A10530" s="160">
        <v>77049</v>
      </c>
      <c r="B10530" t="s">
        <v>25519</v>
      </c>
      <c r="C10530" t="s">
        <v>176</v>
      </c>
      <c r="D10530">
        <v>1.6</v>
      </c>
      <c r="E10530">
        <v>0</v>
      </c>
      <c r="F10530">
        <f t="shared" si="178"/>
        <v>1.6</v>
      </c>
      <c r="G10530">
        <v>1</v>
      </c>
      <c r="H10530">
        <f t="shared" si="177"/>
        <v>1.6</v>
      </c>
      <c r="I10530">
        <v>20170401</v>
      </c>
      <c r="J10530" t="s">
        <v>10764</v>
      </c>
    </row>
    <row r="10531" spans="1:17" x14ac:dyDescent="0.3">
      <c r="A10531" s="160">
        <v>77050</v>
      </c>
      <c r="B10531" t="s">
        <v>25520</v>
      </c>
      <c r="C10531" t="s">
        <v>176</v>
      </c>
      <c r="D10531">
        <v>1.6</v>
      </c>
      <c r="E10531">
        <v>0</v>
      </c>
      <c r="F10531">
        <f t="shared" si="178"/>
        <v>1.6</v>
      </c>
      <c r="G10531">
        <v>1</v>
      </c>
      <c r="H10531">
        <f t="shared" si="177"/>
        <v>1.6</v>
      </c>
      <c r="I10531">
        <v>20170401</v>
      </c>
      <c r="J10531" t="s">
        <v>10765</v>
      </c>
    </row>
    <row r="10532" spans="1:17" x14ac:dyDescent="0.3">
      <c r="A10532" s="160">
        <v>77051</v>
      </c>
      <c r="B10532" t="s">
        <v>25521</v>
      </c>
      <c r="C10532" t="s">
        <v>176</v>
      </c>
      <c r="D10532">
        <v>1.6</v>
      </c>
      <c r="E10532">
        <v>0</v>
      </c>
      <c r="F10532">
        <f t="shared" si="178"/>
        <v>1.6</v>
      </c>
      <c r="G10532">
        <v>1</v>
      </c>
      <c r="H10532">
        <f t="shared" si="177"/>
        <v>1.6</v>
      </c>
      <c r="I10532">
        <v>20170401</v>
      </c>
      <c r="J10532" t="s">
        <v>10734</v>
      </c>
    </row>
    <row r="10533" spans="1:17" x14ac:dyDescent="0.3">
      <c r="A10533" s="160">
        <v>77052</v>
      </c>
      <c r="B10533" t="s">
        <v>25522</v>
      </c>
      <c r="C10533" t="s">
        <v>176</v>
      </c>
      <c r="D10533">
        <v>1.6</v>
      </c>
      <c r="E10533">
        <v>0</v>
      </c>
      <c r="F10533">
        <f t="shared" si="178"/>
        <v>1.6</v>
      </c>
      <c r="G10533">
        <v>1</v>
      </c>
      <c r="H10533">
        <f t="shared" si="177"/>
        <v>1.6</v>
      </c>
      <c r="I10533">
        <v>20170401</v>
      </c>
      <c r="J10533" t="s">
        <v>10720</v>
      </c>
      <c r="K10533" t="s">
        <v>10766</v>
      </c>
    </row>
    <row r="10534" spans="1:17" x14ac:dyDescent="0.3">
      <c r="A10534" s="160">
        <v>77053</v>
      </c>
      <c r="B10534" t="s">
        <v>25523</v>
      </c>
      <c r="C10534" t="s">
        <v>176</v>
      </c>
      <c r="D10534">
        <v>1.6</v>
      </c>
      <c r="E10534">
        <v>0</v>
      </c>
      <c r="F10534">
        <f t="shared" si="178"/>
        <v>1.6</v>
      </c>
      <c r="G10534">
        <v>1</v>
      </c>
      <c r="H10534">
        <f t="shared" si="177"/>
        <v>1.6</v>
      </c>
      <c r="I10534">
        <v>20170401</v>
      </c>
      <c r="J10534" t="s">
        <v>10767</v>
      </c>
      <c r="K10534" t="s">
        <v>10768</v>
      </c>
      <c r="L10534" t="s">
        <v>10769</v>
      </c>
      <c r="M10534" t="s">
        <v>10770</v>
      </c>
      <c r="N10534" t="s">
        <v>10771</v>
      </c>
      <c r="O10534" t="s">
        <v>10772</v>
      </c>
      <c r="P10534" t="s">
        <v>10773</v>
      </c>
      <c r="Q10534" t="s">
        <v>10774</v>
      </c>
    </row>
    <row r="10535" spans="1:17" x14ac:dyDescent="0.3">
      <c r="A10535" s="160">
        <v>77054</v>
      </c>
      <c r="B10535" t="s">
        <v>25524</v>
      </c>
      <c r="C10535" t="s">
        <v>176</v>
      </c>
      <c r="D10535">
        <v>1.6</v>
      </c>
      <c r="E10535">
        <v>0</v>
      </c>
      <c r="F10535">
        <f t="shared" si="178"/>
        <v>1.6</v>
      </c>
      <c r="G10535">
        <v>1</v>
      </c>
      <c r="H10535">
        <f t="shared" si="177"/>
        <v>1.6</v>
      </c>
      <c r="I10535">
        <v>20170401</v>
      </c>
      <c r="J10535" t="s">
        <v>10753</v>
      </c>
    </row>
    <row r="10536" spans="1:17" x14ac:dyDescent="0.3">
      <c r="A10536" s="160">
        <v>77055</v>
      </c>
      <c r="B10536" t="s">
        <v>25525</v>
      </c>
      <c r="C10536" t="s">
        <v>176</v>
      </c>
      <c r="D10536">
        <v>2.0099999999999998</v>
      </c>
      <c r="E10536">
        <v>0</v>
      </c>
      <c r="F10536">
        <f t="shared" si="178"/>
        <v>2.0099999999999998</v>
      </c>
      <c r="G10536">
        <v>1</v>
      </c>
      <c r="H10536">
        <f t="shared" si="177"/>
        <v>2.0099999999999998</v>
      </c>
      <c r="I10536">
        <v>20170401</v>
      </c>
      <c r="J10536" t="s">
        <v>10775</v>
      </c>
      <c r="K10536" t="s">
        <v>10776</v>
      </c>
    </row>
    <row r="10537" spans="1:17" x14ac:dyDescent="0.3">
      <c r="A10537" s="160">
        <v>77056</v>
      </c>
      <c r="B10537" t="s">
        <v>25526</v>
      </c>
      <c r="C10537" t="s">
        <v>176</v>
      </c>
      <c r="D10537">
        <v>1.6</v>
      </c>
      <c r="E10537">
        <v>0</v>
      </c>
      <c r="F10537">
        <f t="shared" si="178"/>
        <v>1.6</v>
      </c>
      <c r="G10537">
        <v>1</v>
      </c>
      <c r="H10537">
        <f t="shared" si="177"/>
        <v>1.6</v>
      </c>
      <c r="I10537">
        <v>20170401</v>
      </c>
      <c r="J10537" t="s">
        <v>10710</v>
      </c>
    </row>
    <row r="10538" spans="1:17" x14ac:dyDescent="0.3">
      <c r="A10538" s="160">
        <v>77057</v>
      </c>
      <c r="B10538" t="s">
        <v>24750</v>
      </c>
      <c r="C10538" t="s">
        <v>176</v>
      </c>
      <c r="D10538">
        <v>1.6</v>
      </c>
      <c r="E10538">
        <v>0</v>
      </c>
      <c r="F10538">
        <f t="shared" si="178"/>
        <v>1.6</v>
      </c>
      <c r="G10538">
        <v>1</v>
      </c>
      <c r="H10538">
        <f t="shared" si="177"/>
        <v>1.6</v>
      </c>
      <c r="I10538">
        <v>20170401</v>
      </c>
      <c r="J10538" t="s">
        <v>10747</v>
      </c>
    </row>
    <row r="10539" spans="1:17" x14ac:dyDescent="0.3">
      <c r="A10539" s="160">
        <v>77058</v>
      </c>
      <c r="B10539" t="s">
        <v>25527</v>
      </c>
      <c r="C10539" t="s">
        <v>176</v>
      </c>
      <c r="D10539">
        <v>2.0099999999999998</v>
      </c>
      <c r="E10539">
        <v>0</v>
      </c>
      <c r="F10539">
        <f t="shared" si="178"/>
        <v>2.0099999999999998</v>
      </c>
      <c r="G10539">
        <v>1</v>
      </c>
      <c r="H10539">
        <f t="shared" si="177"/>
        <v>2.0099999999999998</v>
      </c>
      <c r="I10539">
        <v>20170401</v>
      </c>
      <c r="J10539" t="s">
        <v>10777</v>
      </c>
      <c r="K10539" t="s">
        <v>10778</v>
      </c>
      <c r="L10539" t="s">
        <v>10779</v>
      </c>
      <c r="M10539" t="s">
        <v>10780</v>
      </c>
      <c r="N10539" t="s">
        <v>10781</v>
      </c>
      <c r="O10539" t="s">
        <v>10782</v>
      </c>
    </row>
    <row r="10540" spans="1:17" x14ac:dyDescent="0.3">
      <c r="A10540" s="160">
        <v>77059</v>
      </c>
      <c r="B10540" t="s">
        <v>25528</v>
      </c>
      <c r="C10540" t="s">
        <v>176</v>
      </c>
      <c r="D10540">
        <v>2.0099999999999998</v>
      </c>
      <c r="E10540">
        <v>0</v>
      </c>
      <c r="F10540">
        <f t="shared" si="178"/>
        <v>2.0099999999999998</v>
      </c>
      <c r="G10540">
        <v>1</v>
      </c>
      <c r="H10540">
        <f t="shared" si="177"/>
        <v>2.0099999999999998</v>
      </c>
      <c r="I10540">
        <v>20170401</v>
      </c>
      <c r="J10540" t="s">
        <v>10777</v>
      </c>
      <c r="K10540" t="s">
        <v>10778</v>
      </c>
      <c r="L10540" t="s">
        <v>10783</v>
      </c>
    </row>
    <row r="10541" spans="1:17" x14ac:dyDescent="0.3">
      <c r="A10541" s="160">
        <v>77060</v>
      </c>
      <c r="B10541" t="s">
        <v>25529</v>
      </c>
      <c r="C10541" t="s">
        <v>176</v>
      </c>
      <c r="D10541">
        <v>1.6</v>
      </c>
      <c r="E10541">
        <v>0</v>
      </c>
      <c r="F10541">
        <f t="shared" si="178"/>
        <v>1.6</v>
      </c>
      <c r="G10541">
        <v>1</v>
      </c>
      <c r="H10541">
        <f t="shared" si="177"/>
        <v>1.6</v>
      </c>
      <c r="I10541">
        <v>20170401</v>
      </c>
      <c r="J10541" t="s">
        <v>10710</v>
      </c>
    </row>
    <row r="10542" spans="1:17" x14ac:dyDescent="0.3">
      <c r="A10542" s="160">
        <v>77061</v>
      </c>
      <c r="B10542" t="s">
        <v>25530</v>
      </c>
      <c r="C10542" t="s">
        <v>176</v>
      </c>
      <c r="D10542">
        <v>1.6</v>
      </c>
      <c r="E10542">
        <v>0</v>
      </c>
      <c r="F10542">
        <f t="shared" si="178"/>
        <v>1.6</v>
      </c>
      <c r="G10542">
        <v>1</v>
      </c>
      <c r="H10542">
        <f t="shared" si="177"/>
        <v>1.6</v>
      </c>
      <c r="I10542">
        <v>20170401</v>
      </c>
      <c r="J10542" t="s">
        <v>10744</v>
      </c>
      <c r="K10542" t="s">
        <v>10784</v>
      </c>
      <c r="L10542" t="s">
        <v>10785</v>
      </c>
    </row>
    <row r="10543" spans="1:17" x14ac:dyDescent="0.3">
      <c r="A10543" s="160">
        <v>77062</v>
      </c>
      <c r="B10543" t="s">
        <v>25531</v>
      </c>
      <c r="C10543" t="s">
        <v>176</v>
      </c>
      <c r="D10543">
        <v>2.0099999999999998</v>
      </c>
      <c r="E10543">
        <v>0</v>
      </c>
      <c r="F10543">
        <f t="shared" si="178"/>
        <v>2.0099999999999998</v>
      </c>
      <c r="G10543">
        <v>1</v>
      </c>
      <c r="H10543">
        <f t="shared" si="177"/>
        <v>2.0099999999999998</v>
      </c>
      <c r="I10543">
        <v>20170401</v>
      </c>
      <c r="J10543" t="s">
        <v>10786</v>
      </c>
      <c r="K10543" t="s">
        <v>10787</v>
      </c>
    </row>
    <row r="10544" spans="1:17" x14ac:dyDescent="0.3">
      <c r="A10544" s="160">
        <v>77063</v>
      </c>
      <c r="B10544" t="s">
        <v>25532</v>
      </c>
      <c r="C10544" t="s">
        <v>176</v>
      </c>
      <c r="D10544">
        <v>1.6</v>
      </c>
      <c r="E10544">
        <v>0</v>
      </c>
      <c r="F10544">
        <f t="shared" si="178"/>
        <v>1.6</v>
      </c>
      <c r="G10544">
        <v>1</v>
      </c>
      <c r="H10544">
        <f t="shared" si="177"/>
        <v>1.6</v>
      </c>
      <c r="I10544">
        <v>20170401</v>
      </c>
      <c r="J10544" t="s">
        <v>10788</v>
      </c>
    </row>
    <row r="10545" spans="1:13" x14ac:dyDescent="0.3">
      <c r="A10545" s="160">
        <v>77065</v>
      </c>
      <c r="B10545" t="s">
        <v>25533</v>
      </c>
      <c r="C10545" t="s">
        <v>176</v>
      </c>
      <c r="D10545">
        <v>1.6</v>
      </c>
      <c r="E10545">
        <v>0</v>
      </c>
      <c r="F10545">
        <f t="shared" si="178"/>
        <v>1.6</v>
      </c>
      <c r="G10545">
        <v>1</v>
      </c>
      <c r="H10545">
        <f t="shared" si="177"/>
        <v>1.6</v>
      </c>
      <c r="I10545">
        <v>20170401</v>
      </c>
      <c r="J10545" t="s">
        <v>10789</v>
      </c>
    </row>
    <row r="10546" spans="1:13" x14ac:dyDescent="0.3">
      <c r="A10546" s="160">
        <v>77066</v>
      </c>
      <c r="B10546" t="s">
        <v>25534</v>
      </c>
      <c r="C10546" t="s">
        <v>176</v>
      </c>
      <c r="D10546">
        <v>1.6</v>
      </c>
      <c r="E10546">
        <v>0</v>
      </c>
      <c r="F10546">
        <f t="shared" si="178"/>
        <v>1.6</v>
      </c>
      <c r="G10546">
        <v>1</v>
      </c>
      <c r="H10546">
        <f t="shared" si="177"/>
        <v>1.6</v>
      </c>
      <c r="I10546">
        <v>20240101</v>
      </c>
      <c r="J10546" t="s">
        <v>10750</v>
      </c>
    </row>
    <row r="10547" spans="1:13" x14ac:dyDescent="0.3">
      <c r="A10547" s="160">
        <v>77067</v>
      </c>
      <c r="B10547" t="s">
        <v>25535</v>
      </c>
      <c r="C10547" t="s">
        <v>176</v>
      </c>
      <c r="D10547">
        <v>2.0099999999999998</v>
      </c>
      <c r="E10547">
        <v>0</v>
      </c>
      <c r="F10547">
        <f t="shared" si="178"/>
        <v>2.0099999999999998</v>
      </c>
      <c r="G10547">
        <v>1</v>
      </c>
      <c r="H10547">
        <f t="shared" ref="H10547:H10610" si="179">G10547*F10547</f>
        <v>2.0099999999999998</v>
      </c>
      <c r="I10547">
        <v>20170401</v>
      </c>
      <c r="J10547" t="s">
        <v>10790</v>
      </c>
      <c r="K10547" t="s">
        <v>10791</v>
      </c>
      <c r="L10547" t="s">
        <v>10792</v>
      </c>
      <c r="M10547" t="s">
        <v>10793</v>
      </c>
    </row>
    <row r="10548" spans="1:13" x14ac:dyDescent="0.3">
      <c r="A10548" s="160">
        <v>77068</v>
      </c>
      <c r="B10548" t="s">
        <v>25536</v>
      </c>
      <c r="C10548" t="s">
        <v>176</v>
      </c>
      <c r="D10548">
        <v>1.6</v>
      </c>
      <c r="E10548">
        <v>0</v>
      </c>
      <c r="F10548">
        <f t="shared" si="178"/>
        <v>1.6</v>
      </c>
      <c r="G10548">
        <v>1</v>
      </c>
      <c r="H10548">
        <f t="shared" si="179"/>
        <v>1.6</v>
      </c>
      <c r="I10548">
        <v>20170401</v>
      </c>
      <c r="J10548" t="s">
        <v>10794</v>
      </c>
    </row>
    <row r="10549" spans="1:13" x14ac:dyDescent="0.3">
      <c r="A10549" s="160">
        <v>77069</v>
      </c>
      <c r="B10549" t="s">
        <v>25537</v>
      </c>
      <c r="C10549" t="s">
        <v>176</v>
      </c>
      <c r="D10549">
        <v>1.6</v>
      </c>
      <c r="E10549">
        <v>0</v>
      </c>
      <c r="F10549">
        <f t="shared" si="178"/>
        <v>1.6</v>
      </c>
      <c r="G10549">
        <v>1</v>
      </c>
      <c r="H10549">
        <f t="shared" si="179"/>
        <v>1.6</v>
      </c>
      <c r="I10549">
        <v>20170401</v>
      </c>
      <c r="J10549" t="s">
        <v>10789</v>
      </c>
      <c r="K10549" t="s">
        <v>10795</v>
      </c>
      <c r="L10549" t="s">
        <v>10796</v>
      </c>
    </row>
    <row r="10550" spans="1:13" x14ac:dyDescent="0.3">
      <c r="A10550" s="160">
        <v>77070</v>
      </c>
      <c r="B10550" t="s">
        <v>25538</v>
      </c>
      <c r="C10550" t="s">
        <v>176</v>
      </c>
      <c r="D10550">
        <v>1.6</v>
      </c>
      <c r="E10550">
        <v>0</v>
      </c>
      <c r="F10550">
        <f t="shared" si="178"/>
        <v>1.6</v>
      </c>
      <c r="G10550">
        <v>1</v>
      </c>
      <c r="H10550">
        <f t="shared" si="179"/>
        <v>1.6</v>
      </c>
      <c r="I10550">
        <v>20170401</v>
      </c>
      <c r="J10550" t="s">
        <v>10711</v>
      </c>
      <c r="K10550" t="s">
        <v>10797</v>
      </c>
    </row>
    <row r="10551" spans="1:13" x14ac:dyDescent="0.3">
      <c r="A10551" s="160">
        <v>77071</v>
      </c>
      <c r="B10551" t="s">
        <v>25539</v>
      </c>
      <c r="C10551" t="s">
        <v>176</v>
      </c>
      <c r="D10551">
        <v>1.6</v>
      </c>
      <c r="E10551">
        <v>0</v>
      </c>
      <c r="F10551">
        <f t="shared" si="178"/>
        <v>1.6</v>
      </c>
      <c r="G10551">
        <v>1</v>
      </c>
      <c r="H10551">
        <f t="shared" si="179"/>
        <v>1.6</v>
      </c>
      <c r="I10551">
        <v>20170401</v>
      </c>
      <c r="J10551" t="s">
        <v>10798</v>
      </c>
    </row>
    <row r="10552" spans="1:13" x14ac:dyDescent="0.3">
      <c r="A10552" s="160">
        <v>77072</v>
      </c>
      <c r="B10552" t="s">
        <v>25540</v>
      </c>
      <c r="C10552" t="s">
        <v>176</v>
      </c>
      <c r="D10552">
        <v>1.6</v>
      </c>
      <c r="E10552">
        <v>0</v>
      </c>
      <c r="F10552">
        <f t="shared" si="178"/>
        <v>1.6</v>
      </c>
      <c r="G10552">
        <v>1</v>
      </c>
      <c r="H10552">
        <f t="shared" si="179"/>
        <v>1.6</v>
      </c>
      <c r="I10552">
        <v>20240101</v>
      </c>
      <c r="J10552" t="s">
        <v>10799</v>
      </c>
    </row>
    <row r="10553" spans="1:13" x14ac:dyDescent="0.3">
      <c r="A10553" s="160">
        <v>77073</v>
      </c>
      <c r="B10553" t="s">
        <v>25541</v>
      </c>
      <c r="C10553" t="s">
        <v>176</v>
      </c>
      <c r="D10553">
        <v>1.6</v>
      </c>
      <c r="E10553">
        <v>0</v>
      </c>
      <c r="F10553">
        <f t="shared" si="178"/>
        <v>1.6</v>
      </c>
      <c r="G10553">
        <v>1</v>
      </c>
      <c r="H10553">
        <f t="shared" si="179"/>
        <v>1.6</v>
      </c>
      <c r="I10553">
        <v>20170401</v>
      </c>
      <c r="J10553" t="s">
        <v>10800</v>
      </c>
      <c r="K10553" t="s">
        <v>10801</v>
      </c>
      <c r="L10553" t="s">
        <v>10802</v>
      </c>
    </row>
    <row r="10554" spans="1:13" x14ac:dyDescent="0.3">
      <c r="A10554" s="160">
        <v>77075</v>
      </c>
      <c r="B10554" t="s">
        <v>25542</v>
      </c>
      <c r="C10554" t="s">
        <v>176</v>
      </c>
      <c r="D10554">
        <v>2.0099999999999998</v>
      </c>
      <c r="E10554">
        <v>0</v>
      </c>
      <c r="F10554">
        <f t="shared" si="178"/>
        <v>2.0099999999999998</v>
      </c>
      <c r="G10554">
        <v>1</v>
      </c>
      <c r="H10554">
        <f t="shared" si="179"/>
        <v>2.0099999999999998</v>
      </c>
      <c r="I10554">
        <v>20170401</v>
      </c>
      <c r="J10554" t="s">
        <v>10803</v>
      </c>
      <c r="K10554" t="s">
        <v>10804</v>
      </c>
    </row>
    <row r="10555" spans="1:13" x14ac:dyDescent="0.3">
      <c r="A10555" s="160">
        <v>77076</v>
      </c>
      <c r="B10555" t="s">
        <v>25543</v>
      </c>
      <c r="C10555" t="s">
        <v>176</v>
      </c>
      <c r="D10555">
        <v>1.6</v>
      </c>
      <c r="E10555">
        <v>0</v>
      </c>
      <c r="F10555">
        <f t="shared" si="178"/>
        <v>1.6</v>
      </c>
      <c r="G10555">
        <v>1</v>
      </c>
      <c r="H10555">
        <f t="shared" si="179"/>
        <v>1.6</v>
      </c>
      <c r="I10555">
        <v>20170401</v>
      </c>
      <c r="J10555" t="s">
        <v>10805</v>
      </c>
    </row>
    <row r="10556" spans="1:13" x14ac:dyDescent="0.3">
      <c r="A10556" s="160">
        <v>77077</v>
      </c>
      <c r="B10556" t="s">
        <v>15373</v>
      </c>
      <c r="C10556" t="s">
        <v>176</v>
      </c>
      <c r="D10556">
        <v>1.6</v>
      </c>
      <c r="E10556">
        <v>0</v>
      </c>
      <c r="F10556">
        <f t="shared" si="178"/>
        <v>1.6</v>
      </c>
      <c r="G10556">
        <v>1</v>
      </c>
      <c r="H10556">
        <f t="shared" si="179"/>
        <v>1.6</v>
      </c>
      <c r="I10556">
        <v>20170401</v>
      </c>
      <c r="J10556" t="s">
        <v>10746</v>
      </c>
    </row>
    <row r="10557" spans="1:13" x14ac:dyDescent="0.3">
      <c r="A10557" s="160">
        <v>77078</v>
      </c>
      <c r="B10557" t="s">
        <v>25544</v>
      </c>
      <c r="C10557" t="s">
        <v>176</v>
      </c>
      <c r="D10557">
        <v>1.6</v>
      </c>
      <c r="E10557">
        <v>0</v>
      </c>
      <c r="F10557">
        <f t="shared" si="178"/>
        <v>1.6</v>
      </c>
      <c r="G10557">
        <v>1</v>
      </c>
      <c r="H10557">
        <f t="shared" si="179"/>
        <v>1.6</v>
      </c>
      <c r="I10557">
        <v>20170401</v>
      </c>
      <c r="J10557" t="s">
        <v>10806</v>
      </c>
      <c r="K10557" t="s">
        <v>10807</v>
      </c>
    </row>
    <row r="10558" spans="1:13" x14ac:dyDescent="0.3">
      <c r="A10558" s="160">
        <v>77079</v>
      </c>
      <c r="B10558" t="s">
        <v>25545</v>
      </c>
      <c r="C10558" t="s">
        <v>176</v>
      </c>
      <c r="D10558">
        <v>1.6</v>
      </c>
      <c r="E10558">
        <v>0</v>
      </c>
      <c r="F10558">
        <f t="shared" si="178"/>
        <v>1.6</v>
      </c>
      <c r="G10558">
        <v>1</v>
      </c>
      <c r="H10558">
        <f t="shared" si="179"/>
        <v>1.6</v>
      </c>
      <c r="I10558">
        <v>20170401</v>
      </c>
      <c r="J10558" t="s">
        <v>10808</v>
      </c>
      <c r="K10558" t="s">
        <v>10809</v>
      </c>
      <c r="L10558" t="s">
        <v>10810</v>
      </c>
    </row>
    <row r="10559" spans="1:13" x14ac:dyDescent="0.3">
      <c r="A10559" s="160">
        <v>77080</v>
      </c>
      <c r="B10559" t="s">
        <v>25546</v>
      </c>
      <c r="C10559" t="s">
        <v>176</v>
      </c>
      <c r="D10559">
        <v>1.6</v>
      </c>
      <c r="E10559">
        <v>0</v>
      </c>
      <c r="F10559">
        <f t="shared" si="178"/>
        <v>1.6</v>
      </c>
      <c r="G10559">
        <v>1</v>
      </c>
      <c r="H10559">
        <f t="shared" si="179"/>
        <v>1.6</v>
      </c>
      <c r="I10559">
        <v>20240101</v>
      </c>
      <c r="J10559" t="s">
        <v>10723</v>
      </c>
    </row>
    <row r="10560" spans="1:13" x14ac:dyDescent="0.3">
      <c r="A10560" s="160">
        <v>77081</v>
      </c>
      <c r="B10560" t="s">
        <v>25547</v>
      </c>
      <c r="C10560" t="s">
        <v>176</v>
      </c>
      <c r="D10560">
        <v>1.6</v>
      </c>
      <c r="E10560">
        <v>0</v>
      </c>
      <c r="F10560">
        <f t="shared" si="178"/>
        <v>1.6</v>
      </c>
      <c r="G10560">
        <v>1</v>
      </c>
      <c r="H10560">
        <f t="shared" si="179"/>
        <v>1.6</v>
      </c>
      <c r="I10560">
        <v>20170401</v>
      </c>
      <c r="J10560" t="s">
        <v>10712</v>
      </c>
    </row>
    <row r="10561" spans="1:22" x14ac:dyDescent="0.3">
      <c r="A10561" s="160">
        <v>77082</v>
      </c>
      <c r="B10561" t="s">
        <v>19225</v>
      </c>
      <c r="C10561" t="s">
        <v>176</v>
      </c>
      <c r="D10561">
        <v>1.6</v>
      </c>
      <c r="E10561">
        <v>0</v>
      </c>
      <c r="F10561">
        <f t="shared" si="178"/>
        <v>1.6</v>
      </c>
      <c r="G10561">
        <v>1</v>
      </c>
      <c r="H10561">
        <f t="shared" si="179"/>
        <v>1.6</v>
      </c>
      <c r="I10561">
        <v>20170401</v>
      </c>
      <c r="J10561" t="s">
        <v>10720</v>
      </c>
    </row>
    <row r="10562" spans="1:22" x14ac:dyDescent="0.3">
      <c r="A10562" s="160">
        <v>77083</v>
      </c>
      <c r="B10562" t="s">
        <v>25548</v>
      </c>
      <c r="C10562" t="s">
        <v>176</v>
      </c>
      <c r="D10562">
        <v>2.0099999999999998</v>
      </c>
      <c r="E10562">
        <v>0</v>
      </c>
      <c r="F10562">
        <f t="shared" si="178"/>
        <v>2.0099999999999998</v>
      </c>
      <c r="G10562">
        <v>1</v>
      </c>
      <c r="H10562">
        <f t="shared" si="179"/>
        <v>2.0099999999999998</v>
      </c>
      <c r="I10562">
        <v>20170401</v>
      </c>
      <c r="J10562" t="s">
        <v>10811</v>
      </c>
      <c r="K10562" t="s">
        <v>10812</v>
      </c>
      <c r="L10562" t="s">
        <v>10813</v>
      </c>
      <c r="M10562" t="s">
        <v>10814</v>
      </c>
      <c r="N10562" t="s">
        <v>10815</v>
      </c>
      <c r="O10562" t="s">
        <v>10816</v>
      </c>
      <c r="P10562" t="s">
        <v>10817</v>
      </c>
      <c r="Q10562" t="s">
        <v>10818</v>
      </c>
      <c r="R10562" t="s">
        <v>10819</v>
      </c>
      <c r="S10562" t="s">
        <v>10820</v>
      </c>
      <c r="T10562" t="s">
        <v>10821</v>
      </c>
      <c r="U10562" t="s">
        <v>10822</v>
      </c>
      <c r="V10562" t="s">
        <v>10823</v>
      </c>
    </row>
    <row r="10563" spans="1:22" x14ac:dyDescent="0.3">
      <c r="A10563" s="160">
        <v>77084</v>
      </c>
      <c r="B10563" t="s">
        <v>25549</v>
      </c>
      <c r="C10563" t="s">
        <v>176</v>
      </c>
      <c r="D10563">
        <v>1.6</v>
      </c>
      <c r="E10563">
        <v>0</v>
      </c>
      <c r="F10563">
        <f t="shared" si="178"/>
        <v>1.6</v>
      </c>
      <c r="G10563">
        <v>1</v>
      </c>
      <c r="H10563">
        <f t="shared" si="179"/>
        <v>1.6</v>
      </c>
      <c r="I10563">
        <v>20170401</v>
      </c>
      <c r="J10563" t="s">
        <v>10824</v>
      </c>
    </row>
    <row r="10564" spans="1:22" x14ac:dyDescent="0.3">
      <c r="A10564" s="160">
        <v>77085</v>
      </c>
      <c r="B10564" t="s">
        <v>25550</v>
      </c>
      <c r="C10564" t="s">
        <v>176</v>
      </c>
      <c r="D10564">
        <v>2.0099999999999998</v>
      </c>
      <c r="E10564">
        <v>0</v>
      </c>
      <c r="F10564">
        <f t="shared" si="178"/>
        <v>2.0099999999999998</v>
      </c>
      <c r="G10564">
        <v>1</v>
      </c>
      <c r="H10564">
        <f t="shared" si="179"/>
        <v>2.0099999999999998</v>
      </c>
      <c r="I10564">
        <v>20170401</v>
      </c>
      <c r="J10564" t="s">
        <v>10777</v>
      </c>
      <c r="K10564" t="s">
        <v>10778</v>
      </c>
      <c r="L10564" t="s">
        <v>10780</v>
      </c>
    </row>
    <row r="10565" spans="1:22" x14ac:dyDescent="0.3">
      <c r="A10565" s="160">
        <v>77086</v>
      </c>
      <c r="B10565" t="s">
        <v>25551</v>
      </c>
      <c r="C10565" t="s">
        <v>176</v>
      </c>
      <c r="D10565">
        <v>1.6</v>
      </c>
      <c r="E10565">
        <v>0</v>
      </c>
      <c r="F10565">
        <f t="shared" si="178"/>
        <v>1.6</v>
      </c>
      <c r="G10565">
        <v>1</v>
      </c>
      <c r="H10565">
        <f t="shared" si="179"/>
        <v>1.6</v>
      </c>
      <c r="I10565">
        <v>20170401</v>
      </c>
      <c r="J10565" t="s">
        <v>10720</v>
      </c>
    </row>
    <row r="10566" spans="1:22" x14ac:dyDescent="0.3">
      <c r="A10566" s="160">
        <v>77087</v>
      </c>
      <c r="B10566" t="s">
        <v>25552</v>
      </c>
      <c r="C10566" t="s">
        <v>176</v>
      </c>
      <c r="D10566">
        <v>1.6</v>
      </c>
      <c r="E10566">
        <v>0</v>
      </c>
      <c r="F10566">
        <f t="shared" si="178"/>
        <v>1.6</v>
      </c>
      <c r="G10566">
        <v>1</v>
      </c>
      <c r="H10566">
        <f t="shared" si="179"/>
        <v>1.6</v>
      </c>
      <c r="I10566">
        <v>20170401</v>
      </c>
      <c r="J10566" t="s">
        <v>10749</v>
      </c>
    </row>
    <row r="10567" spans="1:22" x14ac:dyDescent="0.3">
      <c r="A10567" s="160">
        <v>77088</v>
      </c>
      <c r="B10567" t="s">
        <v>25553</v>
      </c>
      <c r="C10567" t="s">
        <v>176</v>
      </c>
      <c r="D10567">
        <v>1.6</v>
      </c>
      <c r="E10567">
        <v>0</v>
      </c>
      <c r="F10567">
        <f t="shared" ref="F10567:F10630" si="180">D10567+E10567</f>
        <v>1.6</v>
      </c>
      <c r="G10567">
        <v>1</v>
      </c>
      <c r="H10567">
        <f t="shared" si="179"/>
        <v>1.6</v>
      </c>
      <c r="I10567">
        <v>20170401</v>
      </c>
      <c r="J10567" t="s">
        <v>10710</v>
      </c>
    </row>
    <row r="10568" spans="1:22" x14ac:dyDescent="0.3">
      <c r="A10568" s="160">
        <v>77089</v>
      </c>
      <c r="B10568" t="s">
        <v>25554</v>
      </c>
      <c r="C10568" t="s">
        <v>176</v>
      </c>
      <c r="D10568">
        <v>1.6</v>
      </c>
      <c r="E10568">
        <v>0</v>
      </c>
      <c r="F10568">
        <f t="shared" si="180"/>
        <v>1.6</v>
      </c>
      <c r="G10568">
        <v>1</v>
      </c>
      <c r="H10568">
        <f t="shared" si="179"/>
        <v>1.6</v>
      </c>
      <c r="I10568">
        <v>20170401</v>
      </c>
      <c r="J10568" t="s">
        <v>10825</v>
      </c>
    </row>
    <row r="10569" spans="1:22" x14ac:dyDescent="0.3">
      <c r="A10569" s="160">
        <v>77090</v>
      </c>
      <c r="B10569" t="s">
        <v>25555</v>
      </c>
      <c r="C10569" t="s">
        <v>176</v>
      </c>
      <c r="D10569">
        <v>1.6</v>
      </c>
      <c r="E10569">
        <v>0</v>
      </c>
      <c r="F10569">
        <f t="shared" si="180"/>
        <v>1.6</v>
      </c>
      <c r="G10569">
        <v>1</v>
      </c>
      <c r="H10569">
        <f t="shared" si="179"/>
        <v>1.6</v>
      </c>
      <c r="I10569">
        <v>20170401</v>
      </c>
      <c r="J10569" t="s">
        <v>10800</v>
      </c>
    </row>
    <row r="10570" spans="1:22" x14ac:dyDescent="0.3">
      <c r="A10570" s="160">
        <v>77091</v>
      </c>
      <c r="B10570" t="s">
        <v>25556</v>
      </c>
      <c r="C10570" t="s">
        <v>176</v>
      </c>
      <c r="D10570">
        <v>1.6</v>
      </c>
      <c r="E10570">
        <v>0</v>
      </c>
      <c r="F10570">
        <f t="shared" si="180"/>
        <v>1.6</v>
      </c>
      <c r="G10570">
        <v>1</v>
      </c>
      <c r="H10570">
        <f t="shared" si="179"/>
        <v>1.6</v>
      </c>
      <c r="I10570">
        <v>20170401</v>
      </c>
      <c r="J10570" t="s">
        <v>10826</v>
      </c>
    </row>
    <row r="10571" spans="1:22" x14ac:dyDescent="0.3">
      <c r="A10571" s="160">
        <v>77093</v>
      </c>
      <c r="B10571" t="s">
        <v>25557</v>
      </c>
      <c r="C10571" t="s">
        <v>176</v>
      </c>
      <c r="D10571">
        <v>1.6</v>
      </c>
      <c r="E10571">
        <v>0</v>
      </c>
      <c r="F10571">
        <f t="shared" si="180"/>
        <v>1.6</v>
      </c>
      <c r="G10571">
        <v>1</v>
      </c>
      <c r="H10571">
        <f t="shared" si="179"/>
        <v>1.6</v>
      </c>
      <c r="I10571">
        <v>20170401</v>
      </c>
      <c r="J10571" t="s">
        <v>10750</v>
      </c>
    </row>
    <row r="10572" spans="1:22" x14ac:dyDescent="0.3">
      <c r="A10572" s="160">
        <v>77094</v>
      </c>
      <c r="B10572" t="s">
        <v>25558</v>
      </c>
      <c r="C10572" t="s">
        <v>176</v>
      </c>
      <c r="D10572">
        <v>1.6</v>
      </c>
      <c r="E10572">
        <v>0</v>
      </c>
      <c r="F10572">
        <f t="shared" si="180"/>
        <v>1.6</v>
      </c>
      <c r="G10572">
        <v>1</v>
      </c>
      <c r="H10572">
        <f t="shared" si="179"/>
        <v>1.6</v>
      </c>
      <c r="I10572">
        <v>20170401</v>
      </c>
      <c r="J10572" t="s">
        <v>10713</v>
      </c>
    </row>
    <row r="10573" spans="1:22" x14ac:dyDescent="0.3">
      <c r="A10573" s="160">
        <v>77095</v>
      </c>
      <c r="B10573" t="s">
        <v>25559</v>
      </c>
      <c r="C10573" t="s">
        <v>176</v>
      </c>
      <c r="D10573">
        <v>1.6</v>
      </c>
      <c r="E10573">
        <v>0</v>
      </c>
      <c r="F10573">
        <f t="shared" si="180"/>
        <v>1.6</v>
      </c>
      <c r="G10573">
        <v>1</v>
      </c>
      <c r="H10573">
        <f t="shared" si="179"/>
        <v>1.6</v>
      </c>
      <c r="I10573">
        <v>20170401</v>
      </c>
      <c r="J10573" t="s">
        <v>10713</v>
      </c>
    </row>
    <row r="10574" spans="1:22" x14ac:dyDescent="0.3">
      <c r="A10574" s="160">
        <v>77096</v>
      </c>
      <c r="B10574" t="s">
        <v>25560</v>
      </c>
      <c r="C10574" t="s">
        <v>176</v>
      </c>
      <c r="D10574">
        <v>1.6</v>
      </c>
      <c r="E10574">
        <v>0</v>
      </c>
      <c r="F10574">
        <f t="shared" si="180"/>
        <v>1.6</v>
      </c>
      <c r="G10574">
        <v>1</v>
      </c>
      <c r="H10574">
        <f t="shared" si="179"/>
        <v>1.6</v>
      </c>
      <c r="I10574">
        <v>20170401</v>
      </c>
      <c r="J10574" t="s">
        <v>10754</v>
      </c>
    </row>
    <row r="10575" spans="1:22" x14ac:dyDescent="0.3">
      <c r="A10575" s="160">
        <v>77097</v>
      </c>
      <c r="B10575" t="s">
        <v>25561</v>
      </c>
      <c r="C10575" t="s">
        <v>176</v>
      </c>
      <c r="D10575">
        <v>1.6</v>
      </c>
      <c r="E10575">
        <v>0</v>
      </c>
      <c r="F10575">
        <f t="shared" si="180"/>
        <v>1.6</v>
      </c>
      <c r="G10575">
        <v>1</v>
      </c>
      <c r="H10575">
        <f t="shared" si="179"/>
        <v>1.6</v>
      </c>
      <c r="I10575">
        <v>20170401</v>
      </c>
      <c r="J10575" t="s">
        <v>10750</v>
      </c>
    </row>
    <row r="10576" spans="1:22" x14ac:dyDescent="0.3">
      <c r="A10576" s="160">
        <v>77098</v>
      </c>
      <c r="B10576" t="s">
        <v>25562</v>
      </c>
      <c r="C10576" t="s">
        <v>176</v>
      </c>
      <c r="D10576">
        <v>1.6</v>
      </c>
      <c r="E10576">
        <v>0</v>
      </c>
      <c r="F10576">
        <f t="shared" si="180"/>
        <v>1.6</v>
      </c>
      <c r="G10576">
        <v>1</v>
      </c>
      <c r="H10576">
        <f t="shared" si="179"/>
        <v>1.6</v>
      </c>
      <c r="I10576">
        <v>20170401</v>
      </c>
      <c r="J10576" t="s">
        <v>10825</v>
      </c>
    </row>
    <row r="10577" spans="1:21" x14ac:dyDescent="0.3">
      <c r="A10577" s="160">
        <v>77099</v>
      </c>
      <c r="B10577" t="s">
        <v>25563</v>
      </c>
      <c r="C10577" t="s">
        <v>176</v>
      </c>
      <c r="D10577">
        <v>1.6</v>
      </c>
      <c r="E10577">
        <v>0</v>
      </c>
      <c r="F10577">
        <f t="shared" si="180"/>
        <v>1.6</v>
      </c>
      <c r="G10577">
        <v>1</v>
      </c>
      <c r="H10577">
        <f t="shared" si="179"/>
        <v>1.6</v>
      </c>
      <c r="I10577">
        <v>20170401</v>
      </c>
      <c r="J10577" t="s">
        <v>10722</v>
      </c>
    </row>
    <row r="10578" spans="1:21" x14ac:dyDescent="0.3">
      <c r="A10578" s="160">
        <v>77100</v>
      </c>
      <c r="B10578" t="s">
        <v>25564</v>
      </c>
      <c r="C10578" t="s">
        <v>176</v>
      </c>
      <c r="D10578">
        <v>1.6</v>
      </c>
      <c r="E10578">
        <v>0</v>
      </c>
      <c r="F10578">
        <f t="shared" si="180"/>
        <v>1.6</v>
      </c>
      <c r="G10578">
        <v>1</v>
      </c>
      <c r="H10578">
        <f t="shared" si="179"/>
        <v>1.6</v>
      </c>
      <c r="I10578">
        <v>20170401</v>
      </c>
      <c r="J10578" t="s">
        <v>10827</v>
      </c>
      <c r="K10578" t="s">
        <v>10828</v>
      </c>
    </row>
    <row r="10579" spans="1:21" x14ac:dyDescent="0.3">
      <c r="A10579" s="160">
        <v>77101</v>
      </c>
      <c r="B10579" t="s">
        <v>25565</v>
      </c>
      <c r="C10579" t="s">
        <v>176</v>
      </c>
      <c r="D10579">
        <v>1.6</v>
      </c>
      <c r="E10579">
        <v>0</v>
      </c>
      <c r="F10579">
        <f t="shared" si="180"/>
        <v>1.6</v>
      </c>
      <c r="G10579">
        <v>1</v>
      </c>
      <c r="H10579">
        <f t="shared" si="179"/>
        <v>1.6</v>
      </c>
      <c r="I10579">
        <v>20170401</v>
      </c>
      <c r="J10579" t="s">
        <v>10829</v>
      </c>
    </row>
    <row r="10580" spans="1:21" x14ac:dyDescent="0.3">
      <c r="A10580" s="160">
        <v>77102</v>
      </c>
      <c r="B10580" t="s">
        <v>25566</v>
      </c>
      <c r="C10580" t="s">
        <v>176</v>
      </c>
      <c r="D10580">
        <v>1.6</v>
      </c>
      <c r="E10580">
        <v>0</v>
      </c>
      <c r="F10580">
        <f t="shared" si="180"/>
        <v>1.6</v>
      </c>
      <c r="G10580">
        <v>1</v>
      </c>
      <c r="H10580">
        <f t="shared" si="179"/>
        <v>1.6</v>
      </c>
      <c r="I10580">
        <v>20170401</v>
      </c>
      <c r="J10580" t="s">
        <v>10735</v>
      </c>
      <c r="K10580" t="s">
        <v>10830</v>
      </c>
    </row>
    <row r="10581" spans="1:21" x14ac:dyDescent="0.3">
      <c r="A10581" s="160">
        <v>77103</v>
      </c>
      <c r="B10581" t="s">
        <v>25567</v>
      </c>
      <c r="C10581" t="s">
        <v>176</v>
      </c>
      <c r="D10581">
        <v>1.6</v>
      </c>
      <c r="E10581">
        <v>0</v>
      </c>
      <c r="F10581">
        <f t="shared" si="180"/>
        <v>1.6</v>
      </c>
      <c r="G10581">
        <v>1</v>
      </c>
      <c r="H10581">
        <f t="shared" si="179"/>
        <v>1.6</v>
      </c>
      <c r="I10581">
        <v>20170401</v>
      </c>
      <c r="J10581" t="s">
        <v>10828</v>
      </c>
    </row>
    <row r="10582" spans="1:21" x14ac:dyDescent="0.3">
      <c r="A10582" s="160">
        <v>77104</v>
      </c>
      <c r="B10582" t="s">
        <v>25568</v>
      </c>
      <c r="C10582" t="s">
        <v>176</v>
      </c>
      <c r="D10582">
        <v>1.6</v>
      </c>
      <c r="E10582">
        <v>0</v>
      </c>
      <c r="F10582">
        <f t="shared" si="180"/>
        <v>1.6</v>
      </c>
      <c r="G10582">
        <v>1</v>
      </c>
      <c r="H10582">
        <f t="shared" si="179"/>
        <v>1.6</v>
      </c>
      <c r="I10582">
        <v>20170401</v>
      </c>
      <c r="J10582" t="s">
        <v>10826</v>
      </c>
    </row>
    <row r="10583" spans="1:21" x14ac:dyDescent="0.3">
      <c r="A10583" s="160">
        <v>77106</v>
      </c>
      <c r="B10583" t="s">
        <v>25569</v>
      </c>
      <c r="C10583" t="s">
        <v>176</v>
      </c>
      <c r="D10583">
        <v>1.6</v>
      </c>
      <c r="E10583">
        <v>0</v>
      </c>
      <c r="F10583">
        <f t="shared" si="180"/>
        <v>1.6</v>
      </c>
      <c r="G10583">
        <v>1</v>
      </c>
      <c r="H10583">
        <f t="shared" si="179"/>
        <v>1.6</v>
      </c>
      <c r="I10583">
        <v>20170401</v>
      </c>
      <c r="J10583" t="s">
        <v>10760</v>
      </c>
    </row>
    <row r="10584" spans="1:21" x14ac:dyDescent="0.3">
      <c r="A10584" s="160">
        <v>77107</v>
      </c>
      <c r="B10584" t="s">
        <v>25570</v>
      </c>
      <c r="C10584" t="s">
        <v>176</v>
      </c>
      <c r="D10584">
        <v>1.6</v>
      </c>
      <c r="E10584">
        <v>0</v>
      </c>
      <c r="F10584">
        <f t="shared" si="180"/>
        <v>1.6</v>
      </c>
      <c r="G10584">
        <v>1</v>
      </c>
      <c r="H10584">
        <f t="shared" si="179"/>
        <v>1.6</v>
      </c>
      <c r="I10584">
        <v>20170401</v>
      </c>
      <c r="J10584" t="s">
        <v>10712</v>
      </c>
    </row>
    <row r="10585" spans="1:21" x14ac:dyDescent="0.3">
      <c r="A10585" s="160">
        <v>77108</v>
      </c>
      <c r="B10585" t="s">
        <v>22562</v>
      </c>
      <c r="C10585" t="s">
        <v>176</v>
      </c>
      <c r="D10585">
        <v>2.0099999999999998</v>
      </c>
      <c r="E10585">
        <v>0</v>
      </c>
      <c r="F10585">
        <f t="shared" si="180"/>
        <v>2.0099999999999998</v>
      </c>
      <c r="G10585">
        <v>1</v>
      </c>
      <c r="H10585">
        <f t="shared" si="179"/>
        <v>2.0099999999999998</v>
      </c>
      <c r="I10585">
        <v>20170401</v>
      </c>
      <c r="J10585" t="s">
        <v>10831</v>
      </c>
      <c r="K10585" t="s">
        <v>10832</v>
      </c>
      <c r="L10585" t="s">
        <v>10833</v>
      </c>
      <c r="M10585" t="s">
        <v>10834</v>
      </c>
      <c r="N10585" t="s">
        <v>10835</v>
      </c>
      <c r="O10585" t="s">
        <v>10836</v>
      </c>
      <c r="P10585" t="s">
        <v>10837</v>
      </c>
      <c r="Q10585" t="s">
        <v>10838</v>
      </c>
      <c r="R10585" t="s">
        <v>10776</v>
      </c>
      <c r="S10585" t="s">
        <v>10839</v>
      </c>
      <c r="T10585" t="s">
        <v>10840</v>
      </c>
      <c r="U10585" t="s">
        <v>10841</v>
      </c>
    </row>
    <row r="10586" spans="1:21" x14ac:dyDescent="0.3">
      <c r="A10586" s="160">
        <v>77109</v>
      </c>
      <c r="B10586" t="s">
        <v>25571</v>
      </c>
      <c r="C10586" t="s">
        <v>176</v>
      </c>
      <c r="D10586">
        <v>1.6</v>
      </c>
      <c r="E10586">
        <v>0</v>
      </c>
      <c r="F10586">
        <f t="shared" si="180"/>
        <v>1.6</v>
      </c>
      <c r="G10586">
        <v>1</v>
      </c>
      <c r="H10586">
        <f t="shared" si="179"/>
        <v>1.6</v>
      </c>
      <c r="I10586">
        <v>20170401</v>
      </c>
      <c r="J10586" t="s">
        <v>10800</v>
      </c>
    </row>
    <row r="10587" spans="1:21" x14ac:dyDescent="0.3">
      <c r="A10587" s="160">
        <v>77110</v>
      </c>
      <c r="B10587" t="s">
        <v>25572</v>
      </c>
      <c r="C10587" t="s">
        <v>176</v>
      </c>
      <c r="D10587">
        <v>1.6</v>
      </c>
      <c r="E10587">
        <v>0</v>
      </c>
      <c r="F10587">
        <f t="shared" si="180"/>
        <v>1.6</v>
      </c>
      <c r="G10587">
        <v>1</v>
      </c>
      <c r="H10587">
        <f t="shared" si="179"/>
        <v>1.6</v>
      </c>
      <c r="I10587">
        <v>20170401</v>
      </c>
      <c r="J10587" t="s">
        <v>10722</v>
      </c>
    </row>
    <row r="10588" spans="1:21" x14ac:dyDescent="0.3">
      <c r="A10588" s="160">
        <v>77111</v>
      </c>
      <c r="B10588" t="s">
        <v>24493</v>
      </c>
      <c r="C10588" t="s">
        <v>176</v>
      </c>
      <c r="D10588">
        <v>2.0099999999999998</v>
      </c>
      <c r="E10588">
        <v>0</v>
      </c>
      <c r="F10588">
        <f t="shared" si="180"/>
        <v>2.0099999999999998</v>
      </c>
      <c r="G10588">
        <v>1</v>
      </c>
      <c r="H10588">
        <f t="shared" si="179"/>
        <v>2.0099999999999998</v>
      </c>
      <c r="I10588">
        <v>20170401</v>
      </c>
      <c r="J10588" t="s">
        <v>10738</v>
      </c>
      <c r="K10588" t="s">
        <v>10842</v>
      </c>
      <c r="L10588" t="s">
        <v>10843</v>
      </c>
      <c r="M10588" t="s">
        <v>10740</v>
      </c>
      <c r="N10588" t="s">
        <v>10844</v>
      </c>
      <c r="O10588" t="s">
        <v>10804</v>
      </c>
      <c r="P10588" t="s">
        <v>10845</v>
      </c>
      <c r="Q10588" t="s">
        <v>10846</v>
      </c>
    </row>
    <row r="10589" spans="1:21" x14ac:dyDescent="0.3">
      <c r="A10589" s="160">
        <v>77112</v>
      </c>
      <c r="B10589" t="s">
        <v>25573</v>
      </c>
      <c r="C10589" t="s">
        <v>176</v>
      </c>
      <c r="D10589">
        <v>1.6</v>
      </c>
      <c r="E10589">
        <v>0</v>
      </c>
      <c r="F10589">
        <f t="shared" si="180"/>
        <v>1.6</v>
      </c>
      <c r="G10589">
        <v>1</v>
      </c>
      <c r="H10589">
        <f t="shared" si="179"/>
        <v>1.6</v>
      </c>
      <c r="I10589">
        <v>20170401</v>
      </c>
      <c r="J10589" t="s">
        <v>10710</v>
      </c>
    </row>
    <row r="10590" spans="1:21" x14ac:dyDescent="0.3">
      <c r="A10590" s="160">
        <v>77113</v>
      </c>
      <c r="B10590" t="s">
        <v>25574</v>
      </c>
      <c r="C10590" t="s">
        <v>176</v>
      </c>
      <c r="D10590">
        <v>1.6</v>
      </c>
      <c r="E10590">
        <v>0</v>
      </c>
      <c r="F10590">
        <f t="shared" si="180"/>
        <v>1.6</v>
      </c>
      <c r="G10590">
        <v>1</v>
      </c>
      <c r="H10590">
        <f t="shared" si="179"/>
        <v>1.6</v>
      </c>
      <c r="I10590">
        <v>20170401</v>
      </c>
      <c r="J10590" t="s">
        <v>10750</v>
      </c>
    </row>
    <row r="10591" spans="1:21" x14ac:dyDescent="0.3">
      <c r="A10591" s="160">
        <v>77114</v>
      </c>
      <c r="B10591" t="s">
        <v>25575</v>
      </c>
      <c r="C10591" t="s">
        <v>176</v>
      </c>
      <c r="D10591">
        <v>1.6</v>
      </c>
      <c r="E10591">
        <v>0</v>
      </c>
      <c r="F10591">
        <f t="shared" si="180"/>
        <v>1.6</v>
      </c>
      <c r="G10591">
        <v>1</v>
      </c>
      <c r="H10591">
        <f t="shared" si="179"/>
        <v>1.6</v>
      </c>
      <c r="I10591">
        <v>20170401</v>
      </c>
      <c r="J10591" t="s">
        <v>10847</v>
      </c>
      <c r="K10591" t="s">
        <v>10769</v>
      </c>
      <c r="L10591" t="s">
        <v>10773</v>
      </c>
    </row>
    <row r="10592" spans="1:21" x14ac:dyDescent="0.3">
      <c r="A10592" s="160">
        <v>77115</v>
      </c>
      <c r="B10592" t="s">
        <v>25576</v>
      </c>
      <c r="C10592" t="s">
        <v>176</v>
      </c>
      <c r="D10592">
        <v>1.6</v>
      </c>
      <c r="E10592">
        <v>0</v>
      </c>
      <c r="F10592">
        <f t="shared" si="180"/>
        <v>1.6</v>
      </c>
      <c r="G10592">
        <v>1</v>
      </c>
      <c r="H10592">
        <f t="shared" si="179"/>
        <v>1.6</v>
      </c>
      <c r="I10592">
        <v>20170401</v>
      </c>
      <c r="J10592" t="s">
        <v>10848</v>
      </c>
    </row>
    <row r="10593" spans="1:16" x14ac:dyDescent="0.3">
      <c r="A10593" s="160">
        <v>77116</v>
      </c>
      <c r="B10593" t="s">
        <v>25577</v>
      </c>
      <c r="C10593" t="s">
        <v>176</v>
      </c>
      <c r="D10593">
        <v>1.6</v>
      </c>
      <c r="E10593">
        <v>0</v>
      </c>
      <c r="F10593">
        <f t="shared" si="180"/>
        <v>1.6</v>
      </c>
      <c r="G10593">
        <v>1</v>
      </c>
      <c r="H10593">
        <f t="shared" si="179"/>
        <v>1.6</v>
      </c>
      <c r="I10593">
        <v>20170401</v>
      </c>
      <c r="J10593" t="s">
        <v>10750</v>
      </c>
    </row>
    <row r="10594" spans="1:16" x14ac:dyDescent="0.3">
      <c r="A10594" s="160">
        <v>77117</v>
      </c>
      <c r="B10594" t="s">
        <v>25578</v>
      </c>
      <c r="C10594" t="s">
        <v>176</v>
      </c>
      <c r="D10594">
        <v>1.6</v>
      </c>
      <c r="E10594">
        <v>0</v>
      </c>
      <c r="F10594">
        <f t="shared" si="180"/>
        <v>1.6</v>
      </c>
      <c r="G10594">
        <v>1</v>
      </c>
      <c r="H10594">
        <f t="shared" si="179"/>
        <v>1.6</v>
      </c>
      <c r="I10594">
        <v>20170401</v>
      </c>
      <c r="J10594" t="s">
        <v>10849</v>
      </c>
    </row>
    <row r="10595" spans="1:16" x14ac:dyDescent="0.3">
      <c r="A10595" s="160">
        <v>77118</v>
      </c>
      <c r="B10595" t="s">
        <v>25579</v>
      </c>
      <c r="C10595" t="s">
        <v>176</v>
      </c>
      <c r="D10595">
        <v>1.6</v>
      </c>
      <c r="E10595">
        <v>0</v>
      </c>
      <c r="F10595">
        <f t="shared" si="180"/>
        <v>1.6</v>
      </c>
      <c r="G10595">
        <v>1</v>
      </c>
      <c r="H10595">
        <f t="shared" si="179"/>
        <v>1.6</v>
      </c>
      <c r="I10595">
        <v>20170401</v>
      </c>
      <c r="J10595" t="s">
        <v>10713</v>
      </c>
      <c r="K10595" t="s">
        <v>10714</v>
      </c>
      <c r="L10595" t="s">
        <v>10715</v>
      </c>
      <c r="M10595" t="s">
        <v>10716</v>
      </c>
      <c r="N10595" t="s">
        <v>10850</v>
      </c>
      <c r="O10595" t="s">
        <v>10851</v>
      </c>
      <c r="P10595" t="s">
        <v>10852</v>
      </c>
    </row>
    <row r="10596" spans="1:16" x14ac:dyDescent="0.3">
      <c r="A10596" s="160">
        <v>77119</v>
      </c>
      <c r="B10596" t="s">
        <v>25580</v>
      </c>
      <c r="C10596" t="s">
        <v>176</v>
      </c>
      <c r="D10596">
        <v>1.6</v>
      </c>
      <c r="E10596">
        <v>0</v>
      </c>
      <c r="F10596">
        <f t="shared" si="180"/>
        <v>1.6</v>
      </c>
      <c r="G10596">
        <v>1</v>
      </c>
      <c r="H10596">
        <f t="shared" si="179"/>
        <v>1.6</v>
      </c>
      <c r="I10596">
        <v>20170401</v>
      </c>
      <c r="J10596" t="s">
        <v>10825</v>
      </c>
    </row>
    <row r="10597" spans="1:16" x14ac:dyDescent="0.3">
      <c r="A10597" s="160">
        <v>77120</v>
      </c>
      <c r="B10597" t="s">
        <v>25581</v>
      </c>
      <c r="C10597" t="s">
        <v>176</v>
      </c>
      <c r="D10597">
        <v>1.6</v>
      </c>
      <c r="E10597">
        <v>0</v>
      </c>
      <c r="F10597">
        <f t="shared" si="180"/>
        <v>1.6</v>
      </c>
      <c r="G10597">
        <v>1</v>
      </c>
      <c r="H10597">
        <f t="shared" si="179"/>
        <v>1.6</v>
      </c>
      <c r="I10597">
        <v>20170401</v>
      </c>
      <c r="J10597" t="s">
        <v>10718</v>
      </c>
    </row>
    <row r="10598" spans="1:16" x14ac:dyDescent="0.3">
      <c r="A10598" s="160">
        <v>77121</v>
      </c>
      <c r="B10598" t="s">
        <v>25582</v>
      </c>
      <c r="C10598" t="s">
        <v>176</v>
      </c>
      <c r="D10598">
        <v>2.0099999999999998</v>
      </c>
      <c r="E10598">
        <v>0</v>
      </c>
      <c r="F10598">
        <f t="shared" si="180"/>
        <v>2.0099999999999998</v>
      </c>
      <c r="G10598">
        <v>1</v>
      </c>
      <c r="H10598">
        <f t="shared" si="179"/>
        <v>2.0099999999999998</v>
      </c>
      <c r="I10598">
        <v>20170401</v>
      </c>
      <c r="J10598" t="s">
        <v>10853</v>
      </c>
      <c r="K10598" t="s">
        <v>10778</v>
      </c>
      <c r="L10598" t="s">
        <v>10854</v>
      </c>
      <c r="M10598" t="s">
        <v>10855</v>
      </c>
    </row>
    <row r="10599" spans="1:16" x14ac:dyDescent="0.3">
      <c r="A10599" s="160">
        <v>77122</v>
      </c>
      <c r="B10599" t="s">
        <v>25583</v>
      </c>
      <c r="C10599" t="s">
        <v>176</v>
      </c>
      <c r="D10599">
        <v>2.0099999999999998</v>
      </c>
      <c r="E10599">
        <v>0</v>
      </c>
      <c r="F10599">
        <f t="shared" si="180"/>
        <v>2.0099999999999998</v>
      </c>
      <c r="G10599">
        <v>1</v>
      </c>
      <c r="H10599">
        <f t="shared" si="179"/>
        <v>2.0099999999999998</v>
      </c>
      <c r="I10599">
        <v>20170401</v>
      </c>
      <c r="J10599" t="s">
        <v>10856</v>
      </c>
      <c r="K10599" t="s">
        <v>10857</v>
      </c>
      <c r="L10599" t="s">
        <v>10858</v>
      </c>
      <c r="M10599" t="s">
        <v>10859</v>
      </c>
      <c r="N10599" t="s">
        <v>10860</v>
      </c>
      <c r="O10599" t="s">
        <v>10861</v>
      </c>
    </row>
    <row r="10600" spans="1:16" x14ac:dyDescent="0.3">
      <c r="A10600" s="160">
        <v>77123</v>
      </c>
      <c r="B10600" t="s">
        <v>25584</v>
      </c>
      <c r="C10600" t="s">
        <v>176</v>
      </c>
      <c r="D10600">
        <v>1.6</v>
      </c>
      <c r="E10600">
        <v>0</v>
      </c>
      <c r="F10600">
        <f t="shared" si="180"/>
        <v>1.6</v>
      </c>
      <c r="G10600">
        <v>1</v>
      </c>
      <c r="H10600">
        <f t="shared" si="179"/>
        <v>1.6</v>
      </c>
      <c r="I10600">
        <v>20170401</v>
      </c>
      <c r="J10600" t="s">
        <v>10862</v>
      </c>
      <c r="K10600" t="s">
        <v>10863</v>
      </c>
      <c r="L10600" t="s">
        <v>10864</v>
      </c>
      <c r="M10600" t="s">
        <v>10865</v>
      </c>
      <c r="N10600" t="s">
        <v>10866</v>
      </c>
    </row>
    <row r="10601" spans="1:16" x14ac:dyDescent="0.3">
      <c r="A10601" s="160">
        <v>77124</v>
      </c>
      <c r="B10601" t="s">
        <v>25585</v>
      </c>
      <c r="C10601" t="s">
        <v>176</v>
      </c>
      <c r="D10601">
        <v>2.0099999999999998</v>
      </c>
      <c r="E10601">
        <v>0</v>
      </c>
      <c r="F10601">
        <f t="shared" si="180"/>
        <v>2.0099999999999998</v>
      </c>
      <c r="G10601">
        <v>1</v>
      </c>
      <c r="H10601">
        <f t="shared" si="179"/>
        <v>2.0099999999999998</v>
      </c>
      <c r="I10601">
        <v>20170401</v>
      </c>
      <c r="J10601" t="s">
        <v>10777</v>
      </c>
    </row>
    <row r="10602" spans="1:16" x14ac:dyDescent="0.3">
      <c r="A10602" s="160">
        <v>77125</v>
      </c>
      <c r="B10602" t="s">
        <v>25586</v>
      </c>
      <c r="C10602" t="s">
        <v>176</v>
      </c>
      <c r="D10602">
        <v>1.6</v>
      </c>
      <c r="E10602">
        <v>0</v>
      </c>
      <c r="F10602">
        <f t="shared" si="180"/>
        <v>1.6</v>
      </c>
      <c r="G10602">
        <v>1</v>
      </c>
      <c r="H10602">
        <f t="shared" si="179"/>
        <v>1.6</v>
      </c>
      <c r="I10602">
        <v>20170401</v>
      </c>
      <c r="J10602" t="s">
        <v>10867</v>
      </c>
    </row>
    <row r="10603" spans="1:16" x14ac:dyDescent="0.3">
      <c r="A10603" s="160">
        <v>77126</v>
      </c>
      <c r="B10603" t="s">
        <v>25587</v>
      </c>
      <c r="C10603" t="s">
        <v>176</v>
      </c>
      <c r="D10603">
        <v>1.6</v>
      </c>
      <c r="E10603">
        <v>0</v>
      </c>
      <c r="F10603">
        <f t="shared" si="180"/>
        <v>1.6</v>
      </c>
      <c r="G10603">
        <v>1</v>
      </c>
      <c r="H10603">
        <f t="shared" si="179"/>
        <v>1.6</v>
      </c>
      <c r="I10603">
        <v>20170401</v>
      </c>
      <c r="J10603" t="s">
        <v>10718</v>
      </c>
    </row>
    <row r="10604" spans="1:16" x14ac:dyDescent="0.3">
      <c r="A10604" s="160">
        <v>77127</v>
      </c>
      <c r="B10604" t="s">
        <v>25588</v>
      </c>
      <c r="C10604" t="s">
        <v>176</v>
      </c>
      <c r="D10604">
        <v>1.6</v>
      </c>
      <c r="E10604">
        <v>0</v>
      </c>
      <c r="F10604">
        <f t="shared" si="180"/>
        <v>1.6</v>
      </c>
      <c r="G10604">
        <v>1</v>
      </c>
      <c r="H10604">
        <f t="shared" si="179"/>
        <v>1.6</v>
      </c>
      <c r="I10604">
        <v>20170401</v>
      </c>
      <c r="J10604" t="s">
        <v>10767</v>
      </c>
      <c r="K10604" t="s">
        <v>10768</v>
      </c>
      <c r="L10604" t="s">
        <v>10773</v>
      </c>
    </row>
    <row r="10605" spans="1:16" x14ac:dyDescent="0.3">
      <c r="A10605" s="160">
        <v>77128</v>
      </c>
      <c r="B10605" t="s">
        <v>25589</v>
      </c>
      <c r="C10605" t="s">
        <v>176</v>
      </c>
      <c r="D10605">
        <v>1.6</v>
      </c>
      <c r="E10605">
        <v>0</v>
      </c>
      <c r="F10605">
        <f t="shared" si="180"/>
        <v>1.6</v>
      </c>
      <c r="G10605">
        <v>1</v>
      </c>
      <c r="H10605">
        <f t="shared" si="179"/>
        <v>1.6</v>
      </c>
      <c r="I10605">
        <v>20170401</v>
      </c>
      <c r="J10605" t="s">
        <v>10868</v>
      </c>
      <c r="K10605" t="s">
        <v>10869</v>
      </c>
    </row>
    <row r="10606" spans="1:16" x14ac:dyDescent="0.3">
      <c r="A10606" s="160">
        <v>77129</v>
      </c>
      <c r="B10606" t="s">
        <v>25590</v>
      </c>
      <c r="C10606" t="s">
        <v>176</v>
      </c>
      <c r="D10606">
        <v>1.6</v>
      </c>
      <c r="E10606">
        <v>0</v>
      </c>
      <c r="F10606">
        <f t="shared" si="180"/>
        <v>1.6</v>
      </c>
      <c r="G10606">
        <v>1</v>
      </c>
      <c r="H10606">
        <f t="shared" si="179"/>
        <v>1.6</v>
      </c>
      <c r="I10606">
        <v>20170401</v>
      </c>
      <c r="J10606" t="s">
        <v>10870</v>
      </c>
    </row>
    <row r="10607" spans="1:16" x14ac:dyDescent="0.3">
      <c r="A10607" s="160">
        <v>77130</v>
      </c>
      <c r="B10607" t="s">
        <v>25591</v>
      </c>
      <c r="C10607" t="s">
        <v>176</v>
      </c>
      <c r="D10607">
        <v>1.6</v>
      </c>
      <c r="E10607">
        <v>0</v>
      </c>
      <c r="F10607">
        <f t="shared" si="180"/>
        <v>1.6</v>
      </c>
      <c r="G10607">
        <v>1</v>
      </c>
      <c r="H10607">
        <f t="shared" si="179"/>
        <v>1.6</v>
      </c>
      <c r="I10607">
        <v>20170401</v>
      </c>
      <c r="J10607" t="s">
        <v>10762</v>
      </c>
    </row>
    <row r="10608" spans="1:16" x14ac:dyDescent="0.3">
      <c r="A10608" s="160">
        <v>77131</v>
      </c>
      <c r="B10608" t="s">
        <v>25592</v>
      </c>
      <c r="C10608" t="s">
        <v>176</v>
      </c>
      <c r="D10608">
        <v>1.6</v>
      </c>
      <c r="E10608">
        <v>0</v>
      </c>
      <c r="F10608">
        <f t="shared" si="180"/>
        <v>1.6</v>
      </c>
      <c r="G10608">
        <v>1</v>
      </c>
      <c r="H10608">
        <f t="shared" si="179"/>
        <v>1.6</v>
      </c>
      <c r="I10608">
        <v>20170401</v>
      </c>
      <c r="J10608" t="s">
        <v>10711</v>
      </c>
      <c r="K10608" t="s">
        <v>10871</v>
      </c>
      <c r="L10608" t="s">
        <v>10797</v>
      </c>
      <c r="M10608" t="s">
        <v>10872</v>
      </c>
      <c r="N10608" t="s">
        <v>10873</v>
      </c>
    </row>
    <row r="10609" spans="1:19" x14ac:dyDescent="0.3">
      <c r="A10609" s="160">
        <v>77132</v>
      </c>
      <c r="B10609" t="s">
        <v>25593</v>
      </c>
      <c r="C10609" t="s">
        <v>176</v>
      </c>
      <c r="D10609">
        <v>1.6</v>
      </c>
      <c r="E10609">
        <v>0</v>
      </c>
      <c r="F10609">
        <f t="shared" si="180"/>
        <v>1.6</v>
      </c>
      <c r="G10609">
        <v>1</v>
      </c>
      <c r="H10609">
        <f t="shared" si="179"/>
        <v>1.6</v>
      </c>
      <c r="I10609">
        <v>20170401</v>
      </c>
      <c r="J10609" t="s">
        <v>10738</v>
      </c>
      <c r="K10609" t="s">
        <v>10874</v>
      </c>
      <c r="L10609" t="s">
        <v>10875</v>
      </c>
    </row>
    <row r="10610" spans="1:19" x14ac:dyDescent="0.3">
      <c r="A10610" s="160">
        <v>77133</v>
      </c>
      <c r="B10610" t="s">
        <v>25594</v>
      </c>
      <c r="C10610" t="s">
        <v>176</v>
      </c>
      <c r="D10610">
        <v>1.6</v>
      </c>
      <c r="E10610">
        <v>0</v>
      </c>
      <c r="F10610">
        <f t="shared" si="180"/>
        <v>1.6</v>
      </c>
      <c r="G10610">
        <v>1</v>
      </c>
      <c r="H10610">
        <f t="shared" si="179"/>
        <v>1.6</v>
      </c>
      <c r="I10610">
        <v>20170401</v>
      </c>
      <c r="J10610" t="s">
        <v>10829</v>
      </c>
    </row>
    <row r="10611" spans="1:19" x14ac:dyDescent="0.3">
      <c r="A10611" s="160">
        <v>77134</v>
      </c>
      <c r="B10611" t="s">
        <v>25595</v>
      </c>
      <c r="C10611" t="s">
        <v>176</v>
      </c>
      <c r="D10611">
        <v>1.6</v>
      </c>
      <c r="E10611">
        <v>0</v>
      </c>
      <c r="F10611">
        <f t="shared" si="180"/>
        <v>1.6</v>
      </c>
      <c r="G10611">
        <v>1</v>
      </c>
      <c r="H10611">
        <f t="shared" ref="H10611:H10674" si="181">G10611*F10611</f>
        <v>1.6</v>
      </c>
      <c r="I10611">
        <v>20240101</v>
      </c>
      <c r="J10611" t="s">
        <v>10723</v>
      </c>
    </row>
    <row r="10612" spans="1:19" x14ac:dyDescent="0.3">
      <c r="A10612" s="160">
        <v>77135</v>
      </c>
      <c r="B10612" t="s">
        <v>25596</v>
      </c>
      <c r="C10612" t="s">
        <v>176</v>
      </c>
      <c r="D10612">
        <v>1.6</v>
      </c>
      <c r="E10612">
        <v>0</v>
      </c>
      <c r="F10612">
        <f t="shared" si="180"/>
        <v>1.6</v>
      </c>
      <c r="G10612">
        <v>1</v>
      </c>
      <c r="H10612">
        <f t="shared" si="181"/>
        <v>1.6</v>
      </c>
      <c r="I10612">
        <v>20170401</v>
      </c>
      <c r="J10612" t="s">
        <v>10749</v>
      </c>
    </row>
    <row r="10613" spans="1:19" x14ac:dyDescent="0.3">
      <c r="A10613" s="160">
        <v>77136</v>
      </c>
      <c r="B10613" t="s">
        <v>25597</v>
      </c>
      <c r="C10613" t="s">
        <v>176</v>
      </c>
      <c r="D10613">
        <v>1.6</v>
      </c>
      <c r="E10613">
        <v>0</v>
      </c>
      <c r="F10613">
        <f t="shared" si="180"/>
        <v>1.6</v>
      </c>
      <c r="G10613">
        <v>1</v>
      </c>
      <c r="H10613">
        <f t="shared" si="181"/>
        <v>1.6</v>
      </c>
      <c r="I10613">
        <v>20170401</v>
      </c>
      <c r="J10613" t="s">
        <v>10712</v>
      </c>
    </row>
    <row r="10614" spans="1:19" x14ac:dyDescent="0.3">
      <c r="A10614" s="160">
        <v>77137</v>
      </c>
      <c r="B10614" t="s">
        <v>25598</v>
      </c>
      <c r="C10614" t="s">
        <v>176</v>
      </c>
      <c r="D10614">
        <v>1.6</v>
      </c>
      <c r="E10614">
        <v>0</v>
      </c>
      <c r="F10614">
        <f t="shared" si="180"/>
        <v>1.6</v>
      </c>
      <c r="G10614">
        <v>1</v>
      </c>
      <c r="H10614">
        <f t="shared" si="181"/>
        <v>1.6</v>
      </c>
      <c r="I10614">
        <v>20240101</v>
      </c>
      <c r="J10614" t="s">
        <v>10723</v>
      </c>
    </row>
    <row r="10615" spans="1:19" x14ac:dyDescent="0.3">
      <c r="A10615" s="160">
        <v>77138</v>
      </c>
      <c r="B10615" t="s">
        <v>25599</v>
      </c>
      <c r="C10615" t="s">
        <v>176</v>
      </c>
      <c r="D10615">
        <v>1.6</v>
      </c>
      <c r="E10615">
        <v>0</v>
      </c>
      <c r="F10615">
        <f t="shared" si="180"/>
        <v>1.6</v>
      </c>
      <c r="G10615">
        <v>1</v>
      </c>
      <c r="H10615">
        <f t="shared" si="181"/>
        <v>1.6</v>
      </c>
      <c r="I10615">
        <v>20170401</v>
      </c>
      <c r="J10615" t="s">
        <v>10712</v>
      </c>
    </row>
    <row r="10616" spans="1:19" x14ac:dyDescent="0.3">
      <c r="A10616" s="160">
        <v>77139</v>
      </c>
      <c r="B10616" t="s">
        <v>25600</v>
      </c>
      <c r="C10616" t="s">
        <v>176</v>
      </c>
      <c r="D10616">
        <v>2.0099999999999998</v>
      </c>
      <c r="E10616">
        <v>0</v>
      </c>
      <c r="F10616">
        <f t="shared" si="180"/>
        <v>2.0099999999999998</v>
      </c>
      <c r="G10616">
        <v>1</v>
      </c>
      <c r="H10616">
        <f t="shared" si="181"/>
        <v>2.0099999999999998</v>
      </c>
      <c r="I10616">
        <v>20170401</v>
      </c>
      <c r="J10616" t="s">
        <v>10876</v>
      </c>
    </row>
    <row r="10617" spans="1:19" x14ac:dyDescent="0.3">
      <c r="A10617" s="160">
        <v>77140</v>
      </c>
      <c r="B10617" t="s">
        <v>25601</v>
      </c>
      <c r="C10617" t="s">
        <v>176</v>
      </c>
      <c r="D10617">
        <v>1.6</v>
      </c>
      <c r="E10617">
        <v>0</v>
      </c>
      <c r="F10617">
        <f t="shared" si="180"/>
        <v>1.6</v>
      </c>
      <c r="G10617">
        <v>1</v>
      </c>
      <c r="H10617">
        <f t="shared" si="181"/>
        <v>1.6</v>
      </c>
      <c r="I10617">
        <v>20170401</v>
      </c>
      <c r="J10617" t="s">
        <v>10877</v>
      </c>
    </row>
    <row r="10618" spans="1:19" x14ac:dyDescent="0.3">
      <c r="A10618" s="160">
        <v>77141</v>
      </c>
      <c r="B10618" t="s">
        <v>25602</v>
      </c>
      <c r="C10618" t="s">
        <v>176</v>
      </c>
      <c r="D10618">
        <v>1.6</v>
      </c>
      <c r="E10618">
        <v>0</v>
      </c>
      <c r="F10618">
        <f t="shared" si="180"/>
        <v>1.6</v>
      </c>
      <c r="G10618">
        <v>1</v>
      </c>
      <c r="H10618">
        <f t="shared" si="181"/>
        <v>1.6</v>
      </c>
      <c r="I10618">
        <v>20170401</v>
      </c>
      <c r="J10618" t="s">
        <v>10762</v>
      </c>
    </row>
    <row r="10619" spans="1:19" x14ac:dyDescent="0.3">
      <c r="A10619" s="160">
        <v>77142</v>
      </c>
      <c r="B10619" t="s">
        <v>25603</v>
      </c>
      <c r="C10619" t="s">
        <v>176</v>
      </c>
      <c r="D10619">
        <v>1.6</v>
      </c>
      <c r="E10619">
        <v>0</v>
      </c>
      <c r="F10619">
        <f t="shared" si="180"/>
        <v>1.6</v>
      </c>
      <c r="G10619">
        <v>1</v>
      </c>
      <c r="H10619">
        <f t="shared" si="181"/>
        <v>1.6</v>
      </c>
      <c r="I10619">
        <v>20170401</v>
      </c>
      <c r="J10619" t="s">
        <v>10761</v>
      </c>
      <c r="K10619" t="s">
        <v>10878</v>
      </c>
      <c r="L10619" t="s">
        <v>10879</v>
      </c>
      <c r="M10619" t="s">
        <v>10762</v>
      </c>
    </row>
    <row r="10620" spans="1:19" x14ac:dyDescent="0.3">
      <c r="A10620" s="160">
        <v>77143</v>
      </c>
      <c r="B10620" t="s">
        <v>25604</v>
      </c>
      <c r="C10620" t="s">
        <v>176</v>
      </c>
      <c r="D10620">
        <v>1.6</v>
      </c>
      <c r="E10620">
        <v>0</v>
      </c>
      <c r="F10620">
        <f t="shared" si="180"/>
        <v>1.6</v>
      </c>
      <c r="G10620">
        <v>1</v>
      </c>
      <c r="H10620">
        <f t="shared" si="181"/>
        <v>1.6</v>
      </c>
      <c r="I10620">
        <v>20170401</v>
      </c>
      <c r="J10620" t="s">
        <v>10880</v>
      </c>
    </row>
    <row r="10621" spans="1:19" x14ac:dyDescent="0.3">
      <c r="A10621" s="160">
        <v>77144</v>
      </c>
      <c r="B10621" t="s">
        <v>25605</v>
      </c>
      <c r="C10621" t="s">
        <v>176</v>
      </c>
      <c r="D10621">
        <v>1.6</v>
      </c>
      <c r="E10621">
        <v>0</v>
      </c>
      <c r="F10621">
        <f t="shared" si="180"/>
        <v>1.6</v>
      </c>
      <c r="G10621">
        <v>1</v>
      </c>
      <c r="H10621">
        <f t="shared" si="181"/>
        <v>1.6</v>
      </c>
      <c r="I10621">
        <v>20170401</v>
      </c>
      <c r="J10621" t="s">
        <v>10826</v>
      </c>
    </row>
    <row r="10622" spans="1:19" x14ac:dyDescent="0.3">
      <c r="A10622" s="160">
        <v>77145</v>
      </c>
      <c r="B10622" t="s">
        <v>25606</v>
      </c>
      <c r="C10622" t="s">
        <v>176</v>
      </c>
      <c r="D10622">
        <v>1.6</v>
      </c>
      <c r="E10622">
        <v>0</v>
      </c>
      <c r="F10622">
        <f t="shared" si="180"/>
        <v>1.6</v>
      </c>
      <c r="G10622">
        <v>1</v>
      </c>
      <c r="H10622">
        <f t="shared" si="181"/>
        <v>1.6</v>
      </c>
      <c r="I10622">
        <v>20170401</v>
      </c>
      <c r="J10622" t="s">
        <v>10712</v>
      </c>
    </row>
    <row r="10623" spans="1:19" x14ac:dyDescent="0.3">
      <c r="A10623" s="160">
        <v>77146</v>
      </c>
      <c r="B10623" t="s">
        <v>25607</v>
      </c>
      <c r="C10623" t="s">
        <v>176</v>
      </c>
      <c r="D10623">
        <v>2.0099999999999998</v>
      </c>
      <c r="E10623">
        <v>0</v>
      </c>
      <c r="F10623">
        <f t="shared" si="180"/>
        <v>2.0099999999999998</v>
      </c>
      <c r="G10623">
        <v>1</v>
      </c>
      <c r="H10623">
        <f t="shared" si="181"/>
        <v>2.0099999999999998</v>
      </c>
      <c r="I10623">
        <v>20170401</v>
      </c>
      <c r="J10623" t="s">
        <v>10881</v>
      </c>
      <c r="K10623" t="s">
        <v>10882</v>
      </c>
      <c r="L10623" t="s">
        <v>10883</v>
      </c>
      <c r="M10623" t="s">
        <v>10884</v>
      </c>
      <c r="N10623" t="s">
        <v>10885</v>
      </c>
      <c r="O10623" t="s">
        <v>10886</v>
      </c>
      <c r="P10623" t="s">
        <v>10887</v>
      </c>
      <c r="Q10623" t="s">
        <v>10817</v>
      </c>
      <c r="R10623" t="s">
        <v>10888</v>
      </c>
      <c r="S10623" t="s">
        <v>10818</v>
      </c>
    </row>
    <row r="10624" spans="1:19" x14ac:dyDescent="0.3">
      <c r="A10624" s="160">
        <v>77147</v>
      </c>
      <c r="B10624" t="s">
        <v>25608</v>
      </c>
      <c r="C10624" t="s">
        <v>176</v>
      </c>
      <c r="D10624">
        <v>1.6</v>
      </c>
      <c r="E10624">
        <v>0</v>
      </c>
      <c r="F10624">
        <f t="shared" si="180"/>
        <v>1.6</v>
      </c>
      <c r="G10624">
        <v>1</v>
      </c>
      <c r="H10624">
        <f t="shared" si="181"/>
        <v>1.6</v>
      </c>
      <c r="I10624">
        <v>20240101</v>
      </c>
      <c r="J10624" t="s">
        <v>10825</v>
      </c>
    </row>
    <row r="10625" spans="1:21" x14ac:dyDescent="0.3">
      <c r="A10625" s="160">
        <v>77148</v>
      </c>
      <c r="B10625" t="s">
        <v>25609</v>
      </c>
      <c r="C10625" t="s">
        <v>176</v>
      </c>
      <c r="D10625">
        <v>1.6</v>
      </c>
      <c r="E10625">
        <v>0</v>
      </c>
      <c r="F10625">
        <f t="shared" si="180"/>
        <v>1.6</v>
      </c>
      <c r="G10625">
        <v>1</v>
      </c>
      <c r="H10625">
        <f t="shared" si="181"/>
        <v>1.6</v>
      </c>
      <c r="I10625">
        <v>20170401</v>
      </c>
      <c r="J10625" t="s">
        <v>10870</v>
      </c>
    </row>
    <row r="10626" spans="1:21" x14ac:dyDescent="0.3">
      <c r="A10626" s="160">
        <v>77149</v>
      </c>
      <c r="B10626" t="s">
        <v>25609</v>
      </c>
      <c r="C10626" t="s">
        <v>176</v>
      </c>
      <c r="D10626">
        <v>1.6</v>
      </c>
      <c r="E10626">
        <v>0</v>
      </c>
      <c r="F10626">
        <f t="shared" si="180"/>
        <v>1.6</v>
      </c>
      <c r="G10626">
        <v>1</v>
      </c>
      <c r="H10626">
        <f t="shared" si="181"/>
        <v>1.6</v>
      </c>
      <c r="I10626">
        <v>20170401</v>
      </c>
      <c r="J10626" t="s">
        <v>10800</v>
      </c>
    </row>
    <row r="10627" spans="1:21" x14ac:dyDescent="0.3">
      <c r="A10627" s="160">
        <v>77150</v>
      </c>
      <c r="B10627" t="s">
        <v>25610</v>
      </c>
      <c r="C10627" t="s">
        <v>176</v>
      </c>
      <c r="D10627">
        <v>1.6</v>
      </c>
      <c r="E10627">
        <v>0</v>
      </c>
      <c r="F10627">
        <f t="shared" si="180"/>
        <v>1.6</v>
      </c>
      <c r="G10627">
        <v>1</v>
      </c>
      <c r="H10627">
        <f t="shared" si="181"/>
        <v>1.6</v>
      </c>
      <c r="I10627">
        <v>20170401</v>
      </c>
      <c r="J10627" t="s">
        <v>10889</v>
      </c>
    </row>
    <row r="10628" spans="1:21" x14ac:dyDescent="0.3">
      <c r="A10628" s="160">
        <v>77151</v>
      </c>
      <c r="B10628" t="s">
        <v>25611</v>
      </c>
      <c r="C10628" t="s">
        <v>176</v>
      </c>
      <c r="D10628">
        <v>1.6</v>
      </c>
      <c r="E10628">
        <v>0</v>
      </c>
      <c r="F10628">
        <f t="shared" si="180"/>
        <v>1.6</v>
      </c>
      <c r="G10628">
        <v>1</v>
      </c>
      <c r="H10628">
        <f t="shared" si="181"/>
        <v>1.6</v>
      </c>
      <c r="I10628">
        <v>20170401</v>
      </c>
      <c r="J10628" t="s">
        <v>10750</v>
      </c>
    </row>
    <row r="10629" spans="1:21" x14ac:dyDescent="0.3">
      <c r="A10629" s="160">
        <v>77152</v>
      </c>
      <c r="B10629" t="s">
        <v>25612</v>
      </c>
      <c r="C10629" t="s">
        <v>176</v>
      </c>
      <c r="D10629">
        <v>2.0099999999999998</v>
      </c>
      <c r="E10629">
        <v>0</v>
      </c>
      <c r="F10629">
        <f t="shared" si="180"/>
        <v>2.0099999999999998</v>
      </c>
      <c r="G10629">
        <v>1</v>
      </c>
      <c r="H10629">
        <f t="shared" si="181"/>
        <v>2.0099999999999998</v>
      </c>
      <c r="I10629">
        <v>20170401</v>
      </c>
      <c r="J10629" t="s">
        <v>10890</v>
      </c>
      <c r="K10629" t="s">
        <v>10891</v>
      </c>
      <c r="L10629" t="s">
        <v>10892</v>
      </c>
      <c r="M10629" t="s">
        <v>10827</v>
      </c>
      <c r="N10629" t="s">
        <v>10893</v>
      </c>
      <c r="O10629" t="s">
        <v>10894</v>
      </c>
      <c r="P10629" t="s">
        <v>10895</v>
      </c>
      <c r="Q10629" t="s">
        <v>10896</v>
      </c>
      <c r="R10629" t="s">
        <v>10897</v>
      </c>
      <c r="S10629" t="s">
        <v>10898</v>
      </c>
      <c r="T10629" t="s">
        <v>10899</v>
      </c>
      <c r="U10629" t="s">
        <v>10900</v>
      </c>
    </row>
    <row r="10630" spans="1:21" x14ac:dyDescent="0.3">
      <c r="A10630" s="160">
        <v>77153</v>
      </c>
      <c r="B10630" t="s">
        <v>25613</v>
      </c>
      <c r="C10630" t="s">
        <v>176</v>
      </c>
      <c r="D10630">
        <v>1.6</v>
      </c>
      <c r="E10630">
        <v>0</v>
      </c>
      <c r="F10630">
        <f t="shared" si="180"/>
        <v>1.6</v>
      </c>
      <c r="G10630">
        <v>1</v>
      </c>
      <c r="H10630">
        <f t="shared" si="181"/>
        <v>1.6</v>
      </c>
      <c r="I10630">
        <v>20170401</v>
      </c>
      <c r="J10630" t="s">
        <v>10901</v>
      </c>
      <c r="K10630" t="s">
        <v>10902</v>
      </c>
      <c r="L10630" t="s">
        <v>10903</v>
      </c>
    </row>
    <row r="10631" spans="1:21" x14ac:dyDescent="0.3">
      <c r="A10631" s="160">
        <v>77154</v>
      </c>
      <c r="B10631" t="s">
        <v>25614</v>
      </c>
      <c r="C10631" t="s">
        <v>176</v>
      </c>
      <c r="D10631">
        <v>1.6</v>
      </c>
      <c r="E10631">
        <v>0</v>
      </c>
      <c r="F10631">
        <f t="shared" ref="F10631:F10694" si="182">D10631+E10631</f>
        <v>1.6</v>
      </c>
      <c r="G10631">
        <v>1</v>
      </c>
      <c r="H10631">
        <f t="shared" si="181"/>
        <v>1.6</v>
      </c>
      <c r="I10631">
        <v>20170401</v>
      </c>
      <c r="J10631" t="s">
        <v>10904</v>
      </c>
    </row>
    <row r="10632" spans="1:21" x14ac:dyDescent="0.3">
      <c r="A10632" s="160">
        <v>77155</v>
      </c>
      <c r="B10632" t="s">
        <v>25615</v>
      </c>
      <c r="C10632" t="s">
        <v>176</v>
      </c>
      <c r="D10632">
        <v>2.0099999999999998</v>
      </c>
      <c r="E10632">
        <v>0</v>
      </c>
      <c r="F10632">
        <f t="shared" si="182"/>
        <v>2.0099999999999998</v>
      </c>
      <c r="G10632">
        <v>1</v>
      </c>
      <c r="H10632">
        <f t="shared" si="181"/>
        <v>2.0099999999999998</v>
      </c>
      <c r="I10632">
        <v>20170401</v>
      </c>
      <c r="J10632" t="s">
        <v>10786</v>
      </c>
    </row>
    <row r="10633" spans="1:21" x14ac:dyDescent="0.3">
      <c r="A10633" s="160">
        <v>77156</v>
      </c>
      <c r="B10633" t="s">
        <v>25616</v>
      </c>
      <c r="C10633" t="s">
        <v>176</v>
      </c>
      <c r="D10633">
        <v>1.6</v>
      </c>
      <c r="E10633">
        <v>0</v>
      </c>
      <c r="F10633">
        <f t="shared" si="182"/>
        <v>1.6</v>
      </c>
      <c r="G10633">
        <v>1</v>
      </c>
      <c r="H10633">
        <f t="shared" si="181"/>
        <v>1.6</v>
      </c>
      <c r="I10633">
        <v>20170401</v>
      </c>
      <c r="J10633" t="s">
        <v>10905</v>
      </c>
      <c r="K10633" t="s">
        <v>10737</v>
      </c>
    </row>
    <row r="10634" spans="1:21" x14ac:dyDescent="0.3">
      <c r="A10634" s="160">
        <v>77157</v>
      </c>
      <c r="B10634" t="s">
        <v>25617</v>
      </c>
      <c r="C10634" t="s">
        <v>176</v>
      </c>
      <c r="D10634">
        <v>1.6</v>
      </c>
      <c r="E10634">
        <v>0</v>
      </c>
      <c r="F10634">
        <f t="shared" si="182"/>
        <v>1.6</v>
      </c>
      <c r="G10634">
        <v>1</v>
      </c>
      <c r="H10634">
        <f t="shared" si="181"/>
        <v>1.6</v>
      </c>
      <c r="I10634">
        <v>20170401</v>
      </c>
      <c r="J10634" t="s">
        <v>10718</v>
      </c>
    </row>
    <row r="10635" spans="1:21" x14ac:dyDescent="0.3">
      <c r="A10635" s="160">
        <v>77158</v>
      </c>
      <c r="B10635" t="s">
        <v>25618</v>
      </c>
      <c r="C10635" t="s">
        <v>176</v>
      </c>
      <c r="D10635">
        <v>1.6</v>
      </c>
      <c r="E10635">
        <v>0</v>
      </c>
      <c r="F10635">
        <f t="shared" si="182"/>
        <v>1.6</v>
      </c>
      <c r="G10635">
        <v>1</v>
      </c>
      <c r="H10635">
        <f t="shared" si="181"/>
        <v>1.6</v>
      </c>
      <c r="I10635">
        <v>20170401</v>
      </c>
      <c r="J10635" t="s">
        <v>10753</v>
      </c>
    </row>
    <row r="10636" spans="1:21" x14ac:dyDescent="0.3">
      <c r="A10636" s="160">
        <v>77159</v>
      </c>
      <c r="B10636" t="s">
        <v>25619</v>
      </c>
      <c r="C10636" t="s">
        <v>176</v>
      </c>
      <c r="D10636">
        <v>1.6</v>
      </c>
      <c r="E10636">
        <v>0</v>
      </c>
      <c r="F10636">
        <f t="shared" si="182"/>
        <v>1.6</v>
      </c>
      <c r="G10636">
        <v>1</v>
      </c>
      <c r="H10636">
        <f t="shared" si="181"/>
        <v>1.6</v>
      </c>
      <c r="I10636">
        <v>20170401</v>
      </c>
      <c r="J10636" t="s">
        <v>10794</v>
      </c>
    </row>
    <row r="10637" spans="1:21" x14ac:dyDescent="0.3">
      <c r="A10637" s="160">
        <v>77161</v>
      </c>
      <c r="B10637" t="s">
        <v>25620</v>
      </c>
      <c r="C10637" t="s">
        <v>176</v>
      </c>
      <c r="D10637">
        <v>1.6</v>
      </c>
      <c r="E10637">
        <v>0</v>
      </c>
      <c r="F10637">
        <f t="shared" si="182"/>
        <v>1.6</v>
      </c>
      <c r="G10637">
        <v>1</v>
      </c>
      <c r="H10637">
        <f t="shared" si="181"/>
        <v>1.6</v>
      </c>
      <c r="I10637">
        <v>20170401</v>
      </c>
      <c r="J10637" t="s">
        <v>10744</v>
      </c>
    </row>
    <row r="10638" spans="1:21" x14ac:dyDescent="0.3">
      <c r="A10638" s="160">
        <v>77162</v>
      </c>
      <c r="B10638" t="s">
        <v>25621</v>
      </c>
      <c r="C10638" t="s">
        <v>176</v>
      </c>
      <c r="D10638">
        <v>1.6</v>
      </c>
      <c r="E10638">
        <v>0</v>
      </c>
      <c r="F10638">
        <f t="shared" si="182"/>
        <v>1.6</v>
      </c>
      <c r="G10638">
        <v>1</v>
      </c>
      <c r="H10638">
        <f t="shared" si="181"/>
        <v>1.6</v>
      </c>
      <c r="I10638">
        <v>20170401</v>
      </c>
      <c r="J10638" t="s">
        <v>10748</v>
      </c>
    </row>
    <row r="10639" spans="1:21" x14ac:dyDescent="0.3">
      <c r="A10639" s="160">
        <v>77163</v>
      </c>
      <c r="B10639" t="s">
        <v>25622</v>
      </c>
      <c r="C10639" t="s">
        <v>176</v>
      </c>
      <c r="D10639">
        <v>1.6</v>
      </c>
      <c r="E10639">
        <v>0</v>
      </c>
      <c r="F10639">
        <f t="shared" si="182"/>
        <v>1.6</v>
      </c>
      <c r="G10639">
        <v>1</v>
      </c>
      <c r="H10639">
        <f t="shared" si="181"/>
        <v>1.6</v>
      </c>
      <c r="I10639">
        <v>20170401</v>
      </c>
      <c r="J10639" t="s">
        <v>10906</v>
      </c>
    </row>
    <row r="10640" spans="1:21" x14ac:dyDescent="0.3">
      <c r="A10640" s="160">
        <v>77164</v>
      </c>
      <c r="B10640" t="s">
        <v>25623</v>
      </c>
      <c r="C10640" t="s">
        <v>176</v>
      </c>
      <c r="D10640">
        <v>1.6</v>
      </c>
      <c r="E10640">
        <v>0</v>
      </c>
      <c r="F10640">
        <f t="shared" si="182"/>
        <v>1.6</v>
      </c>
      <c r="G10640">
        <v>1</v>
      </c>
      <c r="H10640">
        <f t="shared" si="181"/>
        <v>1.6</v>
      </c>
      <c r="I10640">
        <v>20170401</v>
      </c>
      <c r="J10640" t="s">
        <v>10907</v>
      </c>
    </row>
    <row r="10641" spans="1:19" x14ac:dyDescent="0.3">
      <c r="A10641" s="160">
        <v>77165</v>
      </c>
      <c r="B10641" t="s">
        <v>25624</v>
      </c>
      <c r="C10641" t="s">
        <v>176</v>
      </c>
      <c r="D10641">
        <v>1.6</v>
      </c>
      <c r="E10641">
        <v>0</v>
      </c>
      <c r="F10641">
        <f t="shared" si="182"/>
        <v>1.6</v>
      </c>
      <c r="G10641">
        <v>1</v>
      </c>
      <c r="H10641">
        <f t="shared" si="181"/>
        <v>1.6</v>
      </c>
      <c r="I10641">
        <v>20170401</v>
      </c>
      <c r="J10641" t="s">
        <v>10828</v>
      </c>
    </row>
    <row r="10642" spans="1:19" x14ac:dyDescent="0.3">
      <c r="A10642" s="160">
        <v>77167</v>
      </c>
      <c r="B10642" t="s">
        <v>25625</v>
      </c>
      <c r="C10642" t="s">
        <v>176</v>
      </c>
      <c r="D10642">
        <v>1.6</v>
      </c>
      <c r="E10642">
        <v>0</v>
      </c>
      <c r="F10642">
        <f t="shared" si="182"/>
        <v>1.6</v>
      </c>
      <c r="G10642">
        <v>1</v>
      </c>
      <c r="H10642">
        <f t="shared" si="181"/>
        <v>1.6</v>
      </c>
      <c r="I10642">
        <v>20170401</v>
      </c>
      <c r="J10642" t="s">
        <v>10829</v>
      </c>
    </row>
    <row r="10643" spans="1:19" x14ac:dyDescent="0.3">
      <c r="A10643" s="160">
        <v>77168</v>
      </c>
      <c r="B10643" t="s">
        <v>25626</v>
      </c>
      <c r="C10643" t="s">
        <v>176</v>
      </c>
      <c r="D10643">
        <v>1.6</v>
      </c>
      <c r="E10643">
        <v>0</v>
      </c>
      <c r="F10643">
        <f t="shared" si="182"/>
        <v>1.6</v>
      </c>
      <c r="G10643">
        <v>1</v>
      </c>
      <c r="H10643">
        <f t="shared" si="181"/>
        <v>1.6</v>
      </c>
      <c r="I10643">
        <v>20170401</v>
      </c>
      <c r="J10643" t="s">
        <v>10765</v>
      </c>
    </row>
    <row r="10644" spans="1:19" x14ac:dyDescent="0.3">
      <c r="A10644" s="160">
        <v>77169</v>
      </c>
      <c r="B10644" t="s">
        <v>25627</v>
      </c>
      <c r="C10644" t="s">
        <v>176</v>
      </c>
      <c r="D10644">
        <v>2.0099999999999998</v>
      </c>
      <c r="E10644">
        <v>0</v>
      </c>
      <c r="F10644">
        <f t="shared" si="182"/>
        <v>2.0099999999999998</v>
      </c>
      <c r="G10644">
        <v>1</v>
      </c>
      <c r="H10644">
        <f t="shared" si="181"/>
        <v>2.0099999999999998</v>
      </c>
      <c r="I10644">
        <v>20170401</v>
      </c>
      <c r="J10644" t="s">
        <v>10908</v>
      </c>
      <c r="K10644" t="s">
        <v>10909</v>
      </c>
      <c r="L10644" t="s">
        <v>10882</v>
      </c>
      <c r="M10644" t="s">
        <v>10883</v>
      </c>
      <c r="N10644" t="s">
        <v>10884</v>
      </c>
      <c r="O10644" t="s">
        <v>10813</v>
      </c>
      <c r="P10644" t="s">
        <v>10815</v>
      </c>
      <c r="Q10644" t="s">
        <v>10817</v>
      </c>
      <c r="R10644" t="s">
        <v>10888</v>
      </c>
      <c r="S10644" t="s">
        <v>10818</v>
      </c>
    </row>
    <row r="10645" spans="1:19" x14ac:dyDescent="0.3">
      <c r="A10645" s="160">
        <v>77170</v>
      </c>
      <c r="B10645" t="s">
        <v>25627</v>
      </c>
      <c r="C10645" t="s">
        <v>176</v>
      </c>
      <c r="D10645">
        <v>1.6</v>
      </c>
      <c r="E10645">
        <v>0</v>
      </c>
      <c r="F10645">
        <f t="shared" si="182"/>
        <v>1.6</v>
      </c>
      <c r="G10645">
        <v>1</v>
      </c>
      <c r="H10645">
        <f t="shared" si="181"/>
        <v>1.6</v>
      </c>
      <c r="I10645">
        <v>20170401</v>
      </c>
      <c r="J10645" t="s">
        <v>10910</v>
      </c>
    </row>
    <row r="10646" spans="1:19" x14ac:dyDescent="0.3">
      <c r="A10646" s="160">
        <v>77171</v>
      </c>
      <c r="B10646" t="s">
        <v>25628</v>
      </c>
      <c r="C10646" t="s">
        <v>176</v>
      </c>
      <c r="D10646">
        <v>1.6</v>
      </c>
      <c r="E10646">
        <v>0</v>
      </c>
      <c r="F10646">
        <f t="shared" si="182"/>
        <v>1.6</v>
      </c>
      <c r="G10646">
        <v>1</v>
      </c>
      <c r="H10646">
        <f t="shared" si="181"/>
        <v>1.6</v>
      </c>
      <c r="I10646">
        <v>20170401</v>
      </c>
      <c r="J10646" t="s">
        <v>10867</v>
      </c>
    </row>
    <row r="10647" spans="1:19" x14ac:dyDescent="0.3">
      <c r="A10647" s="160">
        <v>77172</v>
      </c>
      <c r="B10647" t="s">
        <v>25629</v>
      </c>
      <c r="C10647" t="s">
        <v>176</v>
      </c>
      <c r="D10647">
        <v>1.6</v>
      </c>
      <c r="E10647">
        <v>0</v>
      </c>
      <c r="F10647">
        <f t="shared" si="182"/>
        <v>1.6</v>
      </c>
      <c r="G10647">
        <v>1</v>
      </c>
      <c r="H10647">
        <f t="shared" si="181"/>
        <v>1.6</v>
      </c>
      <c r="I10647">
        <v>20170401</v>
      </c>
      <c r="J10647" t="s">
        <v>10911</v>
      </c>
      <c r="K10647" t="s">
        <v>10912</v>
      </c>
      <c r="L10647" t="s">
        <v>10753</v>
      </c>
    </row>
    <row r="10648" spans="1:19" x14ac:dyDescent="0.3">
      <c r="A10648" s="160">
        <v>77173</v>
      </c>
      <c r="B10648" t="s">
        <v>15445</v>
      </c>
      <c r="C10648" t="s">
        <v>176</v>
      </c>
      <c r="D10648">
        <v>1.6</v>
      </c>
      <c r="E10648">
        <v>0</v>
      </c>
      <c r="F10648">
        <f t="shared" si="182"/>
        <v>1.6</v>
      </c>
      <c r="G10648">
        <v>1</v>
      </c>
      <c r="H10648">
        <f t="shared" si="181"/>
        <v>1.6</v>
      </c>
      <c r="I10648">
        <v>20170401</v>
      </c>
      <c r="J10648" t="s">
        <v>10906</v>
      </c>
    </row>
    <row r="10649" spans="1:19" x14ac:dyDescent="0.3">
      <c r="A10649" s="160">
        <v>77174</v>
      </c>
      <c r="B10649" t="s">
        <v>25630</v>
      </c>
      <c r="C10649" t="s">
        <v>176</v>
      </c>
      <c r="D10649">
        <v>1.6</v>
      </c>
      <c r="E10649">
        <v>0</v>
      </c>
      <c r="F10649">
        <f t="shared" si="182"/>
        <v>1.6</v>
      </c>
      <c r="G10649">
        <v>1</v>
      </c>
      <c r="H10649">
        <f t="shared" si="181"/>
        <v>1.6</v>
      </c>
      <c r="I10649">
        <v>20170401</v>
      </c>
      <c r="J10649" t="s">
        <v>10913</v>
      </c>
    </row>
    <row r="10650" spans="1:19" x14ac:dyDescent="0.3">
      <c r="A10650" s="160">
        <v>77175</v>
      </c>
      <c r="B10650" t="s">
        <v>25631</v>
      </c>
      <c r="C10650" t="s">
        <v>176</v>
      </c>
      <c r="D10650">
        <v>1.6</v>
      </c>
      <c r="E10650">
        <v>0</v>
      </c>
      <c r="F10650">
        <f t="shared" si="182"/>
        <v>1.6</v>
      </c>
      <c r="G10650">
        <v>1</v>
      </c>
      <c r="H10650">
        <f t="shared" si="181"/>
        <v>1.6</v>
      </c>
      <c r="I10650">
        <v>20170401</v>
      </c>
      <c r="J10650" t="s">
        <v>10914</v>
      </c>
      <c r="K10650" t="s">
        <v>10773</v>
      </c>
    </row>
    <row r="10651" spans="1:19" x14ac:dyDescent="0.3">
      <c r="A10651" s="160">
        <v>77176</v>
      </c>
      <c r="B10651" t="s">
        <v>25632</v>
      </c>
      <c r="C10651" t="s">
        <v>176</v>
      </c>
      <c r="D10651">
        <v>1.6</v>
      </c>
      <c r="E10651">
        <v>0</v>
      </c>
      <c r="F10651">
        <f t="shared" si="182"/>
        <v>1.6</v>
      </c>
      <c r="G10651">
        <v>1</v>
      </c>
      <c r="H10651">
        <f t="shared" si="181"/>
        <v>1.6</v>
      </c>
      <c r="I10651">
        <v>20170401</v>
      </c>
      <c r="J10651" t="s">
        <v>10788</v>
      </c>
    </row>
    <row r="10652" spans="1:19" x14ac:dyDescent="0.3">
      <c r="A10652" s="160">
        <v>77177</v>
      </c>
      <c r="B10652" t="s">
        <v>17934</v>
      </c>
      <c r="C10652" t="s">
        <v>176</v>
      </c>
      <c r="D10652">
        <v>1.6</v>
      </c>
      <c r="E10652">
        <v>0</v>
      </c>
      <c r="F10652">
        <f t="shared" si="182"/>
        <v>1.6</v>
      </c>
      <c r="G10652">
        <v>1</v>
      </c>
      <c r="H10652">
        <f t="shared" si="181"/>
        <v>1.6</v>
      </c>
      <c r="I10652">
        <v>20170401</v>
      </c>
      <c r="J10652" t="s">
        <v>10915</v>
      </c>
    </row>
    <row r="10653" spans="1:19" x14ac:dyDescent="0.3">
      <c r="A10653" s="160">
        <v>77178</v>
      </c>
      <c r="B10653" t="s">
        <v>25633</v>
      </c>
      <c r="C10653" t="s">
        <v>176</v>
      </c>
      <c r="D10653">
        <v>1.6</v>
      </c>
      <c r="E10653">
        <v>0</v>
      </c>
      <c r="F10653">
        <f t="shared" si="182"/>
        <v>1.6</v>
      </c>
      <c r="G10653">
        <v>1</v>
      </c>
      <c r="H10653">
        <f t="shared" si="181"/>
        <v>1.6</v>
      </c>
      <c r="I10653">
        <v>20170401</v>
      </c>
      <c r="J10653" t="s">
        <v>10735</v>
      </c>
    </row>
    <row r="10654" spans="1:19" x14ac:dyDescent="0.3">
      <c r="A10654" s="160">
        <v>77179</v>
      </c>
      <c r="B10654" t="s">
        <v>25634</v>
      </c>
      <c r="C10654" t="s">
        <v>176</v>
      </c>
      <c r="D10654">
        <v>1.6</v>
      </c>
      <c r="E10654">
        <v>0</v>
      </c>
      <c r="F10654">
        <f t="shared" si="182"/>
        <v>1.6</v>
      </c>
      <c r="G10654">
        <v>1</v>
      </c>
      <c r="H10654">
        <f t="shared" si="181"/>
        <v>1.6</v>
      </c>
      <c r="I10654">
        <v>20170401</v>
      </c>
      <c r="J10654" t="s">
        <v>10916</v>
      </c>
    </row>
    <row r="10655" spans="1:19" x14ac:dyDescent="0.3">
      <c r="A10655" s="160">
        <v>77180</v>
      </c>
      <c r="B10655" t="s">
        <v>25635</v>
      </c>
      <c r="C10655" t="s">
        <v>176</v>
      </c>
      <c r="D10655">
        <v>1.6</v>
      </c>
      <c r="E10655">
        <v>0</v>
      </c>
      <c r="F10655">
        <f t="shared" si="182"/>
        <v>1.6</v>
      </c>
      <c r="G10655">
        <v>1</v>
      </c>
      <c r="H10655">
        <f t="shared" si="181"/>
        <v>1.6</v>
      </c>
      <c r="I10655">
        <v>20170401</v>
      </c>
      <c r="J10655" t="s">
        <v>10917</v>
      </c>
    </row>
    <row r="10656" spans="1:19" x14ac:dyDescent="0.3">
      <c r="A10656" s="160">
        <v>77181</v>
      </c>
      <c r="B10656" t="s">
        <v>25636</v>
      </c>
      <c r="C10656" t="s">
        <v>176</v>
      </c>
      <c r="D10656">
        <v>2.0099999999999998</v>
      </c>
      <c r="E10656">
        <v>0</v>
      </c>
      <c r="F10656">
        <f t="shared" si="182"/>
        <v>2.0099999999999998</v>
      </c>
      <c r="G10656">
        <v>1</v>
      </c>
      <c r="H10656">
        <f t="shared" si="181"/>
        <v>2.0099999999999998</v>
      </c>
      <c r="I10656">
        <v>20170401</v>
      </c>
      <c r="J10656" t="s">
        <v>10918</v>
      </c>
      <c r="K10656" t="s">
        <v>10778</v>
      </c>
      <c r="L10656" t="s">
        <v>10919</v>
      </c>
      <c r="M10656" t="s">
        <v>10920</v>
      </c>
    </row>
    <row r="10657" spans="1:19" x14ac:dyDescent="0.3">
      <c r="A10657" s="160">
        <v>77182</v>
      </c>
      <c r="B10657" t="s">
        <v>25637</v>
      </c>
      <c r="C10657" t="s">
        <v>176</v>
      </c>
      <c r="D10657">
        <v>1.6</v>
      </c>
      <c r="E10657">
        <v>0</v>
      </c>
      <c r="F10657">
        <f t="shared" si="182"/>
        <v>1.6</v>
      </c>
      <c r="G10657">
        <v>1</v>
      </c>
      <c r="H10657">
        <f t="shared" si="181"/>
        <v>1.6</v>
      </c>
      <c r="I10657">
        <v>20170401</v>
      </c>
      <c r="J10657" t="s">
        <v>10750</v>
      </c>
    </row>
    <row r="10658" spans="1:19" x14ac:dyDescent="0.3">
      <c r="A10658" s="160">
        <v>77183</v>
      </c>
      <c r="B10658" t="s">
        <v>25638</v>
      </c>
      <c r="C10658" t="s">
        <v>176</v>
      </c>
      <c r="D10658">
        <v>1.6</v>
      </c>
      <c r="E10658">
        <v>0</v>
      </c>
      <c r="F10658">
        <f t="shared" si="182"/>
        <v>1.6</v>
      </c>
      <c r="G10658">
        <v>1</v>
      </c>
      <c r="H10658">
        <f t="shared" si="181"/>
        <v>1.6</v>
      </c>
      <c r="I10658">
        <v>20170401</v>
      </c>
      <c r="J10658" t="s">
        <v>10806</v>
      </c>
      <c r="K10658" t="s">
        <v>10807</v>
      </c>
      <c r="L10658" t="s">
        <v>10921</v>
      </c>
      <c r="M10658" t="s">
        <v>10922</v>
      </c>
    </row>
    <row r="10659" spans="1:19" x14ac:dyDescent="0.3">
      <c r="A10659" s="160">
        <v>77184</v>
      </c>
      <c r="B10659" t="s">
        <v>25639</v>
      </c>
      <c r="C10659" t="s">
        <v>176</v>
      </c>
      <c r="D10659">
        <v>1.6</v>
      </c>
      <c r="E10659">
        <v>0</v>
      </c>
      <c r="F10659">
        <f t="shared" si="182"/>
        <v>1.6</v>
      </c>
      <c r="G10659">
        <v>1</v>
      </c>
      <c r="H10659">
        <f t="shared" si="181"/>
        <v>1.6</v>
      </c>
      <c r="I10659">
        <v>20170401</v>
      </c>
      <c r="J10659" t="s">
        <v>10753</v>
      </c>
    </row>
    <row r="10660" spans="1:19" x14ac:dyDescent="0.3">
      <c r="A10660" s="160">
        <v>77185</v>
      </c>
      <c r="B10660" t="s">
        <v>25640</v>
      </c>
      <c r="C10660" t="s">
        <v>176</v>
      </c>
      <c r="D10660">
        <v>1.6</v>
      </c>
      <c r="E10660">
        <v>0</v>
      </c>
      <c r="F10660">
        <f t="shared" si="182"/>
        <v>1.6</v>
      </c>
      <c r="G10660">
        <v>1</v>
      </c>
      <c r="H10660">
        <f t="shared" si="181"/>
        <v>1.6</v>
      </c>
      <c r="I10660">
        <v>20170401</v>
      </c>
      <c r="J10660" t="s">
        <v>10789</v>
      </c>
    </row>
    <row r="10661" spans="1:19" x14ac:dyDescent="0.3">
      <c r="A10661" s="160">
        <v>77186</v>
      </c>
      <c r="B10661" t="s">
        <v>25641</v>
      </c>
      <c r="C10661" t="s">
        <v>176</v>
      </c>
      <c r="D10661">
        <v>1.6</v>
      </c>
      <c r="E10661">
        <v>0</v>
      </c>
      <c r="F10661">
        <f t="shared" si="182"/>
        <v>1.6</v>
      </c>
      <c r="G10661">
        <v>1</v>
      </c>
      <c r="H10661">
        <f t="shared" si="181"/>
        <v>1.6</v>
      </c>
      <c r="I10661">
        <v>20170401</v>
      </c>
      <c r="J10661" t="s">
        <v>10725</v>
      </c>
      <c r="K10661" t="s">
        <v>10726</v>
      </c>
      <c r="L10661" t="s">
        <v>10923</v>
      </c>
      <c r="M10661" t="s">
        <v>10924</v>
      </c>
      <c r="N10661" t="s">
        <v>10925</v>
      </c>
      <c r="O10661" t="s">
        <v>10926</v>
      </c>
      <c r="P10661" t="s">
        <v>10927</v>
      </c>
      <c r="Q10661" t="s">
        <v>10928</v>
      </c>
      <c r="R10661" t="s">
        <v>10929</v>
      </c>
      <c r="S10661" t="s">
        <v>10930</v>
      </c>
    </row>
    <row r="10662" spans="1:19" x14ac:dyDescent="0.3">
      <c r="A10662" s="160">
        <v>77187</v>
      </c>
      <c r="B10662" t="s">
        <v>25642</v>
      </c>
      <c r="C10662" t="s">
        <v>176</v>
      </c>
      <c r="D10662">
        <v>1.6</v>
      </c>
      <c r="E10662">
        <v>0</v>
      </c>
      <c r="F10662">
        <f t="shared" si="182"/>
        <v>1.6</v>
      </c>
      <c r="G10662">
        <v>1</v>
      </c>
      <c r="H10662">
        <f t="shared" si="181"/>
        <v>1.6</v>
      </c>
      <c r="I10662">
        <v>20170401</v>
      </c>
      <c r="J10662" t="s">
        <v>10734</v>
      </c>
    </row>
    <row r="10663" spans="1:19" x14ac:dyDescent="0.3">
      <c r="A10663" s="160">
        <v>77188</v>
      </c>
      <c r="B10663" t="s">
        <v>25643</v>
      </c>
      <c r="C10663" t="s">
        <v>176</v>
      </c>
      <c r="D10663">
        <v>1.6</v>
      </c>
      <c r="E10663">
        <v>0</v>
      </c>
      <c r="F10663">
        <f t="shared" si="182"/>
        <v>1.6</v>
      </c>
      <c r="G10663">
        <v>1</v>
      </c>
      <c r="H10663">
        <f t="shared" si="181"/>
        <v>1.6</v>
      </c>
      <c r="I10663">
        <v>20170401</v>
      </c>
      <c r="J10663" t="s">
        <v>10754</v>
      </c>
    </row>
    <row r="10664" spans="1:19" x14ac:dyDescent="0.3">
      <c r="A10664" s="160">
        <v>77190</v>
      </c>
      <c r="B10664" t="s">
        <v>25644</v>
      </c>
      <c r="C10664" t="s">
        <v>176</v>
      </c>
      <c r="D10664">
        <v>1.6</v>
      </c>
      <c r="E10664">
        <v>0</v>
      </c>
      <c r="F10664">
        <f t="shared" si="182"/>
        <v>1.6</v>
      </c>
      <c r="G10664">
        <v>1</v>
      </c>
      <c r="H10664">
        <f t="shared" si="181"/>
        <v>1.6</v>
      </c>
      <c r="I10664">
        <v>20170401</v>
      </c>
      <c r="J10664" t="s">
        <v>10825</v>
      </c>
    </row>
    <row r="10665" spans="1:19" x14ac:dyDescent="0.3">
      <c r="A10665" s="160">
        <v>77191</v>
      </c>
      <c r="B10665" t="s">
        <v>25645</v>
      </c>
      <c r="C10665" t="s">
        <v>176</v>
      </c>
      <c r="D10665">
        <v>1.6</v>
      </c>
      <c r="E10665">
        <v>0</v>
      </c>
      <c r="F10665">
        <f t="shared" si="182"/>
        <v>1.6</v>
      </c>
      <c r="G10665">
        <v>1</v>
      </c>
      <c r="H10665">
        <f t="shared" si="181"/>
        <v>1.6</v>
      </c>
      <c r="I10665">
        <v>20170401</v>
      </c>
      <c r="J10665" t="s">
        <v>10825</v>
      </c>
    </row>
    <row r="10666" spans="1:19" x14ac:dyDescent="0.3">
      <c r="A10666" s="160">
        <v>77192</v>
      </c>
      <c r="B10666" t="s">
        <v>25646</v>
      </c>
      <c r="C10666" t="s">
        <v>176</v>
      </c>
      <c r="D10666">
        <v>1.6</v>
      </c>
      <c r="E10666">
        <v>0</v>
      </c>
      <c r="F10666">
        <f t="shared" si="182"/>
        <v>1.6</v>
      </c>
      <c r="G10666">
        <v>1</v>
      </c>
      <c r="H10666">
        <f t="shared" si="181"/>
        <v>1.6</v>
      </c>
      <c r="I10666">
        <v>20170401</v>
      </c>
      <c r="J10666" t="s">
        <v>10826</v>
      </c>
    </row>
    <row r="10667" spans="1:19" x14ac:dyDescent="0.3">
      <c r="A10667" s="160">
        <v>77193</v>
      </c>
      <c r="B10667" t="s">
        <v>25647</v>
      </c>
      <c r="C10667" t="s">
        <v>176</v>
      </c>
      <c r="D10667">
        <v>1.6</v>
      </c>
      <c r="E10667">
        <v>0</v>
      </c>
      <c r="F10667">
        <f t="shared" si="182"/>
        <v>1.6</v>
      </c>
      <c r="G10667">
        <v>1</v>
      </c>
      <c r="H10667">
        <f t="shared" si="181"/>
        <v>1.6</v>
      </c>
      <c r="I10667">
        <v>20170401</v>
      </c>
      <c r="J10667" t="s">
        <v>10889</v>
      </c>
    </row>
    <row r="10668" spans="1:19" x14ac:dyDescent="0.3">
      <c r="A10668" s="160">
        <v>77194</v>
      </c>
      <c r="B10668" t="s">
        <v>20327</v>
      </c>
      <c r="C10668" t="s">
        <v>176</v>
      </c>
      <c r="D10668">
        <v>1.6</v>
      </c>
      <c r="E10668">
        <v>0</v>
      </c>
      <c r="F10668">
        <f t="shared" si="182"/>
        <v>1.6</v>
      </c>
      <c r="G10668">
        <v>1</v>
      </c>
      <c r="H10668">
        <f t="shared" si="181"/>
        <v>1.6</v>
      </c>
      <c r="I10668">
        <v>20170401</v>
      </c>
      <c r="J10668" t="s">
        <v>10744</v>
      </c>
    </row>
    <row r="10669" spans="1:19" x14ac:dyDescent="0.3">
      <c r="A10669" s="160">
        <v>77195</v>
      </c>
      <c r="B10669" t="s">
        <v>25648</v>
      </c>
      <c r="C10669" t="s">
        <v>176</v>
      </c>
      <c r="D10669">
        <v>1.6</v>
      </c>
      <c r="E10669">
        <v>0</v>
      </c>
      <c r="F10669">
        <f t="shared" si="182"/>
        <v>1.6</v>
      </c>
      <c r="G10669">
        <v>1</v>
      </c>
      <c r="H10669">
        <f t="shared" si="181"/>
        <v>1.6</v>
      </c>
      <c r="I10669">
        <v>20170401</v>
      </c>
      <c r="J10669" t="s">
        <v>10712</v>
      </c>
    </row>
    <row r="10670" spans="1:19" x14ac:dyDescent="0.3">
      <c r="A10670" s="160">
        <v>77196</v>
      </c>
      <c r="B10670" t="s">
        <v>25649</v>
      </c>
      <c r="C10670" t="s">
        <v>176</v>
      </c>
      <c r="D10670">
        <v>1.6</v>
      </c>
      <c r="E10670">
        <v>0</v>
      </c>
      <c r="F10670">
        <f t="shared" si="182"/>
        <v>1.6</v>
      </c>
      <c r="G10670">
        <v>1</v>
      </c>
      <c r="H10670">
        <f t="shared" si="181"/>
        <v>1.6</v>
      </c>
      <c r="I10670">
        <v>20170401</v>
      </c>
      <c r="J10670" t="s">
        <v>10713</v>
      </c>
    </row>
    <row r="10671" spans="1:19" x14ac:dyDescent="0.3">
      <c r="A10671" s="160">
        <v>77197</v>
      </c>
      <c r="B10671" t="s">
        <v>25650</v>
      </c>
      <c r="C10671" t="s">
        <v>176</v>
      </c>
      <c r="D10671">
        <v>1.6</v>
      </c>
      <c r="E10671">
        <v>0</v>
      </c>
      <c r="F10671">
        <f t="shared" si="182"/>
        <v>1.6</v>
      </c>
      <c r="G10671">
        <v>1</v>
      </c>
      <c r="H10671">
        <f t="shared" si="181"/>
        <v>1.6</v>
      </c>
      <c r="I10671">
        <v>20170401</v>
      </c>
      <c r="J10671" t="s">
        <v>10750</v>
      </c>
    </row>
    <row r="10672" spans="1:19" x14ac:dyDescent="0.3">
      <c r="A10672" s="160">
        <v>77198</v>
      </c>
      <c r="B10672" t="s">
        <v>25651</v>
      </c>
      <c r="C10672" t="s">
        <v>176</v>
      </c>
      <c r="D10672">
        <v>1.6</v>
      </c>
      <c r="E10672">
        <v>0</v>
      </c>
      <c r="F10672">
        <f t="shared" si="182"/>
        <v>1.6</v>
      </c>
      <c r="G10672">
        <v>1</v>
      </c>
      <c r="H10672">
        <f t="shared" si="181"/>
        <v>1.6</v>
      </c>
      <c r="I10672">
        <v>20170401</v>
      </c>
      <c r="J10672" t="s">
        <v>10710</v>
      </c>
    </row>
    <row r="10673" spans="1:13" x14ac:dyDescent="0.3">
      <c r="A10673" s="160">
        <v>77199</v>
      </c>
      <c r="B10673" t="s">
        <v>25652</v>
      </c>
      <c r="C10673" t="s">
        <v>176</v>
      </c>
      <c r="D10673">
        <v>1.6</v>
      </c>
      <c r="E10673">
        <v>0</v>
      </c>
      <c r="F10673">
        <f t="shared" si="182"/>
        <v>1.6</v>
      </c>
      <c r="G10673">
        <v>1</v>
      </c>
      <c r="H10673">
        <f t="shared" si="181"/>
        <v>1.6</v>
      </c>
      <c r="I10673">
        <v>20170401</v>
      </c>
      <c r="J10673" t="s">
        <v>10764</v>
      </c>
    </row>
    <row r="10674" spans="1:13" x14ac:dyDescent="0.3">
      <c r="A10674" s="160">
        <v>77200</v>
      </c>
      <c r="B10674" t="s">
        <v>25653</v>
      </c>
      <c r="C10674" t="s">
        <v>176</v>
      </c>
      <c r="D10674">
        <v>1.6</v>
      </c>
      <c r="E10674">
        <v>0</v>
      </c>
      <c r="F10674">
        <f t="shared" si="182"/>
        <v>1.6</v>
      </c>
      <c r="G10674">
        <v>1</v>
      </c>
      <c r="H10674">
        <f t="shared" si="181"/>
        <v>1.6</v>
      </c>
      <c r="I10674">
        <v>20170401</v>
      </c>
      <c r="J10674" t="s">
        <v>10719</v>
      </c>
    </row>
    <row r="10675" spans="1:13" x14ac:dyDescent="0.3">
      <c r="A10675" s="160">
        <v>77201</v>
      </c>
      <c r="B10675" t="s">
        <v>25654</v>
      </c>
      <c r="C10675" t="s">
        <v>176</v>
      </c>
      <c r="D10675">
        <v>1.6</v>
      </c>
      <c r="E10675">
        <v>0</v>
      </c>
      <c r="F10675">
        <f t="shared" si="182"/>
        <v>1.6</v>
      </c>
      <c r="G10675">
        <v>1</v>
      </c>
      <c r="H10675">
        <f t="shared" ref="H10675:H10738" si="183">G10675*F10675</f>
        <v>1.6</v>
      </c>
      <c r="I10675">
        <v>20170401</v>
      </c>
      <c r="J10675" t="s">
        <v>10825</v>
      </c>
    </row>
    <row r="10676" spans="1:13" x14ac:dyDescent="0.3">
      <c r="A10676" s="160">
        <v>77202</v>
      </c>
      <c r="B10676" t="s">
        <v>25655</v>
      </c>
      <c r="C10676" t="s">
        <v>176</v>
      </c>
      <c r="D10676">
        <v>1.6</v>
      </c>
      <c r="E10676">
        <v>0</v>
      </c>
      <c r="F10676">
        <f t="shared" si="182"/>
        <v>1.6</v>
      </c>
      <c r="G10676">
        <v>1</v>
      </c>
      <c r="H10676">
        <f t="shared" si="183"/>
        <v>1.6</v>
      </c>
      <c r="I10676">
        <v>20170401</v>
      </c>
      <c r="J10676" t="s">
        <v>10931</v>
      </c>
      <c r="K10676" t="s">
        <v>10810</v>
      </c>
    </row>
    <row r="10677" spans="1:13" x14ac:dyDescent="0.3">
      <c r="A10677" s="160">
        <v>77203</v>
      </c>
      <c r="B10677" t="s">
        <v>25656</v>
      </c>
      <c r="C10677" t="s">
        <v>176</v>
      </c>
      <c r="D10677">
        <v>1.6</v>
      </c>
      <c r="E10677">
        <v>0</v>
      </c>
      <c r="F10677">
        <f t="shared" si="182"/>
        <v>1.6</v>
      </c>
      <c r="G10677">
        <v>1</v>
      </c>
      <c r="H10677">
        <f t="shared" si="183"/>
        <v>1.6</v>
      </c>
      <c r="I10677">
        <v>20170401</v>
      </c>
      <c r="J10677" t="s">
        <v>10932</v>
      </c>
      <c r="K10677" t="s">
        <v>10746</v>
      </c>
    </row>
    <row r="10678" spans="1:13" x14ac:dyDescent="0.3">
      <c r="A10678" s="160">
        <v>77204</v>
      </c>
      <c r="B10678" t="s">
        <v>25657</v>
      </c>
      <c r="C10678" t="s">
        <v>176</v>
      </c>
      <c r="D10678">
        <v>1.6</v>
      </c>
      <c r="E10678">
        <v>0</v>
      </c>
      <c r="F10678">
        <f t="shared" si="182"/>
        <v>1.6</v>
      </c>
      <c r="G10678">
        <v>1</v>
      </c>
      <c r="H10678">
        <f t="shared" si="183"/>
        <v>1.6</v>
      </c>
      <c r="I10678">
        <v>20170401</v>
      </c>
      <c r="J10678" t="s">
        <v>10870</v>
      </c>
    </row>
    <row r="10679" spans="1:13" x14ac:dyDescent="0.3">
      <c r="A10679" s="160">
        <v>77205</v>
      </c>
      <c r="B10679" t="s">
        <v>25658</v>
      </c>
      <c r="C10679" t="s">
        <v>176</v>
      </c>
      <c r="D10679">
        <v>1.6</v>
      </c>
      <c r="E10679">
        <v>0</v>
      </c>
      <c r="F10679">
        <f t="shared" si="182"/>
        <v>1.6</v>
      </c>
      <c r="G10679">
        <v>1</v>
      </c>
      <c r="H10679">
        <f t="shared" si="183"/>
        <v>1.6</v>
      </c>
      <c r="I10679">
        <v>20170401</v>
      </c>
      <c r="J10679" t="s">
        <v>10889</v>
      </c>
    </row>
    <row r="10680" spans="1:13" x14ac:dyDescent="0.3">
      <c r="A10680" s="160">
        <v>77206</v>
      </c>
      <c r="B10680" t="s">
        <v>25659</v>
      </c>
      <c r="C10680" t="s">
        <v>176</v>
      </c>
      <c r="D10680">
        <v>1.6</v>
      </c>
      <c r="E10680">
        <v>0</v>
      </c>
      <c r="F10680">
        <f t="shared" si="182"/>
        <v>1.6</v>
      </c>
      <c r="G10680">
        <v>1</v>
      </c>
      <c r="H10680">
        <f t="shared" si="183"/>
        <v>1.6</v>
      </c>
      <c r="I10680">
        <v>20170401</v>
      </c>
      <c r="J10680" t="s">
        <v>10711</v>
      </c>
    </row>
    <row r="10681" spans="1:13" x14ac:dyDescent="0.3">
      <c r="A10681" s="160">
        <v>77207</v>
      </c>
      <c r="B10681" t="s">
        <v>25660</v>
      </c>
      <c r="C10681" t="s">
        <v>176</v>
      </c>
      <c r="D10681">
        <v>1.6</v>
      </c>
      <c r="E10681">
        <v>0</v>
      </c>
      <c r="F10681">
        <f t="shared" si="182"/>
        <v>1.6</v>
      </c>
      <c r="G10681">
        <v>1</v>
      </c>
      <c r="H10681">
        <f t="shared" si="183"/>
        <v>1.6</v>
      </c>
      <c r="I10681">
        <v>20240101</v>
      </c>
      <c r="J10681" t="s">
        <v>10719</v>
      </c>
    </row>
    <row r="10682" spans="1:13" x14ac:dyDescent="0.3">
      <c r="A10682" s="160">
        <v>77208</v>
      </c>
      <c r="B10682" t="s">
        <v>25661</v>
      </c>
      <c r="C10682" t="s">
        <v>176</v>
      </c>
      <c r="D10682">
        <v>1.6</v>
      </c>
      <c r="E10682">
        <v>0</v>
      </c>
      <c r="F10682">
        <f t="shared" si="182"/>
        <v>1.6</v>
      </c>
      <c r="G10682">
        <v>1</v>
      </c>
      <c r="H10682">
        <f t="shared" si="183"/>
        <v>1.6</v>
      </c>
      <c r="I10682">
        <v>20170401</v>
      </c>
      <c r="J10682" t="s">
        <v>10933</v>
      </c>
    </row>
    <row r="10683" spans="1:13" x14ac:dyDescent="0.3">
      <c r="A10683" s="160">
        <v>77209</v>
      </c>
      <c r="B10683" t="s">
        <v>25662</v>
      </c>
      <c r="C10683" t="s">
        <v>176</v>
      </c>
      <c r="D10683">
        <v>2.0099999999999998</v>
      </c>
      <c r="E10683">
        <v>0</v>
      </c>
      <c r="F10683">
        <f t="shared" si="182"/>
        <v>2.0099999999999998</v>
      </c>
      <c r="G10683">
        <v>1</v>
      </c>
      <c r="H10683">
        <f t="shared" si="183"/>
        <v>2.0099999999999998</v>
      </c>
      <c r="I10683">
        <v>20170401</v>
      </c>
      <c r="J10683" t="s">
        <v>10786</v>
      </c>
      <c r="K10683" t="s">
        <v>10934</v>
      </c>
      <c r="L10683" t="s">
        <v>10935</v>
      </c>
    </row>
    <row r="10684" spans="1:13" x14ac:dyDescent="0.3">
      <c r="A10684" s="160">
        <v>77210</v>
      </c>
      <c r="B10684" t="s">
        <v>25663</v>
      </c>
      <c r="C10684" t="s">
        <v>176</v>
      </c>
      <c r="D10684">
        <v>1.6</v>
      </c>
      <c r="E10684">
        <v>0</v>
      </c>
      <c r="F10684">
        <f t="shared" si="182"/>
        <v>1.6</v>
      </c>
      <c r="G10684">
        <v>1</v>
      </c>
      <c r="H10684">
        <f t="shared" si="183"/>
        <v>1.6</v>
      </c>
      <c r="I10684">
        <v>20170401</v>
      </c>
      <c r="J10684" t="s">
        <v>10744</v>
      </c>
      <c r="K10684" t="s">
        <v>10936</v>
      </c>
      <c r="L10684" t="s">
        <v>10784</v>
      </c>
      <c r="M10684" t="s">
        <v>10785</v>
      </c>
    </row>
    <row r="10685" spans="1:13" x14ac:dyDescent="0.3">
      <c r="A10685" s="160">
        <v>77211</v>
      </c>
      <c r="B10685" t="s">
        <v>25664</v>
      </c>
      <c r="C10685" t="s">
        <v>176</v>
      </c>
      <c r="D10685">
        <v>1.6</v>
      </c>
      <c r="E10685">
        <v>0</v>
      </c>
      <c r="F10685">
        <f t="shared" si="182"/>
        <v>1.6</v>
      </c>
      <c r="G10685">
        <v>1</v>
      </c>
      <c r="H10685">
        <f t="shared" si="183"/>
        <v>1.6</v>
      </c>
      <c r="I10685">
        <v>20170401</v>
      </c>
      <c r="J10685" t="s">
        <v>10720</v>
      </c>
      <c r="K10685" t="s">
        <v>10721</v>
      </c>
      <c r="L10685" t="s">
        <v>10766</v>
      </c>
    </row>
    <row r="10686" spans="1:13" x14ac:dyDescent="0.3">
      <c r="A10686" s="160">
        <v>77212</v>
      </c>
      <c r="B10686" t="s">
        <v>25665</v>
      </c>
      <c r="C10686" t="s">
        <v>176</v>
      </c>
      <c r="D10686">
        <v>1.6</v>
      </c>
      <c r="E10686">
        <v>0</v>
      </c>
      <c r="F10686">
        <f t="shared" si="182"/>
        <v>1.6</v>
      </c>
      <c r="G10686">
        <v>1</v>
      </c>
      <c r="H10686">
        <f t="shared" si="183"/>
        <v>1.6</v>
      </c>
      <c r="I10686">
        <v>20170401</v>
      </c>
      <c r="J10686" t="s">
        <v>10742</v>
      </c>
    </row>
    <row r="10687" spans="1:13" x14ac:dyDescent="0.3">
      <c r="A10687" s="160">
        <v>77214</v>
      </c>
      <c r="B10687" t="s">
        <v>25666</v>
      </c>
      <c r="C10687" t="s">
        <v>176</v>
      </c>
      <c r="D10687">
        <v>1.6</v>
      </c>
      <c r="E10687">
        <v>0</v>
      </c>
      <c r="F10687">
        <f t="shared" si="182"/>
        <v>1.6</v>
      </c>
      <c r="G10687">
        <v>1</v>
      </c>
      <c r="H10687">
        <f t="shared" si="183"/>
        <v>1.6</v>
      </c>
      <c r="I10687">
        <v>20170401</v>
      </c>
      <c r="J10687" t="s">
        <v>10713</v>
      </c>
      <c r="K10687" t="s">
        <v>10715</v>
      </c>
      <c r="L10687" t="s">
        <v>10716</v>
      </c>
    </row>
    <row r="10688" spans="1:13" x14ac:dyDescent="0.3">
      <c r="A10688" s="160">
        <v>77215</v>
      </c>
      <c r="B10688" t="s">
        <v>25667</v>
      </c>
      <c r="C10688" t="s">
        <v>176</v>
      </c>
      <c r="D10688">
        <v>1.6</v>
      </c>
      <c r="E10688">
        <v>0</v>
      </c>
      <c r="F10688">
        <f t="shared" si="182"/>
        <v>1.6</v>
      </c>
      <c r="G10688">
        <v>1</v>
      </c>
      <c r="H10688">
        <f t="shared" si="183"/>
        <v>1.6</v>
      </c>
      <c r="I10688">
        <v>20170401</v>
      </c>
      <c r="J10688" t="s">
        <v>10915</v>
      </c>
      <c r="K10688" t="s">
        <v>10937</v>
      </c>
    </row>
    <row r="10689" spans="1:12" x14ac:dyDescent="0.3">
      <c r="A10689" s="160">
        <v>77216</v>
      </c>
      <c r="B10689" t="s">
        <v>25668</v>
      </c>
      <c r="C10689" t="s">
        <v>176</v>
      </c>
      <c r="D10689">
        <v>1.6</v>
      </c>
      <c r="E10689">
        <v>0</v>
      </c>
      <c r="F10689">
        <f t="shared" si="182"/>
        <v>1.6</v>
      </c>
      <c r="G10689">
        <v>1</v>
      </c>
      <c r="H10689">
        <f t="shared" si="183"/>
        <v>1.6</v>
      </c>
      <c r="I10689">
        <v>20170401</v>
      </c>
      <c r="J10689" t="s">
        <v>10938</v>
      </c>
      <c r="K10689" t="s">
        <v>10939</v>
      </c>
      <c r="L10689" t="s">
        <v>10940</v>
      </c>
    </row>
    <row r="10690" spans="1:12" x14ac:dyDescent="0.3">
      <c r="A10690" s="160">
        <v>77217</v>
      </c>
      <c r="B10690" t="s">
        <v>25669</v>
      </c>
      <c r="C10690" t="s">
        <v>176</v>
      </c>
      <c r="D10690">
        <v>1.6</v>
      </c>
      <c r="E10690">
        <v>0</v>
      </c>
      <c r="F10690">
        <f t="shared" si="182"/>
        <v>1.6</v>
      </c>
      <c r="G10690">
        <v>1</v>
      </c>
      <c r="H10690">
        <f t="shared" si="183"/>
        <v>1.6</v>
      </c>
      <c r="I10690">
        <v>20170401</v>
      </c>
      <c r="J10690" t="s">
        <v>10914</v>
      </c>
      <c r="K10690" t="s">
        <v>10768</v>
      </c>
      <c r="L10690" t="s">
        <v>10770</v>
      </c>
    </row>
    <row r="10691" spans="1:12" x14ac:dyDescent="0.3">
      <c r="A10691" s="160">
        <v>77218</v>
      </c>
      <c r="B10691" t="s">
        <v>25670</v>
      </c>
      <c r="C10691" t="s">
        <v>176</v>
      </c>
      <c r="D10691">
        <v>1.6</v>
      </c>
      <c r="E10691">
        <v>0</v>
      </c>
      <c r="F10691">
        <f t="shared" si="182"/>
        <v>1.6</v>
      </c>
      <c r="G10691">
        <v>1</v>
      </c>
      <c r="H10691">
        <f t="shared" si="183"/>
        <v>1.6</v>
      </c>
      <c r="I10691">
        <v>20170401</v>
      </c>
      <c r="J10691" t="s">
        <v>10734</v>
      </c>
    </row>
    <row r="10692" spans="1:12" x14ac:dyDescent="0.3">
      <c r="A10692" s="160">
        <v>77219</v>
      </c>
      <c r="B10692" t="s">
        <v>25671</v>
      </c>
      <c r="C10692" t="s">
        <v>176</v>
      </c>
      <c r="D10692">
        <v>1.6</v>
      </c>
      <c r="E10692">
        <v>0</v>
      </c>
      <c r="F10692">
        <f t="shared" si="182"/>
        <v>1.6</v>
      </c>
      <c r="G10692">
        <v>1</v>
      </c>
      <c r="H10692">
        <f t="shared" si="183"/>
        <v>1.6</v>
      </c>
      <c r="I10692">
        <v>20170401</v>
      </c>
      <c r="J10692" t="s">
        <v>10762</v>
      </c>
    </row>
    <row r="10693" spans="1:12" x14ac:dyDescent="0.3">
      <c r="A10693" s="160">
        <v>77220</v>
      </c>
      <c r="B10693" t="s">
        <v>25672</v>
      </c>
      <c r="C10693" t="s">
        <v>176</v>
      </c>
      <c r="D10693">
        <v>1.6</v>
      </c>
      <c r="E10693">
        <v>0</v>
      </c>
      <c r="F10693">
        <f t="shared" si="182"/>
        <v>1.6</v>
      </c>
      <c r="G10693">
        <v>1</v>
      </c>
      <c r="H10693">
        <f t="shared" si="183"/>
        <v>1.6</v>
      </c>
      <c r="I10693">
        <v>20170401</v>
      </c>
      <c r="J10693" t="s">
        <v>10710</v>
      </c>
    </row>
    <row r="10694" spans="1:12" x14ac:dyDescent="0.3">
      <c r="A10694" s="160">
        <v>77221</v>
      </c>
      <c r="B10694" t="s">
        <v>25673</v>
      </c>
      <c r="C10694" t="s">
        <v>176</v>
      </c>
      <c r="D10694">
        <v>2.0099999999999998</v>
      </c>
      <c r="E10694">
        <v>0</v>
      </c>
      <c r="F10694">
        <f t="shared" si="182"/>
        <v>2.0099999999999998</v>
      </c>
      <c r="G10694">
        <v>1</v>
      </c>
      <c r="H10694">
        <f t="shared" si="183"/>
        <v>2.0099999999999998</v>
      </c>
      <c r="I10694">
        <v>20170401</v>
      </c>
      <c r="J10694" t="s">
        <v>10777</v>
      </c>
    </row>
    <row r="10695" spans="1:12" x14ac:dyDescent="0.3">
      <c r="A10695" s="160">
        <v>77222</v>
      </c>
      <c r="B10695" t="s">
        <v>25674</v>
      </c>
      <c r="C10695" t="s">
        <v>176</v>
      </c>
      <c r="D10695">
        <v>1.6</v>
      </c>
      <c r="E10695">
        <v>0</v>
      </c>
      <c r="F10695">
        <f t="shared" ref="F10695:F10758" si="184">D10695+E10695</f>
        <v>1.6</v>
      </c>
      <c r="G10695">
        <v>1</v>
      </c>
      <c r="H10695">
        <f t="shared" si="183"/>
        <v>1.6</v>
      </c>
      <c r="I10695">
        <v>20170401</v>
      </c>
      <c r="J10695" t="s">
        <v>10712</v>
      </c>
    </row>
    <row r="10696" spans="1:12" x14ac:dyDescent="0.3">
      <c r="A10696" s="160">
        <v>77223</v>
      </c>
      <c r="B10696" t="s">
        <v>25675</v>
      </c>
      <c r="C10696" t="s">
        <v>176</v>
      </c>
      <c r="D10696">
        <v>1.6</v>
      </c>
      <c r="E10696">
        <v>0</v>
      </c>
      <c r="F10696">
        <f t="shared" si="184"/>
        <v>1.6</v>
      </c>
      <c r="G10696">
        <v>1</v>
      </c>
      <c r="H10696">
        <f t="shared" si="183"/>
        <v>1.6</v>
      </c>
      <c r="I10696">
        <v>20170401</v>
      </c>
      <c r="J10696" t="s">
        <v>10794</v>
      </c>
    </row>
    <row r="10697" spans="1:12" x14ac:dyDescent="0.3">
      <c r="A10697" s="160">
        <v>77224</v>
      </c>
      <c r="B10697" t="s">
        <v>25676</v>
      </c>
      <c r="C10697" t="s">
        <v>176</v>
      </c>
      <c r="D10697">
        <v>1.6</v>
      </c>
      <c r="E10697">
        <v>0</v>
      </c>
      <c r="F10697">
        <f t="shared" si="184"/>
        <v>1.6</v>
      </c>
      <c r="G10697">
        <v>1</v>
      </c>
      <c r="H10697">
        <f t="shared" si="183"/>
        <v>1.6</v>
      </c>
      <c r="I10697">
        <v>20170401</v>
      </c>
      <c r="J10697" t="s">
        <v>10788</v>
      </c>
    </row>
    <row r="10698" spans="1:12" x14ac:dyDescent="0.3">
      <c r="A10698" s="160">
        <v>77225</v>
      </c>
      <c r="B10698" t="s">
        <v>25677</v>
      </c>
      <c r="C10698" t="s">
        <v>176</v>
      </c>
      <c r="D10698">
        <v>1.6</v>
      </c>
      <c r="E10698">
        <v>0</v>
      </c>
      <c r="F10698">
        <f t="shared" si="184"/>
        <v>1.6</v>
      </c>
      <c r="G10698">
        <v>1</v>
      </c>
      <c r="H10698">
        <f t="shared" si="183"/>
        <v>1.6</v>
      </c>
      <c r="I10698">
        <v>20170401</v>
      </c>
      <c r="J10698" t="s">
        <v>10762</v>
      </c>
    </row>
    <row r="10699" spans="1:12" x14ac:dyDescent="0.3">
      <c r="A10699" s="160">
        <v>77226</v>
      </c>
      <c r="B10699" t="s">
        <v>25678</v>
      </c>
      <c r="C10699" t="s">
        <v>176</v>
      </c>
      <c r="D10699">
        <v>1.6</v>
      </c>
      <c r="E10699">
        <v>0</v>
      </c>
      <c r="F10699">
        <f t="shared" si="184"/>
        <v>1.6</v>
      </c>
      <c r="G10699">
        <v>1</v>
      </c>
      <c r="H10699">
        <f t="shared" si="183"/>
        <v>1.6</v>
      </c>
      <c r="I10699">
        <v>20170401</v>
      </c>
      <c r="J10699" t="s">
        <v>10941</v>
      </c>
    </row>
    <row r="10700" spans="1:12" x14ac:dyDescent="0.3">
      <c r="A10700" s="160">
        <v>77227</v>
      </c>
      <c r="B10700" t="s">
        <v>25679</v>
      </c>
      <c r="C10700" t="s">
        <v>176</v>
      </c>
      <c r="D10700">
        <v>1.6</v>
      </c>
      <c r="E10700">
        <v>0</v>
      </c>
      <c r="F10700">
        <f t="shared" si="184"/>
        <v>1.6</v>
      </c>
      <c r="G10700">
        <v>1</v>
      </c>
      <c r="H10700">
        <f t="shared" si="183"/>
        <v>1.6</v>
      </c>
      <c r="I10700">
        <v>20170401</v>
      </c>
      <c r="J10700" t="s">
        <v>10933</v>
      </c>
    </row>
    <row r="10701" spans="1:12" x14ac:dyDescent="0.3">
      <c r="A10701" s="160">
        <v>77228</v>
      </c>
      <c r="B10701" t="s">
        <v>25680</v>
      </c>
      <c r="C10701" t="s">
        <v>176</v>
      </c>
      <c r="D10701">
        <v>1.6</v>
      </c>
      <c r="E10701">
        <v>0</v>
      </c>
      <c r="F10701">
        <f t="shared" si="184"/>
        <v>1.6</v>
      </c>
      <c r="G10701">
        <v>1</v>
      </c>
      <c r="H10701">
        <f t="shared" si="183"/>
        <v>1.6</v>
      </c>
      <c r="I10701">
        <v>20170401</v>
      </c>
      <c r="J10701" t="s">
        <v>10748</v>
      </c>
    </row>
    <row r="10702" spans="1:12" x14ac:dyDescent="0.3">
      <c r="A10702" s="160">
        <v>77229</v>
      </c>
      <c r="B10702" t="s">
        <v>25681</v>
      </c>
      <c r="C10702" t="s">
        <v>176</v>
      </c>
      <c r="D10702">
        <v>1.6</v>
      </c>
      <c r="E10702">
        <v>0</v>
      </c>
      <c r="F10702">
        <f t="shared" si="184"/>
        <v>1.6</v>
      </c>
      <c r="G10702">
        <v>1</v>
      </c>
      <c r="H10702">
        <f t="shared" si="183"/>
        <v>1.6</v>
      </c>
      <c r="I10702">
        <v>20170401</v>
      </c>
      <c r="J10702" t="s">
        <v>10826</v>
      </c>
    </row>
    <row r="10703" spans="1:12" x14ac:dyDescent="0.3">
      <c r="A10703" s="160">
        <v>77230</v>
      </c>
      <c r="B10703" t="s">
        <v>25682</v>
      </c>
      <c r="C10703" t="s">
        <v>176</v>
      </c>
      <c r="D10703">
        <v>1.6</v>
      </c>
      <c r="E10703">
        <v>0</v>
      </c>
      <c r="F10703">
        <f t="shared" si="184"/>
        <v>1.6</v>
      </c>
      <c r="G10703">
        <v>1</v>
      </c>
      <c r="H10703">
        <f t="shared" si="183"/>
        <v>1.6</v>
      </c>
      <c r="I10703">
        <v>20240101</v>
      </c>
      <c r="J10703" t="s">
        <v>10719</v>
      </c>
    </row>
    <row r="10704" spans="1:12" x14ac:dyDescent="0.3">
      <c r="A10704" s="160">
        <v>77231</v>
      </c>
      <c r="B10704" t="s">
        <v>25683</v>
      </c>
      <c r="C10704" t="s">
        <v>176</v>
      </c>
      <c r="D10704">
        <v>1.6</v>
      </c>
      <c r="E10704">
        <v>0</v>
      </c>
      <c r="F10704">
        <f t="shared" si="184"/>
        <v>1.6</v>
      </c>
      <c r="G10704">
        <v>1</v>
      </c>
      <c r="H10704">
        <f t="shared" si="183"/>
        <v>1.6</v>
      </c>
      <c r="I10704">
        <v>20170401</v>
      </c>
      <c r="J10704" t="s">
        <v>10718</v>
      </c>
    </row>
    <row r="10705" spans="1:20" x14ac:dyDescent="0.3">
      <c r="A10705" s="160">
        <v>77232</v>
      </c>
      <c r="B10705" t="s">
        <v>25684</v>
      </c>
      <c r="C10705" t="s">
        <v>176</v>
      </c>
      <c r="D10705">
        <v>1.6</v>
      </c>
      <c r="E10705">
        <v>0</v>
      </c>
      <c r="F10705">
        <f t="shared" si="184"/>
        <v>1.6</v>
      </c>
      <c r="G10705">
        <v>1</v>
      </c>
      <c r="H10705">
        <f t="shared" si="183"/>
        <v>1.6</v>
      </c>
      <c r="I10705">
        <v>20170401</v>
      </c>
      <c r="J10705" t="s">
        <v>10867</v>
      </c>
    </row>
    <row r="10706" spans="1:20" x14ac:dyDescent="0.3">
      <c r="A10706" s="160">
        <v>77233</v>
      </c>
      <c r="B10706" t="s">
        <v>25685</v>
      </c>
      <c r="C10706" t="s">
        <v>176</v>
      </c>
      <c r="D10706">
        <v>1.6</v>
      </c>
      <c r="E10706">
        <v>0</v>
      </c>
      <c r="F10706">
        <f t="shared" si="184"/>
        <v>1.6</v>
      </c>
      <c r="G10706">
        <v>1</v>
      </c>
      <c r="H10706">
        <f t="shared" si="183"/>
        <v>1.6</v>
      </c>
      <c r="I10706">
        <v>20170401</v>
      </c>
      <c r="J10706" t="s">
        <v>10889</v>
      </c>
    </row>
    <row r="10707" spans="1:20" x14ac:dyDescent="0.3">
      <c r="A10707" s="160">
        <v>77234</v>
      </c>
      <c r="B10707" t="s">
        <v>25686</v>
      </c>
      <c r="C10707" t="s">
        <v>176</v>
      </c>
      <c r="D10707">
        <v>1.6</v>
      </c>
      <c r="E10707">
        <v>0</v>
      </c>
      <c r="F10707">
        <f t="shared" si="184"/>
        <v>1.6</v>
      </c>
      <c r="G10707">
        <v>1</v>
      </c>
      <c r="H10707">
        <f t="shared" si="183"/>
        <v>1.6</v>
      </c>
      <c r="I10707">
        <v>20170401</v>
      </c>
      <c r="J10707" t="s">
        <v>10867</v>
      </c>
    </row>
    <row r="10708" spans="1:20" x14ac:dyDescent="0.3">
      <c r="A10708" s="160">
        <v>77235</v>
      </c>
      <c r="B10708" t="s">
        <v>25687</v>
      </c>
      <c r="C10708" t="s">
        <v>176</v>
      </c>
      <c r="D10708">
        <v>1.6</v>
      </c>
      <c r="E10708">
        <v>0</v>
      </c>
      <c r="F10708">
        <f t="shared" si="184"/>
        <v>1.6</v>
      </c>
      <c r="G10708">
        <v>1</v>
      </c>
      <c r="H10708">
        <f t="shared" si="183"/>
        <v>1.6</v>
      </c>
      <c r="I10708">
        <v>20170401</v>
      </c>
      <c r="J10708" t="s">
        <v>10718</v>
      </c>
    </row>
    <row r="10709" spans="1:20" x14ac:dyDescent="0.3">
      <c r="A10709" s="160">
        <v>77236</v>
      </c>
      <c r="B10709" t="s">
        <v>25688</v>
      </c>
      <c r="C10709" t="s">
        <v>176</v>
      </c>
      <c r="D10709">
        <v>1.6</v>
      </c>
      <c r="E10709">
        <v>0</v>
      </c>
      <c r="F10709">
        <f t="shared" si="184"/>
        <v>1.6</v>
      </c>
      <c r="G10709">
        <v>1</v>
      </c>
      <c r="H10709">
        <f t="shared" si="183"/>
        <v>1.6</v>
      </c>
      <c r="I10709">
        <v>20170401</v>
      </c>
      <c r="J10709" t="s">
        <v>10734</v>
      </c>
    </row>
    <row r="10710" spans="1:20" x14ac:dyDescent="0.3">
      <c r="A10710" s="160">
        <v>77237</v>
      </c>
      <c r="B10710" t="s">
        <v>25689</v>
      </c>
      <c r="C10710" t="s">
        <v>176</v>
      </c>
      <c r="D10710">
        <v>1.6</v>
      </c>
      <c r="E10710">
        <v>0</v>
      </c>
      <c r="F10710">
        <f t="shared" si="184"/>
        <v>1.6</v>
      </c>
      <c r="G10710">
        <v>1</v>
      </c>
      <c r="H10710">
        <f t="shared" si="183"/>
        <v>1.6</v>
      </c>
      <c r="I10710">
        <v>20170401</v>
      </c>
      <c r="J10710" t="s">
        <v>10777</v>
      </c>
      <c r="K10710" t="s">
        <v>10780</v>
      </c>
    </row>
    <row r="10711" spans="1:20" x14ac:dyDescent="0.3">
      <c r="A10711" s="160">
        <v>77238</v>
      </c>
      <c r="B10711" t="s">
        <v>25690</v>
      </c>
      <c r="C10711" t="s">
        <v>176</v>
      </c>
      <c r="D10711">
        <v>1.6</v>
      </c>
      <c r="E10711">
        <v>0</v>
      </c>
      <c r="F10711">
        <f t="shared" si="184"/>
        <v>1.6</v>
      </c>
      <c r="G10711">
        <v>1</v>
      </c>
      <c r="H10711">
        <f t="shared" si="183"/>
        <v>1.6</v>
      </c>
      <c r="I10711">
        <v>20170401</v>
      </c>
      <c r="J10711" t="s">
        <v>10807</v>
      </c>
      <c r="K10711" t="s">
        <v>10922</v>
      </c>
      <c r="L10711" t="s">
        <v>10942</v>
      </c>
      <c r="M10711" t="s">
        <v>10943</v>
      </c>
    </row>
    <row r="10712" spans="1:20" x14ac:dyDescent="0.3">
      <c r="A10712" s="160">
        <v>77239</v>
      </c>
      <c r="B10712" t="s">
        <v>25691</v>
      </c>
      <c r="C10712" t="s">
        <v>176</v>
      </c>
      <c r="D10712">
        <v>1.6</v>
      </c>
      <c r="E10712">
        <v>0</v>
      </c>
      <c r="F10712">
        <f t="shared" si="184"/>
        <v>1.6</v>
      </c>
      <c r="G10712">
        <v>1</v>
      </c>
      <c r="H10712">
        <f t="shared" si="183"/>
        <v>1.6</v>
      </c>
      <c r="I10712">
        <v>20240101</v>
      </c>
      <c r="J10712" t="s">
        <v>10743</v>
      </c>
    </row>
    <row r="10713" spans="1:20" x14ac:dyDescent="0.3">
      <c r="A10713" s="160">
        <v>77240</v>
      </c>
      <c r="B10713" t="s">
        <v>25692</v>
      </c>
      <c r="C10713" t="s">
        <v>176</v>
      </c>
      <c r="D10713">
        <v>1.6</v>
      </c>
      <c r="E10713">
        <v>0</v>
      </c>
      <c r="F10713">
        <f t="shared" si="184"/>
        <v>1.6</v>
      </c>
      <c r="G10713">
        <v>1</v>
      </c>
      <c r="H10713">
        <f t="shared" si="183"/>
        <v>1.6</v>
      </c>
      <c r="I10713">
        <v>20170401</v>
      </c>
      <c r="J10713" t="s">
        <v>10750</v>
      </c>
    </row>
    <row r="10714" spans="1:20" x14ac:dyDescent="0.3">
      <c r="A10714" s="160">
        <v>77241</v>
      </c>
      <c r="B10714" t="s">
        <v>25693</v>
      </c>
      <c r="C10714" t="s">
        <v>176</v>
      </c>
      <c r="D10714">
        <v>1.6</v>
      </c>
      <c r="E10714">
        <v>0</v>
      </c>
      <c r="F10714">
        <f t="shared" si="184"/>
        <v>1.6</v>
      </c>
      <c r="G10714">
        <v>1</v>
      </c>
      <c r="H10714">
        <f t="shared" si="183"/>
        <v>1.6</v>
      </c>
      <c r="I10714">
        <v>20170401</v>
      </c>
      <c r="J10714" t="s">
        <v>10901</v>
      </c>
      <c r="K10714" t="s">
        <v>10902</v>
      </c>
    </row>
    <row r="10715" spans="1:20" x14ac:dyDescent="0.3">
      <c r="A10715" s="160">
        <v>77242</v>
      </c>
      <c r="B10715" t="s">
        <v>25694</v>
      </c>
      <c r="C10715" t="s">
        <v>176</v>
      </c>
      <c r="D10715">
        <v>1.6</v>
      </c>
      <c r="E10715">
        <v>0</v>
      </c>
      <c r="F10715">
        <f t="shared" si="184"/>
        <v>1.6</v>
      </c>
      <c r="G10715">
        <v>1</v>
      </c>
      <c r="H10715">
        <f t="shared" si="183"/>
        <v>1.6</v>
      </c>
      <c r="I10715">
        <v>20170401</v>
      </c>
      <c r="J10715" t="s">
        <v>10805</v>
      </c>
    </row>
    <row r="10716" spans="1:20" x14ac:dyDescent="0.3">
      <c r="A10716" s="160">
        <v>77243</v>
      </c>
      <c r="B10716" t="s">
        <v>25695</v>
      </c>
      <c r="C10716" t="s">
        <v>176</v>
      </c>
      <c r="D10716">
        <v>2.0099999999999998</v>
      </c>
      <c r="E10716">
        <v>0</v>
      </c>
      <c r="F10716">
        <f t="shared" si="184"/>
        <v>2.0099999999999998</v>
      </c>
      <c r="G10716">
        <v>1</v>
      </c>
      <c r="H10716">
        <f t="shared" si="183"/>
        <v>2.0099999999999998</v>
      </c>
      <c r="I10716">
        <v>20170401</v>
      </c>
      <c r="J10716" t="s">
        <v>10786</v>
      </c>
      <c r="K10716" t="s">
        <v>10934</v>
      </c>
      <c r="L10716" t="s">
        <v>10944</v>
      </c>
      <c r="M10716" t="s">
        <v>10787</v>
      </c>
      <c r="N10716" t="s">
        <v>10945</v>
      </c>
      <c r="O10716" t="s">
        <v>10946</v>
      </c>
      <c r="P10716" t="s">
        <v>10947</v>
      </c>
      <c r="Q10716" t="s">
        <v>10948</v>
      </c>
      <c r="R10716" t="s">
        <v>10935</v>
      </c>
      <c r="S10716" t="s">
        <v>10949</v>
      </c>
      <c r="T10716" t="s">
        <v>10950</v>
      </c>
    </row>
    <row r="10717" spans="1:20" x14ac:dyDescent="0.3">
      <c r="A10717" s="160">
        <v>77244</v>
      </c>
      <c r="B10717" t="s">
        <v>25696</v>
      </c>
      <c r="C10717" t="s">
        <v>176</v>
      </c>
      <c r="D10717">
        <v>1.6</v>
      </c>
      <c r="E10717">
        <v>0</v>
      </c>
      <c r="F10717">
        <f t="shared" si="184"/>
        <v>1.6</v>
      </c>
      <c r="G10717">
        <v>1</v>
      </c>
      <c r="H10717">
        <f t="shared" si="183"/>
        <v>1.6</v>
      </c>
      <c r="I10717">
        <v>20170401</v>
      </c>
      <c r="J10717" t="s">
        <v>10710</v>
      </c>
    </row>
    <row r="10718" spans="1:20" x14ac:dyDescent="0.3">
      <c r="A10718" s="160">
        <v>77245</v>
      </c>
      <c r="B10718" t="s">
        <v>25697</v>
      </c>
      <c r="C10718" t="s">
        <v>176</v>
      </c>
      <c r="D10718">
        <v>1.6</v>
      </c>
      <c r="E10718">
        <v>0</v>
      </c>
      <c r="F10718">
        <f t="shared" si="184"/>
        <v>1.6</v>
      </c>
      <c r="G10718">
        <v>1</v>
      </c>
      <c r="H10718">
        <f t="shared" si="183"/>
        <v>1.6</v>
      </c>
      <c r="I10718">
        <v>20170401</v>
      </c>
      <c r="J10718" t="s">
        <v>10951</v>
      </c>
    </row>
    <row r="10719" spans="1:20" x14ac:dyDescent="0.3">
      <c r="A10719" s="160">
        <v>77246</v>
      </c>
      <c r="B10719" t="s">
        <v>25698</v>
      </c>
      <c r="C10719" t="s">
        <v>176</v>
      </c>
      <c r="D10719">
        <v>1.6</v>
      </c>
      <c r="E10719">
        <v>0</v>
      </c>
      <c r="F10719">
        <f t="shared" si="184"/>
        <v>1.6</v>
      </c>
      <c r="G10719">
        <v>1</v>
      </c>
      <c r="H10719">
        <f t="shared" si="183"/>
        <v>1.6</v>
      </c>
      <c r="I10719">
        <v>20240101</v>
      </c>
      <c r="J10719" t="s">
        <v>10799</v>
      </c>
      <c r="K10719" t="s">
        <v>10952</v>
      </c>
    </row>
    <row r="10720" spans="1:20" x14ac:dyDescent="0.3">
      <c r="A10720" s="160">
        <v>77247</v>
      </c>
      <c r="B10720" t="s">
        <v>25699</v>
      </c>
      <c r="C10720" t="s">
        <v>176</v>
      </c>
      <c r="D10720">
        <v>1.6</v>
      </c>
      <c r="E10720">
        <v>0</v>
      </c>
      <c r="F10720">
        <f t="shared" si="184"/>
        <v>1.6</v>
      </c>
      <c r="G10720">
        <v>1</v>
      </c>
      <c r="H10720">
        <f t="shared" si="183"/>
        <v>1.6</v>
      </c>
      <c r="I10720">
        <v>20170401</v>
      </c>
      <c r="J10720" t="s">
        <v>10750</v>
      </c>
    </row>
    <row r="10721" spans="1:24" x14ac:dyDescent="0.3">
      <c r="A10721" s="160">
        <v>77248</v>
      </c>
      <c r="B10721" t="s">
        <v>25700</v>
      </c>
      <c r="C10721" t="s">
        <v>176</v>
      </c>
      <c r="D10721">
        <v>1.6</v>
      </c>
      <c r="E10721">
        <v>0</v>
      </c>
      <c r="F10721">
        <f t="shared" si="184"/>
        <v>1.6</v>
      </c>
      <c r="G10721">
        <v>1</v>
      </c>
      <c r="H10721">
        <f t="shared" si="183"/>
        <v>1.6</v>
      </c>
      <c r="I10721">
        <v>20170401</v>
      </c>
      <c r="J10721" t="s">
        <v>10867</v>
      </c>
    </row>
    <row r="10722" spans="1:24" x14ac:dyDescent="0.3">
      <c r="A10722" s="160">
        <v>77249</v>
      </c>
      <c r="B10722" t="s">
        <v>25701</v>
      </c>
      <c r="C10722" t="s">
        <v>176</v>
      </c>
      <c r="D10722">
        <v>2.0099999999999998</v>
      </c>
      <c r="E10722">
        <v>0</v>
      </c>
      <c r="F10722">
        <f t="shared" si="184"/>
        <v>2.0099999999999998</v>
      </c>
      <c r="G10722">
        <v>1</v>
      </c>
      <c r="H10722">
        <f t="shared" si="183"/>
        <v>2.0099999999999998</v>
      </c>
      <c r="I10722">
        <v>20170401</v>
      </c>
      <c r="J10722" t="s">
        <v>10917</v>
      </c>
    </row>
    <row r="10723" spans="1:24" x14ac:dyDescent="0.3">
      <c r="A10723" s="160">
        <v>77250</v>
      </c>
      <c r="B10723" t="s">
        <v>25702</v>
      </c>
      <c r="C10723" t="s">
        <v>176</v>
      </c>
      <c r="D10723">
        <v>1.6</v>
      </c>
      <c r="E10723">
        <v>0</v>
      </c>
      <c r="F10723">
        <f t="shared" si="184"/>
        <v>1.6</v>
      </c>
      <c r="G10723">
        <v>1</v>
      </c>
      <c r="H10723">
        <f t="shared" si="183"/>
        <v>1.6</v>
      </c>
      <c r="I10723">
        <v>20170401</v>
      </c>
      <c r="J10723" t="s">
        <v>10750</v>
      </c>
    </row>
    <row r="10724" spans="1:24" x14ac:dyDescent="0.3">
      <c r="A10724" s="160">
        <v>77251</v>
      </c>
      <c r="B10724" t="s">
        <v>20543</v>
      </c>
      <c r="C10724" t="s">
        <v>176</v>
      </c>
      <c r="D10724">
        <v>2.0099999999999998</v>
      </c>
      <c r="E10724">
        <v>0</v>
      </c>
      <c r="F10724">
        <f t="shared" si="184"/>
        <v>2.0099999999999998</v>
      </c>
      <c r="G10724">
        <v>1</v>
      </c>
      <c r="H10724">
        <f t="shared" si="183"/>
        <v>2.0099999999999998</v>
      </c>
      <c r="I10724">
        <v>20170401</v>
      </c>
      <c r="J10724" t="s">
        <v>10953</v>
      </c>
      <c r="K10724" t="s">
        <v>10954</v>
      </c>
      <c r="L10724" t="s">
        <v>10955</v>
      </c>
      <c r="M10724" t="s">
        <v>10956</v>
      </c>
      <c r="N10724" t="s">
        <v>10957</v>
      </c>
      <c r="O10724" t="s">
        <v>10958</v>
      </c>
      <c r="P10724" t="s">
        <v>10959</v>
      </c>
      <c r="Q10724" t="s">
        <v>10960</v>
      </c>
      <c r="R10724" t="s">
        <v>10961</v>
      </c>
      <c r="S10724" t="s">
        <v>10962</v>
      </c>
    </row>
    <row r="10725" spans="1:24" x14ac:dyDescent="0.3">
      <c r="A10725" s="160">
        <v>77252</v>
      </c>
      <c r="B10725" t="s">
        <v>25703</v>
      </c>
      <c r="C10725" t="s">
        <v>176</v>
      </c>
      <c r="D10725">
        <v>1.6</v>
      </c>
      <c r="E10725">
        <v>0</v>
      </c>
      <c r="F10725">
        <f t="shared" si="184"/>
        <v>1.6</v>
      </c>
      <c r="G10725">
        <v>1</v>
      </c>
      <c r="H10725">
        <f t="shared" si="183"/>
        <v>1.6</v>
      </c>
      <c r="I10725">
        <v>20170401</v>
      </c>
      <c r="J10725" t="s">
        <v>10963</v>
      </c>
      <c r="K10725" t="s">
        <v>10954</v>
      </c>
    </row>
    <row r="10726" spans="1:24" x14ac:dyDescent="0.3">
      <c r="A10726" s="160">
        <v>77253</v>
      </c>
      <c r="B10726" t="s">
        <v>25704</v>
      </c>
      <c r="C10726" t="s">
        <v>176</v>
      </c>
      <c r="D10726">
        <v>1.6</v>
      </c>
      <c r="E10726">
        <v>0</v>
      </c>
      <c r="F10726">
        <f t="shared" si="184"/>
        <v>1.6</v>
      </c>
      <c r="G10726">
        <v>1</v>
      </c>
      <c r="H10726">
        <f t="shared" si="183"/>
        <v>1.6</v>
      </c>
      <c r="I10726">
        <v>20170401</v>
      </c>
      <c r="J10726" t="s">
        <v>10963</v>
      </c>
    </row>
    <row r="10727" spans="1:24" x14ac:dyDescent="0.3">
      <c r="A10727" s="160">
        <v>77254</v>
      </c>
      <c r="B10727" t="s">
        <v>25705</v>
      </c>
      <c r="C10727" t="s">
        <v>176</v>
      </c>
      <c r="D10727">
        <v>1.6</v>
      </c>
      <c r="E10727">
        <v>0</v>
      </c>
      <c r="F10727">
        <f t="shared" si="184"/>
        <v>1.6</v>
      </c>
      <c r="G10727">
        <v>1</v>
      </c>
      <c r="H10727">
        <f t="shared" si="183"/>
        <v>1.6</v>
      </c>
      <c r="I10727">
        <v>20170401</v>
      </c>
      <c r="J10727" t="s">
        <v>10915</v>
      </c>
    </row>
    <row r="10728" spans="1:24" x14ac:dyDescent="0.3">
      <c r="A10728" s="160">
        <v>77255</v>
      </c>
      <c r="B10728" t="s">
        <v>25706</v>
      </c>
      <c r="C10728" t="s">
        <v>176</v>
      </c>
      <c r="D10728">
        <v>2.0099999999999998</v>
      </c>
      <c r="E10728">
        <v>0</v>
      </c>
      <c r="F10728">
        <f t="shared" si="184"/>
        <v>2.0099999999999998</v>
      </c>
      <c r="G10728">
        <v>1</v>
      </c>
      <c r="H10728">
        <f t="shared" si="183"/>
        <v>2.0099999999999998</v>
      </c>
      <c r="I10728">
        <v>20170401</v>
      </c>
      <c r="J10728" t="s">
        <v>10964</v>
      </c>
    </row>
    <row r="10729" spans="1:24" x14ac:dyDescent="0.3">
      <c r="A10729" s="160">
        <v>77256</v>
      </c>
      <c r="B10729" t="s">
        <v>25707</v>
      </c>
      <c r="C10729" t="s">
        <v>176</v>
      </c>
      <c r="D10729">
        <v>1.6</v>
      </c>
      <c r="E10729">
        <v>0</v>
      </c>
      <c r="F10729">
        <f t="shared" si="184"/>
        <v>1.6</v>
      </c>
      <c r="G10729">
        <v>1</v>
      </c>
      <c r="H10729">
        <f t="shared" si="183"/>
        <v>1.6</v>
      </c>
      <c r="I10729">
        <v>20170401</v>
      </c>
      <c r="J10729" t="s">
        <v>10805</v>
      </c>
    </row>
    <row r="10730" spans="1:24" x14ac:dyDescent="0.3">
      <c r="A10730" s="160">
        <v>77257</v>
      </c>
      <c r="B10730" t="s">
        <v>25708</v>
      </c>
      <c r="C10730" t="s">
        <v>176</v>
      </c>
      <c r="D10730">
        <v>1.6</v>
      </c>
      <c r="E10730">
        <v>0</v>
      </c>
      <c r="F10730">
        <f t="shared" si="184"/>
        <v>1.6</v>
      </c>
      <c r="G10730">
        <v>1</v>
      </c>
      <c r="H10730">
        <f t="shared" si="183"/>
        <v>1.6</v>
      </c>
      <c r="I10730">
        <v>20170401</v>
      </c>
      <c r="J10730" t="s">
        <v>10718</v>
      </c>
    </row>
    <row r="10731" spans="1:24" x14ac:dyDescent="0.3">
      <c r="A10731" s="160">
        <v>77258</v>
      </c>
      <c r="B10731" t="s">
        <v>25709</v>
      </c>
      <c r="C10731" t="s">
        <v>176</v>
      </c>
      <c r="D10731">
        <v>2.0099999999999998</v>
      </c>
      <c r="E10731">
        <v>0</v>
      </c>
      <c r="F10731">
        <f t="shared" si="184"/>
        <v>2.0099999999999998</v>
      </c>
      <c r="G10731">
        <v>1</v>
      </c>
      <c r="H10731">
        <f t="shared" si="183"/>
        <v>2.0099999999999998</v>
      </c>
      <c r="I10731">
        <v>20170401</v>
      </c>
      <c r="J10731" t="s">
        <v>10965</v>
      </c>
      <c r="K10731" t="s">
        <v>10966</v>
      </c>
      <c r="L10731" t="s">
        <v>10967</v>
      </c>
      <c r="M10731" t="s">
        <v>10968</v>
      </c>
      <c r="N10731" t="s">
        <v>10882</v>
      </c>
      <c r="O10731" t="s">
        <v>10883</v>
      </c>
      <c r="P10731" t="s">
        <v>10885</v>
      </c>
      <c r="Q10731" t="s">
        <v>10813</v>
      </c>
      <c r="R10731" t="s">
        <v>10969</v>
      </c>
      <c r="S10731" t="s">
        <v>10817</v>
      </c>
      <c r="T10731" t="s">
        <v>10888</v>
      </c>
      <c r="U10731" t="s">
        <v>10818</v>
      </c>
      <c r="V10731" t="s">
        <v>10970</v>
      </c>
      <c r="W10731" t="s">
        <v>10971</v>
      </c>
      <c r="X10731" t="s">
        <v>10972</v>
      </c>
    </row>
    <row r="10732" spans="1:24" x14ac:dyDescent="0.3">
      <c r="A10732" s="160">
        <v>77259</v>
      </c>
      <c r="B10732" t="s">
        <v>25710</v>
      </c>
      <c r="C10732" t="s">
        <v>176</v>
      </c>
      <c r="D10732">
        <v>1.6</v>
      </c>
      <c r="E10732">
        <v>0</v>
      </c>
      <c r="F10732">
        <f t="shared" si="184"/>
        <v>1.6</v>
      </c>
      <c r="G10732">
        <v>1</v>
      </c>
      <c r="H10732">
        <f t="shared" si="183"/>
        <v>1.6</v>
      </c>
      <c r="I10732">
        <v>20170401</v>
      </c>
      <c r="J10732" t="s">
        <v>10901</v>
      </c>
      <c r="K10732" t="s">
        <v>10902</v>
      </c>
    </row>
    <row r="10733" spans="1:24" x14ac:dyDescent="0.3">
      <c r="A10733" s="160">
        <v>77260</v>
      </c>
      <c r="B10733" t="s">
        <v>20225</v>
      </c>
      <c r="C10733" t="s">
        <v>176</v>
      </c>
      <c r="D10733">
        <v>1.6</v>
      </c>
      <c r="E10733">
        <v>0</v>
      </c>
      <c r="F10733">
        <f t="shared" si="184"/>
        <v>1.6</v>
      </c>
      <c r="G10733">
        <v>1</v>
      </c>
      <c r="H10733">
        <f t="shared" si="183"/>
        <v>1.6</v>
      </c>
      <c r="I10733">
        <v>20170401</v>
      </c>
      <c r="J10733" t="s">
        <v>10952</v>
      </c>
      <c r="K10733" t="s">
        <v>10973</v>
      </c>
      <c r="L10733" t="s">
        <v>10805</v>
      </c>
    </row>
    <row r="10734" spans="1:24" x14ac:dyDescent="0.3">
      <c r="A10734" s="160">
        <v>77261</v>
      </c>
      <c r="B10734" t="s">
        <v>25711</v>
      </c>
      <c r="C10734" t="s">
        <v>176</v>
      </c>
      <c r="D10734">
        <v>1.6</v>
      </c>
      <c r="E10734">
        <v>0</v>
      </c>
      <c r="F10734">
        <f t="shared" si="184"/>
        <v>1.6</v>
      </c>
      <c r="G10734">
        <v>1</v>
      </c>
      <c r="H10734">
        <f t="shared" si="183"/>
        <v>1.6</v>
      </c>
      <c r="I10734">
        <v>20170401</v>
      </c>
      <c r="J10734" t="s">
        <v>10848</v>
      </c>
    </row>
    <row r="10735" spans="1:24" x14ac:dyDescent="0.3">
      <c r="A10735" s="160">
        <v>77262</v>
      </c>
      <c r="B10735" t="s">
        <v>25712</v>
      </c>
      <c r="C10735" t="s">
        <v>176</v>
      </c>
      <c r="D10735">
        <v>1.6</v>
      </c>
      <c r="E10735">
        <v>0</v>
      </c>
      <c r="F10735">
        <f t="shared" si="184"/>
        <v>1.6</v>
      </c>
      <c r="G10735">
        <v>1</v>
      </c>
      <c r="H10735">
        <f t="shared" si="183"/>
        <v>1.6</v>
      </c>
      <c r="I10735">
        <v>20240101</v>
      </c>
      <c r="J10735" t="s">
        <v>10723</v>
      </c>
    </row>
    <row r="10736" spans="1:24" x14ac:dyDescent="0.3">
      <c r="A10736" s="160">
        <v>77263</v>
      </c>
      <c r="B10736" t="s">
        <v>25713</v>
      </c>
      <c r="C10736" t="s">
        <v>176</v>
      </c>
      <c r="D10736">
        <v>1.6</v>
      </c>
      <c r="E10736">
        <v>0</v>
      </c>
      <c r="F10736">
        <f t="shared" si="184"/>
        <v>1.6</v>
      </c>
      <c r="G10736">
        <v>1</v>
      </c>
      <c r="H10736">
        <f t="shared" si="183"/>
        <v>1.6</v>
      </c>
      <c r="I10736">
        <v>20170401</v>
      </c>
      <c r="J10736" t="s">
        <v>10794</v>
      </c>
    </row>
    <row r="10737" spans="1:14" x14ac:dyDescent="0.3">
      <c r="A10737" s="160">
        <v>77264</v>
      </c>
      <c r="B10737" t="s">
        <v>25714</v>
      </c>
      <c r="C10737" t="s">
        <v>176</v>
      </c>
      <c r="D10737">
        <v>1.6</v>
      </c>
      <c r="E10737">
        <v>0</v>
      </c>
      <c r="F10737">
        <f t="shared" si="184"/>
        <v>1.6</v>
      </c>
      <c r="G10737">
        <v>1</v>
      </c>
      <c r="H10737">
        <f t="shared" si="183"/>
        <v>1.6</v>
      </c>
      <c r="I10737">
        <v>20170401</v>
      </c>
      <c r="J10737" t="s">
        <v>10749</v>
      </c>
    </row>
    <row r="10738" spans="1:14" x14ac:dyDescent="0.3">
      <c r="A10738" s="160">
        <v>77265</v>
      </c>
      <c r="B10738" t="s">
        <v>25715</v>
      </c>
      <c r="C10738" t="s">
        <v>176</v>
      </c>
      <c r="D10738">
        <v>1.6</v>
      </c>
      <c r="E10738">
        <v>0</v>
      </c>
      <c r="F10738">
        <f t="shared" si="184"/>
        <v>1.6</v>
      </c>
      <c r="G10738">
        <v>1</v>
      </c>
      <c r="H10738">
        <f t="shared" si="183"/>
        <v>1.6</v>
      </c>
      <c r="I10738">
        <v>20170401</v>
      </c>
      <c r="J10738" t="s">
        <v>10974</v>
      </c>
    </row>
    <row r="10739" spans="1:14" x14ac:dyDescent="0.3">
      <c r="A10739" s="160">
        <v>77266</v>
      </c>
      <c r="B10739" t="s">
        <v>25716</v>
      </c>
      <c r="C10739" t="s">
        <v>176</v>
      </c>
      <c r="D10739">
        <v>1.6</v>
      </c>
      <c r="E10739">
        <v>0</v>
      </c>
      <c r="F10739">
        <f t="shared" si="184"/>
        <v>1.6</v>
      </c>
      <c r="G10739">
        <v>1</v>
      </c>
      <c r="H10739">
        <f t="shared" ref="H10739:H10802" si="185">G10739*F10739</f>
        <v>1.6</v>
      </c>
      <c r="I10739">
        <v>20170401</v>
      </c>
      <c r="J10739" t="s">
        <v>10916</v>
      </c>
    </row>
    <row r="10740" spans="1:14" x14ac:dyDescent="0.3">
      <c r="A10740" s="160">
        <v>77267</v>
      </c>
      <c r="B10740" t="s">
        <v>25717</v>
      </c>
      <c r="C10740" t="s">
        <v>176</v>
      </c>
      <c r="D10740">
        <v>1.6</v>
      </c>
      <c r="E10740">
        <v>0</v>
      </c>
      <c r="F10740">
        <f t="shared" si="184"/>
        <v>1.6</v>
      </c>
      <c r="G10740">
        <v>1</v>
      </c>
      <c r="H10740">
        <f t="shared" si="185"/>
        <v>1.6</v>
      </c>
      <c r="I10740">
        <v>20170401</v>
      </c>
      <c r="J10740" t="s">
        <v>10722</v>
      </c>
    </row>
    <row r="10741" spans="1:14" x14ac:dyDescent="0.3">
      <c r="A10741" s="160">
        <v>77268</v>
      </c>
      <c r="B10741" t="s">
        <v>25718</v>
      </c>
      <c r="C10741" t="s">
        <v>176</v>
      </c>
      <c r="D10741">
        <v>1.6</v>
      </c>
      <c r="E10741">
        <v>0</v>
      </c>
      <c r="F10741">
        <f t="shared" si="184"/>
        <v>1.6</v>
      </c>
      <c r="G10741">
        <v>1</v>
      </c>
      <c r="H10741">
        <f t="shared" si="185"/>
        <v>1.6</v>
      </c>
      <c r="I10741">
        <v>20170401</v>
      </c>
      <c r="J10741" t="s">
        <v>10738</v>
      </c>
      <c r="K10741" t="s">
        <v>10842</v>
      </c>
      <c r="L10741" t="s">
        <v>10875</v>
      </c>
      <c r="M10741" t="s">
        <v>10740</v>
      </c>
    </row>
    <row r="10742" spans="1:14" x14ac:dyDescent="0.3">
      <c r="A10742" s="160">
        <v>77269</v>
      </c>
      <c r="B10742" t="s">
        <v>25719</v>
      </c>
      <c r="C10742" t="s">
        <v>176</v>
      </c>
      <c r="D10742">
        <v>1.6</v>
      </c>
      <c r="E10742">
        <v>0</v>
      </c>
      <c r="F10742">
        <f t="shared" si="184"/>
        <v>1.6</v>
      </c>
      <c r="G10742">
        <v>1</v>
      </c>
      <c r="H10742">
        <f t="shared" si="185"/>
        <v>1.6</v>
      </c>
      <c r="I10742">
        <v>20170401</v>
      </c>
      <c r="J10742" t="s">
        <v>10975</v>
      </c>
    </row>
    <row r="10743" spans="1:14" x14ac:dyDescent="0.3">
      <c r="A10743" s="160">
        <v>77270</v>
      </c>
      <c r="B10743" t="s">
        <v>25720</v>
      </c>
      <c r="C10743" t="s">
        <v>176</v>
      </c>
      <c r="D10743">
        <v>1.6</v>
      </c>
      <c r="E10743">
        <v>0</v>
      </c>
      <c r="F10743">
        <f t="shared" si="184"/>
        <v>1.6</v>
      </c>
      <c r="G10743">
        <v>1</v>
      </c>
      <c r="H10743">
        <f t="shared" si="185"/>
        <v>1.6</v>
      </c>
      <c r="I10743">
        <v>20170401</v>
      </c>
      <c r="J10743" t="s">
        <v>10762</v>
      </c>
    </row>
    <row r="10744" spans="1:14" x14ac:dyDescent="0.3">
      <c r="A10744" s="160">
        <v>77271</v>
      </c>
      <c r="B10744" t="s">
        <v>25721</v>
      </c>
      <c r="C10744" t="s">
        <v>176</v>
      </c>
      <c r="D10744">
        <v>1.6</v>
      </c>
      <c r="E10744">
        <v>0</v>
      </c>
      <c r="F10744">
        <f t="shared" si="184"/>
        <v>1.6</v>
      </c>
      <c r="G10744">
        <v>1</v>
      </c>
      <c r="H10744">
        <f t="shared" si="185"/>
        <v>1.6</v>
      </c>
      <c r="I10744">
        <v>20170401</v>
      </c>
      <c r="J10744" t="s">
        <v>10722</v>
      </c>
    </row>
    <row r="10745" spans="1:14" x14ac:dyDescent="0.3">
      <c r="A10745" s="160">
        <v>77272</v>
      </c>
      <c r="B10745" t="s">
        <v>25722</v>
      </c>
      <c r="C10745" t="s">
        <v>176</v>
      </c>
      <c r="D10745">
        <v>1.6</v>
      </c>
      <c r="E10745">
        <v>0</v>
      </c>
      <c r="F10745">
        <f t="shared" si="184"/>
        <v>1.6</v>
      </c>
      <c r="G10745">
        <v>1</v>
      </c>
      <c r="H10745">
        <f t="shared" si="185"/>
        <v>1.6</v>
      </c>
      <c r="I10745">
        <v>20170401</v>
      </c>
      <c r="J10745" t="s">
        <v>10825</v>
      </c>
    </row>
    <row r="10746" spans="1:14" x14ac:dyDescent="0.3">
      <c r="A10746" s="160">
        <v>77273</v>
      </c>
      <c r="B10746" t="s">
        <v>25723</v>
      </c>
      <c r="C10746" t="s">
        <v>176</v>
      </c>
      <c r="D10746">
        <v>1.6</v>
      </c>
      <c r="E10746">
        <v>0</v>
      </c>
      <c r="F10746">
        <f t="shared" si="184"/>
        <v>1.6</v>
      </c>
      <c r="G10746">
        <v>1</v>
      </c>
      <c r="H10746">
        <f t="shared" si="185"/>
        <v>1.6</v>
      </c>
      <c r="I10746">
        <v>20170401</v>
      </c>
      <c r="J10746" t="s">
        <v>10901</v>
      </c>
    </row>
    <row r="10747" spans="1:14" x14ac:dyDescent="0.3">
      <c r="A10747" s="160">
        <v>77274</v>
      </c>
      <c r="B10747" t="s">
        <v>25724</v>
      </c>
      <c r="C10747" t="s">
        <v>176</v>
      </c>
      <c r="D10747">
        <v>1.6</v>
      </c>
      <c r="E10747">
        <v>0</v>
      </c>
      <c r="F10747">
        <f t="shared" si="184"/>
        <v>1.6</v>
      </c>
      <c r="G10747">
        <v>1</v>
      </c>
      <c r="H10747">
        <f t="shared" si="185"/>
        <v>1.6</v>
      </c>
      <c r="I10747">
        <v>20170401</v>
      </c>
      <c r="J10747" t="s">
        <v>10906</v>
      </c>
    </row>
    <row r="10748" spans="1:14" x14ac:dyDescent="0.3">
      <c r="A10748" s="160">
        <v>77275</v>
      </c>
      <c r="B10748" t="s">
        <v>25725</v>
      </c>
      <c r="C10748" t="s">
        <v>176</v>
      </c>
      <c r="D10748">
        <v>1.6</v>
      </c>
      <c r="E10748">
        <v>0</v>
      </c>
      <c r="F10748">
        <f t="shared" si="184"/>
        <v>1.6</v>
      </c>
      <c r="G10748">
        <v>1</v>
      </c>
      <c r="H10748">
        <f t="shared" si="185"/>
        <v>1.6</v>
      </c>
      <c r="I10748">
        <v>20240101</v>
      </c>
      <c r="J10748" t="s">
        <v>10723</v>
      </c>
    </row>
    <row r="10749" spans="1:14" x14ac:dyDescent="0.3">
      <c r="A10749" s="160">
        <v>77276</v>
      </c>
      <c r="B10749" t="s">
        <v>25726</v>
      </c>
      <c r="C10749" t="s">
        <v>176</v>
      </c>
      <c r="D10749">
        <v>1.6</v>
      </c>
      <c r="E10749">
        <v>0</v>
      </c>
      <c r="F10749">
        <f t="shared" si="184"/>
        <v>1.6</v>
      </c>
      <c r="G10749">
        <v>1</v>
      </c>
      <c r="H10749">
        <f t="shared" si="185"/>
        <v>1.6</v>
      </c>
      <c r="I10749">
        <v>20170401</v>
      </c>
      <c r="J10749" t="s">
        <v>10976</v>
      </c>
      <c r="K10749" t="s">
        <v>10977</v>
      </c>
      <c r="L10749" t="s">
        <v>10978</v>
      </c>
      <c r="M10749" t="s">
        <v>10979</v>
      </c>
      <c r="N10749" t="s">
        <v>10761</v>
      </c>
    </row>
    <row r="10750" spans="1:14" x14ac:dyDescent="0.3">
      <c r="A10750" s="160">
        <v>77277</v>
      </c>
      <c r="B10750" t="s">
        <v>25727</v>
      </c>
      <c r="C10750" t="s">
        <v>176</v>
      </c>
      <c r="D10750">
        <v>1.6</v>
      </c>
      <c r="E10750">
        <v>0</v>
      </c>
      <c r="F10750">
        <f t="shared" si="184"/>
        <v>1.6</v>
      </c>
      <c r="G10750">
        <v>1</v>
      </c>
      <c r="H10750">
        <f t="shared" si="185"/>
        <v>1.6</v>
      </c>
      <c r="I10750">
        <v>20170401</v>
      </c>
      <c r="J10750" t="s">
        <v>10826</v>
      </c>
    </row>
    <row r="10751" spans="1:14" x14ac:dyDescent="0.3">
      <c r="A10751" s="160">
        <v>77278</v>
      </c>
      <c r="B10751" t="s">
        <v>25728</v>
      </c>
      <c r="C10751" t="s">
        <v>176</v>
      </c>
      <c r="D10751">
        <v>1.6</v>
      </c>
      <c r="E10751">
        <v>0</v>
      </c>
      <c r="F10751">
        <f t="shared" si="184"/>
        <v>1.6</v>
      </c>
      <c r="G10751">
        <v>1</v>
      </c>
      <c r="H10751">
        <f t="shared" si="185"/>
        <v>1.6</v>
      </c>
      <c r="I10751">
        <v>20170401</v>
      </c>
      <c r="J10751" t="s">
        <v>10711</v>
      </c>
    </row>
    <row r="10752" spans="1:14" x14ac:dyDescent="0.3">
      <c r="A10752" s="160">
        <v>77279</v>
      </c>
      <c r="B10752" t="s">
        <v>25729</v>
      </c>
      <c r="C10752" t="s">
        <v>176</v>
      </c>
      <c r="D10752">
        <v>1.6</v>
      </c>
      <c r="E10752">
        <v>0</v>
      </c>
      <c r="F10752">
        <f t="shared" si="184"/>
        <v>1.6</v>
      </c>
      <c r="G10752">
        <v>1</v>
      </c>
      <c r="H10752">
        <f t="shared" si="185"/>
        <v>1.6</v>
      </c>
      <c r="I10752">
        <v>20170401</v>
      </c>
      <c r="J10752" t="s">
        <v>10744</v>
      </c>
      <c r="K10752" t="s">
        <v>10784</v>
      </c>
      <c r="L10752" t="s">
        <v>10785</v>
      </c>
    </row>
    <row r="10753" spans="1:28" x14ac:dyDescent="0.3">
      <c r="A10753" s="160">
        <v>77280</v>
      </c>
      <c r="B10753" t="s">
        <v>25730</v>
      </c>
      <c r="C10753" t="s">
        <v>176</v>
      </c>
      <c r="D10753">
        <v>1.6</v>
      </c>
      <c r="E10753">
        <v>0</v>
      </c>
      <c r="F10753">
        <f t="shared" si="184"/>
        <v>1.6</v>
      </c>
      <c r="G10753">
        <v>1</v>
      </c>
      <c r="H10753">
        <f t="shared" si="185"/>
        <v>1.6</v>
      </c>
      <c r="I10753">
        <v>20170401</v>
      </c>
      <c r="J10753" t="s">
        <v>10718</v>
      </c>
    </row>
    <row r="10754" spans="1:28" x14ac:dyDescent="0.3">
      <c r="A10754" s="160">
        <v>77281</v>
      </c>
      <c r="B10754" t="s">
        <v>25731</v>
      </c>
      <c r="C10754" t="s">
        <v>176</v>
      </c>
      <c r="D10754">
        <v>1.6</v>
      </c>
      <c r="E10754">
        <v>0</v>
      </c>
      <c r="F10754">
        <f t="shared" si="184"/>
        <v>1.6</v>
      </c>
      <c r="G10754">
        <v>1</v>
      </c>
      <c r="H10754">
        <f t="shared" si="185"/>
        <v>1.6</v>
      </c>
      <c r="I10754">
        <v>20170401</v>
      </c>
      <c r="J10754" t="s">
        <v>10711</v>
      </c>
    </row>
    <row r="10755" spans="1:28" x14ac:dyDescent="0.3">
      <c r="A10755" s="160">
        <v>77282</v>
      </c>
      <c r="B10755" t="s">
        <v>25732</v>
      </c>
      <c r="C10755" t="s">
        <v>176</v>
      </c>
      <c r="D10755">
        <v>1.6</v>
      </c>
      <c r="E10755">
        <v>0</v>
      </c>
      <c r="F10755">
        <f t="shared" si="184"/>
        <v>1.6</v>
      </c>
      <c r="G10755">
        <v>1</v>
      </c>
      <c r="H10755">
        <f t="shared" si="185"/>
        <v>1.6</v>
      </c>
      <c r="I10755">
        <v>20170401</v>
      </c>
      <c r="J10755" t="s">
        <v>10980</v>
      </c>
      <c r="K10755" t="s">
        <v>10981</v>
      </c>
      <c r="L10755" t="s">
        <v>10982</v>
      </c>
      <c r="M10755" t="s">
        <v>10983</v>
      </c>
      <c r="N10755" t="s">
        <v>10984</v>
      </c>
      <c r="O10755" t="s">
        <v>10985</v>
      </c>
    </row>
    <row r="10756" spans="1:28" x14ac:dyDescent="0.3">
      <c r="A10756" s="160">
        <v>77283</v>
      </c>
      <c r="B10756" t="s">
        <v>25733</v>
      </c>
      <c r="C10756" t="s">
        <v>176</v>
      </c>
      <c r="D10756">
        <v>1.6</v>
      </c>
      <c r="E10756">
        <v>0</v>
      </c>
      <c r="F10756">
        <f t="shared" si="184"/>
        <v>1.6</v>
      </c>
      <c r="G10756">
        <v>1</v>
      </c>
      <c r="H10756">
        <f t="shared" si="185"/>
        <v>1.6</v>
      </c>
      <c r="I10756">
        <v>20170401</v>
      </c>
      <c r="J10756" t="s">
        <v>10986</v>
      </c>
    </row>
    <row r="10757" spans="1:28" x14ac:dyDescent="0.3">
      <c r="A10757" s="160">
        <v>77284</v>
      </c>
      <c r="B10757" t="s">
        <v>25734</v>
      </c>
      <c r="C10757" t="s">
        <v>176</v>
      </c>
      <c r="D10757">
        <v>1.6</v>
      </c>
      <c r="E10757">
        <v>0</v>
      </c>
      <c r="F10757">
        <f t="shared" si="184"/>
        <v>1.6</v>
      </c>
      <c r="G10757">
        <v>1</v>
      </c>
      <c r="H10757">
        <f t="shared" si="185"/>
        <v>1.6</v>
      </c>
      <c r="I10757">
        <v>20170401</v>
      </c>
      <c r="J10757" t="s">
        <v>10976</v>
      </c>
      <c r="K10757" t="s">
        <v>10987</v>
      </c>
      <c r="L10757" t="s">
        <v>10988</v>
      </c>
      <c r="M10757" t="s">
        <v>10977</v>
      </c>
      <c r="N10757" t="s">
        <v>10989</v>
      </c>
      <c r="O10757" t="s">
        <v>10990</v>
      </c>
      <c r="P10757" t="s">
        <v>10991</v>
      </c>
      <c r="Q10757" t="s">
        <v>10978</v>
      </c>
      <c r="R10757" t="s">
        <v>10992</v>
      </c>
      <c r="S10757" t="s">
        <v>10993</v>
      </c>
      <c r="T10757" t="s">
        <v>10994</v>
      </c>
      <c r="U10757" t="s">
        <v>10979</v>
      </c>
      <c r="V10757" t="s">
        <v>10995</v>
      </c>
      <c r="W10757" t="s">
        <v>10996</v>
      </c>
      <c r="X10757" t="s">
        <v>10761</v>
      </c>
    </row>
    <row r="10758" spans="1:28" x14ac:dyDescent="0.3">
      <c r="A10758" s="160">
        <v>77285</v>
      </c>
      <c r="B10758" t="s">
        <v>25735</v>
      </c>
      <c r="C10758" t="s">
        <v>176</v>
      </c>
      <c r="D10758">
        <v>2.0099999999999998</v>
      </c>
      <c r="E10758">
        <v>0</v>
      </c>
      <c r="F10758">
        <f t="shared" si="184"/>
        <v>2.0099999999999998</v>
      </c>
      <c r="G10758">
        <v>1</v>
      </c>
      <c r="H10758">
        <f t="shared" si="185"/>
        <v>2.0099999999999998</v>
      </c>
      <c r="I10758">
        <v>20170401</v>
      </c>
      <c r="J10758" t="s">
        <v>10755</v>
      </c>
    </row>
    <row r="10759" spans="1:28" x14ac:dyDescent="0.3">
      <c r="A10759" s="160">
        <v>77286</v>
      </c>
      <c r="B10759" t="s">
        <v>25736</v>
      </c>
      <c r="C10759" t="s">
        <v>176</v>
      </c>
      <c r="D10759">
        <v>1.6</v>
      </c>
      <c r="E10759">
        <v>0</v>
      </c>
      <c r="F10759">
        <f t="shared" ref="F10759:F10822" si="186">D10759+E10759</f>
        <v>1.6</v>
      </c>
      <c r="G10759">
        <v>1</v>
      </c>
      <c r="H10759">
        <f t="shared" si="185"/>
        <v>1.6</v>
      </c>
      <c r="I10759">
        <v>20170401</v>
      </c>
      <c r="J10759" t="s">
        <v>10794</v>
      </c>
    </row>
    <row r="10760" spans="1:28" x14ac:dyDescent="0.3">
      <c r="A10760" s="160">
        <v>77287</v>
      </c>
      <c r="B10760" t="s">
        <v>25737</v>
      </c>
      <c r="C10760" t="s">
        <v>176</v>
      </c>
      <c r="D10760">
        <v>1.6</v>
      </c>
      <c r="E10760">
        <v>0</v>
      </c>
      <c r="F10760">
        <f t="shared" si="186"/>
        <v>1.6</v>
      </c>
      <c r="G10760">
        <v>1</v>
      </c>
      <c r="H10760">
        <f t="shared" si="185"/>
        <v>1.6</v>
      </c>
      <c r="I10760">
        <v>20170401</v>
      </c>
      <c r="J10760" t="s">
        <v>10750</v>
      </c>
    </row>
    <row r="10761" spans="1:28" x14ac:dyDescent="0.3">
      <c r="A10761" s="160">
        <v>77288</v>
      </c>
      <c r="B10761" t="s">
        <v>25738</v>
      </c>
      <c r="C10761" t="s">
        <v>176</v>
      </c>
      <c r="D10761">
        <v>2.0099999999999998</v>
      </c>
      <c r="E10761">
        <v>0</v>
      </c>
      <c r="F10761">
        <f t="shared" si="186"/>
        <v>2.0099999999999998</v>
      </c>
      <c r="G10761">
        <v>1</v>
      </c>
      <c r="H10761">
        <f t="shared" si="185"/>
        <v>2.0099999999999998</v>
      </c>
      <c r="I10761">
        <v>20170401</v>
      </c>
      <c r="J10761" t="s">
        <v>10964</v>
      </c>
      <c r="K10761" t="s">
        <v>10890</v>
      </c>
      <c r="L10761" t="s">
        <v>10891</v>
      </c>
      <c r="M10761" t="s">
        <v>10997</v>
      </c>
      <c r="N10761" t="s">
        <v>10892</v>
      </c>
      <c r="O10761" t="s">
        <v>10998</v>
      </c>
      <c r="P10761" t="s">
        <v>10999</v>
      </c>
      <c r="Q10761" t="s">
        <v>11000</v>
      </c>
      <c r="R10761" t="s">
        <v>11001</v>
      </c>
      <c r="S10761" t="s">
        <v>11002</v>
      </c>
      <c r="T10761" t="s">
        <v>11003</v>
      </c>
      <c r="U10761" t="s">
        <v>11004</v>
      </c>
      <c r="V10761" t="s">
        <v>10751</v>
      </c>
      <c r="W10761" t="s">
        <v>11005</v>
      </c>
      <c r="X10761" t="s">
        <v>10827</v>
      </c>
      <c r="Y10761" t="s">
        <v>11006</v>
      </c>
      <c r="Z10761" t="s">
        <v>11007</v>
      </c>
      <c r="AA10761" t="s">
        <v>11008</v>
      </c>
      <c r="AB10761" t="s">
        <v>11009</v>
      </c>
    </row>
    <row r="10762" spans="1:28" x14ac:dyDescent="0.3">
      <c r="A10762" s="160">
        <v>77289</v>
      </c>
      <c r="B10762" t="s">
        <v>25739</v>
      </c>
      <c r="C10762" t="s">
        <v>176</v>
      </c>
      <c r="D10762">
        <v>1.6</v>
      </c>
      <c r="E10762">
        <v>0</v>
      </c>
      <c r="F10762">
        <f t="shared" si="186"/>
        <v>1.6</v>
      </c>
      <c r="G10762">
        <v>1</v>
      </c>
      <c r="H10762">
        <f t="shared" si="185"/>
        <v>1.6</v>
      </c>
      <c r="I10762">
        <v>20240101</v>
      </c>
      <c r="J10762" t="s">
        <v>10799</v>
      </c>
    </row>
    <row r="10763" spans="1:28" x14ac:dyDescent="0.3">
      <c r="A10763" s="160">
        <v>77290</v>
      </c>
      <c r="B10763" t="s">
        <v>25740</v>
      </c>
      <c r="C10763" t="s">
        <v>176</v>
      </c>
      <c r="D10763">
        <v>1.6</v>
      </c>
      <c r="E10763">
        <v>0</v>
      </c>
      <c r="F10763">
        <f t="shared" si="186"/>
        <v>1.6</v>
      </c>
      <c r="G10763">
        <v>1</v>
      </c>
      <c r="H10763">
        <f t="shared" si="185"/>
        <v>1.6</v>
      </c>
      <c r="I10763">
        <v>20170401</v>
      </c>
      <c r="J10763" t="s">
        <v>10849</v>
      </c>
    </row>
    <row r="10764" spans="1:28" x14ac:dyDescent="0.3">
      <c r="A10764" s="160">
        <v>77291</v>
      </c>
      <c r="B10764" t="s">
        <v>25741</v>
      </c>
      <c r="C10764" t="s">
        <v>176</v>
      </c>
      <c r="D10764">
        <v>2.0099999999999998</v>
      </c>
      <c r="E10764">
        <v>0</v>
      </c>
      <c r="F10764">
        <f t="shared" si="186"/>
        <v>2.0099999999999998</v>
      </c>
      <c r="G10764">
        <v>1</v>
      </c>
      <c r="H10764">
        <f t="shared" si="185"/>
        <v>2.0099999999999998</v>
      </c>
      <c r="I10764">
        <v>20170401</v>
      </c>
      <c r="J10764" t="s">
        <v>10980</v>
      </c>
      <c r="K10764" t="s">
        <v>11010</v>
      </c>
      <c r="L10764" t="s">
        <v>11011</v>
      </c>
      <c r="M10764" t="s">
        <v>10985</v>
      </c>
      <c r="N10764" t="s">
        <v>11012</v>
      </c>
      <c r="O10764" t="s">
        <v>11013</v>
      </c>
      <c r="P10764" t="s">
        <v>11014</v>
      </c>
      <c r="Q10764" t="s">
        <v>11015</v>
      </c>
      <c r="R10764" t="s">
        <v>11016</v>
      </c>
      <c r="S10764" t="s">
        <v>11017</v>
      </c>
    </row>
    <row r="10765" spans="1:28" x14ac:dyDescent="0.3">
      <c r="A10765" s="160">
        <v>77292</v>
      </c>
      <c r="B10765" t="s">
        <v>25742</v>
      </c>
      <c r="C10765" t="s">
        <v>176</v>
      </c>
      <c r="D10765">
        <v>1.6</v>
      </c>
      <c r="E10765">
        <v>0</v>
      </c>
      <c r="F10765">
        <f t="shared" si="186"/>
        <v>1.6</v>
      </c>
      <c r="G10765">
        <v>1</v>
      </c>
      <c r="H10765">
        <f t="shared" si="185"/>
        <v>1.6</v>
      </c>
      <c r="I10765">
        <v>20170401</v>
      </c>
      <c r="J10765" t="s">
        <v>10713</v>
      </c>
    </row>
    <row r="10766" spans="1:28" x14ac:dyDescent="0.3">
      <c r="A10766" s="160">
        <v>77293</v>
      </c>
      <c r="B10766" t="s">
        <v>25743</v>
      </c>
      <c r="C10766" t="s">
        <v>176</v>
      </c>
      <c r="D10766">
        <v>1.6</v>
      </c>
      <c r="E10766">
        <v>0</v>
      </c>
      <c r="F10766">
        <f t="shared" si="186"/>
        <v>1.6</v>
      </c>
      <c r="G10766">
        <v>1</v>
      </c>
      <c r="H10766">
        <f t="shared" si="185"/>
        <v>1.6</v>
      </c>
      <c r="I10766">
        <v>20170401</v>
      </c>
      <c r="J10766" t="s">
        <v>10744</v>
      </c>
    </row>
    <row r="10767" spans="1:28" x14ac:dyDescent="0.3">
      <c r="A10767" s="160">
        <v>77294</v>
      </c>
      <c r="B10767" t="s">
        <v>25744</v>
      </c>
      <c r="C10767" t="s">
        <v>176</v>
      </c>
      <c r="D10767">
        <v>2.0099999999999998</v>
      </c>
      <c r="E10767">
        <v>0</v>
      </c>
      <c r="F10767">
        <f t="shared" si="186"/>
        <v>2.0099999999999998</v>
      </c>
      <c r="G10767">
        <v>1</v>
      </c>
      <c r="H10767">
        <f t="shared" si="185"/>
        <v>2.0099999999999998</v>
      </c>
      <c r="I10767">
        <v>20170401</v>
      </c>
      <c r="J10767" t="s">
        <v>10862</v>
      </c>
      <c r="K10767" t="s">
        <v>11018</v>
      </c>
      <c r="L10767" t="s">
        <v>10863</v>
      </c>
      <c r="M10767" t="s">
        <v>10864</v>
      </c>
      <c r="N10767" t="s">
        <v>11019</v>
      </c>
      <c r="O10767" t="s">
        <v>10865</v>
      </c>
      <c r="P10767" t="s">
        <v>11020</v>
      </c>
    </row>
    <row r="10768" spans="1:28" x14ac:dyDescent="0.3">
      <c r="A10768" s="160">
        <v>77295</v>
      </c>
      <c r="B10768" t="s">
        <v>25745</v>
      </c>
      <c r="C10768" t="s">
        <v>176</v>
      </c>
      <c r="D10768">
        <v>1.6</v>
      </c>
      <c r="E10768">
        <v>0</v>
      </c>
      <c r="F10768">
        <f t="shared" si="186"/>
        <v>1.6</v>
      </c>
      <c r="G10768">
        <v>1</v>
      </c>
      <c r="H10768">
        <f t="shared" si="185"/>
        <v>1.6</v>
      </c>
      <c r="I10768">
        <v>20170401</v>
      </c>
      <c r="J10768" t="s">
        <v>10975</v>
      </c>
    </row>
    <row r="10769" spans="1:17" x14ac:dyDescent="0.3">
      <c r="A10769" s="160">
        <v>77296</v>
      </c>
      <c r="B10769" t="s">
        <v>25746</v>
      </c>
      <c r="C10769" t="s">
        <v>176</v>
      </c>
      <c r="D10769">
        <v>2.0099999999999998</v>
      </c>
      <c r="E10769">
        <v>0</v>
      </c>
      <c r="F10769">
        <f t="shared" si="186"/>
        <v>2.0099999999999998</v>
      </c>
      <c r="G10769">
        <v>1</v>
      </c>
      <c r="H10769">
        <f t="shared" si="185"/>
        <v>2.0099999999999998</v>
      </c>
      <c r="I10769">
        <v>20170401</v>
      </c>
      <c r="J10769" t="s">
        <v>10963</v>
      </c>
      <c r="K10769" t="s">
        <v>10954</v>
      </c>
      <c r="L10769" t="s">
        <v>10955</v>
      </c>
      <c r="M10769" t="s">
        <v>10956</v>
      </c>
      <c r="N10769" t="s">
        <v>11021</v>
      </c>
      <c r="O10769" t="s">
        <v>11022</v>
      </c>
      <c r="P10769" t="s">
        <v>11023</v>
      </c>
      <c r="Q10769" t="s">
        <v>10957</v>
      </c>
    </row>
    <row r="10770" spans="1:17" x14ac:dyDescent="0.3">
      <c r="A10770" s="160">
        <v>77297</v>
      </c>
      <c r="B10770" t="s">
        <v>25747</v>
      </c>
      <c r="C10770" t="s">
        <v>176</v>
      </c>
      <c r="D10770">
        <v>1.6</v>
      </c>
      <c r="E10770">
        <v>0</v>
      </c>
      <c r="F10770">
        <f t="shared" si="186"/>
        <v>1.6</v>
      </c>
      <c r="G10770">
        <v>1</v>
      </c>
      <c r="H10770">
        <f t="shared" si="185"/>
        <v>1.6</v>
      </c>
      <c r="I10770">
        <v>20170401</v>
      </c>
      <c r="J10770" t="s">
        <v>10722</v>
      </c>
    </row>
    <row r="10771" spans="1:17" x14ac:dyDescent="0.3">
      <c r="A10771" s="160">
        <v>77298</v>
      </c>
      <c r="B10771" t="s">
        <v>25748</v>
      </c>
      <c r="C10771" t="s">
        <v>176</v>
      </c>
      <c r="D10771">
        <v>1.6</v>
      </c>
      <c r="E10771">
        <v>0</v>
      </c>
      <c r="F10771">
        <f t="shared" si="186"/>
        <v>1.6</v>
      </c>
      <c r="G10771">
        <v>1</v>
      </c>
      <c r="H10771">
        <f t="shared" si="185"/>
        <v>1.6</v>
      </c>
      <c r="I10771">
        <v>20170401</v>
      </c>
      <c r="J10771" t="s">
        <v>10794</v>
      </c>
    </row>
    <row r="10772" spans="1:17" x14ac:dyDescent="0.3">
      <c r="A10772" s="160">
        <v>77299</v>
      </c>
      <c r="B10772" t="s">
        <v>25748</v>
      </c>
      <c r="C10772" t="s">
        <v>176</v>
      </c>
      <c r="D10772">
        <v>1.6</v>
      </c>
      <c r="E10772">
        <v>0</v>
      </c>
      <c r="F10772">
        <f t="shared" si="186"/>
        <v>1.6</v>
      </c>
      <c r="G10772">
        <v>1</v>
      </c>
      <c r="H10772">
        <f t="shared" si="185"/>
        <v>1.6</v>
      </c>
      <c r="I10772">
        <v>20170401</v>
      </c>
      <c r="J10772" t="s">
        <v>10910</v>
      </c>
    </row>
    <row r="10773" spans="1:17" x14ac:dyDescent="0.3">
      <c r="A10773" s="160">
        <v>77300</v>
      </c>
      <c r="B10773" t="s">
        <v>25749</v>
      </c>
      <c r="C10773" t="s">
        <v>176</v>
      </c>
      <c r="D10773">
        <v>1.6</v>
      </c>
      <c r="E10773">
        <v>0</v>
      </c>
      <c r="F10773">
        <f t="shared" si="186"/>
        <v>1.6</v>
      </c>
      <c r="G10773">
        <v>1</v>
      </c>
      <c r="H10773">
        <f t="shared" si="185"/>
        <v>1.6</v>
      </c>
      <c r="I10773">
        <v>20170401</v>
      </c>
      <c r="J10773" t="s">
        <v>10764</v>
      </c>
    </row>
    <row r="10774" spans="1:17" x14ac:dyDescent="0.3">
      <c r="A10774" s="160">
        <v>77301</v>
      </c>
      <c r="B10774" t="s">
        <v>25750</v>
      </c>
      <c r="C10774" t="s">
        <v>176</v>
      </c>
      <c r="D10774">
        <v>1.6</v>
      </c>
      <c r="E10774">
        <v>0</v>
      </c>
      <c r="F10774">
        <f t="shared" si="186"/>
        <v>1.6</v>
      </c>
      <c r="G10774">
        <v>1</v>
      </c>
      <c r="H10774">
        <f t="shared" si="185"/>
        <v>1.6</v>
      </c>
      <c r="I10774">
        <v>20240101</v>
      </c>
      <c r="J10774" t="s">
        <v>11024</v>
      </c>
    </row>
    <row r="10775" spans="1:17" x14ac:dyDescent="0.3">
      <c r="A10775" s="160">
        <v>77302</v>
      </c>
      <c r="B10775" t="s">
        <v>25751</v>
      </c>
      <c r="C10775" t="s">
        <v>176</v>
      </c>
      <c r="D10775">
        <v>1.6</v>
      </c>
      <c r="E10775">
        <v>0</v>
      </c>
      <c r="F10775">
        <f t="shared" si="186"/>
        <v>1.6</v>
      </c>
      <c r="G10775">
        <v>1</v>
      </c>
      <c r="H10775">
        <f t="shared" si="185"/>
        <v>1.6</v>
      </c>
      <c r="I10775">
        <v>20170401</v>
      </c>
      <c r="J10775" t="s">
        <v>10905</v>
      </c>
      <c r="K10775" t="s">
        <v>10938</v>
      </c>
      <c r="L10775" t="s">
        <v>10830</v>
      </c>
    </row>
    <row r="10776" spans="1:17" x14ac:dyDescent="0.3">
      <c r="A10776" s="160">
        <v>77303</v>
      </c>
      <c r="B10776" t="s">
        <v>25752</v>
      </c>
      <c r="C10776" t="s">
        <v>176</v>
      </c>
      <c r="D10776">
        <v>1.6</v>
      </c>
      <c r="E10776">
        <v>0</v>
      </c>
      <c r="F10776">
        <f t="shared" si="186"/>
        <v>1.6</v>
      </c>
      <c r="G10776">
        <v>1</v>
      </c>
      <c r="H10776">
        <f t="shared" si="185"/>
        <v>1.6</v>
      </c>
      <c r="I10776">
        <v>20170401</v>
      </c>
      <c r="J10776" t="s">
        <v>10750</v>
      </c>
    </row>
    <row r="10777" spans="1:17" x14ac:dyDescent="0.3">
      <c r="A10777" s="160">
        <v>77304</v>
      </c>
      <c r="B10777" t="s">
        <v>25753</v>
      </c>
      <c r="C10777" t="s">
        <v>176</v>
      </c>
      <c r="D10777">
        <v>1.6</v>
      </c>
      <c r="E10777">
        <v>0</v>
      </c>
      <c r="F10777">
        <f t="shared" si="186"/>
        <v>1.6</v>
      </c>
      <c r="G10777">
        <v>1</v>
      </c>
      <c r="H10777">
        <f t="shared" si="185"/>
        <v>1.6</v>
      </c>
      <c r="I10777">
        <v>20170401</v>
      </c>
      <c r="J10777" t="s">
        <v>10750</v>
      </c>
    </row>
    <row r="10778" spans="1:17" x14ac:dyDescent="0.3">
      <c r="A10778" s="160">
        <v>77305</v>
      </c>
      <c r="B10778" t="s">
        <v>25754</v>
      </c>
      <c r="C10778" t="s">
        <v>176</v>
      </c>
      <c r="D10778">
        <v>1.6</v>
      </c>
      <c r="E10778">
        <v>0</v>
      </c>
      <c r="F10778">
        <f t="shared" si="186"/>
        <v>1.6</v>
      </c>
      <c r="G10778">
        <v>1</v>
      </c>
      <c r="H10778">
        <f t="shared" si="185"/>
        <v>1.6</v>
      </c>
      <c r="I10778">
        <v>20170401</v>
      </c>
      <c r="J10778" t="s">
        <v>10744</v>
      </c>
      <c r="K10778" t="s">
        <v>10936</v>
      </c>
      <c r="L10778" t="s">
        <v>10911</v>
      </c>
      <c r="M10778" t="s">
        <v>10784</v>
      </c>
      <c r="N10778" t="s">
        <v>11025</v>
      </c>
      <c r="O10778" t="s">
        <v>10785</v>
      </c>
    </row>
    <row r="10779" spans="1:17" x14ac:dyDescent="0.3">
      <c r="A10779" s="160">
        <v>77306</v>
      </c>
      <c r="B10779" t="s">
        <v>25755</v>
      </c>
      <c r="C10779" t="s">
        <v>176</v>
      </c>
      <c r="D10779">
        <v>1.6</v>
      </c>
      <c r="E10779">
        <v>0</v>
      </c>
      <c r="F10779">
        <f t="shared" si="186"/>
        <v>1.6</v>
      </c>
      <c r="G10779">
        <v>1</v>
      </c>
      <c r="H10779">
        <f t="shared" si="185"/>
        <v>1.6</v>
      </c>
      <c r="I10779">
        <v>20170401</v>
      </c>
      <c r="J10779" t="s">
        <v>10751</v>
      </c>
      <c r="K10779" t="s">
        <v>10827</v>
      </c>
      <c r="L10779" t="s">
        <v>10975</v>
      </c>
    </row>
    <row r="10780" spans="1:17" x14ac:dyDescent="0.3">
      <c r="A10780" s="160">
        <v>77307</v>
      </c>
      <c r="B10780" t="s">
        <v>25756</v>
      </c>
      <c r="C10780" t="s">
        <v>176</v>
      </c>
      <c r="D10780">
        <v>2.0099999999999998</v>
      </c>
      <c r="E10780">
        <v>0</v>
      </c>
      <c r="F10780">
        <f t="shared" si="186"/>
        <v>2.0099999999999998</v>
      </c>
      <c r="G10780">
        <v>1</v>
      </c>
      <c r="H10780">
        <f t="shared" si="185"/>
        <v>2.0099999999999998</v>
      </c>
      <c r="I10780">
        <v>20170401</v>
      </c>
      <c r="J10780" t="s">
        <v>10803</v>
      </c>
      <c r="K10780" t="s">
        <v>10844</v>
      </c>
      <c r="L10780" t="s">
        <v>10804</v>
      </c>
      <c r="M10780" t="s">
        <v>11026</v>
      </c>
      <c r="N10780" t="s">
        <v>10845</v>
      </c>
    </row>
    <row r="10781" spans="1:17" x14ac:dyDescent="0.3">
      <c r="A10781" s="160">
        <v>77308</v>
      </c>
      <c r="B10781" t="s">
        <v>25757</v>
      </c>
      <c r="C10781" t="s">
        <v>176</v>
      </c>
      <c r="D10781">
        <v>1.6</v>
      </c>
      <c r="E10781">
        <v>0</v>
      </c>
      <c r="F10781">
        <f t="shared" si="186"/>
        <v>1.6</v>
      </c>
      <c r="G10781">
        <v>1</v>
      </c>
      <c r="H10781">
        <f t="shared" si="185"/>
        <v>1.6</v>
      </c>
      <c r="I10781">
        <v>20170401</v>
      </c>
      <c r="J10781" t="s">
        <v>10901</v>
      </c>
    </row>
    <row r="10782" spans="1:17" x14ac:dyDescent="0.3">
      <c r="A10782" s="160">
        <v>77309</v>
      </c>
      <c r="B10782" t="s">
        <v>25758</v>
      </c>
      <c r="C10782" t="s">
        <v>176</v>
      </c>
      <c r="D10782">
        <v>1.6</v>
      </c>
      <c r="E10782">
        <v>0</v>
      </c>
      <c r="F10782">
        <f t="shared" si="186"/>
        <v>1.6</v>
      </c>
      <c r="G10782">
        <v>1</v>
      </c>
      <c r="H10782">
        <f t="shared" si="185"/>
        <v>1.6</v>
      </c>
      <c r="I10782">
        <v>20170401</v>
      </c>
      <c r="J10782" t="s">
        <v>11027</v>
      </c>
    </row>
    <row r="10783" spans="1:17" x14ac:dyDescent="0.3">
      <c r="A10783" s="160">
        <v>77310</v>
      </c>
      <c r="B10783" t="s">
        <v>25759</v>
      </c>
      <c r="C10783" t="s">
        <v>176</v>
      </c>
      <c r="D10783">
        <v>1.6</v>
      </c>
      <c r="E10783">
        <v>0</v>
      </c>
      <c r="F10783">
        <f t="shared" si="186"/>
        <v>1.6</v>
      </c>
      <c r="G10783">
        <v>1</v>
      </c>
      <c r="H10783">
        <f t="shared" si="185"/>
        <v>1.6</v>
      </c>
      <c r="I10783">
        <v>20170401</v>
      </c>
      <c r="J10783" t="s">
        <v>10734</v>
      </c>
    </row>
    <row r="10784" spans="1:17" x14ac:dyDescent="0.3">
      <c r="A10784" s="160">
        <v>77311</v>
      </c>
      <c r="B10784" t="s">
        <v>25760</v>
      </c>
      <c r="C10784" t="s">
        <v>176</v>
      </c>
      <c r="D10784">
        <v>1.6</v>
      </c>
      <c r="E10784">
        <v>0</v>
      </c>
      <c r="F10784">
        <f t="shared" si="186"/>
        <v>1.6</v>
      </c>
      <c r="G10784">
        <v>1</v>
      </c>
      <c r="H10784">
        <f t="shared" si="185"/>
        <v>1.6</v>
      </c>
      <c r="I10784">
        <v>20170401</v>
      </c>
      <c r="J10784" t="s">
        <v>10794</v>
      </c>
    </row>
    <row r="10785" spans="1:15" x14ac:dyDescent="0.3">
      <c r="A10785" s="160">
        <v>77312</v>
      </c>
      <c r="B10785" t="s">
        <v>25761</v>
      </c>
      <c r="C10785" t="s">
        <v>176</v>
      </c>
      <c r="D10785">
        <v>1.6</v>
      </c>
      <c r="E10785">
        <v>0</v>
      </c>
      <c r="F10785">
        <f t="shared" si="186"/>
        <v>1.6</v>
      </c>
      <c r="G10785">
        <v>1</v>
      </c>
      <c r="H10785">
        <f t="shared" si="185"/>
        <v>1.6</v>
      </c>
      <c r="I10785">
        <v>20170401</v>
      </c>
      <c r="J10785" t="s">
        <v>10931</v>
      </c>
    </row>
    <row r="10786" spans="1:15" x14ac:dyDescent="0.3">
      <c r="A10786" s="160">
        <v>77313</v>
      </c>
      <c r="B10786" t="s">
        <v>25762</v>
      </c>
      <c r="C10786" t="s">
        <v>176</v>
      </c>
      <c r="D10786">
        <v>1.6</v>
      </c>
      <c r="E10786">
        <v>0</v>
      </c>
      <c r="F10786">
        <f t="shared" si="186"/>
        <v>1.6</v>
      </c>
      <c r="G10786">
        <v>1</v>
      </c>
      <c r="H10786">
        <f t="shared" si="185"/>
        <v>1.6</v>
      </c>
      <c r="I10786">
        <v>20170401</v>
      </c>
      <c r="J10786" t="s">
        <v>10753</v>
      </c>
    </row>
    <row r="10787" spans="1:15" x14ac:dyDescent="0.3">
      <c r="A10787" s="160">
        <v>77314</v>
      </c>
      <c r="B10787" t="s">
        <v>25763</v>
      </c>
      <c r="C10787" t="s">
        <v>176</v>
      </c>
      <c r="D10787">
        <v>1.6</v>
      </c>
      <c r="E10787">
        <v>0</v>
      </c>
      <c r="F10787">
        <f t="shared" si="186"/>
        <v>1.6</v>
      </c>
      <c r="G10787">
        <v>1</v>
      </c>
      <c r="H10787">
        <f t="shared" si="185"/>
        <v>1.6</v>
      </c>
      <c r="I10787">
        <v>20170401</v>
      </c>
      <c r="J10787" t="s">
        <v>10750</v>
      </c>
    </row>
    <row r="10788" spans="1:15" x14ac:dyDescent="0.3">
      <c r="A10788" s="160">
        <v>77315</v>
      </c>
      <c r="B10788" t="s">
        <v>25764</v>
      </c>
      <c r="C10788" t="s">
        <v>176</v>
      </c>
      <c r="D10788">
        <v>1.6</v>
      </c>
      <c r="E10788">
        <v>0</v>
      </c>
      <c r="F10788">
        <f t="shared" si="186"/>
        <v>1.6</v>
      </c>
      <c r="G10788">
        <v>1</v>
      </c>
      <c r="H10788">
        <f t="shared" si="185"/>
        <v>1.6</v>
      </c>
      <c r="I10788">
        <v>20170401</v>
      </c>
      <c r="J10788" t="s">
        <v>10867</v>
      </c>
    </row>
    <row r="10789" spans="1:15" x14ac:dyDescent="0.3">
      <c r="A10789" s="160">
        <v>77316</v>
      </c>
      <c r="B10789" t="s">
        <v>25765</v>
      </c>
      <c r="C10789" t="s">
        <v>176</v>
      </c>
      <c r="D10789">
        <v>1.6</v>
      </c>
      <c r="E10789">
        <v>0</v>
      </c>
      <c r="F10789">
        <f t="shared" si="186"/>
        <v>1.6</v>
      </c>
      <c r="G10789">
        <v>1</v>
      </c>
      <c r="H10789">
        <f t="shared" si="185"/>
        <v>1.6</v>
      </c>
      <c r="I10789">
        <v>20170401</v>
      </c>
      <c r="J10789" t="s">
        <v>11028</v>
      </c>
      <c r="K10789" t="s">
        <v>10910</v>
      </c>
      <c r="L10789" t="s">
        <v>11029</v>
      </c>
      <c r="M10789" t="s">
        <v>10810</v>
      </c>
      <c r="N10789" t="s">
        <v>11030</v>
      </c>
      <c r="O10789" t="s">
        <v>11031</v>
      </c>
    </row>
    <row r="10790" spans="1:15" x14ac:dyDescent="0.3">
      <c r="A10790" s="160">
        <v>77317</v>
      </c>
      <c r="B10790" t="s">
        <v>25766</v>
      </c>
      <c r="C10790" t="s">
        <v>176</v>
      </c>
      <c r="D10790">
        <v>1.6</v>
      </c>
      <c r="E10790">
        <v>0</v>
      </c>
      <c r="F10790">
        <f t="shared" si="186"/>
        <v>1.6</v>
      </c>
      <c r="G10790">
        <v>1</v>
      </c>
      <c r="H10790">
        <f t="shared" si="185"/>
        <v>1.6</v>
      </c>
      <c r="I10790">
        <v>20170401</v>
      </c>
      <c r="J10790" t="s">
        <v>10720</v>
      </c>
      <c r="K10790" t="s">
        <v>10721</v>
      </c>
    </row>
    <row r="10791" spans="1:15" x14ac:dyDescent="0.3">
      <c r="A10791" s="160">
        <v>77318</v>
      </c>
      <c r="B10791" t="s">
        <v>25767</v>
      </c>
      <c r="C10791" t="s">
        <v>176</v>
      </c>
      <c r="D10791">
        <v>1.6</v>
      </c>
      <c r="E10791">
        <v>0</v>
      </c>
      <c r="F10791">
        <f t="shared" si="186"/>
        <v>1.6</v>
      </c>
      <c r="G10791">
        <v>1</v>
      </c>
      <c r="H10791">
        <f t="shared" si="185"/>
        <v>1.6</v>
      </c>
      <c r="I10791">
        <v>20170401</v>
      </c>
      <c r="J10791" t="s">
        <v>10904</v>
      </c>
    </row>
    <row r="10792" spans="1:15" x14ac:dyDescent="0.3">
      <c r="A10792" s="160">
        <v>77319</v>
      </c>
      <c r="B10792" t="s">
        <v>25768</v>
      </c>
      <c r="C10792" t="s">
        <v>176</v>
      </c>
      <c r="D10792">
        <v>1.6</v>
      </c>
      <c r="E10792">
        <v>0</v>
      </c>
      <c r="F10792">
        <f t="shared" si="186"/>
        <v>1.6</v>
      </c>
      <c r="G10792">
        <v>1</v>
      </c>
      <c r="H10792">
        <f t="shared" si="185"/>
        <v>1.6</v>
      </c>
      <c r="I10792">
        <v>20170401</v>
      </c>
      <c r="J10792" t="s">
        <v>10800</v>
      </c>
    </row>
    <row r="10793" spans="1:15" x14ac:dyDescent="0.3">
      <c r="A10793" s="160">
        <v>77320</v>
      </c>
      <c r="B10793" t="s">
        <v>25769</v>
      </c>
      <c r="C10793" t="s">
        <v>176</v>
      </c>
      <c r="D10793">
        <v>1.6</v>
      </c>
      <c r="E10793">
        <v>0</v>
      </c>
      <c r="F10793">
        <f t="shared" si="186"/>
        <v>1.6</v>
      </c>
      <c r="G10793">
        <v>1</v>
      </c>
      <c r="H10793">
        <f t="shared" si="185"/>
        <v>1.6</v>
      </c>
      <c r="I10793">
        <v>20170401</v>
      </c>
      <c r="J10793" t="s">
        <v>10711</v>
      </c>
      <c r="K10793" t="s">
        <v>10871</v>
      </c>
      <c r="L10793" t="s">
        <v>10797</v>
      </c>
    </row>
    <row r="10794" spans="1:15" x14ac:dyDescent="0.3">
      <c r="A10794" s="160">
        <v>77321</v>
      </c>
      <c r="B10794" t="s">
        <v>25770</v>
      </c>
      <c r="C10794" t="s">
        <v>176</v>
      </c>
      <c r="D10794">
        <v>1.6</v>
      </c>
      <c r="E10794">
        <v>0</v>
      </c>
      <c r="F10794">
        <f t="shared" si="186"/>
        <v>1.6</v>
      </c>
      <c r="G10794">
        <v>1</v>
      </c>
      <c r="H10794">
        <f t="shared" si="185"/>
        <v>1.6</v>
      </c>
      <c r="I10794">
        <v>20170401</v>
      </c>
      <c r="J10794" t="s">
        <v>10734</v>
      </c>
    </row>
    <row r="10795" spans="1:15" x14ac:dyDescent="0.3">
      <c r="A10795" s="160">
        <v>77322</v>
      </c>
      <c r="B10795" t="s">
        <v>25771</v>
      </c>
      <c r="C10795" t="s">
        <v>176</v>
      </c>
      <c r="D10795">
        <v>1.6</v>
      </c>
      <c r="E10795">
        <v>0</v>
      </c>
      <c r="F10795">
        <f t="shared" si="186"/>
        <v>1.6</v>
      </c>
      <c r="G10795">
        <v>1</v>
      </c>
      <c r="H10795">
        <f t="shared" si="185"/>
        <v>1.6</v>
      </c>
      <c r="I10795">
        <v>20170401</v>
      </c>
      <c r="J10795" t="s">
        <v>10901</v>
      </c>
      <c r="K10795" t="s">
        <v>10903</v>
      </c>
    </row>
    <row r="10796" spans="1:15" x14ac:dyDescent="0.3">
      <c r="A10796" s="160">
        <v>77323</v>
      </c>
      <c r="B10796" t="s">
        <v>25772</v>
      </c>
      <c r="C10796" t="s">
        <v>176</v>
      </c>
      <c r="D10796">
        <v>1.6</v>
      </c>
      <c r="E10796">
        <v>0</v>
      </c>
      <c r="F10796">
        <f t="shared" si="186"/>
        <v>1.6</v>
      </c>
      <c r="G10796">
        <v>1</v>
      </c>
      <c r="H10796">
        <f t="shared" si="185"/>
        <v>1.6</v>
      </c>
      <c r="I10796">
        <v>20170401</v>
      </c>
      <c r="J10796" t="s">
        <v>10901</v>
      </c>
      <c r="K10796" t="s">
        <v>10903</v>
      </c>
    </row>
    <row r="10797" spans="1:15" x14ac:dyDescent="0.3">
      <c r="A10797" s="160">
        <v>77325</v>
      </c>
      <c r="B10797" t="s">
        <v>25773</v>
      </c>
      <c r="C10797" t="s">
        <v>176</v>
      </c>
      <c r="D10797">
        <v>1.6</v>
      </c>
      <c r="E10797">
        <v>0</v>
      </c>
      <c r="F10797">
        <f t="shared" si="186"/>
        <v>1.6</v>
      </c>
      <c r="G10797">
        <v>1</v>
      </c>
      <c r="H10797">
        <f t="shared" si="185"/>
        <v>1.6</v>
      </c>
      <c r="I10797">
        <v>20170401</v>
      </c>
      <c r="J10797" t="s">
        <v>10734</v>
      </c>
    </row>
    <row r="10798" spans="1:15" x14ac:dyDescent="0.3">
      <c r="A10798" s="160">
        <v>77326</v>
      </c>
      <c r="B10798" t="s">
        <v>25774</v>
      </c>
      <c r="C10798" t="s">
        <v>176</v>
      </c>
      <c r="D10798">
        <v>2.0099999999999998</v>
      </c>
      <c r="E10798">
        <v>0</v>
      </c>
      <c r="F10798">
        <f t="shared" si="186"/>
        <v>2.0099999999999998</v>
      </c>
      <c r="G10798">
        <v>1</v>
      </c>
      <c r="H10798">
        <f t="shared" si="185"/>
        <v>2.0099999999999998</v>
      </c>
      <c r="I10798">
        <v>20170401</v>
      </c>
      <c r="J10798" t="s">
        <v>11032</v>
      </c>
      <c r="K10798" t="s">
        <v>11033</v>
      </c>
    </row>
    <row r="10799" spans="1:15" x14ac:dyDescent="0.3">
      <c r="A10799" s="160">
        <v>77327</v>
      </c>
      <c r="B10799" t="s">
        <v>25775</v>
      </c>
      <c r="C10799" t="s">
        <v>176</v>
      </c>
      <c r="D10799">
        <v>1.6</v>
      </c>
      <c r="E10799">
        <v>0</v>
      </c>
      <c r="F10799">
        <f t="shared" si="186"/>
        <v>1.6</v>
      </c>
      <c r="G10799">
        <v>1</v>
      </c>
      <c r="H10799">
        <f t="shared" si="185"/>
        <v>1.6</v>
      </c>
      <c r="I10799">
        <v>20170401</v>
      </c>
      <c r="J10799" t="s">
        <v>10825</v>
      </c>
    </row>
    <row r="10800" spans="1:15" x14ac:dyDescent="0.3">
      <c r="A10800" s="160">
        <v>77328</v>
      </c>
      <c r="B10800" t="s">
        <v>25776</v>
      </c>
      <c r="C10800" t="s">
        <v>176</v>
      </c>
      <c r="D10800">
        <v>1.6</v>
      </c>
      <c r="E10800">
        <v>0</v>
      </c>
      <c r="F10800">
        <f t="shared" si="186"/>
        <v>1.6</v>
      </c>
      <c r="G10800">
        <v>1</v>
      </c>
      <c r="H10800">
        <f t="shared" si="185"/>
        <v>1.6</v>
      </c>
      <c r="I10800">
        <v>20170401</v>
      </c>
      <c r="J10800" t="s">
        <v>10710</v>
      </c>
    </row>
    <row r="10801" spans="1:23" x14ac:dyDescent="0.3">
      <c r="A10801" s="160">
        <v>77329</v>
      </c>
      <c r="B10801" t="s">
        <v>25777</v>
      </c>
      <c r="C10801" t="s">
        <v>176</v>
      </c>
      <c r="D10801">
        <v>1.6</v>
      </c>
      <c r="E10801">
        <v>0</v>
      </c>
      <c r="F10801">
        <f t="shared" si="186"/>
        <v>1.6</v>
      </c>
      <c r="G10801">
        <v>1</v>
      </c>
      <c r="H10801">
        <f t="shared" si="185"/>
        <v>1.6</v>
      </c>
      <c r="I10801">
        <v>20170401</v>
      </c>
      <c r="J10801" t="s">
        <v>10848</v>
      </c>
      <c r="K10801" t="s">
        <v>10736</v>
      </c>
    </row>
    <row r="10802" spans="1:23" x14ac:dyDescent="0.3">
      <c r="A10802" s="160">
        <v>77330</v>
      </c>
      <c r="B10802" t="s">
        <v>25778</v>
      </c>
      <c r="C10802" t="s">
        <v>176</v>
      </c>
      <c r="D10802">
        <v>1.6</v>
      </c>
      <c r="E10802">
        <v>0</v>
      </c>
      <c r="F10802">
        <f t="shared" si="186"/>
        <v>1.6</v>
      </c>
      <c r="G10802">
        <v>1</v>
      </c>
      <c r="H10802">
        <f t="shared" si="185"/>
        <v>1.6</v>
      </c>
      <c r="I10802">
        <v>20170401</v>
      </c>
      <c r="J10802" t="s">
        <v>10976</v>
      </c>
      <c r="K10802" t="s">
        <v>10978</v>
      </c>
      <c r="L10802" t="s">
        <v>10979</v>
      </c>
      <c r="M10802" t="s">
        <v>10761</v>
      </c>
    </row>
    <row r="10803" spans="1:23" x14ac:dyDescent="0.3">
      <c r="A10803" s="160">
        <v>77331</v>
      </c>
      <c r="B10803" t="s">
        <v>25779</v>
      </c>
      <c r="C10803" t="s">
        <v>176</v>
      </c>
      <c r="D10803">
        <v>1.6</v>
      </c>
      <c r="E10803">
        <v>0</v>
      </c>
      <c r="F10803">
        <f t="shared" si="186"/>
        <v>1.6</v>
      </c>
      <c r="G10803">
        <v>1</v>
      </c>
      <c r="H10803">
        <f t="shared" ref="H10803:H10866" si="187">G10803*F10803</f>
        <v>1.6</v>
      </c>
      <c r="I10803">
        <v>20170401</v>
      </c>
      <c r="J10803" t="s">
        <v>10849</v>
      </c>
    </row>
    <row r="10804" spans="1:23" x14ac:dyDescent="0.3">
      <c r="A10804" s="160">
        <v>77332</v>
      </c>
      <c r="B10804" t="s">
        <v>25780</v>
      </c>
      <c r="C10804" t="s">
        <v>176</v>
      </c>
      <c r="D10804">
        <v>1.6</v>
      </c>
      <c r="E10804">
        <v>0</v>
      </c>
      <c r="F10804">
        <f t="shared" si="186"/>
        <v>1.6</v>
      </c>
      <c r="G10804">
        <v>1</v>
      </c>
      <c r="H10804">
        <f t="shared" si="187"/>
        <v>1.6</v>
      </c>
      <c r="I10804">
        <v>20170401</v>
      </c>
      <c r="J10804" t="s">
        <v>10901</v>
      </c>
    </row>
    <row r="10805" spans="1:23" x14ac:dyDescent="0.3">
      <c r="A10805" s="160">
        <v>77333</v>
      </c>
      <c r="B10805" t="s">
        <v>25781</v>
      </c>
      <c r="C10805" t="s">
        <v>176</v>
      </c>
      <c r="D10805">
        <v>1.6</v>
      </c>
      <c r="E10805">
        <v>0</v>
      </c>
      <c r="F10805">
        <f t="shared" si="186"/>
        <v>1.6</v>
      </c>
      <c r="G10805">
        <v>1</v>
      </c>
      <c r="H10805">
        <f t="shared" si="187"/>
        <v>1.6</v>
      </c>
      <c r="I10805">
        <v>20170401</v>
      </c>
      <c r="J10805" t="s">
        <v>10905</v>
      </c>
      <c r="K10805" t="s">
        <v>10938</v>
      </c>
      <c r="L10805" t="s">
        <v>10736</v>
      </c>
      <c r="M10805" t="s">
        <v>10830</v>
      </c>
      <c r="N10805" t="s">
        <v>11034</v>
      </c>
      <c r="O10805" t="s">
        <v>10737</v>
      </c>
      <c r="P10805" t="s">
        <v>11035</v>
      </c>
    </row>
    <row r="10806" spans="1:23" x14ac:dyDescent="0.3">
      <c r="A10806" s="160">
        <v>77335</v>
      </c>
      <c r="B10806" t="s">
        <v>25782</v>
      </c>
      <c r="C10806" t="s">
        <v>176</v>
      </c>
      <c r="D10806">
        <v>1.6</v>
      </c>
      <c r="E10806">
        <v>0</v>
      </c>
      <c r="F10806">
        <f t="shared" si="186"/>
        <v>1.6</v>
      </c>
      <c r="G10806">
        <v>1</v>
      </c>
      <c r="H10806">
        <f t="shared" si="187"/>
        <v>1.6</v>
      </c>
      <c r="I10806">
        <v>20170401</v>
      </c>
      <c r="J10806" t="s">
        <v>11036</v>
      </c>
      <c r="K10806" t="s">
        <v>10880</v>
      </c>
      <c r="L10806" t="s">
        <v>10979</v>
      </c>
      <c r="M10806" t="s">
        <v>11037</v>
      </c>
    </row>
    <row r="10807" spans="1:23" x14ac:dyDescent="0.3">
      <c r="A10807" s="160">
        <v>77336</v>
      </c>
      <c r="B10807" t="s">
        <v>25783</v>
      </c>
      <c r="C10807" t="s">
        <v>176</v>
      </c>
      <c r="D10807">
        <v>1.6</v>
      </c>
      <c r="E10807">
        <v>0</v>
      </c>
      <c r="F10807">
        <f t="shared" si="186"/>
        <v>1.6</v>
      </c>
      <c r="G10807">
        <v>1</v>
      </c>
      <c r="H10807">
        <f t="shared" si="187"/>
        <v>1.6</v>
      </c>
      <c r="I10807">
        <v>20170401</v>
      </c>
      <c r="J10807" t="s">
        <v>10826</v>
      </c>
    </row>
    <row r="10808" spans="1:23" x14ac:dyDescent="0.3">
      <c r="A10808" s="160">
        <v>77337</v>
      </c>
      <c r="B10808" t="s">
        <v>25784</v>
      </c>
      <c r="C10808" t="s">
        <v>176</v>
      </c>
      <c r="D10808">
        <v>2.0099999999999998</v>
      </c>
      <c r="E10808">
        <v>0</v>
      </c>
      <c r="F10808">
        <f t="shared" si="186"/>
        <v>2.0099999999999998</v>
      </c>
      <c r="G10808">
        <v>1</v>
      </c>
      <c r="H10808">
        <f t="shared" si="187"/>
        <v>2.0099999999999998</v>
      </c>
      <c r="I10808">
        <v>20170401</v>
      </c>
      <c r="J10808" t="s">
        <v>11038</v>
      </c>
      <c r="K10808" t="s">
        <v>10885</v>
      </c>
      <c r="L10808" t="s">
        <v>10813</v>
      </c>
      <c r="M10808" t="s">
        <v>10815</v>
      </c>
      <c r="N10808" t="s">
        <v>11039</v>
      </c>
      <c r="O10808" t="s">
        <v>11040</v>
      </c>
      <c r="P10808" t="s">
        <v>11041</v>
      </c>
      <c r="Q10808" t="s">
        <v>11042</v>
      </c>
      <c r="R10808" t="s">
        <v>11043</v>
      </c>
      <c r="S10808" t="s">
        <v>11044</v>
      </c>
      <c r="T10808" t="s">
        <v>11045</v>
      </c>
      <c r="U10808" t="s">
        <v>10820</v>
      </c>
      <c r="V10808" t="s">
        <v>10970</v>
      </c>
      <c r="W10808" t="s">
        <v>11046</v>
      </c>
    </row>
    <row r="10809" spans="1:23" x14ac:dyDescent="0.3">
      <c r="A10809" s="160">
        <v>77338</v>
      </c>
      <c r="B10809" t="s">
        <v>25785</v>
      </c>
      <c r="C10809" t="s">
        <v>176</v>
      </c>
      <c r="D10809">
        <v>1.6</v>
      </c>
      <c r="E10809">
        <v>0</v>
      </c>
      <c r="F10809">
        <f t="shared" si="186"/>
        <v>1.6</v>
      </c>
      <c r="G10809">
        <v>1</v>
      </c>
      <c r="H10809">
        <f t="shared" si="187"/>
        <v>1.6</v>
      </c>
      <c r="I10809">
        <v>20170401</v>
      </c>
      <c r="J10809" t="s">
        <v>10753</v>
      </c>
    </row>
    <row r="10810" spans="1:23" x14ac:dyDescent="0.3">
      <c r="A10810" s="160">
        <v>77339</v>
      </c>
      <c r="B10810" t="s">
        <v>25786</v>
      </c>
      <c r="C10810" t="s">
        <v>176</v>
      </c>
      <c r="D10810">
        <v>1.6</v>
      </c>
      <c r="E10810">
        <v>0</v>
      </c>
      <c r="F10810">
        <f t="shared" si="186"/>
        <v>1.6</v>
      </c>
      <c r="G10810">
        <v>1</v>
      </c>
      <c r="H10810">
        <f t="shared" si="187"/>
        <v>1.6</v>
      </c>
      <c r="I10810">
        <v>20170401</v>
      </c>
      <c r="J10810" t="s">
        <v>11047</v>
      </c>
    </row>
    <row r="10811" spans="1:23" x14ac:dyDescent="0.3">
      <c r="A10811" s="160">
        <v>77340</v>
      </c>
      <c r="B10811" t="s">
        <v>25787</v>
      </c>
      <c r="C10811" t="s">
        <v>176</v>
      </c>
      <c r="D10811">
        <v>1.6</v>
      </c>
      <c r="E10811">
        <v>0</v>
      </c>
      <c r="F10811">
        <f t="shared" si="186"/>
        <v>1.6</v>
      </c>
      <c r="G10811">
        <v>1</v>
      </c>
      <c r="H10811">
        <f t="shared" si="187"/>
        <v>1.6</v>
      </c>
      <c r="I10811">
        <v>20170401</v>
      </c>
      <c r="J10811" t="s">
        <v>10905</v>
      </c>
    </row>
    <row r="10812" spans="1:23" x14ac:dyDescent="0.3">
      <c r="A10812" s="160">
        <v>77341</v>
      </c>
      <c r="B10812" t="s">
        <v>25788</v>
      </c>
      <c r="C10812" t="s">
        <v>176</v>
      </c>
      <c r="D10812">
        <v>1.6</v>
      </c>
      <c r="E10812">
        <v>0</v>
      </c>
      <c r="F10812">
        <f t="shared" si="186"/>
        <v>1.6</v>
      </c>
      <c r="G10812">
        <v>1</v>
      </c>
      <c r="H10812">
        <f t="shared" si="187"/>
        <v>1.6</v>
      </c>
      <c r="I10812">
        <v>20170401</v>
      </c>
      <c r="J10812" t="s">
        <v>10933</v>
      </c>
    </row>
    <row r="10813" spans="1:23" x14ac:dyDescent="0.3">
      <c r="A10813" s="160">
        <v>77342</v>
      </c>
      <c r="B10813" t="s">
        <v>25789</v>
      </c>
      <c r="C10813" t="s">
        <v>176</v>
      </c>
      <c r="D10813">
        <v>1.6</v>
      </c>
      <c r="E10813">
        <v>0</v>
      </c>
      <c r="F10813">
        <f t="shared" si="186"/>
        <v>1.6</v>
      </c>
      <c r="G10813">
        <v>1</v>
      </c>
      <c r="H10813">
        <f t="shared" si="187"/>
        <v>1.6</v>
      </c>
      <c r="I10813">
        <v>20240101</v>
      </c>
      <c r="J10813" t="s">
        <v>10719</v>
      </c>
    </row>
    <row r="10814" spans="1:23" x14ac:dyDescent="0.3">
      <c r="A10814" s="160">
        <v>77343</v>
      </c>
      <c r="B10814" t="s">
        <v>25790</v>
      </c>
      <c r="C10814" t="s">
        <v>176</v>
      </c>
      <c r="D10814">
        <v>1.6</v>
      </c>
      <c r="E10814">
        <v>0</v>
      </c>
      <c r="F10814">
        <f t="shared" si="186"/>
        <v>1.6</v>
      </c>
      <c r="G10814">
        <v>1</v>
      </c>
      <c r="H10814">
        <f t="shared" si="187"/>
        <v>1.6</v>
      </c>
      <c r="I10814">
        <v>20170401</v>
      </c>
      <c r="J10814" t="s">
        <v>10718</v>
      </c>
    </row>
    <row r="10815" spans="1:23" x14ac:dyDescent="0.3">
      <c r="A10815" s="160">
        <v>77344</v>
      </c>
      <c r="B10815" t="s">
        <v>25791</v>
      </c>
      <c r="C10815" t="s">
        <v>176</v>
      </c>
      <c r="D10815">
        <v>1.6</v>
      </c>
      <c r="E10815">
        <v>0</v>
      </c>
      <c r="F10815">
        <f t="shared" si="186"/>
        <v>1.6</v>
      </c>
      <c r="G10815">
        <v>1</v>
      </c>
      <c r="H10815">
        <f t="shared" si="187"/>
        <v>1.6</v>
      </c>
      <c r="I10815">
        <v>20170401</v>
      </c>
      <c r="J10815" t="s">
        <v>11048</v>
      </c>
    </row>
    <row r="10816" spans="1:23" x14ac:dyDescent="0.3">
      <c r="A10816" s="160">
        <v>77345</v>
      </c>
      <c r="B10816" t="s">
        <v>25792</v>
      </c>
      <c r="C10816" t="s">
        <v>176</v>
      </c>
      <c r="D10816">
        <v>1.6</v>
      </c>
      <c r="E10816">
        <v>0</v>
      </c>
      <c r="F10816">
        <f t="shared" si="186"/>
        <v>1.6</v>
      </c>
      <c r="G10816">
        <v>1</v>
      </c>
      <c r="H10816">
        <f t="shared" si="187"/>
        <v>1.6</v>
      </c>
      <c r="I10816">
        <v>20170401</v>
      </c>
      <c r="J10816" t="s">
        <v>10747</v>
      </c>
    </row>
    <row r="10817" spans="1:15" x14ac:dyDescent="0.3">
      <c r="A10817" s="160">
        <v>77347</v>
      </c>
      <c r="B10817" t="s">
        <v>25793</v>
      </c>
      <c r="C10817" t="s">
        <v>176</v>
      </c>
      <c r="D10817">
        <v>1.6</v>
      </c>
      <c r="E10817">
        <v>0</v>
      </c>
      <c r="F10817">
        <f t="shared" si="186"/>
        <v>1.6</v>
      </c>
      <c r="G10817">
        <v>1</v>
      </c>
      <c r="H10817">
        <f t="shared" si="187"/>
        <v>1.6</v>
      </c>
      <c r="I10817">
        <v>20170401</v>
      </c>
      <c r="J10817" t="s">
        <v>11049</v>
      </c>
    </row>
    <row r="10818" spans="1:15" x14ac:dyDescent="0.3">
      <c r="A10818" s="160">
        <v>77348</v>
      </c>
      <c r="B10818" t="s">
        <v>25794</v>
      </c>
      <c r="C10818" t="s">
        <v>176</v>
      </c>
      <c r="D10818">
        <v>1.6</v>
      </c>
      <c r="E10818">
        <v>0</v>
      </c>
      <c r="F10818">
        <f t="shared" si="186"/>
        <v>1.6</v>
      </c>
      <c r="G10818">
        <v>1</v>
      </c>
      <c r="H10818">
        <f t="shared" si="187"/>
        <v>1.6</v>
      </c>
      <c r="I10818">
        <v>20170401</v>
      </c>
      <c r="J10818" t="s">
        <v>10735</v>
      </c>
    </row>
    <row r="10819" spans="1:15" x14ac:dyDescent="0.3">
      <c r="A10819" s="160">
        <v>77349</v>
      </c>
      <c r="B10819" t="s">
        <v>25795</v>
      </c>
      <c r="C10819" t="s">
        <v>176</v>
      </c>
      <c r="D10819">
        <v>1.6</v>
      </c>
      <c r="E10819">
        <v>0</v>
      </c>
      <c r="F10819">
        <f t="shared" si="186"/>
        <v>1.6</v>
      </c>
      <c r="G10819">
        <v>1</v>
      </c>
      <c r="H10819">
        <f t="shared" si="187"/>
        <v>1.6</v>
      </c>
      <c r="I10819">
        <v>20170401</v>
      </c>
      <c r="J10819" t="s">
        <v>10902</v>
      </c>
      <c r="K10819" t="s">
        <v>11050</v>
      </c>
      <c r="L10819" t="s">
        <v>11051</v>
      </c>
    </row>
    <row r="10820" spans="1:15" x14ac:dyDescent="0.3">
      <c r="A10820" s="160">
        <v>77350</v>
      </c>
      <c r="B10820" t="s">
        <v>25796</v>
      </c>
      <c r="C10820" t="s">
        <v>176</v>
      </c>
      <c r="D10820">
        <v>2.0099999999999998</v>
      </c>
      <c r="E10820">
        <v>0</v>
      </c>
      <c r="F10820">
        <f t="shared" si="186"/>
        <v>2.0099999999999998</v>
      </c>
      <c r="G10820">
        <v>1</v>
      </c>
      <c r="H10820">
        <f t="shared" si="187"/>
        <v>2.0099999999999998</v>
      </c>
      <c r="I10820">
        <v>20170401</v>
      </c>
      <c r="J10820" t="s">
        <v>11052</v>
      </c>
      <c r="K10820" t="s">
        <v>11053</v>
      </c>
      <c r="L10820" t="s">
        <v>11054</v>
      </c>
      <c r="M10820" t="s">
        <v>11055</v>
      </c>
      <c r="N10820" t="s">
        <v>11056</v>
      </c>
      <c r="O10820" t="s">
        <v>11057</v>
      </c>
    </row>
    <row r="10821" spans="1:15" x14ac:dyDescent="0.3">
      <c r="A10821" s="160">
        <v>77352</v>
      </c>
      <c r="B10821" t="s">
        <v>25797</v>
      </c>
      <c r="C10821" t="s">
        <v>176</v>
      </c>
      <c r="D10821">
        <v>1.6</v>
      </c>
      <c r="E10821">
        <v>0</v>
      </c>
      <c r="F10821">
        <f t="shared" si="186"/>
        <v>1.6</v>
      </c>
      <c r="G10821">
        <v>1</v>
      </c>
      <c r="H10821">
        <f t="shared" si="187"/>
        <v>1.6</v>
      </c>
      <c r="I10821">
        <v>20170401</v>
      </c>
      <c r="J10821" t="s">
        <v>10712</v>
      </c>
    </row>
    <row r="10822" spans="1:15" x14ac:dyDescent="0.3">
      <c r="A10822" s="160">
        <v>77353</v>
      </c>
      <c r="B10822" t="s">
        <v>25798</v>
      </c>
      <c r="C10822" t="s">
        <v>176</v>
      </c>
      <c r="D10822">
        <v>1.6</v>
      </c>
      <c r="E10822">
        <v>0</v>
      </c>
      <c r="F10822">
        <f t="shared" si="186"/>
        <v>1.6</v>
      </c>
      <c r="G10822">
        <v>1</v>
      </c>
      <c r="H10822">
        <f t="shared" si="187"/>
        <v>1.6</v>
      </c>
      <c r="I10822">
        <v>20170401</v>
      </c>
      <c r="J10822" t="s">
        <v>10848</v>
      </c>
    </row>
    <row r="10823" spans="1:15" x14ac:dyDescent="0.3">
      <c r="A10823" s="160">
        <v>77354</v>
      </c>
      <c r="B10823" t="s">
        <v>25799</v>
      </c>
      <c r="C10823" t="s">
        <v>176</v>
      </c>
      <c r="D10823">
        <v>1.6</v>
      </c>
      <c r="E10823">
        <v>0</v>
      </c>
      <c r="F10823">
        <f t="shared" ref="F10823:F10886" si="188">D10823+E10823</f>
        <v>1.6</v>
      </c>
      <c r="G10823">
        <v>1</v>
      </c>
      <c r="H10823">
        <f t="shared" si="187"/>
        <v>1.6</v>
      </c>
      <c r="I10823">
        <v>20170401</v>
      </c>
      <c r="J10823" t="s">
        <v>10907</v>
      </c>
      <c r="K10823" t="s">
        <v>10936</v>
      </c>
    </row>
    <row r="10824" spans="1:15" x14ac:dyDescent="0.3">
      <c r="A10824" s="160">
        <v>77355</v>
      </c>
      <c r="B10824" t="s">
        <v>25800</v>
      </c>
      <c r="C10824" t="s">
        <v>176</v>
      </c>
      <c r="D10824">
        <v>1.6</v>
      </c>
      <c r="E10824">
        <v>0</v>
      </c>
      <c r="F10824">
        <f t="shared" si="188"/>
        <v>1.6</v>
      </c>
      <c r="G10824">
        <v>1</v>
      </c>
      <c r="H10824">
        <f t="shared" si="187"/>
        <v>1.6</v>
      </c>
      <c r="I10824">
        <v>20170401</v>
      </c>
      <c r="J10824" t="s">
        <v>10794</v>
      </c>
    </row>
    <row r="10825" spans="1:15" x14ac:dyDescent="0.3">
      <c r="A10825" s="160">
        <v>77356</v>
      </c>
      <c r="B10825" t="s">
        <v>25801</v>
      </c>
      <c r="C10825" t="s">
        <v>176</v>
      </c>
      <c r="D10825">
        <v>1.6</v>
      </c>
      <c r="E10825">
        <v>0</v>
      </c>
      <c r="F10825">
        <f t="shared" si="188"/>
        <v>1.6</v>
      </c>
      <c r="G10825">
        <v>1</v>
      </c>
      <c r="H10825">
        <f t="shared" si="187"/>
        <v>1.6</v>
      </c>
      <c r="I10825">
        <v>20170401</v>
      </c>
      <c r="J10825" t="s">
        <v>10734</v>
      </c>
    </row>
    <row r="10826" spans="1:15" x14ac:dyDescent="0.3">
      <c r="A10826" s="160">
        <v>77357</v>
      </c>
      <c r="B10826" t="s">
        <v>25802</v>
      </c>
      <c r="C10826" t="s">
        <v>176</v>
      </c>
      <c r="D10826">
        <v>1.6</v>
      </c>
      <c r="E10826">
        <v>0</v>
      </c>
      <c r="F10826">
        <f t="shared" si="188"/>
        <v>1.6</v>
      </c>
      <c r="G10826">
        <v>1</v>
      </c>
      <c r="H10826">
        <f t="shared" si="187"/>
        <v>1.6</v>
      </c>
      <c r="I10826">
        <v>20240101</v>
      </c>
      <c r="J10826" t="s">
        <v>10743</v>
      </c>
    </row>
    <row r="10827" spans="1:15" x14ac:dyDescent="0.3">
      <c r="A10827" s="160">
        <v>77358</v>
      </c>
      <c r="B10827" t="s">
        <v>25803</v>
      </c>
      <c r="C10827" t="s">
        <v>176</v>
      </c>
      <c r="D10827">
        <v>1.6</v>
      </c>
      <c r="E10827">
        <v>0</v>
      </c>
      <c r="F10827">
        <f t="shared" si="188"/>
        <v>1.6</v>
      </c>
      <c r="G10827">
        <v>1</v>
      </c>
      <c r="H10827">
        <f t="shared" si="187"/>
        <v>1.6</v>
      </c>
      <c r="I10827">
        <v>20170401</v>
      </c>
      <c r="J10827" t="s">
        <v>10880</v>
      </c>
    </row>
    <row r="10828" spans="1:15" x14ac:dyDescent="0.3">
      <c r="A10828" s="160">
        <v>77359</v>
      </c>
      <c r="B10828" t="s">
        <v>21022</v>
      </c>
      <c r="C10828" t="s">
        <v>176</v>
      </c>
      <c r="D10828">
        <v>1.6</v>
      </c>
      <c r="E10828">
        <v>0</v>
      </c>
      <c r="F10828">
        <f t="shared" si="188"/>
        <v>1.6</v>
      </c>
      <c r="G10828">
        <v>1</v>
      </c>
      <c r="H10828">
        <f t="shared" si="187"/>
        <v>1.6</v>
      </c>
      <c r="I10828">
        <v>20170401</v>
      </c>
      <c r="J10828" t="s">
        <v>10789</v>
      </c>
      <c r="K10828" t="s">
        <v>11058</v>
      </c>
    </row>
    <row r="10829" spans="1:15" x14ac:dyDescent="0.3">
      <c r="A10829" s="160">
        <v>77360</v>
      </c>
      <c r="B10829" t="s">
        <v>25804</v>
      </c>
      <c r="C10829" t="s">
        <v>176</v>
      </c>
      <c r="D10829">
        <v>1.6</v>
      </c>
      <c r="E10829">
        <v>0</v>
      </c>
      <c r="F10829">
        <f t="shared" si="188"/>
        <v>1.6</v>
      </c>
      <c r="G10829">
        <v>1</v>
      </c>
      <c r="H10829">
        <f t="shared" si="187"/>
        <v>1.6</v>
      </c>
      <c r="I10829">
        <v>20170401</v>
      </c>
      <c r="J10829" t="s">
        <v>11059</v>
      </c>
    </row>
    <row r="10830" spans="1:15" x14ac:dyDescent="0.3">
      <c r="A10830" s="160">
        <v>77361</v>
      </c>
      <c r="B10830" t="s">
        <v>25805</v>
      </c>
      <c r="C10830" t="s">
        <v>176</v>
      </c>
      <c r="D10830">
        <v>1.6</v>
      </c>
      <c r="E10830">
        <v>0</v>
      </c>
      <c r="F10830">
        <f t="shared" si="188"/>
        <v>1.6</v>
      </c>
      <c r="G10830">
        <v>1</v>
      </c>
      <c r="H10830">
        <f t="shared" si="187"/>
        <v>1.6</v>
      </c>
      <c r="I10830">
        <v>20170401</v>
      </c>
      <c r="J10830" t="s">
        <v>10762</v>
      </c>
    </row>
    <row r="10831" spans="1:15" x14ac:dyDescent="0.3">
      <c r="A10831" s="160">
        <v>77363</v>
      </c>
      <c r="B10831" t="s">
        <v>18359</v>
      </c>
      <c r="C10831" t="s">
        <v>176</v>
      </c>
      <c r="D10831">
        <v>1.6</v>
      </c>
      <c r="E10831">
        <v>0</v>
      </c>
      <c r="F10831">
        <f t="shared" si="188"/>
        <v>1.6</v>
      </c>
      <c r="G10831">
        <v>1</v>
      </c>
      <c r="H10831">
        <f t="shared" si="187"/>
        <v>1.6</v>
      </c>
      <c r="I10831">
        <v>20170401</v>
      </c>
      <c r="J10831" t="s">
        <v>10876</v>
      </c>
      <c r="K10831" t="s">
        <v>10833</v>
      </c>
    </row>
    <row r="10832" spans="1:15" x14ac:dyDescent="0.3">
      <c r="A10832" s="160">
        <v>77364</v>
      </c>
      <c r="B10832" t="s">
        <v>25806</v>
      </c>
      <c r="C10832" t="s">
        <v>176</v>
      </c>
      <c r="D10832">
        <v>1.6</v>
      </c>
      <c r="E10832">
        <v>0</v>
      </c>
      <c r="F10832">
        <f t="shared" si="188"/>
        <v>1.6</v>
      </c>
      <c r="G10832">
        <v>1</v>
      </c>
      <c r="H10832">
        <f t="shared" si="187"/>
        <v>1.6</v>
      </c>
      <c r="I10832">
        <v>20170401</v>
      </c>
      <c r="J10832" t="s">
        <v>10889</v>
      </c>
    </row>
    <row r="10833" spans="1:17" x14ac:dyDescent="0.3">
      <c r="A10833" s="160">
        <v>77365</v>
      </c>
      <c r="B10833" t="s">
        <v>25807</v>
      </c>
      <c r="C10833" t="s">
        <v>176</v>
      </c>
      <c r="D10833">
        <v>1.6</v>
      </c>
      <c r="E10833">
        <v>0</v>
      </c>
      <c r="F10833">
        <f t="shared" si="188"/>
        <v>1.6</v>
      </c>
      <c r="G10833">
        <v>1</v>
      </c>
      <c r="H10833">
        <f t="shared" si="187"/>
        <v>1.6</v>
      </c>
      <c r="I10833">
        <v>20170401</v>
      </c>
      <c r="J10833" t="s">
        <v>10749</v>
      </c>
    </row>
    <row r="10834" spans="1:17" x14ac:dyDescent="0.3">
      <c r="A10834" s="160">
        <v>77366</v>
      </c>
      <c r="B10834" t="s">
        <v>25808</v>
      </c>
      <c r="C10834" t="s">
        <v>176</v>
      </c>
      <c r="D10834">
        <v>1.6</v>
      </c>
      <c r="E10834">
        <v>0</v>
      </c>
      <c r="F10834">
        <f t="shared" si="188"/>
        <v>1.6</v>
      </c>
      <c r="G10834">
        <v>1</v>
      </c>
      <c r="H10834">
        <f t="shared" si="187"/>
        <v>1.6</v>
      </c>
      <c r="I10834">
        <v>20170401</v>
      </c>
      <c r="J10834" t="s">
        <v>10889</v>
      </c>
    </row>
    <row r="10835" spans="1:17" x14ac:dyDescent="0.3">
      <c r="A10835" s="160">
        <v>77367</v>
      </c>
      <c r="B10835" t="s">
        <v>25809</v>
      </c>
      <c r="C10835" t="s">
        <v>176</v>
      </c>
      <c r="D10835">
        <v>1.6</v>
      </c>
      <c r="E10835">
        <v>0</v>
      </c>
      <c r="F10835">
        <f t="shared" si="188"/>
        <v>1.6</v>
      </c>
      <c r="G10835">
        <v>1</v>
      </c>
      <c r="H10835">
        <f t="shared" si="187"/>
        <v>1.6</v>
      </c>
      <c r="I10835">
        <v>20170401</v>
      </c>
      <c r="J10835" t="s">
        <v>10718</v>
      </c>
    </row>
    <row r="10836" spans="1:17" x14ac:dyDescent="0.3">
      <c r="A10836" s="160">
        <v>77368</v>
      </c>
      <c r="B10836" t="s">
        <v>25810</v>
      </c>
      <c r="C10836" t="s">
        <v>176</v>
      </c>
      <c r="D10836">
        <v>1.6</v>
      </c>
      <c r="E10836">
        <v>0</v>
      </c>
      <c r="F10836">
        <f t="shared" si="188"/>
        <v>1.6</v>
      </c>
      <c r="G10836">
        <v>1</v>
      </c>
      <c r="H10836">
        <f t="shared" si="187"/>
        <v>1.6</v>
      </c>
      <c r="I10836">
        <v>20170401</v>
      </c>
      <c r="J10836" t="s">
        <v>10800</v>
      </c>
      <c r="K10836" t="s">
        <v>10952</v>
      </c>
    </row>
    <row r="10837" spans="1:17" x14ac:dyDescent="0.3">
      <c r="A10837" s="160">
        <v>77369</v>
      </c>
      <c r="B10837" t="s">
        <v>25811</v>
      </c>
      <c r="C10837" t="s">
        <v>176</v>
      </c>
      <c r="D10837">
        <v>1.6</v>
      </c>
      <c r="E10837">
        <v>0</v>
      </c>
      <c r="F10837">
        <f t="shared" si="188"/>
        <v>1.6</v>
      </c>
      <c r="G10837">
        <v>1</v>
      </c>
      <c r="H10837">
        <f t="shared" si="187"/>
        <v>1.6</v>
      </c>
      <c r="I10837">
        <v>20170401</v>
      </c>
      <c r="J10837" t="s">
        <v>11060</v>
      </c>
      <c r="K10837" t="s">
        <v>10764</v>
      </c>
    </row>
    <row r="10838" spans="1:17" x14ac:dyDescent="0.3">
      <c r="A10838" s="160">
        <v>77370</v>
      </c>
      <c r="B10838" t="s">
        <v>25812</v>
      </c>
      <c r="C10838" t="s">
        <v>176</v>
      </c>
      <c r="D10838">
        <v>1.6</v>
      </c>
      <c r="E10838">
        <v>0</v>
      </c>
      <c r="F10838">
        <f t="shared" si="188"/>
        <v>1.6</v>
      </c>
      <c r="G10838">
        <v>1</v>
      </c>
      <c r="H10838">
        <f t="shared" si="187"/>
        <v>1.6</v>
      </c>
      <c r="I10838">
        <v>20170401</v>
      </c>
      <c r="J10838" t="s">
        <v>10735</v>
      </c>
      <c r="K10838" t="s">
        <v>10736</v>
      </c>
    </row>
    <row r="10839" spans="1:17" x14ac:dyDescent="0.3">
      <c r="A10839" s="160">
        <v>77371</v>
      </c>
      <c r="B10839" t="s">
        <v>25813</v>
      </c>
      <c r="C10839" t="s">
        <v>176</v>
      </c>
      <c r="D10839">
        <v>1.6</v>
      </c>
      <c r="E10839">
        <v>0</v>
      </c>
      <c r="F10839">
        <f t="shared" si="188"/>
        <v>1.6</v>
      </c>
      <c r="G10839">
        <v>1</v>
      </c>
      <c r="H10839">
        <f t="shared" si="187"/>
        <v>1.6</v>
      </c>
      <c r="I10839">
        <v>20170401</v>
      </c>
      <c r="J10839" t="s">
        <v>10788</v>
      </c>
    </row>
    <row r="10840" spans="1:17" x14ac:dyDescent="0.3">
      <c r="A10840" s="160">
        <v>77372</v>
      </c>
      <c r="B10840" t="s">
        <v>25814</v>
      </c>
      <c r="C10840" t="s">
        <v>176</v>
      </c>
      <c r="D10840">
        <v>2.0099999999999998</v>
      </c>
      <c r="E10840">
        <v>0</v>
      </c>
      <c r="F10840">
        <f t="shared" si="188"/>
        <v>2.0099999999999998</v>
      </c>
      <c r="G10840">
        <v>1</v>
      </c>
      <c r="H10840">
        <f t="shared" si="187"/>
        <v>2.0099999999999998</v>
      </c>
      <c r="I10840">
        <v>20170401</v>
      </c>
      <c r="J10840" t="s">
        <v>10786</v>
      </c>
      <c r="K10840" t="s">
        <v>10946</v>
      </c>
      <c r="L10840" t="s">
        <v>10948</v>
      </c>
    </row>
    <row r="10841" spans="1:17" x14ac:dyDescent="0.3">
      <c r="A10841" s="160">
        <v>77373</v>
      </c>
      <c r="B10841" t="s">
        <v>25815</v>
      </c>
      <c r="C10841" t="s">
        <v>176</v>
      </c>
      <c r="D10841">
        <v>2.0099999999999998</v>
      </c>
      <c r="E10841">
        <v>0</v>
      </c>
      <c r="F10841">
        <f t="shared" si="188"/>
        <v>2.0099999999999998</v>
      </c>
      <c r="G10841">
        <v>1</v>
      </c>
      <c r="H10841">
        <f t="shared" si="187"/>
        <v>2.0099999999999998</v>
      </c>
      <c r="I10841">
        <v>20170401</v>
      </c>
      <c r="J10841" t="s">
        <v>11061</v>
      </c>
      <c r="K10841" t="s">
        <v>11062</v>
      </c>
      <c r="L10841" t="s">
        <v>11063</v>
      </c>
      <c r="M10841" t="s">
        <v>11064</v>
      </c>
      <c r="N10841" t="s">
        <v>11065</v>
      </c>
      <c r="O10841" t="s">
        <v>11066</v>
      </c>
      <c r="P10841" t="s">
        <v>11067</v>
      </c>
      <c r="Q10841" t="s">
        <v>11068</v>
      </c>
    </row>
    <row r="10842" spans="1:17" x14ac:dyDescent="0.3">
      <c r="A10842" s="160">
        <v>77374</v>
      </c>
      <c r="B10842" t="s">
        <v>25816</v>
      </c>
      <c r="C10842" t="s">
        <v>176</v>
      </c>
      <c r="D10842">
        <v>1.6</v>
      </c>
      <c r="E10842">
        <v>0</v>
      </c>
      <c r="F10842">
        <f t="shared" si="188"/>
        <v>1.6</v>
      </c>
      <c r="G10842">
        <v>1</v>
      </c>
      <c r="H10842">
        <f t="shared" si="187"/>
        <v>1.6</v>
      </c>
      <c r="I10842">
        <v>20170401</v>
      </c>
      <c r="J10842" t="s">
        <v>11069</v>
      </c>
    </row>
    <row r="10843" spans="1:17" x14ac:dyDescent="0.3">
      <c r="A10843" s="160">
        <v>77376</v>
      </c>
      <c r="B10843" t="s">
        <v>25817</v>
      </c>
      <c r="C10843" t="s">
        <v>176</v>
      </c>
      <c r="D10843">
        <v>1.6</v>
      </c>
      <c r="E10843">
        <v>0</v>
      </c>
      <c r="F10843">
        <f t="shared" si="188"/>
        <v>1.6</v>
      </c>
      <c r="G10843">
        <v>1</v>
      </c>
      <c r="H10843">
        <f t="shared" si="187"/>
        <v>1.6</v>
      </c>
      <c r="I10843">
        <v>20170401</v>
      </c>
      <c r="J10843" t="s">
        <v>10713</v>
      </c>
      <c r="K10843" t="s">
        <v>10715</v>
      </c>
    </row>
    <row r="10844" spans="1:17" x14ac:dyDescent="0.3">
      <c r="A10844" s="160">
        <v>77377</v>
      </c>
      <c r="B10844" t="s">
        <v>25818</v>
      </c>
      <c r="C10844" t="s">
        <v>176</v>
      </c>
      <c r="D10844">
        <v>1.6</v>
      </c>
      <c r="E10844">
        <v>0</v>
      </c>
      <c r="F10844">
        <f t="shared" si="188"/>
        <v>1.6</v>
      </c>
      <c r="G10844">
        <v>1</v>
      </c>
      <c r="H10844">
        <f t="shared" si="187"/>
        <v>1.6</v>
      </c>
      <c r="I10844">
        <v>20170401</v>
      </c>
      <c r="J10844" t="s">
        <v>10915</v>
      </c>
      <c r="K10844" t="s">
        <v>11070</v>
      </c>
    </row>
    <row r="10845" spans="1:17" x14ac:dyDescent="0.3">
      <c r="A10845" s="160">
        <v>77378</v>
      </c>
      <c r="B10845" t="s">
        <v>25819</v>
      </c>
      <c r="C10845" t="s">
        <v>176</v>
      </c>
      <c r="D10845">
        <v>2.0099999999999998</v>
      </c>
      <c r="E10845">
        <v>0</v>
      </c>
      <c r="F10845">
        <f t="shared" si="188"/>
        <v>2.0099999999999998</v>
      </c>
      <c r="G10845">
        <v>1</v>
      </c>
      <c r="H10845">
        <f t="shared" si="187"/>
        <v>2.0099999999999998</v>
      </c>
      <c r="I10845">
        <v>20170401</v>
      </c>
      <c r="J10845" t="s">
        <v>10756</v>
      </c>
      <c r="K10845" t="s">
        <v>10757</v>
      </c>
      <c r="L10845" t="s">
        <v>11071</v>
      </c>
      <c r="M10845" t="s">
        <v>10758</v>
      </c>
      <c r="N10845" t="s">
        <v>10759</v>
      </c>
    </row>
    <row r="10846" spans="1:17" x14ac:dyDescent="0.3">
      <c r="A10846" s="160">
        <v>77379</v>
      </c>
      <c r="B10846" t="s">
        <v>25820</v>
      </c>
      <c r="C10846" t="s">
        <v>176</v>
      </c>
      <c r="D10846">
        <v>1.6</v>
      </c>
      <c r="E10846">
        <v>0</v>
      </c>
      <c r="F10846">
        <f t="shared" si="188"/>
        <v>1.6</v>
      </c>
      <c r="G10846">
        <v>1</v>
      </c>
      <c r="H10846">
        <f t="shared" si="187"/>
        <v>1.6</v>
      </c>
      <c r="I10846">
        <v>20170401</v>
      </c>
      <c r="J10846" t="s">
        <v>10800</v>
      </c>
      <c r="K10846" t="s">
        <v>10952</v>
      </c>
      <c r="L10846" t="s">
        <v>10973</v>
      </c>
      <c r="M10846" t="s">
        <v>10801</v>
      </c>
      <c r="N10846" t="s">
        <v>10802</v>
      </c>
      <c r="O10846" t="s">
        <v>11072</v>
      </c>
      <c r="P10846" t="s">
        <v>11073</v>
      </c>
      <c r="Q10846" t="s">
        <v>11074</v>
      </c>
    </row>
    <row r="10847" spans="1:17" x14ac:dyDescent="0.3">
      <c r="A10847" s="160">
        <v>77380</v>
      </c>
      <c r="B10847" t="s">
        <v>23534</v>
      </c>
      <c r="C10847" t="s">
        <v>176</v>
      </c>
      <c r="D10847">
        <v>1.6</v>
      </c>
      <c r="E10847">
        <v>0</v>
      </c>
      <c r="F10847">
        <f t="shared" si="188"/>
        <v>1.6</v>
      </c>
      <c r="G10847">
        <v>1</v>
      </c>
      <c r="H10847">
        <f t="shared" si="187"/>
        <v>1.6</v>
      </c>
      <c r="I10847">
        <v>20170401</v>
      </c>
      <c r="J10847" t="s">
        <v>10906</v>
      </c>
    </row>
    <row r="10848" spans="1:17" x14ac:dyDescent="0.3">
      <c r="A10848" s="160">
        <v>77381</v>
      </c>
      <c r="B10848" t="s">
        <v>25821</v>
      </c>
      <c r="C10848" t="s">
        <v>176</v>
      </c>
      <c r="D10848">
        <v>1.6</v>
      </c>
      <c r="E10848">
        <v>0</v>
      </c>
      <c r="F10848">
        <f t="shared" si="188"/>
        <v>1.6</v>
      </c>
      <c r="G10848">
        <v>1</v>
      </c>
      <c r="H10848">
        <f t="shared" si="187"/>
        <v>1.6</v>
      </c>
      <c r="I10848">
        <v>20170401</v>
      </c>
      <c r="J10848" t="s">
        <v>10720</v>
      </c>
    </row>
    <row r="10849" spans="1:17" x14ac:dyDescent="0.3">
      <c r="A10849" s="160">
        <v>77382</v>
      </c>
      <c r="B10849" t="s">
        <v>25822</v>
      </c>
      <c r="C10849" t="s">
        <v>176</v>
      </c>
      <c r="D10849">
        <v>1.6</v>
      </c>
      <c r="E10849">
        <v>0</v>
      </c>
      <c r="F10849">
        <f t="shared" si="188"/>
        <v>1.6</v>
      </c>
      <c r="G10849">
        <v>1</v>
      </c>
      <c r="H10849">
        <f t="shared" si="187"/>
        <v>1.6</v>
      </c>
      <c r="I10849">
        <v>20170401</v>
      </c>
      <c r="J10849" t="s">
        <v>10979</v>
      </c>
      <c r="K10849" t="s">
        <v>10868</v>
      </c>
      <c r="L10849" t="s">
        <v>10761</v>
      </c>
      <c r="M10849" t="s">
        <v>10869</v>
      </c>
    </row>
    <row r="10850" spans="1:17" x14ac:dyDescent="0.3">
      <c r="A10850" s="160">
        <v>77383</v>
      </c>
      <c r="B10850" t="s">
        <v>25823</v>
      </c>
      <c r="C10850" t="s">
        <v>176</v>
      </c>
      <c r="D10850">
        <v>1.6</v>
      </c>
      <c r="E10850">
        <v>0</v>
      </c>
      <c r="F10850">
        <f t="shared" si="188"/>
        <v>1.6</v>
      </c>
      <c r="G10850">
        <v>1</v>
      </c>
      <c r="H10850">
        <f t="shared" si="187"/>
        <v>1.6</v>
      </c>
      <c r="I10850">
        <v>20170401</v>
      </c>
      <c r="J10850" t="s">
        <v>10825</v>
      </c>
    </row>
    <row r="10851" spans="1:17" x14ac:dyDescent="0.3">
      <c r="A10851" s="160">
        <v>77384</v>
      </c>
      <c r="B10851" t="s">
        <v>25824</v>
      </c>
      <c r="C10851" t="s">
        <v>176</v>
      </c>
      <c r="D10851">
        <v>1.6</v>
      </c>
      <c r="E10851">
        <v>0</v>
      </c>
      <c r="F10851">
        <f t="shared" si="188"/>
        <v>1.6</v>
      </c>
      <c r="G10851">
        <v>1</v>
      </c>
      <c r="H10851">
        <f t="shared" si="187"/>
        <v>1.6</v>
      </c>
      <c r="I10851">
        <v>20170401</v>
      </c>
      <c r="J10851" t="s">
        <v>10963</v>
      </c>
      <c r="K10851" t="s">
        <v>10954</v>
      </c>
      <c r="L10851" t="s">
        <v>10956</v>
      </c>
      <c r="M10851" t="s">
        <v>11075</v>
      </c>
      <c r="N10851" t="s">
        <v>11076</v>
      </c>
    </row>
    <row r="10852" spans="1:17" x14ac:dyDescent="0.3">
      <c r="A10852" s="160">
        <v>77385</v>
      </c>
      <c r="B10852" t="s">
        <v>25825</v>
      </c>
      <c r="C10852" t="s">
        <v>176</v>
      </c>
      <c r="D10852">
        <v>1.6</v>
      </c>
      <c r="E10852">
        <v>0</v>
      </c>
      <c r="F10852">
        <f t="shared" si="188"/>
        <v>1.6</v>
      </c>
      <c r="G10852">
        <v>1</v>
      </c>
      <c r="H10852">
        <f t="shared" si="187"/>
        <v>1.6</v>
      </c>
      <c r="I10852">
        <v>20170401</v>
      </c>
      <c r="J10852" t="s">
        <v>10748</v>
      </c>
    </row>
    <row r="10853" spans="1:17" x14ac:dyDescent="0.3">
      <c r="A10853" s="160">
        <v>77386</v>
      </c>
      <c r="B10853" t="s">
        <v>25826</v>
      </c>
      <c r="C10853" t="s">
        <v>176</v>
      </c>
      <c r="D10853">
        <v>1.6</v>
      </c>
      <c r="E10853">
        <v>0</v>
      </c>
      <c r="F10853">
        <f t="shared" si="188"/>
        <v>1.6</v>
      </c>
      <c r="G10853">
        <v>1</v>
      </c>
      <c r="H10853">
        <f t="shared" si="187"/>
        <v>1.6</v>
      </c>
      <c r="I10853">
        <v>20170401</v>
      </c>
      <c r="J10853" t="s">
        <v>10710</v>
      </c>
    </row>
    <row r="10854" spans="1:17" x14ac:dyDescent="0.3">
      <c r="A10854" s="160">
        <v>77387</v>
      </c>
      <c r="B10854" t="s">
        <v>25827</v>
      </c>
      <c r="C10854" t="s">
        <v>176</v>
      </c>
      <c r="D10854">
        <v>1.6</v>
      </c>
      <c r="E10854">
        <v>0</v>
      </c>
      <c r="F10854">
        <f t="shared" si="188"/>
        <v>1.6</v>
      </c>
      <c r="G10854">
        <v>1</v>
      </c>
      <c r="H10854">
        <f t="shared" si="187"/>
        <v>1.6</v>
      </c>
      <c r="I10854">
        <v>20170401</v>
      </c>
      <c r="J10854" t="s">
        <v>10848</v>
      </c>
    </row>
    <row r="10855" spans="1:17" x14ac:dyDescent="0.3">
      <c r="A10855" s="160">
        <v>77388</v>
      </c>
      <c r="B10855" t="s">
        <v>25828</v>
      </c>
      <c r="C10855" t="s">
        <v>176</v>
      </c>
      <c r="D10855">
        <v>1.6</v>
      </c>
      <c r="E10855">
        <v>0</v>
      </c>
      <c r="F10855">
        <f t="shared" si="188"/>
        <v>1.6</v>
      </c>
      <c r="G10855">
        <v>1</v>
      </c>
      <c r="H10855">
        <f t="shared" si="187"/>
        <v>1.6</v>
      </c>
      <c r="I10855">
        <v>20170401</v>
      </c>
      <c r="J10855" t="s">
        <v>10806</v>
      </c>
    </row>
    <row r="10856" spans="1:17" x14ac:dyDescent="0.3">
      <c r="A10856" s="160">
        <v>77389</v>
      </c>
      <c r="B10856" t="s">
        <v>25829</v>
      </c>
      <c r="C10856" t="s">
        <v>176</v>
      </c>
      <c r="D10856">
        <v>2.0099999999999998</v>
      </c>
      <c r="E10856">
        <v>0</v>
      </c>
      <c r="F10856">
        <f t="shared" si="188"/>
        <v>2.0099999999999998</v>
      </c>
      <c r="G10856">
        <v>1</v>
      </c>
      <c r="H10856">
        <f t="shared" si="187"/>
        <v>2.0099999999999998</v>
      </c>
      <c r="I10856">
        <v>20170401</v>
      </c>
      <c r="J10856" t="s">
        <v>10964</v>
      </c>
      <c r="K10856" t="s">
        <v>10890</v>
      </c>
      <c r="L10856" t="s">
        <v>10997</v>
      </c>
      <c r="M10856" t="s">
        <v>10892</v>
      </c>
      <c r="N10856" t="s">
        <v>10999</v>
      </c>
      <c r="O10856" t="s">
        <v>11003</v>
      </c>
      <c r="P10856" t="s">
        <v>10751</v>
      </c>
      <c r="Q10856" t="s">
        <v>10827</v>
      </c>
    </row>
    <row r="10857" spans="1:17" x14ac:dyDescent="0.3">
      <c r="A10857" s="160">
        <v>77390</v>
      </c>
      <c r="B10857" t="s">
        <v>25830</v>
      </c>
      <c r="C10857" t="s">
        <v>176</v>
      </c>
      <c r="D10857">
        <v>2.0099999999999998</v>
      </c>
      <c r="E10857">
        <v>0</v>
      </c>
      <c r="F10857">
        <f t="shared" si="188"/>
        <v>2.0099999999999998</v>
      </c>
      <c r="G10857">
        <v>1</v>
      </c>
      <c r="H10857">
        <f t="shared" si="187"/>
        <v>2.0099999999999998</v>
      </c>
      <c r="I10857">
        <v>20170401</v>
      </c>
      <c r="J10857" t="s">
        <v>11077</v>
      </c>
      <c r="K10857" t="s">
        <v>11078</v>
      </c>
      <c r="L10857" t="s">
        <v>11079</v>
      </c>
    </row>
    <row r="10858" spans="1:17" x14ac:dyDescent="0.3">
      <c r="A10858" s="160">
        <v>77391</v>
      </c>
      <c r="B10858" t="s">
        <v>25831</v>
      </c>
      <c r="C10858" t="s">
        <v>176</v>
      </c>
      <c r="D10858">
        <v>1.6</v>
      </c>
      <c r="E10858">
        <v>0</v>
      </c>
      <c r="F10858">
        <f t="shared" si="188"/>
        <v>1.6</v>
      </c>
      <c r="G10858">
        <v>1</v>
      </c>
      <c r="H10858">
        <f t="shared" si="187"/>
        <v>1.6</v>
      </c>
      <c r="I10858">
        <v>20170401</v>
      </c>
      <c r="J10858" t="s">
        <v>10800</v>
      </c>
    </row>
    <row r="10859" spans="1:17" x14ac:dyDescent="0.3">
      <c r="A10859" s="160">
        <v>77392</v>
      </c>
      <c r="B10859" t="s">
        <v>18052</v>
      </c>
      <c r="C10859" t="s">
        <v>176</v>
      </c>
      <c r="D10859">
        <v>1.6</v>
      </c>
      <c r="E10859">
        <v>0</v>
      </c>
      <c r="F10859">
        <f t="shared" si="188"/>
        <v>1.6</v>
      </c>
      <c r="G10859">
        <v>1</v>
      </c>
      <c r="H10859">
        <f t="shared" si="187"/>
        <v>1.6</v>
      </c>
      <c r="I10859">
        <v>20170401</v>
      </c>
      <c r="J10859" t="s">
        <v>10901</v>
      </c>
    </row>
    <row r="10860" spans="1:17" x14ac:dyDescent="0.3">
      <c r="A10860" s="160">
        <v>77393</v>
      </c>
      <c r="B10860" t="s">
        <v>25832</v>
      </c>
      <c r="C10860" t="s">
        <v>176</v>
      </c>
      <c r="D10860">
        <v>1.6</v>
      </c>
      <c r="E10860">
        <v>0</v>
      </c>
      <c r="F10860">
        <f t="shared" si="188"/>
        <v>1.6</v>
      </c>
      <c r="G10860">
        <v>1</v>
      </c>
      <c r="H10860">
        <f t="shared" si="187"/>
        <v>1.6</v>
      </c>
      <c r="I10860">
        <v>20170401</v>
      </c>
      <c r="J10860" t="s">
        <v>10749</v>
      </c>
    </row>
    <row r="10861" spans="1:17" x14ac:dyDescent="0.3">
      <c r="A10861" s="160">
        <v>77394</v>
      </c>
      <c r="B10861" t="s">
        <v>25833</v>
      </c>
      <c r="C10861" t="s">
        <v>176</v>
      </c>
      <c r="D10861">
        <v>2.0099999999999998</v>
      </c>
      <c r="E10861">
        <v>0</v>
      </c>
      <c r="F10861">
        <f t="shared" si="188"/>
        <v>2.0099999999999998</v>
      </c>
      <c r="G10861">
        <v>1</v>
      </c>
      <c r="H10861">
        <f t="shared" si="187"/>
        <v>2.0099999999999998</v>
      </c>
      <c r="I10861">
        <v>20170401</v>
      </c>
      <c r="J10861" t="s">
        <v>10891</v>
      </c>
      <c r="K10861" t="s">
        <v>11000</v>
      </c>
      <c r="L10861" t="s">
        <v>10751</v>
      </c>
      <c r="M10861" t="s">
        <v>11005</v>
      </c>
      <c r="N10861" t="s">
        <v>11080</v>
      </c>
      <c r="O10861" t="s">
        <v>10975</v>
      </c>
      <c r="P10861" t="s">
        <v>11081</v>
      </c>
    </row>
    <row r="10862" spans="1:17" x14ac:dyDescent="0.3">
      <c r="A10862" s="160">
        <v>77395</v>
      </c>
      <c r="B10862" t="s">
        <v>21560</v>
      </c>
      <c r="C10862" t="s">
        <v>176</v>
      </c>
      <c r="D10862">
        <v>1.6</v>
      </c>
      <c r="E10862">
        <v>0</v>
      </c>
      <c r="F10862">
        <f t="shared" si="188"/>
        <v>1.6</v>
      </c>
      <c r="G10862">
        <v>1</v>
      </c>
      <c r="H10862">
        <f t="shared" si="187"/>
        <v>1.6</v>
      </c>
      <c r="I10862">
        <v>20170401</v>
      </c>
      <c r="J10862" t="s">
        <v>10710</v>
      </c>
    </row>
    <row r="10863" spans="1:17" x14ac:dyDescent="0.3">
      <c r="A10863" s="160">
        <v>77396</v>
      </c>
      <c r="B10863" t="s">
        <v>25834</v>
      </c>
      <c r="C10863" t="s">
        <v>176</v>
      </c>
      <c r="D10863">
        <v>1.6</v>
      </c>
      <c r="E10863">
        <v>0</v>
      </c>
      <c r="F10863">
        <f t="shared" si="188"/>
        <v>1.6</v>
      </c>
      <c r="G10863">
        <v>1</v>
      </c>
      <c r="H10863">
        <f t="shared" si="187"/>
        <v>1.6</v>
      </c>
      <c r="I10863">
        <v>20240101</v>
      </c>
      <c r="J10863" t="s">
        <v>10723</v>
      </c>
    </row>
    <row r="10864" spans="1:17" x14ac:dyDescent="0.3">
      <c r="A10864" s="160">
        <v>77397</v>
      </c>
      <c r="B10864" t="s">
        <v>25835</v>
      </c>
      <c r="C10864" t="s">
        <v>176</v>
      </c>
      <c r="D10864">
        <v>1.6</v>
      </c>
      <c r="E10864">
        <v>0</v>
      </c>
      <c r="F10864">
        <f t="shared" si="188"/>
        <v>1.6</v>
      </c>
      <c r="G10864">
        <v>1</v>
      </c>
      <c r="H10864">
        <f t="shared" si="187"/>
        <v>1.6</v>
      </c>
      <c r="I10864">
        <v>20170401</v>
      </c>
      <c r="J10864" t="s">
        <v>10849</v>
      </c>
    </row>
    <row r="10865" spans="1:15" x14ac:dyDescent="0.3">
      <c r="A10865" s="160">
        <v>77398</v>
      </c>
      <c r="B10865" t="s">
        <v>25836</v>
      </c>
      <c r="C10865" t="s">
        <v>176</v>
      </c>
      <c r="D10865">
        <v>1.6</v>
      </c>
      <c r="E10865">
        <v>0</v>
      </c>
      <c r="F10865">
        <f t="shared" si="188"/>
        <v>1.6</v>
      </c>
      <c r="G10865">
        <v>1</v>
      </c>
      <c r="H10865">
        <f t="shared" si="187"/>
        <v>1.6</v>
      </c>
      <c r="I10865">
        <v>20170401</v>
      </c>
      <c r="J10865" t="s">
        <v>10748</v>
      </c>
    </row>
    <row r="10866" spans="1:15" x14ac:dyDescent="0.3">
      <c r="A10866" s="160">
        <v>77399</v>
      </c>
      <c r="B10866" t="s">
        <v>25836</v>
      </c>
      <c r="C10866" t="s">
        <v>176</v>
      </c>
      <c r="D10866">
        <v>1.6</v>
      </c>
      <c r="E10866">
        <v>0</v>
      </c>
      <c r="F10866">
        <f t="shared" si="188"/>
        <v>1.6</v>
      </c>
      <c r="G10866">
        <v>1</v>
      </c>
      <c r="H10866">
        <f t="shared" si="187"/>
        <v>1.6</v>
      </c>
      <c r="I10866">
        <v>20170401</v>
      </c>
      <c r="J10866" t="s">
        <v>10848</v>
      </c>
    </row>
    <row r="10867" spans="1:15" x14ac:dyDescent="0.3">
      <c r="A10867" s="160">
        <v>77400</v>
      </c>
      <c r="B10867" t="s">
        <v>16795</v>
      </c>
      <c r="C10867" t="s">
        <v>176</v>
      </c>
      <c r="D10867">
        <v>1.6</v>
      </c>
      <c r="E10867">
        <v>0</v>
      </c>
      <c r="F10867">
        <f t="shared" si="188"/>
        <v>1.6</v>
      </c>
      <c r="G10867">
        <v>1</v>
      </c>
      <c r="H10867">
        <f t="shared" ref="H10867:H10930" si="189">G10867*F10867</f>
        <v>1.6</v>
      </c>
      <c r="I10867">
        <v>20170401</v>
      </c>
      <c r="J10867" t="s">
        <v>10788</v>
      </c>
    </row>
    <row r="10868" spans="1:15" x14ac:dyDescent="0.3">
      <c r="A10868" s="160">
        <v>77401</v>
      </c>
      <c r="B10868" t="s">
        <v>25837</v>
      </c>
      <c r="C10868" t="s">
        <v>176</v>
      </c>
      <c r="D10868">
        <v>1.6</v>
      </c>
      <c r="E10868">
        <v>0</v>
      </c>
      <c r="F10868">
        <f t="shared" si="188"/>
        <v>1.6</v>
      </c>
      <c r="G10868">
        <v>1</v>
      </c>
      <c r="H10868">
        <f t="shared" si="189"/>
        <v>1.6</v>
      </c>
      <c r="I10868">
        <v>20170401</v>
      </c>
      <c r="J10868" t="s">
        <v>10806</v>
      </c>
    </row>
    <row r="10869" spans="1:15" x14ac:dyDescent="0.3">
      <c r="A10869" s="160">
        <v>77402</v>
      </c>
      <c r="B10869" t="s">
        <v>25838</v>
      </c>
      <c r="C10869" t="s">
        <v>176</v>
      </c>
      <c r="D10869">
        <v>1.6</v>
      </c>
      <c r="E10869">
        <v>0</v>
      </c>
      <c r="F10869">
        <f t="shared" si="188"/>
        <v>1.6</v>
      </c>
      <c r="G10869">
        <v>1</v>
      </c>
      <c r="H10869">
        <f t="shared" si="189"/>
        <v>1.6</v>
      </c>
      <c r="I10869">
        <v>20170401</v>
      </c>
      <c r="J10869" t="s">
        <v>10750</v>
      </c>
    </row>
    <row r="10870" spans="1:15" x14ac:dyDescent="0.3">
      <c r="A10870" s="160">
        <v>77403</v>
      </c>
      <c r="B10870" t="s">
        <v>16687</v>
      </c>
      <c r="C10870" t="s">
        <v>176</v>
      </c>
      <c r="D10870">
        <v>1.6</v>
      </c>
      <c r="E10870">
        <v>0</v>
      </c>
      <c r="F10870">
        <f t="shared" si="188"/>
        <v>1.6</v>
      </c>
      <c r="G10870">
        <v>1</v>
      </c>
      <c r="H10870">
        <f t="shared" si="189"/>
        <v>1.6</v>
      </c>
      <c r="I10870">
        <v>20170401</v>
      </c>
      <c r="J10870" t="s">
        <v>10800</v>
      </c>
      <c r="K10870" t="s">
        <v>10952</v>
      </c>
    </row>
    <row r="10871" spans="1:15" x14ac:dyDescent="0.3">
      <c r="A10871" s="160">
        <v>77404</v>
      </c>
      <c r="B10871" t="s">
        <v>20628</v>
      </c>
      <c r="C10871" t="s">
        <v>176</v>
      </c>
      <c r="D10871">
        <v>1.6</v>
      </c>
      <c r="E10871">
        <v>0</v>
      </c>
      <c r="F10871">
        <f t="shared" si="188"/>
        <v>1.6</v>
      </c>
      <c r="G10871">
        <v>1</v>
      </c>
      <c r="H10871">
        <f t="shared" si="189"/>
        <v>1.6</v>
      </c>
      <c r="I10871">
        <v>20170401</v>
      </c>
      <c r="J10871" t="s">
        <v>10805</v>
      </c>
    </row>
    <row r="10872" spans="1:15" x14ac:dyDescent="0.3">
      <c r="A10872" s="160">
        <v>77405</v>
      </c>
      <c r="B10872" t="s">
        <v>25839</v>
      </c>
      <c r="C10872" t="s">
        <v>176</v>
      </c>
      <c r="D10872">
        <v>1.6</v>
      </c>
      <c r="E10872">
        <v>0</v>
      </c>
      <c r="F10872">
        <f t="shared" si="188"/>
        <v>1.6</v>
      </c>
      <c r="G10872">
        <v>1</v>
      </c>
      <c r="H10872">
        <f t="shared" si="189"/>
        <v>1.6</v>
      </c>
      <c r="I10872">
        <v>20170401</v>
      </c>
      <c r="J10872" t="s">
        <v>10747</v>
      </c>
    </row>
    <row r="10873" spans="1:15" x14ac:dyDescent="0.3">
      <c r="A10873" s="160">
        <v>77406</v>
      </c>
      <c r="B10873" t="s">
        <v>25840</v>
      </c>
      <c r="C10873" t="s">
        <v>176</v>
      </c>
      <c r="D10873">
        <v>1.6</v>
      </c>
      <c r="E10873">
        <v>0</v>
      </c>
      <c r="F10873">
        <f t="shared" si="188"/>
        <v>1.6</v>
      </c>
      <c r="G10873">
        <v>1</v>
      </c>
      <c r="H10873">
        <f t="shared" si="189"/>
        <v>1.6</v>
      </c>
      <c r="I10873">
        <v>20170401</v>
      </c>
      <c r="J10873" t="s">
        <v>10748</v>
      </c>
    </row>
    <row r="10874" spans="1:15" x14ac:dyDescent="0.3">
      <c r="A10874" s="160">
        <v>77407</v>
      </c>
      <c r="B10874" t="s">
        <v>25841</v>
      </c>
      <c r="C10874" t="s">
        <v>176</v>
      </c>
      <c r="D10874">
        <v>2.0099999999999998</v>
      </c>
      <c r="E10874">
        <v>0</v>
      </c>
      <c r="F10874">
        <f t="shared" si="188"/>
        <v>2.0099999999999998</v>
      </c>
      <c r="G10874">
        <v>1</v>
      </c>
      <c r="H10874">
        <f t="shared" si="189"/>
        <v>2.0099999999999998</v>
      </c>
      <c r="I10874">
        <v>20170401</v>
      </c>
      <c r="J10874" t="s">
        <v>10756</v>
      </c>
      <c r="K10874" t="s">
        <v>10757</v>
      </c>
      <c r="L10874" t="s">
        <v>11071</v>
      </c>
      <c r="M10874" t="s">
        <v>10758</v>
      </c>
      <c r="N10874" t="s">
        <v>10759</v>
      </c>
      <c r="O10874" t="s">
        <v>10796</v>
      </c>
    </row>
    <row r="10875" spans="1:15" x14ac:dyDescent="0.3">
      <c r="A10875" s="160">
        <v>77408</v>
      </c>
      <c r="B10875" t="s">
        <v>25842</v>
      </c>
      <c r="C10875" t="s">
        <v>176</v>
      </c>
      <c r="D10875">
        <v>1.6</v>
      </c>
      <c r="E10875">
        <v>0</v>
      </c>
      <c r="F10875">
        <f t="shared" si="188"/>
        <v>1.6</v>
      </c>
      <c r="G10875">
        <v>1</v>
      </c>
      <c r="H10875">
        <f t="shared" si="189"/>
        <v>1.6</v>
      </c>
      <c r="I10875">
        <v>20170401</v>
      </c>
      <c r="J10875" t="s">
        <v>10764</v>
      </c>
    </row>
    <row r="10876" spans="1:15" x14ac:dyDescent="0.3">
      <c r="A10876" s="160">
        <v>77409</v>
      </c>
      <c r="B10876" t="s">
        <v>25843</v>
      </c>
      <c r="C10876" t="s">
        <v>176</v>
      </c>
      <c r="D10876">
        <v>1.6</v>
      </c>
      <c r="E10876">
        <v>0</v>
      </c>
      <c r="F10876">
        <f t="shared" si="188"/>
        <v>1.6</v>
      </c>
      <c r="G10876">
        <v>1</v>
      </c>
      <c r="H10876">
        <f t="shared" si="189"/>
        <v>1.6</v>
      </c>
      <c r="I10876">
        <v>20170401</v>
      </c>
      <c r="J10876" t="s">
        <v>10744</v>
      </c>
      <c r="K10876" t="s">
        <v>10912</v>
      </c>
    </row>
    <row r="10877" spans="1:15" x14ac:dyDescent="0.3">
      <c r="A10877" s="160">
        <v>77410</v>
      </c>
      <c r="B10877" t="s">
        <v>25844</v>
      </c>
      <c r="C10877" t="s">
        <v>176</v>
      </c>
      <c r="D10877">
        <v>1.6</v>
      </c>
      <c r="E10877">
        <v>0</v>
      </c>
      <c r="F10877">
        <f t="shared" si="188"/>
        <v>1.6</v>
      </c>
      <c r="G10877">
        <v>1</v>
      </c>
      <c r="H10877">
        <f t="shared" si="189"/>
        <v>1.6</v>
      </c>
      <c r="I10877">
        <v>20170401</v>
      </c>
      <c r="J10877" t="s">
        <v>10975</v>
      </c>
    </row>
    <row r="10878" spans="1:15" x14ac:dyDescent="0.3">
      <c r="A10878" s="160">
        <v>77411</v>
      </c>
      <c r="B10878" t="s">
        <v>25845</v>
      </c>
      <c r="C10878" t="s">
        <v>176</v>
      </c>
      <c r="D10878">
        <v>1.6</v>
      </c>
      <c r="E10878">
        <v>0</v>
      </c>
      <c r="F10878">
        <f t="shared" si="188"/>
        <v>1.6</v>
      </c>
      <c r="G10878">
        <v>1</v>
      </c>
      <c r="H10878">
        <f t="shared" si="189"/>
        <v>1.6</v>
      </c>
      <c r="I10878">
        <v>20170401</v>
      </c>
      <c r="J10878" t="s">
        <v>10760</v>
      </c>
    </row>
    <row r="10879" spans="1:15" x14ac:dyDescent="0.3">
      <c r="A10879" s="160">
        <v>77412</v>
      </c>
      <c r="B10879" t="s">
        <v>25846</v>
      </c>
      <c r="C10879" t="s">
        <v>176</v>
      </c>
      <c r="D10879">
        <v>1.6</v>
      </c>
      <c r="E10879">
        <v>0</v>
      </c>
      <c r="F10879">
        <f t="shared" si="188"/>
        <v>1.6</v>
      </c>
      <c r="G10879">
        <v>1</v>
      </c>
      <c r="H10879">
        <f t="shared" si="189"/>
        <v>1.6</v>
      </c>
      <c r="I10879">
        <v>20170401</v>
      </c>
      <c r="J10879" t="s">
        <v>10789</v>
      </c>
    </row>
    <row r="10880" spans="1:15" x14ac:dyDescent="0.3">
      <c r="A10880" s="160">
        <v>77413</v>
      </c>
      <c r="B10880" t="s">
        <v>25847</v>
      </c>
      <c r="C10880" t="s">
        <v>176</v>
      </c>
      <c r="D10880">
        <v>1.6</v>
      </c>
      <c r="E10880">
        <v>0</v>
      </c>
      <c r="F10880">
        <f t="shared" si="188"/>
        <v>1.6</v>
      </c>
      <c r="G10880">
        <v>1</v>
      </c>
      <c r="H10880">
        <f t="shared" si="189"/>
        <v>1.6</v>
      </c>
      <c r="I10880">
        <v>20170401</v>
      </c>
      <c r="J10880" t="s">
        <v>10868</v>
      </c>
      <c r="K10880" t="s">
        <v>10869</v>
      </c>
    </row>
    <row r="10881" spans="1:12" x14ac:dyDescent="0.3">
      <c r="A10881" s="160">
        <v>77414</v>
      </c>
      <c r="B10881" t="s">
        <v>25848</v>
      </c>
      <c r="C10881" t="s">
        <v>176</v>
      </c>
      <c r="D10881">
        <v>1.6</v>
      </c>
      <c r="E10881">
        <v>0</v>
      </c>
      <c r="F10881">
        <f t="shared" si="188"/>
        <v>1.6</v>
      </c>
      <c r="G10881">
        <v>1</v>
      </c>
      <c r="H10881">
        <f t="shared" si="189"/>
        <v>1.6</v>
      </c>
      <c r="I10881">
        <v>20170401</v>
      </c>
      <c r="J10881" t="s">
        <v>10800</v>
      </c>
    </row>
    <row r="10882" spans="1:12" x14ac:dyDescent="0.3">
      <c r="A10882" s="160">
        <v>77415</v>
      </c>
      <c r="B10882" t="s">
        <v>25849</v>
      </c>
      <c r="C10882" t="s">
        <v>176</v>
      </c>
      <c r="D10882">
        <v>1.6</v>
      </c>
      <c r="E10882">
        <v>0</v>
      </c>
      <c r="F10882">
        <f t="shared" si="188"/>
        <v>1.6</v>
      </c>
      <c r="G10882">
        <v>1</v>
      </c>
      <c r="H10882">
        <f t="shared" si="189"/>
        <v>1.6</v>
      </c>
      <c r="I10882">
        <v>20170401</v>
      </c>
      <c r="J10882" t="s">
        <v>10824</v>
      </c>
    </row>
    <row r="10883" spans="1:12" x14ac:dyDescent="0.3">
      <c r="A10883" s="160">
        <v>77416</v>
      </c>
      <c r="B10883" t="s">
        <v>25850</v>
      </c>
      <c r="C10883" t="s">
        <v>176</v>
      </c>
      <c r="D10883">
        <v>1.6</v>
      </c>
      <c r="E10883">
        <v>0</v>
      </c>
      <c r="F10883">
        <f t="shared" si="188"/>
        <v>1.6</v>
      </c>
      <c r="G10883">
        <v>1</v>
      </c>
      <c r="H10883">
        <f t="shared" si="189"/>
        <v>1.6</v>
      </c>
      <c r="I10883">
        <v>20170401</v>
      </c>
      <c r="J10883" t="s">
        <v>10825</v>
      </c>
    </row>
    <row r="10884" spans="1:12" x14ac:dyDescent="0.3">
      <c r="A10884" s="160">
        <v>77417</v>
      </c>
      <c r="B10884" t="s">
        <v>23575</v>
      </c>
      <c r="C10884" t="s">
        <v>176</v>
      </c>
      <c r="D10884">
        <v>1.6</v>
      </c>
      <c r="E10884">
        <v>0</v>
      </c>
      <c r="F10884">
        <f t="shared" si="188"/>
        <v>1.6</v>
      </c>
      <c r="G10884">
        <v>1</v>
      </c>
      <c r="H10884">
        <f t="shared" si="189"/>
        <v>1.6</v>
      </c>
      <c r="I10884">
        <v>20170401</v>
      </c>
      <c r="J10884" t="s">
        <v>10748</v>
      </c>
    </row>
    <row r="10885" spans="1:12" x14ac:dyDescent="0.3">
      <c r="A10885" s="160">
        <v>77418</v>
      </c>
      <c r="B10885" t="s">
        <v>25851</v>
      </c>
      <c r="C10885" t="s">
        <v>176</v>
      </c>
      <c r="D10885">
        <v>1.6</v>
      </c>
      <c r="E10885">
        <v>0</v>
      </c>
      <c r="F10885">
        <f t="shared" si="188"/>
        <v>1.6</v>
      </c>
      <c r="G10885">
        <v>1</v>
      </c>
      <c r="H10885">
        <f t="shared" si="189"/>
        <v>1.6</v>
      </c>
      <c r="I10885">
        <v>20170401</v>
      </c>
      <c r="J10885" t="s">
        <v>10805</v>
      </c>
    </row>
    <row r="10886" spans="1:12" x14ac:dyDescent="0.3">
      <c r="A10886" s="160">
        <v>77419</v>
      </c>
      <c r="B10886" t="s">
        <v>25852</v>
      </c>
      <c r="C10886" t="s">
        <v>176</v>
      </c>
      <c r="D10886">
        <v>1.6</v>
      </c>
      <c r="E10886">
        <v>0</v>
      </c>
      <c r="F10886">
        <f t="shared" si="188"/>
        <v>1.6</v>
      </c>
      <c r="G10886">
        <v>1</v>
      </c>
      <c r="H10886">
        <f t="shared" si="189"/>
        <v>1.6</v>
      </c>
      <c r="I10886">
        <v>20170401</v>
      </c>
      <c r="J10886" t="s">
        <v>11082</v>
      </c>
      <c r="K10886" t="s">
        <v>11083</v>
      </c>
    </row>
    <row r="10887" spans="1:12" x14ac:dyDescent="0.3">
      <c r="A10887" s="160">
        <v>77420</v>
      </c>
      <c r="B10887" t="s">
        <v>21438</v>
      </c>
      <c r="C10887" t="s">
        <v>176</v>
      </c>
      <c r="D10887">
        <v>1.6</v>
      </c>
      <c r="E10887">
        <v>0</v>
      </c>
      <c r="F10887">
        <f t="shared" ref="F10887:F10950" si="190">D10887+E10887</f>
        <v>1.6</v>
      </c>
      <c r="G10887">
        <v>1</v>
      </c>
      <c r="H10887">
        <f t="shared" si="189"/>
        <v>1.6</v>
      </c>
      <c r="I10887">
        <v>20170401</v>
      </c>
      <c r="J10887" t="s">
        <v>10901</v>
      </c>
      <c r="K10887" t="s">
        <v>10902</v>
      </c>
    </row>
    <row r="10888" spans="1:12" x14ac:dyDescent="0.3">
      <c r="A10888" s="160">
        <v>77421</v>
      </c>
      <c r="B10888" t="s">
        <v>25853</v>
      </c>
      <c r="C10888" t="s">
        <v>176</v>
      </c>
      <c r="D10888">
        <v>1.6</v>
      </c>
      <c r="E10888">
        <v>0</v>
      </c>
      <c r="F10888">
        <f t="shared" si="190"/>
        <v>1.6</v>
      </c>
      <c r="G10888">
        <v>1</v>
      </c>
      <c r="H10888">
        <f t="shared" si="189"/>
        <v>1.6</v>
      </c>
      <c r="I10888">
        <v>20170401</v>
      </c>
      <c r="J10888" t="s">
        <v>10750</v>
      </c>
    </row>
    <row r="10889" spans="1:12" x14ac:dyDescent="0.3">
      <c r="A10889" s="160">
        <v>77423</v>
      </c>
      <c r="B10889" t="s">
        <v>18214</v>
      </c>
      <c r="C10889" t="s">
        <v>176</v>
      </c>
      <c r="D10889">
        <v>1.6</v>
      </c>
      <c r="E10889">
        <v>0</v>
      </c>
      <c r="F10889">
        <f t="shared" si="190"/>
        <v>1.6</v>
      </c>
      <c r="G10889">
        <v>1</v>
      </c>
      <c r="H10889">
        <f t="shared" si="189"/>
        <v>1.6</v>
      </c>
      <c r="I10889">
        <v>20170401</v>
      </c>
      <c r="J10889" t="s">
        <v>10750</v>
      </c>
    </row>
    <row r="10890" spans="1:12" x14ac:dyDescent="0.3">
      <c r="A10890" s="160">
        <v>77424</v>
      </c>
      <c r="B10890" t="s">
        <v>25854</v>
      </c>
      <c r="C10890" t="s">
        <v>176</v>
      </c>
      <c r="D10890">
        <v>1.6</v>
      </c>
      <c r="E10890">
        <v>0</v>
      </c>
      <c r="F10890">
        <f t="shared" si="190"/>
        <v>1.6</v>
      </c>
      <c r="G10890">
        <v>1</v>
      </c>
      <c r="H10890">
        <f t="shared" si="189"/>
        <v>1.6</v>
      </c>
      <c r="I10890">
        <v>20240101</v>
      </c>
      <c r="J10890" t="s">
        <v>10750</v>
      </c>
    </row>
    <row r="10891" spans="1:12" x14ac:dyDescent="0.3">
      <c r="A10891" s="160">
        <v>77425</v>
      </c>
      <c r="B10891" t="s">
        <v>25855</v>
      </c>
      <c r="C10891" t="s">
        <v>176</v>
      </c>
      <c r="D10891">
        <v>1.6</v>
      </c>
      <c r="E10891">
        <v>0</v>
      </c>
      <c r="F10891">
        <f t="shared" si="190"/>
        <v>1.6</v>
      </c>
      <c r="G10891">
        <v>1</v>
      </c>
      <c r="H10891">
        <f t="shared" si="189"/>
        <v>1.6</v>
      </c>
      <c r="I10891">
        <v>20170401</v>
      </c>
      <c r="J10891" t="s">
        <v>10717</v>
      </c>
      <c r="K10891" t="s">
        <v>10745</v>
      </c>
    </row>
    <row r="10892" spans="1:12" x14ac:dyDescent="0.3">
      <c r="A10892" s="160">
        <v>77426</v>
      </c>
      <c r="B10892" t="s">
        <v>25856</v>
      </c>
      <c r="C10892" t="s">
        <v>176</v>
      </c>
      <c r="D10892">
        <v>1.6</v>
      </c>
      <c r="E10892">
        <v>0</v>
      </c>
      <c r="F10892">
        <f t="shared" si="190"/>
        <v>1.6</v>
      </c>
      <c r="G10892">
        <v>1</v>
      </c>
      <c r="H10892">
        <f t="shared" si="189"/>
        <v>1.6</v>
      </c>
      <c r="I10892">
        <v>20170401</v>
      </c>
      <c r="J10892" t="s">
        <v>10720</v>
      </c>
    </row>
    <row r="10893" spans="1:12" x14ac:dyDescent="0.3">
      <c r="A10893" s="160">
        <v>77427</v>
      </c>
      <c r="B10893" t="s">
        <v>25857</v>
      </c>
      <c r="C10893" t="s">
        <v>176</v>
      </c>
      <c r="D10893">
        <v>1.6</v>
      </c>
      <c r="E10893">
        <v>0</v>
      </c>
      <c r="F10893">
        <f t="shared" si="190"/>
        <v>1.6</v>
      </c>
      <c r="G10893">
        <v>1</v>
      </c>
      <c r="H10893">
        <f t="shared" si="189"/>
        <v>1.6</v>
      </c>
      <c r="I10893">
        <v>20170401</v>
      </c>
      <c r="J10893" t="s">
        <v>10713</v>
      </c>
      <c r="K10893" t="s">
        <v>10715</v>
      </c>
      <c r="L10893" t="s">
        <v>10716</v>
      </c>
    </row>
    <row r="10894" spans="1:12" x14ac:dyDescent="0.3">
      <c r="A10894" s="160">
        <v>77428</v>
      </c>
      <c r="B10894" t="s">
        <v>25858</v>
      </c>
      <c r="C10894" t="s">
        <v>176</v>
      </c>
      <c r="D10894">
        <v>1.6</v>
      </c>
      <c r="E10894">
        <v>0</v>
      </c>
      <c r="F10894">
        <f t="shared" si="190"/>
        <v>1.6</v>
      </c>
      <c r="G10894">
        <v>1</v>
      </c>
      <c r="H10894">
        <f t="shared" si="189"/>
        <v>1.6</v>
      </c>
      <c r="I10894">
        <v>20170401</v>
      </c>
      <c r="J10894" t="s">
        <v>10720</v>
      </c>
    </row>
    <row r="10895" spans="1:12" x14ac:dyDescent="0.3">
      <c r="A10895" s="160">
        <v>77429</v>
      </c>
      <c r="B10895" t="s">
        <v>25859</v>
      </c>
      <c r="C10895" t="s">
        <v>176</v>
      </c>
      <c r="D10895">
        <v>1.6</v>
      </c>
      <c r="E10895">
        <v>0</v>
      </c>
      <c r="F10895">
        <f t="shared" si="190"/>
        <v>1.6</v>
      </c>
      <c r="G10895">
        <v>1</v>
      </c>
      <c r="H10895">
        <f t="shared" si="189"/>
        <v>1.6</v>
      </c>
      <c r="I10895">
        <v>20170401</v>
      </c>
      <c r="J10895" t="s">
        <v>10747</v>
      </c>
    </row>
    <row r="10896" spans="1:12" x14ac:dyDescent="0.3">
      <c r="A10896" s="160">
        <v>77430</v>
      </c>
      <c r="B10896" t="s">
        <v>25860</v>
      </c>
      <c r="C10896" t="s">
        <v>176</v>
      </c>
      <c r="D10896">
        <v>1.6</v>
      </c>
      <c r="E10896">
        <v>0</v>
      </c>
      <c r="F10896">
        <f t="shared" si="190"/>
        <v>1.6</v>
      </c>
      <c r="G10896">
        <v>1</v>
      </c>
      <c r="H10896">
        <f t="shared" si="189"/>
        <v>1.6</v>
      </c>
      <c r="I10896">
        <v>20170401</v>
      </c>
      <c r="J10896" t="s">
        <v>11048</v>
      </c>
      <c r="K10896" t="s">
        <v>11050</v>
      </c>
    </row>
    <row r="10897" spans="1:18" x14ac:dyDescent="0.3">
      <c r="A10897" s="160">
        <v>77431</v>
      </c>
      <c r="B10897" t="s">
        <v>25861</v>
      </c>
      <c r="C10897" t="s">
        <v>176</v>
      </c>
      <c r="D10897">
        <v>1.6</v>
      </c>
      <c r="E10897">
        <v>0</v>
      </c>
      <c r="F10897">
        <f t="shared" si="190"/>
        <v>1.6</v>
      </c>
      <c r="G10897">
        <v>1</v>
      </c>
      <c r="H10897">
        <f t="shared" si="189"/>
        <v>1.6</v>
      </c>
      <c r="I10897">
        <v>20170401</v>
      </c>
      <c r="J10897" t="s">
        <v>10905</v>
      </c>
      <c r="K10897" t="s">
        <v>10938</v>
      </c>
      <c r="L10897" t="s">
        <v>11084</v>
      </c>
      <c r="M10897" t="s">
        <v>10737</v>
      </c>
    </row>
    <row r="10898" spans="1:18" x14ac:dyDescent="0.3">
      <c r="A10898" s="160">
        <v>77432</v>
      </c>
      <c r="B10898" t="s">
        <v>25862</v>
      </c>
      <c r="C10898" t="s">
        <v>176</v>
      </c>
      <c r="D10898">
        <v>1.6</v>
      </c>
      <c r="E10898">
        <v>0</v>
      </c>
      <c r="F10898">
        <f t="shared" si="190"/>
        <v>1.6</v>
      </c>
      <c r="G10898">
        <v>1</v>
      </c>
      <c r="H10898">
        <f t="shared" si="189"/>
        <v>1.6</v>
      </c>
      <c r="I10898">
        <v>20170401</v>
      </c>
      <c r="J10898" t="s">
        <v>10750</v>
      </c>
    </row>
    <row r="10899" spans="1:18" x14ac:dyDescent="0.3">
      <c r="A10899" s="160">
        <v>77433</v>
      </c>
      <c r="B10899" t="s">
        <v>25863</v>
      </c>
      <c r="C10899" t="s">
        <v>176</v>
      </c>
      <c r="D10899">
        <v>1.6</v>
      </c>
      <c r="E10899">
        <v>0</v>
      </c>
      <c r="F10899">
        <f t="shared" si="190"/>
        <v>1.6</v>
      </c>
      <c r="G10899">
        <v>1</v>
      </c>
      <c r="H10899">
        <f t="shared" si="189"/>
        <v>1.6</v>
      </c>
      <c r="I10899">
        <v>20170401</v>
      </c>
      <c r="J10899" t="s">
        <v>10711</v>
      </c>
      <c r="K10899" t="s">
        <v>10871</v>
      </c>
    </row>
    <row r="10900" spans="1:18" x14ac:dyDescent="0.3">
      <c r="A10900" s="160">
        <v>77434</v>
      </c>
      <c r="B10900" t="s">
        <v>25864</v>
      </c>
      <c r="C10900" t="s">
        <v>176</v>
      </c>
      <c r="D10900">
        <v>1.6</v>
      </c>
      <c r="E10900">
        <v>0</v>
      </c>
      <c r="F10900">
        <f t="shared" si="190"/>
        <v>1.6</v>
      </c>
      <c r="G10900">
        <v>1</v>
      </c>
      <c r="H10900">
        <f t="shared" si="189"/>
        <v>1.6</v>
      </c>
      <c r="I10900">
        <v>20170401</v>
      </c>
      <c r="J10900" t="s">
        <v>10734</v>
      </c>
    </row>
    <row r="10901" spans="1:18" x14ac:dyDescent="0.3">
      <c r="A10901" s="160">
        <v>77435</v>
      </c>
      <c r="B10901" t="s">
        <v>25865</v>
      </c>
      <c r="C10901" t="s">
        <v>176</v>
      </c>
      <c r="D10901">
        <v>1.6</v>
      </c>
      <c r="E10901">
        <v>0</v>
      </c>
      <c r="F10901">
        <f t="shared" si="190"/>
        <v>1.6</v>
      </c>
      <c r="G10901">
        <v>1</v>
      </c>
      <c r="H10901">
        <f t="shared" si="189"/>
        <v>1.6</v>
      </c>
      <c r="I10901">
        <v>20170401</v>
      </c>
      <c r="J10901" t="s">
        <v>10789</v>
      </c>
    </row>
    <row r="10902" spans="1:18" x14ac:dyDescent="0.3">
      <c r="A10902" s="160">
        <v>77436</v>
      </c>
      <c r="B10902" t="s">
        <v>25866</v>
      </c>
      <c r="C10902" t="s">
        <v>176</v>
      </c>
      <c r="D10902">
        <v>1.6</v>
      </c>
      <c r="E10902">
        <v>0</v>
      </c>
      <c r="F10902">
        <f t="shared" si="190"/>
        <v>1.6</v>
      </c>
      <c r="G10902">
        <v>1</v>
      </c>
      <c r="H10902">
        <f t="shared" si="189"/>
        <v>1.6</v>
      </c>
      <c r="I10902">
        <v>20170401</v>
      </c>
      <c r="J10902" t="s">
        <v>10760</v>
      </c>
    </row>
    <row r="10903" spans="1:18" x14ac:dyDescent="0.3">
      <c r="A10903" s="160">
        <v>77437</v>
      </c>
      <c r="B10903" t="s">
        <v>25867</v>
      </c>
      <c r="C10903" t="s">
        <v>176</v>
      </c>
      <c r="D10903">
        <v>1.6</v>
      </c>
      <c r="E10903">
        <v>0</v>
      </c>
      <c r="F10903">
        <f t="shared" si="190"/>
        <v>1.6</v>
      </c>
      <c r="G10903">
        <v>1</v>
      </c>
      <c r="H10903">
        <f t="shared" si="189"/>
        <v>1.6</v>
      </c>
      <c r="I10903">
        <v>20170401</v>
      </c>
      <c r="J10903" t="s">
        <v>10889</v>
      </c>
      <c r="K10903" t="s">
        <v>11050</v>
      </c>
      <c r="L10903" t="s">
        <v>10903</v>
      </c>
    </row>
    <row r="10904" spans="1:18" x14ac:dyDescent="0.3">
      <c r="A10904" s="160">
        <v>77438</v>
      </c>
      <c r="B10904" t="s">
        <v>25868</v>
      </c>
      <c r="C10904" t="s">
        <v>176</v>
      </c>
      <c r="D10904">
        <v>2.0099999999999998</v>
      </c>
      <c r="E10904">
        <v>0</v>
      </c>
      <c r="F10904">
        <f t="shared" si="190"/>
        <v>2.0099999999999998</v>
      </c>
      <c r="G10904">
        <v>1</v>
      </c>
      <c r="H10904">
        <f t="shared" si="189"/>
        <v>2.0099999999999998</v>
      </c>
      <c r="I10904">
        <v>20170401</v>
      </c>
      <c r="J10904" t="s">
        <v>11085</v>
      </c>
      <c r="K10904" t="s">
        <v>10786</v>
      </c>
      <c r="L10904" t="s">
        <v>10934</v>
      </c>
      <c r="M10904" t="s">
        <v>10946</v>
      </c>
      <c r="N10904" t="s">
        <v>10947</v>
      </c>
      <c r="O10904" t="s">
        <v>10948</v>
      </c>
      <c r="P10904" t="s">
        <v>10935</v>
      </c>
      <c r="Q10904" t="s">
        <v>10950</v>
      </c>
      <c r="R10904" t="s">
        <v>11086</v>
      </c>
    </row>
    <row r="10905" spans="1:18" x14ac:dyDescent="0.3">
      <c r="A10905" s="160">
        <v>77439</v>
      </c>
      <c r="B10905" t="s">
        <v>25869</v>
      </c>
      <c r="C10905" t="s">
        <v>176</v>
      </c>
      <c r="D10905">
        <v>1.6</v>
      </c>
      <c r="E10905">
        <v>0</v>
      </c>
      <c r="F10905">
        <f t="shared" si="190"/>
        <v>1.6</v>
      </c>
      <c r="G10905">
        <v>1</v>
      </c>
      <c r="H10905">
        <f t="shared" si="189"/>
        <v>1.6</v>
      </c>
      <c r="I10905">
        <v>20170401</v>
      </c>
      <c r="J10905" t="s">
        <v>10951</v>
      </c>
      <c r="K10905" t="s">
        <v>10936</v>
      </c>
    </row>
    <row r="10906" spans="1:18" x14ac:dyDescent="0.3">
      <c r="A10906" s="160">
        <v>77440</v>
      </c>
      <c r="B10906" t="s">
        <v>25870</v>
      </c>
      <c r="C10906" t="s">
        <v>176</v>
      </c>
      <c r="D10906">
        <v>1.6</v>
      </c>
      <c r="E10906">
        <v>0</v>
      </c>
      <c r="F10906">
        <f t="shared" si="190"/>
        <v>1.6</v>
      </c>
      <c r="G10906">
        <v>1</v>
      </c>
      <c r="H10906">
        <f t="shared" si="189"/>
        <v>1.6</v>
      </c>
      <c r="I10906">
        <v>20170401</v>
      </c>
      <c r="J10906" t="s">
        <v>10806</v>
      </c>
      <c r="K10906" t="s">
        <v>10921</v>
      </c>
    </row>
    <row r="10907" spans="1:18" x14ac:dyDescent="0.3">
      <c r="A10907" s="160">
        <v>77441</v>
      </c>
      <c r="B10907" t="s">
        <v>25871</v>
      </c>
      <c r="C10907" t="s">
        <v>176</v>
      </c>
      <c r="D10907">
        <v>1.6</v>
      </c>
      <c r="E10907">
        <v>0</v>
      </c>
      <c r="F10907">
        <f t="shared" si="190"/>
        <v>1.6</v>
      </c>
      <c r="G10907">
        <v>1</v>
      </c>
      <c r="H10907">
        <f t="shared" si="189"/>
        <v>1.6</v>
      </c>
      <c r="I10907">
        <v>20170401</v>
      </c>
      <c r="J10907" t="s">
        <v>10930</v>
      </c>
      <c r="K10907" t="s">
        <v>11087</v>
      </c>
    </row>
    <row r="10908" spans="1:18" x14ac:dyDescent="0.3">
      <c r="A10908" s="160">
        <v>77442</v>
      </c>
      <c r="B10908" t="s">
        <v>25872</v>
      </c>
      <c r="C10908" t="s">
        <v>176</v>
      </c>
      <c r="D10908">
        <v>1.6</v>
      </c>
      <c r="E10908">
        <v>0</v>
      </c>
      <c r="F10908">
        <f t="shared" si="190"/>
        <v>1.6</v>
      </c>
      <c r="G10908">
        <v>1</v>
      </c>
      <c r="H10908">
        <f t="shared" si="189"/>
        <v>1.6</v>
      </c>
      <c r="I10908">
        <v>20170401</v>
      </c>
      <c r="J10908" t="s">
        <v>10724</v>
      </c>
      <c r="K10908" t="s">
        <v>10725</v>
      </c>
      <c r="L10908" t="s">
        <v>10726</v>
      </c>
      <c r="M10908" t="s">
        <v>10729</v>
      </c>
    </row>
    <row r="10909" spans="1:18" x14ac:dyDescent="0.3">
      <c r="A10909" s="160">
        <v>77443</v>
      </c>
      <c r="B10909" t="s">
        <v>21444</v>
      </c>
      <c r="C10909" t="s">
        <v>176</v>
      </c>
      <c r="D10909">
        <v>1.6</v>
      </c>
      <c r="E10909">
        <v>0</v>
      </c>
      <c r="F10909">
        <f t="shared" si="190"/>
        <v>1.6</v>
      </c>
      <c r="G10909">
        <v>1</v>
      </c>
      <c r="H10909">
        <f t="shared" si="189"/>
        <v>1.6</v>
      </c>
      <c r="I10909">
        <v>20170401</v>
      </c>
      <c r="J10909" t="s">
        <v>10762</v>
      </c>
    </row>
    <row r="10910" spans="1:18" x14ac:dyDescent="0.3">
      <c r="A10910" s="160">
        <v>77444</v>
      </c>
      <c r="B10910" t="s">
        <v>25873</v>
      </c>
      <c r="C10910" t="s">
        <v>176</v>
      </c>
      <c r="D10910">
        <v>1.6</v>
      </c>
      <c r="E10910">
        <v>0</v>
      </c>
      <c r="F10910">
        <f t="shared" si="190"/>
        <v>1.6</v>
      </c>
      <c r="G10910">
        <v>1</v>
      </c>
      <c r="H10910">
        <f t="shared" si="189"/>
        <v>1.6</v>
      </c>
      <c r="I10910">
        <v>20240101</v>
      </c>
      <c r="J10910" t="s">
        <v>10750</v>
      </c>
    </row>
    <row r="10911" spans="1:18" x14ac:dyDescent="0.3">
      <c r="A10911" s="160">
        <v>77445</v>
      </c>
      <c r="B10911" t="s">
        <v>25874</v>
      </c>
      <c r="C10911" t="s">
        <v>176</v>
      </c>
      <c r="D10911">
        <v>2.0099999999999998</v>
      </c>
      <c r="E10911">
        <v>0</v>
      </c>
      <c r="F10911">
        <f t="shared" si="190"/>
        <v>2.0099999999999998</v>
      </c>
      <c r="G10911">
        <v>1</v>
      </c>
      <c r="H10911">
        <f t="shared" si="189"/>
        <v>2.0099999999999998</v>
      </c>
      <c r="I10911">
        <v>20170401</v>
      </c>
      <c r="J10911" t="s">
        <v>11032</v>
      </c>
      <c r="K10911" t="s">
        <v>11088</v>
      </c>
      <c r="L10911" t="s">
        <v>11089</v>
      </c>
      <c r="M10911" t="s">
        <v>11090</v>
      </c>
      <c r="N10911" t="s">
        <v>11091</v>
      </c>
      <c r="O10911" t="s">
        <v>11092</v>
      </c>
      <c r="P10911" t="s">
        <v>11093</v>
      </c>
      <c r="Q10911" t="s">
        <v>11094</v>
      </c>
    </row>
    <row r="10912" spans="1:18" x14ac:dyDescent="0.3">
      <c r="A10912" s="160">
        <v>77446</v>
      </c>
      <c r="B10912" t="s">
        <v>25875</v>
      </c>
      <c r="C10912" t="s">
        <v>176</v>
      </c>
      <c r="D10912">
        <v>1.6</v>
      </c>
      <c r="E10912">
        <v>0</v>
      </c>
      <c r="F10912">
        <f t="shared" si="190"/>
        <v>1.6</v>
      </c>
      <c r="G10912">
        <v>1</v>
      </c>
      <c r="H10912">
        <f t="shared" si="189"/>
        <v>1.6</v>
      </c>
      <c r="I10912">
        <v>20170401</v>
      </c>
      <c r="J10912" t="s">
        <v>10805</v>
      </c>
    </row>
    <row r="10913" spans="1:17" x14ac:dyDescent="0.3">
      <c r="A10913" s="160">
        <v>77447</v>
      </c>
      <c r="B10913" t="s">
        <v>25876</v>
      </c>
      <c r="C10913" t="s">
        <v>176</v>
      </c>
      <c r="D10913">
        <v>1.6</v>
      </c>
      <c r="E10913">
        <v>0</v>
      </c>
      <c r="F10913">
        <f t="shared" si="190"/>
        <v>1.6</v>
      </c>
      <c r="G10913">
        <v>1</v>
      </c>
      <c r="H10913">
        <f t="shared" si="189"/>
        <v>1.6</v>
      </c>
      <c r="I10913">
        <v>20170401</v>
      </c>
      <c r="J10913" t="s">
        <v>10790</v>
      </c>
      <c r="K10913" t="s">
        <v>11095</v>
      </c>
    </row>
    <row r="10914" spans="1:17" x14ac:dyDescent="0.3">
      <c r="A10914" s="160">
        <v>77448</v>
      </c>
      <c r="B10914" t="s">
        <v>25877</v>
      </c>
      <c r="C10914" t="s">
        <v>176</v>
      </c>
      <c r="D10914">
        <v>1.6</v>
      </c>
      <c r="E10914">
        <v>0</v>
      </c>
      <c r="F10914">
        <f t="shared" si="190"/>
        <v>1.6</v>
      </c>
      <c r="G10914">
        <v>1</v>
      </c>
      <c r="H10914">
        <f t="shared" si="189"/>
        <v>1.6</v>
      </c>
      <c r="I10914">
        <v>20170401</v>
      </c>
      <c r="J10914" t="s">
        <v>10806</v>
      </c>
      <c r="K10914" t="s">
        <v>10807</v>
      </c>
      <c r="L10914" t="s">
        <v>10921</v>
      </c>
      <c r="M10914" t="s">
        <v>10922</v>
      </c>
    </row>
    <row r="10915" spans="1:17" x14ac:dyDescent="0.3">
      <c r="A10915" s="160">
        <v>77449</v>
      </c>
      <c r="B10915" t="s">
        <v>25878</v>
      </c>
      <c r="C10915" t="s">
        <v>176</v>
      </c>
      <c r="D10915">
        <v>1.6</v>
      </c>
      <c r="E10915">
        <v>0</v>
      </c>
      <c r="F10915">
        <f t="shared" si="190"/>
        <v>1.6</v>
      </c>
      <c r="G10915">
        <v>1</v>
      </c>
      <c r="H10915">
        <f t="shared" si="189"/>
        <v>1.6</v>
      </c>
      <c r="I10915">
        <v>20170401</v>
      </c>
      <c r="J10915" t="s">
        <v>10738</v>
      </c>
      <c r="K10915" t="s">
        <v>10842</v>
      </c>
      <c r="L10915" t="s">
        <v>10740</v>
      </c>
      <c r="M10915" t="s">
        <v>10844</v>
      </c>
      <c r="N10915" t="s">
        <v>11096</v>
      </c>
      <c r="O10915" t="s">
        <v>11097</v>
      </c>
      <c r="P10915" t="s">
        <v>10741</v>
      </c>
      <c r="Q10915" t="s">
        <v>10846</v>
      </c>
    </row>
    <row r="10916" spans="1:17" x14ac:dyDescent="0.3">
      <c r="A10916" s="160">
        <v>77450</v>
      </c>
      <c r="B10916" t="s">
        <v>25879</v>
      </c>
      <c r="C10916" t="s">
        <v>176</v>
      </c>
      <c r="D10916">
        <v>2.0099999999999998</v>
      </c>
      <c r="E10916">
        <v>0</v>
      </c>
      <c r="F10916">
        <f t="shared" si="190"/>
        <v>2.0099999999999998</v>
      </c>
      <c r="G10916">
        <v>1</v>
      </c>
      <c r="H10916">
        <f t="shared" si="189"/>
        <v>2.0099999999999998</v>
      </c>
      <c r="I10916">
        <v>20170401</v>
      </c>
      <c r="J10916" t="s">
        <v>10767</v>
      </c>
      <c r="K10916" t="s">
        <v>10773</v>
      </c>
    </row>
    <row r="10917" spans="1:17" x14ac:dyDescent="0.3">
      <c r="A10917" s="160">
        <v>77451</v>
      </c>
      <c r="B10917" t="s">
        <v>25880</v>
      </c>
      <c r="C10917" t="s">
        <v>176</v>
      </c>
      <c r="D10917">
        <v>1.6</v>
      </c>
      <c r="E10917">
        <v>0</v>
      </c>
      <c r="F10917">
        <f t="shared" si="190"/>
        <v>1.6</v>
      </c>
      <c r="G10917">
        <v>1</v>
      </c>
      <c r="H10917">
        <f t="shared" si="189"/>
        <v>1.6</v>
      </c>
      <c r="I10917">
        <v>20170401</v>
      </c>
      <c r="J10917" t="s">
        <v>10943</v>
      </c>
    </row>
    <row r="10918" spans="1:17" x14ac:dyDescent="0.3">
      <c r="A10918" s="160">
        <v>77452</v>
      </c>
      <c r="B10918" t="s">
        <v>25881</v>
      </c>
      <c r="C10918" t="s">
        <v>176</v>
      </c>
      <c r="D10918">
        <v>1.6</v>
      </c>
      <c r="E10918">
        <v>0</v>
      </c>
      <c r="F10918">
        <f t="shared" si="190"/>
        <v>1.6</v>
      </c>
      <c r="G10918">
        <v>1</v>
      </c>
      <c r="H10918">
        <f t="shared" si="189"/>
        <v>1.6</v>
      </c>
      <c r="I10918">
        <v>20170401</v>
      </c>
      <c r="J10918" t="s">
        <v>10794</v>
      </c>
    </row>
    <row r="10919" spans="1:17" x14ac:dyDescent="0.3">
      <c r="A10919" s="160">
        <v>77453</v>
      </c>
      <c r="B10919" t="s">
        <v>25882</v>
      </c>
      <c r="C10919" t="s">
        <v>176</v>
      </c>
      <c r="D10919">
        <v>1.6</v>
      </c>
      <c r="E10919">
        <v>0</v>
      </c>
      <c r="F10919">
        <f t="shared" si="190"/>
        <v>1.6</v>
      </c>
      <c r="G10919">
        <v>1</v>
      </c>
      <c r="H10919">
        <f t="shared" si="189"/>
        <v>1.6</v>
      </c>
      <c r="I10919">
        <v>20170401</v>
      </c>
      <c r="J10919" t="s">
        <v>10827</v>
      </c>
      <c r="K10919" t="s">
        <v>10752</v>
      </c>
    </row>
    <row r="10920" spans="1:17" x14ac:dyDescent="0.3">
      <c r="A10920" s="160">
        <v>77454</v>
      </c>
      <c r="B10920" t="s">
        <v>25883</v>
      </c>
      <c r="C10920" t="s">
        <v>176</v>
      </c>
      <c r="D10920">
        <v>1.6</v>
      </c>
      <c r="E10920">
        <v>0</v>
      </c>
      <c r="F10920">
        <f t="shared" si="190"/>
        <v>1.6</v>
      </c>
      <c r="G10920">
        <v>1</v>
      </c>
      <c r="H10920">
        <f t="shared" si="189"/>
        <v>1.6</v>
      </c>
      <c r="I10920">
        <v>20170401</v>
      </c>
      <c r="J10920" t="s">
        <v>10794</v>
      </c>
    </row>
    <row r="10921" spans="1:17" x14ac:dyDescent="0.3">
      <c r="A10921" s="160">
        <v>77455</v>
      </c>
      <c r="B10921" t="s">
        <v>25884</v>
      </c>
      <c r="C10921" t="s">
        <v>176</v>
      </c>
      <c r="D10921">
        <v>1.6</v>
      </c>
      <c r="E10921">
        <v>0</v>
      </c>
      <c r="F10921">
        <f t="shared" si="190"/>
        <v>1.6</v>
      </c>
      <c r="G10921">
        <v>1</v>
      </c>
      <c r="H10921">
        <f t="shared" si="189"/>
        <v>1.6</v>
      </c>
      <c r="I10921">
        <v>20170401</v>
      </c>
      <c r="J10921" t="s">
        <v>11098</v>
      </c>
    </row>
    <row r="10922" spans="1:17" x14ac:dyDescent="0.3">
      <c r="A10922" s="160">
        <v>77456</v>
      </c>
      <c r="B10922" t="s">
        <v>25885</v>
      </c>
      <c r="C10922" t="s">
        <v>176</v>
      </c>
      <c r="D10922">
        <v>1.6</v>
      </c>
      <c r="E10922">
        <v>0</v>
      </c>
      <c r="F10922">
        <f t="shared" si="190"/>
        <v>1.6</v>
      </c>
      <c r="G10922">
        <v>1</v>
      </c>
      <c r="H10922">
        <f t="shared" si="189"/>
        <v>1.6</v>
      </c>
      <c r="I10922">
        <v>20170401</v>
      </c>
      <c r="J10922" t="s">
        <v>10801</v>
      </c>
      <c r="K10922" t="s">
        <v>10805</v>
      </c>
    </row>
    <row r="10923" spans="1:17" x14ac:dyDescent="0.3">
      <c r="A10923" s="160">
        <v>77457</v>
      </c>
      <c r="B10923" t="s">
        <v>25886</v>
      </c>
      <c r="C10923" t="s">
        <v>176</v>
      </c>
      <c r="D10923">
        <v>1.6</v>
      </c>
      <c r="E10923">
        <v>0</v>
      </c>
      <c r="F10923">
        <f t="shared" si="190"/>
        <v>1.6</v>
      </c>
      <c r="G10923">
        <v>1</v>
      </c>
      <c r="H10923">
        <f t="shared" si="189"/>
        <v>1.6</v>
      </c>
      <c r="I10923">
        <v>20170401</v>
      </c>
      <c r="J10923" t="s">
        <v>11098</v>
      </c>
    </row>
    <row r="10924" spans="1:17" x14ac:dyDescent="0.3">
      <c r="A10924" s="160">
        <v>77458</v>
      </c>
      <c r="B10924" t="s">
        <v>25887</v>
      </c>
      <c r="C10924" t="s">
        <v>176</v>
      </c>
      <c r="D10924">
        <v>1.6</v>
      </c>
      <c r="E10924">
        <v>0</v>
      </c>
      <c r="F10924">
        <f t="shared" si="190"/>
        <v>1.6</v>
      </c>
      <c r="G10924">
        <v>1</v>
      </c>
      <c r="H10924">
        <f t="shared" si="189"/>
        <v>1.6</v>
      </c>
      <c r="I10924">
        <v>20170401</v>
      </c>
      <c r="J10924" t="s">
        <v>10798</v>
      </c>
      <c r="K10924" t="s">
        <v>11099</v>
      </c>
    </row>
    <row r="10925" spans="1:17" x14ac:dyDescent="0.3">
      <c r="A10925" s="160">
        <v>77459</v>
      </c>
      <c r="B10925" t="s">
        <v>25888</v>
      </c>
      <c r="C10925" t="s">
        <v>176</v>
      </c>
      <c r="D10925">
        <v>1.6</v>
      </c>
      <c r="E10925">
        <v>0</v>
      </c>
      <c r="F10925">
        <f t="shared" si="190"/>
        <v>1.6</v>
      </c>
      <c r="G10925">
        <v>1</v>
      </c>
      <c r="H10925">
        <f t="shared" si="189"/>
        <v>1.6</v>
      </c>
      <c r="I10925">
        <v>20240101</v>
      </c>
      <c r="J10925" t="s">
        <v>10799</v>
      </c>
      <c r="K10925" t="s">
        <v>10973</v>
      </c>
      <c r="L10925" t="s">
        <v>11073</v>
      </c>
    </row>
    <row r="10926" spans="1:17" x14ac:dyDescent="0.3">
      <c r="A10926" s="160">
        <v>77460</v>
      </c>
      <c r="B10926" t="s">
        <v>25889</v>
      </c>
      <c r="C10926" t="s">
        <v>176</v>
      </c>
      <c r="D10926">
        <v>1.6</v>
      </c>
      <c r="E10926">
        <v>0</v>
      </c>
      <c r="F10926">
        <f t="shared" si="190"/>
        <v>1.6</v>
      </c>
      <c r="G10926">
        <v>1</v>
      </c>
      <c r="H10926">
        <f t="shared" si="189"/>
        <v>1.6</v>
      </c>
      <c r="I10926">
        <v>20170401</v>
      </c>
      <c r="J10926" t="s">
        <v>10718</v>
      </c>
    </row>
    <row r="10927" spans="1:17" x14ac:dyDescent="0.3">
      <c r="A10927" s="160">
        <v>77461</v>
      </c>
      <c r="B10927" t="s">
        <v>25890</v>
      </c>
      <c r="C10927" t="s">
        <v>176</v>
      </c>
      <c r="D10927">
        <v>1.6</v>
      </c>
      <c r="E10927">
        <v>0</v>
      </c>
      <c r="F10927">
        <f t="shared" si="190"/>
        <v>1.6</v>
      </c>
      <c r="G10927">
        <v>1</v>
      </c>
      <c r="H10927">
        <f t="shared" si="189"/>
        <v>1.6</v>
      </c>
      <c r="I10927">
        <v>20170401</v>
      </c>
      <c r="J10927" t="s">
        <v>10794</v>
      </c>
    </row>
    <row r="10928" spans="1:17" x14ac:dyDescent="0.3">
      <c r="A10928" s="160">
        <v>77462</v>
      </c>
      <c r="B10928" t="s">
        <v>22981</v>
      </c>
      <c r="C10928" t="s">
        <v>176</v>
      </c>
      <c r="D10928">
        <v>1.6</v>
      </c>
      <c r="E10928">
        <v>0</v>
      </c>
      <c r="F10928">
        <f t="shared" si="190"/>
        <v>1.6</v>
      </c>
      <c r="G10928">
        <v>1</v>
      </c>
      <c r="H10928">
        <f t="shared" si="189"/>
        <v>1.6</v>
      </c>
      <c r="I10928">
        <v>20170401</v>
      </c>
      <c r="J10928" t="s">
        <v>10901</v>
      </c>
    </row>
    <row r="10929" spans="1:19" x14ac:dyDescent="0.3">
      <c r="A10929" s="160">
        <v>77463</v>
      </c>
      <c r="B10929" t="s">
        <v>25891</v>
      </c>
      <c r="C10929" t="s">
        <v>176</v>
      </c>
      <c r="D10929">
        <v>1.6</v>
      </c>
      <c r="E10929">
        <v>0</v>
      </c>
      <c r="F10929">
        <f t="shared" si="190"/>
        <v>1.6</v>
      </c>
      <c r="G10929">
        <v>1</v>
      </c>
      <c r="H10929">
        <f t="shared" si="189"/>
        <v>1.6</v>
      </c>
      <c r="I10929">
        <v>20170401</v>
      </c>
      <c r="J10929" t="s">
        <v>11100</v>
      </c>
      <c r="K10929" t="s">
        <v>11101</v>
      </c>
    </row>
    <row r="10930" spans="1:19" x14ac:dyDescent="0.3">
      <c r="A10930" s="160">
        <v>77464</v>
      </c>
      <c r="B10930" t="s">
        <v>25892</v>
      </c>
      <c r="C10930" t="s">
        <v>176</v>
      </c>
      <c r="D10930">
        <v>2.0099999999999998</v>
      </c>
      <c r="E10930">
        <v>0</v>
      </c>
      <c r="F10930">
        <f t="shared" si="190"/>
        <v>2.0099999999999998</v>
      </c>
      <c r="G10930">
        <v>1</v>
      </c>
      <c r="H10930">
        <f t="shared" si="189"/>
        <v>2.0099999999999998</v>
      </c>
      <c r="I10930">
        <v>20170401</v>
      </c>
      <c r="J10930" t="s">
        <v>10786</v>
      </c>
      <c r="K10930" t="s">
        <v>10934</v>
      </c>
      <c r="L10930" t="s">
        <v>10945</v>
      </c>
    </row>
    <row r="10931" spans="1:19" x14ac:dyDescent="0.3">
      <c r="A10931" s="160">
        <v>77465</v>
      </c>
      <c r="B10931" t="s">
        <v>25893</v>
      </c>
      <c r="C10931" t="s">
        <v>176</v>
      </c>
      <c r="D10931">
        <v>1.6</v>
      </c>
      <c r="E10931">
        <v>0</v>
      </c>
      <c r="F10931">
        <f t="shared" si="190"/>
        <v>1.6</v>
      </c>
      <c r="G10931">
        <v>1</v>
      </c>
      <c r="H10931">
        <f t="shared" ref="H10931:H10994" si="191">G10931*F10931</f>
        <v>1.6</v>
      </c>
      <c r="I10931">
        <v>20170401</v>
      </c>
      <c r="J10931" t="s">
        <v>10753</v>
      </c>
    </row>
    <row r="10932" spans="1:19" x14ac:dyDescent="0.3">
      <c r="A10932" s="160">
        <v>77466</v>
      </c>
      <c r="B10932" t="s">
        <v>25894</v>
      </c>
      <c r="C10932" t="s">
        <v>176</v>
      </c>
      <c r="D10932">
        <v>1.6</v>
      </c>
      <c r="E10932">
        <v>0</v>
      </c>
      <c r="F10932">
        <f t="shared" si="190"/>
        <v>1.6</v>
      </c>
      <c r="G10932">
        <v>1</v>
      </c>
      <c r="H10932">
        <f t="shared" si="191"/>
        <v>1.6</v>
      </c>
      <c r="I10932">
        <v>20170401</v>
      </c>
      <c r="J10932" t="s">
        <v>10904</v>
      </c>
      <c r="K10932" t="s">
        <v>10879</v>
      </c>
    </row>
    <row r="10933" spans="1:19" x14ac:dyDescent="0.3">
      <c r="A10933" s="160">
        <v>77467</v>
      </c>
      <c r="B10933" t="s">
        <v>25895</v>
      </c>
      <c r="C10933" t="s">
        <v>176</v>
      </c>
      <c r="D10933">
        <v>1.6</v>
      </c>
      <c r="E10933">
        <v>0</v>
      </c>
      <c r="F10933">
        <f t="shared" si="190"/>
        <v>1.6</v>
      </c>
      <c r="G10933">
        <v>1</v>
      </c>
      <c r="H10933">
        <f t="shared" si="191"/>
        <v>1.6</v>
      </c>
      <c r="I10933">
        <v>20170401</v>
      </c>
      <c r="J10933" t="s">
        <v>10744</v>
      </c>
    </row>
    <row r="10934" spans="1:19" x14ac:dyDescent="0.3">
      <c r="A10934" s="160">
        <v>77468</v>
      </c>
      <c r="B10934" t="s">
        <v>24848</v>
      </c>
      <c r="C10934" t="s">
        <v>176</v>
      </c>
      <c r="D10934">
        <v>2.0099999999999998</v>
      </c>
      <c r="E10934">
        <v>0</v>
      </c>
      <c r="F10934">
        <f t="shared" si="190"/>
        <v>2.0099999999999998</v>
      </c>
      <c r="G10934">
        <v>1</v>
      </c>
      <c r="H10934">
        <f t="shared" si="191"/>
        <v>2.0099999999999998</v>
      </c>
      <c r="I10934">
        <v>20170401</v>
      </c>
      <c r="J10934" t="s">
        <v>11102</v>
      </c>
      <c r="K10934" t="s">
        <v>11103</v>
      </c>
      <c r="L10934" t="s">
        <v>11085</v>
      </c>
      <c r="M10934" t="s">
        <v>11104</v>
      </c>
      <c r="N10934" t="s">
        <v>11105</v>
      </c>
      <c r="O10934" t="s">
        <v>11106</v>
      </c>
      <c r="P10934" t="s">
        <v>11107</v>
      </c>
      <c r="Q10934" t="s">
        <v>11108</v>
      </c>
      <c r="R10934" t="s">
        <v>11109</v>
      </c>
      <c r="S10934" t="s">
        <v>10882</v>
      </c>
    </row>
    <row r="10935" spans="1:19" x14ac:dyDescent="0.3">
      <c r="A10935" s="160">
        <v>77469</v>
      </c>
      <c r="B10935" t="s">
        <v>25896</v>
      </c>
      <c r="C10935" t="s">
        <v>176</v>
      </c>
      <c r="D10935">
        <v>1.6</v>
      </c>
      <c r="E10935">
        <v>0</v>
      </c>
      <c r="F10935">
        <f t="shared" si="190"/>
        <v>1.6</v>
      </c>
      <c r="G10935">
        <v>1</v>
      </c>
      <c r="H10935">
        <f t="shared" si="191"/>
        <v>1.6</v>
      </c>
      <c r="I10935">
        <v>20170401</v>
      </c>
      <c r="J10935" t="s">
        <v>11059</v>
      </c>
    </row>
    <row r="10936" spans="1:19" x14ac:dyDescent="0.3">
      <c r="A10936" s="160">
        <v>77470</v>
      </c>
      <c r="B10936" t="s">
        <v>25897</v>
      </c>
      <c r="C10936" t="s">
        <v>176</v>
      </c>
      <c r="D10936">
        <v>1.6</v>
      </c>
      <c r="E10936">
        <v>0</v>
      </c>
      <c r="F10936">
        <f t="shared" si="190"/>
        <v>1.6</v>
      </c>
      <c r="G10936">
        <v>1</v>
      </c>
      <c r="H10936">
        <f t="shared" si="191"/>
        <v>1.6</v>
      </c>
      <c r="I10936">
        <v>20170401</v>
      </c>
      <c r="J10936" t="s">
        <v>10915</v>
      </c>
      <c r="K10936" t="s">
        <v>11110</v>
      </c>
      <c r="L10936" t="s">
        <v>11111</v>
      </c>
    </row>
    <row r="10937" spans="1:19" x14ac:dyDescent="0.3">
      <c r="A10937" s="160">
        <v>77471</v>
      </c>
      <c r="B10937" t="s">
        <v>25898</v>
      </c>
      <c r="C10937" t="s">
        <v>176</v>
      </c>
      <c r="D10937">
        <v>1.6</v>
      </c>
      <c r="E10937">
        <v>0</v>
      </c>
      <c r="F10937">
        <f t="shared" si="190"/>
        <v>1.6</v>
      </c>
      <c r="G10937">
        <v>1</v>
      </c>
      <c r="H10937">
        <f t="shared" si="191"/>
        <v>1.6</v>
      </c>
      <c r="I10937">
        <v>20170401</v>
      </c>
      <c r="J10937" t="s">
        <v>11047</v>
      </c>
    </row>
    <row r="10938" spans="1:19" x14ac:dyDescent="0.3">
      <c r="A10938" s="160">
        <v>77472</v>
      </c>
      <c r="B10938" t="s">
        <v>25899</v>
      </c>
      <c r="C10938" t="s">
        <v>176</v>
      </c>
      <c r="D10938">
        <v>1.6</v>
      </c>
      <c r="E10938">
        <v>0</v>
      </c>
      <c r="F10938">
        <f t="shared" si="190"/>
        <v>1.6</v>
      </c>
      <c r="G10938">
        <v>1</v>
      </c>
      <c r="H10938">
        <f t="shared" si="191"/>
        <v>1.6</v>
      </c>
      <c r="I10938">
        <v>20170401</v>
      </c>
      <c r="J10938" t="s">
        <v>10748</v>
      </c>
    </row>
    <row r="10939" spans="1:19" x14ac:dyDescent="0.3">
      <c r="A10939" s="160">
        <v>77473</v>
      </c>
      <c r="B10939" t="s">
        <v>25900</v>
      </c>
      <c r="C10939" t="s">
        <v>176</v>
      </c>
      <c r="D10939">
        <v>1.6</v>
      </c>
      <c r="E10939">
        <v>0</v>
      </c>
      <c r="F10939">
        <f t="shared" si="190"/>
        <v>1.6</v>
      </c>
      <c r="G10939">
        <v>1</v>
      </c>
      <c r="H10939">
        <f t="shared" si="191"/>
        <v>1.6</v>
      </c>
      <c r="I10939">
        <v>20170401</v>
      </c>
      <c r="J10939" t="s">
        <v>10848</v>
      </c>
    </row>
    <row r="10940" spans="1:19" x14ac:dyDescent="0.3">
      <c r="A10940" s="160">
        <v>77474</v>
      </c>
      <c r="B10940" t="s">
        <v>25901</v>
      </c>
      <c r="C10940" t="s">
        <v>176</v>
      </c>
      <c r="D10940">
        <v>1.6</v>
      </c>
      <c r="E10940">
        <v>0</v>
      </c>
      <c r="F10940">
        <f t="shared" si="190"/>
        <v>1.6</v>
      </c>
      <c r="G10940">
        <v>1</v>
      </c>
      <c r="H10940">
        <f t="shared" si="191"/>
        <v>1.6</v>
      </c>
      <c r="I10940">
        <v>20170401</v>
      </c>
      <c r="J10940" t="s">
        <v>10867</v>
      </c>
    </row>
    <row r="10941" spans="1:19" x14ac:dyDescent="0.3">
      <c r="A10941" s="160">
        <v>77475</v>
      </c>
      <c r="B10941" t="s">
        <v>25902</v>
      </c>
      <c r="C10941" t="s">
        <v>176</v>
      </c>
      <c r="D10941">
        <v>1.6</v>
      </c>
      <c r="E10941">
        <v>0</v>
      </c>
      <c r="F10941">
        <f t="shared" si="190"/>
        <v>1.6</v>
      </c>
      <c r="G10941">
        <v>1</v>
      </c>
      <c r="H10941">
        <f t="shared" si="191"/>
        <v>1.6</v>
      </c>
      <c r="I10941">
        <v>20170401</v>
      </c>
      <c r="J10941" t="s">
        <v>11060</v>
      </c>
      <c r="K10941" t="s">
        <v>10764</v>
      </c>
    </row>
    <row r="10942" spans="1:19" x14ac:dyDescent="0.3">
      <c r="A10942" s="160">
        <v>77476</v>
      </c>
      <c r="B10942" t="s">
        <v>25903</v>
      </c>
      <c r="C10942" t="s">
        <v>176</v>
      </c>
      <c r="D10942">
        <v>1.6</v>
      </c>
      <c r="E10942">
        <v>0</v>
      </c>
      <c r="F10942">
        <f t="shared" si="190"/>
        <v>1.6</v>
      </c>
      <c r="G10942">
        <v>1</v>
      </c>
      <c r="H10942">
        <f t="shared" si="191"/>
        <v>1.6</v>
      </c>
      <c r="I10942">
        <v>20170401</v>
      </c>
      <c r="J10942" t="s">
        <v>10718</v>
      </c>
    </row>
    <row r="10943" spans="1:19" x14ac:dyDescent="0.3">
      <c r="A10943" s="160">
        <v>77477</v>
      </c>
      <c r="B10943" t="s">
        <v>25904</v>
      </c>
      <c r="C10943" t="s">
        <v>176</v>
      </c>
      <c r="D10943">
        <v>1.6</v>
      </c>
      <c r="E10943">
        <v>0</v>
      </c>
      <c r="F10943">
        <f t="shared" si="190"/>
        <v>1.6</v>
      </c>
      <c r="G10943">
        <v>1</v>
      </c>
      <c r="H10943">
        <f t="shared" si="191"/>
        <v>1.6</v>
      </c>
      <c r="I10943">
        <v>20170401</v>
      </c>
      <c r="J10943" t="s">
        <v>10710</v>
      </c>
    </row>
    <row r="10944" spans="1:19" x14ac:dyDescent="0.3">
      <c r="A10944" s="160">
        <v>77478</v>
      </c>
      <c r="B10944" t="s">
        <v>25905</v>
      </c>
      <c r="C10944" t="s">
        <v>176</v>
      </c>
      <c r="D10944">
        <v>1.6</v>
      </c>
      <c r="E10944">
        <v>0</v>
      </c>
      <c r="F10944">
        <f t="shared" si="190"/>
        <v>1.6</v>
      </c>
      <c r="G10944">
        <v>1</v>
      </c>
      <c r="H10944">
        <f t="shared" si="191"/>
        <v>1.6</v>
      </c>
      <c r="I10944">
        <v>20170401</v>
      </c>
      <c r="J10944" t="s">
        <v>10806</v>
      </c>
    </row>
    <row r="10945" spans="1:28" x14ac:dyDescent="0.3">
      <c r="A10945" s="160">
        <v>77479</v>
      </c>
      <c r="B10945" t="s">
        <v>25906</v>
      </c>
      <c r="C10945" t="s">
        <v>176</v>
      </c>
      <c r="D10945">
        <v>2.0099999999999998</v>
      </c>
      <c r="E10945">
        <v>0</v>
      </c>
      <c r="F10945">
        <f t="shared" si="190"/>
        <v>2.0099999999999998</v>
      </c>
      <c r="G10945">
        <v>1</v>
      </c>
      <c r="H10945">
        <f t="shared" si="191"/>
        <v>2.0099999999999998</v>
      </c>
      <c r="I10945">
        <v>20170401</v>
      </c>
      <c r="J10945" t="s">
        <v>11112</v>
      </c>
      <c r="K10945" t="s">
        <v>10776</v>
      </c>
    </row>
    <row r="10946" spans="1:28" x14ac:dyDescent="0.3">
      <c r="A10946" s="160">
        <v>77480</v>
      </c>
      <c r="B10946" t="s">
        <v>25907</v>
      </c>
      <c r="C10946" t="s">
        <v>176</v>
      </c>
      <c r="D10946">
        <v>1.6</v>
      </c>
      <c r="E10946">
        <v>0</v>
      </c>
      <c r="F10946">
        <f t="shared" si="190"/>
        <v>1.6</v>
      </c>
      <c r="G10946">
        <v>1</v>
      </c>
      <c r="H10946">
        <f t="shared" si="191"/>
        <v>1.6</v>
      </c>
      <c r="I10946">
        <v>20170401</v>
      </c>
      <c r="J10946" t="s">
        <v>10907</v>
      </c>
    </row>
    <row r="10947" spans="1:28" x14ac:dyDescent="0.3">
      <c r="A10947" s="160">
        <v>77481</v>
      </c>
      <c r="B10947" t="s">
        <v>25908</v>
      </c>
      <c r="C10947" t="s">
        <v>176</v>
      </c>
      <c r="D10947">
        <v>1.6</v>
      </c>
      <c r="E10947">
        <v>0</v>
      </c>
      <c r="F10947">
        <f t="shared" si="190"/>
        <v>1.6</v>
      </c>
      <c r="G10947">
        <v>1</v>
      </c>
      <c r="H10947">
        <f t="shared" si="191"/>
        <v>1.6</v>
      </c>
      <c r="I10947">
        <v>20170401</v>
      </c>
      <c r="J10947" t="s">
        <v>10825</v>
      </c>
    </row>
    <row r="10948" spans="1:28" x14ac:dyDescent="0.3">
      <c r="A10948" s="160">
        <v>77482</v>
      </c>
      <c r="B10948" t="s">
        <v>25909</v>
      </c>
      <c r="C10948" t="s">
        <v>176</v>
      </c>
      <c r="D10948">
        <v>1.6</v>
      </c>
      <c r="E10948">
        <v>0</v>
      </c>
      <c r="F10948">
        <f t="shared" si="190"/>
        <v>1.6</v>
      </c>
      <c r="G10948">
        <v>1</v>
      </c>
      <c r="H10948">
        <f t="shared" si="191"/>
        <v>1.6</v>
      </c>
      <c r="I10948">
        <v>20170401</v>
      </c>
      <c r="J10948" t="s">
        <v>10744</v>
      </c>
      <c r="K10948" t="s">
        <v>10936</v>
      </c>
      <c r="L10948" t="s">
        <v>10911</v>
      </c>
      <c r="M10948" t="s">
        <v>10784</v>
      </c>
    </row>
    <row r="10949" spans="1:28" x14ac:dyDescent="0.3">
      <c r="A10949" s="160">
        <v>77483</v>
      </c>
      <c r="B10949" t="s">
        <v>25910</v>
      </c>
      <c r="C10949" t="s">
        <v>176</v>
      </c>
      <c r="D10949">
        <v>1.6</v>
      </c>
      <c r="E10949">
        <v>0</v>
      </c>
      <c r="F10949">
        <f t="shared" si="190"/>
        <v>1.6</v>
      </c>
      <c r="G10949">
        <v>1</v>
      </c>
      <c r="H10949">
        <f t="shared" si="191"/>
        <v>1.6</v>
      </c>
      <c r="I10949">
        <v>20170401</v>
      </c>
      <c r="J10949" t="s">
        <v>10932</v>
      </c>
      <c r="K10949" t="s">
        <v>10746</v>
      </c>
    </row>
    <row r="10950" spans="1:28" x14ac:dyDescent="0.3">
      <c r="A10950" s="160">
        <v>77484</v>
      </c>
      <c r="B10950" t="s">
        <v>25911</v>
      </c>
      <c r="C10950" t="s">
        <v>176</v>
      </c>
      <c r="D10950">
        <v>1.6</v>
      </c>
      <c r="E10950">
        <v>0</v>
      </c>
      <c r="F10950">
        <f t="shared" si="190"/>
        <v>1.6</v>
      </c>
      <c r="G10950">
        <v>1</v>
      </c>
      <c r="H10950">
        <f t="shared" si="191"/>
        <v>1.6</v>
      </c>
      <c r="I10950">
        <v>20170401</v>
      </c>
      <c r="J10950" t="s">
        <v>10762</v>
      </c>
    </row>
    <row r="10951" spans="1:28" x14ac:dyDescent="0.3">
      <c r="A10951" s="160">
        <v>77485</v>
      </c>
      <c r="B10951" t="s">
        <v>25912</v>
      </c>
      <c r="C10951" t="s">
        <v>176</v>
      </c>
      <c r="D10951">
        <v>1.6</v>
      </c>
      <c r="E10951">
        <v>0</v>
      </c>
      <c r="F10951">
        <f t="shared" ref="F10951:F11014" si="192">D10951+E10951</f>
        <v>1.6</v>
      </c>
      <c r="G10951">
        <v>1</v>
      </c>
      <c r="H10951">
        <f t="shared" si="191"/>
        <v>1.6</v>
      </c>
      <c r="I10951">
        <v>20170401</v>
      </c>
      <c r="J10951" t="s">
        <v>11047</v>
      </c>
    </row>
    <row r="10952" spans="1:28" x14ac:dyDescent="0.3">
      <c r="A10952" s="160">
        <v>77486</v>
      </c>
      <c r="B10952" t="s">
        <v>25913</v>
      </c>
      <c r="C10952" t="s">
        <v>176</v>
      </c>
      <c r="D10952">
        <v>1.6</v>
      </c>
      <c r="E10952">
        <v>0</v>
      </c>
      <c r="F10952">
        <f t="shared" si="192"/>
        <v>1.6</v>
      </c>
      <c r="G10952">
        <v>1</v>
      </c>
      <c r="H10952">
        <f t="shared" si="191"/>
        <v>1.6</v>
      </c>
      <c r="I10952">
        <v>20240101</v>
      </c>
      <c r="J10952" t="s">
        <v>11113</v>
      </c>
    </row>
    <row r="10953" spans="1:28" x14ac:dyDescent="0.3">
      <c r="A10953" s="160">
        <v>77487</v>
      </c>
      <c r="B10953" t="s">
        <v>25914</v>
      </c>
      <c r="C10953" t="s">
        <v>176</v>
      </c>
      <c r="D10953">
        <v>2.0099999999999998</v>
      </c>
      <c r="E10953">
        <v>0</v>
      </c>
      <c r="F10953">
        <f t="shared" si="192"/>
        <v>2.0099999999999998</v>
      </c>
      <c r="G10953">
        <v>1</v>
      </c>
      <c r="H10953">
        <f t="shared" si="191"/>
        <v>2.0099999999999998</v>
      </c>
      <c r="I10953">
        <v>20170401</v>
      </c>
      <c r="J10953" t="s">
        <v>10964</v>
      </c>
      <c r="K10953" t="s">
        <v>10890</v>
      </c>
      <c r="L10953" t="s">
        <v>10891</v>
      </c>
      <c r="M10953" t="s">
        <v>10892</v>
      </c>
      <c r="N10953" t="s">
        <v>11114</v>
      </c>
      <c r="O10953" t="s">
        <v>11115</v>
      </c>
      <c r="P10953" t="s">
        <v>10998</v>
      </c>
      <c r="Q10953" t="s">
        <v>11001</v>
      </c>
      <c r="R10953" t="s">
        <v>11002</v>
      </c>
      <c r="S10953" t="s">
        <v>11116</v>
      </c>
      <c r="T10953" t="s">
        <v>11004</v>
      </c>
      <c r="U10953" t="s">
        <v>11117</v>
      </c>
      <c r="V10953" t="s">
        <v>10751</v>
      </c>
      <c r="W10953" t="s">
        <v>11005</v>
      </c>
      <c r="X10953" t="s">
        <v>10827</v>
      </c>
      <c r="Y10953" t="s">
        <v>11007</v>
      </c>
      <c r="Z10953" t="s">
        <v>11118</v>
      </c>
      <c r="AA10953" t="s">
        <v>11119</v>
      </c>
      <c r="AB10953" t="s">
        <v>11120</v>
      </c>
    </row>
    <row r="10954" spans="1:28" x14ac:dyDescent="0.3">
      <c r="A10954" s="160">
        <v>77489</v>
      </c>
      <c r="B10954" t="s">
        <v>25915</v>
      </c>
      <c r="C10954" t="s">
        <v>176</v>
      </c>
      <c r="D10954">
        <v>1.6</v>
      </c>
      <c r="E10954">
        <v>0</v>
      </c>
      <c r="F10954">
        <f t="shared" si="192"/>
        <v>1.6</v>
      </c>
      <c r="G10954">
        <v>1</v>
      </c>
      <c r="H10954">
        <f t="shared" si="191"/>
        <v>1.6</v>
      </c>
      <c r="I10954">
        <v>20170401</v>
      </c>
      <c r="J10954" t="s">
        <v>10848</v>
      </c>
    </row>
    <row r="10955" spans="1:28" x14ac:dyDescent="0.3">
      <c r="A10955" s="160">
        <v>77490</v>
      </c>
      <c r="B10955" t="s">
        <v>25916</v>
      </c>
      <c r="C10955" t="s">
        <v>176</v>
      </c>
      <c r="D10955">
        <v>1.6</v>
      </c>
      <c r="E10955">
        <v>0</v>
      </c>
      <c r="F10955">
        <f t="shared" si="192"/>
        <v>1.6</v>
      </c>
      <c r="G10955">
        <v>1</v>
      </c>
      <c r="H10955">
        <f t="shared" si="191"/>
        <v>1.6</v>
      </c>
      <c r="I10955">
        <v>20170401</v>
      </c>
      <c r="J10955" t="s">
        <v>10718</v>
      </c>
    </row>
    <row r="10956" spans="1:28" x14ac:dyDescent="0.3">
      <c r="A10956" s="160">
        <v>77491</v>
      </c>
      <c r="B10956" t="s">
        <v>25916</v>
      </c>
      <c r="C10956" t="s">
        <v>176</v>
      </c>
      <c r="D10956">
        <v>1.6</v>
      </c>
      <c r="E10956">
        <v>0</v>
      </c>
      <c r="F10956">
        <f t="shared" si="192"/>
        <v>1.6</v>
      </c>
      <c r="G10956">
        <v>1</v>
      </c>
      <c r="H10956">
        <f t="shared" si="191"/>
        <v>1.6</v>
      </c>
      <c r="I10956">
        <v>20170401</v>
      </c>
      <c r="J10956" t="s">
        <v>11028</v>
      </c>
      <c r="K10956" t="s">
        <v>10910</v>
      </c>
      <c r="L10956" t="s">
        <v>11029</v>
      </c>
      <c r="M10956" t="s">
        <v>10810</v>
      </c>
      <c r="N10956" t="s">
        <v>11031</v>
      </c>
    </row>
    <row r="10957" spans="1:28" x14ac:dyDescent="0.3">
      <c r="A10957" s="160">
        <v>77492</v>
      </c>
      <c r="B10957" t="s">
        <v>25917</v>
      </c>
      <c r="C10957" t="s">
        <v>176</v>
      </c>
      <c r="D10957">
        <v>1.6</v>
      </c>
      <c r="E10957">
        <v>0</v>
      </c>
      <c r="F10957">
        <f t="shared" si="192"/>
        <v>1.6</v>
      </c>
      <c r="G10957">
        <v>1</v>
      </c>
      <c r="H10957">
        <f t="shared" si="191"/>
        <v>1.6</v>
      </c>
      <c r="I10957">
        <v>20170401</v>
      </c>
      <c r="J10957" t="s">
        <v>10748</v>
      </c>
    </row>
    <row r="10958" spans="1:28" x14ac:dyDescent="0.3">
      <c r="A10958" s="160">
        <v>77493</v>
      </c>
      <c r="B10958" t="s">
        <v>25918</v>
      </c>
      <c r="C10958" t="s">
        <v>176</v>
      </c>
      <c r="D10958">
        <v>1.6</v>
      </c>
      <c r="E10958">
        <v>0</v>
      </c>
      <c r="F10958">
        <f t="shared" si="192"/>
        <v>1.6</v>
      </c>
      <c r="G10958">
        <v>1</v>
      </c>
      <c r="H10958">
        <f t="shared" si="191"/>
        <v>1.6</v>
      </c>
      <c r="I10958">
        <v>20170401</v>
      </c>
      <c r="J10958" t="s">
        <v>10712</v>
      </c>
    </row>
    <row r="10959" spans="1:28" x14ac:dyDescent="0.3">
      <c r="A10959" s="160">
        <v>77494</v>
      </c>
      <c r="B10959" t="s">
        <v>25919</v>
      </c>
      <c r="C10959" t="s">
        <v>176</v>
      </c>
      <c r="D10959">
        <v>1.6</v>
      </c>
      <c r="E10959">
        <v>0</v>
      </c>
      <c r="F10959">
        <f t="shared" si="192"/>
        <v>1.6</v>
      </c>
      <c r="G10959">
        <v>1</v>
      </c>
      <c r="H10959">
        <f t="shared" si="191"/>
        <v>1.6</v>
      </c>
      <c r="I10959">
        <v>20170401</v>
      </c>
      <c r="J10959" t="s">
        <v>11082</v>
      </c>
      <c r="K10959" t="s">
        <v>11083</v>
      </c>
      <c r="L10959" t="s">
        <v>10810</v>
      </c>
    </row>
    <row r="10960" spans="1:28" x14ac:dyDescent="0.3">
      <c r="A10960" s="160">
        <v>77495</v>
      </c>
      <c r="B10960" t="s">
        <v>25920</v>
      </c>
      <c r="C10960" t="s">
        <v>176</v>
      </c>
      <c r="D10960">
        <v>2.0099999999999998</v>
      </c>
      <c r="E10960">
        <v>0</v>
      </c>
      <c r="F10960">
        <f t="shared" si="192"/>
        <v>2.0099999999999998</v>
      </c>
      <c r="G10960">
        <v>1</v>
      </c>
      <c r="H10960">
        <f t="shared" si="191"/>
        <v>2.0099999999999998</v>
      </c>
      <c r="I10960">
        <v>20170401</v>
      </c>
      <c r="J10960" t="s">
        <v>10891</v>
      </c>
      <c r="K10960" t="s">
        <v>10790</v>
      </c>
      <c r="L10960" t="s">
        <v>10791</v>
      </c>
      <c r="M10960" t="s">
        <v>11121</v>
      </c>
      <c r="N10960" t="s">
        <v>11122</v>
      </c>
      <c r="O10960" t="s">
        <v>11095</v>
      </c>
      <c r="P10960" t="s">
        <v>11123</v>
      </c>
    </row>
    <row r="10961" spans="1:12" x14ac:dyDescent="0.3">
      <c r="A10961" s="160">
        <v>77496</v>
      </c>
      <c r="B10961" t="s">
        <v>25921</v>
      </c>
      <c r="C10961" t="s">
        <v>176</v>
      </c>
      <c r="D10961">
        <v>1.6</v>
      </c>
      <c r="E10961">
        <v>0</v>
      </c>
      <c r="F10961">
        <f t="shared" si="192"/>
        <v>1.6</v>
      </c>
      <c r="G10961">
        <v>1</v>
      </c>
      <c r="H10961">
        <f t="shared" si="191"/>
        <v>1.6</v>
      </c>
      <c r="I10961">
        <v>20170401</v>
      </c>
      <c r="J10961" t="s">
        <v>10825</v>
      </c>
    </row>
    <row r="10962" spans="1:12" x14ac:dyDescent="0.3">
      <c r="A10962" s="160">
        <v>77498</v>
      </c>
      <c r="B10962" t="s">
        <v>25922</v>
      </c>
      <c r="C10962" t="s">
        <v>176</v>
      </c>
      <c r="D10962">
        <v>1.6</v>
      </c>
      <c r="E10962">
        <v>0</v>
      </c>
      <c r="F10962">
        <f t="shared" si="192"/>
        <v>1.6</v>
      </c>
      <c r="G10962">
        <v>1</v>
      </c>
      <c r="H10962">
        <f t="shared" si="191"/>
        <v>1.6</v>
      </c>
      <c r="I10962">
        <v>20170401</v>
      </c>
      <c r="J10962" t="s">
        <v>10867</v>
      </c>
    </row>
    <row r="10963" spans="1:12" x14ac:dyDescent="0.3">
      <c r="A10963" s="160">
        <v>77500</v>
      </c>
      <c r="B10963" t="s">
        <v>25923</v>
      </c>
      <c r="C10963" t="s">
        <v>176</v>
      </c>
      <c r="D10963">
        <v>1.6</v>
      </c>
      <c r="E10963">
        <v>0</v>
      </c>
      <c r="F10963">
        <f t="shared" si="192"/>
        <v>1.6</v>
      </c>
      <c r="G10963">
        <v>1</v>
      </c>
      <c r="H10963">
        <f t="shared" si="191"/>
        <v>1.6</v>
      </c>
      <c r="I10963">
        <v>20170401</v>
      </c>
      <c r="J10963" t="s">
        <v>10848</v>
      </c>
    </row>
    <row r="10964" spans="1:12" x14ac:dyDescent="0.3">
      <c r="A10964" s="160">
        <v>77501</v>
      </c>
      <c r="B10964" t="s">
        <v>25924</v>
      </c>
      <c r="C10964" t="s">
        <v>176</v>
      </c>
      <c r="D10964">
        <v>1.6</v>
      </c>
      <c r="E10964">
        <v>0</v>
      </c>
      <c r="F10964">
        <f t="shared" si="192"/>
        <v>1.6</v>
      </c>
      <c r="G10964">
        <v>1</v>
      </c>
      <c r="H10964">
        <f t="shared" si="191"/>
        <v>1.6</v>
      </c>
      <c r="I10964">
        <v>20170401</v>
      </c>
      <c r="J10964" t="s">
        <v>10910</v>
      </c>
    </row>
    <row r="10965" spans="1:12" x14ac:dyDescent="0.3">
      <c r="A10965" s="160">
        <v>77504</v>
      </c>
      <c r="B10965" t="s">
        <v>25925</v>
      </c>
      <c r="C10965" t="s">
        <v>176</v>
      </c>
      <c r="D10965">
        <v>1.6</v>
      </c>
      <c r="E10965">
        <v>0</v>
      </c>
      <c r="F10965">
        <f t="shared" si="192"/>
        <v>1.6</v>
      </c>
      <c r="G10965">
        <v>1</v>
      </c>
      <c r="H10965">
        <f t="shared" si="191"/>
        <v>1.6</v>
      </c>
      <c r="I10965">
        <v>20170401</v>
      </c>
      <c r="J10965" t="s">
        <v>10848</v>
      </c>
    </row>
    <row r="10966" spans="1:12" x14ac:dyDescent="0.3">
      <c r="A10966" s="160">
        <v>77505</v>
      </c>
      <c r="B10966" t="s">
        <v>25926</v>
      </c>
      <c r="C10966" t="s">
        <v>176</v>
      </c>
      <c r="D10966">
        <v>1.6</v>
      </c>
      <c r="E10966">
        <v>0</v>
      </c>
      <c r="F10966">
        <f t="shared" si="192"/>
        <v>1.6</v>
      </c>
      <c r="G10966">
        <v>1</v>
      </c>
      <c r="H10966">
        <f t="shared" si="191"/>
        <v>1.6</v>
      </c>
      <c r="I10966">
        <v>20170401</v>
      </c>
      <c r="J10966" t="s">
        <v>10764</v>
      </c>
    </row>
    <row r="10967" spans="1:12" x14ac:dyDescent="0.3">
      <c r="A10967" s="160">
        <v>77506</v>
      </c>
      <c r="B10967" t="s">
        <v>25927</v>
      </c>
      <c r="C10967" t="s">
        <v>176</v>
      </c>
      <c r="D10967">
        <v>1.6</v>
      </c>
      <c r="E10967">
        <v>0</v>
      </c>
      <c r="F10967">
        <f t="shared" si="192"/>
        <v>1.6</v>
      </c>
      <c r="G10967">
        <v>1</v>
      </c>
      <c r="H10967">
        <f t="shared" si="191"/>
        <v>1.6</v>
      </c>
      <c r="I10967">
        <v>20170401</v>
      </c>
      <c r="J10967" t="s">
        <v>10910</v>
      </c>
    </row>
    <row r="10968" spans="1:12" x14ac:dyDescent="0.3">
      <c r="A10968" s="160">
        <v>77507</v>
      </c>
      <c r="B10968" t="s">
        <v>25928</v>
      </c>
      <c r="C10968" t="s">
        <v>176</v>
      </c>
      <c r="D10968">
        <v>1.6</v>
      </c>
      <c r="E10968">
        <v>0</v>
      </c>
      <c r="F10968">
        <f t="shared" si="192"/>
        <v>1.6</v>
      </c>
      <c r="G10968">
        <v>1</v>
      </c>
      <c r="H10968">
        <f t="shared" si="191"/>
        <v>1.6</v>
      </c>
      <c r="I10968">
        <v>20170401</v>
      </c>
      <c r="J10968" t="s">
        <v>10734</v>
      </c>
    </row>
    <row r="10969" spans="1:12" x14ac:dyDescent="0.3">
      <c r="A10969" s="160">
        <v>77508</v>
      </c>
      <c r="B10969" t="s">
        <v>25929</v>
      </c>
      <c r="C10969" t="s">
        <v>176</v>
      </c>
      <c r="D10969">
        <v>1.6</v>
      </c>
      <c r="E10969">
        <v>0</v>
      </c>
      <c r="F10969">
        <f t="shared" si="192"/>
        <v>1.6</v>
      </c>
      <c r="G10969">
        <v>1</v>
      </c>
      <c r="H10969">
        <f t="shared" si="191"/>
        <v>1.6</v>
      </c>
      <c r="I10969">
        <v>20170401</v>
      </c>
      <c r="J10969" t="s">
        <v>11124</v>
      </c>
      <c r="K10969" t="s">
        <v>10740</v>
      </c>
    </row>
    <row r="10970" spans="1:12" x14ac:dyDescent="0.3">
      <c r="A10970" s="160">
        <v>77509</v>
      </c>
      <c r="B10970" t="s">
        <v>25930</v>
      </c>
      <c r="C10970" t="s">
        <v>176</v>
      </c>
      <c r="D10970">
        <v>1.6</v>
      </c>
      <c r="E10970">
        <v>0</v>
      </c>
      <c r="F10970">
        <f t="shared" si="192"/>
        <v>1.6</v>
      </c>
      <c r="G10970">
        <v>1</v>
      </c>
      <c r="H10970">
        <f t="shared" si="191"/>
        <v>1.6</v>
      </c>
      <c r="I10970">
        <v>20170401</v>
      </c>
      <c r="J10970" t="s">
        <v>10877</v>
      </c>
    </row>
    <row r="10971" spans="1:12" x14ac:dyDescent="0.3">
      <c r="A10971" s="160">
        <v>77510</v>
      </c>
      <c r="B10971" t="s">
        <v>25931</v>
      </c>
      <c r="C10971" t="s">
        <v>176</v>
      </c>
      <c r="D10971">
        <v>1.6</v>
      </c>
      <c r="E10971">
        <v>0</v>
      </c>
      <c r="F10971">
        <f t="shared" si="192"/>
        <v>1.6</v>
      </c>
      <c r="G10971">
        <v>1</v>
      </c>
      <c r="H10971">
        <f t="shared" si="191"/>
        <v>1.6</v>
      </c>
      <c r="I10971">
        <v>20170401</v>
      </c>
      <c r="J10971" t="s">
        <v>11124</v>
      </c>
      <c r="K10971" t="s">
        <v>10740</v>
      </c>
    </row>
    <row r="10972" spans="1:12" x14ac:dyDescent="0.3">
      <c r="A10972" s="160">
        <v>77511</v>
      </c>
      <c r="B10972" t="s">
        <v>25932</v>
      </c>
      <c r="C10972" t="s">
        <v>176</v>
      </c>
      <c r="D10972">
        <v>1.6</v>
      </c>
      <c r="E10972">
        <v>0</v>
      </c>
      <c r="F10972">
        <f t="shared" si="192"/>
        <v>1.6</v>
      </c>
      <c r="G10972">
        <v>1</v>
      </c>
      <c r="H10972">
        <f t="shared" si="191"/>
        <v>1.6</v>
      </c>
      <c r="I10972">
        <v>20170401</v>
      </c>
      <c r="J10972" t="s">
        <v>10901</v>
      </c>
    </row>
    <row r="10973" spans="1:12" x14ac:dyDescent="0.3">
      <c r="A10973" s="160">
        <v>77512</v>
      </c>
      <c r="B10973" t="s">
        <v>25933</v>
      </c>
      <c r="C10973" t="s">
        <v>176</v>
      </c>
      <c r="D10973">
        <v>1.6</v>
      </c>
      <c r="E10973">
        <v>0</v>
      </c>
      <c r="F10973">
        <f t="shared" si="192"/>
        <v>1.6</v>
      </c>
      <c r="G10973">
        <v>1</v>
      </c>
      <c r="H10973">
        <f t="shared" si="191"/>
        <v>1.6</v>
      </c>
      <c r="I10973">
        <v>20170401</v>
      </c>
      <c r="J10973" t="s">
        <v>10748</v>
      </c>
    </row>
    <row r="10974" spans="1:12" x14ac:dyDescent="0.3">
      <c r="A10974" s="160">
        <v>77513</v>
      </c>
      <c r="B10974" t="s">
        <v>25934</v>
      </c>
      <c r="C10974" t="s">
        <v>176</v>
      </c>
      <c r="D10974">
        <v>1.6</v>
      </c>
      <c r="E10974">
        <v>0</v>
      </c>
      <c r="F10974">
        <f t="shared" si="192"/>
        <v>1.6</v>
      </c>
      <c r="G10974">
        <v>1</v>
      </c>
      <c r="H10974">
        <f t="shared" si="191"/>
        <v>1.6</v>
      </c>
      <c r="I10974">
        <v>20170401</v>
      </c>
      <c r="J10974" t="s">
        <v>10880</v>
      </c>
      <c r="K10974" t="s">
        <v>10979</v>
      </c>
      <c r="L10974" t="s">
        <v>10761</v>
      </c>
    </row>
    <row r="10975" spans="1:12" x14ac:dyDescent="0.3">
      <c r="A10975" s="160">
        <v>77514</v>
      </c>
      <c r="B10975" t="s">
        <v>25935</v>
      </c>
      <c r="C10975" t="s">
        <v>176</v>
      </c>
      <c r="D10975">
        <v>2.0099999999999998</v>
      </c>
      <c r="E10975">
        <v>0</v>
      </c>
      <c r="F10975">
        <f t="shared" si="192"/>
        <v>2.0099999999999998</v>
      </c>
      <c r="G10975">
        <v>1</v>
      </c>
      <c r="H10975">
        <f t="shared" si="191"/>
        <v>2.0099999999999998</v>
      </c>
      <c r="I10975">
        <v>20170401</v>
      </c>
      <c r="J10975" t="s">
        <v>11125</v>
      </c>
      <c r="K10975" t="s">
        <v>11126</v>
      </c>
      <c r="L10975" t="s">
        <v>11127</v>
      </c>
    </row>
    <row r="10976" spans="1:12" x14ac:dyDescent="0.3">
      <c r="A10976" s="160">
        <v>77515</v>
      </c>
      <c r="B10976" t="s">
        <v>25936</v>
      </c>
      <c r="C10976" t="s">
        <v>176</v>
      </c>
      <c r="D10976">
        <v>1.6</v>
      </c>
      <c r="E10976">
        <v>0</v>
      </c>
      <c r="F10976">
        <f t="shared" si="192"/>
        <v>1.6</v>
      </c>
      <c r="G10976">
        <v>1</v>
      </c>
      <c r="H10976">
        <f t="shared" si="191"/>
        <v>1.6</v>
      </c>
      <c r="I10976">
        <v>20170401</v>
      </c>
      <c r="J10976" t="s">
        <v>10713</v>
      </c>
      <c r="K10976" t="s">
        <v>10714</v>
      </c>
    </row>
    <row r="10977" spans="1:13" x14ac:dyDescent="0.3">
      <c r="A10977" s="160">
        <v>77516</v>
      </c>
      <c r="B10977" t="s">
        <v>25937</v>
      </c>
      <c r="C10977" t="s">
        <v>176</v>
      </c>
      <c r="D10977">
        <v>1.6</v>
      </c>
      <c r="E10977">
        <v>0</v>
      </c>
      <c r="F10977">
        <f t="shared" si="192"/>
        <v>1.6</v>
      </c>
      <c r="G10977">
        <v>1</v>
      </c>
      <c r="H10977">
        <f t="shared" si="191"/>
        <v>1.6</v>
      </c>
      <c r="I10977">
        <v>20170401</v>
      </c>
      <c r="J10977" t="s">
        <v>10744</v>
      </c>
    </row>
    <row r="10978" spans="1:13" x14ac:dyDescent="0.3">
      <c r="A10978" s="160">
        <v>77517</v>
      </c>
      <c r="B10978" t="s">
        <v>25938</v>
      </c>
      <c r="C10978" t="s">
        <v>176</v>
      </c>
      <c r="D10978">
        <v>1.6</v>
      </c>
      <c r="E10978">
        <v>0</v>
      </c>
      <c r="F10978">
        <f t="shared" si="192"/>
        <v>1.6</v>
      </c>
      <c r="G10978">
        <v>1</v>
      </c>
      <c r="H10978">
        <f t="shared" si="191"/>
        <v>1.6</v>
      </c>
      <c r="I10978">
        <v>20170401</v>
      </c>
      <c r="J10978" t="s">
        <v>10713</v>
      </c>
      <c r="K10978" t="s">
        <v>10714</v>
      </c>
      <c r="L10978" t="s">
        <v>10715</v>
      </c>
      <c r="M10978" t="s">
        <v>10716</v>
      </c>
    </row>
    <row r="10979" spans="1:13" x14ac:dyDescent="0.3">
      <c r="A10979" s="160">
        <v>77518</v>
      </c>
      <c r="B10979" t="s">
        <v>25939</v>
      </c>
      <c r="C10979" t="s">
        <v>176</v>
      </c>
      <c r="D10979">
        <v>1.6</v>
      </c>
      <c r="E10979">
        <v>0</v>
      </c>
      <c r="F10979">
        <f t="shared" si="192"/>
        <v>1.6</v>
      </c>
      <c r="G10979">
        <v>1</v>
      </c>
      <c r="H10979">
        <f t="shared" si="191"/>
        <v>1.6</v>
      </c>
      <c r="I10979">
        <v>20170401</v>
      </c>
      <c r="J10979" t="s">
        <v>10894</v>
      </c>
      <c r="K10979" t="s">
        <v>10898</v>
      </c>
      <c r="L10979" t="s">
        <v>11128</v>
      </c>
    </row>
    <row r="10980" spans="1:13" x14ac:dyDescent="0.3">
      <c r="A10980" s="160">
        <v>77519</v>
      </c>
      <c r="B10980" t="s">
        <v>25940</v>
      </c>
      <c r="C10980" t="s">
        <v>176</v>
      </c>
      <c r="D10980">
        <v>1.6</v>
      </c>
      <c r="E10980">
        <v>0</v>
      </c>
      <c r="F10980">
        <f t="shared" si="192"/>
        <v>1.6</v>
      </c>
      <c r="G10980">
        <v>1</v>
      </c>
      <c r="H10980">
        <f t="shared" si="191"/>
        <v>1.6</v>
      </c>
      <c r="I10980">
        <v>20240101</v>
      </c>
      <c r="J10980" t="s">
        <v>10723</v>
      </c>
    </row>
    <row r="10981" spans="1:13" x14ac:dyDescent="0.3">
      <c r="A10981" s="160">
        <v>77520</v>
      </c>
      <c r="B10981" t="s">
        <v>25941</v>
      </c>
      <c r="C10981" t="s">
        <v>176</v>
      </c>
      <c r="D10981">
        <v>1.6</v>
      </c>
      <c r="E10981">
        <v>0</v>
      </c>
      <c r="F10981">
        <f t="shared" si="192"/>
        <v>1.6</v>
      </c>
      <c r="G10981">
        <v>1</v>
      </c>
      <c r="H10981">
        <f t="shared" si="191"/>
        <v>1.6</v>
      </c>
      <c r="I10981">
        <v>20170401</v>
      </c>
      <c r="J10981" t="s">
        <v>10710</v>
      </c>
    </row>
    <row r="10982" spans="1:13" x14ac:dyDescent="0.3">
      <c r="A10982" s="160">
        <v>77521</v>
      </c>
      <c r="B10982" t="s">
        <v>25942</v>
      </c>
      <c r="C10982" t="s">
        <v>176</v>
      </c>
      <c r="D10982">
        <v>1.6</v>
      </c>
      <c r="E10982">
        <v>0</v>
      </c>
      <c r="F10982">
        <f t="shared" si="192"/>
        <v>1.6</v>
      </c>
      <c r="G10982">
        <v>1</v>
      </c>
      <c r="H10982">
        <f t="shared" si="191"/>
        <v>1.6</v>
      </c>
      <c r="I10982">
        <v>20170401</v>
      </c>
      <c r="J10982" t="s">
        <v>10879</v>
      </c>
      <c r="K10982" t="s">
        <v>10762</v>
      </c>
    </row>
    <row r="10983" spans="1:13" x14ac:dyDescent="0.3">
      <c r="A10983" s="160">
        <v>77522</v>
      </c>
      <c r="B10983" t="s">
        <v>25943</v>
      </c>
      <c r="C10983" t="s">
        <v>176</v>
      </c>
      <c r="D10983">
        <v>1.6</v>
      </c>
      <c r="E10983">
        <v>0</v>
      </c>
      <c r="F10983">
        <f t="shared" si="192"/>
        <v>1.6</v>
      </c>
      <c r="G10983">
        <v>1</v>
      </c>
      <c r="H10983">
        <f t="shared" si="191"/>
        <v>1.6</v>
      </c>
      <c r="I10983">
        <v>20170401</v>
      </c>
      <c r="J10983" t="s">
        <v>10933</v>
      </c>
    </row>
    <row r="10984" spans="1:13" x14ac:dyDescent="0.3">
      <c r="A10984" s="160">
        <v>77523</v>
      </c>
      <c r="B10984" t="s">
        <v>25944</v>
      </c>
      <c r="C10984" t="s">
        <v>176</v>
      </c>
      <c r="D10984">
        <v>1.6</v>
      </c>
      <c r="E10984">
        <v>0</v>
      </c>
      <c r="F10984">
        <f t="shared" si="192"/>
        <v>1.6</v>
      </c>
      <c r="G10984">
        <v>1</v>
      </c>
      <c r="H10984">
        <f t="shared" si="191"/>
        <v>1.6</v>
      </c>
      <c r="I10984">
        <v>20170401</v>
      </c>
      <c r="J10984" t="s">
        <v>10734</v>
      </c>
    </row>
    <row r="10985" spans="1:13" x14ac:dyDescent="0.3">
      <c r="A10985" s="160">
        <v>77524</v>
      </c>
      <c r="B10985" t="s">
        <v>25945</v>
      </c>
      <c r="C10985" t="s">
        <v>176</v>
      </c>
      <c r="D10985">
        <v>1.6</v>
      </c>
      <c r="E10985">
        <v>0</v>
      </c>
      <c r="F10985">
        <f t="shared" si="192"/>
        <v>1.6</v>
      </c>
      <c r="G10985">
        <v>1</v>
      </c>
      <c r="H10985">
        <f t="shared" si="191"/>
        <v>1.6</v>
      </c>
      <c r="I10985">
        <v>20170401</v>
      </c>
      <c r="J10985" t="s">
        <v>10794</v>
      </c>
    </row>
    <row r="10986" spans="1:13" x14ac:dyDescent="0.3">
      <c r="A10986" s="160">
        <v>77525</v>
      </c>
      <c r="B10986" t="s">
        <v>25946</v>
      </c>
      <c r="C10986" t="s">
        <v>176</v>
      </c>
      <c r="D10986">
        <v>1.6</v>
      </c>
      <c r="E10986">
        <v>0</v>
      </c>
      <c r="F10986">
        <f t="shared" si="192"/>
        <v>1.6</v>
      </c>
      <c r="G10986">
        <v>1</v>
      </c>
      <c r="H10986">
        <f t="shared" si="191"/>
        <v>1.6</v>
      </c>
      <c r="I10986">
        <v>20170401</v>
      </c>
      <c r="J10986" t="s">
        <v>10901</v>
      </c>
    </row>
    <row r="10987" spans="1:13" x14ac:dyDescent="0.3">
      <c r="A10987" s="160">
        <v>77526</v>
      </c>
      <c r="B10987" t="s">
        <v>25947</v>
      </c>
      <c r="C10987" t="s">
        <v>176</v>
      </c>
      <c r="D10987">
        <v>1.6</v>
      </c>
      <c r="E10987">
        <v>0</v>
      </c>
      <c r="F10987">
        <f t="shared" si="192"/>
        <v>1.6</v>
      </c>
      <c r="G10987">
        <v>1</v>
      </c>
      <c r="H10987">
        <f t="shared" si="191"/>
        <v>1.6</v>
      </c>
      <c r="I10987">
        <v>20170401</v>
      </c>
      <c r="J10987" t="s">
        <v>10906</v>
      </c>
    </row>
    <row r="10988" spans="1:13" x14ac:dyDescent="0.3">
      <c r="A10988" s="160">
        <v>77527</v>
      </c>
      <c r="B10988" t="s">
        <v>25948</v>
      </c>
      <c r="C10988" t="s">
        <v>176</v>
      </c>
      <c r="D10988">
        <v>1.6</v>
      </c>
      <c r="E10988">
        <v>0</v>
      </c>
      <c r="F10988">
        <f t="shared" si="192"/>
        <v>1.6</v>
      </c>
      <c r="G10988">
        <v>1</v>
      </c>
      <c r="H10988">
        <f t="shared" si="191"/>
        <v>1.6</v>
      </c>
      <c r="I10988">
        <v>20170401</v>
      </c>
      <c r="J10988" t="s">
        <v>10749</v>
      </c>
    </row>
    <row r="10989" spans="1:13" x14ac:dyDescent="0.3">
      <c r="A10989" s="160">
        <v>77528</v>
      </c>
      <c r="B10989" t="s">
        <v>25949</v>
      </c>
      <c r="C10989" t="s">
        <v>176</v>
      </c>
      <c r="D10989">
        <v>1.6</v>
      </c>
      <c r="E10989">
        <v>0</v>
      </c>
      <c r="F10989">
        <f t="shared" si="192"/>
        <v>1.6</v>
      </c>
      <c r="G10989">
        <v>1</v>
      </c>
      <c r="H10989">
        <f t="shared" si="191"/>
        <v>1.6</v>
      </c>
      <c r="I10989">
        <v>20170401</v>
      </c>
      <c r="J10989" t="s">
        <v>10998</v>
      </c>
      <c r="K10989" t="s">
        <v>10975</v>
      </c>
    </row>
    <row r="10990" spans="1:13" x14ac:dyDescent="0.3">
      <c r="A10990" s="160">
        <v>77529</v>
      </c>
      <c r="B10990" t="s">
        <v>25950</v>
      </c>
      <c r="C10990" t="s">
        <v>176</v>
      </c>
      <c r="D10990">
        <v>1.6</v>
      </c>
      <c r="E10990">
        <v>0</v>
      </c>
      <c r="F10990">
        <f t="shared" si="192"/>
        <v>1.6</v>
      </c>
      <c r="G10990">
        <v>1</v>
      </c>
      <c r="H10990">
        <f t="shared" si="191"/>
        <v>1.6</v>
      </c>
      <c r="I10990">
        <v>20170401</v>
      </c>
      <c r="J10990" t="s">
        <v>10762</v>
      </c>
    </row>
    <row r="10991" spans="1:13" x14ac:dyDescent="0.3">
      <c r="A10991" s="160">
        <v>77530</v>
      </c>
      <c r="B10991" t="s">
        <v>25951</v>
      </c>
      <c r="C10991" t="s">
        <v>176</v>
      </c>
      <c r="D10991">
        <v>1.6</v>
      </c>
      <c r="E10991">
        <v>0</v>
      </c>
      <c r="F10991">
        <f t="shared" si="192"/>
        <v>1.6</v>
      </c>
      <c r="G10991">
        <v>1</v>
      </c>
      <c r="H10991">
        <f t="shared" si="191"/>
        <v>1.6</v>
      </c>
      <c r="I10991">
        <v>20240101</v>
      </c>
      <c r="J10991" t="s">
        <v>10723</v>
      </c>
    </row>
    <row r="10992" spans="1:13" x14ac:dyDescent="0.3">
      <c r="A10992" s="160">
        <v>77531</v>
      </c>
      <c r="B10992" t="s">
        <v>25952</v>
      </c>
      <c r="C10992" t="s">
        <v>176</v>
      </c>
      <c r="D10992">
        <v>1.6</v>
      </c>
      <c r="E10992">
        <v>0</v>
      </c>
      <c r="F10992">
        <f t="shared" si="192"/>
        <v>1.6</v>
      </c>
      <c r="G10992">
        <v>1</v>
      </c>
      <c r="H10992">
        <f t="shared" si="191"/>
        <v>1.6</v>
      </c>
      <c r="I10992">
        <v>20170401</v>
      </c>
      <c r="J10992" t="s">
        <v>10753</v>
      </c>
    </row>
    <row r="10993" spans="1:14" x14ac:dyDescent="0.3">
      <c r="A10993" s="160">
        <v>77532</v>
      </c>
      <c r="B10993" t="s">
        <v>25953</v>
      </c>
      <c r="C10993" t="s">
        <v>176</v>
      </c>
      <c r="D10993">
        <v>1.6</v>
      </c>
      <c r="E10993">
        <v>0</v>
      </c>
      <c r="F10993">
        <f t="shared" si="192"/>
        <v>1.6</v>
      </c>
      <c r="G10993">
        <v>1</v>
      </c>
      <c r="H10993">
        <f t="shared" si="191"/>
        <v>1.6</v>
      </c>
      <c r="I10993">
        <v>20170401</v>
      </c>
      <c r="J10993" t="s">
        <v>10800</v>
      </c>
    </row>
    <row r="10994" spans="1:14" x14ac:dyDescent="0.3">
      <c r="A10994" s="160">
        <v>77533</v>
      </c>
      <c r="B10994" t="s">
        <v>25954</v>
      </c>
      <c r="C10994" t="s">
        <v>176</v>
      </c>
      <c r="D10994">
        <v>1.6</v>
      </c>
      <c r="E10994">
        <v>0</v>
      </c>
      <c r="F10994">
        <f t="shared" si="192"/>
        <v>1.6</v>
      </c>
      <c r="G10994">
        <v>1</v>
      </c>
      <c r="H10994">
        <f t="shared" si="191"/>
        <v>1.6</v>
      </c>
      <c r="I10994">
        <v>20170401</v>
      </c>
      <c r="J10994" t="s">
        <v>10729</v>
      </c>
      <c r="K10994" t="s">
        <v>11129</v>
      </c>
    </row>
    <row r="10995" spans="1:14" x14ac:dyDescent="0.3">
      <c r="A10995" s="160">
        <v>77534</v>
      </c>
      <c r="B10995" t="s">
        <v>25955</v>
      </c>
      <c r="C10995" t="s">
        <v>176</v>
      </c>
      <c r="D10995">
        <v>1.6</v>
      </c>
      <c r="E10995">
        <v>0</v>
      </c>
      <c r="F10995">
        <f t="shared" si="192"/>
        <v>1.6</v>
      </c>
      <c r="G10995">
        <v>1</v>
      </c>
      <c r="H10995">
        <f t="shared" ref="H10995:H11058" si="193">G10995*F10995</f>
        <v>1.6</v>
      </c>
      <c r="I10995">
        <v>20170401</v>
      </c>
      <c r="J10995" t="s">
        <v>10712</v>
      </c>
    </row>
    <row r="10996" spans="1:14" x14ac:dyDescent="0.3">
      <c r="A10996" s="160">
        <v>78003</v>
      </c>
      <c r="B10996" t="s">
        <v>25956</v>
      </c>
      <c r="C10996" t="s">
        <v>176</v>
      </c>
      <c r="D10996">
        <v>1.6</v>
      </c>
      <c r="E10996">
        <v>0</v>
      </c>
      <c r="F10996">
        <f t="shared" si="192"/>
        <v>1.6</v>
      </c>
      <c r="G10996">
        <v>1</v>
      </c>
      <c r="H10996">
        <f t="shared" si="193"/>
        <v>1.6</v>
      </c>
      <c r="I10996">
        <v>20170401</v>
      </c>
      <c r="J10996" t="s">
        <v>11130</v>
      </c>
    </row>
    <row r="10997" spans="1:14" x14ac:dyDescent="0.3">
      <c r="A10997" s="160">
        <v>78005</v>
      </c>
      <c r="B10997" t="s">
        <v>25957</v>
      </c>
      <c r="C10997" t="s">
        <v>176</v>
      </c>
      <c r="D10997">
        <v>2.0099999999999998</v>
      </c>
      <c r="E10997">
        <v>0</v>
      </c>
      <c r="F10997">
        <f t="shared" si="192"/>
        <v>2.0099999999999998</v>
      </c>
      <c r="G10997">
        <v>1</v>
      </c>
      <c r="H10997">
        <f t="shared" si="193"/>
        <v>2.0099999999999998</v>
      </c>
      <c r="I10997">
        <v>20170401</v>
      </c>
      <c r="J10997" t="s">
        <v>11131</v>
      </c>
      <c r="K10997" t="s">
        <v>11132</v>
      </c>
    </row>
    <row r="10998" spans="1:14" x14ac:dyDescent="0.3">
      <c r="A10998" s="160">
        <v>78006</v>
      </c>
      <c r="B10998" t="s">
        <v>25958</v>
      </c>
      <c r="C10998" t="s">
        <v>176</v>
      </c>
      <c r="D10998">
        <v>1.6</v>
      </c>
      <c r="E10998">
        <v>0</v>
      </c>
      <c r="F10998">
        <f t="shared" si="192"/>
        <v>1.6</v>
      </c>
      <c r="G10998">
        <v>1</v>
      </c>
      <c r="H10998">
        <f t="shared" si="193"/>
        <v>1.6</v>
      </c>
      <c r="I10998">
        <v>20170401</v>
      </c>
      <c r="J10998" t="s">
        <v>11133</v>
      </c>
    </row>
    <row r="10999" spans="1:14" x14ac:dyDescent="0.3">
      <c r="A10999" s="160">
        <v>78007</v>
      </c>
      <c r="B10999" t="s">
        <v>25959</v>
      </c>
      <c r="C10999" t="s">
        <v>176</v>
      </c>
      <c r="D10999">
        <v>1.6</v>
      </c>
      <c r="E10999">
        <v>0</v>
      </c>
      <c r="F10999">
        <f t="shared" si="192"/>
        <v>1.6</v>
      </c>
      <c r="G10999">
        <v>1</v>
      </c>
      <c r="H10999">
        <f t="shared" si="193"/>
        <v>1.6</v>
      </c>
      <c r="I10999">
        <v>20170401</v>
      </c>
      <c r="J10999" t="s">
        <v>11134</v>
      </c>
      <c r="K10999" t="s">
        <v>11135</v>
      </c>
    </row>
    <row r="11000" spans="1:14" x14ac:dyDescent="0.3">
      <c r="A11000" s="160">
        <v>78009</v>
      </c>
      <c r="B11000" t="s">
        <v>17841</v>
      </c>
      <c r="C11000" t="s">
        <v>176</v>
      </c>
      <c r="D11000">
        <v>1.6</v>
      </c>
      <c r="E11000">
        <v>0</v>
      </c>
      <c r="F11000">
        <f t="shared" si="192"/>
        <v>1.6</v>
      </c>
      <c r="G11000">
        <v>1</v>
      </c>
      <c r="H11000">
        <f t="shared" si="193"/>
        <v>1.6</v>
      </c>
      <c r="I11000">
        <v>20170401</v>
      </c>
      <c r="J11000" t="s">
        <v>11130</v>
      </c>
    </row>
    <row r="11001" spans="1:14" x14ac:dyDescent="0.3">
      <c r="A11001" s="160">
        <v>78010</v>
      </c>
      <c r="B11001" t="s">
        <v>25960</v>
      </c>
      <c r="C11001" t="s">
        <v>176</v>
      </c>
      <c r="D11001">
        <v>1.6</v>
      </c>
      <c r="E11001">
        <v>0</v>
      </c>
      <c r="F11001">
        <f t="shared" si="192"/>
        <v>1.6</v>
      </c>
      <c r="G11001">
        <v>1</v>
      </c>
      <c r="H11001">
        <f t="shared" si="193"/>
        <v>1.6</v>
      </c>
      <c r="I11001">
        <v>20170401</v>
      </c>
      <c r="J11001" t="s">
        <v>11136</v>
      </c>
    </row>
    <row r="11002" spans="1:14" x14ac:dyDescent="0.3">
      <c r="A11002" s="160">
        <v>78013</v>
      </c>
      <c r="B11002" t="s">
        <v>25961</v>
      </c>
      <c r="C11002" t="s">
        <v>176</v>
      </c>
      <c r="D11002">
        <v>1.6</v>
      </c>
      <c r="E11002">
        <v>0</v>
      </c>
      <c r="F11002">
        <f t="shared" si="192"/>
        <v>1.6</v>
      </c>
      <c r="G11002">
        <v>1</v>
      </c>
      <c r="H11002">
        <f t="shared" si="193"/>
        <v>1.6</v>
      </c>
      <c r="I11002">
        <v>20170401</v>
      </c>
      <c r="J11002" t="s">
        <v>11137</v>
      </c>
    </row>
    <row r="11003" spans="1:14" x14ac:dyDescent="0.3">
      <c r="A11003" s="160">
        <v>78015</v>
      </c>
      <c r="B11003" t="s">
        <v>25962</v>
      </c>
      <c r="C11003" t="s">
        <v>176</v>
      </c>
      <c r="D11003">
        <v>2.0099999999999998</v>
      </c>
      <c r="E11003">
        <v>0</v>
      </c>
      <c r="F11003">
        <f t="shared" si="192"/>
        <v>2.0099999999999998</v>
      </c>
      <c r="G11003">
        <v>1</v>
      </c>
      <c r="H11003">
        <f t="shared" si="193"/>
        <v>2.0099999999999998</v>
      </c>
      <c r="I11003">
        <v>20170401</v>
      </c>
      <c r="J11003" t="s">
        <v>11138</v>
      </c>
    </row>
    <row r="11004" spans="1:14" x14ac:dyDescent="0.3">
      <c r="A11004" s="160">
        <v>78020</v>
      </c>
      <c r="B11004" t="s">
        <v>25963</v>
      </c>
      <c r="C11004" t="s">
        <v>176</v>
      </c>
      <c r="D11004">
        <v>1.6</v>
      </c>
      <c r="E11004">
        <v>0</v>
      </c>
      <c r="F11004">
        <f t="shared" si="192"/>
        <v>1.6</v>
      </c>
      <c r="G11004">
        <v>1</v>
      </c>
      <c r="H11004">
        <f t="shared" si="193"/>
        <v>1.6</v>
      </c>
      <c r="I11004">
        <v>20170401</v>
      </c>
      <c r="J11004" t="s">
        <v>11139</v>
      </c>
    </row>
    <row r="11005" spans="1:14" x14ac:dyDescent="0.3">
      <c r="A11005" s="160">
        <v>78029</v>
      </c>
      <c r="B11005" t="s">
        <v>25964</v>
      </c>
      <c r="C11005" t="s">
        <v>176</v>
      </c>
      <c r="D11005">
        <v>2.0099999999999998</v>
      </c>
      <c r="E11005">
        <v>0</v>
      </c>
      <c r="F11005">
        <f t="shared" si="192"/>
        <v>2.0099999999999998</v>
      </c>
      <c r="G11005">
        <v>1</v>
      </c>
      <c r="H11005">
        <f t="shared" si="193"/>
        <v>2.0099999999999998</v>
      </c>
      <c r="I11005">
        <v>20170401</v>
      </c>
      <c r="J11005" t="s">
        <v>11140</v>
      </c>
      <c r="K11005" t="s">
        <v>11141</v>
      </c>
      <c r="L11005" t="s">
        <v>11142</v>
      </c>
      <c r="M11005" t="s">
        <v>11143</v>
      </c>
      <c r="N11005" t="s">
        <v>11144</v>
      </c>
    </row>
    <row r="11006" spans="1:14" x14ac:dyDescent="0.3">
      <c r="A11006" s="160">
        <v>78030</v>
      </c>
      <c r="B11006" t="s">
        <v>25965</v>
      </c>
      <c r="C11006" t="s">
        <v>176</v>
      </c>
      <c r="D11006">
        <v>1.6</v>
      </c>
      <c r="E11006">
        <v>0</v>
      </c>
      <c r="F11006">
        <f t="shared" si="192"/>
        <v>1.6</v>
      </c>
      <c r="G11006">
        <v>1</v>
      </c>
      <c r="H11006">
        <f t="shared" si="193"/>
        <v>1.6</v>
      </c>
      <c r="I11006">
        <v>20170401</v>
      </c>
      <c r="J11006" t="s">
        <v>11145</v>
      </c>
      <c r="K11006" t="s">
        <v>11146</v>
      </c>
    </row>
    <row r="11007" spans="1:14" x14ac:dyDescent="0.3">
      <c r="A11007" s="160">
        <v>78031</v>
      </c>
      <c r="B11007" t="s">
        <v>25966</v>
      </c>
      <c r="C11007" t="s">
        <v>176</v>
      </c>
      <c r="D11007">
        <v>2.0099999999999998</v>
      </c>
      <c r="E11007">
        <v>0</v>
      </c>
      <c r="F11007">
        <f t="shared" si="192"/>
        <v>2.0099999999999998</v>
      </c>
      <c r="G11007">
        <v>1</v>
      </c>
      <c r="H11007">
        <f t="shared" si="193"/>
        <v>2.0099999999999998</v>
      </c>
      <c r="I11007">
        <v>20170401</v>
      </c>
      <c r="J11007" t="s">
        <v>11147</v>
      </c>
    </row>
    <row r="11008" spans="1:14" x14ac:dyDescent="0.3">
      <c r="A11008" s="160">
        <v>78033</v>
      </c>
      <c r="B11008" t="s">
        <v>25967</v>
      </c>
      <c r="C11008" t="s">
        <v>176</v>
      </c>
      <c r="D11008">
        <v>1.6</v>
      </c>
      <c r="E11008">
        <v>0</v>
      </c>
      <c r="F11008">
        <f t="shared" si="192"/>
        <v>1.6</v>
      </c>
      <c r="G11008">
        <v>1</v>
      </c>
      <c r="H11008">
        <f t="shared" si="193"/>
        <v>1.6</v>
      </c>
      <c r="I11008">
        <v>20170401</v>
      </c>
      <c r="J11008" t="s">
        <v>11148</v>
      </c>
      <c r="K11008" t="s">
        <v>11149</v>
      </c>
      <c r="L11008" t="s">
        <v>11142</v>
      </c>
      <c r="M11008" t="s">
        <v>11143</v>
      </c>
      <c r="N11008" t="s">
        <v>11150</v>
      </c>
    </row>
    <row r="11009" spans="1:16" x14ac:dyDescent="0.3">
      <c r="A11009" s="160">
        <v>78034</v>
      </c>
      <c r="B11009" t="s">
        <v>22461</v>
      </c>
      <c r="C11009" t="s">
        <v>176</v>
      </c>
      <c r="D11009">
        <v>1.6</v>
      </c>
      <c r="E11009">
        <v>0</v>
      </c>
      <c r="F11009">
        <f t="shared" si="192"/>
        <v>1.6</v>
      </c>
      <c r="G11009">
        <v>1</v>
      </c>
      <c r="H11009">
        <f t="shared" si="193"/>
        <v>1.6</v>
      </c>
      <c r="I11009">
        <v>20170401</v>
      </c>
      <c r="J11009" t="s">
        <v>11137</v>
      </c>
    </row>
    <row r="11010" spans="1:16" x14ac:dyDescent="0.3">
      <c r="A11010" s="160">
        <v>78036</v>
      </c>
      <c r="B11010" t="s">
        <v>25968</v>
      </c>
      <c r="C11010" t="s">
        <v>176</v>
      </c>
      <c r="D11010">
        <v>1.6</v>
      </c>
      <c r="E11010">
        <v>0</v>
      </c>
      <c r="F11010">
        <f t="shared" si="192"/>
        <v>1.6</v>
      </c>
      <c r="G11010">
        <v>1</v>
      </c>
      <c r="H11010">
        <f t="shared" si="193"/>
        <v>1.6</v>
      </c>
      <c r="I11010">
        <v>20170401</v>
      </c>
      <c r="J11010" t="s">
        <v>11137</v>
      </c>
    </row>
    <row r="11011" spans="1:16" x14ac:dyDescent="0.3">
      <c r="A11011" s="160">
        <v>78043</v>
      </c>
      <c r="B11011" t="s">
        <v>22471</v>
      </c>
      <c r="C11011" t="s">
        <v>176</v>
      </c>
      <c r="D11011">
        <v>1.6</v>
      </c>
      <c r="E11011">
        <v>0</v>
      </c>
      <c r="F11011">
        <f t="shared" si="192"/>
        <v>1.6</v>
      </c>
      <c r="G11011">
        <v>1</v>
      </c>
      <c r="H11011">
        <f t="shared" si="193"/>
        <v>1.6</v>
      </c>
      <c r="I11011">
        <v>20170401</v>
      </c>
      <c r="J11011" t="s">
        <v>11151</v>
      </c>
      <c r="K11011" t="s">
        <v>11152</v>
      </c>
      <c r="L11011" t="s">
        <v>11153</v>
      </c>
    </row>
    <row r="11012" spans="1:16" x14ac:dyDescent="0.3">
      <c r="A11012" s="160">
        <v>78048</v>
      </c>
      <c r="B11012" t="s">
        <v>25969</v>
      </c>
      <c r="C11012" t="s">
        <v>176</v>
      </c>
      <c r="D11012">
        <v>1.6</v>
      </c>
      <c r="E11012">
        <v>0</v>
      </c>
      <c r="F11012">
        <f t="shared" si="192"/>
        <v>1.6</v>
      </c>
      <c r="G11012">
        <v>1</v>
      </c>
      <c r="H11012">
        <f t="shared" si="193"/>
        <v>1.6</v>
      </c>
      <c r="I11012">
        <v>20170401</v>
      </c>
      <c r="J11012" t="s">
        <v>11154</v>
      </c>
    </row>
    <row r="11013" spans="1:16" x14ac:dyDescent="0.3">
      <c r="A11013" s="160">
        <v>78049</v>
      </c>
      <c r="B11013" t="s">
        <v>25970</v>
      </c>
      <c r="C11013" t="s">
        <v>176</v>
      </c>
      <c r="D11013">
        <v>1.6</v>
      </c>
      <c r="E11013">
        <v>0</v>
      </c>
      <c r="F11013">
        <f t="shared" si="192"/>
        <v>1.6</v>
      </c>
      <c r="G11013">
        <v>1</v>
      </c>
      <c r="H11013">
        <f t="shared" si="193"/>
        <v>1.6</v>
      </c>
      <c r="I11013">
        <v>20170401</v>
      </c>
      <c r="J11013" t="s">
        <v>11141</v>
      </c>
      <c r="K11013" t="s">
        <v>11143</v>
      </c>
      <c r="L11013" t="s">
        <v>11136</v>
      </c>
    </row>
    <row r="11014" spans="1:16" x14ac:dyDescent="0.3">
      <c r="A11014" s="160">
        <v>78050</v>
      </c>
      <c r="B11014" t="s">
        <v>25971</v>
      </c>
      <c r="C11014" t="s">
        <v>176</v>
      </c>
      <c r="D11014">
        <v>2.0099999999999998</v>
      </c>
      <c r="E11014">
        <v>0</v>
      </c>
      <c r="F11014">
        <f t="shared" si="192"/>
        <v>2.0099999999999998</v>
      </c>
      <c r="G11014">
        <v>1</v>
      </c>
      <c r="H11014">
        <f t="shared" si="193"/>
        <v>2.0099999999999998</v>
      </c>
      <c r="I11014">
        <v>20170401</v>
      </c>
      <c r="J11014" t="s">
        <v>11155</v>
      </c>
    </row>
    <row r="11015" spans="1:16" x14ac:dyDescent="0.3">
      <c r="A11015" s="160">
        <v>78053</v>
      </c>
      <c r="B11015" t="s">
        <v>25972</v>
      </c>
      <c r="C11015" t="s">
        <v>176</v>
      </c>
      <c r="D11015">
        <v>1.6</v>
      </c>
      <c r="E11015">
        <v>0</v>
      </c>
      <c r="F11015">
        <f t="shared" ref="F11015:F11078" si="194">D11015+E11015</f>
        <v>1.6</v>
      </c>
      <c r="G11015">
        <v>1</v>
      </c>
      <c r="H11015">
        <f t="shared" si="193"/>
        <v>1.6</v>
      </c>
      <c r="I11015">
        <v>20170401</v>
      </c>
      <c r="J11015" t="s">
        <v>11156</v>
      </c>
    </row>
    <row r="11016" spans="1:16" x14ac:dyDescent="0.3">
      <c r="A11016" s="160">
        <v>78057</v>
      </c>
      <c r="B11016" t="s">
        <v>25973</v>
      </c>
      <c r="C11016" t="s">
        <v>176</v>
      </c>
      <c r="D11016">
        <v>1.6</v>
      </c>
      <c r="E11016">
        <v>0</v>
      </c>
      <c r="F11016">
        <f t="shared" si="194"/>
        <v>1.6</v>
      </c>
      <c r="G11016">
        <v>1</v>
      </c>
      <c r="H11016">
        <f t="shared" si="193"/>
        <v>1.6</v>
      </c>
      <c r="I11016">
        <v>20170401</v>
      </c>
      <c r="J11016" t="s">
        <v>11157</v>
      </c>
    </row>
    <row r="11017" spans="1:16" x14ac:dyDescent="0.3">
      <c r="A11017" s="160">
        <v>78062</v>
      </c>
      <c r="B11017" t="s">
        <v>15769</v>
      </c>
      <c r="C11017" t="s">
        <v>176</v>
      </c>
      <c r="D11017">
        <v>1.6</v>
      </c>
      <c r="E11017">
        <v>0</v>
      </c>
      <c r="F11017">
        <f t="shared" si="194"/>
        <v>1.6</v>
      </c>
      <c r="G11017">
        <v>1</v>
      </c>
      <c r="H11017">
        <f t="shared" si="193"/>
        <v>1.6</v>
      </c>
      <c r="I11017">
        <v>20170401</v>
      </c>
      <c r="J11017" t="s">
        <v>11158</v>
      </c>
    </row>
    <row r="11018" spans="1:16" x14ac:dyDescent="0.3">
      <c r="A11018" s="160">
        <v>78068</v>
      </c>
      <c r="B11018" t="s">
        <v>25974</v>
      </c>
      <c r="C11018" t="s">
        <v>176</v>
      </c>
      <c r="D11018">
        <v>1.6</v>
      </c>
      <c r="E11018">
        <v>0</v>
      </c>
      <c r="F11018">
        <f t="shared" si="194"/>
        <v>1.6</v>
      </c>
      <c r="G11018">
        <v>1</v>
      </c>
      <c r="H11018">
        <f t="shared" si="193"/>
        <v>1.6</v>
      </c>
      <c r="I11018">
        <v>20170401</v>
      </c>
      <c r="J11018" t="s">
        <v>11157</v>
      </c>
    </row>
    <row r="11019" spans="1:16" x14ac:dyDescent="0.3">
      <c r="A11019" s="160">
        <v>78070</v>
      </c>
      <c r="B11019" t="s">
        <v>25975</v>
      </c>
      <c r="C11019" t="s">
        <v>176</v>
      </c>
      <c r="D11019">
        <v>1.6</v>
      </c>
      <c r="E11019">
        <v>0</v>
      </c>
      <c r="F11019">
        <f t="shared" si="194"/>
        <v>1.6</v>
      </c>
      <c r="G11019">
        <v>1</v>
      </c>
      <c r="H11019">
        <f t="shared" si="193"/>
        <v>1.6</v>
      </c>
      <c r="I11019">
        <v>20170401</v>
      </c>
      <c r="J11019" t="s">
        <v>11147</v>
      </c>
    </row>
    <row r="11020" spans="1:16" x14ac:dyDescent="0.3">
      <c r="A11020" s="160">
        <v>78071</v>
      </c>
      <c r="B11020" t="s">
        <v>25976</v>
      </c>
      <c r="C11020" t="s">
        <v>176</v>
      </c>
      <c r="D11020">
        <v>1.6</v>
      </c>
      <c r="E11020">
        <v>0</v>
      </c>
      <c r="F11020">
        <f t="shared" si="194"/>
        <v>1.6</v>
      </c>
      <c r="G11020">
        <v>1</v>
      </c>
      <c r="H11020">
        <f t="shared" si="193"/>
        <v>1.6</v>
      </c>
      <c r="I11020">
        <v>20170401</v>
      </c>
      <c r="J11020" t="s">
        <v>11130</v>
      </c>
    </row>
    <row r="11021" spans="1:16" x14ac:dyDescent="0.3">
      <c r="A11021" s="160">
        <v>78072</v>
      </c>
      <c r="B11021" t="s">
        <v>25977</v>
      </c>
      <c r="C11021" t="s">
        <v>176</v>
      </c>
      <c r="D11021">
        <v>1.6</v>
      </c>
      <c r="E11021">
        <v>0</v>
      </c>
      <c r="F11021">
        <f t="shared" si="194"/>
        <v>1.6</v>
      </c>
      <c r="G11021">
        <v>1</v>
      </c>
      <c r="H11021">
        <f t="shared" si="193"/>
        <v>1.6</v>
      </c>
      <c r="I11021">
        <v>20170401</v>
      </c>
      <c r="J11021" t="s">
        <v>11159</v>
      </c>
    </row>
    <row r="11022" spans="1:16" x14ac:dyDescent="0.3">
      <c r="A11022" s="160">
        <v>78073</v>
      </c>
      <c r="B11022" t="s">
        <v>25978</v>
      </c>
      <c r="C11022" t="s">
        <v>176</v>
      </c>
      <c r="D11022">
        <v>2.0099999999999998</v>
      </c>
      <c r="E11022">
        <v>0</v>
      </c>
      <c r="F11022">
        <f t="shared" si="194"/>
        <v>2.0099999999999998</v>
      </c>
      <c r="G11022">
        <v>1</v>
      </c>
      <c r="H11022">
        <f t="shared" si="193"/>
        <v>2.0099999999999998</v>
      </c>
      <c r="I11022">
        <v>20170401</v>
      </c>
      <c r="J11022" t="s">
        <v>11160</v>
      </c>
      <c r="K11022" t="s">
        <v>11161</v>
      </c>
      <c r="L11022" t="s">
        <v>11162</v>
      </c>
      <c r="M11022" t="s">
        <v>11163</v>
      </c>
      <c r="N11022" t="s">
        <v>11164</v>
      </c>
      <c r="O11022" t="s">
        <v>11165</v>
      </c>
      <c r="P11022" t="s">
        <v>11166</v>
      </c>
    </row>
    <row r="11023" spans="1:16" x14ac:dyDescent="0.3">
      <c r="A11023" s="160">
        <v>78076</v>
      </c>
      <c r="B11023" t="s">
        <v>25979</v>
      </c>
      <c r="C11023" t="s">
        <v>176</v>
      </c>
      <c r="D11023">
        <v>1.6</v>
      </c>
      <c r="E11023">
        <v>0</v>
      </c>
      <c r="F11023">
        <f t="shared" si="194"/>
        <v>1.6</v>
      </c>
      <c r="G11023">
        <v>1</v>
      </c>
      <c r="H11023">
        <f t="shared" si="193"/>
        <v>1.6</v>
      </c>
      <c r="I11023">
        <v>20170401</v>
      </c>
      <c r="J11023" t="s">
        <v>11156</v>
      </c>
    </row>
    <row r="11024" spans="1:16" x14ac:dyDescent="0.3">
      <c r="A11024" s="160">
        <v>78077</v>
      </c>
      <c r="B11024" t="s">
        <v>25980</v>
      </c>
      <c r="C11024" t="s">
        <v>176</v>
      </c>
      <c r="D11024">
        <v>1.6</v>
      </c>
      <c r="E11024">
        <v>0</v>
      </c>
      <c r="F11024">
        <f t="shared" si="194"/>
        <v>1.6</v>
      </c>
      <c r="G11024">
        <v>1</v>
      </c>
      <c r="H11024">
        <f t="shared" si="193"/>
        <v>1.6</v>
      </c>
      <c r="I11024">
        <v>20170401</v>
      </c>
      <c r="J11024" t="s">
        <v>11167</v>
      </c>
    </row>
    <row r="11025" spans="1:18" x14ac:dyDescent="0.3">
      <c r="A11025" s="160">
        <v>78082</v>
      </c>
      <c r="B11025" t="s">
        <v>25981</v>
      </c>
      <c r="C11025" t="s">
        <v>176</v>
      </c>
      <c r="D11025">
        <v>1.6</v>
      </c>
      <c r="E11025">
        <v>0</v>
      </c>
      <c r="F11025">
        <f t="shared" si="194"/>
        <v>1.6</v>
      </c>
      <c r="G11025">
        <v>1</v>
      </c>
      <c r="H11025">
        <f t="shared" si="193"/>
        <v>1.6</v>
      </c>
      <c r="I11025">
        <v>20170401</v>
      </c>
      <c r="J11025" t="s">
        <v>11159</v>
      </c>
    </row>
    <row r="11026" spans="1:18" x14ac:dyDescent="0.3">
      <c r="A11026" s="160">
        <v>78084</v>
      </c>
      <c r="B11026" t="s">
        <v>25982</v>
      </c>
      <c r="C11026" t="s">
        <v>176</v>
      </c>
      <c r="D11026">
        <v>1.6</v>
      </c>
      <c r="E11026">
        <v>0</v>
      </c>
      <c r="F11026">
        <f t="shared" si="194"/>
        <v>1.6</v>
      </c>
      <c r="G11026">
        <v>1</v>
      </c>
      <c r="H11026">
        <f t="shared" si="193"/>
        <v>1.6</v>
      </c>
      <c r="I11026">
        <v>20170401</v>
      </c>
      <c r="J11026" t="s">
        <v>11155</v>
      </c>
    </row>
    <row r="11027" spans="1:18" x14ac:dyDescent="0.3">
      <c r="A11027" s="160">
        <v>78087</v>
      </c>
      <c r="B11027" t="s">
        <v>25983</v>
      </c>
      <c r="C11027" t="s">
        <v>176</v>
      </c>
      <c r="D11027">
        <v>1.6</v>
      </c>
      <c r="E11027">
        <v>0</v>
      </c>
      <c r="F11027">
        <f t="shared" si="194"/>
        <v>1.6</v>
      </c>
      <c r="G11027">
        <v>1</v>
      </c>
      <c r="H11027">
        <f t="shared" si="193"/>
        <v>1.6</v>
      </c>
      <c r="I11027">
        <v>20170401</v>
      </c>
      <c r="J11027" t="s">
        <v>11168</v>
      </c>
    </row>
    <row r="11028" spans="1:18" x14ac:dyDescent="0.3">
      <c r="A11028" s="160">
        <v>78089</v>
      </c>
      <c r="B11028" t="s">
        <v>25984</v>
      </c>
      <c r="C11028" t="s">
        <v>176</v>
      </c>
      <c r="D11028">
        <v>1.6</v>
      </c>
      <c r="E11028">
        <v>0</v>
      </c>
      <c r="F11028">
        <f t="shared" si="194"/>
        <v>1.6</v>
      </c>
      <c r="G11028">
        <v>1</v>
      </c>
      <c r="H11028">
        <f t="shared" si="193"/>
        <v>1.6</v>
      </c>
      <c r="I11028">
        <v>20170401</v>
      </c>
      <c r="J11028" t="s">
        <v>11157</v>
      </c>
    </row>
    <row r="11029" spans="1:18" x14ac:dyDescent="0.3">
      <c r="A11029" s="160">
        <v>78090</v>
      </c>
      <c r="B11029" t="s">
        <v>25985</v>
      </c>
      <c r="C11029" t="s">
        <v>176</v>
      </c>
      <c r="D11029">
        <v>1.6</v>
      </c>
      <c r="E11029">
        <v>0</v>
      </c>
      <c r="F11029">
        <f t="shared" si="194"/>
        <v>1.6</v>
      </c>
      <c r="G11029">
        <v>1</v>
      </c>
      <c r="H11029">
        <f t="shared" si="193"/>
        <v>1.6</v>
      </c>
      <c r="I11029">
        <v>20170401</v>
      </c>
      <c r="J11029" t="s">
        <v>11140</v>
      </c>
      <c r="K11029" t="s">
        <v>11143</v>
      </c>
    </row>
    <row r="11030" spans="1:18" x14ac:dyDescent="0.3">
      <c r="A11030" s="160">
        <v>78092</v>
      </c>
      <c r="B11030" t="s">
        <v>25986</v>
      </c>
      <c r="C11030" t="s">
        <v>176</v>
      </c>
      <c r="D11030">
        <v>2.0099999999999998</v>
      </c>
      <c r="E11030">
        <v>0</v>
      </c>
      <c r="F11030">
        <f t="shared" si="194"/>
        <v>2.0099999999999998</v>
      </c>
      <c r="G11030">
        <v>1</v>
      </c>
      <c r="H11030">
        <f t="shared" si="193"/>
        <v>2.0099999999999998</v>
      </c>
      <c r="I11030">
        <v>20170401</v>
      </c>
      <c r="J11030" t="s">
        <v>11169</v>
      </c>
    </row>
    <row r="11031" spans="1:18" x14ac:dyDescent="0.3">
      <c r="A11031" s="160">
        <v>78096</v>
      </c>
      <c r="B11031" t="s">
        <v>25987</v>
      </c>
      <c r="C11031" t="s">
        <v>176</v>
      </c>
      <c r="D11031">
        <v>1.6</v>
      </c>
      <c r="E11031">
        <v>0</v>
      </c>
      <c r="F11031">
        <f t="shared" si="194"/>
        <v>1.6</v>
      </c>
      <c r="G11031">
        <v>1</v>
      </c>
      <c r="H11031">
        <f t="shared" si="193"/>
        <v>1.6</v>
      </c>
      <c r="I11031">
        <v>20170401</v>
      </c>
      <c r="J11031" t="s">
        <v>11133</v>
      </c>
    </row>
    <row r="11032" spans="1:18" x14ac:dyDescent="0.3">
      <c r="A11032" s="160">
        <v>78104</v>
      </c>
      <c r="B11032" t="s">
        <v>25988</v>
      </c>
      <c r="C11032" t="s">
        <v>176</v>
      </c>
      <c r="D11032">
        <v>1.6</v>
      </c>
      <c r="E11032">
        <v>0</v>
      </c>
      <c r="F11032">
        <f t="shared" si="194"/>
        <v>1.6</v>
      </c>
      <c r="G11032">
        <v>1</v>
      </c>
      <c r="H11032">
        <f t="shared" si="193"/>
        <v>1.6</v>
      </c>
      <c r="I11032">
        <v>20170401</v>
      </c>
      <c r="J11032" t="s">
        <v>11147</v>
      </c>
    </row>
    <row r="11033" spans="1:18" x14ac:dyDescent="0.3">
      <c r="A11033" s="160">
        <v>78107</v>
      </c>
      <c r="B11033" t="s">
        <v>25989</v>
      </c>
      <c r="C11033" t="s">
        <v>176</v>
      </c>
      <c r="D11033">
        <v>1.6</v>
      </c>
      <c r="E11033">
        <v>0</v>
      </c>
      <c r="F11033">
        <f t="shared" si="194"/>
        <v>1.6</v>
      </c>
      <c r="G11033">
        <v>1</v>
      </c>
      <c r="H11033">
        <f t="shared" si="193"/>
        <v>1.6</v>
      </c>
      <c r="I11033">
        <v>20170401</v>
      </c>
      <c r="J11033" t="s">
        <v>11170</v>
      </c>
    </row>
    <row r="11034" spans="1:18" x14ac:dyDescent="0.3">
      <c r="A11034" s="160">
        <v>78108</v>
      </c>
      <c r="B11034" t="s">
        <v>25990</v>
      </c>
      <c r="C11034" t="s">
        <v>176</v>
      </c>
      <c r="D11034">
        <v>1.6</v>
      </c>
      <c r="E11034">
        <v>0</v>
      </c>
      <c r="F11034">
        <f t="shared" si="194"/>
        <v>1.6</v>
      </c>
      <c r="G11034">
        <v>1</v>
      </c>
      <c r="H11034">
        <f t="shared" si="193"/>
        <v>1.6</v>
      </c>
      <c r="I11034">
        <v>20170401</v>
      </c>
      <c r="J11034" t="s">
        <v>11145</v>
      </c>
    </row>
    <row r="11035" spans="1:18" x14ac:dyDescent="0.3">
      <c r="A11035" s="160">
        <v>78113</v>
      </c>
      <c r="B11035" t="s">
        <v>25991</v>
      </c>
      <c r="C11035" t="s">
        <v>176</v>
      </c>
      <c r="D11035">
        <v>1.6</v>
      </c>
      <c r="E11035">
        <v>0</v>
      </c>
      <c r="F11035">
        <f t="shared" si="194"/>
        <v>1.6</v>
      </c>
      <c r="G11035">
        <v>1</v>
      </c>
      <c r="H11035">
        <f t="shared" si="193"/>
        <v>1.6</v>
      </c>
      <c r="I11035">
        <v>20170401</v>
      </c>
      <c r="J11035" t="s">
        <v>11171</v>
      </c>
    </row>
    <row r="11036" spans="1:18" x14ac:dyDescent="0.3">
      <c r="A11036" s="160">
        <v>78117</v>
      </c>
      <c r="B11036" t="s">
        <v>25992</v>
      </c>
      <c r="C11036" t="s">
        <v>176</v>
      </c>
      <c r="D11036">
        <v>2.0099999999999998</v>
      </c>
      <c r="E11036">
        <v>0</v>
      </c>
      <c r="F11036">
        <f t="shared" si="194"/>
        <v>2.0099999999999998</v>
      </c>
      <c r="G11036">
        <v>1</v>
      </c>
      <c r="H11036">
        <f t="shared" si="193"/>
        <v>2.0099999999999998</v>
      </c>
      <c r="I11036">
        <v>20170401</v>
      </c>
      <c r="J11036" t="s">
        <v>11172</v>
      </c>
      <c r="K11036" t="s">
        <v>11173</v>
      </c>
      <c r="L11036" t="s">
        <v>11174</v>
      </c>
      <c r="M11036" t="s">
        <v>11175</v>
      </c>
      <c r="N11036" t="s">
        <v>11176</v>
      </c>
      <c r="O11036" t="s">
        <v>11177</v>
      </c>
      <c r="P11036" t="s">
        <v>11178</v>
      </c>
      <c r="Q11036" t="s">
        <v>11179</v>
      </c>
      <c r="R11036" t="s">
        <v>11180</v>
      </c>
    </row>
    <row r="11037" spans="1:18" x14ac:dyDescent="0.3">
      <c r="A11037" s="160">
        <v>78118</v>
      </c>
      <c r="B11037" t="s">
        <v>25993</v>
      </c>
      <c r="C11037" t="s">
        <v>176</v>
      </c>
      <c r="D11037">
        <v>2.0099999999999998</v>
      </c>
      <c r="E11037">
        <v>0</v>
      </c>
      <c r="F11037">
        <f t="shared" si="194"/>
        <v>2.0099999999999998</v>
      </c>
      <c r="G11037">
        <v>1</v>
      </c>
      <c r="H11037">
        <f t="shared" si="193"/>
        <v>2.0099999999999998</v>
      </c>
      <c r="I11037">
        <v>20170401</v>
      </c>
      <c r="J11037" t="s">
        <v>11159</v>
      </c>
      <c r="K11037" t="s">
        <v>11181</v>
      </c>
      <c r="L11037" t="s">
        <v>11182</v>
      </c>
      <c r="M11037" t="s">
        <v>11183</v>
      </c>
      <c r="N11037" t="s">
        <v>11184</v>
      </c>
      <c r="O11037" t="s">
        <v>11185</v>
      </c>
      <c r="P11037" t="s">
        <v>11186</v>
      </c>
    </row>
    <row r="11038" spans="1:18" x14ac:dyDescent="0.3">
      <c r="A11038" s="160">
        <v>78120</v>
      </c>
      <c r="B11038" t="s">
        <v>25994</v>
      </c>
      <c r="C11038" t="s">
        <v>176</v>
      </c>
      <c r="D11038">
        <v>1.6</v>
      </c>
      <c r="E11038">
        <v>0</v>
      </c>
      <c r="F11038">
        <f t="shared" si="194"/>
        <v>1.6</v>
      </c>
      <c r="G11038">
        <v>1</v>
      </c>
      <c r="H11038">
        <f t="shared" si="193"/>
        <v>1.6</v>
      </c>
      <c r="I11038">
        <v>20170401</v>
      </c>
      <c r="J11038" t="s">
        <v>11168</v>
      </c>
    </row>
    <row r="11039" spans="1:18" x14ac:dyDescent="0.3">
      <c r="A11039" s="160">
        <v>78123</v>
      </c>
      <c r="B11039" t="s">
        <v>25995</v>
      </c>
      <c r="C11039" t="s">
        <v>176</v>
      </c>
      <c r="D11039">
        <v>2.0099999999999998</v>
      </c>
      <c r="E11039">
        <v>0</v>
      </c>
      <c r="F11039">
        <f t="shared" si="194"/>
        <v>2.0099999999999998</v>
      </c>
      <c r="G11039">
        <v>1</v>
      </c>
      <c r="H11039">
        <f t="shared" si="193"/>
        <v>2.0099999999999998</v>
      </c>
      <c r="I11039">
        <v>20170401</v>
      </c>
      <c r="J11039" t="s">
        <v>11187</v>
      </c>
      <c r="K11039" t="s">
        <v>11188</v>
      </c>
      <c r="L11039" t="s">
        <v>11189</v>
      </c>
    </row>
    <row r="11040" spans="1:18" x14ac:dyDescent="0.3">
      <c r="A11040" s="160">
        <v>78124</v>
      </c>
      <c r="B11040" t="s">
        <v>25996</v>
      </c>
      <c r="C11040" t="s">
        <v>176</v>
      </c>
      <c r="D11040">
        <v>2.0099999999999998</v>
      </c>
      <c r="E11040">
        <v>0</v>
      </c>
      <c r="F11040">
        <f t="shared" si="194"/>
        <v>2.0099999999999998</v>
      </c>
      <c r="G11040">
        <v>1</v>
      </c>
      <c r="H11040">
        <f t="shared" si="193"/>
        <v>2.0099999999999998</v>
      </c>
      <c r="I11040">
        <v>20170401</v>
      </c>
      <c r="J11040" t="s">
        <v>11190</v>
      </c>
      <c r="K11040" t="s">
        <v>11191</v>
      </c>
      <c r="L11040" t="s">
        <v>11192</v>
      </c>
      <c r="M11040" t="s">
        <v>11193</v>
      </c>
    </row>
    <row r="11041" spans="1:16" x14ac:dyDescent="0.3">
      <c r="A11041" s="160">
        <v>78125</v>
      </c>
      <c r="B11041" t="s">
        <v>25997</v>
      </c>
      <c r="C11041" t="s">
        <v>176</v>
      </c>
      <c r="D11041">
        <v>1.6</v>
      </c>
      <c r="E11041">
        <v>0</v>
      </c>
      <c r="F11041">
        <f t="shared" si="194"/>
        <v>1.6</v>
      </c>
      <c r="G11041">
        <v>1</v>
      </c>
      <c r="H11041">
        <f t="shared" si="193"/>
        <v>1.6</v>
      </c>
      <c r="I11041">
        <v>20170401</v>
      </c>
      <c r="J11041" t="s">
        <v>11194</v>
      </c>
    </row>
    <row r="11042" spans="1:16" x14ac:dyDescent="0.3">
      <c r="A11042" s="160">
        <v>78126</v>
      </c>
      <c r="B11042" t="s">
        <v>25998</v>
      </c>
      <c r="C11042" t="s">
        <v>176</v>
      </c>
      <c r="D11042">
        <v>2.0099999999999998</v>
      </c>
      <c r="E11042">
        <v>0</v>
      </c>
      <c r="F11042">
        <f t="shared" si="194"/>
        <v>2.0099999999999998</v>
      </c>
      <c r="G11042">
        <v>1</v>
      </c>
      <c r="H11042">
        <f t="shared" si="193"/>
        <v>2.0099999999999998</v>
      </c>
      <c r="I11042">
        <v>20170401</v>
      </c>
      <c r="J11042" t="s">
        <v>11195</v>
      </c>
      <c r="K11042" t="s">
        <v>11196</v>
      </c>
      <c r="L11042" t="s">
        <v>11197</v>
      </c>
      <c r="M11042" t="s">
        <v>11198</v>
      </c>
    </row>
    <row r="11043" spans="1:16" x14ac:dyDescent="0.3">
      <c r="A11043" s="160">
        <v>78128</v>
      </c>
      <c r="B11043" t="s">
        <v>25999</v>
      </c>
      <c r="C11043" t="s">
        <v>176</v>
      </c>
      <c r="D11043">
        <v>1.6</v>
      </c>
      <c r="E11043">
        <v>0</v>
      </c>
      <c r="F11043">
        <f t="shared" si="194"/>
        <v>1.6</v>
      </c>
      <c r="G11043">
        <v>1</v>
      </c>
      <c r="H11043">
        <f t="shared" si="193"/>
        <v>1.6</v>
      </c>
      <c r="I11043">
        <v>20170401</v>
      </c>
      <c r="J11043" t="s">
        <v>11194</v>
      </c>
    </row>
    <row r="11044" spans="1:16" x14ac:dyDescent="0.3">
      <c r="A11044" s="160">
        <v>78133</v>
      </c>
      <c r="B11044" t="s">
        <v>26000</v>
      </c>
      <c r="C11044" t="s">
        <v>176</v>
      </c>
      <c r="D11044">
        <v>2.0099999999999998</v>
      </c>
      <c r="E11044">
        <v>0</v>
      </c>
      <c r="F11044">
        <f t="shared" si="194"/>
        <v>2.0099999999999998</v>
      </c>
      <c r="G11044">
        <v>1</v>
      </c>
      <c r="H11044">
        <f t="shared" si="193"/>
        <v>2.0099999999999998</v>
      </c>
      <c r="I11044">
        <v>20170401</v>
      </c>
      <c r="J11044" t="s">
        <v>11199</v>
      </c>
      <c r="K11044" t="s">
        <v>11135</v>
      </c>
      <c r="L11044" t="s">
        <v>11200</v>
      </c>
      <c r="M11044" t="s">
        <v>11201</v>
      </c>
      <c r="N11044" t="s">
        <v>11202</v>
      </c>
      <c r="O11044" t="s">
        <v>11203</v>
      </c>
    </row>
    <row r="11045" spans="1:16" x14ac:dyDescent="0.3">
      <c r="A11045" s="160">
        <v>78138</v>
      </c>
      <c r="B11045" t="s">
        <v>26001</v>
      </c>
      <c r="C11045" t="s">
        <v>176</v>
      </c>
      <c r="D11045">
        <v>2.0099999999999998</v>
      </c>
      <c r="E11045">
        <v>0</v>
      </c>
      <c r="F11045">
        <f t="shared" si="194"/>
        <v>2.0099999999999998</v>
      </c>
      <c r="G11045">
        <v>1</v>
      </c>
      <c r="H11045">
        <f t="shared" si="193"/>
        <v>2.0099999999999998</v>
      </c>
      <c r="I11045">
        <v>20170401</v>
      </c>
      <c r="J11045" t="s">
        <v>11138</v>
      </c>
    </row>
    <row r="11046" spans="1:16" x14ac:dyDescent="0.3">
      <c r="A11046" s="160">
        <v>78140</v>
      </c>
      <c r="B11046" t="s">
        <v>26002</v>
      </c>
      <c r="C11046" t="s">
        <v>176</v>
      </c>
      <c r="D11046">
        <v>2.0099999999999998</v>
      </c>
      <c r="E11046">
        <v>0</v>
      </c>
      <c r="F11046">
        <f t="shared" si="194"/>
        <v>2.0099999999999998</v>
      </c>
      <c r="G11046">
        <v>1</v>
      </c>
      <c r="H11046">
        <f t="shared" si="193"/>
        <v>2.0099999999999998</v>
      </c>
      <c r="I11046">
        <v>20170401</v>
      </c>
      <c r="J11046" t="s">
        <v>11204</v>
      </c>
      <c r="K11046" t="s">
        <v>11205</v>
      </c>
    </row>
    <row r="11047" spans="1:16" x14ac:dyDescent="0.3">
      <c r="A11047" s="160">
        <v>78143</v>
      </c>
      <c r="B11047" t="s">
        <v>26003</v>
      </c>
      <c r="C11047" t="s">
        <v>176</v>
      </c>
      <c r="D11047">
        <v>1.6</v>
      </c>
      <c r="E11047">
        <v>0</v>
      </c>
      <c r="F11047">
        <f t="shared" si="194"/>
        <v>1.6</v>
      </c>
      <c r="G11047">
        <v>1</v>
      </c>
      <c r="H11047">
        <f t="shared" si="193"/>
        <v>1.6</v>
      </c>
      <c r="I11047">
        <v>20170401</v>
      </c>
      <c r="J11047" t="s">
        <v>11206</v>
      </c>
      <c r="K11047" t="s">
        <v>11207</v>
      </c>
    </row>
    <row r="11048" spans="1:16" x14ac:dyDescent="0.3">
      <c r="A11048" s="160">
        <v>78146</v>
      </c>
      <c r="B11048" t="s">
        <v>26004</v>
      </c>
      <c r="C11048" t="s">
        <v>176</v>
      </c>
      <c r="D11048">
        <v>2.0099999999999998</v>
      </c>
      <c r="E11048">
        <v>0</v>
      </c>
      <c r="F11048">
        <f t="shared" si="194"/>
        <v>2.0099999999999998</v>
      </c>
      <c r="G11048">
        <v>1</v>
      </c>
      <c r="H11048">
        <f t="shared" si="193"/>
        <v>2.0099999999999998</v>
      </c>
      <c r="I11048">
        <v>20170401</v>
      </c>
      <c r="J11048" t="s">
        <v>11208</v>
      </c>
      <c r="K11048" t="s">
        <v>11209</v>
      </c>
      <c r="L11048" t="s">
        <v>11210</v>
      </c>
      <c r="M11048" t="s">
        <v>11211</v>
      </c>
      <c r="N11048" t="s">
        <v>11212</v>
      </c>
    </row>
    <row r="11049" spans="1:16" x14ac:dyDescent="0.3">
      <c r="A11049" s="160">
        <v>78147</v>
      </c>
      <c r="B11049" t="s">
        <v>26005</v>
      </c>
      <c r="C11049" t="s">
        <v>176</v>
      </c>
      <c r="D11049">
        <v>1.6</v>
      </c>
      <c r="E11049">
        <v>0</v>
      </c>
      <c r="F11049">
        <f t="shared" si="194"/>
        <v>1.6</v>
      </c>
      <c r="G11049">
        <v>1</v>
      </c>
      <c r="H11049">
        <f t="shared" si="193"/>
        <v>1.6</v>
      </c>
      <c r="I11049">
        <v>20170401</v>
      </c>
      <c r="J11049" t="s">
        <v>11157</v>
      </c>
    </row>
    <row r="11050" spans="1:16" x14ac:dyDescent="0.3">
      <c r="A11050" s="160">
        <v>78152</v>
      </c>
      <c r="B11050" t="s">
        <v>26006</v>
      </c>
      <c r="C11050" t="s">
        <v>176</v>
      </c>
      <c r="D11050">
        <v>1.6</v>
      </c>
      <c r="E11050">
        <v>0</v>
      </c>
      <c r="F11050">
        <f t="shared" si="194"/>
        <v>1.6</v>
      </c>
      <c r="G11050">
        <v>1</v>
      </c>
      <c r="H11050">
        <f t="shared" si="193"/>
        <v>1.6</v>
      </c>
      <c r="I11050">
        <v>20170401</v>
      </c>
      <c r="J11050" t="s">
        <v>11213</v>
      </c>
      <c r="K11050" t="s">
        <v>11214</v>
      </c>
    </row>
    <row r="11051" spans="1:16" x14ac:dyDescent="0.3">
      <c r="A11051" s="160">
        <v>78158</v>
      </c>
      <c r="B11051" t="s">
        <v>26007</v>
      </c>
      <c r="C11051" t="s">
        <v>176</v>
      </c>
      <c r="D11051">
        <v>2.0099999999999998</v>
      </c>
      <c r="E11051">
        <v>0</v>
      </c>
      <c r="F11051">
        <f t="shared" si="194"/>
        <v>2.0099999999999998</v>
      </c>
      <c r="G11051">
        <v>1</v>
      </c>
      <c r="H11051">
        <f t="shared" si="193"/>
        <v>2.0099999999999998</v>
      </c>
      <c r="I11051">
        <v>20170401</v>
      </c>
      <c r="J11051" t="s">
        <v>11215</v>
      </c>
      <c r="K11051" t="s">
        <v>11216</v>
      </c>
      <c r="L11051" t="s">
        <v>11217</v>
      </c>
      <c r="M11051" t="s">
        <v>11218</v>
      </c>
      <c r="N11051" t="s">
        <v>11219</v>
      </c>
      <c r="O11051" t="s">
        <v>11220</v>
      </c>
      <c r="P11051" t="s">
        <v>11221</v>
      </c>
    </row>
    <row r="11052" spans="1:16" x14ac:dyDescent="0.3">
      <c r="A11052" s="160">
        <v>78160</v>
      </c>
      <c r="B11052" t="s">
        <v>26008</v>
      </c>
      <c r="C11052" t="s">
        <v>176</v>
      </c>
      <c r="D11052">
        <v>2.0099999999999998</v>
      </c>
      <c r="E11052">
        <v>0</v>
      </c>
      <c r="F11052">
        <f t="shared" si="194"/>
        <v>2.0099999999999998</v>
      </c>
      <c r="G11052">
        <v>1</v>
      </c>
      <c r="H11052">
        <f t="shared" si="193"/>
        <v>2.0099999999999998</v>
      </c>
      <c r="I11052">
        <v>20170401</v>
      </c>
      <c r="J11052" t="s">
        <v>11222</v>
      </c>
      <c r="K11052" t="s">
        <v>11223</v>
      </c>
      <c r="L11052" t="s">
        <v>11224</v>
      </c>
    </row>
    <row r="11053" spans="1:16" x14ac:dyDescent="0.3">
      <c r="A11053" s="160">
        <v>78162</v>
      </c>
      <c r="B11053" t="s">
        <v>26009</v>
      </c>
      <c r="C11053" t="s">
        <v>176</v>
      </c>
      <c r="D11053">
        <v>1.6</v>
      </c>
      <c r="E11053">
        <v>0</v>
      </c>
      <c r="F11053">
        <f t="shared" si="194"/>
        <v>1.6</v>
      </c>
      <c r="G11053">
        <v>1</v>
      </c>
      <c r="H11053">
        <f t="shared" si="193"/>
        <v>1.6</v>
      </c>
      <c r="I11053">
        <v>20170401</v>
      </c>
      <c r="J11053" t="s">
        <v>11222</v>
      </c>
    </row>
    <row r="11054" spans="1:16" x14ac:dyDescent="0.3">
      <c r="A11054" s="160">
        <v>78163</v>
      </c>
      <c r="B11054" t="s">
        <v>26010</v>
      </c>
      <c r="C11054" t="s">
        <v>176</v>
      </c>
      <c r="D11054">
        <v>1.6</v>
      </c>
      <c r="E11054">
        <v>0</v>
      </c>
      <c r="F11054">
        <f t="shared" si="194"/>
        <v>1.6</v>
      </c>
      <c r="G11054">
        <v>1</v>
      </c>
      <c r="H11054">
        <f t="shared" si="193"/>
        <v>1.6</v>
      </c>
      <c r="I11054">
        <v>20170401</v>
      </c>
      <c r="J11054" t="s">
        <v>11156</v>
      </c>
    </row>
    <row r="11055" spans="1:16" x14ac:dyDescent="0.3">
      <c r="A11055" s="160">
        <v>78164</v>
      </c>
      <c r="B11055" t="s">
        <v>26011</v>
      </c>
      <c r="C11055" t="s">
        <v>176</v>
      </c>
      <c r="D11055">
        <v>1.6</v>
      </c>
      <c r="E11055">
        <v>0</v>
      </c>
      <c r="F11055">
        <f t="shared" si="194"/>
        <v>1.6</v>
      </c>
      <c r="G11055">
        <v>1</v>
      </c>
      <c r="H11055">
        <f t="shared" si="193"/>
        <v>1.6</v>
      </c>
      <c r="I11055">
        <v>20170401</v>
      </c>
      <c r="J11055" t="s">
        <v>11225</v>
      </c>
      <c r="K11055" t="s">
        <v>11226</v>
      </c>
    </row>
    <row r="11056" spans="1:16" x14ac:dyDescent="0.3">
      <c r="A11056" s="160">
        <v>78165</v>
      </c>
      <c r="B11056" t="s">
        <v>26012</v>
      </c>
      <c r="C11056" t="s">
        <v>176</v>
      </c>
      <c r="D11056">
        <v>2.0099999999999998</v>
      </c>
      <c r="E11056">
        <v>0</v>
      </c>
      <c r="F11056">
        <f t="shared" si="194"/>
        <v>2.0099999999999998</v>
      </c>
      <c r="G11056">
        <v>1</v>
      </c>
      <c r="H11056">
        <f t="shared" si="193"/>
        <v>2.0099999999999998</v>
      </c>
      <c r="I11056">
        <v>20170401</v>
      </c>
      <c r="J11056" t="s">
        <v>11163</v>
      </c>
      <c r="K11056" t="s">
        <v>11227</v>
      </c>
      <c r="L11056" t="s">
        <v>11213</v>
      </c>
      <c r="M11056" t="s">
        <v>11228</v>
      </c>
      <c r="N11056" t="s">
        <v>11229</v>
      </c>
    </row>
    <row r="11057" spans="1:16" x14ac:dyDescent="0.3">
      <c r="A11057" s="160">
        <v>78168</v>
      </c>
      <c r="B11057" t="s">
        <v>26013</v>
      </c>
      <c r="C11057" t="s">
        <v>176</v>
      </c>
      <c r="D11057">
        <v>2.0099999999999998</v>
      </c>
      <c r="E11057">
        <v>0</v>
      </c>
      <c r="F11057">
        <f t="shared" si="194"/>
        <v>2.0099999999999998</v>
      </c>
      <c r="G11057">
        <v>1</v>
      </c>
      <c r="H11057">
        <f t="shared" si="193"/>
        <v>2.0099999999999998</v>
      </c>
      <c r="I11057">
        <v>20170401</v>
      </c>
      <c r="J11057" t="s">
        <v>11230</v>
      </c>
      <c r="K11057" t="s">
        <v>11231</v>
      </c>
      <c r="L11057" t="s">
        <v>11232</v>
      </c>
      <c r="M11057" t="s">
        <v>11233</v>
      </c>
      <c r="N11057" t="s">
        <v>11234</v>
      </c>
      <c r="O11057" t="s">
        <v>11235</v>
      </c>
      <c r="P11057" t="s">
        <v>11236</v>
      </c>
    </row>
    <row r="11058" spans="1:16" x14ac:dyDescent="0.3">
      <c r="A11058" s="160">
        <v>78171</v>
      </c>
      <c r="B11058" t="s">
        <v>26014</v>
      </c>
      <c r="C11058" t="s">
        <v>176</v>
      </c>
      <c r="D11058">
        <v>1.6</v>
      </c>
      <c r="E11058">
        <v>0</v>
      </c>
      <c r="F11058">
        <f t="shared" si="194"/>
        <v>1.6</v>
      </c>
      <c r="G11058">
        <v>1</v>
      </c>
      <c r="H11058">
        <f t="shared" si="193"/>
        <v>1.6</v>
      </c>
      <c r="I11058">
        <v>20170401</v>
      </c>
      <c r="J11058" t="s">
        <v>11133</v>
      </c>
    </row>
    <row r="11059" spans="1:16" x14ac:dyDescent="0.3">
      <c r="A11059" s="160">
        <v>78172</v>
      </c>
      <c r="B11059" t="s">
        <v>26015</v>
      </c>
      <c r="C11059" t="s">
        <v>176</v>
      </c>
      <c r="D11059">
        <v>2.0099999999999998</v>
      </c>
      <c r="E11059">
        <v>0</v>
      </c>
      <c r="F11059">
        <f t="shared" si="194"/>
        <v>2.0099999999999998</v>
      </c>
      <c r="G11059">
        <v>1</v>
      </c>
      <c r="H11059">
        <f t="shared" ref="H11059:H11122" si="195">G11059*F11059</f>
        <v>2.0099999999999998</v>
      </c>
      <c r="I11059">
        <v>20170401</v>
      </c>
      <c r="J11059" t="s">
        <v>11237</v>
      </c>
      <c r="K11059" t="s">
        <v>11238</v>
      </c>
      <c r="L11059" t="s">
        <v>11239</v>
      </c>
      <c r="M11059" t="s">
        <v>11240</v>
      </c>
      <c r="N11059" t="s">
        <v>11241</v>
      </c>
    </row>
    <row r="11060" spans="1:16" x14ac:dyDescent="0.3">
      <c r="A11060" s="160">
        <v>78185</v>
      </c>
      <c r="B11060" t="s">
        <v>26016</v>
      </c>
      <c r="C11060" t="s">
        <v>176</v>
      </c>
      <c r="D11060">
        <v>1.6</v>
      </c>
      <c r="E11060">
        <v>0</v>
      </c>
      <c r="F11060">
        <f t="shared" si="194"/>
        <v>1.6</v>
      </c>
      <c r="G11060">
        <v>1</v>
      </c>
      <c r="H11060">
        <f t="shared" si="195"/>
        <v>1.6</v>
      </c>
      <c r="I11060">
        <v>20170401</v>
      </c>
      <c r="J11060" t="s">
        <v>11139</v>
      </c>
    </row>
    <row r="11061" spans="1:16" x14ac:dyDescent="0.3">
      <c r="A11061" s="160">
        <v>78188</v>
      </c>
      <c r="B11061" t="s">
        <v>26017</v>
      </c>
      <c r="C11061" t="s">
        <v>176</v>
      </c>
      <c r="D11061">
        <v>1.6</v>
      </c>
      <c r="E11061">
        <v>0</v>
      </c>
      <c r="F11061">
        <f t="shared" si="194"/>
        <v>1.6</v>
      </c>
      <c r="G11061">
        <v>1</v>
      </c>
      <c r="H11061">
        <f t="shared" si="195"/>
        <v>1.6</v>
      </c>
      <c r="I11061">
        <v>20170401</v>
      </c>
      <c r="J11061" t="s">
        <v>11157</v>
      </c>
    </row>
    <row r="11062" spans="1:16" x14ac:dyDescent="0.3">
      <c r="A11062" s="160">
        <v>78189</v>
      </c>
      <c r="B11062" t="s">
        <v>26018</v>
      </c>
      <c r="C11062" t="s">
        <v>176</v>
      </c>
      <c r="D11062">
        <v>1.6</v>
      </c>
      <c r="E11062">
        <v>0</v>
      </c>
      <c r="F11062">
        <f t="shared" si="194"/>
        <v>1.6</v>
      </c>
      <c r="G11062">
        <v>1</v>
      </c>
      <c r="H11062">
        <f t="shared" si="195"/>
        <v>1.6</v>
      </c>
      <c r="I11062">
        <v>20170401</v>
      </c>
      <c r="J11062" t="s">
        <v>11242</v>
      </c>
    </row>
    <row r="11063" spans="1:16" x14ac:dyDescent="0.3">
      <c r="A11063" s="160">
        <v>78190</v>
      </c>
      <c r="B11063" t="s">
        <v>26019</v>
      </c>
      <c r="C11063" t="s">
        <v>176</v>
      </c>
      <c r="D11063">
        <v>2.0099999999999998</v>
      </c>
      <c r="E11063">
        <v>0</v>
      </c>
      <c r="F11063">
        <f t="shared" si="194"/>
        <v>2.0099999999999998</v>
      </c>
      <c r="G11063">
        <v>1</v>
      </c>
      <c r="H11063">
        <f t="shared" si="195"/>
        <v>2.0099999999999998</v>
      </c>
      <c r="I11063">
        <v>20170401</v>
      </c>
      <c r="J11063" t="s">
        <v>11243</v>
      </c>
      <c r="K11063" t="s">
        <v>11244</v>
      </c>
      <c r="L11063" t="s">
        <v>11245</v>
      </c>
      <c r="M11063" t="s">
        <v>11246</v>
      </c>
      <c r="N11063" t="s">
        <v>11247</v>
      </c>
    </row>
    <row r="11064" spans="1:16" x14ac:dyDescent="0.3">
      <c r="A11064" s="160">
        <v>78192</v>
      </c>
      <c r="B11064" t="s">
        <v>26020</v>
      </c>
      <c r="C11064" t="s">
        <v>176</v>
      </c>
      <c r="D11064">
        <v>1.6</v>
      </c>
      <c r="E11064">
        <v>0</v>
      </c>
      <c r="F11064">
        <f t="shared" si="194"/>
        <v>1.6</v>
      </c>
      <c r="G11064">
        <v>1</v>
      </c>
      <c r="H11064">
        <f t="shared" si="195"/>
        <v>1.6</v>
      </c>
      <c r="I11064">
        <v>20170401</v>
      </c>
      <c r="J11064" t="s">
        <v>11248</v>
      </c>
    </row>
    <row r="11065" spans="1:16" x14ac:dyDescent="0.3">
      <c r="A11065" s="160">
        <v>78193</v>
      </c>
      <c r="B11065" t="s">
        <v>26021</v>
      </c>
      <c r="C11065" t="s">
        <v>176</v>
      </c>
      <c r="D11065">
        <v>1.6</v>
      </c>
      <c r="E11065">
        <v>0</v>
      </c>
      <c r="F11065">
        <f t="shared" si="194"/>
        <v>1.6</v>
      </c>
      <c r="G11065">
        <v>1</v>
      </c>
      <c r="H11065">
        <f t="shared" si="195"/>
        <v>1.6</v>
      </c>
      <c r="I11065">
        <v>20170401</v>
      </c>
      <c r="J11065" t="s">
        <v>11224</v>
      </c>
      <c r="K11065" t="s">
        <v>11194</v>
      </c>
    </row>
    <row r="11066" spans="1:16" x14ac:dyDescent="0.3">
      <c r="A11066" s="160">
        <v>78194</v>
      </c>
      <c r="B11066" t="s">
        <v>17437</v>
      </c>
      <c r="C11066" t="s">
        <v>176</v>
      </c>
      <c r="D11066">
        <v>1.6</v>
      </c>
      <c r="E11066">
        <v>0</v>
      </c>
      <c r="F11066">
        <f t="shared" si="194"/>
        <v>1.6</v>
      </c>
      <c r="G11066">
        <v>1</v>
      </c>
      <c r="H11066">
        <f t="shared" si="195"/>
        <v>1.6</v>
      </c>
      <c r="I11066">
        <v>20170401</v>
      </c>
      <c r="J11066" t="s">
        <v>11154</v>
      </c>
    </row>
    <row r="11067" spans="1:16" x14ac:dyDescent="0.3">
      <c r="A11067" s="160">
        <v>78196</v>
      </c>
      <c r="B11067" t="s">
        <v>26022</v>
      </c>
      <c r="C11067" t="s">
        <v>176</v>
      </c>
      <c r="D11067">
        <v>1.6</v>
      </c>
      <c r="E11067">
        <v>0</v>
      </c>
      <c r="F11067">
        <f t="shared" si="194"/>
        <v>1.6</v>
      </c>
      <c r="G11067">
        <v>1</v>
      </c>
      <c r="H11067">
        <f t="shared" si="195"/>
        <v>1.6</v>
      </c>
      <c r="I11067">
        <v>20170401</v>
      </c>
      <c r="J11067" t="s">
        <v>11152</v>
      </c>
      <c r="K11067" t="s">
        <v>11249</v>
      </c>
    </row>
    <row r="11068" spans="1:16" x14ac:dyDescent="0.3">
      <c r="A11068" s="160">
        <v>78202</v>
      </c>
      <c r="B11068" t="s">
        <v>23317</v>
      </c>
      <c r="C11068" t="s">
        <v>176</v>
      </c>
      <c r="D11068">
        <v>1.6</v>
      </c>
      <c r="E11068">
        <v>0</v>
      </c>
      <c r="F11068">
        <f t="shared" si="194"/>
        <v>1.6</v>
      </c>
      <c r="G11068">
        <v>1</v>
      </c>
      <c r="H11068">
        <f t="shared" si="195"/>
        <v>1.6</v>
      </c>
      <c r="I11068">
        <v>20170401</v>
      </c>
      <c r="J11068" t="s">
        <v>11171</v>
      </c>
    </row>
    <row r="11069" spans="1:16" x14ac:dyDescent="0.3">
      <c r="A11069" s="160">
        <v>78206</v>
      </c>
      <c r="B11069" t="s">
        <v>26023</v>
      </c>
      <c r="C11069" t="s">
        <v>176</v>
      </c>
      <c r="D11069">
        <v>1.6</v>
      </c>
      <c r="E11069">
        <v>0</v>
      </c>
      <c r="F11069">
        <f t="shared" si="194"/>
        <v>1.6</v>
      </c>
      <c r="G11069">
        <v>1</v>
      </c>
      <c r="H11069">
        <f t="shared" si="195"/>
        <v>1.6</v>
      </c>
      <c r="I11069">
        <v>20170401</v>
      </c>
      <c r="J11069" t="s">
        <v>11250</v>
      </c>
      <c r="K11069" t="s">
        <v>11251</v>
      </c>
    </row>
    <row r="11070" spans="1:16" x14ac:dyDescent="0.3">
      <c r="A11070" s="160">
        <v>78208</v>
      </c>
      <c r="B11070" t="s">
        <v>26024</v>
      </c>
      <c r="C11070" t="s">
        <v>176</v>
      </c>
      <c r="D11070">
        <v>2.0099999999999998</v>
      </c>
      <c r="E11070">
        <v>0</v>
      </c>
      <c r="F11070">
        <f t="shared" si="194"/>
        <v>2.0099999999999998</v>
      </c>
      <c r="G11070">
        <v>1</v>
      </c>
      <c r="H11070">
        <f t="shared" si="195"/>
        <v>2.0099999999999998</v>
      </c>
      <c r="I11070">
        <v>20170401</v>
      </c>
      <c r="J11070" t="s">
        <v>11252</v>
      </c>
      <c r="K11070" t="s">
        <v>11253</v>
      </c>
      <c r="L11070" t="s">
        <v>11254</v>
      </c>
      <c r="M11070" t="s">
        <v>11255</v>
      </c>
      <c r="N11070" t="s">
        <v>11256</v>
      </c>
      <c r="O11070" t="s">
        <v>11257</v>
      </c>
      <c r="P11070" t="s">
        <v>11258</v>
      </c>
    </row>
    <row r="11071" spans="1:16" x14ac:dyDescent="0.3">
      <c r="A11071" s="160">
        <v>78209</v>
      </c>
      <c r="B11071" t="s">
        <v>26025</v>
      </c>
      <c r="C11071" t="s">
        <v>176</v>
      </c>
      <c r="D11071">
        <v>1.6</v>
      </c>
      <c r="E11071">
        <v>0</v>
      </c>
      <c r="F11071">
        <f t="shared" si="194"/>
        <v>1.6</v>
      </c>
      <c r="G11071">
        <v>1</v>
      </c>
      <c r="H11071">
        <f t="shared" si="195"/>
        <v>1.6</v>
      </c>
      <c r="I11071">
        <v>20170401</v>
      </c>
      <c r="J11071" t="s">
        <v>11167</v>
      </c>
      <c r="K11071" t="s">
        <v>11259</v>
      </c>
    </row>
    <row r="11072" spans="1:16" x14ac:dyDescent="0.3">
      <c r="A11072" s="160">
        <v>78217</v>
      </c>
      <c r="B11072" t="s">
        <v>26026</v>
      </c>
      <c r="C11072" t="s">
        <v>176</v>
      </c>
      <c r="D11072">
        <v>1.6</v>
      </c>
      <c r="E11072">
        <v>0</v>
      </c>
      <c r="F11072">
        <f t="shared" si="194"/>
        <v>1.6</v>
      </c>
      <c r="G11072">
        <v>1</v>
      </c>
      <c r="H11072">
        <f t="shared" si="195"/>
        <v>1.6</v>
      </c>
      <c r="I11072">
        <v>20170401</v>
      </c>
      <c r="J11072" t="s">
        <v>11141</v>
      </c>
      <c r="K11072" t="s">
        <v>11143</v>
      </c>
      <c r="L11072" t="s">
        <v>11250</v>
      </c>
      <c r="M11072" t="s">
        <v>11260</v>
      </c>
    </row>
    <row r="11073" spans="1:12" x14ac:dyDescent="0.3">
      <c r="A11073" s="160">
        <v>78220</v>
      </c>
      <c r="B11073" t="s">
        <v>26027</v>
      </c>
      <c r="C11073" t="s">
        <v>176</v>
      </c>
      <c r="D11073">
        <v>1.6</v>
      </c>
      <c r="E11073">
        <v>0</v>
      </c>
      <c r="F11073">
        <f t="shared" si="194"/>
        <v>1.6</v>
      </c>
      <c r="G11073">
        <v>1</v>
      </c>
      <c r="H11073">
        <f t="shared" si="195"/>
        <v>1.6</v>
      </c>
      <c r="I11073">
        <v>20170401</v>
      </c>
      <c r="J11073" t="s">
        <v>11146</v>
      </c>
      <c r="K11073" t="s">
        <v>11261</v>
      </c>
    </row>
    <row r="11074" spans="1:12" x14ac:dyDescent="0.3">
      <c r="A11074" s="160">
        <v>78224</v>
      </c>
      <c r="B11074" t="s">
        <v>26028</v>
      </c>
      <c r="C11074" t="s">
        <v>176</v>
      </c>
      <c r="D11074">
        <v>2.0099999999999998</v>
      </c>
      <c r="E11074">
        <v>0</v>
      </c>
      <c r="F11074">
        <f t="shared" si="194"/>
        <v>2.0099999999999998</v>
      </c>
      <c r="G11074">
        <v>1</v>
      </c>
      <c r="H11074">
        <f t="shared" si="195"/>
        <v>2.0099999999999998</v>
      </c>
      <c r="I11074">
        <v>20170401</v>
      </c>
      <c r="J11074" t="s">
        <v>11262</v>
      </c>
    </row>
    <row r="11075" spans="1:12" x14ac:dyDescent="0.3">
      <c r="A11075" s="160">
        <v>78227</v>
      </c>
      <c r="B11075" t="s">
        <v>26029</v>
      </c>
      <c r="C11075" t="s">
        <v>176</v>
      </c>
      <c r="D11075">
        <v>2.0099999999999998</v>
      </c>
      <c r="E11075">
        <v>0</v>
      </c>
      <c r="F11075">
        <f t="shared" si="194"/>
        <v>2.0099999999999998</v>
      </c>
      <c r="G11075">
        <v>1</v>
      </c>
      <c r="H11075">
        <f t="shared" si="195"/>
        <v>2.0099999999999998</v>
      </c>
      <c r="I11075">
        <v>20170401</v>
      </c>
      <c r="J11075" t="s">
        <v>11263</v>
      </c>
    </row>
    <row r="11076" spans="1:12" x14ac:dyDescent="0.3">
      <c r="A11076" s="160">
        <v>78230</v>
      </c>
      <c r="B11076" t="s">
        <v>26030</v>
      </c>
      <c r="C11076" t="s">
        <v>176</v>
      </c>
      <c r="D11076">
        <v>1.6</v>
      </c>
      <c r="E11076">
        <v>0</v>
      </c>
      <c r="F11076">
        <f t="shared" si="194"/>
        <v>1.6</v>
      </c>
      <c r="G11076">
        <v>1</v>
      </c>
      <c r="H11076">
        <f t="shared" si="195"/>
        <v>1.6</v>
      </c>
      <c r="I11076">
        <v>20170401</v>
      </c>
      <c r="J11076" t="s">
        <v>11140</v>
      </c>
      <c r="K11076" t="s">
        <v>11142</v>
      </c>
    </row>
    <row r="11077" spans="1:12" x14ac:dyDescent="0.3">
      <c r="A11077" s="160">
        <v>78231</v>
      </c>
      <c r="B11077" t="s">
        <v>26031</v>
      </c>
      <c r="C11077" t="s">
        <v>176</v>
      </c>
      <c r="D11077">
        <v>1.6</v>
      </c>
      <c r="E11077">
        <v>0</v>
      </c>
      <c r="F11077">
        <f t="shared" si="194"/>
        <v>1.6</v>
      </c>
      <c r="G11077">
        <v>1</v>
      </c>
      <c r="H11077">
        <f t="shared" si="195"/>
        <v>1.6</v>
      </c>
      <c r="I11077">
        <v>20170401</v>
      </c>
      <c r="J11077" t="s">
        <v>11159</v>
      </c>
    </row>
    <row r="11078" spans="1:12" x14ac:dyDescent="0.3">
      <c r="A11078" s="160">
        <v>78233</v>
      </c>
      <c r="B11078" t="s">
        <v>26032</v>
      </c>
      <c r="C11078" t="s">
        <v>176</v>
      </c>
      <c r="D11078">
        <v>1.6</v>
      </c>
      <c r="E11078">
        <v>0</v>
      </c>
      <c r="F11078">
        <f t="shared" si="194"/>
        <v>1.6</v>
      </c>
      <c r="G11078">
        <v>1</v>
      </c>
      <c r="H11078">
        <f t="shared" si="195"/>
        <v>1.6</v>
      </c>
      <c r="I11078">
        <v>20170401</v>
      </c>
      <c r="J11078" t="s">
        <v>11152</v>
      </c>
      <c r="K11078" t="s">
        <v>11249</v>
      </c>
    </row>
    <row r="11079" spans="1:12" x14ac:dyDescent="0.3">
      <c r="A11079" s="160">
        <v>78234</v>
      </c>
      <c r="B11079" t="s">
        <v>26033</v>
      </c>
      <c r="C11079" t="s">
        <v>176</v>
      </c>
      <c r="D11079">
        <v>1.6</v>
      </c>
      <c r="E11079">
        <v>0</v>
      </c>
      <c r="F11079">
        <f t="shared" ref="F11079:F11142" si="196">D11079+E11079</f>
        <v>1.6</v>
      </c>
      <c r="G11079">
        <v>1</v>
      </c>
      <c r="H11079">
        <f t="shared" si="195"/>
        <v>1.6</v>
      </c>
      <c r="I11079">
        <v>20170401</v>
      </c>
      <c r="J11079" t="s">
        <v>11159</v>
      </c>
    </row>
    <row r="11080" spans="1:12" x14ac:dyDescent="0.3">
      <c r="A11080" s="160">
        <v>78236</v>
      </c>
      <c r="B11080" t="s">
        <v>26034</v>
      </c>
      <c r="C11080" t="s">
        <v>176</v>
      </c>
      <c r="D11080">
        <v>1.6</v>
      </c>
      <c r="E11080">
        <v>0</v>
      </c>
      <c r="F11080">
        <f t="shared" si="196"/>
        <v>1.6</v>
      </c>
      <c r="G11080">
        <v>1</v>
      </c>
      <c r="H11080">
        <f t="shared" si="195"/>
        <v>1.6</v>
      </c>
      <c r="I11080">
        <v>20170401</v>
      </c>
      <c r="J11080" t="s">
        <v>11156</v>
      </c>
    </row>
    <row r="11081" spans="1:12" x14ac:dyDescent="0.3">
      <c r="A11081" s="160">
        <v>78237</v>
      </c>
      <c r="B11081" t="s">
        <v>26035</v>
      </c>
      <c r="C11081" t="s">
        <v>176</v>
      </c>
      <c r="D11081">
        <v>1.6</v>
      </c>
      <c r="E11081">
        <v>0</v>
      </c>
      <c r="F11081">
        <f t="shared" si="196"/>
        <v>1.6</v>
      </c>
      <c r="G11081">
        <v>1</v>
      </c>
      <c r="H11081">
        <f t="shared" si="195"/>
        <v>1.6</v>
      </c>
      <c r="I11081">
        <v>20170401</v>
      </c>
      <c r="J11081" t="s">
        <v>11139</v>
      </c>
    </row>
    <row r="11082" spans="1:12" x14ac:dyDescent="0.3">
      <c r="A11082" s="160">
        <v>78238</v>
      </c>
      <c r="B11082" t="s">
        <v>26036</v>
      </c>
      <c r="C11082" t="s">
        <v>176</v>
      </c>
      <c r="D11082">
        <v>2.0099999999999998</v>
      </c>
      <c r="E11082">
        <v>0</v>
      </c>
      <c r="F11082">
        <f t="shared" si="196"/>
        <v>2.0099999999999998</v>
      </c>
      <c r="G11082">
        <v>1</v>
      </c>
      <c r="H11082">
        <f t="shared" si="195"/>
        <v>2.0099999999999998</v>
      </c>
      <c r="I11082">
        <v>20170401</v>
      </c>
      <c r="J11082" t="s">
        <v>11140</v>
      </c>
      <c r="K11082" t="s">
        <v>11142</v>
      </c>
      <c r="L11082" t="s">
        <v>11143</v>
      </c>
    </row>
    <row r="11083" spans="1:12" x14ac:dyDescent="0.3">
      <c r="A11083" s="160">
        <v>78239</v>
      </c>
      <c r="B11083" t="s">
        <v>26037</v>
      </c>
      <c r="C11083" t="s">
        <v>176</v>
      </c>
      <c r="D11083">
        <v>2.0099999999999998</v>
      </c>
      <c r="E11083">
        <v>0</v>
      </c>
      <c r="F11083">
        <f t="shared" si="196"/>
        <v>2.0099999999999998</v>
      </c>
      <c r="G11083">
        <v>1</v>
      </c>
      <c r="H11083">
        <f t="shared" si="195"/>
        <v>2.0099999999999998</v>
      </c>
      <c r="I11083">
        <v>20170401</v>
      </c>
      <c r="J11083" t="s">
        <v>11264</v>
      </c>
    </row>
    <row r="11084" spans="1:12" x14ac:dyDescent="0.3">
      <c r="A11084" s="160">
        <v>78242</v>
      </c>
      <c r="B11084" t="s">
        <v>26038</v>
      </c>
      <c r="C11084" t="s">
        <v>176</v>
      </c>
      <c r="D11084">
        <v>2.0099999999999998</v>
      </c>
      <c r="E11084">
        <v>0</v>
      </c>
      <c r="F11084">
        <f t="shared" si="196"/>
        <v>2.0099999999999998</v>
      </c>
      <c r="G11084">
        <v>1</v>
      </c>
      <c r="H11084">
        <f t="shared" si="195"/>
        <v>2.0099999999999998</v>
      </c>
      <c r="I11084">
        <v>20170401</v>
      </c>
      <c r="J11084" t="s">
        <v>11265</v>
      </c>
      <c r="K11084" t="s">
        <v>11163</v>
      </c>
    </row>
    <row r="11085" spans="1:12" x14ac:dyDescent="0.3">
      <c r="A11085" s="160">
        <v>78245</v>
      </c>
      <c r="B11085" t="s">
        <v>26039</v>
      </c>
      <c r="C11085" t="s">
        <v>176</v>
      </c>
      <c r="D11085">
        <v>1.6</v>
      </c>
      <c r="E11085">
        <v>0</v>
      </c>
      <c r="F11085">
        <f t="shared" si="196"/>
        <v>1.6</v>
      </c>
      <c r="G11085">
        <v>1</v>
      </c>
      <c r="H11085">
        <f t="shared" si="195"/>
        <v>1.6</v>
      </c>
      <c r="I11085">
        <v>20170401</v>
      </c>
      <c r="J11085" t="s">
        <v>11159</v>
      </c>
    </row>
    <row r="11086" spans="1:12" x14ac:dyDescent="0.3">
      <c r="A11086" s="160">
        <v>78246</v>
      </c>
      <c r="B11086" t="s">
        <v>26040</v>
      </c>
      <c r="C11086" t="s">
        <v>176</v>
      </c>
      <c r="D11086">
        <v>1.6</v>
      </c>
      <c r="E11086">
        <v>0</v>
      </c>
      <c r="F11086">
        <f t="shared" si="196"/>
        <v>1.6</v>
      </c>
      <c r="G11086">
        <v>1</v>
      </c>
      <c r="H11086">
        <f t="shared" si="195"/>
        <v>1.6</v>
      </c>
      <c r="I11086">
        <v>20170401</v>
      </c>
      <c r="J11086" t="s">
        <v>11171</v>
      </c>
    </row>
    <row r="11087" spans="1:12" x14ac:dyDescent="0.3">
      <c r="A11087" s="160">
        <v>78251</v>
      </c>
      <c r="B11087" t="s">
        <v>26040</v>
      </c>
      <c r="C11087" t="s">
        <v>176</v>
      </c>
      <c r="D11087">
        <v>2.0099999999999998</v>
      </c>
      <c r="E11087">
        <v>0</v>
      </c>
      <c r="F11087">
        <f t="shared" si="196"/>
        <v>2.0099999999999998</v>
      </c>
      <c r="G11087">
        <v>1</v>
      </c>
      <c r="H11087">
        <f t="shared" si="195"/>
        <v>2.0099999999999998</v>
      </c>
      <c r="I11087">
        <v>20170401</v>
      </c>
      <c r="J11087" t="s">
        <v>11199</v>
      </c>
      <c r="K11087" t="s">
        <v>11134</v>
      </c>
      <c r="L11087" t="s">
        <v>11266</v>
      </c>
    </row>
    <row r="11088" spans="1:12" x14ac:dyDescent="0.3">
      <c r="A11088" s="160">
        <v>78255</v>
      </c>
      <c r="B11088" t="s">
        <v>25303</v>
      </c>
      <c r="C11088" t="s">
        <v>176</v>
      </c>
      <c r="D11088">
        <v>1.6</v>
      </c>
      <c r="E11088">
        <v>0</v>
      </c>
      <c r="F11088">
        <f t="shared" si="196"/>
        <v>1.6</v>
      </c>
      <c r="G11088">
        <v>1</v>
      </c>
      <c r="H11088">
        <f t="shared" si="195"/>
        <v>1.6</v>
      </c>
      <c r="I11088">
        <v>20170401</v>
      </c>
      <c r="J11088" t="s">
        <v>11267</v>
      </c>
    </row>
    <row r="11089" spans="1:13" x14ac:dyDescent="0.3">
      <c r="A11089" s="160">
        <v>78261</v>
      </c>
      <c r="B11089" t="s">
        <v>26041</v>
      </c>
      <c r="C11089" t="s">
        <v>176</v>
      </c>
      <c r="D11089">
        <v>2.0099999999999998</v>
      </c>
      <c r="E11089">
        <v>0</v>
      </c>
      <c r="F11089">
        <f t="shared" si="196"/>
        <v>2.0099999999999998</v>
      </c>
      <c r="G11089">
        <v>1</v>
      </c>
      <c r="H11089">
        <f t="shared" si="195"/>
        <v>2.0099999999999998</v>
      </c>
      <c r="I11089">
        <v>20170401</v>
      </c>
      <c r="J11089" t="s">
        <v>11268</v>
      </c>
    </row>
    <row r="11090" spans="1:13" x14ac:dyDescent="0.3">
      <c r="A11090" s="160">
        <v>78262</v>
      </c>
      <c r="B11090" t="s">
        <v>26042</v>
      </c>
      <c r="C11090" t="s">
        <v>176</v>
      </c>
      <c r="D11090">
        <v>1.6</v>
      </c>
      <c r="E11090">
        <v>0</v>
      </c>
      <c r="F11090">
        <f t="shared" si="196"/>
        <v>1.6</v>
      </c>
      <c r="G11090">
        <v>1</v>
      </c>
      <c r="H11090">
        <f t="shared" si="195"/>
        <v>1.6</v>
      </c>
      <c r="I11090">
        <v>20170401</v>
      </c>
      <c r="J11090" t="s">
        <v>11155</v>
      </c>
    </row>
    <row r="11091" spans="1:13" x14ac:dyDescent="0.3">
      <c r="A11091" s="160">
        <v>78263</v>
      </c>
      <c r="B11091" t="s">
        <v>26043</v>
      </c>
      <c r="C11091" t="s">
        <v>176</v>
      </c>
      <c r="D11091">
        <v>1.6</v>
      </c>
      <c r="E11091">
        <v>0</v>
      </c>
      <c r="F11091">
        <f t="shared" si="196"/>
        <v>1.6</v>
      </c>
      <c r="G11091">
        <v>1</v>
      </c>
      <c r="H11091">
        <f t="shared" si="195"/>
        <v>1.6</v>
      </c>
      <c r="I11091">
        <v>20170401</v>
      </c>
      <c r="J11091" t="s">
        <v>11269</v>
      </c>
    </row>
    <row r="11092" spans="1:13" x14ac:dyDescent="0.3">
      <c r="A11092" s="160">
        <v>78264</v>
      </c>
      <c r="B11092" t="s">
        <v>26044</v>
      </c>
      <c r="C11092" t="s">
        <v>176</v>
      </c>
      <c r="D11092">
        <v>1.6</v>
      </c>
      <c r="E11092">
        <v>0</v>
      </c>
      <c r="F11092">
        <f t="shared" si="196"/>
        <v>1.6</v>
      </c>
      <c r="G11092">
        <v>1</v>
      </c>
      <c r="H11092">
        <f t="shared" si="195"/>
        <v>1.6</v>
      </c>
      <c r="I11092">
        <v>20170401</v>
      </c>
      <c r="J11092" t="s">
        <v>11155</v>
      </c>
    </row>
    <row r="11093" spans="1:13" x14ac:dyDescent="0.3">
      <c r="A11093" s="160">
        <v>78265</v>
      </c>
      <c r="B11093" t="s">
        <v>26045</v>
      </c>
      <c r="C11093" t="s">
        <v>176</v>
      </c>
      <c r="D11093">
        <v>1.6</v>
      </c>
      <c r="E11093">
        <v>0</v>
      </c>
      <c r="F11093">
        <f t="shared" si="196"/>
        <v>1.6</v>
      </c>
      <c r="G11093">
        <v>1</v>
      </c>
      <c r="H11093">
        <f t="shared" si="195"/>
        <v>1.6</v>
      </c>
      <c r="I11093">
        <v>20170401</v>
      </c>
      <c r="J11093" t="s">
        <v>11270</v>
      </c>
    </row>
    <row r="11094" spans="1:13" x14ac:dyDescent="0.3">
      <c r="A11094" s="160">
        <v>78267</v>
      </c>
      <c r="B11094" t="s">
        <v>26046</v>
      </c>
      <c r="C11094" t="s">
        <v>176</v>
      </c>
      <c r="D11094">
        <v>2.0099999999999998</v>
      </c>
      <c r="E11094">
        <v>0</v>
      </c>
      <c r="F11094">
        <f t="shared" si="196"/>
        <v>2.0099999999999998</v>
      </c>
      <c r="G11094">
        <v>1</v>
      </c>
      <c r="H11094">
        <f t="shared" si="195"/>
        <v>2.0099999999999998</v>
      </c>
      <c r="I11094">
        <v>20170401</v>
      </c>
      <c r="J11094" t="s">
        <v>11171</v>
      </c>
    </row>
    <row r="11095" spans="1:13" x14ac:dyDescent="0.3">
      <c r="A11095" s="160">
        <v>78269</v>
      </c>
      <c r="B11095" t="s">
        <v>26047</v>
      </c>
      <c r="C11095" t="s">
        <v>176</v>
      </c>
      <c r="D11095">
        <v>1.6</v>
      </c>
      <c r="E11095">
        <v>0</v>
      </c>
      <c r="F11095">
        <f t="shared" si="196"/>
        <v>1.6</v>
      </c>
      <c r="G11095">
        <v>1</v>
      </c>
      <c r="H11095">
        <f t="shared" si="195"/>
        <v>1.6</v>
      </c>
      <c r="I11095">
        <v>20170401</v>
      </c>
      <c r="J11095" t="s">
        <v>11167</v>
      </c>
      <c r="K11095" t="s">
        <v>11271</v>
      </c>
      <c r="L11095" t="s">
        <v>11259</v>
      </c>
      <c r="M11095" t="s">
        <v>11272</v>
      </c>
    </row>
    <row r="11096" spans="1:13" x14ac:dyDescent="0.3">
      <c r="A11096" s="160">
        <v>78276</v>
      </c>
      <c r="B11096" t="s">
        <v>26048</v>
      </c>
      <c r="C11096" t="s">
        <v>176</v>
      </c>
      <c r="D11096">
        <v>1.6</v>
      </c>
      <c r="E11096">
        <v>0</v>
      </c>
      <c r="F11096">
        <f t="shared" si="196"/>
        <v>1.6</v>
      </c>
      <c r="G11096">
        <v>1</v>
      </c>
      <c r="H11096">
        <f t="shared" si="195"/>
        <v>1.6</v>
      </c>
      <c r="I11096">
        <v>20170401</v>
      </c>
      <c r="J11096" t="s">
        <v>11157</v>
      </c>
    </row>
    <row r="11097" spans="1:13" x14ac:dyDescent="0.3">
      <c r="A11097" s="160">
        <v>78278</v>
      </c>
      <c r="B11097" t="s">
        <v>25312</v>
      </c>
      <c r="C11097" t="s">
        <v>176</v>
      </c>
      <c r="D11097">
        <v>1.6</v>
      </c>
      <c r="E11097">
        <v>0</v>
      </c>
      <c r="F11097">
        <f t="shared" si="196"/>
        <v>1.6</v>
      </c>
      <c r="G11097">
        <v>1</v>
      </c>
      <c r="H11097">
        <f t="shared" si="195"/>
        <v>1.6</v>
      </c>
      <c r="I11097">
        <v>20170401</v>
      </c>
      <c r="J11097" t="s">
        <v>11137</v>
      </c>
    </row>
    <row r="11098" spans="1:13" x14ac:dyDescent="0.3">
      <c r="A11098" s="160">
        <v>78281</v>
      </c>
      <c r="B11098" t="s">
        <v>26049</v>
      </c>
      <c r="C11098" t="s">
        <v>176</v>
      </c>
      <c r="D11098">
        <v>1.6</v>
      </c>
      <c r="E11098">
        <v>0</v>
      </c>
      <c r="F11098">
        <f t="shared" si="196"/>
        <v>1.6</v>
      </c>
      <c r="G11098">
        <v>1</v>
      </c>
      <c r="H11098">
        <f t="shared" si="195"/>
        <v>1.6</v>
      </c>
      <c r="I11098">
        <v>20170401</v>
      </c>
      <c r="J11098" t="s">
        <v>11199</v>
      </c>
      <c r="K11098" t="s">
        <v>11147</v>
      </c>
    </row>
    <row r="11099" spans="1:13" x14ac:dyDescent="0.3">
      <c r="A11099" s="160">
        <v>78283</v>
      </c>
      <c r="B11099" t="s">
        <v>26050</v>
      </c>
      <c r="C11099" t="s">
        <v>176</v>
      </c>
      <c r="D11099">
        <v>1.6</v>
      </c>
      <c r="E11099">
        <v>0</v>
      </c>
      <c r="F11099">
        <f t="shared" si="196"/>
        <v>1.6</v>
      </c>
      <c r="G11099">
        <v>1</v>
      </c>
      <c r="H11099">
        <f t="shared" si="195"/>
        <v>1.6</v>
      </c>
      <c r="I11099">
        <v>20170401</v>
      </c>
      <c r="J11099" t="s">
        <v>11133</v>
      </c>
    </row>
    <row r="11100" spans="1:13" x14ac:dyDescent="0.3">
      <c r="A11100" s="160">
        <v>78285</v>
      </c>
      <c r="B11100" t="s">
        <v>26051</v>
      </c>
      <c r="C11100" t="s">
        <v>176</v>
      </c>
      <c r="D11100">
        <v>1.6</v>
      </c>
      <c r="E11100">
        <v>0</v>
      </c>
      <c r="F11100">
        <f t="shared" si="196"/>
        <v>1.6</v>
      </c>
      <c r="G11100">
        <v>1</v>
      </c>
      <c r="H11100">
        <f t="shared" si="195"/>
        <v>1.6</v>
      </c>
      <c r="I11100">
        <v>20170401</v>
      </c>
      <c r="J11100" t="s">
        <v>11154</v>
      </c>
    </row>
    <row r="11101" spans="1:13" x14ac:dyDescent="0.3">
      <c r="A11101" s="160">
        <v>78289</v>
      </c>
      <c r="B11101" t="s">
        <v>26052</v>
      </c>
      <c r="C11101" t="s">
        <v>176</v>
      </c>
      <c r="D11101">
        <v>1.6</v>
      </c>
      <c r="E11101">
        <v>0</v>
      </c>
      <c r="F11101">
        <f t="shared" si="196"/>
        <v>1.6</v>
      </c>
      <c r="G11101">
        <v>1</v>
      </c>
      <c r="H11101">
        <f t="shared" si="195"/>
        <v>1.6</v>
      </c>
      <c r="I11101">
        <v>20170401</v>
      </c>
      <c r="J11101" t="s">
        <v>11155</v>
      </c>
    </row>
    <row r="11102" spans="1:13" x14ac:dyDescent="0.3">
      <c r="A11102" s="160">
        <v>78290</v>
      </c>
      <c r="B11102" t="s">
        <v>26053</v>
      </c>
      <c r="C11102" t="s">
        <v>176</v>
      </c>
      <c r="D11102">
        <v>1.6</v>
      </c>
      <c r="E11102">
        <v>0</v>
      </c>
      <c r="F11102">
        <f t="shared" si="196"/>
        <v>1.6</v>
      </c>
      <c r="G11102">
        <v>1</v>
      </c>
      <c r="H11102">
        <f t="shared" si="195"/>
        <v>1.6</v>
      </c>
      <c r="I11102">
        <v>20170401</v>
      </c>
      <c r="J11102" t="s">
        <v>11264</v>
      </c>
    </row>
    <row r="11103" spans="1:13" x14ac:dyDescent="0.3">
      <c r="A11103" s="160">
        <v>78291</v>
      </c>
      <c r="B11103" t="s">
        <v>26054</v>
      </c>
      <c r="C11103" t="s">
        <v>176</v>
      </c>
      <c r="D11103">
        <v>1.6</v>
      </c>
      <c r="E11103">
        <v>0</v>
      </c>
      <c r="F11103">
        <f t="shared" si="196"/>
        <v>1.6</v>
      </c>
      <c r="G11103">
        <v>1</v>
      </c>
      <c r="H11103">
        <f t="shared" si="195"/>
        <v>1.6</v>
      </c>
      <c r="I11103">
        <v>20170401</v>
      </c>
      <c r="J11103" t="s">
        <v>11147</v>
      </c>
      <c r="K11103" t="s">
        <v>11273</v>
      </c>
    </row>
    <row r="11104" spans="1:13" x14ac:dyDescent="0.3">
      <c r="A11104" s="160">
        <v>78296</v>
      </c>
      <c r="B11104" t="s">
        <v>26055</v>
      </c>
      <c r="C11104" t="s">
        <v>176</v>
      </c>
      <c r="D11104">
        <v>1.6</v>
      </c>
      <c r="E11104">
        <v>0</v>
      </c>
      <c r="F11104">
        <f t="shared" si="196"/>
        <v>1.6</v>
      </c>
      <c r="G11104">
        <v>1</v>
      </c>
      <c r="H11104">
        <f t="shared" si="195"/>
        <v>1.6</v>
      </c>
      <c r="I11104">
        <v>20170401</v>
      </c>
      <c r="J11104" t="s">
        <v>11171</v>
      </c>
    </row>
    <row r="11105" spans="1:38" x14ac:dyDescent="0.3">
      <c r="A11105" s="160">
        <v>78297</v>
      </c>
      <c r="B11105" t="s">
        <v>26056</v>
      </c>
      <c r="C11105" t="s">
        <v>176</v>
      </c>
      <c r="D11105">
        <v>2.0099999999999998</v>
      </c>
      <c r="E11105">
        <v>0</v>
      </c>
      <c r="F11105">
        <f t="shared" si="196"/>
        <v>2.0099999999999998</v>
      </c>
      <c r="G11105">
        <v>1</v>
      </c>
      <c r="H11105">
        <f t="shared" si="195"/>
        <v>2.0099999999999998</v>
      </c>
      <c r="I11105">
        <v>20170401</v>
      </c>
      <c r="J11105" t="s">
        <v>11274</v>
      </c>
      <c r="K11105" t="s">
        <v>11275</v>
      </c>
      <c r="L11105" t="s">
        <v>11276</v>
      </c>
      <c r="M11105" t="s">
        <v>11277</v>
      </c>
      <c r="N11105" t="s">
        <v>11278</v>
      </c>
      <c r="O11105" t="s">
        <v>11279</v>
      </c>
      <c r="P11105" t="s">
        <v>11280</v>
      </c>
      <c r="Q11105" t="s">
        <v>11281</v>
      </c>
      <c r="R11105" t="s">
        <v>11282</v>
      </c>
      <c r="S11105" t="s">
        <v>11283</v>
      </c>
      <c r="T11105" t="s">
        <v>11284</v>
      </c>
      <c r="U11105" t="s">
        <v>11285</v>
      </c>
      <c r="V11105" t="s">
        <v>11286</v>
      </c>
      <c r="W11105" t="s">
        <v>11287</v>
      </c>
      <c r="X11105" t="s">
        <v>11288</v>
      </c>
      <c r="Y11105" t="s">
        <v>11289</v>
      </c>
      <c r="Z11105" t="s">
        <v>11290</v>
      </c>
      <c r="AA11105" t="s">
        <v>11291</v>
      </c>
      <c r="AB11105" t="s">
        <v>11292</v>
      </c>
      <c r="AC11105" t="s">
        <v>11293</v>
      </c>
      <c r="AD11105" t="s">
        <v>11294</v>
      </c>
      <c r="AE11105" t="s">
        <v>11295</v>
      </c>
      <c r="AF11105" t="s">
        <v>11296</v>
      </c>
      <c r="AG11105" t="s">
        <v>11297</v>
      </c>
      <c r="AH11105" t="s">
        <v>11298</v>
      </c>
      <c r="AI11105" t="s">
        <v>11299</v>
      </c>
      <c r="AJ11105" t="s">
        <v>11300</v>
      </c>
      <c r="AK11105" t="s">
        <v>11301</v>
      </c>
      <c r="AL11105" t="s">
        <v>11302</v>
      </c>
    </row>
    <row r="11106" spans="1:38" x14ac:dyDescent="0.3">
      <c r="A11106" s="160">
        <v>78299</v>
      </c>
      <c r="B11106" t="s">
        <v>26057</v>
      </c>
      <c r="C11106" t="s">
        <v>176</v>
      </c>
      <c r="D11106">
        <v>2.0099999999999998</v>
      </c>
      <c r="E11106">
        <v>0</v>
      </c>
      <c r="F11106">
        <f t="shared" si="196"/>
        <v>2.0099999999999998</v>
      </c>
      <c r="G11106">
        <v>1</v>
      </c>
      <c r="H11106">
        <f t="shared" si="195"/>
        <v>2.0099999999999998</v>
      </c>
      <c r="I11106">
        <v>20170401</v>
      </c>
      <c r="J11106" t="s">
        <v>11268</v>
      </c>
    </row>
    <row r="11107" spans="1:38" x14ac:dyDescent="0.3">
      <c r="A11107" s="160">
        <v>78300</v>
      </c>
      <c r="B11107" t="s">
        <v>26058</v>
      </c>
      <c r="C11107" t="s">
        <v>176</v>
      </c>
      <c r="D11107">
        <v>1.6</v>
      </c>
      <c r="E11107">
        <v>0</v>
      </c>
      <c r="F11107">
        <f t="shared" si="196"/>
        <v>1.6</v>
      </c>
      <c r="G11107">
        <v>1</v>
      </c>
      <c r="H11107">
        <f t="shared" si="195"/>
        <v>1.6</v>
      </c>
      <c r="I11107">
        <v>20170401</v>
      </c>
      <c r="J11107" t="s">
        <v>11139</v>
      </c>
    </row>
    <row r="11108" spans="1:38" x14ac:dyDescent="0.3">
      <c r="A11108" s="160">
        <v>78302</v>
      </c>
      <c r="B11108" t="s">
        <v>26059</v>
      </c>
      <c r="C11108" t="s">
        <v>176</v>
      </c>
      <c r="D11108">
        <v>1.6</v>
      </c>
      <c r="E11108">
        <v>0</v>
      </c>
      <c r="F11108">
        <f t="shared" si="196"/>
        <v>1.6</v>
      </c>
      <c r="G11108">
        <v>1</v>
      </c>
      <c r="H11108">
        <f t="shared" si="195"/>
        <v>1.6</v>
      </c>
      <c r="I11108">
        <v>20170401</v>
      </c>
      <c r="J11108" t="s">
        <v>11133</v>
      </c>
    </row>
    <row r="11109" spans="1:38" x14ac:dyDescent="0.3">
      <c r="A11109" s="160">
        <v>78305</v>
      </c>
      <c r="B11109" t="s">
        <v>26060</v>
      </c>
      <c r="C11109" t="s">
        <v>176</v>
      </c>
      <c r="D11109">
        <v>1.6</v>
      </c>
      <c r="E11109">
        <v>0</v>
      </c>
      <c r="F11109">
        <f t="shared" si="196"/>
        <v>1.6</v>
      </c>
      <c r="G11109">
        <v>1</v>
      </c>
      <c r="H11109">
        <f t="shared" si="195"/>
        <v>1.6</v>
      </c>
      <c r="I11109">
        <v>20170401</v>
      </c>
      <c r="J11109" t="s">
        <v>11136</v>
      </c>
    </row>
    <row r="11110" spans="1:38" x14ac:dyDescent="0.3">
      <c r="A11110" s="160">
        <v>78307</v>
      </c>
      <c r="B11110" t="s">
        <v>26061</v>
      </c>
      <c r="C11110" t="s">
        <v>176</v>
      </c>
      <c r="D11110">
        <v>1.6</v>
      </c>
      <c r="E11110">
        <v>0</v>
      </c>
      <c r="F11110">
        <f t="shared" si="196"/>
        <v>1.6</v>
      </c>
      <c r="G11110">
        <v>1</v>
      </c>
      <c r="H11110">
        <f t="shared" si="195"/>
        <v>1.6</v>
      </c>
      <c r="I11110">
        <v>20170401</v>
      </c>
      <c r="J11110" t="s">
        <v>11167</v>
      </c>
    </row>
    <row r="11111" spans="1:38" x14ac:dyDescent="0.3">
      <c r="A11111" s="160">
        <v>78310</v>
      </c>
      <c r="B11111" t="s">
        <v>26062</v>
      </c>
      <c r="C11111" t="s">
        <v>176</v>
      </c>
      <c r="D11111">
        <v>1.6</v>
      </c>
      <c r="E11111">
        <v>0</v>
      </c>
      <c r="F11111">
        <f t="shared" si="196"/>
        <v>1.6</v>
      </c>
      <c r="G11111">
        <v>1</v>
      </c>
      <c r="H11111">
        <f t="shared" si="195"/>
        <v>1.6</v>
      </c>
      <c r="I11111">
        <v>20170401</v>
      </c>
      <c r="J11111" t="s">
        <v>11154</v>
      </c>
    </row>
    <row r="11112" spans="1:38" x14ac:dyDescent="0.3">
      <c r="A11112" s="160">
        <v>78311</v>
      </c>
      <c r="B11112" t="s">
        <v>26063</v>
      </c>
      <c r="C11112" t="s">
        <v>176</v>
      </c>
      <c r="D11112">
        <v>2.0099999999999998</v>
      </c>
      <c r="E11112">
        <v>0</v>
      </c>
      <c r="F11112">
        <f t="shared" si="196"/>
        <v>2.0099999999999998</v>
      </c>
      <c r="G11112">
        <v>1</v>
      </c>
      <c r="H11112">
        <f t="shared" si="195"/>
        <v>2.0099999999999998</v>
      </c>
      <c r="I11112">
        <v>20170401</v>
      </c>
      <c r="J11112" t="s">
        <v>11303</v>
      </c>
      <c r="K11112" t="s">
        <v>11304</v>
      </c>
      <c r="L11112" t="s">
        <v>11305</v>
      </c>
      <c r="M11112" t="s">
        <v>11306</v>
      </c>
      <c r="N11112" t="s">
        <v>11307</v>
      </c>
      <c r="O11112" t="s">
        <v>11308</v>
      </c>
      <c r="P11112" t="s">
        <v>11309</v>
      </c>
    </row>
    <row r="11113" spans="1:38" x14ac:dyDescent="0.3">
      <c r="A11113" s="160">
        <v>78314</v>
      </c>
      <c r="B11113" t="s">
        <v>26064</v>
      </c>
      <c r="C11113" t="s">
        <v>176</v>
      </c>
      <c r="D11113">
        <v>2.0099999999999998</v>
      </c>
      <c r="E11113">
        <v>0</v>
      </c>
      <c r="F11113">
        <f t="shared" si="196"/>
        <v>2.0099999999999998</v>
      </c>
      <c r="G11113">
        <v>1</v>
      </c>
      <c r="H11113">
        <f t="shared" si="195"/>
        <v>2.0099999999999998</v>
      </c>
      <c r="I11113">
        <v>20170401</v>
      </c>
      <c r="J11113" t="s">
        <v>11171</v>
      </c>
    </row>
    <row r="11114" spans="1:38" x14ac:dyDescent="0.3">
      <c r="A11114" s="160">
        <v>78317</v>
      </c>
      <c r="B11114" t="s">
        <v>26065</v>
      </c>
      <c r="C11114" t="s">
        <v>176</v>
      </c>
      <c r="D11114">
        <v>1.6</v>
      </c>
      <c r="E11114">
        <v>0</v>
      </c>
      <c r="F11114">
        <f t="shared" si="196"/>
        <v>1.6</v>
      </c>
      <c r="G11114">
        <v>1</v>
      </c>
      <c r="H11114">
        <f t="shared" si="195"/>
        <v>1.6</v>
      </c>
      <c r="I11114">
        <v>20170401</v>
      </c>
      <c r="J11114" t="s">
        <v>11171</v>
      </c>
    </row>
    <row r="11115" spans="1:38" x14ac:dyDescent="0.3">
      <c r="A11115" s="160">
        <v>78320</v>
      </c>
      <c r="B11115" t="s">
        <v>26066</v>
      </c>
      <c r="C11115" t="s">
        <v>176</v>
      </c>
      <c r="D11115">
        <v>1.6</v>
      </c>
      <c r="E11115">
        <v>0</v>
      </c>
      <c r="F11115">
        <f t="shared" si="196"/>
        <v>1.6</v>
      </c>
      <c r="G11115">
        <v>1</v>
      </c>
      <c r="H11115">
        <f t="shared" si="195"/>
        <v>1.6</v>
      </c>
      <c r="I11115">
        <v>20170401</v>
      </c>
      <c r="J11115" t="s">
        <v>11157</v>
      </c>
    </row>
    <row r="11116" spans="1:38" x14ac:dyDescent="0.3">
      <c r="A11116" s="160">
        <v>78321</v>
      </c>
      <c r="B11116" t="s">
        <v>26067</v>
      </c>
      <c r="C11116" t="s">
        <v>176</v>
      </c>
      <c r="D11116">
        <v>2.0099999999999998</v>
      </c>
      <c r="E11116">
        <v>0</v>
      </c>
      <c r="F11116">
        <f t="shared" si="196"/>
        <v>2.0099999999999998</v>
      </c>
      <c r="G11116">
        <v>1</v>
      </c>
      <c r="H11116">
        <f t="shared" si="195"/>
        <v>2.0099999999999998</v>
      </c>
      <c r="I11116">
        <v>20170401</v>
      </c>
      <c r="J11116" t="s">
        <v>11310</v>
      </c>
      <c r="K11116" t="s">
        <v>11311</v>
      </c>
    </row>
    <row r="11117" spans="1:38" x14ac:dyDescent="0.3">
      <c r="A11117" s="160">
        <v>78322</v>
      </c>
      <c r="B11117" t="s">
        <v>26068</v>
      </c>
      <c r="C11117" t="s">
        <v>176</v>
      </c>
      <c r="D11117">
        <v>2.0099999999999998</v>
      </c>
      <c r="E11117">
        <v>0</v>
      </c>
      <c r="F11117">
        <f t="shared" si="196"/>
        <v>2.0099999999999998</v>
      </c>
      <c r="G11117">
        <v>1</v>
      </c>
      <c r="H11117">
        <f t="shared" si="195"/>
        <v>2.0099999999999998</v>
      </c>
      <c r="I11117">
        <v>20170401</v>
      </c>
      <c r="J11117" t="s">
        <v>11312</v>
      </c>
      <c r="K11117" t="s">
        <v>11313</v>
      </c>
      <c r="L11117" t="s">
        <v>11172</v>
      </c>
      <c r="M11117" t="s">
        <v>11314</v>
      </c>
      <c r="N11117" t="s">
        <v>11315</v>
      </c>
      <c r="O11117" t="s">
        <v>11316</v>
      </c>
      <c r="P11117" t="s">
        <v>11317</v>
      </c>
    </row>
    <row r="11118" spans="1:38" x14ac:dyDescent="0.3">
      <c r="A11118" s="160">
        <v>78324</v>
      </c>
      <c r="B11118" t="s">
        <v>26069</v>
      </c>
      <c r="C11118" t="s">
        <v>176</v>
      </c>
      <c r="D11118">
        <v>1.6</v>
      </c>
      <c r="E11118">
        <v>0</v>
      </c>
      <c r="F11118">
        <f t="shared" si="196"/>
        <v>1.6</v>
      </c>
      <c r="G11118">
        <v>1</v>
      </c>
      <c r="H11118">
        <f t="shared" si="195"/>
        <v>1.6</v>
      </c>
      <c r="I11118">
        <v>20170401</v>
      </c>
      <c r="J11118" t="s">
        <v>11159</v>
      </c>
    </row>
    <row r="11119" spans="1:38" x14ac:dyDescent="0.3">
      <c r="A11119" s="160">
        <v>78325</v>
      </c>
      <c r="B11119" t="s">
        <v>26070</v>
      </c>
      <c r="C11119" t="s">
        <v>176</v>
      </c>
      <c r="D11119">
        <v>1.6</v>
      </c>
      <c r="E11119">
        <v>0</v>
      </c>
      <c r="F11119">
        <f t="shared" si="196"/>
        <v>1.6</v>
      </c>
      <c r="G11119">
        <v>1</v>
      </c>
      <c r="H11119">
        <f t="shared" si="195"/>
        <v>1.6</v>
      </c>
      <c r="I11119">
        <v>20170401</v>
      </c>
      <c r="J11119" t="s">
        <v>11136</v>
      </c>
    </row>
    <row r="11120" spans="1:38" x14ac:dyDescent="0.3">
      <c r="A11120" s="160">
        <v>78327</v>
      </c>
      <c r="B11120" t="s">
        <v>26071</v>
      </c>
      <c r="C11120" t="s">
        <v>176</v>
      </c>
      <c r="D11120">
        <v>2.0099999999999998</v>
      </c>
      <c r="E11120">
        <v>0</v>
      </c>
      <c r="F11120">
        <f t="shared" si="196"/>
        <v>2.0099999999999998</v>
      </c>
      <c r="G11120">
        <v>1</v>
      </c>
      <c r="H11120">
        <f t="shared" si="195"/>
        <v>2.0099999999999998</v>
      </c>
      <c r="I11120">
        <v>20170401</v>
      </c>
      <c r="J11120" t="s">
        <v>11318</v>
      </c>
    </row>
    <row r="11121" spans="1:21" x14ac:dyDescent="0.3">
      <c r="A11121" s="160">
        <v>78329</v>
      </c>
      <c r="B11121" t="s">
        <v>26072</v>
      </c>
      <c r="C11121" t="s">
        <v>176</v>
      </c>
      <c r="D11121">
        <v>1.6</v>
      </c>
      <c r="E11121">
        <v>0</v>
      </c>
      <c r="F11121">
        <f t="shared" si="196"/>
        <v>1.6</v>
      </c>
      <c r="G11121">
        <v>1</v>
      </c>
      <c r="H11121">
        <f t="shared" si="195"/>
        <v>1.6</v>
      </c>
      <c r="I11121">
        <v>20170401</v>
      </c>
      <c r="J11121" t="s">
        <v>11171</v>
      </c>
    </row>
    <row r="11122" spans="1:21" x14ac:dyDescent="0.3">
      <c r="A11122" s="160">
        <v>78334</v>
      </c>
      <c r="B11122" t="s">
        <v>26073</v>
      </c>
      <c r="C11122" t="s">
        <v>176</v>
      </c>
      <c r="D11122">
        <v>1.6</v>
      </c>
      <c r="E11122">
        <v>0</v>
      </c>
      <c r="F11122">
        <f t="shared" si="196"/>
        <v>1.6</v>
      </c>
      <c r="G11122">
        <v>1</v>
      </c>
      <c r="H11122">
        <f t="shared" si="195"/>
        <v>1.6</v>
      </c>
      <c r="I11122">
        <v>20170401</v>
      </c>
      <c r="J11122" t="s">
        <v>11319</v>
      </c>
    </row>
    <row r="11123" spans="1:21" x14ac:dyDescent="0.3">
      <c r="A11123" s="160">
        <v>78335</v>
      </c>
      <c r="B11123" t="s">
        <v>26074</v>
      </c>
      <c r="C11123" t="s">
        <v>176</v>
      </c>
      <c r="D11123">
        <v>2.0099999999999998</v>
      </c>
      <c r="E11123">
        <v>0</v>
      </c>
      <c r="F11123">
        <f t="shared" si="196"/>
        <v>2.0099999999999998</v>
      </c>
      <c r="G11123">
        <v>1</v>
      </c>
      <c r="H11123">
        <f t="shared" ref="H11123:H11186" si="197">G11123*F11123</f>
        <v>2.0099999999999998</v>
      </c>
      <c r="I11123">
        <v>20170401</v>
      </c>
      <c r="J11123" t="s">
        <v>11264</v>
      </c>
    </row>
    <row r="11124" spans="1:21" x14ac:dyDescent="0.3">
      <c r="A11124" s="160">
        <v>78337</v>
      </c>
      <c r="B11124" t="s">
        <v>26075</v>
      </c>
      <c r="C11124" t="s">
        <v>176</v>
      </c>
      <c r="D11124">
        <v>1.6</v>
      </c>
      <c r="E11124">
        <v>0</v>
      </c>
      <c r="F11124">
        <f t="shared" si="196"/>
        <v>1.6</v>
      </c>
      <c r="G11124">
        <v>1</v>
      </c>
      <c r="H11124">
        <f t="shared" si="197"/>
        <v>1.6</v>
      </c>
      <c r="I11124">
        <v>20170401</v>
      </c>
      <c r="J11124" t="s">
        <v>11157</v>
      </c>
    </row>
    <row r="11125" spans="1:21" x14ac:dyDescent="0.3">
      <c r="A11125" s="160">
        <v>78343</v>
      </c>
      <c r="B11125" t="s">
        <v>26076</v>
      </c>
      <c r="C11125" t="s">
        <v>176</v>
      </c>
      <c r="D11125">
        <v>2.0099999999999998</v>
      </c>
      <c r="E11125">
        <v>0</v>
      </c>
      <c r="F11125">
        <f t="shared" si="196"/>
        <v>2.0099999999999998</v>
      </c>
      <c r="G11125">
        <v>1</v>
      </c>
      <c r="H11125">
        <f t="shared" si="197"/>
        <v>2.0099999999999998</v>
      </c>
      <c r="I11125">
        <v>20170401</v>
      </c>
      <c r="J11125" t="s">
        <v>11312</v>
      </c>
      <c r="K11125" t="s">
        <v>11314</v>
      </c>
      <c r="L11125" t="s">
        <v>11315</v>
      </c>
      <c r="M11125" t="s">
        <v>11317</v>
      </c>
      <c r="N11125" t="s">
        <v>11177</v>
      </c>
    </row>
    <row r="11126" spans="1:21" x14ac:dyDescent="0.3">
      <c r="A11126" s="160">
        <v>78344</v>
      </c>
      <c r="B11126" t="s">
        <v>26077</v>
      </c>
      <c r="C11126" t="s">
        <v>176</v>
      </c>
      <c r="D11126">
        <v>1.6</v>
      </c>
      <c r="E11126">
        <v>0</v>
      </c>
      <c r="F11126">
        <f t="shared" si="196"/>
        <v>1.6</v>
      </c>
      <c r="G11126">
        <v>1</v>
      </c>
      <c r="H11126">
        <f t="shared" si="197"/>
        <v>1.6</v>
      </c>
      <c r="I11126">
        <v>20170401</v>
      </c>
      <c r="J11126" t="s">
        <v>11157</v>
      </c>
    </row>
    <row r="11127" spans="1:21" x14ac:dyDescent="0.3">
      <c r="A11127" s="160">
        <v>78346</v>
      </c>
      <c r="B11127" t="s">
        <v>26078</v>
      </c>
      <c r="C11127" t="s">
        <v>176</v>
      </c>
      <c r="D11127">
        <v>1.6</v>
      </c>
      <c r="E11127">
        <v>0</v>
      </c>
      <c r="F11127">
        <f t="shared" si="196"/>
        <v>1.6</v>
      </c>
      <c r="G11127">
        <v>1</v>
      </c>
      <c r="H11127">
        <f t="shared" si="197"/>
        <v>1.6</v>
      </c>
      <c r="I11127">
        <v>20170401</v>
      </c>
      <c r="J11127" t="s">
        <v>11170</v>
      </c>
    </row>
    <row r="11128" spans="1:21" x14ac:dyDescent="0.3">
      <c r="A11128" s="160">
        <v>78349</v>
      </c>
      <c r="B11128" t="s">
        <v>23455</v>
      </c>
      <c r="C11128" t="s">
        <v>176</v>
      </c>
      <c r="D11128">
        <v>1.6</v>
      </c>
      <c r="E11128">
        <v>0</v>
      </c>
      <c r="F11128">
        <f t="shared" si="196"/>
        <v>1.6</v>
      </c>
      <c r="G11128">
        <v>1</v>
      </c>
      <c r="H11128">
        <f t="shared" si="197"/>
        <v>1.6</v>
      </c>
      <c r="I11128">
        <v>20170401</v>
      </c>
      <c r="J11128" t="s">
        <v>11320</v>
      </c>
    </row>
    <row r="11129" spans="1:21" x14ac:dyDescent="0.3">
      <c r="A11129" s="160">
        <v>78350</v>
      </c>
      <c r="B11129" t="s">
        <v>26079</v>
      </c>
      <c r="C11129" t="s">
        <v>176</v>
      </c>
      <c r="D11129">
        <v>2.0099999999999998</v>
      </c>
      <c r="E11129">
        <v>0</v>
      </c>
      <c r="F11129">
        <f t="shared" si="196"/>
        <v>2.0099999999999998</v>
      </c>
      <c r="G11129">
        <v>1</v>
      </c>
      <c r="H11129">
        <f t="shared" si="197"/>
        <v>2.0099999999999998</v>
      </c>
      <c r="I11129">
        <v>20170401</v>
      </c>
      <c r="J11129" t="s">
        <v>11321</v>
      </c>
      <c r="K11129" t="s">
        <v>11322</v>
      </c>
    </row>
    <row r="11130" spans="1:21" x14ac:dyDescent="0.3">
      <c r="A11130" s="160">
        <v>78354</v>
      </c>
      <c r="B11130" t="s">
        <v>26080</v>
      </c>
      <c r="C11130" t="s">
        <v>176</v>
      </c>
      <c r="D11130">
        <v>2.0099999999999998</v>
      </c>
      <c r="E11130">
        <v>0</v>
      </c>
      <c r="F11130">
        <f t="shared" si="196"/>
        <v>2.0099999999999998</v>
      </c>
      <c r="G11130">
        <v>1</v>
      </c>
      <c r="H11130">
        <f t="shared" si="197"/>
        <v>2.0099999999999998</v>
      </c>
      <c r="I11130">
        <v>20170401</v>
      </c>
      <c r="J11130" t="s">
        <v>11159</v>
      </c>
      <c r="K11130" t="s">
        <v>11323</v>
      </c>
      <c r="L11130" t="s">
        <v>11324</v>
      </c>
      <c r="M11130" t="s">
        <v>11325</v>
      </c>
      <c r="N11130" t="s">
        <v>11184</v>
      </c>
      <c r="O11130" t="s">
        <v>11185</v>
      </c>
    </row>
    <row r="11131" spans="1:21" x14ac:dyDescent="0.3">
      <c r="A11131" s="160">
        <v>78356</v>
      </c>
      <c r="B11131" t="s">
        <v>26081</v>
      </c>
      <c r="C11131" t="s">
        <v>176</v>
      </c>
      <c r="D11131">
        <v>2.0099999999999998</v>
      </c>
      <c r="E11131">
        <v>0</v>
      </c>
      <c r="F11131">
        <f t="shared" si="196"/>
        <v>2.0099999999999998</v>
      </c>
      <c r="G11131">
        <v>1</v>
      </c>
      <c r="H11131">
        <f t="shared" si="197"/>
        <v>2.0099999999999998</v>
      </c>
      <c r="I11131">
        <v>20170401</v>
      </c>
      <c r="J11131" t="s">
        <v>11326</v>
      </c>
      <c r="K11131" t="s">
        <v>11327</v>
      </c>
      <c r="L11131" t="s">
        <v>11328</v>
      </c>
    </row>
    <row r="11132" spans="1:21" x14ac:dyDescent="0.3">
      <c r="A11132" s="160">
        <v>78358</v>
      </c>
      <c r="B11132" t="s">
        <v>26082</v>
      </c>
      <c r="C11132" t="s">
        <v>176</v>
      </c>
      <c r="D11132">
        <v>2.0099999999999998</v>
      </c>
      <c r="E11132">
        <v>0</v>
      </c>
      <c r="F11132">
        <f t="shared" si="196"/>
        <v>2.0099999999999998</v>
      </c>
      <c r="G11132">
        <v>1</v>
      </c>
      <c r="H11132">
        <f t="shared" si="197"/>
        <v>2.0099999999999998</v>
      </c>
      <c r="I11132">
        <v>20170401</v>
      </c>
      <c r="J11132" t="s">
        <v>11329</v>
      </c>
      <c r="K11132" t="s">
        <v>11330</v>
      </c>
      <c r="L11132" t="s">
        <v>11331</v>
      </c>
      <c r="M11132" t="s">
        <v>11332</v>
      </c>
      <c r="N11132" t="s">
        <v>11333</v>
      </c>
      <c r="O11132" t="s">
        <v>11334</v>
      </c>
    </row>
    <row r="11133" spans="1:21" x14ac:dyDescent="0.3">
      <c r="A11133" s="160">
        <v>78361</v>
      </c>
      <c r="B11133" t="s">
        <v>26083</v>
      </c>
      <c r="C11133" t="s">
        <v>176</v>
      </c>
      <c r="D11133">
        <v>2.0099999999999998</v>
      </c>
      <c r="E11133">
        <v>0</v>
      </c>
      <c r="F11133">
        <f t="shared" si="196"/>
        <v>2.0099999999999998</v>
      </c>
      <c r="G11133">
        <v>1</v>
      </c>
      <c r="H11133">
        <f t="shared" si="197"/>
        <v>2.0099999999999998</v>
      </c>
      <c r="I11133">
        <v>20170401</v>
      </c>
      <c r="J11133" t="s">
        <v>11159</v>
      </c>
      <c r="K11133" t="s">
        <v>11335</v>
      </c>
      <c r="L11133" t="s">
        <v>11181</v>
      </c>
      <c r="M11133" t="s">
        <v>11182</v>
      </c>
      <c r="N11133" t="s">
        <v>11323</v>
      </c>
      <c r="O11133" t="s">
        <v>11183</v>
      </c>
      <c r="P11133" t="s">
        <v>11336</v>
      </c>
      <c r="Q11133" t="s">
        <v>11324</v>
      </c>
      <c r="R11133" t="s">
        <v>11337</v>
      </c>
      <c r="S11133" t="s">
        <v>11184</v>
      </c>
      <c r="T11133" t="s">
        <v>11185</v>
      </c>
      <c r="U11133" t="s">
        <v>11338</v>
      </c>
    </row>
    <row r="11134" spans="1:21" x14ac:dyDescent="0.3">
      <c r="A11134" s="160">
        <v>78362</v>
      </c>
      <c r="B11134" t="s">
        <v>26084</v>
      </c>
      <c r="C11134" t="s">
        <v>176</v>
      </c>
      <c r="D11134">
        <v>2.0099999999999998</v>
      </c>
      <c r="E11134">
        <v>0</v>
      </c>
      <c r="F11134">
        <f t="shared" si="196"/>
        <v>2.0099999999999998</v>
      </c>
      <c r="G11134">
        <v>1</v>
      </c>
      <c r="H11134">
        <f t="shared" si="197"/>
        <v>2.0099999999999998</v>
      </c>
      <c r="I11134">
        <v>20170401</v>
      </c>
      <c r="J11134" t="s">
        <v>11181</v>
      </c>
      <c r="K11134" t="s">
        <v>11182</v>
      </c>
      <c r="L11134" t="s">
        <v>11323</v>
      </c>
      <c r="M11134" t="s">
        <v>11325</v>
      </c>
      <c r="N11134" t="s">
        <v>11339</v>
      </c>
      <c r="O11134" t="s">
        <v>11337</v>
      </c>
      <c r="P11134" t="s">
        <v>11184</v>
      </c>
    </row>
    <row r="11135" spans="1:21" x14ac:dyDescent="0.3">
      <c r="A11135" s="160">
        <v>78364</v>
      </c>
      <c r="B11135" t="s">
        <v>26085</v>
      </c>
      <c r="C11135" t="s">
        <v>176</v>
      </c>
      <c r="D11135">
        <v>1.6</v>
      </c>
      <c r="E11135">
        <v>0</v>
      </c>
      <c r="F11135">
        <f t="shared" si="196"/>
        <v>1.6</v>
      </c>
      <c r="G11135">
        <v>1</v>
      </c>
      <c r="H11135">
        <f t="shared" si="197"/>
        <v>1.6</v>
      </c>
      <c r="I11135">
        <v>20170401</v>
      </c>
      <c r="J11135" t="s">
        <v>11137</v>
      </c>
    </row>
    <row r="11136" spans="1:21" x14ac:dyDescent="0.3">
      <c r="A11136" s="160">
        <v>78366</v>
      </c>
      <c r="B11136" t="s">
        <v>26086</v>
      </c>
      <c r="C11136" t="s">
        <v>176</v>
      </c>
      <c r="D11136">
        <v>1.6</v>
      </c>
      <c r="E11136">
        <v>0</v>
      </c>
      <c r="F11136">
        <f t="shared" si="196"/>
        <v>1.6</v>
      </c>
      <c r="G11136">
        <v>1</v>
      </c>
      <c r="H11136">
        <f t="shared" si="197"/>
        <v>1.6</v>
      </c>
      <c r="I11136">
        <v>20170401</v>
      </c>
      <c r="J11136" t="s">
        <v>11155</v>
      </c>
    </row>
    <row r="11137" spans="1:19" x14ac:dyDescent="0.3">
      <c r="A11137" s="160">
        <v>78367</v>
      </c>
      <c r="B11137" t="s">
        <v>26087</v>
      </c>
      <c r="C11137" t="s">
        <v>176</v>
      </c>
      <c r="D11137">
        <v>2.0099999999999998</v>
      </c>
      <c r="E11137">
        <v>0</v>
      </c>
      <c r="F11137">
        <f t="shared" si="196"/>
        <v>2.0099999999999998</v>
      </c>
      <c r="G11137">
        <v>1</v>
      </c>
      <c r="H11137">
        <f t="shared" si="197"/>
        <v>2.0099999999999998</v>
      </c>
      <c r="I11137">
        <v>20170401</v>
      </c>
      <c r="J11137" t="s">
        <v>11199</v>
      </c>
      <c r="K11137" t="s">
        <v>11134</v>
      </c>
      <c r="L11137" t="s">
        <v>11340</v>
      </c>
    </row>
    <row r="11138" spans="1:19" x14ac:dyDescent="0.3">
      <c r="A11138" s="160">
        <v>78368</v>
      </c>
      <c r="B11138" t="s">
        <v>26088</v>
      </c>
      <c r="C11138" t="s">
        <v>176</v>
      </c>
      <c r="D11138">
        <v>1.6</v>
      </c>
      <c r="E11138">
        <v>0</v>
      </c>
      <c r="F11138">
        <f t="shared" si="196"/>
        <v>1.6</v>
      </c>
      <c r="G11138">
        <v>1</v>
      </c>
      <c r="H11138">
        <f t="shared" si="197"/>
        <v>1.6</v>
      </c>
      <c r="I11138">
        <v>20170401</v>
      </c>
      <c r="J11138" t="s">
        <v>11341</v>
      </c>
    </row>
    <row r="11139" spans="1:19" x14ac:dyDescent="0.3">
      <c r="A11139" s="160">
        <v>78372</v>
      </c>
      <c r="B11139" t="s">
        <v>26089</v>
      </c>
      <c r="C11139" t="s">
        <v>176</v>
      </c>
      <c r="D11139">
        <v>2.0099999999999998</v>
      </c>
      <c r="E11139">
        <v>0</v>
      </c>
      <c r="F11139">
        <f t="shared" si="196"/>
        <v>2.0099999999999998</v>
      </c>
      <c r="G11139">
        <v>1</v>
      </c>
      <c r="H11139">
        <f t="shared" si="197"/>
        <v>2.0099999999999998</v>
      </c>
      <c r="I11139">
        <v>20170401</v>
      </c>
      <c r="J11139" t="s">
        <v>11131</v>
      </c>
      <c r="K11139" t="s">
        <v>11342</v>
      </c>
      <c r="L11139" t="s">
        <v>11343</v>
      </c>
      <c r="M11139" t="s">
        <v>11344</v>
      </c>
      <c r="N11139" t="s">
        <v>11345</v>
      </c>
      <c r="O11139" t="s">
        <v>11346</v>
      </c>
      <c r="P11139" t="s">
        <v>11347</v>
      </c>
      <c r="Q11139" t="s">
        <v>11348</v>
      </c>
    </row>
    <row r="11140" spans="1:19" x14ac:dyDescent="0.3">
      <c r="A11140" s="160">
        <v>78380</v>
      </c>
      <c r="B11140" t="s">
        <v>26090</v>
      </c>
      <c r="C11140" t="s">
        <v>176</v>
      </c>
      <c r="D11140">
        <v>1.6</v>
      </c>
      <c r="E11140">
        <v>0</v>
      </c>
      <c r="F11140">
        <f t="shared" si="196"/>
        <v>1.6</v>
      </c>
      <c r="G11140">
        <v>1</v>
      </c>
      <c r="H11140">
        <f t="shared" si="197"/>
        <v>1.6</v>
      </c>
      <c r="I11140">
        <v>20170401</v>
      </c>
      <c r="J11140" t="s">
        <v>11250</v>
      </c>
      <c r="K11140" t="s">
        <v>11136</v>
      </c>
    </row>
    <row r="11141" spans="1:19" x14ac:dyDescent="0.3">
      <c r="A11141" s="160">
        <v>78381</v>
      </c>
      <c r="B11141" t="s">
        <v>26091</v>
      </c>
      <c r="C11141" t="s">
        <v>176</v>
      </c>
      <c r="D11141">
        <v>1.6</v>
      </c>
      <c r="E11141">
        <v>0</v>
      </c>
      <c r="F11141">
        <f t="shared" si="196"/>
        <v>1.6</v>
      </c>
      <c r="G11141">
        <v>1</v>
      </c>
      <c r="H11141">
        <f t="shared" si="197"/>
        <v>1.6</v>
      </c>
      <c r="I11141">
        <v>20170401</v>
      </c>
      <c r="J11141" t="s">
        <v>11154</v>
      </c>
    </row>
    <row r="11142" spans="1:19" x14ac:dyDescent="0.3">
      <c r="A11142" s="160">
        <v>78382</v>
      </c>
      <c r="B11142" t="s">
        <v>26092</v>
      </c>
      <c r="C11142" t="s">
        <v>176</v>
      </c>
      <c r="D11142">
        <v>2.0099999999999998</v>
      </c>
      <c r="E11142">
        <v>0</v>
      </c>
      <c r="F11142">
        <f t="shared" si="196"/>
        <v>2.0099999999999998</v>
      </c>
      <c r="G11142">
        <v>1</v>
      </c>
      <c r="H11142">
        <f t="shared" si="197"/>
        <v>2.0099999999999998</v>
      </c>
      <c r="I11142">
        <v>20170401</v>
      </c>
      <c r="J11142" t="s">
        <v>11349</v>
      </c>
    </row>
    <row r="11143" spans="1:19" x14ac:dyDescent="0.3">
      <c r="A11143" s="160">
        <v>78383</v>
      </c>
      <c r="B11143" t="s">
        <v>26093</v>
      </c>
      <c r="C11143" t="s">
        <v>176</v>
      </c>
      <c r="D11143">
        <v>2.0099999999999998</v>
      </c>
      <c r="E11143">
        <v>0</v>
      </c>
      <c r="F11143">
        <f t="shared" ref="F11143:F11206" si="198">D11143+E11143</f>
        <v>2.0099999999999998</v>
      </c>
      <c r="G11143">
        <v>1</v>
      </c>
      <c r="H11143">
        <f t="shared" si="197"/>
        <v>2.0099999999999998</v>
      </c>
      <c r="I11143">
        <v>20170401</v>
      </c>
      <c r="J11143" t="s">
        <v>11274</v>
      </c>
      <c r="K11143" t="s">
        <v>11350</v>
      </c>
      <c r="L11143" t="s">
        <v>11230</v>
      </c>
      <c r="M11143" t="s">
        <v>11231</v>
      </c>
      <c r="N11143" t="s">
        <v>11232</v>
      </c>
      <c r="O11143" t="s">
        <v>11233</v>
      </c>
      <c r="P11143" t="s">
        <v>11234</v>
      </c>
      <c r="Q11143" t="s">
        <v>11235</v>
      </c>
      <c r="R11143" t="s">
        <v>11351</v>
      </c>
      <c r="S11143" t="s">
        <v>11236</v>
      </c>
    </row>
    <row r="11144" spans="1:19" x14ac:dyDescent="0.3">
      <c r="A11144" s="160">
        <v>78384</v>
      </c>
      <c r="B11144" t="s">
        <v>26094</v>
      </c>
      <c r="C11144" t="s">
        <v>176</v>
      </c>
      <c r="D11144">
        <v>2.0099999999999998</v>
      </c>
      <c r="E11144">
        <v>0</v>
      </c>
      <c r="F11144">
        <f t="shared" si="198"/>
        <v>2.0099999999999998</v>
      </c>
      <c r="G11144">
        <v>1</v>
      </c>
      <c r="H11144">
        <f t="shared" si="197"/>
        <v>2.0099999999999998</v>
      </c>
      <c r="I11144">
        <v>20170401</v>
      </c>
      <c r="J11144" t="s">
        <v>11352</v>
      </c>
    </row>
    <row r="11145" spans="1:19" x14ac:dyDescent="0.3">
      <c r="A11145" s="160">
        <v>78385</v>
      </c>
      <c r="B11145" t="s">
        <v>26095</v>
      </c>
      <c r="C11145" t="s">
        <v>176</v>
      </c>
      <c r="D11145">
        <v>1.6</v>
      </c>
      <c r="E11145">
        <v>0</v>
      </c>
      <c r="F11145">
        <f t="shared" si="198"/>
        <v>1.6</v>
      </c>
      <c r="G11145">
        <v>1</v>
      </c>
      <c r="H11145">
        <f t="shared" si="197"/>
        <v>1.6</v>
      </c>
      <c r="I11145">
        <v>20170401</v>
      </c>
      <c r="J11145" t="s">
        <v>11159</v>
      </c>
    </row>
    <row r="11146" spans="1:19" x14ac:dyDescent="0.3">
      <c r="A11146" s="160">
        <v>78389</v>
      </c>
      <c r="B11146" t="s">
        <v>26096</v>
      </c>
      <c r="C11146" t="s">
        <v>176</v>
      </c>
      <c r="D11146">
        <v>1.6</v>
      </c>
      <c r="E11146">
        <v>0</v>
      </c>
      <c r="F11146">
        <f t="shared" si="198"/>
        <v>1.6</v>
      </c>
      <c r="G11146">
        <v>1</v>
      </c>
      <c r="H11146">
        <f t="shared" si="197"/>
        <v>1.6</v>
      </c>
      <c r="I11146">
        <v>20170401</v>
      </c>
      <c r="J11146" t="s">
        <v>11155</v>
      </c>
    </row>
    <row r="11147" spans="1:19" x14ac:dyDescent="0.3">
      <c r="A11147" s="160">
        <v>78391</v>
      </c>
      <c r="B11147" t="s">
        <v>23477</v>
      </c>
      <c r="C11147" t="s">
        <v>176</v>
      </c>
      <c r="D11147">
        <v>1.6</v>
      </c>
      <c r="E11147">
        <v>0</v>
      </c>
      <c r="F11147">
        <f t="shared" si="198"/>
        <v>1.6</v>
      </c>
      <c r="G11147">
        <v>1</v>
      </c>
      <c r="H11147">
        <f t="shared" si="197"/>
        <v>1.6</v>
      </c>
      <c r="I11147">
        <v>20170401</v>
      </c>
      <c r="J11147" t="s">
        <v>11157</v>
      </c>
    </row>
    <row r="11148" spans="1:19" x14ac:dyDescent="0.3">
      <c r="A11148" s="160">
        <v>78396</v>
      </c>
      <c r="B11148" t="s">
        <v>26097</v>
      </c>
      <c r="C11148" t="s">
        <v>176</v>
      </c>
      <c r="D11148">
        <v>2.0099999999999998</v>
      </c>
      <c r="E11148">
        <v>0</v>
      </c>
      <c r="F11148">
        <f t="shared" si="198"/>
        <v>2.0099999999999998</v>
      </c>
      <c r="G11148">
        <v>1</v>
      </c>
      <c r="H11148">
        <f t="shared" si="197"/>
        <v>2.0099999999999998</v>
      </c>
      <c r="I11148">
        <v>20170401</v>
      </c>
      <c r="J11148" t="s">
        <v>11329</v>
      </c>
      <c r="K11148" t="s">
        <v>11330</v>
      </c>
      <c r="L11148" t="s">
        <v>11331</v>
      </c>
      <c r="M11148" t="s">
        <v>11333</v>
      </c>
    </row>
    <row r="11149" spans="1:19" x14ac:dyDescent="0.3">
      <c r="A11149" s="160">
        <v>78397</v>
      </c>
      <c r="B11149" t="s">
        <v>26098</v>
      </c>
      <c r="C11149" t="s">
        <v>176</v>
      </c>
      <c r="D11149">
        <v>2.0099999999999998</v>
      </c>
      <c r="E11149">
        <v>0</v>
      </c>
      <c r="F11149">
        <f t="shared" si="198"/>
        <v>2.0099999999999998</v>
      </c>
      <c r="G11149">
        <v>1</v>
      </c>
      <c r="H11149">
        <f t="shared" si="197"/>
        <v>2.0099999999999998</v>
      </c>
      <c r="I11149">
        <v>20170401</v>
      </c>
      <c r="J11149" t="s">
        <v>11319</v>
      </c>
      <c r="K11149" t="s">
        <v>11353</v>
      </c>
      <c r="L11149" t="s">
        <v>11354</v>
      </c>
    </row>
    <row r="11150" spans="1:19" x14ac:dyDescent="0.3">
      <c r="A11150" s="160">
        <v>78398</v>
      </c>
      <c r="B11150" t="s">
        <v>26099</v>
      </c>
      <c r="C11150" t="s">
        <v>176</v>
      </c>
      <c r="D11150">
        <v>1.6</v>
      </c>
      <c r="E11150">
        <v>0</v>
      </c>
      <c r="F11150">
        <f t="shared" si="198"/>
        <v>1.6</v>
      </c>
      <c r="G11150">
        <v>1</v>
      </c>
      <c r="H11150">
        <f t="shared" si="197"/>
        <v>1.6</v>
      </c>
      <c r="I11150">
        <v>20170401</v>
      </c>
      <c r="J11150" t="s">
        <v>11155</v>
      </c>
    </row>
    <row r="11151" spans="1:19" x14ac:dyDescent="0.3">
      <c r="A11151" s="160">
        <v>78401</v>
      </c>
      <c r="B11151" t="s">
        <v>26100</v>
      </c>
      <c r="C11151" t="s">
        <v>176</v>
      </c>
      <c r="D11151">
        <v>2.0099999999999998</v>
      </c>
      <c r="E11151">
        <v>0</v>
      </c>
      <c r="F11151">
        <f t="shared" si="198"/>
        <v>2.0099999999999998</v>
      </c>
      <c r="G11151">
        <v>1</v>
      </c>
      <c r="H11151">
        <f t="shared" si="197"/>
        <v>2.0099999999999998</v>
      </c>
      <c r="I11151">
        <v>20170401</v>
      </c>
      <c r="J11151" t="s">
        <v>11268</v>
      </c>
    </row>
    <row r="11152" spans="1:19" x14ac:dyDescent="0.3">
      <c r="A11152" s="160">
        <v>78402</v>
      </c>
      <c r="B11152" t="s">
        <v>26101</v>
      </c>
      <c r="C11152" t="s">
        <v>176</v>
      </c>
      <c r="D11152">
        <v>1.6</v>
      </c>
      <c r="E11152">
        <v>0</v>
      </c>
      <c r="F11152">
        <f t="shared" si="198"/>
        <v>1.6</v>
      </c>
      <c r="G11152">
        <v>1</v>
      </c>
      <c r="H11152">
        <f t="shared" si="197"/>
        <v>1.6</v>
      </c>
      <c r="I11152">
        <v>20170401</v>
      </c>
      <c r="J11152" t="s">
        <v>11141</v>
      </c>
      <c r="K11152" t="s">
        <v>11250</v>
      </c>
      <c r="L11152" t="s">
        <v>11355</v>
      </c>
    </row>
    <row r="11153" spans="1:43" x14ac:dyDescent="0.3">
      <c r="A11153" s="160">
        <v>78403</v>
      </c>
      <c r="B11153" t="s">
        <v>26102</v>
      </c>
      <c r="C11153" t="s">
        <v>176</v>
      </c>
      <c r="D11153">
        <v>2.0099999999999998</v>
      </c>
      <c r="E11153">
        <v>0</v>
      </c>
      <c r="F11153">
        <f t="shared" si="198"/>
        <v>2.0099999999999998</v>
      </c>
      <c r="G11153">
        <v>1</v>
      </c>
      <c r="H11153">
        <f t="shared" si="197"/>
        <v>2.0099999999999998</v>
      </c>
      <c r="I11153">
        <v>20170401</v>
      </c>
      <c r="J11153" t="s">
        <v>11268</v>
      </c>
    </row>
    <row r="11154" spans="1:43" x14ac:dyDescent="0.3">
      <c r="A11154" s="160">
        <v>78404</v>
      </c>
      <c r="B11154" t="s">
        <v>26103</v>
      </c>
      <c r="C11154" t="s">
        <v>176</v>
      </c>
      <c r="D11154">
        <v>1.6</v>
      </c>
      <c r="E11154">
        <v>0</v>
      </c>
      <c r="F11154">
        <f t="shared" si="198"/>
        <v>1.6</v>
      </c>
      <c r="G11154">
        <v>1</v>
      </c>
      <c r="H11154">
        <f t="shared" si="197"/>
        <v>1.6</v>
      </c>
      <c r="I11154">
        <v>20170401</v>
      </c>
      <c r="J11154" t="s">
        <v>11356</v>
      </c>
    </row>
    <row r="11155" spans="1:43" x14ac:dyDescent="0.3">
      <c r="A11155" s="160">
        <v>78406</v>
      </c>
      <c r="B11155" t="s">
        <v>26104</v>
      </c>
      <c r="C11155" t="s">
        <v>176</v>
      </c>
      <c r="D11155">
        <v>1.6</v>
      </c>
      <c r="E11155">
        <v>0</v>
      </c>
      <c r="F11155">
        <f t="shared" si="198"/>
        <v>1.6</v>
      </c>
      <c r="G11155">
        <v>1</v>
      </c>
      <c r="H11155">
        <f t="shared" si="197"/>
        <v>1.6</v>
      </c>
      <c r="I11155">
        <v>20170401</v>
      </c>
      <c r="J11155" t="s">
        <v>11357</v>
      </c>
    </row>
    <row r="11156" spans="1:43" x14ac:dyDescent="0.3">
      <c r="A11156" s="160">
        <v>78407</v>
      </c>
      <c r="B11156" t="s">
        <v>26105</v>
      </c>
      <c r="C11156" t="s">
        <v>176</v>
      </c>
      <c r="D11156">
        <v>1.6</v>
      </c>
      <c r="E11156">
        <v>0</v>
      </c>
      <c r="F11156">
        <f t="shared" si="198"/>
        <v>1.6</v>
      </c>
      <c r="G11156">
        <v>1</v>
      </c>
      <c r="H11156">
        <f t="shared" si="197"/>
        <v>1.6</v>
      </c>
      <c r="I11156">
        <v>20170401</v>
      </c>
      <c r="J11156" t="s">
        <v>11167</v>
      </c>
    </row>
    <row r="11157" spans="1:43" x14ac:dyDescent="0.3">
      <c r="A11157" s="160">
        <v>78410</v>
      </c>
      <c r="B11157" t="s">
        <v>26106</v>
      </c>
      <c r="C11157" t="s">
        <v>176</v>
      </c>
      <c r="D11157">
        <v>1.6</v>
      </c>
      <c r="E11157">
        <v>0</v>
      </c>
      <c r="F11157">
        <f t="shared" si="198"/>
        <v>1.6</v>
      </c>
      <c r="G11157">
        <v>1</v>
      </c>
      <c r="H11157">
        <f t="shared" si="197"/>
        <v>1.6</v>
      </c>
      <c r="I11157">
        <v>20170401</v>
      </c>
      <c r="J11157" t="s">
        <v>11267</v>
      </c>
    </row>
    <row r="11158" spans="1:43" x14ac:dyDescent="0.3">
      <c r="A11158" s="160">
        <v>78413</v>
      </c>
      <c r="B11158" t="s">
        <v>25747</v>
      </c>
      <c r="C11158" t="s">
        <v>176</v>
      </c>
      <c r="D11158">
        <v>1.6</v>
      </c>
      <c r="E11158">
        <v>0</v>
      </c>
      <c r="F11158">
        <f t="shared" si="198"/>
        <v>1.6</v>
      </c>
      <c r="G11158">
        <v>1</v>
      </c>
      <c r="H11158">
        <f t="shared" si="197"/>
        <v>1.6</v>
      </c>
      <c r="I11158">
        <v>20170401</v>
      </c>
      <c r="J11158" t="s">
        <v>11170</v>
      </c>
    </row>
    <row r="11159" spans="1:43" x14ac:dyDescent="0.3">
      <c r="A11159" s="160">
        <v>78415</v>
      </c>
      <c r="B11159" t="s">
        <v>26107</v>
      </c>
      <c r="C11159" t="s">
        <v>176</v>
      </c>
      <c r="D11159">
        <v>1.6</v>
      </c>
      <c r="E11159">
        <v>0</v>
      </c>
      <c r="F11159">
        <f t="shared" si="198"/>
        <v>1.6</v>
      </c>
      <c r="G11159">
        <v>1</v>
      </c>
      <c r="H11159">
        <f t="shared" si="197"/>
        <v>1.6</v>
      </c>
      <c r="I11159">
        <v>20170401</v>
      </c>
      <c r="J11159" t="s">
        <v>11341</v>
      </c>
    </row>
    <row r="11160" spans="1:43" x14ac:dyDescent="0.3">
      <c r="A11160" s="160">
        <v>78416</v>
      </c>
      <c r="B11160" t="s">
        <v>26108</v>
      </c>
      <c r="C11160" t="s">
        <v>176</v>
      </c>
      <c r="D11160">
        <v>1.6</v>
      </c>
      <c r="E11160">
        <v>0</v>
      </c>
      <c r="F11160">
        <f t="shared" si="198"/>
        <v>1.6</v>
      </c>
      <c r="G11160">
        <v>1</v>
      </c>
      <c r="H11160">
        <f t="shared" si="197"/>
        <v>1.6</v>
      </c>
      <c r="I11160">
        <v>20170401</v>
      </c>
      <c r="J11160" t="s">
        <v>11171</v>
      </c>
    </row>
    <row r="11161" spans="1:43" x14ac:dyDescent="0.3">
      <c r="A11161" s="160">
        <v>78417</v>
      </c>
      <c r="B11161" t="s">
        <v>26109</v>
      </c>
      <c r="C11161" t="s">
        <v>176</v>
      </c>
      <c r="D11161">
        <v>1.6</v>
      </c>
      <c r="E11161">
        <v>0</v>
      </c>
      <c r="F11161">
        <f t="shared" si="198"/>
        <v>1.6</v>
      </c>
      <c r="G11161">
        <v>1</v>
      </c>
      <c r="H11161">
        <f t="shared" si="197"/>
        <v>1.6</v>
      </c>
      <c r="I11161">
        <v>20170401</v>
      </c>
      <c r="J11161" t="s">
        <v>11139</v>
      </c>
    </row>
    <row r="11162" spans="1:43" x14ac:dyDescent="0.3">
      <c r="A11162" s="160">
        <v>78418</v>
      </c>
      <c r="B11162" t="s">
        <v>26110</v>
      </c>
      <c r="C11162" t="s">
        <v>176</v>
      </c>
      <c r="D11162">
        <v>2.0099999999999998</v>
      </c>
      <c r="E11162">
        <v>0</v>
      </c>
      <c r="F11162">
        <f t="shared" si="198"/>
        <v>2.0099999999999998</v>
      </c>
      <c r="G11162">
        <v>1</v>
      </c>
      <c r="H11162">
        <f t="shared" si="197"/>
        <v>2.0099999999999998</v>
      </c>
      <c r="I11162">
        <v>20170401</v>
      </c>
      <c r="J11162" t="s">
        <v>11358</v>
      </c>
      <c r="K11162" t="s">
        <v>11359</v>
      </c>
      <c r="L11162" t="s">
        <v>11360</v>
      </c>
      <c r="M11162" t="s">
        <v>11361</v>
      </c>
      <c r="N11162" t="s">
        <v>11362</v>
      </c>
      <c r="O11162" t="s">
        <v>11363</v>
      </c>
    </row>
    <row r="11163" spans="1:43" x14ac:dyDescent="0.3">
      <c r="A11163" s="160">
        <v>78420</v>
      </c>
      <c r="B11163" t="s">
        <v>26111</v>
      </c>
      <c r="C11163" t="s">
        <v>176</v>
      </c>
      <c r="D11163">
        <v>1.6</v>
      </c>
      <c r="E11163">
        <v>0</v>
      </c>
      <c r="F11163">
        <f t="shared" si="198"/>
        <v>1.6</v>
      </c>
      <c r="G11163">
        <v>1</v>
      </c>
      <c r="H11163">
        <f t="shared" si="197"/>
        <v>1.6</v>
      </c>
      <c r="I11163">
        <v>20170401</v>
      </c>
      <c r="J11163" t="s">
        <v>11155</v>
      </c>
    </row>
    <row r="11164" spans="1:43" x14ac:dyDescent="0.3">
      <c r="A11164" s="160">
        <v>78423</v>
      </c>
      <c r="B11164" t="s">
        <v>26112</v>
      </c>
      <c r="C11164" t="s">
        <v>176</v>
      </c>
      <c r="D11164">
        <v>2.0099999999999998</v>
      </c>
      <c r="E11164">
        <v>0</v>
      </c>
      <c r="F11164">
        <f t="shared" si="198"/>
        <v>2.0099999999999998</v>
      </c>
      <c r="G11164">
        <v>1</v>
      </c>
      <c r="H11164">
        <f t="shared" si="197"/>
        <v>2.0099999999999998</v>
      </c>
      <c r="I11164">
        <v>20170401</v>
      </c>
      <c r="J11164" t="s">
        <v>11364</v>
      </c>
      <c r="K11164" t="s">
        <v>11281</v>
      </c>
      <c r="L11164" t="s">
        <v>11282</v>
      </c>
      <c r="M11164" t="s">
        <v>11283</v>
      </c>
      <c r="N11164" t="s">
        <v>11365</v>
      </c>
      <c r="O11164" t="s">
        <v>11284</v>
      </c>
      <c r="P11164" t="s">
        <v>11366</v>
      </c>
      <c r="Q11164" t="s">
        <v>11367</v>
      </c>
      <c r="R11164" t="s">
        <v>11286</v>
      </c>
      <c r="S11164" t="s">
        <v>11368</v>
      </c>
      <c r="T11164" t="s">
        <v>11289</v>
      </c>
      <c r="U11164" t="s">
        <v>11369</v>
      </c>
      <c r="V11164" t="s">
        <v>11370</v>
      </c>
      <c r="W11164" t="s">
        <v>11371</v>
      </c>
      <c r="X11164" t="s">
        <v>11372</v>
      </c>
      <c r="Y11164" t="s">
        <v>11373</v>
      </c>
      <c r="Z11164" t="s">
        <v>11374</v>
      </c>
      <c r="AA11164" t="s">
        <v>11375</v>
      </c>
      <c r="AB11164" t="s">
        <v>11376</v>
      </c>
      <c r="AC11164" t="s">
        <v>11377</v>
      </c>
      <c r="AD11164" t="s">
        <v>11292</v>
      </c>
      <c r="AE11164" t="s">
        <v>11378</v>
      </c>
      <c r="AF11164" t="s">
        <v>11293</v>
      </c>
      <c r="AG11164" t="s">
        <v>11379</v>
      </c>
      <c r="AH11164" t="s">
        <v>11380</v>
      </c>
      <c r="AI11164" t="s">
        <v>11381</v>
      </c>
      <c r="AJ11164" t="s">
        <v>11295</v>
      </c>
      <c r="AK11164" t="s">
        <v>11298</v>
      </c>
      <c r="AL11164" t="s">
        <v>11302</v>
      </c>
      <c r="AM11164" t="s">
        <v>11382</v>
      </c>
      <c r="AN11164" t="s">
        <v>11383</v>
      </c>
      <c r="AO11164" t="s">
        <v>11384</v>
      </c>
      <c r="AP11164" t="s">
        <v>11385</v>
      </c>
      <c r="AQ11164" t="s">
        <v>11386</v>
      </c>
    </row>
    <row r="11165" spans="1:43" x14ac:dyDescent="0.3">
      <c r="A11165" s="160">
        <v>78431</v>
      </c>
      <c r="B11165" t="s">
        <v>26113</v>
      </c>
      <c r="C11165" t="s">
        <v>176</v>
      </c>
      <c r="D11165">
        <v>1.6</v>
      </c>
      <c r="E11165">
        <v>0</v>
      </c>
      <c r="F11165">
        <f t="shared" si="198"/>
        <v>1.6</v>
      </c>
      <c r="G11165">
        <v>1</v>
      </c>
      <c r="H11165">
        <f t="shared" si="197"/>
        <v>1.6</v>
      </c>
      <c r="I11165">
        <v>20170401</v>
      </c>
      <c r="J11165" t="s">
        <v>11387</v>
      </c>
    </row>
    <row r="11166" spans="1:43" x14ac:dyDescent="0.3">
      <c r="A11166" s="160">
        <v>78437</v>
      </c>
      <c r="B11166" t="s">
        <v>26114</v>
      </c>
      <c r="C11166" t="s">
        <v>176</v>
      </c>
      <c r="D11166">
        <v>1.6</v>
      </c>
      <c r="E11166">
        <v>0</v>
      </c>
      <c r="F11166">
        <f t="shared" si="198"/>
        <v>1.6</v>
      </c>
      <c r="G11166">
        <v>1</v>
      </c>
      <c r="H11166">
        <f t="shared" si="197"/>
        <v>1.6</v>
      </c>
      <c r="I11166">
        <v>20170401</v>
      </c>
      <c r="J11166" t="s">
        <v>11157</v>
      </c>
    </row>
    <row r="11167" spans="1:43" x14ac:dyDescent="0.3">
      <c r="A11167" s="160">
        <v>78439</v>
      </c>
      <c r="B11167" t="s">
        <v>26115</v>
      </c>
      <c r="C11167" t="s">
        <v>176</v>
      </c>
      <c r="D11167">
        <v>1.6</v>
      </c>
      <c r="E11167">
        <v>0</v>
      </c>
      <c r="F11167">
        <f t="shared" si="198"/>
        <v>1.6</v>
      </c>
      <c r="G11167">
        <v>1</v>
      </c>
      <c r="H11167">
        <f t="shared" si="197"/>
        <v>1.6</v>
      </c>
      <c r="I11167">
        <v>20170401</v>
      </c>
      <c r="J11167" t="s">
        <v>11139</v>
      </c>
    </row>
    <row r="11168" spans="1:43" x14ac:dyDescent="0.3">
      <c r="A11168" s="160">
        <v>78440</v>
      </c>
      <c r="B11168" t="s">
        <v>26116</v>
      </c>
      <c r="C11168" t="s">
        <v>176</v>
      </c>
      <c r="D11168">
        <v>2.0099999999999998</v>
      </c>
      <c r="E11168">
        <v>0</v>
      </c>
      <c r="F11168">
        <f t="shared" si="198"/>
        <v>2.0099999999999998</v>
      </c>
      <c r="G11168">
        <v>1</v>
      </c>
      <c r="H11168">
        <f t="shared" si="197"/>
        <v>2.0099999999999998</v>
      </c>
      <c r="I11168">
        <v>20170401</v>
      </c>
      <c r="J11168" t="s">
        <v>11204</v>
      </c>
      <c r="K11168" t="s">
        <v>11388</v>
      </c>
      <c r="L11168" t="s">
        <v>11389</v>
      </c>
      <c r="M11168" t="s">
        <v>11390</v>
      </c>
      <c r="N11168" t="s">
        <v>11391</v>
      </c>
      <c r="O11168" t="s">
        <v>11205</v>
      </c>
      <c r="P11168" t="s">
        <v>11350</v>
      </c>
    </row>
    <row r="11169" spans="1:15" x14ac:dyDescent="0.3">
      <c r="A11169" s="160">
        <v>78442</v>
      </c>
      <c r="B11169" t="s">
        <v>26117</v>
      </c>
      <c r="C11169" t="s">
        <v>176</v>
      </c>
      <c r="D11169">
        <v>2.0099999999999998</v>
      </c>
      <c r="E11169">
        <v>0</v>
      </c>
      <c r="F11169">
        <f t="shared" si="198"/>
        <v>2.0099999999999998</v>
      </c>
      <c r="G11169">
        <v>1</v>
      </c>
      <c r="H11169">
        <f t="shared" si="197"/>
        <v>2.0099999999999998</v>
      </c>
      <c r="I11169">
        <v>20170401</v>
      </c>
      <c r="J11169" t="s">
        <v>11392</v>
      </c>
    </row>
    <row r="11170" spans="1:15" x14ac:dyDescent="0.3">
      <c r="A11170" s="160">
        <v>78443</v>
      </c>
      <c r="B11170" t="s">
        <v>26118</v>
      </c>
      <c r="C11170" t="s">
        <v>176</v>
      </c>
      <c r="D11170">
        <v>2.0099999999999998</v>
      </c>
      <c r="E11170">
        <v>0</v>
      </c>
      <c r="F11170">
        <f t="shared" si="198"/>
        <v>2.0099999999999998</v>
      </c>
      <c r="G11170">
        <v>1</v>
      </c>
      <c r="H11170">
        <f t="shared" si="197"/>
        <v>2.0099999999999998</v>
      </c>
      <c r="I11170">
        <v>20170401</v>
      </c>
      <c r="J11170" t="s">
        <v>11392</v>
      </c>
    </row>
    <row r="11171" spans="1:15" x14ac:dyDescent="0.3">
      <c r="A11171" s="160">
        <v>78444</v>
      </c>
      <c r="B11171" t="s">
        <v>26119</v>
      </c>
      <c r="C11171" t="s">
        <v>176</v>
      </c>
      <c r="D11171">
        <v>1.6</v>
      </c>
      <c r="E11171">
        <v>0</v>
      </c>
      <c r="F11171">
        <f t="shared" si="198"/>
        <v>1.6</v>
      </c>
      <c r="G11171">
        <v>1</v>
      </c>
      <c r="H11171">
        <f t="shared" si="197"/>
        <v>1.6</v>
      </c>
      <c r="I11171">
        <v>20170401</v>
      </c>
      <c r="J11171" t="s">
        <v>11170</v>
      </c>
    </row>
    <row r="11172" spans="1:15" x14ac:dyDescent="0.3">
      <c r="A11172" s="160">
        <v>78451</v>
      </c>
      <c r="B11172" t="s">
        <v>26120</v>
      </c>
      <c r="C11172" t="s">
        <v>176</v>
      </c>
      <c r="D11172">
        <v>1.6</v>
      </c>
      <c r="E11172">
        <v>0</v>
      </c>
      <c r="F11172">
        <f t="shared" si="198"/>
        <v>1.6</v>
      </c>
      <c r="G11172">
        <v>1</v>
      </c>
      <c r="H11172">
        <f t="shared" si="197"/>
        <v>1.6</v>
      </c>
      <c r="I11172">
        <v>20170401</v>
      </c>
      <c r="J11172" t="s">
        <v>11140</v>
      </c>
    </row>
    <row r="11173" spans="1:15" x14ac:dyDescent="0.3">
      <c r="A11173" s="160">
        <v>78455</v>
      </c>
      <c r="B11173" t="s">
        <v>26121</v>
      </c>
      <c r="C11173" t="s">
        <v>176</v>
      </c>
      <c r="D11173">
        <v>1.6</v>
      </c>
      <c r="E11173">
        <v>0</v>
      </c>
      <c r="F11173">
        <f t="shared" si="198"/>
        <v>1.6</v>
      </c>
      <c r="G11173">
        <v>1</v>
      </c>
      <c r="H11173">
        <f t="shared" si="197"/>
        <v>1.6</v>
      </c>
      <c r="I11173">
        <v>20170401</v>
      </c>
      <c r="J11173" t="s">
        <v>11393</v>
      </c>
      <c r="K11173" t="s">
        <v>11151</v>
      </c>
      <c r="L11173" t="s">
        <v>11152</v>
      </c>
      <c r="M11173" t="s">
        <v>11394</v>
      </c>
    </row>
    <row r="11174" spans="1:15" x14ac:dyDescent="0.3">
      <c r="A11174" s="160">
        <v>78460</v>
      </c>
      <c r="B11174" t="s">
        <v>26122</v>
      </c>
      <c r="C11174" t="s">
        <v>176</v>
      </c>
      <c r="D11174">
        <v>1.6</v>
      </c>
      <c r="E11174">
        <v>0</v>
      </c>
      <c r="F11174">
        <f t="shared" si="198"/>
        <v>1.6</v>
      </c>
      <c r="G11174">
        <v>1</v>
      </c>
      <c r="H11174">
        <f t="shared" si="197"/>
        <v>1.6</v>
      </c>
      <c r="I11174">
        <v>20170401</v>
      </c>
      <c r="J11174" t="s">
        <v>11268</v>
      </c>
    </row>
    <row r="11175" spans="1:15" x14ac:dyDescent="0.3">
      <c r="A11175" s="160">
        <v>78464</v>
      </c>
      <c r="B11175" t="s">
        <v>26123</v>
      </c>
      <c r="C11175" t="s">
        <v>176</v>
      </c>
      <c r="D11175">
        <v>1.6</v>
      </c>
      <c r="E11175">
        <v>0</v>
      </c>
      <c r="F11175">
        <f t="shared" si="198"/>
        <v>1.6</v>
      </c>
      <c r="G11175">
        <v>1</v>
      </c>
      <c r="H11175">
        <f t="shared" si="197"/>
        <v>1.6</v>
      </c>
      <c r="I11175">
        <v>20170401</v>
      </c>
      <c r="J11175" t="s">
        <v>11167</v>
      </c>
    </row>
    <row r="11176" spans="1:15" x14ac:dyDescent="0.3">
      <c r="A11176" s="160">
        <v>78465</v>
      </c>
      <c r="B11176" t="s">
        <v>26124</v>
      </c>
      <c r="C11176" t="s">
        <v>176</v>
      </c>
      <c r="D11176">
        <v>1.6</v>
      </c>
      <c r="E11176">
        <v>0</v>
      </c>
      <c r="F11176">
        <f t="shared" si="198"/>
        <v>1.6</v>
      </c>
      <c r="G11176">
        <v>1</v>
      </c>
      <c r="H11176">
        <f t="shared" si="197"/>
        <v>1.6</v>
      </c>
      <c r="I11176">
        <v>20170401</v>
      </c>
      <c r="J11176" t="s">
        <v>11156</v>
      </c>
    </row>
    <row r="11177" spans="1:15" x14ac:dyDescent="0.3">
      <c r="A11177" s="160">
        <v>78466</v>
      </c>
      <c r="B11177" t="s">
        <v>15575</v>
      </c>
      <c r="C11177" t="s">
        <v>176</v>
      </c>
      <c r="D11177">
        <v>2.0099999999999998</v>
      </c>
      <c r="E11177">
        <v>0</v>
      </c>
      <c r="F11177">
        <f t="shared" si="198"/>
        <v>2.0099999999999998</v>
      </c>
      <c r="G11177">
        <v>1</v>
      </c>
      <c r="H11177">
        <f t="shared" si="197"/>
        <v>2.0099999999999998</v>
      </c>
      <c r="I11177">
        <v>20170401</v>
      </c>
      <c r="J11177" t="s">
        <v>11387</v>
      </c>
    </row>
    <row r="11178" spans="1:15" x14ac:dyDescent="0.3">
      <c r="A11178" s="160">
        <v>78470</v>
      </c>
      <c r="B11178" t="s">
        <v>26125</v>
      </c>
      <c r="C11178" t="s">
        <v>176</v>
      </c>
      <c r="D11178">
        <v>1.6</v>
      </c>
      <c r="E11178">
        <v>0</v>
      </c>
      <c r="F11178">
        <f t="shared" si="198"/>
        <v>1.6</v>
      </c>
      <c r="G11178">
        <v>1</v>
      </c>
      <c r="H11178">
        <f t="shared" si="197"/>
        <v>1.6</v>
      </c>
      <c r="I11178">
        <v>20170401</v>
      </c>
      <c r="J11178" t="s">
        <v>11167</v>
      </c>
      <c r="K11178" t="s">
        <v>11259</v>
      </c>
    </row>
    <row r="11179" spans="1:15" x14ac:dyDescent="0.3">
      <c r="A11179" s="160">
        <v>78472</v>
      </c>
      <c r="B11179" t="s">
        <v>26126</v>
      </c>
      <c r="C11179" t="s">
        <v>176</v>
      </c>
      <c r="D11179">
        <v>1.6</v>
      </c>
      <c r="E11179">
        <v>0</v>
      </c>
      <c r="F11179">
        <f t="shared" si="198"/>
        <v>1.6</v>
      </c>
      <c r="G11179">
        <v>1</v>
      </c>
      <c r="H11179">
        <f t="shared" si="197"/>
        <v>1.6</v>
      </c>
      <c r="I11179">
        <v>20170401</v>
      </c>
      <c r="J11179" t="s">
        <v>11130</v>
      </c>
    </row>
    <row r="11180" spans="1:15" x14ac:dyDescent="0.3">
      <c r="A11180" s="160">
        <v>78474</v>
      </c>
      <c r="B11180" t="s">
        <v>26127</v>
      </c>
      <c r="C11180" t="s">
        <v>176</v>
      </c>
      <c r="D11180">
        <v>1.6</v>
      </c>
      <c r="E11180">
        <v>0</v>
      </c>
      <c r="F11180">
        <f t="shared" si="198"/>
        <v>1.6</v>
      </c>
      <c r="G11180">
        <v>1</v>
      </c>
      <c r="H11180">
        <f t="shared" si="197"/>
        <v>1.6</v>
      </c>
      <c r="I11180">
        <v>20170401</v>
      </c>
      <c r="J11180" t="s">
        <v>11156</v>
      </c>
    </row>
    <row r="11181" spans="1:15" x14ac:dyDescent="0.3">
      <c r="A11181" s="160">
        <v>78475</v>
      </c>
      <c r="B11181" t="s">
        <v>26128</v>
      </c>
      <c r="C11181" t="s">
        <v>176</v>
      </c>
      <c r="D11181">
        <v>1.6</v>
      </c>
      <c r="E11181">
        <v>0</v>
      </c>
      <c r="F11181">
        <f t="shared" si="198"/>
        <v>1.6</v>
      </c>
      <c r="G11181">
        <v>1</v>
      </c>
      <c r="H11181">
        <f t="shared" si="197"/>
        <v>1.6</v>
      </c>
      <c r="I11181">
        <v>20170401</v>
      </c>
      <c r="J11181" t="s">
        <v>11156</v>
      </c>
    </row>
    <row r="11182" spans="1:15" x14ac:dyDescent="0.3">
      <c r="A11182" s="160">
        <v>78478</v>
      </c>
      <c r="B11182" t="s">
        <v>26129</v>
      </c>
      <c r="C11182" t="s">
        <v>176</v>
      </c>
      <c r="D11182">
        <v>1.6</v>
      </c>
      <c r="E11182">
        <v>0</v>
      </c>
      <c r="F11182">
        <f t="shared" si="198"/>
        <v>1.6</v>
      </c>
      <c r="G11182">
        <v>1</v>
      </c>
      <c r="H11182">
        <f t="shared" si="197"/>
        <v>1.6</v>
      </c>
      <c r="I11182">
        <v>20170401</v>
      </c>
      <c r="J11182" t="s">
        <v>11130</v>
      </c>
    </row>
    <row r="11183" spans="1:15" x14ac:dyDescent="0.3">
      <c r="A11183" s="160">
        <v>78481</v>
      </c>
      <c r="B11183" t="s">
        <v>26130</v>
      </c>
      <c r="C11183" t="s">
        <v>176</v>
      </c>
      <c r="D11183">
        <v>2.0099999999999998</v>
      </c>
      <c r="E11183">
        <v>0</v>
      </c>
      <c r="F11183">
        <f t="shared" si="198"/>
        <v>2.0099999999999998</v>
      </c>
      <c r="G11183">
        <v>1</v>
      </c>
      <c r="H11183">
        <f t="shared" si="197"/>
        <v>2.0099999999999998</v>
      </c>
      <c r="I11183">
        <v>20170401</v>
      </c>
      <c r="J11183" t="s">
        <v>11395</v>
      </c>
      <c r="K11183" t="s">
        <v>11396</v>
      </c>
      <c r="L11183" t="s">
        <v>11397</v>
      </c>
      <c r="M11183" t="s">
        <v>11398</v>
      </c>
      <c r="N11183" t="s">
        <v>11399</v>
      </c>
      <c r="O11183" t="s">
        <v>11400</v>
      </c>
    </row>
    <row r="11184" spans="1:15" x14ac:dyDescent="0.3">
      <c r="A11184" s="160">
        <v>78484</v>
      </c>
      <c r="B11184" t="s">
        <v>26131</v>
      </c>
      <c r="C11184" t="s">
        <v>176</v>
      </c>
      <c r="D11184">
        <v>1.6</v>
      </c>
      <c r="E11184">
        <v>0</v>
      </c>
      <c r="F11184">
        <f t="shared" si="198"/>
        <v>1.6</v>
      </c>
      <c r="G11184">
        <v>1</v>
      </c>
      <c r="H11184">
        <f t="shared" si="197"/>
        <v>1.6</v>
      </c>
      <c r="I11184">
        <v>20170401</v>
      </c>
      <c r="J11184" t="s">
        <v>11159</v>
      </c>
    </row>
    <row r="11185" spans="1:20" x14ac:dyDescent="0.3">
      <c r="A11185" s="160">
        <v>78486</v>
      </c>
      <c r="B11185" t="s">
        <v>26132</v>
      </c>
      <c r="C11185" t="s">
        <v>176</v>
      </c>
      <c r="D11185">
        <v>1.6</v>
      </c>
      <c r="E11185">
        <v>0</v>
      </c>
      <c r="F11185">
        <f t="shared" si="198"/>
        <v>1.6</v>
      </c>
      <c r="G11185">
        <v>1</v>
      </c>
      <c r="H11185">
        <f t="shared" si="197"/>
        <v>1.6</v>
      </c>
      <c r="I11185">
        <v>20170401</v>
      </c>
      <c r="J11185" t="s">
        <v>11145</v>
      </c>
      <c r="K11185" t="s">
        <v>11146</v>
      </c>
      <c r="L11185" t="s">
        <v>11401</v>
      </c>
    </row>
    <row r="11186" spans="1:20" x14ac:dyDescent="0.3">
      <c r="A11186" s="160">
        <v>78490</v>
      </c>
      <c r="B11186" t="s">
        <v>26133</v>
      </c>
      <c r="C11186" t="s">
        <v>176</v>
      </c>
      <c r="D11186">
        <v>2.0099999999999998</v>
      </c>
      <c r="E11186">
        <v>0</v>
      </c>
      <c r="F11186">
        <f t="shared" si="198"/>
        <v>2.0099999999999998</v>
      </c>
      <c r="G11186">
        <v>1</v>
      </c>
      <c r="H11186">
        <f t="shared" si="197"/>
        <v>2.0099999999999998</v>
      </c>
      <c r="I11186">
        <v>20170401</v>
      </c>
      <c r="J11186" t="s">
        <v>11402</v>
      </c>
      <c r="K11186" t="s">
        <v>11310</v>
      </c>
      <c r="L11186" t="s">
        <v>11403</v>
      </c>
      <c r="M11186" t="s">
        <v>11404</v>
      </c>
      <c r="N11186" t="s">
        <v>11405</v>
      </c>
      <c r="O11186" t="s">
        <v>11406</v>
      </c>
      <c r="P11186" t="s">
        <v>11407</v>
      </c>
      <c r="Q11186" t="s">
        <v>11408</v>
      </c>
      <c r="R11186" t="s">
        <v>11409</v>
      </c>
    </row>
    <row r="11187" spans="1:20" x14ac:dyDescent="0.3">
      <c r="A11187" s="160">
        <v>78497</v>
      </c>
      <c r="B11187" t="s">
        <v>26134</v>
      </c>
      <c r="C11187" t="s">
        <v>176</v>
      </c>
      <c r="D11187">
        <v>1.6</v>
      </c>
      <c r="E11187">
        <v>0</v>
      </c>
      <c r="F11187">
        <f t="shared" si="198"/>
        <v>1.6</v>
      </c>
      <c r="G11187">
        <v>1</v>
      </c>
      <c r="H11187">
        <f t="shared" ref="H11187:H11250" si="199">G11187*F11187</f>
        <v>1.6</v>
      </c>
      <c r="I11187">
        <v>20170401</v>
      </c>
      <c r="J11187" t="s">
        <v>11167</v>
      </c>
      <c r="K11187" t="s">
        <v>11271</v>
      </c>
    </row>
    <row r="11188" spans="1:20" x14ac:dyDescent="0.3">
      <c r="A11188" s="160">
        <v>78498</v>
      </c>
      <c r="B11188" t="s">
        <v>26135</v>
      </c>
      <c r="C11188" t="s">
        <v>176</v>
      </c>
      <c r="D11188">
        <v>2.0099999999999998</v>
      </c>
      <c r="E11188">
        <v>0</v>
      </c>
      <c r="F11188">
        <f t="shared" si="198"/>
        <v>2.0099999999999998</v>
      </c>
      <c r="G11188">
        <v>1</v>
      </c>
      <c r="H11188">
        <f t="shared" si="199"/>
        <v>2.0099999999999998</v>
      </c>
      <c r="I11188">
        <v>20170401</v>
      </c>
      <c r="J11188" t="s">
        <v>11410</v>
      </c>
      <c r="K11188" t="s">
        <v>11411</v>
      </c>
      <c r="L11188" t="s">
        <v>11412</v>
      </c>
      <c r="M11188" t="s">
        <v>11413</v>
      </c>
      <c r="N11188" t="s">
        <v>11414</v>
      </c>
      <c r="O11188" t="s">
        <v>11187</v>
      </c>
      <c r="P11188" t="s">
        <v>11415</v>
      </c>
      <c r="Q11188" t="s">
        <v>11416</v>
      </c>
      <c r="R11188" t="s">
        <v>11417</v>
      </c>
      <c r="S11188" t="s">
        <v>11418</v>
      </c>
      <c r="T11188" t="s">
        <v>11419</v>
      </c>
    </row>
    <row r="11189" spans="1:20" x14ac:dyDescent="0.3">
      <c r="A11189" s="160">
        <v>78499</v>
      </c>
      <c r="B11189" t="s">
        <v>26136</v>
      </c>
      <c r="C11189" t="s">
        <v>176</v>
      </c>
      <c r="D11189">
        <v>1.6</v>
      </c>
      <c r="E11189">
        <v>0</v>
      </c>
      <c r="F11189">
        <f t="shared" si="198"/>
        <v>1.6</v>
      </c>
      <c r="G11189">
        <v>1</v>
      </c>
      <c r="H11189">
        <f t="shared" si="199"/>
        <v>1.6</v>
      </c>
      <c r="I11189">
        <v>20170401</v>
      </c>
      <c r="J11189" t="s">
        <v>11320</v>
      </c>
    </row>
    <row r="11190" spans="1:20" x14ac:dyDescent="0.3">
      <c r="A11190" s="160">
        <v>78501</v>
      </c>
      <c r="B11190" t="s">
        <v>26137</v>
      </c>
      <c r="C11190" t="s">
        <v>176</v>
      </c>
      <c r="D11190">
        <v>2.0099999999999998</v>
      </c>
      <c r="E11190">
        <v>0</v>
      </c>
      <c r="F11190">
        <f t="shared" si="198"/>
        <v>2.0099999999999998</v>
      </c>
      <c r="G11190">
        <v>1</v>
      </c>
      <c r="H11190">
        <f t="shared" si="199"/>
        <v>2.0099999999999998</v>
      </c>
      <c r="I11190">
        <v>20170401</v>
      </c>
      <c r="J11190" t="s">
        <v>11171</v>
      </c>
    </row>
    <row r="11191" spans="1:20" x14ac:dyDescent="0.3">
      <c r="A11191" s="160">
        <v>78502</v>
      </c>
      <c r="B11191" t="s">
        <v>26138</v>
      </c>
      <c r="C11191" t="s">
        <v>176</v>
      </c>
      <c r="D11191">
        <v>2.0099999999999998</v>
      </c>
      <c r="E11191">
        <v>0</v>
      </c>
      <c r="F11191">
        <f t="shared" si="198"/>
        <v>2.0099999999999998</v>
      </c>
      <c r="G11191">
        <v>1</v>
      </c>
      <c r="H11191">
        <f t="shared" si="199"/>
        <v>2.0099999999999998</v>
      </c>
      <c r="I11191">
        <v>20170401</v>
      </c>
      <c r="J11191" t="s">
        <v>11199</v>
      </c>
      <c r="K11191" t="s">
        <v>11198</v>
      </c>
      <c r="L11191" t="s">
        <v>11420</v>
      </c>
    </row>
    <row r="11192" spans="1:20" x14ac:dyDescent="0.3">
      <c r="A11192" s="160">
        <v>78503</v>
      </c>
      <c r="B11192" t="s">
        <v>26138</v>
      </c>
      <c r="C11192" t="s">
        <v>176</v>
      </c>
      <c r="D11192">
        <v>1.6</v>
      </c>
      <c r="E11192">
        <v>0</v>
      </c>
      <c r="F11192">
        <f t="shared" si="198"/>
        <v>1.6</v>
      </c>
      <c r="G11192">
        <v>1</v>
      </c>
      <c r="H11192">
        <f t="shared" si="199"/>
        <v>1.6</v>
      </c>
      <c r="I11192">
        <v>20170401</v>
      </c>
      <c r="J11192" t="s">
        <v>11157</v>
      </c>
    </row>
    <row r="11193" spans="1:20" x14ac:dyDescent="0.3">
      <c r="A11193" s="160">
        <v>78505</v>
      </c>
      <c r="B11193" t="s">
        <v>26139</v>
      </c>
      <c r="C11193" t="s">
        <v>176</v>
      </c>
      <c r="D11193">
        <v>1.6</v>
      </c>
      <c r="E11193">
        <v>0</v>
      </c>
      <c r="F11193">
        <f t="shared" si="198"/>
        <v>1.6</v>
      </c>
      <c r="G11193">
        <v>1</v>
      </c>
      <c r="H11193">
        <f t="shared" si="199"/>
        <v>1.6</v>
      </c>
      <c r="I11193">
        <v>20170401</v>
      </c>
      <c r="J11193" t="s">
        <v>11156</v>
      </c>
    </row>
    <row r="11194" spans="1:20" x14ac:dyDescent="0.3">
      <c r="A11194" s="160">
        <v>78506</v>
      </c>
      <c r="B11194" t="s">
        <v>26140</v>
      </c>
      <c r="C11194" t="s">
        <v>176</v>
      </c>
      <c r="D11194">
        <v>1.6</v>
      </c>
      <c r="E11194">
        <v>0</v>
      </c>
      <c r="F11194">
        <f t="shared" si="198"/>
        <v>1.6</v>
      </c>
      <c r="G11194">
        <v>1</v>
      </c>
      <c r="H11194">
        <f t="shared" si="199"/>
        <v>1.6</v>
      </c>
      <c r="I11194">
        <v>20170401</v>
      </c>
      <c r="J11194" t="s">
        <v>11272</v>
      </c>
      <c r="K11194" t="s">
        <v>11130</v>
      </c>
    </row>
    <row r="11195" spans="1:20" x14ac:dyDescent="0.3">
      <c r="A11195" s="160">
        <v>78513</v>
      </c>
      <c r="B11195" t="s">
        <v>26141</v>
      </c>
      <c r="C11195" t="s">
        <v>176</v>
      </c>
      <c r="D11195">
        <v>1.6</v>
      </c>
      <c r="E11195">
        <v>0</v>
      </c>
      <c r="F11195">
        <f t="shared" si="198"/>
        <v>1.6</v>
      </c>
      <c r="G11195">
        <v>1</v>
      </c>
      <c r="H11195">
        <f t="shared" si="199"/>
        <v>1.6</v>
      </c>
      <c r="I11195">
        <v>20170401</v>
      </c>
      <c r="J11195" t="s">
        <v>11356</v>
      </c>
    </row>
    <row r="11196" spans="1:20" x14ac:dyDescent="0.3">
      <c r="A11196" s="160">
        <v>78516</v>
      </c>
      <c r="B11196" t="s">
        <v>26142</v>
      </c>
      <c r="C11196" t="s">
        <v>176</v>
      </c>
      <c r="D11196">
        <v>1.6</v>
      </c>
      <c r="E11196">
        <v>0</v>
      </c>
      <c r="F11196">
        <f t="shared" si="198"/>
        <v>1.6</v>
      </c>
      <c r="G11196">
        <v>1</v>
      </c>
      <c r="H11196">
        <f t="shared" si="199"/>
        <v>1.6</v>
      </c>
      <c r="I11196">
        <v>20170401</v>
      </c>
      <c r="J11196" t="s">
        <v>11167</v>
      </c>
    </row>
    <row r="11197" spans="1:20" x14ac:dyDescent="0.3">
      <c r="A11197" s="160">
        <v>78517</v>
      </c>
      <c r="B11197" t="s">
        <v>26143</v>
      </c>
      <c r="C11197" t="s">
        <v>176</v>
      </c>
      <c r="D11197">
        <v>1.6</v>
      </c>
      <c r="E11197">
        <v>0</v>
      </c>
      <c r="F11197">
        <f t="shared" si="198"/>
        <v>1.6</v>
      </c>
      <c r="G11197">
        <v>1</v>
      </c>
      <c r="H11197">
        <f t="shared" si="199"/>
        <v>1.6</v>
      </c>
      <c r="I11197">
        <v>20170401</v>
      </c>
      <c r="J11197" t="s">
        <v>11225</v>
      </c>
      <c r="K11197" t="s">
        <v>11271</v>
      </c>
      <c r="L11197" t="s">
        <v>11259</v>
      </c>
      <c r="M11197" t="s">
        <v>11272</v>
      </c>
      <c r="N11197" t="s">
        <v>11421</v>
      </c>
      <c r="O11197" t="s">
        <v>11226</v>
      </c>
    </row>
    <row r="11198" spans="1:20" x14ac:dyDescent="0.3">
      <c r="A11198" s="160">
        <v>78518</v>
      </c>
      <c r="B11198" t="s">
        <v>26144</v>
      </c>
      <c r="C11198" t="s">
        <v>176</v>
      </c>
      <c r="D11198">
        <v>1.6</v>
      </c>
      <c r="E11198">
        <v>0</v>
      </c>
      <c r="F11198">
        <f t="shared" si="198"/>
        <v>1.6</v>
      </c>
      <c r="G11198">
        <v>1</v>
      </c>
      <c r="H11198">
        <f t="shared" si="199"/>
        <v>1.6</v>
      </c>
      <c r="I11198">
        <v>20170401</v>
      </c>
      <c r="J11198" t="s">
        <v>11393</v>
      </c>
    </row>
    <row r="11199" spans="1:20" x14ac:dyDescent="0.3">
      <c r="A11199" s="160">
        <v>78520</v>
      </c>
      <c r="B11199" t="s">
        <v>23552</v>
      </c>
      <c r="C11199" t="s">
        <v>176</v>
      </c>
      <c r="D11199">
        <v>1.6</v>
      </c>
      <c r="E11199">
        <v>0</v>
      </c>
      <c r="F11199">
        <f t="shared" si="198"/>
        <v>1.6</v>
      </c>
      <c r="G11199">
        <v>1</v>
      </c>
      <c r="H11199">
        <f t="shared" si="199"/>
        <v>1.6</v>
      </c>
      <c r="I11199">
        <v>20170401</v>
      </c>
      <c r="J11199" t="s">
        <v>11154</v>
      </c>
    </row>
    <row r="11200" spans="1:20" x14ac:dyDescent="0.3">
      <c r="A11200" s="160">
        <v>78522</v>
      </c>
      <c r="B11200" t="s">
        <v>26145</v>
      </c>
      <c r="C11200" t="s">
        <v>176</v>
      </c>
      <c r="D11200">
        <v>1.6</v>
      </c>
      <c r="E11200">
        <v>0</v>
      </c>
      <c r="F11200">
        <f t="shared" si="198"/>
        <v>1.6</v>
      </c>
      <c r="G11200">
        <v>1</v>
      </c>
      <c r="H11200">
        <f t="shared" si="199"/>
        <v>1.6</v>
      </c>
      <c r="I11200">
        <v>20170401</v>
      </c>
      <c r="J11200" t="s">
        <v>11320</v>
      </c>
    </row>
    <row r="11201" spans="1:18" x14ac:dyDescent="0.3">
      <c r="A11201" s="160">
        <v>78524</v>
      </c>
      <c r="B11201" t="s">
        <v>26145</v>
      </c>
      <c r="C11201" t="s">
        <v>176</v>
      </c>
      <c r="D11201">
        <v>2.0099999999999998</v>
      </c>
      <c r="E11201">
        <v>0</v>
      </c>
      <c r="F11201">
        <f t="shared" si="198"/>
        <v>2.0099999999999998</v>
      </c>
      <c r="G11201">
        <v>1</v>
      </c>
      <c r="H11201">
        <f t="shared" si="199"/>
        <v>2.0099999999999998</v>
      </c>
      <c r="I11201">
        <v>20170401</v>
      </c>
      <c r="J11201" t="s">
        <v>11215</v>
      </c>
      <c r="K11201" t="s">
        <v>11216</v>
      </c>
      <c r="L11201" t="s">
        <v>11217</v>
      </c>
      <c r="M11201" t="s">
        <v>11218</v>
      </c>
    </row>
    <row r="11202" spans="1:18" x14ac:dyDescent="0.3">
      <c r="A11202" s="160">
        <v>78528</v>
      </c>
      <c r="B11202" t="s">
        <v>26146</v>
      </c>
      <c r="C11202" t="s">
        <v>176</v>
      </c>
      <c r="D11202">
        <v>1.6</v>
      </c>
      <c r="E11202">
        <v>0</v>
      </c>
      <c r="F11202">
        <f t="shared" si="198"/>
        <v>1.6</v>
      </c>
      <c r="G11202">
        <v>1</v>
      </c>
      <c r="H11202">
        <f t="shared" si="199"/>
        <v>1.6</v>
      </c>
      <c r="I11202">
        <v>20170401</v>
      </c>
      <c r="J11202" t="s">
        <v>11157</v>
      </c>
    </row>
    <row r="11203" spans="1:18" x14ac:dyDescent="0.3">
      <c r="A11203" s="160">
        <v>78530</v>
      </c>
      <c r="B11203" t="s">
        <v>26147</v>
      </c>
      <c r="C11203" t="s">
        <v>176</v>
      </c>
      <c r="D11203">
        <v>1.6</v>
      </c>
      <c r="E11203">
        <v>0</v>
      </c>
      <c r="F11203">
        <f t="shared" si="198"/>
        <v>1.6</v>
      </c>
      <c r="G11203">
        <v>1</v>
      </c>
      <c r="H11203">
        <f t="shared" si="199"/>
        <v>1.6</v>
      </c>
      <c r="I11203">
        <v>20170401</v>
      </c>
      <c r="J11203" t="s">
        <v>11139</v>
      </c>
    </row>
    <row r="11204" spans="1:18" x14ac:dyDescent="0.3">
      <c r="A11204" s="160">
        <v>78531</v>
      </c>
      <c r="B11204" t="s">
        <v>26148</v>
      </c>
      <c r="C11204" t="s">
        <v>176</v>
      </c>
      <c r="D11204">
        <v>1.6</v>
      </c>
      <c r="E11204">
        <v>0</v>
      </c>
      <c r="F11204">
        <f t="shared" si="198"/>
        <v>1.6</v>
      </c>
      <c r="G11204">
        <v>1</v>
      </c>
      <c r="H11204">
        <f t="shared" si="199"/>
        <v>1.6</v>
      </c>
      <c r="I11204">
        <v>20170401</v>
      </c>
      <c r="J11204" t="s">
        <v>11422</v>
      </c>
    </row>
    <row r="11205" spans="1:18" x14ac:dyDescent="0.3">
      <c r="A11205" s="160">
        <v>78536</v>
      </c>
      <c r="B11205" t="s">
        <v>26149</v>
      </c>
      <c r="C11205" t="s">
        <v>176</v>
      </c>
      <c r="D11205">
        <v>1.6</v>
      </c>
      <c r="E11205">
        <v>0</v>
      </c>
      <c r="F11205">
        <f t="shared" si="198"/>
        <v>1.6</v>
      </c>
      <c r="G11205">
        <v>1</v>
      </c>
      <c r="H11205">
        <f t="shared" si="199"/>
        <v>1.6</v>
      </c>
      <c r="I11205">
        <v>20170401</v>
      </c>
      <c r="J11205" t="s">
        <v>11171</v>
      </c>
    </row>
    <row r="11206" spans="1:18" x14ac:dyDescent="0.3">
      <c r="A11206" s="160">
        <v>78537</v>
      </c>
      <c r="B11206" t="s">
        <v>26150</v>
      </c>
      <c r="C11206" t="s">
        <v>176</v>
      </c>
      <c r="D11206">
        <v>1.6</v>
      </c>
      <c r="E11206">
        <v>0</v>
      </c>
      <c r="F11206">
        <f t="shared" si="198"/>
        <v>1.6</v>
      </c>
      <c r="G11206">
        <v>1</v>
      </c>
      <c r="H11206">
        <f t="shared" si="199"/>
        <v>1.6</v>
      </c>
      <c r="I11206">
        <v>20170401</v>
      </c>
      <c r="J11206" t="s">
        <v>11320</v>
      </c>
    </row>
    <row r="11207" spans="1:18" x14ac:dyDescent="0.3">
      <c r="A11207" s="160">
        <v>78545</v>
      </c>
      <c r="B11207" t="s">
        <v>26151</v>
      </c>
      <c r="C11207" t="s">
        <v>176</v>
      </c>
      <c r="D11207">
        <v>2.0099999999999998</v>
      </c>
      <c r="E11207">
        <v>0</v>
      </c>
      <c r="F11207">
        <f t="shared" ref="F11207:F11270" si="200">D11207+E11207</f>
        <v>2.0099999999999998</v>
      </c>
      <c r="G11207">
        <v>1</v>
      </c>
      <c r="H11207">
        <f t="shared" si="199"/>
        <v>2.0099999999999998</v>
      </c>
      <c r="I11207">
        <v>20170401</v>
      </c>
      <c r="J11207" t="s">
        <v>11423</v>
      </c>
      <c r="K11207" t="s">
        <v>11424</v>
      </c>
      <c r="L11207" t="s">
        <v>11163</v>
      </c>
    </row>
    <row r="11208" spans="1:18" x14ac:dyDescent="0.3">
      <c r="A11208" s="160">
        <v>78548</v>
      </c>
      <c r="B11208" t="s">
        <v>26152</v>
      </c>
      <c r="C11208" t="s">
        <v>176</v>
      </c>
      <c r="D11208">
        <v>1.6</v>
      </c>
      <c r="E11208">
        <v>0</v>
      </c>
      <c r="F11208">
        <f t="shared" si="200"/>
        <v>1.6</v>
      </c>
      <c r="G11208">
        <v>1</v>
      </c>
      <c r="H11208">
        <f t="shared" si="199"/>
        <v>1.6</v>
      </c>
      <c r="I11208">
        <v>20170401</v>
      </c>
      <c r="J11208" t="s">
        <v>11194</v>
      </c>
    </row>
    <row r="11209" spans="1:18" x14ac:dyDescent="0.3">
      <c r="A11209" s="160">
        <v>78550</v>
      </c>
      <c r="B11209" t="s">
        <v>26153</v>
      </c>
      <c r="C11209" t="s">
        <v>176</v>
      </c>
      <c r="D11209">
        <v>1.6</v>
      </c>
      <c r="E11209">
        <v>0</v>
      </c>
      <c r="F11209">
        <f t="shared" si="200"/>
        <v>1.6</v>
      </c>
      <c r="G11209">
        <v>1</v>
      </c>
      <c r="H11209">
        <f t="shared" si="199"/>
        <v>1.6</v>
      </c>
      <c r="I11209">
        <v>20170401</v>
      </c>
      <c r="J11209" t="s">
        <v>11392</v>
      </c>
    </row>
    <row r="11210" spans="1:18" x14ac:dyDescent="0.3">
      <c r="A11210" s="160">
        <v>78551</v>
      </c>
      <c r="B11210" t="s">
        <v>26154</v>
      </c>
      <c r="C11210" t="s">
        <v>176</v>
      </c>
      <c r="D11210">
        <v>2.0099999999999998</v>
      </c>
      <c r="E11210">
        <v>0</v>
      </c>
      <c r="F11210">
        <f t="shared" si="200"/>
        <v>2.0099999999999998</v>
      </c>
      <c r="G11210">
        <v>1</v>
      </c>
      <c r="H11210">
        <f t="shared" si="199"/>
        <v>2.0099999999999998</v>
      </c>
      <c r="I11210">
        <v>20170401</v>
      </c>
      <c r="J11210" t="s">
        <v>11425</v>
      </c>
      <c r="K11210" t="s">
        <v>11426</v>
      </c>
      <c r="L11210" t="s">
        <v>11199</v>
      </c>
      <c r="M11210" t="s">
        <v>11427</v>
      </c>
      <c r="N11210" t="s">
        <v>11134</v>
      </c>
      <c r="O11210" t="s">
        <v>11428</v>
      </c>
      <c r="P11210" t="s">
        <v>11131</v>
      </c>
      <c r="Q11210" t="s">
        <v>11429</v>
      </c>
      <c r="R11210" t="s">
        <v>11430</v>
      </c>
    </row>
    <row r="11211" spans="1:18" x14ac:dyDescent="0.3">
      <c r="A11211" s="160">
        <v>78557</v>
      </c>
      <c r="B11211" t="s">
        <v>26155</v>
      </c>
      <c r="C11211" t="s">
        <v>176</v>
      </c>
      <c r="D11211">
        <v>1.6</v>
      </c>
      <c r="E11211">
        <v>0</v>
      </c>
      <c r="F11211">
        <f t="shared" si="200"/>
        <v>1.6</v>
      </c>
      <c r="G11211">
        <v>1</v>
      </c>
      <c r="H11211">
        <f t="shared" si="199"/>
        <v>1.6</v>
      </c>
      <c r="I11211">
        <v>20170401</v>
      </c>
      <c r="J11211" t="s">
        <v>11167</v>
      </c>
    </row>
    <row r="11212" spans="1:18" x14ac:dyDescent="0.3">
      <c r="A11212" s="160">
        <v>78558</v>
      </c>
      <c r="B11212" t="s">
        <v>26156</v>
      </c>
      <c r="C11212" t="s">
        <v>176</v>
      </c>
      <c r="D11212">
        <v>1.6</v>
      </c>
      <c r="E11212">
        <v>0</v>
      </c>
      <c r="F11212">
        <f t="shared" si="200"/>
        <v>1.6</v>
      </c>
      <c r="G11212">
        <v>1</v>
      </c>
      <c r="H11212">
        <f t="shared" si="199"/>
        <v>1.6</v>
      </c>
      <c r="I11212">
        <v>20170401</v>
      </c>
      <c r="J11212" t="s">
        <v>11170</v>
      </c>
    </row>
    <row r="11213" spans="1:18" x14ac:dyDescent="0.3">
      <c r="A11213" s="160">
        <v>78559</v>
      </c>
      <c r="B11213" t="s">
        <v>26157</v>
      </c>
      <c r="C11213" t="s">
        <v>176</v>
      </c>
      <c r="D11213">
        <v>1.6</v>
      </c>
      <c r="E11213">
        <v>0</v>
      </c>
      <c r="F11213">
        <f t="shared" si="200"/>
        <v>1.6</v>
      </c>
      <c r="G11213">
        <v>1</v>
      </c>
      <c r="H11213">
        <f t="shared" si="199"/>
        <v>1.6</v>
      </c>
      <c r="I11213">
        <v>20170401</v>
      </c>
      <c r="J11213" t="s">
        <v>11170</v>
      </c>
    </row>
    <row r="11214" spans="1:18" x14ac:dyDescent="0.3">
      <c r="A11214" s="160">
        <v>78561</v>
      </c>
      <c r="B11214" t="s">
        <v>26158</v>
      </c>
      <c r="C11214" t="s">
        <v>176</v>
      </c>
      <c r="D11214">
        <v>1.6</v>
      </c>
      <c r="E11214">
        <v>0</v>
      </c>
      <c r="F11214">
        <f t="shared" si="200"/>
        <v>1.6</v>
      </c>
      <c r="G11214">
        <v>1</v>
      </c>
      <c r="H11214">
        <f t="shared" si="199"/>
        <v>1.6</v>
      </c>
      <c r="I11214">
        <v>20170401</v>
      </c>
      <c r="J11214" t="s">
        <v>11357</v>
      </c>
    </row>
    <row r="11215" spans="1:18" x14ac:dyDescent="0.3">
      <c r="A11215" s="160">
        <v>78562</v>
      </c>
      <c r="B11215" t="s">
        <v>26159</v>
      </c>
      <c r="C11215" t="s">
        <v>176</v>
      </c>
      <c r="D11215">
        <v>1.6</v>
      </c>
      <c r="E11215">
        <v>0</v>
      </c>
      <c r="F11215">
        <f t="shared" si="200"/>
        <v>1.6</v>
      </c>
      <c r="G11215">
        <v>1</v>
      </c>
      <c r="H11215">
        <f t="shared" si="199"/>
        <v>1.6</v>
      </c>
      <c r="I11215">
        <v>20170401</v>
      </c>
      <c r="J11215" t="s">
        <v>11145</v>
      </c>
    </row>
    <row r="11216" spans="1:18" x14ac:dyDescent="0.3">
      <c r="A11216" s="160">
        <v>78564</v>
      </c>
      <c r="B11216" t="s">
        <v>26160</v>
      </c>
      <c r="C11216" t="s">
        <v>176</v>
      </c>
      <c r="D11216">
        <v>1.6</v>
      </c>
      <c r="E11216">
        <v>0</v>
      </c>
      <c r="F11216">
        <f t="shared" si="200"/>
        <v>1.6</v>
      </c>
      <c r="G11216">
        <v>1</v>
      </c>
      <c r="H11216">
        <f t="shared" si="199"/>
        <v>1.6</v>
      </c>
      <c r="I11216">
        <v>20170401</v>
      </c>
      <c r="J11216" t="s">
        <v>11130</v>
      </c>
    </row>
    <row r="11217" spans="1:17" x14ac:dyDescent="0.3">
      <c r="A11217" s="160">
        <v>78565</v>
      </c>
      <c r="B11217" t="s">
        <v>18214</v>
      </c>
      <c r="C11217" t="s">
        <v>176</v>
      </c>
      <c r="D11217">
        <v>1.6</v>
      </c>
      <c r="E11217">
        <v>0</v>
      </c>
      <c r="F11217">
        <f t="shared" si="200"/>
        <v>1.6</v>
      </c>
      <c r="G11217">
        <v>1</v>
      </c>
      <c r="H11217">
        <f t="shared" si="199"/>
        <v>1.6</v>
      </c>
      <c r="I11217">
        <v>20170401</v>
      </c>
      <c r="J11217" t="s">
        <v>11139</v>
      </c>
    </row>
    <row r="11218" spans="1:17" x14ac:dyDescent="0.3">
      <c r="A11218" s="160">
        <v>78567</v>
      </c>
      <c r="B11218" t="s">
        <v>26161</v>
      </c>
      <c r="C11218" t="s">
        <v>176</v>
      </c>
      <c r="D11218">
        <v>1.6</v>
      </c>
      <c r="E11218">
        <v>0</v>
      </c>
      <c r="F11218">
        <f t="shared" si="200"/>
        <v>1.6</v>
      </c>
      <c r="G11218">
        <v>1</v>
      </c>
      <c r="H11218">
        <f t="shared" si="199"/>
        <v>1.6</v>
      </c>
      <c r="I11218">
        <v>20170401</v>
      </c>
      <c r="J11218" t="s">
        <v>11264</v>
      </c>
    </row>
    <row r="11219" spans="1:17" x14ac:dyDescent="0.3">
      <c r="A11219" s="160">
        <v>78569</v>
      </c>
      <c r="B11219" t="s">
        <v>26162</v>
      </c>
      <c r="C11219" t="s">
        <v>176</v>
      </c>
      <c r="D11219">
        <v>1.6</v>
      </c>
      <c r="E11219">
        <v>0</v>
      </c>
      <c r="F11219">
        <f t="shared" si="200"/>
        <v>1.6</v>
      </c>
      <c r="G11219">
        <v>1</v>
      </c>
      <c r="H11219">
        <f t="shared" si="199"/>
        <v>1.6</v>
      </c>
      <c r="I11219">
        <v>20170401</v>
      </c>
      <c r="J11219" t="s">
        <v>11320</v>
      </c>
      <c r="K11219" t="s">
        <v>11431</v>
      </c>
    </row>
    <row r="11220" spans="1:17" x14ac:dyDescent="0.3">
      <c r="A11220" s="160">
        <v>78571</v>
      </c>
      <c r="B11220" t="s">
        <v>26163</v>
      </c>
      <c r="C11220" t="s">
        <v>176</v>
      </c>
      <c r="D11220">
        <v>1.6</v>
      </c>
      <c r="E11220">
        <v>0</v>
      </c>
      <c r="F11220">
        <f t="shared" si="200"/>
        <v>1.6</v>
      </c>
      <c r="G11220">
        <v>1</v>
      </c>
      <c r="H11220">
        <f t="shared" si="199"/>
        <v>1.6</v>
      </c>
      <c r="I11220">
        <v>20170401</v>
      </c>
      <c r="J11220" t="s">
        <v>11432</v>
      </c>
    </row>
    <row r="11221" spans="1:17" x14ac:dyDescent="0.3">
      <c r="A11221" s="160">
        <v>78575</v>
      </c>
      <c r="B11221" t="s">
        <v>26164</v>
      </c>
      <c r="C11221" t="s">
        <v>176</v>
      </c>
      <c r="D11221">
        <v>2.0099999999999998</v>
      </c>
      <c r="E11221">
        <v>0</v>
      </c>
      <c r="F11221">
        <f t="shared" si="200"/>
        <v>2.0099999999999998</v>
      </c>
      <c r="G11221">
        <v>1</v>
      </c>
      <c r="H11221">
        <f t="shared" si="199"/>
        <v>2.0099999999999998</v>
      </c>
      <c r="I11221">
        <v>20170401</v>
      </c>
      <c r="J11221" t="s">
        <v>11357</v>
      </c>
      <c r="K11221" t="s">
        <v>11223</v>
      </c>
      <c r="L11221" t="s">
        <v>11224</v>
      </c>
    </row>
    <row r="11222" spans="1:17" x14ac:dyDescent="0.3">
      <c r="A11222" s="160">
        <v>78576</v>
      </c>
      <c r="B11222" t="s">
        <v>26165</v>
      </c>
      <c r="C11222" t="s">
        <v>176</v>
      </c>
      <c r="D11222">
        <v>2.0099999999999998</v>
      </c>
      <c r="E11222">
        <v>0</v>
      </c>
      <c r="F11222">
        <f t="shared" si="200"/>
        <v>2.0099999999999998</v>
      </c>
      <c r="G11222">
        <v>1</v>
      </c>
      <c r="H11222">
        <f t="shared" si="199"/>
        <v>2.0099999999999998</v>
      </c>
      <c r="I11222">
        <v>20170401</v>
      </c>
      <c r="J11222" t="s">
        <v>11261</v>
      </c>
    </row>
    <row r="11223" spans="1:17" x14ac:dyDescent="0.3">
      <c r="A11223" s="160">
        <v>78586</v>
      </c>
      <c r="B11223" t="s">
        <v>26166</v>
      </c>
      <c r="C11223" t="s">
        <v>176</v>
      </c>
      <c r="D11223">
        <v>2.0099999999999998</v>
      </c>
      <c r="E11223">
        <v>0</v>
      </c>
      <c r="F11223">
        <f t="shared" si="200"/>
        <v>2.0099999999999998</v>
      </c>
      <c r="G11223">
        <v>1</v>
      </c>
      <c r="H11223">
        <f t="shared" si="199"/>
        <v>2.0099999999999998</v>
      </c>
      <c r="I11223">
        <v>20170401</v>
      </c>
      <c r="J11223" t="s">
        <v>11433</v>
      </c>
      <c r="K11223" t="s">
        <v>11434</v>
      </c>
      <c r="L11223" t="s">
        <v>11435</v>
      </c>
      <c r="M11223" t="s">
        <v>11436</v>
      </c>
      <c r="N11223" t="s">
        <v>11437</v>
      </c>
      <c r="O11223" t="s">
        <v>11438</v>
      </c>
      <c r="P11223" t="s">
        <v>11439</v>
      </c>
      <c r="Q11223" t="s">
        <v>11440</v>
      </c>
    </row>
    <row r="11224" spans="1:17" x14ac:dyDescent="0.3">
      <c r="A11224" s="160">
        <v>78588</v>
      </c>
      <c r="B11224" t="s">
        <v>26167</v>
      </c>
      <c r="C11224" t="s">
        <v>176</v>
      </c>
      <c r="D11224">
        <v>1.6</v>
      </c>
      <c r="E11224">
        <v>0</v>
      </c>
      <c r="F11224">
        <f t="shared" si="200"/>
        <v>1.6</v>
      </c>
      <c r="G11224">
        <v>1</v>
      </c>
      <c r="H11224">
        <f t="shared" si="199"/>
        <v>1.6</v>
      </c>
      <c r="I11224">
        <v>20170401</v>
      </c>
      <c r="J11224" t="s">
        <v>11158</v>
      </c>
    </row>
    <row r="11225" spans="1:17" x14ac:dyDescent="0.3">
      <c r="A11225" s="160">
        <v>78590</v>
      </c>
      <c r="B11225" t="s">
        <v>26168</v>
      </c>
      <c r="C11225" t="s">
        <v>176</v>
      </c>
      <c r="D11225">
        <v>1.6</v>
      </c>
      <c r="E11225">
        <v>0</v>
      </c>
      <c r="F11225">
        <f t="shared" si="200"/>
        <v>1.6</v>
      </c>
      <c r="G11225">
        <v>1</v>
      </c>
      <c r="H11225">
        <f t="shared" si="199"/>
        <v>1.6</v>
      </c>
      <c r="I11225">
        <v>20170401</v>
      </c>
      <c r="J11225" t="s">
        <v>11194</v>
      </c>
    </row>
    <row r="11226" spans="1:17" x14ac:dyDescent="0.3">
      <c r="A11226" s="160">
        <v>78591</v>
      </c>
      <c r="B11226" t="s">
        <v>26169</v>
      </c>
      <c r="C11226" t="s">
        <v>176</v>
      </c>
      <c r="D11226">
        <v>1.6</v>
      </c>
      <c r="E11226">
        <v>0</v>
      </c>
      <c r="F11226">
        <f t="shared" si="200"/>
        <v>1.6</v>
      </c>
      <c r="G11226">
        <v>1</v>
      </c>
      <c r="H11226">
        <f t="shared" si="199"/>
        <v>1.6</v>
      </c>
      <c r="I11226">
        <v>20170401</v>
      </c>
      <c r="J11226" t="s">
        <v>11139</v>
      </c>
    </row>
    <row r="11227" spans="1:17" x14ac:dyDescent="0.3">
      <c r="A11227" s="160">
        <v>78597</v>
      </c>
      <c r="B11227" t="s">
        <v>26170</v>
      </c>
      <c r="C11227" t="s">
        <v>176</v>
      </c>
      <c r="D11227">
        <v>1.6</v>
      </c>
      <c r="E11227">
        <v>0</v>
      </c>
      <c r="F11227">
        <f t="shared" si="200"/>
        <v>1.6</v>
      </c>
      <c r="G11227">
        <v>1</v>
      </c>
      <c r="H11227">
        <f t="shared" si="199"/>
        <v>1.6</v>
      </c>
      <c r="I11227">
        <v>20170401</v>
      </c>
      <c r="J11227" t="s">
        <v>11159</v>
      </c>
    </row>
    <row r="11228" spans="1:17" x14ac:dyDescent="0.3">
      <c r="A11228" s="160">
        <v>78601</v>
      </c>
      <c r="B11228" t="s">
        <v>26171</v>
      </c>
      <c r="C11228" t="s">
        <v>176</v>
      </c>
      <c r="D11228">
        <v>1.6</v>
      </c>
      <c r="E11228">
        <v>0</v>
      </c>
      <c r="F11228">
        <f t="shared" si="200"/>
        <v>1.6</v>
      </c>
      <c r="G11228">
        <v>1</v>
      </c>
      <c r="H11228">
        <f t="shared" si="199"/>
        <v>1.6</v>
      </c>
      <c r="I11228">
        <v>20170401</v>
      </c>
      <c r="J11228" t="s">
        <v>11225</v>
      </c>
      <c r="K11228" t="s">
        <v>11226</v>
      </c>
    </row>
    <row r="11229" spans="1:17" x14ac:dyDescent="0.3">
      <c r="A11229" s="160">
        <v>78605</v>
      </c>
      <c r="B11229" t="s">
        <v>26172</v>
      </c>
      <c r="C11229" t="s">
        <v>176</v>
      </c>
      <c r="D11229">
        <v>1.6</v>
      </c>
      <c r="E11229">
        <v>0</v>
      </c>
      <c r="F11229">
        <f t="shared" si="200"/>
        <v>1.6</v>
      </c>
      <c r="G11229">
        <v>1</v>
      </c>
      <c r="H11229">
        <f t="shared" si="199"/>
        <v>1.6</v>
      </c>
      <c r="I11229">
        <v>20170401</v>
      </c>
      <c r="J11229" t="s">
        <v>11156</v>
      </c>
    </row>
    <row r="11230" spans="1:17" x14ac:dyDescent="0.3">
      <c r="A11230" s="160">
        <v>78606</v>
      </c>
      <c r="B11230" t="s">
        <v>26173</v>
      </c>
      <c r="C11230" t="s">
        <v>176</v>
      </c>
      <c r="D11230">
        <v>1.6</v>
      </c>
      <c r="E11230">
        <v>0</v>
      </c>
      <c r="F11230">
        <f t="shared" si="200"/>
        <v>1.6</v>
      </c>
      <c r="G11230">
        <v>1</v>
      </c>
      <c r="H11230">
        <f t="shared" si="199"/>
        <v>1.6</v>
      </c>
      <c r="I11230">
        <v>20170401</v>
      </c>
      <c r="J11230" t="s">
        <v>11133</v>
      </c>
    </row>
    <row r="11231" spans="1:17" x14ac:dyDescent="0.3">
      <c r="A11231" s="160">
        <v>78608</v>
      </c>
      <c r="B11231" t="s">
        <v>26174</v>
      </c>
      <c r="C11231" t="s">
        <v>176</v>
      </c>
      <c r="D11231">
        <v>1.6</v>
      </c>
      <c r="E11231">
        <v>0</v>
      </c>
      <c r="F11231">
        <f t="shared" si="200"/>
        <v>1.6</v>
      </c>
      <c r="G11231">
        <v>1</v>
      </c>
      <c r="H11231">
        <f t="shared" si="199"/>
        <v>1.6</v>
      </c>
      <c r="I11231">
        <v>20170401</v>
      </c>
      <c r="J11231" t="s">
        <v>11170</v>
      </c>
    </row>
    <row r="11232" spans="1:17" x14ac:dyDescent="0.3">
      <c r="A11232" s="160">
        <v>78609</v>
      </c>
      <c r="B11232" t="s">
        <v>26175</v>
      </c>
      <c r="C11232" t="s">
        <v>176</v>
      </c>
      <c r="D11232">
        <v>2.0099999999999998</v>
      </c>
      <c r="E11232">
        <v>0</v>
      </c>
      <c r="F11232">
        <f t="shared" si="200"/>
        <v>2.0099999999999998</v>
      </c>
      <c r="G11232">
        <v>1</v>
      </c>
      <c r="H11232">
        <f t="shared" si="199"/>
        <v>2.0099999999999998</v>
      </c>
      <c r="I11232">
        <v>20170401</v>
      </c>
      <c r="J11232" t="s">
        <v>11268</v>
      </c>
    </row>
    <row r="11233" spans="1:37" x14ac:dyDescent="0.3">
      <c r="A11233" s="160">
        <v>78615</v>
      </c>
      <c r="B11233" t="s">
        <v>26176</v>
      </c>
      <c r="C11233" t="s">
        <v>176</v>
      </c>
      <c r="D11233">
        <v>1.6</v>
      </c>
      <c r="E11233">
        <v>0</v>
      </c>
      <c r="F11233">
        <f t="shared" si="200"/>
        <v>1.6</v>
      </c>
      <c r="G11233">
        <v>1</v>
      </c>
      <c r="H11233">
        <f t="shared" si="199"/>
        <v>1.6</v>
      </c>
      <c r="I11233">
        <v>20170401</v>
      </c>
      <c r="J11233" t="s">
        <v>11310</v>
      </c>
      <c r="K11233" t="s">
        <v>11405</v>
      </c>
      <c r="L11233" t="s">
        <v>11441</v>
      </c>
    </row>
    <row r="11234" spans="1:37" x14ac:dyDescent="0.3">
      <c r="A11234" s="160">
        <v>78616</v>
      </c>
      <c r="B11234" t="s">
        <v>25031</v>
      </c>
      <c r="C11234" t="s">
        <v>176</v>
      </c>
      <c r="D11234">
        <v>1.6</v>
      </c>
      <c r="E11234">
        <v>0</v>
      </c>
      <c r="F11234">
        <f t="shared" si="200"/>
        <v>1.6</v>
      </c>
      <c r="G11234">
        <v>1</v>
      </c>
      <c r="H11234">
        <f t="shared" si="199"/>
        <v>1.6</v>
      </c>
      <c r="I11234">
        <v>20170401</v>
      </c>
      <c r="J11234" t="s">
        <v>11137</v>
      </c>
    </row>
    <row r="11235" spans="1:37" x14ac:dyDescent="0.3">
      <c r="A11235" s="160">
        <v>78618</v>
      </c>
      <c r="B11235" t="s">
        <v>17820</v>
      </c>
      <c r="C11235" t="s">
        <v>176</v>
      </c>
      <c r="D11235">
        <v>1.6</v>
      </c>
      <c r="E11235">
        <v>0</v>
      </c>
      <c r="F11235">
        <f t="shared" si="200"/>
        <v>1.6</v>
      </c>
      <c r="G11235">
        <v>1</v>
      </c>
      <c r="H11235">
        <f t="shared" si="199"/>
        <v>1.6</v>
      </c>
      <c r="I11235">
        <v>20170401</v>
      </c>
      <c r="J11235" t="s">
        <v>11139</v>
      </c>
    </row>
    <row r="11236" spans="1:37" x14ac:dyDescent="0.3">
      <c r="A11236" s="160">
        <v>78620</v>
      </c>
      <c r="B11236" t="s">
        <v>26177</v>
      </c>
      <c r="C11236" t="s">
        <v>176</v>
      </c>
      <c r="D11236">
        <v>1.6</v>
      </c>
      <c r="E11236">
        <v>0</v>
      </c>
      <c r="F11236">
        <f t="shared" si="200"/>
        <v>1.6</v>
      </c>
      <c r="G11236">
        <v>1</v>
      </c>
      <c r="H11236">
        <f t="shared" si="199"/>
        <v>1.6</v>
      </c>
      <c r="I11236">
        <v>20170401</v>
      </c>
      <c r="J11236" t="s">
        <v>11206</v>
      </c>
      <c r="K11236" t="s">
        <v>11327</v>
      </c>
    </row>
    <row r="11237" spans="1:37" x14ac:dyDescent="0.3">
      <c r="A11237" s="160">
        <v>78621</v>
      </c>
      <c r="B11237" t="s">
        <v>26178</v>
      </c>
      <c r="C11237" t="s">
        <v>176</v>
      </c>
      <c r="D11237">
        <v>2.0099999999999998</v>
      </c>
      <c r="E11237">
        <v>0</v>
      </c>
      <c r="F11237">
        <f t="shared" si="200"/>
        <v>2.0099999999999998</v>
      </c>
      <c r="G11237">
        <v>1</v>
      </c>
      <c r="H11237">
        <f t="shared" si="199"/>
        <v>2.0099999999999998</v>
      </c>
      <c r="I11237">
        <v>20170401</v>
      </c>
      <c r="J11237" t="s">
        <v>11442</v>
      </c>
      <c r="K11237" t="s">
        <v>11443</v>
      </c>
      <c r="L11237" t="s">
        <v>11293</v>
      </c>
      <c r="M11237" t="s">
        <v>11379</v>
      </c>
      <c r="N11237" t="s">
        <v>11444</v>
      </c>
      <c r="O11237" t="s">
        <v>11445</v>
      </c>
      <c r="P11237" t="s">
        <v>11446</v>
      </c>
      <c r="Q11237" t="s">
        <v>11447</v>
      </c>
      <c r="R11237" t="s">
        <v>11448</v>
      </c>
      <c r="S11237" t="s">
        <v>11449</v>
      </c>
      <c r="T11237" t="s">
        <v>11450</v>
      </c>
      <c r="U11237" t="s">
        <v>11451</v>
      </c>
      <c r="V11237" t="s">
        <v>11452</v>
      </c>
      <c r="W11237" t="s">
        <v>11453</v>
      </c>
    </row>
    <row r="11238" spans="1:37" x14ac:dyDescent="0.3">
      <c r="A11238" s="160">
        <v>78623</v>
      </c>
      <c r="B11238" t="s">
        <v>26179</v>
      </c>
      <c r="C11238" t="s">
        <v>176</v>
      </c>
      <c r="D11238">
        <v>2.0099999999999998</v>
      </c>
      <c r="E11238">
        <v>0</v>
      </c>
      <c r="F11238">
        <f t="shared" si="200"/>
        <v>2.0099999999999998</v>
      </c>
      <c r="G11238">
        <v>1</v>
      </c>
      <c r="H11238">
        <f t="shared" si="199"/>
        <v>2.0099999999999998</v>
      </c>
      <c r="I11238">
        <v>20170401</v>
      </c>
      <c r="J11238" t="s">
        <v>11155</v>
      </c>
    </row>
    <row r="11239" spans="1:37" x14ac:dyDescent="0.3">
      <c r="A11239" s="160">
        <v>78624</v>
      </c>
      <c r="B11239" t="s">
        <v>26180</v>
      </c>
      <c r="C11239" t="s">
        <v>176</v>
      </c>
      <c r="D11239">
        <v>2.0099999999999998</v>
      </c>
      <c r="E11239">
        <v>0</v>
      </c>
      <c r="F11239">
        <f t="shared" si="200"/>
        <v>2.0099999999999998</v>
      </c>
      <c r="G11239">
        <v>1</v>
      </c>
      <c r="H11239">
        <f t="shared" si="199"/>
        <v>2.0099999999999998</v>
      </c>
      <c r="I11239">
        <v>20170401</v>
      </c>
      <c r="J11239" t="s">
        <v>11454</v>
      </c>
    </row>
    <row r="11240" spans="1:37" x14ac:dyDescent="0.3">
      <c r="A11240" s="160">
        <v>78638</v>
      </c>
      <c r="B11240" t="s">
        <v>26181</v>
      </c>
      <c r="C11240" t="s">
        <v>176</v>
      </c>
      <c r="D11240">
        <v>2.0099999999999998</v>
      </c>
      <c r="E11240">
        <v>0</v>
      </c>
      <c r="F11240">
        <f t="shared" si="200"/>
        <v>2.0099999999999998</v>
      </c>
      <c r="G11240">
        <v>1</v>
      </c>
      <c r="H11240">
        <f t="shared" si="199"/>
        <v>2.0099999999999998</v>
      </c>
      <c r="I11240">
        <v>20170401</v>
      </c>
      <c r="J11240" t="s">
        <v>11263</v>
      </c>
    </row>
    <row r="11241" spans="1:37" x14ac:dyDescent="0.3">
      <c r="A11241" s="160">
        <v>78640</v>
      </c>
      <c r="B11241" t="s">
        <v>26182</v>
      </c>
      <c r="C11241" t="s">
        <v>176</v>
      </c>
      <c r="D11241">
        <v>2.0099999999999998</v>
      </c>
      <c r="E11241">
        <v>0</v>
      </c>
      <c r="F11241">
        <f t="shared" si="200"/>
        <v>2.0099999999999998</v>
      </c>
      <c r="G11241">
        <v>1</v>
      </c>
      <c r="H11241">
        <f t="shared" si="199"/>
        <v>2.0099999999999998</v>
      </c>
      <c r="I11241">
        <v>20170401</v>
      </c>
      <c r="J11241" t="s">
        <v>11455</v>
      </c>
      <c r="K11241" t="s">
        <v>11456</v>
      </c>
      <c r="L11241" t="s">
        <v>11457</v>
      </c>
      <c r="M11241" t="s">
        <v>11458</v>
      </c>
      <c r="N11241" t="s">
        <v>11459</v>
      </c>
      <c r="O11241" t="s">
        <v>11460</v>
      </c>
      <c r="P11241" t="s">
        <v>11461</v>
      </c>
      <c r="Q11241" t="s">
        <v>11462</v>
      </c>
      <c r="R11241" t="s">
        <v>11463</v>
      </c>
      <c r="S11241" t="s">
        <v>11464</v>
      </c>
      <c r="T11241" t="s">
        <v>11465</v>
      </c>
      <c r="U11241" t="s">
        <v>11466</v>
      </c>
      <c r="V11241" t="s">
        <v>11467</v>
      </c>
      <c r="W11241" t="s">
        <v>11468</v>
      </c>
    </row>
    <row r="11242" spans="1:37" x14ac:dyDescent="0.3">
      <c r="A11242" s="160">
        <v>78642</v>
      </c>
      <c r="B11242" t="s">
        <v>26183</v>
      </c>
      <c r="C11242" t="s">
        <v>176</v>
      </c>
      <c r="D11242">
        <v>2.0099999999999998</v>
      </c>
      <c r="E11242">
        <v>0</v>
      </c>
      <c r="F11242">
        <f t="shared" si="200"/>
        <v>2.0099999999999998</v>
      </c>
      <c r="G11242">
        <v>1</v>
      </c>
      <c r="H11242">
        <f t="shared" si="199"/>
        <v>2.0099999999999998</v>
      </c>
      <c r="I11242">
        <v>20170401</v>
      </c>
      <c r="J11242" t="s">
        <v>11469</v>
      </c>
    </row>
    <row r="11243" spans="1:37" x14ac:dyDescent="0.3">
      <c r="A11243" s="160">
        <v>78643</v>
      </c>
      <c r="B11243" t="s">
        <v>18104</v>
      </c>
      <c r="C11243" t="s">
        <v>176</v>
      </c>
      <c r="D11243">
        <v>2.0099999999999998</v>
      </c>
      <c r="E11243">
        <v>0</v>
      </c>
      <c r="F11243">
        <f t="shared" si="200"/>
        <v>2.0099999999999998</v>
      </c>
      <c r="G11243">
        <v>1</v>
      </c>
      <c r="H11243">
        <f t="shared" si="199"/>
        <v>2.0099999999999998</v>
      </c>
      <c r="I11243">
        <v>20170401</v>
      </c>
      <c r="J11243" t="s">
        <v>11470</v>
      </c>
    </row>
    <row r="11244" spans="1:37" x14ac:dyDescent="0.3">
      <c r="A11244" s="160">
        <v>78644</v>
      </c>
      <c r="B11244" t="s">
        <v>26184</v>
      </c>
      <c r="C11244" t="s">
        <v>176</v>
      </c>
      <c r="D11244">
        <v>2.0099999999999998</v>
      </c>
      <c r="E11244">
        <v>0</v>
      </c>
      <c r="F11244">
        <f t="shared" si="200"/>
        <v>2.0099999999999998</v>
      </c>
      <c r="G11244">
        <v>1</v>
      </c>
      <c r="H11244">
        <f t="shared" si="199"/>
        <v>2.0099999999999998</v>
      </c>
      <c r="I11244">
        <v>20170401</v>
      </c>
      <c r="J11244" t="s">
        <v>11451</v>
      </c>
      <c r="K11244" t="s">
        <v>11319</v>
      </c>
      <c r="L11244" t="s">
        <v>11353</v>
      </c>
      <c r="M11244" t="s">
        <v>11354</v>
      </c>
    </row>
    <row r="11245" spans="1:37" x14ac:dyDescent="0.3">
      <c r="A11245" s="160">
        <v>78646</v>
      </c>
      <c r="B11245" t="s">
        <v>26185</v>
      </c>
      <c r="C11245" t="s">
        <v>176</v>
      </c>
      <c r="D11245">
        <v>2.0099999999999998</v>
      </c>
      <c r="E11245">
        <v>0</v>
      </c>
      <c r="F11245">
        <f t="shared" si="200"/>
        <v>2.0099999999999998</v>
      </c>
      <c r="G11245">
        <v>1</v>
      </c>
      <c r="H11245">
        <f t="shared" si="199"/>
        <v>2.0099999999999998</v>
      </c>
      <c r="I11245">
        <v>20170401</v>
      </c>
      <c r="J11245" t="s">
        <v>11471</v>
      </c>
      <c r="K11245" t="s">
        <v>11472</v>
      </c>
      <c r="L11245" t="s">
        <v>11473</v>
      </c>
      <c r="M11245" t="s">
        <v>11474</v>
      </c>
      <c r="N11245" t="s">
        <v>11475</v>
      </c>
      <c r="O11245" t="s">
        <v>11476</v>
      </c>
      <c r="P11245" t="s">
        <v>11477</v>
      </c>
      <c r="Q11245" t="s">
        <v>11478</v>
      </c>
      <c r="R11245" t="s">
        <v>11479</v>
      </c>
      <c r="S11245" t="s">
        <v>11480</v>
      </c>
      <c r="T11245" t="s">
        <v>11481</v>
      </c>
      <c r="U11245" t="s">
        <v>11482</v>
      </c>
      <c r="V11245" t="s">
        <v>11483</v>
      </c>
      <c r="W11245" t="s">
        <v>11484</v>
      </c>
      <c r="X11245" t="s">
        <v>11485</v>
      </c>
      <c r="Y11245" t="s">
        <v>11486</v>
      </c>
      <c r="Z11245" t="s">
        <v>11487</v>
      </c>
      <c r="AA11245" t="s">
        <v>11488</v>
      </c>
      <c r="AB11245" t="s">
        <v>11489</v>
      </c>
      <c r="AC11245" t="s">
        <v>11490</v>
      </c>
      <c r="AD11245" t="s">
        <v>11491</v>
      </c>
      <c r="AE11245" t="s">
        <v>11492</v>
      </c>
      <c r="AF11245" t="s">
        <v>11493</v>
      </c>
      <c r="AG11245" t="s">
        <v>11494</v>
      </c>
      <c r="AH11245" t="s">
        <v>11495</v>
      </c>
      <c r="AI11245" t="s">
        <v>11496</v>
      </c>
      <c r="AJ11245" t="s">
        <v>11497</v>
      </c>
      <c r="AK11245" t="s">
        <v>11498</v>
      </c>
    </row>
    <row r="11246" spans="1:37" x14ac:dyDescent="0.3">
      <c r="A11246" s="160">
        <v>78647</v>
      </c>
      <c r="B11246" t="s">
        <v>26186</v>
      </c>
      <c r="C11246" t="s">
        <v>176</v>
      </c>
      <c r="D11246">
        <v>2.0099999999999998</v>
      </c>
      <c r="E11246">
        <v>0</v>
      </c>
      <c r="F11246">
        <f t="shared" si="200"/>
        <v>2.0099999999999998</v>
      </c>
      <c r="G11246">
        <v>1</v>
      </c>
      <c r="H11246">
        <f t="shared" si="199"/>
        <v>2.0099999999999998</v>
      </c>
      <c r="I11246">
        <v>20170401</v>
      </c>
      <c r="J11246" t="s">
        <v>11147</v>
      </c>
    </row>
    <row r="11247" spans="1:37" x14ac:dyDescent="0.3">
      <c r="A11247" s="160">
        <v>78650</v>
      </c>
      <c r="B11247" t="s">
        <v>26187</v>
      </c>
      <c r="C11247" t="s">
        <v>176</v>
      </c>
      <c r="D11247">
        <v>2.0099999999999998</v>
      </c>
      <c r="E11247">
        <v>0</v>
      </c>
      <c r="F11247">
        <f t="shared" si="200"/>
        <v>2.0099999999999998</v>
      </c>
      <c r="G11247">
        <v>1</v>
      </c>
      <c r="H11247">
        <f t="shared" si="199"/>
        <v>2.0099999999999998</v>
      </c>
      <c r="I11247">
        <v>20170401</v>
      </c>
      <c r="J11247" t="s">
        <v>11499</v>
      </c>
      <c r="K11247" t="s">
        <v>11500</v>
      </c>
      <c r="L11247" t="s">
        <v>11501</v>
      </c>
      <c r="M11247" t="s">
        <v>11502</v>
      </c>
    </row>
    <row r="11248" spans="1:37" x14ac:dyDescent="0.3">
      <c r="A11248" s="160">
        <v>78653</v>
      </c>
      <c r="B11248" t="s">
        <v>22394</v>
      </c>
      <c r="C11248" t="s">
        <v>176</v>
      </c>
      <c r="D11248">
        <v>1.6</v>
      </c>
      <c r="E11248">
        <v>0</v>
      </c>
      <c r="F11248">
        <f t="shared" si="200"/>
        <v>1.6</v>
      </c>
      <c r="G11248">
        <v>1</v>
      </c>
      <c r="H11248">
        <f t="shared" si="199"/>
        <v>1.6</v>
      </c>
      <c r="I11248">
        <v>20170401</v>
      </c>
      <c r="J11248" t="s">
        <v>11155</v>
      </c>
    </row>
    <row r="11249" spans="1:13" x14ac:dyDescent="0.3">
      <c r="A11249" s="160">
        <v>78655</v>
      </c>
      <c r="B11249" t="s">
        <v>26188</v>
      </c>
      <c r="C11249" t="s">
        <v>176</v>
      </c>
      <c r="D11249">
        <v>1.6</v>
      </c>
      <c r="E11249">
        <v>0</v>
      </c>
      <c r="F11249">
        <f t="shared" si="200"/>
        <v>1.6</v>
      </c>
      <c r="G11249">
        <v>1</v>
      </c>
      <c r="H11249">
        <f t="shared" si="199"/>
        <v>1.6</v>
      </c>
      <c r="I11249">
        <v>20170401</v>
      </c>
      <c r="J11249" t="s">
        <v>11167</v>
      </c>
    </row>
    <row r="11250" spans="1:13" x14ac:dyDescent="0.3">
      <c r="A11250" s="160">
        <v>78668</v>
      </c>
      <c r="B11250" t="s">
        <v>26189</v>
      </c>
      <c r="C11250" t="s">
        <v>176</v>
      </c>
      <c r="D11250">
        <v>1.6</v>
      </c>
      <c r="E11250">
        <v>0</v>
      </c>
      <c r="F11250">
        <f t="shared" si="200"/>
        <v>1.6</v>
      </c>
      <c r="G11250">
        <v>1</v>
      </c>
      <c r="H11250">
        <f t="shared" si="199"/>
        <v>1.6</v>
      </c>
      <c r="I11250">
        <v>20170401</v>
      </c>
      <c r="J11250" t="s">
        <v>11157</v>
      </c>
    </row>
    <row r="11251" spans="1:13" x14ac:dyDescent="0.3">
      <c r="A11251" s="160">
        <v>78672</v>
      </c>
      <c r="B11251" t="s">
        <v>26190</v>
      </c>
      <c r="C11251" t="s">
        <v>176</v>
      </c>
      <c r="D11251">
        <v>2.0099999999999998</v>
      </c>
      <c r="E11251">
        <v>0</v>
      </c>
      <c r="F11251">
        <f t="shared" si="200"/>
        <v>2.0099999999999998</v>
      </c>
      <c r="G11251">
        <v>1</v>
      </c>
      <c r="H11251">
        <f t="shared" ref="H11251:H11257" si="201">G11251*F11251</f>
        <v>2.0099999999999998</v>
      </c>
      <c r="I11251">
        <v>20170401</v>
      </c>
      <c r="J11251" t="s">
        <v>11352</v>
      </c>
    </row>
    <row r="11252" spans="1:13" x14ac:dyDescent="0.3">
      <c r="A11252" s="160">
        <v>78674</v>
      </c>
      <c r="B11252" t="s">
        <v>26191</v>
      </c>
      <c r="C11252" t="s">
        <v>176</v>
      </c>
      <c r="D11252">
        <v>2.0099999999999998</v>
      </c>
      <c r="E11252">
        <v>0</v>
      </c>
      <c r="F11252">
        <f t="shared" si="200"/>
        <v>2.0099999999999998</v>
      </c>
      <c r="G11252">
        <v>1</v>
      </c>
      <c r="H11252">
        <f t="shared" si="201"/>
        <v>2.0099999999999998</v>
      </c>
      <c r="I11252">
        <v>20170401</v>
      </c>
      <c r="J11252" t="s">
        <v>11163</v>
      </c>
      <c r="K11252" t="s">
        <v>11213</v>
      </c>
      <c r="L11252" t="s">
        <v>11229</v>
      </c>
      <c r="M11252" t="s">
        <v>11214</v>
      </c>
    </row>
    <row r="11253" spans="1:13" x14ac:dyDescent="0.3">
      <c r="A11253" s="160">
        <v>78677</v>
      </c>
      <c r="B11253" t="s">
        <v>26192</v>
      </c>
      <c r="C11253" t="s">
        <v>176</v>
      </c>
      <c r="D11253">
        <v>1.6</v>
      </c>
      <c r="E11253">
        <v>0</v>
      </c>
      <c r="F11253">
        <f t="shared" si="200"/>
        <v>1.6</v>
      </c>
      <c r="G11253">
        <v>1</v>
      </c>
      <c r="H11253">
        <f t="shared" si="201"/>
        <v>1.6</v>
      </c>
      <c r="I11253">
        <v>20170401</v>
      </c>
      <c r="J11253" t="s">
        <v>11147</v>
      </c>
    </row>
    <row r="11254" spans="1:13" x14ac:dyDescent="0.3">
      <c r="A11254" s="160">
        <v>78681</v>
      </c>
      <c r="B11254" t="s">
        <v>26193</v>
      </c>
      <c r="C11254" t="s">
        <v>176</v>
      </c>
      <c r="D11254">
        <v>1.6</v>
      </c>
      <c r="E11254">
        <v>0</v>
      </c>
      <c r="F11254">
        <f t="shared" si="200"/>
        <v>1.6</v>
      </c>
      <c r="G11254">
        <v>1</v>
      </c>
      <c r="H11254">
        <f t="shared" si="201"/>
        <v>1.6</v>
      </c>
      <c r="I11254">
        <v>20170401</v>
      </c>
      <c r="J11254" t="s">
        <v>11137</v>
      </c>
    </row>
    <row r="11255" spans="1:13" x14ac:dyDescent="0.3">
      <c r="A11255" s="160">
        <v>78683</v>
      </c>
      <c r="B11255" t="s">
        <v>26194</v>
      </c>
      <c r="C11255" t="s">
        <v>176</v>
      </c>
      <c r="D11255">
        <v>2.0099999999999998</v>
      </c>
      <c r="E11255">
        <v>0</v>
      </c>
      <c r="F11255">
        <f t="shared" si="200"/>
        <v>2.0099999999999998</v>
      </c>
      <c r="G11255">
        <v>1</v>
      </c>
      <c r="H11255">
        <f t="shared" si="201"/>
        <v>2.0099999999999998</v>
      </c>
      <c r="I11255">
        <v>20170401</v>
      </c>
      <c r="J11255" t="s">
        <v>11310</v>
      </c>
      <c r="K11255" t="s">
        <v>11408</v>
      </c>
      <c r="L11255" t="s">
        <v>11392</v>
      </c>
    </row>
    <row r="11256" spans="1:13" x14ac:dyDescent="0.3">
      <c r="A11256" s="160">
        <v>78686</v>
      </c>
      <c r="B11256" t="s">
        <v>26195</v>
      </c>
      <c r="C11256" t="s">
        <v>176</v>
      </c>
      <c r="D11256">
        <v>2.0099999999999998</v>
      </c>
      <c r="E11256">
        <v>0</v>
      </c>
      <c r="F11256">
        <f t="shared" si="200"/>
        <v>2.0099999999999998</v>
      </c>
      <c r="G11256">
        <v>1</v>
      </c>
      <c r="H11256">
        <f t="shared" si="201"/>
        <v>2.0099999999999998</v>
      </c>
      <c r="I11256">
        <v>20170401</v>
      </c>
      <c r="J11256" t="s">
        <v>11503</v>
      </c>
      <c r="K11256" t="s">
        <v>11504</v>
      </c>
      <c r="L11256" t="s">
        <v>11505</v>
      </c>
      <c r="M11256" t="s">
        <v>11506</v>
      </c>
    </row>
    <row r="11257" spans="1:13" x14ac:dyDescent="0.3">
      <c r="A11257" s="160">
        <v>78688</v>
      </c>
      <c r="B11257" t="s">
        <v>26196</v>
      </c>
      <c r="C11257" t="s">
        <v>176</v>
      </c>
      <c r="D11257">
        <v>2.0099999999999998</v>
      </c>
      <c r="E11257">
        <v>0</v>
      </c>
      <c r="F11257">
        <f t="shared" si="200"/>
        <v>2.0099999999999998</v>
      </c>
      <c r="G11257">
        <v>1</v>
      </c>
      <c r="H11257">
        <f t="shared" si="201"/>
        <v>2.0099999999999998</v>
      </c>
      <c r="I11257">
        <v>20170401</v>
      </c>
      <c r="J11257" t="s">
        <v>11507</v>
      </c>
      <c r="K11257" t="s">
        <v>11508</v>
      </c>
      <c r="L11257" t="s">
        <v>11509</v>
      </c>
      <c r="M11257" t="s">
        <v>11510</v>
      </c>
    </row>
    <row r="11258" spans="1:13" x14ac:dyDescent="0.3">
      <c r="A11258" s="160">
        <v>79003</v>
      </c>
      <c r="B11258" t="s">
        <v>26197</v>
      </c>
      <c r="C11258" t="s">
        <v>11511</v>
      </c>
      <c r="D11258">
        <v>1.25</v>
      </c>
      <c r="E11258">
        <v>0</v>
      </c>
      <c r="F11258">
        <f t="shared" si="200"/>
        <v>1.25</v>
      </c>
      <c r="I11258">
        <v>20230701</v>
      </c>
      <c r="J11258" t="s">
        <v>11512</v>
      </c>
      <c r="K11258" t="s">
        <v>11513</v>
      </c>
    </row>
    <row r="11259" spans="1:13" x14ac:dyDescent="0.3">
      <c r="A11259" s="160">
        <v>79009</v>
      </c>
      <c r="B11259" t="s">
        <v>26198</v>
      </c>
      <c r="C11259" t="s">
        <v>11511</v>
      </c>
      <c r="D11259">
        <v>1.25</v>
      </c>
      <c r="E11259">
        <v>0</v>
      </c>
      <c r="F11259">
        <f t="shared" si="200"/>
        <v>1.25</v>
      </c>
      <c r="I11259">
        <v>20230701</v>
      </c>
      <c r="J11259" t="s">
        <v>11514</v>
      </c>
    </row>
    <row r="11260" spans="1:13" x14ac:dyDescent="0.3">
      <c r="A11260" s="160">
        <v>79010</v>
      </c>
      <c r="B11260" t="s">
        <v>26199</v>
      </c>
      <c r="C11260" t="s">
        <v>11511</v>
      </c>
      <c r="D11260">
        <v>1.25</v>
      </c>
      <c r="E11260">
        <v>0</v>
      </c>
      <c r="F11260">
        <f t="shared" si="200"/>
        <v>1.25</v>
      </c>
      <c r="I11260">
        <v>20230701</v>
      </c>
      <c r="J11260" t="s">
        <v>11514</v>
      </c>
    </row>
    <row r="11261" spans="1:13" x14ac:dyDescent="0.3">
      <c r="A11261" s="160">
        <v>79020</v>
      </c>
      <c r="B11261" t="s">
        <v>26200</v>
      </c>
      <c r="C11261" t="s">
        <v>11515</v>
      </c>
      <c r="D11261">
        <v>0.2</v>
      </c>
      <c r="E11261">
        <v>0</v>
      </c>
      <c r="F11261">
        <f t="shared" si="200"/>
        <v>0.2</v>
      </c>
      <c r="I11261">
        <v>20220701</v>
      </c>
      <c r="J11261" t="s">
        <v>11516</v>
      </c>
    </row>
    <row r="11262" spans="1:13" x14ac:dyDescent="0.3">
      <c r="A11262" s="160">
        <v>79023</v>
      </c>
      <c r="B11262" t="s">
        <v>25487</v>
      </c>
      <c r="C11262" t="s">
        <v>11515</v>
      </c>
      <c r="D11262">
        <v>0.2</v>
      </c>
      <c r="E11262">
        <v>0</v>
      </c>
      <c r="F11262">
        <f t="shared" si="200"/>
        <v>0.2</v>
      </c>
      <c r="I11262">
        <v>20220701</v>
      </c>
      <c r="J11262" t="s">
        <v>11517</v>
      </c>
    </row>
    <row r="11263" spans="1:13" x14ac:dyDescent="0.3">
      <c r="A11263" s="160">
        <v>79024</v>
      </c>
      <c r="B11263" t="s">
        <v>26201</v>
      </c>
      <c r="C11263" t="s">
        <v>11515</v>
      </c>
      <c r="D11263">
        <v>0.2</v>
      </c>
      <c r="E11263">
        <v>0</v>
      </c>
      <c r="F11263">
        <f t="shared" si="200"/>
        <v>0.2</v>
      </c>
      <c r="I11263">
        <v>20220701</v>
      </c>
      <c r="J11263" t="s">
        <v>11516</v>
      </c>
      <c r="K11263" t="s">
        <v>11518</v>
      </c>
      <c r="L11263" t="s">
        <v>11519</v>
      </c>
    </row>
    <row r="11264" spans="1:13" x14ac:dyDescent="0.3">
      <c r="A11264" s="160">
        <v>79031</v>
      </c>
      <c r="B11264" t="s">
        <v>26202</v>
      </c>
      <c r="C11264" t="s">
        <v>11511</v>
      </c>
      <c r="D11264">
        <v>1.25</v>
      </c>
      <c r="E11264">
        <v>0</v>
      </c>
      <c r="F11264">
        <f t="shared" si="200"/>
        <v>1.25</v>
      </c>
      <c r="I11264">
        <v>20240101</v>
      </c>
      <c r="J11264" t="s">
        <v>11520</v>
      </c>
    </row>
    <row r="11265" spans="1:33" x14ac:dyDescent="0.3">
      <c r="A11265" s="160">
        <v>79033</v>
      </c>
      <c r="B11265" t="s">
        <v>26203</v>
      </c>
      <c r="C11265" t="s">
        <v>11511</v>
      </c>
      <c r="D11265">
        <v>1.25</v>
      </c>
      <c r="E11265">
        <v>0</v>
      </c>
      <c r="F11265">
        <f t="shared" si="200"/>
        <v>1.25</v>
      </c>
      <c r="I11265">
        <v>20240101</v>
      </c>
      <c r="J11265" t="s">
        <v>11520</v>
      </c>
    </row>
    <row r="11266" spans="1:33" x14ac:dyDescent="0.3">
      <c r="A11266" s="160">
        <v>79034</v>
      </c>
      <c r="B11266" t="s">
        <v>26204</v>
      </c>
      <c r="C11266" t="s">
        <v>11511</v>
      </c>
      <c r="D11266">
        <v>1.25</v>
      </c>
      <c r="E11266">
        <v>0</v>
      </c>
      <c r="F11266">
        <f t="shared" si="200"/>
        <v>1.25</v>
      </c>
      <c r="I11266">
        <v>20230701</v>
      </c>
      <c r="J11266" t="s">
        <v>11521</v>
      </c>
      <c r="K11266" t="s">
        <v>11522</v>
      </c>
      <c r="L11266" t="s">
        <v>11523</v>
      </c>
      <c r="M11266" t="s">
        <v>11524</v>
      </c>
      <c r="N11266" t="s">
        <v>11525</v>
      </c>
      <c r="O11266" t="s">
        <v>11526</v>
      </c>
      <c r="P11266" t="s">
        <v>11527</v>
      </c>
      <c r="Q11266" t="s">
        <v>11528</v>
      </c>
      <c r="R11266" t="s">
        <v>11529</v>
      </c>
      <c r="S11266" t="s">
        <v>11530</v>
      </c>
      <c r="T11266" t="s">
        <v>11531</v>
      </c>
      <c r="U11266" t="s">
        <v>11532</v>
      </c>
      <c r="V11266" t="s">
        <v>11533</v>
      </c>
    </row>
    <row r="11267" spans="1:33" x14ac:dyDescent="0.3">
      <c r="A11267" s="160">
        <v>79039</v>
      </c>
      <c r="B11267" t="s">
        <v>26205</v>
      </c>
      <c r="C11267" t="s">
        <v>11511</v>
      </c>
      <c r="D11267">
        <v>1.25</v>
      </c>
      <c r="E11267">
        <v>0</v>
      </c>
      <c r="F11267">
        <f t="shared" si="200"/>
        <v>1.25</v>
      </c>
      <c r="I11267">
        <v>20240101</v>
      </c>
      <c r="J11267" t="s">
        <v>11520</v>
      </c>
    </row>
    <row r="11268" spans="1:33" x14ac:dyDescent="0.3">
      <c r="A11268" s="160">
        <v>79042</v>
      </c>
      <c r="B11268" t="s">
        <v>26206</v>
      </c>
      <c r="C11268" t="s">
        <v>11515</v>
      </c>
      <c r="D11268">
        <v>0.2</v>
      </c>
      <c r="E11268">
        <v>0</v>
      </c>
      <c r="F11268">
        <f t="shared" si="200"/>
        <v>0.2</v>
      </c>
      <c r="I11268">
        <v>20220701</v>
      </c>
      <c r="J11268" t="s">
        <v>11517</v>
      </c>
    </row>
    <row r="11269" spans="1:33" x14ac:dyDescent="0.3">
      <c r="A11269" s="160">
        <v>79046</v>
      </c>
      <c r="B11269" t="s">
        <v>26207</v>
      </c>
      <c r="C11269" t="s">
        <v>11511</v>
      </c>
      <c r="D11269">
        <v>1.25</v>
      </c>
      <c r="E11269">
        <v>0</v>
      </c>
      <c r="F11269">
        <f t="shared" si="200"/>
        <v>1.25</v>
      </c>
      <c r="I11269">
        <v>20230701</v>
      </c>
      <c r="J11269" t="s">
        <v>11514</v>
      </c>
    </row>
    <row r="11270" spans="1:33" x14ac:dyDescent="0.3">
      <c r="A11270" s="160">
        <v>79048</v>
      </c>
      <c r="B11270" t="s">
        <v>26208</v>
      </c>
      <c r="C11270" t="s">
        <v>11515</v>
      </c>
      <c r="D11270">
        <v>0.2</v>
      </c>
      <c r="E11270">
        <v>0</v>
      </c>
      <c r="F11270">
        <f t="shared" si="200"/>
        <v>0.2</v>
      </c>
      <c r="I11270">
        <v>20220701</v>
      </c>
      <c r="J11270" t="s">
        <v>11534</v>
      </c>
    </row>
    <row r="11271" spans="1:33" x14ac:dyDescent="0.3">
      <c r="A11271" s="160">
        <v>79058</v>
      </c>
      <c r="B11271" t="s">
        <v>26209</v>
      </c>
      <c r="C11271" t="s">
        <v>11511</v>
      </c>
      <c r="D11271">
        <v>1.25</v>
      </c>
      <c r="E11271">
        <v>0</v>
      </c>
      <c r="F11271">
        <f t="shared" ref="F11271:F11334" si="202">D11271+E11271</f>
        <v>1.25</v>
      </c>
      <c r="I11271">
        <v>20230701</v>
      </c>
      <c r="J11271" t="s">
        <v>11512</v>
      </c>
    </row>
    <row r="11272" spans="1:33" x14ac:dyDescent="0.3">
      <c r="A11272" s="160">
        <v>79078</v>
      </c>
      <c r="B11272" t="s">
        <v>26210</v>
      </c>
      <c r="C11272" t="s">
        <v>11511</v>
      </c>
      <c r="D11272">
        <v>1.25</v>
      </c>
      <c r="E11272">
        <v>0</v>
      </c>
      <c r="F11272">
        <f t="shared" si="202"/>
        <v>1.25</v>
      </c>
      <c r="I11272">
        <v>20240101</v>
      </c>
      <c r="J11272" t="s">
        <v>11520</v>
      </c>
    </row>
    <row r="11273" spans="1:33" x14ac:dyDescent="0.3">
      <c r="A11273" s="160">
        <v>79081</v>
      </c>
      <c r="B11273" t="s">
        <v>26211</v>
      </c>
      <c r="C11273" t="s">
        <v>11511</v>
      </c>
      <c r="D11273">
        <v>1.25</v>
      </c>
      <c r="E11273">
        <v>0</v>
      </c>
      <c r="F11273">
        <f t="shared" si="202"/>
        <v>1.25</v>
      </c>
      <c r="I11273">
        <v>20230701</v>
      </c>
      <c r="J11273" t="s">
        <v>11535</v>
      </c>
      <c r="K11273" t="s">
        <v>11536</v>
      </c>
      <c r="L11273" t="s">
        <v>11537</v>
      </c>
      <c r="M11273" t="s">
        <v>11525</v>
      </c>
      <c r="N11273" t="s">
        <v>11528</v>
      </c>
      <c r="O11273" t="s">
        <v>11538</v>
      </c>
      <c r="P11273" t="s">
        <v>11539</v>
      </c>
      <c r="Q11273" t="s">
        <v>11540</v>
      </c>
      <c r="R11273" t="s">
        <v>11541</v>
      </c>
      <c r="S11273" t="s">
        <v>11530</v>
      </c>
      <c r="T11273" t="s">
        <v>11542</v>
      </c>
      <c r="U11273" t="s">
        <v>11531</v>
      </c>
      <c r="V11273" t="s">
        <v>11543</v>
      </c>
      <c r="W11273" t="s">
        <v>11544</v>
      </c>
      <c r="X11273" t="s">
        <v>11545</v>
      </c>
      <c r="Y11273" t="s">
        <v>11546</v>
      </c>
      <c r="Z11273" t="s">
        <v>11547</v>
      </c>
      <c r="AA11273" t="s">
        <v>11548</v>
      </c>
      <c r="AB11273" t="s">
        <v>11549</v>
      </c>
      <c r="AC11273" t="s">
        <v>11550</v>
      </c>
      <c r="AD11273" t="s">
        <v>11551</v>
      </c>
      <c r="AE11273" t="s">
        <v>11552</v>
      </c>
      <c r="AF11273" t="s">
        <v>11553</v>
      </c>
      <c r="AG11273" t="s">
        <v>11554</v>
      </c>
    </row>
    <row r="11274" spans="1:33" x14ac:dyDescent="0.3">
      <c r="A11274" s="160">
        <v>79086</v>
      </c>
      <c r="B11274" t="s">
        <v>26212</v>
      </c>
      <c r="C11274" t="s">
        <v>11515</v>
      </c>
      <c r="D11274">
        <v>0.2</v>
      </c>
      <c r="E11274">
        <v>0</v>
      </c>
      <c r="F11274">
        <f t="shared" si="202"/>
        <v>0.2</v>
      </c>
      <c r="I11274">
        <v>20220701</v>
      </c>
      <c r="J11274" t="s">
        <v>11555</v>
      </c>
    </row>
    <row r="11275" spans="1:33" x14ac:dyDescent="0.3">
      <c r="A11275" s="160">
        <v>79100</v>
      </c>
      <c r="B11275" t="s">
        <v>26213</v>
      </c>
      <c r="C11275" t="s">
        <v>11511</v>
      </c>
      <c r="D11275">
        <v>1.25</v>
      </c>
      <c r="E11275">
        <v>0</v>
      </c>
      <c r="F11275">
        <f t="shared" si="202"/>
        <v>1.25</v>
      </c>
      <c r="I11275">
        <v>20230701</v>
      </c>
      <c r="J11275" t="s">
        <v>11556</v>
      </c>
    </row>
    <row r="11276" spans="1:33" x14ac:dyDescent="0.3">
      <c r="A11276" s="160">
        <v>79109</v>
      </c>
      <c r="B11276" t="s">
        <v>26214</v>
      </c>
      <c r="C11276" t="s">
        <v>11511</v>
      </c>
      <c r="D11276">
        <v>1.25</v>
      </c>
      <c r="E11276">
        <v>0</v>
      </c>
      <c r="F11276">
        <f t="shared" si="202"/>
        <v>1.25</v>
      </c>
      <c r="I11276">
        <v>20230701</v>
      </c>
      <c r="J11276" t="s">
        <v>11555</v>
      </c>
    </row>
    <row r="11277" spans="1:33" x14ac:dyDescent="0.3">
      <c r="A11277" s="160">
        <v>79112</v>
      </c>
      <c r="B11277" t="s">
        <v>26215</v>
      </c>
      <c r="C11277" t="s">
        <v>11511</v>
      </c>
      <c r="D11277">
        <v>1.25</v>
      </c>
      <c r="E11277">
        <v>0</v>
      </c>
      <c r="F11277">
        <f t="shared" si="202"/>
        <v>1.25</v>
      </c>
      <c r="I11277">
        <v>20230701</v>
      </c>
      <c r="J11277" t="s">
        <v>11557</v>
      </c>
    </row>
    <row r="11278" spans="1:33" x14ac:dyDescent="0.3">
      <c r="A11278" s="160">
        <v>79114</v>
      </c>
      <c r="B11278" t="s">
        <v>26216</v>
      </c>
      <c r="C11278" t="s">
        <v>11515</v>
      </c>
      <c r="D11278">
        <v>0.2</v>
      </c>
      <c r="E11278">
        <v>0</v>
      </c>
      <c r="F11278">
        <f t="shared" si="202"/>
        <v>0.2</v>
      </c>
      <c r="I11278">
        <v>20220701</v>
      </c>
      <c r="J11278" t="s">
        <v>11516</v>
      </c>
    </row>
    <row r="11279" spans="1:33" x14ac:dyDescent="0.3">
      <c r="A11279" s="160">
        <v>79125</v>
      </c>
      <c r="B11279" t="s">
        <v>26217</v>
      </c>
      <c r="C11279" t="s">
        <v>11511</v>
      </c>
      <c r="D11279">
        <v>1.25</v>
      </c>
      <c r="E11279">
        <v>0</v>
      </c>
      <c r="F11279">
        <f t="shared" si="202"/>
        <v>1.25</v>
      </c>
      <c r="I11279">
        <v>20230701</v>
      </c>
      <c r="J11279" t="s">
        <v>11512</v>
      </c>
      <c r="K11279" t="s">
        <v>11558</v>
      </c>
    </row>
    <row r="11280" spans="1:33" x14ac:dyDescent="0.3">
      <c r="A11280" s="160">
        <v>79127</v>
      </c>
      <c r="B11280" t="s">
        <v>26218</v>
      </c>
      <c r="C11280" t="s">
        <v>11511</v>
      </c>
      <c r="D11280">
        <v>1.25</v>
      </c>
      <c r="E11280">
        <v>0</v>
      </c>
      <c r="F11280">
        <f t="shared" si="202"/>
        <v>1.25</v>
      </c>
      <c r="I11280">
        <v>20240101</v>
      </c>
      <c r="J11280" t="s">
        <v>11520</v>
      </c>
    </row>
    <row r="11281" spans="1:48" x14ac:dyDescent="0.3">
      <c r="A11281" s="160">
        <v>79128</v>
      </c>
      <c r="B11281" t="s">
        <v>26219</v>
      </c>
      <c r="C11281" t="s">
        <v>11515</v>
      </c>
      <c r="D11281">
        <v>0.2</v>
      </c>
      <c r="E11281">
        <v>0</v>
      </c>
      <c r="F11281">
        <f t="shared" si="202"/>
        <v>0.2</v>
      </c>
      <c r="I11281">
        <v>20220701</v>
      </c>
      <c r="J11281" t="s">
        <v>11534</v>
      </c>
    </row>
    <row r="11282" spans="1:48" x14ac:dyDescent="0.3">
      <c r="A11282" s="160">
        <v>79130</v>
      </c>
      <c r="B11282" t="s">
        <v>26220</v>
      </c>
      <c r="C11282" t="s">
        <v>11511</v>
      </c>
      <c r="D11282">
        <v>1.25</v>
      </c>
      <c r="E11282">
        <v>0</v>
      </c>
      <c r="F11282">
        <f t="shared" si="202"/>
        <v>1.25</v>
      </c>
      <c r="I11282">
        <v>20230701</v>
      </c>
      <c r="J11282" t="s">
        <v>11557</v>
      </c>
    </row>
    <row r="11283" spans="1:48" x14ac:dyDescent="0.3">
      <c r="A11283" s="160">
        <v>79133</v>
      </c>
      <c r="B11283" t="s">
        <v>26221</v>
      </c>
      <c r="C11283" t="s">
        <v>11511</v>
      </c>
      <c r="D11283">
        <v>1.25</v>
      </c>
      <c r="E11283">
        <v>0</v>
      </c>
      <c r="F11283">
        <f t="shared" si="202"/>
        <v>1.25</v>
      </c>
      <c r="I11283">
        <v>20230701</v>
      </c>
      <c r="J11283" t="s">
        <v>11559</v>
      </c>
    </row>
    <row r="11284" spans="1:48" x14ac:dyDescent="0.3">
      <c r="A11284" s="160">
        <v>79137</v>
      </c>
      <c r="B11284" t="s">
        <v>26222</v>
      </c>
      <c r="C11284" t="s">
        <v>11511</v>
      </c>
      <c r="D11284">
        <v>1.25</v>
      </c>
      <c r="E11284">
        <v>0</v>
      </c>
      <c r="F11284">
        <f t="shared" si="202"/>
        <v>1.25</v>
      </c>
      <c r="I11284">
        <v>20240101</v>
      </c>
      <c r="J11284" t="s">
        <v>11520</v>
      </c>
    </row>
    <row r="11285" spans="1:48" x14ac:dyDescent="0.3">
      <c r="A11285" s="160">
        <v>79144</v>
      </c>
      <c r="B11285" t="s">
        <v>26223</v>
      </c>
      <c r="C11285" t="s">
        <v>11511</v>
      </c>
      <c r="D11285">
        <v>1.25</v>
      </c>
      <c r="E11285">
        <v>0</v>
      </c>
      <c r="F11285">
        <f t="shared" si="202"/>
        <v>1.25</v>
      </c>
      <c r="I11285">
        <v>20230701</v>
      </c>
      <c r="J11285" t="s">
        <v>11512</v>
      </c>
    </row>
    <row r="11286" spans="1:48" x14ac:dyDescent="0.3">
      <c r="A11286" s="160">
        <v>79162</v>
      </c>
      <c r="B11286" t="s">
        <v>26224</v>
      </c>
      <c r="C11286" t="s">
        <v>11511</v>
      </c>
      <c r="D11286">
        <v>1.25</v>
      </c>
      <c r="E11286">
        <v>0</v>
      </c>
      <c r="F11286">
        <f t="shared" si="202"/>
        <v>1.25</v>
      </c>
      <c r="I11286">
        <v>20230701</v>
      </c>
      <c r="J11286" t="s">
        <v>11560</v>
      </c>
    </row>
    <row r="11287" spans="1:48" x14ac:dyDescent="0.3">
      <c r="A11287" s="160">
        <v>79166</v>
      </c>
      <c r="B11287" t="s">
        <v>24798</v>
      </c>
      <c r="C11287" t="s">
        <v>11511</v>
      </c>
      <c r="D11287">
        <v>1.25</v>
      </c>
      <c r="E11287">
        <v>0</v>
      </c>
      <c r="F11287">
        <f t="shared" si="202"/>
        <v>1.25</v>
      </c>
      <c r="I11287">
        <v>20240101</v>
      </c>
      <c r="J11287" t="s">
        <v>11520</v>
      </c>
    </row>
    <row r="11288" spans="1:48" x14ac:dyDescent="0.3">
      <c r="A11288" s="160">
        <v>79170</v>
      </c>
      <c r="B11288" t="s">
        <v>26225</v>
      </c>
      <c r="C11288" t="s">
        <v>11511</v>
      </c>
      <c r="D11288">
        <v>1.25</v>
      </c>
      <c r="E11288">
        <v>0</v>
      </c>
      <c r="F11288">
        <f t="shared" si="202"/>
        <v>1.25</v>
      </c>
      <c r="I11288">
        <v>20230701</v>
      </c>
      <c r="J11288" t="s">
        <v>11514</v>
      </c>
    </row>
    <row r="11289" spans="1:48" x14ac:dyDescent="0.3">
      <c r="A11289" s="160">
        <v>79189</v>
      </c>
      <c r="B11289" t="s">
        <v>26226</v>
      </c>
      <c r="C11289" t="s">
        <v>11515</v>
      </c>
      <c r="D11289">
        <v>0.2</v>
      </c>
      <c r="E11289">
        <v>0</v>
      </c>
      <c r="F11289">
        <f t="shared" si="202"/>
        <v>0.2</v>
      </c>
      <c r="I11289">
        <v>20220701</v>
      </c>
      <c r="J11289" t="s">
        <v>11516</v>
      </c>
      <c r="K11289" t="s">
        <v>11518</v>
      </c>
    </row>
    <row r="11290" spans="1:48" x14ac:dyDescent="0.3">
      <c r="A11290" s="160">
        <v>79191</v>
      </c>
      <c r="B11290" t="s">
        <v>26227</v>
      </c>
      <c r="C11290" t="s">
        <v>11511</v>
      </c>
      <c r="D11290">
        <v>1.25</v>
      </c>
      <c r="E11290">
        <v>0</v>
      </c>
      <c r="F11290">
        <f t="shared" si="202"/>
        <v>1.25</v>
      </c>
      <c r="I11290">
        <v>20230701</v>
      </c>
      <c r="J11290" t="s">
        <v>11521</v>
      </c>
      <c r="K11290" t="s">
        <v>11535</v>
      </c>
      <c r="L11290" t="s">
        <v>11522</v>
      </c>
      <c r="M11290" t="s">
        <v>11561</v>
      </c>
      <c r="N11290" t="s">
        <v>11562</v>
      </c>
      <c r="O11290" t="s">
        <v>11536</v>
      </c>
      <c r="P11290" t="s">
        <v>11563</v>
      </c>
      <c r="Q11290" t="s">
        <v>11564</v>
      </c>
      <c r="R11290" t="s">
        <v>11537</v>
      </c>
      <c r="S11290" t="s">
        <v>11565</v>
      </c>
      <c r="T11290" t="s">
        <v>11566</v>
      </c>
      <c r="U11290" t="s">
        <v>11523</v>
      </c>
      <c r="V11290" t="s">
        <v>11567</v>
      </c>
      <c r="W11290" t="s">
        <v>11568</v>
      </c>
      <c r="X11290" t="s">
        <v>11569</v>
      </c>
      <c r="Y11290" t="s">
        <v>11570</v>
      </c>
      <c r="Z11290" t="s">
        <v>11571</v>
      </c>
      <c r="AA11290" t="s">
        <v>11525</v>
      </c>
      <c r="AB11290" t="s">
        <v>11526</v>
      </c>
      <c r="AC11290" t="s">
        <v>11527</v>
      </c>
      <c r="AD11290" t="s">
        <v>11528</v>
      </c>
      <c r="AE11290" t="s">
        <v>11538</v>
      </c>
      <c r="AF11290" t="s">
        <v>11572</v>
      </c>
      <c r="AG11290" t="s">
        <v>11573</v>
      </c>
      <c r="AH11290" t="s">
        <v>11574</v>
      </c>
      <c r="AI11290" t="s">
        <v>11575</v>
      </c>
      <c r="AJ11290" t="s">
        <v>11576</v>
      </c>
      <c r="AK11290" t="s">
        <v>11577</v>
      </c>
      <c r="AL11290" t="s">
        <v>11578</v>
      </c>
      <c r="AM11290" t="s">
        <v>11541</v>
      </c>
      <c r="AN11290" t="s">
        <v>11530</v>
      </c>
      <c r="AO11290" t="s">
        <v>11579</v>
      </c>
      <c r="AP11290" t="s">
        <v>11580</v>
      </c>
      <c r="AQ11290" t="s">
        <v>11531</v>
      </c>
      <c r="AR11290" t="s">
        <v>11581</v>
      </c>
      <c r="AS11290" t="s">
        <v>11582</v>
      </c>
      <c r="AT11290" t="s">
        <v>11583</v>
      </c>
      <c r="AU11290" t="s">
        <v>11584</v>
      </c>
      <c r="AV11290" t="s">
        <v>11585</v>
      </c>
    </row>
    <row r="11291" spans="1:48" x14ac:dyDescent="0.3">
      <c r="A11291" s="160">
        <v>79201</v>
      </c>
      <c r="B11291" t="s">
        <v>26228</v>
      </c>
      <c r="C11291" t="s">
        <v>11515</v>
      </c>
      <c r="D11291">
        <v>0.2</v>
      </c>
      <c r="E11291">
        <v>0</v>
      </c>
      <c r="F11291">
        <f t="shared" si="202"/>
        <v>0.2</v>
      </c>
      <c r="I11291">
        <v>20220701</v>
      </c>
      <c r="J11291" t="s">
        <v>11586</v>
      </c>
      <c r="K11291" t="s">
        <v>11517</v>
      </c>
    </row>
    <row r="11292" spans="1:48" x14ac:dyDescent="0.3">
      <c r="A11292" s="160">
        <v>79216</v>
      </c>
      <c r="B11292" t="s">
        <v>26229</v>
      </c>
      <c r="C11292" t="s">
        <v>11511</v>
      </c>
      <c r="D11292">
        <v>1.25</v>
      </c>
      <c r="E11292">
        <v>0</v>
      </c>
      <c r="F11292">
        <f t="shared" si="202"/>
        <v>1.25</v>
      </c>
      <c r="I11292">
        <v>20230701</v>
      </c>
      <c r="J11292" t="s">
        <v>11512</v>
      </c>
      <c r="K11292" t="s">
        <v>11587</v>
      </c>
      <c r="L11292" t="s">
        <v>11558</v>
      </c>
    </row>
    <row r="11293" spans="1:48" x14ac:dyDescent="0.3">
      <c r="A11293" s="160">
        <v>79219</v>
      </c>
      <c r="B11293" t="s">
        <v>26230</v>
      </c>
      <c r="C11293" t="s">
        <v>11511</v>
      </c>
      <c r="D11293">
        <v>1.25</v>
      </c>
      <c r="E11293">
        <v>0</v>
      </c>
      <c r="F11293">
        <f t="shared" si="202"/>
        <v>1.25</v>
      </c>
      <c r="I11293">
        <v>20230701</v>
      </c>
      <c r="J11293" t="s">
        <v>11514</v>
      </c>
    </row>
    <row r="11294" spans="1:48" x14ac:dyDescent="0.3">
      <c r="A11294" s="160">
        <v>79220</v>
      </c>
      <c r="B11294" t="s">
        <v>26231</v>
      </c>
      <c r="C11294" t="s">
        <v>11511</v>
      </c>
      <c r="D11294">
        <v>1.25</v>
      </c>
      <c r="E11294">
        <v>0</v>
      </c>
      <c r="F11294">
        <f t="shared" si="202"/>
        <v>1.25</v>
      </c>
      <c r="I11294">
        <v>20230701</v>
      </c>
      <c r="J11294" t="s">
        <v>11514</v>
      </c>
    </row>
    <row r="11295" spans="1:48" x14ac:dyDescent="0.3">
      <c r="A11295" s="160">
        <v>79229</v>
      </c>
      <c r="B11295" t="s">
        <v>26232</v>
      </c>
      <c r="C11295" t="s">
        <v>11511</v>
      </c>
      <c r="D11295">
        <v>1.25</v>
      </c>
      <c r="E11295">
        <v>0</v>
      </c>
      <c r="F11295">
        <f t="shared" si="202"/>
        <v>1.25</v>
      </c>
      <c r="I11295">
        <v>20230701</v>
      </c>
      <c r="J11295" t="s">
        <v>11557</v>
      </c>
    </row>
    <row r="11296" spans="1:48" x14ac:dyDescent="0.3">
      <c r="A11296" s="160">
        <v>79231</v>
      </c>
      <c r="B11296" t="s">
        <v>26233</v>
      </c>
      <c r="C11296" t="s">
        <v>11515</v>
      </c>
      <c r="D11296">
        <v>0.2</v>
      </c>
      <c r="E11296">
        <v>0</v>
      </c>
      <c r="F11296">
        <f t="shared" si="202"/>
        <v>0.2</v>
      </c>
      <c r="I11296">
        <v>20220701</v>
      </c>
      <c r="J11296" t="s">
        <v>11534</v>
      </c>
    </row>
    <row r="11297" spans="1:14" x14ac:dyDescent="0.3">
      <c r="A11297" s="160">
        <v>79246</v>
      </c>
      <c r="B11297" t="s">
        <v>26234</v>
      </c>
      <c r="C11297" t="s">
        <v>11515</v>
      </c>
      <c r="D11297">
        <v>0.2</v>
      </c>
      <c r="E11297">
        <v>0</v>
      </c>
      <c r="F11297">
        <f t="shared" si="202"/>
        <v>0.2</v>
      </c>
      <c r="I11297">
        <v>20220701</v>
      </c>
      <c r="J11297" t="s">
        <v>11519</v>
      </c>
      <c r="K11297" t="s">
        <v>11586</v>
      </c>
      <c r="L11297" t="s">
        <v>11517</v>
      </c>
    </row>
    <row r="11298" spans="1:14" x14ac:dyDescent="0.3">
      <c r="A11298" s="160">
        <v>79247</v>
      </c>
      <c r="B11298" t="s">
        <v>26234</v>
      </c>
      <c r="C11298" t="s">
        <v>11511</v>
      </c>
      <c r="D11298">
        <v>1.25</v>
      </c>
      <c r="E11298">
        <v>0</v>
      </c>
      <c r="F11298">
        <f t="shared" si="202"/>
        <v>1.25</v>
      </c>
      <c r="I11298">
        <v>20240101</v>
      </c>
      <c r="J11298" t="s">
        <v>11520</v>
      </c>
    </row>
    <row r="11299" spans="1:14" x14ac:dyDescent="0.3">
      <c r="A11299" s="160">
        <v>79249</v>
      </c>
      <c r="B11299" t="s">
        <v>26235</v>
      </c>
      <c r="C11299" t="s">
        <v>11511</v>
      </c>
      <c r="D11299">
        <v>1.25</v>
      </c>
      <c r="E11299">
        <v>0</v>
      </c>
      <c r="F11299">
        <f t="shared" si="202"/>
        <v>1.25</v>
      </c>
      <c r="I11299">
        <v>20230701</v>
      </c>
      <c r="J11299" t="s">
        <v>11555</v>
      </c>
    </row>
    <row r="11300" spans="1:14" x14ac:dyDescent="0.3">
      <c r="A11300" s="160">
        <v>79254</v>
      </c>
      <c r="B11300" t="s">
        <v>26236</v>
      </c>
      <c r="C11300" t="s">
        <v>11511</v>
      </c>
      <c r="D11300">
        <v>1.25</v>
      </c>
      <c r="E11300">
        <v>0</v>
      </c>
      <c r="F11300">
        <f t="shared" si="202"/>
        <v>1.25</v>
      </c>
      <c r="I11300">
        <v>20230701</v>
      </c>
      <c r="J11300" t="s">
        <v>11514</v>
      </c>
    </row>
    <row r="11301" spans="1:14" x14ac:dyDescent="0.3">
      <c r="A11301" s="160">
        <v>79257</v>
      </c>
      <c r="B11301" t="s">
        <v>26237</v>
      </c>
      <c r="C11301" t="s">
        <v>11511</v>
      </c>
      <c r="D11301">
        <v>1.25</v>
      </c>
      <c r="E11301">
        <v>0</v>
      </c>
      <c r="F11301">
        <f t="shared" si="202"/>
        <v>1.25</v>
      </c>
      <c r="I11301">
        <v>20230701</v>
      </c>
      <c r="J11301" t="s">
        <v>11514</v>
      </c>
    </row>
    <row r="11302" spans="1:14" x14ac:dyDescent="0.3">
      <c r="A11302" s="160">
        <v>79270</v>
      </c>
      <c r="B11302" t="s">
        <v>26238</v>
      </c>
      <c r="C11302" t="s">
        <v>11515</v>
      </c>
      <c r="D11302">
        <v>0.2</v>
      </c>
      <c r="E11302">
        <v>0</v>
      </c>
      <c r="F11302">
        <f t="shared" si="202"/>
        <v>0.2</v>
      </c>
      <c r="I11302">
        <v>20220701</v>
      </c>
      <c r="J11302" t="s">
        <v>11516</v>
      </c>
      <c r="K11302" t="s">
        <v>11518</v>
      </c>
      <c r="L11302" t="s">
        <v>11519</v>
      </c>
      <c r="M11302" t="s">
        <v>11586</v>
      </c>
      <c r="N11302" t="s">
        <v>11588</v>
      </c>
    </row>
    <row r="11303" spans="1:14" x14ac:dyDescent="0.3">
      <c r="A11303" s="160">
        <v>79273</v>
      </c>
      <c r="B11303" t="s">
        <v>26239</v>
      </c>
      <c r="C11303" t="s">
        <v>11511</v>
      </c>
      <c r="D11303">
        <v>1.25</v>
      </c>
      <c r="E11303">
        <v>0</v>
      </c>
      <c r="F11303">
        <f t="shared" si="202"/>
        <v>1.25</v>
      </c>
      <c r="I11303">
        <v>20230701</v>
      </c>
      <c r="J11303" t="s">
        <v>11512</v>
      </c>
      <c r="K11303" t="s">
        <v>11558</v>
      </c>
    </row>
    <row r="11304" spans="1:14" x14ac:dyDescent="0.3">
      <c r="A11304" s="160">
        <v>79276</v>
      </c>
      <c r="B11304" t="s">
        <v>26240</v>
      </c>
      <c r="C11304" t="s">
        <v>11515</v>
      </c>
      <c r="D11304">
        <v>0.2</v>
      </c>
      <c r="E11304">
        <v>0</v>
      </c>
      <c r="F11304">
        <f t="shared" si="202"/>
        <v>0.2</v>
      </c>
      <c r="I11304">
        <v>20220701</v>
      </c>
      <c r="J11304" t="s">
        <v>11516</v>
      </c>
      <c r="K11304" t="s">
        <v>11519</v>
      </c>
    </row>
    <row r="11305" spans="1:14" x14ac:dyDescent="0.3">
      <c r="A11305" s="160">
        <v>79281</v>
      </c>
      <c r="B11305" t="s">
        <v>26241</v>
      </c>
      <c r="C11305" t="s">
        <v>11511</v>
      </c>
      <c r="D11305">
        <v>1.25</v>
      </c>
      <c r="E11305">
        <v>0</v>
      </c>
      <c r="F11305">
        <f t="shared" si="202"/>
        <v>1.25</v>
      </c>
      <c r="I11305">
        <v>20230701</v>
      </c>
      <c r="J11305" t="s">
        <v>11555</v>
      </c>
    </row>
    <row r="11306" spans="1:14" x14ac:dyDescent="0.3">
      <c r="A11306" s="160">
        <v>79283</v>
      </c>
      <c r="B11306" t="s">
        <v>26242</v>
      </c>
      <c r="C11306" t="s">
        <v>11515</v>
      </c>
      <c r="D11306">
        <v>0.2</v>
      </c>
      <c r="E11306">
        <v>0</v>
      </c>
      <c r="F11306">
        <f t="shared" si="202"/>
        <v>0.2</v>
      </c>
      <c r="I11306">
        <v>20220701</v>
      </c>
      <c r="J11306" t="s">
        <v>11534</v>
      </c>
    </row>
    <row r="11307" spans="1:14" x14ac:dyDescent="0.3">
      <c r="A11307" s="160">
        <v>79293</v>
      </c>
      <c r="B11307" t="s">
        <v>15275</v>
      </c>
      <c r="C11307" t="s">
        <v>11511</v>
      </c>
      <c r="D11307">
        <v>1.25</v>
      </c>
      <c r="E11307">
        <v>0</v>
      </c>
      <c r="F11307">
        <f t="shared" si="202"/>
        <v>1.25</v>
      </c>
      <c r="I11307">
        <v>20230701</v>
      </c>
      <c r="J11307" t="s">
        <v>11555</v>
      </c>
    </row>
    <row r="11308" spans="1:14" x14ac:dyDescent="0.3">
      <c r="A11308" s="160">
        <v>79294</v>
      </c>
      <c r="B11308" t="s">
        <v>26243</v>
      </c>
      <c r="C11308" t="s">
        <v>11511</v>
      </c>
      <c r="D11308">
        <v>1.25</v>
      </c>
      <c r="E11308">
        <v>0</v>
      </c>
      <c r="F11308">
        <f t="shared" si="202"/>
        <v>1.25</v>
      </c>
      <c r="I11308">
        <v>20230701</v>
      </c>
      <c r="J11308" t="s">
        <v>11512</v>
      </c>
    </row>
    <row r="11309" spans="1:14" x14ac:dyDescent="0.3">
      <c r="A11309" s="160">
        <v>79298</v>
      </c>
      <c r="B11309" t="s">
        <v>18947</v>
      </c>
      <c r="C11309" t="s">
        <v>11511</v>
      </c>
      <c r="D11309">
        <v>1.25</v>
      </c>
      <c r="E11309">
        <v>0</v>
      </c>
      <c r="F11309">
        <f t="shared" si="202"/>
        <v>1.25</v>
      </c>
      <c r="I11309">
        <v>20230701</v>
      </c>
      <c r="J11309" t="s">
        <v>11557</v>
      </c>
    </row>
    <row r="11310" spans="1:14" x14ac:dyDescent="0.3">
      <c r="A11310" s="160">
        <v>79302</v>
      </c>
      <c r="B11310" t="s">
        <v>26244</v>
      </c>
      <c r="C11310" t="s">
        <v>11515</v>
      </c>
      <c r="D11310">
        <v>0.2</v>
      </c>
      <c r="E11310">
        <v>0</v>
      </c>
      <c r="F11310">
        <f t="shared" si="202"/>
        <v>0.2</v>
      </c>
      <c r="I11310">
        <v>20220701</v>
      </c>
      <c r="J11310" t="s">
        <v>11516</v>
      </c>
      <c r="K11310" t="s">
        <v>11518</v>
      </c>
    </row>
    <row r="11311" spans="1:14" x14ac:dyDescent="0.3">
      <c r="A11311" s="160">
        <v>79303</v>
      </c>
      <c r="B11311" t="s">
        <v>18958</v>
      </c>
      <c r="C11311" t="s">
        <v>11515</v>
      </c>
      <c r="D11311">
        <v>0.2</v>
      </c>
      <c r="E11311">
        <v>0</v>
      </c>
      <c r="F11311">
        <f t="shared" si="202"/>
        <v>0.2</v>
      </c>
      <c r="I11311">
        <v>20220701</v>
      </c>
      <c r="J11311" t="s">
        <v>11517</v>
      </c>
    </row>
    <row r="11312" spans="1:14" x14ac:dyDescent="0.3">
      <c r="A11312" s="160">
        <v>79304</v>
      </c>
      <c r="B11312" t="s">
        <v>26245</v>
      </c>
      <c r="C11312" t="s">
        <v>11511</v>
      </c>
      <c r="D11312">
        <v>1.25</v>
      </c>
      <c r="E11312">
        <v>0</v>
      </c>
      <c r="F11312">
        <f t="shared" si="202"/>
        <v>1.25</v>
      </c>
      <c r="I11312">
        <v>20230701</v>
      </c>
      <c r="J11312" t="s">
        <v>11557</v>
      </c>
    </row>
    <row r="11313" spans="1:67" x14ac:dyDescent="0.3">
      <c r="A11313" s="160">
        <v>79308</v>
      </c>
      <c r="B11313" t="s">
        <v>26246</v>
      </c>
      <c r="C11313" t="s">
        <v>11511</v>
      </c>
      <c r="D11313">
        <v>1.25</v>
      </c>
      <c r="E11313">
        <v>0</v>
      </c>
      <c r="F11313">
        <f t="shared" si="202"/>
        <v>1.25</v>
      </c>
      <c r="I11313">
        <v>20230701</v>
      </c>
      <c r="J11313" t="s">
        <v>11521</v>
      </c>
    </row>
    <row r="11314" spans="1:67" x14ac:dyDescent="0.3">
      <c r="A11314" s="160">
        <v>79316</v>
      </c>
      <c r="B11314" t="s">
        <v>26247</v>
      </c>
      <c r="C11314" t="s">
        <v>11515</v>
      </c>
      <c r="D11314">
        <v>0.2</v>
      </c>
      <c r="E11314">
        <v>0</v>
      </c>
      <c r="F11314">
        <f t="shared" si="202"/>
        <v>0.2</v>
      </c>
      <c r="I11314">
        <v>20220701</v>
      </c>
      <c r="J11314" t="s">
        <v>11518</v>
      </c>
      <c r="K11314" t="s">
        <v>11517</v>
      </c>
    </row>
    <row r="11315" spans="1:67" x14ac:dyDescent="0.3">
      <c r="A11315" s="160">
        <v>79319</v>
      </c>
      <c r="B11315" t="s">
        <v>26248</v>
      </c>
      <c r="C11315" t="s">
        <v>11515</v>
      </c>
      <c r="D11315">
        <v>0.2</v>
      </c>
      <c r="E11315">
        <v>0</v>
      </c>
      <c r="F11315">
        <f t="shared" si="202"/>
        <v>0.2</v>
      </c>
      <c r="I11315">
        <v>20220701</v>
      </c>
      <c r="J11315" t="s">
        <v>11517</v>
      </c>
    </row>
    <row r="11316" spans="1:67" x14ac:dyDescent="0.3">
      <c r="A11316" s="160">
        <v>79328</v>
      </c>
      <c r="B11316" t="s">
        <v>26249</v>
      </c>
      <c r="C11316" t="s">
        <v>11511</v>
      </c>
      <c r="D11316">
        <v>1.25</v>
      </c>
      <c r="E11316">
        <v>0</v>
      </c>
      <c r="F11316">
        <f t="shared" si="202"/>
        <v>1.25</v>
      </c>
      <c r="I11316">
        <v>20240101</v>
      </c>
      <c r="J11316" t="s">
        <v>11520</v>
      </c>
    </row>
    <row r="11317" spans="1:67" x14ac:dyDescent="0.3">
      <c r="A11317" s="160">
        <v>79334</v>
      </c>
      <c r="B11317" t="s">
        <v>26250</v>
      </c>
      <c r="C11317" t="s">
        <v>11511</v>
      </c>
      <c r="D11317">
        <v>1.25</v>
      </c>
      <c r="E11317">
        <v>0</v>
      </c>
      <c r="F11317">
        <f t="shared" si="202"/>
        <v>1.25</v>
      </c>
      <c r="I11317">
        <v>20230701</v>
      </c>
      <c r="J11317" t="s">
        <v>11514</v>
      </c>
    </row>
    <row r="11318" spans="1:67" x14ac:dyDescent="0.3">
      <c r="A11318" s="160">
        <v>79335</v>
      </c>
      <c r="B11318" t="s">
        <v>26251</v>
      </c>
      <c r="C11318" t="s">
        <v>11511</v>
      </c>
      <c r="D11318">
        <v>1.25</v>
      </c>
      <c r="E11318">
        <v>0</v>
      </c>
      <c r="F11318">
        <f t="shared" si="202"/>
        <v>1.25</v>
      </c>
      <c r="I11318">
        <v>20230701</v>
      </c>
      <c r="J11318" t="s">
        <v>11557</v>
      </c>
    </row>
    <row r="11319" spans="1:67" x14ac:dyDescent="0.3">
      <c r="A11319" s="160">
        <v>79337</v>
      </c>
      <c r="B11319" t="s">
        <v>26252</v>
      </c>
      <c r="C11319" t="s">
        <v>11511</v>
      </c>
      <c r="D11319">
        <v>1.25</v>
      </c>
      <c r="E11319">
        <v>0</v>
      </c>
      <c r="F11319">
        <f t="shared" si="202"/>
        <v>1.25</v>
      </c>
      <c r="I11319">
        <v>20230701</v>
      </c>
      <c r="J11319" t="s">
        <v>11557</v>
      </c>
    </row>
    <row r="11320" spans="1:67" x14ac:dyDescent="0.3">
      <c r="A11320" s="160">
        <v>79351</v>
      </c>
      <c r="B11320" t="s">
        <v>26253</v>
      </c>
      <c r="C11320" t="s">
        <v>11511</v>
      </c>
      <c r="D11320">
        <v>1.25</v>
      </c>
      <c r="E11320">
        <v>0</v>
      </c>
      <c r="F11320">
        <f t="shared" si="202"/>
        <v>1.25</v>
      </c>
      <c r="I11320">
        <v>20230701</v>
      </c>
      <c r="J11320" t="s">
        <v>11589</v>
      </c>
    </row>
    <row r="11321" spans="1:67" x14ac:dyDescent="0.3">
      <c r="A11321" s="160">
        <v>79355</v>
      </c>
      <c r="B11321" t="s">
        <v>26254</v>
      </c>
      <c r="C11321" t="s">
        <v>11511</v>
      </c>
      <c r="D11321">
        <v>1.25</v>
      </c>
      <c r="E11321">
        <v>0</v>
      </c>
      <c r="F11321">
        <f t="shared" si="202"/>
        <v>1.25</v>
      </c>
      <c r="I11321">
        <v>20230701</v>
      </c>
      <c r="J11321" t="s">
        <v>11512</v>
      </c>
      <c r="K11321" t="s">
        <v>11590</v>
      </c>
    </row>
    <row r="11322" spans="1:67" x14ac:dyDescent="0.3">
      <c r="A11322" s="160">
        <v>80001</v>
      </c>
      <c r="B11322" t="s">
        <v>26255</v>
      </c>
      <c r="C11322" t="s">
        <v>11591</v>
      </c>
      <c r="D11322">
        <v>0.6</v>
      </c>
      <c r="E11322">
        <v>0</v>
      </c>
      <c r="F11322">
        <f t="shared" si="202"/>
        <v>0.6</v>
      </c>
      <c r="I11322">
        <v>20130101</v>
      </c>
      <c r="J11322" t="s">
        <v>11592</v>
      </c>
      <c r="K11322" t="s">
        <v>11593</v>
      </c>
      <c r="L11322" t="s">
        <v>11594</v>
      </c>
      <c r="M11322" t="s">
        <v>11595</v>
      </c>
      <c r="N11322" t="s">
        <v>11596</v>
      </c>
      <c r="O11322" t="s">
        <v>11597</v>
      </c>
      <c r="P11322" t="s">
        <v>11598</v>
      </c>
      <c r="Q11322" t="s">
        <v>11599</v>
      </c>
      <c r="R11322" t="s">
        <v>11600</v>
      </c>
      <c r="S11322" t="s">
        <v>11601</v>
      </c>
      <c r="T11322" t="s">
        <v>11602</v>
      </c>
    </row>
    <row r="11323" spans="1:67" x14ac:dyDescent="0.3">
      <c r="A11323" s="160">
        <v>80020</v>
      </c>
      <c r="B11323" t="s">
        <v>26256</v>
      </c>
      <c r="C11323" t="s">
        <v>11603</v>
      </c>
      <c r="D11323">
        <v>2</v>
      </c>
      <c r="E11323">
        <v>0</v>
      </c>
      <c r="F11323">
        <f t="shared" si="202"/>
        <v>2</v>
      </c>
      <c r="I11323">
        <v>20230101</v>
      </c>
      <c r="J11323" t="s">
        <v>11604</v>
      </c>
    </row>
    <row r="11324" spans="1:67" x14ac:dyDescent="0.3">
      <c r="A11324" s="160">
        <v>80021</v>
      </c>
      <c r="B11324" t="s">
        <v>26257</v>
      </c>
      <c r="C11324" t="s">
        <v>11603</v>
      </c>
      <c r="D11324">
        <v>2</v>
      </c>
      <c r="E11324">
        <v>0</v>
      </c>
      <c r="F11324">
        <f t="shared" si="202"/>
        <v>2</v>
      </c>
      <c r="I11324">
        <v>20230101</v>
      </c>
      <c r="J11324" t="s">
        <v>11605</v>
      </c>
      <c r="K11324" t="s">
        <v>11606</v>
      </c>
      <c r="L11324" t="s">
        <v>11607</v>
      </c>
      <c r="M11324" t="s">
        <v>11608</v>
      </c>
      <c r="N11324" t="s">
        <v>11609</v>
      </c>
      <c r="O11324" t="s">
        <v>11610</v>
      </c>
      <c r="P11324" t="s">
        <v>11611</v>
      </c>
      <c r="Q11324" t="s">
        <v>11612</v>
      </c>
      <c r="R11324" t="s">
        <v>11613</v>
      </c>
      <c r="S11324" t="s">
        <v>11614</v>
      </c>
      <c r="T11324" t="s">
        <v>11615</v>
      </c>
      <c r="U11324" t="s">
        <v>11616</v>
      </c>
      <c r="V11324" t="s">
        <v>11617</v>
      </c>
      <c r="W11324" t="s">
        <v>11618</v>
      </c>
      <c r="X11324" t="s">
        <v>11619</v>
      </c>
      <c r="Y11324" t="s">
        <v>11620</v>
      </c>
      <c r="Z11324" t="s">
        <v>11621</v>
      </c>
      <c r="AA11324" t="s">
        <v>11622</v>
      </c>
      <c r="AB11324" t="s">
        <v>11623</v>
      </c>
      <c r="AC11324" t="s">
        <v>11624</v>
      </c>
      <c r="AD11324" t="s">
        <v>11625</v>
      </c>
      <c r="AE11324" t="s">
        <v>11626</v>
      </c>
      <c r="AF11324" t="s">
        <v>11627</v>
      </c>
      <c r="AG11324" t="s">
        <v>11628</v>
      </c>
      <c r="AH11324" t="s">
        <v>11629</v>
      </c>
      <c r="AI11324" t="s">
        <v>11630</v>
      </c>
      <c r="AJ11324" t="s">
        <v>11631</v>
      </c>
      <c r="AK11324" t="s">
        <v>11632</v>
      </c>
      <c r="AL11324" t="s">
        <v>11633</v>
      </c>
      <c r="AM11324" t="s">
        <v>11634</v>
      </c>
      <c r="AN11324" t="s">
        <v>11635</v>
      </c>
      <c r="AO11324" t="s">
        <v>11636</v>
      </c>
      <c r="AP11324" t="s">
        <v>11637</v>
      </c>
      <c r="AQ11324" t="s">
        <v>11638</v>
      </c>
      <c r="AR11324" t="s">
        <v>11639</v>
      </c>
      <c r="AS11324" t="s">
        <v>11640</v>
      </c>
      <c r="AT11324" t="s">
        <v>11641</v>
      </c>
      <c r="AU11324" t="s">
        <v>11642</v>
      </c>
      <c r="AV11324" t="s">
        <v>11643</v>
      </c>
      <c r="AW11324" t="s">
        <v>11644</v>
      </c>
      <c r="AX11324" t="s">
        <v>11645</v>
      </c>
      <c r="AY11324" t="s">
        <v>11646</v>
      </c>
      <c r="AZ11324" t="s">
        <v>11647</v>
      </c>
      <c r="BA11324" t="s">
        <v>11648</v>
      </c>
      <c r="BB11324" t="s">
        <v>11649</v>
      </c>
      <c r="BC11324" t="s">
        <v>11650</v>
      </c>
      <c r="BD11324" t="s">
        <v>11651</v>
      </c>
      <c r="BE11324" t="s">
        <v>11652</v>
      </c>
      <c r="BF11324" t="s">
        <v>11653</v>
      </c>
      <c r="BG11324" t="s">
        <v>11654</v>
      </c>
      <c r="BH11324" t="s">
        <v>11655</v>
      </c>
      <c r="BI11324" t="s">
        <v>11656</v>
      </c>
      <c r="BJ11324" t="s">
        <v>11657</v>
      </c>
      <c r="BK11324" t="s">
        <v>11658</v>
      </c>
      <c r="BL11324" t="s">
        <v>11659</v>
      </c>
      <c r="BM11324" t="s">
        <v>11660</v>
      </c>
      <c r="BN11324" t="s">
        <v>11661</v>
      </c>
      <c r="BO11324" t="s">
        <v>11662</v>
      </c>
    </row>
    <row r="11325" spans="1:67" x14ac:dyDescent="0.3">
      <c r="A11325" s="160">
        <v>80078</v>
      </c>
      <c r="B11325" t="s">
        <v>26258</v>
      </c>
      <c r="C11325" t="s">
        <v>11591</v>
      </c>
      <c r="D11325">
        <v>0.6</v>
      </c>
      <c r="E11325">
        <v>0</v>
      </c>
      <c r="F11325">
        <f t="shared" si="202"/>
        <v>0.6</v>
      </c>
      <c r="I11325">
        <v>20130101</v>
      </c>
      <c r="J11325" t="s">
        <v>11678</v>
      </c>
      <c r="K11325" t="s">
        <v>11602</v>
      </c>
    </row>
    <row r="11326" spans="1:67" x14ac:dyDescent="0.3">
      <c r="A11326" s="160">
        <v>80092</v>
      </c>
      <c r="B11326" t="s">
        <v>26259</v>
      </c>
      <c r="C11326" t="s">
        <v>11603</v>
      </c>
      <c r="D11326">
        <v>2</v>
      </c>
      <c r="E11326">
        <v>0</v>
      </c>
      <c r="F11326">
        <f t="shared" si="202"/>
        <v>2</v>
      </c>
      <c r="I11326">
        <v>20230101</v>
      </c>
      <c r="J11326" t="s">
        <v>11666</v>
      </c>
      <c r="K11326" t="s">
        <v>11604</v>
      </c>
    </row>
    <row r="11327" spans="1:67" x14ac:dyDescent="0.3">
      <c r="A11327" s="160">
        <v>80107</v>
      </c>
      <c r="B11327" t="s">
        <v>26260</v>
      </c>
      <c r="C11327" t="s">
        <v>11603</v>
      </c>
      <c r="D11327">
        <v>2</v>
      </c>
      <c r="E11327">
        <v>0</v>
      </c>
      <c r="F11327">
        <f t="shared" si="202"/>
        <v>2</v>
      </c>
      <c r="I11327">
        <v>20230101</v>
      </c>
      <c r="J11327" t="s">
        <v>11679</v>
      </c>
      <c r="K11327" t="s">
        <v>11680</v>
      </c>
    </row>
    <row r="11328" spans="1:67" x14ac:dyDescent="0.3">
      <c r="A11328" s="160">
        <v>80130</v>
      </c>
      <c r="B11328" t="s">
        <v>26261</v>
      </c>
      <c r="C11328" t="s">
        <v>11603</v>
      </c>
      <c r="D11328">
        <v>2</v>
      </c>
      <c r="E11328">
        <v>0</v>
      </c>
      <c r="F11328">
        <f t="shared" si="202"/>
        <v>2</v>
      </c>
      <c r="I11328">
        <v>20230101</v>
      </c>
      <c r="J11328" t="s">
        <v>11681</v>
      </c>
    </row>
    <row r="11329" spans="1:24" x14ac:dyDescent="0.3">
      <c r="A11329" s="160">
        <v>80131</v>
      </c>
      <c r="B11329" t="s">
        <v>26262</v>
      </c>
      <c r="C11329" t="s">
        <v>11603</v>
      </c>
      <c r="D11329">
        <v>2</v>
      </c>
      <c r="E11329">
        <v>0</v>
      </c>
      <c r="F11329">
        <f t="shared" si="202"/>
        <v>2</v>
      </c>
      <c r="I11329">
        <v>20230101</v>
      </c>
      <c r="J11329" t="s">
        <v>11682</v>
      </c>
      <c r="K11329" t="s">
        <v>11679</v>
      </c>
      <c r="L11329" t="s">
        <v>11676</v>
      </c>
      <c r="M11329" t="s">
        <v>11683</v>
      </c>
      <c r="N11329" t="s">
        <v>11684</v>
      </c>
      <c r="O11329" t="s">
        <v>11685</v>
      </c>
      <c r="P11329" t="s">
        <v>11680</v>
      </c>
    </row>
    <row r="11330" spans="1:24" x14ac:dyDescent="0.3">
      <c r="A11330" s="160">
        <v>80135</v>
      </c>
      <c r="B11330" t="s">
        <v>26263</v>
      </c>
      <c r="C11330" t="s">
        <v>11591</v>
      </c>
      <c r="D11330">
        <v>0.6</v>
      </c>
      <c r="E11330">
        <v>0</v>
      </c>
      <c r="F11330">
        <f t="shared" si="202"/>
        <v>0.6</v>
      </c>
      <c r="I11330">
        <v>20130101</v>
      </c>
      <c r="J11330" t="s">
        <v>11686</v>
      </c>
    </row>
    <row r="11331" spans="1:24" x14ac:dyDescent="0.3">
      <c r="A11331" s="160">
        <v>80160</v>
      </c>
      <c r="B11331" t="s">
        <v>26264</v>
      </c>
      <c r="C11331" t="s">
        <v>11603</v>
      </c>
      <c r="D11331">
        <v>2</v>
      </c>
      <c r="E11331">
        <v>0</v>
      </c>
      <c r="F11331">
        <f t="shared" si="202"/>
        <v>2</v>
      </c>
      <c r="I11331">
        <v>20230101</v>
      </c>
      <c r="J11331" t="s">
        <v>11687</v>
      </c>
      <c r="K11331" t="s">
        <v>11676</v>
      </c>
    </row>
    <row r="11332" spans="1:24" x14ac:dyDescent="0.3">
      <c r="A11332" s="160">
        <v>80163</v>
      </c>
      <c r="B11332" t="s">
        <v>26265</v>
      </c>
      <c r="C11332" t="s">
        <v>11591</v>
      </c>
      <c r="D11332">
        <v>0.6</v>
      </c>
      <c r="E11332">
        <v>0</v>
      </c>
      <c r="F11332">
        <f t="shared" si="202"/>
        <v>0.6</v>
      </c>
      <c r="I11332">
        <v>20130101</v>
      </c>
      <c r="J11332" t="s">
        <v>11678</v>
      </c>
    </row>
    <row r="11333" spans="1:24" x14ac:dyDescent="0.3">
      <c r="A11333" s="160">
        <v>80164</v>
      </c>
      <c r="B11333" t="s">
        <v>26266</v>
      </c>
      <c r="C11333" t="s">
        <v>11603</v>
      </c>
      <c r="D11333">
        <v>2</v>
      </c>
      <c r="E11333">
        <v>0</v>
      </c>
      <c r="F11333">
        <f t="shared" si="202"/>
        <v>2</v>
      </c>
      <c r="I11333">
        <v>20230101</v>
      </c>
      <c r="J11333" t="s">
        <v>11676</v>
      </c>
      <c r="K11333" t="s">
        <v>11683</v>
      </c>
      <c r="L11333" t="s">
        <v>11688</v>
      </c>
    </row>
    <row r="11334" spans="1:24" x14ac:dyDescent="0.3">
      <c r="A11334" s="160">
        <v>80171</v>
      </c>
      <c r="B11334" t="s">
        <v>26267</v>
      </c>
      <c r="C11334" t="s">
        <v>11591</v>
      </c>
      <c r="D11334">
        <v>0.6</v>
      </c>
      <c r="E11334">
        <v>0</v>
      </c>
      <c r="F11334">
        <f t="shared" si="202"/>
        <v>0.6</v>
      </c>
      <c r="I11334">
        <v>20130101</v>
      </c>
      <c r="J11334" t="s">
        <v>11678</v>
      </c>
      <c r="K11334" t="s">
        <v>11602</v>
      </c>
    </row>
    <row r="11335" spans="1:24" x14ac:dyDescent="0.3">
      <c r="A11335" s="160">
        <v>80173</v>
      </c>
      <c r="B11335" t="s">
        <v>26268</v>
      </c>
      <c r="C11335" t="s">
        <v>11603</v>
      </c>
      <c r="D11335">
        <v>2</v>
      </c>
      <c r="E11335">
        <v>0</v>
      </c>
      <c r="F11335">
        <f t="shared" ref="F11335:F11398" si="203">D11335+E11335</f>
        <v>2</v>
      </c>
      <c r="I11335">
        <v>20230101</v>
      </c>
      <c r="J11335" t="s">
        <v>11604</v>
      </c>
    </row>
    <row r="11336" spans="1:24" x14ac:dyDescent="0.3">
      <c r="A11336" s="160">
        <v>80198</v>
      </c>
      <c r="B11336" t="s">
        <v>26269</v>
      </c>
      <c r="C11336" t="s">
        <v>11603</v>
      </c>
      <c r="D11336">
        <v>2</v>
      </c>
      <c r="E11336">
        <v>0</v>
      </c>
      <c r="F11336">
        <f t="shared" si="203"/>
        <v>2</v>
      </c>
      <c r="I11336">
        <v>20230101</v>
      </c>
      <c r="J11336" t="s">
        <v>11681</v>
      </c>
    </row>
    <row r="11337" spans="1:24" x14ac:dyDescent="0.3">
      <c r="A11337" s="160">
        <v>80225</v>
      </c>
      <c r="B11337" t="s">
        <v>26270</v>
      </c>
      <c r="C11337" t="s">
        <v>11603</v>
      </c>
      <c r="D11337">
        <v>2</v>
      </c>
      <c r="E11337">
        <v>0</v>
      </c>
      <c r="F11337">
        <f t="shared" si="203"/>
        <v>2</v>
      </c>
      <c r="I11337">
        <v>20230101</v>
      </c>
      <c r="J11337" t="s">
        <v>11689</v>
      </c>
    </row>
    <row r="11338" spans="1:24" x14ac:dyDescent="0.3">
      <c r="A11338" s="160">
        <v>80256</v>
      </c>
      <c r="B11338" t="s">
        <v>26271</v>
      </c>
      <c r="C11338" t="s">
        <v>11603</v>
      </c>
      <c r="D11338">
        <v>2</v>
      </c>
      <c r="E11338">
        <v>0</v>
      </c>
      <c r="F11338">
        <f t="shared" si="203"/>
        <v>2</v>
      </c>
      <c r="I11338">
        <v>20230101</v>
      </c>
      <c r="J11338" t="s">
        <v>11690</v>
      </c>
    </row>
    <row r="11339" spans="1:24" x14ac:dyDescent="0.3">
      <c r="A11339" s="160">
        <v>80260</v>
      </c>
      <c r="B11339" t="s">
        <v>26272</v>
      </c>
      <c r="C11339" t="s">
        <v>11591</v>
      </c>
      <c r="D11339">
        <v>0.6</v>
      </c>
      <c r="E11339">
        <v>0</v>
      </c>
      <c r="F11339">
        <f t="shared" si="203"/>
        <v>0.6</v>
      </c>
      <c r="I11339">
        <v>20130101</v>
      </c>
      <c r="J11339" t="s">
        <v>11593</v>
      </c>
      <c r="K11339" t="s">
        <v>11678</v>
      </c>
    </row>
    <row r="11340" spans="1:24" x14ac:dyDescent="0.3">
      <c r="A11340" s="160">
        <v>80261</v>
      </c>
      <c r="B11340" t="s">
        <v>15432</v>
      </c>
      <c r="C11340" t="s">
        <v>11603</v>
      </c>
      <c r="D11340">
        <v>2</v>
      </c>
      <c r="E11340">
        <v>0</v>
      </c>
      <c r="F11340">
        <f t="shared" si="203"/>
        <v>2</v>
      </c>
      <c r="I11340">
        <v>20230101</v>
      </c>
      <c r="J11340" t="s">
        <v>11607</v>
      </c>
      <c r="K11340" t="s">
        <v>11608</v>
      </c>
      <c r="L11340" t="s">
        <v>11609</v>
      </c>
      <c r="M11340" t="s">
        <v>11611</v>
      </c>
      <c r="N11340" t="s">
        <v>11613</v>
      </c>
      <c r="O11340" t="s">
        <v>11615</v>
      </c>
      <c r="P11340" t="s">
        <v>11616</v>
      </c>
      <c r="Q11340" t="s">
        <v>11638</v>
      </c>
      <c r="R11340" t="s">
        <v>11640</v>
      </c>
      <c r="S11340" t="s">
        <v>11642</v>
      </c>
      <c r="T11340" t="s">
        <v>11645</v>
      </c>
      <c r="U11340" t="s">
        <v>11646</v>
      </c>
      <c r="V11340" t="s">
        <v>11669</v>
      </c>
      <c r="W11340" t="s">
        <v>11672</v>
      </c>
      <c r="X11340" t="s">
        <v>11689</v>
      </c>
    </row>
    <row r="11341" spans="1:24" x14ac:dyDescent="0.3">
      <c r="A11341" s="160">
        <v>80262</v>
      </c>
      <c r="B11341" t="s">
        <v>26273</v>
      </c>
      <c r="C11341" t="s">
        <v>11591</v>
      </c>
      <c r="D11341">
        <v>0.6</v>
      </c>
      <c r="E11341">
        <v>0</v>
      </c>
      <c r="F11341">
        <f t="shared" si="203"/>
        <v>0.6</v>
      </c>
      <c r="I11341">
        <v>20130101</v>
      </c>
      <c r="J11341" t="s">
        <v>11686</v>
      </c>
    </row>
    <row r="11342" spans="1:24" x14ac:dyDescent="0.3">
      <c r="A11342" s="160">
        <v>80268</v>
      </c>
      <c r="B11342" t="s">
        <v>26274</v>
      </c>
      <c r="C11342" t="s">
        <v>11591</v>
      </c>
      <c r="D11342">
        <v>0.6</v>
      </c>
      <c r="E11342">
        <v>0</v>
      </c>
      <c r="F11342">
        <f t="shared" si="203"/>
        <v>0.6</v>
      </c>
      <c r="I11342">
        <v>20130101</v>
      </c>
      <c r="J11342" t="s">
        <v>11599</v>
      </c>
      <c r="K11342" t="s">
        <v>11686</v>
      </c>
    </row>
    <row r="11343" spans="1:24" x14ac:dyDescent="0.3">
      <c r="A11343" s="160">
        <v>80291</v>
      </c>
      <c r="B11343" t="s">
        <v>26275</v>
      </c>
      <c r="C11343" t="s">
        <v>11603</v>
      </c>
      <c r="D11343">
        <v>2</v>
      </c>
      <c r="E11343">
        <v>0</v>
      </c>
      <c r="F11343">
        <f t="shared" si="203"/>
        <v>2</v>
      </c>
      <c r="I11343">
        <v>20230101</v>
      </c>
      <c r="J11343" t="s">
        <v>11691</v>
      </c>
    </row>
    <row r="11344" spans="1:24" x14ac:dyDescent="0.3">
      <c r="A11344" s="160">
        <v>80305</v>
      </c>
      <c r="B11344" t="s">
        <v>21241</v>
      </c>
      <c r="C11344" t="s">
        <v>11603</v>
      </c>
      <c r="D11344">
        <v>2</v>
      </c>
      <c r="E11344">
        <v>0</v>
      </c>
      <c r="F11344">
        <f t="shared" si="203"/>
        <v>2</v>
      </c>
      <c r="I11344">
        <v>20230101</v>
      </c>
      <c r="J11344" t="s">
        <v>11690</v>
      </c>
    </row>
    <row r="11345" spans="1:13" x14ac:dyDescent="0.3">
      <c r="A11345" s="160">
        <v>80379</v>
      </c>
      <c r="B11345" t="s">
        <v>26276</v>
      </c>
      <c r="C11345" t="s">
        <v>11603</v>
      </c>
      <c r="D11345">
        <v>2</v>
      </c>
      <c r="E11345">
        <v>0</v>
      </c>
      <c r="F11345">
        <f t="shared" si="203"/>
        <v>2</v>
      </c>
      <c r="I11345">
        <v>20230101</v>
      </c>
      <c r="J11345" t="s">
        <v>11607</v>
      </c>
      <c r="K11345" t="s">
        <v>11679</v>
      </c>
      <c r="L11345" t="s">
        <v>11676</v>
      </c>
      <c r="M11345" t="s">
        <v>11680</v>
      </c>
    </row>
    <row r="11346" spans="1:13" x14ac:dyDescent="0.3">
      <c r="A11346" s="160">
        <v>80385</v>
      </c>
      <c r="B11346" t="s">
        <v>26277</v>
      </c>
      <c r="C11346" t="s">
        <v>11591</v>
      </c>
      <c r="D11346">
        <v>0.6</v>
      </c>
      <c r="E11346">
        <v>0</v>
      </c>
      <c r="F11346">
        <f t="shared" si="203"/>
        <v>0.6</v>
      </c>
      <c r="I11346">
        <v>20130101</v>
      </c>
      <c r="J11346" t="s">
        <v>11678</v>
      </c>
    </row>
    <row r="11347" spans="1:13" x14ac:dyDescent="0.3">
      <c r="A11347" s="160">
        <v>80387</v>
      </c>
      <c r="B11347" t="s">
        <v>26278</v>
      </c>
      <c r="C11347" t="s">
        <v>11603</v>
      </c>
      <c r="D11347">
        <v>2</v>
      </c>
      <c r="E11347">
        <v>0</v>
      </c>
      <c r="F11347">
        <f t="shared" si="203"/>
        <v>2</v>
      </c>
      <c r="I11347">
        <v>20230101</v>
      </c>
      <c r="J11347" t="s">
        <v>11692</v>
      </c>
    </row>
    <row r="11348" spans="1:13" x14ac:dyDescent="0.3">
      <c r="A11348" s="160">
        <v>80399</v>
      </c>
      <c r="B11348" t="s">
        <v>26279</v>
      </c>
      <c r="C11348" t="s">
        <v>11603</v>
      </c>
      <c r="D11348">
        <v>2</v>
      </c>
      <c r="E11348">
        <v>0</v>
      </c>
      <c r="F11348">
        <f t="shared" si="203"/>
        <v>2</v>
      </c>
      <c r="I11348">
        <v>20230101</v>
      </c>
      <c r="J11348" t="s">
        <v>11681</v>
      </c>
    </row>
    <row r="11349" spans="1:13" x14ac:dyDescent="0.3">
      <c r="A11349" s="160">
        <v>80424</v>
      </c>
      <c r="B11349" t="s">
        <v>26280</v>
      </c>
      <c r="C11349" t="s">
        <v>11603</v>
      </c>
      <c r="D11349">
        <v>2</v>
      </c>
      <c r="E11349">
        <v>0</v>
      </c>
      <c r="F11349">
        <f t="shared" si="203"/>
        <v>2</v>
      </c>
      <c r="I11349">
        <v>20230101</v>
      </c>
      <c r="J11349" t="s">
        <v>11692</v>
      </c>
    </row>
    <row r="11350" spans="1:13" x14ac:dyDescent="0.3">
      <c r="A11350" s="160">
        <v>80489</v>
      </c>
      <c r="B11350" t="s">
        <v>26281</v>
      </c>
      <c r="C11350" t="s">
        <v>11603</v>
      </c>
      <c r="D11350">
        <v>2</v>
      </c>
      <c r="E11350">
        <v>0</v>
      </c>
      <c r="F11350">
        <f t="shared" si="203"/>
        <v>2</v>
      </c>
      <c r="I11350">
        <v>20230101</v>
      </c>
      <c r="J11350" t="s">
        <v>11687</v>
      </c>
      <c r="K11350" t="s">
        <v>11676</v>
      </c>
    </row>
    <row r="11351" spans="1:13" x14ac:dyDescent="0.3">
      <c r="A11351" s="160">
        <v>80512</v>
      </c>
      <c r="B11351" t="s">
        <v>26282</v>
      </c>
      <c r="C11351" t="s">
        <v>11591</v>
      </c>
      <c r="D11351">
        <v>0.6</v>
      </c>
      <c r="E11351">
        <v>0</v>
      </c>
      <c r="F11351">
        <f t="shared" si="203"/>
        <v>0.6</v>
      </c>
      <c r="I11351">
        <v>20130101</v>
      </c>
      <c r="J11351" t="s">
        <v>11599</v>
      </c>
      <c r="K11351" t="s">
        <v>11678</v>
      </c>
    </row>
    <row r="11352" spans="1:13" x14ac:dyDescent="0.3">
      <c r="A11352" s="160">
        <v>80588</v>
      </c>
      <c r="B11352" t="s">
        <v>26283</v>
      </c>
      <c r="C11352" t="s">
        <v>11591</v>
      </c>
      <c r="D11352">
        <v>0.6</v>
      </c>
      <c r="E11352">
        <v>0</v>
      </c>
      <c r="F11352">
        <f t="shared" si="203"/>
        <v>0.6</v>
      </c>
      <c r="I11352">
        <v>20130101</v>
      </c>
      <c r="J11352" t="s">
        <v>11678</v>
      </c>
    </row>
    <row r="11353" spans="1:13" x14ac:dyDescent="0.3">
      <c r="A11353" s="160">
        <v>80626</v>
      </c>
      <c r="B11353" t="s">
        <v>26284</v>
      </c>
      <c r="C11353" t="s">
        <v>11603</v>
      </c>
      <c r="D11353">
        <v>2</v>
      </c>
      <c r="E11353">
        <v>0</v>
      </c>
      <c r="F11353">
        <f t="shared" si="203"/>
        <v>2</v>
      </c>
      <c r="I11353">
        <v>20230101</v>
      </c>
      <c r="J11353" t="s">
        <v>11681</v>
      </c>
    </row>
    <row r="11354" spans="1:13" x14ac:dyDescent="0.3">
      <c r="A11354" s="160">
        <v>80632</v>
      </c>
      <c r="B11354" t="s">
        <v>26285</v>
      </c>
      <c r="C11354" t="s">
        <v>11603</v>
      </c>
      <c r="D11354">
        <v>2</v>
      </c>
      <c r="E11354">
        <v>0</v>
      </c>
      <c r="F11354">
        <f t="shared" si="203"/>
        <v>2</v>
      </c>
      <c r="I11354">
        <v>20230101</v>
      </c>
      <c r="J11354" t="s">
        <v>11613</v>
      </c>
      <c r="K11354" t="s">
        <v>11689</v>
      </c>
    </row>
    <row r="11355" spans="1:13" x14ac:dyDescent="0.3">
      <c r="A11355" s="160">
        <v>80639</v>
      </c>
      <c r="B11355" t="s">
        <v>26286</v>
      </c>
      <c r="C11355" t="s">
        <v>11603</v>
      </c>
      <c r="D11355">
        <v>2</v>
      </c>
      <c r="E11355">
        <v>0</v>
      </c>
      <c r="F11355">
        <f t="shared" si="203"/>
        <v>2</v>
      </c>
      <c r="I11355">
        <v>20230101</v>
      </c>
      <c r="J11355" t="s">
        <v>11661</v>
      </c>
      <c r="K11355" t="s">
        <v>11666</v>
      </c>
      <c r="L11355" t="s">
        <v>11604</v>
      </c>
    </row>
    <row r="11356" spans="1:13" x14ac:dyDescent="0.3">
      <c r="A11356" s="160">
        <v>80650</v>
      </c>
      <c r="B11356" t="s">
        <v>26287</v>
      </c>
      <c r="C11356" t="s">
        <v>11603</v>
      </c>
      <c r="D11356">
        <v>2</v>
      </c>
      <c r="E11356">
        <v>0</v>
      </c>
      <c r="F11356">
        <f t="shared" si="203"/>
        <v>2</v>
      </c>
      <c r="I11356">
        <v>20230101</v>
      </c>
      <c r="J11356" t="s">
        <v>11693</v>
      </c>
    </row>
    <row r="11357" spans="1:13" x14ac:dyDescent="0.3">
      <c r="A11357" s="160">
        <v>80668</v>
      </c>
      <c r="B11357" t="s">
        <v>26288</v>
      </c>
      <c r="C11357" t="s">
        <v>11603</v>
      </c>
      <c r="D11357">
        <v>2</v>
      </c>
      <c r="E11357">
        <v>0</v>
      </c>
      <c r="F11357">
        <f t="shared" si="203"/>
        <v>2</v>
      </c>
      <c r="I11357">
        <v>20230101</v>
      </c>
      <c r="J11357" t="s">
        <v>11691</v>
      </c>
    </row>
    <row r="11358" spans="1:13" x14ac:dyDescent="0.3">
      <c r="A11358" s="160">
        <v>80670</v>
      </c>
      <c r="B11358" t="s">
        <v>26289</v>
      </c>
      <c r="C11358" t="s">
        <v>11603</v>
      </c>
      <c r="D11358">
        <v>2</v>
      </c>
      <c r="E11358">
        <v>0</v>
      </c>
      <c r="F11358">
        <f t="shared" si="203"/>
        <v>2</v>
      </c>
      <c r="I11358">
        <v>20230101</v>
      </c>
      <c r="J11358" t="s">
        <v>11681</v>
      </c>
    </row>
    <row r="11359" spans="1:13" x14ac:dyDescent="0.3">
      <c r="A11359" s="160">
        <v>80674</v>
      </c>
      <c r="B11359" t="s">
        <v>26290</v>
      </c>
      <c r="C11359" t="s">
        <v>11603</v>
      </c>
      <c r="D11359">
        <v>2</v>
      </c>
      <c r="E11359">
        <v>0</v>
      </c>
      <c r="F11359">
        <f t="shared" si="203"/>
        <v>2</v>
      </c>
      <c r="I11359">
        <v>20230101</v>
      </c>
      <c r="J11359" t="s">
        <v>11608</v>
      </c>
      <c r="K11359" t="s">
        <v>11694</v>
      </c>
      <c r="L11359" t="s">
        <v>11695</v>
      </c>
    </row>
    <row r="11360" spans="1:13" x14ac:dyDescent="0.3">
      <c r="A11360" s="160">
        <v>80690</v>
      </c>
      <c r="B11360" t="s">
        <v>26291</v>
      </c>
      <c r="C11360" t="s">
        <v>11603</v>
      </c>
      <c r="D11360">
        <v>2</v>
      </c>
      <c r="E11360">
        <v>0</v>
      </c>
      <c r="F11360">
        <f t="shared" si="203"/>
        <v>2</v>
      </c>
      <c r="I11360">
        <v>20230101</v>
      </c>
      <c r="J11360" t="s">
        <v>11692</v>
      </c>
    </row>
    <row r="11361" spans="1:36" x14ac:dyDescent="0.3">
      <c r="A11361" s="160">
        <v>80696</v>
      </c>
      <c r="B11361" t="s">
        <v>26292</v>
      </c>
      <c r="C11361" t="s">
        <v>11603</v>
      </c>
      <c r="D11361">
        <v>2</v>
      </c>
      <c r="E11361">
        <v>0</v>
      </c>
      <c r="F11361">
        <f t="shared" si="203"/>
        <v>2</v>
      </c>
      <c r="I11361">
        <v>20230101</v>
      </c>
      <c r="J11361" t="s">
        <v>11696</v>
      </c>
      <c r="K11361" t="s">
        <v>11692</v>
      </c>
    </row>
    <row r="11362" spans="1:36" x14ac:dyDescent="0.3">
      <c r="A11362" s="160">
        <v>80702</v>
      </c>
      <c r="B11362" t="s">
        <v>26293</v>
      </c>
      <c r="C11362" t="s">
        <v>11603</v>
      </c>
      <c r="D11362">
        <v>2</v>
      </c>
      <c r="E11362">
        <v>0</v>
      </c>
      <c r="F11362">
        <f t="shared" si="203"/>
        <v>2</v>
      </c>
      <c r="I11362">
        <v>20230101</v>
      </c>
      <c r="J11362" t="s">
        <v>11692</v>
      </c>
    </row>
    <row r="11363" spans="1:36" x14ac:dyDescent="0.3">
      <c r="A11363" s="160">
        <v>80717</v>
      </c>
      <c r="B11363" t="s">
        <v>26294</v>
      </c>
      <c r="C11363" t="s">
        <v>11603</v>
      </c>
      <c r="D11363">
        <v>2</v>
      </c>
      <c r="E11363">
        <v>0</v>
      </c>
      <c r="F11363">
        <f t="shared" si="203"/>
        <v>2</v>
      </c>
      <c r="I11363">
        <v>20230101</v>
      </c>
      <c r="J11363" t="s">
        <v>11697</v>
      </c>
    </row>
    <row r="11364" spans="1:36" x14ac:dyDescent="0.3">
      <c r="A11364" s="160">
        <v>80722</v>
      </c>
      <c r="B11364" t="s">
        <v>26295</v>
      </c>
      <c r="C11364" t="s">
        <v>11603</v>
      </c>
      <c r="D11364">
        <v>2</v>
      </c>
      <c r="E11364">
        <v>0</v>
      </c>
      <c r="F11364">
        <f t="shared" si="203"/>
        <v>2</v>
      </c>
      <c r="I11364">
        <v>20230101</v>
      </c>
      <c r="J11364" t="s">
        <v>11698</v>
      </c>
    </row>
    <row r="11365" spans="1:36" x14ac:dyDescent="0.3">
      <c r="A11365" s="160">
        <v>80724</v>
      </c>
      <c r="B11365" t="s">
        <v>26296</v>
      </c>
      <c r="C11365" t="s">
        <v>11603</v>
      </c>
      <c r="D11365">
        <v>2</v>
      </c>
      <c r="E11365">
        <v>0</v>
      </c>
      <c r="F11365">
        <f t="shared" si="203"/>
        <v>2</v>
      </c>
      <c r="I11365">
        <v>20230101</v>
      </c>
      <c r="J11365" t="s">
        <v>11689</v>
      </c>
    </row>
    <row r="11366" spans="1:36" x14ac:dyDescent="0.3">
      <c r="A11366" s="160">
        <v>80725</v>
      </c>
      <c r="B11366" t="s">
        <v>26297</v>
      </c>
      <c r="C11366" t="s">
        <v>11603</v>
      </c>
      <c r="D11366">
        <v>2</v>
      </c>
      <c r="E11366">
        <v>0</v>
      </c>
      <c r="F11366">
        <f t="shared" si="203"/>
        <v>2</v>
      </c>
      <c r="I11366">
        <v>20230101</v>
      </c>
      <c r="J11366" t="s">
        <v>11648</v>
      </c>
      <c r="K11366" t="s">
        <v>11689</v>
      </c>
    </row>
    <row r="11367" spans="1:36" x14ac:dyDescent="0.3">
      <c r="A11367" s="160">
        <v>80730</v>
      </c>
      <c r="B11367" t="s">
        <v>26298</v>
      </c>
      <c r="C11367" t="s">
        <v>11603</v>
      </c>
      <c r="D11367">
        <v>2</v>
      </c>
      <c r="E11367">
        <v>0</v>
      </c>
      <c r="F11367">
        <f t="shared" si="203"/>
        <v>2</v>
      </c>
      <c r="I11367">
        <v>20230101</v>
      </c>
      <c r="J11367" t="s">
        <v>11690</v>
      </c>
    </row>
    <row r="11368" spans="1:36" x14ac:dyDescent="0.3">
      <c r="A11368" s="160">
        <v>80735</v>
      </c>
      <c r="B11368" t="s">
        <v>26299</v>
      </c>
      <c r="C11368" t="s">
        <v>11603</v>
      </c>
      <c r="D11368">
        <v>2</v>
      </c>
      <c r="E11368">
        <v>0</v>
      </c>
      <c r="F11368">
        <f t="shared" si="203"/>
        <v>2</v>
      </c>
      <c r="I11368">
        <v>20230101</v>
      </c>
      <c r="J11368" t="s">
        <v>11681</v>
      </c>
    </row>
    <row r="11369" spans="1:36" x14ac:dyDescent="0.3">
      <c r="A11369" s="160">
        <v>80752</v>
      </c>
      <c r="B11369" t="s">
        <v>26300</v>
      </c>
      <c r="C11369" t="s">
        <v>11603</v>
      </c>
      <c r="D11369">
        <v>2</v>
      </c>
      <c r="E11369">
        <v>0</v>
      </c>
      <c r="F11369">
        <f t="shared" si="203"/>
        <v>2</v>
      </c>
      <c r="I11369">
        <v>20230101</v>
      </c>
      <c r="J11369" t="s">
        <v>11680</v>
      </c>
    </row>
    <row r="11370" spans="1:36" x14ac:dyDescent="0.3">
      <c r="A11370" s="160">
        <v>80779</v>
      </c>
      <c r="B11370" t="s">
        <v>26301</v>
      </c>
      <c r="C11370" t="s">
        <v>11591</v>
      </c>
      <c r="D11370">
        <v>0.6</v>
      </c>
      <c r="E11370">
        <v>0</v>
      </c>
      <c r="F11370">
        <f t="shared" si="203"/>
        <v>0.6</v>
      </c>
      <c r="I11370">
        <v>20130101</v>
      </c>
      <c r="J11370" t="s">
        <v>11594</v>
      </c>
      <c r="K11370" t="s">
        <v>11599</v>
      </c>
      <c r="L11370" t="s">
        <v>11678</v>
      </c>
    </row>
    <row r="11371" spans="1:36" x14ac:dyDescent="0.3">
      <c r="A11371" s="160">
        <v>80782</v>
      </c>
      <c r="B11371" t="s">
        <v>26302</v>
      </c>
      <c r="C11371" t="s">
        <v>11603</v>
      </c>
      <c r="D11371">
        <v>2</v>
      </c>
      <c r="E11371">
        <v>0</v>
      </c>
      <c r="F11371">
        <f t="shared" si="203"/>
        <v>2</v>
      </c>
      <c r="I11371">
        <v>20230101</v>
      </c>
      <c r="J11371" t="s">
        <v>11604</v>
      </c>
    </row>
    <row r="11372" spans="1:36" x14ac:dyDescent="0.3">
      <c r="A11372" s="160">
        <v>80791</v>
      </c>
      <c r="B11372" t="s">
        <v>26303</v>
      </c>
      <c r="C11372" t="s">
        <v>11603</v>
      </c>
      <c r="D11372">
        <v>2</v>
      </c>
      <c r="E11372">
        <v>0</v>
      </c>
      <c r="F11372">
        <f t="shared" si="203"/>
        <v>2</v>
      </c>
      <c r="I11372">
        <v>20230101</v>
      </c>
      <c r="J11372" t="s">
        <v>11689</v>
      </c>
    </row>
    <row r="11373" spans="1:36" x14ac:dyDescent="0.3">
      <c r="A11373" s="160">
        <v>80836</v>
      </c>
      <c r="B11373" t="s">
        <v>26304</v>
      </c>
      <c r="C11373" t="s">
        <v>11591</v>
      </c>
      <c r="D11373">
        <v>0.6</v>
      </c>
      <c r="E11373">
        <v>0</v>
      </c>
      <c r="F11373">
        <f t="shared" si="203"/>
        <v>0.6</v>
      </c>
      <c r="I11373">
        <v>20130101</v>
      </c>
      <c r="J11373" t="s">
        <v>11678</v>
      </c>
    </row>
    <row r="11374" spans="1:36" x14ac:dyDescent="0.3">
      <c r="A11374" s="160">
        <v>81002</v>
      </c>
      <c r="B11374" t="s">
        <v>26305</v>
      </c>
      <c r="C11374" t="s">
        <v>11699</v>
      </c>
      <c r="D11374">
        <v>0.6</v>
      </c>
      <c r="E11374">
        <v>0</v>
      </c>
      <c r="F11374">
        <f t="shared" si="203"/>
        <v>0.6</v>
      </c>
      <c r="I11374">
        <v>20050101</v>
      </c>
      <c r="J11374" t="s">
        <v>11700</v>
      </c>
      <c r="K11374" t="s">
        <v>11701</v>
      </c>
      <c r="L11374" t="s">
        <v>11702</v>
      </c>
      <c r="M11374" t="s">
        <v>11703</v>
      </c>
    </row>
    <row r="11375" spans="1:36" x14ac:dyDescent="0.3">
      <c r="A11375" s="160">
        <v>81004</v>
      </c>
      <c r="B11375" t="s">
        <v>26306</v>
      </c>
      <c r="C11375" t="s">
        <v>11704</v>
      </c>
      <c r="D11375">
        <v>0.6</v>
      </c>
      <c r="E11375">
        <v>0</v>
      </c>
      <c r="F11375">
        <f t="shared" si="203"/>
        <v>0.6</v>
      </c>
      <c r="I11375">
        <v>20081101</v>
      </c>
      <c r="J11375" t="s">
        <v>11705</v>
      </c>
      <c r="K11375" t="s">
        <v>11706</v>
      </c>
      <c r="L11375" t="s">
        <v>11707</v>
      </c>
      <c r="M11375" t="s">
        <v>11708</v>
      </c>
      <c r="N11375" t="s">
        <v>11709</v>
      </c>
      <c r="O11375" t="s">
        <v>11710</v>
      </c>
      <c r="P11375" t="s">
        <v>11711</v>
      </c>
      <c r="Q11375" t="s">
        <v>11712</v>
      </c>
      <c r="R11375" t="s">
        <v>11713</v>
      </c>
      <c r="S11375" t="s">
        <v>11714</v>
      </c>
      <c r="T11375" t="s">
        <v>11715</v>
      </c>
      <c r="U11375" t="s">
        <v>11716</v>
      </c>
      <c r="V11375" t="s">
        <v>11717</v>
      </c>
      <c r="W11375" t="s">
        <v>11718</v>
      </c>
      <c r="X11375" t="s">
        <v>11719</v>
      </c>
      <c r="Y11375" t="s">
        <v>11720</v>
      </c>
      <c r="Z11375" t="s">
        <v>11721</v>
      </c>
      <c r="AA11375" t="s">
        <v>11722</v>
      </c>
      <c r="AB11375" t="s">
        <v>11723</v>
      </c>
      <c r="AC11375" t="s">
        <v>11724</v>
      </c>
      <c r="AD11375" t="s">
        <v>11725</v>
      </c>
      <c r="AE11375" t="s">
        <v>11726</v>
      </c>
      <c r="AF11375" t="s">
        <v>11727</v>
      </c>
      <c r="AG11375" t="s">
        <v>11728</v>
      </c>
      <c r="AH11375" t="s">
        <v>11729</v>
      </c>
      <c r="AI11375" t="s">
        <v>11730</v>
      </c>
      <c r="AJ11375" t="s">
        <v>11731</v>
      </c>
    </row>
    <row r="11376" spans="1:36" x14ac:dyDescent="0.3">
      <c r="A11376" s="160">
        <v>81007</v>
      </c>
      <c r="B11376" t="s">
        <v>26307</v>
      </c>
      <c r="C11376" t="s">
        <v>11732</v>
      </c>
      <c r="D11376">
        <v>0.6</v>
      </c>
      <c r="E11376">
        <v>0</v>
      </c>
      <c r="F11376">
        <f t="shared" si="203"/>
        <v>0.6</v>
      </c>
      <c r="I11376">
        <v>20230101</v>
      </c>
      <c r="J11376" t="s">
        <v>11733</v>
      </c>
    </row>
    <row r="11377" spans="1:15" x14ac:dyDescent="0.3">
      <c r="A11377" s="160">
        <v>81009</v>
      </c>
      <c r="B11377" t="s">
        <v>26308</v>
      </c>
      <c r="C11377" t="s">
        <v>11732</v>
      </c>
      <c r="D11377">
        <v>0.6</v>
      </c>
      <c r="E11377">
        <v>0</v>
      </c>
      <c r="F11377">
        <f t="shared" si="203"/>
        <v>0.6</v>
      </c>
      <c r="I11377">
        <v>20230101</v>
      </c>
      <c r="J11377" t="s">
        <v>11734</v>
      </c>
    </row>
    <row r="11378" spans="1:15" x14ac:dyDescent="0.3">
      <c r="A11378" s="160">
        <v>81012</v>
      </c>
      <c r="B11378" t="s">
        <v>26309</v>
      </c>
      <c r="C11378" t="s">
        <v>11732</v>
      </c>
      <c r="D11378">
        <v>0.6</v>
      </c>
      <c r="E11378">
        <v>0</v>
      </c>
      <c r="F11378">
        <f t="shared" si="203"/>
        <v>0.6</v>
      </c>
      <c r="I11378">
        <v>20230101</v>
      </c>
      <c r="J11378" t="s">
        <v>11733</v>
      </c>
    </row>
    <row r="11379" spans="1:15" x14ac:dyDescent="0.3">
      <c r="A11379" s="160">
        <v>81018</v>
      </c>
      <c r="B11379" t="s">
        <v>26310</v>
      </c>
      <c r="C11379" t="s">
        <v>11704</v>
      </c>
      <c r="D11379">
        <v>0.6</v>
      </c>
      <c r="E11379">
        <v>0</v>
      </c>
      <c r="F11379">
        <f t="shared" si="203"/>
        <v>0.6</v>
      </c>
      <c r="I11379">
        <v>20081101</v>
      </c>
      <c r="J11379" t="s">
        <v>11725</v>
      </c>
      <c r="K11379" t="s">
        <v>11735</v>
      </c>
    </row>
    <row r="11380" spans="1:15" x14ac:dyDescent="0.3">
      <c r="A11380" s="160">
        <v>81020</v>
      </c>
      <c r="B11380" t="s">
        <v>26311</v>
      </c>
      <c r="C11380" t="s">
        <v>11732</v>
      </c>
      <c r="D11380">
        <v>0.6</v>
      </c>
      <c r="E11380">
        <v>0</v>
      </c>
      <c r="F11380">
        <f t="shared" si="203"/>
        <v>0.6</v>
      </c>
      <c r="I11380">
        <v>20230101</v>
      </c>
      <c r="J11380" t="s">
        <v>11736</v>
      </c>
    </row>
    <row r="11381" spans="1:15" x14ac:dyDescent="0.3">
      <c r="A11381" s="160">
        <v>81021</v>
      </c>
      <c r="B11381" t="s">
        <v>26312</v>
      </c>
      <c r="C11381" t="s">
        <v>11699</v>
      </c>
      <c r="D11381">
        <v>0.6</v>
      </c>
      <c r="E11381">
        <v>0</v>
      </c>
      <c r="F11381">
        <f t="shared" si="203"/>
        <v>0.6</v>
      </c>
      <c r="I11381">
        <v>20050101</v>
      </c>
      <c r="J11381" t="s">
        <v>11700</v>
      </c>
      <c r="K11381" t="s">
        <v>11701</v>
      </c>
      <c r="L11381" t="s">
        <v>11702</v>
      </c>
      <c r="M11381" t="s">
        <v>11703</v>
      </c>
      <c r="N11381" t="s">
        <v>11737</v>
      </c>
      <c r="O11381" t="s">
        <v>11738</v>
      </c>
    </row>
    <row r="11382" spans="1:15" x14ac:dyDescent="0.3">
      <c r="A11382" s="160">
        <v>81024</v>
      </c>
      <c r="B11382" t="s">
        <v>26313</v>
      </c>
      <c r="C11382" t="s">
        <v>11732</v>
      </c>
      <c r="D11382">
        <v>0.6</v>
      </c>
      <c r="E11382">
        <v>0</v>
      </c>
      <c r="F11382">
        <f t="shared" si="203"/>
        <v>0.6</v>
      </c>
      <c r="I11382">
        <v>20230101</v>
      </c>
      <c r="J11382" t="s">
        <v>11739</v>
      </c>
    </row>
    <row r="11383" spans="1:15" x14ac:dyDescent="0.3">
      <c r="A11383" s="160">
        <v>81029</v>
      </c>
      <c r="B11383" t="s">
        <v>26314</v>
      </c>
      <c r="C11383" t="s">
        <v>11732</v>
      </c>
      <c r="D11383">
        <v>0.6</v>
      </c>
      <c r="E11383">
        <v>0</v>
      </c>
      <c r="F11383">
        <f t="shared" si="203"/>
        <v>0.6</v>
      </c>
      <c r="I11383">
        <v>20230101</v>
      </c>
      <c r="J11383" t="s">
        <v>11740</v>
      </c>
    </row>
    <row r="11384" spans="1:15" x14ac:dyDescent="0.3">
      <c r="A11384" s="160">
        <v>81034</v>
      </c>
      <c r="B11384" t="s">
        <v>26315</v>
      </c>
      <c r="C11384" t="s">
        <v>11699</v>
      </c>
      <c r="D11384">
        <v>0.6</v>
      </c>
      <c r="E11384">
        <v>0</v>
      </c>
      <c r="F11384">
        <f t="shared" si="203"/>
        <v>0.6</v>
      </c>
      <c r="I11384">
        <v>20050101</v>
      </c>
      <c r="J11384" t="s">
        <v>11741</v>
      </c>
    </row>
    <row r="11385" spans="1:15" x14ac:dyDescent="0.3">
      <c r="A11385" s="160">
        <v>81038</v>
      </c>
      <c r="B11385" t="s">
        <v>26316</v>
      </c>
      <c r="C11385" t="s">
        <v>11732</v>
      </c>
      <c r="D11385">
        <v>0.6</v>
      </c>
      <c r="E11385">
        <v>0</v>
      </c>
      <c r="F11385">
        <f t="shared" si="203"/>
        <v>0.6</v>
      </c>
      <c r="I11385">
        <v>20230101</v>
      </c>
      <c r="J11385" t="s">
        <v>11736</v>
      </c>
    </row>
    <row r="11386" spans="1:15" x14ac:dyDescent="0.3">
      <c r="A11386" s="160">
        <v>81039</v>
      </c>
      <c r="B11386" t="s">
        <v>26317</v>
      </c>
      <c r="C11386" t="s">
        <v>11732</v>
      </c>
      <c r="D11386">
        <v>0.6</v>
      </c>
      <c r="E11386">
        <v>0</v>
      </c>
      <c r="F11386">
        <f t="shared" si="203"/>
        <v>0.6</v>
      </c>
      <c r="I11386">
        <v>20230101</v>
      </c>
      <c r="J11386" t="s">
        <v>11742</v>
      </c>
    </row>
    <row r="11387" spans="1:15" x14ac:dyDescent="0.3">
      <c r="A11387" s="160">
        <v>81041</v>
      </c>
      <c r="B11387" t="s">
        <v>26318</v>
      </c>
      <c r="C11387" t="s">
        <v>11732</v>
      </c>
      <c r="D11387">
        <v>0.6</v>
      </c>
      <c r="E11387">
        <v>0</v>
      </c>
      <c r="F11387">
        <f t="shared" si="203"/>
        <v>0.6</v>
      </c>
      <c r="I11387">
        <v>20230101</v>
      </c>
      <c r="J11387" t="s">
        <v>11736</v>
      </c>
    </row>
    <row r="11388" spans="1:15" x14ac:dyDescent="0.3">
      <c r="A11388" s="160">
        <v>81043</v>
      </c>
      <c r="B11388" t="s">
        <v>26319</v>
      </c>
      <c r="C11388" t="s">
        <v>11732</v>
      </c>
      <c r="D11388">
        <v>0.6</v>
      </c>
      <c r="E11388">
        <v>0</v>
      </c>
      <c r="F11388">
        <f t="shared" si="203"/>
        <v>0.6</v>
      </c>
      <c r="I11388">
        <v>20230101</v>
      </c>
      <c r="J11388" t="s">
        <v>11743</v>
      </c>
      <c r="K11388" t="s">
        <v>11744</v>
      </c>
    </row>
    <row r="11389" spans="1:15" x14ac:dyDescent="0.3">
      <c r="A11389" s="160">
        <v>81046</v>
      </c>
      <c r="B11389" t="s">
        <v>26320</v>
      </c>
      <c r="C11389" t="s">
        <v>11732</v>
      </c>
      <c r="D11389">
        <v>0.6</v>
      </c>
      <c r="E11389">
        <v>0</v>
      </c>
      <c r="F11389">
        <f t="shared" si="203"/>
        <v>0.6</v>
      </c>
      <c r="I11389">
        <v>20230101</v>
      </c>
      <c r="J11389" t="s">
        <v>11736</v>
      </c>
    </row>
    <row r="11390" spans="1:15" x14ac:dyDescent="0.3">
      <c r="A11390" s="160">
        <v>81051</v>
      </c>
      <c r="B11390" t="s">
        <v>26321</v>
      </c>
      <c r="C11390" t="s">
        <v>11732</v>
      </c>
      <c r="D11390">
        <v>0.6</v>
      </c>
      <c r="E11390">
        <v>0</v>
      </c>
      <c r="F11390">
        <f t="shared" si="203"/>
        <v>0.6</v>
      </c>
      <c r="I11390">
        <v>20230101</v>
      </c>
      <c r="J11390" t="s">
        <v>11733</v>
      </c>
    </row>
    <row r="11391" spans="1:15" x14ac:dyDescent="0.3">
      <c r="A11391" s="160">
        <v>81052</v>
      </c>
      <c r="B11391" t="s">
        <v>26322</v>
      </c>
      <c r="C11391" t="s">
        <v>11704</v>
      </c>
      <c r="D11391">
        <v>0.6</v>
      </c>
      <c r="E11391">
        <v>0</v>
      </c>
      <c r="F11391">
        <f t="shared" si="203"/>
        <v>0.6</v>
      </c>
      <c r="I11391">
        <v>20081101</v>
      </c>
      <c r="J11391" t="s">
        <v>11725</v>
      </c>
      <c r="K11391" t="s">
        <v>11745</v>
      </c>
    </row>
    <row r="11392" spans="1:15" x14ac:dyDescent="0.3">
      <c r="A11392" s="160">
        <v>81056</v>
      </c>
      <c r="B11392" t="s">
        <v>26323</v>
      </c>
      <c r="C11392" t="s">
        <v>11732</v>
      </c>
      <c r="D11392">
        <v>0.6</v>
      </c>
      <c r="E11392">
        <v>0</v>
      </c>
      <c r="F11392">
        <f t="shared" si="203"/>
        <v>0.6</v>
      </c>
      <c r="I11392">
        <v>20230101</v>
      </c>
      <c r="J11392" t="s">
        <v>11733</v>
      </c>
    </row>
    <row r="11393" spans="1:20" x14ac:dyDescent="0.3">
      <c r="A11393" s="160">
        <v>81059</v>
      </c>
      <c r="B11393" t="s">
        <v>26324</v>
      </c>
      <c r="C11393" t="s">
        <v>11704</v>
      </c>
      <c r="D11393">
        <v>0.6</v>
      </c>
      <c r="E11393">
        <v>0</v>
      </c>
      <c r="F11393">
        <f t="shared" si="203"/>
        <v>0.6</v>
      </c>
      <c r="I11393">
        <v>20081101</v>
      </c>
      <c r="J11393" t="s">
        <v>11745</v>
      </c>
    </row>
    <row r="11394" spans="1:20" x14ac:dyDescent="0.3">
      <c r="A11394" s="160">
        <v>81061</v>
      </c>
      <c r="B11394" t="s">
        <v>26325</v>
      </c>
      <c r="C11394" t="s">
        <v>11732</v>
      </c>
      <c r="D11394">
        <v>0.6</v>
      </c>
      <c r="E11394">
        <v>0</v>
      </c>
      <c r="F11394">
        <f t="shared" si="203"/>
        <v>0.6</v>
      </c>
      <c r="I11394">
        <v>20230101</v>
      </c>
      <c r="J11394" t="s">
        <v>11740</v>
      </c>
    </row>
    <row r="11395" spans="1:20" x14ac:dyDescent="0.3">
      <c r="A11395" s="160">
        <v>81063</v>
      </c>
      <c r="B11395" t="s">
        <v>26326</v>
      </c>
      <c r="C11395" t="s">
        <v>11704</v>
      </c>
      <c r="D11395">
        <v>0.6</v>
      </c>
      <c r="E11395">
        <v>0</v>
      </c>
      <c r="F11395">
        <f t="shared" si="203"/>
        <v>0.6</v>
      </c>
      <c r="I11395">
        <v>20081101</v>
      </c>
      <c r="J11395" t="s">
        <v>11740</v>
      </c>
    </row>
    <row r="11396" spans="1:20" x14ac:dyDescent="0.3">
      <c r="A11396" s="160">
        <v>81064</v>
      </c>
      <c r="B11396" t="s">
        <v>26327</v>
      </c>
      <c r="C11396" t="s">
        <v>11732</v>
      </c>
      <c r="D11396">
        <v>0.6</v>
      </c>
      <c r="E11396">
        <v>0</v>
      </c>
      <c r="F11396">
        <f t="shared" si="203"/>
        <v>0.6</v>
      </c>
      <c r="I11396">
        <v>20230101</v>
      </c>
      <c r="J11396" t="s">
        <v>11733</v>
      </c>
    </row>
    <row r="11397" spans="1:20" x14ac:dyDescent="0.3">
      <c r="A11397" s="160">
        <v>81065</v>
      </c>
      <c r="B11397" t="s">
        <v>15363</v>
      </c>
      <c r="C11397" t="s">
        <v>11699</v>
      </c>
      <c r="D11397">
        <v>0.6</v>
      </c>
      <c r="E11397">
        <v>0</v>
      </c>
      <c r="F11397">
        <f t="shared" si="203"/>
        <v>0.6</v>
      </c>
      <c r="I11397">
        <v>20090101</v>
      </c>
      <c r="J11397" t="s">
        <v>11746</v>
      </c>
      <c r="K11397" t="s">
        <v>11747</v>
      </c>
      <c r="L11397" t="s">
        <v>11748</v>
      </c>
      <c r="M11397" t="s">
        <v>11749</v>
      </c>
      <c r="N11397" t="s">
        <v>11750</v>
      </c>
      <c r="O11397" t="s">
        <v>11751</v>
      </c>
      <c r="P11397" t="s">
        <v>11752</v>
      </c>
      <c r="Q11397" t="s">
        <v>11753</v>
      </c>
      <c r="R11397" t="s">
        <v>11754</v>
      </c>
      <c r="S11397" t="s">
        <v>11755</v>
      </c>
      <c r="T11397" t="s">
        <v>11756</v>
      </c>
    </row>
    <row r="11398" spans="1:20" x14ac:dyDescent="0.3">
      <c r="A11398" s="160">
        <v>81066</v>
      </c>
      <c r="B11398" t="s">
        <v>26328</v>
      </c>
      <c r="C11398" t="s">
        <v>11699</v>
      </c>
      <c r="D11398">
        <v>0.6</v>
      </c>
      <c r="E11398">
        <v>0</v>
      </c>
      <c r="F11398">
        <f t="shared" si="203"/>
        <v>0.6</v>
      </c>
      <c r="I11398">
        <v>20050101</v>
      </c>
      <c r="J11398" t="s">
        <v>11700</v>
      </c>
      <c r="K11398" t="s">
        <v>11703</v>
      </c>
    </row>
    <row r="11399" spans="1:20" x14ac:dyDescent="0.3">
      <c r="A11399" s="160">
        <v>81067</v>
      </c>
      <c r="B11399" t="s">
        <v>26329</v>
      </c>
      <c r="C11399" t="s">
        <v>11732</v>
      </c>
      <c r="D11399">
        <v>0.6</v>
      </c>
      <c r="E11399">
        <v>0</v>
      </c>
      <c r="F11399">
        <f t="shared" ref="F11399:F11462" si="204">D11399+E11399</f>
        <v>0.6</v>
      </c>
      <c r="I11399">
        <v>20230101</v>
      </c>
      <c r="J11399" t="s">
        <v>11740</v>
      </c>
    </row>
    <row r="11400" spans="1:20" x14ac:dyDescent="0.3">
      <c r="A11400" s="160">
        <v>81070</v>
      </c>
      <c r="B11400" t="s">
        <v>26330</v>
      </c>
      <c r="C11400" t="s">
        <v>11732</v>
      </c>
      <c r="D11400">
        <v>0.6</v>
      </c>
      <c r="E11400">
        <v>0</v>
      </c>
      <c r="F11400">
        <f t="shared" si="204"/>
        <v>0.6</v>
      </c>
      <c r="I11400">
        <v>20230101</v>
      </c>
      <c r="J11400" t="s">
        <v>11757</v>
      </c>
    </row>
    <row r="11401" spans="1:20" x14ac:dyDescent="0.3">
      <c r="A11401" s="160">
        <v>81074</v>
      </c>
      <c r="B11401" t="s">
        <v>26331</v>
      </c>
      <c r="C11401" t="s">
        <v>11704</v>
      </c>
      <c r="D11401">
        <v>0.6</v>
      </c>
      <c r="E11401">
        <v>0</v>
      </c>
      <c r="F11401">
        <f t="shared" si="204"/>
        <v>0.6</v>
      </c>
      <c r="I11401">
        <v>20081101</v>
      </c>
      <c r="J11401" t="s">
        <v>11714</v>
      </c>
      <c r="K11401" t="s">
        <v>11758</v>
      </c>
      <c r="L11401" t="s">
        <v>11725</v>
      </c>
      <c r="M11401" t="s">
        <v>11745</v>
      </c>
    </row>
    <row r="11402" spans="1:20" x14ac:dyDescent="0.3">
      <c r="A11402" s="160">
        <v>81079</v>
      </c>
      <c r="B11402" t="s">
        <v>26332</v>
      </c>
      <c r="C11402" t="s">
        <v>11704</v>
      </c>
      <c r="D11402">
        <v>0.6</v>
      </c>
      <c r="E11402">
        <v>0</v>
      </c>
      <c r="F11402">
        <f t="shared" si="204"/>
        <v>0.6</v>
      </c>
      <c r="I11402">
        <v>20081101</v>
      </c>
      <c r="J11402" t="s">
        <v>11759</v>
      </c>
    </row>
    <row r="11403" spans="1:20" x14ac:dyDescent="0.3">
      <c r="A11403" s="160">
        <v>81080</v>
      </c>
      <c r="B11403" t="s">
        <v>26333</v>
      </c>
      <c r="C11403" t="s">
        <v>11732</v>
      </c>
      <c r="D11403">
        <v>0.6</v>
      </c>
      <c r="E11403">
        <v>0</v>
      </c>
      <c r="F11403">
        <f t="shared" si="204"/>
        <v>0.6</v>
      </c>
      <c r="I11403">
        <v>20230101</v>
      </c>
      <c r="J11403" t="s">
        <v>11734</v>
      </c>
    </row>
    <row r="11404" spans="1:20" x14ac:dyDescent="0.3">
      <c r="A11404" s="160">
        <v>81087</v>
      </c>
      <c r="B11404" t="s">
        <v>26334</v>
      </c>
      <c r="C11404" t="s">
        <v>11732</v>
      </c>
      <c r="D11404">
        <v>0.6</v>
      </c>
      <c r="E11404">
        <v>0</v>
      </c>
      <c r="F11404">
        <f t="shared" si="204"/>
        <v>0.6</v>
      </c>
      <c r="I11404">
        <v>20230101</v>
      </c>
      <c r="J11404" t="s">
        <v>11740</v>
      </c>
    </row>
    <row r="11405" spans="1:20" x14ac:dyDescent="0.3">
      <c r="A11405" s="160">
        <v>81090</v>
      </c>
      <c r="B11405" t="s">
        <v>26335</v>
      </c>
      <c r="C11405" t="s">
        <v>11732</v>
      </c>
      <c r="D11405">
        <v>0.6</v>
      </c>
      <c r="E11405">
        <v>0</v>
      </c>
      <c r="F11405">
        <f t="shared" si="204"/>
        <v>0.6</v>
      </c>
      <c r="I11405">
        <v>20230101</v>
      </c>
      <c r="J11405" t="s">
        <v>11736</v>
      </c>
    </row>
    <row r="11406" spans="1:20" x14ac:dyDescent="0.3">
      <c r="A11406" s="160">
        <v>81093</v>
      </c>
      <c r="B11406" t="s">
        <v>26336</v>
      </c>
      <c r="C11406" t="s">
        <v>11732</v>
      </c>
      <c r="D11406">
        <v>0.6</v>
      </c>
      <c r="E11406">
        <v>0</v>
      </c>
      <c r="F11406">
        <f t="shared" si="204"/>
        <v>0.6</v>
      </c>
      <c r="I11406">
        <v>20230101</v>
      </c>
      <c r="J11406" t="s">
        <v>11740</v>
      </c>
    </row>
    <row r="11407" spans="1:20" x14ac:dyDescent="0.3">
      <c r="A11407" s="160">
        <v>81095</v>
      </c>
      <c r="B11407" t="s">
        <v>26337</v>
      </c>
      <c r="C11407" t="s">
        <v>11732</v>
      </c>
      <c r="D11407">
        <v>0.6</v>
      </c>
      <c r="E11407">
        <v>0</v>
      </c>
      <c r="F11407">
        <f t="shared" si="204"/>
        <v>0.6</v>
      </c>
      <c r="I11407">
        <v>20230101</v>
      </c>
      <c r="J11407" t="s">
        <v>11734</v>
      </c>
    </row>
    <row r="11408" spans="1:20" x14ac:dyDescent="0.3">
      <c r="A11408" s="160">
        <v>81097</v>
      </c>
      <c r="B11408" t="s">
        <v>26338</v>
      </c>
      <c r="C11408" t="s">
        <v>11704</v>
      </c>
      <c r="D11408">
        <v>0.6</v>
      </c>
      <c r="E11408">
        <v>0</v>
      </c>
      <c r="F11408">
        <f t="shared" si="204"/>
        <v>0.6</v>
      </c>
      <c r="I11408">
        <v>20081101</v>
      </c>
      <c r="J11408" t="s">
        <v>11745</v>
      </c>
    </row>
    <row r="11409" spans="1:82" x14ac:dyDescent="0.3">
      <c r="A11409" s="160">
        <v>81099</v>
      </c>
      <c r="B11409" t="s">
        <v>26339</v>
      </c>
      <c r="C11409" t="s">
        <v>11732</v>
      </c>
      <c r="D11409">
        <v>0.6</v>
      </c>
      <c r="E11409">
        <v>0</v>
      </c>
      <c r="F11409">
        <f t="shared" si="204"/>
        <v>0.6</v>
      </c>
      <c r="I11409">
        <v>20230101</v>
      </c>
      <c r="J11409" t="s">
        <v>11736</v>
      </c>
      <c r="K11409" t="s">
        <v>11760</v>
      </c>
      <c r="L11409" t="s">
        <v>11761</v>
      </c>
      <c r="M11409" t="s">
        <v>11762</v>
      </c>
      <c r="N11409" t="s">
        <v>11763</v>
      </c>
      <c r="O11409" t="s">
        <v>11764</v>
      </c>
    </row>
    <row r="11410" spans="1:82" x14ac:dyDescent="0.3">
      <c r="A11410" s="160">
        <v>81104</v>
      </c>
      <c r="B11410" t="s">
        <v>26340</v>
      </c>
      <c r="C11410" t="s">
        <v>11732</v>
      </c>
      <c r="D11410">
        <v>0.6</v>
      </c>
      <c r="E11410">
        <v>0</v>
      </c>
      <c r="F11410">
        <f t="shared" si="204"/>
        <v>0.6</v>
      </c>
      <c r="I11410">
        <v>20230101</v>
      </c>
      <c r="J11410" t="s">
        <v>11765</v>
      </c>
    </row>
    <row r="11411" spans="1:82" x14ac:dyDescent="0.3">
      <c r="A11411" s="160">
        <v>81105</v>
      </c>
      <c r="B11411" t="s">
        <v>26341</v>
      </c>
      <c r="C11411" t="s">
        <v>11732</v>
      </c>
      <c r="D11411">
        <v>0.6</v>
      </c>
      <c r="E11411">
        <v>0</v>
      </c>
      <c r="F11411">
        <f t="shared" si="204"/>
        <v>0.6</v>
      </c>
      <c r="I11411">
        <v>20230101</v>
      </c>
      <c r="J11411" t="s">
        <v>11743</v>
      </c>
      <c r="K11411" t="s">
        <v>11766</v>
      </c>
      <c r="L11411" t="s">
        <v>11767</v>
      </c>
      <c r="M11411" t="s">
        <v>11768</v>
      </c>
      <c r="N11411" t="s">
        <v>11769</v>
      </c>
      <c r="O11411" t="s">
        <v>11744</v>
      </c>
    </row>
    <row r="11412" spans="1:82" x14ac:dyDescent="0.3">
      <c r="A11412" s="160">
        <v>81106</v>
      </c>
      <c r="B11412" t="s">
        <v>26342</v>
      </c>
      <c r="C11412" t="s">
        <v>11732</v>
      </c>
      <c r="D11412">
        <v>0.6</v>
      </c>
      <c r="E11412">
        <v>0</v>
      </c>
      <c r="F11412">
        <f t="shared" si="204"/>
        <v>0.6</v>
      </c>
      <c r="I11412">
        <v>20230101</v>
      </c>
      <c r="J11412" t="s">
        <v>11757</v>
      </c>
    </row>
    <row r="11413" spans="1:82" x14ac:dyDescent="0.3">
      <c r="A11413" s="160">
        <v>81108</v>
      </c>
      <c r="B11413" t="s">
        <v>26343</v>
      </c>
      <c r="C11413" t="s">
        <v>11732</v>
      </c>
      <c r="D11413">
        <v>0.6</v>
      </c>
      <c r="E11413">
        <v>0</v>
      </c>
      <c r="F11413">
        <f t="shared" si="204"/>
        <v>0.6</v>
      </c>
      <c r="I11413">
        <v>20230101</v>
      </c>
      <c r="J11413" t="s">
        <v>11734</v>
      </c>
    </row>
    <row r="11414" spans="1:82" x14ac:dyDescent="0.3">
      <c r="A11414" s="160">
        <v>81112</v>
      </c>
      <c r="B11414" t="s">
        <v>26344</v>
      </c>
      <c r="C11414" t="s">
        <v>11732</v>
      </c>
      <c r="D11414">
        <v>0.6</v>
      </c>
      <c r="E11414">
        <v>0</v>
      </c>
      <c r="F11414">
        <f t="shared" si="204"/>
        <v>0.6</v>
      </c>
      <c r="I11414">
        <v>20230101</v>
      </c>
      <c r="J11414" t="s">
        <v>11740</v>
      </c>
    </row>
    <row r="11415" spans="1:82" x14ac:dyDescent="0.3">
      <c r="A11415" s="160">
        <v>81113</v>
      </c>
      <c r="B11415" t="s">
        <v>26344</v>
      </c>
      <c r="C11415" t="s">
        <v>11704</v>
      </c>
      <c r="D11415">
        <v>0.6</v>
      </c>
      <c r="E11415">
        <v>0</v>
      </c>
      <c r="F11415">
        <f t="shared" si="204"/>
        <v>0.6</v>
      </c>
      <c r="I11415">
        <v>20081101</v>
      </c>
      <c r="J11415" t="s">
        <v>11759</v>
      </c>
    </row>
    <row r="11416" spans="1:82" x14ac:dyDescent="0.3">
      <c r="A11416" s="160">
        <v>81117</v>
      </c>
      <c r="B11416" t="s">
        <v>26345</v>
      </c>
      <c r="C11416" t="s">
        <v>11732</v>
      </c>
      <c r="D11416">
        <v>0.6</v>
      </c>
      <c r="E11416">
        <v>0</v>
      </c>
      <c r="F11416">
        <f t="shared" si="204"/>
        <v>0.6</v>
      </c>
      <c r="I11416">
        <v>20230101</v>
      </c>
      <c r="J11416" t="s">
        <v>11743</v>
      </c>
      <c r="K11416" t="s">
        <v>11768</v>
      </c>
    </row>
    <row r="11417" spans="1:82" x14ac:dyDescent="0.3">
      <c r="A11417" s="160">
        <v>81120</v>
      </c>
      <c r="B11417" t="s">
        <v>26346</v>
      </c>
      <c r="C11417" t="s">
        <v>11699</v>
      </c>
      <c r="D11417">
        <v>0.6</v>
      </c>
      <c r="E11417">
        <v>0</v>
      </c>
      <c r="F11417">
        <f t="shared" si="204"/>
        <v>0.6</v>
      </c>
      <c r="I11417">
        <v>20050101</v>
      </c>
      <c r="J11417" t="s">
        <v>11770</v>
      </c>
    </row>
    <row r="11418" spans="1:82" x14ac:dyDescent="0.3">
      <c r="A11418" s="160">
        <v>81130</v>
      </c>
      <c r="B11418" t="s">
        <v>26347</v>
      </c>
      <c r="C11418" t="s">
        <v>11699</v>
      </c>
      <c r="D11418">
        <v>0.6</v>
      </c>
      <c r="E11418">
        <v>0</v>
      </c>
      <c r="F11418">
        <f t="shared" si="204"/>
        <v>0.6</v>
      </c>
      <c r="I11418">
        <v>20050101</v>
      </c>
      <c r="J11418" t="s">
        <v>11771</v>
      </c>
    </row>
    <row r="11419" spans="1:82" x14ac:dyDescent="0.3">
      <c r="A11419" s="160">
        <v>81131</v>
      </c>
      <c r="B11419" t="s">
        <v>26348</v>
      </c>
      <c r="C11419" t="s">
        <v>11732</v>
      </c>
      <c r="D11419">
        <v>0.6</v>
      </c>
      <c r="E11419">
        <v>0</v>
      </c>
      <c r="F11419">
        <f t="shared" si="204"/>
        <v>0.6</v>
      </c>
      <c r="I11419">
        <v>20230101</v>
      </c>
      <c r="J11419" t="s">
        <v>11740</v>
      </c>
    </row>
    <row r="11420" spans="1:82" x14ac:dyDescent="0.3">
      <c r="A11420" s="160">
        <v>81136</v>
      </c>
      <c r="B11420" t="s">
        <v>26349</v>
      </c>
      <c r="C11420" t="s">
        <v>11732</v>
      </c>
      <c r="D11420">
        <v>0.6</v>
      </c>
      <c r="E11420">
        <v>0</v>
      </c>
      <c r="F11420">
        <f t="shared" si="204"/>
        <v>0.6</v>
      </c>
      <c r="I11420">
        <v>20230101</v>
      </c>
      <c r="J11420" t="s">
        <v>11733</v>
      </c>
    </row>
    <row r="11421" spans="1:82" x14ac:dyDescent="0.3">
      <c r="A11421" s="160">
        <v>81138</v>
      </c>
      <c r="B11421" t="s">
        <v>26350</v>
      </c>
      <c r="C11421" t="s">
        <v>11732</v>
      </c>
      <c r="D11421">
        <v>0.6</v>
      </c>
      <c r="E11421">
        <v>0</v>
      </c>
      <c r="F11421">
        <f t="shared" si="204"/>
        <v>0.6</v>
      </c>
      <c r="I11421">
        <v>20230101</v>
      </c>
      <c r="J11421" t="s">
        <v>11743</v>
      </c>
      <c r="BP11421" t="s">
        <v>11663</v>
      </c>
      <c r="BQ11421" t="s">
        <v>11664</v>
      </c>
      <c r="BR11421" t="s">
        <v>11665</v>
      </c>
      <c r="BS11421" t="s">
        <v>11666</v>
      </c>
      <c r="BT11421" t="s">
        <v>11667</v>
      </c>
      <c r="BU11421" t="s">
        <v>11668</v>
      </c>
      <c r="BV11421" t="s">
        <v>11669</v>
      </c>
      <c r="BW11421" t="s">
        <v>11670</v>
      </c>
      <c r="BX11421" t="s">
        <v>11671</v>
      </c>
      <c r="BY11421" t="s">
        <v>11672</v>
      </c>
      <c r="BZ11421" t="s">
        <v>11673</v>
      </c>
      <c r="CA11421" t="s">
        <v>11674</v>
      </c>
      <c r="CB11421" t="s">
        <v>11675</v>
      </c>
      <c r="CC11421" t="s">
        <v>11676</v>
      </c>
      <c r="CD11421" t="s">
        <v>11677</v>
      </c>
    </row>
    <row r="11422" spans="1:82" x14ac:dyDescent="0.3">
      <c r="A11422" s="160">
        <v>81140</v>
      </c>
      <c r="B11422" t="s">
        <v>26351</v>
      </c>
      <c r="C11422" t="s">
        <v>11772</v>
      </c>
      <c r="D11422">
        <v>0.25</v>
      </c>
      <c r="E11422">
        <v>0</v>
      </c>
      <c r="F11422">
        <f t="shared" si="204"/>
        <v>0.25</v>
      </c>
      <c r="I11422">
        <v>20220101</v>
      </c>
      <c r="J11422" t="s">
        <v>11765</v>
      </c>
      <c r="K11422" t="s">
        <v>11773</v>
      </c>
      <c r="L11422" t="s">
        <v>11774</v>
      </c>
      <c r="M11422" t="s">
        <v>11775</v>
      </c>
      <c r="N11422" t="s">
        <v>11776</v>
      </c>
    </row>
    <row r="11423" spans="1:82" x14ac:dyDescent="0.3">
      <c r="A11423" s="160">
        <v>81144</v>
      </c>
      <c r="B11423" t="s">
        <v>26352</v>
      </c>
      <c r="C11423" t="s">
        <v>11704</v>
      </c>
      <c r="D11423">
        <v>0.6</v>
      </c>
      <c r="E11423">
        <v>0</v>
      </c>
      <c r="F11423">
        <f t="shared" si="204"/>
        <v>0.6</v>
      </c>
      <c r="I11423">
        <v>20081101</v>
      </c>
      <c r="J11423" t="s">
        <v>11713</v>
      </c>
      <c r="K11423" t="s">
        <v>11725</v>
      </c>
      <c r="L11423" t="s">
        <v>11777</v>
      </c>
    </row>
    <row r="11424" spans="1:82" x14ac:dyDescent="0.3">
      <c r="A11424" s="160">
        <v>81145</v>
      </c>
      <c r="B11424" t="s">
        <v>26353</v>
      </c>
      <c r="C11424" t="s">
        <v>11732</v>
      </c>
      <c r="D11424">
        <v>0.6</v>
      </c>
      <c r="E11424">
        <v>0</v>
      </c>
      <c r="F11424">
        <f t="shared" si="204"/>
        <v>0.6</v>
      </c>
      <c r="I11424">
        <v>20230101</v>
      </c>
      <c r="J11424" t="s">
        <v>11778</v>
      </c>
    </row>
    <row r="11425" spans="1:15" x14ac:dyDescent="0.3">
      <c r="A11425" s="160">
        <v>81148</v>
      </c>
      <c r="B11425" t="s">
        <v>26354</v>
      </c>
      <c r="C11425" t="s">
        <v>11732</v>
      </c>
      <c r="D11425">
        <v>0</v>
      </c>
      <c r="E11425">
        <v>0</v>
      </c>
      <c r="F11425">
        <f t="shared" si="204"/>
        <v>0</v>
      </c>
      <c r="I11425">
        <v>20220101</v>
      </c>
      <c r="J11425" t="s">
        <v>11734</v>
      </c>
    </row>
    <row r="11426" spans="1:15" x14ac:dyDescent="0.3">
      <c r="A11426" s="160">
        <v>81149</v>
      </c>
      <c r="B11426" t="s">
        <v>18797</v>
      </c>
      <c r="C11426" t="s">
        <v>11732</v>
      </c>
      <c r="D11426">
        <v>0.6</v>
      </c>
      <c r="E11426">
        <v>0</v>
      </c>
      <c r="F11426">
        <f t="shared" si="204"/>
        <v>0.6</v>
      </c>
      <c r="I11426">
        <v>20230101</v>
      </c>
      <c r="J11426" t="s">
        <v>11757</v>
      </c>
    </row>
    <row r="11427" spans="1:15" x14ac:dyDescent="0.3">
      <c r="A11427" s="160">
        <v>81156</v>
      </c>
      <c r="B11427" t="s">
        <v>26355</v>
      </c>
      <c r="C11427" t="s">
        <v>11704</v>
      </c>
      <c r="D11427">
        <v>0.6</v>
      </c>
      <c r="E11427">
        <v>0</v>
      </c>
      <c r="F11427">
        <f t="shared" si="204"/>
        <v>0.6</v>
      </c>
      <c r="I11427">
        <v>20081101</v>
      </c>
      <c r="J11427" t="s">
        <v>11740</v>
      </c>
    </row>
    <row r="11428" spans="1:15" x14ac:dyDescent="0.3">
      <c r="A11428" s="160">
        <v>81163</v>
      </c>
      <c r="B11428" t="s">
        <v>26356</v>
      </c>
      <c r="C11428" t="s">
        <v>11699</v>
      </c>
      <c r="D11428">
        <v>0.6</v>
      </c>
      <c r="E11428">
        <v>0</v>
      </c>
      <c r="F11428">
        <f t="shared" si="204"/>
        <v>0.6</v>
      </c>
      <c r="I11428">
        <v>20050101</v>
      </c>
      <c r="J11428" t="s">
        <v>11700</v>
      </c>
      <c r="K11428" t="s">
        <v>11701</v>
      </c>
      <c r="L11428" t="s">
        <v>11702</v>
      </c>
      <c r="M11428" t="s">
        <v>11703</v>
      </c>
      <c r="N11428" t="s">
        <v>11737</v>
      </c>
      <c r="O11428" t="s">
        <v>11738</v>
      </c>
    </row>
    <row r="11429" spans="1:15" x14ac:dyDescent="0.3">
      <c r="A11429" s="160">
        <v>81164</v>
      </c>
      <c r="B11429" t="s">
        <v>26357</v>
      </c>
      <c r="C11429" t="s">
        <v>11732</v>
      </c>
      <c r="D11429">
        <v>0.6</v>
      </c>
      <c r="E11429">
        <v>0</v>
      </c>
      <c r="F11429">
        <f t="shared" si="204"/>
        <v>0.6</v>
      </c>
      <c r="I11429">
        <v>20230101</v>
      </c>
      <c r="J11429" t="s">
        <v>11757</v>
      </c>
    </row>
    <row r="11430" spans="1:15" x14ac:dyDescent="0.3">
      <c r="A11430" s="160">
        <v>81169</v>
      </c>
      <c r="B11430" t="s">
        <v>26358</v>
      </c>
      <c r="C11430" t="s">
        <v>11732</v>
      </c>
      <c r="D11430">
        <v>0</v>
      </c>
      <c r="E11430">
        <v>0</v>
      </c>
      <c r="F11430">
        <f t="shared" si="204"/>
        <v>0</v>
      </c>
      <c r="I11430">
        <v>20180701</v>
      </c>
      <c r="J11430" t="s">
        <v>11743</v>
      </c>
    </row>
    <row r="11431" spans="1:15" x14ac:dyDescent="0.3">
      <c r="A11431" s="160">
        <v>81171</v>
      </c>
      <c r="B11431" t="s">
        <v>26359</v>
      </c>
      <c r="C11431" t="s">
        <v>11732</v>
      </c>
      <c r="D11431">
        <v>0.6</v>
      </c>
      <c r="E11431">
        <v>0</v>
      </c>
      <c r="F11431">
        <f t="shared" si="204"/>
        <v>0.6</v>
      </c>
      <c r="I11431">
        <v>20230101</v>
      </c>
      <c r="J11431" t="s">
        <v>11736</v>
      </c>
      <c r="K11431" t="s">
        <v>11760</v>
      </c>
    </row>
    <row r="11432" spans="1:15" x14ac:dyDescent="0.3">
      <c r="A11432" s="160">
        <v>81175</v>
      </c>
      <c r="B11432" t="s">
        <v>26360</v>
      </c>
      <c r="C11432" t="s">
        <v>11732</v>
      </c>
      <c r="D11432">
        <v>0.6</v>
      </c>
      <c r="E11432">
        <v>0</v>
      </c>
      <c r="F11432">
        <f t="shared" si="204"/>
        <v>0.6</v>
      </c>
      <c r="I11432">
        <v>20230101</v>
      </c>
      <c r="J11432" t="s">
        <v>11739</v>
      </c>
    </row>
    <row r="11433" spans="1:15" x14ac:dyDescent="0.3">
      <c r="A11433" s="160">
        <v>81176</v>
      </c>
      <c r="B11433" t="s">
        <v>19096</v>
      </c>
      <c r="C11433" t="s">
        <v>11732</v>
      </c>
      <c r="D11433">
        <v>0.6</v>
      </c>
      <c r="E11433">
        <v>0</v>
      </c>
      <c r="F11433">
        <f t="shared" si="204"/>
        <v>0.6</v>
      </c>
      <c r="I11433">
        <v>20230101</v>
      </c>
      <c r="J11433" t="s">
        <v>11733</v>
      </c>
    </row>
    <row r="11434" spans="1:15" x14ac:dyDescent="0.3">
      <c r="A11434" s="160">
        <v>81178</v>
      </c>
      <c r="B11434" t="s">
        <v>26361</v>
      </c>
      <c r="C11434" t="s">
        <v>11732</v>
      </c>
      <c r="D11434">
        <v>0.6</v>
      </c>
      <c r="E11434">
        <v>0</v>
      </c>
      <c r="F11434">
        <f t="shared" si="204"/>
        <v>0.6</v>
      </c>
      <c r="I11434">
        <v>20230101</v>
      </c>
      <c r="J11434" t="s">
        <v>11739</v>
      </c>
    </row>
    <row r="11435" spans="1:15" x14ac:dyDescent="0.3">
      <c r="A11435" s="160">
        <v>81185</v>
      </c>
      <c r="B11435" t="s">
        <v>26362</v>
      </c>
      <c r="C11435" t="s">
        <v>11732</v>
      </c>
      <c r="D11435">
        <v>0.6</v>
      </c>
      <c r="E11435">
        <v>0</v>
      </c>
      <c r="F11435">
        <f t="shared" si="204"/>
        <v>0.6</v>
      </c>
      <c r="I11435">
        <v>20230101</v>
      </c>
      <c r="J11435" t="s">
        <v>11739</v>
      </c>
    </row>
    <row r="11436" spans="1:15" x14ac:dyDescent="0.3">
      <c r="A11436" s="160">
        <v>81187</v>
      </c>
      <c r="B11436" t="s">
        <v>26363</v>
      </c>
      <c r="C11436" t="s">
        <v>11732</v>
      </c>
      <c r="D11436">
        <v>0</v>
      </c>
      <c r="E11436">
        <v>0</v>
      </c>
      <c r="F11436">
        <f t="shared" si="204"/>
        <v>0</v>
      </c>
      <c r="I11436">
        <v>20180701</v>
      </c>
      <c r="J11436" t="s">
        <v>11743</v>
      </c>
    </row>
    <row r="11437" spans="1:15" x14ac:dyDescent="0.3">
      <c r="A11437" s="160">
        <v>81195</v>
      </c>
      <c r="B11437" t="s">
        <v>26364</v>
      </c>
      <c r="C11437" t="s">
        <v>11699</v>
      </c>
      <c r="D11437">
        <v>0.6</v>
      </c>
      <c r="E11437">
        <v>0</v>
      </c>
      <c r="F11437">
        <f t="shared" si="204"/>
        <v>0.6</v>
      </c>
      <c r="I11437">
        <v>20050101</v>
      </c>
      <c r="J11437" t="s">
        <v>11779</v>
      </c>
    </row>
    <row r="11438" spans="1:15" x14ac:dyDescent="0.3">
      <c r="A11438" s="160">
        <v>81196</v>
      </c>
      <c r="B11438" t="s">
        <v>26365</v>
      </c>
      <c r="C11438" t="s">
        <v>11699</v>
      </c>
      <c r="D11438">
        <v>0.6</v>
      </c>
      <c r="E11438">
        <v>0</v>
      </c>
      <c r="F11438">
        <f t="shared" si="204"/>
        <v>0.6</v>
      </c>
      <c r="I11438">
        <v>20050101</v>
      </c>
      <c r="J11438" t="s">
        <v>11741</v>
      </c>
    </row>
    <row r="11439" spans="1:15" x14ac:dyDescent="0.3">
      <c r="A11439" s="160">
        <v>81197</v>
      </c>
      <c r="B11439" t="s">
        <v>16901</v>
      </c>
      <c r="C11439" t="s">
        <v>11732</v>
      </c>
      <c r="D11439">
        <v>0</v>
      </c>
      <c r="E11439">
        <v>0</v>
      </c>
      <c r="F11439">
        <f t="shared" si="204"/>
        <v>0</v>
      </c>
      <c r="I11439">
        <v>20220101</v>
      </c>
      <c r="J11439" t="s">
        <v>11734</v>
      </c>
    </row>
    <row r="11440" spans="1:15" x14ac:dyDescent="0.3">
      <c r="A11440" s="160">
        <v>81202</v>
      </c>
      <c r="B11440" t="s">
        <v>26366</v>
      </c>
      <c r="C11440" t="s">
        <v>11732</v>
      </c>
      <c r="D11440">
        <v>0.6</v>
      </c>
      <c r="E11440">
        <v>0</v>
      </c>
      <c r="F11440">
        <f t="shared" si="204"/>
        <v>0.6</v>
      </c>
      <c r="I11440">
        <v>20230101</v>
      </c>
      <c r="J11440" t="s">
        <v>11778</v>
      </c>
    </row>
    <row r="11441" spans="1:12" x14ac:dyDescent="0.3">
      <c r="A11441" s="160">
        <v>81204</v>
      </c>
      <c r="B11441" t="s">
        <v>26367</v>
      </c>
      <c r="C11441" t="s">
        <v>11699</v>
      </c>
      <c r="D11441">
        <v>0.6</v>
      </c>
      <c r="E11441">
        <v>0</v>
      </c>
      <c r="F11441">
        <f t="shared" si="204"/>
        <v>0.6</v>
      </c>
      <c r="I11441">
        <v>20050101</v>
      </c>
      <c r="J11441" t="s">
        <v>11703</v>
      </c>
      <c r="K11441" t="s">
        <v>11780</v>
      </c>
    </row>
    <row r="11442" spans="1:12" x14ac:dyDescent="0.3">
      <c r="A11442" s="160">
        <v>81208</v>
      </c>
      <c r="B11442" t="s">
        <v>26368</v>
      </c>
      <c r="C11442" t="s">
        <v>11732</v>
      </c>
      <c r="D11442">
        <v>0.6</v>
      </c>
      <c r="E11442">
        <v>0</v>
      </c>
      <c r="F11442">
        <f t="shared" si="204"/>
        <v>0.6</v>
      </c>
      <c r="I11442">
        <v>20230101</v>
      </c>
      <c r="J11442" t="s">
        <v>11778</v>
      </c>
    </row>
    <row r="11443" spans="1:12" x14ac:dyDescent="0.3">
      <c r="A11443" s="160">
        <v>81209</v>
      </c>
      <c r="B11443" t="s">
        <v>26369</v>
      </c>
      <c r="C11443" t="s">
        <v>11699</v>
      </c>
      <c r="D11443">
        <v>0.6</v>
      </c>
      <c r="E11443">
        <v>0</v>
      </c>
      <c r="F11443">
        <f t="shared" si="204"/>
        <v>0.6</v>
      </c>
      <c r="I11443">
        <v>20050101</v>
      </c>
      <c r="J11443" t="s">
        <v>11703</v>
      </c>
      <c r="K11443" t="s">
        <v>11780</v>
      </c>
    </row>
    <row r="11444" spans="1:12" x14ac:dyDescent="0.3">
      <c r="A11444" s="160">
        <v>81215</v>
      </c>
      <c r="B11444" t="s">
        <v>26370</v>
      </c>
      <c r="C11444" t="s">
        <v>11732</v>
      </c>
      <c r="D11444">
        <v>0.6</v>
      </c>
      <c r="E11444">
        <v>0</v>
      </c>
      <c r="F11444">
        <f t="shared" si="204"/>
        <v>0.6</v>
      </c>
      <c r="I11444">
        <v>20230101</v>
      </c>
      <c r="J11444" t="s">
        <v>11742</v>
      </c>
    </row>
    <row r="11445" spans="1:12" x14ac:dyDescent="0.3">
      <c r="A11445" s="160">
        <v>81217</v>
      </c>
      <c r="B11445" t="s">
        <v>26371</v>
      </c>
      <c r="C11445" t="s">
        <v>11732</v>
      </c>
      <c r="D11445">
        <v>0.6</v>
      </c>
      <c r="E11445">
        <v>0</v>
      </c>
      <c r="F11445">
        <f t="shared" si="204"/>
        <v>0.6</v>
      </c>
      <c r="I11445">
        <v>20230101</v>
      </c>
      <c r="J11445" t="s">
        <v>11733</v>
      </c>
    </row>
    <row r="11446" spans="1:12" x14ac:dyDescent="0.3">
      <c r="A11446" s="160">
        <v>81218</v>
      </c>
      <c r="B11446" t="s">
        <v>26372</v>
      </c>
      <c r="C11446" t="s">
        <v>11704</v>
      </c>
      <c r="D11446">
        <v>0.6</v>
      </c>
      <c r="E11446">
        <v>0</v>
      </c>
      <c r="F11446">
        <f t="shared" si="204"/>
        <v>0.6</v>
      </c>
      <c r="I11446">
        <v>20081101</v>
      </c>
      <c r="J11446" t="s">
        <v>11781</v>
      </c>
      <c r="K11446" t="s">
        <v>11759</v>
      </c>
      <c r="L11446" t="s">
        <v>11745</v>
      </c>
    </row>
    <row r="11447" spans="1:12" x14ac:dyDescent="0.3">
      <c r="A11447" s="160">
        <v>81220</v>
      </c>
      <c r="B11447" t="s">
        <v>26373</v>
      </c>
      <c r="C11447" t="s">
        <v>11732</v>
      </c>
      <c r="D11447">
        <v>0.6</v>
      </c>
      <c r="E11447">
        <v>0</v>
      </c>
      <c r="F11447">
        <f t="shared" si="204"/>
        <v>0.6</v>
      </c>
      <c r="I11447">
        <v>20230101</v>
      </c>
      <c r="J11447" t="s">
        <v>11757</v>
      </c>
    </row>
    <row r="11448" spans="1:12" x14ac:dyDescent="0.3">
      <c r="A11448" s="160">
        <v>81223</v>
      </c>
      <c r="B11448" t="s">
        <v>26374</v>
      </c>
      <c r="C11448" t="s">
        <v>11699</v>
      </c>
      <c r="D11448">
        <v>0.6</v>
      </c>
      <c r="E11448">
        <v>0</v>
      </c>
      <c r="F11448">
        <f t="shared" si="204"/>
        <v>0.6</v>
      </c>
      <c r="I11448">
        <v>20170701</v>
      </c>
      <c r="J11448" t="s">
        <v>11782</v>
      </c>
    </row>
    <row r="11449" spans="1:12" x14ac:dyDescent="0.3">
      <c r="A11449" s="160">
        <v>81225</v>
      </c>
      <c r="B11449" t="s">
        <v>26375</v>
      </c>
      <c r="C11449" t="s">
        <v>11732</v>
      </c>
      <c r="D11449">
        <v>0.6</v>
      </c>
      <c r="E11449">
        <v>0</v>
      </c>
      <c r="F11449">
        <f t="shared" si="204"/>
        <v>0.6</v>
      </c>
      <c r="I11449">
        <v>20230101</v>
      </c>
      <c r="J11449" t="s">
        <v>11736</v>
      </c>
      <c r="K11449" t="s">
        <v>11763</v>
      </c>
    </row>
    <row r="11450" spans="1:12" x14ac:dyDescent="0.3">
      <c r="A11450" s="160">
        <v>81228</v>
      </c>
      <c r="B11450" t="s">
        <v>18369</v>
      </c>
      <c r="C11450" t="s">
        <v>11732</v>
      </c>
      <c r="D11450">
        <v>0.6</v>
      </c>
      <c r="E11450">
        <v>0</v>
      </c>
      <c r="F11450">
        <f t="shared" si="204"/>
        <v>0.6</v>
      </c>
      <c r="I11450">
        <v>20230101</v>
      </c>
      <c r="J11450" t="s">
        <v>11757</v>
      </c>
    </row>
    <row r="11451" spans="1:12" x14ac:dyDescent="0.3">
      <c r="A11451" s="160">
        <v>81232</v>
      </c>
      <c r="B11451" t="s">
        <v>16791</v>
      </c>
      <c r="C11451" t="s">
        <v>11704</v>
      </c>
      <c r="D11451">
        <v>0.6</v>
      </c>
      <c r="E11451">
        <v>0</v>
      </c>
      <c r="F11451">
        <f t="shared" si="204"/>
        <v>0.6</v>
      </c>
      <c r="I11451">
        <v>20081101</v>
      </c>
      <c r="J11451" t="s">
        <v>11740</v>
      </c>
    </row>
    <row r="11452" spans="1:12" x14ac:dyDescent="0.3">
      <c r="A11452" s="160">
        <v>81238</v>
      </c>
      <c r="B11452" t="s">
        <v>26376</v>
      </c>
      <c r="C11452" t="s">
        <v>11699</v>
      </c>
      <c r="D11452">
        <v>0.6</v>
      </c>
      <c r="E11452">
        <v>0</v>
      </c>
      <c r="F11452">
        <f t="shared" si="204"/>
        <v>0.6</v>
      </c>
      <c r="I11452">
        <v>20050101</v>
      </c>
      <c r="J11452" t="s">
        <v>11782</v>
      </c>
    </row>
    <row r="11453" spans="1:12" x14ac:dyDescent="0.3">
      <c r="A11453" s="160">
        <v>81243</v>
      </c>
      <c r="B11453" t="s">
        <v>26377</v>
      </c>
      <c r="C11453" t="s">
        <v>11732</v>
      </c>
      <c r="D11453">
        <v>0.6</v>
      </c>
      <c r="E11453">
        <v>0</v>
      </c>
      <c r="F11453">
        <f t="shared" si="204"/>
        <v>0.6</v>
      </c>
      <c r="I11453">
        <v>20230101</v>
      </c>
      <c r="J11453" t="s">
        <v>11733</v>
      </c>
    </row>
    <row r="11454" spans="1:12" x14ac:dyDescent="0.3">
      <c r="A11454" s="160">
        <v>81246</v>
      </c>
      <c r="B11454" t="s">
        <v>26378</v>
      </c>
      <c r="C11454" t="s">
        <v>11732</v>
      </c>
      <c r="D11454">
        <v>0.6</v>
      </c>
      <c r="E11454">
        <v>0</v>
      </c>
      <c r="F11454">
        <f t="shared" si="204"/>
        <v>0.6</v>
      </c>
      <c r="I11454">
        <v>20230101</v>
      </c>
      <c r="J11454" t="s">
        <v>11733</v>
      </c>
    </row>
    <row r="11455" spans="1:12" x14ac:dyDescent="0.3">
      <c r="A11455" s="160">
        <v>81248</v>
      </c>
      <c r="B11455" t="s">
        <v>26379</v>
      </c>
      <c r="C11455" t="s">
        <v>11732</v>
      </c>
      <c r="D11455">
        <v>0.6</v>
      </c>
      <c r="E11455">
        <v>0</v>
      </c>
      <c r="F11455">
        <f t="shared" si="204"/>
        <v>0.6</v>
      </c>
      <c r="I11455">
        <v>20230101</v>
      </c>
      <c r="J11455" t="s">
        <v>11742</v>
      </c>
    </row>
    <row r="11456" spans="1:12" x14ac:dyDescent="0.3">
      <c r="A11456" s="160">
        <v>81257</v>
      </c>
      <c r="B11456" t="s">
        <v>26380</v>
      </c>
      <c r="C11456" t="s">
        <v>11704</v>
      </c>
      <c r="D11456">
        <v>0.6</v>
      </c>
      <c r="E11456">
        <v>0</v>
      </c>
      <c r="F11456">
        <f t="shared" si="204"/>
        <v>0.6</v>
      </c>
      <c r="I11456">
        <v>20081101</v>
      </c>
      <c r="J11456" t="s">
        <v>11725</v>
      </c>
      <c r="K11456" t="s">
        <v>11735</v>
      </c>
    </row>
    <row r="11457" spans="1:14" x14ac:dyDescent="0.3">
      <c r="A11457" s="160">
        <v>81272</v>
      </c>
      <c r="B11457" t="s">
        <v>20259</v>
      </c>
      <c r="C11457" t="s">
        <v>11732</v>
      </c>
      <c r="D11457">
        <v>0.6</v>
      </c>
      <c r="E11457">
        <v>0</v>
      </c>
      <c r="F11457">
        <f t="shared" si="204"/>
        <v>0.6</v>
      </c>
      <c r="I11457">
        <v>20230101</v>
      </c>
      <c r="J11457" t="s">
        <v>11739</v>
      </c>
    </row>
    <row r="11458" spans="1:14" x14ac:dyDescent="0.3">
      <c r="A11458" s="160">
        <v>81274</v>
      </c>
      <c r="B11458" t="s">
        <v>26381</v>
      </c>
      <c r="C11458" t="s">
        <v>11704</v>
      </c>
      <c r="D11458">
        <v>0.6</v>
      </c>
      <c r="E11458">
        <v>0</v>
      </c>
      <c r="F11458">
        <f t="shared" si="204"/>
        <v>0.6</v>
      </c>
      <c r="I11458">
        <v>20081101</v>
      </c>
      <c r="J11458" t="s">
        <v>11745</v>
      </c>
    </row>
    <row r="11459" spans="1:14" x14ac:dyDescent="0.3">
      <c r="A11459" s="160">
        <v>81276</v>
      </c>
      <c r="B11459" t="s">
        <v>26382</v>
      </c>
      <c r="C11459" t="s">
        <v>11732</v>
      </c>
      <c r="D11459">
        <v>0.6</v>
      </c>
      <c r="E11459">
        <v>0</v>
      </c>
      <c r="F11459">
        <f t="shared" si="204"/>
        <v>0.6</v>
      </c>
      <c r="I11459">
        <v>20230101</v>
      </c>
      <c r="J11459" t="s">
        <v>11739</v>
      </c>
    </row>
    <row r="11460" spans="1:14" x14ac:dyDescent="0.3">
      <c r="A11460" s="160">
        <v>81279</v>
      </c>
      <c r="B11460" t="s">
        <v>26383</v>
      </c>
      <c r="C11460" t="s">
        <v>11732</v>
      </c>
      <c r="D11460">
        <v>0.6</v>
      </c>
      <c r="E11460">
        <v>0</v>
      </c>
      <c r="F11460">
        <f t="shared" si="204"/>
        <v>0.6</v>
      </c>
      <c r="I11460">
        <v>20230101</v>
      </c>
      <c r="J11460" t="s">
        <v>11739</v>
      </c>
    </row>
    <row r="11461" spans="1:14" x14ac:dyDescent="0.3">
      <c r="A11461" s="160">
        <v>81283</v>
      </c>
      <c r="B11461" t="s">
        <v>26384</v>
      </c>
      <c r="C11461" t="s">
        <v>11732</v>
      </c>
      <c r="D11461">
        <v>0.6</v>
      </c>
      <c r="E11461">
        <v>0</v>
      </c>
      <c r="F11461">
        <f t="shared" si="204"/>
        <v>0.6</v>
      </c>
      <c r="I11461">
        <v>20230101</v>
      </c>
      <c r="J11461" t="s">
        <v>11736</v>
      </c>
    </row>
    <row r="11462" spans="1:14" x14ac:dyDescent="0.3">
      <c r="A11462" s="160">
        <v>81284</v>
      </c>
      <c r="B11462" t="s">
        <v>26385</v>
      </c>
      <c r="C11462" t="s">
        <v>11704</v>
      </c>
      <c r="D11462">
        <v>0.6</v>
      </c>
      <c r="E11462">
        <v>0</v>
      </c>
      <c r="F11462">
        <f t="shared" si="204"/>
        <v>0.6</v>
      </c>
      <c r="I11462">
        <v>20081101</v>
      </c>
      <c r="J11462" t="s">
        <v>11713</v>
      </c>
      <c r="K11462" t="s">
        <v>11715</v>
      </c>
      <c r="L11462" t="s">
        <v>11783</v>
      </c>
      <c r="M11462" t="s">
        <v>11725</v>
      </c>
      <c r="N11462" t="s">
        <v>11745</v>
      </c>
    </row>
    <row r="11463" spans="1:14" x14ac:dyDescent="0.3">
      <c r="A11463" s="160">
        <v>81293</v>
      </c>
      <c r="B11463" t="s">
        <v>18976</v>
      </c>
      <c r="C11463" t="s">
        <v>11732</v>
      </c>
      <c r="D11463">
        <v>0.6</v>
      </c>
      <c r="E11463">
        <v>0</v>
      </c>
      <c r="F11463">
        <f t="shared" ref="F11463:F11526" si="205">D11463+E11463</f>
        <v>0.6</v>
      </c>
      <c r="I11463">
        <v>20230101</v>
      </c>
      <c r="J11463" t="s">
        <v>11739</v>
      </c>
    </row>
    <row r="11464" spans="1:14" x14ac:dyDescent="0.3">
      <c r="A11464" s="160">
        <v>81294</v>
      </c>
      <c r="B11464" t="s">
        <v>26386</v>
      </c>
      <c r="C11464" t="s">
        <v>11732</v>
      </c>
      <c r="D11464">
        <v>0.6</v>
      </c>
      <c r="E11464">
        <v>0</v>
      </c>
      <c r="F11464">
        <f t="shared" si="205"/>
        <v>0.6</v>
      </c>
      <c r="I11464">
        <v>20230101</v>
      </c>
      <c r="J11464" t="s">
        <v>11736</v>
      </c>
      <c r="K11464" t="s">
        <v>11763</v>
      </c>
    </row>
    <row r="11465" spans="1:14" x14ac:dyDescent="0.3">
      <c r="A11465" s="160">
        <v>81297</v>
      </c>
      <c r="B11465" t="s">
        <v>26387</v>
      </c>
      <c r="C11465" t="s">
        <v>11704</v>
      </c>
      <c r="D11465">
        <v>0.6</v>
      </c>
      <c r="E11465">
        <v>0</v>
      </c>
      <c r="F11465">
        <f t="shared" si="205"/>
        <v>0.6</v>
      </c>
      <c r="I11465">
        <v>20081101</v>
      </c>
      <c r="J11465" t="s">
        <v>11714</v>
      </c>
      <c r="K11465" t="s">
        <v>11740</v>
      </c>
    </row>
    <row r="11466" spans="1:14" x14ac:dyDescent="0.3">
      <c r="A11466" s="160">
        <v>81300</v>
      </c>
      <c r="B11466" t="s">
        <v>26388</v>
      </c>
      <c r="C11466" t="s">
        <v>11732</v>
      </c>
      <c r="D11466">
        <v>0.6</v>
      </c>
      <c r="E11466">
        <v>0</v>
      </c>
      <c r="F11466">
        <f t="shared" si="205"/>
        <v>0.6</v>
      </c>
      <c r="I11466">
        <v>20230101</v>
      </c>
      <c r="J11466" t="s">
        <v>11734</v>
      </c>
    </row>
    <row r="11467" spans="1:14" x14ac:dyDescent="0.3">
      <c r="A11467" s="160">
        <v>81307</v>
      </c>
      <c r="B11467" t="s">
        <v>26389</v>
      </c>
      <c r="C11467" t="s">
        <v>11699</v>
      </c>
      <c r="D11467">
        <v>0.6</v>
      </c>
      <c r="E11467">
        <v>0</v>
      </c>
      <c r="F11467">
        <f t="shared" si="205"/>
        <v>0.6</v>
      </c>
      <c r="I11467">
        <v>20050101</v>
      </c>
      <c r="J11467" t="s">
        <v>11771</v>
      </c>
    </row>
    <row r="11468" spans="1:14" x14ac:dyDescent="0.3">
      <c r="A11468" s="160">
        <v>81313</v>
      </c>
      <c r="B11468" t="s">
        <v>26390</v>
      </c>
      <c r="C11468" t="s">
        <v>11732</v>
      </c>
      <c r="D11468">
        <v>0.6</v>
      </c>
      <c r="E11468">
        <v>0</v>
      </c>
      <c r="F11468">
        <f t="shared" si="205"/>
        <v>0.6</v>
      </c>
      <c r="I11468">
        <v>20230101</v>
      </c>
      <c r="J11468" t="s">
        <v>11733</v>
      </c>
    </row>
    <row r="11469" spans="1:14" x14ac:dyDescent="0.3">
      <c r="A11469" s="160">
        <v>81316</v>
      </c>
      <c r="B11469" t="s">
        <v>26391</v>
      </c>
      <c r="C11469" t="s">
        <v>11732</v>
      </c>
      <c r="D11469">
        <v>0.6</v>
      </c>
      <c r="E11469">
        <v>0</v>
      </c>
      <c r="F11469">
        <f t="shared" si="205"/>
        <v>0.6</v>
      </c>
      <c r="I11469">
        <v>20230101</v>
      </c>
      <c r="J11469" t="s">
        <v>11733</v>
      </c>
    </row>
    <row r="11470" spans="1:14" x14ac:dyDescent="0.3">
      <c r="A11470" s="160">
        <v>81321</v>
      </c>
      <c r="B11470" t="s">
        <v>26392</v>
      </c>
      <c r="C11470" t="s">
        <v>11699</v>
      </c>
      <c r="D11470">
        <v>0.6</v>
      </c>
      <c r="E11470">
        <v>0</v>
      </c>
      <c r="F11470">
        <f t="shared" si="205"/>
        <v>0.6</v>
      </c>
      <c r="I11470">
        <v>20170701</v>
      </c>
      <c r="J11470" t="s">
        <v>11782</v>
      </c>
    </row>
    <row r="11471" spans="1:14" x14ac:dyDescent="0.3">
      <c r="A11471" s="160">
        <v>82001</v>
      </c>
      <c r="B11471" t="s">
        <v>26393</v>
      </c>
      <c r="C11471" t="s">
        <v>11784</v>
      </c>
      <c r="D11471">
        <v>0.8</v>
      </c>
      <c r="E11471">
        <v>0</v>
      </c>
      <c r="F11471">
        <f t="shared" si="205"/>
        <v>0.8</v>
      </c>
      <c r="I11471">
        <v>20180101</v>
      </c>
      <c r="J11471" t="s">
        <v>11785</v>
      </c>
    </row>
    <row r="11472" spans="1:14" x14ac:dyDescent="0.3">
      <c r="A11472" s="160">
        <v>82025</v>
      </c>
      <c r="B11472" t="s">
        <v>26394</v>
      </c>
      <c r="C11472" t="s">
        <v>11784</v>
      </c>
      <c r="D11472">
        <v>0.8</v>
      </c>
      <c r="E11472">
        <v>0</v>
      </c>
      <c r="F11472">
        <f t="shared" si="205"/>
        <v>0.8</v>
      </c>
      <c r="I11472">
        <v>20180101</v>
      </c>
      <c r="J11472" t="s">
        <v>11786</v>
      </c>
    </row>
    <row r="11473" spans="1:42" x14ac:dyDescent="0.3">
      <c r="A11473" s="160">
        <v>82044</v>
      </c>
      <c r="B11473" t="s">
        <v>26395</v>
      </c>
      <c r="C11473" t="s">
        <v>11784</v>
      </c>
      <c r="D11473">
        <v>0.8</v>
      </c>
      <c r="E11473">
        <v>0</v>
      </c>
      <c r="F11473">
        <f t="shared" si="205"/>
        <v>0.8</v>
      </c>
      <c r="I11473">
        <v>20180101</v>
      </c>
      <c r="J11473" t="s">
        <v>11787</v>
      </c>
    </row>
    <row r="11474" spans="1:42" x14ac:dyDescent="0.3">
      <c r="A11474" s="160">
        <v>82052</v>
      </c>
      <c r="B11474" t="s">
        <v>26396</v>
      </c>
      <c r="C11474" t="s">
        <v>11784</v>
      </c>
      <c r="D11474">
        <v>0.8</v>
      </c>
      <c r="E11474">
        <v>0</v>
      </c>
      <c r="F11474">
        <f t="shared" si="205"/>
        <v>0.8</v>
      </c>
      <c r="I11474">
        <v>20190701</v>
      </c>
      <c r="J11474" t="s">
        <v>11788</v>
      </c>
    </row>
    <row r="11475" spans="1:42" x14ac:dyDescent="0.3">
      <c r="A11475" s="160">
        <v>82085</v>
      </c>
      <c r="B11475" t="s">
        <v>26397</v>
      </c>
      <c r="C11475" t="s">
        <v>11784</v>
      </c>
      <c r="D11475">
        <v>0.8</v>
      </c>
      <c r="E11475">
        <v>0</v>
      </c>
      <c r="F11475">
        <f t="shared" si="205"/>
        <v>0.8</v>
      </c>
      <c r="I11475">
        <v>20180501</v>
      </c>
      <c r="J11475" t="s">
        <v>11785</v>
      </c>
    </row>
    <row r="11476" spans="1:42" x14ac:dyDescent="0.3">
      <c r="A11476" s="160">
        <v>82090</v>
      </c>
      <c r="B11476" t="s">
        <v>26398</v>
      </c>
      <c r="C11476" t="s">
        <v>11784</v>
      </c>
      <c r="D11476">
        <v>0.8</v>
      </c>
      <c r="E11476">
        <v>0</v>
      </c>
      <c r="F11476">
        <f t="shared" si="205"/>
        <v>0.8</v>
      </c>
      <c r="I11476">
        <v>20180101</v>
      </c>
      <c r="J11476" t="s">
        <v>11789</v>
      </c>
    </row>
    <row r="11477" spans="1:42" x14ac:dyDescent="0.3">
      <c r="A11477" s="160">
        <v>82121</v>
      </c>
      <c r="B11477" t="s">
        <v>26399</v>
      </c>
      <c r="C11477" t="s">
        <v>11784</v>
      </c>
      <c r="D11477">
        <v>0.8</v>
      </c>
      <c r="E11477">
        <v>0</v>
      </c>
      <c r="F11477">
        <f t="shared" si="205"/>
        <v>0.8</v>
      </c>
      <c r="I11477">
        <v>20180101</v>
      </c>
      <c r="J11477" t="s">
        <v>11790</v>
      </c>
      <c r="K11477" t="s">
        <v>11791</v>
      </c>
      <c r="L11477" t="s">
        <v>11792</v>
      </c>
      <c r="M11477" t="s">
        <v>11793</v>
      </c>
      <c r="N11477" t="s">
        <v>11794</v>
      </c>
      <c r="O11477" t="s">
        <v>11795</v>
      </c>
      <c r="P11477" t="s">
        <v>11796</v>
      </c>
      <c r="Q11477" t="s">
        <v>11797</v>
      </c>
      <c r="R11477" t="s">
        <v>11798</v>
      </c>
      <c r="S11477" t="s">
        <v>11799</v>
      </c>
      <c r="T11477" t="s">
        <v>11800</v>
      </c>
      <c r="U11477" t="s">
        <v>11801</v>
      </c>
      <c r="V11477" t="s">
        <v>11802</v>
      </c>
      <c r="W11477" t="s">
        <v>11803</v>
      </c>
      <c r="X11477" t="s">
        <v>11804</v>
      </c>
      <c r="Y11477" t="s">
        <v>11805</v>
      </c>
      <c r="Z11477" t="s">
        <v>11806</v>
      </c>
      <c r="AA11477" t="s">
        <v>11807</v>
      </c>
      <c r="AB11477" t="s">
        <v>11808</v>
      </c>
      <c r="AC11477" t="s">
        <v>11809</v>
      </c>
      <c r="AD11477" t="s">
        <v>11810</v>
      </c>
      <c r="AE11477" t="s">
        <v>11811</v>
      </c>
      <c r="AF11477" t="s">
        <v>11812</v>
      </c>
      <c r="AG11477" t="s">
        <v>11813</v>
      </c>
      <c r="AH11477" t="s">
        <v>11814</v>
      </c>
      <c r="AI11477" t="s">
        <v>11815</v>
      </c>
      <c r="AJ11477" t="s">
        <v>11816</v>
      </c>
      <c r="AK11477" t="s">
        <v>11817</v>
      </c>
      <c r="AL11477" t="s">
        <v>11818</v>
      </c>
      <c r="AM11477" t="s">
        <v>11819</v>
      </c>
      <c r="AN11477" t="s">
        <v>11820</v>
      </c>
      <c r="AO11477" t="s">
        <v>11821</v>
      </c>
      <c r="AP11477" t="s">
        <v>11822</v>
      </c>
    </row>
    <row r="11478" spans="1:42" x14ac:dyDescent="0.3">
      <c r="A11478" s="160">
        <v>82124</v>
      </c>
      <c r="B11478" t="s">
        <v>26400</v>
      </c>
      <c r="C11478" t="s">
        <v>11784</v>
      </c>
      <c r="D11478">
        <v>0.8</v>
      </c>
      <c r="E11478">
        <v>0</v>
      </c>
      <c r="F11478">
        <f t="shared" si="205"/>
        <v>0.8</v>
      </c>
      <c r="I11478">
        <v>20180101</v>
      </c>
      <c r="J11478" t="s">
        <v>11785</v>
      </c>
    </row>
    <row r="11479" spans="1:42" x14ac:dyDescent="0.3">
      <c r="A11479" s="160">
        <v>82150</v>
      </c>
      <c r="B11479" t="s">
        <v>26401</v>
      </c>
      <c r="C11479" t="s">
        <v>11784</v>
      </c>
      <c r="D11479">
        <v>0.8</v>
      </c>
      <c r="E11479">
        <v>0</v>
      </c>
      <c r="F11479">
        <f t="shared" si="205"/>
        <v>0.8</v>
      </c>
      <c r="I11479">
        <v>20180101</v>
      </c>
      <c r="J11479" t="s">
        <v>11787</v>
      </c>
    </row>
    <row r="11480" spans="1:42" x14ac:dyDescent="0.3">
      <c r="A11480" s="160">
        <v>82167</v>
      </c>
      <c r="B11480" t="s">
        <v>26402</v>
      </c>
      <c r="C11480" t="s">
        <v>11784</v>
      </c>
      <c r="D11480">
        <v>0.8</v>
      </c>
      <c r="E11480">
        <v>0</v>
      </c>
      <c r="F11480">
        <f t="shared" si="205"/>
        <v>0.8</v>
      </c>
      <c r="I11480">
        <v>20180101</v>
      </c>
      <c r="J11480" t="s">
        <v>11787</v>
      </c>
    </row>
    <row r="11481" spans="1:42" x14ac:dyDescent="0.3">
      <c r="A11481" s="160">
        <v>82195</v>
      </c>
      <c r="B11481" t="s">
        <v>26403</v>
      </c>
      <c r="C11481" t="s">
        <v>11784</v>
      </c>
      <c r="D11481">
        <v>0.8</v>
      </c>
      <c r="E11481">
        <v>0</v>
      </c>
      <c r="F11481">
        <f t="shared" si="205"/>
        <v>0.8</v>
      </c>
      <c r="I11481">
        <v>20180101</v>
      </c>
      <c r="J11481" t="s">
        <v>11789</v>
      </c>
    </row>
    <row r="11482" spans="1:42" x14ac:dyDescent="0.3">
      <c r="A11482" s="160">
        <v>83001</v>
      </c>
      <c r="B11482" t="s">
        <v>26404</v>
      </c>
      <c r="C11482" t="s">
        <v>11823</v>
      </c>
      <c r="D11482">
        <v>2</v>
      </c>
      <c r="E11482">
        <v>0</v>
      </c>
      <c r="F11482">
        <f t="shared" si="205"/>
        <v>2</v>
      </c>
      <c r="I11482">
        <v>20220701</v>
      </c>
      <c r="J11482" t="s">
        <v>11824</v>
      </c>
      <c r="K11482" t="s">
        <v>11825</v>
      </c>
    </row>
    <row r="11483" spans="1:42" x14ac:dyDescent="0.3">
      <c r="A11483" s="160">
        <v>83003</v>
      </c>
      <c r="B11483" t="s">
        <v>26405</v>
      </c>
      <c r="C11483" t="s">
        <v>11826</v>
      </c>
      <c r="D11483">
        <v>1</v>
      </c>
      <c r="E11483">
        <v>0</v>
      </c>
      <c r="F11483">
        <f t="shared" si="205"/>
        <v>1</v>
      </c>
      <c r="I11483">
        <v>20140701</v>
      </c>
      <c r="J11483" t="s">
        <v>11827</v>
      </c>
    </row>
    <row r="11484" spans="1:42" x14ac:dyDescent="0.3">
      <c r="A11484" s="160">
        <v>83004</v>
      </c>
      <c r="B11484" t="s">
        <v>26406</v>
      </c>
      <c r="C11484" t="s">
        <v>11826</v>
      </c>
      <c r="D11484">
        <v>1</v>
      </c>
      <c r="E11484">
        <v>0</v>
      </c>
      <c r="F11484">
        <f t="shared" si="205"/>
        <v>1</v>
      </c>
      <c r="I11484">
        <v>20140701</v>
      </c>
      <c r="J11484" t="s">
        <v>11828</v>
      </c>
    </row>
    <row r="11485" spans="1:42" x14ac:dyDescent="0.3">
      <c r="A11485" s="160">
        <v>83009</v>
      </c>
      <c r="B11485" t="s">
        <v>26407</v>
      </c>
      <c r="C11485" t="s">
        <v>11829</v>
      </c>
      <c r="D11485">
        <v>0.8</v>
      </c>
      <c r="E11485">
        <v>0</v>
      </c>
      <c r="F11485">
        <f t="shared" si="205"/>
        <v>0.8</v>
      </c>
      <c r="I11485">
        <v>20230701</v>
      </c>
      <c r="J11485" t="s">
        <v>11830</v>
      </c>
    </row>
    <row r="11486" spans="1:42" x14ac:dyDescent="0.3">
      <c r="A11486" s="160">
        <v>83010</v>
      </c>
      <c r="B11486" t="s">
        <v>26408</v>
      </c>
      <c r="C11486" t="s">
        <v>11826</v>
      </c>
      <c r="D11486">
        <v>1</v>
      </c>
      <c r="E11486">
        <v>0</v>
      </c>
      <c r="F11486">
        <f t="shared" si="205"/>
        <v>1</v>
      </c>
      <c r="I11486">
        <v>20240101</v>
      </c>
      <c r="J11486" t="s">
        <v>11831</v>
      </c>
    </row>
    <row r="11487" spans="1:42" x14ac:dyDescent="0.3">
      <c r="A11487" s="160">
        <v>83011</v>
      </c>
      <c r="B11487" t="s">
        <v>26409</v>
      </c>
      <c r="C11487" t="s">
        <v>11826</v>
      </c>
      <c r="D11487">
        <v>1</v>
      </c>
      <c r="E11487">
        <v>0</v>
      </c>
      <c r="F11487">
        <f t="shared" si="205"/>
        <v>1</v>
      </c>
      <c r="I11487">
        <v>20140701</v>
      </c>
      <c r="J11487" t="s">
        <v>11832</v>
      </c>
    </row>
    <row r="11488" spans="1:42" x14ac:dyDescent="0.3">
      <c r="A11488" s="160">
        <v>83013</v>
      </c>
      <c r="B11488" t="s">
        <v>26410</v>
      </c>
      <c r="C11488" t="s">
        <v>11826</v>
      </c>
      <c r="D11488">
        <v>1</v>
      </c>
      <c r="E11488">
        <v>0</v>
      </c>
      <c r="F11488">
        <f t="shared" si="205"/>
        <v>1</v>
      </c>
      <c r="I11488">
        <v>20240101</v>
      </c>
      <c r="J11488" t="s">
        <v>11831</v>
      </c>
    </row>
    <row r="11489" spans="1:27" x14ac:dyDescent="0.3">
      <c r="A11489" s="160">
        <v>83016</v>
      </c>
      <c r="B11489" t="s">
        <v>26411</v>
      </c>
      <c r="C11489" t="s">
        <v>11829</v>
      </c>
      <c r="D11489">
        <v>0.8</v>
      </c>
      <c r="E11489">
        <v>0</v>
      </c>
      <c r="F11489">
        <f t="shared" si="205"/>
        <v>0.8</v>
      </c>
      <c r="I11489">
        <v>20230701</v>
      </c>
      <c r="J11489" t="s">
        <v>11833</v>
      </c>
    </row>
    <row r="11490" spans="1:27" x14ac:dyDescent="0.3">
      <c r="A11490" s="160">
        <v>83027</v>
      </c>
      <c r="B11490" t="s">
        <v>26412</v>
      </c>
      <c r="C11490" t="s">
        <v>11829</v>
      </c>
      <c r="D11490">
        <v>0.8</v>
      </c>
      <c r="E11490">
        <v>0</v>
      </c>
      <c r="F11490">
        <f t="shared" si="205"/>
        <v>0.8</v>
      </c>
      <c r="I11490">
        <v>20230701</v>
      </c>
      <c r="J11490" t="s">
        <v>11834</v>
      </c>
    </row>
    <row r="11491" spans="1:27" x14ac:dyDescent="0.3">
      <c r="A11491" s="160">
        <v>83028</v>
      </c>
      <c r="B11491" t="s">
        <v>26413</v>
      </c>
      <c r="C11491" t="s">
        <v>11826</v>
      </c>
      <c r="D11491">
        <v>1</v>
      </c>
      <c r="E11491">
        <v>0</v>
      </c>
      <c r="F11491">
        <f t="shared" si="205"/>
        <v>1</v>
      </c>
      <c r="I11491">
        <v>20140701</v>
      </c>
      <c r="J11491" t="s">
        <v>11832</v>
      </c>
    </row>
    <row r="11492" spans="1:27" x14ac:dyDescent="0.3">
      <c r="A11492" s="160">
        <v>83034</v>
      </c>
      <c r="B11492" t="s">
        <v>26414</v>
      </c>
      <c r="C11492" t="s">
        <v>11835</v>
      </c>
      <c r="D11492">
        <v>1.75</v>
      </c>
      <c r="E11492">
        <v>0</v>
      </c>
      <c r="F11492">
        <f t="shared" si="205"/>
        <v>1.75</v>
      </c>
      <c r="I11492">
        <v>20050101</v>
      </c>
      <c r="J11492" t="s">
        <v>11836</v>
      </c>
    </row>
    <row r="11493" spans="1:27" x14ac:dyDescent="0.3">
      <c r="A11493" s="160">
        <v>83035</v>
      </c>
      <c r="B11493" t="s">
        <v>15775</v>
      </c>
      <c r="C11493" t="s">
        <v>11829</v>
      </c>
      <c r="D11493">
        <v>0.8</v>
      </c>
      <c r="E11493">
        <v>0</v>
      </c>
      <c r="F11493">
        <f t="shared" si="205"/>
        <v>0.8</v>
      </c>
      <c r="I11493">
        <v>20230701</v>
      </c>
      <c r="J11493" t="s">
        <v>11833</v>
      </c>
    </row>
    <row r="11494" spans="1:27" x14ac:dyDescent="0.3">
      <c r="A11494" s="160">
        <v>83038</v>
      </c>
      <c r="B11494" t="s">
        <v>17563</v>
      </c>
      <c r="C11494" t="s">
        <v>11826</v>
      </c>
      <c r="D11494">
        <v>1</v>
      </c>
      <c r="E11494">
        <v>0</v>
      </c>
      <c r="F11494">
        <f t="shared" si="205"/>
        <v>1</v>
      </c>
      <c r="I11494">
        <v>20140701</v>
      </c>
      <c r="J11494" t="s">
        <v>11837</v>
      </c>
    </row>
    <row r="11495" spans="1:27" x14ac:dyDescent="0.3">
      <c r="A11495" s="160">
        <v>83041</v>
      </c>
      <c r="B11495" t="s">
        <v>26415</v>
      </c>
      <c r="C11495" t="s">
        <v>11826</v>
      </c>
      <c r="D11495">
        <v>1</v>
      </c>
      <c r="E11495">
        <v>0</v>
      </c>
      <c r="F11495">
        <f t="shared" si="205"/>
        <v>1</v>
      </c>
      <c r="I11495">
        <v>20140701</v>
      </c>
      <c r="J11495" t="s">
        <v>11832</v>
      </c>
    </row>
    <row r="11496" spans="1:27" x14ac:dyDescent="0.3">
      <c r="A11496" s="160">
        <v>83044</v>
      </c>
      <c r="B11496" t="s">
        <v>26416</v>
      </c>
      <c r="C11496" t="s">
        <v>11826</v>
      </c>
      <c r="D11496">
        <v>1</v>
      </c>
      <c r="E11496">
        <v>0</v>
      </c>
      <c r="F11496">
        <f t="shared" si="205"/>
        <v>1</v>
      </c>
      <c r="I11496">
        <v>20240101</v>
      </c>
      <c r="J11496" t="s">
        <v>11831</v>
      </c>
    </row>
    <row r="11497" spans="1:27" x14ac:dyDescent="0.3">
      <c r="A11497" s="160">
        <v>83047</v>
      </c>
      <c r="B11497" t="s">
        <v>26417</v>
      </c>
      <c r="C11497" t="s">
        <v>11838</v>
      </c>
      <c r="D11497">
        <v>1.75</v>
      </c>
      <c r="E11497">
        <v>0</v>
      </c>
      <c r="F11497">
        <f t="shared" si="205"/>
        <v>1.75</v>
      </c>
      <c r="I11497">
        <v>20120101</v>
      </c>
      <c r="J11497" t="s">
        <v>11839</v>
      </c>
      <c r="K11497" t="s">
        <v>11840</v>
      </c>
      <c r="L11497" t="s">
        <v>11841</v>
      </c>
    </row>
    <row r="11498" spans="1:27" x14ac:dyDescent="0.3">
      <c r="A11498" s="160">
        <v>83050</v>
      </c>
      <c r="B11498" t="s">
        <v>26418</v>
      </c>
      <c r="C11498" t="s">
        <v>11826</v>
      </c>
      <c r="D11498">
        <v>1</v>
      </c>
      <c r="E11498">
        <v>0</v>
      </c>
      <c r="F11498">
        <f t="shared" si="205"/>
        <v>1</v>
      </c>
      <c r="I11498">
        <v>20140701</v>
      </c>
      <c r="J11498" t="s">
        <v>11842</v>
      </c>
      <c r="K11498" t="s">
        <v>11843</v>
      </c>
      <c r="L11498" t="s">
        <v>11844</v>
      </c>
      <c r="M11498" t="s">
        <v>11845</v>
      </c>
      <c r="N11498" t="s">
        <v>11846</v>
      </c>
      <c r="O11498" t="s">
        <v>11847</v>
      </c>
      <c r="P11498" t="s">
        <v>11848</v>
      </c>
      <c r="Q11498" t="s">
        <v>11849</v>
      </c>
      <c r="R11498" t="s">
        <v>11850</v>
      </c>
      <c r="S11498" t="s">
        <v>11851</v>
      </c>
      <c r="T11498" t="s">
        <v>11852</v>
      </c>
      <c r="U11498" t="s">
        <v>11853</v>
      </c>
      <c r="V11498" t="s">
        <v>11854</v>
      </c>
      <c r="W11498" t="s">
        <v>11837</v>
      </c>
    </row>
    <row r="11499" spans="1:27" x14ac:dyDescent="0.3">
      <c r="A11499" s="160">
        <v>83053</v>
      </c>
      <c r="B11499" t="s">
        <v>26419</v>
      </c>
      <c r="C11499" t="s">
        <v>11829</v>
      </c>
      <c r="D11499">
        <v>0.8</v>
      </c>
      <c r="E11499">
        <v>0</v>
      </c>
      <c r="F11499">
        <f t="shared" si="205"/>
        <v>0.8</v>
      </c>
      <c r="I11499">
        <v>20230701</v>
      </c>
      <c r="J11499" t="s">
        <v>11833</v>
      </c>
    </row>
    <row r="11500" spans="1:27" x14ac:dyDescent="0.3">
      <c r="A11500" s="160">
        <v>83056</v>
      </c>
      <c r="B11500" t="s">
        <v>26420</v>
      </c>
      <c r="C11500" t="s">
        <v>11826</v>
      </c>
      <c r="D11500">
        <v>1</v>
      </c>
      <c r="E11500">
        <v>0</v>
      </c>
      <c r="F11500">
        <f t="shared" si="205"/>
        <v>1</v>
      </c>
      <c r="I11500">
        <v>20140701</v>
      </c>
      <c r="J11500" t="s">
        <v>11832</v>
      </c>
    </row>
    <row r="11501" spans="1:27" x14ac:dyDescent="0.3">
      <c r="A11501" s="160">
        <v>83058</v>
      </c>
      <c r="B11501" t="s">
        <v>26421</v>
      </c>
      <c r="C11501" t="s">
        <v>11826</v>
      </c>
      <c r="D11501">
        <v>1</v>
      </c>
      <c r="E11501">
        <v>0</v>
      </c>
      <c r="F11501">
        <f t="shared" si="205"/>
        <v>1</v>
      </c>
      <c r="I11501">
        <v>20140701</v>
      </c>
      <c r="J11501" t="s">
        <v>11855</v>
      </c>
    </row>
    <row r="11502" spans="1:27" x14ac:dyDescent="0.3">
      <c r="A11502" s="160">
        <v>83061</v>
      </c>
      <c r="B11502" t="s">
        <v>26422</v>
      </c>
      <c r="C11502" t="s">
        <v>11823</v>
      </c>
      <c r="D11502">
        <v>2</v>
      </c>
      <c r="E11502">
        <v>0</v>
      </c>
      <c r="F11502">
        <f t="shared" si="205"/>
        <v>2</v>
      </c>
      <c r="I11502">
        <v>20220701</v>
      </c>
      <c r="J11502" t="s">
        <v>11856</v>
      </c>
      <c r="K11502" t="s">
        <v>11857</v>
      </c>
      <c r="L11502" t="s">
        <v>11858</v>
      </c>
      <c r="M11502" t="s">
        <v>11859</v>
      </c>
      <c r="N11502" t="s">
        <v>11824</v>
      </c>
      <c r="O11502" t="s">
        <v>11825</v>
      </c>
      <c r="P11502" t="s">
        <v>11860</v>
      </c>
      <c r="Q11502" t="s">
        <v>11861</v>
      </c>
      <c r="R11502" t="s">
        <v>11862</v>
      </c>
      <c r="S11502" t="s">
        <v>11863</v>
      </c>
      <c r="T11502" t="s">
        <v>11864</v>
      </c>
      <c r="U11502" t="s">
        <v>11865</v>
      </c>
      <c r="V11502" t="s">
        <v>11866</v>
      </c>
      <c r="W11502" t="s">
        <v>11867</v>
      </c>
      <c r="X11502" t="s">
        <v>11868</v>
      </c>
      <c r="Y11502" t="s">
        <v>11869</v>
      </c>
      <c r="Z11502" t="s">
        <v>11870</v>
      </c>
    </row>
    <row r="11503" spans="1:27" x14ac:dyDescent="0.3">
      <c r="A11503" s="160">
        <v>83062</v>
      </c>
      <c r="B11503" t="s">
        <v>26423</v>
      </c>
      <c r="C11503" t="s">
        <v>11835</v>
      </c>
      <c r="D11503">
        <v>1.75</v>
      </c>
      <c r="E11503">
        <v>0</v>
      </c>
      <c r="F11503">
        <f t="shared" si="205"/>
        <v>1.75</v>
      </c>
      <c r="I11503">
        <v>20020101</v>
      </c>
      <c r="J11503" t="s">
        <v>11871</v>
      </c>
      <c r="K11503" t="s">
        <v>11839</v>
      </c>
      <c r="L11503" t="s">
        <v>11840</v>
      </c>
      <c r="M11503" t="s">
        <v>11872</v>
      </c>
      <c r="N11503" t="s">
        <v>11873</v>
      </c>
      <c r="O11503" t="s">
        <v>11874</v>
      </c>
      <c r="P11503" t="s">
        <v>11875</v>
      </c>
      <c r="Q11503" t="s">
        <v>11876</v>
      </c>
      <c r="R11503" t="s">
        <v>11877</v>
      </c>
      <c r="S11503" t="s">
        <v>11878</v>
      </c>
      <c r="T11503" t="s">
        <v>11879</v>
      </c>
      <c r="U11503" t="s">
        <v>11880</v>
      </c>
      <c r="V11503" t="s">
        <v>11881</v>
      </c>
      <c r="W11503" t="s">
        <v>11882</v>
      </c>
      <c r="X11503" t="s">
        <v>11883</v>
      </c>
      <c r="Y11503" t="s">
        <v>11884</v>
      </c>
      <c r="Z11503" t="s">
        <v>11885</v>
      </c>
      <c r="AA11503" t="s">
        <v>11886</v>
      </c>
    </row>
    <row r="11504" spans="1:27" x14ac:dyDescent="0.3">
      <c r="A11504" s="160">
        <v>83069</v>
      </c>
      <c r="B11504" t="s">
        <v>26424</v>
      </c>
      <c r="C11504" t="s">
        <v>11835</v>
      </c>
      <c r="D11504">
        <v>1.75</v>
      </c>
      <c r="E11504">
        <v>0</v>
      </c>
      <c r="F11504">
        <f t="shared" si="205"/>
        <v>1.75</v>
      </c>
      <c r="I11504">
        <v>20050101</v>
      </c>
      <c r="J11504" t="s">
        <v>11887</v>
      </c>
      <c r="K11504" t="s">
        <v>11888</v>
      </c>
      <c r="L11504" t="s">
        <v>11889</v>
      </c>
      <c r="M11504" t="s">
        <v>11890</v>
      </c>
      <c r="N11504" t="s">
        <v>11891</v>
      </c>
      <c r="O11504" t="s">
        <v>11892</v>
      </c>
      <c r="P11504" t="s">
        <v>11893</v>
      </c>
      <c r="Q11504" t="s">
        <v>11894</v>
      </c>
      <c r="R11504" t="s">
        <v>11895</v>
      </c>
      <c r="S11504" t="s">
        <v>11896</v>
      </c>
      <c r="T11504" t="s">
        <v>11897</v>
      </c>
      <c r="U11504" t="s">
        <v>11898</v>
      </c>
      <c r="V11504" t="s">
        <v>11899</v>
      </c>
    </row>
    <row r="11505" spans="1:19" x14ac:dyDescent="0.3">
      <c r="A11505" s="160">
        <v>83072</v>
      </c>
      <c r="B11505" t="s">
        <v>26425</v>
      </c>
      <c r="C11505" t="s">
        <v>11826</v>
      </c>
      <c r="D11505">
        <v>1</v>
      </c>
      <c r="E11505">
        <v>0</v>
      </c>
      <c r="F11505">
        <f t="shared" si="205"/>
        <v>1</v>
      </c>
      <c r="I11505">
        <v>20140701</v>
      </c>
      <c r="J11505" t="s">
        <v>11900</v>
      </c>
    </row>
    <row r="11506" spans="1:19" x14ac:dyDescent="0.3">
      <c r="A11506" s="160">
        <v>83082</v>
      </c>
      <c r="B11506" t="s">
        <v>19494</v>
      </c>
      <c r="C11506" t="s">
        <v>11826</v>
      </c>
      <c r="D11506">
        <v>1</v>
      </c>
      <c r="E11506">
        <v>0</v>
      </c>
      <c r="F11506">
        <f t="shared" si="205"/>
        <v>1</v>
      </c>
      <c r="I11506">
        <v>20140701</v>
      </c>
      <c r="J11506" t="s">
        <v>11901</v>
      </c>
      <c r="K11506" t="s">
        <v>11902</v>
      </c>
    </row>
    <row r="11507" spans="1:19" x14ac:dyDescent="0.3">
      <c r="A11507" s="160">
        <v>83085</v>
      </c>
      <c r="B11507" t="s">
        <v>26426</v>
      </c>
      <c r="C11507" t="s">
        <v>11826</v>
      </c>
      <c r="D11507">
        <v>1</v>
      </c>
      <c r="E11507">
        <v>0</v>
      </c>
      <c r="F11507">
        <f t="shared" si="205"/>
        <v>1</v>
      </c>
      <c r="I11507">
        <v>20140701</v>
      </c>
      <c r="J11507" t="s">
        <v>11903</v>
      </c>
    </row>
    <row r="11508" spans="1:19" x14ac:dyDescent="0.3">
      <c r="A11508" s="160">
        <v>83086</v>
      </c>
      <c r="B11508" t="s">
        <v>26427</v>
      </c>
      <c r="C11508" t="s">
        <v>11826</v>
      </c>
      <c r="D11508">
        <v>1</v>
      </c>
      <c r="E11508">
        <v>0</v>
      </c>
      <c r="F11508">
        <f t="shared" si="205"/>
        <v>1</v>
      </c>
      <c r="I11508">
        <v>20140701</v>
      </c>
      <c r="J11508" t="s">
        <v>11904</v>
      </c>
    </row>
    <row r="11509" spans="1:19" x14ac:dyDescent="0.3">
      <c r="A11509" s="160">
        <v>83090</v>
      </c>
      <c r="B11509" t="s">
        <v>26428</v>
      </c>
      <c r="C11509" t="s">
        <v>11835</v>
      </c>
      <c r="D11509">
        <v>1.75</v>
      </c>
      <c r="E11509">
        <v>0</v>
      </c>
      <c r="F11509">
        <f t="shared" si="205"/>
        <v>1.75</v>
      </c>
      <c r="I11509">
        <v>20020101</v>
      </c>
      <c r="J11509" t="s">
        <v>11905</v>
      </c>
      <c r="K11509" t="s">
        <v>11906</v>
      </c>
      <c r="L11509" t="s">
        <v>11907</v>
      </c>
      <c r="M11509" t="s">
        <v>11908</v>
      </c>
      <c r="N11509" t="s">
        <v>11909</v>
      </c>
    </row>
    <row r="11510" spans="1:19" x14ac:dyDescent="0.3">
      <c r="A11510" s="160">
        <v>83098</v>
      </c>
      <c r="B11510" t="s">
        <v>26429</v>
      </c>
      <c r="C11510" t="s">
        <v>11835</v>
      </c>
      <c r="D11510">
        <v>1.75</v>
      </c>
      <c r="E11510">
        <v>0</v>
      </c>
      <c r="F11510">
        <f t="shared" si="205"/>
        <v>1.75</v>
      </c>
      <c r="I11510">
        <v>20020101</v>
      </c>
      <c r="J11510" t="s">
        <v>11910</v>
      </c>
    </row>
    <row r="11511" spans="1:19" x14ac:dyDescent="0.3">
      <c r="A11511" s="160">
        <v>83099</v>
      </c>
      <c r="B11511" t="s">
        <v>26430</v>
      </c>
      <c r="C11511" t="s">
        <v>11823</v>
      </c>
      <c r="D11511">
        <v>2</v>
      </c>
      <c r="E11511">
        <v>0</v>
      </c>
      <c r="F11511">
        <f t="shared" si="205"/>
        <v>2</v>
      </c>
      <c r="I11511">
        <v>20220701</v>
      </c>
      <c r="J11511" t="s">
        <v>11911</v>
      </c>
      <c r="K11511" t="s">
        <v>11912</v>
      </c>
      <c r="L11511" t="s">
        <v>11859</v>
      </c>
      <c r="M11511" t="s">
        <v>11913</v>
      </c>
      <c r="N11511" t="s">
        <v>11914</v>
      </c>
    </row>
    <row r="11512" spans="1:19" x14ac:dyDescent="0.3">
      <c r="A11512" s="160">
        <v>83103</v>
      </c>
      <c r="B11512" t="s">
        <v>26431</v>
      </c>
      <c r="C11512" t="s">
        <v>11835</v>
      </c>
      <c r="D11512">
        <v>1.75</v>
      </c>
      <c r="E11512">
        <v>0</v>
      </c>
      <c r="F11512">
        <f t="shared" si="205"/>
        <v>1.75</v>
      </c>
      <c r="I11512">
        <v>20020101</v>
      </c>
      <c r="J11512" t="s">
        <v>11840</v>
      </c>
      <c r="K11512" t="s">
        <v>11915</v>
      </c>
    </row>
    <row r="11513" spans="1:19" x14ac:dyDescent="0.3">
      <c r="A11513" s="160">
        <v>83105</v>
      </c>
      <c r="B11513" t="s">
        <v>26432</v>
      </c>
      <c r="C11513" t="s">
        <v>11829</v>
      </c>
      <c r="D11513">
        <v>0.8</v>
      </c>
      <c r="E11513">
        <v>0</v>
      </c>
      <c r="F11513">
        <f t="shared" si="205"/>
        <v>0.8</v>
      </c>
      <c r="I11513">
        <v>20230701</v>
      </c>
      <c r="J11513" t="s">
        <v>1214</v>
      </c>
    </row>
    <row r="11514" spans="1:19" x14ac:dyDescent="0.3">
      <c r="A11514" s="160">
        <v>83107</v>
      </c>
      <c r="B11514" t="s">
        <v>26433</v>
      </c>
      <c r="C11514" t="s">
        <v>11823</v>
      </c>
      <c r="D11514">
        <v>2</v>
      </c>
      <c r="E11514">
        <v>0</v>
      </c>
      <c r="F11514">
        <f t="shared" si="205"/>
        <v>2</v>
      </c>
      <c r="I11514">
        <v>20220701</v>
      </c>
      <c r="J11514" t="s">
        <v>11857</v>
      </c>
      <c r="K11514" t="s">
        <v>11916</v>
      </c>
      <c r="L11514" t="s">
        <v>11917</v>
      </c>
      <c r="M11514" t="s">
        <v>11918</v>
      </c>
    </row>
    <row r="11515" spans="1:19" x14ac:dyDescent="0.3">
      <c r="A11515" s="160">
        <v>83109</v>
      </c>
      <c r="B11515" t="s">
        <v>26434</v>
      </c>
      <c r="C11515" t="s">
        <v>11826</v>
      </c>
      <c r="D11515">
        <v>1</v>
      </c>
      <c r="E11515">
        <v>0</v>
      </c>
      <c r="F11515">
        <f t="shared" si="205"/>
        <v>1</v>
      </c>
      <c r="I11515">
        <v>20240101</v>
      </c>
      <c r="J11515" t="s">
        <v>11831</v>
      </c>
    </row>
    <row r="11516" spans="1:19" x14ac:dyDescent="0.3">
      <c r="A11516" s="160">
        <v>83112</v>
      </c>
      <c r="B11516" t="s">
        <v>26435</v>
      </c>
      <c r="C11516" t="s">
        <v>11829</v>
      </c>
      <c r="D11516">
        <v>0.8</v>
      </c>
      <c r="E11516">
        <v>0</v>
      </c>
      <c r="F11516">
        <f t="shared" si="205"/>
        <v>0.8</v>
      </c>
      <c r="I11516">
        <v>20230701</v>
      </c>
      <c r="J11516" t="s">
        <v>11919</v>
      </c>
    </row>
    <row r="11517" spans="1:19" x14ac:dyDescent="0.3">
      <c r="A11517" s="160">
        <v>83118</v>
      </c>
      <c r="B11517" t="s">
        <v>26436</v>
      </c>
      <c r="C11517" t="s">
        <v>11823</v>
      </c>
      <c r="D11517">
        <v>2</v>
      </c>
      <c r="E11517">
        <v>0</v>
      </c>
      <c r="F11517">
        <f t="shared" si="205"/>
        <v>2</v>
      </c>
      <c r="I11517">
        <v>20220701</v>
      </c>
      <c r="J11517" t="s">
        <v>11859</v>
      </c>
      <c r="K11517" t="s">
        <v>11920</v>
      </c>
      <c r="L11517" t="s">
        <v>11825</v>
      </c>
      <c r="M11517" t="s">
        <v>11921</v>
      </c>
      <c r="N11517" t="s">
        <v>11922</v>
      </c>
      <c r="O11517" t="s">
        <v>11923</v>
      </c>
      <c r="P11517" t="s">
        <v>11924</v>
      </c>
      <c r="Q11517" t="s">
        <v>11870</v>
      </c>
      <c r="R11517" t="s">
        <v>11925</v>
      </c>
      <c r="S11517" t="s">
        <v>11926</v>
      </c>
    </row>
    <row r="11518" spans="1:19" x14ac:dyDescent="0.3">
      <c r="A11518" s="160">
        <v>83120</v>
      </c>
      <c r="B11518" t="s">
        <v>26437</v>
      </c>
      <c r="C11518" t="s">
        <v>1073</v>
      </c>
      <c r="D11518">
        <v>2</v>
      </c>
      <c r="E11518">
        <v>0</v>
      </c>
      <c r="F11518">
        <f t="shared" si="205"/>
        <v>2</v>
      </c>
      <c r="I11518">
        <v>20170101</v>
      </c>
      <c r="J11518" t="s">
        <v>11927</v>
      </c>
    </row>
    <row r="11519" spans="1:19" x14ac:dyDescent="0.3">
      <c r="A11519" s="160">
        <v>83121</v>
      </c>
      <c r="B11519" t="s">
        <v>26438</v>
      </c>
      <c r="C11519" t="s">
        <v>11826</v>
      </c>
      <c r="D11519">
        <v>1</v>
      </c>
      <c r="E11519">
        <v>0</v>
      </c>
      <c r="F11519">
        <f t="shared" si="205"/>
        <v>1</v>
      </c>
      <c r="I11519">
        <v>20140701</v>
      </c>
      <c r="J11519" t="s">
        <v>11928</v>
      </c>
    </row>
    <row r="11520" spans="1:19" x14ac:dyDescent="0.3">
      <c r="A11520" s="160">
        <v>83123</v>
      </c>
      <c r="B11520" t="s">
        <v>26439</v>
      </c>
      <c r="C11520" t="s">
        <v>11829</v>
      </c>
      <c r="D11520">
        <v>0.8</v>
      </c>
      <c r="E11520">
        <v>0</v>
      </c>
      <c r="F11520">
        <f t="shared" si="205"/>
        <v>0.8</v>
      </c>
      <c r="I11520">
        <v>20230701</v>
      </c>
      <c r="J11520" t="s">
        <v>11929</v>
      </c>
      <c r="K11520" t="s">
        <v>11930</v>
      </c>
      <c r="L11520" t="s">
        <v>11931</v>
      </c>
      <c r="M11520" t="s">
        <v>11932</v>
      </c>
    </row>
    <row r="11521" spans="1:67" x14ac:dyDescent="0.3">
      <c r="A11521" s="160">
        <v>83126</v>
      </c>
      <c r="B11521" t="s">
        <v>26440</v>
      </c>
      <c r="C11521" t="s">
        <v>11835</v>
      </c>
      <c r="D11521">
        <v>1.75</v>
      </c>
      <c r="E11521">
        <v>0</v>
      </c>
      <c r="F11521">
        <f t="shared" si="205"/>
        <v>1.75</v>
      </c>
      <c r="I11521">
        <v>20020101</v>
      </c>
      <c r="J11521" t="s">
        <v>11905</v>
      </c>
      <c r="K11521" t="s">
        <v>11933</v>
      </c>
      <c r="L11521" t="s">
        <v>11892</v>
      </c>
      <c r="M11521" t="s">
        <v>11934</v>
      </c>
      <c r="N11521" t="s">
        <v>11935</v>
      </c>
      <c r="O11521" t="s">
        <v>11936</v>
      </c>
      <c r="P11521" t="s">
        <v>11937</v>
      </c>
      <c r="Q11521" t="s">
        <v>11938</v>
      </c>
      <c r="R11521" t="s">
        <v>11939</v>
      </c>
      <c r="S11521" t="s">
        <v>11940</v>
      </c>
      <c r="T11521" t="s">
        <v>11941</v>
      </c>
      <c r="U11521" t="s">
        <v>11942</v>
      </c>
    </row>
    <row r="11522" spans="1:67" x14ac:dyDescent="0.3">
      <c r="A11522" s="160">
        <v>83127</v>
      </c>
      <c r="B11522" t="s">
        <v>26441</v>
      </c>
      <c r="C11522" t="s">
        <v>11829</v>
      </c>
      <c r="D11522">
        <v>0.8</v>
      </c>
      <c r="E11522">
        <v>0</v>
      </c>
      <c r="F11522">
        <f t="shared" si="205"/>
        <v>0.8</v>
      </c>
      <c r="I11522">
        <v>20230701</v>
      </c>
      <c r="J11522" t="s">
        <v>11943</v>
      </c>
      <c r="K11522" t="s">
        <v>11944</v>
      </c>
    </row>
    <row r="11523" spans="1:67" x14ac:dyDescent="0.3">
      <c r="A11523" s="160">
        <v>83128</v>
      </c>
      <c r="B11523" t="s">
        <v>26442</v>
      </c>
      <c r="C11523" t="s">
        <v>11826</v>
      </c>
      <c r="D11523">
        <v>1</v>
      </c>
      <c r="E11523">
        <v>0</v>
      </c>
      <c r="F11523">
        <f t="shared" si="205"/>
        <v>1</v>
      </c>
      <c r="I11523">
        <v>20140701</v>
      </c>
      <c r="J11523" t="s">
        <v>11928</v>
      </c>
    </row>
    <row r="11524" spans="1:67" x14ac:dyDescent="0.3">
      <c r="A11524" s="160">
        <v>83129</v>
      </c>
      <c r="B11524" t="s">
        <v>26443</v>
      </c>
      <c r="C11524" t="s">
        <v>11835</v>
      </c>
      <c r="D11524">
        <v>1.75</v>
      </c>
      <c r="E11524">
        <v>0</v>
      </c>
      <c r="F11524">
        <f t="shared" si="205"/>
        <v>1.75</v>
      </c>
      <c r="I11524">
        <v>20050101</v>
      </c>
      <c r="J11524" t="s">
        <v>11945</v>
      </c>
      <c r="K11524" t="s">
        <v>11946</v>
      </c>
      <c r="L11524" t="s">
        <v>11905</v>
      </c>
      <c r="M11524" t="s">
        <v>11947</v>
      </c>
      <c r="N11524" t="s">
        <v>11948</v>
      </c>
      <c r="O11524" t="s">
        <v>11949</v>
      </c>
      <c r="P11524" t="s">
        <v>11950</v>
      </c>
      <c r="Q11524" t="s">
        <v>11933</v>
      </c>
      <c r="R11524" t="s">
        <v>11951</v>
      </c>
    </row>
    <row r="11525" spans="1:67" x14ac:dyDescent="0.3">
      <c r="A11525" s="160">
        <v>83134</v>
      </c>
      <c r="B11525" t="s">
        <v>26444</v>
      </c>
      <c r="C11525" t="s">
        <v>11826</v>
      </c>
      <c r="D11525">
        <v>1</v>
      </c>
      <c r="E11525">
        <v>0</v>
      </c>
      <c r="F11525">
        <f t="shared" si="205"/>
        <v>1</v>
      </c>
      <c r="I11525">
        <v>20140701</v>
      </c>
      <c r="J11525" t="s">
        <v>11828</v>
      </c>
    </row>
    <row r="11526" spans="1:67" x14ac:dyDescent="0.3">
      <c r="A11526" s="160">
        <v>83137</v>
      </c>
      <c r="B11526" t="s">
        <v>26445</v>
      </c>
      <c r="C11526" t="s">
        <v>11835</v>
      </c>
      <c r="D11526">
        <v>1.75</v>
      </c>
      <c r="E11526">
        <v>0</v>
      </c>
      <c r="F11526">
        <f t="shared" si="205"/>
        <v>1.75</v>
      </c>
      <c r="I11526">
        <v>20020101</v>
      </c>
      <c r="J11526" t="s">
        <v>11952</v>
      </c>
      <c r="K11526" t="s">
        <v>11839</v>
      </c>
      <c r="L11526" t="s">
        <v>11840</v>
      </c>
      <c r="M11526" t="s">
        <v>11953</v>
      </c>
      <c r="N11526" t="s">
        <v>11954</v>
      </c>
      <c r="O11526" t="s">
        <v>11955</v>
      </c>
      <c r="P11526" t="s">
        <v>11956</v>
      </c>
      <c r="Q11526" t="s">
        <v>11957</v>
      </c>
      <c r="R11526" t="s">
        <v>11958</v>
      </c>
      <c r="S11526" t="s">
        <v>11959</v>
      </c>
      <c r="T11526" t="s">
        <v>11960</v>
      </c>
      <c r="U11526" t="s">
        <v>11961</v>
      </c>
      <c r="V11526" t="s">
        <v>11945</v>
      </c>
      <c r="W11526" t="s">
        <v>11962</v>
      </c>
      <c r="X11526" t="s">
        <v>11963</v>
      </c>
      <c r="Y11526" t="s">
        <v>11964</v>
      </c>
      <c r="Z11526" t="s">
        <v>11965</v>
      </c>
      <c r="AA11526" t="s">
        <v>11966</v>
      </c>
      <c r="AB11526" t="s">
        <v>11967</v>
      </c>
      <c r="AC11526" t="s">
        <v>11968</v>
      </c>
      <c r="AD11526" t="s">
        <v>11969</v>
      </c>
      <c r="AE11526" t="s">
        <v>11970</v>
      </c>
      <c r="AF11526" t="s">
        <v>11971</v>
      </c>
      <c r="AG11526" t="s">
        <v>11972</v>
      </c>
      <c r="AH11526" t="s">
        <v>11973</v>
      </c>
      <c r="AI11526" t="s">
        <v>11974</v>
      </c>
      <c r="AJ11526" t="s">
        <v>11975</v>
      </c>
      <c r="AK11526" t="s">
        <v>11976</v>
      </c>
      <c r="AL11526" t="s">
        <v>11877</v>
      </c>
      <c r="AM11526" t="s">
        <v>11977</v>
      </c>
      <c r="AN11526" t="s">
        <v>11978</v>
      </c>
      <c r="AO11526" t="s">
        <v>11979</v>
      </c>
      <c r="AP11526" t="s">
        <v>11980</v>
      </c>
      <c r="AQ11526" t="s">
        <v>11981</v>
      </c>
      <c r="AR11526" t="s">
        <v>11982</v>
      </c>
      <c r="AS11526" t="s">
        <v>11983</v>
      </c>
      <c r="AT11526" t="s">
        <v>11984</v>
      </c>
      <c r="AU11526" t="s">
        <v>11985</v>
      </c>
      <c r="AV11526" t="s">
        <v>11986</v>
      </c>
      <c r="AW11526" t="s">
        <v>11987</v>
      </c>
      <c r="AX11526" t="s">
        <v>11915</v>
      </c>
      <c r="AY11526" t="s">
        <v>11988</v>
      </c>
    </row>
    <row r="11527" spans="1:67" x14ac:dyDescent="0.3">
      <c r="A11527" s="160">
        <v>83141</v>
      </c>
      <c r="B11527" t="s">
        <v>26446</v>
      </c>
      <c r="C11527" t="s">
        <v>11826</v>
      </c>
      <c r="D11527">
        <v>1</v>
      </c>
      <c r="E11527">
        <v>0</v>
      </c>
      <c r="F11527">
        <f t="shared" ref="F11527:F11590" si="206">D11527+E11527</f>
        <v>1</v>
      </c>
      <c r="I11527">
        <v>20140701</v>
      </c>
      <c r="J11527" t="s">
        <v>11844</v>
      </c>
      <c r="K11527" t="s">
        <v>11989</v>
      </c>
    </row>
    <row r="11528" spans="1:67" x14ac:dyDescent="0.3">
      <c r="A11528" s="160">
        <v>83144</v>
      </c>
      <c r="B11528" t="s">
        <v>26447</v>
      </c>
      <c r="C11528" t="s">
        <v>11835</v>
      </c>
      <c r="D11528">
        <v>1.75</v>
      </c>
      <c r="E11528">
        <v>0</v>
      </c>
      <c r="F11528">
        <f t="shared" si="206"/>
        <v>1.75</v>
      </c>
      <c r="I11528">
        <v>20020101</v>
      </c>
      <c r="J11528" t="s">
        <v>11839</v>
      </c>
      <c r="K11528" t="s">
        <v>11840</v>
      </c>
      <c r="L11528" t="s">
        <v>11966</v>
      </c>
      <c r="M11528" t="s">
        <v>11972</v>
      </c>
      <c r="N11528" t="s">
        <v>11990</v>
      </c>
      <c r="O11528" t="s">
        <v>11991</v>
      </c>
      <c r="P11528" t="s">
        <v>11992</v>
      </c>
      <c r="Q11528" t="s">
        <v>11993</v>
      </c>
    </row>
    <row r="11529" spans="1:67" x14ac:dyDescent="0.3">
      <c r="A11529" s="160">
        <v>83148</v>
      </c>
      <c r="B11529" t="s">
        <v>26448</v>
      </c>
      <c r="C11529" t="s">
        <v>11826</v>
      </c>
      <c r="D11529">
        <v>1</v>
      </c>
      <c r="E11529">
        <v>0</v>
      </c>
      <c r="F11529">
        <f t="shared" si="206"/>
        <v>1</v>
      </c>
      <c r="I11529">
        <v>20140701</v>
      </c>
      <c r="J11529" t="s">
        <v>11994</v>
      </c>
    </row>
    <row r="11530" spans="1:67" x14ac:dyDescent="0.3">
      <c r="A11530" s="160">
        <v>83150</v>
      </c>
      <c r="B11530" t="s">
        <v>26449</v>
      </c>
      <c r="C11530" t="s">
        <v>422</v>
      </c>
      <c r="D11530">
        <v>0.5</v>
      </c>
      <c r="E11530">
        <v>0</v>
      </c>
      <c r="F11530">
        <f t="shared" si="206"/>
        <v>0.5</v>
      </c>
      <c r="I11530">
        <v>20170101</v>
      </c>
      <c r="J11530" t="s">
        <v>11995</v>
      </c>
    </row>
    <row r="11531" spans="1:67" x14ac:dyDescent="0.3">
      <c r="A11531" s="160">
        <v>83153</v>
      </c>
      <c r="B11531" t="s">
        <v>26450</v>
      </c>
      <c r="C11531" t="s">
        <v>11835</v>
      </c>
      <c r="D11531">
        <v>1.75</v>
      </c>
      <c r="E11531">
        <v>0</v>
      </c>
      <c r="F11531">
        <f t="shared" si="206"/>
        <v>1.75</v>
      </c>
      <c r="I11531">
        <v>20020101</v>
      </c>
      <c r="J11531" t="s">
        <v>11996</v>
      </c>
    </row>
    <row r="11532" spans="1:67" x14ac:dyDescent="0.3">
      <c r="A11532" s="160">
        <v>83154</v>
      </c>
      <c r="B11532" t="s">
        <v>26451</v>
      </c>
      <c r="C11532" t="s">
        <v>11826</v>
      </c>
      <c r="D11532">
        <v>1</v>
      </c>
      <c r="E11532">
        <v>0</v>
      </c>
      <c r="F11532">
        <f t="shared" si="206"/>
        <v>1</v>
      </c>
      <c r="I11532">
        <v>20140701</v>
      </c>
      <c r="J11532" t="s">
        <v>11900</v>
      </c>
    </row>
    <row r="11533" spans="1:67" x14ac:dyDescent="0.3">
      <c r="A11533" s="160">
        <v>84001</v>
      </c>
      <c r="B11533" t="s">
        <v>26452</v>
      </c>
      <c r="C11533" t="s">
        <v>11997</v>
      </c>
      <c r="D11533">
        <v>0.5</v>
      </c>
      <c r="E11533">
        <v>0</v>
      </c>
      <c r="F11533">
        <f t="shared" si="206"/>
        <v>0.5</v>
      </c>
      <c r="I11533">
        <v>20220101</v>
      </c>
      <c r="J11533" t="s">
        <v>11998</v>
      </c>
    </row>
    <row r="11534" spans="1:67" x14ac:dyDescent="0.3">
      <c r="A11534" s="160">
        <v>84003</v>
      </c>
      <c r="B11534" t="s">
        <v>26453</v>
      </c>
      <c r="C11534" t="s">
        <v>11999</v>
      </c>
      <c r="D11534">
        <v>0.4</v>
      </c>
      <c r="E11534">
        <v>0</v>
      </c>
      <c r="F11534">
        <f t="shared" si="206"/>
        <v>0.4</v>
      </c>
      <c r="I11534">
        <v>20210101</v>
      </c>
      <c r="J11534" t="s">
        <v>12000</v>
      </c>
      <c r="K11534" t="s">
        <v>12001</v>
      </c>
      <c r="L11534" t="s">
        <v>12002</v>
      </c>
      <c r="M11534" t="s">
        <v>12003</v>
      </c>
      <c r="N11534" t="s">
        <v>12004</v>
      </c>
      <c r="O11534" t="s">
        <v>12005</v>
      </c>
    </row>
    <row r="11535" spans="1:67" x14ac:dyDescent="0.3">
      <c r="A11535" s="160">
        <v>84004</v>
      </c>
      <c r="B11535" t="s">
        <v>26454</v>
      </c>
      <c r="C11535" t="s">
        <v>12006</v>
      </c>
      <c r="D11535">
        <v>0.6</v>
      </c>
      <c r="E11535">
        <v>0</v>
      </c>
      <c r="F11535">
        <f t="shared" si="206"/>
        <v>0.6</v>
      </c>
      <c r="I11535">
        <v>20130701</v>
      </c>
      <c r="J11535" t="s">
        <v>12007</v>
      </c>
    </row>
    <row r="11536" spans="1:67" x14ac:dyDescent="0.3">
      <c r="A11536" s="160">
        <v>84007</v>
      </c>
      <c r="B11536" t="s">
        <v>26455</v>
      </c>
      <c r="C11536" t="s">
        <v>3173</v>
      </c>
      <c r="D11536">
        <v>2</v>
      </c>
      <c r="E11536">
        <v>0</v>
      </c>
      <c r="F11536">
        <f t="shared" si="206"/>
        <v>2</v>
      </c>
      <c r="I11536">
        <v>20180701</v>
      </c>
      <c r="J11536" t="s">
        <v>12008</v>
      </c>
      <c r="K11536" t="s">
        <v>12009</v>
      </c>
      <c r="L11536" t="s">
        <v>12010</v>
      </c>
      <c r="M11536" t="s">
        <v>12011</v>
      </c>
      <c r="N11536" t="s">
        <v>12012</v>
      </c>
      <c r="O11536" t="s">
        <v>12013</v>
      </c>
      <c r="P11536" t="s">
        <v>12014</v>
      </c>
      <c r="Q11536" t="s">
        <v>12015</v>
      </c>
      <c r="R11536" t="s">
        <v>12016</v>
      </c>
      <c r="S11536" t="s">
        <v>12017</v>
      </c>
      <c r="T11536" t="s">
        <v>12018</v>
      </c>
      <c r="U11536" t="s">
        <v>12019</v>
      </c>
      <c r="V11536" t="s">
        <v>12020</v>
      </c>
      <c r="W11536" t="s">
        <v>12021</v>
      </c>
      <c r="X11536" t="s">
        <v>12022</v>
      </c>
      <c r="Y11536" t="s">
        <v>12023</v>
      </c>
      <c r="Z11536" t="s">
        <v>12024</v>
      </c>
      <c r="AA11536" t="s">
        <v>12025</v>
      </c>
      <c r="AB11536" t="s">
        <v>12026</v>
      </c>
      <c r="AC11536" t="s">
        <v>12027</v>
      </c>
      <c r="AD11536" t="s">
        <v>12028</v>
      </c>
      <c r="AE11536" t="s">
        <v>12029</v>
      </c>
      <c r="AF11536" t="s">
        <v>12030</v>
      </c>
      <c r="AG11536" t="s">
        <v>12031</v>
      </c>
      <c r="AH11536" t="s">
        <v>12032</v>
      </c>
      <c r="AI11536" t="s">
        <v>12033</v>
      </c>
      <c r="AJ11536" t="s">
        <v>12034</v>
      </c>
      <c r="AK11536" t="s">
        <v>12035</v>
      </c>
      <c r="AL11536" t="s">
        <v>12036</v>
      </c>
      <c r="AM11536" t="s">
        <v>12037</v>
      </c>
      <c r="AN11536" t="s">
        <v>12038</v>
      </c>
      <c r="AO11536" t="s">
        <v>12039</v>
      </c>
      <c r="AP11536" t="s">
        <v>12040</v>
      </c>
      <c r="AQ11536" t="s">
        <v>12041</v>
      </c>
      <c r="AR11536" t="s">
        <v>12042</v>
      </c>
      <c r="AS11536" t="s">
        <v>12043</v>
      </c>
      <c r="AT11536" t="s">
        <v>12044</v>
      </c>
      <c r="AU11536" t="s">
        <v>12045</v>
      </c>
      <c r="AV11536" t="s">
        <v>12046</v>
      </c>
      <c r="AW11536" t="s">
        <v>12047</v>
      </c>
      <c r="AX11536" t="s">
        <v>12048</v>
      </c>
      <c r="AY11536" t="s">
        <v>12049</v>
      </c>
      <c r="AZ11536" t="s">
        <v>12050</v>
      </c>
      <c r="BA11536" t="s">
        <v>12051</v>
      </c>
      <c r="BB11536" t="s">
        <v>12052</v>
      </c>
      <c r="BC11536" t="s">
        <v>12053</v>
      </c>
      <c r="BD11536" t="s">
        <v>12054</v>
      </c>
      <c r="BE11536" t="s">
        <v>12055</v>
      </c>
      <c r="BF11536" t="s">
        <v>12056</v>
      </c>
      <c r="BG11536" t="s">
        <v>12057</v>
      </c>
      <c r="BH11536" t="s">
        <v>12058</v>
      </c>
      <c r="BI11536" t="s">
        <v>12059</v>
      </c>
      <c r="BJ11536" t="s">
        <v>12060</v>
      </c>
      <c r="BK11536" t="s">
        <v>12061</v>
      </c>
      <c r="BL11536" t="s">
        <v>12062</v>
      </c>
      <c r="BM11536" t="s">
        <v>12063</v>
      </c>
      <c r="BN11536" t="s">
        <v>12064</v>
      </c>
      <c r="BO11536" t="s">
        <v>12065</v>
      </c>
    </row>
    <row r="11537" spans="1:22" x14ac:dyDescent="0.3">
      <c r="A11537" s="160">
        <v>84008</v>
      </c>
      <c r="B11537" t="s">
        <v>26456</v>
      </c>
      <c r="C11537" t="s">
        <v>12006</v>
      </c>
      <c r="D11537">
        <v>0.6</v>
      </c>
      <c r="E11537">
        <v>0</v>
      </c>
      <c r="F11537">
        <f t="shared" si="206"/>
        <v>0.6</v>
      </c>
      <c r="I11537">
        <v>20240101</v>
      </c>
      <c r="J11537" t="s">
        <v>12086</v>
      </c>
    </row>
    <row r="11538" spans="1:22" x14ac:dyDescent="0.3">
      <c r="A11538" s="160">
        <v>84011</v>
      </c>
      <c r="B11538" t="s">
        <v>26457</v>
      </c>
      <c r="C11538" t="s">
        <v>12006</v>
      </c>
      <c r="D11538">
        <v>0.6</v>
      </c>
      <c r="E11538">
        <v>0</v>
      </c>
      <c r="F11538">
        <f t="shared" si="206"/>
        <v>0.6</v>
      </c>
      <c r="I11538">
        <v>20130701</v>
      </c>
      <c r="J11538" t="s">
        <v>11998</v>
      </c>
    </row>
    <row r="11539" spans="1:22" x14ac:dyDescent="0.3">
      <c r="A11539" s="160">
        <v>84012</v>
      </c>
      <c r="B11539" t="s">
        <v>26458</v>
      </c>
      <c r="C11539" t="s">
        <v>12006</v>
      </c>
      <c r="D11539">
        <v>0.6</v>
      </c>
      <c r="E11539">
        <v>0</v>
      </c>
      <c r="F11539">
        <f t="shared" si="206"/>
        <v>0.6</v>
      </c>
      <c r="I11539">
        <v>20130701</v>
      </c>
      <c r="J11539" t="s">
        <v>12087</v>
      </c>
    </row>
    <row r="11540" spans="1:22" x14ac:dyDescent="0.3">
      <c r="A11540" s="160">
        <v>84013</v>
      </c>
      <c r="B11540" t="s">
        <v>26459</v>
      </c>
      <c r="C11540" t="s">
        <v>12088</v>
      </c>
      <c r="D11540">
        <v>0.55000000000000004</v>
      </c>
      <c r="E11540">
        <v>0</v>
      </c>
      <c r="F11540">
        <f t="shared" si="206"/>
        <v>0.55000000000000004</v>
      </c>
      <c r="I11540">
        <v>20240101</v>
      </c>
      <c r="J11540" t="s">
        <v>12089</v>
      </c>
    </row>
    <row r="11541" spans="1:22" x14ac:dyDescent="0.3">
      <c r="A11541" s="160">
        <v>84015</v>
      </c>
      <c r="B11541" t="s">
        <v>26460</v>
      </c>
      <c r="C11541" t="s">
        <v>12006</v>
      </c>
      <c r="D11541">
        <v>0.6</v>
      </c>
      <c r="E11541">
        <v>0</v>
      </c>
      <c r="F11541">
        <f t="shared" si="206"/>
        <v>0.6</v>
      </c>
      <c r="I11541">
        <v>20240101</v>
      </c>
      <c r="J11541" t="s">
        <v>12090</v>
      </c>
    </row>
    <row r="11542" spans="1:22" x14ac:dyDescent="0.3">
      <c r="A11542" s="160">
        <v>84016</v>
      </c>
      <c r="B11542" t="s">
        <v>26461</v>
      </c>
      <c r="C11542" t="s">
        <v>11997</v>
      </c>
      <c r="D11542">
        <v>0.5</v>
      </c>
      <c r="E11542">
        <v>0</v>
      </c>
      <c r="F11542">
        <f t="shared" si="206"/>
        <v>0.5</v>
      </c>
      <c r="I11542">
        <v>20220101</v>
      </c>
      <c r="J11542" t="s">
        <v>12091</v>
      </c>
    </row>
    <row r="11543" spans="1:22" x14ac:dyDescent="0.3">
      <c r="A11543" s="160">
        <v>84017</v>
      </c>
      <c r="B11543" t="s">
        <v>26462</v>
      </c>
      <c r="C11543" t="s">
        <v>12006</v>
      </c>
      <c r="D11543">
        <v>0.6</v>
      </c>
      <c r="E11543">
        <v>0</v>
      </c>
      <c r="F11543">
        <f t="shared" si="206"/>
        <v>0.6</v>
      </c>
      <c r="I11543">
        <v>20130701</v>
      </c>
      <c r="J11543" t="s">
        <v>12092</v>
      </c>
    </row>
    <row r="11544" spans="1:22" x14ac:dyDescent="0.3">
      <c r="A11544" s="160">
        <v>84019</v>
      </c>
      <c r="B11544" t="s">
        <v>26463</v>
      </c>
      <c r="C11544" t="s">
        <v>26464</v>
      </c>
      <c r="D11544">
        <v>0.55000000000000004</v>
      </c>
      <c r="E11544">
        <v>0</v>
      </c>
      <c r="F11544">
        <f t="shared" si="206"/>
        <v>0.55000000000000004</v>
      </c>
      <c r="I11544">
        <v>20230701</v>
      </c>
      <c r="J11544" t="s">
        <v>26465</v>
      </c>
      <c r="K11544" t="s">
        <v>26466</v>
      </c>
      <c r="L11544" t="s">
        <v>26467</v>
      </c>
      <c r="M11544" t="s">
        <v>26468</v>
      </c>
      <c r="N11544" t="s">
        <v>26469</v>
      </c>
      <c r="O11544" t="s">
        <v>26470</v>
      </c>
      <c r="P11544" t="s">
        <v>26471</v>
      </c>
    </row>
    <row r="11545" spans="1:22" x14ac:dyDescent="0.3">
      <c r="A11545" s="160">
        <v>84025</v>
      </c>
      <c r="B11545" t="s">
        <v>26472</v>
      </c>
      <c r="C11545" t="s">
        <v>12088</v>
      </c>
      <c r="D11545">
        <v>0.55000000000000004</v>
      </c>
      <c r="E11545">
        <v>0</v>
      </c>
      <c r="F11545">
        <f t="shared" si="206"/>
        <v>0.55000000000000004</v>
      </c>
      <c r="I11545">
        <v>20180101</v>
      </c>
      <c r="J11545" t="s">
        <v>12089</v>
      </c>
    </row>
    <row r="11546" spans="1:22" x14ac:dyDescent="0.3">
      <c r="A11546" s="160">
        <v>84027</v>
      </c>
      <c r="B11546" t="s">
        <v>26473</v>
      </c>
      <c r="C11546" t="s">
        <v>12093</v>
      </c>
      <c r="D11546">
        <v>0.5</v>
      </c>
      <c r="E11546">
        <v>0</v>
      </c>
      <c r="F11546">
        <f t="shared" si="206"/>
        <v>0.5</v>
      </c>
      <c r="I11546">
        <v>20220101</v>
      </c>
      <c r="J11546" t="s">
        <v>12094</v>
      </c>
    </row>
    <row r="11547" spans="1:22" x14ac:dyDescent="0.3">
      <c r="A11547" s="160">
        <v>84030</v>
      </c>
      <c r="B11547" t="s">
        <v>26474</v>
      </c>
      <c r="C11547" t="s">
        <v>12006</v>
      </c>
      <c r="D11547">
        <v>0.6</v>
      </c>
      <c r="E11547">
        <v>0</v>
      </c>
      <c r="F11547">
        <f t="shared" si="206"/>
        <v>0.6</v>
      </c>
      <c r="I11547">
        <v>20130701</v>
      </c>
      <c r="J11547" t="s">
        <v>12086</v>
      </c>
    </row>
    <row r="11548" spans="1:22" x14ac:dyDescent="0.3">
      <c r="A11548" s="160">
        <v>84031</v>
      </c>
      <c r="B11548" t="s">
        <v>26475</v>
      </c>
      <c r="C11548" t="s">
        <v>12006</v>
      </c>
      <c r="D11548">
        <v>0.6</v>
      </c>
      <c r="E11548">
        <v>0</v>
      </c>
      <c r="F11548">
        <f t="shared" si="206"/>
        <v>0.6</v>
      </c>
      <c r="I11548">
        <v>20130701</v>
      </c>
      <c r="J11548" t="s">
        <v>12095</v>
      </c>
      <c r="K11548" t="s">
        <v>12096</v>
      </c>
      <c r="L11548" t="s">
        <v>12097</v>
      </c>
      <c r="M11548" t="s">
        <v>12098</v>
      </c>
      <c r="N11548" t="s">
        <v>12099</v>
      </c>
      <c r="O11548" t="s">
        <v>12100</v>
      </c>
      <c r="P11548" t="s">
        <v>12101</v>
      </c>
      <c r="Q11548" t="s">
        <v>12102</v>
      </c>
      <c r="R11548" t="s">
        <v>12103</v>
      </c>
    </row>
    <row r="11549" spans="1:22" x14ac:dyDescent="0.3">
      <c r="A11549" s="160">
        <v>84034</v>
      </c>
      <c r="B11549" t="s">
        <v>26476</v>
      </c>
      <c r="C11549" t="s">
        <v>3173</v>
      </c>
      <c r="D11549">
        <v>2</v>
      </c>
      <c r="E11549">
        <v>0</v>
      </c>
      <c r="F11549">
        <f t="shared" si="206"/>
        <v>2</v>
      </c>
      <c r="I11549">
        <v>20180701</v>
      </c>
      <c r="J11549" t="s">
        <v>12104</v>
      </c>
      <c r="K11549" t="s">
        <v>12105</v>
      </c>
      <c r="L11549" t="s">
        <v>12106</v>
      </c>
    </row>
    <row r="11550" spans="1:22" x14ac:dyDescent="0.3">
      <c r="A11550" s="160">
        <v>84035</v>
      </c>
      <c r="B11550" t="s">
        <v>26477</v>
      </c>
      <c r="C11550" t="s">
        <v>12088</v>
      </c>
      <c r="D11550">
        <v>0.55000000000000004</v>
      </c>
      <c r="E11550">
        <v>0</v>
      </c>
      <c r="F11550">
        <f t="shared" si="206"/>
        <v>0.55000000000000004</v>
      </c>
      <c r="I11550">
        <v>20160101</v>
      </c>
      <c r="J11550" t="s">
        <v>12107</v>
      </c>
      <c r="K11550" t="s">
        <v>12108</v>
      </c>
      <c r="L11550" t="s">
        <v>12109</v>
      </c>
      <c r="M11550" t="s">
        <v>12110</v>
      </c>
      <c r="N11550" t="s">
        <v>12111</v>
      </c>
      <c r="O11550" t="s">
        <v>12112</v>
      </c>
      <c r="P11550" t="s">
        <v>12113</v>
      </c>
      <c r="Q11550" t="s">
        <v>12114</v>
      </c>
      <c r="R11550" t="s">
        <v>12115</v>
      </c>
      <c r="S11550" t="s">
        <v>12116</v>
      </c>
      <c r="T11550" t="s">
        <v>12117</v>
      </c>
      <c r="U11550" t="s">
        <v>12118</v>
      </c>
      <c r="V11550" t="s">
        <v>12119</v>
      </c>
    </row>
    <row r="11551" spans="1:22" x14ac:dyDescent="0.3">
      <c r="A11551" s="160">
        <v>84037</v>
      </c>
      <c r="B11551" t="s">
        <v>26478</v>
      </c>
      <c r="C11551" t="s">
        <v>12093</v>
      </c>
      <c r="D11551">
        <v>0.5</v>
      </c>
      <c r="E11551">
        <v>0</v>
      </c>
      <c r="F11551">
        <f t="shared" si="206"/>
        <v>0.5</v>
      </c>
      <c r="I11551">
        <v>20220101</v>
      </c>
      <c r="J11551" t="s">
        <v>12120</v>
      </c>
      <c r="K11551" t="s">
        <v>12121</v>
      </c>
      <c r="L11551" t="s">
        <v>12122</v>
      </c>
    </row>
    <row r="11552" spans="1:22" x14ac:dyDescent="0.3">
      <c r="A11552" s="160">
        <v>84038</v>
      </c>
      <c r="B11552" t="s">
        <v>26479</v>
      </c>
      <c r="C11552" t="s">
        <v>12088</v>
      </c>
      <c r="D11552">
        <v>0.55000000000000004</v>
      </c>
      <c r="E11552">
        <v>0</v>
      </c>
      <c r="F11552">
        <f t="shared" si="206"/>
        <v>0.55000000000000004</v>
      </c>
      <c r="I11552">
        <v>20180101</v>
      </c>
      <c r="J11552" t="s">
        <v>12112</v>
      </c>
      <c r="K11552" t="s">
        <v>12123</v>
      </c>
    </row>
    <row r="11553" spans="1:13" x14ac:dyDescent="0.3">
      <c r="A11553" s="160">
        <v>84039</v>
      </c>
      <c r="B11553" t="s">
        <v>26480</v>
      </c>
      <c r="C11553" t="s">
        <v>12093</v>
      </c>
      <c r="D11553">
        <v>0.5</v>
      </c>
      <c r="E11553">
        <v>0</v>
      </c>
      <c r="F11553">
        <f t="shared" si="206"/>
        <v>0.5</v>
      </c>
      <c r="I11553">
        <v>20220101</v>
      </c>
      <c r="J11553" t="s">
        <v>12124</v>
      </c>
    </row>
    <row r="11554" spans="1:13" x14ac:dyDescent="0.3">
      <c r="A11554" s="160">
        <v>84041</v>
      </c>
      <c r="B11554" t="s">
        <v>26481</v>
      </c>
      <c r="C11554" t="s">
        <v>12006</v>
      </c>
      <c r="D11554">
        <v>0.6</v>
      </c>
      <c r="E11554">
        <v>0</v>
      </c>
      <c r="F11554">
        <f t="shared" si="206"/>
        <v>0.6</v>
      </c>
      <c r="I11554">
        <v>20130701</v>
      </c>
      <c r="J11554" t="s">
        <v>12092</v>
      </c>
    </row>
    <row r="11555" spans="1:13" x14ac:dyDescent="0.3">
      <c r="A11555" s="160">
        <v>84043</v>
      </c>
      <c r="B11555" t="s">
        <v>26482</v>
      </c>
      <c r="C11555" t="s">
        <v>3173</v>
      </c>
      <c r="D11555">
        <v>2</v>
      </c>
      <c r="E11555">
        <v>0</v>
      </c>
      <c r="F11555">
        <f t="shared" si="206"/>
        <v>2</v>
      </c>
      <c r="I11555">
        <v>20180701</v>
      </c>
      <c r="J11555" t="s">
        <v>12125</v>
      </c>
      <c r="K11555" t="s">
        <v>12126</v>
      </c>
      <c r="L11555" t="s">
        <v>12105</v>
      </c>
      <c r="M11555" t="s">
        <v>12127</v>
      </c>
    </row>
    <row r="11556" spans="1:13" x14ac:dyDescent="0.3">
      <c r="A11556" s="160">
        <v>84046</v>
      </c>
      <c r="B11556" t="s">
        <v>26483</v>
      </c>
      <c r="C11556" t="s">
        <v>12006</v>
      </c>
      <c r="D11556">
        <v>0.6</v>
      </c>
      <c r="E11556">
        <v>0</v>
      </c>
      <c r="F11556">
        <f t="shared" si="206"/>
        <v>0.6</v>
      </c>
      <c r="I11556">
        <v>20130701</v>
      </c>
      <c r="J11556" t="s">
        <v>12092</v>
      </c>
    </row>
    <row r="11557" spans="1:13" x14ac:dyDescent="0.3">
      <c r="A11557" s="160">
        <v>84049</v>
      </c>
      <c r="B11557" t="s">
        <v>26484</v>
      </c>
      <c r="C11557" t="s">
        <v>12006</v>
      </c>
      <c r="D11557">
        <v>0.6</v>
      </c>
      <c r="E11557">
        <v>0</v>
      </c>
      <c r="F11557">
        <f t="shared" si="206"/>
        <v>0.6</v>
      </c>
      <c r="I11557">
        <v>20130701</v>
      </c>
      <c r="J11557" t="s">
        <v>12087</v>
      </c>
    </row>
    <row r="11558" spans="1:13" x14ac:dyDescent="0.3">
      <c r="A11558" s="160">
        <v>84050</v>
      </c>
      <c r="B11558" t="s">
        <v>26485</v>
      </c>
      <c r="C11558" t="s">
        <v>12088</v>
      </c>
      <c r="D11558">
        <v>0.55000000000000004</v>
      </c>
      <c r="E11558">
        <v>0</v>
      </c>
      <c r="F11558">
        <f t="shared" si="206"/>
        <v>0.55000000000000004</v>
      </c>
      <c r="I11558">
        <v>20240101</v>
      </c>
      <c r="J11558" t="s">
        <v>12089</v>
      </c>
    </row>
    <row r="11559" spans="1:13" x14ac:dyDescent="0.3">
      <c r="A11559" s="160">
        <v>84055</v>
      </c>
      <c r="B11559" t="s">
        <v>26486</v>
      </c>
      <c r="C11559" t="s">
        <v>3173</v>
      </c>
      <c r="D11559">
        <v>2</v>
      </c>
      <c r="E11559">
        <v>0</v>
      </c>
      <c r="F11559">
        <f t="shared" si="206"/>
        <v>2</v>
      </c>
      <c r="I11559">
        <v>20180701</v>
      </c>
      <c r="J11559" t="s">
        <v>12125</v>
      </c>
      <c r="K11559" t="s">
        <v>12128</v>
      </c>
    </row>
    <row r="11560" spans="1:13" x14ac:dyDescent="0.3">
      <c r="A11560" s="160">
        <v>84056</v>
      </c>
      <c r="B11560" t="s">
        <v>19066</v>
      </c>
      <c r="C11560" t="s">
        <v>12093</v>
      </c>
      <c r="D11560">
        <v>0.5</v>
      </c>
      <c r="E11560">
        <v>0</v>
      </c>
      <c r="F11560">
        <f t="shared" si="206"/>
        <v>0.5</v>
      </c>
      <c r="I11560">
        <v>20220101</v>
      </c>
      <c r="J11560" t="s">
        <v>12129</v>
      </c>
      <c r="K11560" t="s">
        <v>12130</v>
      </c>
    </row>
    <row r="11561" spans="1:13" x14ac:dyDescent="0.3">
      <c r="A11561" s="160">
        <v>84059</v>
      </c>
      <c r="B11561" t="s">
        <v>26487</v>
      </c>
      <c r="C11561" t="s">
        <v>12006</v>
      </c>
      <c r="D11561">
        <v>0.6</v>
      </c>
      <c r="E11561">
        <v>0</v>
      </c>
      <c r="F11561">
        <f t="shared" si="206"/>
        <v>0.6</v>
      </c>
      <c r="I11561">
        <v>20130701</v>
      </c>
      <c r="J11561" t="s">
        <v>12087</v>
      </c>
    </row>
    <row r="11562" spans="1:13" x14ac:dyDescent="0.3">
      <c r="A11562" s="160">
        <v>84062</v>
      </c>
      <c r="B11562" t="s">
        <v>26488</v>
      </c>
      <c r="C11562" t="s">
        <v>12088</v>
      </c>
      <c r="D11562">
        <v>0.55000000000000004</v>
      </c>
      <c r="E11562">
        <v>0</v>
      </c>
      <c r="F11562">
        <f t="shared" si="206"/>
        <v>0.55000000000000004</v>
      </c>
      <c r="I11562">
        <v>20180101</v>
      </c>
      <c r="J11562" t="s">
        <v>12131</v>
      </c>
      <c r="K11562" t="s">
        <v>12132</v>
      </c>
      <c r="L11562" t="s">
        <v>12133</v>
      </c>
      <c r="M11562" t="s">
        <v>12134</v>
      </c>
    </row>
    <row r="11563" spans="1:13" x14ac:dyDescent="0.3">
      <c r="A11563" s="160">
        <v>84063</v>
      </c>
      <c r="B11563" t="s">
        <v>26489</v>
      </c>
      <c r="C11563" t="s">
        <v>26464</v>
      </c>
      <c r="D11563">
        <v>0.55000000000000004</v>
      </c>
      <c r="E11563">
        <v>0</v>
      </c>
      <c r="F11563">
        <f t="shared" si="206"/>
        <v>0.55000000000000004</v>
      </c>
      <c r="I11563">
        <v>20230701</v>
      </c>
      <c r="J11563" t="s">
        <v>26490</v>
      </c>
    </row>
    <row r="11564" spans="1:13" x14ac:dyDescent="0.3">
      <c r="A11564" s="160">
        <v>84064</v>
      </c>
      <c r="B11564" t="s">
        <v>26491</v>
      </c>
      <c r="C11564" t="s">
        <v>26464</v>
      </c>
      <c r="D11564">
        <v>0.55000000000000004</v>
      </c>
      <c r="E11564">
        <v>0</v>
      </c>
      <c r="F11564">
        <f t="shared" si="206"/>
        <v>0.55000000000000004</v>
      </c>
      <c r="I11564">
        <v>20230701</v>
      </c>
      <c r="J11564" t="s">
        <v>26490</v>
      </c>
    </row>
    <row r="11565" spans="1:13" x14ac:dyDescent="0.3">
      <c r="A11565" s="160">
        <v>84065</v>
      </c>
      <c r="B11565" t="s">
        <v>26492</v>
      </c>
      <c r="C11565" t="s">
        <v>12088</v>
      </c>
      <c r="D11565">
        <v>0.55000000000000004</v>
      </c>
      <c r="E11565">
        <v>0</v>
      </c>
      <c r="F11565">
        <f t="shared" si="206"/>
        <v>0.55000000000000004</v>
      </c>
      <c r="I11565">
        <v>20180101</v>
      </c>
      <c r="J11565" t="s">
        <v>12135</v>
      </c>
    </row>
    <row r="11566" spans="1:13" x14ac:dyDescent="0.3">
      <c r="A11566" s="160">
        <v>84067</v>
      </c>
      <c r="B11566" t="s">
        <v>26493</v>
      </c>
      <c r="C11566" t="s">
        <v>12006</v>
      </c>
      <c r="D11566">
        <v>0.6</v>
      </c>
      <c r="E11566">
        <v>0</v>
      </c>
      <c r="F11566">
        <f t="shared" si="206"/>
        <v>0.6</v>
      </c>
      <c r="I11566">
        <v>20130701</v>
      </c>
      <c r="J11566" t="s">
        <v>12136</v>
      </c>
    </row>
    <row r="11567" spans="1:13" x14ac:dyDescent="0.3">
      <c r="A11567" s="160">
        <v>84068</v>
      </c>
      <c r="B11567" t="s">
        <v>26494</v>
      </c>
      <c r="C11567" t="s">
        <v>12088</v>
      </c>
      <c r="D11567">
        <v>0.55000000000000004</v>
      </c>
      <c r="E11567">
        <v>0</v>
      </c>
      <c r="F11567">
        <f t="shared" si="206"/>
        <v>0.55000000000000004</v>
      </c>
      <c r="I11567">
        <v>20180101</v>
      </c>
      <c r="J11567" t="s">
        <v>12137</v>
      </c>
    </row>
    <row r="11568" spans="1:13" x14ac:dyDescent="0.3">
      <c r="A11568" s="160">
        <v>84069</v>
      </c>
      <c r="B11568" t="s">
        <v>26495</v>
      </c>
      <c r="C11568" t="s">
        <v>12006</v>
      </c>
      <c r="D11568">
        <v>0.6</v>
      </c>
      <c r="E11568">
        <v>0</v>
      </c>
      <c r="F11568">
        <f t="shared" si="206"/>
        <v>0.6</v>
      </c>
      <c r="I11568">
        <v>20240101</v>
      </c>
      <c r="J11568" t="s">
        <v>12090</v>
      </c>
    </row>
    <row r="11569" spans="1:21" x14ac:dyDescent="0.3">
      <c r="A11569" s="160">
        <v>84071</v>
      </c>
      <c r="B11569" t="s">
        <v>19484</v>
      </c>
      <c r="C11569" t="s">
        <v>12088</v>
      </c>
      <c r="D11569">
        <v>0.55000000000000004</v>
      </c>
      <c r="E11569">
        <v>0</v>
      </c>
      <c r="F11569">
        <f t="shared" si="206"/>
        <v>0.55000000000000004</v>
      </c>
      <c r="I11569">
        <v>20180101</v>
      </c>
      <c r="J11569" t="s">
        <v>12109</v>
      </c>
      <c r="K11569" t="s">
        <v>12138</v>
      </c>
    </row>
    <row r="11570" spans="1:21" x14ac:dyDescent="0.3">
      <c r="A11570" s="160">
        <v>84072</v>
      </c>
      <c r="B11570" t="s">
        <v>26496</v>
      </c>
      <c r="C11570" t="s">
        <v>12006</v>
      </c>
      <c r="D11570">
        <v>0.6</v>
      </c>
      <c r="E11570">
        <v>0</v>
      </c>
      <c r="F11570">
        <f t="shared" si="206"/>
        <v>0.6</v>
      </c>
      <c r="I11570">
        <v>20130701</v>
      </c>
      <c r="J11570" t="s">
        <v>12139</v>
      </c>
    </row>
    <row r="11571" spans="1:21" x14ac:dyDescent="0.3">
      <c r="A11571" s="160">
        <v>84074</v>
      </c>
      <c r="B11571" t="s">
        <v>26497</v>
      </c>
      <c r="C11571" t="s">
        <v>12088</v>
      </c>
      <c r="D11571">
        <v>0.55000000000000004</v>
      </c>
      <c r="E11571">
        <v>0</v>
      </c>
      <c r="F11571">
        <f t="shared" si="206"/>
        <v>0.55000000000000004</v>
      </c>
      <c r="I11571">
        <v>20180101</v>
      </c>
      <c r="J11571" t="s">
        <v>12135</v>
      </c>
    </row>
    <row r="11572" spans="1:21" x14ac:dyDescent="0.3">
      <c r="A11572" s="160">
        <v>84077</v>
      </c>
      <c r="B11572" t="s">
        <v>26498</v>
      </c>
      <c r="C11572" t="s">
        <v>12006</v>
      </c>
      <c r="D11572">
        <v>0.6</v>
      </c>
      <c r="E11572">
        <v>0</v>
      </c>
      <c r="F11572">
        <f t="shared" si="206"/>
        <v>0.6</v>
      </c>
      <c r="I11572">
        <v>20130701</v>
      </c>
      <c r="J11572" t="s">
        <v>12086</v>
      </c>
    </row>
    <row r="11573" spans="1:21" x14ac:dyDescent="0.3">
      <c r="A11573" s="160">
        <v>84078</v>
      </c>
      <c r="B11573" t="s">
        <v>26499</v>
      </c>
      <c r="C11573" t="s">
        <v>26464</v>
      </c>
      <c r="D11573">
        <v>0.55000000000000004</v>
      </c>
      <c r="E11573">
        <v>0</v>
      </c>
      <c r="F11573">
        <f t="shared" si="206"/>
        <v>0.55000000000000004</v>
      </c>
      <c r="I11573">
        <v>20230701</v>
      </c>
      <c r="J11573" t="s">
        <v>26500</v>
      </c>
    </row>
    <row r="11574" spans="1:21" x14ac:dyDescent="0.3">
      <c r="A11574" s="160">
        <v>84080</v>
      </c>
      <c r="B11574" t="s">
        <v>26501</v>
      </c>
      <c r="C11574" t="s">
        <v>11997</v>
      </c>
      <c r="D11574">
        <v>0.5</v>
      </c>
      <c r="E11574">
        <v>0</v>
      </c>
      <c r="F11574">
        <f t="shared" si="206"/>
        <v>0.5</v>
      </c>
      <c r="I11574">
        <v>20220101</v>
      </c>
      <c r="J11574" t="s">
        <v>12140</v>
      </c>
      <c r="K11574" t="s">
        <v>12097</v>
      </c>
      <c r="L11574" t="s">
        <v>12141</v>
      </c>
      <c r="M11574" t="s">
        <v>12125</v>
      </c>
    </row>
    <row r="11575" spans="1:21" x14ac:dyDescent="0.3">
      <c r="A11575" s="160">
        <v>84081</v>
      </c>
      <c r="B11575" t="s">
        <v>26502</v>
      </c>
      <c r="C11575" t="s">
        <v>3173</v>
      </c>
      <c r="D11575">
        <v>2</v>
      </c>
      <c r="E11575">
        <v>0</v>
      </c>
      <c r="F11575">
        <f t="shared" si="206"/>
        <v>2</v>
      </c>
      <c r="I11575">
        <v>20180701</v>
      </c>
      <c r="J11575" t="s">
        <v>12104</v>
      </c>
      <c r="K11575" t="s">
        <v>12125</v>
      </c>
      <c r="L11575" t="s">
        <v>12126</v>
      </c>
      <c r="M11575" t="s">
        <v>12105</v>
      </c>
      <c r="N11575" t="s">
        <v>12142</v>
      </c>
    </row>
    <row r="11576" spans="1:21" x14ac:dyDescent="0.3">
      <c r="A11576" s="160">
        <v>84083</v>
      </c>
      <c r="B11576" t="s">
        <v>26503</v>
      </c>
      <c r="C11576" t="s">
        <v>26464</v>
      </c>
      <c r="D11576">
        <v>0.55000000000000004</v>
      </c>
      <c r="E11576">
        <v>0</v>
      </c>
      <c r="F11576">
        <f t="shared" si="206"/>
        <v>0.55000000000000004</v>
      </c>
      <c r="I11576">
        <v>20230701</v>
      </c>
      <c r="J11576" t="s">
        <v>26504</v>
      </c>
    </row>
    <row r="11577" spans="1:21" x14ac:dyDescent="0.3">
      <c r="A11577" s="160">
        <v>84086</v>
      </c>
      <c r="B11577" t="s">
        <v>26505</v>
      </c>
      <c r="C11577" t="s">
        <v>12088</v>
      </c>
      <c r="D11577">
        <v>0.55000000000000004</v>
      </c>
      <c r="E11577">
        <v>0</v>
      </c>
      <c r="F11577">
        <f t="shared" si="206"/>
        <v>0.55000000000000004</v>
      </c>
      <c r="I11577">
        <v>20240101</v>
      </c>
      <c r="J11577" t="s">
        <v>12143</v>
      </c>
    </row>
    <row r="11578" spans="1:21" x14ac:dyDescent="0.3">
      <c r="A11578" s="160">
        <v>84087</v>
      </c>
      <c r="B11578" t="s">
        <v>26506</v>
      </c>
      <c r="C11578" t="s">
        <v>12093</v>
      </c>
      <c r="D11578">
        <v>0.5</v>
      </c>
      <c r="E11578">
        <v>0</v>
      </c>
      <c r="F11578">
        <f t="shared" si="206"/>
        <v>0.5</v>
      </c>
      <c r="I11578">
        <v>20220101</v>
      </c>
      <c r="J11578" t="s">
        <v>12144</v>
      </c>
      <c r="K11578" t="s">
        <v>12129</v>
      </c>
      <c r="L11578" t="s">
        <v>12145</v>
      </c>
      <c r="M11578" t="s">
        <v>12146</v>
      </c>
      <c r="N11578" t="s">
        <v>12147</v>
      </c>
      <c r="O11578" t="s">
        <v>12148</v>
      </c>
      <c r="P11578" t="s">
        <v>12149</v>
      </c>
      <c r="Q11578" t="s">
        <v>12150</v>
      </c>
      <c r="R11578" t="s">
        <v>12151</v>
      </c>
      <c r="S11578" t="s">
        <v>12152</v>
      </c>
      <c r="T11578" t="s">
        <v>12153</v>
      </c>
      <c r="U11578" t="s">
        <v>12154</v>
      </c>
    </row>
    <row r="11579" spans="1:21" x14ac:dyDescent="0.3">
      <c r="A11579" s="160">
        <v>84088</v>
      </c>
      <c r="B11579" t="s">
        <v>26507</v>
      </c>
      <c r="C11579" t="s">
        <v>11997</v>
      </c>
      <c r="D11579">
        <v>0.5</v>
      </c>
      <c r="E11579">
        <v>0</v>
      </c>
      <c r="F11579">
        <f t="shared" si="206"/>
        <v>0.5</v>
      </c>
      <c r="I11579">
        <v>20220101</v>
      </c>
      <c r="J11579" t="s">
        <v>11998</v>
      </c>
    </row>
    <row r="11580" spans="1:21" x14ac:dyDescent="0.3">
      <c r="A11580" s="160">
        <v>84089</v>
      </c>
      <c r="B11580" t="s">
        <v>26508</v>
      </c>
      <c r="C11580" t="s">
        <v>1073</v>
      </c>
      <c r="D11580">
        <v>2</v>
      </c>
      <c r="E11580">
        <v>0</v>
      </c>
      <c r="F11580">
        <f t="shared" si="206"/>
        <v>2</v>
      </c>
      <c r="I11580">
        <v>20201101</v>
      </c>
      <c r="J11580" t="s">
        <v>12155</v>
      </c>
      <c r="K11580" t="s">
        <v>12156</v>
      </c>
      <c r="L11580" t="s">
        <v>12157</v>
      </c>
      <c r="M11580" t="s">
        <v>12158</v>
      </c>
      <c r="N11580" t="s">
        <v>12159</v>
      </c>
    </row>
    <row r="11581" spans="1:21" x14ac:dyDescent="0.3">
      <c r="A11581" s="160">
        <v>84092</v>
      </c>
      <c r="B11581" t="s">
        <v>26509</v>
      </c>
      <c r="C11581" t="s">
        <v>3173</v>
      </c>
      <c r="D11581">
        <v>2</v>
      </c>
      <c r="E11581">
        <v>0</v>
      </c>
      <c r="F11581">
        <f t="shared" si="206"/>
        <v>2</v>
      </c>
      <c r="I11581">
        <v>20180701</v>
      </c>
      <c r="J11581" t="s">
        <v>12160</v>
      </c>
      <c r="K11581" t="s">
        <v>12161</v>
      </c>
      <c r="L11581" t="s">
        <v>12162</v>
      </c>
      <c r="M11581" t="s">
        <v>12163</v>
      </c>
      <c r="N11581" t="s">
        <v>12164</v>
      </c>
      <c r="O11581" t="s">
        <v>12104</v>
      </c>
      <c r="P11581" t="s">
        <v>12126</v>
      </c>
      <c r="Q11581" t="s">
        <v>12105</v>
      </c>
    </row>
    <row r="11582" spans="1:21" x14ac:dyDescent="0.3">
      <c r="A11582" s="160">
        <v>84093</v>
      </c>
      <c r="B11582" t="s">
        <v>26510</v>
      </c>
      <c r="C11582" t="s">
        <v>12088</v>
      </c>
      <c r="D11582">
        <v>0.55000000000000004</v>
      </c>
      <c r="E11582">
        <v>0</v>
      </c>
      <c r="F11582">
        <f t="shared" si="206"/>
        <v>0.55000000000000004</v>
      </c>
      <c r="I11582">
        <v>20180101</v>
      </c>
      <c r="J11582" t="s">
        <v>12135</v>
      </c>
    </row>
    <row r="11583" spans="1:21" x14ac:dyDescent="0.3">
      <c r="A11583" s="160">
        <v>84095</v>
      </c>
      <c r="B11583" t="s">
        <v>26511</v>
      </c>
      <c r="C11583" t="s">
        <v>12088</v>
      </c>
      <c r="D11583">
        <v>0.55000000000000004</v>
      </c>
      <c r="E11583">
        <v>0</v>
      </c>
      <c r="F11583">
        <f t="shared" si="206"/>
        <v>0.55000000000000004</v>
      </c>
      <c r="I11583">
        <v>20180101</v>
      </c>
      <c r="J11583" t="s">
        <v>12137</v>
      </c>
    </row>
    <row r="11584" spans="1:21" x14ac:dyDescent="0.3">
      <c r="A11584" s="160">
        <v>84099</v>
      </c>
      <c r="B11584" t="s">
        <v>26512</v>
      </c>
      <c r="C11584" t="s">
        <v>12088</v>
      </c>
      <c r="D11584">
        <v>0.55000000000000004</v>
      </c>
      <c r="E11584">
        <v>0</v>
      </c>
      <c r="F11584">
        <f t="shared" si="206"/>
        <v>0.55000000000000004</v>
      </c>
      <c r="I11584">
        <v>20180101</v>
      </c>
      <c r="J11584" t="s">
        <v>12165</v>
      </c>
    </row>
    <row r="11585" spans="1:20" x14ac:dyDescent="0.3">
      <c r="A11585" s="160">
        <v>84100</v>
      </c>
      <c r="B11585" t="s">
        <v>26513</v>
      </c>
      <c r="C11585" t="s">
        <v>12006</v>
      </c>
      <c r="D11585">
        <v>0.6</v>
      </c>
      <c r="E11585">
        <v>0</v>
      </c>
      <c r="F11585">
        <f t="shared" si="206"/>
        <v>0.6</v>
      </c>
      <c r="I11585">
        <v>20130701</v>
      </c>
      <c r="J11585" t="s">
        <v>12087</v>
      </c>
    </row>
    <row r="11586" spans="1:20" x14ac:dyDescent="0.3">
      <c r="A11586" s="160">
        <v>84101</v>
      </c>
      <c r="B11586" t="s">
        <v>26514</v>
      </c>
      <c r="C11586" t="s">
        <v>12006</v>
      </c>
      <c r="D11586">
        <v>0.6</v>
      </c>
      <c r="E11586">
        <v>0</v>
      </c>
      <c r="F11586">
        <f t="shared" si="206"/>
        <v>0.6</v>
      </c>
      <c r="I11586">
        <v>20130701</v>
      </c>
      <c r="J11586" t="s">
        <v>11998</v>
      </c>
    </row>
    <row r="11587" spans="1:20" x14ac:dyDescent="0.3">
      <c r="A11587" s="160">
        <v>84108</v>
      </c>
      <c r="B11587" t="s">
        <v>19320</v>
      </c>
      <c r="C11587" t="s">
        <v>12006</v>
      </c>
      <c r="D11587">
        <v>0.6</v>
      </c>
      <c r="E11587">
        <v>0</v>
      </c>
      <c r="F11587">
        <f t="shared" si="206"/>
        <v>0.6</v>
      </c>
      <c r="I11587">
        <v>20130701</v>
      </c>
      <c r="J11587" t="s">
        <v>11998</v>
      </c>
    </row>
    <row r="11588" spans="1:20" x14ac:dyDescent="0.3">
      <c r="A11588" s="160">
        <v>84109</v>
      </c>
      <c r="B11588" t="s">
        <v>26515</v>
      </c>
      <c r="C11588" t="s">
        <v>12006</v>
      </c>
      <c r="D11588">
        <v>0.6</v>
      </c>
      <c r="E11588">
        <v>0</v>
      </c>
      <c r="F11588">
        <f t="shared" si="206"/>
        <v>0.6</v>
      </c>
      <c r="I11588">
        <v>20130701</v>
      </c>
      <c r="J11588" t="s">
        <v>12086</v>
      </c>
    </row>
    <row r="11589" spans="1:20" x14ac:dyDescent="0.3">
      <c r="A11589" s="160">
        <v>84115</v>
      </c>
      <c r="B11589" t="s">
        <v>26516</v>
      </c>
      <c r="C11589" t="s">
        <v>12006</v>
      </c>
      <c r="D11589">
        <v>0.6</v>
      </c>
      <c r="E11589">
        <v>0</v>
      </c>
      <c r="F11589">
        <f t="shared" si="206"/>
        <v>0.6</v>
      </c>
      <c r="I11589">
        <v>20130701</v>
      </c>
      <c r="J11589" t="s">
        <v>12086</v>
      </c>
    </row>
    <row r="11590" spans="1:20" x14ac:dyDescent="0.3">
      <c r="A11590" s="160">
        <v>84119</v>
      </c>
      <c r="B11590" t="s">
        <v>26517</v>
      </c>
      <c r="C11590" t="s">
        <v>3173</v>
      </c>
      <c r="D11590">
        <v>2</v>
      </c>
      <c r="E11590">
        <v>0</v>
      </c>
      <c r="F11590">
        <f t="shared" si="206"/>
        <v>2</v>
      </c>
      <c r="I11590">
        <v>20180701</v>
      </c>
      <c r="J11590" t="s">
        <v>12104</v>
      </c>
      <c r="K11590" t="s">
        <v>12125</v>
      </c>
      <c r="L11590" t="s">
        <v>12128</v>
      </c>
    </row>
    <row r="11591" spans="1:20" x14ac:dyDescent="0.3">
      <c r="A11591" s="160">
        <v>84122</v>
      </c>
      <c r="B11591" t="s">
        <v>26518</v>
      </c>
      <c r="C11591" t="s">
        <v>12006</v>
      </c>
      <c r="D11591">
        <v>0.6</v>
      </c>
      <c r="E11591">
        <v>0</v>
      </c>
      <c r="F11591">
        <f t="shared" ref="F11591:F11654" si="207">D11591+E11591</f>
        <v>0.6</v>
      </c>
      <c r="I11591">
        <v>20130701</v>
      </c>
      <c r="J11591" t="s">
        <v>12166</v>
      </c>
    </row>
    <row r="11592" spans="1:20" x14ac:dyDescent="0.3">
      <c r="A11592" s="160">
        <v>84129</v>
      </c>
      <c r="B11592" t="s">
        <v>26519</v>
      </c>
      <c r="C11592" t="s">
        <v>11997</v>
      </c>
      <c r="D11592">
        <v>0.5</v>
      </c>
      <c r="E11592">
        <v>0</v>
      </c>
      <c r="F11592">
        <f t="shared" si="207"/>
        <v>0.5</v>
      </c>
      <c r="I11592">
        <v>20210701</v>
      </c>
      <c r="J11592" t="s">
        <v>12104</v>
      </c>
      <c r="K11592" t="s">
        <v>12125</v>
      </c>
      <c r="L11592" t="s">
        <v>12126</v>
      </c>
      <c r="M11592" t="s">
        <v>12105</v>
      </c>
      <c r="N11592" t="s">
        <v>12167</v>
      </c>
      <c r="O11592" t="s">
        <v>12168</v>
      </c>
      <c r="P11592" t="s">
        <v>12169</v>
      </c>
      <c r="Q11592" t="s">
        <v>12170</v>
      </c>
      <c r="R11592" t="s">
        <v>12171</v>
      </c>
      <c r="S11592" t="s">
        <v>12172</v>
      </c>
      <c r="T11592" t="s">
        <v>12173</v>
      </c>
    </row>
    <row r="11593" spans="1:20" x14ac:dyDescent="0.3">
      <c r="A11593" s="160">
        <v>84130</v>
      </c>
      <c r="B11593" t="s">
        <v>26520</v>
      </c>
      <c r="C11593" t="s">
        <v>12006</v>
      </c>
      <c r="D11593">
        <v>0.6</v>
      </c>
      <c r="E11593">
        <v>0</v>
      </c>
      <c r="F11593">
        <f t="shared" si="207"/>
        <v>0.6</v>
      </c>
      <c r="I11593">
        <v>20130701</v>
      </c>
      <c r="J11593" t="s">
        <v>12087</v>
      </c>
    </row>
    <row r="11594" spans="1:20" x14ac:dyDescent="0.3">
      <c r="A11594" s="160">
        <v>84131</v>
      </c>
      <c r="B11594" t="s">
        <v>26521</v>
      </c>
      <c r="C11594" t="s">
        <v>12088</v>
      </c>
      <c r="D11594">
        <v>0.55000000000000004</v>
      </c>
      <c r="E11594">
        <v>0</v>
      </c>
      <c r="F11594">
        <f t="shared" si="207"/>
        <v>0.55000000000000004</v>
      </c>
      <c r="I11594">
        <v>20180101</v>
      </c>
      <c r="J11594" t="s">
        <v>12107</v>
      </c>
      <c r="K11594" t="s">
        <v>12109</v>
      </c>
      <c r="L11594" t="s">
        <v>12111</v>
      </c>
      <c r="M11594" t="s">
        <v>12174</v>
      </c>
    </row>
    <row r="11595" spans="1:20" x14ac:dyDescent="0.3">
      <c r="A11595" s="160">
        <v>84136</v>
      </c>
      <c r="B11595" t="s">
        <v>26522</v>
      </c>
      <c r="C11595" t="s">
        <v>12006</v>
      </c>
      <c r="D11595">
        <v>0.6</v>
      </c>
      <c r="E11595">
        <v>0</v>
      </c>
      <c r="F11595">
        <f t="shared" si="207"/>
        <v>0.6</v>
      </c>
      <c r="I11595">
        <v>20130701</v>
      </c>
      <c r="J11595" t="s">
        <v>12087</v>
      </c>
    </row>
    <row r="11596" spans="1:20" x14ac:dyDescent="0.3">
      <c r="A11596" s="160">
        <v>84140</v>
      </c>
      <c r="B11596" t="s">
        <v>26523</v>
      </c>
      <c r="C11596" t="s">
        <v>12088</v>
      </c>
      <c r="D11596">
        <v>0.55000000000000004</v>
      </c>
      <c r="E11596">
        <v>0</v>
      </c>
      <c r="F11596">
        <f t="shared" si="207"/>
        <v>0.55000000000000004</v>
      </c>
      <c r="I11596">
        <v>20180101</v>
      </c>
      <c r="J11596" t="s">
        <v>12137</v>
      </c>
    </row>
    <row r="11597" spans="1:20" x14ac:dyDescent="0.3">
      <c r="A11597" s="160">
        <v>84141</v>
      </c>
      <c r="B11597" t="s">
        <v>26524</v>
      </c>
      <c r="C11597" t="s">
        <v>3173</v>
      </c>
      <c r="D11597">
        <v>2</v>
      </c>
      <c r="E11597">
        <v>0</v>
      </c>
      <c r="F11597">
        <f t="shared" si="207"/>
        <v>2</v>
      </c>
      <c r="I11597">
        <v>20180701</v>
      </c>
      <c r="J11597" t="s">
        <v>12175</v>
      </c>
      <c r="K11597" t="s">
        <v>12104</v>
      </c>
      <c r="L11597" t="s">
        <v>12125</v>
      </c>
      <c r="M11597" t="s">
        <v>12126</v>
      </c>
      <c r="N11597" t="s">
        <v>12105</v>
      </c>
      <c r="O11597" t="s">
        <v>12176</v>
      </c>
      <c r="P11597" t="s">
        <v>12177</v>
      </c>
    </row>
    <row r="11598" spans="1:20" x14ac:dyDescent="0.3">
      <c r="A11598" s="160">
        <v>84142</v>
      </c>
      <c r="B11598" t="s">
        <v>26525</v>
      </c>
      <c r="C11598" t="s">
        <v>3173</v>
      </c>
      <c r="D11598">
        <v>2</v>
      </c>
      <c r="E11598">
        <v>0</v>
      </c>
      <c r="F11598">
        <f t="shared" si="207"/>
        <v>2</v>
      </c>
      <c r="I11598">
        <v>20180701</v>
      </c>
      <c r="J11598" t="s">
        <v>12178</v>
      </c>
    </row>
    <row r="11599" spans="1:20" x14ac:dyDescent="0.3">
      <c r="A11599" s="160">
        <v>84143</v>
      </c>
      <c r="B11599" t="s">
        <v>26526</v>
      </c>
      <c r="C11599" t="s">
        <v>12006</v>
      </c>
      <c r="D11599">
        <v>0.6</v>
      </c>
      <c r="E11599">
        <v>0</v>
      </c>
      <c r="F11599">
        <f t="shared" si="207"/>
        <v>0.6</v>
      </c>
      <c r="I11599">
        <v>20130701</v>
      </c>
      <c r="J11599" t="s">
        <v>11998</v>
      </c>
    </row>
    <row r="11600" spans="1:20" x14ac:dyDescent="0.3">
      <c r="A11600" s="160">
        <v>85008</v>
      </c>
      <c r="B11600" t="s">
        <v>26527</v>
      </c>
      <c r="C11600" t="s">
        <v>12179</v>
      </c>
      <c r="D11600">
        <v>0.8</v>
      </c>
      <c r="E11600">
        <v>0</v>
      </c>
      <c r="F11600">
        <f t="shared" si="207"/>
        <v>0.8</v>
      </c>
      <c r="I11600">
        <v>20240101</v>
      </c>
      <c r="J11600" t="s">
        <v>12180</v>
      </c>
      <c r="K11600" t="s">
        <v>12181</v>
      </c>
      <c r="L11600" t="s">
        <v>12182</v>
      </c>
    </row>
    <row r="11601" spans="1:46" x14ac:dyDescent="0.3">
      <c r="A11601" s="160">
        <v>85043</v>
      </c>
      <c r="B11601" t="s">
        <v>26528</v>
      </c>
      <c r="C11601" t="s">
        <v>12179</v>
      </c>
      <c r="D11601">
        <v>0.8</v>
      </c>
      <c r="E11601">
        <v>0</v>
      </c>
      <c r="F11601">
        <f t="shared" si="207"/>
        <v>0.8</v>
      </c>
      <c r="I11601">
        <v>20240101</v>
      </c>
      <c r="J11601" t="s">
        <v>12183</v>
      </c>
    </row>
    <row r="11602" spans="1:46" x14ac:dyDescent="0.3">
      <c r="A11602" s="160">
        <v>85046</v>
      </c>
      <c r="B11602" t="s">
        <v>26529</v>
      </c>
      <c r="C11602" t="s">
        <v>12179</v>
      </c>
      <c r="D11602">
        <v>0.8</v>
      </c>
      <c r="E11602">
        <v>0</v>
      </c>
      <c r="F11602">
        <f t="shared" si="207"/>
        <v>0.8</v>
      </c>
      <c r="I11602">
        <v>20240101</v>
      </c>
      <c r="J11602" t="s">
        <v>12184</v>
      </c>
      <c r="K11602" t="s">
        <v>12185</v>
      </c>
      <c r="L11602" t="s">
        <v>12183</v>
      </c>
    </row>
    <row r="11603" spans="1:46" x14ac:dyDescent="0.3">
      <c r="A11603" s="160">
        <v>85060</v>
      </c>
      <c r="B11603" t="s">
        <v>26530</v>
      </c>
      <c r="C11603" t="s">
        <v>12186</v>
      </c>
      <c r="D11603">
        <v>0.6</v>
      </c>
      <c r="E11603">
        <v>0</v>
      </c>
      <c r="F11603">
        <f t="shared" si="207"/>
        <v>0.6</v>
      </c>
      <c r="I11603">
        <v>20230701</v>
      </c>
      <c r="J11603" t="s">
        <v>12187</v>
      </c>
    </row>
    <row r="11604" spans="1:46" x14ac:dyDescent="0.3">
      <c r="A11604" s="160">
        <v>85069</v>
      </c>
      <c r="B11604" t="s">
        <v>26531</v>
      </c>
      <c r="C11604" t="s">
        <v>12179</v>
      </c>
      <c r="D11604">
        <v>0.8</v>
      </c>
      <c r="E11604">
        <v>0</v>
      </c>
      <c r="F11604">
        <f t="shared" si="207"/>
        <v>0.8</v>
      </c>
      <c r="I11604">
        <v>20240101</v>
      </c>
      <c r="J11604" t="s">
        <v>12182</v>
      </c>
    </row>
    <row r="11605" spans="1:46" x14ac:dyDescent="0.3">
      <c r="A11605" s="160">
        <v>85081</v>
      </c>
      <c r="B11605" t="s">
        <v>26532</v>
      </c>
      <c r="C11605" t="s">
        <v>12179</v>
      </c>
      <c r="D11605">
        <v>0.8</v>
      </c>
      <c r="E11605">
        <v>0</v>
      </c>
      <c r="F11605">
        <f t="shared" si="207"/>
        <v>0.8</v>
      </c>
      <c r="I11605">
        <v>20240101</v>
      </c>
      <c r="J11605" t="s">
        <v>12180</v>
      </c>
      <c r="K11605" t="s">
        <v>12188</v>
      </c>
      <c r="L11605" t="s">
        <v>12189</v>
      </c>
      <c r="M11605" t="s">
        <v>12181</v>
      </c>
      <c r="N11605" t="s">
        <v>12190</v>
      </c>
    </row>
    <row r="11606" spans="1:46" x14ac:dyDescent="0.3">
      <c r="A11606" s="160">
        <v>85089</v>
      </c>
      <c r="B11606" t="s">
        <v>26533</v>
      </c>
      <c r="C11606" t="s">
        <v>12179</v>
      </c>
      <c r="D11606">
        <v>0.8</v>
      </c>
      <c r="E11606">
        <v>0</v>
      </c>
      <c r="F11606">
        <f t="shared" si="207"/>
        <v>0.8</v>
      </c>
      <c r="I11606">
        <v>20240101</v>
      </c>
      <c r="J11606" t="s">
        <v>12191</v>
      </c>
    </row>
    <row r="11607" spans="1:46" x14ac:dyDescent="0.3">
      <c r="A11607" s="160">
        <v>85093</v>
      </c>
      <c r="B11607" t="s">
        <v>26534</v>
      </c>
      <c r="C11607" t="s">
        <v>12179</v>
      </c>
      <c r="D11607">
        <v>0.8</v>
      </c>
      <c r="E11607">
        <v>0</v>
      </c>
      <c r="F11607">
        <f t="shared" si="207"/>
        <v>0.8</v>
      </c>
      <c r="I11607">
        <v>20240101</v>
      </c>
      <c r="J11607" t="s">
        <v>12192</v>
      </c>
    </row>
    <row r="11608" spans="1:46" x14ac:dyDescent="0.3">
      <c r="A11608" s="160">
        <v>85112</v>
      </c>
      <c r="B11608" t="s">
        <v>26535</v>
      </c>
      <c r="C11608" t="s">
        <v>12186</v>
      </c>
      <c r="D11608">
        <v>0.6</v>
      </c>
      <c r="E11608">
        <v>0</v>
      </c>
      <c r="F11608">
        <f t="shared" si="207"/>
        <v>0.6</v>
      </c>
      <c r="I11608">
        <v>20230701</v>
      </c>
      <c r="J11608" t="s">
        <v>12193</v>
      </c>
    </row>
    <row r="11609" spans="1:46" x14ac:dyDescent="0.3">
      <c r="A11609" s="160">
        <v>85118</v>
      </c>
      <c r="B11609" t="s">
        <v>26536</v>
      </c>
      <c r="C11609" t="s">
        <v>12179</v>
      </c>
      <c r="D11609">
        <v>0.8</v>
      </c>
      <c r="E11609">
        <v>0</v>
      </c>
      <c r="F11609">
        <f t="shared" si="207"/>
        <v>0.8</v>
      </c>
      <c r="I11609">
        <v>20240101</v>
      </c>
      <c r="J11609" t="s">
        <v>12194</v>
      </c>
    </row>
    <row r="11610" spans="1:46" x14ac:dyDescent="0.3">
      <c r="A11610" s="160">
        <v>85155</v>
      </c>
      <c r="B11610" t="s">
        <v>26537</v>
      </c>
      <c r="C11610" t="s">
        <v>12179</v>
      </c>
      <c r="D11610">
        <v>0.8</v>
      </c>
      <c r="E11610">
        <v>0</v>
      </c>
      <c r="F11610">
        <f t="shared" si="207"/>
        <v>0.8</v>
      </c>
      <c r="I11610">
        <v>20240101</v>
      </c>
      <c r="J11610" t="s">
        <v>12195</v>
      </c>
      <c r="K11610" t="s">
        <v>12196</v>
      </c>
      <c r="L11610" t="s">
        <v>12197</v>
      </c>
      <c r="M11610" t="s">
        <v>12180</v>
      </c>
      <c r="N11610" t="s">
        <v>12198</v>
      </c>
      <c r="O11610" t="s">
        <v>12188</v>
      </c>
      <c r="P11610" t="s">
        <v>12199</v>
      </c>
      <c r="Q11610" t="s">
        <v>12189</v>
      </c>
      <c r="R11610" t="s">
        <v>12200</v>
      </c>
      <c r="S11610" t="s">
        <v>12201</v>
      </c>
      <c r="T11610" t="s">
        <v>12202</v>
      </c>
      <c r="U11610" t="s">
        <v>12203</v>
      </c>
      <c r="V11610" t="s">
        <v>12181</v>
      </c>
      <c r="W11610" t="s">
        <v>12184</v>
      </c>
      <c r="X11610" t="s">
        <v>12185</v>
      </c>
    </row>
    <row r="11611" spans="1:46" x14ac:dyDescent="0.3">
      <c r="A11611" s="160">
        <v>85160</v>
      </c>
      <c r="B11611" t="s">
        <v>26538</v>
      </c>
      <c r="C11611" t="s">
        <v>12179</v>
      </c>
      <c r="D11611">
        <v>0.8</v>
      </c>
      <c r="E11611">
        <v>0</v>
      </c>
      <c r="F11611">
        <f t="shared" si="207"/>
        <v>0.8</v>
      </c>
      <c r="I11611">
        <v>20240101</v>
      </c>
      <c r="J11611" t="s">
        <v>12183</v>
      </c>
    </row>
    <row r="11612" spans="1:46" x14ac:dyDescent="0.3">
      <c r="A11612" s="160">
        <v>85166</v>
      </c>
      <c r="B11612" t="s">
        <v>26539</v>
      </c>
      <c r="C11612" t="s">
        <v>12186</v>
      </c>
      <c r="D11612">
        <v>0.6</v>
      </c>
      <c r="E11612">
        <v>0</v>
      </c>
      <c r="F11612">
        <f t="shared" si="207"/>
        <v>0.6</v>
      </c>
      <c r="I11612">
        <v>20230701</v>
      </c>
      <c r="J11612" t="s">
        <v>12193</v>
      </c>
    </row>
    <row r="11613" spans="1:46" x14ac:dyDescent="0.3">
      <c r="A11613" s="160">
        <v>85191</v>
      </c>
      <c r="B11613" t="s">
        <v>26540</v>
      </c>
      <c r="C11613" t="s">
        <v>12179</v>
      </c>
      <c r="D11613">
        <v>0.8</v>
      </c>
      <c r="E11613">
        <v>0</v>
      </c>
      <c r="F11613">
        <f t="shared" si="207"/>
        <v>0.8</v>
      </c>
      <c r="I11613">
        <v>20240101</v>
      </c>
      <c r="J11613" t="s">
        <v>12195</v>
      </c>
      <c r="K11613" t="s">
        <v>12204</v>
      </c>
      <c r="L11613" t="s">
        <v>12205</v>
      </c>
      <c r="M11613" t="s">
        <v>12196</v>
      </c>
      <c r="N11613" t="s">
        <v>12197</v>
      </c>
      <c r="O11613" t="s">
        <v>12180</v>
      </c>
      <c r="P11613" t="s">
        <v>12198</v>
      </c>
      <c r="Q11613" t="s">
        <v>12188</v>
      </c>
      <c r="R11613" t="s">
        <v>12206</v>
      </c>
      <c r="S11613" t="s">
        <v>12199</v>
      </c>
      <c r="T11613" t="s">
        <v>12189</v>
      </c>
      <c r="U11613" t="s">
        <v>12207</v>
      </c>
      <c r="V11613" t="s">
        <v>12208</v>
      </c>
      <c r="W11613" t="s">
        <v>12200</v>
      </c>
      <c r="X11613" t="s">
        <v>12201</v>
      </c>
      <c r="Y11613" t="s">
        <v>12202</v>
      </c>
      <c r="Z11613" t="s">
        <v>12209</v>
      </c>
      <c r="AA11613" t="s">
        <v>12210</v>
      </c>
      <c r="AB11613" t="s">
        <v>12203</v>
      </c>
      <c r="AC11613" t="s">
        <v>12181</v>
      </c>
      <c r="AD11613" t="s">
        <v>12211</v>
      </c>
      <c r="AE11613" t="s">
        <v>12212</v>
      </c>
      <c r="AF11613" t="s">
        <v>12213</v>
      </c>
      <c r="AG11613" t="s">
        <v>12214</v>
      </c>
      <c r="AH11613" t="s">
        <v>12184</v>
      </c>
      <c r="AI11613" t="s">
        <v>12185</v>
      </c>
      <c r="AJ11613" t="s">
        <v>12215</v>
      </c>
      <c r="AK11613" t="s">
        <v>12216</v>
      </c>
      <c r="AL11613" t="s">
        <v>12217</v>
      </c>
      <c r="AM11613" t="s">
        <v>12218</v>
      </c>
      <c r="AN11613" t="s">
        <v>12219</v>
      </c>
      <c r="AO11613" t="s">
        <v>12220</v>
      </c>
      <c r="AP11613" t="s">
        <v>12221</v>
      </c>
      <c r="AQ11613" t="s">
        <v>12222</v>
      </c>
      <c r="AR11613" t="s">
        <v>12223</v>
      </c>
      <c r="AS11613" t="s">
        <v>12224</v>
      </c>
      <c r="AT11613" t="s">
        <v>12225</v>
      </c>
    </row>
    <row r="11614" spans="1:46" x14ac:dyDescent="0.3">
      <c r="A11614" s="160">
        <v>85194</v>
      </c>
      <c r="B11614" t="s">
        <v>26541</v>
      </c>
      <c r="C11614" t="s">
        <v>12186</v>
      </c>
      <c r="D11614">
        <v>0.6</v>
      </c>
      <c r="E11614">
        <v>0</v>
      </c>
      <c r="F11614">
        <f t="shared" si="207"/>
        <v>0.6</v>
      </c>
      <c r="I11614">
        <v>20230701</v>
      </c>
      <c r="J11614" t="s">
        <v>12226</v>
      </c>
      <c r="K11614" t="s">
        <v>12227</v>
      </c>
      <c r="L11614" t="s">
        <v>12228</v>
      </c>
      <c r="M11614" t="s">
        <v>12229</v>
      </c>
      <c r="N11614" t="s">
        <v>12230</v>
      </c>
      <c r="O11614" t="s">
        <v>12231</v>
      </c>
      <c r="P11614" t="s">
        <v>12232</v>
      </c>
      <c r="Q11614" t="s">
        <v>12233</v>
      </c>
      <c r="R11614" t="s">
        <v>12234</v>
      </c>
      <c r="S11614" t="s">
        <v>12235</v>
      </c>
      <c r="T11614" t="s">
        <v>12236</v>
      </c>
    </row>
    <row r="11615" spans="1:46" x14ac:dyDescent="0.3">
      <c r="A11615" s="160">
        <v>85213</v>
      </c>
      <c r="B11615" t="s">
        <v>26542</v>
      </c>
      <c r="C11615" t="s">
        <v>12179</v>
      </c>
      <c r="D11615">
        <v>0.8</v>
      </c>
      <c r="E11615">
        <v>0</v>
      </c>
      <c r="F11615">
        <f t="shared" si="207"/>
        <v>0.8</v>
      </c>
      <c r="I11615">
        <v>20240101</v>
      </c>
      <c r="J11615" t="s">
        <v>12183</v>
      </c>
    </row>
    <row r="11616" spans="1:46" x14ac:dyDescent="0.3">
      <c r="A11616" s="160">
        <v>85214</v>
      </c>
      <c r="B11616" t="s">
        <v>26543</v>
      </c>
      <c r="C11616" t="s">
        <v>12186</v>
      </c>
      <c r="D11616">
        <v>0.6</v>
      </c>
      <c r="E11616">
        <v>0</v>
      </c>
      <c r="F11616">
        <f t="shared" si="207"/>
        <v>0.6</v>
      </c>
      <c r="I11616">
        <v>20230701</v>
      </c>
      <c r="J11616" t="s">
        <v>12194</v>
      </c>
    </row>
    <row r="11617" spans="1:12" x14ac:dyDescent="0.3">
      <c r="A11617" s="160">
        <v>85250</v>
      </c>
      <c r="B11617" t="s">
        <v>26544</v>
      </c>
      <c r="C11617" t="s">
        <v>12186</v>
      </c>
      <c r="D11617">
        <v>0.6</v>
      </c>
      <c r="E11617">
        <v>0</v>
      </c>
      <c r="F11617">
        <f t="shared" si="207"/>
        <v>0.6</v>
      </c>
      <c r="I11617">
        <v>20230701</v>
      </c>
      <c r="J11617" t="s">
        <v>12194</v>
      </c>
    </row>
    <row r="11618" spans="1:12" x14ac:dyDescent="0.3">
      <c r="A11618" s="160">
        <v>85285</v>
      </c>
      <c r="B11618" t="s">
        <v>26545</v>
      </c>
      <c r="C11618" t="s">
        <v>12179</v>
      </c>
      <c r="D11618">
        <v>0.8</v>
      </c>
      <c r="E11618">
        <v>0</v>
      </c>
      <c r="F11618">
        <f t="shared" si="207"/>
        <v>0.8</v>
      </c>
      <c r="I11618">
        <v>20240101</v>
      </c>
      <c r="J11618" t="s">
        <v>12183</v>
      </c>
    </row>
    <row r="11619" spans="1:12" x14ac:dyDescent="0.3">
      <c r="A11619" s="160">
        <v>85291</v>
      </c>
      <c r="B11619" t="s">
        <v>26546</v>
      </c>
      <c r="C11619" t="s">
        <v>12179</v>
      </c>
      <c r="D11619">
        <v>0.8</v>
      </c>
      <c r="E11619">
        <v>0</v>
      </c>
      <c r="F11619">
        <f t="shared" si="207"/>
        <v>0.8</v>
      </c>
      <c r="I11619">
        <v>20240101</v>
      </c>
      <c r="J11619" t="s">
        <v>12192</v>
      </c>
    </row>
    <row r="11620" spans="1:12" x14ac:dyDescent="0.3">
      <c r="A11620" s="160">
        <v>85298</v>
      </c>
      <c r="B11620" t="s">
        <v>26547</v>
      </c>
      <c r="C11620" t="s">
        <v>12186</v>
      </c>
      <c r="D11620">
        <v>0.6</v>
      </c>
      <c r="E11620">
        <v>0</v>
      </c>
      <c r="F11620">
        <f t="shared" si="207"/>
        <v>0.6</v>
      </c>
      <c r="I11620">
        <v>20230701</v>
      </c>
      <c r="J11620" t="s">
        <v>12194</v>
      </c>
    </row>
    <row r="11621" spans="1:12" x14ac:dyDescent="0.3">
      <c r="A11621" s="160">
        <v>85300</v>
      </c>
      <c r="B11621" t="s">
        <v>26548</v>
      </c>
      <c r="C11621" t="s">
        <v>12179</v>
      </c>
      <c r="D11621">
        <v>0.8</v>
      </c>
      <c r="E11621">
        <v>0</v>
      </c>
      <c r="F11621">
        <f t="shared" si="207"/>
        <v>0.8</v>
      </c>
      <c r="I11621">
        <v>20240101</v>
      </c>
      <c r="J11621" t="s">
        <v>12237</v>
      </c>
    </row>
    <row r="11622" spans="1:12" x14ac:dyDescent="0.3">
      <c r="A11622" s="160">
        <v>86004</v>
      </c>
      <c r="B11622" t="s">
        <v>26549</v>
      </c>
      <c r="C11622" t="s">
        <v>12238</v>
      </c>
      <c r="D11622">
        <v>0.8</v>
      </c>
      <c r="E11622">
        <v>0</v>
      </c>
      <c r="F11622">
        <f t="shared" si="207"/>
        <v>0.8</v>
      </c>
      <c r="I11622">
        <v>20240101</v>
      </c>
      <c r="J11622" t="s">
        <v>12239</v>
      </c>
    </row>
    <row r="11623" spans="1:12" x14ac:dyDescent="0.3">
      <c r="A11623" s="160">
        <v>86007</v>
      </c>
      <c r="B11623" t="s">
        <v>26550</v>
      </c>
      <c r="C11623" t="s">
        <v>12238</v>
      </c>
      <c r="D11623">
        <v>0.8</v>
      </c>
      <c r="E11623">
        <v>0</v>
      </c>
      <c r="F11623">
        <f t="shared" si="207"/>
        <v>0.8</v>
      </c>
      <c r="I11623">
        <v>20240101</v>
      </c>
      <c r="J11623" t="s">
        <v>12240</v>
      </c>
      <c r="K11623" t="s">
        <v>12241</v>
      </c>
    </row>
    <row r="11624" spans="1:12" x14ac:dyDescent="0.3">
      <c r="A11624" s="160">
        <v>86009</v>
      </c>
      <c r="B11624" t="s">
        <v>26551</v>
      </c>
      <c r="C11624" t="s">
        <v>12238</v>
      </c>
      <c r="D11624">
        <v>0.8</v>
      </c>
      <c r="E11624">
        <v>0</v>
      </c>
      <c r="F11624">
        <f t="shared" si="207"/>
        <v>0.8</v>
      </c>
      <c r="I11624">
        <v>20210701</v>
      </c>
      <c r="J11624" t="s">
        <v>12242</v>
      </c>
    </row>
    <row r="11625" spans="1:12" x14ac:dyDescent="0.3">
      <c r="A11625" s="160">
        <v>86014</v>
      </c>
      <c r="B11625" t="s">
        <v>26552</v>
      </c>
      <c r="C11625" t="s">
        <v>12238</v>
      </c>
      <c r="D11625">
        <v>0.8</v>
      </c>
      <c r="E11625">
        <v>0</v>
      </c>
      <c r="F11625">
        <f t="shared" si="207"/>
        <v>0.8</v>
      </c>
      <c r="I11625">
        <v>20210701</v>
      </c>
      <c r="J11625" t="s">
        <v>12243</v>
      </c>
    </row>
    <row r="11626" spans="1:12" x14ac:dyDescent="0.3">
      <c r="A11626" s="160">
        <v>86019</v>
      </c>
      <c r="B11626" t="s">
        <v>26553</v>
      </c>
      <c r="C11626" t="s">
        <v>12244</v>
      </c>
      <c r="D11626">
        <v>2</v>
      </c>
      <c r="E11626">
        <v>0</v>
      </c>
      <c r="F11626">
        <f t="shared" si="207"/>
        <v>2</v>
      </c>
      <c r="I11626">
        <v>20230101</v>
      </c>
      <c r="J11626" t="s">
        <v>12245</v>
      </c>
      <c r="K11626" t="s">
        <v>12246</v>
      </c>
      <c r="L11626" t="s">
        <v>12247</v>
      </c>
    </row>
    <row r="11627" spans="1:12" x14ac:dyDescent="0.3">
      <c r="A11627" s="160">
        <v>86024</v>
      </c>
      <c r="B11627" t="s">
        <v>26554</v>
      </c>
      <c r="C11627" t="s">
        <v>12244</v>
      </c>
      <c r="D11627">
        <v>2</v>
      </c>
      <c r="E11627">
        <v>0</v>
      </c>
      <c r="F11627">
        <f t="shared" si="207"/>
        <v>2</v>
      </c>
      <c r="I11627">
        <v>20230101</v>
      </c>
      <c r="J11627" t="s">
        <v>12248</v>
      </c>
    </row>
    <row r="11628" spans="1:12" x14ac:dyDescent="0.3">
      <c r="A11628" s="160">
        <v>86027</v>
      </c>
      <c r="B11628" t="s">
        <v>26555</v>
      </c>
      <c r="C11628" t="s">
        <v>12244</v>
      </c>
      <c r="D11628">
        <v>2</v>
      </c>
      <c r="E11628">
        <v>0</v>
      </c>
      <c r="F11628">
        <f t="shared" si="207"/>
        <v>2</v>
      </c>
      <c r="I11628">
        <v>20230101</v>
      </c>
      <c r="J11628" t="s">
        <v>12249</v>
      </c>
      <c r="K11628" t="s">
        <v>12250</v>
      </c>
      <c r="L11628" t="s">
        <v>12251</v>
      </c>
    </row>
    <row r="11629" spans="1:12" x14ac:dyDescent="0.3">
      <c r="A11629" s="160">
        <v>86028</v>
      </c>
      <c r="B11629" t="s">
        <v>26556</v>
      </c>
      <c r="C11629" t="s">
        <v>12244</v>
      </c>
      <c r="D11629">
        <v>2</v>
      </c>
      <c r="E11629">
        <v>0</v>
      </c>
      <c r="F11629">
        <f t="shared" si="207"/>
        <v>2</v>
      </c>
      <c r="I11629">
        <v>20230101</v>
      </c>
      <c r="J11629" t="s">
        <v>12252</v>
      </c>
    </row>
    <row r="11630" spans="1:12" x14ac:dyDescent="0.3">
      <c r="A11630" s="160">
        <v>86031</v>
      </c>
      <c r="B11630" t="s">
        <v>26557</v>
      </c>
      <c r="C11630" t="s">
        <v>12244</v>
      </c>
      <c r="D11630">
        <v>2</v>
      </c>
      <c r="E11630">
        <v>0</v>
      </c>
      <c r="F11630">
        <f t="shared" si="207"/>
        <v>2</v>
      </c>
      <c r="I11630">
        <v>20230101</v>
      </c>
      <c r="J11630" t="s">
        <v>12253</v>
      </c>
    </row>
    <row r="11631" spans="1:12" x14ac:dyDescent="0.3">
      <c r="A11631" s="160">
        <v>86032</v>
      </c>
      <c r="B11631" t="s">
        <v>26558</v>
      </c>
      <c r="C11631" t="s">
        <v>12238</v>
      </c>
      <c r="D11631">
        <v>0.8</v>
      </c>
      <c r="E11631">
        <v>0</v>
      </c>
      <c r="F11631">
        <f t="shared" si="207"/>
        <v>0.8</v>
      </c>
      <c r="I11631">
        <v>20210701</v>
      </c>
      <c r="J11631" t="s">
        <v>12242</v>
      </c>
    </row>
    <row r="11632" spans="1:12" x14ac:dyDescent="0.3">
      <c r="A11632" s="160">
        <v>86041</v>
      </c>
      <c r="B11632" t="s">
        <v>26559</v>
      </c>
      <c r="C11632" t="s">
        <v>12244</v>
      </c>
      <c r="D11632">
        <v>2</v>
      </c>
      <c r="E11632">
        <v>0</v>
      </c>
      <c r="F11632">
        <f t="shared" si="207"/>
        <v>2</v>
      </c>
      <c r="I11632">
        <v>20230101</v>
      </c>
      <c r="J11632" t="s">
        <v>12254</v>
      </c>
      <c r="K11632" t="s">
        <v>12255</v>
      </c>
    </row>
    <row r="11633" spans="1:87" x14ac:dyDescent="0.3">
      <c r="A11633" s="160">
        <v>86042</v>
      </c>
      <c r="B11633" t="s">
        <v>26560</v>
      </c>
      <c r="C11633" t="s">
        <v>12238</v>
      </c>
      <c r="D11633">
        <v>0.8</v>
      </c>
      <c r="E11633">
        <v>0</v>
      </c>
      <c r="F11633">
        <f t="shared" si="207"/>
        <v>0.8</v>
      </c>
      <c r="I11633">
        <v>20210701</v>
      </c>
      <c r="J11633" t="s">
        <v>12256</v>
      </c>
      <c r="BP11633" t="s">
        <v>12066</v>
      </c>
      <c r="BQ11633" t="s">
        <v>12067</v>
      </c>
      <c r="BR11633" t="s">
        <v>12068</v>
      </c>
      <c r="BS11633" t="s">
        <v>12069</v>
      </c>
      <c r="BT11633" t="s">
        <v>12070</v>
      </c>
      <c r="BU11633" t="s">
        <v>12071</v>
      </c>
      <c r="BV11633" t="s">
        <v>12072</v>
      </c>
      <c r="BW11633" t="s">
        <v>12073</v>
      </c>
      <c r="BX11633" t="s">
        <v>12074</v>
      </c>
      <c r="BY11633" t="s">
        <v>12075</v>
      </c>
      <c r="BZ11633" t="s">
        <v>12076</v>
      </c>
      <c r="CA11633" t="s">
        <v>12077</v>
      </c>
      <c r="CB11633" t="s">
        <v>12078</v>
      </c>
      <c r="CC11633" t="s">
        <v>12079</v>
      </c>
      <c r="CD11633" t="s">
        <v>12080</v>
      </c>
      <c r="CE11633" t="s">
        <v>12081</v>
      </c>
      <c r="CF11633" t="s">
        <v>12082</v>
      </c>
      <c r="CG11633" t="s">
        <v>12083</v>
      </c>
      <c r="CH11633" t="s">
        <v>12084</v>
      </c>
      <c r="CI11633" t="s">
        <v>12085</v>
      </c>
    </row>
    <row r="11634" spans="1:87" x14ac:dyDescent="0.3">
      <c r="A11634" s="160">
        <v>86045</v>
      </c>
      <c r="B11634" t="s">
        <v>26561</v>
      </c>
      <c r="C11634" t="s">
        <v>12244</v>
      </c>
      <c r="D11634">
        <v>2</v>
      </c>
      <c r="E11634">
        <v>0</v>
      </c>
      <c r="F11634">
        <f t="shared" si="207"/>
        <v>2</v>
      </c>
      <c r="I11634">
        <v>20230101</v>
      </c>
      <c r="J11634" t="s">
        <v>12257</v>
      </c>
    </row>
    <row r="11635" spans="1:87" x14ac:dyDescent="0.3">
      <c r="A11635" s="160">
        <v>86046</v>
      </c>
      <c r="B11635" t="s">
        <v>26562</v>
      </c>
      <c r="C11635" t="s">
        <v>12238</v>
      </c>
      <c r="D11635">
        <v>0.8</v>
      </c>
      <c r="E11635">
        <v>0</v>
      </c>
      <c r="F11635">
        <f t="shared" si="207"/>
        <v>0.8</v>
      </c>
      <c r="I11635">
        <v>20210701</v>
      </c>
      <c r="J11635" t="s">
        <v>12258</v>
      </c>
      <c r="K11635" t="s">
        <v>12243</v>
      </c>
    </row>
    <row r="11636" spans="1:87" x14ac:dyDescent="0.3">
      <c r="A11636" s="160">
        <v>86047</v>
      </c>
      <c r="B11636" t="s">
        <v>17884</v>
      </c>
      <c r="C11636" t="s">
        <v>12238</v>
      </c>
      <c r="D11636">
        <v>0.8</v>
      </c>
      <c r="E11636">
        <v>0</v>
      </c>
      <c r="F11636">
        <f t="shared" si="207"/>
        <v>0.8</v>
      </c>
      <c r="I11636">
        <v>20210701</v>
      </c>
      <c r="J11636" t="s">
        <v>12259</v>
      </c>
    </row>
    <row r="11637" spans="1:87" x14ac:dyDescent="0.3">
      <c r="A11637" s="160">
        <v>86058</v>
      </c>
      <c r="B11637" t="s">
        <v>26563</v>
      </c>
      <c r="C11637" t="s">
        <v>12244</v>
      </c>
      <c r="D11637">
        <v>2</v>
      </c>
      <c r="E11637">
        <v>0</v>
      </c>
      <c r="F11637">
        <f t="shared" si="207"/>
        <v>2</v>
      </c>
      <c r="I11637">
        <v>20230101</v>
      </c>
      <c r="J11637" t="s">
        <v>12242</v>
      </c>
    </row>
    <row r="11638" spans="1:87" x14ac:dyDescent="0.3">
      <c r="A11638" s="160">
        <v>86062</v>
      </c>
      <c r="B11638" t="s">
        <v>26564</v>
      </c>
      <c r="C11638" t="s">
        <v>12244</v>
      </c>
      <c r="D11638">
        <v>2</v>
      </c>
      <c r="E11638">
        <v>0</v>
      </c>
      <c r="F11638">
        <f t="shared" si="207"/>
        <v>2</v>
      </c>
      <c r="I11638">
        <v>20230101</v>
      </c>
      <c r="J11638" t="s">
        <v>12246</v>
      </c>
      <c r="K11638" t="s">
        <v>12260</v>
      </c>
      <c r="L11638" t="s">
        <v>12261</v>
      </c>
      <c r="M11638" t="s">
        <v>12262</v>
      </c>
      <c r="N11638" t="s">
        <v>12263</v>
      </c>
      <c r="O11638" t="s">
        <v>12264</v>
      </c>
      <c r="P11638" t="s">
        <v>12265</v>
      </c>
      <c r="Q11638" t="s">
        <v>12266</v>
      </c>
      <c r="R11638" t="s">
        <v>12267</v>
      </c>
    </row>
    <row r="11639" spans="1:87" x14ac:dyDescent="0.3">
      <c r="A11639" s="160">
        <v>86066</v>
      </c>
      <c r="B11639" t="s">
        <v>26565</v>
      </c>
      <c r="C11639" t="s">
        <v>12238</v>
      </c>
      <c r="D11639">
        <v>0.8</v>
      </c>
      <c r="E11639">
        <v>0</v>
      </c>
      <c r="F11639">
        <f t="shared" si="207"/>
        <v>0.8</v>
      </c>
      <c r="I11639">
        <v>20210701</v>
      </c>
      <c r="J11639" t="s">
        <v>12240</v>
      </c>
      <c r="K11639" t="s">
        <v>12258</v>
      </c>
      <c r="L11639" t="s">
        <v>12268</v>
      </c>
      <c r="M11639" t="s">
        <v>12269</v>
      </c>
      <c r="N11639" t="s">
        <v>12241</v>
      </c>
      <c r="O11639" t="s">
        <v>12270</v>
      </c>
      <c r="P11639" t="s">
        <v>12271</v>
      </c>
      <c r="Q11639" t="s">
        <v>12272</v>
      </c>
      <c r="R11639" t="s">
        <v>12273</v>
      </c>
      <c r="S11639" t="s">
        <v>12274</v>
      </c>
    </row>
    <row r="11640" spans="1:87" x14ac:dyDescent="0.3">
      <c r="A11640" s="160">
        <v>86070</v>
      </c>
      <c r="B11640" t="s">
        <v>26566</v>
      </c>
      <c r="C11640" t="s">
        <v>12244</v>
      </c>
      <c r="D11640">
        <v>2</v>
      </c>
      <c r="E11640">
        <v>0</v>
      </c>
      <c r="F11640">
        <f t="shared" si="207"/>
        <v>2</v>
      </c>
      <c r="I11640">
        <v>20240101</v>
      </c>
      <c r="J11640" t="s">
        <v>12253</v>
      </c>
    </row>
    <row r="11641" spans="1:87" x14ac:dyDescent="0.3">
      <c r="A11641" s="160">
        <v>86072</v>
      </c>
      <c r="B11641" t="s">
        <v>26567</v>
      </c>
      <c r="C11641" t="s">
        <v>12238</v>
      </c>
      <c r="D11641">
        <v>0.8</v>
      </c>
      <c r="E11641">
        <v>0</v>
      </c>
      <c r="F11641">
        <f t="shared" si="207"/>
        <v>0.8</v>
      </c>
      <c r="I11641">
        <v>20240101</v>
      </c>
      <c r="J11641" t="s">
        <v>12275</v>
      </c>
    </row>
    <row r="11642" spans="1:87" x14ac:dyDescent="0.3">
      <c r="A11642" s="160">
        <v>86080</v>
      </c>
      <c r="B11642" t="s">
        <v>26568</v>
      </c>
      <c r="C11642" t="s">
        <v>12244</v>
      </c>
      <c r="D11642">
        <v>2</v>
      </c>
      <c r="E11642">
        <v>0</v>
      </c>
      <c r="F11642">
        <f t="shared" si="207"/>
        <v>2</v>
      </c>
      <c r="I11642">
        <v>20230101</v>
      </c>
      <c r="J11642" t="s">
        <v>12257</v>
      </c>
    </row>
    <row r="11643" spans="1:87" x14ac:dyDescent="0.3">
      <c r="A11643" s="160">
        <v>86081</v>
      </c>
      <c r="B11643" t="s">
        <v>16741</v>
      </c>
      <c r="C11643" t="s">
        <v>12238</v>
      </c>
      <c r="D11643">
        <v>0.8</v>
      </c>
      <c r="E11643">
        <v>0</v>
      </c>
      <c r="F11643">
        <f t="shared" si="207"/>
        <v>0.8</v>
      </c>
      <c r="I11643">
        <v>20210701</v>
      </c>
      <c r="J11643" t="s">
        <v>12247</v>
      </c>
    </row>
    <row r="11644" spans="1:87" x14ac:dyDescent="0.3">
      <c r="A11644" s="160">
        <v>86083</v>
      </c>
      <c r="B11644" t="s">
        <v>26569</v>
      </c>
      <c r="C11644" t="s">
        <v>12244</v>
      </c>
      <c r="D11644">
        <v>2</v>
      </c>
      <c r="E11644">
        <v>0</v>
      </c>
      <c r="F11644">
        <f t="shared" si="207"/>
        <v>2</v>
      </c>
      <c r="I11644">
        <v>20230101</v>
      </c>
      <c r="J11644" t="s">
        <v>12257</v>
      </c>
    </row>
    <row r="11645" spans="1:87" x14ac:dyDescent="0.3">
      <c r="A11645" s="160">
        <v>86086</v>
      </c>
      <c r="B11645" t="s">
        <v>26570</v>
      </c>
      <c r="C11645" t="s">
        <v>12238</v>
      </c>
      <c r="D11645">
        <v>0.8</v>
      </c>
      <c r="E11645">
        <v>0</v>
      </c>
      <c r="F11645">
        <f t="shared" si="207"/>
        <v>0.8</v>
      </c>
      <c r="I11645">
        <v>20240101</v>
      </c>
      <c r="J11645" t="s">
        <v>12276</v>
      </c>
    </row>
    <row r="11646" spans="1:87" x14ac:dyDescent="0.3">
      <c r="A11646" s="160">
        <v>86088</v>
      </c>
      <c r="B11646" t="s">
        <v>26571</v>
      </c>
      <c r="C11646" t="s">
        <v>12244</v>
      </c>
      <c r="D11646">
        <v>2</v>
      </c>
      <c r="E11646">
        <v>0</v>
      </c>
      <c r="F11646">
        <f t="shared" si="207"/>
        <v>2</v>
      </c>
      <c r="I11646">
        <v>20230101</v>
      </c>
      <c r="J11646" t="s">
        <v>12277</v>
      </c>
    </row>
    <row r="11647" spans="1:87" x14ac:dyDescent="0.3">
      <c r="A11647" s="160">
        <v>86091</v>
      </c>
      <c r="B11647" t="s">
        <v>26572</v>
      </c>
      <c r="C11647" t="s">
        <v>12244</v>
      </c>
      <c r="D11647">
        <v>2</v>
      </c>
      <c r="E11647">
        <v>0</v>
      </c>
      <c r="F11647">
        <f t="shared" si="207"/>
        <v>2</v>
      </c>
      <c r="I11647">
        <v>20230101</v>
      </c>
      <c r="J11647" t="s">
        <v>12257</v>
      </c>
    </row>
    <row r="11648" spans="1:87" x14ac:dyDescent="0.3">
      <c r="A11648" s="160">
        <v>86092</v>
      </c>
      <c r="B11648" t="s">
        <v>26573</v>
      </c>
      <c r="C11648" t="s">
        <v>12238</v>
      </c>
      <c r="D11648">
        <v>0.8</v>
      </c>
      <c r="E11648">
        <v>0</v>
      </c>
      <c r="F11648">
        <f t="shared" si="207"/>
        <v>0.8</v>
      </c>
      <c r="I11648">
        <v>20210701</v>
      </c>
      <c r="J11648" t="s">
        <v>12278</v>
      </c>
    </row>
    <row r="11649" spans="1:17" x14ac:dyDescent="0.3">
      <c r="A11649" s="160">
        <v>86095</v>
      </c>
      <c r="B11649" t="s">
        <v>26574</v>
      </c>
      <c r="C11649" t="s">
        <v>12244</v>
      </c>
      <c r="D11649">
        <v>2</v>
      </c>
      <c r="E11649">
        <v>0</v>
      </c>
      <c r="F11649">
        <f t="shared" si="207"/>
        <v>2</v>
      </c>
      <c r="I11649">
        <v>20230101</v>
      </c>
      <c r="J11649" t="s">
        <v>12245</v>
      </c>
      <c r="K11649" t="s">
        <v>12246</v>
      </c>
      <c r="L11649" t="s">
        <v>12279</v>
      </c>
    </row>
    <row r="11650" spans="1:17" x14ac:dyDescent="0.3">
      <c r="A11650" s="160">
        <v>86096</v>
      </c>
      <c r="B11650" t="s">
        <v>26575</v>
      </c>
      <c r="C11650" t="s">
        <v>12238</v>
      </c>
      <c r="D11650">
        <v>0.8</v>
      </c>
      <c r="E11650">
        <v>0</v>
      </c>
      <c r="F11650">
        <f t="shared" si="207"/>
        <v>0.8</v>
      </c>
      <c r="I11650">
        <v>20210701</v>
      </c>
      <c r="J11650" t="s">
        <v>12259</v>
      </c>
    </row>
    <row r="11651" spans="1:17" x14ac:dyDescent="0.3">
      <c r="A11651" s="160">
        <v>86100</v>
      </c>
      <c r="B11651" t="s">
        <v>26576</v>
      </c>
      <c r="C11651" t="s">
        <v>12244</v>
      </c>
      <c r="D11651">
        <v>2</v>
      </c>
      <c r="E11651">
        <v>0</v>
      </c>
      <c r="F11651">
        <f t="shared" si="207"/>
        <v>2</v>
      </c>
      <c r="I11651">
        <v>20230101</v>
      </c>
      <c r="J11651" t="s">
        <v>12277</v>
      </c>
    </row>
    <row r="11652" spans="1:17" x14ac:dyDescent="0.3">
      <c r="A11652" s="160">
        <v>86111</v>
      </c>
      <c r="B11652" t="s">
        <v>26577</v>
      </c>
      <c r="C11652" t="s">
        <v>12238</v>
      </c>
      <c r="D11652">
        <v>0.8</v>
      </c>
      <c r="E11652">
        <v>0</v>
      </c>
      <c r="F11652">
        <f t="shared" si="207"/>
        <v>0.8</v>
      </c>
      <c r="I11652">
        <v>20240101</v>
      </c>
      <c r="J11652" t="s">
        <v>12258</v>
      </c>
      <c r="K11652" t="s">
        <v>12271</v>
      </c>
      <c r="L11652" t="s">
        <v>12272</v>
      </c>
      <c r="M11652" t="s">
        <v>12278</v>
      </c>
    </row>
    <row r="11653" spans="1:17" x14ac:dyDescent="0.3">
      <c r="A11653" s="160">
        <v>86114</v>
      </c>
      <c r="B11653" t="s">
        <v>26578</v>
      </c>
      <c r="C11653" t="s">
        <v>12244</v>
      </c>
      <c r="D11653">
        <v>2</v>
      </c>
      <c r="E11653">
        <v>0</v>
      </c>
      <c r="F11653">
        <f t="shared" si="207"/>
        <v>2</v>
      </c>
      <c r="I11653">
        <v>20240101</v>
      </c>
      <c r="J11653" t="s">
        <v>12252</v>
      </c>
    </row>
    <row r="11654" spans="1:17" x14ac:dyDescent="0.3">
      <c r="A11654" s="160">
        <v>86115</v>
      </c>
      <c r="B11654" t="s">
        <v>26579</v>
      </c>
      <c r="C11654" t="s">
        <v>12244</v>
      </c>
      <c r="D11654">
        <v>2</v>
      </c>
      <c r="E11654">
        <v>0</v>
      </c>
      <c r="F11654">
        <f t="shared" si="207"/>
        <v>2</v>
      </c>
      <c r="I11654">
        <v>20230101</v>
      </c>
      <c r="J11654" t="s">
        <v>12245</v>
      </c>
      <c r="K11654" t="s">
        <v>12246</v>
      </c>
      <c r="L11654" t="s">
        <v>12280</v>
      </c>
      <c r="M11654" t="s">
        <v>12260</v>
      </c>
      <c r="N11654" t="s">
        <v>12281</v>
      </c>
      <c r="O11654" t="s">
        <v>12282</v>
      </c>
      <c r="P11654" t="s">
        <v>12264</v>
      </c>
      <c r="Q11654" t="s">
        <v>12265</v>
      </c>
    </row>
    <row r="11655" spans="1:17" x14ac:dyDescent="0.3">
      <c r="A11655" s="160">
        <v>86116</v>
      </c>
      <c r="B11655" t="s">
        <v>26580</v>
      </c>
      <c r="C11655" t="s">
        <v>12244</v>
      </c>
      <c r="D11655">
        <v>2</v>
      </c>
      <c r="E11655">
        <v>0</v>
      </c>
      <c r="F11655">
        <f t="shared" ref="F11655:F11718" si="208">D11655+E11655</f>
        <v>2</v>
      </c>
      <c r="I11655">
        <v>20230101</v>
      </c>
      <c r="J11655" t="s">
        <v>12257</v>
      </c>
    </row>
    <row r="11656" spans="1:17" x14ac:dyDescent="0.3">
      <c r="A11656" s="160">
        <v>86124</v>
      </c>
      <c r="B11656" t="s">
        <v>26581</v>
      </c>
      <c r="C11656" t="s">
        <v>12244</v>
      </c>
      <c r="D11656">
        <v>2</v>
      </c>
      <c r="E11656">
        <v>0</v>
      </c>
      <c r="F11656">
        <f t="shared" si="208"/>
        <v>2</v>
      </c>
      <c r="I11656">
        <v>20230101</v>
      </c>
      <c r="J11656" t="s">
        <v>12252</v>
      </c>
    </row>
    <row r="11657" spans="1:17" x14ac:dyDescent="0.3">
      <c r="A11657" s="160">
        <v>86125</v>
      </c>
      <c r="B11657" t="s">
        <v>26582</v>
      </c>
      <c r="C11657" t="s">
        <v>12238</v>
      </c>
      <c r="D11657">
        <v>0.8</v>
      </c>
      <c r="E11657">
        <v>0</v>
      </c>
      <c r="F11657">
        <f t="shared" si="208"/>
        <v>0.8</v>
      </c>
      <c r="I11657">
        <v>20240101</v>
      </c>
      <c r="J11657" t="s">
        <v>12268</v>
      </c>
      <c r="K11657" t="s">
        <v>12275</v>
      </c>
    </row>
    <row r="11658" spans="1:17" x14ac:dyDescent="0.3">
      <c r="A11658" s="160">
        <v>86127</v>
      </c>
      <c r="B11658" t="s">
        <v>26583</v>
      </c>
      <c r="C11658" t="s">
        <v>12238</v>
      </c>
      <c r="D11658">
        <v>0.8</v>
      </c>
      <c r="E11658">
        <v>0</v>
      </c>
      <c r="F11658">
        <f t="shared" si="208"/>
        <v>0.8</v>
      </c>
      <c r="I11658">
        <v>20240101</v>
      </c>
      <c r="J11658" t="s">
        <v>12283</v>
      </c>
    </row>
    <row r="11659" spans="1:17" x14ac:dyDescent="0.3">
      <c r="A11659" s="160">
        <v>86128</v>
      </c>
      <c r="B11659" t="s">
        <v>26584</v>
      </c>
      <c r="C11659" t="s">
        <v>12238</v>
      </c>
      <c r="D11659">
        <v>0.8</v>
      </c>
      <c r="E11659">
        <v>0</v>
      </c>
      <c r="F11659">
        <f t="shared" si="208"/>
        <v>0.8</v>
      </c>
      <c r="I11659">
        <v>20210701</v>
      </c>
      <c r="J11659" t="s">
        <v>12259</v>
      </c>
    </row>
    <row r="11660" spans="1:17" x14ac:dyDescent="0.3">
      <c r="A11660" s="160">
        <v>86129</v>
      </c>
      <c r="B11660" t="s">
        <v>25701</v>
      </c>
      <c r="C11660" t="s">
        <v>12238</v>
      </c>
      <c r="D11660">
        <v>0.8</v>
      </c>
      <c r="E11660">
        <v>0</v>
      </c>
      <c r="F11660">
        <f t="shared" si="208"/>
        <v>0.8</v>
      </c>
      <c r="I11660">
        <v>20240101</v>
      </c>
      <c r="J11660" t="s">
        <v>12276</v>
      </c>
    </row>
    <row r="11661" spans="1:17" x14ac:dyDescent="0.3">
      <c r="A11661" s="160">
        <v>86130</v>
      </c>
      <c r="B11661" t="s">
        <v>26585</v>
      </c>
      <c r="C11661" t="s">
        <v>12238</v>
      </c>
      <c r="D11661">
        <v>0.8</v>
      </c>
      <c r="E11661">
        <v>0</v>
      </c>
      <c r="F11661">
        <f t="shared" si="208"/>
        <v>0.8</v>
      </c>
      <c r="I11661">
        <v>20210701</v>
      </c>
      <c r="J11661" t="s">
        <v>12278</v>
      </c>
    </row>
    <row r="11662" spans="1:17" x14ac:dyDescent="0.3">
      <c r="A11662" s="160">
        <v>86133</v>
      </c>
      <c r="B11662" t="s">
        <v>26586</v>
      </c>
      <c r="C11662" t="s">
        <v>12244</v>
      </c>
      <c r="D11662">
        <v>2</v>
      </c>
      <c r="E11662">
        <v>0</v>
      </c>
      <c r="F11662">
        <f t="shared" si="208"/>
        <v>2</v>
      </c>
      <c r="I11662">
        <v>20230101</v>
      </c>
      <c r="J11662" t="s">
        <v>12284</v>
      </c>
      <c r="K11662" t="s">
        <v>12277</v>
      </c>
    </row>
    <row r="11663" spans="1:17" x14ac:dyDescent="0.3">
      <c r="A11663" s="160">
        <v>86135</v>
      </c>
      <c r="B11663" t="s">
        <v>26587</v>
      </c>
      <c r="C11663" t="s">
        <v>12244</v>
      </c>
      <c r="D11663">
        <v>2</v>
      </c>
      <c r="E11663">
        <v>0</v>
      </c>
      <c r="F11663">
        <f t="shared" si="208"/>
        <v>2</v>
      </c>
      <c r="I11663">
        <v>20230101</v>
      </c>
      <c r="J11663" t="s">
        <v>12252</v>
      </c>
    </row>
    <row r="11664" spans="1:17" x14ac:dyDescent="0.3">
      <c r="A11664" s="160">
        <v>86139</v>
      </c>
      <c r="B11664" t="s">
        <v>26588</v>
      </c>
      <c r="C11664" t="s">
        <v>12244</v>
      </c>
      <c r="D11664">
        <v>2</v>
      </c>
      <c r="E11664">
        <v>0</v>
      </c>
      <c r="F11664">
        <f t="shared" si="208"/>
        <v>2</v>
      </c>
      <c r="I11664">
        <v>20230101</v>
      </c>
      <c r="J11664" t="s">
        <v>12257</v>
      </c>
    </row>
    <row r="11665" spans="1:49" x14ac:dyDescent="0.3">
      <c r="A11665" s="160">
        <v>86143</v>
      </c>
      <c r="B11665" t="s">
        <v>26589</v>
      </c>
      <c r="C11665" t="s">
        <v>12238</v>
      </c>
      <c r="D11665">
        <v>0.8</v>
      </c>
      <c r="E11665">
        <v>0</v>
      </c>
      <c r="F11665">
        <f t="shared" si="208"/>
        <v>0.8</v>
      </c>
      <c r="I11665">
        <v>20240101</v>
      </c>
      <c r="J11665" t="s">
        <v>12276</v>
      </c>
    </row>
    <row r="11666" spans="1:49" x14ac:dyDescent="0.3">
      <c r="A11666" s="160">
        <v>86157</v>
      </c>
      <c r="B11666" t="s">
        <v>26590</v>
      </c>
      <c r="C11666" t="s">
        <v>12244</v>
      </c>
      <c r="D11666">
        <v>2</v>
      </c>
      <c r="E11666">
        <v>0</v>
      </c>
      <c r="F11666">
        <f t="shared" si="208"/>
        <v>2</v>
      </c>
      <c r="I11666">
        <v>20230101</v>
      </c>
      <c r="J11666" t="s">
        <v>12285</v>
      </c>
    </row>
    <row r="11667" spans="1:49" x14ac:dyDescent="0.3">
      <c r="A11667" s="160">
        <v>86158</v>
      </c>
      <c r="B11667" t="s">
        <v>26591</v>
      </c>
      <c r="C11667" t="s">
        <v>12244</v>
      </c>
      <c r="D11667">
        <v>2</v>
      </c>
      <c r="E11667">
        <v>0</v>
      </c>
      <c r="F11667">
        <f t="shared" si="208"/>
        <v>2</v>
      </c>
      <c r="I11667">
        <v>20230101</v>
      </c>
      <c r="J11667" t="s">
        <v>12249</v>
      </c>
      <c r="K11667" t="s">
        <v>12286</v>
      </c>
      <c r="L11667" t="s">
        <v>12250</v>
      </c>
      <c r="M11667" t="s">
        <v>12287</v>
      </c>
    </row>
    <row r="11668" spans="1:49" x14ac:dyDescent="0.3">
      <c r="A11668" s="160">
        <v>86162</v>
      </c>
      <c r="B11668" t="s">
        <v>26592</v>
      </c>
      <c r="C11668" t="s">
        <v>12238</v>
      </c>
      <c r="D11668">
        <v>0.8</v>
      </c>
      <c r="E11668">
        <v>0</v>
      </c>
      <c r="F11668">
        <f t="shared" si="208"/>
        <v>0.8</v>
      </c>
      <c r="I11668">
        <v>20240101</v>
      </c>
      <c r="J11668" t="s">
        <v>12283</v>
      </c>
    </row>
    <row r="11669" spans="1:49" x14ac:dyDescent="0.3">
      <c r="A11669" s="160">
        <v>86163</v>
      </c>
      <c r="B11669" t="s">
        <v>26593</v>
      </c>
      <c r="C11669" t="s">
        <v>12244</v>
      </c>
      <c r="D11669">
        <v>2</v>
      </c>
      <c r="E11669">
        <v>0</v>
      </c>
      <c r="F11669">
        <f t="shared" si="208"/>
        <v>2</v>
      </c>
      <c r="I11669">
        <v>20230101</v>
      </c>
      <c r="J11669" t="s">
        <v>12261</v>
      </c>
      <c r="K11669" t="s">
        <v>12263</v>
      </c>
    </row>
    <row r="11670" spans="1:49" x14ac:dyDescent="0.3">
      <c r="A11670" s="160">
        <v>86164</v>
      </c>
      <c r="B11670" t="s">
        <v>26594</v>
      </c>
      <c r="C11670" t="s">
        <v>12238</v>
      </c>
      <c r="D11670">
        <v>0.8</v>
      </c>
      <c r="E11670">
        <v>0</v>
      </c>
      <c r="F11670">
        <f t="shared" si="208"/>
        <v>0.8</v>
      </c>
      <c r="I11670">
        <v>20210701</v>
      </c>
      <c r="J11670" t="s">
        <v>12242</v>
      </c>
    </row>
    <row r="11671" spans="1:49" x14ac:dyDescent="0.3">
      <c r="A11671" s="160">
        <v>86174</v>
      </c>
      <c r="B11671" t="s">
        <v>26595</v>
      </c>
      <c r="C11671" t="s">
        <v>12238</v>
      </c>
      <c r="D11671">
        <v>0.8</v>
      </c>
      <c r="E11671">
        <v>0</v>
      </c>
      <c r="F11671">
        <f t="shared" si="208"/>
        <v>0.8</v>
      </c>
      <c r="I11671">
        <v>20210701</v>
      </c>
      <c r="J11671" t="s">
        <v>12243</v>
      </c>
    </row>
    <row r="11672" spans="1:49" x14ac:dyDescent="0.3">
      <c r="A11672" s="160">
        <v>86182</v>
      </c>
      <c r="B11672" t="s">
        <v>26596</v>
      </c>
      <c r="C11672" t="s">
        <v>12238</v>
      </c>
      <c r="D11672">
        <v>0.8</v>
      </c>
      <c r="E11672">
        <v>0</v>
      </c>
      <c r="F11672">
        <f t="shared" si="208"/>
        <v>0.8</v>
      </c>
      <c r="I11672">
        <v>20210701</v>
      </c>
      <c r="J11672" t="s">
        <v>12283</v>
      </c>
    </row>
    <row r="11673" spans="1:49" x14ac:dyDescent="0.3">
      <c r="A11673" s="160">
        <v>86183</v>
      </c>
      <c r="B11673" t="s">
        <v>26597</v>
      </c>
      <c r="C11673" t="s">
        <v>12238</v>
      </c>
      <c r="D11673">
        <v>0.8</v>
      </c>
      <c r="E11673">
        <v>0</v>
      </c>
      <c r="F11673">
        <f t="shared" si="208"/>
        <v>0.8</v>
      </c>
      <c r="I11673">
        <v>20210701</v>
      </c>
      <c r="J11673" t="s">
        <v>12278</v>
      </c>
    </row>
    <row r="11674" spans="1:49" x14ac:dyDescent="0.3">
      <c r="A11674" s="160">
        <v>86184</v>
      </c>
      <c r="B11674" t="s">
        <v>26598</v>
      </c>
      <c r="C11674" t="s">
        <v>12238</v>
      </c>
      <c r="D11674">
        <v>0.8</v>
      </c>
      <c r="E11674">
        <v>0</v>
      </c>
      <c r="F11674">
        <f t="shared" si="208"/>
        <v>0.8</v>
      </c>
      <c r="I11674">
        <v>20210701</v>
      </c>
      <c r="J11674" t="s">
        <v>12282</v>
      </c>
    </row>
    <row r="11675" spans="1:49" x14ac:dyDescent="0.3">
      <c r="A11675" s="160">
        <v>86186</v>
      </c>
      <c r="B11675" t="s">
        <v>26599</v>
      </c>
      <c r="C11675" t="s">
        <v>12238</v>
      </c>
      <c r="D11675">
        <v>0.8</v>
      </c>
      <c r="E11675">
        <v>0</v>
      </c>
      <c r="F11675">
        <f t="shared" si="208"/>
        <v>0.8</v>
      </c>
      <c r="I11675">
        <v>20210701</v>
      </c>
      <c r="J11675" t="s">
        <v>12270</v>
      </c>
      <c r="K11675" t="s">
        <v>12278</v>
      </c>
    </row>
    <row r="11676" spans="1:49" x14ac:dyDescent="0.3">
      <c r="A11676" s="160">
        <v>86193</v>
      </c>
      <c r="B11676" t="s">
        <v>26600</v>
      </c>
      <c r="C11676" t="s">
        <v>12238</v>
      </c>
      <c r="D11676">
        <v>0.8</v>
      </c>
      <c r="E11676">
        <v>0</v>
      </c>
      <c r="F11676">
        <f t="shared" si="208"/>
        <v>0.8</v>
      </c>
      <c r="I11676">
        <v>20240101</v>
      </c>
      <c r="J11676" t="s">
        <v>12275</v>
      </c>
    </row>
    <row r="11677" spans="1:49" x14ac:dyDescent="0.3">
      <c r="A11677" s="160">
        <v>86194</v>
      </c>
      <c r="B11677" t="s">
        <v>26601</v>
      </c>
      <c r="C11677" t="s">
        <v>12244</v>
      </c>
      <c r="D11677">
        <v>2</v>
      </c>
      <c r="E11677">
        <v>0</v>
      </c>
      <c r="F11677">
        <f t="shared" si="208"/>
        <v>2</v>
      </c>
      <c r="I11677">
        <v>20230101</v>
      </c>
      <c r="J11677" t="s">
        <v>12288</v>
      </c>
      <c r="K11677" t="s">
        <v>12289</v>
      </c>
      <c r="L11677" t="s">
        <v>12290</v>
      </c>
      <c r="M11677" t="s">
        <v>12291</v>
      </c>
      <c r="N11677" t="s">
        <v>12292</v>
      </c>
      <c r="O11677" t="s">
        <v>12293</v>
      </c>
      <c r="P11677" t="s">
        <v>12294</v>
      </c>
      <c r="Q11677" t="s">
        <v>12295</v>
      </c>
      <c r="R11677" t="s">
        <v>12296</v>
      </c>
      <c r="S11677" t="s">
        <v>12297</v>
      </c>
      <c r="T11677" t="s">
        <v>12298</v>
      </c>
      <c r="U11677" t="s">
        <v>12299</v>
      </c>
      <c r="V11677" t="s">
        <v>12254</v>
      </c>
      <c r="W11677" t="s">
        <v>12300</v>
      </c>
      <c r="X11677" t="s">
        <v>12301</v>
      </c>
      <c r="Y11677" t="s">
        <v>12302</v>
      </c>
      <c r="Z11677" t="s">
        <v>12303</v>
      </c>
      <c r="AA11677" t="s">
        <v>12304</v>
      </c>
      <c r="AB11677" t="s">
        <v>12305</v>
      </c>
      <c r="AC11677" t="s">
        <v>12306</v>
      </c>
      <c r="AD11677" t="s">
        <v>12307</v>
      </c>
      <c r="AE11677" t="s">
        <v>12308</v>
      </c>
      <c r="AF11677" t="s">
        <v>12309</v>
      </c>
      <c r="AG11677" t="s">
        <v>12310</v>
      </c>
      <c r="AH11677" t="s">
        <v>12311</v>
      </c>
      <c r="AI11677" t="s">
        <v>12312</v>
      </c>
      <c r="AJ11677" t="s">
        <v>12313</v>
      </c>
      <c r="AK11677" t="s">
        <v>12314</v>
      </c>
      <c r="AL11677" t="s">
        <v>12249</v>
      </c>
      <c r="AM11677" t="s">
        <v>12286</v>
      </c>
      <c r="AN11677" t="s">
        <v>12250</v>
      </c>
      <c r="AO11677" t="s">
        <v>12315</v>
      </c>
      <c r="AP11677" t="s">
        <v>12316</v>
      </c>
      <c r="AQ11677" t="s">
        <v>12317</v>
      </c>
      <c r="AR11677" t="s">
        <v>12318</v>
      </c>
      <c r="AS11677" t="s">
        <v>12319</v>
      </c>
      <c r="AT11677" t="s">
        <v>12320</v>
      </c>
      <c r="AU11677" t="s">
        <v>12321</v>
      </c>
      <c r="AV11677" t="s">
        <v>12322</v>
      </c>
      <c r="AW11677" t="s">
        <v>12265</v>
      </c>
    </row>
    <row r="11678" spans="1:49" x14ac:dyDescent="0.3">
      <c r="A11678" s="160">
        <v>86195</v>
      </c>
      <c r="B11678" t="s">
        <v>26602</v>
      </c>
      <c r="C11678" t="s">
        <v>12238</v>
      </c>
      <c r="D11678">
        <v>0.8</v>
      </c>
      <c r="E11678">
        <v>0</v>
      </c>
      <c r="F11678">
        <f t="shared" si="208"/>
        <v>0.8</v>
      </c>
      <c r="I11678">
        <v>20210701</v>
      </c>
      <c r="J11678" t="s">
        <v>12278</v>
      </c>
    </row>
    <row r="11679" spans="1:49" x14ac:dyDescent="0.3">
      <c r="A11679" s="160">
        <v>86198</v>
      </c>
      <c r="B11679" t="s">
        <v>26603</v>
      </c>
      <c r="C11679" t="s">
        <v>12244</v>
      </c>
      <c r="D11679">
        <v>2</v>
      </c>
      <c r="E11679">
        <v>0</v>
      </c>
      <c r="F11679">
        <f t="shared" si="208"/>
        <v>2</v>
      </c>
      <c r="I11679">
        <v>20230101</v>
      </c>
      <c r="J11679" t="s">
        <v>12252</v>
      </c>
    </row>
    <row r="11680" spans="1:49" x14ac:dyDescent="0.3">
      <c r="A11680" s="160">
        <v>86202</v>
      </c>
      <c r="B11680" t="s">
        <v>26604</v>
      </c>
      <c r="C11680" t="s">
        <v>12244</v>
      </c>
      <c r="D11680">
        <v>2</v>
      </c>
      <c r="E11680">
        <v>0</v>
      </c>
      <c r="F11680">
        <f t="shared" si="208"/>
        <v>2</v>
      </c>
      <c r="I11680">
        <v>20240101</v>
      </c>
      <c r="J11680" t="s">
        <v>12239</v>
      </c>
    </row>
    <row r="11681" spans="1:15" x14ac:dyDescent="0.3">
      <c r="A11681" s="160">
        <v>86207</v>
      </c>
      <c r="B11681" t="s">
        <v>26605</v>
      </c>
      <c r="C11681" t="s">
        <v>12238</v>
      </c>
      <c r="D11681">
        <v>0.8</v>
      </c>
      <c r="E11681">
        <v>0</v>
      </c>
      <c r="F11681">
        <f t="shared" si="208"/>
        <v>0.8</v>
      </c>
      <c r="I11681">
        <v>20240101</v>
      </c>
      <c r="J11681" t="s">
        <v>12276</v>
      </c>
    </row>
    <row r="11682" spans="1:15" x14ac:dyDescent="0.3">
      <c r="A11682" s="160">
        <v>86213</v>
      </c>
      <c r="B11682" t="s">
        <v>26606</v>
      </c>
      <c r="C11682" t="s">
        <v>12244</v>
      </c>
      <c r="D11682">
        <v>2</v>
      </c>
      <c r="E11682">
        <v>0</v>
      </c>
      <c r="F11682">
        <f t="shared" si="208"/>
        <v>2</v>
      </c>
      <c r="I11682">
        <v>20230101</v>
      </c>
      <c r="J11682" t="s">
        <v>12323</v>
      </c>
    </row>
    <row r="11683" spans="1:15" x14ac:dyDescent="0.3">
      <c r="A11683" s="160">
        <v>86214</v>
      </c>
      <c r="B11683" t="s">
        <v>26607</v>
      </c>
      <c r="C11683" t="s">
        <v>12244</v>
      </c>
      <c r="D11683">
        <v>2</v>
      </c>
      <c r="E11683">
        <v>0</v>
      </c>
      <c r="F11683">
        <f t="shared" si="208"/>
        <v>2</v>
      </c>
      <c r="I11683">
        <v>20230101</v>
      </c>
      <c r="J11683" t="s">
        <v>12295</v>
      </c>
      <c r="K11683" t="s">
        <v>12250</v>
      </c>
      <c r="L11683" t="s">
        <v>12324</v>
      </c>
      <c r="M11683" t="s">
        <v>12325</v>
      </c>
      <c r="N11683" t="s">
        <v>12326</v>
      </c>
      <c r="O11683" t="s">
        <v>12327</v>
      </c>
    </row>
    <row r="11684" spans="1:15" x14ac:dyDescent="0.3">
      <c r="A11684" s="160">
        <v>86217</v>
      </c>
      <c r="B11684" t="s">
        <v>16798</v>
      </c>
      <c r="C11684" t="s">
        <v>12238</v>
      </c>
      <c r="D11684">
        <v>0.8</v>
      </c>
      <c r="E11684">
        <v>0</v>
      </c>
      <c r="F11684">
        <f t="shared" si="208"/>
        <v>0.8</v>
      </c>
      <c r="I11684">
        <v>20240101</v>
      </c>
      <c r="J11684" t="s">
        <v>12283</v>
      </c>
    </row>
    <row r="11685" spans="1:15" x14ac:dyDescent="0.3">
      <c r="A11685" s="160">
        <v>86221</v>
      </c>
      <c r="B11685" t="s">
        <v>26608</v>
      </c>
      <c r="C11685" t="s">
        <v>12238</v>
      </c>
      <c r="D11685">
        <v>0.8</v>
      </c>
      <c r="E11685">
        <v>0</v>
      </c>
      <c r="F11685">
        <f t="shared" si="208"/>
        <v>0.8</v>
      </c>
      <c r="I11685">
        <v>20210701</v>
      </c>
      <c r="J11685" t="s">
        <v>12259</v>
      </c>
    </row>
    <row r="11686" spans="1:15" x14ac:dyDescent="0.3">
      <c r="A11686" s="160">
        <v>86222</v>
      </c>
      <c r="B11686" t="s">
        <v>26609</v>
      </c>
      <c r="C11686" t="s">
        <v>12244</v>
      </c>
      <c r="D11686">
        <v>2</v>
      </c>
      <c r="E11686">
        <v>0</v>
      </c>
      <c r="F11686">
        <f t="shared" si="208"/>
        <v>2</v>
      </c>
      <c r="I11686">
        <v>20230101</v>
      </c>
      <c r="J11686" t="s">
        <v>12245</v>
      </c>
      <c r="K11686" t="s">
        <v>12328</v>
      </c>
      <c r="L11686" t="s">
        <v>12329</v>
      </c>
    </row>
    <row r="11687" spans="1:15" x14ac:dyDescent="0.3">
      <c r="A11687" s="160">
        <v>86224</v>
      </c>
      <c r="B11687" t="s">
        <v>26610</v>
      </c>
      <c r="C11687" t="s">
        <v>12238</v>
      </c>
      <c r="D11687">
        <v>0.8</v>
      </c>
      <c r="E11687">
        <v>0</v>
      </c>
      <c r="F11687">
        <f t="shared" si="208"/>
        <v>0.8</v>
      </c>
      <c r="I11687">
        <v>20240101</v>
      </c>
      <c r="J11687" t="s">
        <v>12283</v>
      </c>
    </row>
    <row r="11688" spans="1:15" x14ac:dyDescent="0.3">
      <c r="A11688" s="160">
        <v>86226</v>
      </c>
      <c r="B11688" t="s">
        <v>26611</v>
      </c>
      <c r="C11688" t="s">
        <v>12244</v>
      </c>
      <c r="D11688">
        <v>2</v>
      </c>
      <c r="E11688">
        <v>0</v>
      </c>
      <c r="F11688">
        <f t="shared" si="208"/>
        <v>2</v>
      </c>
      <c r="I11688">
        <v>20230101</v>
      </c>
      <c r="J11688" t="s">
        <v>12252</v>
      </c>
    </row>
    <row r="11689" spans="1:15" x14ac:dyDescent="0.3">
      <c r="A11689" s="160">
        <v>86239</v>
      </c>
      <c r="B11689" t="s">
        <v>26612</v>
      </c>
      <c r="C11689" t="s">
        <v>12244</v>
      </c>
      <c r="D11689">
        <v>2</v>
      </c>
      <c r="E11689">
        <v>0</v>
      </c>
      <c r="F11689">
        <f t="shared" si="208"/>
        <v>2</v>
      </c>
      <c r="I11689">
        <v>20240101</v>
      </c>
      <c r="J11689" t="s">
        <v>12253</v>
      </c>
    </row>
    <row r="11690" spans="1:15" x14ac:dyDescent="0.3">
      <c r="A11690" s="160">
        <v>86241</v>
      </c>
      <c r="B11690" t="s">
        <v>26613</v>
      </c>
      <c r="C11690" t="s">
        <v>12238</v>
      </c>
      <c r="D11690">
        <v>0.8</v>
      </c>
      <c r="E11690">
        <v>0</v>
      </c>
      <c r="F11690">
        <f t="shared" si="208"/>
        <v>0.8</v>
      </c>
      <c r="I11690">
        <v>20210701</v>
      </c>
      <c r="J11690" t="s">
        <v>12278</v>
      </c>
    </row>
    <row r="11691" spans="1:15" x14ac:dyDescent="0.3">
      <c r="A11691" s="160">
        <v>86244</v>
      </c>
      <c r="B11691" t="s">
        <v>16812</v>
      </c>
      <c r="C11691" t="s">
        <v>12244</v>
      </c>
      <c r="D11691">
        <v>2</v>
      </c>
      <c r="E11691">
        <v>0</v>
      </c>
      <c r="F11691">
        <f t="shared" si="208"/>
        <v>2</v>
      </c>
      <c r="I11691">
        <v>20230101</v>
      </c>
      <c r="J11691" t="s">
        <v>12257</v>
      </c>
    </row>
    <row r="11692" spans="1:15" x14ac:dyDescent="0.3">
      <c r="A11692" s="160">
        <v>86245</v>
      </c>
      <c r="B11692" t="s">
        <v>26614</v>
      </c>
      <c r="C11692" t="s">
        <v>12238</v>
      </c>
      <c r="D11692">
        <v>0.8</v>
      </c>
      <c r="E11692">
        <v>0</v>
      </c>
      <c r="F11692">
        <f t="shared" si="208"/>
        <v>0.8</v>
      </c>
      <c r="I11692">
        <v>20240101</v>
      </c>
      <c r="J11692" t="s">
        <v>12240</v>
      </c>
      <c r="K11692" t="s">
        <v>12258</v>
      </c>
      <c r="L11692" t="s">
        <v>12268</v>
      </c>
    </row>
    <row r="11693" spans="1:15" x14ac:dyDescent="0.3">
      <c r="A11693" s="160">
        <v>86253</v>
      </c>
      <c r="B11693" t="s">
        <v>26615</v>
      </c>
      <c r="C11693" t="s">
        <v>12244</v>
      </c>
      <c r="D11693">
        <v>2</v>
      </c>
      <c r="E11693">
        <v>0</v>
      </c>
      <c r="F11693">
        <f t="shared" si="208"/>
        <v>2</v>
      </c>
      <c r="I11693">
        <v>20230101</v>
      </c>
      <c r="J11693" t="s">
        <v>12257</v>
      </c>
    </row>
    <row r="11694" spans="1:15" x14ac:dyDescent="0.3">
      <c r="A11694" s="160">
        <v>86256</v>
      </c>
      <c r="B11694" t="s">
        <v>26616</v>
      </c>
      <c r="C11694" t="s">
        <v>12244</v>
      </c>
      <c r="D11694">
        <v>2</v>
      </c>
      <c r="E11694">
        <v>0</v>
      </c>
      <c r="F11694">
        <f t="shared" si="208"/>
        <v>2</v>
      </c>
      <c r="I11694">
        <v>20230101</v>
      </c>
      <c r="J11694" t="s">
        <v>12252</v>
      </c>
    </row>
    <row r="11695" spans="1:15" x14ac:dyDescent="0.3">
      <c r="A11695" s="160">
        <v>86257</v>
      </c>
      <c r="B11695" t="s">
        <v>26617</v>
      </c>
      <c r="C11695" t="s">
        <v>12238</v>
      </c>
      <c r="D11695">
        <v>0.8</v>
      </c>
      <c r="E11695">
        <v>0</v>
      </c>
      <c r="F11695">
        <f t="shared" si="208"/>
        <v>0.8</v>
      </c>
      <c r="I11695">
        <v>20210701</v>
      </c>
      <c r="J11695" t="s">
        <v>12259</v>
      </c>
    </row>
    <row r="11696" spans="1:15" x14ac:dyDescent="0.3">
      <c r="A11696" s="160">
        <v>86258</v>
      </c>
      <c r="B11696" t="s">
        <v>26618</v>
      </c>
      <c r="C11696" t="s">
        <v>12238</v>
      </c>
      <c r="D11696">
        <v>0.8</v>
      </c>
      <c r="E11696">
        <v>0</v>
      </c>
      <c r="F11696">
        <f t="shared" si="208"/>
        <v>0.8</v>
      </c>
      <c r="I11696">
        <v>20210701</v>
      </c>
      <c r="J11696" t="s">
        <v>12259</v>
      </c>
    </row>
    <row r="11697" spans="1:13" x14ac:dyDescent="0.3">
      <c r="A11697" s="160">
        <v>86260</v>
      </c>
      <c r="B11697" t="s">
        <v>26619</v>
      </c>
      <c r="C11697" t="s">
        <v>12238</v>
      </c>
      <c r="D11697">
        <v>0.8</v>
      </c>
      <c r="E11697">
        <v>0</v>
      </c>
      <c r="F11697">
        <f t="shared" si="208"/>
        <v>0.8</v>
      </c>
      <c r="I11697">
        <v>20240101</v>
      </c>
      <c r="J11697" t="s">
        <v>12283</v>
      </c>
    </row>
    <row r="11698" spans="1:13" x14ac:dyDescent="0.3">
      <c r="A11698" s="160">
        <v>86261</v>
      </c>
      <c r="B11698" t="s">
        <v>26620</v>
      </c>
      <c r="C11698" t="s">
        <v>12244</v>
      </c>
      <c r="D11698">
        <v>2</v>
      </c>
      <c r="E11698">
        <v>0</v>
      </c>
      <c r="F11698">
        <f t="shared" si="208"/>
        <v>2</v>
      </c>
      <c r="I11698">
        <v>20230101</v>
      </c>
      <c r="J11698" t="s">
        <v>12252</v>
      </c>
    </row>
    <row r="11699" spans="1:13" x14ac:dyDescent="0.3">
      <c r="A11699" s="160">
        <v>86265</v>
      </c>
      <c r="B11699" t="s">
        <v>26621</v>
      </c>
      <c r="C11699" t="s">
        <v>12238</v>
      </c>
      <c r="D11699">
        <v>0.8</v>
      </c>
      <c r="E11699">
        <v>0</v>
      </c>
      <c r="F11699">
        <f t="shared" si="208"/>
        <v>0.8</v>
      </c>
      <c r="I11699">
        <v>20210701</v>
      </c>
      <c r="J11699" t="s">
        <v>12283</v>
      </c>
    </row>
    <row r="11700" spans="1:13" x14ac:dyDescent="0.3">
      <c r="A11700" s="160">
        <v>86268</v>
      </c>
      <c r="B11700" t="s">
        <v>26622</v>
      </c>
      <c r="C11700" t="s">
        <v>12244</v>
      </c>
      <c r="D11700">
        <v>2</v>
      </c>
      <c r="E11700">
        <v>0</v>
      </c>
      <c r="F11700">
        <f t="shared" si="208"/>
        <v>2</v>
      </c>
      <c r="I11700">
        <v>20230101</v>
      </c>
      <c r="J11700" t="s">
        <v>12252</v>
      </c>
    </row>
    <row r="11701" spans="1:13" x14ac:dyDescent="0.3">
      <c r="A11701" s="160">
        <v>86272</v>
      </c>
      <c r="B11701" t="s">
        <v>26623</v>
      </c>
      <c r="C11701" t="s">
        <v>12238</v>
      </c>
      <c r="D11701">
        <v>0.8</v>
      </c>
      <c r="E11701">
        <v>0</v>
      </c>
      <c r="F11701">
        <f t="shared" si="208"/>
        <v>0.8</v>
      </c>
      <c r="I11701">
        <v>20210701</v>
      </c>
      <c r="J11701" t="s">
        <v>12330</v>
      </c>
    </row>
    <row r="11702" spans="1:13" x14ac:dyDescent="0.3">
      <c r="A11702" s="160">
        <v>86275</v>
      </c>
      <c r="B11702" t="s">
        <v>26624</v>
      </c>
      <c r="C11702" t="s">
        <v>12238</v>
      </c>
      <c r="D11702">
        <v>0.8</v>
      </c>
      <c r="E11702">
        <v>0</v>
      </c>
      <c r="F11702">
        <f t="shared" si="208"/>
        <v>0.8</v>
      </c>
      <c r="I11702">
        <v>20240101</v>
      </c>
      <c r="J11702" t="s">
        <v>12241</v>
      </c>
      <c r="K11702" t="s">
        <v>12283</v>
      </c>
    </row>
    <row r="11703" spans="1:13" x14ac:dyDescent="0.3">
      <c r="A11703" s="160">
        <v>86279</v>
      </c>
      <c r="B11703" t="s">
        <v>26625</v>
      </c>
      <c r="C11703" t="s">
        <v>12238</v>
      </c>
      <c r="D11703">
        <v>0.8</v>
      </c>
      <c r="E11703">
        <v>0</v>
      </c>
      <c r="F11703">
        <f t="shared" si="208"/>
        <v>0.8</v>
      </c>
      <c r="I11703">
        <v>20240101</v>
      </c>
      <c r="J11703" t="s">
        <v>12278</v>
      </c>
    </row>
    <row r="11704" spans="1:13" x14ac:dyDescent="0.3">
      <c r="A11704" s="160">
        <v>86280</v>
      </c>
      <c r="B11704" t="s">
        <v>26626</v>
      </c>
      <c r="C11704" t="s">
        <v>12238</v>
      </c>
      <c r="D11704">
        <v>0.8</v>
      </c>
      <c r="E11704">
        <v>0</v>
      </c>
      <c r="F11704">
        <f t="shared" si="208"/>
        <v>0.8</v>
      </c>
      <c r="I11704">
        <v>20240101</v>
      </c>
      <c r="J11704" t="s">
        <v>12283</v>
      </c>
    </row>
    <row r="11705" spans="1:13" x14ac:dyDescent="0.3">
      <c r="A11705" s="160">
        <v>86288</v>
      </c>
      <c r="B11705" t="s">
        <v>26627</v>
      </c>
      <c r="C11705" t="s">
        <v>12238</v>
      </c>
      <c r="D11705">
        <v>0.8</v>
      </c>
      <c r="E11705">
        <v>0</v>
      </c>
      <c r="F11705">
        <f t="shared" si="208"/>
        <v>0.8</v>
      </c>
      <c r="I11705">
        <v>20240101</v>
      </c>
      <c r="J11705" t="s">
        <v>12239</v>
      </c>
    </row>
    <row r="11706" spans="1:13" x14ac:dyDescent="0.3">
      <c r="A11706" s="160">
        <v>86297</v>
      </c>
      <c r="B11706" t="s">
        <v>26628</v>
      </c>
      <c r="C11706" t="s">
        <v>12244</v>
      </c>
      <c r="D11706">
        <v>2</v>
      </c>
      <c r="E11706">
        <v>0</v>
      </c>
      <c r="F11706">
        <f t="shared" si="208"/>
        <v>2</v>
      </c>
      <c r="I11706">
        <v>20230101</v>
      </c>
      <c r="J11706" t="s">
        <v>12249</v>
      </c>
      <c r="K11706" t="s">
        <v>12286</v>
      </c>
      <c r="L11706" t="s">
        <v>12250</v>
      </c>
      <c r="M11706" t="s">
        <v>12251</v>
      </c>
    </row>
    <row r="11707" spans="1:13" x14ac:dyDescent="0.3">
      <c r="A11707" s="160">
        <v>86298</v>
      </c>
      <c r="B11707" t="s">
        <v>26629</v>
      </c>
      <c r="C11707" t="s">
        <v>12238</v>
      </c>
      <c r="D11707">
        <v>0.8</v>
      </c>
      <c r="E11707">
        <v>0</v>
      </c>
      <c r="F11707">
        <f t="shared" si="208"/>
        <v>0.8</v>
      </c>
      <c r="I11707">
        <v>20210701</v>
      </c>
      <c r="J11707" t="s">
        <v>12242</v>
      </c>
    </row>
    <row r="11708" spans="1:13" x14ac:dyDescent="0.3">
      <c r="A11708" s="160">
        <v>87005</v>
      </c>
      <c r="B11708" t="s">
        <v>26630</v>
      </c>
      <c r="C11708" t="s">
        <v>12331</v>
      </c>
      <c r="D11708">
        <v>1.68</v>
      </c>
      <c r="E11708">
        <v>0</v>
      </c>
      <c r="F11708">
        <f t="shared" si="208"/>
        <v>1.68</v>
      </c>
      <c r="I11708">
        <v>20230701</v>
      </c>
      <c r="J11708" t="s">
        <v>12332</v>
      </c>
    </row>
    <row r="11709" spans="1:13" x14ac:dyDescent="0.3">
      <c r="A11709" s="160">
        <v>87019</v>
      </c>
      <c r="B11709" t="s">
        <v>26631</v>
      </c>
      <c r="C11709" t="s">
        <v>12331</v>
      </c>
      <c r="D11709">
        <v>1.68</v>
      </c>
      <c r="E11709">
        <v>0</v>
      </c>
      <c r="F11709">
        <f t="shared" si="208"/>
        <v>1.68</v>
      </c>
      <c r="I11709">
        <v>20230701</v>
      </c>
      <c r="J11709" t="s">
        <v>12333</v>
      </c>
      <c r="K11709" t="s">
        <v>12332</v>
      </c>
      <c r="L11709" t="s">
        <v>12334</v>
      </c>
      <c r="M11709" t="s">
        <v>12335</v>
      </c>
    </row>
    <row r="11710" spans="1:13" x14ac:dyDescent="0.3">
      <c r="A11710" s="160">
        <v>87020</v>
      </c>
      <c r="B11710" t="s">
        <v>26632</v>
      </c>
      <c r="C11710" t="s">
        <v>12331</v>
      </c>
      <c r="D11710">
        <v>1.68</v>
      </c>
      <c r="E11710">
        <v>0</v>
      </c>
      <c r="F11710">
        <f t="shared" si="208"/>
        <v>1.68</v>
      </c>
      <c r="I11710">
        <v>20230701</v>
      </c>
      <c r="J11710" t="s">
        <v>12336</v>
      </c>
      <c r="K11710" t="s">
        <v>12337</v>
      </c>
    </row>
    <row r="11711" spans="1:13" x14ac:dyDescent="0.3">
      <c r="A11711" s="160">
        <v>87038</v>
      </c>
      <c r="B11711" t="s">
        <v>26633</v>
      </c>
      <c r="C11711" t="s">
        <v>12331</v>
      </c>
      <c r="D11711">
        <v>1.68</v>
      </c>
      <c r="E11711">
        <v>0</v>
      </c>
      <c r="F11711">
        <f t="shared" si="208"/>
        <v>1.68</v>
      </c>
      <c r="I11711">
        <v>20230701</v>
      </c>
      <c r="J11711" t="s">
        <v>12337</v>
      </c>
    </row>
    <row r="11712" spans="1:13" x14ac:dyDescent="0.3">
      <c r="A11712" s="160">
        <v>87048</v>
      </c>
      <c r="B11712" t="s">
        <v>26634</v>
      </c>
      <c r="C11712" t="s">
        <v>12331</v>
      </c>
      <c r="D11712">
        <v>1.68</v>
      </c>
      <c r="E11712">
        <v>0</v>
      </c>
      <c r="F11712">
        <f t="shared" si="208"/>
        <v>1.68</v>
      </c>
      <c r="I11712">
        <v>20230701</v>
      </c>
      <c r="J11712" t="s">
        <v>12338</v>
      </c>
      <c r="K11712" t="s">
        <v>12339</v>
      </c>
      <c r="L11712" t="s">
        <v>12340</v>
      </c>
    </row>
    <row r="11713" spans="1:67" x14ac:dyDescent="0.3">
      <c r="A11713" s="160">
        <v>87050</v>
      </c>
      <c r="B11713" t="s">
        <v>26635</v>
      </c>
      <c r="C11713" t="s">
        <v>12331</v>
      </c>
      <c r="D11713">
        <v>1.68</v>
      </c>
      <c r="E11713">
        <v>0</v>
      </c>
      <c r="F11713">
        <f t="shared" si="208"/>
        <v>1.68</v>
      </c>
      <c r="I11713">
        <v>20230701</v>
      </c>
      <c r="J11713" t="s">
        <v>12337</v>
      </c>
    </row>
    <row r="11714" spans="1:67" x14ac:dyDescent="0.3">
      <c r="A11714" s="160">
        <v>87063</v>
      </c>
      <c r="B11714" t="s">
        <v>26636</v>
      </c>
      <c r="C11714" t="s">
        <v>12331</v>
      </c>
      <c r="D11714">
        <v>1.68</v>
      </c>
      <c r="E11714">
        <v>0</v>
      </c>
      <c r="F11714">
        <f t="shared" si="208"/>
        <v>1.68</v>
      </c>
      <c r="I11714">
        <v>20230701</v>
      </c>
      <c r="J11714" t="s">
        <v>12332</v>
      </c>
    </row>
    <row r="11715" spans="1:67" x14ac:dyDescent="0.3">
      <c r="A11715" s="160">
        <v>87065</v>
      </c>
      <c r="B11715" t="s">
        <v>26637</v>
      </c>
      <c r="C11715" t="s">
        <v>12331</v>
      </c>
      <c r="D11715">
        <v>1.68</v>
      </c>
      <c r="E11715">
        <v>0</v>
      </c>
      <c r="F11715">
        <f t="shared" si="208"/>
        <v>1.68</v>
      </c>
      <c r="I11715">
        <v>20230701</v>
      </c>
      <c r="J11715" t="s">
        <v>12339</v>
      </c>
      <c r="K11715" t="s">
        <v>12341</v>
      </c>
      <c r="L11715" t="s">
        <v>12342</v>
      </c>
      <c r="M11715" t="s">
        <v>12343</v>
      </c>
      <c r="N11715" t="s">
        <v>12344</v>
      </c>
      <c r="O11715" t="s">
        <v>12332</v>
      </c>
      <c r="P11715" t="s">
        <v>12334</v>
      </c>
      <c r="Q11715" t="s">
        <v>12345</v>
      </c>
    </row>
    <row r="11716" spans="1:67" x14ac:dyDescent="0.3">
      <c r="A11716" s="160">
        <v>87075</v>
      </c>
      <c r="B11716" t="s">
        <v>26638</v>
      </c>
      <c r="C11716" t="s">
        <v>12331</v>
      </c>
      <c r="D11716">
        <v>1.68</v>
      </c>
      <c r="E11716">
        <v>0</v>
      </c>
      <c r="F11716">
        <f t="shared" si="208"/>
        <v>1.68</v>
      </c>
      <c r="I11716">
        <v>20230701</v>
      </c>
      <c r="J11716" t="s">
        <v>12346</v>
      </c>
      <c r="K11716" t="s">
        <v>12347</v>
      </c>
      <c r="L11716" t="s">
        <v>12348</v>
      </c>
    </row>
    <row r="11717" spans="1:67" x14ac:dyDescent="0.3">
      <c r="A11717" s="160">
        <v>87085</v>
      </c>
      <c r="B11717" t="s">
        <v>26639</v>
      </c>
      <c r="C11717" t="s">
        <v>12331</v>
      </c>
      <c r="D11717">
        <v>1.68</v>
      </c>
      <c r="E11717">
        <v>0</v>
      </c>
      <c r="F11717">
        <f t="shared" si="208"/>
        <v>1.68</v>
      </c>
      <c r="I11717">
        <v>20230701</v>
      </c>
      <c r="J11717" t="s">
        <v>12349</v>
      </c>
      <c r="K11717" t="s">
        <v>12338</v>
      </c>
      <c r="L11717" t="s">
        <v>12350</v>
      </c>
      <c r="M11717" t="s">
        <v>12333</v>
      </c>
      <c r="N11717" t="s">
        <v>12339</v>
      </c>
      <c r="O11717" t="s">
        <v>12351</v>
      </c>
      <c r="P11717" t="s">
        <v>12352</v>
      </c>
      <c r="Q11717" t="s">
        <v>12353</v>
      </c>
      <c r="R11717" t="s">
        <v>12354</v>
      </c>
      <c r="S11717" t="s">
        <v>12341</v>
      </c>
      <c r="T11717" t="s">
        <v>12355</v>
      </c>
      <c r="U11717" t="s">
        <v>12356</v>
      </c>
      <c r="V11717" t="s">
        <v>12357</v>
      </c>
      <c r="W11717" t="s">
        <v>12358</v>
      </c>
      <c r="X11717" t="s">
        <v>12359</v>
      </c>
      <c r="Y11717" t="s">
        <v>12342</v>
      </c>
      <c r="Z11717" t="s">
        <v>12343</v>
      </c>
      <c r="AA11717" t="s">
        <v>12360</v>
      </c>
      <c r="AB11717" t="s">
        <v>12361</v>
      </c>
      <c r="AC11717" t="s">
        <v>12362</v>
      </c>
      <c r="AD11717" t="s">
        <v>12363</v>
      </c>
      <c r="AE11717" t="s">
        <v>12364</v>
      </c>
      <c r="AF11717" t="s">
        <v>12365</v>
      </c>
      <c r="AG11717" t="s">
        <v>12366</v>
      </c>
      <c r="AH11717" t="s">
        <v>12367</v>
      </c>
      <c r="AI11717" t="s">
        <v>12368</v>
      </c>
      <c r="AJ11717" t="s">
        <v>12369</v>
      </c>
      <c r="AK11717" t="s">
        <v>12370</v>
      </c>
      <c r="AL11717" t="s">
        <v>12371</v>
      </c>
      <c r="AM11717" t="s">
        <v>12372</v>
      </c>
      <c r="AN11717" t="s">
        <v>12344</v>
      </c>
      <c r="AO11717" t="s">
        <v>12373</v>
      </c>
      <c r="AP11717" t="s">
        <v>12374</v>
      </c>
      <c r="AQ11717" t="s">
        <v>12375</v>
      </c>
      <c r="AR11717" t="s">
        <v>12376</v>
      </c>
      <c r="AS11717" t="s">
        <v>12377</v>
      </c>
      <c r="AT11717" t="s">
        <v>12378</v>
      </c>
      <c r="AU11717" t="s">
        <v>12379</v>
      </c>
      <c r="AV11717" t="s">
        <v>12380</v>
      </c>
      <c r="AW11717" t="s">
        <v>12381</v>
      </c>
      <c r="AX11717" t="s">
        <v>12382</v>
      </c>
      <c r="AY11717" t="s">
        <v>12383</v>
      </c>
      <c r="AZ11717" t="s">
        <v>12384</v>
      </c>
      <c r="BA11717" t="s">
        <v>12346</v>
      </c>
      <c r="BB11717" t="s">
        <v>12385</v>
      </c>
      <c r="BC11717" t="s">
        <v>12347</v>
      </c>
      <c r="BD11717" t="s">
        <v>12386</v>
      </c>
      <c r="BE11717" t="s">
        <v>12387</v>
      </c>
      <c r="BF11717" t="s">
        <v>12388</v>
      </c>
      <c r="BG11717" t="s">
        <v>12389</v>
      </c>
      <c r="BH11717" t="s">
        <v>12390</v>
      </c>
      <c r="BI11717" t="s">
        <v>12391</v>
      </c>
      <c r="BJ11717" t="s">
        <v>12392</v>
      </c>
      <c r="BK11717" t="s">
        <v>12393</v>
      </c>
      <c r="BL11717" t="s">
        <v>12394</v>
      </c>
      <c r="BM11717" t="s">
        <v>12336</v>
      </c>
      <c r="BN11717" t="s">
        <v>12395</v>
      </c>
      <c r="BO11717" t="s">
        <v>12396</v>
      </c>
    </row>
    <row r="11718" spans="1:67" x14ac:dyDescent="0.3">
      <c r="A11718" s="160">
        <v>87113</v>
      </c>
      <c r="B11718" t="s">
        <v>26640</v>
      </c>
      <c r="C11718" t="s">
        <v>12331</v>
      </c>
      <c r="D11718">
        <v>1.68</v>
      </c>
      <c r="E11718">
        <v>0</v>
      </c>
      <c r="F11718">
        <f t="shared" si="208"/>
        <v>1.68</v>
      </c>
      <c r="I11718">
        <v>20230701</v>
      </c>
      <c r="J11718" t="s">
        <v>12362</v>
      </c>
      <c r="K11718" t="s">
        <v>12363</v>
      </c>
      <c r="L11718" t="s">
        <v>12393</v>
      </c>
      <c r="M11718" t="s">
        <v>12336</v>
      </c>
      <c r="N11718" t="s">
        <v>12406</v>
      </c>
    </row>
    <row r="11719" spans="1:67" x14ac:dyDescent="0.3">
      <c r="A11719" s="160">
        <v>87114</v>
      </c>
      <c r="B11719" t="s">
        <v>26641</v>
      </c>
      <c r="C11719" t="s">
        <v>12331</v>
      </c>
      <c r="D11719">
        <v>1.68</v>
      </c>
      <c r="E11719">
        <v>0</v>
      </c>
      <c r="F11719">
        <f t="shared" ref="F11719:F11782" si="209">D11719+E11719</f>
        <v>1.68</v>
      </c>
      <c r="I11719">
        <v>20230701</v>
      </c>
      <c r="J11719" t="s">
        <v>12339</v>
      </c>
      <c r="K11719" t="s">
        <v>12360</v>
      </c>
      <c r="L11719" t="s">
        <v>12363</v>
      </c>
      <c r="M11719" t="s">
        <v>12364</v>
      </c>
      <c r="N11719" t="s">
        <v>12407</v>
      </c>
    </row>
    <row r="11720" spans="1:67" x14ac:dyDescent="0.3">
      <c r="A11720" s="160">
        <v>87118</v>
      </c>
      <c r="B11720" t="s">
        <v>26642</v>
      </c>
      <c r="C11720" t="s">
        <v>12331</v>
      </c>
      <c r="D11720">
        <v>1.68</v>
      </c>
      <c r="E11720">
        <v>0</v>
      </c>
      <c r="F11720">
        <f t="shared" si="209"/>
        <v>1.68</v>
      </c>
      <c r="I11720">
        <v>20230701</v>
      </c>
      <c r="J11720" t="s">
        <v>12408</v>
      </c>
    </row>
    <row r="11721" spans="1:67" x14ac:dyDescent="0.3">
      <c r="A11721" s="160">
        <v>87125</v>
      </c>
      <c r="B11721" t="s">
        <v>26643</v>
      </c>
      <c r="C11721" t="s">
        <v>12331</v>
      </c>
      <c r="D11721">
        <v>1.68</v>
      </c>
      <c r="E11721">
        <v>0</v>
      </c>
      <c r="F11721">
        <f t="shared" si="209"/>
        <v>1.68</v>
      </c>
      <c r="I11721">
        <v>20230701</v>
      </c>
      <c r="J11721" t="s">
        <v>12409</v>
      </c>
    </row>
    <row r="11722" spans="1:67" x14ac:dyDescent="0.3">
      <c r="A11722" s="160">
        <v>87143</v>
      </c>
      <c r="B11722" t="s">
        <v>26644</v>
      </c>
      <c r="C11722" t="s">
        <v>12331</v>
      </c>
      <c r="D11722">
        <v>1.68</v>
      </c>
      <c r="E11722">
        <v>0</v>
      </c>
      <c r="F11722">
        <f t="shared" si="209"/>
        <v>1.68</v>
      </c>
      <c r="I11722">
        <v>20230701</v>
      </c>
      <c r="J11722" t="s">
        <v>12408</v>
      </c>
    </row>
    <row r="11723" spans="1:67" x14ac:dyDescent="0.3">
      <c r="A11723" s="160">
        <v>87156</v>
      </c>
      <c r="B11723" t="s">
        <v>26645</v>
      </c>
      <c r="C11723" t="s">
        <v>12331</v>
      </c>
      <c r="D11723">
        <v>1.68</v>
      </c>
      <c r="E11723">
        <v>0</v>
      </c>
      <c r="F11723">
        <f t="shared" si="209"/>
        <v>1.68</v>
      </c>
      <c r="I11723">
        <v>20230701</v>
      </c>
      <c r="J11723" t="s">
        <v>12334</v>
      </c>
      <c r="K11723" t="s">
        <v>12410</v>
      </c>
    </row>
    <row r="11724" spans="1:67" x14ac:dyDescent="0.3">
      <c r="A11724" s="160">
        <v>87192</v>
      </c>
      <c r="B11724" t="s">
        <v>26646</v>
      </c>
      <c r="C11724" t="s">
        <v>12331</v>
      </c>
      <c r="D11724">
        <v>1.68</v>
      </c>
      <c r="E11724">
        <v>0</v>
      </c>
      <c r="F11724">
        <f t="shared" si="209"/>
        <v>1.68</v>
      </c>
      <c r="I11724">
        <v>20230701</v>
      </c>
      <c r="J11724" t="s">
        <v>12411</v>
      </c>
    </row>
    <row r="11725" spans="1:67" x14ac:dyDescent="0.3">
      <c r="A11725" s="160">
        <v>87201</v>
      </c>
      <c r="B11725" t="s">
        <v>26647</v>
      </c>
      <c r="C11725" t="s">
        <v>12331</v>
      </c>
      <c r="D11725">
        <v>1.68</v>
      </c>
      <c r="E11725">
        <v>0</v>
      </c>
      <c r="F11725">
        <f t="shared" si="209"/>
        <v>1.68</v>
      </c>
      <c r="I11725">
        <v>20230701</v>
      </c>
      <c r="J11725" t="s">
        <v>12412</v>
      </c>
    </row>
    <row r="11726" spans="1:67" x14ac:dyDescent="0.3">
      <c r="A11726" s="160">
        <v>87202</v>
      </c>
      <c r="B11726" t="s">
        <v>26648</v>
      </c>
      <c r="C11726" t="s">
        <v>12331</v>
      </c>
      <c r="D11726">
        <v>1.68</v>
      </c>
      <c r="E11726">
        <v>0</v>
      </c>
      <c r="F11726">
        <f t="shared" si="209"/>
        <v>1.68</v>
      </c>
      <c r="I11726">
        <v>20230701</v>
      </c>
      <c r="J11726" t="s">
        <v>12413</v>
      </c>
    </row>
    <row r="11727" spans="1:67" x14ac:dyDescent="0.3">
      <c r="A11727" s="160">
        <v>87205</v>
      </c>
      <c r="B11727" t="s">
        <v>26649</v>
      </c>
      <c r="C11727" t="s">
        <v>12331</v>
      </c>
      <c r="D11727">
        <v>1.68</v>
      </c>
      <c r="E11727">
        <v>0</v>
      </c>
      <c r="F11727">
        <f t="shared" si="209"/>
        <v>1.68</v>
      </c>
      <c r="I11727">
        <v>20230701</v>
      </c>
      <c r="J11727" t="s">
        <v>12411</v>
      </c>
    </row>
    <row r="11728" spans="1:67" x14ac:dyDescent="0.3">
      <c r="A11728" s="160">
        <v>88005</v>
      </c>
      <c r="B11728" t="s">
        <v>26650</v>
      </c>
      <c r="C11728" t="s">
        <v>6182</v>
      </c>
      <c r="D11728">
        <v>0.55000000000000004</v>
      </c>
      <c r="E11728">
        <v>0</v>
      </c>
      <c r="F11728">
        <f t="shared" si="209"/>
        <v>0.55000000000000004</v>
      </c>
      <c r="I11728">
        <v>20230101</v>
      </c>
      <c r="J11728" t="s">
        <v>12414</v>
      </c>
    </row>
    <row r="11729" spans="1:11" x14ac:dyDescent="0.3">
      <c r="A11729" s="160">
        <v>88009</v>
      </c>
      <c r="B11729" t="s">
        <v>26651</v>
      </c>
      <c r="C11729" t="s">
        <v>6182</v>
      </c>
      <c r="D11729">
        <v>0.55000000000000004</v>
      </c>
      <c r="E11729">
        <v>0</v>
      </c>
      <c r="F11729">
        <f t="shared" si="209"/>
        <v>0.55000000000000004</v>
      </c>
      <c r="I11729">
        <v>20230101</v>
      </c>
      <c r="J11729" t="s">
        <v>12415</v>
      </c>
    </row>
    <row r="11730" spans="1:11" x14ac:dyDescent="0.3">
      <c r="A11730" s="160">
        <v>88011</v>
      </c>
      <c r="B11730" t="s">
        <v>26652</v>
      </c>
      <c r="C11730" t="s">
        <v>12416</v>
      </c>
      <c r="D11730">
        <v>0.8</v>
      </c>
      <c r="E11730">
        <v>0</v>
      </c>
      <c r="F11730">
        <f t="shared" si="209"/>
        <v>0.8</v>
      </c>
      <c r="I11730">
        <v>20200101</v>
      </c>
      <c r="J11730" t="s">
        <v>12417</v>
      </c>
    </row>
    <row r="11731" spans="1:11" x14ac:dyDescent="0.3">
      <c r="A11731" s="160">
        <v>88012</v>
      </c>
      <c r="B11731" t="s">
        <v>26653</v>
      </c>
      <c r="C11731" t="s">
        <v>12416</v>
      </c>
      <c r="D11731">
        <v>0.8</v>
      </c>
      <c r="E11731">
        <v>0</v>
      </c>
      <c r="F11731">
        <f t="shared" si="209"/>
        <v>0.8</v>
      </c>
      <c r="I11731">
        <v>20200101</v>
      </c>
      <c r="J11731" t="s">
        <v>12417</v>
      </c>
    </row>
    <row r="11732" spans="1:11" x14ac:dyDescent="0.3">
      <c r="A11732" s="160">
        <v>88014</v>
      </c>
      <c r="B11732" t="s">
        <v>26654</v>
      </c>
      <c r="C11732" t="s">
        <v>6182</v>
      </c>
      <c r="D11732">
        <v>0.55000000000000004</v>
      </c>
      <c r="E11732">
        <v>0</v>
      </c>
      <c r="F11732">
        <f t="shared" si="209"/>
        <v>0.55000000000000004</v>
      </c>
      <c r="I11732">
        <v>20230101</v>
      </c>
      <c r="J11732" t="s">
        <v>12418</v>
      </c>
    </row>
    <row r="11733" spans="1:11" x14ac:dyDescent="0.3">
      <c r="A11733" s="160">
        <v>88026</v>
      </c>
      <c r="B11733" t="s">
        <v>26655</v>
      </c>
      <c r="C11733" t="s">
        <v>12416</v>
      </c>
      <c r="D11733">
        <v>0.8</v>
      </c>
      <c r="E11733">
        <v>0</v>
      </c>
      <c r="F11733">
        <f t="shared" si="209"/>
        <v>0.8</v>
      </c>
      <c r="I11733">
        <v>20170701</v>
      </c>
      <c r="J11733" t="s">
        <v>12419</v>
      </c>
    </row>
    <row r="11734" spans="1:11" x14ac:dyDescent="0.3">
      <c r="A11734" s="160">
        <v>88027</v>
      </c>
      <c r="B11734" t="s">
        <v>26656</v>
      </c>
      <c r="C11734" t="s">
        <v>12416</v>
      </c>
      <c r="D11734">
        <v>0.8</v>
      </c>
      <c r="E11734">
        <v>0</v>
      </c>
      <c r="F11734">
        <f t="shared" si="209"/>
        <v>0.8</v>
      </c>
      <c r="I11734">
        <v>20170701</v>
      </c>
      <c r="J11734" t="s">
        <v>12420</v>
      </c>
      <c r="K11734" t="s">
        <v>12421</v>
      </c>
    </row>
    <row r="11735" spans="1:11" x14ac:dyDescent="0.3">
      <c r="A11735" s="160">
        <v>88028</v>
      </c>
      <c r="B11735" t="s">
        <v>26657</v>
      </c>
      <c r="C11735" t="s">
        <v>12416</v>
      </c>
      <c r="D11735">
        <v>0.8</v>
      </c>
      <c r="E11735">
        <v>0</v>
      </c>
      <c r="F11735">
        <f t="shared" si="209"/>
        <v>0.8</v>
      </c>
      <c r="I11735">
        <v>20200101</v>
      </c>
      <c r="J11735" t="s">
        <v>12422</v>
      </c>
    </row>
    <row r="11736" spans="1:11" x14ac:dyDescent="0.3">
      <c r="A11736" s="160">
        <v>88029</v>
      </c>
      <c r="B11736" t="s">
        <v>26658</v>
      </c>
      <c r="C11736" t="s">
        <v>12416</v>
      </c>
      <c r="D11736">
        <v>0.8</v>
      </c>
      <c r="E11736">
        <v>0</v>
      </c>
      <c r="F11736">
        <f t="shared" si="209"/>
        <v>0.8</v>
      </c>
      <c r="I11736">
        <v>20240101</v>
      </c>
      <c r="J11736" t="s">
        <v>12423</v>
      </c>
    </row>
    <row r="11737" spans="1:11" x14ac:dyDescent="0.3">
      <c r="A11737" s="160">
        <v>88032</v>
      </c>
      <c r="B11737" t="s">
        <v>26659</v>
      </c>
      <c r="C11737" t="s">
        <v>6182</v>
      </c>
      <c r="D11737">
        <v>0.55000000000000004</v>
      </c>
      <c r="E11737">
        <v>0</v>
      </c>
      <c r="F11737">
        <f t="shared" si="209"/>
        <v>0.55000000000000004</v>
      </c>
      <c r="I11737">
        <v>20230101</v>
      </c>
      <c r="J11737" t="s">
        <v>12424</v>
      </c>
    </row>
    <row r="11738" spans="1:11" x14ac:dyDescent="0.3">
      <c r="A11738" s="160">
        <v>88033</v>
      </c>
      <c r="B11738" t="s">
        <v>26660</v>
      </c>
      <c r="C11738" t="s">
        <v>6182</v>
      </c>
      <c r="D11738">
        <v>0.55000000000000004</v>
      </c>
      <c r="E11738">
        <v>0</v>
      </c>
      <c r="F11738">
        <f t="shared" si="209"/>
        <v>0.55000000000000004</v>
      </c>
      <c r="I11738">
        <v>20240101</v>
      </c>
      <c r="J11738" t="s">
        <v>12425</v>
      </c>
    </row>
    <row r="11739" spans="1:11" x14ac:dyDescent="0.3">
      <c r="A11739" s="160">
        <v>88035</v>
      </c>
      <c r="B11739" t="s">
        <v>26661</v>
      </c>
      <c r="C11739" t="s">
        <v>6182</v>
      </c>
      <c r="D11739">
        <v>0.55000000000000004</v>
      </c>
      <c r="E11739">
        <v>0</v>
      </c>
      <c r="F11739">
        <f t="shared" si="209"/>
        <v>0.55000000000000004</v>
      </c>
      <c r="I11739">
        <v>20230101</v>
      </c>
      <c r="J11739" t="s">
        <v>12426</v>
      </c>
    </row>
    <row r="11740" spans="1:11" x14ac:dyDescent="0.3">
      <c r="A11740" s="160">
        <v>88040</v>
      </c>
      <c r="B11740" t="s">
        <v>26662</v>
      </c>
      <c r="C11740" t="s">
        <v>12416</v>
      </c>
      <c r="D11740">
        <v>0.8</v>
      </c>
      <c r="E11740">
        <v>0</v>
      </c>
      <c r="F11740">
        <f t="shared" si="209"/>
        <v>0.8</v>
      </c>
      <c r="I11740">
        <v>20170701</v>
      </c>
      <c r="J11740" t="s">
        <v>12427</v>
      </c>
    </row>
    <row r="11741" spans="1:11" x14ac:dyDescent="0.3">
      <c r="A11741" s="160">
        <v>88048</v>
      </c>
      <c r="B11741" t="s">
        <v>26663</v>
      </c>
      <c r="C11741" t="s">
        <v>12416</v>
      </c>
      <c r="D11741">
        <v>0.8</v>
      </c>
      <c r="E11741">
        <v>0</v>
      </c>
      <c r="F11741">
        <f t="shared" si="209"/>
        <v>0.8</v>
      </c>
      <c r="I11741">
        <v>20200101</v>
      </c>
      <c r="J11741" t="s">
        <v>12428</v>
      </c>
    </row>
    <row r="11742" spans="1:11" x14ac:dyDescent="0.3">
      <c r="A11742" s="160">
        <v>88053</v>
      </c>
      <c r="B11742" t="s">
        <v>16114</v>
      </c>
      <c r="C11742" t="s">
        <v>6182</v>
      </c>
      <c r="D11742">
        <v>0.55000000000000004</v>
      </c>
      <c r="E11742">
        <v>0</v>
      </c>
      <c r="F11742">
        <f t="shared" si="209"/>
        <v>0.55000000000000004</v>
      </c>
      <c r="I11742">
        <v>20230101</v>
      </c>
      <c r="J11742" t="s">
        <v>12425</v>
      </c>
    </row>
    <row r="11743" spans="1:11" x14ac:dyDescent="0.3">
      <c r="A11743" s="160">
        <v>88054</v>
      </c>
      <c r="B11743" t="s">
        <v>26664</v>
      </c>
      <c r="C11743" t="s">
        <v>6182</v>
      </c>
      <c r="D11743">
        <v>0.55000000000000004</v>
      </c>
      <c r="E11743">
        <v>0</v>
      </c>
      <c r="F11743">
        <f t="shared" si="209"/>
        <v>0.55000000000000004</v>
      </c>
      <c r="I11743">
        <v>20230101</v>
      </c>
      <c r="J11743" t="s">
        <v>12424</v>
      </c>
    </row>
    <row r="11744" spans="1:11" x14ac:dyDescent="0.3">
      <c r="A11744" s="160">
        <v>88057</v>
      </c>
      <c r="B11744" t="s">
        <v>26665</v>
      </c>
      <c r="C11744" t="s">
        <v>6182</v>
      </c>
      <c r="D11744">
        <v>0.55000000000000004</v>
      </c>
      <c r="E11744">
        <v>0</v>
      </c>
      <c r="F11744">
        <f t="shared" si="209"/>
        <v>0.55000000000000004</v>
      </c>
      <c r="I11744">
        <v>20230101</v>
      </c>
      <c r="J11744" t="s">
        <v>12429</v>
      </c>
    </row>
    <row r="11745" spans="1:15" x14ac:dyDescent="0.3">
      <c r="A11745" s="160">
        <v>88059</v>
      </c>
      <c r="B11745" t="s">
        <v>26666</v>
      </c>
      <c r="C11745" t="s">
        <v>6182</v>
      </c>
      <c r="D11745">
        <v>0.55000000000000004</v>
      </c>
      <c r="E11745">
        <v>0</v>
      </c>
      <c r="F11745">
        <f t="shared" si="209"/>
        <v>0.55000000000000004</v>
      </c>
      <c r="I11745">
        <v>20230101</v>
      </c>
      <c r="J11745" t="s">
        <v>12418</v>
      </c>
    </row>
    <row r="11746" spans="1:15" x14ac:dyDescent="0.3">
      <c r="A11746" s="160">
        <v>88068</v>
      </c>
      <c r="B11746" t="s">
        <v>26667</v>
      </c>
      <c r="C11746" t="s">
        <v>6182</v>
      </c>
      <c r="D11746">
        <v>0.55000000000000004</v>
      </c>
      <c r="E11746">
        <v>0</v>
      </c>
      <c r="F11746">
        <f t="shared" si="209"/>
        <v>0.55000000000000004</v>
      </c>
      <c r="I11746">
        <v>20230101</v>
      </c>
      <c r="J11746" t="s">
        <v>12430</v>
      </c>
    </row>
    <row r="11747" spans="1:15" x14ac:dyDescent="0.3">
      <c r="A11747" s="160">
        <v>88073</v>
      </c>
      <c r="B11747" t="s">
        <v>26668</v>
      </c>
      <c r="C11747" t="s">
        <v>12416</v>
      </c>
      <c r="D11747">
        <v>0.8</v>
      </c>
      <c r="E11747">
        <v>0</v>
      </c>
      <c r="F11747">
        <f t="shared" si="209"/>
        <v>0.8</v>
      </c>
      <c r="I11747">
        <v>20200101</v>
      </c>
      <c r="J11747" t="s">
        <v>12431</v>
      </c>
    </row>
    <row r="11748" spans="1:15" x14ac:dyDescent="0.3">
      <c r="A11748" s="160">
        <v>88082</v>
      </c>
      <c r="B11748" t="s">
        <v>26669</v>
      </c>
      <c r="C11748" t="s">
        <v>6182</v>
      </c>
      <c r="D11748">
        <v>0.55000000000000004</v>
      </c>
      <c r="E11748">
        <v>0</v>
      </c>
      <c r="F11748">
        <f t="shared" si="209"/>
        <v>0.55000000000000004</v>
      </c>
      <c r="I11748">
        <v>20230101</v>
      </c>
      <c r="J11748" t="s">
        <v>12414</v>
      </c>
    </row>
    <row r="11749" spans="1:15" x14ac:dyDescent="0.3">
      <c r="A11749" s="160">
        <v>88084</v>
      </c>
      <c r="B11749" t="s">
        <v>26670</v>
      </c>
      <c r="C11749" t="s">
        <v>12416</v>
      </c>
      <c r="D11749">
        <v>0.8</v>
      </c>
      <c r="E11749">
        <v>0</v>
      </c>
      <c r="F11749">
        <f t="shared" si="209"/>
        <v>0.8</v>
      </c>
      <c r="I11749">
        <v>20200101</v>
      </c>
      <c r="J11749" t="s">
        <v>12431</v>
      </c>
    </row>
    <row r="11750" spans="1:15" x14ac:dyDescent="0.3">
      <c r="A11750" s="160">
        <v>88087</v>
      </c>
      <c r="B11750" t="s">
        <v>26671</v>
      </c>
      <c r="C11750" t="s">
        <v>12416</v>
      </c>
      <c r="D11750">
        <v>0.8</v>
      </c>
      <c r="E11750">
        <v>0</v>
      </c>
      <c r="F11750">
        <f t="shared" si="209"/>
        <v>0.8</v>
      </c>
      <c r="I11750">
        <v>20130701</v>
      </c>
      <c r="J11750" t="s">
        <v>12432</v>
      </c>
      <c r="K11750" t="s">
        <v>12433</v>
      </c>
      <c r="L11750" t="s">
        <v>12434</v>
      </c>
      <c r="M11750" t="s">
        <v>12435</v>
      </c>
      <c r="N11750" t="s">
        <v>12436</v>
      </c>
    </row>
    <row r="11751" spans="1:15" x14ac:dyDescent="0.3">
      <c r="A11751" s="160">
        <v>88088</v>
      </c>
      <c r="B11751" t="s">
        <v>26672</v>
      </c>
      <c r="C11751" t="s">
        <v>12416</v>
      </c>
      <c r="D11751">
        <v>0.8</v>
      </c>
      <c r="E11751">
        <v>0</v>
      </c>
      <c r="F11751">
        <f t="shared" si="209"/>
        <v>0.8</v>
      </c>
      <c r="I11751">
        <v>20240101</v>
      </c>
      <c r="J11751" t="s">
        <v>12437</v>
      </c>
      <c r="K11751" t="s">
        <v>12423</v>
      </c>
    </row>
    <row r="11752" spans="1:15" x14ac:dyDescent="0.3">
      <c r="A11752" s="160">
        <v>88089</v>
      </c>
      <c r="B11752" t="s">
        <v>26673</v>
      </c>
      <c r="C11752" t="s">
        <v>6182</v>
      </c>
      <c r="D11752">
        <v>0.55000000000000004</v>
      </c>
      <c r="E11752">
        <v>0</v>
      </c>
      <c r="F11752">
        <f t="shared" si="209"/>
        <v>0.55000000000000004</v>
      </c>
      <c r="I11752">
        <v>20230101</v>
      </c>
      <c r="J11752" t="s">
        <v>12419</v>
      </c>
    </row>
    <row r="11753" spans="1:15" x14ac:dyDescent="0.3">
      <c r="A11753" s="160">
        <v>88090</v>
      </c>
      <c r="B11753" t="s">
        <v>15376</v>
      </c>
      <c r="C11753" t="s">
        <v>12416</v>
      </c>
      <c r="D11753">
        <v>0.8</v>
      </c>
      <c r="E11753">
        <v>0</v>
      </c>
      <c r="F11753">
        <f t="shared" si="209"/>
        <v>0.8</v>
      </c>
      <c r="I11753">
        <v>20200101</v>
      </c>
      <c r="J11753" t="s">
        <v>12431</v>
      </c>
      <c r="K11753" t="s">
        <v>12438</v>
      </c>
      <c r="L11753" t="s">
        <v>12439</v>
      </c>
      <c r="M11753" t="s">
        <v>12440</v>
      </c>
    </row>
    <row r="11754" spans="1:15" x14ac:dyDescent="0.3">
      <c r="A11754" s="160">
        <v>88092</v>
      </c>
      <c r="B11754" t="s">
        <v>26674</v>
      </c>
      <c r="C11754" t="s">
        <v>12416</v>
      </c>
      <c r="D11754">
        <v>0.8</v>
      </c>
      <c r="E11754">
        <v>0</v>
      </c>
      <c r="F11754">
        <f t="shared" si="209"/>
        <v>0.8</v>
      </c>
      <c r="I11754">
        <v>20240101</v>
      </c>
      <c r="J11754" t="s">
        <v>12441</v>
      </c>
    </row>
    <row r="11755" spans="1:15" x14ac:dyDescent="0.3">
      <c r="A11755" s="160">
        <v>88093</v>
      </c>
      <c r="B11755" t="s">
        <v>26675</v>
      </c>
      <c r="C11755" t="s">
        <v>6182</v>
      </c>
      <c r="D11755">
        <v>0.55000000000000004</v>
      </c>
      <c r="E11755">
        <v>0</v>
      </c>
      <c r="F11755">
        <f t="shared" si="209"/>
        <v>0.55000000000000004</v>
      </c>
      <c r="I11755">
        <v>20240101</v>
      </c>
      <c r="J11755" t="s">
        <v>12425</v>
      </c>
    </row>
    <row r="11756" spans="1:15" x14ac:dyDescent="0.3">
      <c r="A11756" s="160">
        <v>88094</v>
      </c>
      <c r="B11756" t="s">
        <v>26676</v>
      </c>
      <c r="C11756" t="s">
        <v>12416</v>
      </c>
      <c r="D11756">
        <v>0.8</v>
      </c>
      <c r="E11756">
        <v>0</v>
      </c>
      <c r="F11756">
        <f t="shared" si="209"/>
        <v>0.8</v>
      </c>
      <c r="I11756">
        <v>20170701</v>
      </c>
      <c r="J11756" t="s">
        <v>12420</v>
      </c>
      <c r="K11756" t="s">
        <v>12421</v>
      </c>
    </row>
    <row r="11757" spans="1:15" x14ac:dyDescent="0.3">
      <c r="A11757" s="160">
        <v>88098</v>
      </c>
      <c r="B11757" t="s">
        <v>26677</v>
      </c>
      <c r="C11757" t="s">
        <v>12416</v>
      </c>
      <c r="D11757">
        <v>0.8</v>
      </c>
      <c r="E11757">
        <v>0</v>
      </c>
      <c r="F11757">
        <f t="shared" si="209"/>
        <v>0.8</v>
      </c>
      <c r="I11757">
        <v>20170701</v>
      </c>
      <c r="J11757" t="s">
        <v>12442</v>
      </c>
    </row>
    <row r="11758" spans="1:15" x14ac:dyDescent="0.3">
      <c r="A11758" s="160">
        <v>88099</v>
      </c>
      <c r="B11758" t="s">
        <v>26678</v>
      </c>
      <c r="C11758" t="s">
        <v>12416</v>
      </c>
      <c r="D11758">
        <v>0.8</v>
      </c>
      <c r="E11758">
        <v>0</v>
      </c>
      <c r="F11758">
        <f t="shared" si="209"/>
        <v>0.8</v>
      </c>
      <c r="I11758">
        <v>20170701</v>
      </c>
      <c r="J11758" t="s">
        <v>12427</v>
      </c>
      <c r="K11758" t="s">
        <v>12443</v>
      </c>
      <c r="L11758" t="s">
        <v>12444</v>
      </c>
      <c r="M11758" t="s">
        <v>12445</v>
      </c>
      <c r="N11758" t="s">
        <v>12446</v>
      </c>
      <c r="O11758" t="s">
        <v>12447</v>
      </c>
    </row>
    <row r="11759" spans="1:15" x14ac:dyDescent="0.3">
      <c r="A11759" s="160">
        <v>88106</v>
      </c>
      <c r="B11759" t="s">
        <v>26679</v>
      </c>
      <c r="C11759" t="s">
        <v>6182</v>
      </c>
      <c r="D11759">
        <v>0.55000000000000004</v>
      </c>
      <c r="E11759">
        <v>0</v>
      </c>
      <c r="F11759">
        <f t="shared" si="209"/>
        <v>0.55000000000000004</v>
      </c>
      <c r="I11759">
        <v>20230101</v>
      </c>
      <c r="J11759" t="s">
        <v>12448</v>
      </c>
      <c r="K11759" t="s">
        <v>12449</v>
      </c>
    </row>
    <row r="11760" spans="1:15" x14ac:dyDescent="0.3">
      <c r="A11760" s="160">
        <v>88108</v>
      </c>
      <c r="B11760" t="s">
        <v>26680</v>
      </c>
      <c r="C11760" t="s">
        <v>12416</v>
      </c>
      <c r="D11760">
        <v>0.8</v>
      </c>
      <c r="E11760">
        <v>0</v>
      </c>
      <c r="F11760">
        <f t="shared" si="209"/>
        <v>0.8</v>
      </c>
      <c r="I11760">
        <v>20240101</v>
      </c>
      <c r="J11760" t="s">
        <v>12423</v>
      </c>
    </row>
    <row r="11761" spans="1:12" x14ac:dyDescent="0.3">
      <c r="A11761" s="160">
        <v>88111</v>
      </c>
      <c r="B11761" t="s">
        <v>26681</v>
      </c>
      <c r="C11761" t="s">
        <v>6182</v>
      </c>
      <c r="D11761">
        <v>0.55000000000000004</v>
      </c>
      <c r="E11761">
        <v>0</v>
      </c>
      <c r="F11761">
        <f t="shared" si="209"/>
        <v>0.55000000000000004</v>
      </c>
      <c r="I11761">
        <v>20230101</v>
      </c>
      <c r="J11761" t="s">
        <v>12450</v>
      </c>
    </row>
    <row r="11762" spans="1:12" x14ac:dyDescent="0.3">
      <c r="A11762" s="160">
        <v>88113</v>
      </c>
      <c r="B11762" t="s">
        <v>26682</v>
      </c>
      <c r="C11762" t="s">
        <v>6182</v>
      </c>
      <c r="D11762">
        <v>0.55000000000000004</v>
      </c>
      <c r="E11762">
        <v>0</v>
      </c>
      <c r="F11762">
        <f t="shared" si="209"/>
        <v>0.55000000000000004</v>
      </c>
      <c r="I11762">
        <v>20230101</v>
      </c>
      <c r="J11762" t="s">
        <v>12429</v>
      </c>
    </row>
    <row r="11763" spans="1:12" x14ac:dyDescent="0.3">
      <c r="A11763" s="160">
        <v>88115</v>
      </c>
      <c r="B11763" t="s">
        <v>26683</v>
      </c>
      <c r="C11763" t="s">
        <v>6182</v>
      </c>
      <c r="D11763">
        <v>0.55000000000000004</v>
      </c>
      <c r="E11763">
        <v>0</v>
      </c>
      <c r="F11763">
        <f t="shared" si="209"/>
        <v>0.55000000000000004</v>
      </c>
      <c r="I11763">
        <v>20230101</v>
      </c>
      <c r="J11763" t="s">
        <v>12418</v>
      </c>
    </row>
    <row r="11764" spans="1:12" x14ac:dyDescent="0.3">
      <c r="A11764" s="160">
        <v>88120</v>
      </c>
      <c r="B11764" t="s">
        <v>26684</v>
      </c>
      <c r="C11764" t="s">
        <v>6182</v>
      </c>
      <c r="D11764">
        <v>0.55000000000000004</v>
      </c>
      <c r="E11764">
        <v>0</v>
      </c>
      <c r="F11764">
        <f t="shared" si="209"/>
        <v>0.55000000000000004</v>
      </c>
      <c r="I11764">
        <v>20230101</v>
      </c>
      <c r="J11764" t="s">
        <v>12424</v>
      </c>
    </row>
    <row r="11765" spans="1:12" x14ac:dyDescent="0.3">
      <c r="A11765" s="160">
        <v>88121</v>
      </c>
      <c r="B11765" t="s">
        <v>26685</v>
      </c>
      <c r="C11765" t="s">
        <v>12416</v>
      </c>
      <c r="D11765">
        <v>0.8</v>
      </c>
      <c r="E11765">
        <v>0</v>
      </c>
      <c r="F11765">
        <f t="shared" si="209"/>
        <v>0.8</v>
      </c>
      <c r="I11765">
        <v>20200101</v>
      </c>
      <c r="J11765" t="s">
        <v>12420</v>
      </c>
      <c r="K11765" t="s">
        <v>12421</v>
      </c>
    </row>
    <row r="11766" spans="1:12" x14ac:dyDescent="0.3">
      <c r="A11766" s="160">
        <v>88126</v>
      </c>
      <c r="B11766" t="s">
        <v>26686</v>
      </c>
      <c r="C11766" t="s">
        <v>12416</v>
      </c>
      <c r="D11766">
        <v>0.8</v>
      </c>
      <c r="E11766">
        <v>0</v>
      </c>
      <c r="F11766">
        <f t="shared" si="209"/>
        <v>0.8</v>
      </c>
      <c r="I11766">
        <v>20170701</v>
      </c>
      <c r="J11766" t="s">
        <v>12442</v>
      </c>
    </row>
    <row r="11767" spans="1:12" x14ac:dyDescent="0.3">
      <c r="A11767" s="160">
        <v>88128</v>
      </c>
      <c r="B11767" t="s">
        <v>26687</v>
      </c>
      <c r="C11767" t="s">
        <v>6182</v>
      </c>
      <c r="D11767">
        <v>0.55000000000000004</v>
      </c>
      <c r="E11767">
        <v>0</v>
      </c>
      <c r="F11767">
        <f t="shared" si="209"/>
        <v>0.55000000000000004</v>
      </c>
      <c r="I11767">
        <v>20240101</v>
      </c>
      <c r="J11767" t="s">
        <v>12425</v>
      </c>
    </row>
    <row r="11768" spans="1:12" x14ac:dyDescent="0.3">
      <c r="A11768" s="160">
        <v>88132</v>
      </c>
      <c r="B11768" t="s">
        <v>26688</v>
      </c>
      <c r="C11768" t="s">
        <v>12416</v>
      </c>
      <c r="D11768">
        <v>0.8</v>
      </c>
      <c r="E11768">
        <v>0</v>
      </c>
      <c r="F11768">
        <f t="shared" si="209"/>
        <v>0.8</v>
      </c>
      <c r="I11768">
        <v>20170701</v>
      </c>
      <c r="J11768" t="s">
        <v>12432</v>
      </c>
      <c r="K11768" t="s">
        <v>12433</v>
      </c>
    </row>
    <row r="11769" spans="1:12" x14ac:dyDescent="0.3">
      <c r="A11769" s="160">
        <v>88133</v>
      </c>
      <c r="B11769" t="s">
        <v>26689</v>
      </c>
      <c r="C11769" t="s">
        <v>12416</v>
      </c>
      <c r="D11769">
        <v>0.8</v>
      </c>
      <c r="E11769">
        <v>0</v>
      </c>
      <c r="F11769">
        <f t="shared" si="209"/>
        <v>0.8</v>
      </c>
      <c r="I11769">
        <v>20170701</v>
      </c>
      <c r="J11769" t="s">
        <v>12432</v>
      </c>
    </row>
    <row r="11770" spans="1:12" x14ac:dyDescent="0.3">
      <c r="A11770" s="160">
        <v>88134</v>
      </c>
      <c r="B11770" t="s">
        <v>26690</v>
      </c>
      <c r="C11770" t="s">
        <v>12416</v>
      </c>
      <c r="D11770">
        <v>0.8</v>
      </c>
      <c r="E11770">
        <v>0</v>
      </c>
      <c r="F11770">
        <f t="shared" si="209"/>
        <v>0.8</v>
      </c>
      <c r="I11770">
        <v>20150501</v>
      </c>
      <c r="J11770" t="s">
        <v>12432</v>
      </c>
    </row>
    <row r="11771" spans="1:12" x14ac:dyDescent="0.3">
      <c r="A11771" s="160">
        <v>88136</v>
      </c>
      <c r="B11771" t="s">
        <v>26691</v>
      </c>
      <c r="C11771" t="s">
        <v>12416</v>
      </c>
      <c r="D11771">
        <v>0.8</v>
      </c>
      <c r="E11771">
        <v>0</v>
      </c>
      <c r="F11771">
        <f t="shared" si="209"/>
        <v>0.8</v>
      </c>
      <c r="I11771">
        <v>20170701</v>
      </c>
      <c r="J11771" t="s">
        <v>12432</v>
      </c>
      <c r="K11771" t="s">
        <v>12451</v>
      </c>
      <c r="L11771" t="s">
        <v>12452</v>
      </c>
    </row>
    <row r="11772" spans="1:12" x14ac:dyDescent="0.3">
      <c r="A11772" s="160">
        <v>88142</v>
      </c>
      <c r="B11772" t="s">
        <v>26692</v>
      </c>
      <c r="C11772" t="s">
        <v>12416</v>
      </c>
      <c r="D11772">
        <v>0.8</v>
      </c>
      <c r="E11772">
        <v>0</v>
      </c>
      <c r="F11772">
        <f t="shared" si="209"/>
        <v>0.8</v>
      </c>
      <c r="I11772">
        <v>20170701</v>
      </c>
      <c r="J11772" t="s">
        <v>12442</v>
      </c>
    </row>
    <row r="11773" spans="1:12" x14ac:dyDescent="0.3">
      <c r="A11773" s="160">
        <v>88143</v>
      </c>
      <c r="B11773" t="s">
        <v>26693</v>
      </c>
      <c r="C11773" t="s">
        <v>12416</v>
      </c>
      <c r="D11773">
        <v>0.8</v>
      </c>
      <c r="E11773">
        <v>0</v>
      </c>
      <c r="F11773">
        <f t="shared" si="209"/>
        <v>0.8</v>
      </c>
      <c r="I11773">
        <v>20170701</v>
      </c>
      <c r="J11773" t="s">
        <v>12421</v>
      </c>
    </row>
    <row r="11774" spans="1:12" x14ac:dyDescent="0.3">
      <c r="A11774" s="160">
        <v>88152</v>
      </c>
      <c r="B11774" t="s">
        <v>23070</v>
      </c>
      <c r="C11774" t="s">
        <v>12416</v>
      </c>
      <c r="D11774">
        <v>0.8</v>
      </c>
      <c r="E11774">
        <v>0</v>
      </c>
      <c r="F11774">
        <f t="shared" si="209"/>
        <v>0.8</v>
      </c>
      <c r="I11774">
        <v>20240101</v>
      </c>
      <c r="J11774" t="s">
        <v>12419</v>
      </c>
    </row>
    <row r="11775" spans="1:12" x14ac:dyDescent="0.3">
      <c r="A11775" s="160">
        <v>88157</v>
      </c>
      <c r="B11775" t="s">
        <v>26694</v>
      </c>
      <c r="C11775" t="s">
        <v>12416</v>
      </c>
      <c r="D11775">
        <v>0.8</v>
      </c>
      <c r="E11775">
        <v>0</v>
      </c>
      <c r="F11775">
        <f t="shared" si="209"/>
        <v>0.8</v>
      </c>
      <c r="I11775">
        <v>20170701</v>
      </c>
      <c r="J11775" t="s">
        <v>12453</v>
      </c>
    </row>
    <row r="11776" spans="1:12" x14ac:dyDescent="0.3">
      <c r="A11776" s="160">
        <v>88159</v>
      </c>
      <c r="B11776" t="s">
        <v>26695</v>
      </c>
      <c r="C11776" t="s">
        <v>6182</v>
      </c>
      <c r="D11776">
        <v>0.55000000000000004</v>
      </c>
      <c r="E11776">
        <v>0</v>
      </c>
      <c r="F11776">
        <f t="shared" si="209"/>
        <v>0.55000000000000004</v>
      </c>
      <c r="I11776">
        <v>20230101</v>
      </c>
      <c r="J11776" t="s">
        <v>12415</v>
      </c>
    </row>
    <row r="11777" spans="1:41" x14ac:dyDescent="0.3">
      <c r="A11777" s="160">
        <v>88160</v>
      </c>
      <c r="B11777" t="s">
        <v>26696</v>
      </c>
      <c r="C11777" t="s">
        <v>12416</v>
      </c>
      <c r="D11777">
        <v>0.8</v>
      </c>
      <c r="E11777">
        <v>0</v>
      </c>
      <c r="F11777">
        <f t="shared" si="209"/>
        <v>0.8</v>
      </c>
      <c r="I11777">
        <v>20130701</v>
      </c>
      <c r="J11777" t="s">
        <v>12432</v>
      </c>
      <c r="K11777" t="s">
        <v>12454</v>
      </c>
      <c r="L11777" t="s">
        <v>12433</v>
      </c>
      <c r="M11777" t="s">
        <v>12455</v>
      </c>
      <c r="N11777" t="s">
        <v>12456</v>
      </c>
      <c r="O11777" t="s">
        <v>12457</v>
      </c>
      <c r="P11777" t="s">
        <v>12458</v>
      </c>
      <c r="Q11777" t="s">
        <v>12459</v>
      </c>
      <c r="R11777" t="s">
        <v>12460</v>
      </c>
      <c r="S11777" t="s">
        <v>12461</v>
      </c>
      <c r="T11777" t="s">
        <v>12462</v>
      </c>
      <c r="U11777" t="s">
        <v>12463</v>
      </c>
      <c r="V11777" t="s">
        <v>12434</v>
      </c>
      <c r="W11777" t="s">
        <v>12464</v>
      </c>
      <c r="X11777" t="s">
        <v>12465</v>
      </c>
      <c r="Y11777" t="s">
        <v>12466</v>
      </c>
      <c r="Z11777" t="s">
        <v>12467</v>
      </c>
      <c r="AA11777" t="s">
        <v>12468</v>
      </c>
      <c r="AB11777" t="s">
        <v>12469</v>
      </c>
      <c r="AC11777" t="s">
        <v>12470</v>
      </c>
      <c r="AD11777" t="s">
        <v>12435</v>
      </c>
      <c r="AE11777" t="s">
        <v>12436</v>
      </c>
      <c r="AF11777" t="s">
        <v>12471</v>
      </c>
      <c r="AG11777" t="s">
        <v>12451</v>
      </c>
      <c r="AH11777" t="s">
        <v>12452</v>
      </c>
      <c r="AI11777" t="s">
        <v>12437</v>
      </c>
      <c r="AJ11777" t="s">
        <v>12472</v>
      </c>
      <c r="AK11777" t="s">
        <v>12473</v>
      </c>
      <c r="AL11777" t="s">
        <v>12474</v>
      </c>
      <c r="AM11777" t="s">
        <v>12475</v>
      </c>
      <c r="AN11777" t="s">
        <v>12476</v>
      </c>
      <c r="AO11777" t="s">
        <v>12477</v>
      </c>
    </row>
    <row r="11778" spans="1:41" x14ac:dyDescent="0.3">
      <c r="A11778" s="160">
        <v>88163</v>
      </c>
      <c r="B11778" t="s">
        <v>26697</v>
      </c>
      <c r="C11778" t="s">
        <v>12416</v>
      </c>
      <c r="D11778">
        <v>0.8</v>
      </c>
      <c r="E11778">
        <v>0</v>
      </c>
      <c r="F11778">
        <f t="shared" si="209"/>
        <v>0.8</v>
      </c>
      <c r="I11778">
        <v>20200101</v>
      </c>
      <c r="J11778" t="s">
        <v>12431</v>
      </c>
    </row>
    <row r="11779" spans="1:41" x14ac:dyDescent="0.3">
      <c r="A11779" s="160">
        <v>88165</v>
      </c>
      <c r="B11779" t="s">
        <v>26698</v>
      </c>
      <c r="C11779" t="s">
        <v>6182</v>
      </c>
      <c r="D11779">
        <v>0.55000000000000004</v>
      </c>
      <c r="E11779">
        <v>0</v>
      </c>
      <c r="F11779">
        <f t="shared" si="209"/>
        <v>0.55000000000000004</v>
      </c>
      <c r="I11779">
        <v>20230101</v>
      </c>
      <c r="J11779" t="s">
        <v>12478</v>
      </c>
    </row>
    <row r="11780" spans="1:41" x14ac:dyDescent="0.3">
      <c r="A11780" s="160">
        <v>88173</v>
      </c>
      <c r="B11780" t="s">
        <v>26699</v>
      </c>
      <c r="C11780" t="s">
        <v>12416</v>
      </c>
      <c r="D11780">
        <v>0.8</v>
      </c>
      <c r="E11780">
        <v>0</v>
      </c>
      <c r="F11780">
        <f t="shared" si="209"/>
        <v>0.8</v>
      </c>
      <c r="I11780">
        <v>20200101</v>
      </c>
      <c r="J11780" t="s">
        <v>12431</v>
      </c>
      <c r="K11780" t="s">
        <v>12440</v>
      </c>
    </row>
    <row r="11781" spans="1:41" x14ac:dyDescent="0.3">
      <c r="A11781" s="160">
        <v>88174</v>
      </c>
      <c r="B11781" t="s">
        <v>26700</v>
      </c>
      <c r="C11781" t="s">
        <v>12416</v>
      </c>
      <c r="D11781">
        <v>0.8</v>
      </c>
      <c r="E11781">
        <v>0</v>
      </c>
      <c r="F11781">
        <f t="shared" si="209"/>
        <v>0.8</v>
      </c>
      <c r="I11781">
        <v>20170701</v>
      </c>
      <c r="J11781" t="s">
        <v>12442</v>
      </c>
    </row>
    <row r="11782" spans="1:41" x14ac:dyDescent="0.3">
      <c r="A11782" s="160">
        <v>88176</v>
      </c>
      <c r="B11782" t="s">
        <v>26701</v>
      </c>
      <c r="C11782" t="s">
        <v>12416</v>
      </c>
      <c r="D11782">
        <v>0.8</v>
      </c>
      <c r="E11782">
        <v>0</v>
      </c>
      <c r="F11782">
        <f t="shared" si="209"/>
        <v>0.8</v>
      </c>
      <c r="I11782">
        <v>20240101</v>
      </c>
      <c r="J11782" t="s">
        <v>12423</v>
      </c>
    </row>
    <row r="11783" spans="1:41" x14ac:dyDescent="0.3">
      <c r="A11783" s="160">
        <v>88178</v>
      </c>
      <c r="B11783" t="s">
        <v>26702</v>
      </c>
      <c r="C11783" t="s">
        <v>12416</v>
      </c>
      <c r="D11783">
        <v>0.8</v>
      </c>
      <c r="E11783">
        <v>0</v>
      </c>
      <c r="F11783">
        <f t="shared" ref="F11783:F11846" si="210">D11783+E11783</f>
        <v>0.8</v>
      </c>
      <c r="I11783">
        <v>20170701</v>
      </c>
      <c r="J11783" t="s">
        <v>12442</v>
      </c>
    </row>
    <row r="11784" spans="1:41" x14ac:dyDescent="0.3">
      <c r="A11784" s="160">
        <v>88181</v>
      </c>
      <c r="B11784" t="s">
        <v>26703</v>
      </c>
      <c r="C11784" t="s">
        <v>6182</v>
      </c>
      <c r="D11784">
        <v>0.55000000000000004</v>
      </c>
      <c r="E11784">
        <v>0</v>
      </c>
      <c r="F11784">
        <f t="shared" si="210"/>
        <v>0.55000000000000004</v>
      </c>
      <c r="I11784">
        <v>20230101</v>
      </c>
      <c r="J11784" t="s">
        <v>12449</v>
      </c>
    </row>
    <row r="11785" spans="1:41" x14ac:dyDescent="0.3">
      <c r="A11785" s="160">
        <v>88182</v>
      </c>
      <c r="B11785" t="s">
        <v>26704</v>
      </c>
      <c r="C11785" t="s">
        <v>6182</v>
      </c>
      <c r="D11785">
        <v>0.55000000000000004</v>
      </c>
      <c r="E11785">
        <v>0</v>
      </c>
      <c r="F11785">
        <f t="shared" si="210"/>
        <v>0.55000000000000004</v>
      </c>
      <c r="I11785">
        <v>20230101</v>
      </c>
      <c r="J11785" t="s">
        <v>12429</v>
      </c>
    </row>
    <row r="11786" spans="1:41" x14ac:dyDescent="0.3">
      <c r="A11786" s="160">
        <v>88190</v>
      </c>
      <c r="B11786" t="s">
        <v>26705</v>
      </c>
      <c r="C11786" t="s">
        <v>12416</v>
      </c>
      <c r="D11786">
        <v>0.8</v>
      </c>
      <c r="E11786">
        <v>0</v>
      </c>
      <c r="F11786">
        <f t="shared" si="210"/>
        <v>0.8</v>
      </c>
      <c r="I11786">
        <v>20170701</v>
      </c>
      <c r="J11786" t="s">
        <v>12479</v>
      </c>
    </row>
    <row r="11787" spans="1:41" x14ac:dyDescent="0.3">
      <c r="A11787" s="160">
        <v>88193</v>
      </c>
      <c r="B11787" t="s">
        <v>26706</v>
      </c>
      <c r="C11787" t="s">
        <v>6182</v>
      </c>
      <c r="D11787">
        <v>0.55000000000000004</v>
      </c>
      <c r="E11787">
        <v>0</v>
      </c>
      <c r="F11787">
        <f t="shared" si="210"/>
        <v>0.55000000000000004</v>
      </c>
      <c r="I11787">
        <v>20230101</v>
      </c>
      <c r="J11787" t="s">
        <v>12424</v>
      </c>
    </row>
    <row r="11788" spans="1:41" x14ac:dyDescent="0.3">
      <c r="A11788" s="160">
        <v>88198</v>
      </c>
      <c r="B11788" t="s">
        <v>26707</v>
      </c>
      <c r="C11788" t="s">
        <v>6182</v>
      </c>
      <c r="D11788">
        <v>0.55000000000000004</v>
      </c>
      <c r="E11788">
        <v>0</v>
      </c>
      <c r="F11788">
        <f t="shared" si="210"/>
        <v>0.55000000000000004</v>
      </c>
      <c r="I11788">
        <v>20230101</v>
      </c>
      <c r="J11788" t="s">
        <v>12418</v>
      </c>
    </row>
    <row r="11789" spans="1:41" x14ac:dyDescent="0.3">
      <c r="A11789" s="160">
        <v>88200</v>
      </c>
      <c r="B11789" t="s">
        <v>26708</v>
      </c>
      <c r="C11789" t="s">
        <v>12416</v>
      </c>
      <c r="D11789">
        <v>0.8</v>
      </c>
      <c r="E11789">
        <v>0</v>
      </c>
      <c r="F11789">
        <f t="shared" si="210"/>
        <v>0.8</v>
      </c>
      <c r="I11789">
        <v>20170701</v>
      </c>
      <c r="J11789" t="s">
        <v>12442</v>
      </c>
    </row>
    <row r="11790" spans="1:41" x14ac:dyDescent="0.3">
      <c r="A11790" s="160">
        <v>88201</v>
      </c>
      <c r="B11790" t="s">
        <v>26709</v>
      </c>
      <c r="C11790" t="s">
        <v>12416</v>
      </c>
      <c r="D11790">
        <v>0.8</v>
      </c>
      <c r="E11790">
        <v>0</v>
      </c>
      <c r="F11790">
        <f t="shared" si="210"/>
        <v>0.8</v>
      </c>
      <c r="I11790">
        <v>20170701</v>
      </c>
      <c r="J11790" t="s">
        <v>12442</v>
      </c>
    </row>
    <row r="11791" spans="1:41" x14ac:dyDescent="0.3">
      <c r="A11791" s="160">
        <v>88204</v>
      </c>
      <c r="B11791" t="s">
        <v>26710</v>
      </c>
      <c r="C11791" t="s">
        <v>12416</v>
      </c>
      <c r="D11791">
        <v>0.8</v>
      </c>
      <c r="E11791">
        <v>0</v>
      </c>
      <c r="F11791">
        <f t="shared" si="210"/>
        <v>0.8</v>
      </c>
      <c r="I11791">
        <v>20170701</v>
      </c>
      <c r="J11791" t="s">
        <v>12427</v>
      </c>
      <c r="K11791" t="s">
        <v>12443</v>
      </c>
      <c r="L11791" t="s">
        <v>12444</v>
      </c>
    </row>
    <row r="11792" spans="1:41" x14ac:dyDescent="0.3">
      <c r="A11792" s="160">
        <v>88209</v>
      </c>
      <c r="B11792" t="s">
        <v>26711</v>
      </c>
      <c r="C11792" t="s">
        <v>12416</v>
      </c>
      <c r="D11792">
        <v>0.8</v>
      </c>
      <c r="E11792">
        <v>0</v>
      </c>
      <c r="F11792">
        <f t="shared" si="210"/>
        <v>0.8</v>
      </c>
      <c r="I11792">
        <v>20130701</v>
      </c>
      <c r="J11792" t="s">
        <v>12458</v>
      </c>
      <c r="K11792" t="s">
        <v>12480</v>
      </c>
      <c r="L11792" t="s">
        <v>12481</v>
      </c>
      <c r="M11792" t="s">
        <v>12482</v>
      </c>
      <c r="N11792" t="s">
        <v>12483</v>
      </c>
      <c r="O11792" t="s">
        <v>12484</v>
      </c>
      <c r="P11792" t="s">
        <v>12485</v>
      </c>
    </row>
    <row r="11793" spans="1:11" x14ac:dyDescent="0.3">
      <c r="A11793" s="160">
        <v>88213</v>
      </c>
      <c r="B11793" t="s">
        <v>26712</v>
      </c>
      <c r="C11793" t="s">
        <v>6182</v>
      </c>
      <c r="D11793">
        <v>0.55000000000000004</v>
      </c>
      <c r="E11793">
        <v>0</v>
      </c>
      <c r="F11793">
        <f t="shared" si="210"/>
        <v>0.55000000000000004</v>
      </c>
      <c r="I11793">
        <v>20230101</v>
      </c>
      <c r="J11793" t="s">
        <v>12429</v>
      </c>
    </row>
    <row r="11794" spans="1:11" x14ac:dyDescent="0.3">
      <c r="A11794" s="160">
        <v>88215</v>
      </c>
      <c r="B11794" t="s">
        <v>26713</v>
      </c>
      <c r="C11794" t="s">
        <v>6182</v>
      </c>
      <c r="D11794">
        <v>0.55000000000000004</v>
      </c>
      <c r="E11794">
        <v>0</v>
      </c>
      <c r="F11794">
        <f t="shared" si="210"/>
        <v>0.55000000000000004</v>
      </c>
      <c r="I11794">
        <v>20230101</v>
      </c>
      <c r="J11794" t="s">
        <v>12425</v>
      </c>
    </row>
    <row r="11795" spans="1:11" x14ac:dyDescent="0.3">
      <c r="A11795" s="160">
        <v>88221</v>
      </c>
      <c r="B11795" t="s">
        <v>26714</v>
      </c>
      <c r="C11795" t="s">
        <v>12416</v>
      </c>
      <c r="D11795">
        <v>0.8</v>
      </c>
      <c r="E11795">
        <v>0</v>
      </c>
      <c r="F11795">
        <f t="shared" si="210"/>
        <v>0.8</v>
      </c>
      <c r="I11795">
        <v>20240101</v>
      </c>
      <c r="J11795" t="s">
        <v>12423</v>
      </c>
    </row>
    <row r="11796" spans="1:11" x14ac:dyDescent="0.3">
      <c r="A11796" s="160">
        <v>88224</v>
      </c>
      <c r="B11796" t="s">
        <v>26715</v>
      </c>
      <c r="C11796" t="s">
        <v>12416</v>
      </c>
      <c r="D11796">
        <v>0.8</v>
      </c>
      <c r="E11796">
        <v>0</v>
      </c>
      <c r="F11796">
        <f t="shared" si="210"/>
        <v>0.8</v>
      </c>
      <c r="I11796">
        <v>20200101</v>
      </c>
      <c r="J11796" t="s">
        <v>12421</v>
      </c>
    </row>
    <row r="11797" spans="1:11" x14ac:dyDescent="0.3">
      <c r="A11797" s="160">
        <v>88225</v>
      </c>
      <c r="B11797" t="s">
        <v>26716</v>
      </c>
      <c r="C11797" t="s">
        <v>12416</v>
      </c>
      <c r="D11797">
        <v>0.8</v>
      </c>
      <c r="E11797">
        <v>0</v>
      </c>
      <c r="F11797">
        <f t="shared" si="210"/>
        <v>0.8</v>
      </c>
      <c r="I11797">
        <v>20200101</v>
      </c>
      <c r="J11797" t="s">
        <v>12453</v>
      </c>
    </row>
    <row r="11798" spans="1:11" x14ac:dyDescent="0.3">
      <c r="A11798" s="160">
        <v>88228</v>
      </c>
      <c r="B11798" t="s">
        <v>26717</v>
      </c>
      <c r="C11798" t="s">
        <v>12416</v>
      </c>
      <c r="D11798">
        <v>0.8</v>
      </c>
      <c r="E11798">
        <v>0</v>
      </c>
      <c r="F11798">
        <f t="shared" si="210"/>
        <v>0.8</v>
      </c>
      <c r="I11798">
        <v>20200101</v>
      </c>
      <c r="J11798" t="s">
        <v>12421</v>
      </c>
    </row>
    <row r="11799" spans="1:11" x14ac:dyDescent="0.3">
      <c r="A11799" s="160">
        <v>88236</v>
      </c>
      <c r="B11799" t="s">
        <v>26718</v>
      </c>
      <c r="C11799" t="s">
        <v>12416</v>
      </c>
      <c r="D11799">
        <v>0.8</v>
      </c>
      <c r="E11799">
        <v>0</v>
      </c>
      <c r="F11799">
        <f t="shared" si="210"/>
        <v>0.8</v>
      </c>
      <c r="I11799">
        <v>20240101</v>
      </c>
      <c r="J11799" t="s">
        <v>12423</v>
      </c>
    </row>
    <row r="11800" spans="1:11" x14ac:dyDescent="0.3">
      <c r="A11800" s="160">
        <v>88239</v>
      </c>
      <c r="B11800" t="s">
        <v>26719</v>
      </c>
      <c r="C11800" t="s">
        <v>12416</v>
      </c>
      <c r="D11800">
        <v>0.8</v>
      </c>
      <c r="E11800">
        <v>0</v>
      </c>
      <c r="F11800">
        <f t="shared" si="210"/>
        <v>0.8</v>
      </c>
      <c r="I11800">
        <v>20200101</v>
      </c>
      <c r="J11800" t="s">
        <v>12431</v>
      </c>
    </row>
    <row r="11801" spans="1:11" x14ac:dyDescent="0.3">
      <c r="A11801" s="160">
        <v>88244</v>
      </c>
      <c r="B11801" t="s">
        <v>26720</v>
      </c>
      <c r="C11801" t="s">
        <v>6182</v>
      </c>
      <c r="D11801">
        <v>0.55000000000000004</v>
      </c>
      <c r="E11801">
        <v>0</v>
      </c>
      <c r="F11801">
        <f t="shared" si="210"/>
        <v>0.55000000000000004</v>
      </c>
      <c r="I11801">
        <v>20230101</v>
      </c>
      <c r="J11801" t="s">
        <v>12418</v>
      </c>
    </row>
    <row r="11802" spans="1:11" x14ac:dyDescent="0.3">
      <c r="A11802" s="160">
        <v>88245</v>
      </c>
      <c r="B11802" t="s">
        <v>26721</v>
      </c>
      <c r="C11802" t="s">
        <v>6182</v>
      </c>
      <c r="D11802">
        <v>0.55000000000000004</v>
      </c>
      <c r="E11802">
        <v>0</v>
      </c>
      <c r="F11802">
        <f t="shared" si="210"/>
        <v>0.55000000000000004</v>
      </c>
      <c r="I11802">
        <v>20240101</v>
      </c>
      <c r="J11802" t="s">
        <v>12425</v>
      </c>
    </row>
    <row r="11803" spans="1:11" x14ac:dyDescent="0.3">
      <c r="A11803" s="160">
        <v>88247</v>
      </c>
      <c r="B11803" t="s">
        <v>21297</v>
      </c>
      <c r="C11803" t="s">
        <v>12416</v>
      </c>
      <c r="D11803">
        <v>0.8</v>
      </c>
      <c r="E11803">
        <v>0</v>
      </c>
      <c r="F11803">
        <f t="shared" si="210"/>
        <v>0.8</v>
      </c>
      <c r="I11803">
        <v>20170701</v>
      </c>
      <c r="J11803" t="s">
        <v>12427</v>
      </c>
      <c r="K11803" t="s">
        <v>12445</v>
      </c>
    </row>
    <row r="11804" spans="1:11" x14ac:dyDescent="0.3">
      <c r="A11804" s="160">
        <v>88250</v>
      </c>
      <c r="B11804" t="s">
        <v>26722</v>
      </c>
      <c r="C11804" t="s">
        <v>12416</v>
      </c>
      <c r="D11804">
        <v>0.8</v>
      </c>
      <c r="E11804">
        <v>0</v>
      </c>
      <c r="F11804">
        <f t="shared" si="210"/>
        <v>0.8</v>
      </c>
      <c r="I11804">
        <v>20200101</v>
      </c>
      <c r="J11804" t="s">
        <v>12486</v>
      </c>
    </row>
    <row r="11805" spans="1:11" x14ac:dyDescent="0.3">
      <c r="A11805" s="160">
        <v>88253</v>
      </c>
      <c r="B11805" t="s">
        <v>26723</v>
      </c>
      <c r="C11805" t="s">
        <v>12416</v>
      </c>
      <c r="D11805">
        <v>0.8</v>
      </c>
      <c r="E11805">
        <v>0</v>
      </c>
      <c r="F11805">
        <f t="shared" si="210"/>
        <v>0.8</v>
      </c>
      <c r="I11805">
        <v>20130701</v>
      </c>
      <c r="J11805" t="s">
        <v>12432</v>
      </c>
    </row>
    <row r="11806" spans="1:11" x14ac:dyDescent="0.3">
      <c r="A11806" s="160">
        <v>88260</v>
      </c>
      <c r="B11806" t="s">
        <v>26724</v>
      </c>
      <c r="C11806" t="s">
        <v>12416</v>
      </c>
      <c r="D11806">
        <v>0.8</v>
      </c>
      <c r="E11806">
        <v>0</v>
      </c>
      <c r="F11806">
        <f t="shared" si="210"/>
        <v>0.8</v>
      </c>
      <c r="I11806">
        <v>20200101</v>
      </c>
      <c r="J11806" t="s">
        <v>12431</v>
      </c>
    </row>
    <row r="11807" spans="1:11" x14ac:dyDescent="0.3">
      <c r="A11807" s="160">
        <v>88268</v>
      </c>
      <c r="B11807" t="s">
        <v>26725</v>
      </c>
      <c r="C11807" t="s">
        <v>6182</v>
      </c>
      <c r="D11807">
        <v>0.55000000000000004</v>
      </c>
      <c r="E11807">
        <v>0</v>
      </c>
      <c r="F11807">
        <f t="shared" si="210"/>
        <v>0.55000000000000004</v>
      </c>
      <c r="I11807">
        <v>20230101</v>
      </c>
      <c r="J11807" t="s">
        <v>12429</v>
      </c>
    </row>
    <row r="11808" spans="1:11" x14ac:dyDescent="0.3">
      <c r="A11808" s="160">
        <v>88273</v>
      </c>
      <c r="B11808" t="s">
        <v>26726</v>
      </c>
      <c r="C11808" t="s">
        <v>12416</v>
      </c>
      <c r="D11808">
        <v>0.8</v>
      </c>
      <c r="E11808">
        <v>0</v>
      </c>
      <c r="F11808">
        <f t="shared" si="210"/>
        <v>0.8</v>
      </c>
      <c r="I11808">
        <v>20170701</v>
      </c>
      <c r="J11808" t="s">
        <v>12432</v>
      </c>
    </row>
    <row r="11809" spans="1:76" x14ac:dyDescent="0.3">
      <c r="A11809" s="160">
        <v>88275</v>
      </c>
      <c r="B11809" t="s">
        <v>26727</v>
      </c>
      <c r="C11809" t="s">
        <v>6182</v>
      </c>
      <c r="D11809">
        <v>0.55000000000000004</v>
      </c>
      <c r="E11809">
        <v>0</v>
      </c>
      <c r="F11809">
        <f t="shared" si="210"/>
        <v>0.55000000000000004</v>
      </c>
      <c r="I11809">
        <v>20230101</v>
      </c>
      <c r="J11809" t="s">
        <v>12429</v>
      </c>
    </row>
    <row r="11810" spans="1:76" x14ac:dyDescent="0.3">
      <c r="A11810" s="160">
        <v>88276</v>
      </c>
      <c r="B11810" t="s">
        <v>26728</v>
      </c>
      <c r="C11810" t="s">
        <v>6182</v>
      </c>
      <c r="D11810">
        <v>0.55000000000000004</v>
      </c>
      <c r="E11810">
        <v>0</v>
      </c>
      <c r="F11810">
        <f t="shared" si="210"/>
        <v>0.55000000000000004</v>
      </c>
      <c r="I11810">
        <v>20230101</v>
      </c>
      <c r="J11810" t="s">
        <v>12429</v>
      </c>
    </row>
    <row r="11811" spans="1:76" x14ac:dyDescent="0.3">
      <c r="A11811" s="160">
        <v>88277</v>
      </c>
      <c r="B11811" t="s">
        <v>26729</v>
      </c>
      <c r="C11811" t="s">
        <v>6182</v>
      </c>
      <c r="D11811">
        <v>0.55000000000000004</v>
      </c>
      <c r="E11811">
        <v>0</v>
      </c>
      <c r="F11811">
        <f t="shared" si="210"/>
        <v>0.55000000000000004</v>
      </c>
      <c r="I11811">
        <v>20230101</v>
      </c>
      <c r="J11811" t="s">
        <v>12414</v>
      </c>
    </row>
    <row r="11812" spans="1:76" x14ac:dyDescent="0.3">
      <c r="A11812" s="160">
        <v>88284</v>
      </c>
      <c r="B11812" t="s">
        <v>26730</v>
      </c>
      <c r="C11812" t="s">
        <v>6182</v>
      </c>
      <c r="D11812">
        <v>0.55000000000000004</v>
      </c>
      <c r="E11812">
        <v>0</v>
      </c>
      <c r="F11812">
        <f t="shared" si="210"/>
        <v>0.55000000000000004</v>
      </c>
      <c r="I11812">
        <v>20230101</v>
      </c>
      <c r="J11812" t="s">
        <v>12415</v>
      </c>
    </row>
    <row r="11813" spans="1:76" x14ac:dyDescent="0.3">
      <c r="A11813" s="160">
        <v>88294</v>
      </c>
      <c r="B11813" t="s">
        <v>26731</v>
      </c>
      <c r="C11813" t="s">
        <v>12416</v>
      </c>
      <c r="D11813">
        <v>0.8</v>
      </c>
      <c r="E11813">
        <v>0</v>
      </c>
      <c r="F11813">
        <f t="shared" si="210"/>
        <v>0.8</v>
      </c>
      <c r="I11813">
        <v>20170701</v>
      </c>
      <c r="J11813" t="s">
        <v>12427</v>
      </c>
    </row>
    <row r="11814" spans="1:76" x14ac:dyDescent="0.3">
      <c r="A11814" s="160">
        <v>88300</v>
      </c>
      <c r="B11814" t="s">
        <v>26732</v>
      </c>
      <c r="C11814" t="s">
        <v>6182</v>
      </c>
      <c r="D11814">
        <v>0.55000000000000004</v>
      </c>
      <c r="E11814">
        <v>0</v>
      </c>
      <c r="F11814">
        <f t="shared" si="210"/>
        <v>0.55000000000000004</v>
      </c>
      <c r="I11814">
        <v>20230101</v>
      </c>
      <c r="J11814" t="s">
        <v>12425</v>
      </c>
      <c r="BP11814" t="s">
        <v>12397</v>
      </c>
      <c r="BQ11814" t="s">
        <v>12398</v>
      </c>
      <c r="BR11814" t="s">
        <v>12399</v>
      </c>
      <c r="BS11814" t="s">
        <v>12400</v>
      </c>
      <c r="BT11814" t="s">
        <v>12401</v>
      </c>
      <c r="BU11814" t="s">
        <v>12402</v>
      </c>
      <c r="BV11814" t="s">
        <v>12403</v>
      </c>
      <c r="BW11814" t="s">
        <v>12404</v>
      </c>
      <c r="BX11814" t="s">
        <v>12405</v>
      </c>
    </row>
    <row r="11815" spans="1:76" x14ac:dyDescent="0.3">
      <c r="A11815" s="160">
        <v>88306</v>
      </c>
      <c r="B11815" t="s">
        <v>26733</v>
      </c>
      <c r="C11815" t="s">
        <v>6182</v>
      </c>
      <c r="D11815">
        <v>0.55000000000000004</v>
      </c>
      <c r="E11815">
        <v>0</v>
      </c>
      <c r="F11815">
        <f t="shared" si="210"/>
        <v>0.55000000000000004</v>
      </c>
      <c r="I11815">
        <v>20230101</v>
      </c>
      <c r="J11815" t="s">
        <v>12425</v>
      </c>
    </row>
    <row r="11816" spans="1:76" x14ac:dyDescent="0.3">
      <c r="A11816" s="160">
        <v>88311</v>
      </c>
      <c r="B11816" t="s">
        <v>26734</v>
      </c>
      <c r="C11816" t="s">
        <v>12416</v>
      </c>
      <c r="D11816">
        <v>0.8</v>
      </c>
      <c r="E11816">
        <v>0</v>
      </c>
      <c r="F11816">
        <f t="shared" si="210"/>
        <v>0.8</v>
      </c>
      <c r="I11816">
        <v>20240101</v>
      </c>
      <c r="J11816" t="s">
        <v>12423</v>
      </c>
    </row>
    <row r="11817" spans="1:76" x14ac:dyDescent="0.3">
      <c r="A11817" s="160">
        <v>88313</v>
      </c>
      <c r="B11817" t="s">
        <v>26735</v>
      </c>
      <c r="C11817" t="s">
        <v>12416</v>
      </c>
      <c r="D11817">
        <v>0.8</v>
      </c>
      <c r="E11817">
        <v>0</v>
      </c>
      <c r="F11817">
        <f t="shared" si="210"/>
        <v>0.8</v>
      </c>
      <c r="I11817">
        <v>20200101</v>
      </c>
      <c r="J11817" t="s">
        <v>12421</v>
      </c>
    </row>
    <row r="11818" spans="1:76" x14ac:dyDescent="0.3">
      <c r="A11818" s="160">
        <v>88317</v>
      </c>
      <c r="B11818" t="s">
        <v>16255</v>
      </c>
      <c r="C11818" t="s">
        <v>6182</v>
      </c>
      <c r="D11818">
        <v>0.55000000000000004</v>
      </c>
      <c r="E11818">
        <v>0</v>
      </c>
      <c r="F11818">
        <f t="shared" si="210"/>
        <v>0.55000000000000004</v>
      </c>
      <c r="I11818">
        <v>20230101</v>
      </c>
      <c r="J11818" t="s">
        <v>12425</v>
      </c>
    </row>
    <row r="11819" spans="1:76" x14ac:dyDescent="0.3">
      <c r="A11819" s="160">
        <v>88319</v>
      </c>
      <c r="B11819" t="s">
        <v>26736</v>
      </c>
      <c r="C11819" t="s">
        <v>6182</v>
      </c>
      <c r="D11819">
        <v>0.55000000000000004</v>
      </c>
      <c r="E11819">
        <v>0</v>
      </c>
      <c r="F11819">
        <f t="shared" si="210"/>
        <v>0.55000000000000004</v>
      </c>
      <c r="I11819">
        <v>20230101</v>
      </c>
      <c r="J11819" t="s">
        <v>12487</v>
      </c>
    </row>
    <row r="11820" spans="1:76" x14ac:dyDescent="0.3">
      <c r="A11820" s="160">
        <v>88320</v>
      </c>
      <c r="B11820" t="s">
        <v>26737</v>
      </c>
      <c r="C11820" t="s">
        <v>6182</v>
      </c>
      <c r="D11820">
        <v>0.55000000000000004</v>
      </c>
      <c r="E11820">
        <v>0</v>
      </c>
      <c r="F11820">
        <f t="shared" si="210"/>
        <v>0.55000000000000004</v>
      </c>
      <c r="I11820">
        <v>20230101</v>
      </c>
      <c r="J11820" t="s">
        <v>12450</v>
      </c>
    </row>
    <row r="11821" spans="1:76" x14ac:dyDescent="0.3">
      <c r="A11821" s="160">
        <v>88326</v>
      </c>
      <c r="B11821" t="s">
        <v>26738</v>
      </c>
      <c r="C11821" t="s">
        <v>6182</v>
      </c>
      <c r="D11821">
        <v>0.55000000000000004</v>
      </c>
      <c r="E11821">
        <v>0</v>
      </c>
      <c r="F11821">
        <f t="shared" si="210"/>
        <v>0.55000000000000004</v>
      </c>
      <c r="I11821">
        <v>20230101</v>
      </c>
      <c r="J11821" t="s">
        <v>12450</v>
      </c>
    </row>
    <row r="11822" spans="1:76" x14ac:dyDescent="0.3">
      <c r="A11822" s="160">
        <v>88327</v>
      </c>
      <c r="B11822" t="s">
        <v>26739</v>
      </c>
      <c r="C11822" t="s">
        <v>12416</v>
      </c>
      <c r="D11822">
        <v>0.8</v>
      </c>
      <c r="E11822">
        <v>0</v>
      </c>
      <c r="F11822">
        <f t="shared" si="210"/>
        <v>0.8</v>
      </c>
      <c r="I11822">
        <v>20170701</v>
      </c>
      <c r="J11822" t="s">
        <v>12443</v>
      </c>
      <c r="K11822" t="s">
        <v>12420</v>
      </c>
      <c r="L11822" t="s">
        <v>12446</v>
      </c>
      <c r="M11822" t="s">
        <v>12447</v>
      </c>
      <c r="N11822" t="s">
        <v>12479</v>
      </c>
    </row>
    <row r="11823" spans="1:76" x14ac:dyDescent="0.3">
      <c r="A11823" s="160">
        <v>88328</v>
      </c>
      <c r="B11823" t="s">
        <v>26740</v>
      </c>
      <c r="C11823" t="s">
        <v>6182</v>
      </c>
      <c r="D11823">
        <v>0.55000000000000004</v>
      </c>
      <c r="E11823">
        <v>0</v>
      </c>
      <c r="F11823">
        <f t="shared" si="210"/>
        <v>0.55000000000000004</v>
      </c>
      <c r="I11823">
        <v>20230101</v>
      </c>
      <c r="J11823" t="s">
        <v>12430</v>
      </c>
    </row>
    <row r="11824" spans="1:76" x14ac:dyDescent="0.3">
      <c r="A11824" s="160">
        <v>88337</v>
      </c>
      <c r="B11824" t="s">
        <v>26741</v>
      </c>
      <c r="C11824" t="s">
        <v>12416</v>
      </c>
      <c r="D11824">
        <v>0.8</v>
      </c>
      <c r="E11824">
        <v>0</v>
      </c>
      <c r="F11824">
        <f t="shared" si="210"/>
        <v>0.8</v>
      </c>
      <c r="I11824">
        <v>20170701</v>
      </c>
      <c r="J11824" t="s">
        <v>12427</v>
      </c>
    </row>
    <row r="11825" spans="1:12" x14ac:dyDescent="0.3">
      <c r="A11825" s="160">
        <v>88340</v>
      </c>
      <c r="B11825" t="s">
        <v>26742</v>
      </c>
      <c r="C11825" t="s">
        <v>12416</v>
      </c>
      <c r="D11825">
        <v>0.8</v>
      </c>
      <c r="E11825">
        <v>0</v>
      </c>
      <c r="F11825">
        <f t="shared" si="210"/>
        <v>0.8</v>
      </c>
      <c r="I11825">
        <v>20240101</v>
      </c>
      <c r="J11825" t="s">
        <v>12488</v>
      </c>
    </row>
    <row r="11826" spans="1:12" x14ac:dyDescent="0.3">
      <c r="A11826" s="160">
        <v>88341</v>
      </c>
      <c r="B11826" t="s">
        <v>26743</v>
      </c>
      <c r="C11826" t="s">
        <v>6182</v>
      </c>
      <c r="D11826">
        <v>0.55000000000000004</v>
      </c>
      <c r="E11826">
        <v>0</v>
      </c>
      <c r="F11826">
        <f t="shared" si="210"/>
        <v>0.55000000000000004</v>
      </c>
      <c r="I11826">
        <v>20230101</v>
      </c>
      <c r="J11826" t="s">
        <v>12450</v>
      </c>
    </row>
    <row r="11827" spans="1:12" x14ac:dyDescent="0.3">
      <c r="A11827" s="160">
        <v>88342</v>
      </c>
      <c r="B11827" t="s">
        <v>26744</v>
      </c>
      <c r="C11827" t="s">
        <v>12416</v>
      </c>
      <c r="D11827">
        <v>0.8</v>
      </c>
      <c r="E11827">
        <v>0</v>
      </c>
      <c r="F11827">
        <f t="shared" si="210"/>
        <v>0.8</v>
      </c>
      <c r="I11827">
        <v>20170701</v>
      </c>
      <c r="J11827" t="s">
        <v>12421</v>
      </c>
    </row>
    <row r="11828" spans="1:12" x14ac:dyDescent="0.3">
      <c r="A11828" s="160">
        <v>88345</v>
      </c>
      <c r="B11828" t="s">
        <v>26745</v>
      </c>
      <c r="C11828" t="s">
        <v>6182</v>
      </c>
      <c r="D11828">
        <v>0.55000000000000004</v>
      </c>
      <c r="E11828">
        <v>0</v>
      </c>
      <c r="F11828">
        <f t="shared" si="210"/>
        <v>0.55000000000000004</v>
      </c>
      <c r="I11828">
        <v>20230101</v>
      </c>
      <c r="J11828" t="s">
        <v>12429</v>
      </c>
    </row>
    <row r="11829" spans="1:12" x14ac:dyDescent="0.3">
      <c r="A11829" s="160">
        <v>88346</v>
      </c>
      <c r="B11829" t="s">
        <v>26746</v>
      </c>
      <c r="C11829" t="s">
        <v>6182</v>
      </c>
      <c r="D11829">
        <v>0.55000000000000004</v>
      </c>
      <c r="E11829">
        <v>0</v>
      </c>
      <c r="F11829">
        <f t="shared" si="210"/>
        <v>0.55000000000000004</v>
      </c>
      <c r="I11829">
        <v>20230101</v>
      </c>
      <c r="J11829" t="s">
        <v>12425</v>
      </c>
    </row>
    <row r="11830" spans="1:12" x14ac:dyDescent="0.3">
      <c r="A11830" s="160">
        <v>88349</v>
      </c>
      <c r="B11830" t="s">
        <v>26747</v>
      </c>
      <c r="C11830" t="s">
        <v>6182</v>
      </c>
      <c r="D11830">
        <v>0.55000000000000004</v>
      </c>
      <c r="E11830">
        <v>0</v>
      </c>
      <c r="F11830">
        <f t="shared" si="210"/>
        <v>0.55000000000000004</v>
      </c>
      <c r="I11830">
        <v>20230101</v>
      </c>
      <c r="J11830" t="s">
        <v>12449</v>
      </c>
    </row>
    <row r="11831" spans="1:12" x14ac:dyDescent="0.3">
      <c r="A11831" s="160">
        <v>88355</v>
      </c>
      <c r="B11831" t="s">
        <v>26748</v>
      </c>
      <c r="C11831" t="s">
        <v>12416</v>
      </c>
      <c r="D11831">
        <v>0.8</v>
      </c>
      <c r="E11831">
        <v>0</v>
      </c>
      <c r="F11831">
        <f t="shared" si="210"/>
        <v>0.8</v>
      </c>
      <c r="I11831">
        <v>20200101</v>
      </c>
      <c r="J11831" t="s">
        <v>12420</v>
      </c>
      <c r="K11831" t="s">
        <v>12446</v>
      </c>
      <c r="L11831" t="s">
        <v>12421</v>
      </c>
    </row>
    <row r="11832" spans="1:12" x14ac:dyDescent="0.3">
      <c r="A11832" s="160">
        <v>88356</v>
      </c>
      <c r="B11832" t="s">
        <v>26749</v>
      </c>
      <c r="C11832" t="s">
        <v>6182</v>
      </c>
      <c r="D11832">
        <v>0.55000000000000004</v>
      </c>
      <c r="E11832">
        <v>0</v>
      </c>
      <c r="F11832">
        <f t="shared" si="210"/>
        <v>0.55000000000000004</v>
      </c>
      <c r="I11832">
        <v>20230101</v>
      </c>
      <c r="J11832" t="s">
        <v>12419</v>
      </c>
    </row>
    <row r="11833" spans="1:12" x14ac:dyDescent="0.3">
      <c r="A11833" s="160">
        <v>88358</v>
      </c>
      <c r="B11833" t="s">
        <v>26750</v>
      </c>
      <c r="C11833" t="s">
        <v>12416</v>
      </c>
      <c r="D11833">
        <v>0.8</v>
      </c>
      <c r="E11833">
        <v>0</v>
      </c>
      <c r="F11833">
        <f t="shared" si="210"/>
        <v>0.8</v>
      </c>
      <c r="I11833">
        <v>20200101</v>
      </c>
      <c r="J11833" t="s">
        <v>12486</v>
      </c>
    </row>
    <row r="11834" spans="1:12" x14ac:dyDescent="0.3">
      <c r="A11834" s="160">
        <v>88361</v>
      </c>
      <c r="B11834" t="s">
        <v>26751</v>
      </c>
      <c r="C11834" t="s">
        <v>6182</v>
      </c>
      <c r="D11834">
        <v>0.55000000000000004</v>
      </c>
      <c r="E11834">
        <v>0</v>
      </c>
      <c r="F11834">
        <f t="shared" si="210"/>
        <v>0.55000000000000004</v>
      </c>
      <c r="I11834">
        <v>20230101</v>
      </c>
      <c r="J11834" t="s">
        <v>12429</v>
      </c>
    </row>
    <row r="11835" spans="1:12" x14ac:dyDescent="0.3">
      <c r="A11835" s="160">
        <v>88362</v>
      </c>
      <c r="B11835" t="s">
        <v>26752</v>
      </c>
      <c r="C11835" t="s">
        <v>6182</v>
      </c>
      <c r="D11835">
        <v>0.55000000000000004</v>
      </c>
      <c r="E11835">
        <v>0</v>
      </c>
      <c r="F11835">
        <f t="shared" si="210"/>
        <v>0.55000000000000004</v>
      </c>
      <c r="I11835">
        <v>20230101</v>
      </c>
      <c r="J11835" t="s">
        <v>12425</v>
      </c>
    </row>
    <row r="11836" spans="1:12" x14ac:dyDescent="0.3">
      <c r="A11836" s="160">
        <v>88371</v>
      </c>
      <c r="B11836" t="s">
        <v>26753</v>
      </c>
      <c r="C11836" t="s">
        <v>12416</v>
      </c>
      <c r="D11836">
        <v>0.8</v>
      </c>
      <c r="E11836">
        <v>0</v>
      </c>
      <c r="F11836">
        <f t="shared" si="210"/>
        <v>0.8</v>
      </c>
      <c r="I11836">
        <v>20200101</v>
      </c>
      <c r="J11836" t="s">
        <v>12453</v>
      </c>
    </row>
    <row r="11837" spans="1:12" x14ac:dyDescent="0.3">
      <c r="A11837" s="160">
        <v>88372</v>
      </c>
      <c r="B11837" t="s">
        <v>26754</v>
      </c>
      <c r="C11837" t="s">
        <v>6182</v>
      </c>
      <c r="D11837">
        <v>0.55000000000000004</v>
      </c>
      <c r="E11837">
        <v>0</v>
      </c>
      <c r="F11837">
        <f t="shared" si="210"/>
        <v>0.55000000000000004</v>
      </c>
      <c r="I11837">
        <v>20230101</v>
      </c>
      <c r="J11837" t="s">
        <v>12414</v>
      </c>
    </row>
    <row r="11838" spans="1:12" x14ac:dyDescent="0.3">
      <c r="A11838" s="160">
        <v>88373</v>
      </c>
      <c r="B11838" t="s">
        <v>26755</v>
      </c>
      <c r="C11838" t="s">
        <v>6182</v>
      </c>
      <c r="D11838">
        <v>0.55000000000000004</v>
      </c>
      <c r="E11838">
        <v>0</v>
      </c>
      <c r="F11838">
        <f t="shared" si="210"/>
        <v>0.55000000000000004</v>
      </c>
      <c r="I11838">
        <v>20230101</v>
      </c>
      <c r="J11838" t="s">
        <v>12414</v>
      </c>
    </row>
    <row r="11839" spans="1:12" x14ac:dyDescent="0.3">
      <c r="A11839" s="160">
        <v>88375</v>
      </c>
      <c r="B11839" t="s">
        <v>26756</v>
      </c>
      <c r="C11839" t="s">
        <v>6182</v>
      </c>
      <c r="D11839">
        <v>0.55000000000000004</v>
      </c>
      <c r="E11839">
        <v>0</v>
      </c>
      <c r="F11839">
        <f t="shared" si="210"/>
        <v>0.55000000000000004</v>
      </c>
      <c r="I11839">
        <v>20230101</v>
      </c>
      <c r="J11839" t="s">
        <v>12424</v>
      </c>
    </row>
    <row r="11840" spans="1:12" x14ac:dyDescent="0.3">
      <c r="A11840" s="160">
        <v>88379</v>
      </c>
      <c r="B11840" t="s">
        <v>26757</v>
      </c>
      <c r="C11840" t="s">
        <v>12416</v>
      </c>
      <c r="D11840">
        <v>0.8</v>
      </c>
      <c r="E11840">
        <v>0</v>
      </c>
      <c r="F11840">
        <f t="shared" si="210"/>
        <v>0.8</v>
      </c>
      <c r="I11840">
        <v>20200101</v>
      </c>
      <c r="J11840" t="s">
        <v>12421</v>
      </c>
    </row>
    <row r="11841" spans="1:19" x14ac:dyDescent="0.3">
      <c r="A11841" s="160">
        <v>88386</v>
      </c>
      <c r="B11841" t="s">
        <v>26758</v>
      </c>
      <c r="C11841" t="s">
        <v>6182</v>
      </c>
      <c r="D11841">
        <v>0.55000000000000004</v>
      </c>
      <c r="E11841">
        <v>0</v>
      </c>
      <c r="F11841">
        <f t="shared" si="210"/>
        <v>0.55000000000000004</v>
      </c>
      <c r="I11841">
        <v>20230101</v>
      </c>
      <c r="J11841" t="s">
        <v>12450</v>
      </c>
      <c r="K11841" t="s">
        <v>12489</v>
      </c>
    </row>
    <row r="11842" spans="1:19" x14ac:dyDescent="0.3">
      <c r="A11842" s="160">
        <v>88388</v>
      </c>
      <c r="B11842" t="s">
        <v>26759</v>
      </c>
      <c r="C11842" t="s">
        <v>12416</v>
      </c>
      <c r="D11842">
        <v>0.8</v>
      </c>
      <c r="E11842">
        <v>0</v>
      </c>
      <c r="F11842">
        <f t="shared" si="210"/>
        <v>0.8</v>
      </c>
      <c r="I11842">
        <v>20170701</v>
      </c>
      <c r="J11842" t="s">
        <v>12442</v>
      </c>
    </row>
    <row r="11843" spans="1:19" x14ac:dyDescent="0.3">
      <c r="A11843" s="160">
        <v>88406</v>
      </c>
      <c r="B11843" t="s">
        <v>26760</v>
      </c>
      <c r="C11843" t="s">
        <v>12416</v>
      </c>
      <c r="D11843">
        <v>0.8</v>
      </c>
      <c r="E11843">
        <v>0</v>
      </c>
      <c r="F11843">
        <f t="shared" si="210"/>
        <v>0.8</v>
      </c>
      <c r="I11843">
        <v>20200101</v>
      </c>
      <c r="J11843" t="s">
        <v>12431</v>
      </c>
    </row>
    <row r="11844" spans="1:19" x14ac:dyDescent="0.3">
      <c r="A11844" s="160">
        <v>88413</v>
      </c>
      <c r="B11844" t="s">
        <v>26761</v>
      </c>
      <c r="C11844" t="s">
        <v>6182</v>
      </c>
      <c r="D11844">
        <v>0.55000000000000004</v>
      </c>
      <c r="E11844">
        <v>0</v>
      </c>
      <c r="F11844">
        <f t="shared" si="210"/>
        <v>0.55000000000000004</v>
      </c>
      <c r="I11844">
        <v>20110101</v>
      </c>
      <c r="J11844" t="s">
        <v>12450</v>
      </c>
      <c r="K11844" t="s">
        <v>12490</v>
      </c>
      <c r="L11844" t="s">
        <v>12489</v>
      </c>
      <c r="M11844" t="s">
        <v>12491</v>
      </c>
      <c r="N11844" t="s">
        <v>12492</v>
      </c>
      <c r="O11844" t="s">
        <v>12448</v>
      </c>
      <c r="P11844" t="s">
        <v>12493</v>
      </c>
      <c r="Q11844" t="s">
        <v>12494</v>
      </c>
      <c r="R11844" t="s">
        <v>12495</v>
      </c>
      <c r="S11844" t="s">
        <v>12496</v>
      </c>
    </row>
    <row r="11845" spans="1:19" x14ac:dyDescent="0.3">
      <c r="A11845" s="160">
        <v>88419</v>
      </c>
      <c r="B11845" t="s">
        <v>26762</v>
      </c>
      <c r="C11845" t="s">
        <v>6182</v>
      </c>
      <c r="D11845">
        <v>0.55000000000000004</v>
      </c>
      <c r="E11845">
        <v>0</v>
      </c>
      <c r="F11845">
        <f t="shared" si="210"/>
        <v>0.55000000000000004</v>
      </c>
      <c r="I11845">
        <v>20240101</v>
      </c>
      <c r="J11845" t="s">
        <v>12425</v>
      </c>
    </row>
    <row r="11846" spans="1:19" x14ac:dyDescent="0.3">
      <c r="A11846" s="160">
        <v>88423</v>
      </c>
      <c r="B11846" t="s">
        <v>20891</v>
      </c>
      <c r="C11846" t="s">
        <v>6182</v>
      </c>
      <c r="D11846">
        <v>0.55000000000000004</v>
      </c>
      <c r="E11846">
        <v>0</v>
      </c>
      <c r="F11846">
        <f t="shared" si="210"/>
        <v>0.55000000000000004</v>
      </c>
      <c r="I11846">
        <v>20230101</v>
      </c>
      <c r="J11846" t="s">
        <v>12495</v>
      </c>
      <c r="K11846" t="s">
        <v>12415</v>
      </c>
    </row>
    <row r="11847" spans="1:19" x14ac:dyDescent="0.3">
      <c r="A11847" s="160">
        <v>88424</v>
      </c>
      <c r="B11847" t="s">
        <v>26763</v>
      </c>
      <c r="C11847" t="s">
        <v>6182</v>
      </c>
      <c r="D11847">
        <v>0.55000000000000004</v>
      </c>
      <c r="E11847">
        <v>0</v>
      </c>
      <c r="F11847">
        <f t="shared" ref="F11847:F11910" si="211">D11847+E11847</f>
        <v>0.55000000000000004</v>
      </c>
      <c r="I11847">
        <v>20230101</v>
      </c>
      <c r="J11847" t="s">
        <v>12450</v>
      </c>
      <c r="K11847" t="s">
        <v>12490</v>
      </c>
      <c r="L11847" t="s">
        <v>12489</v>
      </c>
      <c r="M11847" t="s">
        <v>12491</v>
      </c>
      <c r="N11847" t="s">
        <v>12492</v>
      </c>
      <c r="O11847" t="s">
        <v>12448</v>
      </c>
      <c r="P11847" t="s">
        <v>12493</v>
      </c>
      <c r="Q11847" t="s">
        <v>12495</v>
      </c>
    </row>
    <row r="11848" spans="1:19" x14ac:dyDescent="0.3">
      <c r="A11848" s="160">
        <v>88428</v>
      </c>
      <c r="B11848" t="s">
        <v>26764</v>
      </c>
      <c r="C11848" t="s">
        <v>6182</v>
      </c>
      <c r="D11848">
        <v>0.55000000000000004</v>
      </c>
      <c r="E11848">
        <v>0</v>
      </c>
      <c r="F11848">
        <f t="shared" si="211"/>
        <v>0.55000000000000004</v>
      </c>
      <c r="I11848">
        <v>20230101</v>
      </c>
      <c r="J11848" t="s">
        <v>12491</v>
      </c>
      <c r="K11848" t="s">
        <v>12430</v>
      </c>
    </row>
    <row r="11849" spans="1:19" x14ac:dyDescent="0.3">
      <c r="A11849" s="160">
        <v>88435</v>
      </c>
      <c r="B11849" t="s">
        <v>26765</v>
      </c>
      <c r="C11849" t="s">
        <v>6182</v>
      </c>
      <c r="D11849">
        <v>0.55000000000000004</v>
      </c>
      <c r="E11849">
        <v>0</v>
      </c>
      <c r="F11849">
        <f t="shared" si="211"/>
        <v>0.55000000000000004</v>
      </c>
      <c r="I11849">
        <v>20230101</v>
      </c>
      <c r="J11849" t="s">
        <v>12478</v>
      </c>
    </row>
    <row r="11850" spans="1:19" x14ac:dyDescent="0.3">
      <c r="A11850" s="160">
        <v>88436</v>
      </c>
      <c r="B11850" t="s">
        <v>26766</v>
      </c>
      <c r="C11850" t="s">
        <v>6182</v>
      </c>
      <c r="D11850">
        <v>0.55000000000000004</v>
      </c>
      <c r="E11850">
        <v>0</v>
      </c>
      <c r="F11850">
        <f t="shared" si="211"/>
        <v>0.55000000000000004</v>
      </c>
      <c r="I11850">
        <v>20230101</v>
      </c>
      <c r="J11850" t="s">
        <v>12425</v>
      </c>
    </row>
    <row r="11851" spans="1:19" x14ac:dyDescent="0.3">
      <c r="A11851" s="160">
        <v>88438</v>
      </c>
      <c r="B11851" t="s">
        <v>24839</v>
      </c>
      <c r="C11851" t="s">
        <v>6182</v>
      </c>
      <c r="D11851">
        <v>0.55000000000000004</v>
      </c>
      <c r="E11851">
        <v>0</v>
      </c>
      <c r="F11851">
        <f t="shared" si="211"/>
        <v>0.55000000000000004</v>
      </c>
      <c r="I11851">
        <v>20230101</v>
      </c>
      <c r="J11851" t="s">
        <v>12430</v>
      </c>
    </row>
    <row r="11852" spans="1:19" x14ac:dyDescent="0.3">
      <c r="A11852" s="160">
        <v>88439</v>
      </c>
      <c r="B11852" t="s">
        <v>26767</v>
      </c>
      <c r="C11852" t="s">
        <v>12416</v>
      </c>
      <c r="D11852">
        <v>0.8</v>
      </c>
      <c r="E11852">
        <v>0</v>
      </c>
      <c r="F11852">
        <f t="shared" si="211"/>
        <v>0.8</v>
      </c>
      <c r="I11852">
        <v>20170701</v>
      </c>
      <c r="J11852" t="s">
        <v>12442</v>
      </c>
    </row>
    <row r="11853" spans="1:19" x14ac:dyDescent="0.3">
      <c r="A11853" s="160">
        <v>88444</v>
      </c>
      <c r="B11853" t="s">
        <v>26768</v>
      </c>
      <c r="C11853" t="s">
        <v>6182</v>
      </c>
      <c r="D11853">
        <v>0.55000000000000004</v>
      </c>
      <c r="E11853">
        <v>0</v>
      </c>
      <c r="F11853">
        <f t="shared" si="211"/>
        <v>0.55000000000000004</v>
      </c>
      <c r="I11853">
        <v>20230101</v>
      </c>
      <c r="J11853" t="s">
        <v>12425</v>
      </c>
    </row>
    <row r="11854" spans="1:19" x14ac:dyDescent="0.3">
      <c r="A11854" s="160">
        <v>88445</v>
      </c>
      <c r="B11854" t="s">
        <v>26769</v>
      </c>
      <c r="C11854" t="s">
        <v>6182</v>
      </c>
      <c r="D11854">
        <v>0.55000000000000004</v>
      </c>
      <c r="E11854">
        <v>0</v>
      </c>
      <c r="F11854">
        <f t="shared" si="211"/>
        <v>0.55000000000000004</v>
      </c>
      <c r="I11854">
        <v>20230101</v>
      </c>
      <c r="J11854" t="s">
        <v>12493</v>
      </c>
      <c r="K11854" t="s">
        <v>12497</v>
      </c>
    </row>
    <row r="11855" spans="1:19" x14ac:dyDescent="0.3">
      <c r="A11855" s="160">
        <v>88449</v>
      </c>
      <c r="B11855" t="s">
        <v>20672</v>
      </c>
      <c r="C11855" t="s">
        <v>12416</v>
      </c>
      <c r="D11855">
        <v>0.8</v>
      </c>
      <c r="E11855">
        <v>0</v>
      </c>
      <c r="F11855">
        <f t="shared" si="211"/>
        <v>0.8</v>
      </c>
      <c r="I11855">
        <v>20200101</v>
      </c>
      <c r="J11855" t="s">
        <v>12431</v>
      </c>
    </row>
    <row r="11856" spans="1:19" x14ac:dyDescent="0.3">
      <c r="A11856" s="160">
        <v>88451</v>
      </c>
      <c r="B11856" t="s">
        <v>26770</v>
      </c>
      <c r="C11856" t="s">
        <v>6182</v>
      </c>
      <c r="D11856">
        <v>0.55000000000000004</v>
      </c>
      <c r="E11856">
        <v>0</v>
      </c>
      <c r="F11856">
        <f t="shared" si="211"/>
        <v>0.55000000000000004</v>
      </c>
      <c r="I11856">
        <v>20230101</v>
      </c>
      <c r="J11856" t="s">
        <v>12425</v>
      </c>
    </row>
    <row r="11857" spans="1:14" x14ac:dyDescent="0.3">
      <c r="A11857" s="160">
        <v>88454</v>
      </c>
      <c r="B11857" t="s">
        <v>26771</v>
      </c>
      <c r="C11857" t="s">
        <v>12416</v>
      </c>
      <c r="D11857">
        <v>0.8</v>
      </c>
      <c r="E11857">
        <v>0</v>
      </c>
      <c r="F11857">
        <f t="shared" si="211"/>
        <v>0.8</v>
      </c>
      <c r="I11857">
        <v>20240101</v>
      </c>
      <c r="J11857" t="s">
        <v>12419</v>
      </c>
    </row>
    <row r="11858" spans="1:14" x14ac:dyDescent="0.3">
      <c r="A11858" s="160">
        <v>88458</v>
      </c>
      <c r="B11858" t="s">
        <v>26772</v>
      </c>
      <c r="C11858" t="s">
        <v>12416</v>
      </c>
      <c r="D11858">
        <v>0.8</v>
      </c>
      <c r="E11858">
        <v>0</v>
      </c>
      <c r="F11858">
        <f t="shared" si="211"/>
        <v>0.8</v>
      </c>
      <c r="I11858">
        <v>20200101</v>
      </c>
      <c r="J11858" t="s">
        <v>12431</v>
      </c>
    </row>
    <row r="11859" spans="1:14" x14ac:dyDescent="0.3">
      <c r="A11859" s="160">
        <v>88463</v>
      </c>
      <c r="B11859" t="s">
        <v>26773</v>
      </c>
      <c r="C11859" t="s">
        <v>6182</v>
      </c>
      <c r="D11859">
        <v>0.55000000000000004</v>
      </c>
      <c r="E11859">
        <v>0</v>
      </c>
      <c r="F11859">
        <f t="shared" si="211"/>
        <v>0.55000000000000004</v>
      </c>
      <c r="I11859">
        <v>20230101</v>
      </c>
      <c r="J11859" t="s">
        <v>12450</v>
      </c>
    </row>
    <row r="11860" spans="1:14" x14ac:dyDescent="0.3">
      <c r="A11860" s="160">
        <v>88465</v>
      </c>
      <c r="B11860" t="s">
        <v>26774</v>
      </c>
      <c r="C11860" t="s">
        <v>12416</v>
      </c>
      <c r="D11860">
        <v>0.8</v>
      </c>
      <c r="E11860">
        <v>0</v>
      </c>
      <c r="F11860">
        <f t="shared" si="211"/>
        <v>0.8</v>
      </c>
      <c r="I11860">
        <v>20170701</v>
      </c>
      <c r="J11860" t="s">
        <v>12427</v>
      </c>
      <c r="K11860" t="s">
        <v>12443</v>
      </c>
      <c r="L11860" t="s">
        <v>12444</v>
      </c>
      <c r="M11860" t="s">
        <v>12445</v>
      </c>
      <c r="N11860" t="s">
        <v>12446</v>
      </c>
    </row>
    <row r="11861" spans="1:14" x14ac:dyDescent="0.3">
      <c r="A11861" s="160">
        <v>88479</v>
      </c>
      <c r="B11861" t="s">
        <v>26775</v>
      </c>
      <c r="C11861" t="s">
        <v>12416</v>
      </c>
      <c r="D11861">
        <v>0.8</v>
      </c>
      <c r="E11861">
        <v>0</v>
      </c>
      <c r="F11861">
        <f t="shared" si="211"/>
        <v>0.8</v>
      </c>
      <c r="I11861">
        <v>20240101</v>
      </c>
      <c r="J11861" t="s">
        <v>12423</v>
      </c>
    </row>
    <row r="11862" spans="1:14" x14ac:dyDescent="0.3">
      <c r="A11862" s="160">
        <v>88480</v>
      </c>
      <c r="B11862" t="s">
        <v>26776</v>
      </c>
      <c r="C11862" t="s">
        <v>12416</v>
      </c>
      <c r="D11862">
        <v>0.8</v>
      </c>
      <c r="E11862">
        <v>0</v>
      </c>
      <c r="F11862">
        <f t="shared" si="211"/>
        <v>0.8</v>
      </c>
      <c r="I11862">
        <v>20200101</v>
      </c>
      <c r="J11862" t="s">
        <v>12431</v>
      </c>
    </row>
    <row r="11863" spans="1:14" x14ac:dyDescent="0.3">
      <c r="A11863" s="160">
        <v>88481</v>
      </c>
      <c r="B11863" t="s">
        <v>26777</v>
      </c>
      <c r="C11863" t="s">
        <v>12416</v>
      </c>
      <c r="D11863">
        <v>0.8</v>
      </c>
      <c r="E11863">
        <v>0</v>
      </c>
      <c r="F11863">
        <f t="shared" si="211"/>
        <v>0.8</v>
      </c>
      <c r="I11863">
        <v>20200101</v>
      </c>
      <c r="J11863" t="s">
        <v>12453</v>
      </c>
    </row>
    <row r="11864" spans="1:14" x14ac:dyDescent="0.3">
      <c r="A11864" s="160">
        <v>88483</v>
      </c>
      <c r="B11864" t="s">
        <v>26778</v>
      </c>
      <c r="C11864" t="s">
        <v>12416</v>
      </c>
      <c r="D11864">
        <v>0.8</v>
      </c>
      <c r="E11864">
        <v>0</v>
      </c>
      <c r="F11864">
        <f t="shared" si="211"/>
        <v>0.8</v>
      </c>
      <c r="I11864">
        <v>20170701</v>
      </c>
      <c r="J11864" t="s">
        <v>12442</v>
      </c>
    </row>
    <row r="11865" spans="1:14" x14ac:dyDescent="0.3">
      <c r="A11865" s="160">
        <v>88484</v>
      </c>
      <c r="B11865" t="s">
        <v>26779</v>
      </c>
      <c r="C11865" t="s">
        <v>12416</v>
      </c>
      <c r="D11865">
        <v>0.8</v>
      </c>
      <c r="E11865">
        <v>0</v>
      </c>
      <c r="F11865">
        <f t="shared" si="211"/>
        <v>0.8</v>
      </c>
      <c r="I11865">
        <v>20170701</v>
      </c>
      <c r="J11865" t="s">
        <v>12451</v>
      </c>
      <c r="K11865" t="s">
        <v>12453</v>
      </c>
    </row>
    <row r="11866" spans="1:14" x14ac:dyDescent="0.3">
      <c r="A11866" s="160">
        <v>88495</v>
      </c>
      <c r="B11866" t="s">
        <v>26780</v>
      </c>
      <c r="C11866" t="s">
        <v>12416</v>
      </c>
      <c r="D11866">
        <v>0.8</v>
      </c>
      <c r="E11866">
        <v>0</v>
      </c>
      <c r="F11866">
        <f t="shared" si="211"/>
        <v>0.8</v>
      </c>
      <c r="I11866">
        <v>20170701</v>
      </c>
      <c r="J11866" t="s">
        <v>12432</v>
      </c>
    </row>
    <row r="11867" spans="1:14" x14ac:dyDescent="0.3">
      <c r="A11867" s="160">
        <v>88497</v>
      </c>
      <c r="B11867" t="s">
        <v>26781</v>
      </c>
      <c r="C11867" t="s">
        <v>12416</v>
      </c>
      <c r="D11867">
        <v>0.8</v>
      </c>
      <c r="E11867">
        <v>0</v>
      </c>
      <c r="F11867">
        <f t="shared" si="211"/>
        <v>0.8</v>
      </c>
      <c r="I11867">
        <v>20170701</v>
      </c>
      <c r="J11867" t="s">
        <v>12421</v>
      </c>
    </row>
    <row r="11868" spans="1:14" x14ac:dyDescent="0.3">
      <c r="A11868" s="160">
        <v>88501</v>
      </c>
      <c r="B11868" t="s">
        <v>26782</v>
      </c>
      <c r="C11868" t="s">
        <v>6182</v>
      </c>
      <c r="D11868">
        <v>0.55000000000000004</v>
      </c>
      <c r="E11868">
        <v>0</v>
      </c>
      <c r="F11868">
        <f t="shared" si="211"/>
        <v>0.55000000000000004</v>
      </c>
      <c r="I11868">
        <v>20230101</v>
      </c>
      <c r="J11868" t="s">
        <v>12425</v>
      </c>
    </row>
    <row r="11869" spans="1:14" x14ac:dyDescent="0.3">
      <c r="A11869" s="160">
        <v>88503</v>
      </c>
      <c r="B11869" t="s">
        <v>26783</v>
      </c>
      <c r="C11869" t="s">
        <v>6182</v>
      </c>
      <c r="D11869">
        <v>0.55000000000000004</v>
      </c>
      <c r="E11869">
        <v>0</v>
      </c>
      <c r="F11869">
        <f t="shared" si="211"/>
        <v>0.55000000000000004</v>
      </c>
      <c r="I11869">
        <v>20230101</v>
      </c>
      <c r="J11869" t="s">
        <v>12414</v>
      </c>
    </row>
    <row r="11870" spans="1:14" x14ac:dyDescent="0.3">
      <c r="A11870" s="160">
        <v>88505</v>
      </c>
      <c r="B11870" t="s">
        <v>26784</v>
      </c>
      <c r="C11870" t="s">
        <v>6182</v>
      </c>
      <c r="D11870">
        <v>0.55000000000000004</v>
      </c>
      <c r="E11870">
        <v>0</v>
      </c>
      <c r="F11870">
        <f t="shared" si="211"/>
        <v>0.55000000000000004</v>
      </c>
      <c r="I11870">
        <v>20230101</v>
      </c>
      <c r="J11870" t="s">
        <v>12418</v>
      </c>
    </row>
    <row r="11871" spans="1:14" x14ac:dyDescent="0.3">
      <c r="A11871" s="160">
        <v>88506</v>
      </c>
      <c r="B11871" t="s">
        <v>23018</v>
      </c>
      <c r="C11871" t="s">
        <v>6182</v>
      </c>
      <c r="D11871">
        <v>0.55000000000000004</v>
      </c>
      <c r="E11871">
        <v>0</v>
      </c>
      <c r="F11871">
        <f t="shared" si="211"/>
        <v>0.55000000000000004</v>
      </c>
      <c r="I11871">
        <v>20230101</v>
      </c>
      <c r="J11871" t="s">
        <v>12425</v>
      </c>
    </row>
    <row r="11872" spans="1:14" x14ac:dyDescent="0.3">
      <c r="A11872" s="160">
        <v>88509</v>
      </c>
      <c r="B11872" t="s">
        <v>26785</v>
      </c>
      <c r="C11872" t="s">
        <v>12416</v>
      </c>
      <c r="D11872">
        <v>0.8</v>
      </c>
      <c r="E11872">
        <v>0</v>
      </c>
      <c r="F11872">
        <f t="shared" si="211"/>
        <v>0.8</v>
      </c>
      <c r="I11872">
        <v>20170701</v>
      </c>
      <c r="J11872" t="s">
        <v>12427</v>
      </c>
    </row>
    <row r="11873" spans="1:31" x14ac:dyDescent="0.3">
      <c r="A11873" s="160">
        <v>88513</v>
      </c>
      <c r="B11873" t="s">
        <v>26786</v>
      </c>
      <c r="C11873" t="s">
        <v>12416</v>
      </c>
      <c r="D11873">
        <v>0.8</v>
      </c>
      <c r="E11873">
        <v>0</v>
      </c>
      <c r="F11873">
        <f t="shared" si="211"/>
        <v>0.8</v>
      </c>
      <c r="I11873">
        <v>20200101</v>
      </c>
      <c r="J11873" t="s">
        <v>12438</v>
      </c>
      <c r="K11873" t="s">
        <v>12498</v>
      </c>
    </row>
    <row r="11874" spans="1:31" x14ac:dyDescent="0.3">
      <c r="A11874" s="160">
        <v>88519</v>
      </c>
      <c r="B11874" t="s">
        <v>26787</v>
      </c>
      <c r="C11874" t="s">
        <v>6182</v>
      </c>
      <c r="D11874">
        <v>0.55000000000000004</v>
      </c>
      <c r="E11874">
        <v>0</v>
      </c>
      <c r="F11874">
        <f t="shared" si="211"/>
        <v>0.55000000000000004</v>
      </c>
      <c r="I11874">
        <v>20230101</v>
      </c>
      <c r="J11874" t="s">
        <v>12430</v>
      </c>
    </row>
    <row r="11875" spans="1:31" x14ac:dyDescent="0.3">
      <c r="A11875" s="160">
        <v>88520</v>
      </c>
      <c r="B11875" t="s">
        <v>26788</v>
      </c>
      <c r="C11875" t="s">
        <v>12416</v>
      </c>
      <c r="D11875">
        <v>0.8</v>
      </c>
      <c r="E11875">
        <v>0</v>
      </c>
      <c r="F11875">
        <f t="shared" si="211"/>
        <v>0.8</v>
      </c>
      <c r="I11875">
        <v>20240101</v>
      </c>
      <c r="J11875" t="s">
        <v>12423</v>
      </c>
    </row>
    <row r="11876" spans="1:31" x14ac:dyDescent="0.3">
      <c r="A11876" s="160">
        <v>88526</v>
      </c>
      <c r="B11876" t="s">
        <v>26789</v>
      </c>
      <c r="C11876" t="s">
        <v>6182</v>
      </c>
      <c r="D11876">
        <v>0.55000000000000004</v>
      </c>
      <c r="E11876">
        <v>0</v>
      </c>
      <c r="F11876">
        <f t="shared" si="211"/>
        <v>0.55000000000000004</v>
      </c>
      <c r="I11876">
        <v>20230101</v>
      </c>
      <c r="J11876" t="s">
        <v>12424</v>
      </c>
    </row>
    <row r="11877" spans="1:31" x14ac:dyDescent="0.3">
      <c r="A11877" s="160">
        <v>88530</v>
      </c>
      <c r="B11877" t="s">
        <v>26790</v>
      </c>
      <c r="C11877" t="s">
        <v>12416</v>
      </c>
      <c r="D11877">
        <v>0.8</v>
      </c>
      <c r="E11877">
        <v>0</v>
      </c>
      <c r="F11877">
        <f t="shared" si="211"/>
        <v>0.8</v>
      </c>
      <c r="I11877">
        <v>20200101</v>
      </c>
      <c r="J11877" t="s">
        <v>12453</v>
      </c>
    </row>
    <row r="11878" spans="1:31" x14ac:dyDescent="0.3">
      <c r="A11878" s="160">
        <v>88532</v>
      </c>
      <c r="B11878" t="s">
        <v>26791</v>
      </c>
      <c r="C11878" t="s">
        <v>12416</v>
      </c>
      <c r="D11878">
        <v>0.8</v>
      </c>
      <c r="E11878">
        <v>0</v>
      </c>
      <c r="F11878">
        <f t="shared" si="211"/>
        <v>0.8</v>
      </c>
      <c r="I11878">
        <v>20170701</v>
      </c>
      <c r="J11878" t="s">
        <v>12421</v>
      </c>
    </row>
    <row r="11879" spans="1:31" x14ac:dyDescent="0.3">
      <c r="A11879" s="160">
        <v>89013</v>
      </c>
      <c r="B11879" t="s">
        <v>26792</v>
      </c>
      <c r="C11879" t="s">
        <v>12499</v>
      </c>
      <c r="D11879">
        <v>0.8</v>
      </c>
      <c r="E11879">
        <v>0</v>
      </c>
      <c r="F11879">
        <f t="shared" si="211"/>
        <v>0.8</v>
      </c>
      <c r="I11879">
        <v>20240101</v>
      </c>
      <c r="J11879" t="s">
        <v>12500</v>
      </c>
    </row>
    <row r="11880" spans="1:31" x14ac:dyDescent="0.3">
      <c r="A11880" s="160">
        <v>89018</v>
      </c>
      <c r="B11880" t="s">
        <v>26793</v>
      </c>
      <c r="C11880" t="s">
        <v>12501</v>
      </c>
      <c r="D11880">
        <v>0.6</v>
      </c>
      <c r="E11880">
        <v>0</v>
      </c>
      <c r="F11880">
        <f t="shared" si="211"/>
        <v>0.6</v>
      </c>
      <c r="I11880">
        <v>20160901</v>
      </c>
      <c r="J11880" t="s">
        <v>12502</v>
      </c>
    </row>
    <row r="11881" spans="1:31" x14ac:dyDescent="0.3">
      <c r="A11881" s="160">
        <v>89023</v>
      </c>
      <c r="B11881" t="s">
        <v>26794</v>
      </c>
      <c r="C11881" t="s">
        <v>12499</v>
      </c>
      <c r="D11881">
        <v>0.8</v>
      </c>
      <c r="E11881">
        <v>0</v>
      </c>
      <c r="F11881">
        <f t="shared" si="211"/>
        <v>0.8</v>
      </c>
      <c r="I11881">
        <v>20240101</v>
      </c>
      <c r="J11881" t="s">
        <v>12503</v>
      </c>
    </row>
    <row r="11882" spans="1:31" x14ac:dyDescent="0.3">
      <c r="A11882" s="160">
        <v>89024</v>
      </c>
      <c r="B11882" t="s">
        <v>26795</v>
      </c>
      <c r="C11882" t="s">
        <v>12499</v>
      </c>
      <c r="D11882">
        <v>0.8</v>
      </c>
      <c r="E11882">
        <v>0</v>
      </c>
      <c r="F11882">
        <f t="shared" si="211"/>
        <v>0.8</v>
      </c>
      <c r="I11882">
        <v>20240101</v>
      </c>
      <c r="J11882" t="s">
        <v>12504</v>
      </c>
      <c r="K11882" t="s">
        <v>12505</v>
      </c>
      <c r="L11882" t="s">
        <v>12506</v>
      </c>
      <c r="M11882" t="s">
        <v>12507</v>
      </c>
      <c r="N11882" t="s">
        <v>12508</v>
      </c>
      <c r="O11882" t="s">
        <v>12509</v>
      </c>
      <c r="P11882" t="s">
        <v>12510</v>
      </c>
      <c r="Q11882" t="s">
        <v>12511</v>
      </c>
      <c r="R11882" t="s">
        <v>12512</v>
      </c>
      <c r="S11882" t="s">
        <v>12513</v>
      </c>
      <c r="T11882" t="s">
        <v>12514</v>
      </c>
      <c r="U11882" t="s">
        <v>12515</v>
      </c>
      <c r="V11882" t="s">
        <v>12516</v>
      </c>
      <c r="W11882" t="s">
        <v>12517</v>
      </c>
      <c r="X11882" t="s">
        <v>12518</v>
      </c>
      <c r="Y11882" t="s">
        <v>12519</v>
      </c>
      <c r="Z11882" t="s">
        <v>12520</v>
      </c>
      <c r="AA11882" t="s">
        <v>12521</v>
      </c>
      <c r="AB11882" t="s">
        <v>12522</v>
      </c>
      <c r="AC11882" t="s">
        <v>12523</v>
      </c>
      <c r="AD11882" t="s">
        <v>12524</v>
      </c>
      <c r="AE11882" t="s">
        <v>12503</v>
      </c>
    </row>
    <row r="11883" spans="1:31" x14ac:dyDescent="0.3">
      <c r="A11883" s="160">
        <v>89045</v>
      </c>
      <c r="B11883" t="s">
        <v>26796</v>
      </c>
      <c r="C11883" t="s">
        <v>12499</v>
      </c>
      <c r="D11883">
        <v>0.8</v>
      </c>
      <c r="E11883">
        <v>0</v>
      </c>
      <c r="F11883">
        <f t="shared" si="211"/>
        <v>0.8</v>
      </c>
      <c r="I11883">
        <v>20240101</v>
      </c>
      <c r="J11883" t="s">
        <v>12525</v>
      </c>
    </row>
    <row r="11884" spans="1:31" x14ac:dyDescent="0.3">
      <c r="A11884" s="160">
        <v>89051</v>
      </c>
      <c r="B11884" t="s">
        <v>26797</v>
      </c>
      <c r="C11884" t="s">
        <v>12501</v>
      </c>
      <c r="D11884">
        <v>0.6</v>
      </c>
      <c r="E11884">
        <v>0</v>
      </c>
      <c r="F11884">
        <f t="shared" si="211"/>
        <v>0.6</v>
      </c>
      <c r="I11884">
        <v>20160901</v>
      </c>
      <c r="J11884" t="s">
        <v>12502</v>
      </c>
    </row>
    <row r="11885" spans="1:31" x14ac:dyDescent="0.3">
      <c r="A11885" s="160">
        <v>89053</v>
      </c>
      <c r="B11885" t="s">
        <v>26798</v>
      </c>
      <c r="C11885" t="s">
        <v>12499</v>
      </c>
      <c r="D11885">
        <v>0.8</v>
      </c>
      <c r="E11885">
        <v>0</v>
      </c>
      <c r="F11885">
        <f t="shared" si="211"/>
        <v>0.8</v>
      </c>
      <c r="I11885">
        <v>20240101</v>
      </c>
      <c r="J11885" t="s">
        <v>12526</v>
      </c>
    </row>
    <row r="11886" spans="1:31" x14ac:dyDescent="0.3">
      <c r="A11886" s="160">
        <v>89077</v>
      </c>
      <c r="B11886" t="s">
        <v>26799</v>
      </c>
      <c r="C11886" t="s">
        <v>12499</v>
      </c>
      <c r="D11886">
        <v>0.8</v>
      </c>
      <c r="E11886">
        <v>0</v>
      </c>
      <c r="F11886">
        <f t="shared" si="211"/>
        <v>0.8</v>
      </c>
      <c r="I11886">
        <v>20240101</v>
      </c>
      <c r="J11886" t="s">
        <v>12503</v>
      </c>
    </row>
    <row r="11887" spans="1:31" x14ac:dyDescent="0.3">
      <c r="A11887" s="160">
        <v>89083</v>
      </c>
      <c r="B11887" t="s">
        <v>26800</v>
      </c>
      <c r="C11887" t="s">
        <v>12499</v>
      </c>
      <c r="D11887">
        <v>0.8</v>
      </c>
      <c r="E11887">
        <v>0</v>
      </c>
      <c r="F11887">
        <f t="shared" si="211"/>
        <v>0.8</v>
      </c>
      <c r="I11887">
        <v>20240101</v>
      </c>
      <c r="J11887" t="s">
        <v>12526</v>
      </c>
    </row>
    <row r="11888" spans="1:31" x14ac:dyDescent="0.3">
      <c r="A11888" s="160">
        <v>89102</v>
      </c>
      <c r="B11888" t="s">
        <v>26801</v>
      </c>
      <c r="C11888" t="s">
        <v>12499</v>
      </c>
      <c r="D11888">
        <v>0.8</v>
      </c>
      <c r="E11888">
        <v>0</v>
      </c>
      <c r="F11888">
        <f t="shared" si="211"/>
        <v>0.8</v>
      </c>
      <c r="I11888">
        <v>20240101</v>
      </c>
      <c r="J11888" t="s">
        <v>12527</v>
      </c>
    </row>
    <row r="11889" spans="1:14" x14ac:dyDescent="0.3">
      <c r="A11889" s="160">
        <v>89108</v>
      </c>
      <c r="B11889" t="s">
        <v>26802</v>
      </c>
      <c r="C11889" t="s">
        <v>12499</v>
      </c>
      <c r="D11889">
        <v>0.8</v>
      </c>
      <c r="E11889">
        <v>0</v>
      </c>
      <c r="F11889">
        <f t="shared" si="211"/>
        <v>0.8</v>
      </c>
      <c r="I11889">
        <v>20240101</v>
      </c>
      <c r="J11889" t="s">
        <v>12528</v>
      </c>
    </row>
    <row r="11890" spans="1:14" x14ac:dyDescent="0.3">
      <c r="A11890" s="160">
        <v>89113</v>
      </c>
      <c r="B11890" t="s">
        <v>26803</v>
      </c>
      <c r="C11890" t="s">
        <v>12501</v>
      </c>
      <c r="D11890">
        <v>0.6</v>
      </c>
      <c r="E11890">
        <v>0</v>
      </c>
      <c r="F11890">
        <f t="shared" si="211"/>
        <v>0.6</v>
      </c>
      <c r="I11890">
        <v>20140101</v>
      </c>
      <c r="J11890" t="s">
        <v>12529</v>
      </c>
    </row>
    <row r="11891" spans="1:14" x14ac:dyDescent="0.3">
      <c r="A11891" s="160">
        <v>89118</v>
      </c>
      <c r="B11891" t="s">
        <v>26804</v>
      </c>
      <c r="C11891" t="s">
        <v>12499</v>
      </c>
      <c r="D11891">
        <v>0.8</v>
      </c>
      <c r="E11891">
        <v>0</v>
      </c>
      <c r="F11891">
        <f t="shared" si="211"/>
        <v>0.8</v>
      </c>
      <c r="I11891">
        <v>20240101</v>
      </c>
      <c r="J11891" t="s">
        <v>12530</v>
      </c>
    </row>
    <row r="11892" spans="1:14" x14ac:dyDescent="0.3">
      <c r="A11892" s="160">
        <v>89127</v>
      </c>
      <c r="B11892" t="s">
        <v>26805</v>
      </c>
      <c r="C11892" t="s">
        <v>12501</v>
      </c>
      <c r="D11892">
        <v>0.6</v>
      </c>
      <c r="E11892">
        <v>0</v>
      </c>
      <c r="F11892">
        <f t="shared" si="211"/>
        <v>0.6</v>
      </c>
      <c r="I11892">
        <v>20100101</v>
      </c>
      <c r="J11892" t="s">
        <v>12529</v>
      </c>
    </row>
    <row r="11893" spans="1:14" x14ac:dyDescent="0.3">
      <c r="A11893" s="160">
        <v>89142</v>
      </c>
      <c r="B11893" t="s">
        <v>26806</v>
      </c>
      <c r="C11893" t="s">
        <v>12501</v>
      </c>
      <c r="D11893">
        <v>0.6</v>
      </c>
      <c r="E11893">
        <v>0</v>
      </c>
      <c r="F11893">
        <f t="shared" si="211"/>
        <v>0.6</v>
      </c>
      <c r="I11893">
        <v>20160901</v>
      </c>
      <c r="J11893" t="s">
        <v>12502</v>
      </c>
    </row>
    <row r="11894" spans="1:14" x14ac:dyDescent="0.3">
      <c r="A11894" s="160">
        <v>89154</v>
      </c>
      <c r="B11894" t="s">
        <v>26807</v>
      </c>
      <c r="C11894" t="s">
        <v>12499</v>
      </c>
      <c r="D11894">
        <v>0.8</v>
      </c>
      <c r="E11894">
        <v>0</v>
      </c>
      <c r="F11894">
        <f t="shared" si="211"/>
        <v>0.8</v>
      </c>
      <c r="I11894">
        <v>20240101</v>
      </c>
      <c r="J11894" t="s">
        <v>12527</v>
      </c>
    </row>
    <row r="11895" spans="1:14" x14ac:dyDescent="0.3">
      <c r="A11895" s="160">
        <v>89155</v>
      </c>
      <c r="B11895" t="s">
        <v>26808</v>
      </c>
      <c r="C11895" t="s">
        <v>12499</v>
      </c>
      <c r="D11895">
        <v>0.8</v>
      </c>
      <c r="E11895">
        <v>0</v>
      </c>
      <c r="F11895">
        <f t="shared" si="211"/>
        <v>0.8</v>
      </c>
      <c r="I11895">
        <v>20240101</v>
      </c>
      <c r="J11895" t="s">
        <v>12503</v>
      </c>
    </row>
    <row r="11896" spans="1:14" x14ac:dyDescent="0.3">
      <c r="A11896" s="160">
        <v>89160</v>
      </c>
      <c r="B11896" t="s">
        <v>26809</v>
      </c>
      <c r="C11896" t="s">
        <v>12501</v>
      </c>
      <c r="D11896">
        <v>0.6</v>
      </c>
      <c r="E11896">
        <v>0</v>
      </c>
      <c r="F11896">
        <f t="shared" si="211"/>
        <v>0.6</v>
      </c>
      <c r="I11896">
        <v>20160901</v>
      </c>
      <c r="J11896" t="s">
        <v>12531</v>
      </c>
      <c r="K11896" t="s">
        <v>12532</v>
      </c>
      <c r="L11896" t="s">
        <v>12533</v>
      </c>
    </row>
    <row r="11897" spans="1:14" x14ac:dyDescent="0.3">
      <c r="A11897" s="160">
        <v>89172</v>
      </c>
      <c r="B11897" t="s">
        <v>26810</v>
      </c>
      <c r="C11897" t="s">
        <v>12501</v>
      </c>
      <c r="D11897">
        <v>0.6</v>
      </c>
      <c r="E11897">
        <v>0</v>
      </c>
      <c r="F11897">
        <f t="shared" si="211"/>
        <v>0.6</v>
      </c>
      <c r="I11897">
        <v>20140101</v>
      </c>
      <c r="J11897" t="s">
        <v>12529</v>
      </c>
      <c r="K11897" t="s">
        <v>12534</v>
      </c>
    </row>
    <row r="11898" spans="1:14" x14ac:dyDescent="0.3">
      <c r="A11898" s="160">
        <v>89195</v>
      </c>
      <c r="B11898" t="s">
        <v>26811</v>
      </c>
      <c r="C11898" t="s">
        <v>12501</v>
      </c>
      <c r="D11898">
        <v>0.6</v>
      </c>
      <c r="E11898">
        <v>0</v>
      </c>
      <c r="F11898">
        <f t="shared" si="211"/>
        <v>0.6</v>
      </c>
      <c r="I11898">
        <v>20100101</v>
      </c>
      <c r="J11898" t="s">
        <v>12535</v>
      </c>
      <c r="K11898" t="s">
        <v>12529</v>
      </c>
      <c r="L11898" t="s">
        <v>12536</v>
      </c>
      <c r="M11898" t="s">
        <v>12537</v>
      </c>
    </row>
    <row r="11899" spans="1:14" x14ac:dyDescent="0.3">
      <c r="A11899" s="160">
        <v>89198</v>
      </c>
      <c r="B11899" t="s">
        <v>26812</v>
      </c>
      <c r="C11899" t="s">
        <v>12499</v>
      </c>
      <c r="D11899">
        <v>0.8</v>
      </c>
      <c r="E11899">
        <v>0</v>
      </c>
      <c r="F11899">
        <f t="shared" si="211"/>
        <v>0.8</v>
      </c>
      <c r="I11899">
        <v>20240101</v>
      </c>
      <c r="J11899" t="s">
        <v>12538</v>
      </c>
    </row>
    <row r="11900" spans="1:14" x14ac:dyDescent="0.3">
      <c r="A11900" s="160">
        <v>89199</v>
      </c>
      <c r="B11900" t="s">
        <v>26813</v>
      </c>
      <c r="C11900" t="s">
        <v>12499</v>
      </c>
      <c r="D11900">
        <v>0.8</v>
      </c>
      <c r="E11900">
        <v>0</v>
      </c>
      <c r="F11900">
        <f t="shared" si="211"/>
        <v>0.8</v>
      </c>
      <c r="I11900">
        <v>20240101</v>
      </c>
      <c r="J11900" t="s">
        <v>12530</v>
      </c>
    </row>
    <row r="11901" spans="1:14" x14ac:dyDescent="0.3">
      <c r="A11901" s="160">
        <v>89202</v>
      </c>
      <c r="B11901" t="s">
        <v>26814</v>
      </c>
      <c r="C11901" t="s">
        <v>12499</v>
      </c>
      <c r="D11901">
        <v>0.8</v>
      </c>
      <c r="E11901">
        <v>0</v>
      </c>
      <c r="F11901">
        <f t="shared" si="211"/>
        <v>0.8</v>
      </c>
      <c r="I11901">
        <v>20240101</v>
      </c>
      <c r="J11901" t="s">
        <v>12503</v>
      </c>
    </row>
    <row r="11902" spans="1:14" x14ac:dyDescent="0.3">
      <c r="A11902" s="160">
        <v>89212</v>
      </c>
      <c r="B11902" t="s">
        <v>15490</v>
      </c>
      <c r="C11902" t="s">
        <v>12499</v>
      </c>
      <c r="D11902">
        <v>0.8</v>
      </c>
      <c r="E11902">
        <v>0</v>
      </c>
      <c r="F11902">
        <f t="shared" si="211"/>
        <v>0.8</v>
      </c>
      <c r="I11902">
        <v>20240101</v>
      </c>
      <c r="J11902" t="s">
        <v>12503</v>
      </c>
    </row>
    <row r="11903" spans="1:14" x14ac:dyDescent="0.3">
      <c r="A11903" s="160">
        <v>89228</v>
      </c>
      <c r="B11903" t="s">
        <v>26815</v>
      </c>
      <c r="C11903" t="s">
        <v>12499</v>
      </c>
      <c r="D11903">
        <v>0.8</v>
      </c>
      <c r="E11903">
        <v>0</v>
      </c>
      <c r="F11903">
        <f t="shared" si="211"/>
        <v>0.8</v>
      </c>
      <c r="I11903">
        <v>20240101</v>
      </c>
      <c r="J11903" t="s">
        <v>12527</v>
      </c>
    </row>
    <row r="11904" spans="1:14" x14ac:dyDescent="0.3">
      <c r="A11904" s="160">
        <v>89236</v>
      </c>
      <c r="B11904" t="s">
        <v>26816</v>
      </c>
      <c r="C11904" t="s">
        <v>12501</v>
      </c>
      <c r="D11904">
        <v>0.6</v>
      </c>
      <c r="E11904">
        <v>0</v>
      </c>
      <c r="F11904">
        <f t="shared" si="211"/>
        <v>0.6</v>
      </c>
      <c r="I11904">
        <v>20100101</v>
      </c>
      <c r="J11904" t="s">
        <v>12529</v>
      </c>
      <c r="K11904" t="s">
        <v>12539</v>
      </c>
      <c r="L11904" t="s">
        <v>12536</v>
      </c>
      <c r="M11904" t="s">
        <v>12531</v>
      </c>
      <c r="N11904" t="s">
        <v>12540</v>
      </c>
    </row>
    <row r="11905" spans="1:15" x14ac:dyDescent="0.3">
      <c r="A11905" s="160">
        <v>89239</v>
      </c>
      <c r="B11905" t="s">
        <v>26817</v>
      </c>
      <c r="C11905" t="s">
        <v>12501</v>
      </c>
      <c r="D11905">
        <v>0.6</v>
      </c>
      <c r="E11905">
        <v>0</v>
      </c>
      <c r="F11905">
        <f t="shared" si="211"/>
        <v>0.6</v>
      </c>
      <c r="I11905">
        <v>20100101</v>
      </c>
      <c r="J11905" t="s">
        <v>12529</v>
      </c>
    </row>
    <row r="11906" spans="1:15" x14ac:dyDescent="0.3">
      <c r="A11906" s="160">
        <v>89240</v>
      </c>
      <c r="B11906" t="s">
        <v>26818</v>
      </c>
      <c r="C11906" t="s">
        <v>12501</v>
      </c>
      <c r="D11906">
        <v>0.6</v>
      </c>
      <c r="E11906">
        <v>0</v>
      </c>
      <c r="F11906">
        <f t="shared" si="211"/>
        <v>0.6</v>
      </c>
      <c r="I11906">
        <v>20140101</v>
      </c>
      <c r="J11906" t="s">
        <v>12529</v>
      </c>
    </row>
    <row r="11907" spans="1:15" x14ac:dyDescent="0.3">
      <c r="A11907" s="160">
        <v>89245</v>
      </c>
      <c r="B11907" t="s">
        <v>26819</v>
      </c>
      <c r="C11907" t="s">
        <v>12501</v>
      </c>
      <c r="D11907">
        <v>0.6</v>
      </c>
      <c r="E11907">
        <v>0</v>
      </c>
      <c r="F11907">
        <f t="shared" si="211"/>
        <v>0.6</v>
      </c>
      <c r="I11907">
        <v>20140101</v>
      </c>
      <c r="J11907" t="s">
        <v>12502</v>
      </c>
    </row>
    <row r="11908" spans="1:15" x14ac:dyDescent="0.3">
      <c r="A11908" s="160">
        <v>89263</v>
      </c>
      <c r="B11908" t="s">
        <v>26820</v>
      </c>
      <c r="C11908" t="s">
        <v>12499</v>
      </c>
      <c r="D11908">
        <v>0.8</v>
      </c>
      <c r="E11908">
        <v>0</v>
      </c>
      <c r="F11908">
        <f t="shared" si="211"/>
        <v>0.8</v>
      </c>
      <c r="I11908">
        <v>20240101</v>
      </c>
      <c r="J11908" t="s">
        <v>12541</v>
      </c>
    </row>
    <row r="11909" spans="1:15" x14ac:dyDescent="0.3">
      <c r="A11909" s="160">
        <v>89265</v>
      </c>
      <c r="B11909" t="s">
        <v>26821</v>
      </c>
      <c r="C11909" t="s">
        <v>12499</v>
      </c>
      <c r="D11909">
        <v>0.8</v>
      </c>
      <c r="E11909">
        <v>0</v>
      </c>
      <c r="F11909">
        <f t="shared" si="211"/>
        <v>0.8</v>
      </c>
      <c r="I11909">
        <v>20240101</v>
      </c>
      <c r="J11909" t="s">
        <v>12525</v>
      </c>
    </row>
    <row r="11910" spans="1:15" x14ac:dyDescent="0.3">
      <c r="A11910" s="160">
        <v>89278</v>
      </c>
      <c r="B11910" t="s">
        <v>26822</v>
      </c>
      <c r="C11910" t="s">
        <v>12501</v>
      </c>
      <c r="D11910">
        <v>0.6</v>
      </c>
      <c r="E11910">
        <v>0</v>
      </c>
      <c r="F11910">
        <f t="shared" si="211"/>
        <v>0.6</v>
      </c>
      <c r="I11910">
        <v>20140101</v>
      </c>
      <c r="J11910" t="s">
        <v>12542</v>
      </c>
    </row>
    <row r="11911" spans="1:15" x14ac:dyDescent="0.3">
      <c r="A11911" s="160">
        <v>89287</v>
      </c>
      <c r="B11911" t="s">
        <v>26823</v>
      </c>
      <c r="C11911" t="s">
        <v>12501</v>
      </c>
      <c r="D11911">
        <v>0.6</v>
      </c>
      <c r="E11911">
        <v>0</v>
      </c>
      <c r="F11911">
        <f t="shared" ref="F11911:F11974" si="212">D11911+E11911</f>
        <v>0.6</v>
      </c>
      <c r="I11911">
        <v>20100101</v>
      </c>
      <c r="J11911" t="s">
        <v>12529</v>
      </c>
      <c r="K11911" t="s">
        <v>12534</v>
      </c>
      <c r="L11911" t="s">
        <v>12540</v>
      </c>
      <c r="M11911" t="s">
        <v>12537</v>
      </c>
      <c r="N11911" t="s">
        <v>12543</v>
      </c>
    </row>
    <row r="11912" spans="1:15" x14ac:dyDescent="0.3">
      <c r="A11912" s="160">
        <v>89291</v>
      </c>
      <c r="B11912" t="s">
        <v>26824</v>
      </c>
      <c r="C11912" t="s">
        <v>12501</v>
      </c>
      <c r="D11912">
        <v>0.6</v>
      </c>
      <c r="E11912">
        <v>0</v>
      </c>
      <c r="F11912">
        <f t="shared" si="212"/>
        <v>0.6</v>
      </c>
      <c r="I11912">
        <v>20160901</v>
      </c>
      <c r="J11912" t="s">
        <v>12533</v>
      </c>
    </row>
    <row r="11913" spans="1:15" x14ac:dyDescent="0.3">
      <c r="A11913" s="160">
        <v>89295</v>
      </c>
      <c r="B11913" t="s">
        <v>19659</v>
      </c>
      <c r="C11913" t="s">
        <v>12499</v>
      </c>
      <c r="D11913">
        <v>0.8</v>
      </c>
      <c r="E11913">
        <v>0</v>
      </c>
      <c r="F11913">
        <f t="shared" si="212"/>
        <v>0.8</v>
      </c>
      <c r="I11913">
        <v>20240101</v>
      </c>
      <c r="J11913" t="s">
        <v>12504</v>
      </c>
      <c r="K11913" t="s">
        <v>12507</v>
      </c>
      <c r="L11913" t="s">
        <v>12508</v>
      </c>
    </row>
    <row r="11914" spans="1:15" x14ac:dyDescent="0.3">
      <c r="A11914" s="160">
        <v>89319</v>
      </c>
      <c r="B11914" t="s">
        <v>26825</v>
      </c>
      <c r="C11914" t="s">
        <v>12499</v>
      </c>
      <c r="D11914">
        <v>0.8</v>
      </c>
      <c r="E11914">
        <v>0</v>
      </c>
      <c r="F11914">
        <f t="shared" si="212"/>
        <v>0.8</v>
      </c>
      <c r="I11914">
        <v>20240101</v>
      </c>
      <c r="J11914" t="s">
        <v>12503</v>
      </c>
    </row>
    <row r="11915" spans="1:15" x14ac:dyDescent="0.3">
      <c r="A11915" s="160">
        <v>89326</v>
      </c>
      <c r="B11915" t="s">
        <v>22912</v>
      </c>
      <c r="C11915" t="s">
        <v>12501</v>
      </c>
      <c r="D11915">
        <v>0.6</v>
      </c>
      <c r="E11915">
        <v>0</v>
      </c>
      <c r="F11915">
        <f t="shared" si="212"/>
        <v>0.6</v>
      </c>
      <c r="I11915">
        <v>20100101</v>
      </c>
      <c r="J11915" t="s">
        <v>12529</v>
      </c>
      <c r="K11915" t="s">
        <v>12534</v>
      </c>
    </row>
    <row r="11916" spans="1:15" x14ac:dyDescent="0.3">
      <c r="A11916" s="160">
        <v>89327</v>
      </c>
      <c r="B11916" t="s">
        <v>18371</v>
      </c>
      <c r="C11916" t="s">
        <v>12501</v>
      </c>
      <c r="D11916">
        <v>0.6</v>
      </c>
      <c r="E11916">
        <v>0</v>
      </c>
      <c r="F11916">
        <f t="shared" si="212"/>
        <v>0.6</v>
      </c>
      <c r="I11916">
        <v>20160901</v>
      </c>
      <c r="J11916" t="s">
        <v>12502</v>
      </c>
    </row>
    <row r="11917" spans="1:15" x14ac:dyDescent="0.3">
      <c r="A11917" s="160">
        <v>89337</v>
      </c>
      <c r="B11917" t="s">
        <v>26826</v>
      </c>
      <c r="C11917" t="s">
        <v>12499</v>
      </c>
      <c r="D11917">
        <v>0.8</v>
      </c>
      <c r="E11917">
        <v>0</v>
      </c>
      <c r="F11917">
        <f t="shared" si="212"/>
        <v>0.8</v>
      </c>
      <c r="I11917">
        <v>20240101</v>
      </c>
      <c r="J11917" t="s">
        <v>12528</v>
      </c>
    </row>
    <row r="11918" spans="1:15" x14ac:dyDescent="0.3">
      <c r="A11918" s="160">
        <v>89338</v>
      </c>
      <c r="B11918" t="s">
        <v>15744</v>
      </c>
      <c r="C11918" t="s">
        <v>12501</v>
      </c>
      <c r="D11918">
        <v>0.6</v>
      </c>
      <c r="E11918">
        <v>0</v>
      </c>
      <c r="F11918">
        <f t="shared" si="212"/>
        <v>0.6</v>
      </c>
      <c r="I11918">
        <v>20100101</v>
      </c>
      <c r="J11918" t="s">
        <v>12529</v>
      </c>
      <c r="K11918" t="s">
        <v>12534</v>
      </c>
      <c r="L11918" t="s">
        <v>12539</v>
      </c>
      <c r="M11918" t="s">
        <v>12531</v>
      </c>
      <c r="N11918" t="s">
        <v>12540</v>
      </c>
      <c r="O11918" t="s">
        <v>12537</v>
      </c>
    </row>
    <row r="11919" spans="1:15" x14ac:dyDescent="0.3">
      <c r="A11919" s="160">
        <v>89342</v>
      </c>
      <c r="B11919" t="s">
        <v>26827</v>
      </c>
      <c r="C11919" t="s">
        <v>12501</v>
      </c>
      <c r="D11919">
        <v>0.6</v>
      </c>
      <c r="E11919">
        <v>0</v>
      </c>
      <c r="F11919">
        <f t="shared" si="212"/>
        <v>0.6</v>
      </c>
      <c r="I11919">
        <v>20140101</v>
      </c>
      <c r="J11919" t="s">
        <v>12529</v>
      </c>
      <c r="K11919" t="s">
        <v>12534</v>
      </c>
      <c r="L11919" t="s">
        <v>12539</v>
      </c>
      <c r="M11919" t="s">
        <v>12536</v>
      </c>
      <c r="N11919" t="s">
        <v>12532</v>
      </c>
      <c r="O11919" t="s">
        <v>12537</v>
      </c>
    </row>
    <row r="11920" spans="1:15" x14ac:dyDescent="0.3">
      <c r="A11920" s="160">
        <v>89346</v>
      </c>
      <c r="B11920" t="s">
        <v>26828</v>
      </c>
      <c r="C11920" t="s">
        <v>12499</v>
      </c>
      <c r="D11920">
        <v>0.8</v>
      </c>
      <c r="E11920">
        <v>0</v>
      </c>
      <c r="F11920">
        <f t="shared" si="212"/>
        <v>0.8</v>
      </c>
      <c r="I11920">
        <v>20240101</v>
      </c>
      <c r="J11920" t="s">
        <v>12504</v>
      </c>
      <c r="K11920" t="s">
        <v>12505</v>
      </c>
      <c r="L11920" t="s">
        <v>12506</v>
      </c>
    </row>
    <row r="11921" spans="1:18" x14ac:dyDescent="0.3">
      <c r="A11921" s="160">
        <v>89354</v>
      </c>
      <c r="B11921" t="s">
        <v>26829</v>
      </c>
      <c r="C11921" t="s">
        <v>12501</v>
      </c>
      <c r="D11921">
        <v>0.6</v>
      </c>
      <c r="E11921">
        <v>0</v>
      </c>
      <c r="F11921">
        <f t="shared" si="212"/>
        <v>0.6</v>
      </c>
      <c r="I11921">
        <v>20100101</v>
      </c>
      <c r="J11921" t="s">
        <v>12529</v>
      </c>
    </row>
    <row r="11922" spans="1:18" x14ac:dyDescent="0.3">
      <c r="A11922" s="160">
        <v>89373</v>
      </c>
      <c r="B11922" t="s">
        <v>26830</v>
      </c>
      <c r="C11922" t="s">
        <v>12501</v>
      </c>
      <c r="D11922">
        <v>0.6</v>
      </c>
      <c r="E11922">
        <v>0</v>
      </c>
      <c r="F11922">
        <f t="shared" si="212"/>
        <v>0.6</v>
      </c>
      <c r="I11922">
        <v>20140101</v>
      </c>
      <c r="J11922" t="s">
        <v>12529</v>
      </c>
    </row>
    <row r="11923" spans="1:18" x14ac:dyDescent="0.3">
      <c r="A11923" s="160">
        <v>89387</v>
      </c>
      <c r="B11923" t="s">
        <v>26831</v>
      </c>
      <c r="C11923" t="s">
        <v>12501</v>
      </c>
      <c r="D11923">
        <v>0.6</v>
      </c>
      <c r="E11923">
        <v>0</v>
      </c>
      <c r="F11923">
        <f t="shared" si="212"/>
        <v>0.6</v>
      </c>
      <c r="I11923">
        <v>20100101</v>
      </c>
      <c r="J11923" t="s">
        <v>12529</v>
      </c>
      <c r="K11923" t="s">
        <v>12534</v>
      </c>
      <c r="L11923" t="s">
        <v>12539</v>
      </c>
      <c r="M11923" t="s">
        <v>12536</v>
      </c>
      <c r="N11923" t="s">
        <v>12531</v>
      </c>
      <c r="O11923" t="s">
        <v>12540</v>
      </c>
      <c r="P11923" t="s">
        <v>12532</v>
      </c>
      <c r="Q11923" t="s">
        <v>12537</v>
      </c>
      <c r="R11923" t="s">
        <v>12543</v>
      </c>
    </row>
    <row r="11924" spans="1:18" x14ac:dyDescent="0.3">
      <c r="A11924" s="160">
        <v>89399</v>
      </c>
      <c r="B11924" t="s">
        <v>15641</v>
      </c>
      <c r="C11924" t="s">
        <v>12501</v>
      </c>
      <c r="D11924">
        <v>0.6</v>
      </c>
      <c r="E11924">
        <v>0</v>
      </c>
      <c r="F11924">
        <f t="shared" si="212"/>
        <v>0.6</v>
      </c>
      <c r="I11924">
        <v>20140101</v>
      </c>
      <c r="J11924" t="s">
        <v>12529</v>
      </c>
    </row>
    <row r="11925" spans="1:18" x14ac:dyDescent="0.3">
      <c r="A11925" s="160">
        <v>89427</v>
      </c>
      <c r="B11925" t="s">
        <v>26832</v>
      </c>
      <c r="C11925" t="s">
        <v>12499</v>
      </c>
      <c r="D11925">
        <v>0.8</v>
      </c>
      <c r="E11925">
        <v>0</v>
      </c>
      <c r="F11925">
        <f t="shared" si="212"/>
        <v>0.8</v>
      </c>
      <c r="I11925">
        <v>20240101</v>
      </c>
      <c r="J11925" t="s">
        <v>12530</v>
      </c>
    </row>
    <row r="11926" spans="1:18" x14ac:dyDescent="0.3">
      <c r="A11926" s="160">
        <v>89438</v>
      </c>
      <c r="B11926" t="s">
        <v>26833</v>
      </c>
      <c r="C11926" t="s">
        <v>12499</v>
      </c>
      <c r="D11926">
        <v>0.8</v>
      </c>
      <c r="E11926">
        <v>0</v>
      </c>
      <c r="F11926">
        <f t="shared" si="212"/>
        <v>0.8</v>
      </c>
      <c r="I11926">
        <v>20240101</v>
      </c>
      <c r="J11926" t="s">
        <v>12503</v>
      </c>
    </row>
    <row r="11927" spans="1:18" x14ac:dyDescent="0.3">
      <c r="A11927" s="160">
        <v>89443</v>
      </c>
      <c r="B11927" t="s">
        <v>26834</v>
      </c>
      <c r="C11927" t="s">
        <v>12501</v>
      </c>
      <c r="D11927">
        <v>0.6</v>
      </c>
      <c r="E11927">
        <v>0</v>
      </c>
      <c r="F11927">
        <f t="shared" si="212"/>
        <v>0.6</v>
      </c>
      <c r="I11927">
        <v>20160901</v>
      </c>
      <c r="J11927" t="s">
        <v>12531</v>
      </c>
      <c r="K11927" t="s">
        <v>12533</v>
      </c>
      <c r="L11927" t="s">
        <v>12544</v>
      </c>
    </row>
    <row r="11928" spans="1:18" x14ac:dyDescent="0.3">
      <c r="A11928" s="160">
        <v>89453</v>
      </c>
      <c r="B11928" t="s">
        <v>26835</v>
      </c>
      <c r="C11928" t="s">
        <v>12499</v>
      </c>
      <c r="D11928">
        <v>0.8</v>
      </c>
      <c r="E11928">
        <v>0</v>
      </c>
      <c r="F11928">
        <f t="shared" si="212"/>
        <v>0.8</v>
      </c>
      <c r="I11928">
        <v>20240101</v>
      </c>
      <c r="J11928" t="s">
        <v>12527</v>
      </c>
    </row>
    <row r="11929" spans="1:18" x14ac:dyDescent="0.3">
      <c r="A11929" s="160">
        <v>89463</v>
      </c>
      <c r="B11929" t="s">
        <v>26836</v>
      </c>
      <c r="C11929" t="s">
        <v>12499</v>
      </c>
      <c r="D11929">
        <v>0.8</v>
      </c>
      <c r="E11929">
        <v>0</v>
      </c>
      <c r="F11929">
        <f t="shared" si="212"/>
        <v>0.8</v>
      </c>
      <c r="I11929">
        <v>20240101</v>
      </c>
      <c r="J11929" t="s">
        <v>12525</v>
      </c>
    </row>
    <row r="11930" spans="1:18" x14ac:dyDescent="0.3">
      <c r="A11930" s="160">
        <v>89464</v>
      </c>
      <c r="B11930" t="s">
        <v>26837</v>
      </c>
      <c r="C11930" t="s">
        <v>12501</v>
      </c>
      <c r="D11930">
        <v>0.6</v>
      </c>
      <c r="E11930">
        <v>0</v>
      </c>
      <c r="F11930">
        <f t="shared" si="212"/>
        <v>0.6</v>
      </c>
      <c r="I11930">
        <v>20160901</v>
      </c>
      <c r="J11930" t="s">
        <v>12502</v>
      </c>
    </row>
    <row r="11931" spans="1:18" x14ac:dyDescent="0.3">
      <c r="A11931" s="160">
        <v>89471</v>
      </c>
      <c r="B11931" t="s">
        <v>26838</v>
      </c>
      <c r="C11931" t="s">
        <v>12501</v>
      </c>
      <c r="D11931">
        <v>0.6</v>
      </c>
      <c r="E11931">
        <v>0</v>
      </c>
      <c r="F11931">
        <f t="shared" si="212"/>
        <v>0.6</v>
      </c>
      <c r="I11931">
        <v>20240101</v>
      </c>
      <c r="J11931" t="s">
        <v>12542</v>
      </c>
    </row>
    <row r="11932" spans="1:18" x14ac:dyDescent="0.3">
      <c r="A11932" s="160">
        <v>89478</v>
      </c>
      <c r="B11932" t="s">
        <v>26839</v>
      </c>
      <c r="C11932" t="s">
        <v>12499</v>
      </c>
      <c r="D11932">
        <v>0.8</v>
      </c>
      <c r="E11932">
        <v>0</v>
      </c>
      <c r="F11932">
        <f t="shared" si="212"/>
        <v>0.8</v>
      </c>
      <c r="I11932">
        <v>20240101</v>
      </c>
      <c r="J11932" t="s">
        <v>12503</v>
      </c>
    </row>
    <row r="11933" spans="1:18" x14ac:dyDescent="0.3">
      <c r="A11933" s="160">
        <v>89479</v>
      </c>
      <c r="B11933" t="s">
        <v>26840</v>
      </c>
      <c r="C11933" t="s">
        <v>12499</v>
      </c>
      <c r="D11933">
        <v>0.8</v>
      </c>
      <c r="E11933">
        <v>0</v>
      </c>
      <c r="F11933">
        <f t="shared" si="212"/>
        <v>0.8</v>
      </c>
      <c r="I11933">
        <v>20240101</v>
      </c>
      <c r="J11933" t="s">
        <v>12503</v>
      </c>
    </row>
    <row r="11934" spans="1:18" x14ac:dyDescent="0.3">
      <c r="A11934" s="160">
        <v>89483</v>
      </c>
      <c r="B11934" t="s">
        <v>26841</v>
      </c>
      <c r="C11934" t="s">
        <v>12501</v>
      </c>
      <c r="D11934">
        <v>0.6</v>
      </c>
      <c r="E11934">
        <v>0</v>
      </c>
      <c r="F11934">
        <f t="shared" si="212"/>
        <v>0.6</v>
      </c>
      <c r="I11934">
        <v>20240101</v>
      </c>
      <c r="J11934" t="s">
        <v>12545</v>
      </c>
    </row>
    <row r="11935" spans="1:18" x14ac:dyDescent="0.3">
      <c r="A11935" s="160">
        <v>90001</v>
      </c>
      <c r="B11935" t="s">
        <v>26842</v>
      </c>
      <c r="C11935" t="s">
        <v>12546</v>
      </c>
      <c r="D11935">
        <v>1.8</v>
      </c>
      <c r="E11935">
        <v>0</v>
      </c>
      <c r="F11935">
        <f t="shared" si="212"/>
        <v>1.8</v>
      </c>
      <c r="I11935">
        <v>20210701</v>
      </c>
      <c r="J11935" t="s">
        <v>12547</v>
      </c>
    </row>
    <row r="11936" spans="1:18" x14ac:dyDescent="0.3">
      <c r="A11936" s="160">
        <v>90002</v>
      </c>
      <c r="B11936" t="s">
        <v>26843</v>
      </c>
      <c r="C11936" t="s">
        <v>12546</v>
      </c>
      <c r="D11936">
        <v>1.8</v>
      </c>
      <c r="E11936">
        <v>0</v>
      </c>
      <c r="F11936">
        <f t="shared" si="212"/>
        <v>1.8</v>
      </c>
      <c r="I11936">
        <v>20210701</v>
      </c>
      <c r="J11936" t="s">
        <v>12548</v>
      </c>
    </row>
    <row r="11937" spans="1:32" x14ac:dyDescent="0.3">
      <c r="A11937" s="160">
        <v>90003</v>
      </c>
      <c r="B11937" t="s">
        <v>26844</v>
      </c>
      <c r="C11937" t="s">
        <v>12546</v>
      </c>
      <c r="D11937">
        <v>1.8</v>
      </c>
      <c r="E11937">
        <v>0</v>
      </c>
      <c r="F11937">
        <f t="shared" si="212"/>
        <v>1.8</v>
      </c>
      <c r="I11937">
        <v>20210701</v>
      </c>
      <c r="J11937" t="s">
        <v>12549</v>
      </c>
    </row>
    <row r="11938" spans="1:32" x14ac:dyDescent="0.3">
      <c r="A11938" s="160">
        <v>90004</v>
      </c>
      <c r="B11938" t="s">
        <v>26845</v>
      </c>
      <c r="C11938" t="s">
        <v>12546</v>
      </c>
      <c r="D11938">
        <v>1.8</v>
      </c>
      <c r="E11938">
        <v>0</v>
      </c>
      <c r="F11938">
        <f t="shared" si="212"/>
        <v>1.8</v>
      </c>
      <c r="I11938">
        <v>20210701</v>
      </c>
      <c r="J11938" t="s">
        <v>12550</v>
      </c>
    </row>
    <row r="11939" spans="1:32" x14ac:dyDescent="0.3">
      <c r="A11939" s="160">
        <v>90005</v>
      </c>
      <c r="B11939" t="s">
        <v>26846</v>
      </c>
      <c r="C11939" t="s">
        <v>12546</v>
      </c>
      <c r="D11939">
        <v>1.8</v>
      </c>
      <c r="E11939">
        <v>0</v>
      </c>
      <c r="F11939">
        <f t="shared" si="212"/>
        <v>1.8</v>
      </c>
      <c r="I11939">
        <v>20210701</v>
      </c>
      <c r="J11939" t="s">
        <v>12551</v>
      </c>
      <c r="K11939" t="s">
        <v>12552</v>
      </c>
    </row>
    <row r="11940" spans="1:32" x14ac:dyDescent="0.3">
      <c r="A11940" s="160">
        <v>90006</v>
      </c>
      <c r="B11940" t="s">
        <v>26847</v>
      </c>
      <c r="C11940" t="s">
        <v>12546</v>
      </c>
      <c r="D11940">
        <v>1.8</v>
      </c>
      <c r="E11940">
        <v>0</v>
      </c>
      <c r="F11940">
        <f t="shared" si="212"/>
        <v>1.8</v>
      </c>
      <c r="I11940">
        <v>20210701</v>
      </c>
      <c r="J11940" t="s">
        <v>12552</v>
      </c>
    </row>
    <row r="11941" spans="1:32" x14ac:dyDescent="0.3">
      <c r="A11941" s="160">
        <v>90007</v>
      </c>
      <c r="B11941" t="s">
        <v>26848</v>
      </c>
      <c r="C11941" t="s">
        <v>12546</v>
      </c>
      <c r="D11941">
        <v>1.8</v>
      </c>
      <c r="E11941">
        <v>0</v>
      </c>
      <c r="F11941">
        <f t="shared" si="212"/>
        <v>1.8</v>
      </c>
      <c r="I11941">
        <v>20210701</v>
      </c>
      <c r="J11941" t="s">
        <v>12550</v>
      </c>
    </row>
    <row r="11942" spans="1:32" x14ac:dyDescent="0.3">
      <c r="A11942" s="160">
        <v>90008</v>
      </c>
      <c r="B11942" t="s">
        <v>26849</v>
      </c>
      <c r="C11942" t="s">
        <v>12546</v>
      </c>
      <c r="D11942">
        <v>1.8</v>
      </c>
      <c r="E11942">
        <v>0</v>
      </c>
      <c r="F11942">
        <f t="shared" si="212"/>
        <v>1.8</v>
      </c>
      <c r="I11942">
        <v>20210701</v>
      </c>
      <c r="J11942" t="s">
        <v>12550</v>
      </c>
    </row>
    <row r="11943" spans="1:32" x14ac:dyDescent="0.3">
      <c r="A11943" s="160">
        <v>90009</v>
      </c>
      <c r="B11943" t="s">
        <v>26850</v>
      </c>
      <c r="C11943" t="s">
        <v>12546</v>
      </c>
      <c r="D11943">
        <v>1.8</v>
      </c>
      <c r="E11943">
        <v>0</v>
      </c>
      <c r="F11943">
        <f t="shared" si="212"/>
        <v>1.8</v>
      </c>
      <c r="I11943">
        <v>20210701</v>
      </c>
      <c r="J11943" t="s">
        <v>12553</v>
      </c>
    </row>
    <row r="11944" spans="1:32" x14ac:dyDescent="0.3">
      <c r="A11944" s="160">
        <v>90010</v>
      </c>
      <c r="B11944" t="s">
        <v>26851</v>
      </c>
      <c r="C11944" t="s">
        <v>12546</v>
      </c>
      <c r="D11944">
        <v>1.8</v>
      </c>
      <c r="E11944">
        <v>0</v>
      </c>
      <c r="F11944">
        <f t="shared" si="212"/>
        <v>1.8</v>
      </c>
      <c r="I11944">
        <v>20210701</v>
      </c>
      <c r="J11944" t="s">
        <v>12554</v>
      </c>
      <c r="K11944" t="s">
        <v>12555</v>
      </c>
      <c r="L11944" t="s">
        <v>12556</v>
      </c>
      <c r="M11944" t="s">
        <v>12557</v>
      </c>
      <c r="N11944" t="s">
        <v>12558</v>
      </c>
      <c r="O11944" t="s">
        <v>12559</v>
      </c>
      <c r="P11944" t="s">
        <v>12551</v>
      </c>
      <c r="Q11944" t="s">
        <v>12560</v>
      </c>
      <c r="R11944" t="s">
        <v>12561</v>
      </c>
      <c r="S11944" t="s">
        <v>12562</v>
      </c>
      <c r="T11944" t="s">
        <v>12563</v>
      </c>
      <c r="U11944" t="s">
        <v>12564</v>
      </c>
      <c r="V11944" t="s">
        <v>12565</v>
      </c>
      <c r="W11944" t="s">
        <v>12566</v>
      </c>
      <c r="X11944" t="s">
        <v>12567</v>
      </c>
      <c r="Y11944" t="s">
        <v>12568</v>
      </c>
      <c r="Z11944" t="s">
        <v>12569</v>
      </c>
      <c r="AA11944" t="s">
        <v>12570</v>
      </c>
      <c r="AB11944" t="s">
        <v>12571</v>
      </c>
      <c r="AC11944" t="s">
        <v>12572</v>
      </c>
      <c r="AD11944" t="s">
        <v>12573</v>
      </c>
      <c r="AE11944" t="s">
        <v>12574</v>
      </c>
      <c r="AF11944" t="s">
        <v>12575</v>
      </c>
    </row>
    <row r="11945" spans="1:32" x14ac:dyDescent="0.3">
      <c r="A11945" s="160">
        <v>90011</v>
      </c>
      <c r="B11945" t="s">
        <v>26852</v>
      </c>
      <c r="C11945" t="s">
        <v>12546</v>
      </c>
      <c r="D11945">
        <v>1.8</v>
      </c>
      <c r="E11945">
        <v>0</v>
      </c>
      <c r="F11945">
        <f t="shared" si="212"/>
        <v>1.8</v>
      </c>
      <c r="I11945">
        <v>20210701</v>
      </c>
      <c r="J11945" t="s">
        <v>12547</v>
      </c>
    </row>
    <row r="11946" spans="1:32" x14ac:dyDescent="0.3">
      <c r="A11946" s="160">
        <v>90012</v>
      </c>
      <c r="B11946" t="s">
        <v>26853</v>
      </c>
      <c r="C11946" t="s">
        <v>12546</v>
      </c>
      <c r="D11946">
        <v>1.8</v>
      </c>
      <c r="E11946">
        <v>0</v>
      </c>
      <c r="F11946">
        <f t="shared" si="212"/>
        <v>1.8</v>
      </c>
      <c r="I11946">
        <v>20210701</v>
      </c>
      <c r="J11946" t="s">
        <v>12576</v>
      </c>
    </row>
    <row r="11947" spans="1:32" x14ac:dyDescent="0.3">
      <c r="A11947" s="160">
        <v>90013</v>
      </c>
      <c r="B11947" t="s">
        <v>26854</v>
      </c>
      <c r="C11947" t="s">
        <v>12546</v>
      </c>
      <c r="D11947">
        <v>1.8</v>
      </c>
      <c r="E11947">
        <v>0</v>
      </c>
      <c r="F11947">
        <f t="shared" si="212"/>
        <v>1.8</v>
      </c>
      <c r="I11947">
        <v>20210701</v>
      </c>
      <c r="J11947" t="s">
        <v>12548</v>
      </c>
    </row>
    <row r="11948" spans="1:32" x14ac:dyDescent="0.3">
      <c r="A11948" s="160">
        <v>90014</v>
      </c>
      <c r="B11948" t="s">
        <v>26855</v>
      </c>
      <c r="C11948" t="s">
        <v>12546</v>
      </c>
      <c r="D11948">
        <v>1.8</v>
      </c>
      <c r="E11948">
        <v>0</v>
      </c>
      <c r="F11948">
        <f t="shared" si="212"/>
        <v>1.8</v>
      </c>
      <c r="I11948">
        <v>20210701</v>
      </c>
      <c r="J11948" t="s">
        <v>12577</v>
      </c>
    </row>
    <row r="11949" spans="1:32" x14ac:dyDescent="0.3">
      <c r="A11949" s="160">
        <v>90015</v>
      </c>
      <c r="B11949" t="s">
        <v>26856</v>
      </c>
      <c r="C11949" t="s">
        <v>12546</v>
      </c>
      <c r="D11949">
        <v>1.8</v>
      </c>
      <c r="E11949">
        <v>0</v>
      </c>
      <c r="F11949">
        <f t="shared" si="212"/>
        <v>1.8</v>
      </c>
      <c r="I11949">
        <v>20210701</v>
      </c>
      <c r="J11949" t="s">
        <v>12547</v>
      </c>
    </row>
    <row r="11950" spans="1:32" x14ac:dyDescent="0.3">
      <c r="A11950" s="160">
        <v>90016</v>
      </c>
      <c r="B11950" t="s">
        <v>26857</v>
      </c>
      <c r="C11950" t="s">
        <v>12546</v>
      </c>
      <c r="D11950">
        <v>1.8</v>
      </c>
      <c r="E11950">
        <v>0</v>
      </c>
      <c r="F11950">
        <f t="shared" si="212"/>
        <v>1.8</v>
      </c>
      <c r="I11950">
        <v>20210701</v>
      </c>
      <c r="J11950" t="s">
        <v>12578</v>
      </c>
    </row>
    <row r="11951" spans="1:32" x14ac:dyDescent="0.3">
      <c r="A11951" s="160">
        <v>90017</v>
      </c>
      <c r="B11951" t="s">
        <v>26858</v>
      </c>
      <c r="C11951" t="s">
        <v>12546</v>
      </c>
      <c r="D11951">
        <v>1.8</v>
      </c>
      <c r="E11951">
        <v>0</v>
      </c>
      <c r="F11951">
        <f t="shared" si="212"/>
        <v>1.8</v>
      </c>
      <c r="I11951">
        <v>20210701</v>
      </c>
      <c r="J11951" t="s">
        <v>12567</v>
      </c>
      <c r="K11951" t="s">
        <v>12579</v>
      </c>
    </row>
    <row r="11952" spans="1:32" x14ac:dyDescent="0.3">
      <c r="A11952" s="160">
        <v>90018</v>
      </c>
      <c r="B11952" t="s">
        <v>26859</v>
      </c>
      <c r="C11952" t="s">
        <v>12546</v>
      </c>
      <c r="D11952">
        <v>1.8</v>
      </c>
      <c r="E11952">
        <v>0</v>
      </c>
      <c r="F11952">
        <f t="shared" si="212"/>
        <v>1.8</v>
      </c>
      <c r="I11952">
        <v>20210701</v>
      </c>
      <c r="J11952" t="s">
        <v>12579</v>
      </c>
    </row>
    <row r="11953" spans="1:12" x14ac:dyDescent="0.3">
      <c r="A11953" s="160">
        <v>90019</v>
      </c>
      <c r="B11953" t="s">
        <v>26860</v>
      </c>
      <c r="C11953" t="s">
        <v>12546</v>
      </c>
      <c r="D11953">
        <v>1.8</v>
      </c>
      <c r="E11953">
        <v>0</v>
      </c>
      <c r="F11953">
        <f t="shared" si="212"/>
        <v>1.8</v>
      </c>
      <c r="I11953">
        <v>20210701</v>
      </c>
      <c r="J11953" t="s">
        <v>12580</v>
      </c>
    </row>
    <row r="11954" spans="1:12" x14ac:dyDescent="0.3">
      <c r="A11954" s="160">
        <v>90020</v>
      </c>
      <c r="B11954" t="s">
        <v>25992</v>
      </c>
      <c r="C11954" t="s">
        <v>12546</v>
      </c>
      <c r="D11954">
        <v>1.8</v>
      </c>
      <c r="E11954">
        <v>0</v>
      </c>
      <c r="F11954">
        <f t="shared" si="212"/>
        <v>1.8</v>
      </c>
      <c r="I11954">
        <v>20210701</v>
      </c>
      <c r="J11954" t="s">
        <v>12550</v>
      </c>
    </row>
    <row r="11955" spans="1:12" x14ac:dyDescent="0.3">
      <c r="A11955" s="160">
        <v>90021</v>
      </c>
      <c r="B11955" t="s">
        <v>21195</v>
      </c>
      <c r="C11955" t="s">
        <v>12546</v>
      </c>
      <c r="D11955">
        <v>1.8</v>
      </c>
      <c r="E11955">
        <v>0</v>
      </c>
      <c r="F11955">
        <f t="shared" si="212"/>
        <v>1.8</v>
      </c>
      <c r="I11955">
        <v>20210701</v>
      </c>
      <c r="J11955" t="s">
        <v>12579</v>
      </c>
    </row>
    <row r="11956" spans="1:12" x14ac:dyDescent="0.3">
      <c r="A11956" s="160">
        <v>90022</v>
      </c>
      <c r="B11956" t="s">
        <v>26861</v>
      </c>
      <c r="C11956" t="s">
        <v>12546</v>
      </c>
      <c r="D11956">
        <v>1.8</v>
      </c>
      <c r="E11956">
        <v>0</v>
      </c>
      <c r="F11956">
        <f t="shared" si="212"/>
        <v>1.8</v>
      </c>
      <c r="I11956">
        <v>20210701</v>
      </c>
      <c r="J11956" t="s">
        <v>12581</v>
      </c>
    </row>
    <row r="11957" spans="1:12" x14ac:dyDescent="0.3">
      <c r="A11957" s="160">
        <v>90023</v>
      </c>
      <c r="B11957" t="s">
        <v>26862</v>
      </c>
      <c r="C11957" t="s">
        <v>12546</v>
      </c>
      <c r="D11957">
        <v>1.8</v>
      </c>
      <c r="E11957">
        <v>0</v>
      </c>
      <c r="F11957">
        <f t="shared" si="212"/>
        <v>1.8</v>
      </c>
      <c r="I11957">
        <v>20210701</v>
      </c>
      <c r="J11957" t="s">
        <v>12582</v>
      </c>
    </row>
    <row r="11958" spans="1:12" x14ac:dyDescent="0.3">
      <c r="A11958" s="160">
        <v>90024</v>
      </c>
      <c r="B11958" t="s">
        <v>26863</v>
      </c>
      <c r="C11958" t="s">
        <v>12546</v>
      </c>
      <c r="D11958">
        <v>1.8</v>
      </c>
      <c r="E11958">
        <v>0</v>
      </c>
      <c r="F11958">
        <f t="shared" si="212"/>
        <v>1.8</v>
      </c>
      <c r="I11958">
        <v>20210701</v>
      </c>
      <c r="J11958" t="s">
        <v>12577</v>
      </c>
    </row>
    <row r="11959" spans="1:12" x14ac:dyDescent="0.3">
      <c r="A11959" s="160">
        <v>90025</v>
      </c>
      <c r="B11959" t="s">
        <v>26864</v>
      </c>
      <c r="C11959" t="s">
        <v>12546</v>
      </c>
      <c r="D11959">
        <v>1.8</v>
      </c>
      <c r="E11959">
        <v>0</v>
      </c>
      <c r="F11959">
        <f t="shared" si="212"/>
        <v>1.8</v>
      </c>
      <c r="I11959">
        <v>20210701</v>
      </c>
      <c r="J11959" t="s">
        <v>12577</v>
      </c>
    </row>
    <row r="11960" spans="1:12" x14ac:dyDescent="0.3">
      <c r="A11960" s="160">
        <v>90026</v>
      </c>
      <c r="B11960" t="s">
        <v>26865</v>
      </c>
      <c r="C11960" t="s">
        <v>12546</v>
      </c>
      <c r="D11960">
        <v>1.8</v>
      </c>
      <c r="E11960">
        <v>0</v>
      </c>
      <c r="F11960">
        <f t="shared" si="212"/>
        <v>1.8</v>
      </c>
      <c r="I11960">
        <v>20210701</v>
      </c>
      <c r="J11960" t="s">
        <v>12583</v>
      </c>
    </row>
    <row r="11961" spans="1:12" x14ac:dyDescent="0.3">
      <c r="A11961" s="160">
        <v>90027</v>
      </c>
      <c r="B11961" t="s">
        <v>26866</v>
      </c>
      <c r="C11961" t="s">
        <v>12546</v>
      </c>
      <c r="D11961">
        <v>1.8</v>
      </c>
      <c r="E11961">
        <v>0</v>
      </c>
      <c r="F11961">
        <f t="shared" si="212"/>
        <v>1.8</v>
      </c>
      <c r="I11961">
        <v>20210701</v>
      </c>
      <c r="J11961" t="s">
        <v>12577</v>
      </c>
      <c r="K11961" t="s">
        <v>12575</v>
      </c>
    </row>
    <row r="11962" spans="1:12" x14ac:dyDescent="0.3">
      <c r="A11962" s="160">
        <v>90028</v>
      </c>
      <c r="B11962" t="s">
        <v>26867</v>
      </c>
      <c r="C11962" t="s">
        <v>12546</v>
      </c>
      <c r="D11962">
        <v>1.8</v>
      </c>
      <c r="E11962">
        <v>0</v>
      </c>
      <c r="F11962">
        <f t="shared" si="212"/>
        <v>1.8</v>
      </c>
      <c r="I11962">
        <v>20210701</v>
      </c>
      <c r="J11962" t="s">
        <v>12577</v>
      </c>
      <c r="K11962" t="s">
        <v>12575</v>
      </c>
    </row>
    <row r="11963" spans="1:12" x14ac:dyDescent="0.3">
      <c r="A11963" s="160">
        <v>90029</v>
      </c>
      <c r="B11963" t="s">
        <v>26868</v>
      </c>
      <c r="C11963" t="s">
        <v>12546</v>
      </c>
      <c r="D11963">
        <v>1.8</v>
      </c>
      <c r="E11963">
        <v>0</v>
      </c>
      <c r="F11963">
        <f t="shared" si="212"/>
        <v>1.8</v>
      </c>
      <c r="I11963">
        <v>20210701</v>
      </c>
      <c r="J11963" t="s">
        <v>12584</v>
      </c>
    </row>
    <row r="11964" spans="1:12" x14ac:dyDescent="0.3">
      <c r="A11964" s="160">
        <v>90030</v>
      </c>
      <c r="B11964" t="s">
        <v>22089</v>
      </c>
      <c r="C11964" t="s">
        <v>12546</v>
      </c>
      <c r="D11964">
        <v>1.8</v>
      </c>
      <c r="E11964">
        <v>0</v>
      </c>
      <c r="F11964">
        <f t="shared" si="212"/>
        <v>1.8</v>
      </c>
      <c r="I11964">
        <v>20210701</v>
      </c>
      <c r="J11964" t="s">
        <v>12577</v>
      </c>
    </row>
    <row r="11965" spans="1:12" x14ac:dyDescent="0.3">
      <c r="A11965" s="160">
        <v>90031</v>
      </c>
      <c r="B11965" t="s">
        <v>26869</v>
      </c>
      <c r="C11965" t="s">
        <v>12546</v>
      </c>
      <c r="D11965">
        <v>1.8</v>
      </c>
      <c r="E11965">
        <v>0</v>
      </c>
      <c r="F11965">
        <f t="shared" si="212"/>
        <v>1.8</v>
      </c>
      <c r="I11965">
        <v>20210701</v>
      </c>
      <c r="J11965" t="s">
        <v>12548</v>
      </c>
    </row>
    <row r="11966" spans="1:12" x14ac:dyDescent="0.3">
      <c r="A11966" s="160">
        <v>90032</v>
      </c>
      <c r="B11966" t="s">
        <v>26870</v>
      </c>
      <c r="C11966" t="s">
        <v>12546</v>
      </c>
      <c r="D11966">
        <v>1.8</v>
      </c>
      <c r="E11966">
        <v>0</v>
      </c>
      <c r="F11966">
        <f t="shared" si="212"/>
        <v>1.8</v>
      </c>
      <c r="I11966">
        <v>20210701</v>
      </c>
      <c r="J11966" t="s">
        <v>12558</v>
      </c>
      <c r="K11966" t="s">
        <v>12560</v>
      </c>
      <c r="L11966" t="s">
        <v>12547</v>
      </c>
    </row>
    <row r="11967" spans="1:12" x14ac:dyDescent="0.3">
      <c r="A11967" s="160">
        <v>90033</v>
      </c>
      <c r="B11967" t="s">
        <v>26871</v>
      </c>
      <c r="C11967" t="s">
        <v>12546</v>
      </c>
      <c r="D11967">
        <v>1.8</v>
      </c>
      <c r="E11967">
        <v>0</v>
      </c>
      <c r="F11967">
        <f t="shared" si="212"/>
        <v>1.8</v>
      </c>
      <c r="I11967">
        <v>20210701</v>
      </c>
      <c r="J11967" t="s">
        <v>12577</v>
      </c>
      <c r="K11967" t="s">
        <v>12575</v>
      </c>
    </row>
    <row r="11968" spans="1:12" x14ac:dyDescent="0.3">
      <c r="A11968" s="160">
        <v>90034</v>
      </c>
      <c r="B11968" t="s">
        <v>26872</v>
      </c>
      <c r="C11968" t="s">
        <v>12546</v>
      </c>
      <c r="D11968">
        <v>1.8</v>
      </c>
      <c r="E11968">
        <v>0</v>
      </c>
      <c r="F11968">
        <f t="shared" si="212"/>
        <v>1.8</v>
      </c>
      <c r="I11968">
        <v>20210701</v>
      </c>
      <c r="J11968" t="s">
        <v>12557</v>
      </c>
      <c r="K11968" t="s">
        <v>12576</v>
      </c>
    </row>
    <row r="11969" spans="1:12" x14ac:dyDescent="0.3">
      <c r="A11969" s="160">
        <v>90035</v>
      </c>
      <c r="B11969" t="s">
        <v>26873</v>
      </c>
      <c r="C11969" t="s">
        <v>12546</v>
      </c>
      <c r="D11969">
        <v>1.8</v>
      </c>
      <c r="E11969">
        <v>0</v>
      </c>
      <c r="F11969">
        <f t="shared" si="212"/>
        <v>1.8</v>
      </c>
      <c r="I11969">
        <v>20210701</v>
      </c>
      <c r="J11969" t="s">
        <v>12547</v>
      </c>
    </row>
    <row r="11970" spans="1:12" x14ac:dyDescent="0.3">
      <c r="A11970" s="160">
        <v>90036</v>
      </c>
      <c r="B11970" t="s">
        <v>26874</v>
      </c>
      <c r="C11970" t="s">
        <v>12546</v>
      </c>
      <c r="D11970">
        <v>1.8</v>
      </c>
      <c r="E11970">
        <v>0</v>
      </c>
      <c r="F11970">
        <f t="shared" si="212"/>
        <v>1.8</v>
      </c>
      <c r="I11970">
        <v>20210701</v>
      </c>
      <c r="J11970" t="s">
        <v>12585</v>
      </c>
      <c r="K11970" t="s">
        <v>12548</v>
      </c>
    </row>
    <row r="11971" spans="1:12" x14ac:dyDescent="0.3">
      <c r="A11971" s="160">
        <v>90037</v>
      </c>
      <c r="B11971" t="s">
        <v>26875</v>
      </c>
      <c r="C11971" t="s">
        <v>12546</v>
      </c>
      <c r="D11971">
        <v>1.8</v>
      </c>
      <c r="E11971">
        <v>0</v>
      </c>
      <c r="F11971">
        <f t="shared" si="212"/>
        <v>1.8</v>
      </c>
      <c r="I11971">
        <v>20210701</v>
      </c>
      <c r="J11971" t="s">
        <v>12584</v>
      </c>
    </row>
    <row r="11972" spans="1:12" x14ac:dyDescent="0.3">
      <c r="A11972" s="160">
        <v>90039</v>
      </c>
      <c r="B11972" t="s">
        <v>26876</v>
      </c>
      <c r="C11972" t="s">
        <v>12546</v>
      </c>
      <c r="D11972">
        <v>1.8</v>
      </c>
      <c r="E11972">
        <v>0</v>
      </c>
      <c r="F11972">
        <f t="shared" si="212"/>
        <v>1.8</v>
      </c>
      <c r="I11972">
        <v>20210701</v>
      </c>
      <c r="J11972" t="s">
        <v>12555</v>
      </c>
      <c r="K11972" t="s">
        <v>12559</v>
      </c>
      <c r="L11972" t="s">
        <v>12586</v>
      </c>
    </row>
    <row r="11973" spans="1:12" x14ac:dyDescent="0.3">
      <c r="A11973" s="160">
        <v>90041</v>
      </c>
      <c r="B11973" t="s">
        <v>26877</v>
      </c>
      <c r="C11973" t="s">
        <v>12546</v>
      </c>
      <c r="D11973">
        <v>1.8</v>
      </c>
      <c r="E11973">
        <v>0</v>
      </c>
      <c r="F11973">
        <f t="shared" si="212"/>
        <v>1.8</v>
      </c>
      <c r="I11973">
        <v>20210701</v>
      </c>
      <c r="J11973" t="s">
        <v>12549</v>
      </c>
    </row>
    <row r="11974" spans="1:12" x14ac:dyDescent="0.3">
      <c r="A11974" s="160">
        <v>90042</v>
      </c>
      <c r="B11974" t="s">
        <v>26878</v>
      </c>
      <c r="C11974" t="s">
        <v>12546</v>
      </c>
      <c r="D11974">
        <v>1.8</v>
      </c>
      <c r="E11974">
        <v>0</v>
      </c>
      <c r="F11974">
        <f t="shared" si="212"/>
        <v>1.8</v>
      </c>
      <c r="I11974">
        <v>20210701</v>
      </c>
      <c r="J11974" t="s">
        <v>12587</v>
      </c>
    </row>
    <row r="11975" spans="1:12" x14ac:dyDescent="0.3">
      <c r="A11975" s="160">
        <v>90043</v>
      </c>
      <c r="B11975" t="s">
        <v>26879</v>
      </c>
      <c r="C11975" t="s">
        <v>12546</v>
      </c>
      <c r="D11975">
        <v>1.8</v>
      </c>
      <c r="E11975">
        <v>0</v>
      </c>
      <c r="F11975">
        <f t="shared" ref="F11975:F12038" si="213">D11975+E11975</f>
        <v>1.8</v>
      </c>
      <c r="I11975">
        <v>20210701</v>
      </c>
      <c r="J11975" t="s">
        <v>12577</v>
      </c>
    </row>
    <row r="11976" spans="1:12" x14ac:dyDescent="0.3">
      <c r="A11976" s="160">
        <v>90044</v>
      </c>
      <c r="B11976" t="s">
        <v>26880</v>
      </c>
      <c r="C11976" t="s">
        <v>12546</v>
      </c>
      <c r="D11976">
        <v>1.8</v>
      </c>
      <c r="E11976">
        <v>0</v>
      </c>
      <c r="F11976">
        <f t="shared" si="213"/>
        <v>1.8</v>
      </c>
      <c r="I11976">
        <v>20210701</v>
      </c>
      <c r="J11976" t="s">
        <v>12578</v>
      </c>
    </row>
    <row r="11977" spans="1:12" x14ac:dyDescent="0.3">
      <c r="A11977" s="160">
        <v>90045</v>
      </c>
      <c r="B11977" t="s">
        <v>26881</v>
      </c>
      <c r="C11977" t="s">
        <v>12546</v>
      </c>
      <c r="D11977">
        <v>1.8</v>
      </c>
      <c r="E11977">
        <v>0</v>
      </c>
      <c r="F11977">
        <f t="shared" si="213"/>
        <v>1.8</v>
      </c>
      <c r="I11977">
        <v>20210701</v>
      </c>
      <c r="J11977" t="s">
        <v>12577</v>
      </c>
    </row>
    <row r="11978" spans="1:12" x14ac:dyDescent="0.3">
      <c r="A11978" s="160">
        <v>90046</v>
      </c>
      <c r="B11978" t="s">
        <v>26882</v>
      </c>
      <c r="C11978" t="s">
        <v>12546</v>
      </c>
      <c r="D11978">
        <v>1.8</v>
      </c>
      <c r="E11978">
        <v>0</v>
      </c>
      <c r="F11978">
        <f t="shared" si="213"/>
        <v>1.8</v>
      </c>
      <c r="I11978">
        <v>20210701</v>
      </c>
      <c r="J11978" t="s">
        <v>12577</v>
      </c>
    </row>
    <row r="11979" spans="1:12" x14ac:dyDescent="0.3">
      <c r="A11979" s="160">
        <v>90047</v>
      </c>
      <c r="B11979" t="s">
        <v>19467</v>
      </c>
      <c r="C11979" t="s">
        <v>12546</v>
      </c>
      <c r="D11979">
        <v>1.8</v>
      </c>
      <c r="E11979">
        <v>0</v>
      </c>
      <c r="F11979">
        <f t="shared" si="213"/>
        <v>1.8</v>
      </c>
      <c r="I11979">
        <v>20210701</v>
      </c>
      <c r="J11979" t="s">
        <v>12548</v>
      </c>
    </row>
    <row r="11980" spans="1:12" x14ac:dyDescent="0.3">
      <c r="A11980" s="160">
        <v>90048</v>
      </c>
      <c r="B11980" t="s">
        <v>26883</v>
      </c>
      <c r="C11980" t="s">
        <v>12546</v>
      </c>
      <c r="D11980">
        <v>1.8</v>
      </c>
      <c r="E11980">
        <v>0</v>
      </c>
      <c r="F11980">
        <f t="shared" si="213"/>
        <v>1.8</v>
      </c>
      <c r="I11980">
        <v>20210701</v>
      </c>
      <c r="J11980" t="s">
        <v>12583</v>
      </c>
    </row>
    <row r="11981" spans="1:12" x14ac:dyDescent="0.3">
      <c r="A11981" s="160">
        <v>90049</v>
      </c>
      <c r="B11981" t="s">
        <v>26884</v>
      </c>
      <c r="C11981" t="s">
        <v>12546</v>
      </c>
      <c r="D11981">
        <v>1.8</v>
      </c>
      <c r="E11981">
        <v>0</v>
      </c>
      <c r="F11981">
        <f t="shared" si="213"/>
        <v>1.8</v>
      </c>
      <c r="I11981">
        <v>20210701</v>
      </c>
      <c r="J11981" t="s">
        <v>12555</v>
      </c>
      <c r="K11981" t="s">
        <v>12551</v>
      </c>
      <c r="L11981" t="s">
        <v>12548</v>
      </c>
    </row>
    <row r="11982" spans="1:12" x14ac:dyDescent="0.3">
      <c r="A11982" s="160">
        <v>90050</v>
      </c>
      <c r="B11982" t="s">
        <v>26885</v>
      </c>
      <c r="C11982" t="s">
        <v>12546</v>
      </c>
      <c r="D11982">
        <v>1.8</v>
      </c>
      <c r="E11982">
        <v>0</v>
      </c>
      <c r="F11982">
        <f t="shared" si="213"/>
        <v>1.8</v>
      </c>
      <c r="I11982">
        <v>20210701</v>
      </c>
      <c r="J11982" t="s">
        <v>12548</v>
      </c>
    </row>
    <row r="11983" spans="1:12" x14ac:dyDescent="0.3">
      <c r="A11983" s="160">
        <v>90051</v>
      </c>
      <c r="B11983" t="s">
        <v>26886</v>
      </c>
      <c r="C11983" t="s">
        <v>12546</v>
      </c>
      <c r="D11983">
        <v>1.8</v>
      </c>
      <c r="E11983">
        <v>0</v>
      </c>
      <c r="F11983">
        <f t="shared" si="213"/>
        <v>1.8</v>
      </c>
      <c r="I11983">
        <v>20210701</v>
      </c>
      <c r="J11983" t="s">
        <v>12579</v>
      </c>
    </row>
    <row r="11984" spans="1:12" x14ac:dyDescent="0.3">
      <c r="A11984" s="160">
        <v>90052</v>
      </c>
      <c r="B11984" t="s">
        <v>26887</v>
      </c>
      <c r="C11984" t="s">
        <v>12546</v>
      </c>
      <c r="D11984">
        <v>1.8</v>
      </c>
      <c r="E11984">
        <v>0</v>
      </c>
      <c r="F11984">
        <f t="shared" si="213"/>
        <v>1.8</v>
      </c>
      <c r="I11984">
        <v>20210701</v>
      </c>
      <c r="J11984" t="s">
        <v>12552</v>
      </c>
    </row>
    <row r="11985" spans="1:13" x14ac:dyDescent="0.3">
      <c r="A11985" s="160">
        <v>90053</v>
      </c>
      <c r="B11985" t="s">
        <v>26888</v>
      </c>
      <c r="C11985" t="s">
        <v>12546</v>
      </c>
      <c r="D11985">
        <v>1.8</v>
      </c>
      <c r="E11985">
        <v>0</v>
      </c>
      <c r="F11985">
        <f t="shared" si="213"/>
        <v>1.8</v>
      </c>
      <c r="I11985">
        <v>20210701</v>
      </c>
      <c r="J11985" t="s">
        <v>12561</v>
      </c>
      <c r="K11985" t="s">
        <v>12585</v>
      </c>
      <c r="L11985" t="s">
        <v>12588</v>
      </c>
    </row>
    <row r="11986" spans="1:13" x14ac:dyDescent="0.3">
      <c r="A11986" s="160">
        <v>90054</v>
      </c>
      <c r="B11986" t="s">
        <v>26889</v>
      </c>
      <c r="C11986" t="s">
        <v>12546</v>
      </c>
      <c r="D11986">
        <v>1.8</v>
      </c>
      <c r="E11986">
        <v>0</v>
      </c>
      <c r="F11986">
        <f t="shared" si="213"/>
        <v>1.8</v>
      </c>
      <c r="I11986">
        <v>20210701</v>
      </c>
      <c r="J11986" t="s">
        <v>12552</v>
      </c>
    </row>
    <row r="11987" spans="1:13" x14ac:dyDescent="0.3">
      <c r="A11987" s="160">
        <v>90055</v>
      </c>
      <c r="B11987" t="s">
        <v>26890</v>
      </c>
      <c r="C11987" t="s">
        <v>12546</v>
      </c>
      <c r="D11987">
        <v>1.8</v>
      </c>
      <c r="E11987">
        <v>0</v>
      </c>
      <c r="F11987">
        <f t="shared" si="213"/>
        <v>1.8</v>
      </c>
      <c r="I11987">
        <v>20210701</v>
      </c>
      <c r="J11987" t="s">
        <v>12577</v>
      </c>
    </row>
    <row r="11988" spans="1:13" x14ac:dyDescent="0.3">
      <c r="A11988" s="160">
        <v>90056</v>
      </c>
      <c r="B11988" t="s">
        <v>26891</v>
      </c>
      <c r="C11988" t="s">
        <v>12546</v>
      </c>
      <c r="D11988">
        <v>1.8</v>
      </c>
      <c r="E11988">
        <v>0</v>
      </c>
      <c r="F11988">
        <f t="shared" si="213"/>
        <v>1.8</v>
      </c>
      <c r="I11988">
        <v>20210701</v>
      </c>
      <c r="J11988" t="s">
        <v>12577</v>
      </c>
    </row>
    <row r="11989" spans="1:13" x14ac:dyDescent="0.3">
      <c r="A11989" s="160">
        <v>90057</v>
      </c>
      <c r="B11989" t="s">
        <v>26892</v>
      </c>
      <c r="C11989" t="s">
        <v>12546</v>
      </c>
      <c r="D11989">
        <v>1.8</v>
      </c>
      <c r="E11989">
        <v>0</v>
      </c>
      <c r="F11989">
        <f t="shared" si="213"/>
        <v>1.8</v>
      </c>
      <c r="I11989">
        <v>20210701</v>
      </c>
      <c r="J11989" t="s">
        <v>12584</v>
      </c>
    </row>
    <row r="11990" spans="1:13" x14ac:dyDescent="0.3">
      <c r="A11990" s="160">
        <v>90058</v>
      </c>
      <c r="B11990" t="s">
        <v>26893</v>
      </c>
      <c r="C11990" t="s">
        <v>12546</v>
      </c>
      <c r="D11990">
        <v>1.8</v>
      </c>
      <c r="E11990">
        <v>0</v>
      </c>
      <c r="F11990">
        <f t="shared" si="213"/>
        <v>1.8</v>
      </c>
      <c r="I11990">
        <v>20210701</v>
      </c>
      <c r="J11990" t="s">
        <v>12589</v>
      </c>
    </row>
    <row r="11991" spans="1:13" x14ac:dyDescent="0.3">
      <c r="A11991" s="160">
        <v>90059</v>
      </c>
      <c r="B11991" t="s">
        <v>26894</v>
      </c>
      <c r="C11991" t="s">
        <v>12546</v>
      </c>
      <c r="D11991">
        <v>1.8</v>
      </c>
      <c r="E11991">
        <v>0</v>
      </c>
      <c r="F11991">
        <f t="shared" si="213"/>
        <v>1.8</v>
      </c>
      <c r="I11991">
        <v>20210701</v>
      </c>
      <c r="J11991" t="s">
        <v>12548</v>
      </c>
    </row>
    <row r="11992" spans="1:13" x14ac:dyDescent="0.3">
      <c r="A11992" s="160">
        <v>90060</v>
      </c>
      <c r="B11992" t="s">
        <v>26895</v>
      </c>
      <c r="C11992" t="s">
        <v>12546</v>
      </c>
      <c r="D11992">
        <v>1.8</v>
      </c>
      <c r="E11992">
        <v>0</v>
      </c>
      <c r="F11992">
        <f t="shared" si="213"/>
        <v>1.8</v>
      </c>
      <c r="I11992">
        <v>20210701</v>
      </c>
      <c r="J11992" t="s">
        <v>12548</v>
      </c>
    </row>
    <row r="11993" spans="1:13" x14ac:dyDescent="0.3">
      <c r="A11993" s="160">
        <v>90061</v>
      </c>
      <c r="B11993" t="s">
        <v>26896</v>
      </c>
      <c r="C11993" t="s">
        <v>12546</v>
      </c>
      <c r="D11993">
        <v>1.8</v>
      </c>
      <c r="E11993">
        <v>0</v>
      </c>
      <c r="F11993">
        <f t="shared" si="213"/>
        <v>1.8</v>
      </c>
      <c r="I11993">
        <v>20210701</v>
      </c>
      <c r="J11993" t="s">
        <v>12549</v>
      </c>
    </row>
    <row r="11994" spans="1:13" x14ac:dyDescent="0.3">
      <c r="A11994" s="160">
        <v>90062</v>
      </c>
      <c r="B11994" t="s">
        <v>26897</v>
      </c>
      <c r="C11994" t="s">
        <v>12546</v>
      </c>
      <c r="D11994">
        <v>1.8</v>
      </c>
      <c r="E11994">
        <v>0</v>
      </c>
      <c r="F11994">
        <f t="shared" si="213"/>
        <v>1.8</v>
      </c>
      <c r="I11994">
        <v>20210701</v>
      </c>
      <c r="J11994" t="s">
        <v>12548</v>
      </c>
    </row>
    <row r="11995" spans="1:13" x14ac:dyDescent="0.3">
      <c r="A11995" s="160">
        <v>90063</v>
      </c>
      <c r="B11995" t="s">
        <v>26898</v>
      </c>
      <c r="C11995" t="s">
        <v>12546</v>
      </c>
      <c r="D11995">
        <v>1.8</v>
      </c>
      <c r="E11995">
        <v>0</v>
      </c>
      <c r="F11995">
        <f t="shared" si="213"/>
        <v>1.8</v>
      </c>
      <c r="I11995">
        <v>20210701</v>
      </c>
      <c r="J11995" t="s">
        <v>12577</v>
      </c>
    </row>
    <row r="11996" spans="1:13" x14ac:dyDescent="0.3">
      <c r="A11996" s="160">
        <v>90064</v>
      </c>
      <c r="B11996" t="s">
        <v>26899</v>
      </c>
      <c r="C11996" t="s">
        <v>12546</v>
      </c>
      <c r="D11996">
        <v>1.8</v>
      </c>
      <c r="E11996">
        <v>0</v>
      </c>
      <c r="F11996">
        <f t="shared" si="213"/>
        <v>1.8</v>
      </c>
      <c r="I11996">
        <v>20210701</v>
      </c>
      <c r="J11996" t="s">
        <v>12577</v>
      </c>
    </row>
    <row r="11997" spans="1:13" x14ac:dyDescent="0.3">
      <c r="A11997" s="160">
        <v>90065</v>
      </c>
      <c r="B11997" t="s">
        <v>26900</v>
      </c>
      <c r="C11997" t="s">
        <v>12546</v>
      </c>
      <c r="D11997">
        <v>1.8</v>
      </c>
      <c r="E11997">
        <v>0</v>
      </c>
      <c r="F11997">
        <f t="shared" si="213"/>
        <v>1.8</v>
      </c>
      <c r="I11997">
        <v>20210701</v>
      </c>
      <c r="J11997" t="s">
        <v>12552</v>
      </c>
    </row>
    <row r="11998" spans="1:13" x14ac:dyDescent="0.3">
      <c r="A11998" s="160">
        <v>90066</v>
      </c>
      <c r="B11998" t="s">
        <v>22215</v>
      </c>
      <c r="C11998" t="s">
        <v>12546</v>
      </c>
      <c r="D11998">
        <v>1.8</v>
      </c>
      <c r="E11998">
        <v>0</v>
      </c>
      <c r="F11998">
        <f t="shared" si="213"/>
        <v>1.8</v>
      </c>
      <c r="I11998">
        <v>20210701</v>
      </c>
      <c r="J11998" t="s">
        <v>12578</v>
      </c>
    </row>
    <row r="11999" spans="1:13" x14ac:dyDescent="0.3">
      <c r="A11999" s="160">
        <v>90067</v>
      </c>
      <c r="B11999" t="s">
        <v>26901</v>
      </c>
      <c r="C11999" t="s">
        <v>12546</v>
      </c>
      <c r="D11999">
        <v>1.8</v>
      </c>
      <c r="E11999">
        <v>0</v>
      </c>
      <c r="F11999">
        <f t="shared" si="213"/>
        <v>1.8</v>
      </c>
      <c r="I11999">
        <v>20210701</v>
      </c>
      <c r="J11999" t="s">
        <v>12548</v>
      </c>
    </row>
    <row r="12000" spans="1:13" x14ac:dyDescent="0.3">
      <c r="A12000" s="160">
        <v>90068</v>
      </c>
      <c r="B12000" t="s">
        <v>26902</v>
      </c>
      <c r="C12000" t="s">
        <v>12546</v>
      </c>
      <c r="D12000">
        <v>1.8</v>
      </c>
      <c r="E12000">
        <v>0</v>
      </c>
      <c r="F12000">
        <f t="shared" si="213"/>
        <v>1.8</v>
      </c>
      <c r="I12000">
        <v>20210701</v>
      </c>
      <c r="J12000" t="s">
        <v>12557</v>
      </c>
      <c r="K12000" t="s">
        <v>12564</v>
      </c>
      <c r="L12000" t="s">
        <v>12585</v>
      </c>
      <c r="M12000" t="s">
        <v>12547</v>
      </c>
    </row>
    <row r="12001" spans="1:11" x14ac:dyDescent="0.3">
      <c r="A12001" s="160">
        <v>90069</v>
      </c>
      <c r="B12001" t="s">
        <v>26903</v>
      </c>
      <c r="C12001" t="s">
        <v>12546</v>
      </c>
      <c r="D12001">
        <v>1.8</v>
      </c>
      <c r="E12001">
        <v>0</v>
      </c>
      <c r="F12001">
        <f t="shared" si="213"/>
        <v>1.8</v>
      </c>
      <c r="I12001">
        <v>20210701</v>
      </c>
      <c r="J12001" t="s">
        <v>12590</v>
      </c>
    </row>
    <row r="12002" spans="1:11" x14ac:dyDescent="0.3">
      <c r="A12002" s="160">
        <v>90070</v>
      </c>
      <c r="B12002" t="s">
        <v>26904</v>
      </c>
      <c r="C12002" t="s">
        <v>12546</v>
      </c>
      <c r="D12002">
        <v>1.8</v>
      </c>
      <c r="E12002">
        <v>0</v>
      </c>
      <c r="F12002">
        <f t="shared" si="213"/>
        <v>1.8</v>
      </c>
      <c r="I12002">
        <v>20210701</v>
      </c>
      <c r="J12002" t="s">
        <v>12553</v>
      </c>
    </row>
    <row r="12003" spans="1:11" x14ac:dyDescent="0.3">
      <c r="A12003" s="160">
        <v>90071</v>
      </c>
      <c r="B12003" t="s">
        <v>26905</v>
      </c>
      <c r="C12003" t="s">
        <v>12546</v>
      </c>
      <c r="D12003">
        <v>1.8</v>
      </c>
      <c r="E12003">
        <v>0</v>
      </c>
      <c r="F12003">
        <f t="shared" si="213"/>
        <v>1.8</v>
      </c>
      <c r="I12003">
        <v>20210701</v>
      </c>
      <c r="J12003" t="s">
        <v>12580</v>
      </c>
    </row>
    <row r="12004" spans="1:11" x14ac:dyDescent="0.3">
      <c r="A12004" s="160">
        <v>90072</v>
      </c>
      <c r="B12004" t="s">
        <v>26906</v>
      </c>
      <c r="C12004" t="s">
        <v>12546</v>
      </c>
      <c r="D12004">
        <v>1.8</v>
      </c>
      <c r="E12004">
        <v>0</v>
      </c>
      <c r="F12004">
        <f t="shared" si="213"/>
        <v>1.8</v>
      </c>
      <c r="I12004">
        <v>20210701</v>
      </c>
      <c r="J12004" t="s">
        <v>12590</v>
      </c>
    </row>
    <row r="12005" spans="1:11" x14ac:dyDescent="0.3">
      <c r="A12005" s="160">
        <v>90073</v>
      </c>
      <c r="B12005" t="s">
        <v>26906</v>
      </c>
      <c r="C12005" t="s">
        <v>12546</v>
      </c>
      <c r="D12005">
        <v>1.8</v>
      </c>
      <c r="E12005">
        <v>0</v>
      </c>
      <c r="F12005">
        <f t="shared" si="213"/>
        <v>1.8</v>
      </c>
      <c r="I12005">
        <v>20210701</v>
      </c>
      <c r="J12005" t="s">
        <v>12547</v>
      </c>
    </row>
    <row r="12006" spans="1:11" x14ac:dyDescent="0.3">
      <c r="A12006" s="160">
        <v>90074</v>
      </c>
      <c r="B12006" t="s">
        <v>26907</v>
      </c>
      <c r="C12006" t="s">
        <v>12546</v>
      </c>
      <c r="D12006">
        <v>1.8</v>
      </c>
      <c r="E12006">
        <v>0</v>
      </c>
      <c r="F12006">
        <f t="shared" si="213"/>
        <v>1.8</v>
      </c>
      <c r="I12006">
        <v>20210701</v>
      </c>
      <c r="J12006" t="s">
        <v>12583</v>
      </c>
    </row>
    <row r="12007" spans="1:11" x14ac:dyDescent="0.3">
      <c r="A12007" s="160">
        <v>90075</v>
      </c>
      <c r="B12007" t="s">
        <v>26908</v>
      </c>
      <c r="C12007" t="s">
        <v>12546</v>
      </c>
      <c r="D12007">
        <v>1.8</v>
      </c>
      <c r="E12007">
        <v>0</v>
      </c>
      <c r="F12007">
        <f t="shared" si="213"/>
        <v>1.8</v>
      </c>
      <c r="I12007">
        <v>20210701</v>
      </c>
      <c r="J12007" t="s">
        <v>12551</v>
      </c>
      <c r="K12007" t="s">
        <v>12584</v>
      </c>
    </row>
    <row r="12008" spans="1:11" x14ac:dyDescent="0.3">
      <c r="A12008" s="160">
        <v>90076</v>
      </c>
      <c r="B12008" t="s">
        <v>26909</v>
      </c>
      <c r="C12008" t="s">
        <v>12546</v>
      </c>
      <c r="D12008">
        <v>1.8</v>
      </c>
      <c r="E12008">
        <v>0</v>
      </c>
      <c r="F12008">
        <f t="shared" si="213"/>
        <v>1.8</v>
      </c>
      <c r="I12008">
        <v>20210701</v>
      </c>
      <c r="J12008" t="s">
        <v>12576</v>
      </c>
    </row>
    <row r="12009" spans="1:11" x14ac:dyDescent="0.3">
      <c r="A12009" s="160">
        <v>90077</v>
      </c>
      <c r="B12009" t="s">
        <v>26910</v>
      </c>
      <c r="C12009" t="s">
        <v>12546</v>
      </c>
      <c r="D12009">
        <v>1.8</v>
      </c>
      <c r="E12009">
        <v>0</v>
      </c>
      <c r="F12009">
        <f t="shared" si="213"/>
        <v>1.8</v>
      </c>
      <c r="I12009">
        <v>20210701</v>
      </c>
      <c r="J12009" t="s">
        <v>12580</v>
      </c>
    </row>
    <row r="12010" spans="1:11" x14ac:dyDescent="0.3">
      <c r="A12010" s="160">
        <v>90078</v>
      </c>
      <c r="B12010" t="s">
        <v>26911</v>
      </c>
      <c r="C12010" t="s">
        <v>12546</v>
      </c>
      <c r="D12010">
        <v>1.8</v>
      </c>
      <c r="E12010">
        <v>0</v>
      </c>
      <c r="F12010">
        <f t="shared" si="213"/>
        <v>1.8</v>
      </c>
      <c r="I12010">
        <v>20210701</v>
      </c>
      <c r="J12010" t="s">
        <v>12589</v>
      </c>
    </row>
    <row r="12011" spans="1:11" x14ac:dyDescent="0.3">
      <c r="A12011" s="160">
        <v>90079</v>
      </c>
      <c r="B12011" t="s">
        <v>26912</v>
      </c>
      <c r="C12011" t="s">
        <v>12546</v>
      </c>
      <c r="D12011">
        <v>1.8</v>
      </c>
      <c r="E12011">
        <v>0</v>
      </c>
      <c r="F12011">
        <f t="shared" si="213"/>
        <v>1.8</v>
      </c>
      <c r="I12011">
        <v>20210701</v>
      </c>
      <c r="J12011" t="s">
        <v>12549</v>
      </c>
    </row>
    <row r="12012" spans="1:11" x14ac:dyDescent="0.3">
      <c r="A12012" s="160">
        <v>90080</v>
      </c>
      <c r="B12012" t="s">
        <v>26913</v>
      </c>
      <c r="C12012" t="s">
        <v>12546</v>
      </c>
      <c r="D12012">
        <v>1.8</v>
      </c>
      <c r="E12012">
        <v>0</v>
      </c>
      <c r="F12012">
        <f t="shared" si="213"/>
        <v>1.8</v>
      </c>
      <c r="I12012">
        <v>20210701</v>
      </c>
      <c r="J12012" t="s">
        <v>12548</v>
      </c>
    </row>
    <row r="12013" spans="1:11" x14ac:dyDescent="0.3">
      <c r="A12013" s="160">
        <v>90081</v>
      </c>
      <c r="B12013" t="s">
        <v>26914</v>
      </c>
      <c r="C12013" t="s">
        <v>12546</v>
      </c>
      <c r="D12013">
        <v>1.8</v>
      </c>
      <c r="E12013">
        <v>0</v>
      </c>
      <c r="F12013">
        <f t="shared" si="213"/>
        <v>1.8</v>
      </c>
      <c r="I12013">
        <v>20210701</v>
      </c>
      <c r="J12013" t="s">
        <v>12575</v>
      </c>
      <c r="K12013" t="s">
        <v>12591</v>
      </c>
    </row>
    <row r="12014" spans="1:11" x14ac:dyDescent="0.3">
      <c r="A12014" s="160">
        <v>90082</v>
      </c>
      <c r="B12014" t="s">
        <v>26915</v>
      </c>
      <c r="C12014" t="s">
        <v>12546</v>
      </c>
      <c r="D12014">
        <v>1.8</v>
      </c>
      <c r="E12014">
        <v>0</v>
      </c>
      <c r="F12014">
        <f t="shared" si="213"/>
        <v>1.8</v>
      </c>
      <c r="I12014">
        <v>20210701</v>
      </c>
      <c r="J12014" t="s">
        <v>12579</v>
      </c>
    </row>
    <row r="12015" spans="1:11" x14ac:dyDescent="0.3">
      <c r="A12015" s="160">
        <v>90083</v>
      </c>
      <c r="B12015" t="s">
        <v>26916</v>
      </c>
      <c r="C12015" t="s">
        <v>12546</v>
      </c>
      <c r="D12015">
        <v>1.8</v>
      </c>
      <c r="E12015">
        <v>0</v>
      </c>
      <c r="F12015">
        <f t="shared" si="213"/>
        <v>1.8</v>
      </c>
      <c r="I12015">
        <v>20210701</v>
      </c>
      <c r="J12015" t="s">
        <v>12579</v>
      </c>
    </row>
    <row r="12016" spans="1:11" x14ac:dyDescent="0.3">
      <c r="A12016" s="160">
        <v>90084</v>
      </c>
      <c r="B12016" t="s">
        <v>26917</v>
      </c>
      <c r="C12016" t="s">
        <v>12546</v>
      </c>
      <c r="D12016">
        <v>1.8</v>
      </c>
      <c r="E12016">
        <v>0</v>
      </c>
      <c r="F12016">
        <f t="shared" si="213"/>
        <v>1.8</v>
      </c>
      <c r="I12016">
        <v>20210701</v>
      </c>
      <c r="J12016" t="s">
        <v>12548</v>
      </c>
    </row>
    <row r="12017" spans="1:12" x14ac:dyDescent="0.3">
      <c r="A12017" s="160">
        <v>90085</v>
      </c>
      <c r="B12017" t="s">
        <v>26918</v>
      </c>
      <c r="C12017" t="s">
        <v>12546</v>
      </c>
      <c r="D12017">
        <v>1.8</v>
      </c>
      <c r="E12017">
        <v>0</v>
      </c>
      <c r="F12017">
        <f t="shared" si="213"/>
        <v>1.8</v>
      </c>
      <c r="I12017">
        <v>20210701</v>
      </c>
      <c r="J12017" t="s">
        <v>12552</v>
      </c>
    </row>
    <row r="12018" spans="1:12" x14ac:dyDescent="0.3">
      <c r="A12018" s="160">
        <v>90086</v>
      </c>
      <c r="B12018" t="s">
        <v>26919</v>
      </c>
      <c r="C12018" t="s">
        <v>12546</v>
      </c>
      <c r="D12018">
        <v>1.8</v>
      </c>
      <c r="E12018">
        <v>0</v>
      </c>
      <c r="F12018">
        <f t="shared" si="213"/>
        <v>1.8</v>
      </c>
      <c r="I12018">
        <v>20210701</v>
      </c>
      <c r="J12018" t="s">
        <v>12578</v>
      </c>
    </row>
    <row r="12019" spans="1:12" x14ac:dyDescent="0.3">
      <c r="A12019" s="160">
        <v>90087</v>
      </c>
      <c r="B12019" t="s">
        <v>26920</v>
      </c>
      <c r="C12019" t="s">
        <v>12546</v>
      </c>
      <c r="D12019">
        <v>1.8</v>
      </c>
      <c r="E12019">
        <v>0</v>
      </c>
      <c r="F12019">
        <f t="shared" si="213"/>
        <v>1.8</v>
      </c>
      <c r="I12019">
        <v>20210701</v>
      </c>
      <c r="J12019" t="s">
        <v>12592</v>
      </c>
    </row>
    <row r="12020" spans="1:12" x14ac:dyDescent="0.3">
      <c r="A12020" s="160">
        <v>90088</v>
      </c>
      <c r="B12020" t="s">
        <v>26921</v>
      </c>
      <c r="C12020" t="s">
        <v>12546</v>
      </c>
      <c r="D12020">
        <v>1.8</v>
      </c>
      <c r="E12020">
        <v>0</v>
      </c>
      <c r="F12020">
        <f t="shared" si="213"/>
        <v>1.8</v>
      </c>
      <c r="I12020">
        <v>20210701</v>
      </c>
      <c r="J12020" t="s">
        <v>12552</v>
      </c>
    </row>
    <row r="12021" spans="1:12" x14ac:dyDescent="0.3">
      <c r="A12021" s="160">
        <v>90089</v>
      </c>
      <c r="B12021" t="s">
        <v>26922</v>
      </c>
      <c r="C12021" t="s">
        <v>12546</v>
      </c>
      <c r="D12021">
        <v>1.8</v>
      </c>
      <c r="E12021">
        <v>0</v>
      </c>
      <c r="F12021">
        <f t="shared" si="213"/>
        <v>1.8</v>
      </c>
      <c r="I12021">
        <v>20210701</v>
      </c>
      <c r="J12021" t="s">
        <v>12578</v>
      </c>
    </row>
    <row r="12022" spans="1:12" x14ac:dyDescent="0.3">
      <c r="A12022" s="160">
        <v>90090</v>
      </c>
      <c r="B12022" t="s">
        <v>26923</v>
      </c>
      <c r="C12022" t="s">
        <v>12546</v>
      </c>
      <c r="D12022">
        <v>1.8</v>
      </c>
      <c r="E12022">
        <v>0</v>
      </c>
      <c r="F12022">
        <f t="shared" si="213"/>
        <v>1.8</v>
      </c>
      <c r="I12022">
        <v>20210701</v>
      </c>
      <c r="J12022" t="s">
        <v>12577</v>
      </c>
    </row>
    <row r="12023" spans="1:12" x14ac:dyDescent="0.3">
      <c r="A12023" s="160">
        <v>90091</v>
      </c>
      <c r="B12023" t="s">
        <v>26924</v>
      </c>
      <c r="C12023" t="s">
        <v>12546</v>
      </c>
      <c r="D12023">
        <v>1.8</v>
      </c>
      <c r="E12023">
        <v>0</v>
      </c>
      <c r="F12023">
        <f t="shared" si="213"/>
        <v>1.8</v>
      </c>
      <c r="I12023">
        <v>20210701</v>
      </c>
      <c r="J12023" t="s">
        <v>12578</v>
      </c>
    </row>
    <row r="12024" spans="1:12" x14ac:dyDescent="0.3">
      <c r="A12024" s="160">
        <v>90093</v>
      </c>
      <c r="B12024" t="s">
        <v>26925</v>
      </c>
      <c r="C12024" t="s">
        <v>12546</v>
      </c>
      <c r="D12024">
        <v>1.8</v>
      </c>
      <c r="E12024">
        <v>0</v>
      </c>
      <c r="F12024">
        <f t="shared" si="213"/>
        <v>1.8</v>
      </c>
      <c r="I12024">
        <v>20210701</v>
      </c>
      <c r="J12024" t="s">
        <v>12584</v>
      </c>
    </row>
    <row r="12025" spans="1:12" x14ac:dyDescent="0.3">
      <c r="A12025" s="160">
        <v>90094</v>
      </c>
      <c r="B12025" t="s">
        <v>26926</v>
      </c>
      <c r="C12025" t="s">
        <v>12546</v>
      </c>
      <c r="D12025">
        <v>1.8</v>
      </c>
      <c r="E12025">
        <v>0</v>
      </c>
      <c r="F12025">
        <f t="shared" si="213"/>
        <v>1.8</v>
      </c>
      <c r="I12025">
        <v>20210701</v>
      </c>
      <c r="J12025" t="s">
        <v>12585</v>
      </c>
      <c r="K12025" t="s">
        <v>12547</v>
      </c>
    </row>
    <row r="12026" spans="1:12" x14ac:dyDescent="0.3">
      <c r="A12026" s="160">
        <v>90095</v>
      </c>
      <c r="B12026" t="s">
        <v>26927</v>
      </c>
      <c r="C12026" t="s">
        <v>12546</v>
      </c>
      <c r="D12026">
        <v>1.8</v>
      </c>
      <c r="E12026">
        <v>0</v>
      </c>
      <c r="F12026">
        <f t="shared" si="213"/>
        <v>1.8</v>
      </c>
      <c r="I12026">
        <v>20210701</v>
      </c>
      <c r="J12026" t="s">
        <v>12577</v>
      </c>
    </row>
    <row r="12027" spans="1:12" x14ac:dyDescent="0.3">
      <c r="A12027" s="160">
        <v>90096</v>
      </c>
      <c r="B12027" t="s">
        <v>26928</v>
      </c>
      <c r="C12027" t="s">
        <v>12546</v>
      </c>
      <c r="D12027">
        <v>1.8</v>
      </c>
      <c r="E12027">
        <v>0</v>
      </c>
      <c r="F12027">
        <f t="shared" si="213"/>
        <v>1.8</v>
      </c>
      <c r="I12027">
        <v>20210701</v>
      </c>
      <c r="J12027" t="s">
        <v>12577</v>
      </c>
    </row>
    <row r="12028" spans="1:12" x14ac:dyDescent="0.3">
      <c r="A12028" s="160">
        <v>90097</v>
      </c>
      <c r="B12028" t="s">
        <v>26929</v>
      </c>
      <c r="C12028" t="s">
        <v>12546</v>
      </c>
      <c r="D12028">
        <v>1.8</v>
      </c>
      <c r="E12028">
        <v>0</v>
      </c>
      <c r="F12028">
        <f t="shared" si="213"/>
        <v>1.8</v>
      </c>
      <c r="I12028">
        <v>20210701</v>
      </c>
      <c r="J12028" t="s">
        <v>12593</v>
      </c>
      <c r="K12028" t="s">
        <v>12547</v>
      </c>
    </row>
    <row r="12029" spans="1:12" x14ac:dyDescent="0.3">
      <c r="A12029" s="160">
        <v>90098</v>
      </c>
      <c r="B12029" t="s">
        <v>26930</v>
      </c>
      <c r="C12029" t="s">
        <v>12546</v>
      </c>
      <c r="D12029">
        <v>1.8</v>
      </c>
      <c r="E12029">
        <v>0</v>
      </c>
      <c r="F12029">
        <f t="shared" si="213"/>
        <v>1.8</v>
      </c>
      <c r="I12029">
        <v>20210701</v>
      </c>
      <c r="J12029" t="s">
        <v>12550</v>
      </c>
    </row>
    <row r="12030" spans="1:12" x14ac:dyDescent="0.3">
      <c r="A12030" s="160">
        <v>90099</v>
      </c>
      <c r="B12030" t="s">
        <v>26931</v>
      </c>
      <c r="C12030" t="s">
        <v>12546</v>
      </c>
      <c r="D12030">
        <v>1.8</v>
      </c>
      <c r="E12030">
        <v>0</v>
      </c>
      <c r="F12030">
        <f t="shared" si="213"/>
        <v>1.8</v>
      </c>
      <c r="I12030">
        <v>20210701</v>
      </c>
      <c r="J12030" t="s">
        <v>12551</v>
      </c>
      <c r="K12030" t="s">
        <v>12560</v>
      </c>
      <c r="L12030" t="s">
        <v>12584</v>
      </c>
    </row>
    <row r="12031" spans="1:12" x14ac:dyDescent="0.3">
      <c r="A12031" s="160">
        <v>90100</v>
      </c>
      <c r="B12031" t="s">
        <v>26932</v>
      </c>
      <c r="C12031" t="s">
        <v>12546</v>
      </c>
      <c r="D12031">
        <v>1.8</v>
      </c>
      <c r="E12031">
        <v>0</v>
      </c>
      <c r="F12031">
        <f t="shared" si="213"/>
        <v>1.8</v>
      </c>
      <c r="I12031">
        <v>20210701</v>
      </c>
      <c r="J12031" t="s">
        <v>12548</v>
      </c>
    </row>
    <row r="12032" spans="1:12" x14ac:dyDescent="0.3">
      <c r="A12032" s="160">
        <v>90101</v>
      </c>
      <c r="B12032" t="s">
        <v>26933</v>
      </c>
      <c r="C12032" t="s">
        <v>12546</v>
      </c>
      <c r="D12032">
        <v>1.8</v>
      </c>
      <c r="E12032">
        <v>0</v>
      </c>
      <c r="F12032">
        <f t="shared" si="213"/>
        <v>1.8</v>
      </c>
      <c r="I12032">
        <v>20210701</v>
      </c>
      <c r="J12032" t="s">
        <v>12577</v>
      </c>
    </row>
    <row r="12033" spans="1:16" x14ac:dyDescent="0.3">
      <c r="A12033" s="160">
        <v>90102</v>
      </c>
      <c r="B12033" t="s">
        <v>26934</v>
      </c>
      <c r="C12033" t="s">
        <v>12546</v>
      </c>
      <c r="D12033">
        <v>1.8</v>
      </c>
      <c r="E12033">
        <v>0</v>
      </c>
      <c r="F12033">
        <f t="shared" si="213"/>
        <v>1.8</v>
      </c>
      <c r="I12033">
        <v>20210701</v>
      </c>
      <c r="J12033" t="s">
        <v>12552</v>
      </c>
    </row>
    <row r="12034" spans="1:16" x14ac:dyDescent="0.3">
      <c r="A12034" s="160">
        <v>90103</v>
      </c>
      <c r="B12034" t="s">
        <v>26935</v>
      </c>
      <c r="C12034" t="s">
        <v>12546</v>
      </c>
      <c r="D12034">
        <v>1.8</v>
      </c>
      <c r="E12034">
        <v>0</v>
      </c>
      <c r="F12034">
        <f t="shared" si="213"/>
        <v>1.8</v>
      </c>
      <c r="I12034">
        <v>20210701</v>
      </c>
      <c r="J12034" t="s">
        <v>12558</v>
      </c>
      <c r="K12034" t="s">
        <v>12584</v>
      </c>
    </row>
    <row r="12035" spans="1:16" x14ac:dyDescent="0.3">
      <c r="A12035" s="160">
        <v>90104</v>
      </c>
      <c r="B12035" t="s">
        <v>26936</v>
      </c>
      <c r="C12035" t="s">
        <v>12546</v>
      </c>
      <c r="D12035">
        <v>1.8</v>
      </c>
      <c r="E12035">
        <v>0</v>
      </c>
      <c r="F12035">
        <f t="shared" si="213"/>
        <v>1.8</v>
      </c>
      <c r="I12035">
        <v>20210701</v>
      </c>
      <c r="J12035" t="s">
        <v>12547</v>
      </c>
    </row>
    <row r="12036" spans="1:16" x14ac:dyDescent="0.3">
      <c r="A12036" s="160">
        <v>90105</v>
      </c>
      <c r="B12036" t="s">
        <v>26937</v>
      </c>
      <c r="C12036" t="s">
        <v>12546</v>
      </c>
      <c r="D12036">
        <v>1.8</v>
      </c>
      <c r="E12036">
        <v>0</v>
      </c>
      <c r="F12036">
        <f t="shared" si="213"/>
        <v>1.8</v>
      </c>
      <c r="I12036">
        <v>20210701</v>
      </c>
      <c r="J12036" t="s">
        <v>12577</v>
      </c>
      <c r="K12036" t="s">
        <v>12575</v>
      </c>
    </row>
    <row r="12037" spans="1:16" x14ac:dyDescent="0.3">
      <c r="A12037" s="160">
        <v>91001</v>
      </c>
      <c r="B12037" t="s">
        <v>26938</v>
      </c>
      <c r="C12037" t="s">
        <v>176</v>
      </c>
      <c r="D12037">
        <v>1.6</v>
      </c>
      <c r="E12037">
        <v>0</v>
      </c>
      <c r="F12037">
        <f t="shared" si="213"/>
        <v>1.6</v>
      </c>
      <c r="G12037">
        <v>1</v>
      </c>
      <c r="H12037">
        <f t="shared" ref="H12037:H12100" si="214">G12037*F12037</f>
        <v>1.6</v>
      </c>
      <c r="I12037">
        <v>20170401</v>
      </c>
      <c r="J12037" t="s">
        <v>12594</v>
      </c>
      <c r="K12037" t="s">
        <v>12595</v>
      </c>
    </row>
    <row r="12038" spans="1:16" x14ac:dyDescent="0.3">
      <c r="A12038" s="160">
        <v>91016</v>
      </c>
      <c r="B12038" t="s">
        <v>26939</v>
      </c>
      <c r="C12038" t="s">
        <v>176</v>
      </c>
      <c r="D12038">
        <v>1.6</v>
      </c>
      <c r="E12038">
        <v>0</v>
      </c>
      <c r="F12038">
        <f t="shared" si="213"/>
        <v>1.6</v>
      </c>
      <c r="G12038">
        <v>1</v>
      </c>
      <c r="H12038">
        <f t="shared" si="214"/>
        <v>1.6</v>
      </c>
      <c r="I12038">
        <v>20170401</v>
      </c>
      <c r="J12038" t="s">
        <v>12596</v>
      </c>
    </row>
    <row r="12039" spans="1:16" x14ac:dyDescent="0.3">
      <c r="A12039" s="160">
        <v>91017</v>
      </c>
      <c r="B12039" t="s">
        <v>26940</v>
      </c>
      <c r="C12039" t="s">
        <v>176</v>
      </c>
      <c r="D12039">
        <v>1.6</v>
      </c>
      <c r="E12039">
        <v>0</v>
      </c>
      <c r="F12039">
        <f t="shared" ref="F12039:F12102" si="215">D12039+E12039</f>
        <v>1.6</v>
      </c>
      <c r="G12039">
        <v>1</v>
      </c>
      <c r="H12039">
        <f t="shared" si="214"/>
        <v>1.6</v>
      </c>
      <c r="I12039">
        <v>20170401</v>
      </c>
      <c r="J12039" t="s">
        <v>12597</v>
      </c>
    </row>
    <row r="12040" spans="1:16" x14ac:dyDescent="0.3">
      <c r="A12040" s="160">
        <v>91021</v>
      </c>
      <c r="B12040" t="s">
        <v>26941</v>
      </c>
      <c r="C12040" t="s">
        <v>176</v>
      </c>
      <c r="D12040">
        <v>2.0099999999999998</v>
      </c>
      <c r="E12040">
        <v>0</v>
      </c>
      <c r="F12040">
        <f t="shared" si="215"/>
        <v>2.0099999999999998</v>
      </c>
      <c r="G12040">
        <v>1</v>
      </c>
      <c r="H12040">
        <f t="shared" si="214"/>
        <v>2.0099999999999998</v>
      </c>
      <c r="I12040">
        <v>20170401</v>
      </c>
      <c r="J12040" t="s">
        <v>12598</v>
      </c>
      <c r="K12040" t="s">
        <v>12599</v>
      </c>
      <c r="L12040" t="s">
        <v>12600</v>
      </c>
      <c r="M12040" t="s">
        <v>12601</v>
      </c>
      <c r="N12040" t="s">
        <v>12602</v>
      </c>
      <c r="O12040" t="s">
        <v>12603</v>
      </c>
      <c r="P12040" t="s">
        <v>12604</v>
      </c>
    </row>
    <row r="12041" spans="1:16" x14ac:dyDescent="0.3">
      <c r="A12041" s="160">
        <v>91022</v>
      </c>
      <c r="B12041" t="s">
        <v>26942</v>
      </c>
      <c r="C12041" t="s">
        <v>176</v>
      </c>
      <c r="D12041">
        <v>1.6</v>
      </c>
      <c r="E12041">
        <v>0</v>
      </c>
      <c r="F12041">
        <f t="shared" si="215"/>
        <v>1.6</v>
      </c>
      <c r="G12041">
        <v>1</v>
      </c>
      <c r="H12041">
        <f t="shared" si="214"/>
        <v>1.6</v>
      </c>
      <c r="I12041">
        <v>20170401</v>
      </c>
      <c r="J12041" t="s">
        <v>12605</v>
      </c>
    </row>
    <row r="12042" spans="1:16" x14ac:dyDescent="0.3">
      <c r="A12042" s="160">
        <v>91027</v>
      </c>
      <c r="B12042" t="s">
        <v>26943</v>
      </c>
      <c r="C12042" t="s">
        <v>176</v>
      </c>
      <c r="D12042">
        <v>2.0099999999999998</v>
      </c>
      <c r="E12042">
        <v>0</v>
      </c>
      <c r="F12042">
        <f t="shared" si="215"/>
        <v>2.0099999999999998</v>
      </c>
      <c r="G12042">
        <v>1</v>
      </c>
      <c r="H12042">
        <f t="shared" si="214"/>
        <v>2.0099999999999998</v>
      </c>
      <c r="I12042">
        <v>20170401</v>
      </c>
      <c r="J12042" t="s">
        <v>12606</v>
      </c>
      <c r="K12042" t="s">
        <v>12607</v>
      </c>
      <c r="L12042" t="s">
        <v>12608</v>
      </c>
      <c r="M12042" t="s">
        <v>12609</v>
      </c>
      <c r="N12042" t="s">
        <v>12610</v>
      </c>
    </row>
    <row r="12043" spans="1:16" x14ac:dyDescent="0.3">
      <c r="A12043" s="160">
        <v>91035</v>
      </c>
      <c r="B12043" t="s">
        <v>26944</v>
      </c>
      <c r="C12043" t="s">
        <v>176</v>
      </c>
      <c r="D12043">
        <v>1.6</v>
      </c>
      <c r="E12043">
        <v>0</v>
      </c>
      <c r="F12043">
        <f t="shared" si="215"/>
        <v>1.6</v>
      </c>
      <c r="G12043">
        <v>1</v>
      </c>
      <c r="H12043">
        <f t="shared" si="214"/>
        <v>1.6</v>
      </c>
      <c r="I12043">
        <v>20170401</v>
      </c>
      <c r="J12043" t="s">
        <v>12611</v>
      </c>
    </row>
    <row r="12044" spans="1:16" x14ac:dyDescent="0.3">
      <c r="A12044" s="160">
        <v>91037</v>
      </c>
      <c r="B12044" t="s">
        <v>26945</v>
      </c>
      <c r="C12044" t="s">
        <v>176</v>
      </c>
      <c r="D12044">
        <v>1.6</v>
      </c>
      <c r="E12044">
        <v>0</v>
      </c>
      <c r="F12044">
        <f t="shared" si="215"/>
        <v>1.6</v>
      </c>
      <c r="G12044">
        <v>1</v>
      </c>
      <c r="H12044">
        <f t="shared" si="214"/>
        <v>1.6</v>
      </c>
      <c r="I12044">
        <v>20170401</v>
      </c>
      <c r="J12044" t="s">
        <v>12612</v>
      </c>
    </row>
    <row r="12045" spans="1:16" x14ac:dyDescent="0.3">
      <c r="A12045" s="160">
        <v>91038</v>
      </c>
      <c r="B12045" t="s">
        <v>26946</v>
      </c>
      <c r="C12045" t="s">
        <v>176</v>
      </c>
      <c r="D12045">
        <v>1.6</v>
      </c>
      <c r="E12045">
        <v>0</v>
      </c>
      <c r="F12045">
        <f t="shared" si="215"/>
        <v>1.6</v>
      </c>
      <c r="G12045">
        <v>1</v>
      </c>
      <c r="H12045">
        <f t="shared" si="214"/>
        <v>1.6</v>
      </c>
      <c r="I12045">
        <v>20170401</v>
      </c>
      <c r="J12045" t="s">
        <v>12613</v>
      </c>
    </row>
    <row r="12046" spans="1:16" x14ac:dyDescent="0.3">
      <c r="A12046" s="160">
        <v>91041</v>
      </c>
      <c r="B12046" t="s">
        <v>21141</v>
      </c>
      <c r="C12046" t="s">
        <v>176</v>
      </c>
      <c r="D12046">
        <v>1.6</v>
      </c>
      <c r="E12046">
        <v>0</v>
      </c>
      <c r="F12046">
        <f t="shared" si="215"/>
        <v>1.6</v>
      </c>
      <c r="G12046">
        <v>1</v>
      </c>
      <c r="H12046">
        <f t="shared" si="214"/>
        <v>1.6</v>
      </c>
      <c r="I12046">
        <v>20170401</v>
      </c>
      <c r="J12046" t="s">
        <v>12599</v>
      </c>
      <c r="K12046" t="s">
        <v>12600</v>
      </c>
      <c r="L12046" t="s">
        <v>12601</v>
      </c>
      <c r="M12046" t="s">
        <v>12614</v>
      </c>
    </row>
    <row r="12047" spans="1:16" x14ac:dyDescent="0.3">
      <c r="A12047" s="160">
        <v>91044</v>
      </c>
      <c r="B12047" t="s">
        <v>26947</v>
      </c>
      <c r="C12047" t="s">
        <v>176</v>
      </c>
      <c r="D12047">
        <v>2.0099999999999998</v>
      </c>
      <c r="E12047">
        <v>0</v>
      </c>
      <c r="F12047">
        <f t="shared" si="215"/>
        <v>2.0099999999999998</v>
      </c>
      <c r="G12047">
        <v>1</v>
      </c>
      <c r="H12047">
        <f t="shared" si="214"/>
        <v>2.0099999999999998</v>
      </c>
      <c r="I12047">
        <v>20170401</v>
      </c>
      <c r="J12047" t="s">
        <v>12615</v>
      </c>
      <c r="K12047" t="s">
        <v>12616</v>
      </c>
      <c r="L12047" t="s">
        <v>12617</v>
      </c>
      <c r="M12047" t="s">
        <v>12618</v>
      </c>
      <c r="N12047" t="s">
        <v>12619</v>
      </c>
    </row>
    <row r="12048" spans="1:16" x14ac:dyDescent="0.3">
      <c r="A12048" s="160">
        <v>91045</v>
      </c>
      <c r="B12048" t="s">
        <v>26948</v>
      </c>
      <c r="C12048" t="s">
        <v>176</v>
      </c>
      <c r="D12048">
        <v>1.6</v>
      </c>
      <c r="E12048">
        <v>0</v>
      </c>
      <c r="F12048">
        <f t="shared" si="215"/>
        <v>1.6</v>
      </c>
      <c r="G12048">
        <v>1</v>
      </c>
      <c r="H12048">
        <f t="shared" si="214"/>
        <v>1.6</v>
      </c>
      <c r="I12048">
        <v>20170401</v>
      </c>
      <c r="J12048" t="s">
        <v>12620</v>
      </c>
    </row>
    <row r="12049" spans="1:21" x14ac:dyDescent="0.3">
      <c r="A12049" s="160">
        <v>91047</v>
      </c>
      <c r="B12049" t="s">
        <v>26949</v>
      </c>
      <c r="C12049" t="s">
        <v>176</v>
      </c>
      <c r="D12049">
        <v>1.6</v>
      </c>
      <c r="E12049">
        <v>0</v>
      </c>
      <c r="F12049">
        <f t="shared" si="215"/>
        <v>1.6</v>
      </c>
      <c r="G12049">
        <v>1</v>
      </c>
      <c r="H12049">
        <f t="shared" si="214"/>
        <v>1.6</v>
      </c>
      <c r="I12049">
        <v>20170401</v>
      </c>
      <c r="J12049" t="s">
        <v>12621</v>
      </c>
    </row>
    <row r="12050" spans="1:21" x14ac:dyDescent="0.3">
      <c r="A12050" s="160">
        <v>91064</v>
      </c>
      <c r="B12050" t="s">
        <v>15342</v>
      </c>
      <c r="C12050" t="s">
        <v>176</v>
      </c>
      <c r="D12050">
        <v>2.0099999999999998</v>
      </c>
      <c r="E12050">
        <v>0</v>
      </c>
      <c r="F12050">
        <f t="shared" si="215"/>
        <v>2.0099999999999998</v>
      </c>
      <c r="G12050">
        <v>1</v>
      </c>
      <c r="H12050">
        <f t="shared" si="214"/>
        <v>2.0099999999999998</v>
      </c>
      <c r="I12050">
        <v>20170401</v>
      </c>
      <c r="J12050" t="s">
        <v>12622</v>
      </c>
      <c r="K12050" t="s">
        <v>12623</v>
      </c>
      <c r="L12050" t="s">
        <v>12624</v>
      </c>
      <c r="M12050" t="s">
        <v>12625</v>
      </c>
    </row>
    <row r="12051" spans="1:21" x14ac:dyDescent="0.3">
      <c r="A12051" s="160">
        <v>91067</v>
      </c>
      <c r="B12051" t="s">
        <v>25505</v>
      </c>
      <c r="C12051" t="s">
        <v>176</v>
      </c>
      <c r="D12051">
        <v>1.6</v>
      </c>
      <c r="E12051">
        <v>0</v>
      </c>
      <c r="F12051">
        <f t="shared" si="215"/>
        <v>1.6</v>
      </c>
      <c r="G12051">
        <v>1</v>
      </c>
      <c r="H12051">
        <f t="shared" si="214"/>
        <v>1.6</v>
      </c>
      <c r="I12051">
        <v>20170401</v>
      </c>
      <c r="J12051" t="s">
        <v>12594</v>
      </c>
    </row>
    <row r="12052" spans="1:21" x14ac:dyDescent="0.3">
      <c r="A12052" s="160">
        <v>91069</v>
      </c>
      <c r="B12052" t="s">
        <v>26950</v>
      </c>
      <c r="C12052" t="s">
        <v>176</v>
      </c>
      <c r="D12052">
        <v>1.6</v>
      </c>
      <c r="E12052">
        <v>0</v>
      </c>
      <c r="F12052">
        <f t="shared" si="215"/>
        <v>1.6</v>
      </c>
      <c r="G12052">
        <v>1</v>
      </c>
      <c r="H12052">
        <f t="shared" si="214"/>
        <v>1.6</v>
      </c>
      <c r="I12052">
        <v>20170401</v>
      </c>
      <c r="J12052" t="s">
        <v>12626</v>
      </c>
    </row>
    <row r="12053" spans="1:21" x14ac:dyDescent="0.3">
      <c r="A12053" s="160">
        <v>91075</v>
      </c>
      <c r="B12053" t="s">
        <v>26951</v>
      </c>
      <c r="C12053" t="s">
        <v>176</v>
      </c>
      <c r="D12053">
        <v>1.6</v>
      </c>
      <c r="E12053">
        <v>0</v>
      </c>
      <c r="F12053">
        <f t="shared" si="215"/>
        <v>1.6</v>
      </c>
      <c r="G12053">
        <v>1</v>
      </c>
      <c r="H12053">
        <f t="shared" si="214"/>
        <v>1.6</v>
      </c>
      <c r="I12053">
        <v>20170401</v>
      </c>
      <c r="J12053" t="s">
        <v>12594</v>
      </c>
    </row>
    <row r="12054" spans="1:21" x14ac:dyDescent="0.3">
      <c r="A12054" s="160">
        <v>91079</v>
      </c>
      <c r="B12054" t="s">
        <v>26952</v>
      </c>
      <c r="C12054" t="s">
        <v>176</v>
      </c>
      <c r="D12054">
        <v>1.6</v>
      </c>
      <c r="E12054">
        <v>0</v>
      </c>
      <c r="F12054">
        <f t="shared" si="215"/>
        <v>1.6</v>
      </c>
      <c r="G12054">
        <v>1</v>
      </c>
      <c r="H12054">
        <f t="shared" si="214"/>
        <v>1.6</v>
      </c>
      <c r="I12054">
        <v>20170401</v>
      </c>
      <c r="J12054" t="s">
        <v>12605</v>
      </c>
    </row>
    <row r="12055" spans="1:21" x14ac:dyDescent="0.3">
      <c r="A12055" s="160">
        <v>91080</v>
      </c>
      <c r="B12055" t="s">
        <v>26953</v>
      </c>
      <c r="C12055" t="s">
        <v>176</v>
      </c>
      <c r="D12055">
        <v>1.6</v>
      </c>
      <c r="E12055">
        <v>0</v>
      </c>
      <c r="F12055">
        <f t="shared" si="215"/>
        <v>1.6</v>
      </c>
      <c r="G12055">
        <v>1</v>
      </c>
      <c r="H12055">
        <f t="shared" si="214"/>
        <v>1.6</v>
      </c>
      <c r="I12055">
        <v>20170401</v>
      </c>
      <c r="J12055" t="s">
        <v>12621</v>
      </c>
    </row>
    <row r="12056" spans="1:21" x14ac:dyDescent="0.3">
      <c r="A12056" s="160">
        <v>91081</v>
      </c>
      <c r="B12056" t="s">
        <v>26954</v>
      </c>
      <c r="C12056" t="s">
        <v>176</v>
      </c>
      <c r="D12056">
        <v>1.6</v>
      </c>
      <c r="E12056">
        <v>0</v>
      </c>
      <c r="F12056">
        <f t="shared" si="215"/>
        <v>1.6</v>
      </c>
      <c r="G12056">
        <v>1</v>
      </c>
      <c r="H12056">
        <f t="shared" si="214"/>
        <v>1.6</v>
      </c>
      <c r="I12056">
        <v>20170401</v>
      </c>
      <c r="J12056" t="s">
        <v>12627</v>
      </c>
    </row>
    <row r="12057" spans="1:21" x14ac:dyDescent="0.3">
      <c r="A12057" s="160">
        <v>91085</v>
      </c>
      <c r="B12057" t="s">
        <v>26955</v>
      </c>
      <c r="C12057" t="s">
        <v>176</v>
      </c>
      <c r="D12057">
        <v>1.6</v>
      </c>
      <c r="E12057">
        <v>0</v>
      </c>
      <c r="F12057">
        <f t="shared" si="215"/>
        <v>1.6</v>
      </c>
      <c r="G12057">
        <v>1</v>
      </c>
      <c r="H12057">
        <f t="shared" si="214"/>
        <v>1.6</v>
      </c>
      <c r="I12057">
        <v>20170401</v>
      </c>
      <c r="J12057" t="s">
        <v>12599</v>
      </c>
      <c r="K12057" t="s">
        <v>12601</v>
      </c>
      <c r="L12057" t="s">
        <v>12628</v>
      </c>
    </row>
    <row r="12058" spans="1:21" x14ac:dyDescent="0.3">
      <c r="A12058" s="160">
        <v>91086</v>
      </c>
      <c r="B12058" t="s">
        <v>26956</v>
      </c>
      <c r="C12058" t="s">
        <v>176</v>
      </c>
      <c r="D12058">
        <v>2.0099999999999998</v>
      </c>
      <c r="E12058">
        <v>0</v>
      </c>
      <c r="F12058">
        <f t="shared" si="215"/>
        <v>2.0099999999999998</v>
      </c>
      <c r="G12058">
        <v>1</v>
      </c>
      <c r="H12058">
        <f t="shared" si="214"/>
        <v>2.0099999999999998</v>
      </c>
      <c r="I12058">
        <v>20170401</v>
      </c>
      <c r="J12058" t="s">
        <v>12629</v>
      </c>
      <c r="K12058" t="s">
        <v>12630</v>
      </c>
      <c r="L12058" t="s">
        <v>12631</v>
      </c>
      <c r="M12058" t="s">
        <v>12632</v>
      </c>
      <c r="N12058" t="s">
        <v>12633</v>
      </c>
      <c r="O12058" t="s">
        <v>12634</v>
      </c>
      <c r="P12058" t="s">
        <v>12635</v>
      </c>
      <c r="Q12058" t="s">
        <v>12636</v>
      </c>
      <c r="R12058" t="s">
        <v>12637</v>
      </c>
      <c r="S12058" t="s">
        <v>12638</v>
      </c>
      <c r="T12058" t="s">
        <v>12639</v>
      </c>
      <c r="U12058" t="s">
        <v>12640</v>
      </c>
    </row>
    <row r="12059" spans="1:21" x14ac:dyDescent="0.3">
      <c r="A12059" s="160">
        <v>91093</v>
      </c>
      <c r="B12059" t="s">
        <v>26957</v>
      </c>
      <c r="C12059" t="s">
        <v>176</v>
      </c>
      <c r="D12059">
        <v>1.6</v>
      </c>
      <c r="E12059">
        <v>0</v>
      </c>
      <c r="F12059">
        <f t="shared" si="215"/>
        <v>1.6</v>
      </c>
      <c r="G12059">
        <v>1</v>
      </c>
      <c r="H12059">
        <f t="shared" si="214"/>
        <v>1.6</v>
      </c>
      <c r="I12059">
        <v>20170401</v>
      </c>
      <c r="J12059" t="s">
        <v>12597</v>
      </c>
    </row>
    <row r="12060" spans="1:21" x14ac:dyDescent="0.3">
      <c r="A12060" s="160">
        <v>91095</v>
      </c>
      <c r="B12060" t="s">
        <v>26958</v>
      </c>
      <c r="C12060" t="s">
        <v>176</v>
      </c>
      <c r="D12060">
        <v>1.6</v>
      </c>
      <c r="E12060">
        <v>0</v>
      </c>
      <c r="F12060">
        <f t="shared" si="215"/>
        <v>1.6</v>
      </c>
      <c r="G12060">
        <v>1</v>
      </c>
      <c r="H12060">
        <f t="shared" si="214"/>
        <v>1.6</v>
      </c>
      <c r="I12060">
        <v>20170401</v>
      </c>
      <c r="J12060" t="s">
        <v>12641</v>
      </c>
    </row>
    <row r="12061" spans="1:21" x14ac:dyDescent="0.3">
      <c r="A12061" s="160">
        <v>91097</v>
      </c>
      <c r="B12061" t="s">
        <v>26959</v>
      </c>
      <c r="C12061" t="s">
        <v>176</v>
      </c>
      <c r="D12061">
        <v>2.0099999999999998</v>
      </c>
      <c r="E12061">
        <v>0</v>
      </c>
      <c r="F12061">
        <f t="shared" si="215"/>
        <v>2.0099999999999998</v>
      </c>
      <c r="G12061">
        <v>1</v>
      </c>
      <c r="H12061">
        <f t="shared" si="214"/>
        <v>2.0099999999999998</v>
      </c>
      <c r="I12061">
        <v>20170401</v>
      </c>
      <c r="J12061" t="s">
        <v>12642</v>
      </c>
      <c r="K12061" t="s">
        <v>12643</v>
      </c>
    </row>
    <row r="12062" spans="1:21" x14ac:dyDescent="0.3">
      <c r="A12062" s="160">
        <v>91098</v>
      </c>
      <c r="B12062" t="s">
        <v>26960</v>
      </c>
      <c r="C12062" t="s">
        <v>176</v>
      </c>
      <c r="D12062">
        <v>1.6</v>
      </c>
      <c r="E12062">
        <v>0</v>
      </c>
      <c r="F12062">
        <f t="shared" si="215"/>
        <v>1.6</v>
      </c>
      <c r="G12062">
        <v>1</v>
      </c>
      <c r="H12062">
        <f t="shared" si="214"/>
        <v>1.6</v>
      </c>
      <c r="I12062">
        <v>20170401</v>
      </c>
      <c r="J12062" t="s">
        <v>12594</v>
      </c>
    </row>
    <row r="12063" spans="1:21" x14ac:dyDescent="0.3">
      <c r="A12063" s="160">
        <v>91099</v>
      </c>
      <c r="B12063" t="s">
        <v>26961</v>
      </c>
      <c r="C12063" t="s">
        <v>176</v>
      </c>
      <c r="D12063">
        <v>1.6</v>
      </c>
      <c r="E12063">
        <v>0</v>
      </c>
      <c r="F12063">
        <f t="shared" si="215"/>
        <v>1.6</v>
      </c>
      <c r="G12063">
        <v>1</v>
      </c>
      <c r="H12063">
        <f t="shared" si="214"/>
        <v>1.6</v>
      </c>
      <c r="I12063">
        <v>20170401</v>
      </c>
      <c r="J12063" t="s">
        <v>12644</v>
      </c>
    </row>
    <row r="12064" spans="1:21" x14ac:dyDescent="0.3">
      <c r="A12064" s="160">
        <v>91100</v>
      </c>
      <c r="B12064" t="s">
        <v>17878</v>
      </c>
      <c r="C12064" t="s">
        <v>176</v>
      </c>
      <c r="D12064">
        <v>1.6</v>
      </c>
      <c r="E12064">
        <v>0</v>
      </c>
      <c r="F12064">
        <f t="shared" si="215"/>
        <v>1.6</v>
      </c>
      <c r="G12064">
        <v>1</v>
      </c>
      <c r="H12064">
        <f t="shared" si="214"/>
        <v>1.6</v>
      </c>
      <c r="I12064">
        <v>20170401</v>
      </c>
      <c r="J12064" t="s">
        <v>12645</v>
      </c>
    </row>
    <row r="12065" spans="1:16" x14ac:dyDescent="0.3">
      <c r="A12065" s="160">
        <v>91103</v>
      </c>
      <c r="B12065" t="s">
        <v>26962</v>
      </c>
      <c r="C12065" t="s">
        <v>176</v>
      </c>
      <c r="D12065">
        <v>2.0099999999999998</v>
      </c>
      <c r="E12065">
        <v>0</v>
      </c>
      <c r="F12065">
        <f t="shared" si="215"/>
        <v>2.0099999999999998</v>
      </c>
      <c r="G12065">
        <v>1</v>
      </c>
      <c r="H12065">
        <f t="shared" si="214"/>
        <v>2.0099999999999998</v>
      </c>
      <c r="I12065">
        <v>20170401</v>
      </c>
      <c r="J12065" t="s">
        <v>12646</v>
      </c>
      <c r="K12065" t="s">
        <v>12647</v>
      </c>
      <c r="L12065" t="s">
        <v>12648</v>
      </c>
      <c r="M12065" t="s">
        <v>12649</v>
      </c>
      <c r="N12065" t="s">
        <v>12650</v>
      </c>
      <c r="O12065" t="s">
        <v>12651</v>
      </c>
      <c r="P12065" t="s">
        <v>12652</v>
      </c>
    </row>
    <row r="12066" spans="1:16" x14ac:dyDescent="0.3">
      <c r="A12066" s="160">
        <v>91105</v>
      </c>
      <c r="B12066" t="s">
        <v>16724</v>
      </c>
      <c r="C12066" t="s">
        <v>176</v>
      </c>
      <c r="D12066">
        <v>2.0099999999999998</v>
      </c>
      <c r="E12066">
        <v>0</v>
      </c>
      <c r="F12066">
        <f t="shared" si="215"/>
        <v>2.0099999999999998</v>
      </c>
      <c r="G12066">
        <v>1</v>
      </c>
      <c r="H12066">
        <f t="shared" si="214"/>
        <v>2.0099999999999998</v>
      </c>
      <c r="I12066">
        <v>20170401</v>
      </c>
      <c r="J12066" t="s">
        <v>12599</v>
      </c>
      <c r="K12066" t="s">
        <v>12600</v>
      </c>
      <c r="L12066" t="s">
        <v>12601</v>
      </c>
      <c r="M12066" t="s">
        <v>12653</v>
      </c>
    </row>
    <row r="12067" spans="1:16" x14ac:dyDescent="0.3">
      <c r="A12067" s="160">
        <v>91106</v>
      </c>
      <c r="B12067" t="s">
        <v>26963</v>
      </c>
      <c r="C12067" t="s">
        <v>176</v>
      </c>
      <c r="D12067">
        <v>2.0099999999999998</v>
      </c>
      <c r="E12067">
        <v>0</v>
      </c>
      <c r="F12067">
        <f t="shared" si="215"/>
        <v>2.0099999999999998</v>
      </c>
      <c r="G12067">
        <v>1</v>
      </c>
      <c r="H12067">
        <f t="shared" si="214"/>
        <v>2.0099999999999998</v>
      </c>
      <c r="I12067">
        <v>20170401</v>
      </c>
      <c r="J12067" t="s">
        <v>12599</v>
      </c>
      <c r="K12067" t="s">
        <v>12600</v>
      </c>
      <c r="L12067" t="s">
        <v>12653</v>
      </c>
    </row>
    <row r="12068" spans="1:16" x14ac:dyDescent="0.3">
      <c r="A12068" s="160">
        <v>91109</v>
      </c>
      <c r="B12068" t="s">
        <v>26964</v>
      </c>
      <c r="C12068" t="s">
        <v>176</v>
      </c>
      <c r="D12068">
        <v>1.6</v>
      </c>
      <c r="E12068">
        <v>0</v>
      </c>
      <c r="F12068">
        <f t="shared" si="215"/>
        <v>1.6</v>
      </c>
      <c r="G12068">
        <v>1</v>
      </c>
      <c r="H12068">
        <f t="shared" si="214"/>
        <v>1.6</v>
      </c>
      <c r="I12068">
        <v>20170401</v>
      </c>
      <c r="J12068" t="s">
        <v>12594</v>
      </c>
      <c r="K12068" t="s">
        <v>12654</v>
      </c>
      <c r="L12068" t="s">
        <v>12655</v>
      </c>
    </row>
    <row r="12069" spans="1:16" x14ac:dyDescent="0.3">
      <c r="A12069" s="160">
        <v>91111</v>
      </c>
      <c r="B12069" t="s">
        <v>26965</v>
      </c>
      <c r="C12069" t="s">
        <v>176</v>
      </c>
      <c r="D12069">
        <v>1.6</v>
      </c>
      <c r="E12069">
        <v>0</v>
      </c>
      <c r="F12069">
        <f t="shared" si="215"/>
        <v>1.6</v>
      </c>
      <c r="G12069">
        <v>1</v>
      </c>
      <c r="H12069">
        <f t="shared" si="214"/>
        <v>1.6</v>
      </c>
      <c r="I12069">
        <v>20170401</v>
      </c>
      <c r="J12069" t="s">
        <v>12656</v>
      </c>
    </row>
    <row r="12070" spans="1:16" x14ac:dyDescent="0.3">
      <c r="A12070" s="160">
        <v>91112</v>
      </c>
      <c r="B12070" t="s">
        <v>26966</v>
      </c>
      <c r="C12070" t="s">
        <v>176</v>
      </c>
      <c r="D12070">
        <v>1.6</v>
      </c>
      <c r="E12070">
        <v>0</v>
      </c>
      <c r="F12070">
        <f t="shared" si="215"/>
        <v>1.6</v>
      </c>
      <c r="G12070">
        <v>1</v>
      </c>
      <c r="H12070">
        <f t="shared" si="214"/>
        <v>1.6</v>
      </c>
      <c r="I12070">
        <v>20170401</v>
      </c>
      <c r="J12070" t="s">
        <v>12594</v>
      </c>
    </row>
    <row r="12071" spans="1:16" x14ac:dyDescent="0.3">
      <c r="A12071" s="160">
        <v>91114</v>
      </c>
      <c r="B12071" t="s">
        <v>26967</v>
      </c>
      <c r="C12071" t="s">
        <v>176</v>
      </c>
      <c r="D12071">
        <v>2.0099999999999998</v>
      </c>
      <c r="E12071">
        <v>0</v>
      </c>
      <c r="F12071">
        <f t="shared" si="215"/>
        <v>2.0099999999999998</v>
      </c>
      <c r="G12071">
        <v>1</v>
      </c>
      <c r="H12071">
        <f t="shared" si="214"/>
        <v>2.0099999999999998</v>
      </c>
      <c r="I12071">
        <v>20170401</v>
      </c>
      <c r="J12071" t="s">
        <v>12642</v>
      </c>
      <c r="K12071" t="s">
        <v>12643</v>
      </c>
      <c r="L12071" t="s">
        <v>12657</v>
      </c>
    </row>
    <row r="12072" spans="1:16" x14ac:dyDescent="0.3">
      <c r="A12072" s="160">
        <v>91115</v>
      </c>
      <c r="B12072" t="s">
        <v>26968</v>
      </c>
      <c r="C12072" t="s">
        <v>176</v>
      </c>
      <c r="D12072">
        <v>2.0099999999999998</v>
      </c>
      <c r="E12072">
        <v>0</v>
      </c>
      <c r="F12072">
        <f t="shared" si="215"/>
        <v>2.0099999999999998</v>
      </c>
      <c r="G12072">
        <v>1</v>
      </c>
      <c r="H12072">
        <f t="shared" si="214"/>
        <v>2.0099999999999998</v>
      </c>
      <c r="I12072">
        <v>20170401</v>
      </c>
      <c r="J12072" t="s">
        <v>12599</v>
      </c>
      <c r="K12072" t="s">
        <v>12600</v>
      </c>
      <c r="L12072" t="s">
        <v>12601</v>
      </c>
      <c r="M12072" t="s">
        <v>12658</v>
      </c>
      <c r="N12072" t="s">
        <v>12659</v>
      </c>
    </row>
    <row r="12073" spans="1:16" x14ac:dyDescent="0.3">
      <c r="A12073" s="160">
        <v>91121</v>
      </c>
      <c r="B12073" t="s">
        <v>26969</v>
      </c>
      <c r="C12073" t="s">
        <v>176</v>
      </c>
      <c r="D12073">
        <v>1.6</v>
      </c>
      <c r="E12073">
        <v>0</v>
      </c>
      <c r="F12073">
        <f t="shared" si="215"/>
        <v>1.6</v>
      </c>
      <c r="G12073">
        <v>1</v>
      </c>
      <c r="H12073">
        <f t="shared" si="214"/>
        <v>1.6</v>
      </c>
      <c r="I12073">
        <v>20170401</v>
      </c>
      <c r="J12073" t="s">
        <v>12626</v>
      </c>
    </row>
    <row r="12074" spans="1:16" x14ac:dyDescent="0.3">
      <c r="A12074" s="160">
        <v>91122</v>
      </c>
      <c r="B12074" t="s">
        <v>26970</v>
      </c>
      <c r="C12074" t="s">
        <v>176</v>
      </c>
      <c r="D12074">
        <v>2.0099999999999998</v>
      </c>
      <c r="E12074">
        <v>0</v>
      </c>
      <c r="F12074">
        <f t="shared" si="215"/>
        <v>2.0099999999999998</v>
      </c>
      <c r="G12074">
        <v>1</v>
      </c>
      <c r="H12074">
        <f t="shared" si="214"/>
        <v>2.0099999999999998</v>
      </c>
      <c r="I12074">
        <v>20170401</v>
      </c>
      <c r="J12074" t="s">
        <v>12660</v>
      </c>
      <c r="K12074" t="s">
        <v>12661</v>
      </c>
      <c r="L12074" t="s">
        <v>12662</v>
      </c>
      <c r="M12074" t="s">
        <v>12663</v>
      </c>
    </row>
    <row r="12075" spans="1:16" x14ac:dyDescent="0.3">
      <c r="A12075" s="160">
        <v>91129</v>
      </c>
      <c r="B12075" t="s">
        <v>26971</v>
      </c>
      <c r="C12075" t="s">
        <v>176</v>
      </c>
      <c r="D12075">
        <v>1.6</v>
      </c>
      <c r="E12075">
        <v>0</v>
      </c>
      <c r="F12075">
        <f t="shared" si="215"/>
        <v>1.6</v>
      </c>
      <c r="G12075">
        <v>1</v>
      </c>
      <c r="H12075">
        <f t="shared" si="214"/>
        <v>1.6</v>
      </c>
      <c r="I12075">
        <v>20170401</v>
      </c>
      <c r="J12075" t="s">
        <v>12621</v>
      </c>
    </row>
    <row r="12076" spans="1:16" x14ac:dyDescent="0.3">
      <c r="A12076" s="160">
        <v>91130</v>
      </c>
      <c r="B12076" t="s">
        <v>26972</v>
      </c>
      <c r="C12076" t="s">
        <v>176</v>
      </c>
      <c r="D12076">
        <v>1.6</v>
      </c>
      <c r="E12076">
        <v>0</v>
      </c>
      <c r="F12076">
        <f t="shared" si="215"/>
        <v>1.6</v>
      </c>
      <c r="G12076">
        <v>1</v>
      </c>
      <c r="H12076">
        <f t="shared" si="214"/>
        <v>1.6</v>
      </c>
      <c r="I12076">
        <v>20170401</v>
      </c>
      <c r="J12076" t="s">
        <v>12655</v>
      </c>
      <c r="K12076" t="s">
        <v>12664</v>
      </c>
    </row>
    <row r="12077" spans="1:16" x14ac:dyDescent="0.3">
      <c r="A12077" s="160">
        <v>91131</v>
      </c>
      <c r="B12077" t="s">
        <v>26973</v>
      </c>
      <c r="C12077" t="s">
        <v>176</v>
      </c>
      <c r="D12077">
        <v>1.6</v>
      </c>
      <c r="E12077">
        <v>0</v>
      </c>
      <c r="F12077">
        <f t="shared" si="215"/>
        <v>1.6</v>
      </c>
      <c r="G12077">
        <v>1</v>
      </c>
      <c r="H12077">
        <f t="shared" si="214"/>
        <v>1.6</v>
      </c>
      <c r="I12077">
        <v>20170401</v>
      </c>
      <c r="J12077" t="s">
        <v>12665</v>
      </c>
    </row>
    <row r="12078" spans="1:16" x14ac:dyDescent="0.3">
      <c r="A12078" s="160">
        <v>91132</v>
      </c>
      <c r="B12078" t="s">
        <v>26974</v>
      </c>
      <c r="C12078" t="s">
        <v>176</v>
      </c>
      <c r="D12078">
        <v>1.6</v>
      </c>
      <c r="E12078">
        <v>0</v>
      </c>
      <c r="F12078">
        <f t="shared" si="215"/>
        <v>1.6</v>
      </c>
      <c r="G12078">
        <v>1</v>
      </c>
      <c r="H12078">
        <f t="shared" si="214"/>
        <v>1.6</v>
      </c>
      <c r="I12078">
        <v>20170401</v>
      </c>
      <c r="J12078" t="s">
        <v>12666</v>
      </c>
    </row>
    <row r="12079" spans="1:16" x14ac:dyDescent="0.3">
      <c r="A12079" s="160">
        <v>91135</v>
      </c>
      <c r="B12079" t="s">
        <v>26975</v>
      </c>
      <c r="C12079" t="s">
        <v>176</v>
      </c>
      <c r="D12079">
        <v>1.6</v>
      </c>
      <c r="E12079">
        <v>0</v>
      </c>
      <c r="F12079">
        <f t="shared" si="215"/>
        <v>1.6</v>
      </c>
      <c r="G12079">
        <v>1</v>
      </c>
      <c r="H12079">
        <f t="shared" si="214"/>
        <v>1.6</v>
      </c>
      <c r="I12079">
        <v>20170401</v>
      </c>
      <c r="J12079" t="s">
        <v>12667</v>
      </c>
    </row>
    <row r="12080" spans="1:16" x14ac:dyDescent="0.3">
      <c r="A12080" s="160">
        <v>91136</v>
      </c>
      <c r="B12080" t="s">
        <v>26976</v>
      </c>
      <c r="C12080" t="s">
        <v>176</v>
      </c>
      <c r="D12080">
        <v>2.0099999999999998</v>
      </c>
      <c r="E12080">
        <v>0</v>
      </c>
      <c r="F12080">
        <f t="shared" si="215"/>
        <v>2.0099999999999998</v>
      </c>
      <c r="G12080">
        <v>1</v>
      </c>
      <c r="H12080">
        <f t="shared" si="214"/>
        <v>2.0099999999999998</v>
      </c>
      <c r="I12080">
        <v>20170401</v>
      </c>
      <c r="J12080" t="s">
        <v>12615</v>
      </c>
      <c r="K12080" t="s">
        <v>12617</v>
      </c>
      <c r="L12080" t="s">
        <v>12618</v>
      </c>
      <c r="M12080" t="s">
        <v>12668</v>
      </c>
      <c r="N12080" t="s">
        <v>12619</v>
      </c>
    </row>
    <row r="12081" spans="1:35" x14ac:dyDescent="0.3">
      <c r="A12081" s="160">
        <v>91137</v>
      </c>
      <c r="B12081" t="s">
        <v>26977</v>
      </c>
      <c r="C12081" t="s">
        <v>176</v>
      </c>
      <c r="D12081">
        <v>1.6</v>
      </c>
      <c r="E12081">
        <v>0</v>
      </c>
      <c r="F12081">
        <f t="shared" si="215"/>
        <v>1.6</v>
      </c>
      <c r="G12081">
        <v>1</v>
      </c>
      <c r="H12081">
        <f t="shared" si="214"/>
        <v>1.6</v>
      </c>
      <c r="I12081">
        <v>20170401</v>
      </c>
      <c r="J12081" t="s">
        <v>12594</v>
      </c>
    </row>
    <row r="12082" spans="1:35" x14ac:dyDescent="0.3">
      <c r="A12082" s="160">
        <v>91145</v>
      </c>
      <c r="B12082" t="s">
        <v>26978</v>
      </c>
      <c r="C12082" t="s">
        <v>176</v>
      </c>
      <c r="D12082">
        <v>1.6</v>
      </c>
      <c r="E12082">
        <v>0</v>
      </c>
      <c r="F12082">
        <f t="shared" si="215"/>
        <v>1.6</v>
      </c>
      <c r="G12082">
        <v>1</v>
      </c>
      <c r="H12082">
        <f t="shared" si="214"/>
        <v>1.6</v>
      </c>
      <c r="I12082">
        <v>20170401</v>
      </c>
      <c r="J12082" t="s">
        <v>12611</v>
      </c>
    </row>
    <row r="12083" spans="1:35" x14ac:dyDescent="0.3">
      <c r="A12083" s="160">
        <v>91148</v>
      </c>
      <c r="B12083" t="s">
        <v>26979</v>
      </c>
      <c r="C12083" t="s">
        <v>176</v>
      </c>
      <c r="D12083">
        <v>1.6</v>
      </c>
      <c r="E12083">
        <v>0</v>
      </c>
      <c r="F12083">
        <f t="shared" si="215"/>
        <v>1.6</v>
      </c>
      <c r="G12083">
        <v>1</v>
      </c>
      <c r="H12083">
        <f t="shared" si="214"/>
        <v>1.6</v>
      </c>
      <c r="I12083">
        <v>20170401</v>
      </c>
      <c r="J12083" t="s">
        <v>12613</v>
      </c>
    </row>
    <row r="12084" spans="1:35" x14ac:dyDescent="0.3">
      <c r="A12084" s="160">
        <v>91156</v>
      </c>
      <c r="B12084" t="s">
        <v>26980</v>
      </c>
      <c r="C12084" t="s">
        <v>176</v>
      </c>
      <c r="D12084">
        <v>1.6</v>
      </c>
      <c r="E12084">
        <v>0</v>
      </c>
      <c r="F12084">
        <f t="shared" si="215"/>
        <v>1.6</v>
      </c>
      <c r="G12084">
        <v>1</v>
      </c>
      <c r="H12084">
        <f t="shared" si="214"/>
        <v>1.6</v>
      </c>
      <c r="I12084">
        <v>20170401</v>
      </c>
      <c r="J12084" t="s">
        <v>12599</v>
      </c>
      <c r="K12084" t="s">
        <v>12614</v>
      </c>
    </row>
    <row r="12085" spans="1:35" x14ac:dyDescent="0.3">
      <c r="A12085" s="160">
        <v>91159</v>
      </c>
      <c r="B12085" t="s">
        <v>26801</v>
      </c>
      <c r="C12085" t="s">
        <v>176</v>
      </c>
      <c r="D12085">
        <v>1.6</v>
      </c>
      <c r="E12085">
        <v>0</v>
      </c>
      <c r="F12085">
        <f t="shared" si="215"/>
        <v>1.6</v>
      </c>
      <c r="G12085">
        <v>1</v>
      </c>
      <c r="H12085">
        <f t="shared" si="214"/>
        <v>1.6</v>
      </c>
      <c r="I12085">
        <v>20170401</v>
      </c>
      <c r="J12085" t="s">
        <v>12667</v>
      </c>
    </row>
    <row r="12086" spans="1:35" x14ac:dyDescent="0.3">
      <c r="A12086" s="160">
        <v>91161</v>
      </c>
      <c r="B12086" t="s">
        <v>26981</v>
      </c>
      <c r="C12086" t="s">
        <v>176</v>
      </c>
      <c r="D12086">
        <v>2.0099999999999998</v>
      </c>
      <c r="E12086">
        <v>0</v>
      </c>
      <c r="F12086">
        <f t="shared" si="215"/>
        <v>2.0099999999999998</v>
      </c>
      <c r="G12086">
        <v>1</v>
      </c>
      <c r="H12086">
        <f t="shared" si="214"/>
        <v>2.0099999999999998</v>
      </c>
      <c r="I12086">
        <v>20170401</v>
      </c>
      <c r="J12086" t="s">
        <v>10055</v>
      </c>
      <c r="K12086" t="s">
        <v>12669</v>
      </c>
      <c r="L12086" t="s">
        <v>12670</v>
      </c>
      <c r="M12086" t="s">
        <v>12671</v>
      </c>
      <c r="N12086" t="s">
        <v>12672</v>
      </c>
      <c r="O12086" t="s">
        <v>12673</v>
      </c>
      <c r="P12086" t="s">
        <v>12674</v>
      </c>
      <c r="Q12086" t="s">
        <v>12675</v>
      </c>
      <c r="R12086" t="s">
        <v>12676</v>
      </c>
    </row>
    <row r="12087" spans="1:35" x14ac:dyDescent="0.3">
      <c r="A12087" s="160">
        <v>91174</v>
      </c>
      <c r="B12087" t="s">
        <v>26982</v>
      </c>
      <c r="C12087" t="s">
        <v>176</v>
      </c>
      <c r="D12087">
        <v>2.0099999999999998</v>
      </c>
      <c r="E12087">
        <v>0</v>
      </c>
      <c r="F12087">
        <f t="shared" si="215"/>
        <v>2.0099999999999998</v>
      </c>
      <c r="G12087">
        <v>1</v>
      </c>
      <c r="H12087">
        <f t="shared" si="214"/>
        <v>2.0099999999999998</v>
      </c>
      <c r="I12087">
        <v>20170401</v>
      </c>
      <c r="J12087" t="s">
        <v>12677</v>
      </c>
      <c r="K12087" t="s">
        <v>12678</v>
      </c>
      <c r="L12087" t="s">
        <v>12679</v>
      </c>
      <c r="M12087" t="s">
        <v>12680</v>
      </c>
      <c r="N12087" t="s">
        <v>12681</v>
      </c>
      <c r="O12087" t="s">
        <v>12682</v>
      </c>
      <c r="P12087" t="s">
        <v>12683</v>
      </c>
      <c r="Q12087" t="s">
        <v>12684</v>
      </c>
      <c r="R12087" t="s">
        <v>12685</v>
      </c>
      <c r="S12087" t="s">
        <v>12686</v>
      </c>
      <c r="T12087" t="s">
        <v>12687</v>
      </c>
      <c r="U12087" t="s">
        <v>12688</v>
      </c>
    </row>
    <row r="12088" spans="1:35" x14ac:dyDescent="0.3">
      <c r="A12088" s="160">
        <v>91175</v>
      </c>
      <c r="B12088" t="s">
        <v>26983</v>
      </c>
      <c r="C12088" t="s">
        <v>176</v>
      </c>
      <c r="D12088">
        <v>1.6</v>
      </c>
      <c r="E12088">
        <v>0</v>
      </c>
      <c r="F12088">
        <f t="shared" si="215"/>
        <v>1.6</v>
      </c>
      <c r="G12088">
        <v>1</v>
      </c>
      <c r="H12088">
        <f t="shared" si="214"/>
        <v>1.6</v>
      </c>
      <c r="I12088">
        <v>20170401</v>
      </c>
      <c r="J12088" t="s">
        <v>12611</v>
      </c>
      <c r="K12088" t="s">
        <v>12689</v>
      </c>
    </row>
    <row r="12089" spans="1:35" x14ac:dyDescent="0.3">
      <c r="A12089" s="160">
        <v>91179</v>
      </c>
      <c r="B12089" t="s">
        <v>26984</v>
      </c>
      <c r="C12089" t="s">
        <v>176</v>
      </c>
      <c r="D12089">
        <v>2.0099999999999998</v>
      </c>
      <c r="E12089">
        <v>0</v>
      </c>
      <c r="F12089">
        <f t="shared" si="215"/>
        <v>2.0099999999999998</v>
      </c>
      <c r="G12089">
        <v>1</v>
      </c>
      <c r="H12089">
        <f t="shared" si="214"/>
        <v>2.0099999999999998</v>
      </c>
      <c r="I12089">
        <v>20170401</v>
      </c>
      <c r="J12089" t="s">
        <v>12687</v>
      </c>
      <c r="K12089" t="s">
        <v>12612</v>
      </c>
    </row>
    <row r="12090" spans="1:35" x14ac:dyDescent="0.3">
      <c r="A12090" s="160">
        <v>91180</v>
      </c>
      <c r="B12090" t="s">
        <v>26985</v>
      </c>
      <c r="C12090" t="s">
        <v>176</v>
      </c>
      <c r="D12090">
        <v>1.6</v>
      </c>
      <c r="E12090">
        <v>0</v>
      </c>
      <c r="F12090">
        <f t="shared" si="215"/>
        <v>1.6</v>
      </c>
      <c r="G12090">
        <v>1</v>
      </c>
      <c r="H12090">
        <f t="shared" si="214"/>
        <v>1.6</v>
      </c>
      <c r="I12090">
        <v>20170401</v>
      </c>
      <c r="J12090" t="s">
        <v>12690</v>
      </c>
    </row>
    <row r="12091" spans="1:35" x14ac:dyDescent="0.3">
      <c r="A12091" s="160">
        <v>91182</v>
      </c>
      <c r="B12091" t="s">
        <v>26985</v>
      </c>
      <c r="C12091" t="s">
        <v>176</v>
      </c>
      <c r="D12091">
        <v>2.0099999999999998</v>
      </c>
      <c r="E12091">
        <v>0</v>
      </c>
      <c r="F12091">
        <f t="shared" si="215"/>
        <v>2.0099999999999998</v>
      </c>
      <c r="G12091">
        <v>1</v>
      </c>
      <c r="H12091">
        <f t="shared" si="214"/>
        <v>2.0099999999999998</v>
      </c>
      <c r="I12091">
        <v>20170401</v>
      </c>
      <c r="J12091" t="s">
        <v>12691</v>
      </c>
      <c r="K12091" t="s">
        <v>12692</v>
      </c>
      <c r="L12091" t="s">
        <v>12693</v>
      </c>
      <c r="M12091" t="s">
        <v>12694</v>
      </c>
      <c r="N12091" t="s">
        <v>12695</v>
      </c>
      <c r="O12091" t="s">
        <v>12696</v>
      </c>
      <c r="P12091" t="s">
        <v>12697</v>
      </c>
      <c r="Q12091" t="s">
        <v>12698</v>
      </c>
      <c r="R12091" t="s">
        <v>12699</v>
      </c>
      <c r="S12091" t="s">
        <v>12700</v>
      </c>
      <c r="T12091" t="s">
        <v>12701</v>
      </c>
      <c r="U12091" t="s">
        <v>12702</v>
      </c>
      <c r="V12091" t="s">
        <v>12703</v>
      </c>
      <c r="W12091" t="s">
        <v>12704</v>
      </c>
      <c r="X12091" t="s">
        <v>12705</v>
      </c>
      <c r="Y12091" t="s">
        <v>12706</v>
      </c>
      <c r="Z12091" t="s">
        <v>12707</v>
      </c>
      <c r="AA12091" t="s">
        <v>12708</v>
      </c>
      <c r="AB12091" t="s">
        <v>12709</v>
      </c>
      <c r="AC12091" t="s">
        <v>12710</v>
      </c>
      <c r="AD12091" t="s">
        <v>12711</v>
      </c>
      <c r="AE12091" t="s">
        <v>12629</v>
      </c>
      <c r="AF12091" t="s">
        <v>12712</v>
      </c>
      <c r="AG12091" t="s">
        <v>12713</v>
      </c>
      <c r="AH12091" t="s">
        <v>12714</v>
      </c>
      <c r="AI12091" t="s">
        <v>12715</v>
      </c>
    </row>
    <row r="12092" spans="1:35" x14ac:dyDescent="0.3">
      <c r="A12092" s="160">
        <v>91184</v>
      </c>
      <c r="B12092" t="s">
        <v>26986</v>
      </c>
      <c r="C12092" t="s">
        <v>176</v>
      </c>
      <c r="D12092">
        <v>1.6</v>
      </c>
      <c r="E12092">
        <v>0</v>
      </c>
      <c r="F12092">
        <f t="shared" si="215"/>
        <v>1.6</v>
      </c>
      <c r="G12092">
        <v>1</v>
      </c>
      <c r="H12092">
        <f t="shared" si="214"/>
        <v>1.6</v>
      </c>
      <c r="I12092">
        <v>20170401</v>
      </c>
      <c r="J12092" t="s">
        <v>12626</v>
      </c>
    </row>
    <row r="12093" spans="1:35" x14ac:dyDescent="0.3">
      <c r="A12093" s="160">
        <v>91186</v>
      </c>
      <c r="B12093" t="s">
        <v>26987</v>
      </c>
      <c r="C12093" t="s">
        <v>176</v>
      </c>
      <c r="D12093">
        <v>1.6</v>
      </c>
      <c r="E12093">
        <v>0</v>
      </c>
      <c r="F12093">
        <f t="shared" si="215"/>
        <v>1.6</v>
      </c>
      <c r="G12093">
        <v>1</v>
      </c>
      <c r="H12093">
        <f t="shared" si="214"/>
        <v>1.6</v>
      </c>
      <c r="I12093">
        <v>20170401</v>
      </c>
      <c r="J12093" t="s">
        <v>12599</v>
      </c>
      <c r="K12093" t="s">
        <v>12659</v>
      </c>
    </row>
    <row r="12094" spans="1:35" x14ac:dyDescent="0.3">
      <c r="A12094" s="160">
        <v>91191</v>
      </c>
      <c r="B12094" t="s">
        <v>26988</v>
      </c>
      <c r="C12094" t="s">
        <v>176</v>
      </c>
      <c r="D12094">
        <v>2.0099999999999998</v>
      </c>
      <c r="E12094">
        <v>0</v>
      </c>
      <c r="F12094">
        <f t="shared" si="215"/>
        <v>2.0099999999999998</v>
      </c>
      <c r="G12094">
        <v>1</v>
      </c>
      <c r="H12094">
        <f t="shared" si="214"/>
        <v>2.0099999999999998</v>
      </c>
      <c r="I12094">
        <v>20170401</v>
      </c>
      <c r="J12094" t="s">
        <v>12716</v>
      </c>
      <c r="K12094" t="s">
        <v>12717</v>
      </c>
      <c r="L12094" t="s">
        <v>12718</v>
      </c>
      <c r="M12094" t="s">
        <v>12719</v>
      </c>
      <c r="N12094" t="s">
        <v>12720</v>
      </c>
    </row>
    <row r="12095" spans="1:35" x14ac:dyDescent="0.3">
      <c r="A12095" s="160">
        <v>91195</v>
      </c>
      <c r="B12095" t="s">
        <v>26989</v>
      </c>
      <c r="C12095" t="s">
        <v>176</v>
      </c>
      <c r="D12095">
        <v>1.6</v>
      </c>
      <c r="E12095">
        <v>0</v>
      </c>
      <c r="F12095">
        <f t="shared" si="215"/>
        <v>1.6</v>
      </c>
      <c r="G12095">
        <v>1</v>
      </c>
      <c r="H12095">
        <f t="shared" si="214"/>
        <v>1.6</v>
      </c>
      <c r="I12095">
        <v>20170401</v>
      </c>
      <c r="J12095" t="s">
        <v>12690</v>
      </c>
    </row>
    <row r="12096" spans="1:35" x14ac:dyDescent="0.3">
      <c r="A12096" s="160">
        <v>91198</v>
      </c>
      <c r="B12096" t="s">
        <v>26990</v>
      </c>
      <c r="C12096" t="s">
        <v>176</v>
      </c>
      <c r="D12096">
        <v>1.6</v>
      </c>
      <c r="E12096">
        <v>0</v>
      </c>
      <c r="F12096">
        <f t="shared" si="215"/>
        <v>1.6</v>
      </c>
      <c r="G12096">
        <v>1</v>
      </c>
      <c r="H12096">
        <f t="shared" si="214"/>
        <v>1.6</v>
      </c>
      <c r="I12096">
        <v>20170401</v>
      </c>
      <c r="J12096" t="s">
        <v>12621</v>
      </c>
    </row>
    <row r="12097" spans="1:46" x14ac:dyDescent="0.3">
      <c r="A12097" s="160">
        <v>91200</v>
      </c>
      <c r="B12097" t="s">
        <v>26991</v>
      </c>
      <c r="C12097" t="s">
        <v>176</v>
      </c>
      <c r="D12097">
        <v>1.6</v>
      </c>
      <c r="E12097">
        <v>0</v>
      </c>
      <c r="F12097">
        <f t="shared" si="215"/>
        <v>1.6</v>
      </c>
      <c r="G12097">
        <v>1</v>
      </c>
      <c r="H12097">
        <f t="shared" si="214"/>
        <v>1.6</v>
      </c>
      <c r="I12097">
        <v>20170401</v>
      </c>
      <c r="J12097" t="s">
        <v>12611</v>
      </c>
      <c r="K12097" t="s">
        <v>12689</v>
      </c>
      <c r="L12097" t="s">
        <v>12721</v>
      </c>
      <c r="M12097" t="s">
        <v>11431</v>
      </c>
      <c r="N12097" t="s">
        <v>12722</v>
      </c>
      <c r="O12097" t="s">
        <v>12723</v>
      </c>
    </row>
    <row r="12098" spans="1:46" x14ac:dyDescent="0.3">
      <c r="A12098" s="160">
        <v>91201</v>
      </c>
      <c r="B12098" t="s">
        <v>26992</v>
      </c>
      <c r="C12098" t="s">
        <v>176</v>
      </c>
      <c r="D12098">
        <v>2.0099999999999998</v>
      </c>
      <c r="E12098">
        <v>0</v>
      </c>
      <c r="F12098">
        <f t="shared" si="215"/>
        <v>2.0099999999999998</v>
      </c>
      <c r="G12098">
        <v>1</v>
      </c>
      <c r="H12098">
        <f t="shared" si="214"/>
        <v>2.0099999999999998</v>
      </c>
      <c r="I12098">
        <v>20170401</v>
      </c>
      <c r="J12098" t="s">
        <v>12724</v>
      </c>
      <c r="K12098" t="s">
        <v>12725</v>
      </c>
      <c r="L12098" t="s">
        <v>12726</v>
      </c>
    </row>
    <row r="12099" spans="1:46" x14ac:dyDescent="0.3">
      <c r="A12099" s="160">
        <v>91204</v>
      </c>
      <c r="B12099" t="s">
        <v>26993</v>
      </c>
      <c r="C12099" t="s">
        <v>176</v>
      </c>
      <c r="D12099">
        <v>2.0099999999999998</v>
      </c>
      <c r="E12099">
        <v>0</v>
      </c>
      <c r="F12099">
        <f t="shared" si="215"/>
        <v>2.0099999999999998</v>
      </c>
      <c r="G12099">
        <v>1</v>
      </c>
      <c r="H12099">
        <f t="shared" si="214"/>
        <v>2.0099999999999998</v>
      </c>
      <c r="I12099">
        <v>20170401</v>
      </c>
      <c r="J12099" t="s">
        <v>12727</v>
      </c>
    </row>
    <row r="12100" spans="1:46" x14ac:dyDescent="0.3">
      <c r="A12100" s="160">
        <v>91207</v>
      </c>
      <c r="B12100" t="s">
        <v>26994</v>
      </c>
      <c r="C12100" t="s">
        <v>176</v>
      </c>
      <c r="D12100">
        <v>2.0099999999999998</v>
      </c>
      <c r="E12100">
        <v>0</v>
      </c>
      <c r="F12100">
        <f t="shared" si="215"/>
        <v>2.0099999999999998</v>
      </c>
      <c r="G12100">
        <v>1</v>
      </c>
      <c r="H12100">
        <f t="shared" si="214"/>
        <v>2.0099999999999998</v>
      </c>
      <c r="I12100">
        <v>20170401</v>
      </c>
      <c r="J12100" t="s">
        <v>12599</v>
      </c>
      <c r="K12100" t="s">
        <v>12601</v>
      </c>
      <c r="L12100" t="s">
        <v>12728</v>
      </c>
    </row>
    <row r="12101" spans="1:46" x14ac:dyDescent="0.3">
      <c r="A12101" s="160">
        <v>91215</v>
      </c>
      <c r="B12101" t="s">
        <v>26995</v>
      </c>
      <c r="C12101" t="s">
        <v>176</v>
      </c>
      <c r="D12101">
        <v>2.0099999999999998</v>
      </c>
      <c r="E12101">
        <v>0</v>
      </c>
      <c r="F12101">
        <f t="shared" si="215"/>
        <v>2.0099999999999998</v>
      </c>
      <c r="G12101">
        <v>1</v>
      </c>
      <c r="H12101">
        <f t="shared" ref="H12101:H12164" si="216">G12101*F12101</f>
        <v>2.0099999999999998</v>
      </c>
      <c r="I12101">
        <v>20170401</v>
      </c>
      <c r="J12101" t="s">
        <v>12643</v>
      </c>
      <c r="K12101" t="s">
        <v>12657</v>
      </c>
      <c r="L12101" t="s">
        <v>12729</v>
      </c>
      <c r="M12101" t="s">
        <v>12730</v>
      </c>
    </row>
    <row r="12102" spans="1:46" x14ac:dyDescent="0.3">
      <c r="A12102" s="160">
        <v>91216</v>
      </c>
      <c r="B12102" t="s">
        <v>26996</v>
      </c>
      <c r="C12102" t="s">
        <v>176</v>
      </c>
      <c r="D12102">
        <v>2.0099999999999998</v>
      </c>
      <c r="E12102">
        <v>0</v>
      </c>
      <c r="F12102">
        <f t="shared" si="215"/>
        <v>2.0099999999999998</v>
      </c>
      <c r="G12102">
        <v>1</v>
      </c>
      <c r="H12102">
        <f t="shared" si="216"/>
        <v>2.0099999999999998</v>
      </c>
      <c r="I12102">
        <v>20170401</v>
      </c>
      <c r="J12102" t="s">
        <v>12731</v>
      </c>
    </row>
    <row r="12103" spans="1:46" x14ac:dyDescent="0.3">
      <c r="A12103" s="160">
        <v>91222</v>
      </c>
      <c r="B12103" t="s">
        <v>26996</v>
      </c>
      <c r="C12103" t="s">
        <v>176</v>
      </c>
      <c r="D12103">
        <v>1.6</v>
      </c>
      <c r="E12103">
        <v>0</v>
      </c>
      <c r="F12103">
        <f t="shared" ref="F12103:F12166" si="217">D12103+E12103</f>
        <v>1.6</v>
      </c>
      <c r="G12103">
        <v>1</v>
      </c>
      <c r="H12103">
        <f t="shared" si="216"/>
        <v>1.6</v>
      </c>
      <c r="I12103">
        <v>20170401</v>
      </c>
      <c r="J12103" t="s">
        <v>12732</v>
      </c>
    </row>
    <row r="12104" spans="1:46" x14ac:dyDescent="0.3">
      <c r="A12104" s="160">
        <v>91223</v>
      </c>
      <c r="B12104" t="s">
        <v>26997</v>
      </c>
      <c r="C12104" t="s">
        <v>176</v>
      </c>
      <c r="D12104">
        <v>1.6</v>
      </c>
      <c r="E12104">
        <v>0</v>
      </c>
      <c r="F12104">
        <f t="shared" si="217"/>
        <v>1.6</v>
      </c>
      <c r="G12104">
        <v>1</v>
      </c>
      <c r="H12104">
        <f t="shared" si="216"/>
        <v>1.6</v>
      </c>
      <c r="I12104">
        <v>20170401</v>
      </c>
      <c r="J12104" t="s">
        <v>12594</v>
      </c>
      <c r="K12104" t="s">
        <v>12595</v>
      </c>
      <c r="L12104" t="s">
        <v>12733</v>
      </c>
      <c r="M12104" t="s">
        <v>12654</v>
      </c>
      <c r="N12104" t="s">
        <v>12655</v>
      </c>
      <c r="O12104" t="s">
        <v>12734</v>
      </c>
      <c r="P12104" t="s">
        <v>12735</v>
      </c>
      <c r="Q12104" t="s">
        <v>12736</v>
      </c>
    </row>
    <row r="12105" spans="1:46" x14ac:dyDescent="0.3">
      <c r="A12105" s="160">
        <v>91225</v>
      </c>
      <c r="B12105" t="s">
        <v>26998</v>
      </c>
      <c r="C12105" t="s">
        <v>176</v>
      </c>
      <c r="D12105">
        <v>2.0099999999999998</v>
      </c>
      <c r="E12105">
        <v>0</v>
      </c>
      <c r="F12105">
        <f t="shared" si="217"/>
        <v>2.0099999999999998</v>
      </c>
      <c r="G12105">
        <v>1</v>
      </c>
      <c r="H12105">
        <f t="shared" si="216"/>
        <v>2.0099999999999998</v>
      </c>
      <c r="I12105">
        <v>20170401</v>
      </c>
      <c r="J12105" t="s">
        <v>12737</v>
      </c>
    </row>
    <row r="12106" spans="1:46" x14ac:dyDescent="0.3">
      <c r="A12106" s="160">
        <v>91226</v>
      </c>
      <c r="B12106" t="s">
        <v>20793</v>
      </c>
      <c r="C12106" t="s">
        <v>176</v>
      </c>
      <c r="D12106">
        <v>1.6</v>
      </c>
      <c r="E12106">
        <v>0</v>
      </c>
      <c r="F12106">
        <f t="shared" si="217"/>
        <v>1.6</v>
      </c>
      <c r="G12106">
        <v>1</v>
      </c>
      <c r="H12106">
        <f t="shared" si="216"/>
        <v>1.6</v>
      </c>
      <c r="I12106">
        <v>20170401</v>
      </c>
      <c r="J12106" t="s">
        <v>12613</v>
      </c>
    </row>
    <row r="12107" spans="1:46" x14ac:dyDescent="0.3">
      <c r="A12107" s="160">
        <v>91228</v>
      </c>
      <c r="B12107" t="s">
        <v>26999</v>
      </c>
      <c r="C12107" t="s">
        <v>176</v>
      </c>
      <c r="D12107">
        <v>2.0099999999999998</v>
      </c>
      <c r="E12107">
        <v>0</v>
      </c>
      <c r="F12107">
        <f t="shared" si="217"/>
        <v>2.0099999999999998</v>
      </c>
      <c r="G12107">
        <v>1</v>
      </c>
      <c r="H12107">
        <f t="shared" si="216"/>
        <v>2.0099999999999998</v>
      </c>
      <c r="I12107">
        <v>20170401</v>
      </c>
      <c r="J12107" t="s">
        <v>12738</v>
      </c>
      <c r="K12107" t="s">
        <v>12739</v>
      </c>
      <c r="L12107" t="s">
        <v>12691</v>
      </c>
      <c r="M12107" t="s">
        <v>12692</v>
      </c>
      <c r="N12107" t="s">
        <v>12693</v>
      </c>
      <c r="O12107" t="s">
        <v>12694</v>
      </c>
      <c r="P12107" t="s">
        <v>12695</v>
      </c>
      <c r="Q12107" t="s">
        <v>12696</v>
      </c>
      <c r="R12107" t="s">
        <v>12697</v>
      </c>
      <c r="S12107" t="s">
        <v>12740</v>
      </c>
      <c r="T12107" t="s">
        <v>12699</v>
      </c>
      <c r="U12107" t="s">
        <v>12700</v>
      </c>
      <c r="V12107" t="s">
        <v>12741</v>
      </c>
      <c r="W12107" t="s">
        <v>12701</v>
      </c>
      <c r="X12107" t="s">
        <v>12742</v>
      </c>
      <c r="Y12107" t="s">
        <v>12706</v>
      </c>
      <c r="Z12107" t="s">
        <v>12743</v>
      </c>
      <c r="AA12107" t="s">
        <v>12707</v>
      </c>
      <c r="AB12107" t="s">
        <v>12744</v>
      </c>
      <c r="AC12107" t="s">
        <v>12745</v>
      </c>
      <c r="AD12107" t="s">
        <v>12708</v>
      </c>
      <c r="AE12107" t="s">
        <v>12746</v>
      </c>
      <c r="AF12107" t="s">
        <v>12747</v>
      </c>
      <c r="AG12107" t="s">
        <v>12748</v>
      </c>
      <c r="AH12107" t="s">
        <v>12749</v>
      </c>
      <c r="AI12107" t="s">
        <v>12750</v>
      </c>
      <c r="AJ12107" t="s">
        <v>12751</v>
      </c>
      <c r="AK12107" t="s">
        <v>12752</v>
      </c>
      <c r="AL12107" t="s">
        <v>12753</v>
      </c>
      <c r="AM12107" t="s">
        <v>12710</v>
      </c>
      <c r="AN12107" t="s">
        <v>12754</v>
      </c>
      <c r="AO12107" t="s">
        <v>12711</v>
      </c>
      <c r="AP12107" t="s">
        <v>12755</v>
      </c>
      <c r="AQ12107" t="s">
        <v>12756</v>
      </c>
      <c r="AR12107" t="s">
        <v>12714</v>
      </c>
      <c r="AS12107" t="s">
        <v>12757</v>
      </c>
      <c r="AT12107" t="s">
        <v>12758</v>
      </c>
    </row>
    <row r="12108" spans="1:46" x14ac:dyDescent="0.3">
      <c r="A12108" s="160">
        <v>91232</v>
      </c>
      <c r="B12108" t="s">
        <v>27000</v>
      </c>
      <c r="C12108" t="s">
        <v>176</v>
      </c>
      <c r="D12108">
        <v>1.6</v>
      </c>
      <c r="E12108">
        <v>0</v>
      </c>
      <c r="F12108">
        <f t="shared" si="217"/>
        <v>1.6</v>
      </c>
      <c r="G12108">
        <v>1</v>
      </c>
      <c r="H12108">
        <f t="shared" si="216"/>
        <v>1.6</v>
      </c>
      <c r="I12108">
        <v>20170401</v>
      </c>
      <c r="J12108" t="s">
        <v>12621</v>
      </c>
    </row>
    <row r="12109" spans="1:46" x14ac:dyDescent="0.3">
      <c r="A12109" s="160">
        <v>91235</v>
      </c>
      <c r="B12109" t="s">
        <v>27001</v>
      </c>
      <c r="C12109" t="s">
        <v>176</v>
      </c>
      <c r="D12109">
        <v>2.0099999999999998</v>
      </c>
      <c r="E12109">
        <v>0</v>
      </c>
      <c r="F12109">
        <f t="shared" si="217"/>
        <v>2.0099999999999998</v>
      </c>
      <c r="G12109">
        <v>1</v>
      </c>
      <c r="H12109">
        <f t="shared" si="216"/>
        <v>2.0099999999999998</v>
      </c>
      <c r="I12109">
        <v>20170401</v>
      </c>
      <c r="J12109" t="s">
        <v>12759</v>
      </c>
      <c r="K12109" t="s">
        <v>12760</v>
      </c>
      <c r="L12109" t="s">
        <v>12761</v>
      </c>
      <c r="M12109" t="s">
        <v>12762</v>
      </c>
      <c r="N12109" t="s">
        <v>12763</v>
      </c>
      <c r="O12109" t="s">
        <v>12764</v>
      </c>
    </row>
    <row r="12110" spans="1:46" x14ac:dyDescent="0.3">
      <c r="A12110" s="160">
        <v>91240</v>
      </c>
      <c r="B12110" t="s">
        <v>27002</v>
      </c>
      <c r="C12110" t="s">
        <v>176</v>
      </c>
      <c r="D12110">
        <v>1.6</v>
      </c>
      <c r="E12110">
        <v>0</v>
      </c>
      <c r="F12110">
        <f t="shared" si="217"/>
        <v>1.6</v>
      </c>
      <c r="G12110">
        <v>1</v>
      </c>
      <c r="H12110">
        <f t="shared" si="216"/>
        <v>1.6</v>
      </c>
      <c r="I12110">
        <v>20170401</v>
      </c>
      <c r="J12110" t="s">
        <v>12605</v>
      </c>
    </row>
    <row r="12111" spans="1:46" x14ac:dyDescent="0.3">
      <c r="A12111" s="160">
        <v>91243</v>
      </c>
      <c r="B12111" t="s">
        <v>27003</v>
      </c>
      <c r="C12111" t="s">
        <v>176</v>
      </c>
      <c r="D12111">
        <v>1.6</v>
      </c>
      <c r="E12111">
        <v>0</v>
      </c>
      <c r="F12111">
        <f t="shared" si="217"/>
        <v>1.6</v>
      </c>
      <c r="G12111">
        <v>1</v>
      </c>
      <c r="H12111">
        <f t="shared" si="216"/>
        <v>1.6</v>
      </c>
      <c r="I12111">
        <v>20170401</v>
      </c>
      <c r="J12111" t="s">
        <v>12656</v>
      </c>
      <c r="K12111" t="s">
        <v>12765</v>
      </c>
    </row>
    <row r="12112" spans="1:46" x14ac:dyDescent="0.3">
      <c r="A12112" s="160">
        <v>91244</v>
      </c>
      <c r="B12112" t="s">
        <v>27004</v>
      </c>
      <c r="C12112" t="s">
        <v>176</v>
      </c>
      <c r="D12112">
        <v>2.0099999999999998</v>
      </c>
      <c r="E12112">
        <v>0</v>
      </c>
      <c r="F12112">
        <f t="shared" si="217"/>
        <v>2.0099999999999998</v>
      </c>
      <c r="G12112">
        <v>1</v>
      </c>
      <c r="H12112">
        <f t="shared" si="216"/>
        <v>2.0099999999999998</v>
      </c>
      <c r="I12112">
        <v>20170401</v>
      </c>
      <c r="J12112" t="s">
        <v>12727</v>
      </c>
      <c r="K12112" t="s">
        <v>12766</v>
      </c>
    </row>
    <row r="12113" spans="1:16" x14ac:dyDescent="0.3">
      <c r="A12113" s="160">
        <v>91247</v>
      </c>
      <c r="B12113" t="s">
        <v>27005</v>
      </c>
      <c r="C12113" t="s">
        <v>176</v>
      </c>
      <c r="D12113">
        <v>1.6</v>
      </c>
      <c r="E12113">
        <v>0</v>
      </c>
      <c r="F12113">
        <f t="shared" si="217"/>
        <v>1.6</v>
      </c>
      <c r="G12113">
        <v>1</v>
      </c>
      <c r="H12113">
        <f t="shared" si="216"/>
        <v>1.6</v>
      </c>
      <c r="I12113">
        <v>20170401</v>
      </c>
      <c r="J12113" t="s">
        <v>12611</v>
      </c>
    </row>
    <row r="12114" spans="1:16" x14ac:dyDescent="0.3">
      <c r="A12114" s="160">
        <v>91248</v>
      </c>
      <c r="B12114" t="s">
        <v>27006</v>
      </c>
      <c r="C12114" t="s">
        <v>176</v>
      </c>
      <c r="D12114">
        <v>1.6</v>
      </c>
      <c r="E12114">
        <v>0</v>
      </c>
      <c r="F12114">
        <f t="shared" si="217"/>
        <v>1.6</v>
      </c>
      <c r="G12114">
        <v>1</v>
      </c>
      <c r="H12114">
        <f t="shared" si="216"/>
        <v>1.6</v>
      </c>
      <c r="I12114">
        <v>20170401</v>
      </c>
      <c r="J12114" t="s">
        <v>12594</v>
      </c>
    </row>
    <row r="12115" spans="1:16" x14ac:dyDescent="0.3">
      <c r="A12115" s="160">
        <v>91249</v>
      </c>
      <c r="B12115" t="s">
        <v>27007</v>
      </c>
      <c r="C12115" t="s">
        <v>176</v>
      </c>
      <c r="D12115">
        <v>1.6</v>
      </c>
      <c r="E12115">
        <v>0</v>
      </c>
      <c r="F12115">
        <f t="shared" si="217"/>
        <v>1.6</v>
      </c>
      <c r="G12115">
        <v>1</v>
      </c>
      <c r="H12115">
        <f t="shared" si="216"/>
        <v>1.6</v>
      </c>
      <c r="I12115">
        <v>20170401</v>
      </c>
      <c r="J12115" t="s">
        <v>12767</v>
      </c>
      <c r="K12115" t="s">
        <v>12597</v>
      </c>
    </row>
    <row r="12116" spans="1:16" x14ac:dyDescent="0.3">
      <c r="A12116" s="160">
        <v>91272</v>
      </c>
      <c r="B12116" t="s">
        <v>27008</v>
      </c>
      <c r="C12116" t="s">
        <v>176</v>
      </c>
      <c r="D12116">
        <v>2.0099999999999998</v>
      </c>
      <c r="E12116">
        <v>0</v>
      </c>
      <c r="F12116">
        <f t="shared" si="217"/>
        <v>2.0099999999999998</v>
      </c>
      <c r="G12116">
        <v>1</v>
      </c>
      <c r="H12116">
        <f t="shared" si="216"/>
        <v>2.0099999999999998</v>
      </c>
      <c r="I12116">
        <v>20170401</v>
      </c>
      <c r="J12116" t="s">
        <v>12768</v>
      </c>
      <c r="K12116" t="s">
        <v>12769</v>
      </c>
      <c r="L12116" t="s">
        <v>12770</v>
      </c>
      <c r="M12116" t="s">
        <v>12771</v>
      </c>
      <c r="N12116" t="s">
        <v>12772</v>
      </c>
      <c r="O12116" t="s">
        <v>12773</v>
      </c>
    </row>
    <row r="12117" spans="1:16" x14ac:dyDescent="0.3">
      <c r="A12117" s="160">
        <v>91273</v>
      </c>
      <c r="B12117" t="s">
        <v>27009</v>
      </c>
      <c r="C12117" t="s">
        <v>176</v>
      </c>
      <c r="D12117">
        <v>1.6</v>
      </c>
      <c r="E12117">
        <v>0</v>
      </c>
      <c r="F12117">
        <f t="shared" si="217"/>
        <v>1.6</v>
      </c>
      <c r="G12117">
        <v>1</v>
      </c>
      <c r="H12117">
        <f t="shared" si="216"/>
        <v>1.6</v>
      </c>
      <c r="I12117">
        <v>20170401</v>
      </c>
      <c r="J12117" t="s">
        <v>12626</v>
      </c>
    </row>
    <row r="12118" spans="1:16" x14ac:dyDescent="0.3">
      <c r="A12118" s="160">
        <v>91274</v>
      </c>
      <c r="B12118" t="s">
        <v>27010</v>
      </c>
      <c r="C12118" t="s">
        <v>176</v>
      </c>
      <c r="D12118">
        <v>1.6</v>
      </c>
      <c r="E12118">
        <v>0</v>
      </c>
      <c r="F12118">
        <f t="shared" si="217"/>
        <v>1.6</v>
      </c>
      <c r="G12118">
        <v>1</v>
      </c>
      <c r="H12118">
        <f t="shared" si="216"/>
        <v>1.6</v>
      </c>
      <c r="I12118">
        <v>20170401</v>
      </c>
      <c r="J12118" t="s">
        <v>12774</v>
      </c>
    </row>
    <row r="12119" spans="1:16" x14ac:dyDescent="0.3">
      <c r="A12119" s="160">
        <v>91275</v>
      </c>
      <c r="B12119" t="s">
        <v>27011</v>
      </c>
      <c r="C12119" t="s">
        <v>176</v>
      </c>
      <c r="D12119">
        <v>2.0099999999999998</v>
      </c>
      <c r="E12119">
        <v>0</v>
      </c>
      <c r="F12119">
        <f t="shared" si="217"/>
        <v>2.0099999999999998</v>
      </c>
      <c r="G12119">
        <v>1</v>
      </c>
      <c r="H12119">
        <f t="shared" si="216"/>
        <v>2.0099999999999998</v>
      </c>
      <c r="I12119">
        <v>20170401</v>
      </c>
      <c r="J12119" t="s">
        <v>12775</v>
      </c>
    </row>
    <row r="12120" spans="1:16" x14ac:dyDescent="0.3">
      <c r="A12120" s="160">
        <v>91284</v>
      </c>
      <c r="B12120" t="s">
        <v>27012</v>
      </c>
      <c r="C12120" t="s">
        <v>176</v>
      </c>
      <c r="D12120">
        <v>1.6</v>
      </c>
      <c r="E12120">
        <v>0</v>
      </c>
      <c r="F12120">
        <f t="shared" si="217"/>
        <v>1.6</v>
      </c>
      <c r="G12120">
        <v>1</v>
      </c>
      <c r="H12120">
        <f t="shared" si="216"/>
        <v>1.6</v>
      </c>
      <c r="I12120">
        <v>20170401</v>
      </c>
      <c r="J12120" t="s">
        <v>12611</v>
      </c>
      <c r="K12120" t="s">
        <v>12721</v>
      </c>
    </row>
    <row r="12121" spans="1:16" x14ac:dyDescent="0.3">
      <c r="A12121" s="160">
        <v>91286</v>
      </c>
      <c r="B12121" t="s">
        <v>24530</v>
      </c>
      <c r="C12121" t="s">
        <v>176</v>
      </c>
      <c r="D12121">
        <v>2.0099999999999998</v>
      </c>
      <c r="E12121">
        <v>0</v>
      </c>
      <c r="F12121">
        <f t="shared" si="217"/>
        <v>2.0099999999999998</v>
      </c>
      <c r="G12121">
        <v>1</v>
      </c>
      <c r="H12121">
        <f t="shared" si="216"/>
        <v>2.0099999999999998</v>
      </c>
      <c r="I12121">
        <v>20170401</v>
      </c>
      <c r="J12121" t="s">
        <v>10195</v>
      </c>
      <c r="K12121" t="s">
        <v>12776</v>
      </c>
      <c r="L12121" t="s">
        <v>12777</v>
      </c>
      <c r="M12121" t="s">
        <v>12778</v>
      </c>
      <c r="N12121" t="s">
        <v>12779</v>
      </c>
      <c r="O12121" t="s">
        <v>12780</v>
      </c>
      <c r="P12121" t="s">
        <v>12781</v>
      </c>
    </row>
    <row r="12122" spans="1:16" x14ac:dyDescent="0.3">
      <c r="A12122" s="160">
        <v>91292</v>
      </c>
      <c r="B12122" t="s">
        <v>27013</v>
      </c>
      <c r="C12122" t="s">
        <v>176</v>
      </c>
      <c r="D12122">
        <v>1.6</v>
      </c>
      <c r="E12122">
        <v>0</v>
      </c>
      <c r="F12122">
        <f t="shared" si="217"/>
        <v>1.6</v>
      </c>
      <c r="G12122">
        <v>1</v>
      </c>
      <c r="H12122">
        <f t="shared" si="216"/>
        <v>1.6</v>
      </c>
      <c r="I12122">
        <v>20170401</v>
      </c>
      <c r="J12122" t="s">
        <v>12599</v>
      </c>
      <c r="K12122" t="s">
        <v>12600</v>
      </c>
      <c r="L12122" t="s">
        <v>12601</v>
      </c>
      <c r="M12122" t="s">
        <v>12614</v>
      </c>
    </row>
    <row r="12123" spans="1:16" ht="13.5" customHeight="1" x14ac:dyDescent="0.3">
      <c r="A12123" s="160">
        <v>91293</v>
      </c>
      <c r="B12123" t="s">
        <v>27014</v>
      </c>
      <c r="C12123" t="s">
        <v>176</v>
      </c>
      <c r="D12123">
        <v>1.6</v>
      </c>
      <c r="E12123">
        <v>0</v>
      </c>
      <c r="F12123">
        <f t="shared" si="217"/>
        <v>1.6</v>
      </c>
      <c r="G12123">
        <v>1</v>
      </c>
      <c r="H12123">
        <f t="shared" si="216"/>
        <v>1.6</v>
      </c>
      <c r="I12123">
        <v>20170401</v>
      </c>
      <c r="J12123" t="s">
        <v>12621</v>
      </c>
    </row>
    <row r="12124" spans="1:16" x14ac:dyDescent="0.3">
      <c r="A12124" s="160">
        <v>91294</v>
      </c>
      <c r="B12124" t="s">
        <v>27015</v>
      </c>
      <c r="C12124" t="s">
        <v>176</v>
      </c>
      <c r="D12124">
        <v>1.6</v>
      </c>
      <c r="E12124">
        <v>0</v>
      </c>
      <c r="F12124">
        <f t="shared" si="217"/>
        <v>1.6</v>
      </c>
      <c r="G12124">
        <v>1</v>
      </c>
      <c r="H12124">
        <f t="shared" si="216"/>
        <v>1.6</v>
      </c>
      <c r="I12124">
        <v>20170401</v>
      </c>
      <c r="J12124" t="s">
        <v>12595</v>
      </c>
      <c r="K12124" t="s">
        <v>12605</v>
      </c>
    </row>
    <row r="12125" spans="1:16" x14ac:dyDescent="0.3">
      <c r="A12125" s="160">
        <v>91312</v>
      </c>
      <c r="B12125" t="s">
        <v>27016</v>
      </c>
      <c r="C12125" t="s">
        <v>176</v>
      </c>
      <c r="D12125">
        <v>2.0099999999999998</v>
      </c>
      <c r="E12125">
        <v>0</v>
      </c>
      <c r="F12125">
        <f t="shared" si="217"/>
        <v>2.0099999999999998</v>
      </c>
      <c r="G12125">
        <v>1</v>
      </c>
      <c r="H12125">
        <f t="shared" si="216"/>
        <v>2.0099999999999998</v>
      </c>
      <c r="I12125">
        <v>20170401</v>
      </c>
      <c r="J12125" t="s">
        <v>12782</v>
      </c>
    </row>
    <row r="12126" spans="1:16" x14ac:dyDescent="0.3">
      <c r="A12126" s="160">
        <v>91315</v>
      </c>
      <c r="B12126" t="s">
        <v>27017</v>
      </c>
      <c r="C12126" t="s">
        <v>176</v>
      </c>
      <c r="D12126">
        <v>1.6</v>
      </c>
      <c r="E12126">
        <v>0</v>
      </c>
      <c r="F12126">
        <f t="shared" si="217"/>
        <v>1.6</v>
      </c>
      <c r="G12126">
        <v>1</v>
      </c>
      <c r="H12126">
        <f t="shared" si="216"/>
        <v>1.6</v>
      </c>
      <c r="I12126">
        <v>20170401</v>
      </c>
      <c r="J12126" t="s">
        <v>12783</v>
      </c>
    </row>
    <row r="12127" spans="1:16" x14ac:dyDescent="0.3">
      <c r="A12127" s="160">
        <v>91318</v>
      </c>
      <c r="B12127" t="s">
        <v>27018</v>
      </c>
      <c r="C12127" t="s">
        <v>176</v>
      </c>
      <c r="D12127">
        <v>1.6</v>
      </c>
      <c r="E12127">
        <v>0</v>
      </c>
      <c r="F12127">
        <f t="shared" si="217"/>
        <v>1.6</v>
      </c>
      <c r="G12127">
        <v>1</v>
      </c>
      <c r="H12127">
        <f t="shared" si="216"/>
        <v>1.6</v>
      </c>
      <c r="I12127">
        <v>20170401</v>
      </c>
      <c r="J12127" t="s">
        <v>12784</v>
      </c>
    </row>
    <row r="12128" spans="1:16" x14ac:dyDescent="0.3">
      <c r="A12128" s="160">
        <v>91319</v>
      </c>
      <c r="B12128" t="s">
        <v>20816</v>
      </c>
      <c r="C12128" t="s">
        <v>176</v>
      </c>
      <c r="D12128">
        <v>1.6</v>
      </c>
      <c r="E12128">
        <v>0</v>
      </c>
      <c r="F12128">
        <f t="shared" si="217"/>
        <v>1.6</v>
      </c>
      <c r="G12128">
        <v>1</v>
      </c>
      <c r="H12128">
        <f t="shared" si="216"/>
        <v>1.6</v>
      </c>
      <c r="I12128">
        <v>20170401</v>
      </c>
      <c r="J12128" t="s">
        <v>12656</v>
      </c>
    </row>
    <row r="12129" spans="1:45" x14ac:dyDescent="0.3">
      <c r="A12129" s="160">
        <v>91326</v>
      </c>
      <c r="B12129" t="s">
        <v>27019</v>
      </c>
      <c r="C12129" t="s">
        <v>176</v>
      </c>
      <c r="D12129">
        <v>2.0099999999999998</v>
      </c>
      <c r="E12129">
        <v>0</v>
      </c>
      <c r="F12129">
        <f t="shared" si="217"/>
        <v>2.0099999999999998</v>
      </c>
      <c r="G12129">
        <v>1</v>
      </c>
      <c r="H12129">
        <f t="shared" si="216"/>
        <v>2.0099999999999998</v>
      </c>
      <c r="I12129">
        <v>20170401</v>
      </c>
      <c r="J12129" t="s">
        <v>12725</v>
      </c>
      <c r="K12129" t="s">
        <v>12785</v>
      </c>
      <c r="L12129" t="s">
        <v>12610</v>
      </c>
      <c r="M12129" t="s">
        <v>12786</v>
      </c>
      <c r="N12129" t="s">
        <v>12787</v>
      </c>
      <c r="O12129" t="s">
        <v>12788</v>
      </c>
    </row>
    <row r="12130" spans="1:45" x14ac:dyDescent="0.3">
      <c r="A12130" s="160">
        <v>91330</v>
      </c>
      <c r="B12130" t="s">
        <v>27020</v>
      </c>
      <c r="C12130" t="s">
        <v>176</v>
      </c>
      <c r="D12130">
        <v>1.6</v>
      </c>
      <c r="E12130">
        <v>0</v>
      </c>
      <c r="F12130">
        <f t="shared" si="217"/>
        <v>1.6</v>
      </c>
      <c r="G12130">
        <v>1</v>
      </c>
      <c r="H12130">
        <f t="shared" si="216"/>
        <v>1.6</v>
      </c>
      <c r="I12130">
        <v>20170401</v>
      </c>
      <c r="J12130" t="s">
        <v>12599</v>
      </c>
      <c r="K12130" t="s">
        <v>12601</v>
      </c>
      <c r="L12130" t="s">
        <v>12784</v>
      </c>
    </row>
    <row r="12131" spans="1:45" x14ac:dyDescent="0.3">
      <c r="A12131" s="160">
        <v>91332</v>
      </c>
      <c r="B12131" t="s">
        <v>27021</v>
      </c>
      <c r="C12131" t="s">
        <v>176</v>
      </c>
      <c r="D12131">
        <v>1.6</v>
      </c>
      <c r="E12131">
        <v>0</v>
      </c>
      <c r="F12131">
        <f t="shared" si="217"/>
        <v>1.6</v>
      </c>
      <c r="G12131">
        <v>1</v>
      </c>
      <c r="H12131">
        <f t="shared" si="216"/>
        <v>1.6</v>
      </c>
      <c r="I12131">
        <v>20170401</v>
      </c>
      <c r="J12131" t="s">
        <v>12614</v>
      </c>
    </row>
    <row r="12132" spans="1:45" x14ac:dyDescent="0.3">
      <c r="A12132" s="160">
        <v>91333</v>
      </c>
      <c r="B12132" t="s">
        <v>27022</v>
      </c>
      <c r="C12132" t="s">
        <v>176</v>
      </c>
      <c r="D12132">
        <v>2.0099999999999998</v>
      </c>
      <c r="E12132">
        <v>0</v>
      </c>
      <c r="F12132">
        <f t="shared" si="217"/>
        <v>2.0099999999999998</v>
      </c>
      <c r="G12132">
        <v>1</v>
      </c>
      <c r="H12132">
        <f t="shared" si="216"/>
        <v>2.0099999999999998</v>
      </c>
      <c r="I12132">
        <v>20170401</v>
      </c>
      <c r="J12132" t="s">
        <v>12789</v>
      </c>
      <c r="K12132" t="s">
        <v>12790</v>
      </c>
      <c r="L12132" t="s">
        <v>12791</v>
      </c>
    </row>
    <row r="12133" spans="1:45" x14ac:dyDescent="0.3">
      <c r="A12133" s="160">
        <v>91338</v>
      </c>
      <c r="B12133" t="s">
        <v>27023</v>
      </c>
      <c r="C12133" t="s">
        <v>176</v>
      </c>
      <c r="D12133">
        <v>1.6</v>
      </c>
      <c r="E12133">
        <v>0</v>
      </c>
      <c r="F12133">
        <f t="shared" si="217"/>
        <v>1.6</v>
      </c>
      <c r="G12133">
        <v>1</v>
      </c>
      <c r="H12133">
        <f t="shared" si="216"/>
        <v>1.6</v>
      </c>
      <c r="I12133">
        <v>20170401</v>
      </c>
      <c r="J12133" t="s">
        <v>12597</v>
      </c>
    </row>
    <row r="12134" spans="1:45" x14ac:dyDescent="0.3">
      <c r="A12134" s="160">
        <v>91339</v>
      </c>
      <c r="B12134" t="s">
        <v>27024</v>
      </c>
      <c r="C12134" t="s">
        <v>176</v>
      </c>
      <c r="D12134">
        <v>2.0099999999999998</v>
      </c>
      <c r="E12134">
        <v>0</v>
      </c>
      <c r="F12134">
        <f t="shared" si="217"/>
        <v>2.0099999999999998</v>
      </c>
      <c r="G12134">
        <v>1</v>
      </c>
      <c r="H12134">
        <f t="shared" si="216"/>
        <v>2.0099999999999998</v>
      </c>
      <c r="I12134">
        <v>20170401</v>
      </c>
      <c r="J12134" t="s">
        <v>12789</v>
      </c>
      <c r="K12134" t="s">
        <v>12790</v>
      </c>
      <c r="L12134" t="s">
        <v>12791</v>
      </c>
      <c r="M12134" t="s">
        <v>12792</v>
      </c>
    </row>
    <row r="12135" spans="1:45" x14ac:dyDescent="0.3">
      <c r="A12135" s="160">
        <v>91340</v>
      </c>
      <c r="B12135" t="s">
        <v>27025</v>
      </c>
      <c r="C12135" t="s">
        <v>176</v>
      </c>
      <c r="D12135">
        <v>2.0099999999999998</v>
      </c>
      <c r="E12135">
        <v>0</v>
      </c>
      <c r="F12135">
        <f t="shared" si="217"/>
        <v>2.0099999999999998</v>
      </c>
      <c r="G12135">
        <v>1</v>
      </c>
      <c r="H12135">
        <f t="shared" si="216"/>
        <v>2.0099999999999998</v>
      </c>
      <c r="I12135">
        <v>20170401</v>
      </c>
      <c r="J12135" t="s">
        <v>12739</v>
      </c>
      <c r="K12135" t="s">
        <v>12691</v>
      </c>
      <c r="L12135" t="s">
        <v>12693</v>
      </c>
      <c r="M12135" t="s">
        <v>12694</v>
      </c>
      <c r="N12135" t="s">
        <v>12695</v>
      </c>
      <c r="O12135" t="s">
        <v>12697</v>
      </c>
      <c r="P12135" t="s">
        <v>12701</v>
      </c>
      <c r="Q12135" t="s">
        <v>12793</v>
      </c>
      <c r="R12135" t="s">
        <v>12794</v>
      </c>
      <c r="S12135" t="s">
        <v>12795</v>
      </c>
      <c r="T12135" t="s">
        <v>12704</v>
      </c>
      <c r="U12135" t="s">
        <v>12743</v>
      </c>
      <c r="V12135" t="s">
        <v>12707</v>
      </c>
      <c r="W12135" t="s">
        <v>12796</v>
      </c>
      <c r="X12135" t="s">
        <v>12744</v>
      </c>
      <c r="Y12135" t="s">
        <v>12797</v>
      </c>
      <c r="Z12135" t="s">
        <v>12798</v>
      </c>
      <c r="AA12135" t="s">
        <v>12711</v>
      </c>
      <c r="AB12135" t="s">
        <v>12799</v>
      </c>
      <c r="AC12135" t="s">
        <v>12800</v>
      </c>
      <c r="AD12135" t="s">
        <v>12801</v>
      </c>
      <c r="AE12135" t="s">
        <v>12802</v>
      </c>
      <c r="AF12135" t="s">
        <v>12803</v>
      </c>
    </row>
    <row r="12136" spans="1:45" x14ac:dyDescent="0.3">
      <c r="A12136" s="160">
        <v>91345</v>
      </c>
      <c r="B12136" t="s">
        <v>27026</v>
      </c>
      <c r="C12136" t="s">
        <v>176</v>
      </c>
      <c r="D12136">
        <v>2.0099999999999998</v>
      </c>
      <c r="E12136">
        <v>0</v>
      </c>
      <c r="F12136">
        <f t="shared" si="217"/>
        <v>2.0099999999999998</v>
      </c>
      <c r="G12136">
        <v>1</v>
      </c>
      <c r="H12136">
        <f t="shared" si="216"/>
        <v>2.0099999999999998</v>
      </c>
      <c r="I12136">
        <v>20170401</v>
      </c>
      <c r="J12136" t="s">
        <v>12615</v>
      </c>
      <c r="K12136" t="s">
        <v>12616</v>
      </c>
      <c r="L12136" t="s">
        <v>12617</v>
      </c>
      <c r="M12136" t="s">
        <v>12618</v>
      </c>
      <c r="N12136" t="s">
        <v>12668</v>
      </c>
      <c r="O12136" t="s">
        <v>12619</v>
      </c>
      <c r="P12136" t="s">
        <v>12804</v>
      </c>
      <c r="Q12136" t="s">
        <v>12805</v>
      </c>
      <c r="R12136" t="s">
        <v>9757</v>
      </c>
      <c r="S12136" t="s">
        <v>12806</v>
      </c>
    </row>
    <row r="12137" spans="1:45" x14ac:dyDescent="0.3">
      <c r="A12137" s="160">
        <v>91347</v>
      </c>
      <c r="B12137" t="s">
        <v>27027</v>
      </c>
      <c r="C12137" t="s">
        <v>176</v>
      </c>
      <c r="D12137">
        <v>2.0099999999999998</v>
      </c>
      <c r="E12137">
        <v>0</v>
      </c>
      <c r="F12137">
        <f t="shared" si="217"/>
        <v>2.0099999999999998</v>
      </c>
      <c r="G12137">
        <v>1</v>
      </c>
      <c r="H12137">
        <f t="shared" si="216"/>
        <v>2.0099999999999998</v>
      </c>
      <c r="I12137">
        <v>20170401</v>
      </c>
      <c r="J12137" t="s">
        <v>12789</v>
      </c>
      <c r="K12137" t="s">
        <v>12790</v>
      </c>
      <c r="L12137" t="s">
        <v>12791</v>
      </c>
      <c r="M12137" t="s">
        <v>12792</v>
      </c>
    </row>
    <row r="12138" spans="1:45" x14ac:dyDescent="0.3">
      <c r="A12138" s="160">
        <v>91359</v>
      </c>
      <c r="B12138" t="s">
        <v>27028</v>
      </c>
      <c r="C12138" t="s">
        <v>176</v>
      </c>
      <c r="D12138">
        <v>1.6</v>
      </c>
      <c r="E12138">
        <v>0</v>
      </c>
      <c r="F12138">
        <f t="shared" si="217"/>
        <v>1.6</v>
      </c>
      <c r="G12138">
        <v>1</v>
      </c>
      <c r="H12138">
        <f t="shared" si="216"/>
        <v>1.6</v>
      </c>
      <c r="I12138">
        <v>20170401</v>
      </c>
      <c r="J12138" t="s">
        <v>12626</v>
      </c>
    </row>
    <row r="12139" spans="1:45" x14ac:dyDescent="0.3">
      <c r="A12139" s="160">
        <v>91363</v>
      </c>
      <c r="B12139" t="s">
        <v>27029</v>
      </c>
      <c r="C12139" t="s">
        <v>176</v>
      </c>
      <c r="D12139">
        <v>2.0099999999999998</v>
      </c>
      <c r="E12139">
        <v>0</v>
      </c>
      <c r="F12139">
        <f t="shared" si="217"/>
        <v>2.0099999999999998</v>
      </c>
      <c r="G12139">
        <v>1</v>
      </c>
      <c r="H12139">
        <f t="shared" si="216"/>
        <v>2.0099999999999998</v>
      </c>
      <c r="I12139">
        <v>20170401</v>
      </c>
      <c r="J12139" t="s">
        <v>12790</v>
      </c>
      <c r="K12139" t="s">
        <v>12807</v>
      </c>
      <c r="L12139" t="s">
        <v>12808</v>
      </c>
      <c r="M12139" t="s">
        <v>12809</v>
      </c>
      <c r="N12139" t="s">
        <v>12810</v>
      </c>
    </row>
    <row r="12140" spans="1:45" x14ac:dyDescent="0.3">
      <c r="A12140" s="160">
        <v>91374</v>
      </c>
      <c r="B12140" t="s">
        <v>27030</v>
      </c>
      <c r="C12140" t="s">
        <v>176</v>
      </c>
      <c r="D12140">
        <v>1.6</v>
      </c>
      <c r="E12140">
        <v>0</v>
      </c>
      <c r="F12140">
        <f t="shared" si="217"/>
        <v>1.6</v>
      </c>
      <c r="G12140">
        <v>1</v>
      </c>
      <c r="H12140">
        <f t="shared" si="216"/>
        <v>1.6</v>
      </c>
      <c r="I12140">
        <v>20170401</v>
      </c>
      <c r="J12140" t="s">
        <v>12594</v>
      </c>
    </row>
    <row r="12141" spans="1:45" x14ac:dyDescent="0.3">
      <c r="A12141" s="160">
        <v>91376</v>
      </c>
      <c r="B12141" t="s">
        <v>27031</v>
      </c>
      <c r="C12141" t="s">
        <v>176</v>
      </c>
      <c r="D12141">
        <v>1.6</v>
      </c>
      <c r="E12141">
        <v>0</v>
      </c>
      <c r="F12141">
        <f t="shared" si="217"/>
        <v>1.6</v>
      </c>
      <c r="G12141">
        <v>1</v>
      </c>
      <c r="H12141">
        <f t="shared" si="216"/>
        <v>1.6</v>
      </c>
      <c r="I12141">
        <v>20170401</v>
      </c>
      <c r="J12141" t="s">
        <v>12599</v>
      </c>
      <c r="K12141" t="s">
        <v>12601</v>
      </c>
      <c r="L12141" t="s">
        <v>12614</v>
      </c>
    </row>
    <row r="12142" spans="1:45" x14ac:dyDescent="0.3">
      <c r="A12142" s="160">
        <v>91377</v>
      </c>
      <c r="B12142" t="s">
        <v>27032</v>
      </c>
      <c r="C12142" t="s">
        <v>176</v>
      </c>
      <c r="D12142">
        <v>2.0099999999999998</v>
      </c>
      <c r="E12142">
        <v>0</v>
      </c>
      <c r="F12142">
        <f t="shared" si="217"/>
        <v>2.0099999999999998</v>
      </c>
      <c r="G12142">
        <v>1</v>
      </c>
      <c r="H12142">
        <f t="shared" si="216"/>
        <v>2.0099999999999998</v>
      </c>
      <c r="I12142">
        <v>20170401</v>
      </c>
      <c r="J12142" t="s">
        <v>12694</v>
      </c>
      <c r="K12142" t="s">
        <v>10055</v>
      </c>
      <c r="L12142" t="s">
        <v>12811</v>
      </c>
      <c r="M12142" t="s">
        <v>12812</v>
      </c>
      <c r="N12142" t="s">
        <v>12813</v>
      </c>
      <c r="O12142" t="s">
        <v>12814</v>
      </c>
      <c r="P12142" t="s">
        <v>12815</v>
      </c>
      <c r="Q12142" t="s">
        <v>12816</v>
      </c>
      <c r="R12142" t="s">
        <v>12817</v>
      </c>
      <c r="S12142" t="s">
        <v>12818</v>
      </c>
      <c r="T12142" t="s">
        <v>12819</v>
      </c>
      <c r="U12142" t="s">
        <v>12820</v>
      </c>
      <c r="V12142" t="s">
        <v>12821</v>
      </c>
      <c r="W12142" t="s">
        <v>12822</v>
      </c>
      <c r="X12142" t="s">
        <v>12823</v>
      </c>
      <c r="Y12142" t="s">
        <v>12824</v>
      </c>
      <c r="Z12142" t="s">
        <v>12825</v>
      </c>
      <c r="AA12142" t="s">
        <v>12826</v>
      </c>
      <c r="AB12142" t="s">
        <v>12827</v>
      </c>
      <c r="AC12142" t="s">
        <v>12828</v>
      </c>
      <c r="AD12142" t="s">
        <v>12829</v>
      </c>
      <c r="AE12142" t="s">
        <v>12830</v>
      </c>
      <c r="AF12142" t="s">
        <v>12831</v>
      </c>
      <c r="AG12142" t="s">
        <v>12832</v>
      </c>
      <c r="AH12142" t="s">
        <v>12833</v>
      </c>
      <c r="AI12142" t="s">
        <v>12834</v>
      </c>
      <c r="AJ12142" t="s">
        <v>12835</v>
      </c>
      <c r="AK12142" t="s">
        <v>12675</v>
      </c>
      <c r="AL12142" t="s">
        <v>12836</v>
      </c>
      <c r="AM12142" t="s">
        <v>12837</v>
      </c>
      <c r="AN12142" t="s">
        <v>12838</v>
      </c>
      <c r="AO12142" t="s">
        <v>12839</v>
      </c>
      <c r="AP12142" t="s">
        <v>12840</v>
      </c>
      <c r="AQ12142" t="s">
        <v>12841</v>
      </c>
      <c r="AR12142" t="s">
        <v>12842</v>
      </c>
      <c r="AS12142" t="s">
        <v>12843</v>
      </c>
    </row>
    <row r="12143" spans="1:45" x14ac:dyDescent="0.3">
      <c r="A12143" s="160">
        <v>91378</v>
      </c>
      <c r="B12143" t="s">
        <v>27033</v>
      </c>
      <c r="C12143" t="s">
        <v>176</v>
      </c>
      <c r="D12143">
        <v>1.6</v>
      </c>
      <c r="E12143">
        <v>0</v>
      </c>
      <c r="F12143">
        <f t="shared" si="217"/>
        <v>1.6</v>
      </c>
      <c r="G12143">
        <v>1</v>
      </c>
      <c r="H12143">
        <f t="shared" si="216"/>
        <v>1.6</v>
      </c>
      <c r="I12143">
        <v>20170401</v>
      </c>
      <c r="J12143" t="s">
        <v>12666</v>
      </c>
    </row>
    <row r="12144" spans="1:45" x14ac:dyDescent="0.3">
      <c r="A12144" s="160">
        <v>91386</v>
      </c>
      <c r="B12144" t="s">
        <v>27034</v>
      </c>
      <c r="C12144" t="s">
        <v>176</v>
      </c>
      <c r="D12144">
        <v>2.0099999999999998</v>
      </c>
      <c r="E12144">
        <v>0</v>
      </c>
      <c r="F12144">
        <f t="shared" si="217"/>
        <v>2.0099999999999998</v>
      </c>
      <c r="G12144">
        <v>1</v>
      </c>
      <c r="H12144">
        <f t="shared" si="216"/>
        <v>2.0099999999999998</v>
      </c>
      <c r="I12144">
        <v>20170401</v>
      </c>
      <c r="J12144" t="s">
        <v>12727</v>
      </c>
      <c r="K12144" t="s">
        <v>12766</v>
      </c>
      <c r="L12144" t="s">
        <v>12844</v>
      </c>
    </row>
    <row r="12145" spans="1:15" x14ac:dyDescent="0.3">
      <c r="A12145" s="160">
        <v>91390</v>
      </c>
      <c r="B12145" t="s">
        <v>27035</v>
      </c>
      <c r="C12145" t="s">
        <v>176</v>
      </c>
      <c r="D12145">
        <v>1.6</v>
      </c>
      <c r="E12145">
        <v>0</v>
      </c>
      <c r="F12145">
        <f t="shared" si="217"/>
        <v>1.6</v>
      </c>
      <c r="G12145">
        <v>1</v>
      </c>
      <c r="H12145">
        <f t="shared" si="216"/>
        <v>1.6</v>
      </c>
      <c r="I12145">
        <v>20170401</v>
      </c>
      <c r="J12145" t="s">
        <v>12732</v>
      </c>
    </row>
    <row r="12146" spans="1:15" x14ac:dyDescent="0.3">
      <c r="A12146" s="160">
        <v>91393</v>
      </c>
      <c r="B12146" t="s">
        <v>27036</v>
      </c>
      <c r="C12146" t="s">
        <v>176</v>
      </c>
      <c r="D12146">
        <v>1.6</v>
      </c>
      <c r="E12146">
        <v>0</v>
      </c>
      <c r="F12146">
        <f t="shared" si="217"/>
        <v>1.6</v>
      </c>
      <c r="G12146">
        <v>1</v>
      </c>
      <c r="H12146">
        <f t="shared" si="216"/>
        <v>1.6</v>
      </c>
      <c r="I12146">
        <v>20170401</v>
      </c>
      <c r="J12146" t="s">
        <v>12664</v>
      </c>
    </row>
    <row r="12147" spans="1:15" x14ac:dyDescent="0.3">
      <c r="A12147" s="160">
        <v>91399</v>
      </c>
      <c r="B12147" t="s">
        <v>27037</v>
      </c>
      <c r="C12147" t="s">
        <v>176</v>
      </c>
      <c r="D12147">
        <v>1.6</v>
      </c>
      <c r="E12147">
        <v>0</v>
      </c>
      <c r="F12147">
        <f t="shared" si="217"/>
        <v>1.6</v>
      </c>
      <c r="G12147">
        <v>1</v>
      </c>
      <c r="H12147">
        <f t="shared" si="216"/>
        <v>1.6</v>
      </c>
      <c r="I12147">
        <v>20170401</v>
      </c>
      <c r="J12147" t="s">
        <v>12594</v>
      </c>
    </row>
    <row r="12148" spans="1:15" x14ac:dyDescent="0.3">
      <c r="A12148" s="160">
        <v>91405</v>
      </c>
      <c r="B12148" t="s">
        <v>27038</v>
      </c>
      <c r="C12148" t="s">
        <v>176</v>
      </c>
      <c r="D12148">
        <v>1.6</v>
      </c>
      <c r="E12148">
        <v>0</v>
      </c>
      <c r="F12148">
        <f t="shared" si="217"/>
        <v>1.6</v>
      </c>
      <c r="G12148">
        <v>1</v>
      </c>
      <c r="H12148">
        <f t="shared" si="216"/>
        <v>1.6</v>
      </c>
      <c r="I12148">
        <v>20170401</v>
      </c>
      <c r="J12148" t="s">
        <v>12690</v>
      </c>
    </row>
    <row r="12149" spans="1:15" x14ac:dyDescent="0.3">
      <c r="A12149" s="160">
        <v>91408</v>
      </c>
      <c r="B12149" t="s">
        <v>27039</v>
      </c>
      <c r="C12149" t="s">
        <v>176</v>
      </c>
      <c r="D12149">
        <v>1.6</v>
      </c>
      <c r="E12149">
        <v>0</v>
      </c>
      <c r="F12149">
        <f t="shared" si="217"/>
        <v>1.6</v>
      </c>
      <c r="G12149">
        <v>1</v>
      </c>
      <c r="H12149">
        <f t="shared" si="216"/>
        <v>1.6</v>
      </c>
      <c r="I12149">
        <v>20170401</v>
      </c>
      <c r="J12149" t="s">
        <v>12690</v>
      </c>
    </row>
    <row r="12150" spans="1:15" x14ac:dyDescent="0.3">
      <c r="A12150" s="160">
        <v>91411</v>
      </c>
      <c r="B12150" t="s">
        <v>27040</v>
      </c>
      <c r="C12150" t="s">
        <v>176</v>
      </c>
      <c r="D12150">
        <v>1.6</v>
      </c>
      <c r="E12150">
        <v>0</v>
      </c>
      <c r="F12150">
        <f t="shared" si="217"/>
        <v>1.6</v>
      </c>
      <c r="G12150">
        <v>1</v>
      </c>
      <c r="H12150">
        <f t="shared" si="216"/>
        <v>1.6</v>
      </c>
      <c r="I12150">
        <v>20170401</v>
      </c>
      <c r="J12150" t="s">
        <v>12597</v>
      </c>
    </row>
    <row r="12151" spans="1:15" x14ac:dyDescent="0.3">
      <c r="A12151" s="160">
        <v>91412</v>
      </c>
      <c r="B12151" t="s">
        <v>16576</v>
      </c>
      <c r="C12151" t="s">
        <v>176</v>
      </c>
      <c r="D12151">
        <v>1.6</v>
      </c>
      <c r="E12151">
        <v>0</v>
      </c>
      <c r="F12151">
        <f t="shared" si="217"/>
        <v>1.6</v>
      </c>
      <c r="G12151">
        <v>1</v>
      </c>
      <c r="H12151">
        <f t="shared" si="216"/>
        <v>1.6</v>
      </c>
      <c r="I12151">
        <v>20170401</v>
      </c>
      <c r="J12151" t="s">
        <v>12621</v>
      </c>
    </row>
    <row r="12152" spans="1:15" x14ac:dyDescent="0.3">
      <c r="A12152" s="160">
        <v>91414</v>
      </c>
      <c r="B12152" t="s">
        <v>27041</v>
      </c>
      <c r="C12152" t="s">
        <v>176</v>
      </c>
      <c r="D12152">
        <v>1.6</v>
      </c>
      <c r="E12152">
        <v>0</v>
      </c>
      <c r="F12152">
        <f t="shared" si="217"/>
        <v>1.6</v>
      </c>
      <c r="G12152">
        <v>1</v>
      </c>
      <c r="H12152">
        <f t="shared" si="216"/>
        <v>1.6</v>
      </c>
      <c r="I12152">
        <v>20170401</v>
      </c>
      <c r="J12152" t="s">
        <v>12845</v>
      </c>
    </row>
    <row r="12153" spans="1:15" x14ac:dyDescent="0.3">
      <c r="A12153" s="160">
        <v>91421</v>
      </c>
      <c r="B12153" t="s">
        <v>27042</v>
      </c>
      <c r="C12153" t="s">
        <v>176</v>
      </c>
      <c r="D12153">
        <v>2.0099999999999998</v>
      </c>
      <c r="E12153">
        <v>0</v>
      </c>
      <c r="F12153">
        <f t="shared" si="217"/>
        <v>2.0099999999999998</v>
      </c>
      <c r="G12153">
        <v>1</v>
      </c>
      <c r="H12153">
        <f t="shared" si="216"/>
        <v>2.0099999999999998</v>
      </c>
      <c r="I12153">
        <v>20170401</v>
      </c>
      <c r="J12153" t="s">
        <v>12846</v>
      </c>
      <c r="K12153" t="s">
        <v>12716</v>
      </c>
      <c r="L12153" t="s">
        <v>12718</v>
      </c>
      <c r="M12153" t="s">
        <v>12719</v>
      </c>
      <c r="N12153" t="s">
        <v>12847</v>
      </c>
    </row>
    <row r="12154" spans="1:15" x14ac:dyDescent="0.3">
      <c r="A12154" s="160">
        <v>91425</v>
      </c>
      <c r="B12154" t="s">
        <v>27043</v>
      </c>
      <c r="C12154" t="s">
        <v>176</v>
      </c>
      <c r="D12154">
        <v>2.0099999999999998</v>
      </c>
      <c r="E12154">
        <v>0</v>
      </c>
      <c r="F12154">
        <f t="shared" si="217"/>
        <v>2.0099999999999998</v>
      </c>
      <c r="G12154">
        <v>1</v>
      </c>
      <c r="H12154">
        <f t="shared" si="216"/>
        <v>2.0099999999999998</v>
      </c>
      <c r="I12154">
        <v>20170401</v>
      </c>
      <c r="J12154" t="s">
        <v>12789</v>
      </c>
      <c r="K12154" t="s">
        <v>12790</v>
      </c>
      <c r="L12154" t="s">
        <v>12791</v>
      </c>
      <c r="M12154" t="s">
        <v>12792</v>
      </c>
    </row>
    <row r="12155" spans="1:15" x14ac:dyDescent="0.3">
      <c r="A12155" s="160">
        <v>91432</v>
      </c>
      <c r="B12155" t="s">
        <v>20846</v>
      </c>
      <c r="C12155" t="s">
        <v>176</v>
      </c>
      <c r="D12155">
        <v>2.0099999999999998</v>
      </c>
      <c r="E12155">
        <v>0</v>
      </c>
      <c r="F12155">
        <f t="shared" si="217"/>
        <v>2.0099999999999998</v>
      </c>
      <c r="G12155">
        <v>1</v>
      </c>
      <c r="H12155">
        <f t="shared" si="216"/>
        <v>2.0099999999999998</v>
      </c>
      <c r="I12155">
        <v>20170401</v>
      </c>
      <c r="J12155" t="s">
        <v>12848</v>
      </c>
      <c r="K12155" t="s">
        <v>12849</v>
      </c>
      <c r="L12155" t="s">
        <v>12850</v>
      </c>
      <c r="M12155" t="s">
        <v>12851</v>
      </c>
      <c r="N12155" t="s">
        <v>12852</v>
      </c>
      <c r="O12155" t="s">
        <v>12853</v>
      </c>
    </row>
    <row r="12156" spans="1:15" x14ac:dyDescent="0.3">
      <c r="A12156" s="160">
        <v>91433</v>
      </c>
      <c r="B12156" t="s">
        <v>27044</v>
      </c>
      <c r="C12156" t="s">
        <v>176</v>
      </c>
      <c r="D12156">
        <v>1.6</v>
      </c>
      <c r="E12156">
        <v>0</v>
      </c>
      <c r="F12156">
        <f t="shared" si="217"/>
        <v>1.6</v>
      </c>
      <c r="G12156">
        <v>1</v>
      </c>
      <c r="H12156">
        <f t="shared" si="216"/>
        <v>1.6</v>
      </c>
      <c r="I12156">
        <v>20170401</v>
      </c>
      <c r="J12156" t="s">
        <v>12594</v>
      </c>
      <c r="K12156" t="s">
        <v>12595</v>
      </c>
      <c r="L12156" t="s">
        <v>12733</v>
      </c>
      <c r="M12156" t="s">
        <v>12654</v>
      </c>
      <c r="N12156" t="s">
        <v>12655</v>
      </c>
    </row>
    <row r="12157" spans="1:15" x14ac:dyDescent="0.3">
      <c r="A12157" s="160">
        <v>91434</v>
      </c>
      <c r="B12157" t="s">
        <v>27045</v>
      </c>
      <c r="C12157" t="s">
        <v>176</v>
      </c>
      <c r="D12157">
        <v>2.0099999999999998</v>
      </c>
      <c r="E12157">
        <v>0</v>
      </c>
      <c r="F12157">
        <f t="shared" si="217"/>
        <v>2.0099999999999998</v>
      </c>
      <c r="G12157">
        <v>1</v>
      </c>
      <c r="H12157">
        <f t="shared" si="216"/>
        <v>2.0099999999999998</v>
      </c>
      <c r="I12157">
        <v>20170401</v>
      </c>
      <c r="J12157" t="s">
        <v>12854</v>
      </c>
    </row>
    <row r="12158" spans="1:15" x14ac:dyDescent="0.3">
      <c r="A12158" s="160">
        <v>91435</v>
      </c>
      <c r="B12158" t="s">
        <v>27046</v>
      </c>
      <c r="C12158" t="s">
        <v>176</v>
      </c>
      <c r="D12158">
        <v>2.0099999999999998</v>
      </c>
      <c r="E12158">
        <v>0</v>
      </c>
      <c r="F12158">
        <f t="shared" si="217"/>
        <v>2.0099999999999998</v>
      </c>
      <c r="G12158">
        <v>1</v>
      </c>
      <c r="H12158">
        <f t="shared" si="216"/>
        <v>2.0099999999999998</v>
      </c>
      <c r="I12158">
        <v>20170401</v>
      </c>
      <c r="J12158" t="s">
        <v>12855</v>
      </c>
    </row>
    <row r="12159" spans="1:15" x14ac:dyDescent="0.3">
      <c r="A12159" s="160">
        <v>91441</v>
      </c>
      <c r="B12159" t="s">
        <v>27047</v>
      </c>
      <c r="C12159" t="s">
        <v>176</v>
      </c>
      <c r="D12159">
        <v>1.6</v>
      </c>
      <c r="E12159">
        <v>0</v>
      </c>
      <c r="F12159">
        <f t="shared" si="217"/>
        <v>1.6</v>
      </c>
      <c r="G12159">
        <v>1</v>
      </c>
      <c r="H12159">
        <f t="shared" si="216"/>
        <v>1.6</v>
      </c>
      <c r="I12159">
        <v>20170401</v>
      </c>
      <c r="J12159" t="s">
        <v>12667</v>
      </c>
    </row>
    <row r="12160" spans="1:15" x14ac:dyDescent="0.3">
      <c r="A12160" s="160">
        <v>91457</v>
      </c>
      <c r="B12160" t="s">
        <v>27048</v>
      </c>
      <c r="C12160" t="s">
        <v>176</v>
      </c>
      <c r="D12160">
        <v>2.0099999999999998</v>
      </c>
      <c r="E12160">
        <v>0</v>
      </c>
      <c r="F12160">
        <f t="shared" si="217"/>
        <v>2.0099999999999998</v>
      </c>
      <c r="G12160">
        <v>1</v>
      </c>
      <c r="H12160">
        <f t="shared" si="216"/>
        <v>2.0099999999999998</v>
      </c>
      <c r="I12160">
        <v>20170401</v>
      </c>
      <c r="J12160" t="s">
        <v>12598</v>
      </c>
      <c r="K12160" t="s">
        <v>12599</v>
      </c>
      <c r="L12160" t="s">
        <v>12600</v>
      </c>
      <c r="M12160" t="s">
        <v>12601</v>
      </c>
    </row>
    <row r="12161" spans="1:28" x14ac:dyDescent="0.3">
      <c r="A12161" s="160">
        <v>91458</v>
      </c>
      <c r="B12161" t="s">
        <v>27049</v>
      </c>
      <c r="C12161" t="s">
        <v>176</v>
      </c>
      <c r="D12161">
        <v>2.0099999999999998</v>
      </c>
      <c r="E12161">
        <v>0</v>
      </c>
      <c r="F12161">
        <f t="shared" si="217"/>
        <v>2.0099999999999998</v>
      </c>
      <c r="G12161">
        <v>1</v>
      </c>
      <c r="H12161">
        <f t="shared" si="216"/>
        <v>2.0099999999999998</v>
      </c>
      <c r="I12161">
        <v>20170401</v>
      </c>
      <c r="J12161" t="s">
        <v>12856</v>
      </c>
      <c r="K12161" t="s">
        <v>12857</v>
      </c>
    </row>
    <row r="12162" spans="1:28" x14ac:dyDescent="0.3">
      <c r="A12162" s="160">
        <v>91461</v>
      </c>
      <c r="B12162" t="s">
        <v>26741</v>
      </c>
      <c r="C12162" t="s">
        <v>176</v>
      </c>
      <c r="D12162">
        <v>2.0099999999999998</v>
      </c>
      <c r="E12162">
        <v>0</v>
      </c>
      <c r="F12162">
        <f t="shared" si="217"/>
        <v>2.0099999999999998</v>
      </c>
      <c r="G12162">
        <v>1</v>
      </c>
      <c r="H12162">
        <f t="shared" si="216"/>
        <v>2.0099999999999998</v>
      </c>
      <c r="I12162">
        <v>20170401</v>
      </c>
      <c r="J12162" t="s">
        <v>12599</v>
      </c>
      <c r="K12162" t="s">
        <v>12601</v>
      </c>
      <c r="L12162" t="s">
        <v>12858</v>
      </c>
    </row>
    <row r="12163" spans="1:28" x14ac:dyDescent="0.3">
      <c r="A12163" s="160">
        <v>91463</v>
      </c>
      <c r="B12163" t="s">
        <v>27050</v>
      </c>
      <c r="C12163" t="s">
        <v>176</v>
      </c>
      <c r="D12163">
        <v>1.6</v>
      </c>
      <c r="E12163">
        <v>0</v>
      </c>
      <c r="F12163">
        <f t="shared" si="217"/>
        <v>1.6</v>
      </c>
      <c r="G12163">
        <v>1</v>
      </c>
      <c r="H12163">
        <f t="shared" si="216"/>
        <v>1.6</v>
      </c>
      <c r="I12163">
        <v>20170401</v>
      </c>
      <c r="J12163" t="s">
        <v>12690</v>
      </c>
    </row>
    <row r="12164" spans="1:28" x14ac:dyDescent="0.3">
      <c r="A12164" s="160">
        <v>91468</v>
      </c>
      <c r="B12164" t="s">
        <v>18029</v>
      </c>
      <c r="C12164" t="s">
        <v>176</v>
      </c>
      <c r="D12164">
        <v>2.0099999999999998</v>
      </c>
      <c r="E12164">
        <v>0</v>
      </c>
      <c r="F12164">
        <f t="shared" si="217"/>
        <v>2.0099999999999998</v>
      </c>
      <c r="G12164">
        <v>1</v>
      </c>
      <c r="H12164">
        <f t="shared" si="216"/>
        <v>2.0099999999999998</v>
      </c>
      <c r="I12164">
        <v>20170401</v>
      </c>
      <c r="J12164" t="s">
        <v>12727</v>
      </c>
      <c r="K12164" t="s">
        <v>12766</v>
      </c>
      <c r="L12164" t="s">
        <v>12844</v>
      </c>
    </row>
    <row r="12165" spans="1:28" x14ac:dyDescent="0.3">
      <c r="A12165" s="160">
        <v>91469</v>
      </c>
      <c r="B12165" t="s">
        <v>27051</v>
      </c>
      <c r="C12165" t="s">
        <v>176</v>
      </c>
      <c r="D12165">
        <v>1.6</v>
      </c>
      <c r="E12165">
        <v>0</v>
      </c>
      <c r="F12165">
        <f t="shared" si="217"/>
        <v>1.6</v>
      </c>
      <c r="G12165">
        <v>1</v>
      </c>
      <c r="H12165">
        <f t="shared" ref="H12165:H12228" si="218">G12165*F12165</f>
        <v>1.6</v>
      </c>
      <c r="I12165">
        <v>20170401</v>
      </c>
      <c r="J12165" t="s">
        <v>12594</v>
      </c>
    </row>
    <row r="12166" spans="1:28" x14ac:dyDescent="0.3">
      <c r="A12166" s="160">
        <v>91471</v>
      </c>
      <c r="B12166" t="s">
        <v>27052</v>
      </c>
      <c r="C12166" t="s">
        <v>176</v>
      </c>
      <c r="D12166">
        <v>2.0099999999999998</v>
      </c>
      <c r="E12166">
        <v>0</v>
      </c>
      <c r="F12166">
        <f t="shared" si="217"/>
        <v>2.0099999999999998</v>
      </c>
      <c r="G12166">
        <v>1</v>
      </c>
      <c r="H12166">
        <f t="shared" si="218"/>
        <v>2.0099999999999998</v>
      </c>
      <c r="I12166">
        <v>20170401</v>
      </c>
      <c r="J12166" t="s">
        <v>12859</v>
      </c>
      <c r="K12166" t="s">
        <v>12774</v>
      </c>
      <c r="L12166" t="s">
        <v>12660</v>
      </c>
      <c r="M12166" t="s">
        <v>12860</v>
      </c>
      <c r="N12166" t="s">
        <v>12861</v>
      </c>
      <c r="O12166" t="s">
        <v>12862</v>
      </c>
      <c r="P12166" t="s">
        <v>12863</v>
      </c>
      <c r="Q12166" t="s">
        <v>12663</v>
      </c>
      <c r="R12166" t="s">
        <v>12864</v>
      </c>
      <c r="S12166" t="s">
        <v>12865</v>
      </c>
    </row>
    <row r="12167" spans="1:28" x14ac:dyDescent="0.3">
      <c r="A12167" s="160">
        <v>91473</v>
      </c>
      <c r="B12167" t="s">
        <v>27053</v>
      </c>
      <c r="C12167" t="s">
        <v>176</v>
      </c>
      <c r="D12167">
        <v>1.6</v>
      </c>
      <c r="E12167">
        <v>0</v>
      </c>
      <c r="F12167">
        <f t="shared" ref="F12167:F12230" si="219">D12167+E12167</f>
        <v>1.6</v>
      </c>
      <c r="G12167">
        <v>1</v>
      </c>
      <c r="H12167">
        <f t="shared" si="218"/>
        <v>1.6</v>
      </c>
      <c r="I12167">
        <v>20170401</v>
      </c>
      <c r="J12167" t="s">
        <v>12621</v>
      </c>
    </row>
    <row r="12168" spans="1:28" x14ac:dyDescent="0.3">
      <c r="A12168" s="160">
        <v>91477</v>
      </c>
      <c r="B12168" t="s">
        <v>27054</v>
      </c>
      <c r="C12168" t="s">
        <v>176</v>
      </c>
      <c r="D12168">
        <v>2.0099999999999998</v>
      </c>
      <c r="E12168">
        <v>0</v>
      </c>
      <c r="F12168">
        <f t="shared" si="219"/>
        <v>2.0099999999999998</v>
      </c>
      <c r="G12168">
        <v>1</v>
      </c>
      <c r="H12168">
        <f t="shared" si="218"/>
        <v>2.0099999999999998</v>
      </c>
      <c r="I12168">
        <v>20170401</v>
      </c>
      <c r="J12168" t="s">
        <v>12866</v>
      </c>
      <c r="K12168" t="s">
        <v>12867</v>
      </c>
      <c r="L12168" t="s">
        <v>12868</v>
      </c>
      <c r="M12168" t="s">
        <v>10195</v>
      </c>
      <c r="N12168" t="s">
        <v>12859</v>
      </c>
      <c r="O12168" t="s">
        <v>10055</v>
      </c>
      <c r="P12168" t="s">
        <v>12869</v>
      </c>
      <c r="Q12168" t="s">
        <v>12870</v>
      </c>
      <c r="R12168" t="s">
        <v>12871</v>
      </c>
      <c r="S12168" t="s">
        <v>12872</v>
      </c>
      <c r="T12168" t="s">
        <v>12873</v>
      </c>
      <c r="U12168" t="s">
        <v>12874</v>
      </c>
      <c r="V12168" t="s">
        <v>12875</v>
      </c>
      <c r="W12168" t="s">
        <v>12876</v>
      </c>
      <c r="X12168" t="s">
        <v>9757</v>
      </c>
      <c r="Y12168" t="s">
        <v>12676</v>
      </c>
      <c r="Z12168" t="s">
        <v>12877</v>
      </c>
      <c r="AA12168" t="s">
        <v>12878</v>
      </c>
      <c r="AB12168" t="s">
        <v>12879</v>
      </c>
    </row>
    <row r="12169" spans="1:28" x14ac:dyDescent="0.3">
      <c r="A12169" s="160">
        <v>91479</v>
      </c>
      <c r="B12169" t="s">
        <v>27055</v>
      </c>
      <c r="C12169" t="s">
        <v>176</v>
      </c>
      <c r="D12169">
        <v>2.0099999999999998</v>
      </c>
      <c r="E12169">
        <v>0</v>
      </c>
      <c r="F12169">
        <f t="shared" si="219"/>
        <v>2.0099999999999998</v>
      </c>
      <c r="G12169">
        <v>1</v>
      </c>
      <c r="H12169">
        <f t="shared" si="218"/>
        <v>2.0099999999999998</v>
      </c>
      <c r="I12169">
        <v>20170401</v>
      </c>
      <c r="J12169" t="s">
        <v>12880</v>
      </c>
      <c r="K12169" t="s">
        <v>12881</v>
      </c>
      <c r="L12169" t="s">
        <v>12882</v>
      </c>
      <c r="M12169" t="s">
        <v>12883</v>
      </c>
      <c r="N12169" t="s">
        <v>12884</v>
      </c>
      <c r="O12169" t="s">
        <v>12885</v>
      </c>
      <c r="P12169" t="s">
        <v>12886</v>
      </c>
      <c r="Q12169" t="s">
        <v>12887</v>
      </c>
      <c r="R12169" t="s">
        <v>12888</v>
      </c>
      <c r="S12169" t="s">
        <v>12889</v>
      </c>
      <c r="T12169" t="s">
        <v>12890</v>
      </c>
      <c r="U12169" t="s">
        <v>12891</v>
      </c>
      <c r="V12169" t="s">
        <v>12892</v>
      </c>
      <c r="W12169" t="s">
        <v>12893</v>
      </c>
      <c r="X12169" t="s">
        <v>12894</v>
      </c>
      <c r="Y12169" t="s">
        <v>12895</v>
      </c>
      <c r="Z12169" t="s">
        <v>12896</v>
      </c>
      <c r="AA12169" t="s">
        <v>12897</v>
      </c>
      <c r="AB12169" t="s">
        <v>12898</v>
      </c>
    </row>
    <row r="12170" spans="1:28" x14ac:dyDescent="0.3">
      <c r="A12170" s="160">
        <v>91482</v>
      </c>
      <c r="B12170" t="s">
        <v>27056</v>
      </c>
      <c r="C12170" t="s">
        <v>176</v>
      </c>
      <c r="D12170">
        <v>1.6</v>
      </c>
      <c r="E12170">
        <v>0</v>
      </c>
      <c r="F12170">
        <f t="shared" si="219"/>
        <v>1.6</v>
      </c>
      <c r="G12170">
        <v>1</v>
      </c>
      <c r="H12170">
        <f t="shared" si="218"/>
        <v>1.6</v>
      </c>
      <c r="I12170">
        <v>20170401</v>
      </c>
      <c r="J12170" t="s">
        <v>12597</v>
      </c>
    </row>
    <row r="12171" spans="1:28" x14ac:dyDescent="0.3">
      <c r="A12171" s="160">
        <v>91494</v>
      </c>
      <c r="B12171" t="s">
        <v>27057</v>
      </c>
      <c r="C12171" t="s">
        <v>176</v>
      </c>
      <c r="D12171">
        <v>2.0099999999999998</v>
      </c>
      <c r="E12171">
        <v>0</v>
      </c>
      <c r="F12171">
        <f t="shared" si="219"/>
        <v>2.0099999999999998</v>
      </c>
      <c r="G12171">
        <v>1</v>
      </c>
      <c r="H12171">
        <f t="shared" si="218"/>
        <v>2.0099999999999998</v>
      </c>
      <c r="I12171">
        <v>20170401</v>
      </c>
      <c r="J12171" t="s">
        <v>12646</v>
      </c>
      <c r="K12171" t="s">
        <v>12647</v>
      </c>
      <c r="L12171" t="s">
        <v>12648</v>
      </c>
      <c r="M12171" t="s">
        <v>12649</v>
      </c>
      <c r="N12171" t="s">
        <v>12899</v>
      </c>
    </row>
    <row r="12172" spans="1:28" x14ac:dyDescent="0.3">
      <c r="A12172" s="160">
        <v>91495</v>
      </c>
      <c r="B12172" t="s">
        <v>27058</v>
      </c>
      <c r="C12172" t="s">
        <v>176</v>
      </c>
      <c r="D12172">
        <v>1.6</v>
      </c>
      <c r="E12172">
        <v>0</v>
      </c>
      <c r="F12172">
        <f t="shared" si="219"/>
        <v>1.6</v>
      </c>
      <c r="G12172">
        <v>1</v>
      </c>
      <c r="H12172">
        <f t="shared" si="218"/>
        <v>1.6</v>
      </c>
      <c r="I12172">
        <v>20170401</v>
      </c>
      <c r="J12172" t="s">
        <v>12611</v>
      </c>
    </row>
    <row r="12173" spans="1:28" x14ac:dyDescent="0.3">
      <c r="A12173" s="160">
        <v>91507</v>
      </c>
      <c r="B12173" t="s">
        <v>27059</v>
      </c>
      <c r="C12173" t="s">
        <v>176</v>
      </c>
      <c r="D12173">
        <v>1.6</v>
      </c>
      <c r="E12173">
        <v>0</v>
      </c>
      <c r="F12173">
        <f t="shared" si="219"/>
        <v>1.6</v>
      </c>
      <c r="G12173">
        <v>1</v>
      </c>
      <c r="H12173">
        <f t="shared" si="218"/>
        <v>1.6</v>
      </c>
      <c r="I12173">
        <v>20170401</v>
      </c>
      <c r="J12173" t="s">
        <v>12626</v>
      </c>
    </row>
    <row r="12174" spans="1:28" x14ac:dyDescent="0.3">
      <c r="A12174" s="160">
        <v>91508</v>
      </c>
      <c r="B12174" t="s">
        <v>27060</v>
      </c>
      <c r="C12174" t="s">
        <v>176</v>
      </c>
      <c r="D12174">
        <v>1.6</v>
      </c>
      <c r="E12174">
        <v>0</v>
      </c>
      <c r="F12174">
        <f t="shared" si="219"/>
        <v>1.6</v>
      </c>
      <c r="G12174">
        <v>1</v>
      </c>
      <c r="H12174">
        <f t="shared" si="218"/>
        <v>1.6</v>
      </c>
      <c r="I12174">
        <v>20170401</v>
      </c>
      <c r="J12174" t="s">
        <v>12594</v>
      </c>
      <c r="K12174" t="s">
        <v>12595</v>
      </c>
    </row>
    <row r="12175" spans="1:28" x14ac:dyDescent="0.3">
      <c r="A12175" s="160">
        <v>91511</v>
      </c>
      <c r="B12175" t="s">
        <v>27061</v>
      </c>
      <c r="C12175" t="s">
        <v>176</v>
      </c>
      <c r="D12175">
        <v>1.6</v>
      </c>
      <c r="E12175">
        <v>0</v>
      </c>
      <c r="F12175">
        <f t="shared" si="219"/>
        <v>1.6</v>
      </c>
      <c r="G12175">
        <v>1</v>
      </c>
      <c r="H12175">
        <f t="shared" si="218"/>
        <v>1.6</v>
      </c>
      <c r="I12175">
        <v>20170401</v>
      </c>
      <c r="J12175" t="s">
        <v>12665</v>
      </c>
    </row>
    <row r="12176" spans="1:28" x14ac:dyDescent="0.3">
      <c r="A12176" s="160">
        <v>91514</v>
      </c>
      <c r="B12176" t="s">
        <v>27062</v>
      </c>
      <c r="C12176" t="s">
        <v>176</v>
      </c>
      <c r="D12176">
        <v>2.0099999999999998</v>
      </c>
      <c r="E12176">
        <v>0</v>
      </c>
      <c r="F12176">
        <f t="shared" si="219"/>
        <v>2.0099999999999998</v>
      </c>
      <c r="G12176">
        <v>1</v>
      </c>
      <c r="H12176">
        <f t="shared" si="218"/>
        <v>2.0099999999999998</v>
      </c>
      <c r="I12176">
        <v>20170401</v>
      </c>
      <c r="J12176" t="s">
        <v>12900</v>
      </c>
    </row>
    <row r="12177" spans="1:21" x14ac:dyDescent="0.3">
      <c r="A12177" s="160">
        <v>91519</v>
      </c>
      <c r="B12177" t="s">
        <v>27063</v>
      </c>
      <c r="C12177" t="s">
        <v>176</v>
      </c>
      <c r="D12177">
        <v>1.6</v>
      </c>
      <c r="E12177">
        <v>0</v>
      </c>
      <c r="F12177">
        <f t="shared" si="219"/>
        <v>1.6</v>
      </c>
      <c r="G12177">
        <v>1</v>
      </c>
      <c r="H12177">
        <f t="shared" si="218"/>
        <v>1.6</v>
      </c>
      <c r="I12177">
        <v>20170401</v>
      </c>
      <c r="J12177" t="s">
        <v>12611</v>
      </c>
    </row>
    <row r="12178" spans="1:21" x14ac:dyDescent="0.3">
      <c r="A12178" s="160">
        <v>91521</v>
      </c>
      <c r="B12178" t="s">
        <v>27064</v>
      </c>
      <c r="C12178" t="s">
        <v>176</v>
      </c>
      <c r="D12178">
        <v>2.0099999999999998</v>
      </c>
      <c r="E12178">
        <v>0</v>
      </c>
      <c r="F12178">
        <f t="shared" si="219"/>
        <v>2.0099999999999998</v>
      </c>
      <c r="G12178">
        <v>1</v>
      </c>
      <c r="H12178">
        <f t="shared" si="218"/>
        <v>2.0099999999999998</v>
      </c>
      <c r="I12178">
        <v>20170401</v>
      </c>
      <c r="J12178" t="s">
        <v>12691</v>
      </c>
      <c r="K12178" t="s">
        <v>12693</v>
      </c>
      <c r="L12178" t="s">
        <v>12695</v>
      </c>
      <c r="M12178" t="s">
        <v>12696</v>
      </c>
      <c r="N12178" t="s">
        <v>12745</v>
      </c>
      <c r="O12178" t="s">
        <v>12708</v>
      </c>
      <c r="P12178" t="s">
        <v>12901</v>
      </c>
      <c r="Q12178" t="s">
        <v>12776</v>
      </c>
      <c r="R12178" t="s">
        <v>12902</v>
      </c>
      <c r="S12178" t="s">
        <v>12903</v>
      </c>
      <c r="T12178" t="s">
        <v>12904</v>
      </c>
      <c r="U12178" t="s">
        <v>12905</v>
      </c>
    </row>
    <row r="12179" spans="1:21" x14ac:dyDescent="0.3">
      <c r="A12179" s="160">
        <v>91525</v>
      </c>
      <c r="B12179" t="s">
        <v>18049</v>
      </c>
      <c r="C12179" t="s">
        <v>176</v>
      </c>
      <c r="D12179">
        <v>1.6</v>
      </c>
      <c r="E12179">
        <v>0</v>
      </c>
      <c r="F12179">
        <f t="shared" si="219"/>
        <v>1.6</v>
      </c>
      <c r="G12179">
        <v>1</v>
      </c>
      <c r="H12179">
        <f t="shared" si="218"/>
        <v>1.6</v>
      </c>
      <c r="I12179">
        <v>20170401</v>
      </c>
      <c r="J12179" t="s">
        <v>12611</v>
      </c>
      <c r="K12179" t="s">
        <v>12689</v>
      </c>
      <c r="L12179" t="s">
        <v>12721</v>
      </c>
    </row>
    <row r="12180" spans="1:21" x14ac:dyDescent="0.3">
      <c r="A12180" s="160">
        <v>91526</v>
      </c>
      <c r="B12180" t="s">
        <v>27065</v>
      </c>
      <c r="C12180" t="s">
        <v>176</v>
      </c>
      <c r="D12180">
        <v>1.6</v>
      </c>
      <c r="E12180">
        <v>0</v>
      </c>
      <c r="F12180">
        <f t="shared" si="219"/>
        <v>1.6</v>
      </c>
      <c r="G12180">
        <v>1</v>
      </c>
      <c r="H12180">
        <f t="shared" si="218"/>
        <v>1.6</v>
      </c>
      <c r="I12180">
        <v>20170401</v>
      </c>
      <c r="J12180" t="s">
        <v>12594</v>
      </c>
    </row>
    <row r="12181" spans="1:21" x14ac:dyDescent="0.3">
      <c r="A12181" s="160">
        <v>91533</v>
      </c>
      <c r="B12181" t="s">
        <v>27066</v>
      </c>
      <c r="C12181" t="s">
        <v>176</v>
      </c>
      <c r="D12181">
        <v>1.6</v>
      </c>
      <c r="E12181">
        <v>0</v>
      </c>
      <c r="F12181">
        <f t="shared" si="219"/>
        <v>1.6</v>
      </c>
      <c r="G12181">
        <v>1</v>
      </c>
      <c r="H12181">
        <f t="shared" si="218"/>
        <v>1.6</v>
      </c>
      <c r="I12181">
        <v>20170401</v>
      </c>
      <c r="J12181" t="s">
        <v>12605</v>
      </c>
    </row>
    <row r="12182" spans="1:21" x14ac:dyDescent="0.3">
      <c r="A12182" s="160">
        <v>91534</v>
      </c>
      <c r="B12182" t="s">
        <v>27067</v>
      </c>
      <c r="C12182" t="s">
        <v>176</v>
      </c>
      <c r="D12182">
        <v>2.0099999999999998</v>
      </c>
      <c r="E12182">
        <v>0</v>
      </c>
      <c r="F12182">
        <f t="shared" si="219"/>
        <v>2.0099999999999998</v>
      </c>
      <c r="G12182">
        <v>1</v>
      </c>
      <c r="H12182">
        <f t="shared" si="218"/>
        <v>2.0099999999999998</v>
      </c>
      <c r="I12182">
        <v>20170401</v>
      </c>
      <c r="J12182" t="s">
        <v>12769</v>
      </c>
      <c r="K12182" t="s">
        <v>12774</v>
      </c>
      <c r="L12182" t="s">
        <v>12660</v>
      </c>
      <c r="M12182" t="s">
        <v>12906</v>
      </c>
      <c r="N12182" t="s">
        <v>12907</v>
      </c>
      <c r="O12182" t="s">
        <v>12864</v>
      </c>
    </row>
    <row r="12183" spans="1:21" x14ac:dyDescent="0.3">
      <c r="A12183" s="160">
        <v>91538</v>
      </c>
      <c r="B12183" t="s">
        <v>16999</v>
      </c>
      <c r="C12183" t="s">
        <v>176</v>
      </c>
      <c r="D12183">
        <v>2.0099999999999998</v>
      </c>
      <c r="E12183">
        <v>0</v>
      </c>
      <c r="F12183">
        <f t="shared" si="219"/>
        <v>2.0099999999999998</v>
      </c>
      <c r="G12183">
        <v>1</v>
      </c>
      <c r="H12183">
        <f t="shared" si="218"/>
        <v>2.0099999999999998</v>
      </c>
      <c r="I12183">
        <v>20170401</v>
      </c>
      <c r="J12183" t="s">
        <v>12768</v>
      </c>
      <c r="K12183" t="s">
        <v>12908</v>
      </c>
      <c r="L12183" t="s">
        <v>12769</v>
      </c>
      <c r="M12183" t="s">
        <v>12770</v>
      </c>
      <c r="N12183" t="s">
        <v>12909</v>
      </c>
      <c r="O12183" t="s">
        <v>12771</v>
      </c>
    </row>
    <row r="12184" spans="1:21" x14ac:dyDescent="0.3">
      <c r="A12184" s="160">
        <v>91540</v>
      </c>
      <c r="B12184" t="s">
        <v>27068</v>
      </c>
      <c r="C12184" t="s">
        <v>176</v>
      </c>
      <c r="D12184">
        <v>1.6</v>
      </c>
      <c r="E12184">
        <v>0</v>
      </c>
      <c r="F12184">
        <f t="shared" si="219"/>
        <v>1.6</v>
      </c>
      <c r="G12184">
        <v>1</v>
      </c>
      <c r="H12184">
        <f t="shared" si="218"/>
        <v>1.6</v>
      </c>
      <c r="I12184">
        <v>20170401</v>
      </c>
      <c r="J12184" t="s">
        <v>12600</v>
      </c>
      <c r="K12184" t="s">
        <v>12601</v>
      </c>
      <c r="L12184" t="s">
        <v>12910</v>
      </c>
    </row>
    <row r="12185" spans="1:21" x14ac:dyDescent="0.3">
      <c r="A12185" s="160">
        <v>91544</v>
      </c>
      <c r="B12185" t="s">
        <v>27069</v>
      </c>
      <c r="C12185" t="s">
        <v>176</v>
      </c>
      <c r="D12185">
        <v>1.6</v>
      </c>
      <c r="E12185">
        <v>0</v>
      </c>
      <c r="F12185">
        <f t="shared" si="219"/>
        <v>1.6</v>
      </c>
      <c r="G12185">
        <v>1</v>
      </c>
      <c r="H12185">
        <f t="shared" si="218"/>
        <v>1.6</v>
      </c>
      <c r="I12185">
        <v>20170401</v>
      </c>
      <c r="J12185" t="s">
        <v>12605</v>
      </c>
    </row>
    <row r="12186" spans="1:21" x14ac:dyDescent="0.3">
      <c r="A12186" s="160">
        <v>91546</v>
      </c>
      <c r="B12186" t="s">
        <v>27070</v>
      </c>
      <c r="C12186" t="s">
        <v>176</v>
      </c>
      <c r="D12186">
        <v>1.6</v>
      </c>
      <c r="E12186">
        <v>0</v>
      </c>
      <c r="F12186">
        <f t="shared" si="219"/>
        <v>1.6</v>
      </c>
      <c r="G12186">
        <v>1</v>
      </c>
      <c r="H12186">
        <f t="shared" si="218"/>
        <v>1.6</v>
      </c>
      <c r="I12186">
        <v>20170401</v>
      </c>
      <c r="J12186" t="s">
        <v>12611</v>
      </c>
    </row>
    <row r="12187" spans="1:21" x14ac:dyDescent="0.3">
      <c r="A12187" s="160">
        <v>91547</v>
      </c>
      <c r="B12187" t="s">
        <v>27071</v>
      </c>
      <c r="C12187" t="s">
        <v>176</v>
      </c>
      <c r="D12187">
        <v>1.6</v>
      </c>
      <c r="E12187">
        <v>0</v>
      </c>
      <c r="F12187">
        <f t="shared" si="219"/>
        <v>1.6</v>
      </c>
      <c r="G12187">
        <v>1</v>
      </c>
      <c r="H12187">
        <f t="shared" si="218"/>
        <v>1.6</v>
      </c>
      <c r="I12187">
        <v>20170401</v>
      </c>
      <c r="J12187" t="s">
        <v>12611</v>
      </c>
    </row>
    <row r="12188" spans="1:21" x14ac:dyDescent="0.3">
      <c r="A12188" s="160">
        <v>91549</v>
      </c>
      <c r="B12188" t="s">
        <v>27072</v>
      </c>
      <c r="C12188" t="s">
        <v>176</v>
      </c>
      <c r="D12188">
        <v>2.0099999999999998</v>
      </c>
      <c r="E12188">
        <v>0</v>
      </c>
      <c r="F12188">
        <f t="shared" si="219"/>
        <v>2.0099999999999998</v>
      </c>
      <c r="G12188">
        <v>1</v>
      </c>
      <c r="H12188">
        <f t="shared" si="218"/>
        <v>2.0099999999999998</v>
      </c>
      <c r="I12188">
        <v>20170401</v>
      </c>
      <c r="J12188" t="s">
        <v>12759</v>
      </c>
      <c r="K12188" t="s">
        <v>12911</v>
      </c>
      <c r="L12188" t="s">
        <v>12760</v>
      </c>
      <c r="M12188" t="s">
        <v>12912</v>
      </c>
      <c r="N12188" t="s">
        <v>12761</v>
      </c>
      <c r="O12188" t="s">
        <v>12913</v>
      </c>
      <c r="P12188" t="s">
        <v>12763</v>
      </c>
      <c r="Q12188" t="s">
        <v>12914</v>
      </c>
      <c r="R12188" t="s">
        <v>12764</v>
      </c>
    </row>
    <row r="12189" spans="1:21" x14ac:dyDescent="0.3">
      <c r="A12189" s="160">
        <v>91552</v>
      </c>
      <c r="B12189" t="s">
        <v>27073</v>
      </c>
      <c r="C12189" t="s">
        <v>176</v>
      </c>
      <c r="D12189">
        <v>2.0099999999999998</v>
      </c>
      <c r="E12189">
        <v>0</v>
      </c>
      <c r="F12189">
        <f t="shared" si="219"/>
        <v>2.0099999999999998</v>
      </c>
      <c r="G12189">
        <v>1</v>
      </c>
      <c r="H12189">
        <f t="shared" si="218"/>
        <v>2.0099999999999998</v>
      </c>
      <c r="I12189">
        <v>20170401</v>
      </c>
      <c r="J12189" t="s">
        <v>12915</v>
      </c>
      <c r="K12189" t="s">
        <v>12599</v>
      </c>
      <c r="L12189" t="s">
        <v>12600</v>
      </c>
      <c r="M12189" t="s">
        <v>12601</v>
      </c>
    </row>
    <row r="12190" spans="1:21" x14ac:dyDescent="0.3">
      <c r="A12190" s="160">
        <v>91553</v>
      </c>
      <c r="B12190" t="s">
        <v>27074</v>
      </c>
      <c r="C12190" t="s">
        <v>176</v>
      </c>
      <c r="D12190">
        <v>2.0099999999999998</v>
      </c>
      <c r="E12190">
        <v>0</v>
      </c>
      <c r="F12190">
        <f t="shared" si="219"/>
        <v>2.0099999999999998</v>
      </c>
      <c r="G12190">
        <v>1</v>
      </c>
      <c r="H12190">
        <f t="shared" si="218"/>
        <v>2.0099999999999998</v>
      </c>
      <c r="I12190">
        <v>20170401</v>
      </c>
      <c r="J12190" t="s">
        <v>12855</v>
      </c>
    </row>
    <row r="12191" spans="1:21" x14ac:dyDescent="0.3">
      <c r="A12191" s="160">
        <v>91556</v>
      </c>
      <c r="B12191" t="s">
        <v>18525</v>
      </c>
      <c r="C12191" t="s">
        <v>176</v>
      </c>
      <c r="D12191">
        <v>1.6</v>
      </c>
      <c r="E12191">
        <v>0</v>
      </c>
      <c r="F12191">
        <f t="shared" si="219"/>
        <v>1.6</v>
      </c>
      <c r="G12191">
        <v>1</v>
      </c>
      <c r="H12191">
        <f t="shared" si="218"/>
        <v>1.6</v>
      </c>
      <c r="I12191">
        <v>20170401</v>
      </c>
      <c r="J12191" t="s">
        <v>12733</v>
      </c>
      <c r="K12191" t="s">
        <v>12664</v>
      </c>
    </row>
    <row r="12192" spans="1:21" x14ac:dyDescent="0.3">
      <c r="A12192" s="160">
        <v>91560</v>
      </c>
      <c r="B12192" t="s">
        <v>27075</v>
      </c>
      <c r="C12192" t="s">
        <v>176</v>
      </c>
      <c r="D12192">
        <v>1.6</v>
      </c>
      <c r="E12192">
        <v>0</v>
      </c>
      <c r="F12192">
        <f t="shared" si="219"/>
        <v>1.6</v>
      </c>
      <c r="G12192">
        <v>1</v>
      </c>
      <c r="H12192">
        <f t="shared" si="218"/>
        <v>1.6</v>
      </c>
      <c r="I12192">
        <v>20170401</v>
      </c>
      <c r="J12192" t="s">
        <v>12775</v>
      </c>
    </row>
    <row r="12193" spans="1:14" x14ac:dyDescent="0.3">
      <c r="A12193" s="160">
        <v>91568</v>
      </c>
      <c r="B12193" t="s">
        <v>27076</v>
      </c>
      <c r="C12193" t="s">
        <v>176</v>
      </c>
      <c r="D12193">
        <v>1.6</v>
      </c>
      <c r="E12193">
        <v>0</v>
      </c>
      <c r="F12193">
        <f t="shared" si="219"/>
        <v>1.6</v>
      </c>
      <c r="G12193">
        <v>1</v>
      </c>
      <c r="H12193">
        <f t="shared" si="218"/>
        <v>1.6</v>
      </c>
      <c r="I12193">
        <v>20170401</v>
      </c>
      <c r="J12193" t="s">
        <v>12910</v>
      </c>
    </row>
    <row r="12194" spans="1:14" x14ac:dyDescent="0.3">
      <c r="A12194" s="160">
        <v>91570</v>
      </c>
      <c r="B12194" t="s">
        <v>27077</v>
      </c>
      <c r="C12194" t="s">
        <v>176</v>
      </c>
      <c r="D12194">
        <v>2.0099999999999998</v>
      </c>
      <c r="E12194">
        <v>0</v>
      </c>
      <c r="F12194">
        <f t="shared" si="219"/>
        <v>2.0099999999999998</v>
      </c>
      <c r="G12194">
        <v>1</v>
      </c>
      <c r="H12194">
        <f t="shared" si="218"/>
        <v>2.0099999999999998</v>
      </c>
      <c r="I12194">
        <v>20170401</v>
      </c>
      <c r="J12194" t="s">
        <v>12916</v>
      </c>
      <c r="K12194" t="s">
        <v>12917</v>
      </c>
      <c r="L12194" t="s">
        <v>12918</v>
      </c>
    </row>
    <row r="12195" spans="1:14" x14ac:dyDescent="0.3">
      <c r="A12195" s="160">
        <v>91573</v>
      </c>
      <c r="B12195" t="s">
        <v>27078</v>
      </c>
      <c r="C12195" t="s">
        <v>176</v>
      </c>
      <c r="D12195">
        <v>2.0099999999999998</v>
      </c>
      <c r="E12195">
        <v>0</v>
      </c>
      <c r="F12195">
        <f t="shared" si="219"/>
        <v>2.0099999999999998</v>
      </c>
      <c r="G12195">
        <v>1</v>
      </c>
      <c r="H12195">
        <f t="shared" si="218"/>
        <v>2.0099999999999998</v>
      </c>
      <c r="I12195">
        <v>20170401</v>
      </c>
      <c r="J12195" t="s">
        <v>12919</v>
      </c>
    </row>
    <row r="12196" spans="1:14" x14ac:dyDescent="0.3">
      <c r="A12196" s="160">
        <v>91577</v>
      </c>
      <c r="B12196" t="s">
        <v>27079</v>
      </c>
      <c r="C12196" t="s">
        <v>176</v>
      </c>
      <c r="D12196">
        <v>2.0099999999999998</v>
      </c>
      <c r="E12196">
        <v>0</v>
      </c>
      <c r="F12196">
        <f t="shared" si="219"/>
        <v>2.0099999999999998</v>
      </c>
      <c r="G12196">
        <v>1</v>
      </c>
      <c r="H12196">
        <f t="shared" si="218"/>
        <v>2.0099999999999998</v>
      </c>
      <c r="I12196">
        <v>20170401</v>
      </c>
      <c r="J12196" t="s">
        <v>12855</v>
      </c>
    </row>
    <row r="12197" spans="1:14" x14ac:dyDescent="0.3">
      <c r="A12197" s="160">
        <v>91578</v>
      </c>
      <c r="B12197" t="s">
        <v>27080</v>
      </c>
      <c r="C12197" t="s">
        <v>176</v>
      </c>
      <c r="D12197">
        <v>1.6</v>
      </c>
      <c r="E12197">
        <v>0</v>
      </c>
      <c r="F12197">
        <f t="shared" si="219"/>
        <v>1.6</v>
      </c>
      <c r="G12197">
        <v>1</v>
      </c>
      <c r="H12197">
        <f t="shared" si="218"/>
        <v>1.6</v>
      </c>
      <c r="I12197">
        <v>20170401</v>
      </c>
      <c r="J12197" t="s">
        <v>12920</v>
      </c>
    </row>
    <row r="12198" spans="1:14" x14ac:dyDescent="0.3">
      <c r="A12198" s="160">
        <v>91579</v>
      </c>
      <c r="B12198" t="s">
        <v>20900</v>
      </c>
      <c r="C12198" t="s">
        <v>176</v>
      </c>
      <c r="D12198">
        <v>1.6</v>
      </c>
      <c r="E12198">
        <v>0</v>
      </c>
      <c r="F12198">
        <f t="shared" si="219"/>
        <v>1.6</v>
      </c>
      <c r="G12198">
        <v>1</v>
      </c>
      <c r="H12198">
        <f t="shared" si="218"/>
        <v>1.6</v>
      </c>
      <c r="I12198">
        <v>20170401</v>
      </c>
      <c r="J12198" t="s">
        <v>12921</v>
      </c>
    </row>
    <row r="12199" spans="1:14" x14ac:dyDescent="0.3">
      <c r="A12199" s="160">
        <v>91581</v>
      </c>
      <c r="B12199" t="s">
        <v>27081</v>
      </c>
      <c r="C12199" t="s">
        <v>176</v>
      </c>
      <c r="D12199">
        <v>2.0099999999999998</v>
      </c>
      <c r="E12199">
        <v>0</v>
      </c>
      <c r="F12199">
        <f t="shared" si="219"/>
        <v>2.0099999999999998</v>
      </c>
      <c r="G12199">
        <v>1</v>
      </c>
      <c r="H12199">
        <f t="shared" si="218"/>
        <v>2.0099999999999998</v>
      </c>
      <c r="I12199">
        <v>20170401</v>
      </c>
      <c r="J12199" t="s">
        <v>12653</v>
      </c>
    </row>
    <row r="12200" spans="1:14" x14ac:dyDescent="0.3">
      <c r="A12200" s="160">
        <v>91587</v>
      </c>
      <c r="B12200" t="s">
        <v>27082</v>
      </c>
      <c r="C12200" t="s">
        <v>176</v>
      </c>
      <c r="D12200">
        <v>2.0099999999999998</v>
      </c>
      <c r="E12200">
        <v>0</v>
      </c>
      <c r="F12200">
        <f t="shared" si="219"/>
        <v>2.0099999999999998</v>
      </c>
      <c r="G12200">
        <v>1</v>
      </c>
      <c r="H12200">
        <f t="shared" si="218"/>
        <v>2.0099999999999998</v>
      </c>
      <c r="I12200">
        <v>20170401</v>
      </c>
      <c r="J12200" t="s">
        <v>10195</v>
      </c>
      <c r="K12200" t="s">
        <v>12615</v>
      </c>
      <c r="L12200" t="s">
        <v>12617</v>
      </c>
      <c r="M12200" t="s">
        <v>12618</v>
      </c>
      <c r="N12200" t="s">
        <v>12619</v>
      </c>
    </row>
    <row r="12201" spans="1:14" x14ac:dyDescent="0.3">
      <c r="A12201" s="160">
        <v>91589</v>
      </c>
      <c r="B12201" t="s">
        <v>27083</v>
      </c>
      <c r="C12201" t="s">
        <v>176</v>
      </c>
      <c r="D12201">
        <v>2.0099999999999998</v>
      </c>
      <c r="E12201">
        <v>0</v>
      </c>
      <c r="F12201">
        <f t="shared" si="219"/>
        <v>2.0099999999999998</v>
      </c>
      <c r="G12201">
        <v>1</v>
      </c>
      <c r="H12201">
        <f t="shared" si="218"/>
        <v>2.0099999999999998</v>
      </c>
      <c r="I12201">
        <v>20170401</v>
      </c>
      <c r="J12201" t="s">
        <v>12922</v>
      </c>
      <c r="K12201" t="s">
        <v>12923</v>
      </c>
      <c r="L12201" t="s">
        <v>12924</v>
      </c>
      <c r="M12201" t="s">
        <v>12925</v>
      </c>
    </row>
    <row r="12202" spans="1:14" x14ac:dyDescent="0.3">
      <c r="A12202" s="160">
        <v>91593</v>
      </c>
      <c r="B12202" t="s">
        <v>27084</v>
      </c>
      <c r="C12202" t="s">
        <v>176</v>
      </c>
      <c r="D12202">
        <v>1.6</v>
      </c>
      <c r="E12202">
        <v>0</v>
      </c>
      <c r="F12202">
        <f t="shared" si="219"/>
        <v>1.6</v>
      </c>
      <c r="G12202">
        <v>1</v>
      </c>
      <c r="H12202">
        <f t="shared" si="218"/>
        <v>1.6</v>
      </c>
      <c r="I12202">
        <v>20170401</v>
      </c>
      <c r="J12202" t="s">
        <v>12910</v>
      </c>
    </row>
    <row r="12203" spans="1:14" x14ac:dyDescent="0.3">
      <c r="A12203" s="160">
        <v>91599</v>
      </c>
      <c r="B12203" t="s">
        <v>27085</v>
      </c>
      <c r="C12203" t="s">
        <v>176</v>
      </c>
      <c r="D12203">
        <v>1.6</v>
      </c>
      <c r="E12203">
        <v>0</v>
      </c>
      <c r="F12203">
        <f t="shared" si="219"/>
        <v>1.6</v>
      </c>
      <c r="G12203">
        <v>1</v>
      </c>
      <c r="H12203">
        <f t="shared" si="218"/>
        <v>1.6</v>
      </c>
      <c r="I12203">
        <v>20170401</v>
      </c>
      <c r="J12203" t="s">
        <v>12926</v>
      </c>
    </row>
    <row r="12204" spans="1:14" x14ac:dyDescent="0.3">
      <c r="A12204" s="160">
        <v>91600</v>
      </c>
      <c r="B12204" t="s">
        <v>27086</v>
      </c>
      <c r="C12204" t="s">
        <v>176</v>
      </c>
      <c r="D12204">
        <v>2.0099999999999998</v>
      </c>
      <c r="E12204">
        <v>0</v>
      </c>
      <c r="F12204">
        <f t="shared" si="219"/>
        <v>2.0099999999999998</v>
      </c>
      <c r="G12204">
        <v>1</v>
      </c>
      <c r="H12204">
        <f t="shared" si="218"/>
        <v>2.0099999999999998</v>
      </c>
      <c r="I12204">
        <v>20170401</v>
      </c>
      <c r="J12204" t="s">
        <v>12737</v>
      </c>
    </row>
    <row r="12205" spans="1:14" x14ac:dyDescent="0.3">
      <c r="A12205" s="160">
        <v>91602</v>
      </c>
      <c r="B12205" t="s">
        <v>27087</v>
      </c>
      <c r="C12205" t="s">
        <v>176</v>
      </c>
      <c r="D12205">
        <v>1.6</v>
      </c>
      <c r="E12205">
        <v>0</v>
      </c>
      <c r="F12205">
        <f t="shared" si="219"/>
        <v>1.6</v>
      </c>
      <c r="G12205">
        <v>1</v>
      </c>
      <c r="H12205">
        <f t="shared" si="218"/>
        <v>1.6</v>
      </c>
      <c r="I12205">
        <v>20170401</v>
      </c>
      <c r="J12205" t="s">
        <v>12613</v>
      </c>
    </row>
    <row r="12206" spans="1:14" x14ac:dyDescent="0.3">
      <c r="A12206" s="160">
        <v>91613</v>
      </c>
      <c r="B12206" t="s">
        <v>27088</v>
      </c>
      <c r="C12206" t="s">
        <v>176</v>
      </c>
      <c r="D12206">
        <v>1.6</v>
      </c>
      <c r="E12206">
        <v>0</v>
      </c>
      <c r="F12206">
        <f t="shared" si="219"/>
        <v>1.6</v>
      </c>
      <c r="G12206">
        <v>1</v>
      </c>
      <c r="H12206">
        <f t="shared" si="218"/>
        <v>1.6</v>
      </c>
      <c r="I12206">
        <v>20170401</v>
      </c>
      <c r="J12206" t="s">
        <v>12665</v>
      </c>
    </row>
    <row r="12207" spans="1:14" x14ac:dyDescent="0.3">
      <c r="A12207" s="160">
        <v>91617</v>
      </c>
      <c r="B12207" t="s">
        <v>27089</v>
      </c>
      <c r="C12207" t="s">
        <v>176</v>
      </c>
      <c r="D12207">
        <v>1.6</v>
      </c>
      <c r="E12207">
        <v>0</v>
      </c>
      <c r="F12207">
        <f t="shared" si="219"/>
        <v>1.6</v>
      </c>
      <c r="G12207">
        <v>1</v>
      </c>
      <c r="H12207">
        <f t="shared" si="218"/>
        <v>1.6</v>
      </c>
      <c r="I12207">
        <v>20170401</v>
      </c>
      <c r="J12207" t="s">
        <v>12855</v>
      </c>
    </row>
    <row r="12208" spans="1:14" x14ac:dyDescent="0.3">
      <c r="A12208" s="160">
        <v>91619</v>
      </c>
      <c r="B12208" t="s">
        <v>27090</v>
      </c>
      <c r="C12208" t="s">
        <v>176</v>
      </c>
      <c r="D12208">
        <v>1.6</v>
      </c>
      <c r="E12208">
        <v>0</v>
      </c>
      <c r="F12208">
        <f t="shared" si="219"/>
        <v>1.6</v>
      </c>
      <c r="G12208">
        <v>1</v>
      </c>
      <c r="H12208">
        <f t="shared" si="218"/>
        <v>1.6</v>
      </c>
      <c r="I12208">
        <v>20170401</v>
      </c>
      <c r="J12208" t="s">
        <v>12666</v>
      </c>
    </row>
    <row r="12209" spans="1:33" x14ac:dyDescent="0.3">
      <c r="A12209" s="160">
        <v>91629</v>
      </c>
      <c r="B12209" t="s">
        <v>27091</v>
      </c>
      <c r="C12209" t="s">
        <v>176</v>
      </c>
      <c r="D12209">
        <v>1.6</v>
      </c>
      <c r="E12209">
        <v>0</v>
      </c>
      <c r="F12209">
        <f t="shared" si="219"/>
        <v>1.6</v>
      </c>
      <c r="G12209">
        <v>1</v>
      </c>
      <c r="H12209">
        <f t="shared" si="218"/>
        <v>1.6</v>
      </c>
      <c r="I12209">
        <v>20170401</v>
      </c>
      <c r="J12209" t="s">
        <v>12626</v>
      </c>
    </row>
    <row r="12210" spans="1:33" x14ac:dyDescent="0.3">
      <c r="A12210" s="160">
        <v>91630</v>
      </c>
      <c r="B12210" t="s">
        <v>27092</v>
      </c>
      <c r="C12210" t="s">
        <v>176</v>
      </c>
      <c r="D12210">
        <v>1.6</v>
      </c>
      <c r="E12210">
        <v>0</v>
      </c>
      <c r="F12210">
        <f t="shared" si="219"/>
        <v>1.6</v>
      </c>
      <c r="G12210">
        <v>1</v>
      </c>
      <c r="H12210">
        <f t="shared" si="218"/>
        <v>1.6</v>
      </c>
      <c r="I12210">
        <v>20170401</v>
      </c>
      <c r="J12210" t="s">
        <v>12601</v>
      </c>
      <c r="K12210" t="s">
        <v>12910</v>
      </c>
    </row>
    <row r="12211" spans="1:33" x14ac:dyDescent="0.3">
      <c r="A12211" s="160">
        <v>91631</v>
      </c>
      <c r="B12211" t="s">
        <v>27093</v>
      </c>
      <c r="C12211" t="s">
        <v>176</v>
      </c>
      <c r="D12211">
        <v>2.0099999999999998</v>
      </c>
      <c r="E12211">
        <v>0</v>
      </c>
      <c r="F12211">
        <f t="shared" si="219"/>
        <v>2.0099999999999998</v>
      </c>
      <c r="G12211">
        <v>1</v>
      </c>
      <c r="H12211">
        <f t="shared" si="218"/>
        <v>2.0099999999999998</v>
      </c>
      <c r="I12211">
        <v>20170401</v>
      </c>
      <c r="J12211" t="s">
        <v>12706</v>
      </c>
      <c r="K12211" t="s">
        <v>12900</v>
      </c>
    </row>
    <row r="12212" spans="1:33" x14ac:dyDescent="0.3">
      <c r="A12212" s="160">
        <v>91634</v>
      </c>
      <c r="B12212" t="s">
        <v>27094</v>
      </c>
      <c r="C12212" t="s">
        <v>176</v>
      </c>
      <c r="D12212">
        <v>1.6</v>
      </c>
      <c r="E12212">
        <v>0</v>
      </c>
      <c r="F12212">
        <f t="shared" si="219"/>
        <v>1.6</v>
      </c>
      <c r="G12212">
        <v>1</v>
      </c>
      <c r="H12212">
        <f t="shared" si="218"/>
        <v>1.6</v>
      </c>
      <c r="I12212">
        <v>20170401</v>
      </c>
      <c r="J12212" t="s">
        <v>12656</v>
      </c>
    </row>
    <row r="12213" spans="1:33" x14ac:dyDescent="0.3">
      <c r="A12213" s="160">
        <v>91635</v>
      </c>
      <c r="B12213" t="s">
        <v>27095</v>
      </c>
      <c r="C12213" t="s">
        <v>176</v>
      </c>
      <c r="D12213">
        <v>2.0099999999999998</v>
      </c>
      <c r="E12213">
        <v>0</v>
      </c>
      <c r="F12213">
        <f t="shared" si="219"/>
        <v>2.0099999999999998</v>
      </c>
      <c r="G12213">
        <v>1</v>
      </c>
      <c r="H12213">
        <f t="shared" si="218"/>
        <v>2.0099999999999998</v>
      </c>
      <c r="I12213">
        <v>20170401</v>
      </c>
      <c r="J12213" t="s">
        <v>12867</v>
      </c>
      <c r="K12213" t="s">
        <v>12782</v>
      </c>
    </row>
    <row r="12214" spans="1:33" x14ac:dyDescent="0.3">
      <c r="A12214" s="160">
        <v>91639</v>
      </c>
      <c r="B12214" t="s">
        <v>27096</v>
      </c>
      <c r="C12214" t="s">
        <v>176</v>
      </c>
      <c r="D12214">
        <v>1.6</v>
      </c>
      <c r="E12214">
        <v>0</v>
      </c>
      <c r="F12214">
        <f t="shared" si="219"/>
        <v>1.6</v>
      </c>
      <c r="G12214">
        <v>1</v>
      </c>
      <c r="H12214">
        <f t="shared" si="218"/>
        <v>1.6</v>
      </c>
      <c r="I12214">
        <v>20170401</v>
      </c>
      <c r="J12214" t="s">
        <v>12644</v>
      </c>
    </row>
    <row r="12215" spans="1:33" x14ac:dyDescent="0.3">
      <c r="A12215" s="160">
        <v>91645</v>
      </c>
      <c r="B12215" t="s">
        <v>27097</v>
      </c>
      <c r="C12215" t="s">
        <v>176</v>
      </c>
      <c r="D12215">
        <v>2.0099999999999998</v>
      </c>
      <c r="E12215">
        <v>0</v>
      </c>
      <c r="F12215">
        <f t="shared" si="219"/>
        <v>2.0099999999999998</v>
      </c>
      <c r="G12215">
        <v>1</v>
      </c>
      <c r="H12215">
        <f t="shared" si="218"/>
        <v>2.0099999999999998</v>
      </c>
      <c r="I12215">
        <v>20170401</v>
      </c>
      <c r="J12215" t="s">
        <v>12927</v>
      </c>
      <c r="K12215" t="s">
        <v>12928</v>
      </c>
      <c r="L12215" t="s">
        <v>12929</v>
      </c>
    </row>
    <row r="12216" spans="1:33" x14ac:dyDescent="0.3">
      <c r="A12216" s="160">
        <v>91648</v>
      </c>
      <c r="B12216" t="s">
        <v>27098</v>
      </c>
      <c r="C12216" t="s">
        <v>176</v>
      </c>
      <c r="D12216">
        <v>1.6</v>
      </c>
      <c r="E12216">
        <v>0</v>
      </c>
      <c r="F12216">
        <f t="shared" si="219"/>
        <v>1.6</v>
      </c>
      <c r="G12216">
        <v>1</v>
      </c>
      <c r="H12216">
        <f t="shared" si="218"/>
        <v>1.6</v>
      </c>
      <c r="I12216">
        <v>20170401</v>
      </c>
      <c r="J12216" t="s">
        <v>12634</v>
      </c>
      <c r="K12216" t="s">
        <v>12930</v>
      </c>
    </row>
    <row r="12217" spans="1:33" x14ac:dyDescent="0.3">
      <c r="A12217" s="160">
        <v>91649</v>
      </c>
      <c r="B12217" t="s">
        <v>27099</v>
      </c>
      <c r="C12217" t="s">
        <v>176</v>
      </c>
      <c r="D12217">
        <v>1.6</v>
      </c>
      <c r="E12217">
        <v>0</v>
      </c>
      <c r="F12217">
        <f t="shared" si="219"/>
        <v>1.6</v>
      </c>
      <c r="G12217">
        <v>1</v>
      </c>
      <c r="H12217">
        <f t="shared" si="218"/>
        <v>1.6</v>
      </c>
      <c r="I12217">
        <v>20170401</v>
      </c>
      <c r="J12217" t="s">
        <v>12931</v>
      </c>
    </row>
    <row r="12218" spans="1:33" x14ac:dyDescent="0.3">
      <c r="A12218" s="160">
        <v>91654</v>
      </c>
      <c r="B12218" t="s">
        <v>27100</v>
      </c>
      <c r="C12218" t="s">
        <v>176</v>
      </c>
      <c r="D12218">
        <v>1.6</v>
      </c>
      <c r="E12218">
        <v>0</v>
      </c>
      <c r="F12218">
        <f t="shared" si="219"/>
        <v>1.6</v>
      </c>
      <c r="G12218">
        <v>1</v>
      </c>
      <c r="H12218">
        <f t="shared" si="218"/>
        <v>1.6</v>
      </c>
      <c r="I12218">
        <v>20170401</v>
      </c>
      <c r="J12218" t="s">
        <v>12932</v>
      </c>
    </row>
    <row r="12219" spans="1:33" x14ac:dyDescent="0.3">
      <c r="A12219" s="160">
        <v>91657</v>
      </c>
      <c r="B12219" t="s">
        <v>27101</v>
      </c>
      <c r="C12219" t="s">
        <v>176</v>
      </c>
      <c r="D12219">
        <v>2.0099999999999998</v>
      </c>
      <c r="E12219">
        <v>0</v>
      </c>
      <c r="F12219">
        <f t="shared" si="219"/>
        <v>2.0099999999999998</v>
      </c>
      <c r="G12219">
        <v>1</v>
      </c>
      <c r="H12219">
        <f t="shared" si="218"/>
        <v>2.0099999999999998</v>
      </c>
      <c r="I12219">
        <v>20170401</v>
      </c>
      <c r="J12219" t="s">
        <v>12726</v>
      </c>
      <c r="K12219" t="s">
        <v>12933</v>
      </c>
    </row>
    <row r="12220" spans="1:33" x14ac:dyDescent="0.3">
      <c r="A12220" s="160">
        <v>91659</v>
      </c>
      <c r="B12220" t="s">
        <v>27102</v>
      </c>
      <c r="C12220" t="s">
        <v>176</v>
      </c>
      <c r="D12220">
        <v>2.0099999999999998</v>
      </c>
      <c r="E12220">
        <v>0</v>
      </c>
      <c r="F12220">
        <f t="shared" si="219"/>
        <v>2.0099999999999998</v>
      </c>
      <c r="G12220">
        <v>1</v>
      </c>
      <c r="H12220">
        <f t="shared" si="218"/>
        <v>2.0099999999999998</v>
      </c>
      <c r="I12220">
        <v>20170401</v>
      </c>
      <c r="J12220" t="s">
        <v>12677</v>
      </c>
      <c r="K12220" t="s">
        <v>12678</v>
      </c>
      <c r="L12220" t="s">
        <v>12679</v>
      </c>
      <c r="M12220" t="s">
        <v>12681</v>
      </c>
      <c r="N12220" t="s">
        <v>12687</v>
      </c>
      <c r="O12220" t="s">
        <v>12688</v>
      </c>
    </row>
    <row r="12221" spans="1:33" x14ac:dyDescent="0.3">
      <c r="A12221" s="160">
        <v>91661</v>
      </c>
      <c r="B12221" t="s">
        <v>27103</v>
      </c>
      <c r="C12221" t="s">
        <v>176</v>
      </c>
      <c r="D12221">
        <v>2.0099999999999998</v>
      </c>
      <c r="E12221">
        <v>0</v>
      </c>
      <c r="F12221">
        <f t="shared" si="219"/>
        <v>2.0099999999999998</v>
      </c>
      <c r="G12221">
        <v>1</v>
      </c>
      <c r="H12221">
        <f t="shared" si="218"/>
        <v>2.0099999999999998</v>
      </c>
      <c r="I12221">
        <v>20170401</v>
      </c>
      <c r="J12221" t="s">
        <v>12934</v>
      </c>
      <c r="K12221" t="s">
        <v>12935</v>
      </c>
      <c r="L12221" t="s">
        <v>12936</v>
      </c>
      <c r="M12221" t="s">
        <v>12937</v>
      </c>
      <c r="N12221" t="s">
        <v>12938</v>
      </c>
      <c r="O12221" t="s">
        <v>12939</v>
      </c>
      <c r="P12221" t="s">
        <v>12940</v>
      </c>
      <c r="Q12221" t="s">
        <v>12941</v>
      </c>
      <c r="R12221" t="s">
        <v>12942</v>
      </c>
      <c r="S12221" t="s">
        <v>12943</v>
      </c>
      <c r="T12221" t="s">
        <v>12944</v>
      </c>
      <c r="U12221" t="s">
        <v>12945</v>
      </c>
      <c r="V12221" t="s">
        <v>12946</v>
      </c>
      <c r="W12221" t="s">
        <v>12947</v>
      </c>
      <c r="X12221" t="s">
        <v>12948</v>
      </c>
      <c r="Y12221" t="s">
        <v>12949</v>
      </c>
      <c r="Z12221" t="s">
        <v>12950</v>
      </c>
      <c r="AA12221" t="s">
        <v>12951</v>
      </c>
      <c r="AB12221" t="s">
        <v>12952</v>
      </c>
      <c r="AC12221" t="s">
        <v>12953</v>
      </c>
      <c r="AD12221" t="s">
        <v>12954</v>
      </c>
      <c r="AE12221" t="s">
        <v>12955</v>
      </c>
      <c r="AF12221" t="s">
        <v>12956</v>
      </c>
      <c r="AG12221" t="s">
        <v>12957</v>
      </c>
    </row>
    <row r="12222" spans="1:33" x14ac:dyDescent="0.3">
      <c r="A12222" s="160">
        <v>91662</v>
      </c>
      <c r="B12222" t="s">
        <v>27104</v>
      </c>
      <c r="C12222" t="s">
        <v>176</v>
      </c>
      <c r="D12222">
        <v>1.6</v>
      </c>
      <c r="E12222">
        <v>0</v>
      </c>
      <c r="F12222">
        <f t="shared" si="219"/>
        <v>1.6</v>
      </c>
      <c r="G12222">
        <v>1</v>
      </c>
      <c r="H12222">
        <f t="shared" si="218"/>
        <v>1.6</v>
      </c>
      <c r="I12222">
        <v>20170401</v>
      </c>
      <c r="J12222" t="s">
        <v>12613</v>
      </c>
    </row>
    <row r="12223" spans="1:33" x14ac:dyDescent="0.3">
      <c r="A12223" s="160">
        <v>91665</v>
      </c>
      <c r="B12223" t="s">
        <v>27105</v>
      </c>
      <c r="C12223" t="s">
        <v>176</v>
      </c>
      <c r="D12223">
        <v>2.0099999999999998</v>
      </c>
      <c r="E12223">
        <v>0</v>
      </c>
      <c r="F12223">
        <f t="shared" si="219"/>
        <v>2.0099999999999998</v>
      </c>
      <c r="G12223">
        <v>1</v>
      </c>
      <c r="H12223">
        <f t="shared" si="218"/>
        <v>2.0099999999999998</v>
      </c>
      <c r="I12223">
        <v>20170401</v>
      </c>
      <c r="J12223" t="s">
        <v>12856</v>
      </c>
      <c r="K12223" t="s">
        <v>12857</v>
      </c>
    </row>
    <row r="12224" spans="1:33" x14ac:dyDescent="0.3">
      <c r="A12224" s="160">
        <v>91666</v>
      </c>
      <c r="B12224" t="s">
        <v>27106</v>
      </c>
      <c r="C12224" t="s">
        <v>176</v>
      </c>
      <c r="D12224">
        <v>2.0099999999999998</v>
      </c>
      <c r="E12224">
        <v>0</v>
      </c>
      <c r="F12224">
        <f t="shared" si="219"/>
        <v>2.0099999999999998</v>
      </c>
      <c r="G12224">
        <v>1</v>
      </c>
      <c r="H12224">
        <f t="shared" si="218"/>
        <v>2.0099999999999998</v>
      </c>
      <c r="I12224">
        <v>20170401</v>
      </c>
      <c r="J12224" t="s">
        <v>10195</v>
      </c>
      <c r="K12224" t="s">
        <v>12934</v>
      </c>
      <c r="L12224" t="s">
        <v>12676</v>
      </c>
      <c r="M12224" t="s">
        <v>12937</v>
      </c>
      <c r="N12224" t="s">
        <v>12938</v>
      </c>
      <c r="O12224" t="s">
        <v>12939</v>
      </c>
      <c r="P12224" t="s">
        <v>12946</v>
      </c>
      <c r="Q12224" t="s">
        <v>12952</v>
      </c>
      <c r="R12224" t="s">
        <v>12958</v>
      </c>
      <c r="S12224" t="s">
        <v>12953</v>
      </c>
      <c r="T12224" t="s">
        <v>12957</v>
      </c>
    </row>
    <row r="12225" spans="1:51" x14ac:dyDescent="0.3">
      <c r="A12225" s="160">
        <v>91667</v>
      </c>
      <c r="B12225" t="s">
        <v>27107</v>
      </c>
      <c r="C12225" t="s">
        <v>176</v>
      </c>
      <c r="D12225">
        <v>2.0099999999999998</v>
      </c>
      <c r="E12225">
        <v>0</v>
      </c>
      <c r="F12225">
        <f t="shared" si="219"/>
        <v>2.0099999999999998</v>
      </c>
      <c r="G12225">
        <v>1</v>
      </c>
      <c r="H12225">
        <f t="shared" si="218"/>
        <v>2.0099999999999998</v>
      </c>
      <c r="I12225">
        <v>20170401</v>
      </c>
      <c r="J12225" t="s">
        <v>12731</v>
      </c>
    </row>
    <row r="12226" spans="1:51" x14ac:dyDescent="0.3">
      <c r="A12226" s="160">
        <v>91671</v>
      </c>
      <c r="B12226" t="s">
        <v>27108</v>
      </c>
      <c r="C12226" t="s">
        <v>176</v>
      </c>
      <c r="D12226">
        <v>1.6</v>
      </c>
      <c r="E12226">
        <v>0</v>
      </c>
      <c r="F12226">
        <f t="shared" si="219"/>
        <v>1.6</v>
      </c>
      <c r="G12226">
        <v>1</v>
      </c>
      <c r="H12226">
        <f t="shared" si="218"/>
        <v>1.6</v>
      </c>
      <c r="I12226">
        <v>20170401</v>
      </c>
      <c r="J12226" t="s">
        <v>12613</v>
      </c>
    </row>
    <row r="12227" spans="1:51" x14ac:dyDescent="0.3">
      <c r="A12227" s="160">
        <v>91679</v>
      </c>
      <c r="B12227" t="s">
        <v>27109</v>
      </c>
      <c r="C12227" t="s">
        <v>176</v>
      </c>
      <c r="D12227">
        <v>2.0099999999999998</v>
      </c>
      <c r="E12227">
        <v>0</v>
      </c>
      <c r="F12227">
        <f t="shared" si="219"/>
        <v>2.0099999999999998</v>
      </c>
      <c r="G12227">
        <v>1</v>
      </c>
      <c r="H12227">
        <f t="shared" si="218"/>
        <v>2.0099999999999998</v>
      </c>
      <c r="I12227">
        <v>20170401</v>
      </c>
      <c r="J12227" t="s">
        <v>12768</v>
      </c>
      <c r="K12227" t="s">
        <v>12769</v>
      </c>
    </row>
    <row r="12228" spans="1:51" x14ac:dyDescent="0.3">
      <c r="A12228" s="160">
        <v>91685</v>
      </c>
      <c r="B12228" t="s">
        <v>27110</v>
      </c>
      <c r="C12228" t="s">
        <v>176</v>
      </c>
      <c r="D12228">
        <v>2.0099999999999998</v>
      </c>
      <c r="E12228">
        <v>0</v>
      </c>
      <c r="F12228">
        <f t="shared" si="219"/>
        <v>2.0099999999999998</v>
      </c>
      <c r="G12228">
        <v>1</v>
      </c>
      <c r="H12228">
        <f t="shared" si="218"/>
        <v>2.0099999999999998</v>
      </c>
      <c r="I12228">
        <v>20170401</v>
      </c>
      <c r="J12228" t="s">
        <v>12759</v>
      </c>
      <c r="K12228" t="s">
        <v>12764</v>
      </c>
    </row>
    <row r="12229" spans="1:51" x14ac:dyDescent="0.3">
      <c r="A12229" s="160">
        <v>91687</v>
      </c>
      <c r="B12229" t="s">
        <v>27111</v>
      </c>
      <c r="C12229" t="s">
        <v>176</v>
      </c>
      <c r="D12229">
        <v>2.0099999999999998</v>
      </c>
      <c r="E12229">
        <v>0</v>
      </c>
      <c r="F12229">
        <f t="shared" si="219"/>
        <v>2.0099999999999998</v>
      </c>
      <c r="G12229">
        <v>1</v>
      </c>
      <c r="H12229">
        <f t="shared" ref="H12229:H12292" si="220">G12229*F12229</f>
        <v>2.0099999999999998</v>
      </c>
      <c r="I12229">
        <v>20170401</v>
      </c>
      <c r="J12229" t="s">
        <v>12959</v>
      </c>
      <c r="K12229" t="s">
        <v>12960</v>
      </c>
      <c r="L12229" t="s">
        <v>12961</v>
      </c>
      <c r="M12229" t="s">
        <v>12962</v>
      </c>
      <c r="N12229" t="s">
        <v>12963</v>
      </c>
      <c r="O12229" t="s">
        <v>12964</v>
      </c>
    </row>
    <row r="12230" spans="1:51" x14ac:dyDescent="0.3">
      <c r="A12230" s="160">
        <v>91689</v>
      </c>
      <c r="B12230" t="s">
        <v>27112</v>
      </c>
      <c r="C12230" t="s">
        <v>176</v>
      </c>
      <c r="D12230">
        <v>2.0099999999999998</v>
      </c>
      <c r="E12230">
        <v>0</v>
      </c>
      <c r="F12230">
        <f t="shared" si="219"/>
        <v>2.0099999999999998</v>
      </c>
      <c r="G12230">
        <v>1</v>
      </c>
      <c r="H12230">
        <f t="shared" si="220"/>
        <v>2.0099999999999998</v>
      </c>
      <c r="I12230">
        <v>20170401</v>
      </c>
      <c r="J12230" t="s">
        <v>10055</v>
      </c>
      <c r="K12230" t="s">
        <v>12965</v>
      </c>
      <c r="L12230" t="s">
        <v>12966</v>
      </c>
      <c r="M12230" t="s">
        <v>12967</v>
      </c>
      <c r="N12230" t="s">
        <v>12817</v>
      </c>
      <c r="O12230" t="s">
        <v>12818</v>
      </c>
      <c r="P12230" t="s">
        <v>12968</v>
      </c>
      <c r="Q12230" t="s">
        <v>12969</v>
      </c>
      <c r="R12230" t="s">
        <v>12675</v>
      </c>
      <c r="S12230" t="s">
        <v>12970</v>
      </c>
      <c r="T12230" t="s">
        <v>12837</v>
      </c>
    </row>
    <row r="12231" spans="1:51" x14ac:dyDescent="0.3">
      <c r="A12231" s="160">
        <v>91691</v>
      </c>
      <c r="B12231" t="s">
        <v>27113</v>
      </c>
      <c r="C12231" t="s">
        <v>176</v>
      </c>
      <c r="D12231">
        <v>2.0099999999999998</v>
      </c>
      <c r="E12231">
        <v>0</v>
      </c>
      <c r="F12231">
        <f t="shared" ref="F12231:F12294" si="221">D12231+E12231</f>
        <v>2.0099999999999998</v>
      </c>
      <c r="G12231">
        <v>1</v>
      </c>
      <c r="H12231">
        <f t="shared" si="220"/>
        <v>2.0099999999999998</v>
      </c>
      <c r="I12231">
        <v>20170401</v>
      </c>
      <c r="J12231" t="s">
        <v>12971</v>
      </c>
      <c r="K12231" t="s">
        <v>12716</v>
      </c>
      <c r="L12231" t="s">
        <v>12717</v>
      </c>
      <c r="M12231" t="s">
        <v>12847</v>
      </c>
    </row>
    <row r="12232" spans="1:51" x14ac:dyDescent="0.3">
      <c r="A12232" s="160">
        <v>91692</v>
      </c>
      <c r="B12232" t="s">
        <v>27114</v>
      </c>
      <c r="C12232" t="s">
        <v>176</v>
      </c>
      <c r="D12232">
        <v>2.0099999999999998</v>
      </c>
      <c r="E12232">
        <v>0</v>
      </c>
      <c r="F12232">
        <f t="shared" si="221"/>
        <v>2.0099999999999998</v>
      </c>
      <c r="G12232">
        <v>1</v>
      </c>
      <c r="H12232">
        <f t="shared" si="220"/>
        <v>2.0099999999999998</v>
      </c>
      <c r="I12232">
        <v>20170401</v>
      </c>
      <c r="J12232" t="s">
        <v>10195</v>
      </c>
      <c r="K12232" t="s">
        <v>12869</v>
      </c>
      <c r="L12232" t="s">
        <v>12676</v>
      </c>
      <c r="M12232" t="s">
        <v>12775</v>
      </c>
      <c r="N12232" t="s">
        <v>12936</v>
      </c>
      <c r="O12232" t="s">
        <v>12937</v>
      </c>
      <c r="P12232" t="s">
        <v>12938</v>
      </c>
      <c r="Q12232" t="s">
        <v>12939</v>
      </c>
      <c r="R12232" t="s">
        <v>12940</v>
      </c>
      <c r="S12232" t="s">
        <v>12941</v>
      </c>
      <c r="T12232" t="s">
        <v>12972</v>
      </c>
      <c r="U12232" t="s">
        <v>12943</v>
      </c>
      <c r="V12232" t="s">
        <v>12944</v>
      </c>
      <c r="W12232" t="s">
        <v>12945</v>
      </c>
      <c r="X12232" t="s">
        <v>12973</v>
      </c>
      <c r="Y12232" t="s">
        <v>12974</v>
      </c>
      <c r="Z12232" t="s">
        <v>12946</v>
      </c>
      <c r="AA12232" t="s">
        <v>12947</v>
      </c>
      <c r="AB12232" t="s">
        <v>12950</v>
      </c>
      <c r="AC12232" t="s">
        <v>12951</v>
      </c>
      <c r="AD12232" t="s">
        <v>12975</v>
      </c>
      <c r="AE12232" t="s">
        <v>12952</v>
      </c>
      <c r="AF12232" t="s">
        <v>12958</v>
      </c>
      <c r="AG12232" t="s">
        <v>12953</v>
      </c>
      <c r="AH12232" t="s">
        <v>12976</v>
      </c>
      <c r="AI12232" t="s">
        <v>12956</v>
      </c>
      <c r="AJ12232" t="s">
        <v>12977</v>
      </c>
      <c r="AK12232" t="s">
        <v>12957</v>
      </c>
    </row>
    <row r="12233" spans="1:51" x14ac:dyDescent="0.3">
      <c r="A12233" s="160">
        <v>92002</v>
      </c>
      <c r="B12233" t="s">
        <v>27115</v>
      </c>
      <c r="C12233" t="s">
        <v>176</v>
      </c>
      <c r="D12233">
        <v>3.2</v>
      </c>
      <c r="E12233">
        <v>0</v>
      </c>
      <c r="F12233">
        <f t="shared" si="221"/>
        <v>3.2</v>
      </c>
      <c r="G12233">
        <v>1</v>
      </c>
      <c r="H12233">
        <f t="shared" si="220"/>
        <v>3.2</v>
      </c>
      <c r="I12233">
        <v>20240201</v>
      </c>
      <c r="J12233" t="s">
        <v>12978</v>
      </c>
      <c r="K12233" t="s">
        <v>12979</v>
      </c>
      <c r="L12233" t="s">
        <v>12980</v>
      </c>
      <c r="M12233" t="s">
        <v>12981</v>
      </c>
      <c r="N12233" t="s">
        <v>12982</v>
      </c>
      <c r="O12233" t="s">
        <v>12983</v>
      </c>
      <c r="P12233" t="s">
        <v>12984</v>
      </c>
      <c r="Q12233" t="s">
        <v>12985</v>
      </c>
      <c r="R12233" t="s">
        <v>12986</v>
      </c>
      <c r="S12233" t="s">
        <v>12987</v>
      </c>
      <c r="T12233" t="s">
        <v>12988</v>
      </c>
      <c r="U12233" t="s">
        <v>12989</v>
      </c>
      <c r="V12233" t="s">
        <v>12990</v>
      </c>
      <c r="W12233" t="s">
        <v>12991</v>
      </c>
      <c r="X12233" t="s">
        <v>12992</v>
      </c>
      <c r="Y12233" t="s">
        <v>12993</v>
      </c>
      <c r="Z12233" t="s">
        <v>12994</v>
      </c>
      <c r="AA12233" t="s">
        <v>12995</v>
      </c>
      <c r="AB12233" t="s">
        <v>12996</v>
      </c>
    </row>
    <row r="12234" spans="1:51" x14ac:dyDescent="0.3">
      <c r="A12234" s="160">
        <v>92004</v>
      </c>
      <c r="B12234" t="s">
        <v>27116</v>
      </c>
      <c r="C12234" t="s">
        <v>176</v>
      </c>
      <c r="D12234">
        <v>3.2</v>
      </c>
      <c r="E12234">
        <v>0</v>
      </c>
      <c r="F12234">
        <f t="shared" si="221"/>
        <v>3.2</v>
      </c>
      <c r="G12234">
        <v>1</v>
      </c>
      <c r="H12234">
        <f t="shared" si="220"/>
        <v>3.2</v>
      </c>
      <c r="I12234">
        <v>20240201</v>
      </c>
      <c r="J12234" t="s">
        <v>12997</v>
      </c>
      <c r="K12234" t="s">
        <v>12998</v>
      </c>
      <c r="L12234" t="s">
        <v>12999</v>
      </c>
      <c r="M12234" t="s">
        <v>13000</v>
      </c>
      <c r="N12234" t="s">
        <v>13001</v>
      </c>
      <c r="O12234" t="s">
        <v>13002</v>
      </c>
      <c r="P12234" t="s">
        <v>13003</v>
      </c>
      <c r="Q12234" t="s">
        <v>13004</v>
      </c>
      <c r="R12234" t="s">
        <v>13005</v>
      </c>
    </row>
    <row r="12235" spans="1:51" x14ac:dyDescent="0.3">
      <c r="A12235" s="160">
        <v>92007</v>
      </c>
      <c r="B12235" t="s">
        <v>15320</v>
      </c>
      <c r="C12235" t="s">
        <v>176</v>
      </c>
      <c r="D12235">
        <v>3.2</v>
      </c>
      <c r="E12235">
        <v>0</v>
      </c>
      <c r="F12235">
        <f t="shared" si="221"/>
        <v>3.2</v>
      </c>
      <c r="G12235">
        <v>1</v>
      </c>
      <c r="H12235">
        <f t="shared" si="220"/>
        <v>3.2</v>
      </c>
      <c r="I12235">
        <v>20240201</v>
      </c>
      <c r="J12235" t="s">
        <v>13006</v>
      </c>
      <c r="K12235" t="s">
        <v>13007</v>
      </c>
      <c r="L12235" t="s">
        <v>13008</v>
      </c>
      <c r="M12235" t="s">
        <v>13009</v>
      </c>
      <c r="N12235" t="s">
        <v>13010</v>
      </c>
      <c r="O12235" t="s">
        <v>13011</v>
      </c>
      <c r="P12235" t="s">
        <v>13012</v>
      </c>
      <c r="Q12235" t="s">
        <v>13013</v>
      </c>
      <c r="R12235" t="s">
        <v>13014</v>
      </c>
      <c r="S12235" t="s">
        <v>13015</v>
      </c>
      <c r="T12235" t="s">
        <v>13016</v>
      </c>
    </row>
    <row r="12236" spans="1:51" x14ac:dyDescent="0.3">
      <c r="A12236" s="160">
        <v>92009</v>
      </c>
      <c r="B12236" t="s">
        <v>27117</v>
      </c>
      <c r="C12236" t="s">
        <v>176</v>
      </c>
      <c r="D12236">
        <v>3.2</v>
      </c>
      <c r="E12236">
        <v>0</v>
      </c>
      <c r="F12236">
        <f t="shared" si="221"/>
        <v>3.2</v>
      </c>
      <c r="G12236">
        <v>1</v>
      </c>
      <c r="H12236">
        <f t="shared" si="220"/>
        <v>3.2</v>
      </c>
      <c r="I12236">
        <v>20240201</v>
      </c>
      <c r="J12236" t="s">
        <v>13017</v>
      </c>
      <c r="K12236" t="s">
        <v>13018</v>
      </c>
      <c r="L12236" t="s">
        <v>13019</v>
      </c>
      <c r="M12236" t="s">
        <v>13020</v>
      </c>
      <c r="N12236" t="s">
        <v>13021</v>
      </c>
      <c r="O12236" t="s">
        <v>13022</v>
      </c>
      <c r="P12236" t="s">
        <v>13023</v>
      </c>
      <c r="Q12236" t="s">
        <v>13024</v>
      </c>
      <c r="R12236" t="s">
        <v>13025</v>
      </c>
      <c r="S12236" t="s">
        <v>13026</v>
      </c>
      <c r="T12236" t="s">
        <v>13027</v>
      </c>
    </row>
    <row r="12237" spans="1:51" x14ac:dyDescent="0.3">
      <c r="A12237" s="160">
        <v>92012</v>
      </c>
      <c r="B12237" t="s">
        <v>27118</v>
      </c>
      <c r="C12237" t="s">
        <v>176</v>
      </c>
      <c r="D12237">
        <v>3.2</v>
      </c>
      <c r="E12237">
        <v>0</v>
      </c>
      <c r="F12237">
        <f t="shared" si="221"/>
        <v>3.2</v>
      </c>
      <c r="G12237">
        <v>1</v>
      </c>
      <c r="H12237">
        <f t="shared" si="220"/>
        <v>3.2</v>
      </c>
      <c r="I12237">
        <v>20240201</v>
      </c>
      <c r="J12237" t="s">
        <v>13028</v>
      </c>
      <c r="K12237" t="s">
        <v>13029</v>
      </c>
      <c r="L12237" t="s">
        <v>13030</v>
      </c>
      <c r="M12237" t="s">
        <v>13031</v>
      </c>
      <c r="N12237" t="s">
        <v>13032</v>
      </c>
      <c r="O12237" t="s">
        <v>13033</v>
      </c>
      <c r="P12237" t="s">
        <v>13034</v>
      </c>
      <c r="Q12237" t="s">
        <v>13035</v>
      </c>
      <c r="R12237" t="s">
        <v>13036</v>
      </c>
      <c r="S12237" t="s">
        <v>13037</v>
      </c>
      <c r="T12237" t="s">
        <v>13038</v>
      </c>
      <c r="U12237" t="s">
        <v>13039</v>
      </c>
      <c r="V12237" t="s">
        <v>13040</v>
      </c>
      <c r="W12237" t="s">
        <v>13041</v>
      </c>
      <c r="X12237" t="s">
        <v>13042</v>
      </c>
      <c r="Y12237" t="s">
        <v>13043</v>
      </c>
      <c r="Z12237" t="s">
        <v>13044</v>
      </c>
      <c r="AA12237" t="s">
        <v>13045</v>
      </c>
      <c r="AB12237" t="s">
        <v>13046</v>
      </c>
      <c r="AC12237" t="s">
        <v>13047</v>
      </c>
      <c r="AD12237" t="s">
        <v>13048</v>
      </c>
      <c r="AE12237" t="s">
        <v>13049</v>
      </c>
      <c r="AF12237" t="s">
        <v>13050</v>
      </c>
      <c r="AG12237" t="s">
        <v>13051</v>
      </c>
      <c r="AH12237" t="s">
        <v>13052</v>
      </c>
      <c r="AI12237" t="s">
        <v>13053</v>
      </c>
      <c r="AJ12237" t="s">
        <v>13054</v>
      </c>
      <c r="AK12237" t="s">
        <v>13055</v>
      </c>
      <c r="AL12237" t="s">
        <v>13056</v>
      </c>
      <c r="AM12237" t="s">
        <v>13057</v>
      </c>
      <c r="AN12237" t="s">
        <v>13058</v>
      </c>
      <c r="AO12237" t="s">
        <v>13059</v>
      </c>
      <c r="AP12237" t="s">
        <v>13060</v>
      </c>
      <c r="AQ12237" t="s">
        <v>13061</v>
      </c>
      <c r="AR12237" t="s">
        <v>13062</v>
      </c>
      <c r="AS12237" t="s">
        <v>13063</v>
      </c>
      <c r="AT12237" t="s">
        <v>13064</v>
      </c>
      <c r="AU12237" t="s">
        <v>13065</v>
      </c>
      <c r="AV12237" t="s">
        <v>13066</v>
      </c>
      <c r="AW12237" t="s">
        <v>13026</v>
      </c>
      <c r="AX12237" t="s">
        <v>13067</v>
      </c>
      <c r="AY12237" t="s">
        <v>13068</v>
      </c>
    </row>
    <row r="12238" spans="1:51" x14ac:dyDescent="0.3">
      <c r="A12238" s="160">
        <v>92014</v>
      </c>
      <c r="B12238" t="s">
        <v>27119</v>
      </c>
      <c r="C12238" t="s">
        <v>176</v>
      </c>
      <c r="D12238">
        <v>3.2</v>
      </c>
      <c r="E12238">
        <v>0</v>
      </c>
      <c r="F12238">
        <f t="shared" si="221"/>
        <v>3.2</v>
      </c>
      <c r="G12238">
        <v>1</v>
      </c>
      <c r="H12238">
        <f t="shared" si="220"/>
        <v>3.2</v>
      </c>
      <c r="I12238">
        <v>20240201</v>
      </c>
      <c r="J12238" t="s">
        <v>13069</v>
      </c>
      <c r="K12238" t="s">
        <v>13070</v>
      </c>
      <c r="L12238" t="s">
        <v>13071</v>
      </c>
      <c r="M12238" t="s">
        <v>13072</v>
      </c>
    </row>
    <row r="12239" spans="1:51" x14ac:dyDescent="0.3">
      <c r="A12239" s="160">
        <v>92019</v>
      </c>
      <c r="B12239" t="s">
        <v>27120</v>
      </c>
      <c r="C12239" t="s">
        <v>176</v>
      </c>
      <c r="D12239">
        <v>3.2</v>
      </c>
      <c r="E12239">
        <v>0</v>
      </c>
      <c r="F12239">
        <f t="shared" si="221"/>
        <v>3.2</v>
      </c>
      <c r="G12239">
        <v>1</v>
      </c>
      <c r="H12239">
        <f t="shared" si="220"/>
        <v>3.2</v>
      </c>
      <c r="I12239">
        <v>20240201</v>
      </c>
      <c r="J12239" t="s">
        <v>13073</v>
      </c>
      <c r="K12239" t="s">
        <v>13074</v>
      </c>
      <c r="L12239" t="s">
        <v>13075</v>
      </c>
      <c r="M12239" t="s">
        <v>13076</v>
      </c>
      <c r="N12239" t="s">
        <v>13077</v>
      </c>
      <c r="O12239" t="s">
        <v>13078</v>
      </c>
      <c r="P12239" t="s">
        <v>13079</v>
      </c>
      <c r="Q12239" t="s">
        <v>13080</v>
      </c>
    </row>
    <row r="12240" spans="1:51" x14ac:dyDescent="0.3">
      <c r="A12240" s="160">
        <v>92020</v>
      </c>
      <c r="B12240" t="s">
        <v>24487</v>
      </c>
      <c r="C12240" t="s">
        <v>176</v>
      </c>
      <c r="D12240">
        <v>3.2</v>
      </c>
      <c r="E12240">
        <v>0</v>
      </c>
      <c r="F12240">
        <f t="shared" si="221"/>
        <v>3.2</v>
      </c>
      <c r="G12240">
        <v>1</v>
      </c>
      <c r="H12240">
        <f t="shared" si="220"/>
        <v>3.2</v>
      </c>
      <c r="I12240">
        <v>20240201</v>
      </c>
      <c r="J12240" t="s">
        <v>13081</v>
      </c>
      <c r="K12240" t="s">
        <v>13015</v>
      </c>
      <c r="L12240" t="s">
        <v>13082</v>
      </c>
      <c r="M12240" t="s">
        <v>13083</v>
      </c>
      <c r="N12240" t="s">
        <v>13084</v>
      </c>
      <c r="O12240" t="s">
        <v>13085</v>
      </c>
      <c r="P12240" t="s">
        <v>13086</v>
      </c>
      <c r="Q12240" t="s">
        <v>13087</v>
      </c>
      <c r="R12240" t="s">
        <v>13088</v>
      </c>
    </row>
    <row r="12241" spans="1:67" x14ac:dyDescent="0.3">
      <c r="A12241" s="160">
        <v>92022</v>
      </c>
      <c r="B12241" t="s">
        <v>27121</v>
      </c>
      <c r="C12241" t="s">
        <v>176</v>
      </c>
      <c r="D12241">
        <v>3.2</v>
      </c>
      <c r="E12241">
        <v>0</v>
      </c>
      <c r="F12241">
        <f t="shared" si="221"/>
        <v>3.2</v>
      </c>
      <c r="G12241">
        <v>1</v>
      </c>
      <c r="H12241">
        <f t="shared" si="220"/>
        <v>3.2</v>
      </c>
      <c r="I12241">
        <v>20240201</v>
      </c>
      <c r="J12241" t="s">
        <v>13089</v>
      </c>
      <c r="K12241" t="s">
        <v>13090</v>
      </c>
      <c r="L12241" t="s">
        <v>13091</v>
      </c>
      <c r="M12241" t="s">
        <v>13092</v>
      </c>
    </row>
    <row r="12242" spans="1:67" x14ac:dyDescent="0.3">
      <c r="A12242" s="160">
        <v>92023</v>
      </c>
      <c r="B12242" t="s">
        <v>27122</v>
      </c>
      <c r="C12242" t="s">
        <v>176</v>
      </c>
      <c r="D12242">
        <v>3.2</v>
      </c>
      <c r="E12242">
        <v>0</v>
      </c>
      <c r="F12242">
        <f t="shared" si="221"/>
        <v>3.2</v>
      </c>
      <c r="G12242">
        <v>1</v>
      </c>
      <c r="H12242">
        <f t="shared" si="220"/>
        <v>3.2</v>
      </c>
      <c r="I12242">
        <v>20240201</v>
      </c>
      <c r="J12242" t="s">
        <v>13093</v>
      </c>
      <c r="K12242" t="s">
        <v>13094</v>
      </c>
      <c r="L12242" t="s">
        <v>13095</v>
      </c>
      <c r="M12242" t="s">
        <v>13096</v>
      </c>
      <c r="N12242" t="s">
        <v>13097</v>
      </c>
      <c r="O12242" t="s">
        <v>13098</v>
      </c>
      <c r="P12242" t="s">
        <v>13099</v>
      </c>
      <c r="Q12242" t="s">
        <v>13100</v>
      </c>
      <c r="R12242" t="s">
        <v>13101</v>
      </c>
      <c r="S12242" t="s">
        <v>13102</v>
      </c>
      <c r="T12242" t="s">
        <v>13103</v>
      </c>
    </row>
    <row r="12243" spans="1:67" x14ac:dyDescent="0.3">
      <c r="A12243" s="160">
        <v>92024</v>
      </c>
      <c r="B12243" t="s">
        <v>27123</v>
      </c>
      <c r="C12243" t="s">
        <v>176</v>
      </c>
      <c r="D12243">
        <v>3.2</v>
      </c>
      <c r="E12243">
        <v>0</v>
      </c>
      <c r="F12243">
        <f t="shared" si="221"/>
        <v>3.2</v>
      </c>
      <c r="G12243">
        <v>1</v>
      </c>
      <c r="H12243">
        <f t="shared" si="220"/>
        <v>3.2</v>
      </c>
      <c r="I12243">
        <v>20240201</v>
      </c>
      <c r="J12243" t="s">
        <v>13104</v>
      </c>
      <c r="K12243" t="s">
        <v>13105</v>
      </c>
      <c r="L12243" t="s">
        <v>13106</v>
      </c>
      <c r="M12243" t="s">
        <v>13107</v>
      </c>
      <c r="N12243" t="s">
        <v>13108</v>
      </c>
      <c r="O12243" t="s">
        <v>13109</v>
      </c>
      <c r="P12243" t="s">
        <v>13110</v>
      </c>
      <c r="Q12243" t="s">
        <v>13111</v>
      </c>
      <c r="R12243" t="s">
        <v>13112</v>
      </c>
      <c r="S12243" t="s">
        <v>13113</v>
      </c>
      <c r="T12243" t="s">
        <v>13114</v>
      </c>
      <c r="U12243" t="s">
        <v>13115</v>
      </c>
      <c r="V12243" t="s">
        <v>13116</v>
      </c>
      <c r="W12243" t="s">
        <v>13117</v>
      </c>
      <c r="X12243" t="s">
        <v>13118</v>
      </c>
      <c r="Y12243" t="s">
        <v>13119</v>
      </c>
      <c r="Z12243" t="s">
        <v>13120</v>
      </c>
      <c r="AA12243" t="s">
        <v>13121</v>
      </c>
      <c r="AB12243" t="s">
        <v>13122</v>
      </c>
      <c r="AC12243" t="s">
        <v>13045</v>
      </c>
      <c r="AD12243" t="s">
        <v>13123</v>
      </c>
      <c r="AE12243" t="s">
        <v>13124</v>
      </c>
    </row>
    <row r="12244" spans="1:67" x14ac:dyDescent="0.3">
      <c r="A12244" s="160">
        <v>92025</v>
      </c>
      <c r="B12244" t="s">
        <v>27124</v>
      </c>
      <c r="C12244" t="s">
        <v>176</v>
      </c>
      <c r="D12244">
        <v>3.2</v>
      </c>
      <c r="E12244">
        <v>0</v>
      </c>
      <c r="F12244">
        <f t="shared" si="221"/>
        <v>3.2</v>
      </c>
      <c r="G12244">
        <v>1</v>
      </c>
      <c r="H12244">
        <f t="shared" si="220"/>
        <v>3.2</v>
      </c>
      <c r="I12244">
        <v>20240201</v>
      </c>
      <c r="J12244" t="s">
        <v>13125</v>
      </c>
      <c r="K12244" t="s">
        <v>13126</v>
      </c>
      <c r="L12244" t="s">
        <v>13127</v>
      </c>
      <c r="M12244" t="s">
        <v>13128</v>
      </c>
      <c r="N12244" t="s">
        <v>13129</v>
      </c>
      <c r="O12244" t="s">
        <v>13130</v>
      </c>
      <c r="P12244" t="s">
        <v>13131</v>
      </c>
      <c r="Q12244" t="s">
        <v>13132</v>
      </c>
      <c r="R12244" t="s">
        <v>13133</v>
      </c>
      <c r="S12244" t="s">
        <v>13134</v>
      </c>
      <c r="T12244" t="s">
        <v>13135</v>
      </c>
      <c r="U12244" t="s">
        <v>13136</v>
      </c>
      <c r="V12244" t="s">
        <v>13137</v>
      </c>
      <c r="W12244" t="s">
        <v>13138</v>
      </c>
    </row>
    <row r="12245" spans="1:67" x14ac:dyDescent="0.3">
      <c r="A12245" s="160">
        <v>92026</v>
      </c>
      <c r="B12245" t="s">
        <v>27125</v>
      </c>
      <c r="C12245" t="s">
        <v>176</v>
      </c>
      <c r="D12245">
        <v>3.2</v>
      </c>
      <c r="E12245">
        <v>0</v>
      </c>
      <c r="F12245">
        <f t="shared" si="221"/>
        <v>3.2</v>
      </c>
      <c r="G12245">
        <v>1</v>
      </c>
      <c r="H12245">
        <f t="shared" si="220"/>
        <v>3.2</v>
      </c>
      <c r="I12245">
        <v>20240201</v>
      </c>
      <c r="J12245" t="s">
        <v>13139</v>
      </c>
      <c r="K12245" t="s">
        <v>13140</v>
      </c>
      <c r="L12245" t="s">
        <v>13141</v>
      </c>
      <c r="M12245" t="s">
        <v>13142</v>
      </c>
      <c r="N12245" t="s">
        <v>13143</v>
      </c>
      <c r="O12245" t="s">
        <v>13144</v>
      </c>
      <c r="P12245" t="s">
        <v>13145</v>
      </c>
      <c r="Q12245" t="s">
        <v>13146</v>
      </c>
      <c r="R12245" t="s">
        <v>13147</v>
      </c>
      <c r="S12245" t="s">
        <v>13148</v>
      </c>
      <c r="T12245" t="s">
        <v>13149</v>
      </c>
      <c r="U12245" t="s">
        <v>13150</v>
      </c>
      <c r="V12245" t="s">
        <v>13151</v>
      </c>
      <c r="W12245" t="s">
        <v>13152</v>
      </c>
      <c r="X12245" t="s">
        <v>13153</v>
      </c>
      <c r="Y12245" t="s">
        <v>13154</v>
      </c>
      <c r="Z12245" t="s">
        <v>13155</v>
      </c>
      <c r="AA12245" t="s">
        <v>13156</v>
      </c>
      <c r="AB12245" t="s">
        <v>13157</v>
      </c>
      <c r="AC12245" t="s">
        <v>13158</v>
      </c>
      <c r="AD12245" t="s">
        <v>13159</v>
      </c>
      <c r="AE12245" t="s">
        <v>13160</v>
      </c>
      <c r="AF12245" t="s">
        <v>13161</v>
      </c>
      <c r="AG12245" t="s">
        <v>13162</v>
      </c>
      <c r="AH12245" t="s">
        <v>13163</v>
      </c>
      <c r="AI12245" t="s">
        <v>13164</v>
      </c>
      <c r="AJ12245" t="s">
        <v>13165</v>
      </c>
      <c r="AK12245" t="s">
        <v>13166</v>
      </c>
      <c r="AL12245" t="s">
        <v>13167</v>
      </c>
      <c r="AM12245" t="s">
        <v>13168</v>
      </c>
      <c r="AN12245" t="s">
        <v>13169</v>
      </c>
      <c r="AO12245" t="s">
        <v>13170</v>
      </c>
      <c r="AP12245" t="s">
        <v>13171</v>
      </c>
      <c r="AQ12245" t="s">
        <v>13172</v>
      </c>
      <c r="AR12245" t="s">
        <v>13173</v>
      </c>
      <c r="AS12245" t="s">
        <v>13174</v>
      </c>
      <c r="AT12245" t="s">
        <v>13175</v>
      </c>
      <c r="AU12245" t="s">
        <v>13176</v>
      </c>
      <c r="AV12245" t="s">
        <v>13177</v>
      </c>
      <c r="AW12245" t="s">
        <v>13178</v>
      </c>
      <c r="AX12245" t="s">
        <v>13179</v>
      </c>
      <c r="AY12245" t="s">
        <v>13180</v>
      </c>
      <c r="AZ12245" t="s">
        <v>13181</v>
      </c>
      <c r="BA12245" t="s">
        <v>13182</v>
      </c>
      <c r="BB12245" t="s">
        <v>13183</v>
      </c>
      <c r="BC12245" t="s">
        <v>13184</v>
      </c>
      <c r="BD12245" t="s">
        <v>13185</v>
      </c>
      <c r="BE12245" t="s">
        <v>13186</v>
      </c>
      <c r="BF12245" t="s">
        <v>13187</v>
      </c>
      <c r="BG12245" t="s">
        <v>13188</v>
      </c>
      <c r="BH12245" t="s">
        <v>13189</v>
      </c>
      <c r="BI12245" t="s">
        <v>13190</v>
      </c>
      <c r="BJ12245" t="s">
        <v>13191</v>
      </c>
      <c r="BK12245" t="s">
        <v>13192</v>
      </c>
      <c r="BL12245" t="s">
        <v>13193</v>
      </c>
      <c r="BM12245" t="s">
        <v>13194</v>
      </c>
      <c r="BN12245" t="s">
        <v>13195</v>
      </c>
      <c r="BO12245" t="s">
        <v>13196</v>
      </c>
    </row>
    <row r="12246" spans="1:67" x14ac:dyDescent="0.3">
      <c r="A12246" s="160">
        <v>92032</v>
      </c>
      <c r="B12246" t="s">
        <v>27126</v>
      </c>
      <c r="C12246" t="s">
        <v>176</v>
      </c>
      <c r="D12246">
        <v>3.2</v>
      </c>
      <c r="E12246">
        <v>0</v>
      </c>
      <c r="F12246">
        <f t="shared" si="221"/>
        <v>3.2</v>
      </c>
      <c r="G12246">
        <v>1</v>
      </c>
      <c r="H12246">
        <f t="shared" si="220"/>
        <v>3.2</v>
      </c>
      <c r="I12246">
        <v>20240201</v>
      </c>
      <c r="J12246" t="s">
        <v>13230</v>
      </c>
      <c r="K12246" t="s">
        <v>13231</v>
      </c>
      <c r="L12246" t="s">
        <v>13232</v>
      </c>
      <c r="M12246" t="s">
        <v>13233</v>
      </c>
      <c r="N12246" t="s">
        <v>13234</v>
      </c>
    </row>
    <row r="12247" spans="1:67" x14ac:dyDescent="0.3">
      <c r="A12247" s="160">
        <v>92033</v>
      </c>
      <c r="B12247" t="s">
        <v>27127</v>
      </c>
      <c r="C12247" t="s">
        <v>176</v>
      </c>
      <c r="D12247">
        <v>3.2</v>
      </c>
      <c r="E12247">
        <v>0</v>
      </c>
      <c r="F12247">
        <f t="shared" si="221"/>
        <v>3.2</v>
      </c>
      <c r="G12247">
        <v>1</v>
      </c>
      <c r="H12247">
        <f t="shared" si="220"/>
        <v>3.2</v>
      </c>
      <c r="I12247">
        <v>20240201</v>
      </c>
      <c r="J12247" t="s">
        <v>13235</v>
      </c>
      <c r="K12247" t="s">
        <v>13236</v>
      </c>
    </row>
    <row r="12248" spans="1:67" x14ac:dyDescent="0.3">
      <c r="A12248" s="160">
        <v>92035</v>
      </c>
      <c r="B12248" t="s">
        <v>27128</v>
      </c>
      <c r="C12248" t="s">
        <v>176</v>
      </c>
      <c r="D12248">
        <v>3.2</v>
      </c>
      <c r="E12248">
        <v>0</v>
      </c>
      <c r="F12248">
        <f t="shared" si="221"/>
        <v>3.2</v>
      </c>
      <c r="G12248">
        <v>1</v>
      </c>
      <c r="H12248">
        <f t="shared" si="220"/>
        <v>3.2</v>
      </c>
      <c r="I12248">
        <v>20240201</v>
      </c>
      <c r="J12248" t="s">
        <v>13237</v>
      </c>
      <c r="K12248" t="s">
        <v>13238</v>
      </c>
      <c r="L12248" t="s">
        <v>13239</v>
      </c>
      <c r="M12248" t="s">
        <v>13240</v>
      </c>
      <c r="N12248" t="s">
        <v>13241</v>
      </c>
      <c r="O12248" t="s">
        <v>13242</v>
      </c>
      <c r="P12248" t="s">
        <v>13243</v>
      </c>
      <c r="Q12248" t="s">
        <v>13244</v>
      </c>
    </row>
    <row r="12249" spans="1:67" x14ac:dyDescent="0.3">
      <c r="A12249" s="160">
        <v>92036</v>
      </c>
      <c r="B12249" t="s">
        <v>27129</v>
      </c>
      <c r="C12249" t="s">
        <v>176</v>
      </c>
      <c r="D12249">
        <v>3.2</v>
      </c>
      <c r="E12249">
        <v>0</v>
      </c>
      <c r="F12249">
        <f t="shared" si="221"/>
        <v>3.2</v>
      </c>
      <c r="G12249">
        <v>1</v>
      </c>
      <c r="H12249">
        <f t="shared" si="220"/>
        <v>3.2</v>
      </c>
      <c r="I12249">
        <v>20240201</v>
      </c>
      <c r="J12249" t="s">
        <v>13245</v>
      </c>
      <c r="K12249" t="s">
        <v>13246</v>
      </c>
      <c r="L12249" t="s">
        <v>13247</v>
      </c>
      <c r="M12249" t="s">
        <v>13248</v>
      </c>
      <c r="N12249" t="s">
        <v>13249</v>
      </c>
      <c r="O12249" t="s">
        <v>13250</v>
      </c>
      <c r="P12249" t="s">
        <v>13251</v>
      </c>
      <c r="Q12249" t="s">
        <v>13252</v>
      </c>
      <c r="R12249" t="s">
        <v>13253</v>
      </c>
      <c r="S12249" t="s">
        <v>13254</v>
      </c>
      <c r="T12249" t="s">
        <v>13255</v>
      </c>
      <c r="U12249" t="s">
        <v>13256</v>
      </c>
      <c r="V12249" t="s">
        <v>13257</v>
      </c>
      <c r="W12249" t="s">
        <v>13258</v>
      </c>
      <c r="X12249" t="s">
        <v>13259</v>
      </c>
      <c r="Y12249" t="s">
        <v>13260</v>
      </c>
      <c r="Z12249" t="s">
        <v>13261</v>
      </c>
      <c r="AA12249" t="s">
        <v>13262</v>
      </c>
      <c r="AB12249" t="s">
        <v>13263</v>
      </c>
      <c r="AC12249" t="s">
        <v>13264</v>
      </c>
      <c r="AD12249" t="s">
        <v>13265</v>
      </c>
      <c r="AE12249" t="s">
        <v>13266</v>
      </c>
      <c r="AF12249" t="s">
        <v>13267</v>
      </c>
    </row>
    <row r="12250" spans="1:67" x14ac:dyDescent="0.3">
      <c r="A12250" s="160">
        <v>92040</v>
      </c>
      <c r="B12250" t="s">
        <v>27130</v>
      </c>
      <c r="C12250" t="s">
        <v>176</v>
      </c>
      <c r="D12250">
        <v>3.2</v>
      </c>
      <c r="E12250">
        <v>0</v>
      </c>
      <c r="F12250">
        <f t="shared" si="221"/>
        <v>3.2</v>
      </c>
      <c r="G12250">
        <v>1</v>
      </c>
      <c r="H12250">
        <f t="shared" si="220"/>
        <v>3.2</v>
      </c>
      <c r="I12250">
        <v>20240201</v>
      </c>
      <c r="J12250" t="s">
        <v>13268</v>
      </c>
      <c r="K12250" t="s">
        <v>13269</v>
      </c>
      <c r="L12250" t="s">
        <v>13270</v>
      </c>
      <c r="M12250" t="s">
        <v>13271</v>
      </c>
      <c r="N12250" t="s">
        <v>13272</v>
      </c>
      <c r="O12250" t="s">
        <v>13273</v>
      </c>
      <c r="P12250" t="s">
        <v>13274</v>
      </c>
      <c r="Q12250" t="s">
        <v>13275</v>
      </c>
      <c r="R12250" t="s">
        <v>13276</v>
      </c>
      <c r="S12250" t="s">
        <v>13277</v>
      </c>
      <c r="T12250" t="s">
        <v>13278</v>
      </c>
      <c r="U12250" t="s">
        <v>13279</v>
      </c>
      <c r="V12250" t="s">
        <v>13280</v>
      </c>
      <c r="W12250" t="s">
        <v>13281</v>
      </c>
      <c r="X12250" t="s">
        <v>13282</v>
      </c>
      <c r="Y12250" t="s">
        <v>13283</v>
      </c>
      <c r="Z12250" t="s">
        <v>13284</v>
      </c>
      <c r="AA12250" t="s">
        <v>13285</v>
      </c>
      <c r="AB12250" t="s">
        <v>13286</v>
      </c>
      <c r="AC12250" t="s">
        <v>13287</v>
      </c>
      <c r="AD12250" t="s">
        <v>13288</v>
      </c>
      <c r="AE12250" t="s">
        <v>13289</v>
      </c>
      <c r="AF12250" t="s">
        <v>13290</v>
      </c>
      <c r="AG12250" t="s">
        <v>13291</v>
      </c>
      <c r="AH12250" t="s">
        <v>13292</v>
      </c>
      <c r="AI12250" t="s">
        <v>13293</v>
      </c>
      <c r="AJ12250" t="s">
        <v>13294</v>
      </c>
      <c r="AK12250" t="s">
        <v>13295</v>
      </c>
      <c r="AL12250" t="s">
        <v>13296</v>
      </c>
      <c r="AM12250" t="s">
        <v>13297</v>
      </c>
      <c r="AN12250" t="s">
        <v>13298</v>
      </c>
      <c r="AO12250" t="s">
        <v>13299</v>
      </c>
      <c r="AP12250" t="s">
        <v>13300</v>
      </c>
      <c r="AQ12250" t="s">
        <v>13301</v>
      </c>
      <c r="AR12250" t="s">
        <v>13302</v>
      </c>
      <c r="AS12250" t="s">
        <v>13303</v>
      </c>
      <c r="AT12250" t="s">
        <v>13304</v>
      </c>
      <c r="AU12250" t="s">
        <v>13305</v>
      </c>
    </row>
    <row r="12251" spans="1:67" x14ac:dyDescent="0.3">
      <c r="A12251" s="160">
        <v>92044</v>
      </c>
      <c r="B12251" t="s">
        <v>27131</v>
      </c>
      <c r="C12251" t="s">
        <v>176</v>
      </c>
      <c r="D12251">
        <v>3.2</v>
      </c>
      <c r="E12251">
        <v>0</v>
      </c>
      <c r="F12251">
        <f t="shared" si="221"/>
        <v>3.2</v>
      </c>
      <c r="G12251">
        <v>1</v>
      </c>
      <c r="H12251">
        <f t="shared" si="220"/>
        <v>3.2</v>
      </c>
      <c r="I12251">
        <v>20240201</v>
      </c>
      <c r="J12251" t="s">
        <v>13171</v>
      </c>
      <c r="K12251" t="s">
        <v>13306</v>
      </c>
      <c r="L12251" t="s">
        <v>13307</v>
      </c>
      <c r="M12251" t="s">
        <v>13308</v>
      </c>
      <c r="N12251" t="s">
        <v>13309</v>
      </c>
      <c r="O12251" t="s">
        <v>13310</v>
      </c>
      <c r="P12251" t="s">
        <v>13311</v>
      </c>
      <c r="Q12251" t="s">
        <v>13312</v>
      </c>
      <c r="R12251" t="s">
        <v>13313</v>
      </c>
      <c r="S12251" t="s">
        <v>13314</v>
      </c>
      <c r="T12251" t="s">
        <v>13315</v>
      </c>
      <c r="U12251" t="s">
        <v>13316</v>
      </c>
      <c r="V12251" t="s">
        <v>13317</v>
      </c>
      <c r="W12251" t="s">
        <v>13318</v>
      </c>
      <c r="X12251" t="s">
        <v>13319</v>
      </c>
      <c r="Y12251" t="s">
        <v>13320</v>
      </c>
      <c r="Z12251" t="s">
        <v>13321</v>
      </c>
      <c r="AA12251" t="s">
        <v>13322</v>
      </c>
      <c r="AB12251" t="s">
        <v>13323</v>
      </c>
      <c r="AC12251" t="s">
        <v>13324</v>
      </c>
      <c r="AD12251" t="s">
        <v>13325</v>
      </c>
      <c r="AE12251" t="s">
        <v>13326</v>
      </c>
      <c r="AF12251" t="s">
        <v>13327</v>
      </c>
      <c r="AG12251" t="s">
        <v>13328</v>
      </c>
      <c r="AH12251" t="s">
        <v>13329</v>
      </c>
      <c r="AI12251" t="s">
        <v>13330</v>
      </c>
      <c r="AJ12251" t="s">
        <v>12998</v>
      </c>
      <c r="AK12251" t="s">
        <v>13331</v>
      </c>
      <c r="AL12251" t="s">
        <v>13332</v>
      </c>
      <c r="AM12251" t="s">
        <v>13333</v>
      </c>
      <c r="AN12251" t="s">
        <v>13334</v>
      </c>
      <c r="AO12251" t="s">
        <v>13335</v>
      </c>
      <c r="AP12251" t="s">
        <v>13336</v>
      </c>
      <c r="AQ12251" t="s">
        <v>13337</v>
      </c>
      <c r="AR12251" t="s">
        <v>13338</v>
      </c>
      <c r="AS12251" t="s">
        <v>13339</v>
      </c>
      <c r="AT12251" t="s">
        <v>13340</v>
      </c>
      <c r="AU12251" t="s">
        <v>13341</v>
      </c>
    </row>
    <row r="12252" spans="1:67" x14ac:dyDescent="0.3">
      <c r="A12252" s="160">
        <v>92046</v>
      </c>
      <c r="B12252" t="s">
        <v>27132</v>
      </c>
      <c r="C12252" t="s">
        <v>176</v>
      </c>
      <c r="D12252">
        <v>3.2</v>
      </c>
      <c r="E12252">
        <v>0</v>
      </c>
      <c r="F12252">
        <f t="shared" si="221"/>
        <v>3.2</v>
      </c>
      <c r="G12252">
        <v>1</v>
      </c>
      <c r="H12252">
        <f t="shared" si="220"/>
        <v>3.2</v>
      </c>
      <c r="I12252">
        <v>20240201</v>
      </c>
      <c r="J12252" t="s">
        <v>13342</v>
      </c>
      <c r="K12252" t="s">
        <v>13343</v>
      </c>
      <c r="L12252" t="s">
        <v>13344</v>
      </c>
      <c r="M12252" t="s">
        <v>13345</v>
      </c>
      <c r="N12252" t="s">
        <v>13346</v>
      </c>
      <c r="O12252" t="s">
        <v>13347</v>
      </c>
      <c r="P12252" t="s">
        <v>13348</v>
      </c>
      <c r="Q12252" t="s">
        <v>13349</v>
      </c>
    </row>
    <row r="12253" spans="1:67" x14ac:dyDescent="0.3">
      <c r="A12253" s="160">
        <v>92047</v>
      </c>
      <c r="B12253" t="s">
        <v>27133</v>
      </c>
      <c r="C12253" t="s">
        <v>176</v>
      </c>
      <c r="D12253">
        <v>3.2</v>
      </c>
      <c r="E12253">
        <v>0</v>
      </c>
      <c r="F12253">
        <f t="shared" si="221"/>
        <v>3.2</v>
      </c>
      <c r="G12253">
        <v>1</v>
      </c>
      <c r="H12253">
        <f t="shared" si="220"/>
        <v>3.2</v>
      </c>
      <c r="I12253">
        <v>20240201</v>
      </c>
      <c r="J12253" t="s">
        <v>13350</v>
      </c>
    </row>
    <row r="12254" spans="1:67" x14ac:dyDescent="0.3">
      <c r="A12254" s="160">
        <v>92048</v>
      </c>
      <c r="B12254" t="s">
        <v>27134</v>
      </c>
      <c r="C12254" t="s">
        <v>176</v>
      </c>
      <c r="D12254">
        <v>3.2</v>
      </c>
      <c r="E12254">
        <v>0</v>
      </c>
      <c r="F12254">
        <f t="shared" si="221"/>
        <v>3.2</v>
      </c>
      <c r="G12254">
        <v>1</v>
      </c>
      <c r="H12254">
        <f t="shared" si="220"/>
        <v>3.2</v>
      </c>
      <c r="I12254">
        <v>20240201</v>
      </c>
      <c r="J12254" t="s">
        <v>13351</v>
      </c>
      <c r="K12254" t="s">
        <v>13352</v>
      </c>
      <c r="L12254" t="s">
        <v>13353</v>
      </c>
      <c r="M12254" t="s">
        <v>13354</v>
      </c>
      <c r="N12254" t="s">
        <v>13355</v>
      </c>
      <c r="O12254" t="s">
        <v>13356</v>
      </c>
      <c r="P12254" t="s">
        <v>13357</v>
      </c>
      <c r="Q12254" t="s">
        <v>13358</v>
      </c>
      <c r="R12254" t="s">
        <v>13102</v>
      </c>
      <c r="S12254" t="s">
        <v>13359</v>
      </c>
      <c r="T12254" t="s">
        <v>13360</v>
      </c>
      <c r="U12254" t="s">
        <v>13361</v>
      </c>
      <c r="V12254" t="s">
        <v>13362</v>
      </c>
      <c r="W12254" t="s">
        <v>13363</v>
      </c>
    </row>
    <row r="12255" spans="1:67" x14ac:dyDescent="0.3">
      <c r="A12255" s="160">
        <v>92049</v>
      </c>
      <c r="B12255" t="s">
        <v>27135</v>
      </c>
      <c r="C12255" t="s">
        <v>176</v>
      </c>
      <c r="D12255">
        <v>3.2</v>
      </c>
      <c r="E12255">
        <v>0</v>
      </c>
      <c r="F12255">
        <f t="shared" si="221"/>
        <v>3.2</v>
      </c>
      <c r="G12255">
        <v>1</v>
      </c>
      <c r="H12255">
        <f t="shared" si="220"/>
        <v>3.2</v>
      </c>
      <c r="I12255">
        <v>20240201</v>
      </c>
      <c r="J12255" t="s">
        <v>13364</v>
      </c>
      <c r="K12255" t="s">
        <v>13365</v>
      </c>
      <c r="L12255" t="s">
        <v>13366</v>
      </c>
      <c r="M12255" t="s">
        <v>13367</v>
      </c>
      <c r="N12255" t="s">
        <v>13368</v>
      </c>
      <c r="O12255" t="s">
        <v>13369</v>
      </c>
      <c r="P12255" t="s">
        <v>13370</v>
      </c>
      <c r="Q12255" t="s">
        <v>13371</v>
      </c>
      <c r="R12255" t="s">
        <v>13372</v>
      </c>
      <c r="S12255" t="s">
        <v>13373</v>
      </c>
      <c r="T12255" t="s">
        <v>13016</v>
      </c>
      <c r="U12255" t="s">
        <v>13374</v>
      </c>
      <c r="V12255" t="s">
        <v>13375</v>
      </c>
      <c r="W12255" t="s">
        <v>13376</v>
      </c>
      <c r="X12255" t="s">
        <v>13377</v>
      </c>
      <c r="Y12255" t="s">
        <v>13378</v>
      </c>
      <c r="Z12255" t="s">
        <v>13379</v>
      </c>
    </row>
    <row r="12256" spans="1:67" x14ac:dyDescent="0.3">
      <c r="A12256" s="160">
        <v>92050</v>
      </c>
      <c r="B12256" t="s">
        <v>27136</v>
      </c>
      <c r="C12256" t="s">
        <v>176</v>
      </c>
      <c r="D12256">
        <v>3.2</v>
      </c>
      <c r="E12256">
        <v>0</v>
      </c>
      <c r="F12256">
        <f t="shared" si="221"/>
        <v>3.2</v>
      </c>
      <c r="G12256">
        <v>1</v>
      </c>
      <c r="H12256">
        <f t="shared" si="220"/>
        <v>3.2</v>
      </c>
      <c r="I12256">
        <v>20240201</v>
      </c>
      <c r="J12256" t="s">
        <v>12676</v>
      </c>
      <c r="K12256" t="s">
        <v>13380</v>
      </c>
      <c r="L12256" t="s">
        <v>13381</v>
      </c>
      <c r="M12256" t="s">
        <v>13382</v>
      </c>
      <c r="N12256" t="s">
        <v>13383</v>
      </c>
      <c r="O12256" t="s">
        <v>13384</v>
      </c>
      <c r="P12256" t="s">
        <v>13385</v>
      </c>
      <c r="Q12256" t="s">
        <v>13386</v>
      </c>
      <c r="R12256" t="s">
        <v>13387</v>
      </c>
      <c r="S12256" t="s">
        <v>13388</v>
      </c>
      <c r="T12256" t="s">
        <v>13389</v>
      </c>
      <c r="U12256" t="s">
        <v>13390</v>
      </c>
      <c r="V12256" t="s">
        <v>13391</v>
      </c>
      <c r="W12256" t="s">
        <v>13392</v>
      </c>
      <c r="X12256" t="s">
        <v>13393</v>
      </c>
      <c r="Y12256" t="s">
        <v>13394</v>
      </c>
      <c r="Z12256" t="s">
        <v>13395</v>
      </c>
      <c r="AA12256" t="s">
        <v>13396</v>
      </c>
      <c r="AB12256" t="s">
        <v>13397</v>
      </c>
      <c r="AC12256" t="s">
        <v>13398</v>
      </c>
      <c r="AD12256" t="s">
        <v>13399</v>
      </c>
      <c r="AE12256" t="s">
        <v>13400</v>
      </c>
      <c r="AF12256" t="s">
        <v>13401</v>
      </c>
      <c r="AG12256" t="s">
        <v>13402</v>
      </c>
      <c r="AH12256" t="s">
        <v>13403</v>
      </c>
      <c r="AI12256" t="s">
        <v>13404</v>
      </c>
      <c r="AJ12256" t="s">
        <v>13405</v>
      </c>
      <c r="AK12256" t="s">
        <v>13406</v>
      </c>
      <c r="AL12256" t="s">
        <v>13407</v>
      </c>
      <c r="AM12256" t="s">
        <v>13166</v>
      </c>
      <c r="AN12256" t="s">
        <v>13408</v>
      </c>
      <c r="AO12256" t="s">
        <v>13409</v>
      </c>
      <c r="AP12256" t="s">
        <v>13410</v>
      </c>
      <c r="AQ12256" t="s">
        <v>13411</v>
      </c>
      <c r="AR12256" t="s">
        <v>13412</v>
      </c>
      <c r="AS12256" t="s">
        <v>13413</v>
      </c>
      <c r="AT12256" t="s">
        <v>13414</v>
      </c>
      <c r="AU12256" t="s">
        <v>13415</v>
      </c>
      <c r="AV12256" t="s">
        <v>13416</v>
      </c>
      <c r="AW12256" t="s">
        <v>13417</v>
      </c>
      <c r="AX12256" t="s">
        <v>13418</v>
      </c>
      <c r="AY12256" t="s">
        <v>13419</v>
      </c>
      <c r="AZ12256" t="s">
        <v>13420</v>
      </c>
      <c r="BA12256" t="s">
        <v>13421</v>
      </c>
      <c r="BB12256" t="s">
        <v>13422</v>
      </c>
      <c r="BC12256" t="s">
        <v>13423</v>
      </c>
      <c r="BD12256" t="s">
        <v>13424</v>
      </c>
      <c r="BE12256" t="s">
        <v>13425</v>
      </c>
      <c r="BF12256" t="s">
        <v>13426</v>
      </c>
      <c r="BG12256" t="s">
        <v>13427</v>
      </c>
      <c r="BH12256" t="s">
        <v>13428</v>
      </c>
      <c r="BI12256" t="s">
        <v>13429</v>
      </c>
      <c r="BJ12256" t="s">
        <v>13430</v>
      </c>
      <c r="BK12256" t="s">
        <v>13431</v>
      </c>
      <c r="BL12256" t="s">
        <v>13432</v>
      </c>
      <c r="BM12256" t="s">
        <v>13433</v>
      </c>
      <c r="BN12256" t="s">
        <v>13434</v>
      </c>
      <c r="BO12256" t="s">
        <v>13435</v>
      </c>
    </row>
    <row r="12257" spans="1:67" x14ac:dyDescent="0.3">
      <c r="A12257" s="160">
        <v>92051</v>
      </c>
      <c r="B12257" t="s">
        <v>27137</v>
      </c>
      <c r="C12257" t="s">
        <v>176</v>
      </c>
      <c r="D12257">
        <v>3.2</v>
      </c>
      <c r="E12257">
        <v>0</v>
      </c>
      <c r="F12257">
        <f t="shared" si="221"/>
        <v>3.2</v>
      </c>
      <c r="G12257">
        <v>1</v>
      </c>
      <c r="H12257">
        <f t="shared" si="220"/>
        <v>3.2</v>
      </c>
      <c r="I12257">
        <v>20240201</v>
      </c>
      <c r="J12257" t="s">
        <v>13441</v>
      </c>
      <c r="K12257" t="s">
        <v>13442</v>
      </c>
      <c r="L12257" t="s">
        <v>13443</v>
      </c>
      <c r="M12257" t="s">
        <v>13444</v>
      </c>
      <c r="N12257" t="s">
        <v>13445</v>
      </c>
      <c r="O12257" t="s">
        <v>13446</v>
      </c>
      <c r="P12257" t="s">
        <v>13447</v>
      </c>
      <c r="Q12257" t="s">
        <v>13448</v>
      </c>
      <c r="R12257" t="s">
        <v>13449</v>
      </c>
      <c r="S12257" t="s">
        <v>13450</v>
      </c>
      <c r="T12257" t="s">
        <v>13451</v>
      </c>
      <c r="U12257" t="s">
        <v>13452</v>
      </c>
      <c r="V12257" t="s">
        <v>13453</v>
      </c>
      <c r="W12257" t="s">
        <v>13454</v>
      </c>
      <c r="X12257" t="s">
        <v>13455</v>
      </c>
      <c r="Y12257" t="s">
        <v>13456</v>
      </c>
      <c r="Z12257" t="s">
        <v>13457</v>
      </c>
      <c r="AA12257" t="s">
        <v>13458</v>
      </c>
      <c r="AB12257" t="s">
        <v>13459</v>
      </c>
      <c r="AC12257" t="s">
        <v>13460</v>
      </c>
      <c r="AD12257" t="s">
        <v>13461</v>
      </c>
      <c r="AE12257" t="s">
        <v>13462</v>
      </c>
      <c r="AF12257" t="s">
        <v>13463</v>
      </c>
    </row>
    <row r="12258" spans="1:67" x14ac:dyDescent="0.3">
      <c r="A12258" s="160">
        <v>92060</v>
      </c>
      <c r="B12258" t="s">
        <v>27138</v>
      </c>
      <c r="C12258" t="s">
        <v>176</v>
      </c>
      <c r="D12258">
        <v>3.2</v>
      </c>
      <c r="E12258">
        <v>0</v>
      </c>
      <c r="F12258">
        <f t="shared" si="221"/>
        <v>3.2</v>
      </c>
      <c r="G12258">
        <v>1</v>
      </c>
      <c r="H12258">
        <f t="shared" si="220"/>
        <v>3.2</v>
      </c>
      <c r="I12258">
        <v>20240201</v>
      </c>
      <c r="J12258" t="s">
        <v>13464</v>
      </c>
      <c r="K12258" t="s">
        <v>13465</v>
      </c>
      <c r="L12258" t="s">
        <v>13314</v>
      </c>
      <c r="M12258" t="s">
        <v>13466</v>
      </c>
      <c r="N12258" t="s">
        <v>13467</v>
      </c>
      <c r="O12258" t="s">
        <v>13468</v>
      </c>
      <c r="P12258" t="s">
        <v>13469</v>
      </c>
      <c r="Q12258" t="s">
        <v>13470</v>
      </c>
      <c r="R12258" t="s">
        <v>13471</v>
      </c>
    </row>
    <row r="12259" spans="1:67" x14ac:dyDescent="0.3">
      <c r="A12259" s="160">
        <v>92062</v>
      </c>
      <c r="B12259" t="s">
        <v>27139</v>
      </c>
      <c r="C12259" t="s">
        <v>176</v>
      </c>
      <c r="D12259">
        <v>3.2</v>
      </c>
      <c r="E12259">
        <v>0</v>
      </c>
      <c r="F12259">
        <f t="shared" si="221"/>
        <v>3.2</v>
      </c>
      <c r="G12259">
        <v>1</v>
      </c>
      <c r="H12259">
        <f t="shared" si="220"/>
        <v>3.2</v>
      </c>
      <c r="I12259">
        <v>20240201</v>
      </c>
      <c r="J12259" t="s">
        <v>13472</v>
      </c>
      <c r="K12259" t="s">
        <v>13473</v>
      </c>
      <c r="L12259" t="s">
        <v>13474</v>
      </c>
      <c r="M12259" t="s">
        <v>13475</v>
      </c>
      <c r="N12259" t="s">
        <v>13146</v>
      </c>
      <c r="O12259" t="s">
        <v>13476</v>
      </c>
      <c r="P12259" t="s">
        <v>13477</v>
      </c>
      <c r="Q12259" t="s">
        <v>13478</v>
      </c>
      <c r="R12259" t="s">
        <v>13479</v>
      </c>
      <c r="S12259" t="s">
        <v>13480</v>
      </c>
      <c r="T12259" t="s">
        <v>13150</v>
      </c>
      <c r="U12259" t="s">
        <v>13151</v>
      </c>
      <c r="V12259" t="s">
        <v>13481</v>
      </c>
      <c r="W12259" t="s">
        <v>13482</v>
      </c>
      <c r="X12259" t="s">
        <v>13483</v>
      </c>
      <c r="Y12259" t="s">
        <v>13484</v>
      </c>
      <c r="Z12259" t="s">
        <v>13485</v>
      </c>
      <c r="AA12259" t="s">
        <v>13486</v>
      </c>
      <c r="AB12259" t="s">
        <v>13487</v>
      </c>
      <c r="AC12259" t="s">
        <v>13488</v>
      </c>
      <c r="AD12259" t="s">
        <v>13489</v>
      </c>
      <c r="AE12259" t="s">
        <v>13157</v>
      </c>
      <c r="AF12259" t="s">
        <v>13490</v>
      </c>
      <c r="AG12259" t="s">
        <v>13159</v>
      </c>
      <c r="AH12259" t="s">
        <v>13160</v>
      </c>
      <c r="AI12259" t="s">
        <v>13491</v>
      </c>
      <c r="AJ12259" t="s">
        <v>13492</v>
      </c>
      <c r="AK12259" t="s">
        <v>13493</v>
      </c>
      <c r="AL12259" t="s">
        <v>13494</v>
      </c>
      <c r="AM12259" t="s">
        <v>13166</v>
      </c>
      <c r="AN12259" t="s">
        <v>13167</v>
      </c>
      <c r="AO12259" t="s">
        <v>13495</v>
      </c>
      <c r="AP12259" t="s">
        <v>13496</v>
      </c>
      <c r="AQ12259" t="s">
        <v>13171</v>
      </c>
      <c r="AR12259" t="s">
        <v>13497</v>
      </c>
      <c r="AS12259" t="s">
        <v>13498</v>
      </c>
      <c r="AT12259" t="s">
        <v>13177</v>
      </c>
      <c r="AU12259" t="s">
        <v>13499</v>
      </c>
      <c r="AV12259" t="s">
        <v>13500</v>
      </c>
      <c r="AW12259" t="s">
        <v>13501</v>
      </c>
      <c r="AX12259" t="s">
        <v>13502</v>
      </c>
      <c r="AY12259" t="s">
        <v>13503</v>
      </c>
      <c r="AZ12259" t="s">
        <v>13504</v>
      </c>
      <c r="BA12259" t="s">
        <v>13505</v>
      </c>
      <c r="BB12259" t="s">
        <v>13506</v>
      </c>
      <c r="BC12259" t="s">
        <v>13507</v>
      </c>
      <c r="BD12259" t="s">
        <v>13508</v>
      </c>
      <c r="BE12259" t="s">
        <v>13509</v>
      </c>
      <c r="BF12259" t="s">
        <v>13510</v>
      </c>
      <c r="BG12259" t="s">
        <v>13511</v>
      </c>
      <c r="BH12259" t="s">
        <v>13512</v>
      </c>
      <c r="BI12259" t="s">
        <v>13513</v>
      </c>
      <c r="BJ12259" t="s">
        <v>13514</v>
      </c>
      <c r="BK12259" t="s">
        <v>13515</v>
      </c>
      <c r="BL12259" t="s">
        <v>13516</v>
      </c>
      <c r="BM12259" t="s">
        <v>13517</v>
      </c>
      <c r="BN12259" t="s">
        <v>13518</v>
      </c>
      <c r="BO12259" t="s">
        <v>13519</v>
      </c>
    </row>
    <row r="12260" spans="1:67" x14ac:dyDescent="0.3">
      <c r="A12260" s="160">
        <v>92063</v>
      </c>
      <c r="B12260" t="s">
        <v>27140</v>
      </c>
      <c r="C12260" t="s">
        <v>176</v>
      </c>
      <c r="D12260">
        <v>3.2</v>
      </c>
      <c r="E12260">
        <v>0</v>
      </c>
      <c r="F12260">
        <f t="shared" si="221"/>
        <v>3.2</v>
      </c>
      <c r="G12260">
        <v>1</v>
      </c>
      <c r="H12260">
        <f t="shared" si="220"/>
        <v>3.2</v>
      </c>
      <c r="I12260">
        <v>20240201</v>
      </c>
      <c r="J12260" t="s">
        <v>13547</v>
      </c>
      <c r="K12260" t="s">
        <v>13548</v>
      </c>
      <c r="L12260" t="s">
        <v>13549</v>
      </c>
      <c r="M12260" t="s">
        <v>13550</v>
      </c>
      <c r="N12260" t="s">
        <v>13551</v>
      </c>
      <c r="O12260" t="s">
        <v>13552</v>
      </c>
      <c r="P12260" t="s">
        <v>13553</v>
      </c>
      <c r="Q12260" t="s">
        <v>13554</v>
      </c>
      <c r="R12260" t="s">
        <v>13555</v>
      </c>
      <c r="S12260" t="s">
        <v>13556</v>
      </c>
      <c r="T12260" t="s">
        <v>13557</v>
      </c>
      <c r="U12260" t="s">
        <v>13558</v>
      </c>
      <c r="V12260" t="s">
        <v>13559</v>
      </c>
      <c r="W12260" t="s">
        <v>13560</v>
      </c>
      <c r="X12260" t="s">
        <v>13561</v>
      </c>
      <c r="Y12260" t="s">
        <v>13562</v>
      </c>
      <c r="Z12260" t="s">
        <v>13563</v>
      </c>
      <c r="AA12260" t="s">
        <v>13564</v>
      </c>
      <c r="AB12260" t="s">
        <v>13565</v>
      </c>
      <c r="AC12260" t="s">
        <v>13566</v>
      </c>
      <c r="AD12260" t="s">
        <v>13567</v>
      </c>
      <c r="AE12260" t="s">
        <v>13568</v>
      </c>
      <c r="AF12260" t="s">
        <v>13569</v>
      </c>
      <c r="AG12260" t="s">
        <v>13570</v>
      </c>
      <c r="AH12260" t="s">
        <v>13571</v>
      </c>
      <c r="AI12260" t="s">
        <v>13572</v>
      </c>
      <c r="AJ12260" t="s">
        <v>13573</v>
      </c>
      <c r="AK12260" t="s">
        <v>13574</v>
      </c>
      <c r="AL12260" t="s">
        <v>13575</v>
      </c>
      <c r="AM12260" t="s">
        <v>13576</v>
      </c>
      <c r="AN12260" t="s">
        <v>13577</v>
      </c>
      <c r="AO12260" t="s">
        <v>13578</v>
      </c>
      <c r="AP12260" t="s">
        <v>13579</v>
      </c>
    </row>
    <row r="12261" spans="1:67" x14ac:dyDescent="0.3">
      <c r="A12261" s="160">
        <v>92064</v>
      </c>
      <c r="B12261" t="s">
        <v>27141</v>
      </c>
      <c r="C12261" t="s">
        <v>176</v>
      </c>
      <c r="D12261">
        <v>3.2</v>
      </c>
      <c r="E12261">
        <v>0</v>
      </c>
      <c r="F12261">
        <f t="shared" si="221"/>
        <v>3.2</v>
      </c>
      <c r="G12261">
        <v>1</v>
      </c>
      <c r="H12261">
        <f t="shared" si="220"/>
        <v>3.2</v>
      </c>
      <c r="I12261">
        <v>20240201</v>
      </c>
      <c r="J12261" t="s">
        <v>13580</v>
      </c>
      <c r="K12261" t="s">
        <v>13581</v>
      </c>
      <c r="L12261" t="s">
        <v>13582</v>
      </c>
      <c r="M12261" t="s">
        <v>13583</v>
      </c>
      <c r="N12261" t="s">
        <v>13584</v>
      </c>
      <c r="O12261" t="s">
        <v>13585</v>
      </c>
      <c r="P12261" t="s">
        <v>13586</v>
      </c>
      <c r="Q12261" t="s">
        <v>13587</v>
      </c>
      <c r="R12261" t="s">
        <v>13588</v>
      </c>
    </row>
    <row r="12262" spans="1:67" x14ac:dyDescent="0.3">
      <c r="A12262" s="160">
        <v>92071</v>
      </c>
      <c r="B12262" t="s">
        <v>27142</v>
      </c>
      <c r="C12262" t="s">
        <v>176</v>
      </c>
      <c r="D12262">
        <v>3.2</v>
      </c>
      <c r="E12262">
        <v>0</v>
      </c>
      <c r="F12262">
        <f t="shared" si="221"/>
        <v>3.2</v>
      </c>
      <c r="G12262">
        <v>1</v>
      </c>
      <c r="H12262">
        <f t="shared" si="220"/>
        <v>3.2</v>
      </c>
      <c r="I12262">
        <v>20240201</v>
      </c>
      <c r="J12262" t="s">
        <v>13589</v>
      </c>
      <c r="K12262" t="s">
        <v>13590</v>
      </c>
      <c r="L12262" t="s">
        <v>13591</v>
      </c>
      <c r="M12262" t="s">
        <v>13592</v>
      </c>
      <c r="N12262" t="s">
        <v>13593</v>
      </c>
    </row>
    <row r="12263" spans="1:67" x14ac:dyDescent="0.3">
      <c r="A12263" s="160">
        <v>92072</v>
      </c>
      <c r="B12263" t="s">
        <v>27143</v>
      </c>
      <c r="C12263" t="s">
        <v>176</v>
      </c>
      <c r="D12263">
        <v>3.2</v>
      </c>
      <c r="E12263">
        <v>0</v>
      </c>
      <c r="F12263">
        <f t="shared" si="221"/>
        <v>3.2</v>
      </c>
      <c r="G12263">
        <v>1</v>
      </c>
      <c r="H12263">
        <f t="shared" si="220"/>
        <v>3.2</v>
      </c>
      <c r="I12263">
        <v>20240201</v>
      </c>
      <c r="J12263" t="s">
        <v>13594</v>
      </c>
      <c r="K12263" t="s">
        <v>13595</v>
      </c>
      <c r="L12263" t="s">
        <v>13596</v>
      </c>
      <c r="M12263" t="s">
        <v>13597</v>
      </c>
      <c r="N12263" t="s">
        <v>13598</v>
      </c>
      <c r="O12263" t="s">
        <v>13599</v>
      </c>
      <c r="P12263" t="s">
        <v>13600</v>
      </c>
      <c r="Q12263" t="s">
        <v>13601</v>
      </c>
      <c r="R12263" t="s">
        <v>13602</v>
      </c>
    </row>
    <row r="12264" spans="1:67" x14ac:dyDescent="0.3">
      <c r="A12264" s="160">
        <v>92073</v>
      </c>
      <c r="B12264" t="s">
        <v>27144</v>
      </c>
      <c r="C12264" t="s">
        <v>176</v>
      </c>
      <c r="D12264">
        <v>3.2</v>
      </c>
      <c r="E12264">
        <v>0</v>
      </c>
      <c r="F12264">
        <f t="shared" si="221"/>
        <v>3.2</v>
      </c>
      <c r="G12264">
        <v>1</v>
      </c>
      <c r="H12264">
        <f t="shared" si="220"/>
        <v>3.2</v>
      </c>
      <c r="I12264">
        <v>20240201</v>
      </c>
      <c r="J12264" t="s">
        <v>9757</v>
      </c>
      <c r="K12264" t="s">
        <v>13603</v>
      </c>
      <c r="L12264" t="s">
        <v>13604</v>
      </c>
      <c r="M12264" t="s">
        <v>13605</v>
      </c>
      <c r="N12264" t="s">
        <v>13547</v>
      </c>
      <c r="O12264" t="s">
        <v>13606</v>
      </c>
      <c r="P12264" t="s">
        <v>13607</v>
      </c>
      <c r="Q12264" t="s">
        <v>13608</v>
      </c>
      <c r="R12264" t="s">
        <v>13609</v>
      </c>
      <c r="S12264" t="s">
        <v>13610</v>
      </c>
      <c r="T12264" t="s">
        <v>13611</v>
      </c>
      <c r="U12264" t="s">
        <v>13612</v>
      </c>
      <c r="V12264" t="s">
        <v>13613</v>
      </c>
      <c r="W12264" t="s">
        <v>13614</v>
      </c>
      <c r="X12264" t="s">
        <v>13615</v>
      </c>
      <c r="Y12264" t="s">
        <v>13616</v>
      </c>
      <c r="Z12264" t="s">
        <v>13617</v>
      </c>
      <c r="AA12264" t="s">
        <v>13618</v>
      </c>
      <c r="AB12264" t="s">
        <v>13619</v>
      </c>
      <c r="AC12264" t="s">
        <v>13620</v>
      </c>
    </row>
    <row r="12265" spans="1:67" x14ac:dyDescent="0.3">
      <c r="A12265" s="160">
        <v>92075</v>
      </c>
      <c r="B12265" t="s">
        <v>27145</v>
      </c>
      <c r="C12265" t="s">
        <v>176</v>
      </c>
      <c r="D12265">
        <v>3.2</v>
      </c>
      <c r="E12265">
        <v>0</v>
      </c>
      <c r="F12265">
        <f t="shared" si="221"/>
        <v>3.2</v>
      </c>
      <c r="G12265">
        <v>1</v>
      </c>
      <c r="H12265">
        <f t="shared" si="220"/>
        <v>3.2</v>
      </c>
      <c r="I12265">
        <v>20240201</v>
      </c>
      <c r="J12265" t="s">
        <v>13621</v>
      </c>
      <c r="K12265" t="s">
        <v>13622</v>
      </c>
      <c r="L12265" t="s">
        <v>13623</v>
      </c>
      <c r="M12265" t="s">
        <v>13624</v>
      </c>
      <c r="N12265" t="s">
        <v>13625</v>
      </c>
      <c r="O12265" t="s">
        <v>13626</v>
      </c>
      <c r="P12265" t="s">
        <v>13627</v>
      </c>
      <c r="Q12265" t="s">
        <v>13628</v>
      </c>
      <c r="R12265" t="s">
        <v>13629</v>
      </c>
    </row>
    <row r="12266" spans="1:67" x14ac:dyDescent="0.3">
      <c r="A12266" s="160">
        <v>92076</v>
      </c>
      <c r="B12266" t="s">
        <v>27146</v>
      </c>
      <c r="C12266" t="s">
        <v>176</v>
      </c>
      <c r="D12266">
        <v>3.2</v>
      </c>
      <c r="E12266">
        <v>0</v>
      </c>
      <c r="F12266">
        <f t="shared" si="221"/>
        <v>3.2</v>
      </c>
      <c r="G12266">
        <v>1</v>
      </c>
      <c r="H12266">
        <f t="shared" si="220"/>
        <v>3.2</v>
      </c>
      <c r="I12266">
        <v>20240201</v>
      </c>
      <c r="J12266" t="s">
        <v>13630</v>
      </c>
      <c r="K12266" t="s">
        <v>13631</v>
      </c>
    </row>
    <row r="12267" spans="1:67" x14ac:dyDescent="0.3">
      <c r="A12267" s="160">
        <v>92077</v>
      </c>
      <c r="B12267" t="s">
        <v>27147</v>
      </c>
      <c r="C12267" t="s">
        <v>176</v>
      </c>
      <c r="D12267">
        <v>3.2</v>
      </c>
      <c r="E12267">
        <v>0</v>
      </c>
      <c r="F12267">
        <f t="shared" si="221"/>
        <v>3.2</v>
      </c>
      <c r="G12267">
        <v>1</v>
      </c>
      <c r="H12267">
        <f t="shared" si="220"/>
        <v>3.2</v>
      </c>
      <c r="I12267">
        <v>20240201</v>
      </c>
      <c r="J12267" t="s">
        <v>13632</v>
      </c>
    </row>
    <row r="12268" spans="1:67" x14ac:dyDescent="0.3">
      <c r="A12268" s="160">
        <v>92078</v>
      </c>
      <c r="B12268" t="s">
        <v>27148</v>
      </c>
      <c r="C12268" t="s">
        <v>176</v>
      </c>
      <c r="D12268">
        <v>3.2</v>
      </c>
      <c r="E12268">
        <v>0</v>
      </c>
      <c r="F12268">
        <f t="shared" si="221"/>
        <v>3.2</v>
      </c>
      <c r="G12268">
        <v>1</v>
      </c>
      <c r="H12268">
        <f t="shared" si="220"/>
        <v>3.2</v>
      </c>
      <c r="I12268">
        <v>20240201</v>
      </c>
      <c r="J12268" t="s">
        <v>13633</v>
      </c>
      <c r="K12268" t="s">
        <v>13634</v>
      </c>
      <c r="L12268" t="s">
        <v>13635</v>
      </c>
      <c r="M12268" t="s">
        <v>13636</v>
      </c>
      <c r="N12268" t="s">
        <v>13637</v>
      </c>
      <c r="O12268" t="s">
        <v>13638</v>
      </c>
      <c r="P12268" t="s">
        <v>13639</v>
      </c>
      <c r="Q12268" t="s">
        <v>13640</v>
      </c>
      <c r="R12268" t="s">
        <v>13641</v>
      </c>
      <c r="S12268" t="s">
        <v>13642</v>
      </c>
    </row>
    <row r="12269" spans="1:67" x14ac:dyDescent="0.3">
      <c r="A12269" s="160">
        <v>93001</v>
      </c>
      <c r="B12269" t="s">
        <v>27149</v>
      </c>
      <c r="C12269" t="s">
        <v>176</v>
      </c>
      <c r="D12269">
        <v>3.2</v>
      </c>
      <c r="E12269">
        <v>0</v>
      </c>
      <c r="F12269">
        <f t="shared" si="221"/>
        <v>3.2</v>
      </c>
      <c r="G12269">
        <v>1</v>
      </c>
      <c r="H12269">
        <f t="shared" si="220"/>
        <v>3.2</v>
      </c>
      <c r="I12269">
        <v>20240201</v>
      </c>
      <c r="J12269" t="s">
        <v>13643</v>
      </c>
      <c r="K12269" t="s">
        <v>13644</v>
      </c>
      <c r="L12269" t="s">
        <v>13645</v>
      </c>
      <c r="M12269" t="s">
        <v>13646</v>
      </c>
      <c r="N12269" t="s">
        <v>13647</v>
      </c>
      <c r="O12269" t="s">
        <v>13648</v>
      </c>
      <c r="P12269" t="s">
        <v>13649</v>
      </c>
      <c r="Q12269" t="s">
        <v>13650</v>
      </c>
      <c r="R12269" t="s">
        <v>13651</v>
      </c>
      <c r="S12269" t="s">
        <v>13652</v>
      </c>
      <c r="T12269" t="s">
        <v>13653</v>
      </c>
      <c r="U12269" t="s">
        <v>13654</v>
      </c>
      <c r="V12269" t="s">
        <v>13655</v>
      </c>
      <c r="W12269" t="s">
        <v>13656</v>
      </c>
      <c r="X12269" t="s">
        <v>13657</v>
      </c>
      <c r="Y12269" t="s">
        <v>13658</v>
      </c>
      <c r="Z12269" t="s">
        <v>13659</v>
      </c>
      <c r="AA12269" t="s">
        <v>13660</v>
      </c>
      <c r="AB12269" t="s">
        <v>13661</v>
      </c>
      <c r="AC12269" t="s">
        <v>13662</v>
      </c>
      <c r="AD12269" t="s">
        <v>13663</v>
      </c>
      <c r="AE12269" t="s">
        <v>13664</v>
      </c>
      <c r="AF12269" t="s">
        <v>13665</v>
      </c>
      <c r="AG12269" t="s">
        <v>13666</v>
      </c>
      <c r="AH12269" t="s">
        <v>13667</v>
      </c>
      <c r="AI12269" t="s">
        <v>13668</v>
      </c>
      <c r="AJ12269" t="s">
        <v>13669</v>
      </c>
      <c r="AK12269" t="s">
        <v>13670</v>
      </c>
    </row>
    <row r="12270" spans="1:67" x14ac:dyDescent="0.3">
      <c r="A12270" s="160">
        <v>93005</v>
      </c>
      <c r="B12270" t="s">
        <v>27150</v>
      </c>
      <c r="C12270" t="s">
        <v>176</v>
      </c>
      <c r="D12270">
        <v>3.2</v>
      </c>
      <c r="E12270">
        <v>0</v>
      </c>
      <c r="F12270">
        <f t="shared" si="221"/>
        <v>3.2</v>
      </c>
      <c r="G12270">
        <v>1</v>
      </c>
      <c r="H12270">
        <f t="shared" si="220"/>
        <v>3.2</v>
      </c>
      <c r="I12270">
        <v>20240201</v>
      </c>
      <c r="J12270" t="s">
        <v>13671</v>
      </c>
      <c r="K12270" t="s">
        <v>13672</v>
      </c>
      <c r="L12270" t="s">
        <v>13673</v>
      </c>
      <c r="M12270" t="s">
        <v>13674</v>
      </c>
      <c r="N12270" t="s">
        <v>13675</v>
      </c>
      <c r="O12270" t="s">
        <v>13676</v>
      </c>
      <c r="P12270" t="s">
        <v>13677</v>
      </c>
      <c r="Q12270" t="s">
        <v>13678</v>
      </c>
      <c r="R12270" t="s">
        <v>13679</v>
      </c>
      <c r="S12270" t="s">
        <v>13680</v>
      </c>
      <c r="T12270" t="s">
        <v>13681</v>
      </c>
      <c r="U12270" t="s">
        <v>13682</v>
      </c>
      <c r="V12270" t="s">
        <v>13683</v>
      </c>
      <c r="W12270" t="s">
        <v>13684</v>
      </c>
      <c r="X12270" t="s">
        <v>13685</v>
      </c>
      <c r="Y12270" t="s">
        <v>13686</v>
      </c>
      <c r="Z12270" t="s">
        <v>13687</v>
      </c>
      <c r="AA12270" t="s">
        <v>13688</v>
      </c>
      <c r="AB12270" t="s">
        <v>13689</v>
      </c>
      <c r="AC12270" t="s">
        <v>13690</v>
      </c>
    </row>
    <row r="12271" spans="1:67" x14ac:dyDescent="0.3">
      <c r="A12271" s="160">
        <v>93006</v>
      </c>
      <c r="B12271" t="s">
        <v>27151</v>
      </c>
      <c r="C12271" t="s">
        <v>176</v>
      </c>
      <c r="D12271">
        <v>3.2</v>
      </c>
      <c r="E12271">
        <v>0</v>
      </c>
      <c r="F12271">
        <f t="shared" si="221"/>
        <v>3.2</v>
      </c>
      <c r="G12271">
        <v>1</v>
      </c>
      <c r="H12271">
        <f t="shared" si="220"/>
        <v>3.2</v>
      </c>
      <c r="I12271">
        <v>20240201</v>
      </c>
      <c r="J12271" t="s">
        <v>13691</v>
      </c>
      <c r="K12271" t="s">
        <v>13692</v>
      </c>
      <c r="L12271" t="s">
        <v>13693</v>
      </c>
      <c r="M12271" t="s">
        <v>13694</v>
      </c>
      <c r="N12271" t="s">
        <v>13695</v>
      </c>
      <c r="O12271" t="s">
        <v>13696</v>
      </c>
      <c r="P12271" t="s">
        <v>13697</v>
      </c>
      <c r="Q12271" t="s">
        <v>13698</v>
      </c>
      <c r="R12271" t="s">
        <v>13699</v>
      </c>
      <c r="S12271" t="s">
        <v>13700</v>
      </c>
      <c r="T12271" t="s">
        <v>13701</v>
      </c>
      <c r="U12271" t="s">
        <v>13702</v>
      </c>
      <c r="V12271" t="s">
        <v>13703</v>
      </c>
      <c r="W12271" t="s">
        <v>13704</v>
      </c>
    </row>
    <row r="12272" spans="1:67" x14ac:dyDescent="0.3">
      <c r="A12272" s="160">
        <v>93007</v>
      </c>
      <c r="B12272" t="s">
        <v>27152</v>
      </c>
      <c r="C12272" t="s">
        <v>176</v>
      </c>
      <c r="D12272">
        <v>3.2</v>
      </c>
      <c r="E12272">
        <v>0</v>
      </c>
      <c r="F12272">
        <f t="shared" si="221"/>
        <v>3.2</v>
      </c>
      <c r="G12272">
        <v>1</v>
      </c>
      <c r="H12272">
        <f t="shared" si="220"/>
        <v>3.2</v>
      </c>
      <c r="I12272">
        <v>20240201</v>
      </c>
      <c r="J12272" t="s">
        <v>13705</v>
      </c>
      <c r="K12272" t="s">
        <v>13706</v>
      </c>
      <c r="L12272" t="s">
        <v>13707</v>
      </c>
      <c r="M12272" t="s">
        <v>13708</v>
      </c>
      <c r="N12272" t="s">
        <v>13709</v>
      </c>
      <c r="O12272" t="s">
        <v>13710</v>
      </c>
      <c r="P12272" t="s">
        <v>13711</v>
      </c>
      <c r="Q12272" t="s">
        <v>13712</v>
      </c>
      <c r="R12272" t="s">
        <v>13713</v>
      </c>
      <c r="S12272" t="s">
        <v>13714</v>
      </c>
    </row>
    <row r="12273" spans="1:36" x14ac:dyDescent="0.3">
      <c r="A12273" s="160">
        <v>93008</v>
      </c>
      <c r="B12273" t="s">
        <v>27153</v>
      </c>
      <c r="C12273" t="s">
        <v>176</v>
      </c>
      <c r="D12273">
        <v>3.2</v>
      </c>
      <c r="E12273">
        <v>0</v>
      </c>
      <c r="F12273">
        <f t="shared" si="221"/>
        <v>3.2</v>
      </c>
      <c r="G12273">
        <v>1</v>
      </c>
      <c r="H12273">
        <f t="shared" si="220"/>
        <v>3.2</v>
      </c>
      <c r="I12273">
        <v>20240201</v>
      </c>
      <c r="J12273" t="s">
        <v>13715</v>
      </c>
      <c r="K12273" t="s">
        <v>13716</v>
      </c>
      <c r="L12273" t="s">
        <v>13717</v>
      </c>
      <c r="M12273" t="s">
        <v>13718</v>
      </c>
      <c r="N12273" t="s">
        <v>13719</v>
      </c>
      <c r="O12273" t="s">
        <v>13720</v>
      </c>
      <c r="P12273" t="s">
        <v>13721</v>
      </c>
      <c r="Q12273" t="s">
        <v>13722</v>
      </c>
      <c r="R12273" t="s">
        <v>13723</v>
      </c>
      <c r="S12273" t="s">
        <v>13724</v>
      </c>
      <c r="T12273" t="s">
        <v>13725</v>
      </c>
      <c r="U12273" t="s">
        <v>13726</v>
      </c>
      <c r="V12273" t="s">
        <v>13727</v>
      </c>
      <c r="W12273" t="s">
        <v>13728</v>
      </c>
      <c r="X12273" t="s">
        <v>13729</v>
      </c>
      <c r="Y12273" t="s">
        <v>13730</v>
      </c>
      <c r="Z12273" t="s">
        <v>13731</v>
      </c>
      <c r="AA12273" t="s">
        <v>13732</v>
      </c>
      <c r="AB12273" t="s">
        <v>13733</v>
      </c>
      <c r="AC12273" t="s">
        <v>13734</v>
      </c>
    </row>
    <row r="12274" spans="1:36" x14ac:dyDescent="0.3">
      <c r="A12274" s="160">
        <v>93010</v>
      </c>
      <c r="B12274" t="s">
        <v>27154</v>
      </c>
      <c r="C12274" t="s">
        <v>176</v>
      </c>
      <c r="D12274">
        <v>3.2</v>
      </c>
      <c r="E12274">
        <v>0</v>
      </c>
      <c r="F12274">
        <f t="shared" si="221"/>
        <v>3.2</v>
      </c>
      <c r="G12274">
        <v>1</v>
      </c>
      <c r="H12274">
        <f t="shared" si="220"/>
        <v>3.2</v>
      </c>
      <c r="I12274">
        <v>20240201</v>
      </c>
      <c r="J12274" t="s">
        <v>13735</v>
      </c>
      <c r="K12274" t="s">
        <v>13736</v>
      </c>
      <c r="L12274" t="s">
        <v>13737</v>
      </c>
      <c r="M12274" t="s">
        <v>13738</v>
      </c>
      <c r="N12274" t="s">
        <v>13739</v>
      </c>
      <c r="O12274" t="s">
        <v>13740</v>
      </c>
      <c r="P12274" t="s">
        <v>13741</v>
      </c>
      <c r="Q12274" t="s">
        <v>13742</v>
      </c>
    </row>
    <row r="12275" spans="1:36" x14ac:dyDescent="0.3">
      <c r="A12275" s="160">
        <v>93013</v>
      </c>
      <c r="B12275" t="s">
        <v>27155</v>
      </c>
      <c r="C12275" t="s">
        <v>176</v>
      </c>
      <c r="D12275">
        <v>3.2</v>
      </c>
      <c r="E12275">
        <v>0</v>
      </c>
      <c r="F12275">
        <f t="shared" si="221"/>
        <v>3.2</v>
      </c>
      <c r="G12275">
        <v>1</v>
      </c>
      <c r="H12275">
        <f t="shared" si="220"/>
        <v>3.2</v>
      </c>
      <c r="I12275">
        <v>20240201</v>
      </c>
      <c r="J12275" t="s">
        <v>13743</v>
      </c>
      <c r="K12275" t="s">
        <v>13744</v>
      </c>
      <c r="L12275" t="s">
        <v>13745</v>
      </c>
    </row>
    <row r="12276" spans="1:36" x14ac:dyDescent="0.3">
      <c r="A12276" s="160">
        <v>93014</v>
      </c>
      <c r="B12276" t="s">
        <v>27156</v>
      </c>
      <c r="C12276" t="s">
        <v>176</v>
      </c>
      <c r="D12276">
        <v>3.2</v>
      </c>
      <c r="E12276">
        <v>0</v>
      </c>
      <c r="F12276">
        <f t="shared" si="221"/>
        <v>3.2</v>
      </c>
      <c r="G12276">
        <v>1</v>
      </c>
      <c r="H12276">
        <f t="shared" si="220"/>
        <v>3.2</v>
      </c>
      <c r="I12276">
        <v>20240201</v>
      </c>
      <c r="J12276" t="s">
        <v>13746</v>
      </c>
    </row>
    <row r="12277" spans="1:36" x14ac:dyDescent="0.3">
      <c r="A12277" s="160">
        <v>93015</v>
      </c>
      <c r="B12277" t="s">
        <v>27157</v>
      </c>
      <c r="C12277" t="s">
        <v>176</v>
      </c>
      <c r="D12277">
        <v>3.2</v>
      </c>
      <c r="E12277">
        <v>0</v>
      </c>
      <c r="F12277">
        <f t="shared" si="221"/>
        <v>3.2</v>
      </c>
      <c r="G12277">
        <v>1</v>
      </c>
      <c r="H12277">
        <f t="shared" si="220"/>
        <v>3.2</v>
      </c>
      <c r="I12277">
        <v>20240201</v>
      </c>
      <c r="J12277" t="s">
        <v>13747</v>
      </c>
    </row>
    <row r="12278" spans="1:36" x14ac:dyDescent="0.3">
      <c r="A12278" s="160">
        <v>93027</v>
      </c>
      <c r="B12278" t="s">
        <v>27158</v>
      </c>
      <c r="C12278" t="s">
        <v>176</v>
      </c>
      <c r="D12278">
        <v>3.2</v>
      </c>
      <c r="E12278">
        <v>0</v>
      </c>
      <c r="F12278">
        <f t="shared" si="221"/>
        <v>3.2</v>
      </c>
      <c r="G12278">
        <v>1</v>
      </c>
      <c r="H12278">
        <f t="shared" si="220"/>
        <v>3.2</v>
      </c>
      <c r="I12278">
        <v>20240201</v>
      </c>
      <c r="J12278" t="s">
        <v>13748</v>
      </c>
      <c r="K12278" t="s">
        <v>13749</v>
      </c>
      <c r="L12278" t="s">
        <v>13750</v>
      </c>
      <c r="M12278" t="s">
        <v>13751</v>
      </c>
      <c r="N12278" t="s">
        <v>13752</v>
      </c>
      <c r="O12278" t="s">
        <v>13753</v>
      </c>
      <c r="P12278" t="s">
        <v>13754</v>
      </c>
      <c r="Q12278" t="s">
        <v>13755</v>
      </c>
      <c r="R12278" t="s">
        <v>13756</v>
      </c>
      <c r="S12278" t="s">
        <v>13757</v>
      </c>
    </row>
    <row r="12279" spans="1:36" x14ac:dyDescent="0.3">
      <c r="A12279" s="160">
        <v>93029</v>
      </c>
      <c r="B12279" t="s">
        <v>27159</v>
      </c>
      <c r="C12279" t="s">
        <v>176</v>
      </c>
      <c r="D12279">
        <v>3.2</v>
      </c>
      <c r="E12279">
        <v>0</v>
      </c>
      <c r="F12279">
        <f t="shared" si="221"/>
        <v>3.2</v>
      </c>
      <c r="G12279">
        <v>1</v>
      </c>
      <c r="H12279">
        <f t="shared" si="220"/>
        <v>3.2</v>
      </c>
      <c r="I12279">
        <v>20240201</v>
      </c>
      <c r="J12279" t="s">
        <v>13758</v>
      </c>
      <c r="K12279" t="s">
        <v>13759</v>
      </c>
      <c r="L12279" t="s">
        <v>13760</v>
      </c>
      <c r="M12279" t="s">
        <v>13761</v>
      </c>
    </row>
    <row r="12280" spans="1:36" x14ac:dyDescent="0.3">
      <c r="A12280" s="160">
        <v>93030</v>
      </c>
      <c r="B12280" t="s">
        <v>27160</v>
      </c>
      <c r="C12280" t="s">
        <v>176</v>
      </c>
      <c r="D12280">
        <v>3.2</v>
      </c>
      <c r="E12280">
        <v>0</v>
      </c>
      <c r="F12280">
        <f t="shared" si="221"/>
        <v>3.2</v>
      </c>
      <c r="G12280">
        <v>1</v>
      </c>
      <c r="H12280">
        <f t="shared" si="220"/>
        <v>3.2</v>
      </c>
      <c r="I12280">
        <v>20240201</v>
      </c>
      <c r="J12280" t="s">
        <v>13744</v>
      </c>
      <c r="K12280" t="s">
        <v>13762</v>
      </c>
      <c r="L12280" t="s">
        <v>13763</v>
      </c>
    </row>
    <row r="12281" spans="1:36" x14ac:dyDescent="0.3">
      <c r="A12281" s="160">
        <v>93031</v>
      </c>
      <c r="B12281" t="s">
        <v>27161</v>
      </c>
      <c r="C12281" t="s">
        <v>176</v>
      </c>
      <c r="D12281">
        <v>3.2</v>
      </c>
      <c r="E12281">
        <v>0</v>
      </c>
      <c r="F12281">
        <f t="shared" si="221"/>
        <v>3.2</v>
      </c>
      <c r="G12281">
        <v>1</v>
      </c>
      <c r="H12281">
        <f t="shared" si="220"/>
        <v>3.2</v>
      </c>
      <c r="I12281">
        <v>20240201</v>
      </c>
      <c r="J12281" t="s">
        <v>13764</v>
      </c>
      <c r="K12281" t="s">
        <v>13765</v>
      </c>
      <c r="L12281" t="s">
        <v>13766</v>
      </c>
      <c r="M12281" t="s">
        <v>13767</v>
      </c>
      <c r="N12281" t="s">
        <v>13768</v>
      </c>
    </row>
    <row r="12282" spans="1:36" x14ac:dyDescent="0.3">
      <c r="A12282" s="160">
        <v>93032</v>
      </c>
      <c r="B12282" t="s">
        <v>27162</v>
      </c>
      <c r="C12282" t="s">
        <v>176</v>
      </c>
      <c r="D12282">
        <v>3.2</v>
      </c>
      <c r="E12282">
        <v>0</v>
      </c>
      <c r="F12282">
        <f t="shared" si="221"/>
        <v>3.2</v>
      </c>
      <c r="G12282">
        <v>1</v>
      </c>
      <c r="H12282">
        <f t="shared" si="220"/>
        <v>3.2</v>
      </c>
      <c r="I12282">
        <v>20240201</v>
      </c>
      <c r="J12282" t="s">
        <v>13769</v>
      </c>
      <c r="K12282" t="s">
        <v>13770</v>
      </c>
      <c r="L12282" t="s">
        <v>13771</v>
      </c>
    </row>
    <row r="12283" spans="1:36" x14ac:dyDescent="0.3">
      <c r="A12283" s="160">
        <v>93033</v>
      </c>
      <c r="B12283" t="s">
        <v>27163</v>
      </c>
      <c r="C12283" t="s">
        <v>176</v>
      </c>
      <c r="D12283">
        <v>3.2</v>
      </c>
      <c r="E12283">
        <v>0</v>
      </c>
      <c r="F12283">
        <f t="shared" si="221"/>
        <v>3.2</v>
      </c>
      <c r="G12283">
        <v>1</v>
      </c>
      <c r="H12283">
        <f t="shared" si="220"/>
        <v>3.2</v>
      </c>
      <c r="I12283">
        <v>20240201</v>
      </c>
      <c r="J12283" t="s">
        <v>13772</v>
      </c>
      <c r="K12283" t="s">
        <v>13773</v>
      </c>
    </row>
    <row r="12284" spans="1:36" x14ac:dyDescent="0.3">
      <c r="A12284" s="160">
        <v>93039</v>
      </c>
      <c r="B12284" t="s">
        <v>27164</v>
      </c>
      <c r="C12284" t="s">
        <v>176</v>
      </c>
      <c r="D12284">
        <v>3.2</v>
      </c>
      <c r="E12284">
        <v>0</v>
      </c>
      <c r="F12284">
        <f t="shared" si="221"/>
        <v>3.2</v>
      </c>
      <c r="G12284">
        <v>1</v>
      </c>
      <c r="H12284">
        <f t="shared" si="220"/>
        <v>3.2</v>
      </c>
      <c r="I12284">
        <v>20240201</v>
      </c>
      <c r="J12284" t="s">
        <v>13774</v>
      </c>
      <c r="K12284" t="s">
        <v>13775</v>
      </c>
    </row>
    <row r="12285" spans="1:36" x14ac:dyDescent="0.3">
      <c r="A12285" s="160">
        <v>93045</v>
      </c>
      <c r="B12285" t="s">
        <v>27165</v>
      </c>
      <c r="C12285" t="s">
        <v>176</v>
      </c>
      <c r="D12285">
        <v>3.2</v>
      </c>
      <c r="E12285">
        <v>0</v>
      </c>
      <c r="F12285">
        <f t="shared" si="221"/>
        <v>3.2</v>
      </c>
      <c r="G12285">
        <v>1</v>
      </c>
      <c r="H12285">
        <f t="shared" si="220"/>
        <v>3.2</v>
      </c>
      <c r="I12285">
        <v>20240201</v>
      </c>
      <c r="J12285" t="s">
        <v>13776</v>
      </c>
      <c r="K12285" t="s">
        <v>13777</v>
      </c>
    </row>
    <row r="12286" spans="1:36" x14ac:dyDescent="0.3">
      <c r="A12286" s="160">
        <v>93046</v>
      </c>
      <c r="B12286" t="s">
        <v>27166</v>
      </c>
      <c r="C12286" t="s">
        <v>176</v>
      </c>
      <c r="D12286">
        <v>3.2</v>
      </c>
      <c r="E12286">
        <v>0</v>
      </c>
      <c r="F12286">
        <f t="shared" si="221"/>
        <v>3.2</v>
      </c>
      <c r="G12286">
        <v>1</v>
      </c>
      <c r="H12286">
        <f t="shared" si="220"/>
        <v>3.2</v>
      </c>
      <c r="I12286">
        <v>20240201</v>
      </c>
      <c r="J12286" t="s">
        <v>13778</v>
      </c>
      <c r="K12286" t="s">
        <v>13779</v>
      </c>
      <c r="L12286" t="s">
        <v>13780</v>
      </c>
    </row>
    <row r="12287" spans="1:36" x14ac:dyDescent="0.3">
      <c r="A12287" s="160">
        <v>93047</v>
      </c>
      <c r="B12287" t="s">
        <v>27167</v>
      </c>
      <c r="C12287" t="s">
        <v>176</v>
      </c>
      <c r="D12287">
        <v>3.2</v>
      </c>
      <c r="E12287">
        <v>0</v>
      </c>
      <c r="F12287">
        <f t="shared" si="221"/>
        <v>3.2</v>
      </c>
      <c r="G12287">
        <v>1</v>
      </c>
      <c r="H12287">
        <f t="shared" si="220"/>
        <v>3.2</v>
      </c>
      <c r="I12287">
        <v>20240201</v>
      </c>
      <c r="J12287" t="s">
        <v>9757</v>
      </c>
      <c r="K12287" t="s">
        <v>13781</v>
      </c>
    </row>
    <row r="12288" spans="1:36" x14ac:dyDescent="0.3">
      <c r="A12288" s="160">
        <v>93048</v>
      </c>
      <c r="B12288" t="s">
        <v>18010</v>
      </c>
      <c r="C12288" t="s">
        <v>176</v>
      </c>
      <c r="D12288">
        <v>3.2</v>
      </c>
      <c r="E12288">
        <v>0</v>
      </c>
      <c r="F12288">
        <f t="shared" si="221"/>
        <v>3.2</v>
      </c>
      <c r="G12288">
        <v>1</v>
      </c>
      <c r="H12288">
        <f t="shared" si="220"/>
        <v>3.2</v>
      </c>
      <c r="I12288">
        <v>20240201</v>
      </c>
      <c r="J12288" t="s">
        <v>13782</v>
      </c>
      <c r="K12288" t="s">
        <v>13783</v>
      </c>
      <c r="L12288" t="s">
        <v>13784</v>
      </c>
      <c r="M12288" t="s">
        <v>13785</v>
      </c>
      <c r="N12288" t="s">
        <v>13786</v>
      </c>
      <c r="O12288" t="s">
        <v>13787</v>
      </c>
      <c r="P12288" t="s">
        <v>13788</v>
      </c>
      <c r="Q12288" t="s">
        <v>13789</v>
      </c>
      <c r="R12288" t="s">
        <v>13790</v>
      </c>
      <c r="S12288" t="s">
        <v>13791</v>
      </c>
      <c r="T12288" t="s">
        <v>13792</v>
      </c>
      <c r="U12288" t="s">
        <v>13793</v>
      </c>
      <c r="V12288" t="s">
        <v>13794</v>
      </c>
      <c r="W12288" t="s">
        <v>13795</v>
      </c>
      <c r="X12288" t="s">
        <v>13796</v>
      </c>
      <c r="Y12288" t="s">
        <v>13797</v>
      </c>
      <c r="Z12288" t="s">
        <v>13798</v>
      </c>
      <c r="AA12288" t="s">
        <v>13799</v>
      </c>
      <c r="AB12288" t="s">
        <v>13800</v>
      </c>
      <c r="AC12288" t="s">
        <v>13801</v>
      </c>
      <c r="AD12288" t="s">
        <v>13802</v>
      </c>
      <c r="AE12288" t="s">
        <v>13803</v>
      </c>
      <c r="AF12288" t="s">
        <v>13804</v>
      </c>
      <c r="AG12288" t="s">
        <v>13805</v>
      </c>
      <c r="AH12288" t="s">
        <v>13806</v>
      </c>
      <c r="AI12288" t="s">
        <v>13807</v>
      </c>
      <c r="AJ12288" t="s">
        <v>13808</v>
      </c>
    </row>
    <row r="12289" spans="1:62" x14ac:dyDescent="0.3">
      <c r="A12289" s="160">
        <v>93049</v>
      </c>
      <c r="B12289" t="s">
        <v>27168</v>
      </c>
      <c r="C12289" t="s">
        <v>176</v>
      </c>
      <c r="D12289">
        <v>3.2</v>
      </c>
      <c r="E12289">
        <v>0</v>
      </c>
      <c r="F12289">
        <f t="shared" si="221"/>
        <v>3.2</v>
      </c>
      <c r="G12289">
        <v>1</v>
      </c>
      <c r="H12289">
        <f t="shared" si="220"/>
        <v>3.2</v>
      </c>
      <c r="I12289">
        <v>20240201</v>
      </c>
      <c r="J12289" t="s">
        <v>13809</v>
      </c>
      <c r="K12289" t="s">
        <v>13810</v>
      </c>
      <c r="L12289" t="s">
        <v>13811</v>
      </c>
      <c r="M12289" t="s">
        <v>13812</v>
      </c>
      <c r="N12289" t="s">
        <v>13813</v>
      </c>
      <c r="O12289" t="s">
        <v>13814</v>
      </c>
    </row>
    <row r="12290" spans="1:62" x14ac:dyDescent="0.3">
      <c r="A12290" s="160">
        <v>93050</v>
      </c>
      <c r="B12290" t="s">
        <v>27169</v>
      </c>
      <c r="C12290" t="s">
        <v>176</v>
      </c>
      <c r="D12290">
        <v>3.2</v>
      </c>
      <c r="E12290">
        <v>0</v>
      </c>
      <c r="F12290">
        <f t="shared" si="221"/>
        <v>3.2</v>
      </c>
      <c r="G12290">
        <v>1</v>
      </c>
      <c r="H12290">
        <f t="shared" si="220"/>
        <v>3.2</v>
      </c>
      <c r="I12290">
        <v>20240201</v>
      </c>
      <c r="J12290" t="s">
        <v>13815</v>
      </c>
      <c r="K12290" t="s">
        <v>13816</v>
      </c>
      <c r="L12290" t="s">
        <v>13817</v>
      </c>
      <c r="M12290" t="s">
        <v>13818</v>
      </c>
      <c r="N12290" t="s">
        <v>13819</v>
      </c>
      <c r="O12290" t="s">
        <v>13820</v>
      </c>
      <c r="P12290" t="s">
        <v>13821</v>
      </c>
      <c r="Q12290" t="s">
        <v>13810</v>
      </c>
      <c r="R12290" t="s">
        <v>13822</v>
      </c>
      <c r="S12290" t="s">
        <v>13823</v>
      </c>
      <c r="T12290" t="s">
        <v>13824</v>
      </c>
    </row>
    <row r="12291" spans="1:62" x14ac:dyDescent="0.3">
      <c r="A12291" s="160">
        <v>93051</v>
      </c>
      <c r="B12291" t="s">
        <v>27170</v>
      </c>
      <c r="C12291" t="s">
        <v>176</v>
      </c>
      <c r="D12291">
        <v>3.2</v>
      </c>
      <c r="E12291">
        <v>0</v>
      </c>
      <c r="F12291">
        <f t="shared" si="221"/>
        <v>3.2</v>
      </c>
      <c r="G12291">
        <v>1</v>
      </c>
      <c r="H12291">
        <f t="shared" si="220"/>
        <v>3.2</v>
      </c>
      <c r="I12291">
        <v>20240201</v>
      </c>
      <c r="J12291" t="s">
        <v>13825</v>
      </c>
      <c r="K12291" t="s">
        <v>13772</v>
      </c>
      <c r="L12291" t="s">
        <v>13826</v>
      </c>
      <c r="M12291" t="s">
        <v>13827</v>
      </c>
      <c r="N12291" t="s">
        <v>13828</v>
      </c>
      <c r="O12291" t="s">
        <v>13829</v>
      </c>
      <c r="P12291" t="s">
        <v>13830</v>
      </c>
      <c r="Q12291" t="s">
        <v>13831</v>
      </c>
      <c r="R12291" t="s">
        <v>13832</v>
      </c>
      <c r="S12291" t="s">
        <v>13833</v>
      </c>
      <c r="T12291" t="s">
        <v>13834</v>
      </c>
      <c r="U12291" t="s">
        <v>13835</v>
      </c>
      <c r="V12291" t="s">
        <v>13836</v>
      </c>
      <c r="W12291" t="s">
        <v>13837</v>
      </c>
      <c r="X12291" t="s">
        <v>13838</v>
      </c>
      <c r="Y12291" t="s">
        <v>13839</v>
      </c>
      <c r="Z12291" t="s">
        <v>13840</v>
      </c>
      <c r="AA12291" t="s">
        <v>13841</v>
      </c>
      <c r="AB12291" t="s">
        <v>13842</v>
      </c>
      <c r="AC12291" t="s">
        <v>13843</v>
      </c>
      <c r="AD12291" t="s">
        <v>13844</v>
      </c>
      <c r="AE12291" t="s">
        <v>13845</v>
      </c>
      <c r="AF12291" t="s">
        <v>13846</v>
      </c>
      <c r="AG12291" t="s">
        <v>13847</v>
      </c>
      <c r="AH12291" t="s">
        <v>13848</v>
      </c>
      <c r="AI12291" t="s">
        <v>13849</v>
      </c>
      <c r="AJ12291" t="s">
        <v>13850</v>
      </c>
      <c r="AK12291" t="s">
        <v>13851</v>
      </c>
      <c r="AL12291" t="s">
        <v>13852</v>
      </c>
    </row>
    <row r="12292" spans="1:62" x14ac:dyDescent="0.3">
      <c r="A12292" s="160">
        <v>93053</v>
      </c>
      <c r="B12292" t="s">
        <v>27171</v>
      </c>
      <c r="C12292" t="s">
        <v>176</v>
      </c>
      <c r="D12292">
        <v>3.2</v>
      </c>
      <c r="E12292">
        <v>0</v>
      </c>
      <c r="F12292">
        <f t="shared" si="221"/>
        <v>3.2</v>
      </c>
      <c r="G12292">
        <v>1</v>
      </c>
      <c r="H12292">
        <f t="shared" si="220"/>
        <v>3.2</v>
      </c>
      <c r="I12292">
        <v>20240201</v>
      </c>
      <c r="J12292" t="s">
        <v>13853</v>
      </c>
      <c r="K12292" t="s">
        <v>13854</v>
      </c>
      <c r="L12292" t="s">
        <v>13855</v>
      </c>
      <c r="M12292" t="s">
        <v>13856</v>
      </c>
      <c r="N12292" t="s">
        <v>13857</v>
      </c>
      <c r="O12292" t="s">
        <v>13858</v>
      </c>
      <c r="P12292" t="s">
        <v>13859</v>
      </c>
    </row>
    <row r="12293" spans="1:62" x14ac:dyDescent="0.3">
      <c r="A12293" s="160">
        <v>93055</v>
      </c>
      <c r="B12293" t="s">
        <v>27172</v>
      </c>
      <c r="C12293" t="s">
        <v>176</v>
      </c>
      <c r="D12293">
        <v>3.2</v>
      </c>
      <c r="E12293">
        <v>0</v>
      </c>
      <c r="F12293">
        <f t="shared" si="221"/>
        <v>3.2</v>
      </c>
      <c r="G12293">
        <v>1</v>
      </c>
      <c r="H12293">
        <f t="shared" ref="H12293:H12356" si="222">G12293*F12293</f>
        <v>3.2</v>
      </c>
      <c r="I12293">
        <v>20240201</v>
      </c>
      <c r="J12293" t="s">
        <v>13860</v>
      </c>
      <c r="K12293" t="s">
        <v>13861</v>
      </c>
      <c r="L12293" t="s">
        <v>13862</v>
      </c>
      <c r="M12293" t="s">
        <v>13863</v>
      </c>
      <c r="N12293" t="s">
        <v>13864</v>
      </c>
      <c r="O12293" t="s">
        <v>13865</v>
      </c>
      <c r="P12293" t="s">
        <v>13866</v>
      </c>
      <c r="Q12293" t="s">
        <v>13867</v>
      </c>
      <c r="R12293" t="s">
        <v>13868</v>
      </c>
      <c r="S12293" t="s">
        <v>13869</v>
      </c>
      <c r="T12293" t="s">
        <v>13870</v>
      </c>
      <c r="U12293" t="s">
        <v>13871</v>
      </c>
      <c r="V12293" t="s">
        <v>13872</v>
      </c>
      <c r="W12293" t="s">
        <v>13873</v>
      </c>
      <c r="X12293" t="s">
        <v>13874</v>
      </c>
      <c r="Y12293" t="s">
        <v>13875</v>
      </c>
      <c r="Z12293" t="s">
        <v>13876</v>
      </c>
      <c r="AA12293" t="s">
        <v>13877</v>
      </c>
    </row>
    <row r="12294" spans="1:62" x14ac:dyDescent="0.3">
      <c r="A12294" s="160">
        <v>93057</v>
      </c>
      <c r="B12294" t="s">
        <v>27173</v>
      </c>
      <c r="C12294" t="s">
        <v>176</v>
      </c>
      <c r="D12294">
        <v>3.2</v>
      </c>
      <c r="E12294">
        <v>0</v>
      </c>
      <c r="F12294">
        <f t="shared" si="221"/>
        <v>3.2</v>
      </c>
      <c r="G12294">
        <v>1</v>
      </c>
      <c r="H12294">
        <f t="shared" si="222"/>
        <v>3.2</v>
      </c>
      <c r="I12294">
        <v>20240201</v>
      </c>
      <c r="J12294" t="s">
        <v>13878</v>
      </c>
    </row>
    <row r="12295" spans="1:62" x14ac:dyDescent="0.3">
      <c r="A12295" s="160">
        <v>93059</v>
      </c>
      <c r="B12295" t="s">
        <v>27174</v>
      </c>
      <c r="C12295" t="s">
        <v>176</v>
      </c>
      <c r="D12295">
        <v>3.2</v>
      </c>
      <c r="E12295">
        <v>0</v>
      </c>
      <c r="F12295">
        <f t="shared" ref="F12295:F12358" si="223">D12295+E12295</f>
        <v>3.2</v>
      </c>
      <c r="G12295">
        <v>1</v>
      </c>
      <c r="H12295">
        <f t="shared" si="222"/>
        <v>3.2</v>
      </c>
      <c r="I12295">
        <v>20240201</v>
      </c>
      <c r="J12295" t="s">
        <v>13879</v>
      </c>
      <c r="K12295" t="s">
        <v>13880</v>
      </c>
      <c r="L12295" t="s">
        <v>13881</v>
      </c>
      <c r="M12295" t="s">
        <v>13882</v>
      </c>
      <c r="N12295" t="s">
        <v>13883</v>
      </c>
    </row>
    <row r="12296" spans="1:62" x14ac:dyDescent="0.3">
      <c r="A12296" s="160">
        <v>93061</v>
      </c>
      <c r="B12296" t="s">
        <v>27175</v>
      </c>
      <c r="C12296" t="s">
        <v>176</v>
      </c>
      <c r="D12296">
        <v>3.2</v>
      </c>
      <c r="E12296">
        <v>0</v>
      </c>
      <c r="F12296">
        <f t="shared" si="223"/>
        <v>3.2</v>
      </c>
      <c r="G12296">
        <v>1</v>
      </c>
      <c r="H12296">
        <f t="shared" si="222"/>
        <v>3.2</v>
      </c>
      <c r="I12296">
        <v>20240201</v>
      </c>
      <c r="J12296" t="s">
        <v>13884</v>
      </c>
      <c r="K12296" t="s">
        <v>13885</v>
      </c>
      <c r="L12296" t="s">
        <v>13886</v>
      </c>
    </row>
    <row r="12297" spans="1:62" x14ac:dyDescent="0.3">
      <c r="A12297" s="160">
        <v>93062</v>
      </c>
      <c r="B12297" t="s">
        <v>27176</v>
      </c>
      <c r="C12297" t="s">
        <v>176</v>
      </c>
      <c r="D12297">
        <v>3.2</v>
      </c>
      <c r="E12297">
        <v>0</v>
      </c>
      <c r="F12297">
        <f t="shared" si="223"/>
        <v>3.2</v>
      </c>
      <c r="G12297">
        <v>1</v>
      </c>
      <c r="H12297">
        <f t="shared" si="222"/>
        <v>3.2</v>
      </c>
      <c r="I12297">
        <v>20240201</v>
      </c>
      <c r="J12297" t="s">
        <v>13887</v>
      </c>
      <c r="K12297" t="s">
        <v>13888</v>
      </c>
      <c r="L12297" t="s">
        <v>13889</v>
      </c>
      <c r="M12297" t="s">
        <v>13890</v>
      </c>
      <c r="N12297" t="s">
        <v>13891</v>
      </c>
      <c r="O12297" t="s">
        <v>13892</v>
      </c>
      <c r="P12297" t="s">
        <v>13893</v>
      </c>
      <c r="Q12297" t="s">
        <v>13894</v>
      </c>
    </row>
    <row r="12298" spans="1:62" x14ac:dyDescent="0.3">
      <c r="A12298" s="160">
        <v>93063</v>
      </c>
      <c r="B12298" t="s">
        <v>27177</v>
      </c>
      <c r="C12298" t="s">
        <v>176</v>
      </c>
      <c r="D12298">
        <v>3.2</v>
      </c>
      <c r="E12298">
        <v>0</v>
      </c>
      <c r="F12298">
        <f t="shared" si="223"/>
        <v>3.2</v>
      </c>
      <c r="G12298">
        <v>1</v>
      </c>
      <c r="H12298">
        <f t="shared" si="222"/>
        <v>3.2</v>
      </c>
      <c r="I12298">
        <v>20240201</v>
      </c>
      <c r="J12298" t="s">
        <v>13895</v>
      </c>
      <c r="K12298" t="s">
        <v>13896</v>
      </c>
      <c r="L12298" t="s">
        <v>13897</v>
      </c>
      <c r="M12298" t="s">
        <v>13898</v>
      </c>
    </row>
    <row r="12299" spans="1:62" x14ac:dyDescent="0.3">
      <c r="A12299" s="160">
        <v>93064</v>
      </c>
      <c r="B12299" t="s">
        <v>27178</v>
      </c>
      <c r="C12299" t="s">
        <v>176</v>
      </c>
      <c r="D12299">
        <v>3.2</v>
      </c>
      <c r="E12299">
        <v>0</v>
      </c>
      <c r="F12299">
        <f t="shared" si="223"/>
        <v>3.2</v>
      </c>
      <c r="G12299">
        <v>1</v>
      </c>
      <c r="H12299">
        <f t="shared" si="222"/>
        <v>3.2</v>
      </c>
      <c r="I12299">
        <v>20240201</v>
      </c>
      <c r="J12299" t="s">
        <v>13899</v>
      </c>
      <c r="K12299" t="s">
        <v>13900</v>
      </c>
      <c r="L12299" t="s">
        <v>13901</v>
      </c>
      <c r="M12299" t="s">
        <v>13902</v>
      </c>
      <c r="N12299" t="s">
        <v>13903</v>
      </c>
      <c r="O12299" t="s">
        <v>13904</v>
      </c>
      <c r="P12299" t="s">
        <v>13905</v>
      </c>
      <c r="Q12299" t="s">
        <v>13906</v>
      </c>
      <c r="R12299" t="s">
        <v>13907</v>
      </c>
      <c r="S12299" t="s">
        <v>13908</v>
      </c>
      <c r="T12299" t="s">
        <v>13909</v>
      </c>
      <c r="U12299" t="s">
        <v>13910</v>
      </c>
      <c r="V12299" t="s">
        <v>13911</v>
      </c>
      <c r="W12299" t="s">
        <v>13912</v>
      </c>
    </row>
    <row r="12300" spans="1:62" x14ac:dyDescent="0.3">
      <c r="A12300" s="160">
        <v>93066</v>
      </c>
      <c r="B12300" t="s">
        <v>27179</v>
      </c>
      <c r="C12300" t="s">
        <v>176</v>
      </c>
      <c r="D12300">
        <v>3.2</v>
      </c>
      <c r="E12300">
        <v>0</v>
      </c>
      <c r="F12300">
        <f t="shared" si="223"/>
        <v>3.2</v>
      </c>
      <c r="G12300">
        <v>1</v>
      </c>
      <c r="H12300">
        <f t="shared" si="222"/>
        <v>3.2</v>
      </c>
      <c r="I12300">
        <v>20240201</v>
      </c>
      <c r="J12300" t="s">
        <v>13913</v>
      </c>
      <c r="K12300" t="s">
        <v>13914</v>
      </c>
      <c r="L12300" t="s">
        <v>13915</v>
      </c>
      <c r="M12300" t="s">
        <v>13916</v>
      </c>
      <c r="N12300" t="s">
        <v>13917</v>
      </c>
      <c r="O12300" t="s">
        <v>13918</v>
      </c>
      <c r="P12300" t="s">
        <v>13919</v>
      </c>
      <c r="Q12300" t="s">
        <v>13920</v>
      </c>
      <c r="R12300" t="s">
        <v>13921</v>
      </c>
      <c r="S12300" t="s">
        <v>13922</v>
      </c>
      <c r="T12300" t="s">
        <v>13923</v>
      </c>
      <c r="U12300" t="s">
        <v>13924</v>
      </c>
      <c r="V12300" t="s">
        <v>13925</v>
      </c>
      <c r="W12300" t="s">
        <v>13926</v>
      </c>
      <c r="X12300" t="s">
        <v>13643</v>
      </c>
      <c r="Y12300" t="s">
        <v>13927</v>
      </c>
      <c r="Z12300" t="s">
        <v>13928</v>
      </c>
      <c r="AA12300" t="s">
        <v>13929</v>
      </c>
      <c r="AB12300" t="s">
        <v>13930</v>
      </c>
      <c r="AC12300" t="s">
        <v>13931</v>
      </c>
      <c r="AD12300" t="s">
        <v>13932</v>
      </c>
      <c r="AE12300" t="s">
        <v>13933</v>
      </c>
      <c r="AF12300" t="s">
        <v>13934</v>
      </c>
      <c r="AG12300" t="s">
        <v>13935</v>
      </c>
      <c r="AH12300" t="s">
        <v>13936</v>
      </c>
      <c r="AI12300" t="s">
        <v>13937</v>
      </c>
      <c r="AJ12300" t="s">
        <v>13652</v>
      </c>
      <c r="AK12300" t="s">
        <v>13938</v>
      </c>
      <c r="AL12300" t="s">
        <v>13939</v>
      </c>
      <c r="AM12300" t="s">
        <v>13940</v>
      </c>
      <c r="AN12300" t="s">
        <v>13941</v>
      </c>
      <c r="AO12300" t="s">
        <v>13942</v>
      </c>
      <c r="AP12300" t="s">
        <v>13943</v>
      </c>
      <c r="AQ12300" t="s">
        <v>13944</v>
      </c>
      <c r="AR12300" t="s">
        <v>13945</v>
      </c>
      <c r="AS12300" t="s">
        <v>13946</v>
      </c>
      <c r="AT12300" t="s">
        <v>13947</v>
      </c>
      <c r="AU12300" t="s">
        <v>13948</v>
      </c>
      <c r="AV12300" t="s">
        <v>13949</v>
      </c>
      <c r="AW12300" t="s">
        <v>13950</v>
      </c>
      <c r="AX12300" t="s">
        <v>13951</v>
      </c>
      <c r="AY12300" t="s">
        <v>13952</v>
      </c>
      <c r="AZ12300" t="s">
        <v>13953</v>
      </c>
      <c r="BA12300" t="s">
        <v>13664</v>
      </c>
      <c r="BB12300" t="s">
        <v>13954</v>
      </c>
      <c r="BC12300" t="s">
        <v>13955</v>
      </c>
      <c r="BD12300" t="s">
        <v>13956</v>
      </c>
      <c r="BE12300" t="s">
        <v>13957</v>
      </c>
      <c r="BF12300" t="s">
        <v>13958</v>
      </c>
      <c r="BG12300" t="s">
        <v>13959</v>
      </c>
      <c r="BH12300" t="s">
        <v>13960</v>
      </c>
      <c r="BI12300" t="s">
        <v>13961</v>
      </c>
      <c r="BJ12300" t="s">
        <v>13962</v>
      </c>
    </row>
    <row r="12301" spans="1:62" x14ac:dyDescent="0.3">
      <c r="A12301" s="160">
        <v>93070</v>
      </c>
      <c r="B12301" t="s">
        <v>27180</v>
      </c>
      <c r="C12301" t="s">
        <v>176</v>
      </c>
      <c r="D12301">
        <v>3.2</v>
      </c>
      <c r="E12301">
        <v>0</v>
      </c>
      <c r="F12301">
        <f t="shared" si="223"/>
        <v>3.2</v>
      </c>
      <c r="G12301">
        <v>1</v>
      </c>
      <c r="H12301">
        <f t="shared" si="222"/>
        <v>3.2</v>
      </c>
      <c r="I12301">
        <v>20240201</v>
      </c>
      <c r="J12301" t="s">
        <v>13963</v>
      </c>
      <c r="K12301" t="s">
        <v>13964</v>
      </c>
      <c r="L12301" t="s">
        <v>13965</v>
      </c>
      <c r="M12301" t="s">
        <v>13966</v>
      </c>
      <c r="N12301" t="s">
        <v>13967</v>
      </c>
      <c r="O12301" t="s">
        <v>13968</v>
      </c>
      <c r="P12301" t="s">
        <v>13969</v>
      </c>
      <c r="Q12301" t="s">
        <v>13970</v>
      </c>
      <c r="R12301" t="s">
        <v>13971</v>
      </c>
      <c r="S12301" t="s">
        <v>13972</v>
      </c>
      <c r="T12301" t="s">
        <v>13973</v>
      </c>
      <c r="U12301" t="s">
        <v>13974</v>
      </c>
      <c r="V12301" t="s">
        <v>13975</v>
      </c>
      <c r="W12301" t="s">
        <v>13976</v>
      </c>
      <c r="X12301" t="s">
        <v>13977</v>
      </c>
      <c r="Y12301" t="s">
        <v>13978</v>
      </c>
      <c r="Z12301" t="s">
        <v>13979</v>
      </c>
      <c r="AA12301" t="s">
        <v>13980</v>
      </c>
      <c r="AB12301" t="s">
        <v>13981</v>
      </c>
      <c r="AC12301" t="s">
        <v>13982</v>
      </c>
      <c r="AD12301" t="s">
        <v>13983</v>
      </c>
      <c r="AE12301" t="s">
        <v>13984</v>
      </c>
      <c r="AF12301" t="s">
        <v>13985</v>
      </c>
      <c r="AG12301" t="s">
        <v>13986</v>
      </c>
      <c r="AH12301" t="s">
        <v>13987</v>
      </c>
      <c r="AI12301" t="s">
        <v>13670</v>
      </c>
      <c r="AJ12301" t="s">
        <v>13988</v>
      </c>
    </row>
    <row r="12302" spans="1:62" x14ac:dyDescent="0.3">
      <c r="A12302" s="160">
        <v>93071</v>
      </c>
      <c r="B12302" t="s">
        <v>27181</v>
      </c>
      <c r="C12302" t="s">
        <v>176</v>
      </c>
      <c r="D12302">
        <v>3.2</v>
      </c>
      <c r="E12302">
        <v>0</v>
      </c>
      <c r="F12302">
        <f t="shared" si="223"/>
        <v>3.2</v>
      </c>
      <c r="G12302">
        <v>1</v>
      </c>
      <c r="H12302">
        <f t="shared" si="222"/>
        <v>3.2</v>
      </c>
      <c r="I12302">
        <v>20240201</v>
      </c>
      <c r="J12302" t="s">
        <v>13989</v>
      </c>
      <c r="K12302" t="s">
        <v>13990</v>
      </c>
      <c r="L12302" t="s">
        <v>13991</v>
      </c>
      <c r="M12302" t="s">
        <v>13992</v>
      </c>
    </row>
    <row r="12303" spans="1:62" x14ac:dyDescent="0.3">
      <c r="A12303" s="160">
        <v>93072</v>
      </c>
      <c r="B12303" t="s">
        <v>27182</v>
      </c>
      <c r="C12303" t="s">
        <v>176</v>
      </c>
      <c r="D12303">
        <v>3.2</v>
      </c>
      <c r="E12303">
        <v>0</v>
      </c>
      <c r="F12303">
        <f t="shared" si="223"/>
        <v>3.2</v>
      </c>
      <c r="G12303">
        <v>1</v>
      </c>
      <c r="H12303">
        <f t="shared" si="222"/>
        <v>3.2</v>
      </c>
      <c r="I12303">
        <v>20240201</v>
      </c>
      <c r="J12303" t="s">
        <v>13993</v>
      </c>
      <c r="K12303" t="s">
        <v>13994</v>
      </c>
      <c r="L12303" t="s">
        <v>13995</v>
      </c>
      <c r="M12303" t="s">
        <v>13996</v>
      </c>
      <c r="N12303" t="s">
        <v>13997</v>
      </c>
    </row>
    <row r="12304" spans="1:62" x14ac:dyDescent="0.3">
      <c r="A12304" s="160">
        <v>93073</v>
      </c>
      <c r="B12304" t="s">
        <v>27183</v>
      </c>
      <c r="C12304" t="s">
        <v>176</v>
      </c>
      <c r="D12304">
        <v>3.2</v>
      </c>
      <c r="E12304">
        <v>0</v>
      </c>
      <c r="F12304">
        <f t="shared" si="223"/>
        <v>3.2</v>
      </c>
      <c r="G12304">
        <v>1</v>
      </c>
      <c r="H12304">
        <f t="shared" si="222"/>
        <v>3.2</v>
      </c>
      <c r="I12304">
        <v>20240201</v>
      </c>
      <c r="J12304" t="s">
        <v>13998</v>
      </c>
      <c r="K12304" t="s">
        <v>13999</v>
      </c>
      <c r="L12304" t="s">
        <v>13779</v>
      </c>
    </row>
    <row r="12305" spans="1:67" x14ac:dyDescent="0.3">
      <c r="A12305" s="160">
        <v>93074</v>
      </c>
      <c r="B12305" t="s">
        <v>27184</v>
      </c>
      <c r="C12305" t="s">
        <v>176</v>
      </c>
      <c r="D12305">
        <v>3.2</v>
      </c>
      <c r="E12305">
        <v>0</v>
      </c>
      <c r="F12305">
        <f t="shared" si="223"/>
        <v>3.2</v>
      </c>
      <c r="G12305">
        <v>1</v>
      </c>
      <c r="H12305">
        <f t="shared" si="222"/>
        <v>3.2</v>
      </c>
      <c r="I12305">
        <v>20240201</v>
      </c>
      <c r="J12305" t="s">
        <v>13779</v>
      </c>
      <c r="K12305" t="s">
        <v>14000</v>
      </c>
    </row>
    <row r="12306" spans="1:67" x14ac:dyDescent="0.3">
      <c r="A12306" s="160">
        <v>93077</v>
      </c>
      <c r="B12306" t="s">
        <v>27185</v>
      </c>
      <c r="C12306" t="s">
        <v>176</v>
      </c>
      <c r="D12306">
        <v>3.2</v>
      </c>
      <c r="E12306">
        <v>0</v>
      </c>
      <c r="F12306">
        <f t="shared" si="223"/>
        <v>3.2</v>
      </c>
      <c r="G12306">
        <v>1</v>
      </c>
      <c r="H12306">
        <f t="shared" si="222"/>
        <v>3.2</v>
      </c>
      <c r="I12306">
        <v>20240201</v>
      </c>
      <c r="J12306" t="s">
        <v>14001</v>
      </c>
    </row>
    <row r="12307" spans="1:67" x14ac:dyDescent="0.3">
      <c r="A12307" s="160">
        <v>93078</v>
      </c>
      <c r="B12307" t="s">
        <v>27186</v>
      </c>
      <c r="C12307" t="s">
        <v>176</v>
      </c>
      <c r="D12307">
        <v>3.2</v>
      </c>
      <c r="E12307">
        <v>0</v>
      </c>
      <c r="F12307">
        <f t="shared" si="223"/>
        <v>3.2</v>
      </c>
      <c r="G12307">
        <v>1</v>
      </c>
      <c r="H12307">
        <f t="shared" si="222"/>
        <v>3.2</v>
      </c>
      <c r="I12307">
        <v>20240201</v>
      </c>
      <c r="J12307" t="s">
        <v>14002</v>
      </c>
      <c r="K12307" t="s">
        <v>14003</v>
      </c>
      <c r="L12307" t="s">
        <v>14004</v>
      </c>
      <c r="M12307" t="s">
        <v>14005</v>
      </c>
      <c r="N12307" t="s">
        <v>14006</v>
      </c>
    </row>
    <row r="12308" spans="1:67" x14ac:dyDescent="0.3">
      <c r="A12308" s="160">
        <v>93079</v>
      </c>
      <c r="B12308" t="s">
        <v>27187</v>
      </c>
      <c r="C12308" t="s">
        <v>176</v>
      </c>
      <c r="D12308">
        <v>3.2</v>
      </c>
      <c r="E12308">
        <v>0</v>
      </c>
      <c r="F12308">
        <f t="shared" si="223"/>
        <v>3.2</v>
      </c>
      <c r="G12308">
        <v>1</v>
      </c>
      <c r="H12308">
        <f t="shared" si="222"/>
        <v>3.2</v>
      </c>
      <c r="I12308">
        <v>20240201</v>
      </c>
      <c r="J12308" t="s">
        <v>13880</v>
      </c>
      <c r="K12308" t="s">
        <v>14007</v>
      </c>
      <c r="L12308" t="s">
        <v>14008</v>
      </c>
      <c r="M12308" t="s">
        <v>14009</v>
      </c>
      <c r="N12308" t="s">
        <v>14010</v>
      </c>
    </row>
    <row r="12309" spans="1:67" x14ac:dyDescent="0.3">
      <c r="A12309" s="160">
        <v>94001</v>
      </c>
      <c r="B12309" t="s">
        <v>27188</v>
      </c>
      <c r="C12309" t="s">
        <v>176</v>
      </c>
      <c r="D12309">
        <v>3.2</v>
      </c>
      <c r="E12309">
        <v>0</v>
      </c>
      <c r="F12309">
        <f t="shared" si="223"/>
        <v>3.2</v>
      </c>
      <c r="G12309">
        <v>1</v>
      </c>
      <c r="H12309">
        <f t="shared" si="222"/>
        <v>3.2</v>
      </c>
      <c r="I12309">
        <v>20240201</v>
      </c>
      <c r="J12309" t="s">
        <v>14011</v>
      </c>
    </row>
    <row r="12310" spans="1:67" x14ac:dyDescent="0.3">
      <c r="A12310" s="160">
        <v>94002</v>
      </c>
      <c r="B12310" t="s">
        <v>27189</v>
      </c>
      <c r="C12310" t="s">
        <v>176</v>
      </c>
      <c r="D12310">
        <v>3.2</v>
      </c>
      <c r="E12310">
        <v>0</v>
      </c>
      <c r="F12310">
        <f t="shared" si="223"/>
        <v>3.2</v>
      </c>
      <c r="G12310">
        <v>1</v>
      </c>
      <c r="H12310">
        <f t="shared" si="222"/>
        <v>3.2</v>
      </c>
      <c r="I12310">
        <v>20240201</v>
      </c>
      <c r="J12310" t="s">
        <v>14012</v>
      </c>
      <c r="K12310" t="s">
        <v>14013</v>
      </c>
      <c r="L12310" t="s">
        <v>14014</v>
      </c>
      <c r="M12310" t="s">
        <v>14015</v>
      </c>
      <c r="N12310" t="s">
        <v>14016</v>
      </c>
      <c r="O12310" t="s">
        <v>14017</v>
      </c>
    </row>
    <row r="12311" spans="1:67" x14ac:dyDescent="0.3">
      <c r="A12311" s="160">
        <v>94003</v>
      </c>
      <c r="B12311" t="s">
        <v>27190</v>
      </c>
      <c r="C12311" t="s">
        <v>176</v>
      </c>
      <c r="D12311">
        <v>3.2</v>
      </c>
      <c r="E12311">
        <v>0</v>
      </c>
      <c r="F12311">
        <f t="shared" si="223"/>
        <v>3.2</v>
      </c>
      <c r="G12311">
        <v>1</v>
      </c>
      <c r="H12311">
        <f t="shared" si="222"/>
        <v>3.2</v>
      </c>
      <c r="I12311">
        <v>20240201</v>
      </c>
      <c r="J12311" t="s">
        <v>14018</v>
      </c>
      <c r="K12311" t="s">
        <v>14019</v>
      </c>
      <c r="L12311" t="s">
        <v>14020</v>
      </c>
      <c r="M12311" t="s">
        <v>14021</v>
      </c>
      <c r="N12311" t="s">
        <v>14022</v>
      </c>
      <c r="O12311" t="s">
        <v>14023</v>
      </c>
      <c r="P12311" t="s">
        <v>14024</v>
      </c>
      <c r="Q12311" t="s">
        <v>14025</v>
      </c>
      <c r="R12311" t="s">
        <v>14026</v>
      </c>
      <c r="S12311" t="s">
        <v>14027</v>
      </c>
      <c r="T12311" t="s">
        <v>14028</v>
      </c>
      <c r="U12311" t="s">
        <v>14029</v>
      </c>
      <c r="V12311" t="s">
        <v>14030</v>
      </c>
      <c r="W12311" t="s">
        <v>14031</v>
      </c>
      <c r="X12311" t="s">
        <v>14032</v>
      </c>
      <c r="Y12311" t="s">
        <v>14033</v>
      </c>
      <c r="Z12311" t="s">
        <v>14034</v>
      </c>
      <c r="AA12311" t="s">
        <v>14035</v>
      </c>
      <c r="AB12311" t="s">
        <v>14036</v>
      </c>
    </row>
    <row r="12312" spans="1:67" x14ac:dyDescent="0.3">
      <c r="A12312" s="160">
        <v>94004</v>
      </c>
      <c r="B12312" t="s">
        <v>27191</v>
      </c>
      <c r="C12312" t="s">
        <v>176</v>
      </c>
      <c r="D12312">
        <v>3.2</v>
      </c>
      <c r="E12312">
        <v>0</v>
      </c>
      <c r="F12312">
        <f t="shared" si="223"/>
        <v>3.2</v>
      </c>
      <c r="G12312">
        <v>1</v>
      </c>
      <c r="H12312">
        <f t="shared" si="222"/>
        <v>3.2</v>
      </c>
      <c r="I12312">
        <v>20240201</v>
      </c>
      <c r="J12312" t="s">
        <v>14037</v>
      </c>
      <c r="K12312" t="s">
        <v>14038</v>
      </c>
      <c r="L12312" t="s">
        <v>14039</v>
      </c>
      <c r="M12312" t="s">
        <v>14040</v>
      </c>
      <c r="N12312" t="s">
        <v>14041</v>
      </c>
      <c r="O12312" t="s">
        <v>14042</v>
      </c>
    </row>
    <row r="12313" spans="1:67" x14ac:dyDescent="0.3">
      <c r="A12313" s="160">
        <v>94011</v>
      </c>
      <c r="B12313" t="s">
        <v>27192</v>
      </c>
      <c r="C12313" t="s">
        <v>176</v>
      </c>
      <c r="D12313">
        <v>3.2</v>
      </c>
      <c r="E12313">
        <v>0</v>
      </c>
      <c r="F12313">
        <f t="shared" si="223"/>
        <v>3.2</v>
      </c>
      <c r="G12313">
        <v>1</v>
      </c>
      <c r="H12313">
        <f t="shared" si="222"/>
        <v>3.2</v>
      </c>
      <c r="I12313">
        <v>20240201</v>
      </c>
      <c r="J12313" t="s">
        <v>14043</v>
      </c>
      <c r="K12313" t="s">
        <v>14044</v>
      </c>
      <c r="L12313" t="s">
        <v>14045</v>
      </c>
      <c r="M12313" t="s">
        <v>14046</v>
      </c>
      <c r="N12313" t="s">
        <v>14047</v>
      </c>
      <c r="O12313" t="s">
        <v>14048</v>
      </c>
      <c r="P12313" t="s">
        <v>14049</v>
      </c>
      <c r="Q12313" t="s">
        <v>14050</v>
      </c>
      <c r="R12313" t="s">
        <v>14051</v>
      </c>
      <c r="S12313" t="s">
        <v>14052</v>
      </c>
      <c r="T12313" t="s">
        <v>14053</v>
      </c>
      <c r="U12313" t="s">
        <v>14054</v>
      </c>
      <c r="V12313" t="s">
        <v>14055</v>
      </c>
      <c r="W12313" t="s">
        <v>14056</v>
      </c>
      <c r="X12313" t="s">
        <v>14057</v>
      </c>
      <c r="Y12313" t="s">
        <v>14058</v>
      </c>
      <c r="Z12313" t="s">
        <v>14059</v>
      </c>
    </row>
    <row r="12314" spans="1:67" x14ac:dyDescent="0.3">
      <c r="A12314" s="160">
        <v>94015</v>
      </c>
      <c r="B12314" t="s">
        <v>27193</v>
      </c>
      <c r="C12314" t="s">
        <v>176</v>
      </c>
      <c r="D12314">
        <v>3.2</v>
      </c>
      <c r="E12314">
        <v>0</v>
      </c>
      <c r="F12314">
        <f t="shared" si="223"/>
        <v>3.2</v>
      </c>
      <c r="G12314">
        <v>1</v>
      </c>
      <c r="H12314">
        <f t="shared" si="222"/>
        <v>3.2</v>
      </c>
      <c r="I12314">
        <v>20240201</v>
      </c>
      <c r="J12314" t="s">
        <v>14060</v>
      </c>
      <c r="K12314" t="s">
        <v>14061</v>
      </c>
      <c r="L12314" t="s">
        <v>14062</v>
      </c>
      <c r="M12314" t="s">
        <v>14063</v>
      </c>
      <c r="N12314" t="s">
        <v>14064</v>
      </c>
      <c r="O12314" t="s">
        <v>14065</v>
      </c>
    </row>
    <row r="12315" spans="1:67" x14ac:dyDescent="0.3">
      <c r="A12315" s="160">
        <v>94016</v>
      </c>
      <c r="B12315" t="s">
        <v>27194</v>
      </c>
      <c r="C12315" t="s">
        <v>176</v>
      </c>
      <c r="D12315">
        <v>3.2</v>
      </c>
      <c r="E12315">
        <v>0</v>
      </c>
      <c r="F12315">
        <f t="shared" si="223"/>
        <v>3.2</v>
      </c>
      <c r="G12315">
        <v>1</v>
      </c>
      <c r="H12315">
        <f t="shared" si="222"/>
        <v>3.2</v>
      </c>
      <c r="I12315">
        <v>20240201</v>
      </c>
      <c r="J12315" t="s">
        <v>14066</v>
      </c>
      <c r="K12315" t="s">
        <v>14067</v>
      </c>
      <c r="L12315" t="s">
        <v>14068</v>
      </c>
      <c r="M12315" t="s">
        <v>14027</v>
      </c>
      <c r="N12315" t="s">
        <v>14069</v>
      </c>
      <c r="O12315" t="s">
        <v>14070</v>
      </c>
      <c r="P12315" t="s">
        <v>14071</v>
      </c>
      <c r="Q12315" t="s">
        <v>14072</v>
      </c>
    </row>
    <row r="12316" spans="1:67" x14ac:dyDescent="0.3">
      <c r="A12316" s="160">
        <v>94017</v>
      </c>
      <c r="B12316" t="s">
        <v>27195</v>
      </c>
      <c r="C12316" t="s">
        <v>176</v>
      </c>
      <c r="D12316">
        <v>3.2</v>
      </c>
      <c r="E12316">
        <v>0</v>
      </c>
      <c r="F12316">
        <f t="shared" si="223"/>
        <v>3.2</v>
      </c>
      <c r="G12316">
        <v>1</v>
      </c>
      <c r="H12316">
        <f t="shared" si="222"/>
        <v>3.2</v>
      </c>
      <c r="I12316">
        <v>20240201</v>
      </c>
      <c r="J12316" t="s">
        <v>14073</v>
      </c>
      <c r="K12316" t="s">
        <v>14074</v>
      </c>
      <c r="L12316" t="s">
        <v>14075</v>
      </c>
      <c r="M12316" t="s">
        <v>14076</v>
      </c>
      <c r="N12316" t="s">
        <v>14077</v>
      </c>
      <c r="O12316" t="s">
        <v>14078</v>
      </c>
      <c r="P12316" t="s">
        <v>14079</v>
      </c>
      <c r="Q12316" t="s">
        <v>14080</v>
      </c>
      <c r="R12316" t="s">
        <v>14081</v>
      </c>
      <c r="S12316" t="s">
        <v>14082</v>
      </c>
    </row>
    <row r="12317" spans="1:67" x14ac:dyDescent="0.3">
      <c r="A12317" s="160">
        <v>94018</v>
      </c>
      <c r="B12317" t="s">
        <v>27196</v>
      </c>
      <c r="C12317" t="s">
        <v>176</v>
      </c>
      <c r="D12317">
        <v>3.2</v>
      </c>
      <c r="E12317">
        <v>0</v>
      </c>
      <c r="F12317">
        <f t="shared" si="223"/>
        <v>3.2</v>
      </c>
      <c r="G12317">
        <v>1</v>
      </c>
      <c r="H12317">
        <f t="shared" si="222"/>
        <v>3.2</v>
      </c>
      <c r="I12317">
        <v>20240201</v>
      </c>
      <c r="J12317" t="s">
        <v>14083</v>
      </c>
      <c r="K12317" t="s">
        <v>14084</v>
      </c>
      <c r="L12317" t="s">
        <v>14085</v>
      </c>
      <c r="M12317" t="s">
        <v>14086</v>
      </c>
      <c r="N12317" t="s">
        <v>14087</v>
      </c>
      <c r="O12317" t="s">
        <v>14088</v>
      </c>
      <c r="P12317" t="s">
        <v>14089</v>
      </c>
      <c r="Q12317" t="s">
        <v>14090</v>
      </c>
      <c r="R12317" t="s">
        <v>14091</v>
      </c>
      <c r="S12317" t="s">
        <v>14092</v>
      </c>
      <c r="T12317" t="s">
        <v>14093</v>
      </c>
      <c r="U12317" t="s">
        <v>14094</v>
      </c>
      <c r="V12317" t="s">
        <v>14095</v>
      </c>
      <c r="W12317" t="s">
        <v>14096</v>
      </c>
    </row>
    <row r="12318" spans="1:67" x14ac:dyDescent="0.3">
      <c r="A12318" s="160">
        <v>94019</v>
      </c>
      <c r="B12318" t="s">
        <v>27197</v>
      </c>
      <c r="C12318" t="s">
        <v>176</v>
      </c>
      <c r="D12318">
        <v>3.2</v>
      </c>
      <c r="E12318">
        <v>0</v>
      </c>
      <c r="F12318">
        <f t="shared" si="223"/>
        <v>3.2</v>
      </c>
      <c r="G12318">
        <v>1</v>
      </c>
      <c r="H12318">
        <f t="shared" si="222"/>
        <v>3.2</v>
      </c>
      <c r="I12318">
        <v>20240201</v>
      </c>
      <c r="J12318" t="s">
        <v>14097</v>
      </c>
      <c r="K12318" t="s">
        <v>14098</v>
      </c>
      <c r="L12318" t="s">
        <v>14099</v>
      </c>
      <c r="M12318" t="s">
        <v>14100</v>
      </c>
      <c r="N12318" t="s">
        <v>14101</v>
      </c>
      <c r="O12318" t="s">
        <v>14102</v>
      </c>
      <c r="P12318" t="s">
        <v>14103</v>
      </c>
      <c r="Q12318" t="s">
        <v>14104</v>
      </c>
      <c r="R12318" t="s">
        <v>14105</v>
      </c>
    </row>
    <row r="12319" spans="1:67" x14ac:dyDescent="0.3">
      <c r="A12319" s="160">
        <v>94021</v>
      </c>
      <c r="B12319" t="s">
        <v>27198</v>
      </c>
      <c r="C12319" t="s">
        <v>176</v>
      </c>
      <c r="D12319">
        <v>3.2</v>
      </c>
      <c r="E12319">
        <v>0</v>
      </c>
      <c r="F12319">
        <f t="shared" si="223"/>
        <v>3.2</v>
      </c>
      <c r="G12319">
        <v>1</v>
      </c>
      <c r="H12319">
        <f t="shared" si="222"/>
        <v>3.2</v>
      </c>
      <c r="I12319">
        <v>20240201</v>
      </c>
      <c r="J12319" t="s">
        <v>14106</v>
      </c>
      <c r="K12319" t="s">
        <v>14107</v>
      </c>
      <c r="L12319" t="s">
        <v>14108</v>
      </c>
      <c r="M12319" t="s">
        <v>14109</v>
      </c>
      <c r="N12319" t="s">
        <v>14110</v>
      </c>
      <c r="O12319" t="s">
        <v>14111</v>
      </c>
      <c r="P12319" t="s">
        <v>14112</v>
      </c>
      <c r="Q12319" t="s">
        <v>14113</v>
      </c>
      <c r="R12319" t="s">
        <v>14114</v>
      </c>
      <c r="S12319" t="s">
        <v>14115</v>
      </c>
      <c r="T12319" t="s">
        <v>14116</v>
      </c>
      <c r="U12319" t="s">
        <v>14117</v>
      </c>
      <c r="V12319" t="s">
        <v>14118</v>
      </c>
      <c r="W12319" t="s">
        <v>14119</v>
      </c>
      <c r="X12319" t="s">
        <v>12898</v>
      </c>
      <c r="Y12319" t="s">
        <v>14120</v>
      </c>
      <c r="Z12319" t="s">
        <v>14121</v>
      </c>
      <c r="AA12319" t="s">
        <v>14122</v>
      </c>
      <c r="AB12319" t="s">
        <v>14123</v>
      </c>
      <c r="AC12319" t="s">
        <v>14124</v>
      </c>
      <c r="AD12319" t="s">
        <v>14125</v>
      </c>
      <c r="AE12319" t="s">
        <v>14126</v>
      </c>
      <c r="AF12319" t="s">
        <v>14127</v>
      </c>
      <c r="AG12319" t="s">
        <v>14128</v>
      </c>
      <c r="AH12319" t="s">
        <v>14129</v>
      </c>
      <c r="AI12319" t="s">
        <v>14130</v>
      </c>
      <c r="AJ12319" t="s">
        <v>14131</v>
      </c>
      <c r="AK12319" t="s">
        <v>14132</v>
      </c>
      <c r="AL12319" t="s">
        <v>14133</v>
      </c>
      <c r="AM12319" t="s">
        <v>14134</v>
      </c>
      <c r="AN12319" t="s">
        <v>14135</v>
      </c>
      <c r="AO12319" t="s">
        <v>14136</v>
      </c>
      <c r="AP12319" t="s">
        <v>14137</v>
      </c>
      <c r="AQ12319" t="s">
        <v>14138</v>
      </c>
      <c r="AR12319" t="s">
        <v>14139</v>
      </c>
      <c r="AS12319" t="s">
        <v>14140</v>
      </c>
      <c r="AT12319" t="s">
        <v>14141</v>
      </c>
      <c r="AU12319" t="s">
        <v>14142</v>
      </c>
      <c r="AV12319" t="s">
        <v>14143</v>
      </c>
      <c r="AW12319" t="s">
        <v>14144</v>
      </c>
      <c r="AX12319" t="s">
        <v>14145</v>
      </c>
      <c r="AY12319" t="s">
        <v>14146</v>
      </c>
      <c r="AZ12319" t="s">
        <v>14147</v>
      </c>
      <c r="BA12319" t="s">
        <v>14148</v>
      </c>
      <c r="BB12319" t="s">
        <v>14149</v>
      </c>
      <c r="BC12319" t="s">
        <v>14150</v>
      </c>
      <c r="BD12319" t="s">
        <v>14151</v>
      </c>
      <c r="BE12319" t="s">
        <v>14152</v>
      </c>
      <c r="BF12319" t="s">
        <v>14153</v>
      </c>
      <c r="BG12319" t="s">
        <v>14154</v>
      </c>
      <c r="BH12319" t="s">
        <v>14155</v>
      </c>
      <c r="BI12319" t="s">
        <v>14156</v>
      </c>
      <c r="BJ12319" t="s">
        <v>14157</v>
      </c>
      <c r="BK12319" t="s">
        <v>14158</v>
      </c>
      <c r="BL12319" t="s">
        <v>14159</v>
      </c>
      <c r="BM12319" t="s">
        <v>14160</v>
      </c>
      <c r="BN12319" t="s">
        <v>14161</v>
      </c>
      <c r="BO12319" t="s">
        <v>14162</v>
      </c>
    </row>
    <row r="12320" spans="1:67" x14ac:dyDescent="0.3">
      <c r="A12320" s="160">
        <v>94022</v>
      </c>
      <c r="B12320" t="s">
        <v>27199</v>
      </c>
      <c r="C12320" t="s">
        <v>176</v>
      </c>
      <c r="D12320">
        <v>3.2</v>
      </c>
      <c r="E12320">
        <v>0</v>
      </c>
      <c r="F12320">
        <f t="shared" si="223"/>
        <v>3.2</v>
      </c>
      <c r="G12320">
        <v>1</v>
      </c>
      <c r="H12320">
        <f t="shared" si="222"/>
        <v>3.2</v>
      </c>
      <c r="I12320">
        <v>20240201</v>
      </c>
      <c r="J12320" t="s">
        <v>14164</v>
      </c>
      <c r="K12320" t="s">
        <v>14165</v>
      </c>
      <c r="L12320" t="s">
        <v>14166</v>
      </c>
      <c r="M12320" t="s">
        <v>14167</v>
      </c>
    </row>
    <row r="12321" spans="1:66" x14ac:dyDescent="0.3">
      <c r="A12321" s="160">
        <v>94028</v>
      </c>
      <c r="B12321" t="s">
        <v>27200</v>
      </c>
      <c r="C12321" t="s">
        <v>176</v>
      </c>
      <c r="D12321">
        <v>3.2</v>
      </c>
      <c r="E12321">
        <v>0</v>
      </c>
      <c r="F12321">
        <f t="shared" si="223"/>
        <v>3.2</v>
      </c>
      <c r="G12321">
        <v>1</v>
      </c>
      <c r="H12321">
        <f t="shared" si="222"/>
        <v>3.2</v>
      </c>
      <c r="I12321">
        <v>20240201</v>
      </c>
      <c r="J12321" t="s">
        <v>14168</v>
      </c>
      <c r="K12321" t="s">
        <v>14043</v>
      </c>
      <c r="L12321" t="s">
        <v>14044</v>
      </c>
      <c r="M12321" t="s">
        <v>14169</v>
      </c>
      <c r="N12321" t="s">
        <v>14170</v>
      </c>
      <c r="O12321" t="s">
        <v>14171</v>
      </c>
      <c r="P12321" t="s">
        <v>14172</v>
      </c>
      <c r="Q12321" t="s">
        <v>14173</v>
      </c>
      <c r="R12321" t="s">
        <v>14174</v>
      </c>
      <c r="S12321" t="s">
        <v>14175</v>
      </c>
      <c r="T12321" t="s">
        <v>14176</v>
      </c>
      <c r="U12321" t="s">
        <v>14177</v>
      </c>
      <c r="V12321" t="s">
        <v>14178</v>
      </c>
      <c r="W12321" t="s">
        <v>14179</v>
      </c>
      <c r="X12321" t="s">
        <v>14180</v>
      </c>
      <c r="Y12321" t="s">
        <v>14181</v>
      </c>
      <c r="Z12321" t="s">
        <v>14182</v>
      </c>
      <c r="AA12321" t="s">
        <v>14183</v>
      </c>
      <c r="AB12321" t="s">
        <v>14184</v>
      </c>
      <c r="AC12321" t="s">
        <v>14185</v>
      </c>
      <c r="AD12321" t="s">
        <v>14186</v>
      </c>
      <c r="AE12321" t="s">
        <v>14187</v>
      </c>
      <c r="AF12321" t="s">
        <v>14188</v>
      </c>
      <c r="AG12321" t="s">
        <v>14189</v>
      </c>
      <c r="AH12321" t="s">
        <v>14190</v>
      </c>
      <c r="AI12321" t="s">
        <v>14191</v>
      </c>
      <c r="AJ12321" t="s">
        <v>14192</v>
      </c>
      <c r="AK12321" t="s">
        <v>14193</v>
      </c>
      <c r="AL12321" t="s">
        <v>14194</v>
      </c>
      <c r="AM12321" t="s">
        <v>14195</v>
      </c>
      <c r="AN12321" t="s">
        <v>14196</v>
      </c>
      <c r="AO12321" t="s">
        <v>14197</v>
      </c>
      <c r="AP12321" t="s">
        <v>14198</v>
      </c>
      <c r="AQ12321" t="s">
        <v>14199</v>
      </c>
      <c r="AR12321" t="s">
        <v>14200</v>
      </c>
      <c r="AS12321" t="s">
        <v>14201</v>
      </c>
      <c r="AT12321" t="s">
        <v>14202</v>
      </c>
      <c r="AU12321" t="s">
        <v>14203</v>
      </c>
      <c r="AV12321" t="s">
        <v>14204</v>
      </c>
      <c r="AW12321" t="s">
        <v>14205</v>
      </c>
      <c r="AX12321" t="s">
        <v>14206</v>
      </c>
      <c r="AY12321" t="s">
        <v>14207</v>
      </c>
      <c r="AZ12321" t="s">
        <v>14208</v>
      </c>
      <c r="BA12321" t="s">
        <v>14209</v>
      </c>
      <c r="BB12321" t="s">
        <v>14210</v>
      </c>
      <c r="BC12321" t="s">
        <v>14211</v>
      </c>
      <c r="BD12321" t="s">
        <v>14212</v>
      </c>
      <c r="BE12321" t="s">
        <v>14213</v>
      </c>
      <c r="BF12321" t="s">
        <v>14214</v>
      </c>
      <c r="BG12321" t="s">
        <v>14215</v>
      </c>
      <c r="BH12321" t="s">
        <v>14216</v>
      </c>
      <c r="BI12321" t="s">
        <v>14217</v>
      </c>
      <c r="BJ12321" t="s">
        <v>14218</v>
      </c>
      <c r="BK12321" t="s">
        <v>14219</v>
      </c>
      <c r="BL12321" t="s">
        <v>14220</v>
      </c>
      <c r="BM12321" t="s">
        <v>14221</v>
      </c>
      <c r="BN12321" t="s">
        <v>14222</v>
      </c>
    </row>
    <row r="12322" spans="1:66" x14ac:dyDescent="0.3">
      <c r="A12322" s="160">
        <v>94033</v>
      </c>
      <c r="B12322" t="s">
        <v>27201</v>
      </c>
      <c r="C12322" t="s">
        <v>176</v>
      </c>
      <c r="D12322">
        <v>3.2</v>
      </c>
      <c r="E12322">
        <v>0</v>
      </c>
      <c r="F12322">
        <f t="shared" si="223"/>
        <v>3.2</v>
      </c>
      <c r="G12322">
        <v>1</v>
      </c>
      <c r="H12322">
        <f t="shared" si="222"/>
        <v>3.2</v>
      </c>
      <c r="I12322">
        <v>20240201</v>
      </c>
      <c r="J12322" t="s">
        <v>14223</v>
      </c>
      <c r="K12322" t="s">
        <v>14224</v>
      </c>
      <c r="L12322" t="s">
        <v>14225</v>
      </c>
      <c r="M12322" t="s">
        <v>14226</v>
      </c>
      <c r="N12322" t="s">
        <v>14227</v>
      </c>
      <c r="O12322" t="s">
        <v>14228</v>
      </c>
      <c r="P12322" t="s">
        <v>14229</v>
      </c>
      <c r="Q12322" t="s">
        <v>14230</v>
      </c>
      <c r="R12322" t="s">
        <v>14231</v>
      </c>
      <c r="S12322" t="s">
        <v>14232</v>
      </c>
      <c r="T12322" t="s">
        <v>14233</v>
      </c>
      <c r="U12322" t="s">
        <v>14234</v>
      </c>
      <c r="V12322" t="s">
        <v>14235</v>
      </c>
      <c r="W12322" t="s">
        <v>14236</v>
      </c>
      <c r="X12322" t="s">
        <v>14237</v>
      </c>
      <c r="Y12322" t="s">
        <v>14238</v>
      </c>
      <c r="Z12322" t="s">
        <v>14239</v>
      </c>
      <c r="AA12322" t="s">
        <v>14240</v>
      </c>
      <c r="AB12322" t="s">
        <v>14241</v>
      </c>
      <c r="AC12322" t="s">
        <v>14242</v>
      </c>
      <c r="AD12322" t="s">
        <v>14243</v>
      </c>
      <c r="AE12322" t="s">
        <v>14244</v>
      </c>
      <c r="AF12322" t="s">
        <v>14245</v>
      </c>
      <c r="AG12322" t="s">
        <v>14246</v>
      </c>
      <c r="AH12322" t="s">
        <v>14247</v>
      </c>
    </row>
    <row r="12323" spans="1:66" x14ac:dyDescent="0.3">
      <c r="A12323" s="160">
        <v>94034</v>
      </c>
      <c r="B12323" t="s">
        <v>27202</v>
      </c>
      <c r="C12323" t="s">
        <v>176</v>
      </c>
      <c r="D12323">
        <v>3.2</v>
      </c>
      <c r="E12323">
        <v>0</v>
      </c>
      <c r="F12323">
        <f t="shared" si="223"/>
        <v>3.2</v>
      </c>
      <c r="G12323">
        <v>1</v>
      </c>
      <c r="H12323">
        <f t="shared" si="222"/>
        <v>3.2</v>
      </c>
      <c r="I12323">
        <v>20240201</v>
      </c>
      <c r="J12323" t="s">
        <v>14248</v>
      </c>
      <c r="K12323" t="s">
        <v>14249</v>
      </c>
      <c r="L12323" t="s">
        <v>14250</v>
      </c>
      <c r="M12323" t="s">
        <v>14251</v>
      </c>
      <c r="N12323" t="s">
        <v>14252</v>
      </c>
      <c r="O12323" t="s">
        <v>14253</v>
      </c>
      <c r="P12323" t="s">
        <v>14254</v>
      </c>
      <c r="Q12323" t="s">
        <v>14255</v>
      </c>
      <c r="R12323" t="s">
        <v>14256</v>
      </c>
    </row>
    <row r="12324" spans="1:66" x14ac:dyDescent="0.3">
      <c r="A12324" s="160">
        <v>94037</v>
      </c>
      <c r="B12324" t="s">
        <v>27203</v>
      </c>
      <c r="C12324" t="s">
        <v>176</v>
      </c>
      <c r="D12324">
        <v>3.2</v>
      </c>
      <c r="E12324">
        <v>0</v>
      </c>
      <c r="F12324">
        <f t="shared" si="223"/>
        <v>3.2</v>
      </c>
      <c r="G12324">
        <v>1</v>
      </c>
      <c r="H12324">
        <f t="shared" si="222"/>
        <v>3.2</v>
      </c>
      <c r="I12324">
        <v>20240201</v>
      </c>
      <c r="J12324" t="s">
        <v>14020</v>
      </c>
      <c r="K12324" t="s">
        <v>14024</v>
      </c>
      <c r="L12324" t="s">
        <v>14257</v>
      </c>
      <c r="M12324" t="s">
        <v>14258</v>
      </c>
      <c r="N12324" t="s">
        <v>14028</v>
      </c>
      <c r="O12324" t="s">
        <v>14259</v>
      </c>
      <c r="P12324" t="s">
        <v>14260</v>
      </c>
      <c r="Q12324" t="s">
        <v>14261</v>
      </c>
      <c r="R12324" t="s">
        <v>14262</v>
      </c>
      <c r="S12324" t="s">
        <v>14029</v>
      </c>
      <c r="T12324" t="s">
        <v>14263</v>
      </c>
      <c r="U12324" t="s">
        <v>14264</v>
      </c>
      <c r="V12324" t="s">
        <v>14034</v>
      </c>
    </row>
    <row r="12325" spans="1:66" x14ac:dyDescent="0.3">
      <c r="A12325" s="160">
        <v>94038</v>
      </c>
      <c r="B12325" t="s">
        <v>27204</v>
      </c>
      <c r="C12325" t="s">
        <v>176</v>
      </c>
      <c r="D12325">
        <v>3.2</v>
      </c>
      <c r="E12325">
        <v>0</v>
      </c>
      <c r="F12325">
        <f t="shared" si="223"/>
        <v>3.2</v>
      </c>
      <c r="G12325">
        <v>1</v>
      </c>
      <c r="H12325">
        <f t="shared" si="222"/>
        <v>3.2</v>
      </c>
      <c r="I12325">
        <v>20240201</v>
      </c>
      <c r="J12325" t="s">
        <v>14265</v>
      </c>
      <c r="K12325" t="s">
        <v>14266</v>
      </c>
      <c r="L12325" t="s">
        <v>14267</v>
      </c>
      <c r="M12325" t="s">
        <v>14268</v>
      </c>
      <c r="N12325" t="s">
        <v>14269</v>
      </c>
      <c r="O12325" t="s">
        <v>14270</v>
      </c>
      <c r="P12325" t="s">
        <v>14271</v>
      </c>
    </row>
    <row r="12326" spans="1:66" x14ac:dyDescent="0.3">
      <c r="A12326" s="160">
        <v>94041</v>
      </c>
      <c r="B12326" t="s">
        <v>27205</v>
      </c>
      <c r="C12326" t="s">
        <v>176</v>
      </c>
      <c r="D12326">
        <v>3.2</v>
      </c>
      <c r="E12326">
        <v>0</v>
      </c>
      <c r="F12326">
        <f t="shared" si="223"/>
        <v>3.2</v>
      </c>
      <c r="G12326">
        <v>1</v>
      </c>
      <c r="H12326">
        <f t="shared" si="222"/>
        <v>3.2</v>
      </c>
      <c r="I12326">
        <v>20240201</v>
      </c>
      <c r="J12326" t="s">
        <v>14272</v>
      </c>
      <c r="K12326" t="s">
        <v>14273</v>
      </c>
      <c r="L12326" t="s">
        <v>14274</v>
      </c>
      <c r="M12326" t="s">
        <v>14275</v>
      </c>
      <c r="N12326" t="s">
        <v>13072</v>
      </c>
      <c r="O12326" t="s">
        <v>14276</v>
      </c>
      <c r="P12326" t="s">
        <v>14277</v>
      </c>
      <c r="Q12326" t="s">
        <v>14278</v>
      </c>
      <c r="R12326" t="s">
        <v>14279</v>
      </c>
      <c r="S12326" t="s">
        <v>14280</v>
      </c>
      <c r="T12326" t="s">
        <v>14281</v>
      </c>
      <c r="U12326" t="s">
        <v>14282</v>
      </c>
      <c r="V12326" t="s">
        <v>14283</v>
      </c>
      <c r="W12326" t="s">
        <v>14284</v>
      </c>
      <c r="X12326" t="s">
        <v>14285</v>
      </c>
      <c r="Y12326" t="s">
        <v>14286</v>
      </c>
      <c r="Z12326" t="s">
        <v>14287</v>
      </c>
      <c r="AA12326" t="s">
        <v>14288</v>
      </c>
      <c r="AB12326" t="s">
        <v>14017</v>
      </c>
      <c r="AC12326" t="s">
        <v>14289</v>
      </c>
      <c r="AD12326" t="s">
        <v>14290</v>
      </c>
      <c r="AE12326" t="s">
        <v>14291</v>
      </c>
      <c r="AF12326" t="s">
        <v>14292</v>
      </c>
    </row>
    <row r="12327" spans="1:66" x14ac:dyDescent="0.3">
      <c r="A12327" s="160">
        <v>94042</v>
      </c>
      <c r="B12327" t="s">
        <v>27206</v>
      </c>
      <c r="C12327" t="s">
        <v>176</v>
      </c>
      <c r="D12327">
        <v>3.2</v>
      </c>
      <c r="E12327">
        <v>0</v>
      </c>
      <c r="F12327">
        <f t="shared" si="223"/>
        <v>3.2</v>
      </c>
      <c r="G12327">
        <v>1</v>
      </c>
      <c r="H12327">
        <f t="shared" si="222"/>
        <v>3.2</v>
      </c>
      <c r="I12327">
        <v>20240201</v>
      </c>
      <c r="J12327" t="s">
        <v>14293</v>
      </c>
      <c r="K12327" t="s">
        <v>14294</v>
      </c>
      <c r="L12327" t="s">
        <v>14295</v>
      </c>
      <c r="M12327" t="s">
        <v>14296</v>
      </c>
      <c r="N12327" t="s">
        <v>14297</v>
      </c>
    </row>
    <row r="12328" spans="1:66" x14ac:dyDescent="0.3">
      <c r="A12328" s="160">
        <v>94043</v>
      </c>
      <c r="B12328" t="s">
        <v>27207</v>
      </c>
      <c r="C12328" t="s">
        <v>176</v>
      </c>
      <c r="D12328">
        <v>3.2</v>
      </c>
      <c r="E12328">
        <v>0</v>
      </c>
      <c r="F12328">
        <f t="shared" si="223"/>
        <v>3.2</v>
      </c>
      <c r="G12328">
        <v>1</v>
      </c>
      <c r="H12328">
        <f t="shared" si="222"/>
        <v>3.2</v>
      </c>
      <c r="I12328">
        <v>20240201</v>
      </c>
      <c r="J12328" t="s">
        <v>14298</v>
      </c>
      <c r="K12328" t="s">
        <v>14264</v>
      </c>
      <c r="L12328" t="s">
        <v>14299</v>
      </c>
      <c r="M12328" t="s">
        <v>14300</v>
      </c>
      <c r="N12328" t="s">
        <v>14301</v>
      </c>
      <c r="O12328" t="s">
        <v>14302</v>
      </c>
      <c r="P12328" t="s">
        <v>14074</v>
      </c>
      <c r="Q12328" t="s">
        <v>14303</v>
      </c>
      <c r="R12328" t="s">
        <v>14304</v>
      </c>
      <c r="S12328" t="s">
        <v>14305</v>
      </c>
      <c r="T12328" t="s">
        <v>14306</v>
      </c>
    </row>
    <row r="12329" spans="1:66" x14ac:dyDescent="0.3">
      <c r="A12329" s="160">
        <v>94044</v>
      </c>
      <c r="B12329" t="s">
        <v>27208</v>
      </c>
      <c r="C12329" t="s">
        <v>176</v>
      </c>
      <c r="D12329">
        <v>3.2</v>
      </c>
      <c r="E12329">
        <v>0</v>
      </c>
      <c r="F12329">
        <f t="shared" si="223"/>
        <v>3.2</v>
      </c>
      <c r="G12329">
        <v>1</v>
      </c>
      <c r="H12329">
        <f t="shared" si="222"/>
        <v>3.2</v>
      </c>
      <c r="I12329">
        <v>20240201</v>
      </c>
      <c r="J12329" t="s">
        <v>14307</v>
      </c>
      <c r="K12329" t="s">
        <v>14308</v>
      </c>
      <c r="L12329" t="s">
        <v>14309</v>
      </c>
      <c r="M12329" t="s">
        <v>14310</v>
      </c>
      <c r="N12329" t="s">
        <v>14311</v>
      </c>
      <c r="O12329" t="s">
        <v>14312</v>
      </c>
      <c r="P12329" t="s">
        <v>14038</v>
      </c>
      <c r="Q12329" t="s">
        <v>14040</v>
      </c>
      <c r="R12329" t="s">
        <v>14041</v>
      </c>
    </row>
    <row r="12330" spans="1:66" x14ac:dyDescent="0.3">
      <c r="A12330" s="160">
        <v>94046</v>
      </c>
      <c r="B12330" t="s">
        <v>27209</v>
      </c>
      <c r="C12330" t="s">
        <v>176</v>
      </c>
      <c r="D12330">
        <v>3.2</v>
      </c>
      <c r="E12330">
        <v>0</v>
      </c>
      <c r="F12330">
        <f t="shared" si="223"/>
        <v>3.2</v>
      </c>
      <c r="G12330">
        <v>1</v>
      </c>
      <c r="H12330">
        <f t="shared" si="222"/>
        <v>3.2</v>
      </c>
      <c r="I12330">
        <v>20240201</v>
      </c>
      <c r="J12330" t="s">
        <v>14313</v>
      </c>
      <c r="K12330" t="s">
        <v>14314</v>
      </c>
      <c r="L12330" t="s">
        <v>14315</v>
      </c>
      <c r="M12330" t="s">
        <v>14316</v>
      </c>
      <c r="N12330" t="s">
        <v>14317</v>
      </c>
      <c r="O12330" t="s">
        <v>14318</v>
      </c>
      <c r="P12330" t="s">
        <v>14319</v>
      </c>
      <c r="Q12330" t="s">
        <v>14320</v>
      </c>
      <c r="R12330" t="s">
        <v>14321</v>
      </c>
      <c r="S12330" t="s">
        <v>14322</v>
      </c>
      <c r="T12330" t="s">
        <v>14323</v>
      </c>
      <c r="U12330" t="s">
        <v>14324</v>
      </c>
    </row>
    <row r="12331" spans="1:66" x14ac:dyDescent="0.3">
      <c r="A12331" s="160">
        <v>94047</v>
      </c>
      <c r="B12331" t="s">
        <v>27210</v>
      </c>
      <c r="C12331" t="s">
        <v>176</v>
      </c>
      <c r="D12331">
        <v>3.2</v>
      </c>
      <c r="E12331">
        <v>0</v>
      </c>
      <c r="F12331">
        <f t="shared" si="223"/>
        <v>3.2</v>
      </c>
      <c r="G12331">
        <v>1</v>
      </c>
      <c r="H12331">
        <f t="shared" si="222"/>
        <v>3.2</v>
      </c>
      <c r="I12331">
        <v>20240201</v>
      </c>
      <c r="J12331" t="s">
        <v>14325</v>
      </c>
    </row>
    <row r="12332" spans="1:66" x14ac:dyDescent="0.3">
      <c r="A12332" s="160">
        <v>94048</v>
      </c>
      <c r="B12332" t="s">
        <v>25728</v>
      </c>
      <c r="C12332" t="s">
        <v>176</v>
      </c>
      <c r="D12332">
        <v>3.2</v>
      </c>
      <c r="E12332">
        <v>0</v>
      </c>
      <c r="F12332">
        <f t="shared" si="223"/>
        <v>3.2</v>
      </c>
      <c r="G12332">
        <v>1</v>
      </c>
      <c r="H12332">
        <f t="shared" si="222"/>
        <v>3.2</v>
      </c>
      <c r="I12332">
        <v>20240201</v>
      </c>
      <c r="J12332" t="s">
        <v>14326</v>
      </c>
    </row>
    <row r="12333" spans="1:66" x14ac:dyDescent="0.3">
      <c r="A12333" s="160">
        <v>94052</v>
      </c>
      <c r="B12333" t="s">
        <v>27211</v>
      </c>
      <c r="C12333" t="s">
        <v>176</v>
      </c>
      <c r="D12333">
        <v>3.2</v>
      </c>
      <c r="E12333">
        <v>0</v>
      </c>
      <c r="F12333">
        <f t="shared" si="223"/>
        <v>3.2</v>
      </c>
      <c r="G12333">
        <v>1</v>
      </c>
      <c r="H12333">
        <f t="shared" si="222"/>
        <v>3.2</v>
      </c>
      <c r="I12333">
        <v>20240201</v>
      </c>
      <c r="J12333" t="s">
        <v>14327</v>
      </c>
      <c r="K12333" t="s">
        <v>14328</v>
      </c>
      <c r="L12333" t="s">
        <v>14329</v>
      </c>
      <c r="M12333" t="s">
        <v>14330</v>
      </c>
      <c r="N12333" t="s">
        <v>14331</v>
      </c>
      <c r="O12333" t="s">
        <v>14332</v>
      </c>
      <c r="P12333" t="s">
        <v>14333</v>
      </c>
      <c r="Q12333" t="s">
        <v>14334</v>
      </c>
    </row>
    <row r="12334" spans="1:66" x14ac:dyDescent="0.3">
      <c r="A12334" s="160">
        <v>94053</v>
      </c>
      <c r="B12334" t="s">
        <v>27212</v>
      </c>
      <c r="C12334" t="s">
        <v>176</v>
      </c>
      <c r="D12334">
        <v>3.2</v>
      </c>
      <c r="E12334">
        <v>0</v>
      </c>
      <c r="F12334">
        <f t="shared" si="223"/>
        <v>3.2</v>
      </c>
      <c r="G12334">
        <v>1</v>
      </c>
      <c r="H12334">
        <f t="shared" si="222"/>
        <v>3.2</v>
      </c>
      <c r="I12334">
        <v>20240201</v>
      </c>
      <c r="J12334" t="s">
        <v>14335</v>
      </c>
      <c r="K12334" t="s">
        <v>14336</v>
      </c>
      <c r="L12334" t="s">
        <v>14337</v>
      </c>
      <c r="M12334" t="s">
        <v>14042</v>
      </c>
      <c r="N12334" t="s">
        <v>14338</v>
      </c>
    </row>
    <row r="12335" spans="1:66" x14ac:dyDescent="0.3">
      <c r="A12335" s="160">
        <v>94054</v>
      </c>
      <c r="B12335" t="s">
        <v>27213</v>
      </c>
      <c r="C12335" t="s">
        <v>176</v>
      </c>
      <c r="D12335">
        <v>3.2</v>
      </c>
      <c r="E12335">
        <v>0</v>
      </c>
      <c r="F12335">
        <f t="shared" si="223"/>
        <v>3.2</v>
      </c>
      <c r="G12335">
        <v>1</v>
      </c>
      <c r="H12335">
        <f t="shared" si="222"/>
        <v>3.2</v>
      </c>
      <c r="I12335">
        <v>20240201</v>
      </c>
      <c r="J12335" t="s">
        <v>14339</v>
      </c>
      <c r="K12335" t="s">
        <v>14340</v>
      </c>
      <c r="L12335" t="s">
        <v>14341</v>
      </c>
      <c r="M12335" t="s">
        <v>14342</v>
      </c>
      <c r="N12335" t="s">
        <v>12884</v>
      </c>
      <c r="O12335" t="s">
        <v>12885</v>
      </c>
      <c r="P12335" t="s">
        <v>12886</v>
      </c>
      <c r="Q12335" t="s">
        <v>14343</v>
      </c>
      <c r="R12335" t="s">
        <v>14344</v>
      </c>
      <c r="S12335" t="s">
        <v>14345</v>
      </c>
      <c r="T12335" t="s">
        <v>14346</v>
      </c>
      <c r="U12335" t="s">
        <v>14347</v>
      </c>
      <c r="V12335" t="s">
        <v>14348</v>
      </c>
    </row>
    <row r="12336" spans="1:66" x14ac:dyDescent="0.3">
      <c r="A12336" s="160">
        <v>94055</v>
      </c>
      <c r="B12336" t="s">
        <v>27214</v>
      </c>
      <c r="C12336" t="s">
        <v>176</v>
      </c>
      <c r="D12336">
        <v>3.2</v>
      </c>
      <c r="E12336">
        <v>0</v>
      </c>
      <c r="F12336">
        <f t="shared" si="223"/>
        <v>3.2</v>
      </c>
      <c r="G12336">
        <v>1</v>
      </c>
      <c r="H12336">
        <f t="shared" si="222"/>
        <v>3.2</v>
      </c>
      <c r="I12336">
        <v>20240201</v>
      </c>
      <c r="J12336" t="s">
        <v>14098</v>
      </c>
      <c r="K12336" t="s">
        <v>14103</v>
      </c>
      <c r="L12336" t="s">
        <v>14349</v>
      </c>
    </row>
    <row r="12337" spans="1:100" x14ac:dyDescent="0.3">
      <c r="A12337" s="160">
        <v>94056</v>
      </c>
      <c r="B12337" t="s">
        <v>16784</v>
      </c>
      <c r="C12337" t="s">
        <v>176</v>
      </c>
      <c r="D12337">
        <v>3.2</v>
      </c>
      <c r="E12337">
        <v>0</v>
      </c>
      <c r="F12337">
        <f t="shared" si="223"/>
        <v>3.2</v>
      </c>
      <c r="G12337">
        <v>1</v>
      </c>
      <c r="H12337">
        <f t="shared" si="222"/>
        <v>3.2</v>
      </c>
      <c r="I12337">
        <v>20240201</v>
      </c>
      <c r="J12337" t="s">
        <v>14325</v>
      </c>
    </row>
    <row r="12338" spans="1:100" x14ac:dyDescent="0.3">
      <c r="A12338" s="160">
        <v>94058</v>
      </c>
      <c r="B12338" t="s">
        <v>27215</v>
      </c>
      <c r="C12338" t="s">
        <v>176</v>
      </c>
      <c r="D12338">
        <v>3.2</v>
      </c>
      <c r="E12338">
        <v>0</v>
      </c>
      <c r="F12338">
        <f t="shared" si="223"/>
        <v>3.2</v>
      </c>
      <c r="G12338">
        <v>1</v>
      </c>
      <c r="H12338">
        <f t="shared" si="222"/>
        <v>3.2</v>
      </c>
      <c r="I12338">
        <v>20240201</v>
      </c>
      <c r="J12338" t="s">
        <v>14350</v>
      </c>
      <c r="K12338" t="s">
        <v>14351</v>
      </c>
      <c r="L12338" t="s">
        <v>14352</v>
      </c>
    </row>
    <row r="12339" spans="1:100" x14ac:dyDescent="0.3">
      <c r="A12339" s="160">
        <v>94059</v>
      </c>
      <c r="B12339" t="s">
        <v>27216</v>
      </c>
      <c r="C12339" t="s">
        <v>176</v>
      </c>
      <c r="D12339">
        <v>3.2</v>
      </c>
      <c r="E12339">
        <v>0</v>
      </c>
      <c r="F12339">
        <f t="shared" si="223"/>
        <v>3.2</v>
      </c>
      <c r="G12339">
        <v>1</v>
      </c>
      <c r="H12339">
        <f t="shared" si="222"/>
        <v>3.2</v>
      </c>
      <c r="I12339">
        <v>20240201</v>
      </c>
      <c r="J12339" t="s">
        <v>14353</v>
      </c>
    </row>
    <row r="12340" spans="1:100" x14ac:dyDescent="0.3">
      <c r="A12340" s="160">
        <v>94060</v>
      </c>
      <c r="B12340" t="s">
        <v>27217</v>
      </c>
      <c r="C12340" t="s">
        <v>176</v>
      </c>
      <c r="D12340">
        <v>3.2</v>
      </c>
      <c r="E12340">
        <v>0</v>
      </c>
      <c r="F12340">
        <f t="shared" si="223"/>
        <v>3.2</v>
      </c>
      <c r="G12340">
        <v>1</v>
      </c>
      <c r="H12340">
        <f t="shared" si="222"/>
        <v>3.2</v>
      </c>
      <c r="I12340">
        <v>20240201</v>
      </c>
      <c r="J12340" t="s">
        <v>14354</v>
      </c>
    </row>
    <row r="12341" spans="1:100" x14ac:dyDescent="0.3">
      <c r="A12341" s="160">
        <v>94065</v>
      </c>
      <c r="B12341" t="s">
        <v>27218</v>
      </c>
      <c r="C12341" t="s">
        <v>176</v>
      </c>
      <c r="D12341">
        <v>3.2</v>
      </c>
      <c r="E12341">
        <v>0</v>
      </c>
      <c r="F12341">
        <f t="shared" si="223"/>
        <v>3.2</v>
      </c>
      <c r="G12341">
        <v>1</v>
      </c>
      <c r="H12341">
        <f t="shared" si="222"/>
        <v>3.2</v>
      </c>
      <c r="I12341">
        <v>20240201</v>
      </c>
      <c r="J12341" t="s">
        <v>14355</v>
      </c>
      <c r="K12341" t="s">
        <v>14356</v>
      </c>
      <c r="L12341" t="s">
        <v>14106</v>
      </c>
      <c r="M12341" t="s">
        <v>14107</v>
      </c>
      <c r="N12341" t="s">
        <v>14108</v>
      </c>
      <c r="O12341" t="s">
        <v>14357</v>
      </c>
      <c r="P12341" t="s">
        <v>14358</v>
      </c>
      <c r="Q12341" t="s">
        <v>14359</v>
      </c>
      <c r="R12341" t="s">
        <v>14113</v>
      </c>
      <c r="S12341" t="s">
        <v>14114</v>
      </c>
      <c r="T12341" t="s">
        <v>14360</v>
      </c>
      <c r="U12341" t="s">
        <v>14361</v>
      </c>
      <c r="V12341" t="s">
        <v>14362</v>
      </c>
      <c r="W12341" t="s">
        <v>14363</v>
      </c>
      <c r="X12341" t="s">
        <v>14117</v>
      </c>
      <c r="Y12341" t="s">
        <v>14364</v>
      </c>
      <c r="Z12341" t="s">
        <v>14365</v>
      </c>
      <c r="AA12341" t="s">
        <v>14366</v>
      </c>
      <c r="AB12341" t="s">
        <v>14367</v>
      </c>
      <c r="AC12341" t="s">
        <v>14368</v>
      </c>
      <c r="AD12341" t="s">
        <v>14118</v>
      </c>
      <c r="AE12341" t="s">
        <v>14369</v>
      </c>
      <c r="AF12341" t="s">
        <v>14370</v>
      </c>
      <c r="AG12341" t="s">
        <v>14371</v>
      </c>
      <c r="AH12341" t="s">
        <v>14372</v>
      </c>
      <c r="AI12341" t="s">
        <v>14373</v>
      </c>
      <c r="AJ12341" t="s">
        <v>14121</v>
      </c>
      <c r="AK12341" t="s">
        <v>14374</v>
      </c>
      <c r="AL12341" t="s">
        <v>14123</v>
      </c>
      <c r="AM12341" t="s">
        <v>14375</v>
      </c>
      <c r="AN12341" t="s">
        <v>14127</v>
      </c>
      <c r="AO12341" t="s">
        <v>14376</v>
      </c>
      <c r="AP12341" t="s">
        <v>14377</v>
      </c>
      <c r="AQ12341" t="s">
        <v>14378</v>
      </c>
      <c r="AR12341" t="s">
        <v>14132</v>
      </c>
      <c r="AS12341" t="s">
        <v>14134</v>
      </c>
      <c r="AT12341" t="s">
        <v>14379</v>
      </c>
      <c r="AU12341" t="s">
        <v>14380</v>
      </c>
      <c r="AV12341" t="s">
        <v>14381</v>
      </c>
      <c r="AW12341" t="s">
        <v>14137</v>
      </c>
      <c r="AX12341" t="s">
        <v>14382</v>
      </c>
      <c r="AY12341" t="s">
        <v>14139</v>
      </c>
      <c r="AZ12341" t="s">
        <v>14383</v>
      </c>
      <c r="BA12341" t="s">
        <v>14384</v>
      </c>
      <c r="BB12341" t="s">
        <v>14385</v>
      </c>
      <c r="BC12341" t="s">
        <v>14386</v>
      </c>
      <c r="BD12341" t="s">
        <v>14387</v>
      </c>
      <c r="BE12341" t="s">
        <v>14143</v>
      </c>
      <c r="BF12341" t="s">
        <v>14388</v>
      </c>
      <c r="BG12341" t="s">
        <v>14389</v>
      </c>
      <c r="BH12341" t="s">
        <v>14390</v>
      </c>
      <c r="BI12341" t="s">
        <v>14391</v>
      </c>
      <c r="BJ12341" t="s">
        <v>14392</v>
      </c>
      <c r="BK12341" t="s">
        <v>14393</v>
      </c>
      <c r="BL12341" t="s">
        <v>14394</v>
      </c>
      <c r="BM12341" t="s">
        <v>14395</v>
      </c>
      <c r="BN12341" t="s">
        <v>14396</v>
      </c>
      <c r="BO12341" t="s">
        <v>14160</v>
      </c>
    </row>
    <row r="12342" spans="1:100" x14ac:dyDescent="0.3">
      <c r="A12342" s="160">
        <v>94067</v>
      </c>
      <c r="B12342" t="s">
        <v>27219</v>
      </c>
      <c r="C12342" t="s">
        <v>176</v>
      </c>
      <c r="D12342">
        <v>3.2</v>
      </c>
      <c r="E12342">
        <v>0</v>
      </c>
      <c r="F12342">
        <f t="shared" si="223"/>
        <v>3.2</v>
      </c>
      <c r="G12342">
        <v>1</v>
      </c>
      <c r="H12342">
        <f t="shared" si="222"/>
        <v>3.2</v>
      </c>
      <c r="I12342">
        <v>20240201</v>
      </c>
      <c r="J12342" t="s">
        <v>14402</v>
      </c>
      <c r="K12342" t="s">
        <v>14403</v>
      </c>
      <c r="L12342" t="s">
        <v>14404</v>
      </c>
      <c r="M12342" t="s">
        <v>14405</v>
      </c>
      <c r="N12342" t="s">
        <v>14406</v>
      </c>
      <c r="BP12342" t="s">
        <v>13197</v>
      </c>
      <c r="BQ12342" t="s">
        <v>13198</v>
      </c>
      <c r="BR12342" t="s">
        <v>13199</v>
      </c>
      <c r="BS12342" t="s">
        <v>13200</v>
      </c>
      <c r="BT12342" t="s">
        <v>13201</v>
      </c>
      <c r="BU12342" t="s">
        <v>13202</v>
      </c>
      <c r="BV12342" t="s">
        <v>13203</v>
      </c>
      <c r="BW12342" t="s">
        <v>13204</v>
      </c>
      <c r="BX12342" t="s">
        <v>13205</v>
      </c>
      <c r="BY12342" t="s">
        <v>13206</v>
      </c>
      <c r="BZ12342" t="s">
        <v>13207</v>
      </c>
      <c r="CA12342" t="s">
        <v>13208</v>
      </c>
      <c r="CB12342" t="s">
        <v>13209</v>
      </c>
      <c r="CC12342" t="s">
        <v>13210</v>
      </c>
      <c r="CD12342" t="s">
        <v>13211</v>
      </c>
      <c r="CE12342" t="s">
        <v>13212</v>
      </c>
      <c r="CF12342" t="s">
        <v>13213</v>
      </c>
      <c r="CG12342" t="s">
        <v>13214</v>
      </c>
      <c r="CH12342" t="s">
        <v>13215</v>
      </c>
      <c r="CI12342" t="s">
        <v>13216</v>
      </c>
      <c r="CJ12342" t="s">
        <v>13217</v>
      </c>
      <c r="CK12342" t="s">
        <v>13218</v>
      </c>
      <c r="CL12342" t="s">
        <v>13219</v>
      </c>
      <c r="CM12342" t="s">
        <v>13220</v>
      </c>
      <c r="CN12342" t="s">
        <v>13221</v>
      </c>
      <c r="CO12342" t="s">
        <v>13222</v>
      </c>
      <c r="CP12342" t="s">
        <v>13223</v>
      </c>
      <c r="CQ12342" t="s">
        <v>13224</v>
      </c>
      <c r="CR12342" t="s">
        <v>13225</v>
      </c>
      <c r="CS12342" t="s">
        <v>13226</v>
      </c>
      <c r="CT12342" t="s">
        <v>13227</v>
      </c>
      <c r="CU12342" t="s">
        <v>13228</v>
      </c>
      <c r="CV12342" t="s">
        <v>13229</v>
      </c>
    </row>
    <row r="12343" spans="1:100" x14ac:dyDescent="0.3">
      <c r="A12343" s="160">
        <v>94068</v>
      </c>
      <c r="B12343" t="s">
        <v>27220</v>
      </c>
      <c r="C12343" t="s">
        <v>176</v>
      </c>
      <c r="D12343">
        <v>3.2</v>
      </c>
      <c r="E12343">
        <v>0</v>
      </c>
      <c r="F12343">
        <f t="shared" si="223"/>
        <v>3.2</v>
      </c>
      <c r="G12343">
        <v>1</v>
      </c>
      <c r="H12343">
        <f t="shared" si="222"/>
        <v>3.2</v>
      </c>
      <c r="I12343">
        <v>20240201</v>
      </c>
      <c r="J12343" t="s">
        <v>14407</v>
      </c>
      <c r="K12343" t="s">
        <v>14408</v>
      </c>
      <c r="L12343" t="s">
        <v>14409</v>
      </c>
      <c r="M12343" t="s">
        <v>14073</v>
      </c>
      <c r="N12343" t="s">
        <v>14410</v>
      </c>
      <c r="O12343" t="s">
        <v>14411</v>
      </c>
      <c r="P12343" t="s">
        <v>14412</v>
      </c>
      <c r="Q12343" t="s">
        <v>14413</v>
      </c>
      <c r="R12343" t="s">
        <v>14414</v>
      </c>
      <c r="S12343" t="s">
        <v>14415</v>
      </c>
    </row>
    <row r="12344" spans="1:100" x14ac:dyDescent="0.3">
      <c r="A12344" s="160">
        <v>94069</v>
      </c>
      <c r="B12344" t="s">
        <v>27221</v>
      </c>
      <c r="C12344" t="s">
        <v>176</v>
      </c>
      <c r="D12344">
        <v>3.2</v>
      </c>
      <c r="E12344">
        <v>0</v>
      </c>
      <c r="F12344">
        <f t="shared" si="223"/>
        <v>3.2</v>
      </c>
      <c r="G12344">
        <v>1</v>
      </c>
      <c r="H12344">
        <f t="shared" si="222"/>
        <v>3.2</v>
      </c>
      <c r="I12344">
        <v>20240201</v>
      </c>
      <c r="J12344" t="s">
        <v>14019</v>
      </c>
      <c r="K12344" t="s">
        <v>14084</v>
      </c>
      <c r="L12344" t="s">
        <v>14085</v>
      </c>
      <c r="M12344" t="s">
        <v>14086</v>
      </c>
      <c r="N12344" t="s">
        <v>14416</v>
      </c>
      <c r="O12344" t="s">
        <v>14092</v>
      </c>
      <c r="P12344" t="s">
        <v>14417</v>
      </c>
      <c r="Q12344" t="s">
        <v>14418</v>
      </c>
      <c r="R12344" t="s">
        <v>14419</v>
      </c>
      <c r="S12344" t="s">
        <v>14420</v>
      </c>
      <c r="T12344" t="s">
        <v>14421</v>
      </c>
      <c r="U12344" t="s">
        <v>14422</v>
      </c>
    </row>
    <row r="12345" spans="1:100" x14ac:dyDescent="0.3">
      <c r="A12345" s="160">
        <v>94070</v>
      </c>
      <c r="B12345" t="s">
        <v>27222</v>
      </c>
      <c r="C12345" t="s">
        <v>176</v>
      </c>
      <c r="D12345">
        <v>3.2</v>
      </c>
      <c r="E12345">
        <v>0</v>
      </c>
      <c r="F12345">
        <f t="shared" si="223"/>
        <v>3.2</v>
      </c>
      <c r="G12345">
        <v>1</v>
      </c>
      <c r="H12345">
        <f t="shared" si="222"/>
        <v>3.2</v>
      </c>
      <c r="I12345">
        <v>20240201</v>
      </c>
      <c r="J12345" t="s">
        <v>14326</v>
      </c>
    </row>
    <row r="12346" spans="1:100" x14ac:dyDescent="0.3">
      <c r="A12346" s="160">
        <v>94071</v>
      </c>
      <c r="B12346" t="s">
        <v>27223</v>
      </c>
      <c r="C12346" t="s">
        <v>176</v>
      </c>
      <c r="D12346">
        <v>3.2</v>
      </c>
      <c r="E12346">
        <v>0</v>
      </c>
      <c r="F12346">
        <f t="shared" si="223"/>
        <v>3.2</v>
      </c>
      <c r="G12346">
        <v>1</v>
      </c>
      <c r="H12346">
        <f t="shared" si="222"/>
        <v>3.2</v>
      </c>
      <c r="I12346">
        <v>20240201</v>
      </c>
      <c r="J12346" t="s">
        <v>14423</v>
      </c>
      <c r="K12346" t="s">
        <v>14335</v>
      </c>
      <c r="L12346" t="s">
        <v>14424</v>
      </c>
      <c r="M12346" t="s">
        <v>14336</v>
      </c>
      <c r="N12346" t="s">
        <v>14337</v>
      </c>
      <c r="O12346" t="s">
        <v>14049</v>
      </c>
      <c r="P12346" t="s">
        <v>14054</v>
      </c>
      <c r="Q12346" t="s">
        <v>14042</v>
      </c>
    </row>
    <row r="12347" spans="1:100" x14ac:dyDescent="0.3">
      <c r="A12347" s="160">
        <v>94073</v>
      </c>
      <c r="B12347" t="s">
        <v>27224</v>
      </c>
      <c r="C12347" t="s">
        <v>176</v>
      </c>
      <c r="D12347">
        <v>3.2</v>
      </c>
      <c r="E12347">
        <v>0</v>
      </c>
      <c r="F12347">
        <f t="shared" si="223"/>
        <v>3.2</v>
      </c>
      <c r="G12347">
        <v>1</v>
      </c>
      <c r="H12347">
        <f t="shared" si="222"/>
        <v>3.2</v>
      </c>
      <c r="I12347">
        <v>20240201</v>
      </c>
      <c r="J12347" t="s">
        <v>14108</v>
      </c>
      <c r="K12347" t="s">
        <v>14425</v>
      </c>
      <c r="L12347" t="s">
        <v>14426</v>
      </c>
      <c r="M12347" t="s">
        <v>14427</v>
      </c>
      <c r="N12347" t="s">
        <v>14428</v>
      </c>
      <c r="O12347" t="s">
        <v>14429</v>
      </c>
      <c r="P12347" t="s">
        <v>14430</v>
      </c>
      <c r="Q12347" t="s">
        <v>14431</v>
      </c>
      <c r="R12347" t="s">
        <v>14432</v>
      </c>
      <c r="S12347" t="s">
        <v>14433</v>
      </c>
      <c r="T12347" t="s">
        <v>14366</v>
      </c>
      <c r="U12347" t="s">
        <v>14343</v>
      </c>
      <c r="V12347" t="s">
        <v>14434</v>
      </c>
      <c r="W12347" t="s">
        <v>14389</v>
      </c>
      <c r="X12347" t="s">
        <v>14435</v>
      </c>
      <c r="Y12347" t="s">
        <v>14436</v>
      </c>
      <c r="Z12347" t="s">
        <v>14437</v>
      </c>
    </row>
    <row r="12348" spans="1:100" x14ac:dyDescent="0.3">
      <c r="A12348" s="160">
        <v>94074</v>
      </c>
      <c r="B12348" t="s">
        <v>27225</v>
      </c>
      <c r="C12348" t="s">
        <v>176</v>
      </c>
      <c r="D12348">
        <v>3.2</v>
      </c>
      <c r="E12348">
        <v>0</v>
      </c>
      <c r="F12348">
        <f t="shared" si="223"/>
        <v>3.2</v>
      </c>
      <c r="G12348">
        <v>1</v>
      </c>
      <c r="H12348">
        <f t="shared" si="222"/>
        <v>3.2</v>
      </c>
      <c r="I12348">
        <v>20240201</v>
      </c>
      <c r="J12348" t="s">
        <v>14438</v>
      </c>
    </row>
    <row r="12349" spans="1:100" x14ac:dyDescent="0.3">
      <c r="A12349" s="160">
        <v>94075</v>
      </c>
      <c r="B12349" t="s">
        <v>27226</v>
      </c>
      <c r="C12349" t="s">
        <v>176</v>
      </c>
      <c r="D12349">
        <v>3.2</v>
      </c>
      <c r="E12349">
        <v>0</v>
      </c>
      <c r="F12349">
        <f t="shared" si="223"/>
        <v>3.2</v>
      </c>
      <c r="G12349">
        <v>1</v>
      </c>
      <c r="H12349">
        <f t="shared" si="222"/>
        <v>3.2</v>
      </c>
      <c r="I12349">
        <v>20240201</v>
      </c>
      <c r="J12349" t="s">
        <v>9757</v>
      </c>
      <c r="K12349" t="s">
        <v>14326</v>
      </c>
    </row>
    <row r="12350" spans="1:100" x14ac:dyDescent="0.3">
      <c r="A12350" s="160">
        <v>94076</v>
      </c>
      <c r="B12350" t="s">
        <v>27227</v>
      </c>
      <c r="C12350" t="s">
        <v>176</v>
      </c>
      <c r="D12350">
        <v>3.2</v>
      </c>
      <c r="E12350">
        <v>0</v>
      </c>
      <c r="F12350">
        <f t="shared" si="223"/>
        <v>3.2</v>
      </c>
      <c r="G12350">
        <v>1</v>
      </c>
      <c r="H12350">
        <f t="shared" si="222"/>
        <v>3.2</v>
      </c>
      <c r="I12350">
        <v>20240201</v>
      </c>
      <c r="J12350" t="s">
        <v>14439</v>
      </c>
      <c r="K12350" t="s">
        <v>14306</v>
      </c>
      <c r="L12350" t="s">
        <v>14440</v>
      </c>
      <c r="M12350" t="s">
        <v>14441</v>
      </c>
      <c r="N12350" t="s">
        <v>14442</v>
      </c>
      <c r="O12350" t="s">
        <v>14443</v>
      </c>
      <c r="P12350" t="s">
        <v>14444</v>
      </c>
      <c r="Q12350" t="s">
        <v>14445</v>
      </c>
      <c r="R12350" t="s">
        <v>14446</v>
      </c>
      <c r="S12350" t="s">
        <v>11120</v>
      </c>
      <c r="T12350" t="s">
        <v>14447</v>
      </c>
      <c r="U12350" t="s">
        <v>14448</v>
      </c>
      <c r="V12350" t="s">
        <v>14449</v>
      </c>
    </row>
    <row r="12351" spans="1:100" x14ac:dyDescent="0.3">
      <c r="A12351" s="160">
        <v>94077</v>
      </c>
      <c r="B12351" t="s">
        <v>27228</v>
      </c>
      <c r="C12351" t="s">
        <v>176</v>
      </c>
      <c r="D12351">
        <v>3.2</v>
      </c>
      <c r="E12351">
        <v>0</v>
      </c>
      <c r="F12351">
        <f t="shared" si="223"/>
        <v>3.2</v>
      </c>
      <c r="G12351">
        <v>1</v>
      </c>
      <c r="H12351">
        <f t="shared" si="222"/>
        <v>3.2</v>
      </c>
      <c r="I12351">
        <v>20240201</v>
      </c>
      <c r="J12351" t="s">
        <v>14450</v>
      </c>
      <c r="K12351" t="s">
        <v>14340</v>
      </c>
    </row>
    <row r="12352" spans="1:100" x14ac:dyDescent="0.3">
      <c r="A12352" s="160">
        <v>94078</v>
      </c>
      <c r="B12352" t="s">
        <v>27229</v>
      </c>
      <c r="C12352" t="s">
        <v>176</v>
      </c>
      <c r="D12352">
        <v>3.2</v>
      </c>
      <c r="E12352">
        <v>0</v>
      </c>
      <c r="F12352">
        <f t="shared" si="223"/>
        <v>3.2</v>
      </c>
      <c r="G12352">
        <v>1</v>
      </c>
      <c r="H12352">
        <f t="shared" si="222"/>
        <v>3.2</v>
      </c>
      <c r="I12352">
        <v>20240201</v>
      </c>
      <c r="J12352" t="s">
        <v>14451</v>
      </c>
      <c r="K12352" t="s">
        <v>14452</v>
      </c>
      <c r="L12352" t="s">
        <v>14453</v>
      </c>
      <c r="M12352" t="s">
        <v>14454</v>
      </c>
      <c r="N12352" t="s">
        <v>14455</v>
      </c>
      <c r="O12352" t="s">
        <v>14456</v>
      </c>
    </row>
    <row r="12353" spans="1:97" x14ac:dyDescent="0.3">
      <c r="A12353" s="160">
        <v>94079</v>
      </c>
      <c r="B12353" t="s">
        <v>27230</v>
      </c>
      <c r="C12353" t="s">
        <v>176</v>
      </c>
      <c r="D12353">
        <v>3.2</v>
      </c>
      <c r="E12353">
        <v>0</v>
      </c>
      <c r="F12353">
        <f t="shared" si="223"/>
        <v>3.2</v>
      </c>
      <c r="G12353">
        <v>1</v>
      </c>
      <c r="H12353">
        <f t="shared" si="222"/>
        <v>3.2</v>
      </c>
      <c r="I12353">
        <v>20240201</v>
      </c>
      <c r="J12353" t="s">
        <v>14457</v>
      </c>
      <c r="K12353" t="s">
        <v>14458</v>
      </c>
      <c r="L12353" t="s">
        <v>14459</v>
      </c>
      <c r="M12353" t="s">
        <v>14460</v>
      </c>
      <c r="N12353" t="s">
        <v>14461</v>
      </c>
      <c r="O12353" t="s">
        <v>14462</v>
      </c>
      <c r="P12353" t="s">
        <v>14463</v>
      </c>
      <c r="BP12353" t="s">
        <v>13436</v>
      </c>
      <c r="BQ12353" t="s">
        <v>13437</v>
      </c>
      <c r="BR12353" t="s">
        <v>13438</v>
      </c>
      <c r="BS12353" t="s">
        <v>13439</v>
      </c>
      <c r="BT12353" t="s">
        <v>13440</v>
      </c>
      <c r="BU12353" t="s">
        <v>13228</v>
      </c>
      <c r="BV12353" t="s">
        <v>13229</v>
      </c>
    </row>
    <row r="12354" spans="1:97" x14ac:dyDescent="0.3">
      <c r="A12354" s="160">
        <v>94080</v>
      </c>
      <c r="B12354" t="s">
        <v>27231</v>
      </c>
      <c r="C12354" t="s">
        <v>176</v>
      </c>
      <c r="D12354">
        <v>3.2</v>
      </c>
      <c r="E12354">
        <v>0</v>
      </c>
      <c r="F12354">
        <f t="shared" si="223"/>
        <v>3.2</v>
      </c>
      <c r="G12354">
        <v>1</v>
      </c>
      <c r="H12354">
        <f t="shared" si="222"/>
        <v>3.2</v>
      </c>
      <c r="I12354">
        <v>20240201</v>
      </c>
      <c r="J12354" t="s">
        <v>14464</v>
      </c>
      <c r="K12354" t="s">
        <v>14465</v>
      </c>
      <c r="L12354" t="s">
        <v>14466</v>
      </c>
      <c r="M12354" t="s">
        <v>14467</v>
      </c>
      <c r="N12354" t="s">
        <v>14468</v>
      </c>
      <c r="O12354" t="s">
        <v>14469</v>
      </c>
      <c r="P12354" t="s">
        <v>14470</v>
      </c>
      <c r="Q12354" t="s">
        <v>14471</v>
      </c>
      <c r="R12354" t="s">
        <v>14472</v>
      </c>
      <c r="S12354" t="s">
        <v>14473</v>
      </c>
      <c r="T12354" t="s">
        <v>14474</v>
      </c>
      <c r="U12354" t="s">
        <v>14475</v>
      </c>
    </row>
    <row r="12355" spans="1:97" x14ac:dyDescent="0.3">
      <c r="A12355" s="160">
        <v>94081</v>
      </c>
      <c r="B12355" t="s">
        <v>27232</v>
      </c>
      <c r="C12355" t="s">
        <v>176</v>
      </c>
      <c r="D12355">
        <v>3.2</v>
      </c>
      <c r="E12355">
        <v>0</v>
      </c>
      <c r="F12355">
        <f t="shared" si="223"/>
        <v>3.2</v>
      </c>
      <c r="G12355">
        <v>1</v>
      </c>
      <c r="H12355">
        <f t="shared" si="222"/>
        <v>3.2</v>
      </c>
      <c r="I12355">
        <v>20240201</v>
      </c>
      <c r="J12355" t="s">
        <v>14476</v>
      </c>
      <c r="K12355" t="s">
        <v>14477</v>
      </c>
      <c r="L12355" t="s">
        <v>14478</v>
      </c>
      <c r="M12355" t="s">
        <v>14479</v>
      </c>
      <c r="N12355" t="s">
        <v>14480</v>
      </c>
      <c r="O12355" t="s">
        <v>14481</v>
      </c>
      <c r="P12355" t="s">
        <v>14482</v>
      </c>
      <c r="Q12355" t="s">
        <v>14483</v>
      </c>
      <c r="R12355" t="s">
        <v>14484</v>
      </c>
      <c r="S12355" t="s">
        <v>14485</v>
      </c>
      <c r="T12355" t="s">
        <v>14486</v>
      </c>
      <c r="U12355" t="s">
        <v>14487</v>
      </c>
    </row>
    <row r="12356" spans="1:97" x14ac:dyDescent="0.3">
      <c r="A12356" s="160">
        <v>95002</v>
      </c>
      <c r="B12356" t="s">
        <v>27233</v>
      </c>
      <c r="C12356" t="s">
        <v>176</v>
      </c>
      <c r="D12356">
        <v>1.6</v>
      </c>
      <c r="E12356">
        <v>0</v>
      </c>
      <c r="F12356">
        <f t="shared" si="223"/>
        <v>1.6</v>
      </c>
      <c r="G12356">
        <v>1</v>
      </c>
      <c r="H12356">
        <f t="shared" si="222"/>
        <v>1.6</v>
      </c>
      <c r="I12356">
        <v>20170401</v>
      </c>
      <c r="J12356" t="s">
        <v>14488</v>
      </c>
      <c r="BP12356" t="s">
        <v>13520</v>
      </c>
      <c r="BQ12356" t="s">
        <v>13521</v>
      </c>
      <c r="BR12356" t="s">
        <v>13522</v>
      </c>
      <c r="BS12356" t="s">
        <v>13523</v>
      </c>
      <c r="BT12356" t="s">
        <v>13524</v>
      </c>
      <c r="BU12356" t="s">
        <v>13525</v>
      </c>
      <c r="BV12356" t="s">
        <v>13526</v>
      </c>
      <c r="BW12356" t="s">
        <v>13527</v>
      </c>
      <c r="BX12356" t="s">
        <v>13528</v>
      </c>
      <c r="BY12356" t="s">
        <v>13205</v>
      </c>
      <c r="BZ12356" t="s">
        <v>13529</v>
      </c>
      <c r="CA12356" t="s">
        <v>13530</v>
      </c>
      <c r="CB12356" t="s">
        <v>13531</v>
      </c>
      <c r="CC12356" t="s">
        <v>13532</v>
      </c>
      <c r="CD12356" t="s">
        <v>13533</v>
      </c>
      <c r="CE12356" t="s">
        <v>13534</v>
      </c>
      <c r="CF12356" t="s">
        <v>13216</v>
      </c>
      <c r="CG12356" t="s">
        <v>13535</v>
      </c>
      <c r="CH12356" t="s">
        <v>13536</v>
      </c>
      <c r="CI12356" t="s">
        <v>13537</v>
      </c>
      <c r="CJ12356" t="s">
        <v>13538</v>
      </c>
      <c r="CK12356" t="s">
        <v>13539</v>
      </c>
      <c r="CL12356" t="s">
        <v>13540</v>
      </c>
      <c r="CM12356" t="s">
        <v>13541</v>
      </c>
      <c r="CN12356" t="s">
        <v>13542</v>
      </c>
      <c r="CO12356" t="s">
        <v>13543</v>
      </c>
      <c r="CP12356" t="s">
        <v>13544</v>
      </c>
      <c r="CQ12356" t="s">
        <v>13545</v>
      </c>
      <c r="CR12356" t="s">
        <v>13546</v>
      </c>
      <c r="CS12356" t="s">
        <v>13229</v>
      </c>
    </row>
    <row r="12357" spans="1:97" x14ac:dyDescent="0.3">
      <c r="A12357" s="160">
        <v>95008</v>
      </c>
      <c r="B12357" t="s">
        <v>27234</v>
      </c>
      <c r="C12357" t="s">
        <v>176</v>
      </c>
      <c r="D12357">
        <v>1.6</v>
      </c>
      <c r="E12357">
        <v>0</v>
      </c>
      <c r="F12357">
        <f t="shared" si="223"/>
        <v>1.6</v>
      </c>
      <c r="G12357">
        <v>1</v>
      </c>
      <c r="H12357">
        <f t="shared" ref="H12357:H12420" si="224">G12357*F12357</f>
        <v>1.6</v>
      </c>
      <c r="I12357">
        <v>20170401</v>
      </c>
      <c r="J12357" t="s">
        <v>14489</v>
      </c>
    </row>
    <row r="12358" spans="1:97" x14ac:dyDescent="0.3">
      <c r="A12358" s="160">
        <v>95011</v>
      </c>
      <c r="B12358" t="s">
        <v>27235</v>
      </c>
      <c r="C12358" t="s">
        <v>176</v>
      </c>
      <c r="D12358">
        <v>1.6</v>
      </c>
      <c r="E12358">
        <v>0</v>
      </c>
      <c r="F12358">
        <f t="shared" si="223"/>
        <v>1.6</v>
      </c>
      <c r="G12358">
        <v>1</v>
      </c>
      <c r="H12358">
        <f t="shared" si="224"/>
        <v>1.6</v>
      </c>
      <c r="I12358">
        <v>20170401</v>
      </c>
      <c r="J12358" t="s">
        <v>14490</v>
      </c>
      <c r="K12358" t="s">
        <v>14491</v>
      </c>
    </row>
    <row r="12359" spans="1:97" x14ac:dyDescent="0.3">
      <c r="A12359" s="160">
        <v>95012</v>
      </c>
      <c r="B12359" t="s">
        <v>27236</v>
      </c>
      <c r="C12359" t="s">
        <v>176</v>
      </c>
      <c r="D12359">
        <v>1.6</v>
      </c>
      <c r="E12359">
        <v>0</v>
      </c>
      <c r="F12359">
        <f t="shared" ref="F12359:F12422" si="225">D12359+E12359</f>
        <v>1.6</v>
      </c>
      <c r="G12359">
        <v>1</v>
      </c>
      <c r="H12359">
        <f t="shared" si="224"/>
        <v>1.6</v>
      </c>
      <c r="I12359">
        <v>20170401</v>
      </c>
      <c r="J12359" t="s">
        <v>14489</v>
      </c>
    </row>
    <row r="12360" spans="1:97" x14ac:dyDescent="0.3">
      <c r="A12360" s="160">
        <v>95014</v>
      </c>
      <c r="B12360" t="s">
        <v>21127</v>
      </c>
      <c r="C12360" t="s">
        <v>176</v>
      </c>
      <c r="D12360">
        <v>2.0099999999999998</v>
      </c>
      <c r="E12360">
        <v>0</v>
      </c>
      <c r="F12360">
        <f t="shared" si="225"/>
        <v>2.0099999999999998</v>
      </c>
      <c r="G12360">
        <v>1</v>
      </c>
      <c r="H12360">
        <f t="shared" si="224"/>
        <v>2.0099999999999998</v>
      </c>
      <c r="I12360">
        <v>20170401</v>
      </c>
      <c r="J12360" t="s">
        <v>14492</v>
      </c>
      <c r="K12360" t="s">
        <v>14493</v>
      </c>
    </row>
    <row r="12361" spans="1:97" x14ac:dyDescent="0.3">
      <c r="A12361" s="160">
        <v>95018</v>
      </c>
      <c r="B12361" t="s">
        <v>27237</v>
      </c>
      <c r="C12361" t="s">
        <v>176</v>
      </c>
      <c r="D12361">
        <v>2.0099999999999998</v>
      </c>
      <c r="E12361">
        <v>0</v>
      </c>
      <c r="F12361">
        <f t="shared" si="225"/>
        <v>2.0099999999999998</v>
      </c>
      <c r="G12361">
        <v>1</v>
      </c>
      <c r="H12361">
        <f t="shared" si="224"/>
        <v>2.0099999999999998</v>
      </c>
      <c r="I12361">
        <v>20170401</v>
      </c>
      <c r="J12361" t="s">
        <v>14494</v>
      </c>
      <c r="K12361" t="s">
        <v>14495</v>
      </c>
      <c r="L12361" t="s">
        <v>14496</v>
      </c>
      <c r="M12361" t="s">
        <v>14497</v>
      </c>
      <c r="N12361" t="s">
        <v>14498</v>
      </c>
      <c r="O12361" t="s">
        <v>14499</v>
      </c>
      <c r="P12361" t="s">
        <v>14500</v>
      </c>
      <c r="Q12361" t="s">
        <v>14501</v>
      </c>
      <c r="R12361" t="s">
        <v>14502</v>
      </c>
    </row>
    <row r="12362" spans="1:97" x14ac:dyDescent="0.3">
      <c r="A12362" s="160">
        <v>95019</v>
      </c>
      <c r="B12362" t="s">
        <v>27238</v>
      </c>
      <c r="C12362" t="s">
        <v>176</v>
      </c>
      <c r="D12362">
        <v>2.0099999999999998</v>
      </c>
      <c r="E12362">
        <v>0</v>
      </c>
      <c r="F12362">
        <f t="shared" si="225"/>
        <v>2.0099999999999998</v>
      </c>
      <c r="G12362">
        <v>1</v>
      </c>
      <c r="H12362">
        <f t="shared" si="224"/>
        <v>2.0099999999999998</v>
      </c>
      <c r="I12362">
        <v>20170401</v>
      </c>
      <c r="J12362" t="s">
        <v>14503</v>
      </c>
    </row>
    <row r="12363" spans="1:97" x14ac:dyDescent="0.3">
      <c r="A12363" s="160">
        <v>95023</v>
      </c>
      <c r="B12363" t="s">
        <v>27239</v>
      </c>
      <c r="C12363" t="s">
        <v>176</v>
      </c>
      <c r="D12363">
        <v>1.6</v>
      </c>
      <c r="E12363">
        <v>0</v>
      </c>
      <c r="F12363">
        <f t="shared" si="225"/>
        <v>1.6</v>
      </c>
      <c r="G12363">
        <v>1</v>
      </c>
      <c r="H12363">
        <f t="shared" si="224"/>
        <v>1.6</v>
      </c>
      <c r="I12363">
        <v>20170401</v>
      </c>
      <c r="J12363" t="s">
        <v>14504</v>
      </c>
    </row>
    <row r="12364" spans="1:97" x14ac:dyDescent="0.3">
      <c r="A12364" s="160">
        <v>95024</v>
      </c>
      <c r="B12364" t="s">
        <v>27240</v>
      </c>
      <c r="C12364" t="s">
        <v>176</v>
      </c>
      <c r="D12364">
        <v>1.6</v>
      </c>
      <c r="E12364">
        <v>0</v>
      </c>
      <c r="F12364">
        <f t="shared" si="225"/>
        <v>1.6</v>
      </c>
      <c r="G12364">
        <v>1</v>
      </c>
      <c r="H12364">
        <f t="shared" si="224"/>
        <v>1.6</v>
      </c>
      <c r="I12364">
        <v>20170401</v>
      </c>
      <c r="J12364" t="s">
        <v>14490</v>
      </c>
    </row>
    <row r="12365" spans="1:97" x14ac:dyDescent="0.3">
      <c r="A12365" s="160">
        <v>95026</v>
      </c>
      <c r="B12365" t="s">
        <v>27241</v>
      </c>
      <c r="C12365" t="s">
        <v>176</v>
      </c>
      <c r="D12365">
        <v>1.6</v>
      </c>
      <c r="E12365">
        <v>0</v>
      </c>
      <c r="F12365">
        <f t="shared" si="225"/>
        <v>1.6</v>
      </c>
      <c r="G12365">
        <v>1</v>
      </c>
      <c r="H12365">
        <f t="shared" si="224"/>
        <v>1.6</v>
      </c>
      <c r="I12365">
        <v>20170401</v>
      </c>
      <c r="J12365" t="s">
        <v>14505</v>
      </c>
    </row>
    <row r="12366" spans="1:97" x14ac:dyDescent="0.3">
      <c r="A12366" s="160">
        <v>95028</v>
      </c>
      <c r="B12366" t="s">
        <v>27242</v>
      </c>
      <c r="C12366" t="s">
        <v>176</v>
      </c>
      <c r="D12366">
        <v>1.6</v>
      </c>
      <c r="E12366">
        <v>0</v>
      </c>
      <c r="F12366">
        <f t="shared" si="225"/>
        <v>1.6</v>
      </c>
      <c r="G12366">
        <v>1</v>
      </c>
      <c r="H12366">
        <f t="shared" si="224"/>
        <v>1.6</v>
      </c>
      <c r="I12366">
        <v>20170401</v>
      </c>
      <c r="J12366" t="s">
        <v>14506</v>
      </c>
    </row>
    <row r="12367" spans="1:97" x14ac:dyDescent="0.3">
      <c r="A12367" s="160">
        <v>95039</v>
      </c>
      <c r="B12367" t="s">
        <v>27243</v>
      </c>
      <c r="C12367" t="s">
        <v>176</v>
      </c>
      <c r="D12367">
        <v>2.0099999999999998</v>
      </c>
      <c r="E12367">
        <v>0</v>
      </c>
      <c r="F12367">
        <f t="shared" si="225"/>
        <v>2.0099999999999998</v>
      </c>
      <c r="G12367">
        <v>1</v>
      </c>
      <c r="H12367">
        <f t="shared" si="224"/>
        <v>2.0099999999999998</v>
      </c>
      <c r="I12367">
        <v>20170401</v>
      </c>
      <c r="J12367" t="s">
        <v>14507</v>
      </c>
    </row>
    <row r="12368" spans="1:97" x14ac:dyDescent="0.3">
      <c r="A12368" s="160">
        <v>95040</v>
      </c>
      <c r="B12368" t="s">
        <v>27244</v>
      </c>
      <c r="C12368" t="s">
        <v>176</v>
      </c>
      <c r="D12368">
        <v>1.6</v>
      </c>
      <c r="E12368">
        <v>0</v>
      </c>
      <c r="F12368">
        <f t="shared" si="225"/>
        <v>1.6</v>
      </c>
      <c r="G12368">
        <v>1</v>
      </c>
      <c r="H12368">
        <f t="shared" si="224"/>
        <v>1.6</v>
      </c>
      <c r="I12368">
        <v>20170401</v>
      </c>
      <c r="J12368" t="s">
        <v>14488</v>
      </c>
    </row>
    <row r="12369" spans="1:18" x14ac:dyDescent="0.3">
      <c r="A12369" s="160">
        <v>95042</v>
      </c>
      <c r="B12369" t="s">
        <v>27245</v>
      </c>
      <c r="C12369" t="s">
        <v>176</v>
      </c>
      <c r="D12369">
        <v>1.6</v>
      </c>
      <c r="E12369">
        <v>0</v>
      </c>
      <c r="F12369">
        <f t="shared" si="225"/>
        <v>1.6</v>
      </c>
      <c r="G12369">
        <v>1</v>
      </c>
      <c r="H12369">
        <f t="shared" si="224"/>
        <v>1.6</v>
      </c>
      <c r="I12369">
        <v>20170401</v>
      </c>
      <c r="J12369" t="s">
        <v>14508</v>
      </c>
    </row>
    <row r="12370" spans="1:18" x14ac:dyDescent="0.3">
      <c r="A12370" s="160">
        <v>95046</v>
      </c>
      <c r="B12370" t="s">
        <v>27246</v>
      </c>
      <c r="C12370" t="s">
        <v>176</v>
      </c>
      <c r="D12370">
        <v>1.6</v>
      </c>
      <c r="E12370">
        <v>0</v>
      </c>
      <c r="F12370">
        <f t="shared" si="225"/>
        <v>1.6</v>
      </c>
      <c r="G12370">
        <v>1</v>
      </c>
      <c r="H12370">
        <f t="shared" si="224"/>
        <v>1.6</v>
      </c>
      <c r="I12370">
        <v>20170401</v>
      </c>
      <c r="J12370" t="s">
        <v>14490</v>
      </c>
    </row>
    <row r="12371" spans="1:18" x14ac:dyDescent="0.3">
      <c r="A12371" s="160">
        <v>95051</v>
      </c>
      <c r="B12371" t="s">
        <v>27247</v>
      </c>
      <c r="C12371" t="s">
        <v>176</v>
      </c>
      <c r="D12371">
        <v>2.0099999999999998</v>
      </c>
      <c r="E12371">
        <v>0</v>
      </c>
      <c r="F12371">
        <f t="shared" si="225"/>
        <v>2.0099999999999998</v>
      </c>
      <c r="G12371">
        <v>1</v>
      </c>
      <c r="H12371">
        <f t="shared" si="224"/>
        <v>2.0099999999999998</v>
      </c>
      <c r="I12371">
        <v>20170401</v>
      </c>
      <c r="J12371" t="s">
        <v>14509</v>
      </c>
      <c r="K12371" t="s">
        <v>14510</v>
      </c>
      <c r="L12371" t="s">
        <v>14511</v>
      </c>
      <c r="M12371" t="s">
        <v>14512</v>
      </c>
    </row>
    <row r="12372" spans="1:18" x14ac:dyDescent="0.3">
      <c r="A12372" s="160">
        <v>95052</v>
      </c>
      <c r="B12372" t="s">
        <v>27248</v>
      </c>
      <c r="C12372" t="s">
        <v>176</v>
      </c>
      <c r="D12372">
        <v>1.6</v>
      </c>
      <c r="E12372">
        <v>0</v>
      </c>
      <c r="F12372">
        <f t="shared" si="225"/>
        <v>1.6</v>
      </c>
      <c r="G12372">
        <v>1</v>
      </c>
      <c r="H12372">
        <f t="shared" si="224"/>
        <v>1.6</v>
      </c>
      <c r="I12372">
        <v>20170401</v>
      </c>
      <c r="J12372" t="s">
        <v>14513</v>
      </c>
    </row>
    <row r="12373" spans="1:18" x14ac:dyDescent="0.3">
      <c r="A12373" s="160">
        <v>95054</v>
      </c>
      <c r="B12373" t="s">
        <v>27249</v>
      </c>
      <c r="C12373" t="s">
        <v>176</v>
      </c>
      <c r="D12373">
        <v>1.6</v>
      </c>
      <c r="E12373">
        <v>0</v>
      </c>
      <c r="F12373">
        <f t="shared" si="225"/>
        <v>1.6</v>
      </c>
      <c r="G12373">
        <v>1</v>
      </c>
      <c r="H12373">
        <f t="shared" si="224"/>
        <v>1.6</v>
      </c>
      <c r="I12373">
        <v>20170401</v>
      </c>
      <c r="J12373" t="s">
        <v>14514</v>
      </c>
    </row>
    <row r="12374" spans="1:18" x14ac:dyDescent="0.3">
      <c r="A12374" s="160">
        <v>95055</v>
      </c>
      <c r="B12374" t="s">
        <v>26663</v>
      </c>
      <c r="C12374" t="s">
        <v>176</v>
      </c>
      <c r="D12374">
        <v>1.6</v>
      </c>
      <c r="E12374">
        <v>0</v>
      </c>
      <c r="F12374">
        <f t="shared" si="225"/>
        <v>1.6</v>
      </c>
      <c r="G12374">
        <v>1</v>
      </c>
      <c r="H12374">
        <f t="shared" si="224"/>
        <v>1.6</v>
      </c>
      <c r="I12374">
        <v>20170401</v>
      </c>
      <c r="J12374" t="s">
        <v>14505</v>
      </c>
    </row>
    <row r="12375" spans="1:18" x14ac:dyDescent="0.3">
      <c r="A12375" s="160">
        <v>95056</v>
      </c>
      <c r="B12375" t="s">
        <v>27250</v>
      </c>
      <c r="C12375" t="s">
        <v>176</v>
      </c>
      <c r="D12375">
        <v>1.6</v>
      </c>
      <c r="E12375">
        <v>0</v>
      </c>
      <c r="F12375">
        <f t="shared" si="225"/>
        <v>1.6</v>
      </c>
      <c r="G12375">
        <v>1</v>
      </c>
      <c r="H12375">
        <f t="shared" si="224"/>
        <v>1.6</v>
      </c>
      <c r="I12375">
        <v>20170401</v>
      </c>
      <c r="J12375" t="s">
        <v>14505</v>
      </c>
    </row>
    <row r="12376" spans="1:18" x14ac:dyDescent="0.3">
      <c r="A12376" s="160">
        <v>95058</v>
      </c>
      <c r="B12376" t="s">
        <v>27251</v>
      </c>
      <c r="C12376" t="s">
        <v>176</v>
      </c>
      <c r="D12376">
        <v>1.6</v>
      </c>
      <c r="E12376">
        <v>0</v>
      </c>
      <c r="F12376">
        <f t="shared" si="225"/>
        <v>1.6</v>
      </c>
      <c r="G12376">
        <v>1</v>
      </c>
      <c r="H12376">
        <f t="shared" si="224"/>
        <v>1.6</v>
      </c>
      <c r="I12376">
        <v>20170401</v>
      </c>
      <c r="J12376" t="s">
        <v>14515</v>
      </c>
    </row>
    <row r="12377" spans="1:18" x14ac:dyDescent="0.3">
      <c r="A12377" s="160">
        <v>95059</v>
      </c>
      <c r="B12377" t="s">
        <v>27252</v>
      </c>
      <c r="C12377" t="s">
        <v>176</v>
      </c>
      <c r="D12377">
        <v>1.6</v>
      </c>
      <c r="E12377">
        <v>0</v>
      </c>
      <c r="F12377">
        <f t="shared" si="225"/>
        <v>1.6</v>
      </c>
      <c r="G12377">
        <v>1</v>
      </c>
      <c r="H12377">
        <f t="shared" si="224"/>
        <v>1.6</v>
      </c>
      <c r="I12377">
        <v>20170401</v>
      </c>
      <c r="J12377" t="s">
        <v>14504</v>
      </c>
    </row>
    <row r="12378" spans="1:18" x14ac:dyDescent="0.3">
      <c r="A12378" s="160">
        <v>95060</v>
      </c>
      <c r="B12378" t="s">
        <v>27253</v>
      </c>
      <c r="C12378" t="s">
        <v>176</v>
      </c>
      <c r="D12378">
        <v>2.0099999999999998</v>
      </c>
      <c r="E12378">
        <v>0</v>
      </c>
      <c r="F12378">
        <f t="shared" si="225"/>
        <v>2.0099999999999998</v>
      </c>
      <c r="G12378">
        <v>1</v>
      </c>
      <c r="H12378">
        <f t="shared" si="224"/>
        <v>2.0099999999999998</v>
      </c>
      <c r="I12378">
        <v>20170401</v>
      </c>
      <c r="J12378" t="s">
        <v>14516</v>
      </c>
      <c r="K12378" t="s">
        <v>14517</v>
      </c>
      <c r="L12378" t="s">
        <v>14518</v>
      </c>
    </row>
    <row r="12379" spans="1:18" x14ac:dyDescent="0.3">
      <c r="A12379" s="160">
        <v>95061</v>
      </c>
      <c r="B12379" t="s">
        <v>27254</v>
      </c>
      <c r="C12379" t="s">
        <v>176</v>
      </c>
      <c r="D12379">
        <v>1.6</v>
      </c>
      <c r="E12379">
        <v>0</v>
      </c>
      <c r="F12379">
        <f t="shared" si="225"/>
        <v>1.6</v>
      </c>
      <c r="G12379">
        <v>1</v>
      </c>
      <c r="H12379">
        <f t="shared" si="224"/>
        <v>1.6</v>
      </c>
      <c r="I12379">
        <v>20170401</v>
      </c>
      <c r="J12379" t="s">
        <v>14519</v>
      </c>
    </row>
    <row r="12380" spans="1:18" x14ac:dyDescent="0.3">
      <c r="A12380" s="160">
        <v>95063</v>
      </c>
      <c r="B12380" t="s">
        <v>27255</v>
      </c>
      <c r="C12380" t="s">
        <v>176</v>
      </c>
      <c r="D12380">
        <v>2.0099999999999998</v>
      </c>
      <c r="E12380">
        <v>0</v>
      </c>
      <c r="F12380">
        <f t="shared" si="225"/>
        <v>2.0099999999999998</v>
      </c>
      <c r="G12380">
        <v>1</v>
      </c>
      <c r="H12380">
        <f t="shared" si="224"/>
        <v>2.0099999999999998</v>
      </c>
      <c r="I12380">
        <v>20170401</v>
      </c>
      <c r="J12380" t="s">
        <v>14497</v>
      </c>
      <c r="K12380" t="s">
        <v>14520</v>
      </c>
      <c r="L12380" t="s">
        <v>14521</v>
      </c>
      <c r="M12380" t="s">
        <v>14522</v>
      </c>
      <c r="N12380" t="s">
        <v>14523</v>
      </c>
      <c r="O12380" t="s">
        <v>14524</v>
      </c>
      <c r="P12380" t="s">
        <v>14525</v>
      </c>
      <c r="Q12380" t="s">
        <v>14526</v>
      </c>
      <c r="R12380" t="s">
        <v>14527</v>
      </c>
    </row>
    <row r="12381" spans="1:18" x14ac:dyDescent="0.3">
      <c r="A12381" s="160">
        <v>95074</v>
      </c>
      <c r="B12381" t="s">
        <v>27256</v>
      </c>
      <c r="C12381" t="s">
        <v>176</v>
      </c>
      <c r="D12381">
        <v>1.6</v>
      </c>
      <c r="E12381">
        <v>0</v>
      </c>
      <c r="F12381">
        <f t="shared" si="225"/>
        <v>1.6</v>
      </c>
      <c r="G12381">
        <v>1</v>
      </c>
      <c r="H12381">
        <f t="shared" si="224"/>
        <v>1.6</v>
      </c>
      <c r="I12381">
        <v>20170401</v>
      </c>
      <c r="J12381" t="s">
        <v>14528</v>
      </c>
      <c r="K12381" t="s">
        <v>14529</v>
      </c>
    </row>
    <row r="12382" spans="1:18" x14ac:dyDescent="0.3">
      <c r="A12382" s="160">
        <v>95078</v>
      </c>
      <c r="B12382" t="s">
        <v>27257</v>
      </c>
      <c r="C12382" t="s">
        <v>176</v>
      </c>
      <c r="D12382">
        <v>1.6</v>
      </c>
      <c r="E12382">
        <v>0</v>
      </c>
      <c r="F12382">
        <f t="shared" si="225"/>
        <v>1.6</v>
      </c>
      <c r="G12382">
        <v>1</v>
      </c>
      <c r="H12382">
        <f t="shared" si="224"/>
        <v>1.6</v>
      </c>
      <c r="I12382">
        <v>20170401</v>
      </c>
      <c r="J12382" t="s">
        <v>14530</v>
      </c>
      <c r="K12382" t="s">
        <v>14531</v>
      </c>
    </row>
    <row r="12383" spans="1:18" x14ac:dyDescent="0.3">
      <c r="A12383" s="160">
        <v>95088</v>
      </c>
      <c r="B12383" t="s">
        <v>27258</v>
      </c>
      <c r="C12383" t="s">
        <v>176</v>
      </c>
      <c r="D12383">
        <v>2.0099999999999998</v>
      </c>
      <c r="E12383">
        <v>0</v>
      </c>
      <c r="F12383">
        <f t="shared" si="225"/>
        <v>2.0099999999999998</v>
      </c>
      <c r="G12383">
        <v>1</v>
      </c>
      <c r="H12383">
        <f t="shared" si="224"/>
        <v>2.0099999999999998</v>
      </c>
      <c r="I12383">
        <v>20170401</v>
      </c>
      <c r="J12383" t="s">
        <v>14532</v>
      </c>
      <c r="K12383" t="s">
        <v>14533</v>
      </c>
    </row>
    <row r="12384" spans="1:18" x14ac:dyDescent="0.3">
      <c r="A12384" s="160">
        <v>95091</v>
      </c>
      <c r="B12384" t="s">
        <v>27259</v>
      </c>
      <c r="C12384" t="s">
        <v>176</v>
      </c>
      <c r="D12384">
        <v>2.0099999999999998</v>
      </c>
      <c r="E12384">
        <v>0</v>
      </c>
      <c r="F12384">
        <f t="shared" si="225"/>
        <v>2.0099999999999998</v>
      </c>
      <c r="G12384">
        <v>1</v>
      </c>
      <c r="H12384">
        <f t="shared" si="224"/>
        <v>2.0099999999999998</v>
      </c>
      <c r="I12384">
        <v>20170401</v>
      </c>
      <c r="J12384" t="s">
        <v>14534</v>
      </c>
      <c r="K12384" t="s">
        <v>14535</v>
      </c>
      <c r="L12384" t="s">
        <v>14506</v>
      </c>
      <c r="M12384" t="s">
        <v>14536</v>
      </c>
    </row>
    <row r="12385" spans="1:67" x14ac:dyDescent="0.3">
      <c r="A12385" s="160">
        <v>95094</v>
      </c>
      <c r="B12385" t="s">
        <v>27260</v>
      </c>
      <c r="C12385" t="s">
        <v>176</v>
      </c>
      <c r="D12385">
        <v>1.6</v>
      </c>
      <c r="E12385">
        <v>0</v>
      </c>
      <c r="F12385">
        <f t="shared" si="225"/>
        <v>1.6</v>
      </c>
      <c r="G12385">
        <v>1</v>
      </c>
      <c r="H12385">
        <f t="shared" si="224"/>
        <v>1.6</v>
      </c>
      <c r="I12385">
        <v>20170401</v>
      </c>
      <c r="J12385" t="s">
        <v>14537</v>
      </c>
    </row>
    <row r="12386" spans="1:67" x14ac:dyDescent="0.3">
      <c r="A12386" s="160">
        <v>95101</v>
      </c>
      <c r="B12386" t="s">
        <v>27261</v>
      </c>
      <c r="C12386" t="s">
        <v>176</v>
      </c>
      <c r="D12386">
        <v>1.6</v>
      </c>
      <c r="E12386">
        <v>0</v>
      </c>
      <c r="F12386">
        <f t="shared" si="225"/>
        <v>1.6</v>
      </c>
      <c r="G12386">
        <v>1</v>
      </c>
      <c r="H12386">
        <f t="shared" si="224"/>
        <v>1.6</v>
      </c>
      <c r="I12386">
        <v>20170401</v>
      </c>
      <c r="J12386" t="s">
        <v>14491</v>
      </c>
    </row>
    <row r="12387" spans="1:67" x14ac:dyDescent="0.3">
      <c r="A12387" s="160">
        <v>95102</v>
      </c>
      <c r="B12387" t="s">
        <v>27262</v>
      </c>
      <c r="C12387" t="s">
        <v>176</v>
      </c>
      <c r="D12387">
        <v>1.6</v>
      </c>
      <c r="E12387">
        <v>0</v>
      </c>
      <c r="F12387">
        <f t="shared" si="225"/>
        <v>1.6</v>
      </c>
      <c r="G12387">
        <v>1</v>
      </c>
      <c r="H12387">
        <f t="shared" si="224"/>
        <v>1.6</v>
      </c>
      <c r="I12387">
        <v>20170401</v>
      </c>
      <c r="J12387" t="s">
        <v>14538</v>
      </c>
    </row>
    <row r="12388" spans="1:67" x14ac:dyDescent="0.3">
      <c r="A12388" s="160">
        <v>95110</v>
      </c>
      <c r="B12388" t="s">
        <v>27263</v>
      </c>
      <c r="C12388" t="s">
        <v>176</v>
      </c>
      <c r="D12388">
        <v>1.6</v>
      </c>
      <c r="E12388">
        <v>0</v>
      </c>
      <c r="F12388">
        <f t="shared" si="225"/>
        <v>1.6</v>
      </c>
      <c r="G12388">
        <v>1</v>
      </c>
      <c r="H12388">
        <f t="shared" si="224"/>
        <v>1.6</v>
      </c>
      <c r="I12388">
        <v>20170401</v>
      </c>
      <c r="J12388" t="s">
        <v>14538</v>
      </c>
    </row>
    <row r="12389" spans="1:67" x14ac:dyDescent="0.3">
      <c r="A12389" s="160">
        <v>95116</v>
      </c>
      <c r="B12389" t="s">
        <v>27264</v>
      </c>
      <c r="C12389" t="s">
        <v>176</v>
      </c>
      <c r="D12389">
        <v>1.6</v>
      </c>
      <c r="E12389">
        <v>0</v>
      </c>
      <c r="F12389">
        <f t="shared" si="225"/>
        <v>1.6</v>
      </c>
      <c r="G12389">
        <v>1</v>
      </c>
      <c r="H12389">
        <f t="shared" si="224"/>
        <v>1.6</v>
      </c>
      <c r="I12389">
        <v>20170401</v>
      </c>
      <c r="J12389" t="s">
        <v>14539</v>
      </c>
    </row>
    <row r="12390" spans="1:67" x14ac:dyDescent="0.3">
      <c r="A12390" s="160">
        <v>95119</v>
      </c>
      <c r="B12390" t="s">
        <v>27265</v>
      </c>
      <c r="C12390" t="s">
        <v>176</v>
      </c>
      <c r="D12390">
        <v>1.6</v>
      </c>
      <c r="E12390">
        <v>0</v>
      </c>
      <c r="F12390">
        <f t="shared" si="225"/>
        <v>1.6</v>
      </c>
      <c r="G12390">
        <v>1</v>
      </c>
      <c r="H12390">
        <f t="shared" si="224"/>
        <v>1.6</v>
      </c>
      <c r="I12390">
        <v>20170401</v>
      </c>
      <c r="J12390" t="s">
        <v>14540</v>
      </c>
    </row>
    <row r="12391" spans="1:67" x14ac:dyDescent="0.3">
      <c r="A12391" s="160">
        <v>95120</v>
      </c>
      <c r="B12391" t="s">
        <v>27266</v>
      </c>
      <c r="C12391" t="s">
        <v>176</v>
      </c>
      <c r="D12391">
        <v>2.0099999999999998</v>
      </c>
      <c r="E12391">
        <v>0</v>
      </c>
      <c r="F12391">
        <f t="shared" si="225"/>
        <v>2.0099999999999998</v>
      </c>
      <c r="G12391">
        <v>1</v>
      </c>
      <c r="H12391">
        <f t="shared" si="224"/>
        <v>2.0099999999999998</v>
      </c>
      <c r="I12391">
        <v>20170401</v>
      </c>
      <c r="J12391" t="s">
        <v>14507</v>
      </c>
    </row>
    <row r="12392" spans="1:67" x14ac:dyDescent="0.3">
      <c r="A12392" s="160">
        <v>95127</v>
      </c>
      <c r="B12392" t="s">
        <v>27267</v>
      </c>
      <c r="C12392" t="s">
        <v>176</v>
      </c>
      <c r="D12392">
        <v>2.0099999999999998</v>
      </c>
      <c r="E12392">
        <v>0</v>
      </c>
      <c r="F12392">
        <f t="shared" si="225"/>
        <v>2.0099999999999998</v>
      </c>
      <c r="G12392">
        <v>1</v>
      </c>
      <c r="H12392">
        <f t="shared" si="224"/>
        <v>2.0099999999999998</v>
      </c>
      <c r="I12392">
        <v>20170401</v>
      </c>
      <c r="J12392" t="s">
        <v>14528</v>
      </c>
      <c r="K12392" t="s">
        <v>14541</v>
      </c>
      <c r="L12392" t="s">
        <v>14542</v>
      </c>
      <c r="M12392" t="s">
        <v>14543</v>
      </c>
      <c r="N12392" t="s">
        <v>14544</v>
      </c>
      <c r="O12392" t="s">
        <v>14545</v>
      </c>
      <c r="P12392" t="s">
        <v>14546</v>
      </c>
      <c r="Q12392" t="s">
        <v>14547</v>
      </c>
      <c r="R12392" t="s">
        <v>14548</v>
      </c>
      <c r="S12392" t="s">
        <v>14549</v>
      </c>
      <c r="T12392" t="s">
        <v>14550</v>
      </c>
      <c r="U12392" t="s">
        <v>14529</v>
      </c>
      <c r="V12392" t="s">
        <v>14551</v>
      </c>
      <c r="W12392" t="s">
        <v>14552</v>
      </c>
      <c r="X12392" t="s">
        <v>14553</v>
      </c>
      <c r="Y12392" t="s">
        <v>14554</v>
      </c>
      <c r="Z12392" t="s">
        <v>14555</v>
      </c>
      <c r="AA12392" t="s">
        <v>14556</v>
      </c>
      <c r="AB12392" t="s">
        <v>14557</v>
      </c>
      <c r="AC12392" t="s">
        <v>14558</v>
      </c>
      <c r="AD12392" t="s">
        <v>14559</v>
      </c>
      <c r="AE12392" t="s">
        <v>14560</v>
      </c>
      <c r="AF12392" t="s">
        <v>14561</v>
      </c>
      <c r="AG12392" t="s">
        <v>14562</v>
      </c>
      <c r="AH12392" t="s">
        <v>14563</v>
      </c>
      <c r="AI12392" t="s">
        <v>14564</v>
      </c>
      <c r="AJ12392" t="s">
        <v>14565</v>
      </c>
      <c r="AK12392" t="s">
        <v>14566</v>
      </c>
      <c r="AL12392" t="s">
        <v>14567</v>
      </c>
      <c r="AM12392" t="s">
        <v>14568</v>
      </c>
      <c r="AN12392" t="s">
        <v>14569</v>
      </c>
      <c r="AO12392" t="s">
        <v>14570</v>
      </c>
      <c r="AP12392" t="s">
        <v>14571</v>
      </c>
      <c r="AQ12392" t="s">
        <v>14572</v>
      </c>
      <c r="AR12392" t="s">
        <v>14573</v>
      </c>
      <c r="AS12392" t="s">
        <v>14574</v>
      </c>
      <c r="AT12392" t="s">
        <v>14575</v>
      </c>
      <c r="AU12392" t="s">
        <v>14324</v>
      </c>
      <c r="AV12392" t="s">
        <v>10377</v>
      </c>
      <c r="AW12392" t="s">
        <v>7565</v>
      </c>
      <c r="AX12392" t="s">
        <v>14576</v>
      </c>
      <c r="AY12392" t="s">
        <v>14577</v>
      </c>
      <c r="AZ12392" t="s">
        <v>14578</v>
      </c>
      <c r="BA12392" t="s">
        <v>14579</v>
      </c>
      <c r="BB12392" t="s">
        <v>14580</v>
      </c>
      <c r="BC12392" t="s">
        <v>14581</v>
      </c>
      <c r="BD12392" t="s">
        <v>14582</v>
      </c>
      <c r="BE12392" t="s">
        <v>14583</v>
      </c>
      <c r="BF12392" t="s">
        <v>14584</v>
      </c>
      <c r="BG12392" t="s">
        <v>14585</v>
      </c>
      <c r="BH12392" t="s">
        <v>14586</v>
      </c>
      <c r="BI12392" t="s">
        <v>14587</v>
      </c>
      <c r="BJ12392" t="s">
        <v>14588</v>
      </c>
      <c r="BK12392" t="s">
        <v>14589</v>
      </c>
      <c r="BL12392" t="s">
        <v>14590</v>
      </c>
      <c r="BM12392" t="s">
        <v>14591</v>
      </c>
      <c r="BN12392" t="s">
        <v>14592</v>
      </c>
      <c r="BO12392" t="s">
        <v>14593</v>
      </c>
    </row>
    <row r="12393" spans="1:67" x14ac:dyDescent="0.3">
      <c r="A12393" s="160">
        <v>95134</v>
      </c>
      <c r="B12393" t="s">
        <v>27268</v>
      </c>
      <c r="C12393" t="s">
        <v>176</v>
      </c>
      <c r="D12393">
        <v>2.0099999999999998</v>
      </c>
      <c r="E12393">
        <v>0</v>
      </c>
      <c r="F12393">
        <f t="shared" si="225"/>
        <v>2.0099999999999998</v>
      </c>
      <c r="G12393">
        <v>1</v>
      </c>
      <c r="H12393">
        <f t="shared" si="224"/>
        <v>2.0099999999999998</v>
      </c>
      <c r="I12393">
        <v>20170401</v>
      </c>
      <c r="J12393" t="s">
        <v>14596</v>
      </c>
    </row>
    <row r="12394" spans="1:67" x14ac:dyDescent="0.3">
      <c r="A12394" s="160">
        <v>95139</v>
      </c>
      <c r="B12394" t="s">
        <v>27269</v>
      </c>
      <c r="C12394" t="s">
        <v>176</v>
      </c>
      <c r="D12394">
        <v>1.6</v>
      </c>
      <c r="E12394">
        <v>0</v>
      </c>
      <c r="F12394">
        <f t="shared" si="225"/>
        <v>1.6</v>
      </c>
      <c r="G12394">
        <v>1</v>
      </c>
      <c r="H12394">
        <f t="shared" si="224"/>
        <v>1.6</v>
      </c>
      <c r="I12394">
        <v>20170401</v>
      </c>
      <c r="J12394" t="s">
        <v>14490</v>
      </c>
    </row>
    <row r="12395" spans="1:67" x14ac:dyDescent="0.3">
      <c r="A12395" s="160">
        <v>95141</v>
      </c>
      <c r="B12395" t="s">
        <v>27270</v>
      </c>
      <c r="C12395" t="s">
        <v>176</v>
      </c>
      <c r="D12395">
        <v>1.6</v>
      </c>
      <c r="E12395">
        <v>0</v>
      </c>
      <c r="F12395">
        <f t="shared" si="225"/>
        <v>1.6</v>
      </c>
      <c r="G12395">
        <v>1</v>
      </c>
      <c r="H12395">
        <f t="shared" si="224"/>
        <v>1.6</v>
      </c>
      <c r="I12395">
        <v>20170401</v>
      </c>
      <c r="J12395" t="s">
        <v>14490</v>
      </c>
    </row>
    <row r="12396" spans="1:67" x14ac:dyDescent="0.3">
      <c r="A12396" s="160">
        <v>95142</v>
      </c>
      <c r="B12396" t="s">
        <v>27271</v>
      </c>
      <c r="C12396" t="s">
        <v>176</v>
      </c>
      <c r="D12396">
        <v>1.6</v>
      </c>
      <c r="E12396">
        <v>0</v>
      </c>
      <c r="F12396">
        <f t="shared" si="225"/>
        <v>1.6</v>
      </c>
      <c r="G12396">
        <v>1</v>
      </c>
      <c r="H12396">
        <f t="shared" si="224"/>
        <v>1.6</v>
      </c>
      <c r="I12396">
        <v>20170401</v>
      </c>
      <c r="J12396" t="s">
        <v>14514</v>
      </c>
    </row>
    <row r="12397" spans="1:67" x14ac:dyDescent="0.3">
      <c r="A12397" s="160">
        <v>95144</v>
      </c>
      <c r="B12397" t="s">
        <v>27272</v>
      </c>
      <c r="C12397" t="s">
        <v>176</v>
      </c>
      <c r="D12397">
        <v>1.6</v>
      </c>
      <c r="E12397">
        <v>0</v>
      </c>
      <c r="F12397">
        <f t="shared" si="225"/>
        <v>1.6</v>
      </c>
      <c r="G12397">
        <v>1</v>
      </c>
      <c r="H12397">
        <f t="shared" si="224"/>
        <v>1.6</v>
      </c>
      <c r="I12397">
        <v>20170401</v>
      </c>
      <c r="J12397" t="s">
        <v>14597</v>
      </c>
    </row>
    <row r="12398" spans="1:67" x14ac:dyDescent="0.3">
      <c r="A12398" s="160">
        <v>95149</v>
      </c>
      <c r="B12398" t="s">
        <v>27273</v>
      </c>
      <c r="C12398" t="s">
        <v>176</v>
      </c>
      <c r="D12398">
        <v>1.6</v>
      </c>
      <c r="E12398">
        <v>0</v>
      </c>
      <c r="F12398">
        <f t="shared" si="225"/>
        <v>1.6</v>
      </c>
      <c r="G12398">
        <v>1</v>
      </c>
      <c r="H12398">
        <f t="shared" si="224"/>
        <v>1.6</v>
      </c>
      <c r="I12398">
        <v>20170401</v>
      </c>
      <c r="J12398" t="s">
        <v>14505</v>
      </c>
    </row>
    <row r="12399" spans="1:67" x14ac:dyDescent="0.3">
      <c r="A12399" s="160">
        <v>95150</v>
      </c>
      <c r="B12399" t="s">
        <v>27274</v>
      </c>
      <c r="C12399" t="s">
        <v>176</v>
      </c>
      <c r="D12399">
        <v>1.6</v>
      </c>
      <c r="E12399">
        <v>0</v>
      </c>
      <c r="F12399">
        <f t="shared" si="225"/>
        <v>1.6</v>
      </c>
      <c r="G12399">
        <v>1</v>
      </c>
      <c r="H12399">
        <f t="shared" si="224"/>
        <v>1.6</v>
      </c>
      <c r="I12399">
        <v>20170401</v>
      </c>
      <c r="J12399" t="s">
        <v>14491</v>
      </c>
    </row>
    <row r="12400" spans="1:67" x14ac:dyDescent="0.3">
      <c r="A12400" s="160">
        <v>95151</v>
      </c>
      <c r="B12400" t="s">
        <v>27275</v>
      </c>
      <c r="C12400" t="s">
        <v>176</v>
      </c>
      <c r="D12400">
        <v>1.6</v>
      </c>
      <c r="E12400">
        <v>0</v>
      </c>
      <c r="F12400">
        <f t="shared" si="225"/>
        <v>1.6</v>
      </c>
      <c r="G12400">
        <v>1</v>
      </c>
      <c r="H12400">
        <f t="shared" si="224"/>
        <v>1.6</v>
      </c>
      <c r="I12400">
        <v>20170401</v>
      </c>
      <c r="J12400" t="s">
        <v>14508</v>
      </c>
    </row>
    <row r="12401" spans="1:68" x14ac:dyDescent="0.3">
      <c r="A12401" s="160">
        <v>95154</v>
      </c>
      <c r="B12401" t="s">
        <v>27276</v>
      </c>
      <c r="C12401" t="s">
        <v>176</v>
      </c>
      <c r="D12401">
        <v>1.6</v>
      </c>
      <c r="E12401">
        <v>0</v>
      </c>
      <c r="F12401">
        <f t="shared" si="225"/>
        <v>1.6</v>
      </c>
      <c r="G12401">
        <v>1</v>
      </c>
      <c r="H12401">
        <f t="shared" si="224"/>
        <v>1.6</v>
      </c>
      <c r="I12401">
        <v>20170401</v>
      </c>
      <c r="J12401" t="s">
        <v>14598</v>
      </c>
    </row>
    <row r="12402" spans="1:68" x14ac:dyDescent="0.3">
      <c r="A12402" s="160">
        <v>95157</v>
      </c>
      <c r="B12402" t="s">
        <v>27277</v>
      </c>
      <c r="C12402" t="s">
        <v>176</v>
      </c>
      <c r="D12402">
        <v>1.6</v>
      </c>
      <c r="E12402">
        <v>0</v>
      </c>
      <c r="F12402">
        <f t="shared" si="225"/>
        <v>1.6</v>
      </c>
      <c r="G12402">
        <v>1</v>
      </c>
      <c r="H12402">
        <f t="shared" si="224"/>
        <v>1.6</v>
      </c>
      <c r="I12402">
        <v>20170401</v>
      </c>
      <c r="J12402" t="s">
        <v>14489</v>
      </c>
    </row>
    <row r="12403" spans="1:68" x14ac:dyDescent="0.3">
      <c r="A12403" s="160">
        <v>95166</v>
      </c>
      <c r="B12403" t="s">
        <v>27278</v>
      </c>
      <c r="C12403" t="s">
        <v>176</v>
      </c>
      <c r="D12403">
        <v>1.6</v>
      </c>
      <c r="E12403">
        <v>0</v>
      </c>
      <c r="F12403">
        <f t="shared" si="225"/>
        <v>1.6</v>
      </c>
      <c r="G12403">
        <v>1</v>
      </c>
      <c r="H12403">
        <f t="shared" si="224"/>
        <v>1.6</v>
      </c>
      <c r="I12403">
        <v>20170401</v>
      </c>
      <c r="J12403" t="s">
        <v>14490</v>
      </c>
    </row>
    <row r="12404" spans="1:68" x14ac:dyDescent="0.3">
      <c r="A12404" s="160">
        <v>95169</v>
      </c>
      <c r="B12404" t="s">
        <v>27279</v>
      </c>
      <c r="C12404" t="s">
        <v>176</v>
      </c>
      <c r="D12404">
        <v>1.6</v>
      </c>
      <c r="E12404">
        <v>0</v>
      </c>
      <c r="F12404">
        <f t="shared" si="225"/>
        <v>1.6</v>
      </c>
      <c r="G12404">
        <v>1</v>
      </c>
      <c r="H12404">
        <f t="shared" si="224"/>
        <v>1.6</v>
      </c>
      <c r="I12404">
        <v>20170401</v>
      </c>
      <c r="J12404" t="s">
        <v>14488</v>
      </c>
    </row>
    <row r="12405" spans="1:68" x14ac:dyDescent="0.3">
      <c r="A12405" s="160">
        <v>95170</v>
      </c>
      <c r="B12405" t="s">
        <v>27280</v>
      </c>
      <c r="C12405" t="s">
        <v>176</v>
      </c>
      <c r="D12405">
        <v>1.6</v>
      </c>
      <c r="E12405">
        <v>0</v>
      </c>
      <c r="F12405">
        <f t="shared" si="225"/>
        <v>1.6</v>
      </c>
      <c r="G12405">
        <v>1</v>
      </c>
      <c r="H12405">
        <f t="shared" si="224"/>
        <v>1.6</v>
      </c>
      <c r="I12405">
        <v>20170401</v>
      </c>
      <c r="J12405" t="s">
        <v>14488</v>
      </c>
    </row>
    <row r="12406" spans="1:68" x14ac:dyDescent="0.3">
      <c r="A12406" s="160">
        <v>95176</v>
      </c>
      <c r="B12406" t="s">
        <v>27281</v>
      </c>
      <c r="C12406" t="s">
        <v>176</v>
      </c>
      <c r="D12406">
        <v>2.0099999999999998</v>
      </c>
      <c r="E12406">
        <v>0</v>
      </c>
      <c r="F12406">
        <f t="shared" si="225"/>
        <v>2.0099999999999998</v>
      </c>
      <c r="G12406">
        <v>1</v>
      </c>
      <c r="H12406">
        <f t="shared" si="224"/>
        <v>2.0099999999999998</v>
      </c>
      <c r="I12406">
        <v>20170401</v>
      </c>
      <c r="J12406" t="s">
        <v>14599</v>
      </c>
    </row>
    <row r="12407" spans="1:68" x14ac:dyDescent="0.3">
      <c r="A12407" s="160">
        <v>95177</v>
      </c>
      <c r="B12407" t="s">
        <v>27282</v>
      </c>
      <c r="C12407" t="s">
        <v>176</v>
      </c>
      <c r="D12407">
        <v>1.6</v>
      </c>
      <c r="E12407">
        <v>0</v>
      </c>
      <c r="F12407">
        <f t="shared" si="225"/>
        <v>1.6</v>
      </c>
      <c r="G12407">
        <v>1</v>
      </c>
      <c r="H12407">
        <f t="shared" si="224"/>
        <v>1.6</v>
      </c>
      <c r="I12407">
        <v>20170401</v>
      </c>
      <c r="J12407" t="s">
        <v>14600</v>
      </c>
    </row>
    <row r="12408" spans="1:68" x14ac:dyDescent="0.3">
      <c r="A12408" s="160">
        <v>95181</v>
      </c>
      <c r="B12408" t="s">
        <v>27283</v>
      </c>
      <c r="C12408" t="s">
        <v>176</v>
      </c>
      <c r="D12408">
        <v>1.6</v>
      </c>
      <c r="E12408">
        <v>0</v>
      </c>
      <c r="F12408">
        <f t="shared" si="225"/>
        <v>1.6</v>
      </c>
      <c r="G12408">
        <v>1</v>
      </c>
      <c r="H12408">
        <f t="shared" si="224"/>
        <v>1.6</v>
      </c>
      <c r="I12408">
        <v>20170401</v>
      </c>
      <c r="J12408" t="s">
        <v>14530</v>
      </c>
    </row>
    <row r="12409" spans="1:68" x14ac:dyDescent="0.3">
      <c r="A12409" s="160">
        <v>95183</v>
      </c>
      <c r="B12409" t="s">
        <v>27284</v>
      </c>
      <c r="C12409" t="s">
        <v>176</v>
      </c>
      <c r="D12409">
        <v>2.0099999999999998</v>
      </c>
      <c r="E12409">
        <v>0</v>
      </c>
      <c r="F12409">
        <f t="shared" si="225"/>
        <v>2.0099999999999998</v>
      </c>
      <c r="G12409">
        <v>1</v>
      </c>
      <c r="H12409">
        <f t="shared" si="224"/>
        <v>2.0099999999999998</v>
      </c>
      <c r="I12409">
        <v>20170401</v>
      </c>
      <c r="J12409" t="s">
        <v>14576</v>
      </c>
      <c r="K12409" t="s">
        <v>14577</v>
      </c>
      <c r="L12409" t="s">
        <v>14581</v>
      </c>
      <c r="M12409" t="s">
        <v>14584</v>
      </c>
      <c r="N12409" t="s">
        <v>14590</v>
      </c>
      <c r="O12409" t="s">
        <v>14591</v>
      </c>
    </row>
    <row r="12410" spans="1:68" x14ac:dyDescent="0.3">
      <c r="A12410" s="160">
        <v>95197</v>
      </c>
      <c r="B12410" t="s">
        <v>27285</v>
      </c>
      <c r="C12410" t="s">
        <v>176</v>
      </c>
      <c r="D12410">
        <v>2.0099999999999998</v>
      </c>
      <c r="E12410">
        <v>0</v>
      </c>
      <c r="F12410">
        <f t="shared" si="225"/>
        <v>2.0099999999999998</v>
      </c>
      <c r="G12410">
        <v>1</v>
      </c>
      <c r="H12410">
        <f t="shared" si="224"/>
        <v>2.0099999999999998</v>
      </c>
      <c r="I12410">
        <v>20170401</v>
      </c>
      <c r="J12410" t="s">
        <v>14601</v>
      </c>
      <c r="K12410" t="s">
        <v>14602</v>
      </c>
    </row>
    <row r="12411" spans="1:68" x14ac:dyDescent="0.3">
      <c r="A12411" s="160">
        <v>95199</v>
      </c>
      <c r="B12411" t="s">
        <v>27286</v>
      </c>
      <c r="C12411" t="s">
        <v>176</v>
      </c>
      <c r="D12411">
        <v>2.0099999999999998</v>
      </c>
      <c r="E12411">
        <v>0</v>
      </c>
      <c r="F12411">
        <f t="shared" si="225"/>
        <v>2.0099999999999998</v>
      </c>
      <c r="G12411">
        <v>1</v>
      </c>
      <c r="H12411">
        <f t="shared" si="224"/>
        <v>2.0099999999999998</v>
      </c>
      <c r="I12411">
        <v>20170401</v>
      </c>
      <c r="J12411" t="s">
        <v>14603</v>
      </c>
      <c r="K12411" t="s">
        <v>14534</v>
      </c>
      <c r="L12411" t="s">
        <v>14535</v>
      </c>
      <c r="M12411" t="s">
        <v>14492</v>
      </c>
    </row>
    <row r="12412" spans="1:68" x14ac:dyDescent="0.3">
      <c r="A12412" s="160">
        <v>95203</v>
      </c>
      <c r="B12412" t="s">
        <v>27287</v>
      </c>
      <c r="C12412" t="s">
        <v>176</v>
      </c>
      <c r="D12412">
        <v>2.0099999999999998</v>
      </c>
      <c r="E12412">
        <v>0</v>
      </c>
      <c r="F12412">
        <f t="shared" si="225"/>
        <v>2.0099999999999998</v>
      </c>
      <c r="G12412">
        <v>1</v>
      </c>
      <c r="H12412">
        <f t="shared" si="224"/>
        <v>2.0099999999999998</v>
      </c>
      <c r="I12412">
        <v>20170401</v>
      </c>
      <c r="J12412" t="s">
        <v>14604</v>
      </c>
      <c r="K12412" t="s">
        <v>14605</v>
      </c>
      <c r="L12412" t="s">
        <v>14606</v>
      </c>
      <c r="M12412" t="s">
        <v>14607</v>
      </c>
      <c r="N12412" t="s">
        <v>14608</v>
      </c>
      <c r="O12412" t="s">
        <v>14609</v>
      </c>
    </row>
    <row r="12413" spans="1:68" x14ac:dyDescent="0.3">
      <c r="A12413" s="160">
        <v>95205</v>
      </c>
      <c r="B12413" t="s">
        <v>27288</v>
      </c>
      <c r="C12413" t="s">
        <v>176</v>
      </c>
      <c r="D12413">
        <v>2.0099999999999998</v>
      </c>
      <c r="E12413">
        <v>0</v>
      </c>
      <c r="F12413">
        <f t="shared" si="225"/>
        <v>2.0099999999999998</v>
      </c>
      <c r="G12413">
        <v>1</v>
      </c>
      <c r="H12413">
        <f t="shared" si="224"/>
        <v>2.0099999999999998</v>
      </c>
      <c r="I12413">
        <v>20170401</v>
      </c>
      <c r="J12413" t="s">
        <v>14535</v>
      </c>
      <c r="K12413" t="s">
        <v>14610</v>
      </c>
      <c r="L12413" t="s">
        <v>14492</v>
      </c>
      <c r="M12413" t="s">
        <v>14611</v>
      </c>
      <c r="N12413" t="s">
        <v>14612</v>
      </c>
    </row>
    <row r="12414" spans="1:68" x14ac:dyDescent="0.3">
      <c r="A12414" s="160">
        <v>95210</v>
      </c>
      <c r="B12414" t="s">
        <v>27289</v>
      </c>
      <c r="C12414" t="s">
        <v>176</v>
      </c>
      <c r="D12414">
        <v>2.0099999999999998</v>
      </c>
      <c r="E12414">
        <v>0</v>
      </c>
      <c r="F12414">
        <f t="shared" si="225"/>
        <v>2.0099999999999998</v>
      </c>
      <c r="G12414">
        <v>1</v>
      </c>
      <c r="H12414">
        <f t="shared" si="224"/>
        <v>2.0099999999999998</v>
      </c>
      <c r="I12414">
        <v>20170401</v>
      </c>
      <c r="J12414" t="s">
        <v>14613</v>
      </c>
    </row>
    <row r="12415" spans="1:68" x14ac:dyDescent="0.3">
      <c r="A12415" s="160">
        <v>95211</v>
      </c>
      <c r="B12415" t="s">
        <v>27290</v>
      </c>
      <c r="C12415" t="s">
        <v>176</v>
      </c>
      <c r="D12415">
        <v>1.6</v>
      </c>
      <c r="E12415">
        <v>0</v>
      </c>
      <c r="F12415">
        <f t="shared" si="225"/>
        <v>1.6</v>
      </c>
      <c r="G12415">
        <v>1</v>
      </c>
      <c r="H12415">
        <f t="shared" si="224"/>
        <v>1.6</v>
      </c>
      <c r="I12415">
        <v>20170401</v>
      </c>
      <c r="J12415" t="s">
        <v>14614</v>
      </c>
      <c r="K12415" t="s">
        <v>14575</v>
      </c>
      <c r="L12415" t="s">
        <v>14615</v>
      </c>
      <c r="M12415" t="s">
        <v>14324</v>
      </c>
      <c r="N12415" t="s">
        <v>14616</v>
      </c>
      <c r="O12415" t="s">
        <v>14617</v>
      </c>
      <c r="P12415" t="s">
        <v>14618</v>
      </c>
    </row>
    <row r="12416" spans="1:68" x14ac:dyDescent="0.3">
      <c r="A12416" s="160">
        <v>95212</v>
      </c>
      <c r="B12416" t="s">
        <v>27291</v>
      </c>
      <c r="C12416" t="s">
        <v>176</v>
      </c>
      <c r="D12416">
        <v>2.0099999999999998</v>
      </c>
      <c r="E12416">
        <v>0</v>
      </c>
      <c r="F12416">
        <f t="shared" si="225"/>
        <v>2.0099999999999998</v>
      </c>
      <c r="G12416">
        <v>1</v>
      </c>
      <c r="H12416">
        <f t="shared" si="224"/>
        <v>2.0099999999999998</v>
      </c>
      <c r="I12416">
        <v>20170401</v>
      </c>
      <c r="J12416" t="s">
        <v>14598</v>
      </c>
      <c r="K12416" t="s">
        <v>14619</v>
      </c>
      <c r="BP12416" t="s">
        <v>14163</v>
      </c>
    </row>
    <row r="12417" spans="1:19" x14ac:dyDescent="0.3">
      <c r="A12417" s="160">
        <v>95213</v>
      </c>
      <c r="B12417" t="s">
        <v>27292</v>
      </c>
      <c r="C12417" t="s">
        <v>176</v>
      </c>
      <c r="D12417">
        <v>1.6</v>
      </c>
      <c r="E12417">
        <v>0</v>
      </c>
      <c r="F12417">
        <f t="shared" si="225"/>
        <v>1.6</v>
      </c>
      <c r="G12417">
        <v>1</v>
      </c>
      <c r="H12417">
        <f t="shared" si="224"/>
        <v>1.6</v>
      </c>
      <c r="I12417">
        <v>20170401</v>
      </c>
      <c r="J12417" t="s">
        <v>14620</v>
      </c>
      <c r="K12417" t="s">
        <v>14504</v>
      </c>
    </row>
    <row r="12418" spans="1:19" x14ac:dyDescent="0.3">
      <c r="A12418" s="160">
        <v>95214</v>
      </c>
      <c r="B12418" t="s">
        <v>27293</v>
      </c>
      <c r="C12418" t="s">
        <v>176</v>
      </c>
      <c r="D12418">
        <v>1.6</v>
      </c>
      <c r="E12418">
        <v>0</v>
      </c>
      <c r="F12418">
        <f t="shared" si="225"/>
        <v>1.6</v>
      </c>
      <c r="G12418">
        <v>1</v>
      </c>
      <c r="H12418">
        <f t="shared" si="224"/>
        <v>1.6</v>
      </c>
      <c r="I12418">
        <v>20170401</v>
      </c>
      <c r="J12418" t="s">
        <v>14505</v>
      </c>
    </row>
    <row r="12419" spans="1:19" x14ac:dyDescent="0.3">
      <c r="A12419" s="160">
        <v>95218</v>
      </c>
      <c r="B12419" t="s">
        <v>27294</v>
      </c>
      <c r="C12419" t="s">
        <v>176</v>
      </c>
      <c r="D12419">
        <v>2.0099999999999998</v>
      </c>
      <c r="E12419">
        <v>0</v>
      </c>
      <c r="F12419">
        <f t="shared" si="225"/>
        <v>2.0099999999999998</v>
      </c>
      <c r="G12419">
        <v>1</v>
      </c>
      <c r="H12419">
        <f t="shared" si="224"/>
        <v>2.0099999999999998</v>
      </c>
      <c r="I12419">
        <v>20170401</v>
      </c>
      <c r="J12419" t="s">
        <v>14621</v>
      </c>
      <c r="K12419" t="s">
        <v>14622</v>
      </c>
      <c r="L12419" t="s">
        <v>14623</v>
      </c>
      <c r="M12419" t="s">
        <v>14624</v>
      </c>
      <c r="N12419" t="s">
        <v>14625</v>
      </c>
      <c r="O12419" t="s">
        <v>14626</v>
      </c>
      <c r="P12419" t="s">
        <v>14627</v>
      </c>
      <c r="Q12419" t="s">
        <v>14628</v>
      </c>
      <c r="R12419" t="s">
        <v>14629</v>
      </c>
      <c r="S12419" t="s">
        <v>14630</v>
      </c>
    </row>
    <row r="12420" spans="1:19" x14ac:dyDescent="0.3">
      <c r="A12420" s="160">
        <v>95219</v>
      </c>
      <c r="B12420" t="s">
        <v>27295</v>
      </c>
      <c r="C12420" t="s">
        <v>176</v>
      </c>
      <c r="D12420">
        <v>2.0099999999999998</v>
      </c>
      <c r="E12420">
        <v>0</v>
      </c>
      <c r="F12420">
        <f t="shared" si="225"/>
        <v>2.0099999999999998</v>
      </c>
      <c r="G12420">
        <v>1</v>
      </c>
      <c r="H12420">
        <f t="shared" si="224"/>
        <v>2.0099999999999998</v>
      </c>
      <c r="I12420">
        <v>20170401</v>
      </c>
      <c r="J12420" t="s">
        <v>14631</v>
      </c>
      <c r="K12420" t="s">
        <v>14632</v>
      </c>
      <c r="L12420" t="s">
        <v>14633</v>
      </c>
      <c r="M12420" t="s">
        <v>14634</v>
      </c>
      <c r="N12420" t="s">
        <v>14635</v>
      </c>
      <c r="O12420" t="s">
        <v>14636</v>
      </c>
      <c r="P12420" t="s">
        <v>14637</v>
      </c>
      <c r="Q12420" t="s">
        <v>14638</v>
      </c>
    </row>
    <row r="12421" spans="1:19" x14ac:dyDescent="0.3">
      <c r="A12421" s="160">
        <v>95229</v>
      </c>
      <c r="B12421" t="s">
        <v>27296</v>
      </c>
      <c r="C12421" t="s">
        <v>176</v>
      </c>
      <c r="D12421">
        <v>2.0099999999999998</v>
      </c>
      <c r="E12421">
        <v>0</v>
      </c>
      <c r="F12421">
        <f t="shared" si="225"/>
        <v>2.0099999999999998</v>
      </c>
      <c r="G12421">
        <v>1</v>
      </c>
      <c r="H12421">
        <f t="shared" ref="H12421:H12484" si="226">G12421*F12421</f>
        <v>2.0099999999999998</v>
      </c>
      <c r="I12421">
        <v>20170401</v>
      </c>
      <c r="J12421" t="s">
        <v>14534</v>
      </c>
      <c r="K12421" t="s">
        <v>14535</v>
      </c>
      <c r="L12421" t="s">
        <v>14639</v>
      </c>
      <c r="M12421" t="s">
        <v>14640</v>
      </c>
    </row>
    <row r="12422" spans="1:19" x14ac:dyDescent="0.3">
      <c r="A12422" s="160">
        <v>95241</v>
      </c>
      <c r="B12422" t="s">
        <v>27297</v>
      </c>
      <c r="C12422" t="s">
        <v>176</v>
      </c>
      <c r="D12422">
        <v>1.6</v>
      </c>
      <c r="E12422">
        <v>0</v>
      </c>
      <c r="F12422">
        <f t="shared" si="225"/>
        <v>1.6</v>
      </c>
      <c r="G12422">
        <v>1</v>
      </c>
      <c r="H12422">
        <f t="shared" si="226"/>
        <v>1.6</v>
      </c>
      <c r="I12422">
        <v>20170401</v>
      </c>
      <c r="J12422" t="s">
        <v>14597</v>
      </c>
      <c r="K12422" t="s">
        <v>14641</v>
      </c>
      <c r="L12422" t="s">
        <v>14642</v>
      </c>
    </row>
    <row r="12423" spans="1:19" x14ac:dyDescent="0.3">
      <c r="A12423" s="160">
        <v>95250</v>
      </c>
      <c r="B12423" t="s">
        <v>27298</v>
      </c>
      <c r="C12423" t="s">
        <v>176</v>
      </c>
      <c r="D12423">
        <v>1.6</v>
      </c>
      <c r="E12423">
        <v>0</v>
      </c>
      <c r="F12423">
        <f t="shared" ref="F12423:F12486" si="227">D12423+E12423</f>
        <v>1.6</v>
      </c>
      <c r="G12423">
        <v>1</v>
      </c>
      <c r="H12423">
        <f t="shared" si="226"/>
        <v>1.6</v>
      </c>
      <c r="I12423">
        <v>20170401</v>
      </c>
      <c r="J12423" t="s">
        <v>14643</v>
      </c>
      <c r="K12423" t="s">
        <v>14644</v>
      </c>
      <c r="L12423" t="s">
        <v>14645</v>
      </c>
      <c r="M12423" t="s">
        <v>14619</v>
      </c>
      <c r="N12423" t="s">
        <v>14646</v>
      </c>
      <c r="O12423" t="s">
        <v>14647</v>
      </c>
    </row>
    <row r="12424" spans="1:19" x14ac:dyDescent="0.3">
      <c r="A12424" s="160">
        <v>95252</v>
      </c>
      <c r="B12424" t="s">
        <v>21255</v>
      </c>
      <c r="C12424" t="s">
        <v>176</v>
      </c>
      <c r="D12424">
        <v>2.0099999999999998</v>
      </c>
      <c r="E12424">
        <v>0</v>
      </c>
      <c r="F12424">
        <f t="shared" si="227"/>
        <v>2.0099999999999998</v>
      </c>
      <c r="G12424">
        <v>1</v>
      </c>
      <c r="H12424">
        <f t="shared" si="226"/>
        <v>2.0099999999999998</v>
      </c>
      <c r="I12424">
        <v>20170401</v>
      </c>
      <c r="J12424" t="s">
        <v>14648</v>
      </c>
      <c r="K12424" t="s">
        <v>14649</v>
      </c>
      <c r="L12424" t="s">
        <v>14650</v>
      </c>
      <c r="M12424" t="s">
        <v>14651</v>
      </c>
      <c r="N12424" t="s">
        <v>14652</v>
      </c>
      <c r="O12424" t="s">
        <v>14653</v>
      </c>
      <c r="P12424" t="s">
        <v>14654</v>
      </c>
    </row>
    <row r="12425" spans="1:19" x14ac:dyDescent="0.3">
      <c r="A12425" s="160">
        <v>95253</v>
      </c>
      <c r="B12425" t="s">
        <v>27299</v>
      </c>
      <c r="C12425" t="s">
        <v>176</v>
      </c>
      <c r="D12425">
        <v>1.6</v>
      </c>
      <c r="E12425">
        <v>0</v>
      </c>
      <c r="F12425">
        <f t="shared" si="227"/>
        <v>1.6</v>
      </c>
      <c r="G12425">
        <v>1</v>
      </c>
      <c r="H12425">
        <f t="shared" si="226"/>
        <v>1.6</v>
      </c>
      <c r="I12425">
        <v>20170401</v>
      </c>
      <c r="J12425" t="s">
        <v>14488</v>
      </c>
    </row>
    <row r="12426" spans="1:19" x14ac:dyDescent="0.3">
      <c r="A12426" s="160">
        <v>95254</v>
      </c>
      <c r="B12426" t="s">
        <v>27300</v>
      </c>
      <c r="C12426" t="s">
        <v>176</v>
      </c>
      <c r="D12426">
        <v>1.6</v>
      </c>
      <c r="E12426">
        <v>0</v>
      </c>
      <c r="F12426">
        <f t="shared" si="227"/>
        <v>1.6</v>
      </c>
      <c r="G12426">
        <v>1</v>
      </c>
      <c r="H12426">
        <f t="shared" si="226"/>
        <v>1.6</v>
      </c>
      <c r="I12426">
        <v>20170401</v>
      </c>
      <c r="J12426" t="s">
        <v>14600</v>
      </c>
    </row>
    <row r="12427" spans="1:19" x14ac:dyDescent="0.3">
      <c r="A12427" s="160">
        <v>95256</v>
      </c>
      <c r="B12427" t="s">
        <v>27301</v>
      </c>
      <c r="C12427" t="s">
        <v>176</v>
      </c>
      <c r="D12427">
        <v>2.0099999999999998</v>
      </c>
      <c r="E12427">
        <v>0</v>
      </c>
      <c r="F12427">
        <f t="shared" si="227"/>
        <v>2.0099999999999998</v>
      </c>
      <c r="G12427">
        <v>1</v>
      </c>
      <c r="H12427">
        <f t="shared" si="226"/>
        <v>2.0099999999999998</v>
      </c>
      <c r="I12427">
        <v>20170401</v>
      </c>
      <c r="J12427" t="s">
        <v>14655</v>
      </c>
    </row>
    <row r="12428" spans="1:19" x14ac:dyDescent="0.3">
      <c r="A12428" s="160">
        <v>95257</v>
      </c>
      <c r="B12428" t="s">
        <v>27302</v>
      </c>
      <c r="C12428" t="s">
        <v>176</v>
      </c>
      <c r="D12428">
        <v>2.0099999999999998</v>
      </c>
      <c r="E12428">
        <v>0</v>
      </c>
      <c r="F12428">
        <f t="shared" si="227"/>
        <v>2.0099999999999998</v>
      </c>
      <c r="G12428">
        <v>1</v>
      </c>
      <c r="H12428">
        <f t="shared" si="226"/>
        <v>2.0099999999999998</v>
      </c>
      <c r="I12428">
        <v>20170401</v>
      </c>
      <c r="J12428" t="s">
        <v>14656</v>
      </c>
    </row>
    <row r="12429" spans="1:19" x14ac:dyDescent="0.3">
      <c r="A12429" s="160">
        <v>95258</v>
      </c>
      <c r="B12429" t="s">
        <v>27303</v>
      </c>
      <c r="C12429" t="s">
        <v>176</v>
      </c>
      <c r="D12429">
        <v>1.6</v>
      </c>
      <c r="E12429">
        <v>0</v>
      </c>
      <c r="F12429">
        <f t="shared" si="227"/>
        <v>1.6</v>
      </c>
      <c r="G12429">
        <v>1</v>
      </c>
      <c r="H12429">
        <f t="shared" si="226"/>
        <v>1.6</v>
      </c>
      <c r="I12429">
        <v>20170401</v>
      </c>
      <c r="J12429" t="s">
        <v>14657</v>
      </c>
    </row>
    <row r="12430" spans="1:19" x14ac:dyDescent="0.3">
      <c r="A12430" s="160">
        <v>95259</v>
      </c>
      <c r="B12430" t="s">
        <v>27303</v>
      </c>
      <c r="C12430" t="s">
        <v>176</v>
      </c>
      <c r="D12430">
        <v>1.6</v>
      </c>
      <c r="E12430">
        <v>0</v>
      </c>
      <c r="F12430">
        <f t="shared" si="227"/>
        <v>1.6</v>
      </c>
      <c r="G12430">
        <v>1</v>
      </c>
      <c r="H12430">
        <f t="shared" si="226"/>
        <v>1.6</v>
      </c>
      <c r="I12430">
        <v>20170401</v>
      </c>
      <c r="J12430" t="s">
        <v>14488</v>
      </c>
    </row>
    <row r="12431" spans="1:19" x14ac:dyDescent="0.3">
      <c r="A12431" s="160">
        <v>95268</v>
      </c>
      <c r="B12431" t="s">
        <v>27304</v>
      </c>
      <c r="C12431" t="s">
        <v>176</v>
      </c>
      <c r="D12431">
        <v>2.0099999999999998</v>
      </c>
      <c r="E12431">
        <v>0</v>
      </c>
      <c r="F12431">
        <f t="shared" si="227"/>
        <v>2.0099999999999998</v>
      </c>
      <c r="G12431">
        <v>1</v>
      </c>
      <c r="H12431">
        <f t="shared" si="226"/>
        <v>2.0099999999999998</v>
      </c>
      <c r="I12431">
        <v>20170401</v>
      </c>
      <c r="J12431" t="s">
        <v>14658</v>
      </c>
      <c r="K12431" t="s">
        <v>14659</v>
      </c>
      <c r="L12431" t="s">
        <v>14660</v>
      </c>
      <c r="M12431" t="s">
        <v>14661</v>
      </c>
      <c r="N12431" t="s">
        <v>14662</v>
      </c>
      <c r="O12431" t="s">
        <v>14663</v>
      </c>
      <c r="P12431" t="s">
        <v>13103</v>
      </c>
    </row>
    <row r="12432" spans="1:19" x14ac:dyDescent="0.3">
      <c r="A12432" s="160">
        <v>95270</v>
      </c>
      <c r="B12432" t="s">
        <v>27305</v>
      </c>
      <c r="C12432" t="s">
        <v>176</v>
      </c>
      <c r="D12432">
        <v>1.6</v>
      </c>
      <c r="E12432">
        <v>0</v>
      </c>
      <c r="F12432">
        <f t="shared" si="227"/>
        <v>1.6</v>
      </c>
      <c r="G12432">
        <v>1</v>
      </c>
      <c r="H12432">
        <f t="shared" si="226"/>
        <v>1.6</v>
      </c>
      <c r="I12432">
        <v>20170401</v>
      </c>
      <c r="J12432" t="s">
        <v>14490</v>
      </c>
    </row>
    <row r="12433" spans="1:74" x14ac:dyDescent="0.3">
      <c r="A12433" s="160">
        <v>95271</v>
      </c>
      <c r="B12433" t="s">
        <v>27306</v>
      </c>
      <c r="C12433" t="s">
        <v>176</v>
      </c>
      <c r="D12433">
        <v>1.6</v>
      </c>
      <c r="E12433">
        <v>0</v>
      </c>
      <c r="F12433">
        <f t="shared" si="227"/>
        <v>1.6</v>
      </c>
      <c r="G12433">
        <v>1</v>
      </c>
      <c r="H12433">
        <f t="shared" si="226"/>
        <v>1.6</v>
      </c>
      <c r="I12433">
        <v>20170401</v>
      </c>
      <c r="J12433" t="s">
        <v>14530</v>
      </c>
      <c r="K12433" t="s">
        <v>14531</v>
      </c>
    </row>
    <row r="12434" spans="1:74" x14ac:dyDescent="0.3">
      <c r="A12434" s="160">
        <v>95277</v>
      </c>
      <c r="B12434" t="s">
        <v>27307</v>
      </c>
      <c r="C12434" t="s">
        <v>176</v>
      </c>
      <c r="D12434">
        <v>2.0099999999999998</v>
      </c>
      <c r="E12434">
        <v>0</v>
      </c>
      <c r="F12434">
        <f t="shared" si="227"/>
        <v>2.0099999999999998</v>
      </c>
      <c r="G12434">
        <v>1</v>
      </c>
      <c r="H12434">
        <f t="shared" si="226"/>
        <v>2.0099999999999998</v>
      </c>
      <c r="I12434">
        <v>20170401</v>
      </c>
      <c r="J12434" t="s">
        <v>14641</v>
      </c>
      <c r="K12434" t="s">
        <v>14532</v>
      </c>
      <c r="L12434" t="s">
        <v>14664</v>
      </c>
      <c r="M12434" t="s">
        <v>14665</v>
      </c>
      <c r="N12434" t="s">
        <v>14533</v>
      </c>
      <c r="O12434" t="s">
        <v>14666</v>
      </c>
      <c r="P12434" t="s">
        <v>14667</v>
      </c>
      <c r="Q12434" t="s">
        <v>14668</v>
      </c>
      <c r="R12434" t="s">
        <v>14669</v>
      </c>
      <c r="S12434" t="s">
        <v>14670</v>
      </c>
      <c r="T12434" t="s">
        <v>14671</v>
      </c>
      <c r="U12434" t="s">
        <v>14672</v>
      </c>
      <c r="V12434" t="s">
        <v>14673</v>
      </c>
      <c r="W12434" t="s">
        <v>14674</v>
      </c>
      <c r="X12434" t="s">
        <v>14675</v>
      </c>
      <c r="Y12434" t="s">
        <v>14676</v>
      </c>
      <c r="Z12434" t="s">
        <v>14677</v>
      </c>
      <c r="AA12434" t="s">
        <v>14678</v>
      </c>
      <c r="AB12434" t="s">
        <v>14679</v>
      </c>
      <c r="AC12434" t="s">
        <v>14680</v>
      </c>
      <c r="AD12434" t="s">
        <v>14681</v>
      </c>
      <c r="AE12434" t="s">
        <v>14682</v>
      </c>
      <c r="AF12434" t="s">
        <v>14683</v>
      </c>
      <c r="AG12434" t="s">
        <v>14684</v>
      </c>
      <c r="AH12434" t="s">
        <v>14685</v>
      </c>
      <c r="AI12434" t="s">
        <v>14686</v>
      </c>
      <c r="AJ12434" t="s">
        <v>14687</v>
      </c>
    </row>
    <row r="12435" spans="1:74" x14ac:dyDescent="0.3">
      <c r="A12435" s="160">
        <v>95280</v>
      </c>
      <c r="B12435" t="s">
        <v>17959</v>
      </c>
      <c r="C12435" t="s">
        <v>176</v>
      </c>
      <c r="D12435">
        <v>2.0099999999999998</v>
      </c>
      <c r="E12435">
        <v>0</v>
      </c>
      <c r="F12435">
        <f t="shared" si="227"/>
        <v>2.0099999999999998</v>
      </c>
      <c r="G12435">
        <v>1</v>
      </c>
      <c r="H12435">
        <f t="shared" si="226"/>
        <v>2.0099999999999998</v>
      </c>
      <c r="I12435">
        <v>20170401</v>
      </c>
      <c r="J12435" t="s">
        <v>14597</v>
      </c>
      <c r="K12435" t="s">
        <v>14641</v>
      </c>
      <c r="L12435" t="s">
        <v>14688</v>
      </c>
      <c r="M12435" t="s">
        <v>14689</v>
      </c>
      <c r="N12435" t="s">
        <v>14690</v>
      </c>
      <c r="O12435" t="s">
        <v>14691</v>
      </c>
      <c r="P12435" t="s">
        <v>14692</v>
      </c>
      <c r="Q12435" t="s">
        <v>14693</v>
      </c>
      <c r="R12435" t="s">
        <v>14694</v>
      </c>
      <c r="S12435" t="s">
        <v>14695</v>
      </c>
      <c r="T12435" t="s">
        <v>14696</v>
      </c>
      <c r="U12435" t="s">
        <v>14697</v>
      </c>
      <c r="V12435" t="s">
        <v>14642</v>
      </c>
    </row>
    <row r="12436" spans="1:74" x14ac:dyDescent="0.3">
      <c r="A12436" s="160">
        <v>95282</v>
      </c>
      <c r="B12436" t="s">
        <v>27308</v>
      </c>
      <c r="C12436" t="s">
        <v>176</v>
      </c>
      <c r="D12436">
        <v>1.6</v>
      </c>
      <c r="E12436">
        <v>0</v>
      </c>
      <c r="F12436">
        <f t="shared" si="227"/>
        <v>1.6</v>
      </c>
      <c r="G12436">
        <v>1</v>
      </c>
      <c r="H12436">
        <f t="shared" si="226"/>
        <v>1.6</v>
      </c>
      <c r="I12436">
        <v>20170401</v>
      </c>
      <c r="J12436" t="s">
        <v>14488</v>
      </c>
    </row>
    <row r="12437" spans="1:74" x14ac:dyDescent="0.3">
      <c r="A12437" s="160">
        <v>95287</v>
      </c>
      <c r="B12437" t="s">
        <v>27309</v>
      </c>
      <c r="C12437" t="s">
        <v>176</v>
      </c>
      <c r="D12437">
        <v>1.6</v>
      </c>
      <c r="E12437">
        <v>0</v>
      </c>
      <c r="F12437">
        <f t="shared" si="227"/>
        <v>1.6</v>
      </c>
      <c r="G12437">
        <v>1</v>
      </c>
      <c r="H12437">
        <f t="shared" si="226"/>
        <v>1.6</v>
      </c>
      <c r="I12437">
        <v>20170401</v>
      </c>
      <c r="J12437" t="s">
        <v>14504</v>
      </c>
    </row>
    <row r="12438" spans="1:74" x14ac:dyDescent="0.3">
      <c r="A12438" s="160">
        <v>95288</v>
      </c>
      <c r="B12438" t="s">
        <v>27310</v>
      </c>
      <c r="C12438" t="s">
        <v>176</v>
      </c>
      <c r="D12438">
        <v>2.0099999999999998</v>
      </c>
      <c r="E12438">
        <v>0</v>
      </c>
      <c r="F12438">
        <f t="shared" si="227"/>
        <v>2.0099999999999998</v>
      </c>
      <c r="G12438">
        <v>1</v>
      </c>
      <c r="H12438">
        <f t="shared" si="226"/>
        <v>2.0099999999999998</v>
      </c>
      <c r="I12438">
        <v>20170401</v>
      </c>
      <c r="J12438" t="s">
        <v>14698</v>
      </c>
      <c r="K12438" t="s">
        <v>14699</v>
      </c>
      <c r="BP12438" t="s">
        <v>14397</v>
      </c>
      <c r="BQ12438" t="s">
        <v>14398</v>
      </c>
      <c r="BR12438" t="s">
        <v>14163</v>
      </c>
      <c r="BS12438" t="s">
        <v>14399</v>
      </c>
      <c r="BT12438" t="s">
        <v>14400</v>
      </c>
      <c r="BU12438" t="s">
        <v>14219</v>
      </c>
      <c r="BV12438" t="s">
        <v>14401</v>
      </c>
    </row>
    <row r="12439" spans="1:74" x14ac:dyDescent="0.3">
      <c r="A12439" s="160">
        <v>95295</v>
      </c>
      <c r="B12439" t="s">
        <v>27311</v>
      </c>
      <c r="C12439" t="s">
        <v>176</v>
      </c>
      <c r="D12439">
        <v>1.6</v>
      </c>
      <c r="E12439">
        <v>0</v>
      </c>
      <c r="F12439">
        <f t="shared" si="227"/>
        <v>1.6</v>
      </c>
      <c r="G12439">
        <v>1</v>
      </c>
      <c r="H12439">
        <f t="shared" si="226"/>
        <v>1.6</v>
      </c>
      <c r="I12439">
        <v>20170401</v>
      </c>
      <c r="J12439" t="s">
        <v>14488</v>
      </c>
    </row>
    <row r="12440" spans="1:74" x14ac:dyDescent="0.3">
      <c r="A12440" s="160">
        <v>95298</v>
      </c>
      <c r="B12440" t="s">
        <v>27312</v>
      </c>
      <c r="C12440" t="s">
        <v>176</v>
      </c>
      <c r="D12440">
        <v>1.6</v>
      </c>
      <c r="E12440">
        <v>0</v>
      </c>
      <c r="F12440">
        <f t="shared" si="227"/>
        <v>1.6</v>
      </c>
      <c r="G12440">
        <v>1</v>
      </c>
      <c r="H12440">
        <f t="shared" si="226"/>
        <v>1.6</v>
      </c>
      <c r="I12440">
        <v>20170401</v>
      </c>
      <c r="J12440" t="s">
        <v>14538</v>
      </c>
    </row>
    <row r="12441" spans="1:74" x14ac:dyDescent="0.3">
      <c r="A12441" s="160">
        <v>95301</v>
      </c>
      <c r="B12441" t="s">
        <v>27313</v>
      </c>
      <c r="C12441" t="s">
        <v>176</v>
      </c>
      <c r="D12441">
        <v>1.6</v>
      </c>
      <c r="E12441">
        <v>0</v>
      </c>
      <c r="F12441">
        <f t="shared" si="227"/>
        <v>1.6</v>
      </c>
      <c r="G12441">
        <v>1</v>
      </c>
      <c r="H12441">
        <f t="shared" si="226"/>
        <v>1.6</v>
      </c>
      <c r="I12441">
        <v>20170401</v>
      </c>
      <c r="J12441" t="s">
        <v>14700</v>
      </c>
    </row>
    <row r="12442" spans="1:74" x14ac:dyDescent="0.3">
      <c r="A12442" s="160">
        <v>95303</v>
      </c>
      <c r="B12442" t="s">
        <v>27314</v>
      </c>
      <c r="C12442" t="s">
        <v>176</v>
      </c>
      <c r="D12442">
        <v>1.6</v>
      </c>
      <c r="E12442">
        <v>0</v>
      </c>
      <c r="F12442">
        <f t="shared" si="227"/>
        <v>1.6</v>
      </c>
      <c r="G12442">
        <v>1</v>
      </c>
      <c r="H12442">
        <f t="shared" si="226"/>
        <v>1.6</v>
      </c>
      <c r="I12442">
        <v>20170401</v>
      </c>
      <c r="J12442" t="s">
        <v>14538</v>
      </c>
    </row>
    <row r="12443" spans="1:74" x14ac:dyDescent="0.3">
      <c r="A12443" s="160">
        <v>95304</v>
      </c>
      <c r="B12443" t="s">
        <v>27315</v>
      </c>
      <c r="C12443" t="s">
        <v>176</v>
      </c>
      <c r="D12443">
        <v>1.6</v>
      </c>
      <c r="E12443">
        <v>0</v>
      </c>
      <c r="F12443">
        <f t="shared" si="227"/>
        <v>1.6</v>
      </c>
      <c r="G12443">
        <v>1</v>
      </c>
      <c r="H12443">
        <f t="shared" si="226"/>
        <v>1.6</v>
      </c>
      <c r="I12443">
        <v>20170401</v>
      </c>
      <c r="J12443" t="s">
        <v>14657</v>
      </c>
    </row>
    <row r="12444" spans="1:74" x14ac:dyDescent="0.3">
      <c r="A12444" s="160">
        <v>95306</v>
      </c>
      <c r="B12444" t="s">
        <v>27316</v>
      </c>
      <c r="C12444" t="s">
        <v>176</v>
      </c>
      <c r="D12444">
        <v>2.0099999999999998</v>
      </c>
      <c r="E12444">
        <v>0</v>
      </c>
      <c r="F12444">
        <f t="shared" si="227"/>
        <v>2.0099999999999998</v>
      </c>
      <c r="G12444">
        <v>1</v>
      </c>
      <c r="H12444">
        <f t="shared" si="226"/>
        <v>2.0099999999999998</v>
      </c>
      <c r="I12444">
        <v>20170401</v>
      </c>
      <c r="J12444" t="s">
        <v>14701</v>
      </c>
      <c r="K12444" t="s">
        <v>14702</v>
      </c>
      <c r="L12444" t="s">
        <v>14703</v>
      </c>
      <c r="M12444" t="s">
        <v>14704</v>
      </c>
      <c r="N12444" t="s">
        <v>14705</v>
      </c>
      <c r="O12444" t="s">
        <v>14706</v>
      </c>
      <c r="P12444" t="s">
        <v>14707</v>
      </c>
      <c r="Q12444" t="s">
        <v>14623</v>
      </c>
      <c r="R12444" t="s">
        <v>14624</v>
      </c>
      <c r="S12444" t="s">
        <v>14625</v>
      </c>
      <c r="T12444" t="s">
        <v>14626</v>
      </c>
      <c r="U12444" t="s">
        <v>14627</v>
      </c>
      <c r="V12444" t="s">
        <v>14629</v>
      </c>
    </row>
    <row r="12445" spans="1:74" x14ac:dyDescent="0.3">
      <c r="A12445" s="160">
        <v>95308</v>
      </c>
      <c r="B12445" t="s">
        <v>27317</v>
      </c>
      <c r="C12445" t="s">
        <v>176</v>
      </c>
      <c r="D12445">
        <v>1.6</v>
      </c>
      <c r="E12445">
        <v>0</v>
      </c>
      <c r="F12445">
        <f t="shared" si="227"/>
        <v>1.6</v>
      </c>
      <c r="G12445">
        <v>1</v>
      </c>
      <c r="H12445">
        <f t="shared" si="226"/>
        <v>1.6</v>
      </c>
      <c r="I12445">
        <v>20170401</v>
      </c>
      <c r="J12445" t="s">
        <v>14614</v>
      </c>
    </row>
    <row r="12446" spans="1:74" x14ac:dyDescent="0.3">
      <c r="A12446" s="160">
        <v>95309</v>
      </c>
      <c r="B12446" t="s">
        <v>27318</v>
      </c>
      <c r="C12446" t="s">
        <v>176</v>
      </c>
      <c r="D12446">
        <v>1.6</v>
      </c>
      <c r="E12446">
        <v>0</v>
      </c>
      <c r="F12446">
        <f t="shared" si="227"/>
        <v>1.6</v>
      </c>
      <c r="G12446">
        <v>1</v>
      </c>
      <c r="H12446">
        <f t="shared" si="226"/>
        <v>1.6</v>
      </c>
      <c r="I12446">
        <v>20170401</v>
      </c>
      <c r="J12446" t="s">
        <v>14490</v>
      </c>
    </row>
    <row r="12447" spans="1:74" x14ac:dyDescent="0.3">
      <c r="A12447" s="160">
        <v>95313</v>
      </c>
      <c r="B12447" t="s">
        <v>27319</v>
      </c>
      <c r="C12447" t="s">
        <v>176</v>
      </c>
      <c r="D12447">
        <v>2.0099999999999998</v>
      </c>
      <c r="E12447">
        <v>0</v>
      </c>
      <c r="F12447">
        <f t="shared" si="227"/>
        <v>2.0099999999999998</v>
      </c>
      <c r="G12447">
        <v>1</v>
      </c>
      <c r="H12447">
        <f t="shared" si="226"/>
        <v>2.0099999999999998</v>
      </c>
      <c r="I12447">
        <v>20170401</v>
      </c>
      <c r="J12447" t="s">
        <v>14708</v>
      </c>
      <c r="K12447" t="s">
        <v>14709</v>
      </c>
    </row>
    <row r="12448" spans="1:74" x14ac:dyDescent="0.3">
      <c r="A12448" s="160">
        <v>95316</v>
      </c>
      <c r="B12448" t="s">
        <v>27320</v>
      </c>
      <c r="C12448" t="s">
        <v>176</v>
      </c>
      <c r="D12448">
        <v>1.6</v>
      </c>
      <c r="E12448">
        <v>0</v>
      </c>
      <c r="F12448">
        <f t="shared" si="227"/>
        <v>1.6</v>
      </c>
      <c r="G12448">
        <v>1</v>
      </c>
      <c r="H12448">
        <f t="shared" si="226"/>
        <v>1.6</v>
      </c>
      <c r="I12448">
        <v>20170401</v>
      </c>
      <c r="J12448" t="s">
        <v>14710</v>
      </c>
    </row>
    <row r="12449" spans="1:16" x14ac:dyDescent="0.3">
      <c r="A12449" s="160">
        <v>95323</v>
      </c>
      <c r="B12449" t="s">
        <v>27321</v>
      </c>
      <c r="C12449" t="s">
        <v>176</v>
      </c>
      <c r="D12449">
        <v>2.0099999999999998</v>
      </c>
      <c r="E12449">
        <v>0</v>
      </c>
      <c r="F12449">
        <f t="shared" si="227"/>
        <v>2.0099999999999998</v>
      </c>
      <c r="G12449">
        <v>1</v>
      </c>
      <c r="H12449">
        <f t="shared" si="226"/>
        <v>2.0099999999999998</v>
      </c>
      <c r="I12449">
        <v>20170401</v>
      </c>
      <c r="J12449" t="s">
        <v>14541</v>
      </c>
      <c r="K12449" t="s">
        <v>14711</v>
      </c>
      <c r="L12449" t="s">
        <v>14529</v>
      </c>
      <c r="M12449" t="s">
        <v>14553</v>
      </c>
      <c r="N12449" t="s">
        <v>14554</v>
      </c>
      <c r="O12449" t="s">
        <v>14561</v>
      </c>
      <c r="P12449" t="s">
        <v>14712</v>
      </c>
    </row>
    <row r="12450" spans="1:16" x14ac:dyDescent="0.3">
      <c r="A12450" s="160">
        <v>95328</v>
      </c>
      <c r="B12450" t="s">
        <v>27322</v>
      </c>
      <c r="C12450" t="s">
        <v>176</v>
      </c>
      <c r="D12450">
        <v>1.6</v>
      </c>
      <c r="E12450">
        <v>0</v>
      </c>
      <c r="F12450">
        <f t="shared" si="227"/>
        <v>1.6</v>
      </c>
      <c r="G12450">
        <v>1</v>
      </c>
      <c r="H12450">
        <f t="shared" si="226"/>
        <v>1.6</v>
      </c>
      <c r="I12450">
        <v>20170401</v>
      </c>
      <c r="J12450" t="s">
        <v>14657</v>
      </c>
    </row>
    <row r="12451" spans="1:16" x14ac:dyDescent="0.3">
      <c r="A12451" s="160">
        <v>95331</v>
      </c>
      <c r="B12451" t="s">
        <v>27323</v>
      </c>
      <c r="C12451" t="s">
        <v>176</v>
      </c>
      <c r="D12451">
        <v>1.6</v>
      </c>
      <c r="E12451">
        <v>0</v>
      </c>
      <c r="F12451">
        <f t="shared" si="227"/>
        <v>1.6</v>
      </c>
      <c r="G12451">
        <v>1</v>
      </c>
      <c r="H12451">
        <f t="shared" si="226"/>
        <v>1.6</v>
      </c>
      <c r="I12451">
        <v>20170401</v>
      </c>
      <c r="J12451" t="s">
        <v>14505</v>
      </c>
    </row>
    <row r="12452" spans="1:16" x14ac:dyDescent="0.3">
      <c r="A12452" s="160">
        <v>95341</v>
      </c>
      <c r="B12452" t="s">
        <v>27324</v>
      </c>
      <c r="C12452" t="s">
        <v>176</v>
      </c>
      <c r="D12452">
        <v>1.6</v>
      </c>
      <c r="E12452">
        <v>0</v>
      </c>
      <c r="F12452">
        <f t="shared" si="227"/>
        <v>1.6</v>
      </c>
      <c r="G12452">
        <v>1</v>
      </c>
      <c r="H12452">
        <f t="shared" si="226"/>
        <v>1.6</v>
      </c>
      <c r="I12452">
        <v>20170401</v>
      </c>
      <c r="J12452" t="s">
        <v>14614</v>
      </c>
    </row>
    <row r="12453" spans="1:16" x14ac:dyDescent="0.3">
      <c r="A12453" s="160">
        <v>95348</v>
      </c>
      <c r="B12453" t="s">
        <v>27325</v>
      </c>
      <c r="C12453" t="s">
        <v>176</v>
      </c>
      <c r="D12453">
        <v>1.6</v>
      </c>
      <c r="E12453">
        <v>0</v>
      </c>
      <c r="F12453">
        <f t="shared" si="227"/>
        <v>1.6</v>
      </c>
      <c r="G12453">
        <v>1</v>
      </c>
      <c r="H12453">
        <f t="shared" si="226"/>
        <v>1.6</v>
      </c>
      <c r="I12453">
        <v>20170401</v>
      </c>
      <c r="J12453" t="s">
        <v>14488</v>
      </c>
    </row>
    <row r="12454" spans="1:16" x14ac:dyDescent="0.3">
      <c r="A12454" s="160">
        <v>95351</v>
      </c>
      <c r="B12454" t="s">
        <v>27326</v>
      </c>
      <c r="C12454" t="s">
        <v>176</v>
      </c>
      <c r="D12454">
        <v>1.6</v>
      </c>
      <c r="E12454">
        <v>0</v>
      </c>
      <c r="F12454">
        <f t="shared" si="227"/>
        <v>1.6</v>
      </c>
      <c r="G12454">
        <v>1</v>
      </c>
      <c r="H12454">
        <f t="shared" si="226"/>
        <v>1.6</v>
      </c>
      <c r="I12454">
        <v>20170401</v>
      </c>
      <c r="J12454" t="s">
        <v>14598</v>
      </c>
      <c r="K12454" t="s">
        <v>14619</v>
      </c>
    </row>
    <row r="12455" spans="1:16" x14ac:dyDescent="0.3">
      <c r="A12455" s="160">
        <v>95352</v>
      </c>
      <c r="B12455" t="s">
        <v>27327</v>
      </c>
      <c r="C12455" t="s">
        <v>176</v>
      </c>
      <c r="D12455">
        <v>1.6</v>
      </c>
      <c r="E12455">
        <v>0</v>
      </c>
      <c r="F12455">
        <f t="shared" si="227"/>
        <v>1.6</v>
      </c>
      <c r="G12455">
        <v>1</v>
      </c>
      <c r="H12455">
        <f t="shared" si="226"/>
        <v>1.6</v>
      </c>
      <c r="I12455">
        <v>20170401</v>
      </c>
      <c r="J12455" t="s">
        <v>14505</v>
      </c>
    </row>
    <row r="12456" spans="1:16" x14ac:dyDescent="0.3">
      <c r="A12456" s="160">
        <v>95353</v>
      </c>
      <c r="B12456" t="s">
        <v>27328</v>
      </c>
      <c r="C12456" t="s">
        <v>176</v>
      </c>
      <c r="D12456">
        <v>1.6</v>
      </c>
      <c r="E12456">
        <v>0</v>
      </c>
      <c r="F12456">
        <f t="shared" si="227"/>
        <v>1.6</v>
      </c>
      <c r="G12456">
        <v>1</v>
      </c>
      <c r="H12456">
        <f t="shared" si="226"/>
        <v>1.6</v>
      </c>
      <c r="I12456">
        <v>20170401</v>
      </c>
      <c r="J12456" t="s">
        <v>14508</v>
      </c>
    </row>
    <row r="12457" spans="1:16" x14ac:dyDescent="0.3">
      <c r="A12457" s="160">
        <v>95355</v>
      </c>
      <c r="B12457" t="s">
        <v>27329</v>
      </c>
      <c r="C12457" t="s">
        <v>176</v>
      </c>
      <c r="D12457">
        <v>1.6</v>
      </c>
      <c r="E12457">
        <v>0</v>
      </c>
      <c r="F12457">
        <f t="shared" si="227"/>
        <v>1.6</v>
      </c>
      <c r="G12457">
        <v>1</v>
      </c>
      <c r="H12457">
        <f t="shared" si="226"/>
        <v>1.6</v>
      </c>
      <c r="I12457">
        <v>20170401</v>
      </c>
      <c r="J12457" t="s">
        <v>14490</v>
      </c>
    </row>
    <row r="12458" spans="1:16" x14ac:dyDescent="0.3">
      <c r="A12458" s="160">
        <v>95365</v>
      </c>
      <c r="B12458" t="s">
        <v>27330</v>
      </c>
      <c r="C12458" t="s">
        <v>176</v>
      </c>
      <c r="D12458">
        <v>1.6</v>
      </c>
      <c r="E12458">
        <v>0</v>
      </c>
      <c r="F12458">
        <f t="shared" si="227"/>
        <v>1.6</v>
      </c>
      <c r="G12458">
        <v>1</v>
      </c>
      <c r="H12458">
        <f t="shared" si="226"/>
        <v>1.6</v>
      </c>
      <c r="I12458">
        <v>20170401</v>
      </c>
      <c r="J12458" t="s">
        <v>14710</v>
      </c>
    </row>
    <row r="12459" spans="1:16" x14ac:dyDescent="0.3">
      <c r="A12459" s="160">
        <v>95369</v>
      </c>
      <c r="B12459" t="s">
        <v>27331</v>
      </c>
      <c r="C12459" t="s">
        <v>176</v>
      </c>
      <c r="D12459">
        <v>2.0099999999999998</v>
      </c>
      <c r="E12459">
        <v>0</v>
      </c>
      <c r="F12459">
        <f t="shared" si="227"/>
        <v>2.0099999999999998</v>
      </c>
      <c r="G12459">
        <v>1</v>
      </c>
      <c r="H12459">
        <f t="shared" si="226"/>
        <v>2.0099999999999998</v>
      </c>
      <c r="I12459">
        <v>20170401</v>
      </c>
      <c r="J12459" t="s">
        <v>14493</v>
      </c>
    </row>
    <row r="12460" spans="1:16" x14ac:dyDescent="0.3">
      <c r="A12460" s="160">
        <v>95370</v>
      </c>
      <c r="B12460" t="s">
        <v>27332</v>
      </c>
      <c r="C12460" t="s">
        <v>176</v>
      </c>
      <c r="D12460">
        <v>1.6</v>
      </c>
      <c r="E12460">
        <v>0</v>
      </c>
      <c r="F12460">
        <f t="shared" si="227"/>
        <v>1.6</v>
      </c>
      <c r="G12460">
        <v>1</v>
      </c>
      <c r="H12460">
        <f t="shared" si="226"/>
        <v>1.6</v>
      </c>
      <c r="I12460">
        <v>20170401</v>
      </c>
      <c r="J12460" t="s">
        <v>14538</v>
      </c>
    </row>
    <row r="12461" spans="1:16" x14ac:dyDescent="0.3">
      <c r="A12461" s="160">
        <v>95371</v>
      </c>
      <c r="B12461" t="s">
        <v>27333</v>
      </c>
      <c r="C12461" t="s">
        <v>176</v>
      </c>
      <c r="D12461">
        <v>1.6</v>
      </c>
      <c r="E12461">
        <v>0</v>
      </c>
      <c r="F12461">
        <f t="shared" si="227"/>
        <v>1.6</v>
      </c>
      <c r="G12461">
        <v>1</v>
      </c>
      <c r="H12461">
        <f t="shared" si="226"/>
        <v>1.6</v>
      </c>
      <c r="I12461">
        <v>20170401</v>
      </c>
      <c r="J12461" t="s">
        <v>14644</v>
      </c>
      <c r="K12461" t="s">
        <v>14645</v>
      </c>
      <c r="L12461" t="s">
        <v>14713</v>
      </c>
      <c r="M12461" t="s">
        <v>14714</v>
      </c>
      <c r="N12461" t="s">
        <v>14619</v>
      </c>
      <c r="O12461" t="s">
        <v>14715</v>
      </c>
    </row>
    <row r="12462" spans="1:16" x14ac:dyDescent="0.3">
      <c r="A12462" s="160">
        <v>95379</v>
      </c>
      <c r="B12462" t="s">
        <v>27334</v>
      </c>
      <c r="C12462" t="s">
        <v>176</v>
      </c>
      <c r="D12462">
        <v>1.6</v>
      </c>
      <c r="E12462">
        <v>0</v>
      </c>
      <c r="F12462">
        <f t="shared" si="227"/>
        <v>1.6</v>
      </c>
      <c r="G12462">
        <v>1</v>
      </c>
      <c r="H12462">
        <f t="shared" si="226"/>
        <v>1.6</v>
      </c>
      <c r="I12462">
        <v>20170401</v>
      </c>
      <c r="J12462" t="s">
        <v>14490</v>
      </c>
    </row>
    <row r="12463" spans="1:16" x14ac:dyDescent="0.3">
      <c r="A12463" s="160">
        <v>95387</v>
      </c>
      <c r="B12463" t="s">
        <v>27335</v>
      </c>
      <c r="C12463" t="s">
        <v>176</v>
      </c>
      <c r="D12463">
        <v>1.6</v>
      </c>
      <c r="E12463">
        <v>0</v>
      </c>
      <c r="F12463">
        <f t="shared" si="227"/>
        <v>1.6</v>
      </c>
      <c r="G12463">
        <v>1</v>
      </c>
      <c r="H12463">
        <f t="shared" si="226"/>
        <v>1.6</v>
      </c>
      <c r="I12463">
        <v>20170401</v>
      </c>
      <c r="J12463" t="s">
        <v>14504</v>
      </c>
    </row>
    <row r="12464" spans="1:16" x14ac:dyDescent="0.3">
      <c r="A12464" s="160">
        <v>95388</v>
      </c>
      <c r="B12464" t="s">
        <v>27336</v>
      </c>
      <c r="C12464" t="s">
        <v>176</v>
      </c>
      <c r="D12464">
        <v>1.6</v>
      </c>
      <c r="E12464">
        <v>0</v>
      </c>
      <c r="F12464">
        <f t="shared" si="227"/>
        <v>1.6</v>
      </c>
      <c r="G12464">
        <v>1</v>
      </c>
      <c r="H12464">
        <f t="shared" si="226"/>
        <v>1.6</v>
      </c>
      <c r="I12464">
        <v>20170401</v>
      </c>
      <c r="J12464" t="s">
        <v>14716</v>
      </c>
    </row>
    <row r="12465" spans="1:13" x14ac:dyDescent="0.3">
      <c r="A12465" s="160">
        <v>95392</v>
      </c>
      <c r="B12465" t="s">
        <v>27337</v>
      </c>
      <c r="C12465" t="s">
        <v>176</v>
      </c>
      <c r="D12465">
        <v>2.0099999999999998</v>
      </c>
      <c r="E12465">
        <v>0</v>
      </c>
      <c r="F12465">
        <f t="shared" si="227"/>
        <v>2.0099999999999998</v>
      </c>
      <c r="G12465">
        <v>1</v>
      </c>
      <c r="H12465">
        <f t="shared" si="226"/>
        <v>2.0099999999999998</v>
      </c>
      <c r="I12465">
        <v>20170401</v>
      </c>
      <c r="J12465" t="s">
        <v>14717</v>
      </c>
    </row>
    <row r="12466" spans="1:13" x14ac:dyDescent="0.3">
      <c r="A12466" s="160">
        <v>95394</v>
      </c>
      <c r="B12466" t="s">
        <v>27338</v>
      </c>
      <c r="C12466" t="s">
        <v>176</v>
      </c>
      <c r="D12466">
        <v>2.0099999999999998</v>
      </c>
      <c r="E12466">
        <v>0</v>
      </c>
      <c r="F12466">
        <f t="shared" si="227"/>
        <v>2.0099999999999998</v>
      </c>
      <c r="G12466">
        <v>1</v>
      </c>
      <c r="H12466">
        <f t="shared" si="226"/>
        <v>2.0099999999999998</v>
      </c>
      <c r="I12466">
        <v>20170401</v>
      </c>
      <c r="J12466" t="s">
        <v>14718</v>
      </c>
    </row>
    <row r="12467" spans="1:13" x14ac:dyDescent="0.3">
      <c r="A12467" s="160">
        <v>95395</v>
      </c>
      <c r="B12467" t="s">
        <v>27339</v>
      </c>
      <c r="C12467" t="s">
        <v>176</v>
      </c>
      <c r="D12467">
        <v>1.6</v>
      </c>
      <c r="E12467">
        <v>0</v>
      </c>
      <c r="F12467">
        <f t="shared" si="227"/>
        <v>1.6</v>
      </c>
      <c r="G12467">
        <v>1</v>
      </c>
      <c r="H12467">
        <f t="shared" si="226"/>
        <v>1.6</v>
      </c>
      <c r="I12467">
        <v>20170401</v>
      </c>
      <c r="J12467" t="s">
        <v>14537</v>
      </c>
    </row>
    <row r="12468" spans="1:13" x14ac:dyDescent="0.3">
      <c r="A12468" s="160">
        <v>95409</v>
      </c>
      <c r="B12468" t="s">
        <v>27340</v>
      </c>
      <c r="C12468" t="s">
        <v>176</v>
      </c>
      <c r="D12468">
        <v>1.6</v>
      </c>
      <c r="E12468">
        <v>0</v>
      </c>
      <c r="F12468">
        <f t="shared" si="227"/>
        <v>1.6</v>
      </c>
      <c r="G12468">
        <v>1</v>
      </c>
      <c r="H12468">
        <f t="shared" si="226"/>
        <v>1.6</v>
      </c>
      <c r="I12468">
        <v>20170401</v>
      </c>
      <c r="J12468" t="s">
        <v>14535</v>
      </c>
      <c r="K12468" t="s">
        <v>14506</v>
      </c>
    </row>
    <row r="12469" spans="1:13" x14ac:dyDescent="0.3">
      <c r="A12469" s="160">
        <v>95422</v>
      </c>
      <c r="B12469" t="s">
        <v>27341</v>
      </c>
      <c r="C12469" t="s">
        <v>176</v>
      </c>
      <c r="D12469">
        <v>1.6</v>
      </c>
      <c r="E12469">
        <v>0</v>
      </c>
      <c r="F12469">
        <f t="shared" si="227"/>
        <v>1.6</v>
      </c>
      <c r="G12469">
        <v>1</v>
      </c>
      <c r="H12469">
        <f t="shared" si="226"/>
        <v>1.6</v>
      </c>
      <c r="I12469">
        <v>20170401</v>
      </c>
      <c r="J12469" t="s">
        <v>14530</v>
      </c>
    </row>
    <row r="12470" spans="1:13" x14ac:dyDescent="0.3">
      <c r="A12470" s="160">
        <v>95424</v>
      </c>
      <c r="B12470" t="s">
        <v>27342</v>
      </c>
      <c r="C12470" t="s">
        <v>176</v>
      </c>
      <c r="D12470">
        <v>2.0099999999999998</v>
      </c>
      <c r="E12470">
        <v>0</v>
      </c>
      <c r="F12470">
        <f t="shared" si="227"/>
        <v>2.0099999999999998</v>
      </c>
      <c r="G12470">
        <v>1</v>
      </c>
      <c r="H12470">
        <f t="shared" si="226"/>
        <v>2.0099999999999998</v>
      </c>
      <c r="I12470">
        <v>20170401</v>
      </c>
      <c r="J12470" t="s">
        <v>14707</v>
      </c>
      <c r="K12470" t="s">
        <v>14719</v>
      </c>
    </row>
    <row r="12471" spans="1:13" x14ac:dyDescent="0.3">
      <c r="A12471" s="160">
        <v>95426</v>
      </c>
      <c r="B12471" t="s">
        <v>27343</v>
      </c>
      <c r="C12471" t="s">
        <v>176</v>
      </c>
      <c r="D12471">
        <v>2.0099999999999998</v>
      </c>
      <c r="E12471">
        <v>0</v>
      </c>
      <c r="F12471">
        <f t="shared" si="227"/>
        <v>2.0099999999999998</v>
      </c>
      <c r="G12471">
        <v>1</v>
      </c>
      <c r="H12471">
        <f t="shared" si="226"/>
        <v>2.0099999999999998</v>
      </c>
      <c r="I12471">
        <v>20170401</v>
      </c>
      <c r="J12471" t="s">
        <v>14534</v>
      </c>
      <c r="K12471" t="s">
        <v>14535</v>
      </c>
      <c r="L12471" t="s">
        <v>14492</v>
      </c>
      <c r="M12471" t="s">
        <v>14720</v>
      </c>
    </row>
    <row r="12472" spans="1:13" x14ac:dyDescent="0.3">
      <c r="A12472" s="160">
        <v>95427</v>
      </c>
      <c r="B12472" t="s">
        <v>27344</v>
      </c>
      <c r="C12472" t="s">
        <v>176</v>
      </c>
      <c r="D12472">
        <v>2.0099999999999998</v>
      </c>
      <c r="E12472">
        <v>0</v>
      </c>
      <c r="F12472">
        <f t="shared" si="227"/>
        <v>2.0099999999999998</v>
      </c>
      <c r="G12472">
        <v>1</v>
      </c>
      <c r="H12472">
        <f t="shared" si="226"/>
        <v>2.0099999999999998</v>
      </c>
      <c r="I12472">
        <v>20170401</v>
      </c>
      <c r="J12472" t="s">
        <v>14721</v>
      </c>
      <c r="K12472" t="s">
        <v>14722</v>
      </c>
    </row>
    <row r="12473" spans="1:13" x14ac:dyDescent="0.3">
      <c r="A12473" s="160">
        <v>95428</v>
      </c>
      <c r="B12473" t="s">
        <v>27345</v>
      </c>
      <c r="C12473" t="s">
        <v>176</v>
      </c>
      <c r="D12473">
        <v>2.0099999999999998</v>
      </c>
      <c r="E12473">
        <v>0</v>
      </c>
      <c r="F12473">
        <f t="shared" si="227"/>
        <v>2.0099999999999998</v>
      </c>
      <c r="G12473">
        <v>1</v>
      </c>
      <c r="H12473">
        <f t="shared" si="226"/>
        <v>2.0099999999999998</v>
      </c>
      <c r="I12473">
        <v>20170401</v>
      </c>
      <c r="J12473" t="s">
        <v>14723</v>
      </c>
      <c r="K12473" t="s">
        <v>14724</v>
      </c>
      <c r="L12473" t="s">
        <v>14725</v>
      </c>
      <c r="M12473" t="s">
        <v>14726</v>
      </c>
    </row>
    <row r="12474" spans="1:13" x14ac:dyDescent="0.3">
      <c r="A12474" s="160">
        <v>95429</v>
      </c>
      <c r="B12474" t="s">
        <v>27346</v>
      </c>
      <c r="C12474" t="s">
        <v>176</v>
      </c>
      <c r="D12474">
        <v>1.6</v>
      </c>
      <c r="E12474">
        <v>0</v>
      </c>
      <c r="F12474">
        <f t="shared" si="227"/>
        <v>1.6</v>
      </c>
      <c r="G12474">
        <v>1</v>
      </c>
      <c r="H12474">
        <f t="shared" si="226"/>
        <v>1.6</v>
      </c>
      <c r="I12474">
        <v>20170401</v>
      </c>
      <c r="J12474" t="s">
        <v>14540</v>
      </c>
    </row>
    <row r="12475" spans="1:13" x14ac:dyDescent="0.3">
      <c r="A12475" s="160">
        <v>95430</v>
      </c>
      <c r="B12475" t="s">
        <v>27347</v>
      </c>
      <c r="C12475" t="s">
        <v>176</v>
      </c>
      <c r="D12475">
        <v>1.6</v>
      </c>
      <c r="E12475">
        <v>0</v>
      </c>
      <c r="F12475">
        <f t="shared" si="227"/>
        <v>1.6</v>
      </c>
      <c r="G12475">
        <v>1</v>
      </c>
      <c r="H12475">
        <f t="shared" si="226"/>
        <v>1.6</v>
      </c>
      <c r="I12475">
        <v>20170401</v>
      </c>
      <c r="J12475" t="s">
        <v>14508</v>
      </c>
    </row>
    <row r="12476" spans="1:13" x14ac:dyDescent="0.3">
      <c r="A12476" s="160">
        <v>95436</v>
      </c>
      <c r="B12476" t="s">
        <v>27348</v>
      </c>
      <c r="C12476" t="s">
        <v>176</v>
      </c>
      <c r="D12476">
        <v>1.6</v>
      </c>
      <c r="E12476">
        <v>0</v>
      </c>
      <c r="F12476">
        <f t="shared" si="227"/>
        <v>1.6</v>
      </c>
      <c r="G12476">
        <v>1</v>
      </c>
      <c r="H12476">
        <f t="shared" si="226"/>
        <v>1.6</v>
      </c>
      <c r="I12476">
        <v>20170401</v>
      </c>
      <c r="J12476" t="s">
        <v>14513</v>
      </c>
    </row>
    <row r="12477" spans="1:13" x14ac:dyDescent="0.3">
      <c r="A12477" s="160">
        <v>95438</v>
      </c>
      <c r="B12477" t="s">
        <v>20850</v>
      </c>
      <c r="C12477" t="s">
        <v>176</v>
      </c>
      <c r="D12477">
        <v>1.6</v>
      </c>
      <c r="E12477">
        <v>0</v>
      </c>
      <c r="F12477">
        <f t="shared" si="227"/>
        <v>1.6</v>
      </c>
      <c r="G12477">
        <v>1</v>
      </c>
      <c r="H12477">
        <f t="shared" si="226"/>
        <v>1.6</v>
      </c>
      <c r="I12477">
        <v>20170401</v>
      </c>
      <c r="J12477" t="s">
        <v>14538</v>
      </c>
    </row>
    <row r="12478" spans="1:13" x14ac:dyDescent="0.3">
      <c r="A12478" s="160">
        <v>95445</v>
      </c>
      <c r="B12478" t="s">
        <v>27349</v>
      </c>
      <c r="C12478" t="s">
        <v>176</v>
      </c>
      <c r="D12478">
        <v>1.6</v>
      </c>
      <c r="E12478">
        <v>0</v>
      </c>
      <c r="F12478">
        <f t="shared" si="227"/>
        <v>1.6</v>
      </c>
      <c r="G12478">
        <v>1</v>
      </c>
      <c r="H12478">
        <f t="shared" si="226"/>
        <v>1.6</v>
      </c>
      <c r="I12478">
        <v>20170401</v>
      </c>
      <c r="J12478" t="s">
        <v>14727</v>
      </c>
    </row>
    <row r="12479" spans="1:13" x14ac:dyDescent="0.3">
      <c r="A12479" s="160">
        <v>95446</v>
      </c>
      <c r="B12479" t="s">
        <v>27350</v>
      </c>
      <c r="C12479" t="s">
        <v>176</v>
      </c>
      <c r="D12479">
        <v>2.0099999999999998</v>
      </c>
      <c r="E12479">
        <v>0</v>
      </c>
      <c r="F12479">
        <f t="shared" si="227"/>
        <v>2.0099999999999998</v>
      </c>
      <c r="G12479">
        <v>1</v>
      </c>
      <c r="H12479">
        <f t="shared" si="226"/>
        <v>2.0099999999999998</v>
      </c>
      <c r="I12479">
        <v>20170401</v>
      </c>
      <c r="J12479" t="s">
        <v>14657</v>
      </c>
    </row>
    <row r="12480" spans="1:13" x14ac:dyDescent="0.3">
      <c r="A12480" s="160">
        <v>95447</v>
      </c>
      <c r="B12480" t="s">
        <v>27351</v>
      </c>
      <c r="C12480" t="s">
        <v>176</v>
      </c>
      <c r="D12480">
        <v>1.6</v>
      </c>
      <c r="E12480">
        <v>0</v>
      </c>
      <c r="F12480">
        <f t="shared" si="227"/>
        <v>1.6</v>
      </c>
      <c r="G12480">
        <v>1</v>
      </c>
      <c r="H12480">
        <f t="shared" si="226"/>
        <v>1.6</v>
      </c>
      <c r="I12480">
        <v>20170401</v>
      </c>
      <c r="J12480" t="s">
        <v>14538</v>
      </c>
    </row>
    <row r="12481" spans="1:69" x14ac:dyDescent="0.3">
      <c r="A12481" s="160">
        <v>95450</v>
      </c>
      <c r="B12481" t="s">
        <v>27352</v>
      </c>
      <c r="C12481" t="s">
        <v>176</v>
      </c>
      <c r="D12481">
        <v>2.0099999999999998</v>
      </c>
      <c r="E12481">
        <v>0</v>
      </c>
      <c r="F12481">
        <f t="shared" si="227"/>
        <v>2.0099999999999998</v>
      </c>
      <c r="G12481">
        <v>1</v>
      </c>
      <c r="H12481">
        <f t="shared" si="226"/>
        <v>2.0099999999999998</v>
      </c>
      <c r="I12481">
        <v>20170401</v>
      </c>
      <c r="J12481" t="s">
        <v>14528</v>
      </c>
      <c r="K12481" t="s">
        <v>14541</v>
      </c>
      <c r="L12481" t="s">
        <v>14548</v>
      </c>
      <c r="M12481" t="s">
        <v>14529</v>
      </c>
      <c r="N12481" t="s">
        <v>14559</v>
      </c>
      <c r="O12481" t="s">
        <v>14561</v>
      </c>
    </row>
    <row r="12482" spans="1:69" x14ac:dyDescent="0.3">
      <c r="A12482" s="160">
        <v>95452</v>
      </c>
      <c r="B12482" t="s">
        <v>22841</v>
      </c>
      <c r="C12482" t="s">
        <v>176</v>
      </c>
      <c r="D12482">
        <v>1.6</v>
      </c>
      <c r="E12482">
        <v>0</v>
      </c>
      <c r="F12482">
        <f t="shared" si="227"/>
        <v>1.6</v>
      </c>
      <c r="G12482">
        <v>1</v>
      </c>
      <c r="H12482">
        <f t="shared" si="226"/>
        <v>1.6</v>
      </c>
      <c r="I12482">
        <v>20170401</v>
      </c>
      <c r="J12482" t="s">
        <v>14727</v>
      </c>
    </row>
    <row r="12483" spans="1:69" x14ac:dyDescent="0.3">
      <c r="A12483" s="160">
        <v>95456</v>
      </c>
      <c r="B12483" t="s">
        <v>27353</v>
      </c>
      <c r="C12483" t="s">
        <v>176</v>
      </c>
      <c r="D12483">
        <v>1.6</v>
      </c>
      <c r="E12483">
        <v>0</v>
      </c>
      <c r="F12483">
        <f t="shared" si="227"/>
        <v>1.6</v>
      </c>
      <c r="G12483">
        <v>1</v>
      </c>
      <c r="H12483">
        <f t="shared" si="226"/>
        <v>1.6</v>
      </c>
      <c r="I12483">
        <v>20170401</v>
      </c>
      <c r="J12483" t="s">
        <v>14505</v>
      </c>
    </row>
    <row r="12484" spans="1:69" x14ac:dyDescent="0.3">
      <c r="A12484" s="160">
        <v>95459</v>
      </c>
      <c r="B12484" t="s">
        <v>27354</v>
      </c>
      <c r="C12484" t="s">
        <v>176</v>
      </c>
      <c r="D12484">
        <v>1.6</v>
      </c>
      <c r="E12484">
        <v>0</v>
      </c>
      <c r="F12484">
        <f t="shared" si="227"/>
        <v>1.6</v>
      </c>
      <c r="G12484">
        <v>1</v>
      </c>
      <c r="H12484">
        <f t="shared" si="226"/>
        <v>1.6</v>
      </c>
      <c r="I12484">
        <v>20170401</v>
      </c>
      <c r="J12484" t="s">
        <v>14490</v>
      </c>
    </row>
    <row r="12485" spans="1:69" x14ac:dyDescent="0.3">
      <c r="A12485" s="160">
        <v>95462</v>
      </c>
      <c r="B12485" t="s">
        <v>27355</v>
      </c>
      <c r="C12485" t="s">
        <v>176</v>
      </c>
      <c r="D12485">
        <v>1.6</v>
      </c>
      <c r="E12485">
        <v>0</v>
      </c>
      <c r="F12485">
        <f t="shared" si="227"/>
        <v>1.6</v>
      </c>
      <c r="G12485">
        <v>1</v>
      </c>
      <c r="H12485">
        <f t="shared" ref="H12485:H12540" si="228">G12485*F12485</f>
        <v>1.6</v>
      </c>
      <c r="I12485">
        <v>20170401</v>
      </c>
      <c r="J12485" t="s">
        <v>14490</v>
      </c>
    </row>
    <row r="12486" spans="1:69" x14ac:dyDescent="0.3">
      <c r="A12486" s="160">
        <v>95476</v>
      </c>
      <c r="B12486" t="s">
        <v>27356</v>
      </c>
      <c r="C12486" t="s">
        <v>176</v>
      </c>
      <c r="D12486">
        <v>2.0099999999999998</v>
      </c>
      <c r="E12486">
        <v>0</v>
      </c>
      <c r="F12486">
        <f t="shared" si="227"/>
        <v>2.0099999999999998</v>
      </c>
      <c r="G12486">
        <v>1</v>
      </c>
      <c r="H12486">
        <f t="shared" si="228"/>
        <v>2.0099999999999998</v>
      </c>
      <c r="I12486">
        <v>20170401</v>
      </c>
      <c r="J12486" t="s">
        <v>11346</v>
      </c>
      <c r="K12486" t="s">
        <v>14728</v>
      </c>
      <c r="L12486" t="s">
        <v>10377</v>
      </c>
      <c r="M12486" t="s">
        <v>14729</v>
      </c>
      <c r="N12486" t="s">
        <v>14620</v>
      </c>
      <c r="O12486" t="s">
        <v>14730</v>
      </c>
      <c r="P12486" t="s">
        <v>14731</v>
      </c>
      <c r="Q12486" t="s">
        <v>7565</v>
      </c>
      <c r="R12486" t="s">
        <v>13027</v>
      </c>
      <c r="S12486" t="s">
        <v>14621</v>
      </c>
      <c r="T12486" t="s">
        <v>14531</v>
      </c>
      <c r="U12486" t="s">
        <v>14578</v>
      </c>
      <c r="V12486" t="s">
        <v>14580</v>
      </c>
      <c r="W12486" t="s">
        <v>14582</v>
      </c>
    </row>
    <row r="12487" spans="1:69" x14ac:dyDescent="0.3">
      <c r="A12487" s="160">
        <v>95480</v>
      </c>
      <c r="B12487" t="s">
        <v>27357</v>
      </c>
      <c r="C12487" t="s">
        <v>176</v>
      </c>
      <c r="D12487">
        <v>2.0099999999999998</v>
      </c>
      <c r="E12487">
        <v>0</v>
      </c>
      <c r="F12487">
        <f t="shared" ref="F12487:F12550" si="229">D12487+E12487</f>
        <v>2.0099999999999998</v>
      </c>
      <c r="G12487">
        <v>1</v>
      </c>
      <c r="H12487">
        <f t="shared" si="228"/>
        <v>2.0099999999999998</v>
      </c>
      <c r="I12487">
        <v>20170401</v>
      </c>
      <c r="J12487" t="s">
        <v>14732</v>
      </c>
    </row>
    <row r="12488" spans="1:69" x14ac:dyDescent="0.3">
      <c r="A12488" s="160">
        <v>95483</v>
      </c>
      <c r="B12488" t="s">
        <v>27358</v>
      </c>
      <c r="C12488" t="s">
        <v>176</v>
      </c>
      <c r="D12488">
        <v>1.6</v>
      </c>
      <c r="E12488">
        <v>0</v>
      </c>
      <c r="F12488">
        <f t="shared" si="229"/>
        <v>1.6</v>
      </c>
      <c r="G12488">
        <v>1</v>
      </c>
      <c r="H12488">
        <f t="shared" si="228"/>
        <v>1.6</v>
      </c>
      <c r="I12488">
        <v>20170401</v>
      </c>
      <c r="J12488" t="s">
        <v>14488</v>
      </c>
    </row>
    <row r="12489" spans="1:69" x14ac:dyDescent="0.3">
      <c r="A12489" s="160">
        <v>95487</v>
      </c>
      <c r="B12489" t="s">
        <v>27359</v>
      </c>
      <c r="C12489" t="s">
        <v>176</v>
      </c>
      <c r="D12489">
        <v>1.6</v>
      </c>
      <c r="E12489">
        <v>0</v>
      </c>
      <c r="F12489">
        <f t="shared" si="229"/>
        <v>1.6</v>
      </c>
      <c r="G12489">
        <v>1</v>
      </c>
      <c r="H12489">
        <f t="shared" si="228"/>
        <v>1.6</v>
      </c>
      <c r="I12489">
        <v>20170401</v>
      </c>
      <c r="J12489" t="s">
        <v>14515</v>
      </c>
      <c r="BP12489" t="s">
        <v>14594</v>
      </c>
      <c r="BQ12489" t="s">
        <v>14595</v>
      </c>
    </row>
    <row r="12490" spans="1:69" x14ac:dyDescent="0.3">
      <c r="A12490" s="160">
        <v>95488</v>
      </c>
      <c r="B12490" t="s">
        <v>27360</v>
      </c>
      <c r="C12490" t="s">
        <v>176</v>
      </c>
      <c r="D12490">
        <v>2.0099999999999998</v>
      </c>
      <c r="E12490">
        <v>0</v>
      </c>
      <c r="F12490">
        <f t="shared" si="229"/>
        <v>2.0099999999999998</v>
      </c>
      <c r="G12490">
        <v>1</v>
      </c>
      <c r="H12490">
        <f t="shared" si="228"/>
        <v>2.0099999999999998</v>
      </c>
      <c r="I12490">
        <v>20170401</v>
      </c>
      <c r="J12490" t="s">
        <v>14701</v>
      </c>
      <c r="K12490" t="s">
        <v>14702</v>
      </c>
      <c r="L12490" t="s">
        <v>14705</v>
      </c>
      <c r="M12490" t="s">
        <v>14706</v>
      </c>
      <c r="N12490" t="s">
        <v>14707</v>
      </c>
      <c r="O12490" t="s">
        <v>14733</v>
      </c>
    </row>
    <row r="12491" spans="1:69" x14ac:dyDescent="0.3">
      <c r="A12491" s="160">
        <v>95489</v>
      </c>
      <c r="B12491" t="s">
        <v>27361</v>
      </c>
      <c r="C12491" t="s">
        <v>176</v>
      </c>
      <c r="D12491">
        <v>2.0099999999999998</v>
      </c>
      <c r="E12491">
        <v>0</v>
      </c>
      <c r="F12491">
        <f t="shared" si="229"/>
        <v>2.0099999999999998</v>
      </c>
      <c r="G12491">
        <v>1</v>
      </c>
      <c r="H12491">
        <f t="shared" si="228"/>
        <v>2.0099999999999998</v>
      </c>
      <c r="I12491">
        <v>20170401</v>
      </c>
      <c r="J12491" t="s">
        <v>14534</v>
      </c>
      <c r="K12491" t="s">
        <v>14734</v>
      </c>
    </row>
    <row r="12492" spans="1:69" x14ac:dyDescent="0.3">
      <c r="A12492" s="160">
        <v>95491</v>
      </c>
      <c r="B12492" t="s">
        <v>27362</v>
      </c>
      <c r="C12492" t="s">
        <v>176</v>
      </c>
      <c r="D12492">
        <v>2.0099999999999998</v>
      </c>
      <c r="E12492">
        <v>0</v>
      </c>
      <c r="F12492">
        <f t="shared" si="229"/>
        <v>2.0099999999999998</v>
      </c>
      <c r="G12492">
        <v>1</v>
      </c>
      <c r="H12492">
        <f t="shared" si="228"/>
        <v>2.0099999999999998</v>
      </c>
      <c r="I12492">
        <v>20170401</v>
      </c>
      <c r="J12492" t="s">
        <v>14648</v>
      </c>
      <c r="K12492" t="s">
        <v>14649</v>
      </c>
      <c r="L12492" t="s">
        <v>14653</v>
      </c>
      <c r="M12492" t="s">
        <v>14735</v>
      </c>
    </row>
    <row r="12493" spans="1:69" x14ac:dyDescent="0.3">
      <c r="A12493" s="160">
        <v>95492</v>
      </c>
      <c r="B12493" t="s">
        <v>27363</v>
      </c>
      <c r="C12493" t="s">
        <v>176</v>
      </c>
      <c r="D12493">
        <v>1.6</v>
      </c>
      <c r="E12493">
        <v>0</v>
      </c>
      <c r="F12493">
        <f t="shared" si="229"/>
        <v>1.6</v>
      </c>
      <c r="G12493">
        <v>1</v>
      </c>
      <c r="H12493">
        <f t="shared" si="228"/>
        <v>1.6</v>
      </c>
      <c r="I12493">
        <v>20170401</v>
      </c>
      <c r="J12493" t="s">
        <v>14537</v>
      </c>
    </row>
    <row r="12494" spans="1:69" x14ac:dyDescent="0.3">
      <c r="A12494" s="160">
        <v>95493</v>
      </c>
      <c r="B12494" t="s">
        <v>27364</v>
      </c>
      <c r="C12494" t="s">
        <v>176</v>
      </c>
      <c r="D12494">
        <v>1.6</v>
      </c>
      <c r="E12494">
        <v>0</v>
      </c>
      <c r="F12494">
        <f t="shared" si="229"/>
        <v>1.6</v>
      </c>
      <c r="G12494">
        <v>1</v>
      </c>
      <c r="H12494">
        <f t="shared" si="228"/>
        <v>1.6</v>
      </c>
      <c r="I12494">
        <v>20170401</v>
      </c>
      <c r="J12494" t="s">
        <v>14505</v>
      </c>
    </row>
    <row r="12495" spans="1:69" x14ac:dyDescent="0.3">
      <c r="A12495" s="160">
        <v>95500</v>
      </c>
      <c r="B12495" t="s">
        <v>27365</v>
      </c>
      <c r="C12495" t="s">
        <v>176</v>
      </c>
      <c r="D12495">
        <v>2.0099999999999998</v>
      </c>
      <c r="E12495">
        <v>0</v>
      </c>
      <c r="F12495">
        <f t="shared" si="229"/>
        <v>2.0099999999999998</v>
      </c>
      <c r="G12495">
        <v>1</v>
      </c>
      <c r="H12495">
        <f t="shared" si="228"/>
        <v>2.0099999999999998</v>
      </c>
      <c r="I12495">
        <v>20170401</v>
      </c>
      <c r="J12495" t="s">
        <v>14528</v>
      </c>
      <c r="K12495" t="s">
        <v>14541</v>
      </c>
      <c r="L12495" t="s">
        <v>14547</v>
      </c>
      <c r="M12495" t="s">
        <v>14550</v>
      </c>
      <c r="N12495" t="s">
        <v>14529</v>
      </c>
      <c r="O12495" t="s">
        <v>14553</v>
      </c>
      <c r="P12495" t="s">
        <v>14556</v>
      </c>
      <c r="Q12495" t="s">
        <v>14559</v>
      </c>
      <c r="R12495" t="s">
        <v>14736</v>
      </c>
      <c r="S12495" t="s">
        <v>14561</v>
      </c>
      <c r="T12495" t="s">
        <v>14567</v>
      </c>
      <c r="U12495" t="s">
        <v>14573</v>
      </c>
      <c r="V12495" t="s">
        <v>14614</v>
      </c>
      <c r="W12495" t="s">
        <v>14575</v>
      </c>
      <c r="X12495" t="s">
        <v>14615</v>
      </c>
      <c r="Y12495" t="s">
        <v>14324</v>
      </c>
      <c r="Z12495" t="s">
        <v>14616</v>
      </c>
      <c r="AA12495" t="s">
        <v>14617</v>
      </c>
      <c r="AB12495" t="s">
        <v>14618</v>
      </c>
      <c r="AC12495" t="s">
        <v>14737</v>
      </c>
      <c r="AD12495" t="s">
        <v>14629</v>
      </c>
    </row>
    <row r="12496" spans="1:69" x14ac:dyDescent="0.3">
      <c r="A12496" s="160">
        <v>95504</v>
      </c>
      <c r="B12496" t="s">
        <v>27366</v>
      </c>
      <c r="C12496" t="s">
        <v>176</v>
      </c>
      <c r="D12496">
        <v>1.6</v>
      </c>
      <c r="E12496">
        <v>0</v>
      </c>
      <c r="F12496">
        <f t="shared" si="229"/>
        <v>1.6</v>
      </c>
      <c r="G12496">
        <v>1</v>
      </c>
      <c r="H12496">
        <f t="shared" si="228"/>
        <v>1.6</v>
      </c>
      <c r="I12496">
        <v>20170401</v>
      </c>
      <c r="J12496" t="s">
        <v>14727</v>
      </c>
    </row>
    <row r="12497" spans="1:65" x14ac:dyDescent="0.3">
      <c r="A12497" s="160">
        <v>95509</v>
      </c>
      <c r="B12497" t="s">
        <v>27367</v>
      </c>
      <c r="C12497" t="s">
        <v>176</v>
      </c>
      <c r="D12497">
        <v>1.6</v>
      </c>
      <c r="E12497">
        <v>0</v>
      </c>
      <c r="F12497">
        <f t="shared" si="229"/>
        <v>1.6</v>
      </c>
      <c r="G12497">
        <v>1</v>
      </c>
      <c r="H12497">
        <f t="shared" si="228"/>
        <v>1.6</v>
      </c>
      <c r="I12497">
        <v>20170401</v>
      </c>
      <c r="J12497" t="s">
        <v>14598</v>
      </c>
    </row>
    <row r="12498" spans="1:65" x14ac:dyDescent="0.3">
      <c r="A12498" s="160">
        <v>95510</v>
      </c>
      <c r="B12498" t="s">
        <v>27368</v>
      </c>
      <c r="C12498" t="s">
        <v>176</v>
      </c>
      <c r="D12498">
        <v>2.0099999999999998</v>
      </c>
      <c r="E12498">
        <v>0</v>
      </c>
      <c r="F12498">
        <f t="shared" si="229"/>
        <v>2.0099999999999998</v>
      </c>
      <c r="G12498">
        <v>1</v>
      </c>
      <c r="H12498">
        <f t="shared" si="228"/>
        <v>2.0099999999999998</v>
      </c>
      <c r="I12498">
        <v>20170401</v>
      </c>
      <c r="J12498" t="s">
        <v>14621</v>
      </c>
      <c r="K12498" t="s">
        <v>14530</v>
      </c>
      <c r="L12498" t="s">
        <v>14531</v>
      </c>
      <c r="M12498" t="s">
        <v>14738</v>
      </c>
    </row>
    <row r="12499" spans="1:65" x14ac:dyDescent="0.3">
      <c r="A12499" s="160">
        <v>95523</v>
      </c>
      <c r="B12499" t="s">
        <v>27369</v>
      </c>
      <c r="C12499" t="s">
        <v>176</v>
      </c>
      <c r="D12499">
        <v>1.6</v>
      </c>
      <c r="E12499">
        <v>0</v>
      </c>
      <c r="F12499">
        <f t="shared" si="229"/>
        <v>1.6</v>
      </c>
      <c r="G12499">
        <v>1</v>
      </c>
      <c r="H12499">
        <f t="shared" si="228"/>
        <v>1.6</v>
      </c>
      <c r="I12499">
        <v>20170401</v>
      </c>
      <c r="J12499" t="s">
        <v>14700</v>
      </c>
    </row>
    <row r="12500" spans="1:65" x14ac:dyDescent="0.3">
      <c r="A12500" s="160">
        <v>95527</v>
      </c>
      <c r="B12500" t="s">
        <v>27370</v>
      </c>
      <c r="C12500" t="s">
        <v>176</v>
      </c>
      <c r="D12500">
        <v>2.0099999999999998</v>
      </c>
      <c r="E12500">
        <v>0</v>
      </c>
      <c r="F12500">
        <f t="shared" si="229"/>
        <v>2.0099999999999998</v>
      </c>
      <c r="G12500">
        <v>1</v>
      </c>
      <c r="H12500">
        <f t="shared" si="228"/>
        <v>2.0099999999999998</v>
      </c>
      <c r="I12500">
        <v>20170401</v>
      </c>
      <c r="J12500" t="s">
        <v>14641</v>
      </c>
      <c r="K12500" t="s">
        <v>14739</v>
      </c>
      <c r="L12500" t="s">
        <v>14740</v>
      </c>
      <c r="M12500" t="s">
        <v>14741</v>
      </c>
      <c r="N12500" t="s">
        <v>10981</v>
      </c>
      <c r="O12500" t="s">
        <v>14742</v>
      </c>
      <c r="P12500" t="s">
        <v>14743</v>
      </c>
      <c r="Q12500" t="s">
        <v>14744</v>
      </c>
      <c r="R12500" t="s">
        <v>11010</v>
      </c>
      <c r="S12500" t="s">
        <v>14745</v>
      </c>
      <c r="T12500" t="s">
        <v>14746</v>
      </c>
      <c r="U12500" t="s">
        <v>10982</v>
      </c>
      <c r="V12500" t="s">
        <v>10983</v>
      </c>
      <c r="W12500" t="s">
        <v>10984</v>
      </c>
      <c r="X12500" t="s">
        <v>14747</v>
      </c>
      <c r="Y12500" t="s">
        <v>14748</v>
      </c>
      <c r="Z12500" t="s">
        <v>14749</v>
      </c>
      <c r="AA12500" t="s">
        <v>11012</v>
      </c>
      <c r="AB12500" t="s">
        <v>11013</v>
      </c>
      <c r="AC12500" t="s">
        <v>14750</v>
      </c>
      <c r="AD12500" t="s">
        <v>14751</v>
      </c>
      <c r="AE12500" t="s">
        <v>14752</v>
      </c>
      <c r="AF12500" t="s">
        <v>14753</v>
      </c>
      <c r="AG12500" t="s">
        <v>11014</v>
      </c>
      <c r="AH12500" t="s">
        <v>14754</v>
      </c>
      <c r="AI12500" t="s">
        <v>14755</v>
      </c>
      <c r="AJ12500" t="s">
        <v>14756</v>
      </c>
      <c r="AK12500" t="s">
        <v>14757</v>
      </c>
      <c r="AL12500" t="s">
        <v>14758</v>
      </c>
      <c r="AM12500" t="s">
        <v>14759</v>
      </c>
      <c r="AN12500" t="s">
        <v>14670</v>
      </c>
      <c r="AO12500" t="s">
        <v>14760</v>
      </c>
      <c r="AP12500" t="s">
        <v>14671</v>
      </c>
      <c r="AQ12500" t="s">
        <v>14761</v>
      </c>
      <c r="AR12500" t="s">
        <v>14672</v>
      </c>
      <c r="AS12500" t="s">
        <v>14673</v>
      </c>
      <c r="AT12500" t="s">
        <v>14762</v>
      </c>
      <c r="AU12500" t="s">
        <v>14763</v>
      </c>
      <c r="AV12500" t="s">
        <v>14764</v>
      </c>
      <c r="AW12500" t="s">
        <v>14674</v>
      </c>
      <c r="AX12500" t="s">
        <v>14675</v>
      </c>
      <c r="AY12500" t="s">
        <v>14676</v>
      </c>
      <c r="AZ12500" t="s">
        <v>14677</v>
      </c>
      <c r="BA12500" t="s">
        <v>14678</v>
      </c>
      <c r="BB12500" t="s">
        <v>14679</v>
      </c>
      <c r="BC12500" t="s">
        <v>14684</v>
      </c>
      <c r="BD12500" t="s">
        <v>14685</v>
      </c>
      <c r="BE12500" t="s">
        <v>14765</v>
      </c>
      <c r="BF12500" t="s">
        <v>14766</v>
      </c>
      <c r="BG12500" t="s">
        <v>14686</v>
      </c>
      <c r="BH12500" t="s">
        <v>14767</v>
      </c>
      <c r="BI12500" t="s">
        <v>14768</v>
      </c>
      <c r="BJ12500" t="s">
        <v>14769</v>
      </c>
      <c r="BK12500" t="s">
        <v>14687</v>
      </c>
      <c r="BL12500" t="s">
        <v>14770</v>
      </c>
      <c r="BM12500" t="s">
        <v>14771</v>
      </c>
    </row>
    <row r="12501" spans="1:65" x14ac:dyDescent="0.3">
      <c r="A12501" s="160">
        <v>95529</v>
      </c>
      <c r="B12501" t="s">
        <v>27371</v>
      </c>
      <c r="C12501" t="s">
        <v>176</v>
      </c>
      <c r="D12501">
        <v>1.6</v>
      </c>
      <c r="E12501">
        <v>0</v>
      </c>
      <c r="F12501">
        <f t="shared" si="229"/>
        <v>1.6</v>
      </c>
      <c r="G12501">
        <v>1</v>
      </c>
      <c r="H12501">
        <f t="shared" si="228"/>
        <v>1.6</v>
      </c>
      <c r="I12501">
        <v>20170401</v>
      </c>
      <c r="J12501" t="s">
        <v>14515</v>
      </c>
    </row>
    <row r="12502" spans="1:65" x14ac:dyDescent="0.3">
      <c r="A12502" s="160">
        <v>95535</v>
      </c>
      <c r="B12502" t="s">
        <v>27372</v>
      </c>
      <c r="C12502" t="s">
        <v>176</v>
      </c>
      <c r="D12502">
        <v>1.6</v>
      </c>
      <c r="E12502">
        <v>0</v>
      </c>
      <c r="F12502">
        <f t="shared" si="229"/>
        <v>1.6</v>
      </c>
      <c r="G12502">
        <v>1</v>
      </c>
      <c r="H12502">
        <f t="shared" si="228"/>
        <v>1.6</v>
      </c>
      <c r="I12502">
        <v>20170401</v>
      </c>
      <c r="J12502" t="s">
        <v>14488</v>
      </c>
    </row>
    <row r="12503" spans="1:65" x14ac:dyDescent="0.3">
      <c r="A12503" s="160">
        <v>95539</v>
      </c>
      <c r="B12503" t="s">
        <v>27373</v>
      </c>
      <c r="C12503" t="s">
        <v>176</v>
      </c>
      <c r="D12503">
        <v>2.0099999999999998</v>
      </c>
      <c r="E12503">
        <v>0</v>
      </c>
      <c r="F12503">
        <f t="shared" si="229"/>
        <v>2.0099999999999998</v>
      </c>
      <c r="G12503">
        <v>1</v>
      </c>
      <c r="H12503">
        <f t="shared" si="228"/>
        <v>2.0099999999999998</v>
      </c>
      <c r="I12503">
        <v>20170401</v>
      </c>
      <c r="J12503" t="s">
        <v>14535</v>
      </c>
      <c r="K12503" t="s">
        <v>14734</v>
      </c>
      <c r="L12503" t="s">
        <v>14772</v>
      </c>
    </row>
    <row r="12504" spans="1:65" x14ac:dyDescent="0.3">
      <c r="A12504" s="160">
        <v>95541</v>
      </c>
      <c r="B12504" t="s">
        <v>27374</v>
      </c>
      <c r="C12504" t="s">
        <v>176</v>
      </c>
      <c r="D12504">
        <v>1.6</v>
      </c>
      <c r="E12504">
        <v>0</v>
      </c>
      <c r="F12504">
        <f t="shared" si="229"/>
        <v>1.6</v>
      </c>
      <c r="G12504">
        <v>1</v>
      </c>
      <c r="H12504">
        <f t="shared" si="228"/>
        <v>1.6</v>
      </c>
      <c r="I12504">
        <v>20170401</v>
      </c>
      <c r="J12504" t="s">
        <v>14540</v>
      </c>
    </row>
    <row r="12505" spans="1:65" x14ac:dyDescent="0.3">
      <c r="A12505" s="160">
        <v>95543</v>
      </c>
      <c r="B12505" t="s">
        <v>27375</v>
      </c>
      <c r="C12505" t="s">
        <v>176</v>
      </c>
      <c r="D12505">
        <v>1.6</v>
      </c>
      <c r="E12505">
        <v>0</v>
      </c>
      <c r="F12505">
        <f t="shared" si="229"/>
        <v>1.6</v>
      </c>
      <c r="G12505">
        <v>1</v>
      </c>
      <c r="H12505">
        <f t="shared" si="228"/>
        <v>1.6</v>
      </c>
      <c r="I12505">
        <v>20170401</v>
      </c>
      <c r="J12505" t="s">
        <v>14489</v>
      </c>
    </row>
    <row r="12506" spans="1:65" x14ac:dyDescent="0.3">
      <c r="A12506" s="160">
        <v>95554</v>
      </c>
      <c r="B12506" t="s">
        <v>18395</v>
      </c>
      <c r="C12506" t="s">
        <v>176</v>
      </c>
      <c r="D12506">
        <v>1.6</v>
      </c>
      <c r="E12506">
        <v>0</v>
      </c>
      <c r="F12506">
        <f t="shared" si="229"/>
        <v>1.6</v>
      </c>
      <c r="G12506">
        <v>1</v>
      </c>
      <c r="H12506">
        <f t="shared" si="228"/>
        <v>1.6</v>
      </c>
      <c r="I12506">
        <v>20170401</v>
      </c>
      <c r="J12506" t="s">
        <v>14490</v>
      </c>
    </row>
    <row r="12507" spans="1:65" x14ac:dyDescent="0.3">
      <c r="A12507" s="160">
        <v>95555</v>
      </c>
      <c r="B12507" t="s">
        <v>27376</v>
      </c>
      <c r="C12507" t="s">
        <v>176</v>
      </c>
      <c r="D12507">
        <v>2.0099999999999998</v>
      </c>
      <c r="E12507">
        <v>0</v>
      </c>
      <c r="F12507">
        <f t="shared" si="229"/>
        <v>2.0099999999999998</v>
      </c>
      <c r="G12507">
        <v>1</v>
      </c>
      <c r="H12507">
        <f t="shared" si="228"/>
        <v>2.0099999999999998</v>
      </c>
      <c r="I12507">
        <v>20170401</v>
      </c>
      <c r="J12507" t="s">
        <v>9757</v>
      </c>
      <c r="K12507" t="s">
        <v>14773</v>
      </c>
      <c r="L12507" t="s">
        <v>14774</v>
      </c>
      <c r="M12507" t="s">
        <v>14775</v>
      </c>
      <c r="N12507" t="s">
        <v>14776</v>
      </c>
      <c r="O12507" t="s">
        <v>14777</v>
      </c>
      <c r="P12507" t="s">
        <v>14778</v>
      </c>
      <c r="Q12507" t="s">
        <v>14779</v>
      </c>
      <c r="R12507" t="s">
        <v>14780</v>
      </c>
    </row>
    <row r="12508" spans="1:65" x14ac:dyDescent="0.3">
      <c r="A12508" s="160">
        <v>95563</v>
      </c>
      <c r="B12508" t="s">
        <v>27377</v>
      </c>
      <c r="C12508" t="s">
        <v>176</v>
      </c>
      <c r="D12508">
        <v>2.0099999999999998</v>
      </c>
      <c r="E12508">
        <v>0</v>
      </c>
      <c r="F12508">
        <f t="shared" si="229"/>
        <v>2.0099999999999998</v>
      </c>
      <c r="G12508">
        <v>1</v>
      </c>
      <c r="H12508">
        <f t="shared" si="228"/>
        <v>2.0099999999999998</v>
      </c>
      <c r="I12508">
        <v>20170401</v>
      </c>
      <c r="J12508" t="s">
        <v>14632</v>
      </c>
      <c r="K12508" t="s">
        <v>14633</v>
      </c>
      <c r="L12508" t="s">
        <v>14781</v>
      </c>
      <c r="M12508" t="s">
        <v>14735</v>
      </c>
      <c r="N12508" t="s">
        <v>14782</v>
      </c>
      <c r="O12508" t="s">
        <v>14783</v>
      </c>
      <c r="P12508" t="s">
        <v>14784</v>
      </c>
    </row>
    <row r="12509" spans="1:65" x14ac:dyDescent="0.3">
      <c r="A12509" s="160">
        <v>95566</v>
      </c>
      <c r="B12509" t="s">
        <v>26829</v>
      </c>
      <c r="C12509" t="s">
        <v>176</v>
      </c>
      <c r="D12509">
        <v>1.6</v>
      </c>
      <c r="E12509">
        <v>0</v>
      </c>
      <c r="F12509">
        <f t="shared" si="229"/>
        <v>1.6</v>
      </c>
      <c r="G12509">
        <v>1</v>
      </c>
      <c r="H12509">
        <f t="shared" si="228"/>
        <v>1.6</v>
      </c>
      <c r="I12509">
        <v>20170401</v>
      </c>
      <c r="J12509" t="s">
        <v>14505</v>
      </c>
    </row>
    <row r="12510" spans="1:65" x14ac:dyDescent="0.3">
      <c r="A12510" s="160">
        <v>95572</v>
      </c>
      <c r="B12510" t="s">
        <v>27378</v>
      </c>
      <c r="C12510" t="s">
        <v>176</v>
      </c>
      <c r="D12510">
        <v>2.0099999999999998</v>
      </c>
      <c r="E12510">
        <v>0</v>
      </c>
      <c r="F12510">
        <f t="shared" si="229"/>
        <v>2.0099999999999998</v>
      </c>
      <c r="G12510">
        <v>1</v>
      </c>
      <c r="H12510">
        <f t="shared" si="228"/>
        <v>2.0099999999999998</v>
      </c>
      <c r="I12510">
        <v>20170401</v>
      </c>
      <c r="J12510" t="s">
        <v>14785</v>
      </c>
      <c r="K12510" t="s">
        <v>14786</v>
      </c>
      <c r="L12510" t="s">
        <v>14787</v>
      </c>
      <c r="M12510" t="s">
        <v>14788</v>
      </c>
      <c r="N12510" t="s">
        <v>14789</v>
      </c>
      <c r="O12510" t="s">
        <v>14790</v>
      </c>
      <c r="P12510" t="s">
        <v>14791</v>
      </c>
      <c r="Q12510" t="s">
        <v>14792</v>
      </c>
      <c r="R12510" t="s">
        <v>14793</v>
      </c>
      <c r="S12510" t="s">
        <v>14794</v>
      </c>
      <c r="T12510" t="s">
        <v>14795</v>
      </c>
      <c r="U12510" t="s">
        <v>14796</v>
      </c>
      <c r="V12510" t="s">
        <v>14797</v>
      </c>
      <c r="W12510" t="s">
        <v>14798</v>
      </c>
      <c r="X12510" t="s">
        <v>14799</v>
      </c>
      <c r="Y12510" t="s">
        <v>14800</v>
      </c>
      <c r="Z12510" t="s">
        <v>14801</v>
      </c>
      <c r="AA12510" t="s">
        <v>14802</v>
      </c>
      <c r="AB12510" t="s">
        <v>14803</v>
      </c>
      <c r="AC12510" t="s">
        <v>14804</v>
      </c>
      <c r="AD12510" t="s">
        <v>14805</v>
      </c>
      <c r="AE12510" t="s">
        <v>14806</v>
      </c>
      <c r="AF12510" t="s">
        <v>14807</v>
      </c>
      <c r="AG12510" t="s">
        <v>14808</v>
      </c>
      <c r="AH12510" t="s">
        <v>14809</v>
      </c>
      <c r="AI12510" t="s">
        <v>14810</v>
      </c>
      <c r="AJ12510" t="s">
        <v>14811</v>
      </c>
      <c r="AK12510" t="s">
        <v>14812</v>
      </c>
      <c r="AL12510" t="s">
        <v>14813</v>
      </c>
      <c r="AM12510" t="s">
        <v>14814</v>
      </c>
      <c r="AN12510" t="s">
        <v>14815</v>
      </c>
      <c r="AO12510" t="s">
        <v>14816</v>
      </c>
      <c r="AP12510" t="s">
        <v>14817</v>
      </c>
      <c r="AQ12510" t="s">
        <v>14818</v>
      </c>
      <c r="AR12510" t="s">
        <v>14819</v>
      </c>
      <c r="AS12510" t="s">
        <v>14820</v>
      </c>
      <c r="AT12510" t="s">
        <v>14821</v>
      </c>
      <c r="AU12510" t="s">
        <v>14822</v>
      </c>
      <c r="AV12510" t="s">
        <v>14627</v>
      </c>
    </row>
    <row r="12511" spans="1:65" x14ac:dyDescent="0.3">
      <c r="A12511" s="160">
        <v>95574</v>
      </c>
      <c r="B12511" t="s">
        <v>27379</v>
      </c>
      <c r="C12511" t="s">
        <v>176</v>
      </c>
      <c r="D12511">
        <v>2.0099999999999998</v>
      </c>
      <c r="E12511">
        <v>0</v>
      </c>
      <c r="F12511">
        <f t="shared" si="229"/>
        <v>2.0099999999999998</v>
      </c>
      <c r="G12511">
        <v>1</v>
      </c>
      <c r="H12511">
        <f t="shared" si="228"/>
        <v>2.0099999999999998</v>
      </c>
      <c r="I12511">
        <v>20170401</v>
      </c>
      <c r="J12511" t="s">
        <v>14535</v>
      </c>
      <c r="K12511" t="s">
        <v>14823</v>
      </c>
    </row>
    <row r="12512" spans="1:65" x14ac:dyDescent="0.3">
      <c r="A12512" s="160">
        <v>95580</v>
      </c>
      <c r="B12512" t="s">
        <v>27380</v>
      </c>
      <c r="C12512" t="s">
        <v>176</v>
      </c>
      <c r="D12512">
        <v>1.6</v>
      </c>
      <c r="E12512">
        <v>0</v>
      </c>
      <c r="F12512">
        <f t="shared" si="229"/>
        <v>1.6</v>
      </c>
      <c r="G12512">
        <v>1</v>
      </c>
      <c r="H12512">
        <f t="shared" si="228"/>
        <v>1.6</v>
      </c>
      <c r="I12512">
        <v>20170401</v>
      </c>
      <c r="J12512" t="s">
        <v>14643</v>
      </c>
      <c r="K12512" t="s">
        <v>14644</v>
      </c>
      <c r="L12512" t="s">
        <v>14645</v>
      </c>
      <c r="M12512" t="s">
        <v>14824</v>
      </c>
      <c r="N12512" t="s">
        <v>14619</v>
      </c>
      <c r="O12512" t="s">
        <v>14825</v>
      </c>
    </row>
    <row r="12513" spans="1:17" x14ac:dyDescent="0.3">
      <c r="A12513" s="160">
        <v>95582</v>
      </c>
      <c r="B12513" t="s">
        <v>27381</v>
      </c>
      <c r="C12513" t="s">
        <v>176</v>
      </c>
      <c r="D12513">
        <v>2.0099999999999998</v>
      </c>
      <c r="E12513">
        <v>0</v>
      </c>
      <c r="F12513">
        <f t="shared" si="229"/>
        <v>2.0099999999999998</v>
      </c>
      <c r="G12513">
        <v>1</v>
      </c>
      <c r="H12513">
        <f t="shared" si="228"/>
        <v>2.0099999999999998</v>
      </c>
      <c r="I12513">
        <v>20170401</v>
      </c>
      <c r="J12513" t="s">
        <v>14826</v>
      </c>
      <c r="K12513" t="s">
        <v>14827</v>
      </c>
      <c r="L12513" t="s">
        <v>14828</v>
      </c>
      <c r="M12513" t="s">
        <v>14829</v>
      </c>
      <c r="N12513" t="s">
        <v>14830</v>
      </c>
    </row>
    <row r="12514" spans="1:17" x14ac:dyDescent="0.3">
      <c r="A12514" s="160">
        <v>95584</v>
      </c>
      <c r="B12514" t="s">
        <v>18080</v>
      </c>
      <c r="C12514" t="s">
        <v>176</v>
      </c>
      <c r="D12514">
        <v>1.6</v>
      </c>
      <c r="E12514">
        <v>0</v>
      </c>
      <c r="F12514">
        <f t="shared" si="229"/>
        <v>1.6</v>
      </c>
      <c r="G12514">
        <v>1</v>
      </c>
      <c r="H12514">
        <f t="shared" si="228"/>
        <v>1.6</v>
      </c>
      <c r="I12514">
        <v>20170401</v>
      </c>
      <c r="J12514" t="s">
        <v>14538</v>
      </c>
    </row>
    <row r="12515" spans="1:17" x14ac:dyDescent="0.3">
      <c r="A12515" s="160">
        <v>95585</v>
      </c>
      <c r="B12515" t="s">
        <v>27382</v>
      </c>
      <c r="C12515" t="s">
        <v>176</v>
      </c>
      <c r="D12515">
        <v>2.0099999999999998</v>
      </c>
      <c r="E12515">
        <v>0</v>
      </c>
      <c r="F12515">
        <f t="shared" si="229"/>
        <v>2.0099999999999998</v>
      </c>
      <c r="G12515">
        <v>1</v>
      </c>
      <c r="H12515">
        <f t="shared" si="228"/>
        <v>2.0099999999999998</v>
      </c>
      <c r="I12515">
        <v>20170401</v>
      </c>
      <c r="J12515" t="s">
        <v>14831</v>
      </c>
      <c r="K12515" t="s">
        <v>14832</v>
      </c>
      <c r="L12515" t="s">
        <v>14833</v>
      </c>
      <c r="M12515" t="s">
        <v>14834</v>
      </c>
      <c r="N12515" t="s">
        <v>14835</v>
      </c>
      <c r="O12515" t="s">
        <v>14836</v>
      </c>
      <c r="P12515" t="s">
        <v>14837</v>
      </c>
      <c r="Q12515" t="s">
        <v>14838</v>
      </c>
    </row>
    <row r="12516" spans="1:17" x14ac:dyDescent="0.3">
      <c r="A12516" s="160">
        <v>95592</v>
      </c>
      <c r="B12516" t="s">
        <v>27383</v>
      </c>
      <c r="C12516" t="s">
        <v>176</v>
      </c>
      <c r="D12516">
        <v>1.6</v>
      </c>
      <c r="E12516">
        <v>0</v>
      </c>
      <c r="F12516">
        <f t="shared" si="229"/>
        <v>1.6</v>
      </c>
      <c r="G12516">
        <v>1</v>
      </c>
      <c r="H12516">
        <f t="shared" si="228"/>
        <v>1.6</v>
      </c>
      <c r="I12516">
        <v>20170401</v>
      </c>
      <c r="J12516" t="s">
        <v>14488</v>
      </c>
    </row>
    <row r="12517" spans="1:17" x14ac:dyDescent="0.3">
      <c r="A12517" s="160">
        <v>95594</v>
      </c>
      <c r="B12517" t="s">
        <v>27384</v>
      </c>
      <c r="C12517" t="s">
        <v>176</v>
      </c>
      <c r="D12517">
        <v>1.6</v>
      </c>
      <c r="E12517">
        <v>0</v>
      </c>
      <c r="F12517">
        <f t="shared" si="229"/>
        <v>1.6</v>
      </c>
      <c r="G12517">
        <v>1</v>
      </c>
      <c r="H12517">
        <f t="shared" si="228"/>
        <v>1.6</v>
      </c>
      <c r="I12517">
        <v>20170401</v>
      </c>
      <c r="J12517" t="s">
        <v>14505</v>
      </c>
    </row>
    <row r="12518" spans="1:17" x14ac:dyDescent="0.3">
      <c r="A12518" s="160">
        <v>95598</v>
      </c>
      <c r="B12518" t="s">
        <v>27385</v>
      </c>
      <c r="C12518" t="s">
        <v>176</v>
      </c>
      <c r="D12518">
        <v>2.0099999999999998</v>
      </c>
      <c r="E12518">
        <v>0</v>
      </c>
      <c r="F12518">
        <f t="shared" si="229"/>
        <v>2.0099999999999998</v>
      </c>
      <c r="G12518">
        <v>1</v>
      </c>
      <c r="H12518">
        <f t="shared" si="228"/>
        <v>2.0099999999999998</v>
      </c>
      <c r="I12518">
        <v>20170401</v>
      </c>
      <c r="J12518" t="s">
        <v>14839</v>
      </c>
      <c r="K12518" t="s">
        <v>14840</v>
      </c>
      <c r="L12518" t="s">
        <v>14841</v>
      </c>
      <c r="M12518" t="s">
        <v>14842</v>
      </c>
      <c r="N12518" t="s">
        <v>14843</v>
      </c>
    </row>
    <row r="12519" spans="1:17" x14ac:dyDescent="0.3">
      <c r="A12519" s="160">
        <v>95604</v>
      </c>
      <c r="B12519" t="s">
        <v>27386</v>
      </c>
      <c r="C12519" t="s">
        <v>176</v>
      </c>
      <c r="D12519">
        <v>1.6</v>
      </c>
      <c r="E12519">
        <v>0</v>
      </c>
      <c r="F12519">
        <f t="shared" si="229"/>
        <v>1.6</v>
      </c>
      <c r="G12519">
        <v>1</v>
      </c>
      <c r="H12519">
        <f t="shared" si="228"/>
        <v>1.6</v>
      </c>
      <c r="I12519">
        <v>20170401</v>
      </c>
      <c r="J12519" t="s">
        <v>14643</v>
      </c>
      <c r="K12519" t="s">
        <v>14644</v>
      </c>
      <c r="L12519" t="s">
        <v>14645</v>
      </c>
      <c r="M12519" t="s">
        <v>14824</v>
      </c>
      <c r="N12519" t="s">
        <v>14619</v>
      </c>
      <c r="O12519" t="s">
        <v>14844</v>
      </c>
    </row>
    <row r="12520" spans="1:17" x14ac:dyDescent="0.3">
      <c r="A12520" s="160">
        <v>95607</v>
      </c>
      <c r="B12520" t="s">
        <v>27387</v>
      </c>
      <c r="C12520" t="s">
        <v>176</v>
      </c>
      <c r="D12520">
        <v>2.0099999999999998</v>
      </c>
      <c r="E12520">
        <v>0</v>
      </c>
      <c r="F12520">
        <f t="shared" si="229"/>
        <v>2.0099999999999998</v>
      </c>
      <c r="G12520">
        <v>1</v>
      </c>
      <c r="H12520">
        <f t="shared" si="228"/>
        <v>2.0099999999999998</v>
      </c>
      <c r="I12520">
        <v>20170401</v>
      </c>
      <c r="J12520" t="s">
        <v>14845</v>
      </c>
      <c r="K12520" t="s">
        <v>14846</v>
      </c>
      <c r="L12520" t="s">
        <v>14847</v>
      </c>
      <c r="M12520" t="s">
        <v>14848</v>
      </c>
      <c r="N12520" t="s">
        <v>14849</v>
      </c>
      <c r="O12520" t="s">
        <v>14516</v>
      </c>
      <c r="P12520" t="s">
        <v>14509</v>
      </c>
      <c r="Q12520" t="s">
        <v>14850</v>
      </c>
    </row>
    <row r="12521" spans="1:17" x14ac:dyDescent="0.3">
      <c r="A12521" s="160">
        <v>95610</v>
      </c>
      <c r="B12521" t="s">
        <v>27388</v>
      </c>
      <c r="C12521" t="s">
        <v>176</v>
      </c>
      <c r="D12521">
        <v>1.6</v>
      </c>
      <c r="E12521">
        <v>0</v>
      </c>
      <c r="F12521">
        <f t="shared" si="229"/>
        <v>1.6</v>
      </c>
      <c r="G12521">
        <v>1</v>
      </c>
      <c r="H12521">
        <f t="shared" si="228"/>
        <v>1.6</v>
      </c>
      <c r="I12521">
        <v>20170401</v>
      </c>
      <c r="J12521" t="s">
        <v>14488</v>
      </c>
    </row>
    <row r="12522" spans="1:17" x14ac:dyDescent="0.3">
      <c r="A12522" s="160">
        <v>95611</v>
      </c>
      <c r="B12522" t="s">
        <v>18092</v>
      </c>
      <c r="C12522" t="s">
        <v>176</v>
      </c>
      <c r="D12522">
        <v>1.6</v>
      </c>
      <c r="E12522">
        <v>0</v>
      </c>
      <c r="F12522">
        <f t="shared" si="229"/>
        <v>1.6</v>
      </c>
      <c r="G12522">
        <v>1</v>
      </c>
      <c r="H12522">
        <f t="shared" si="228"/>
        <v>1.6</v>
      </c>
      <c r="I12522">
        <v>20170401</v>
      </c>
      <c r="J12522" t="s">
        <v>14504</v>
      </c>
    </row>
    <row r="12523" spans="1:17" x14ac:dyDescent="0.3">
      <c r="A12523" s="160">
        <v>95612</v>
      </c>
      <c r="B12523" t="s">
        <v>27389</v>
      </c>
      <c r="C12523" t="s">
        <v>176</v>
      </c>
      <c r="D12523">
        <v>2.0099999999999998</v>
      </c>
      <c r="E12523">
        <v>0</v>
      </c>
      <c r="F12523">
        <f t="shared" si="229"/>
        <v>2.0099999999999998</v>
      </c>
      <c r="G12523">
        <v>1</v>
      </c>
      <c r="H12523">
        <f t="shared" si="228"/>
        <v>2.0099999999999998</v>
      </c>
      <c r="I12523">
        <v>20170401</v>
      </c>
      <c r="J12523" t="s">
        <v>14641</v>
      </c>
      <c r="K12523" t="s">
        <v>14694</v>
      </c>
      <c r="L12523" t="s">
        <v>14532</v>
      </c>
      <c r="M12523" t="s">
        <v>14664</v>
      </c>
      <c r="N12523" t="s">
        <v>14667</v>
      </c>
      <c r="O12523" t="s">
        <v>14669</v>
      </c>
      <c r="P12523" t="s">
        <v>14743</v>
      </c>
    </row>
    <row r="12524" spans="1:17" x14ac:dyDescent="0.3">
      <c r="A12524" s="160">
        <v>95625</v>
      </c>
      <c r="B12524" t="s">
        <v>27390</v>
      </c>
      <c r="C12524" t="s">
        <v>176</v>
      </c>
      <c r="D12524">
        <v>1.6</v>
      </c>
      <c r="E12524">
        <v>0</v>
      </c>
      <c r="F12524">
        <f t="shared" si="229"/>
        <v>1.6</v>
      </c>
      <c r="G12524">
        <v>1</v>
      </c>
      <c r="H12524">
        <f t="shared" si="228"/>
        <v>1.6</v>
      </c>
      <c r="I12524">
        <v>20170401</v>
      </c>
      <c r="J12524" t="s">
        <v>14488</v>
      </c>
    </row>
    <row r="12525" spans="1:17" x14ac:dyDescent="0.3">
      <c r="A12525" s="160">
        <v>95627</v>
      </c>
      <c r="B12525" t="s">
        <v>27391</v>
      </c>
      <c r="C12525" t="s">
        <v>176</v>
      </c>
      <c r="D12525">
        <v>1.6</v>
      </c>
      <c r="E12525">
        <v>0</v>
      </c>
      <c r="F12525">
        <f t="shared" si="229"/>
        <v>1.6</v>
      </c>
      <c r="G12525">
        <v>1</v>
      </c>
      <c r="H12525">
        <f t="shared" si="228"/>
        <v>1.6</v>
      </c>
      <c r="I12525">
        <v>20170401</v>
      </c>
      <c r="J12525" t="s">
        <v>14504</v>
      </c>
    </row>
    <row r="12526" spans="1:17" x14ac:dyDescent="0.3">
      <c r="A12526" s="160">
        <v>95628</v>
      </c>
      <c r="B12526" t="s">
        <v>27392</v>
      </c>
      <c r="C12526" t="s">
        <v>176</v>
      </c>
      <c r="D12526">
        <v>2.0099999999999998</v>
      </c>
      <c r="E12526">
        <v>0</v>
      </c>
      <c r="F12526">
        <f t="shared" si="229"/>
        <v>2.0099999999999998</v>
      </c>
      <c r="G12526">
        <v>1</v>
      </c>
      <c r="H12526">
        <f t="shared" si="228"/>
        <v>2.0099999999999998</v>
      </c>
      <c r="I12526">
        <v>20170401</v>
      </c>
      <c r="J12526" t="s">
        <v>14851</v>
      </c>
    </row>
    <row r="12527" spans="1:17" x14ac:dyDescent="0.3">
      <c r="A12527" s="160">
        <v>95633</v>
      </c>
      <c r="B12527" t="s">
        <v>27393</v>
      </c>
      <c r="C12527" t="s">
        <v>176</v>
      </c>
      <c r="D12527">
        <v>2.0099999999999998</v>
      </c>
      <c r="E12527">
        <v>0</v>
      </c>
      <c r="F12527">
        <f t="shared" si="229"/>
        <v>2.0099999999999998</v>
      </c>
      <c r="G12527">
        <v>1</v>
      </c>
      <c r="H12527">
        <f t="shared" si="228"/>
        <v>2.0099999999999998</v>
      </c>
      <c r="I12527">
        <v>20170401</v>
      </c>
      <c r="J12527" t="s">
        <v>14532</v>
      </c>
    </row>
    <row r="12528" spans="1:17" x14ac:dyDescent="0.3">
      <c r="A12528" s="160">
        <v>95637</v>
      </c>
      <c r="B12528" t="s">
        <v>27394</v>
      </c>
      <c r="C12528" t="s">
        <v>176</v>
      </c>
      <c r="D12528">
        <v>2.0099999999999998</v>
      </c>
      <c r="E12528">
        <v>0</v>
      </c>
      <c r="F12528">
        <f t="shared" si="229"/>
        <v>2.0099999999999998</v>
      </c>
      <c r="G12528">
        <v>1</v>
      </c>
      <c r="H12528">
        <f t="shared" si="228"/>
        <v>2.0099999999999998</v>
      </c>
      <c r="I12528">
        <v>20170401</v>
      </c>
      <c r="J12528" t="s">
        <v>14529</v>
      </c>
      <c r="K12528" t="s">
        <v>14852</v>
      </c>
      <c r="L12528" t="s">
        <v>14853</v>
      </c>
      <c r="M12528" t="s">
        <v>14591</v>
      </c>
    </row>
    <row r="12529" spans="1:24" x14ac:dyDescent="0.3">
      <c r="A12529" s="160">
        <v>95641</v>
      </c>
      <c r="B12529" t="s">
        <v>27395</v>
      </c>
      <c r="C12529" t="s">
        <v>176</v>
      </c>
      <c r="D12529">
        <v>1.6</v>
      </c>
      <c r="E12529">
        <v>0</v>
      </c>
      <c r="F12529">
        <f t="shared" si="229"/>
        <v>1.6</v>
      </c>
      <c r="G12529">
        <v>1</v>
      </c>
      <c r="H12529">
        <f t="shared" si="228"/>
        <v>1.6</v>
      </c>
      <c r="I12529">
        <v>20170401</v>
      </c>
      <c r="J12529" t="s">
        <v>14643</v>
      </c>
      <c r="K12529" t="s">
        <v>14619</v>
      </c>
    </row>
    <row r="12530" spans="1:24" x14ac:dyDescent="0.3">
      <c r="A12530" s="160">
        <v>95651</v>
      </c>
      <c r="B12530" t="s">
        <v>27396</v>
      </c>
      <c r="C12530" t="s">
        <v>176</v>
      </c>
      <c r="D12530">
        <v>1.6</v>
      </c>
      <c r="E12530">
        <v>0</v>
      </c>
      <c r="F12530">
        <f t="shared" si="229"/>
        <v>1.6</v>
      </c>
      <c r="G12530">
        <v>1</v>
      </c>
      <c r="H12530">
        <f t="shared" si="228"/>
        <v>1.6</v>
      </c>
      <c r="I12530">
        <v>20170401</v>
      </c>
      <c r="J12530" t="s">
        <v>14489</v>
      </c>
    </row>
    <row r="12531" spans="1:24" x14ac:dyDescent="0.3">
      <c r="A12531" s="160">
        <v>95652</v>
      </c>
      <c r="B12531" t="s">
        <v>27397</v>
      </c>
      <c r="C12531" t="s">
        <v>176</v>
      </c>
      <c r="D12531">
        <v>1.6</v>
      </c>
      <c r="E12531">
        <v>0</v>
      </c>
      <c r="F12531">
        <f t="shared" si="229"/>
        <v>1.6</v>
      </c>
      <c r="G12531">
        <v>1</v>
      </c>
      <c r="H12531">
        <f t="shared" si="228"/>
        <v>1.6</v>
      </c>
      <c r="I12531">
        <v>20170401</v>
      </c>
      <c r="J12531" t="s">
        <v>14505</v>
      </c>
    </row>
    <row r="12532" spans="1:24" x14ac:dyDescent="0.3">
      <c r="A12532" s="160">
        <v>95656</v>
      </c>
      <c r="B12532" t="s">
        <v>27398</v>
      </c>
      <c r="C12532" t="s">
        <v>176</v>
      </c>
      <c r="D12532">
        <v>1.6</v>
      </c>
      <c r="E12532">
        <v>0</v>
      </c>
      <c r="F12532">
        <f t="shared" si="229"/>
        <v>1.6</v>
      </c>
      <c r="G12532">
        <v>1</v>
      </c>
      <c r="H12532">
        <f t="shared" si="228"/>
        <v>1.6</v>
      </c>
      <c r="I12532">
        <v>20170401</v>
      </c>
      <c r="J12532" t="s">
        <v>14489</v>
      </c>
    </row>
    <row r="12533" spans="1:24" x14ac:dyDescent="0.3">
      <c r="A12533" s="160">
        <v>95658</v>
      </c>
      <c r="B12533" t="s">
        <v>27399</v>
      </c>
      <c r="C12533" t="s">
        <v>176</v>
      </c>
      <c r="D12533">
        <v>1.6</v>
      </c>
      <c r="E12533">
        <v>0</v>
      </c>
      <c r="F12533">
        <f t="shared" si="229"/>
        <v>1.6</v>
      </c>
      <c r="G12533">
        <v>1</v>
      </c>
      <c r="H12533">
        <f t="shared" si="228"/>
        <v>1.6</v>
      </c>
      <c r="I12533">
        <v>20170401</v>
      </c>
      <c r="J12533" t="s">
        <v>14488</v>
      </c>
    </row>
    <row r="12534" spans="1:24" x14ac:dyDescent="0.3">
      <c r="A12534" s="160">
        <v>95660</v>
      </c>
      <c r="B12534" t="s">
        <v>27400</v>
      </c>
      <c r="C12534" t="s">
        <v>176</v>
      </c>
      <c r="D12534">
        <v>1.6</v>
      </c>
      <c r="E12534">
        <v>0</v>
      </c>
      <c r="F12534">
        <f t="shared" si="229"/>
        <v>1.6</v>
      </c>
      <c r="G12534">
        <v>1</v>
      </c>
      <c r="H12534">
        <f t="shared" si="228"/>
        <v>1.6</v>
      </c>
      <c r="I12534">
        <v>20170401</v>
      </c>
      <c r="J12534" t="s">
        <v>14506</v>
      </c>
    </row>
    <row r="12535" spans="1:24" x14ac:dyDescent="0.3">
      <c r="A12535" s="160">
        <v>95675</v>
      </c>
      <c r="B12535" t="s">
        <v>27401</v>
      </c>
      <c r="C12535" t="s">
        <v>176</v>
      </c>
      <c r="D12535">
        <v>1.6</v>
      </c>
      <c r="E12535">
        <v>0</v>
      </c>
      <c r="F12535">
        <f t="shared" si="229"/>
        <v>1.6</v>
      </c>
      <c r="G12535">
        <v>1</v>
      </c>
      <c r="H12535">
        <f t="shared" si="228"/>
        <v>1.6</v>
      </c>
      <c r="I12535">
        <v>20170401</v>
      </c>
      <c r="J12535" t="s">
        <v>14598</v>
      </c>
      <c r="K12535" t="s">
        <v>14619</v>
      </c>
    </row>
    <row r="12536" spans="1:24" x14ac:dyDescent="0.3">
      <c r="A12536" s="160">
        <v>95676</v>
      </c>
      <c r="B12536" t="s">
        <v>27402</v>
      </c>
      <c r="C12536" t="s">
        <v>176</v>
      </c>
      <c r="D12536">
        <v>1.6</v>
      </c>
      <c r="E12536">
        <v>0</v>
      </c>
      <c r="F12536">
        <f t="shared" si="229"/>
        <v>1.6</v>
      </c>
      <c r="G12536">
        <v>1</v>
      </c>
      <c r="H12536">
        <f t="shared" si="228"/>
        <v>1.6</v>
      </c>
      <c r="I12536">
        <v>20170401</v>
      </c>
      <c r="J12536" t="s">
        <v>14489</v>
      </c>
    </row>
    <row r="12537" spans="1:24" x14ac:dyDescent="0.3">
      <c r="A12537" s="160">
        <v>95678</v>
      </c>
      <c r="B12537" t="s">
        <v>27403</v>
      </c>
      <c r="C12537" t="s">
        <v>176</v>
      </c>
      <c r="D12537">
        <v>2.0099999999999998</v>
      </c>
      <c r="E12537">
        <v>0</v>
      </c>
      <c r="F12537">
        <f t="shared" si="229"/>
        <v>2.0099999999999998</v>
      </c>
      <c r="G12537">
        <v>1</v>
      </c>
      <c r="H12537">
        <f t="shared" si="228"/>
        <v>2.0099999999999998</v>
      </c>
      <c r="I12537">
        <v>20170401</v>
      </c>
      <c r="J12537" t="s">
        <v>14519</v>
      </c>
    </row>
    <row r="12538" spans="1:24" x14ac:dyDescent="0.3">
      <c r="A12538" s="160">
        <v>95680</v>
      </c>
      <c r="B12538" t="s">
        <v>27404</v>
      </c>
      <c r="C12538" t="s">
        <v>176</v>
      </c>
      <c r="D12538">
        <v>2.0099999999999998</v>
      </c>
      <c r="E12538">
        <v>0</v>
      </c>
      <c r="F12538">
        <f t="shared" si="229"/>
        <v>2.0099999999999998</v>
      </c>
      <c r="G12538">
        <v>1</v>
      </c>
      <c r="H12538">
        <f t="shared" si="228"/>
        <v>2.0099999999999998</v>
      </c>
      <c r="I12538">
        <v>20170401</v>
      </c>
      <c r="J12538" t="s">
        <v>14503</v>
      </c>
    </row>
    <row r="12539" spans="1:24" x14ac:dyDescent="0.3">
      <c r="A12539" s="160">
        <v>95682</v>
      </c>
      <c r="B12539" t="s">
        <v>21048</v>
      </c>
      <c r="C12539" t="s">
        <v>176</v>
      </c>
      <c r="D12539">
        <v>1.6</v>
      </c>
      <c r="E12539">
        <v>0</v>
      </c>
      <c r="F12539">
        <f t="shared" si="229"/>
        <v>1.6</v>
      </c>
      <c r="G12539">
        <v>1</v>
      </c>
      <c r="H12539">
        <f t="shared" si="228"/>
        <v>1.6</v>
      </c>
      <c r="I12539">
        <v>20170401</v>
      </c>
      <c r="J12539" t="s">
        <v>14537</v>
      </c>
    </row>
    <row r="12540" spans="1:24" x14ac:dyDescent="0.3">
      <c r="A12540" s="160">
        <v>95690</v>
      </c>
      <c r="B12540" t="s">
        <v>27405</v>
      </c>
      <c r="C12540" t="s">
        <v>176</v>
      </c>
      <c r="D12540">
        <v>1.6</v>
      </c>
      <c r="E12540">
        <v>0</v>
      </c>
      <c r="F12540">
        <f t="shared" si="229"/>
        <v>1.6</v>
      </c>
      <c r="G12540">
        <v>1</v>
      </c>
      <c r="H12540">
        <f t="shared" si="228"/>
        <v>1.6</v>
      </c>
      <c r="I12540">
        <v>20170401</v>
      </c>
      <c r="J12540" t="s">
        <v>14490</v>
      </c>
    </row>
    <row r="12541" spans="1:24" x14ac:dyDescent="0.3">
      <c r="A12541" s="160">
        <v>97101</v>
      </c>
      <c r="B12541" t="s">
        <v>27406</v>
      </c>
      <c r="C12541" t="s">
        <v>14854</v>
      </c>
      <c r="D12541">
        <v>1.5</v>
      </c>
      <c r="E12541">
        <v>0</v>
      </c>
      <c r="F12541">
        <f t="shared" si="229"/>
        <v>1.5</v>
      </c>
      <c r="I12541">
        <v>20170701</v>
      </c>
      <c r="J12541" t="s">
        <v>14855</v>
      </c>
      <c r="K12541" t="s">
        <v>14856</v>
      </c>
      <c r="L12541" t="s">
        <v>14857</v>
      </c>
      <c r="M12541" t="s">
        <v>14858</v>
      </c>
      <c r="N12541" t="s">
        <v>14859</v>
      </c>
      <c r="O12541" t="s">
        <v>14860</v>
      </c>
      <c r="P12541" t="s">
        <v>14861</v>
      </c>
      <c r="Q12541" t="s">
        <v>14862</v>
      </c>
      <c r="R12541" t="s">
        <v>14863</v>
      </c>
    </row>
    <row r="12542" spans="1:24" x14ac:dyDescent="0.3">
      <c r="A12542" s="160">
        <v>97102</v>
      </c>
      <c r="B12542" t="s">
        <v>27407</v>
      </c>
      <c r="C12542" t="s">
        <v>14864</v>
      </c>
      <c r="D12542">
        <v>0.55000000000000004</v>
      </c>
      <c r="E12542">
        <v>0</v>
      </c>
      <c r="F12542">
        <f t="shared" si="229"/>
        <v>0.55000000000000004</v>
      </c>
      <c r="I12542">
        <v>20140701</v>
      </c>
      <c r="J12542" t="s">
        <v>14865</v>
      </c>
    </row>
    <row r="12543" spans="1:24" x14ac:dyDescent="0.3">
      <c r="A12543" s="160">
        <v>97103</v>
      </c>
      <c r="B12543" t="s">
        <v>27408</v>
      </c>
      <c r="C12543" t="s">
        <v>14854</v>
      </c>
      <c r="D12543">
        <v>1.5</v>
      </c>
      <c r="E12543">
        <v>0</v>
      </c>
      <c r="F12543">
        <f t="shared" si="229"/>
        <v>1.5</v>
      </c>
      <c r="I12543">
        <v>20170701</v>
      </c>
      <c r="J12543" t="s">
        <v>14866</v>
      </c>
      <c r="K12543" t="s">
        <v>14867</v>
      </c>
      <c r="L12543" t="s">
        <v>14868</v>
      </c>
      <c r="M12543" t="s">
        <v>14869</v>
      </c>
      <c r="N12543" t="s">
        <v>14870</v>
      </c>
      <c r="O12543" t="s">
        <v>14871</v>
      </c>
      <c r="P12543" t="s">
        <v>14872</v>
      </c>
      <c r="Q12543" t="s">
        <v>14873</v>
      </c>
      <c r="R12543" t="s">
        <v>14874</v>
      </c>
      <c r="S12543" t="s">
        <v>14875</v>
      </c>
      <c r="T12543" t="s">
        <v>14876</v>
      </c>
      <c r="U12543" t="s">
        <v>14877</v>
      </c>
      <c r="V12543" t="s">
        <v>14878</v>
      </c>
      <c r="W12543" t="s">
        <v>14879</v>
      </c>
      <c r="X12543" t="s">
        <v>14880</v>
      </c>
    </row>
    <row r="12544" spans="1:24" x14ac:dyDescent="0.3">
      <c r="A12544" s="160">
        <v>97104</v>
      </c>
      <c r="B12544" t="s">
        <v>27409</v>
      </c>
      <c r="C12544" t="s">
        <v>14881</v>
      </c>
      <c r="D12544">
        <v>0.8</v>
      </c>
      <c r="E12544">
        <v>0</v>
      </c>
      <c r="F12544">
        <f t="shared" si="229"/>
        <v>0.8</v>
      </c>
      <c r="I12544">
        <v>20160101</v>
      </c>
      <c r="J12544" t="s">
        <v>14882</v>
      </c>
    </row>
    <row r="12545" spans="1:33" x14ac:dyDescent="0.3">
      <c r="A12545" s="160">
        <v>97105</v>
      </c>
      <c r="B12545" t="s">
        <v>27410</v>
      </c>
      <c r="C12545" t="s">
        <v>14881</v>
      </c>
      <c r="D12545">
        <v>0.8</v>
      </c>
      <c r="E12545">
        <v>0</v>
      </c>
      <c r="F12545">
        <f t="shared" si="229"/>
        <v>0.8</v>
      </c>
      <c r="I12545">
        <v>20160101</v>
      </c>
      <c r="J12545" t="s">
        <v>14883</v>
      </c>
      <c r="K12545" t="s">
        <v>14884</v>
      </c>
      <c r="L12545" t="s">
        <v>14885</v>
      </c>
      <c r="M12545" t="s">
        <v>14886</v>
      </c>
      <c r="N12545" t="s">
        <v>14887</v>
      </c>
      <c r="O12545" t="s">
        <v>14888</v>
      </c>
      <c r="P12545" t="s">
        <v>14889</v>
      </c>
      <c r="Q12545" t="s">
        <v>14890</v>
      </c>
      <c r="R12545" t="s">
        <v>14891</v>
      </c>
    </row>
    <row r="12546" spans="1:33" x14ac:dyDescent="0.3">
      <c r="A12546" s="160">
        <v>97106</v>
      </c>
      <c r="B12546" t="s">
        <v>27411</v>
      </c>
      <c r="C12546" t="s">
        <v>14881</v>
      </c>
      <c r="D12546">
        <v>0.8</v>
      </c>
      <c r="E12546">
        <v>0</v>
      </c>
      <c r="F12546">
        <f t="shared" si="229"/>
        <v>0.8</v>
      </c>
      <c r="I12546">
        <v>20160101</v>
      </c>
      <c r="J12546" t="s">
        <v>14892</v>
      </c>
    </row>
    <row r="12547" spans="1:33" x14ac:dyDescent="0.3">
      <c r="A12547" s="160">
        <v>97107</v>
      </c>
      <c r="B12547" t="s">
        <v>27412</v>
      </c>
      <c r="C12547" t="s">
        <v>14881</v>
      </c>
      <c r="D12547">
        <v>0.8</v>
      </c>
      <c r="E12547">
        <v>0</v>
      </c>
      <c r="F12547">
        <f t="shared" si="229"/>
        <v>0.8</v>
      </c>
      <c r="I12547">
        <v>20160101</v>
      </c>
      <c r="J12547" t="s">
        <v>14893</v>
      </c>
      <c r="K12547" t="s">
        <v>14863</v>
      </c>
    </row>
    <row r="12548" spans="1:33" x14ac:dyDescent="0.3">
      <c r="A12548" s="160">
        <v>97109</v>
      </c>
      <c r="B12548" t="s">
        <v>27413</v>
      </c>
      <c r="C12548" t="s">
        <v>14881</v>
      </c>
      <c r="D12548">
        <v>0.8</v>
      </c>
      <c r="E12548">
        <v>0</v>
      </c>
      <c r="F12548">
        <f t="shared" si="229"/>
        <v>0.8</v>
      </c>
      <c r="I12548">
        <v>20160101</v>
      </c>
      <c r="J12548" t="s">
        <v>14894</v>
      </c>
    </row>
    <row r="12549" spans="1:33" x14ac:dyDescent="0.3">
      <c r="A12549" s="160">
        <v>97110</v>
      </c>
      <c r="B12549" t="s">
        <v>27414</v>
      </c>
      <c r="C12549" t="s">
        <v>14854</v>
      </c>
      <c r="D12549">
        <v>1.5</v>
      </c>
      <c r="E12549">
        <v>0</v>
      </c>
      <c r="F12549">
        <f t="shared" si="229"/>
        <v>1.5</v>
      </c>
      <c r="I12549">
        <v>20170701</v>
      </c>
      <c r="J12549" t="s">
        <v>14895</v>
      </c>
    </row>
    <row r="12550" spans="1:33" x14ac:dyDescent="0.3">
      <c r="A12550" s="160">
        <v>97111</v>
      </c>
      <c r="B12550" t="s">
        <v>27415</v>
      </c>
      <c r="C12550" t="s">
        <v>14896</v>
      </c>
      <c r="D12550">
        <v>0.55000000000000004</v>
      </c>
      <c r="E12550">
        <v>0</v>
      </c>
      <c r="F12550">
        <f t="shared" si="229"/>
        <v>0.55000000000000004</v>
      </c>
      <c r="I12550">
        <v>20130101</v>
      </c>
      <c r="J12550" t="s">
        <v>14897</v>
      </c>
    </row>
    <row r="12551" spans="1:33" x14ac:dyDescent="0.3">
      <c r="A12551" s="160">
        <v>97113</v>
      </c>
      <c r="B12551" t="s">
        <v>27416</v>
      </c>
      <c r="C12551" t="s">
        <v>14854</v>
      </c>
      <c r="D12551">
        <v>1.5</v>
      </c>
      <c r="E12551">
        <v>0</v>
      </c>
      <c r="F12551">
        <f t="shared" ref="F12551:F12614" si="230">D12551+E12551</f>
        <v>1.5</v>
      </c>
      <c r="I12551">
        <v>20170701</v>
      </c>
      <c r="J12551" t="s">
        <v>14898</v>
      </c>
    </row>
    <row r="12552" spans="1:33" x14ac:dyDescent="0.3">
      <c r="A12552" s="160">
        <v>97114</v>
      </c>
      <c r="B12552" t="s">
        <v>27417</v>
      </c>
      <c r="C12552" t="s">
        <v>14896</v>
      </c>
      <c r="D12552">
        <v>0.55000000000000004</v>
      </c>
      <c r="E12552">
        <v>0</v>
      </c>
      <c r="F12552">
        <f t="shared" si="230"/>
        <v>0.55000000000000004</v>
      </c>
      <c r="I12552">
        <v>20191201</v>
      </c>
      <c r="J12552" t="s">
        <v>14899</v>
      </c>
    </row>
    <row r="12553" spans="1:33" x14ac:dyDescent="0.3">
      <c r="A12553" s="160">
        <v>97115</v>
      </c>
      <c r="B12553" t="s">
        <v>27418</v>
      </c>
      <c r="C12553" t="s">
        <v>14896</v>
      </c>
      <c r="D12553">
        <v>0.55000000000000004</v>
      </c>
      <c r="E12553">
        <v>0</v>
      </c>
      <c r="F12553">
        <f t="shared" si="230"/>
        <v>0.55000000000000004</v>
      </c>
      <c r="I12553">
        <v>20130101</v>
      </c>
      <c r="J12553" t="s">
        <v>14900</v>
      </c>
    </row>
    <row r="12554" spans="1:33" x14ac:dyDescent="0.3">
      <c r="A12554" s="160">
        <v>97116</v>
      </c>
      <c r="B12554" t="s">
        <v>27419</v>
      </c>
      <c r="C12554" t="s">
        <v>14864</v>
      </c>
      <c r="D12554">
        <v>0.55000000000000004</v>
      </c>
      <c r="E12554">
        <v>0</v>
      </c>
      <c r="F12554">
        <f t="shared" si="230"/>
        <v>0.55000000000000004</v>
      </c>
      <c r="I12554">
        <v>20140701</v>
      </c>
      <c r="J12554" t="s">
        <v>14901</v>
      </c>
    </row>
    <row r="12555" spans="1:33" x14ac:dyDescent="0.3">
      <c r="A12555" s="160">
        <v>97117</v>
      </c>
      <c r="B12555" t="s">
        <v>27420</v>
      </c>
      <c r="C12555" t="s">
        <v>14864</v>
      </c>
      <c r="D12555">
        <v>0.55000000000000004</v>
      </c>
      <c r="E12555">
        <v>0</v>
      </c>
      <c r="F12555">
        <f t="shared" si="230"/>
        <v>0.55000000000000004</v>
      </c>
      <c r="I12555">
        <v>20140701</v>
      </c>
      <c r="J12555" t="s">
        <v>14902</v>
      </c>
    </row>
    <row r="12556" spans="1:33" x14ac:dyDescent="0.3">
      <c r="A12556" s="160">
        <v>97118</v>
      </c>
      <c r="B12556" t="s">
        <v>27421</v>
      </c>
      <c r="C12556" t="s">
        <v>14896</v>
      </c>
      <c r="D12556">
        <v>0.55000000000000004</v>
      </c>
      <c r="E12556">
        <v>0</v>
      </c>
      <c r="F12556">
        <f t="shared" si="230"/>
        <v>0.55000000000000004</v>
      </c>
      <c r="I12556">
        <v>20130101</v>
      </c>
      <c r="J12556" t="s">
        <v>14903</v>
      </c>
      <c r="K12556" t="s">
        <v>14904</v>
      </c>
    </row>
    <row r="12557" spans="1:33" x14ac:dyDescent="0.3">
      <c r="A12557" s="160">
        <v>97119</v>
      </c>
      <c r="B12557" t="s">
        <v>27422</v>
      </c>
      <c r="C12557" t="s">
        <v>14864</v>
      </c>
      <c r="D12557">
        <v>0.55000000000000004</v>
      </c>
      <c r="E12557">
        <v>0</v>
      </c>
      <c r="F12557">
        <f t="shared" si="230"/>
        <v>0.55000000000000004</v>
      </c>
      <c r="I12557">
        <v>20140701</v>
      </c>
      <c r="J12557" t="s">
        <v>14905</v>
      </c>
    </row>
    <row r="12558" spans="1:33" x14ac:dyDescent="0.3">
      <c r="A12558" s="160">
        <v>97120</v>
      </c>
      <c r="B12558" t="s">
        <v>27423</v>
      </c>
      <c r="C12558" t="s">
        <v>14854</v>
      </c>
      <c r="D12558">
        <v>1.5</v>
      </c>
      <c r="E12558">
        <v>0</v>
      </c>
      <c r="F12558">
        <f t="shared" si="230"/>
        <v>1.5</v>
      </c>
      <c r="I12558">
        <v>20170701</v>
      </c>
      <c r="J12558" t="s">
        <v>14906</v>
      </c>
      <c r="K12558" t="s">
        <v>14907</v>
      </c>
      <c r="L12558" t="s">
        <v>14857</v>
      </c>
      <c r="M12558" t="s">
        <v>14858</v>
      </c>
      <c r="N12558" t="s">
        <v>14908</v>
      </c>
      <c r="O12558" t="s">
        <v>14909</v>
      </c>
      <c r="P12558" t="s">
        <v>14910</v>
      </c>
      <c r="Q12558" t="s">
        <v>14911</v>
      </c>
      <c r="R12558" t="s">
        <v>14912</v>
      </c>
      <c r="S12558" t="s">
        <v>14913</v>
      </c>
      <c r="T12558" t="s">
        <v>14914</v>
      </c>
      <c r="U12558" t="s">
        <v>14915</v>
      </c>
      <c r="V12558" t="s">
        <v>14916</v>
      </c>
      <c r="W12558" t="s">
        <v>14917</v>
      </c>
      <c r="X12558" t="s">
        <v>14918</v>
      </c>
      <c r="Y12558" t="s">
        <v>14919</v>
      </c>
      <c r="Z12558" t="s">
        <v>14920</v>
      </c>
      <c r="AA12558" t="s">
        <v>14921</v>
      </c>
      <c r="AB12558" t="s">
        <v>14922</v>
      </c>
      <c r="AC12558" t="s">
        <v>14923</v>
      </c>
      <c r="AD12558" t="s">
        <v>14924</v>
      </c>
      <c r="AE12558" t="s">
        <v>14925</v>
      </c>
      <c r="AF12558" t="s">
        <v>14861</v>
      </c>
      <c r="AG12558" t="s">
        <v>14863</v>
      </c>
    </row>
    <row r="12559" spans="1:33" x14ac:dyDescent="0.3">
      <c r="A12559" s="160">
        <v>97121</v>
      </c>
      <c r="B12559" t="s">
        <v>27424</v>
      </c>
      <c r="C12559" t="s">
        <v>14896</v>
      </c>
      <c r="D12559">
        <v>0.55000000000000004</v>
      </c>
      <c r="E12559">
        <v>0</v>
      </c>
      <c r="F12559">
        <f t="shared" si="230"/>
        <v>0.55000000000000004</v>
      </c>
      <c r="I12559">
        <v>20130101</v>
      </c>
      <c r="J12559" t="s">
        <v>14926</v>
      </c>
    </row>
    <row r="12560" spans="1:33" x14ac:dyDescent="0.3">
      <c r="A12560" s="160">
        <v>97122</v>
      </c>
      <c r="B12560" t="s">
        <v>21666</v>
      </c>
      <c r="C12560" t="s">
        <v>14864</v>
      </c>
      <c r="D12560">
        <v>0.55000000000000004</v>
      </c>
      <c r="E12560">
        <v>0</v>
      </c>
      <c r="F12560">
        <f t="shared" si="230"/>
        <v>0.55000000000000004</v>
      </c>
      <c r="I12560">
        <v>20140701</v>
      </c>
      <c r="J12560" t="s">
        <v>14927</v>
      </c>
    </row>
    <row r="12561" spans="1:11" x14ac:dyDescent="0.3">
      <c r="A12561" s="160">
        <v>97124</v>
      </c>
      <c r="B12561" t="s">
        <v>19671</v>
      </c>
      <c r="C12561" t="s">
        <v>14881</v>
      </c>
      <c r="D12561">
        <v>0.8</v>
      </c>
      <c r="E12561">
        <v>0</v>
      </c>
      <c r="F12561">
        <f t="shared" si="230"/>
        <v>0.8</v>
      </c>
      <c r="I12561">
        <v>20160101</v>
      </c>
      <c r="J12561" t="s">
        <v>14928</v>
      </c>
    </row>
    <row r="12562" spans="1:11" x14ac:dyDescent="0.3">
      <c r="A12562" s="160">
        <v>97125</v>
      </c>
      <c r="B12562" t="s">
        <v>27425</v>
      </c>
      <c r="C12562" t="s">
        <v>14854</v>
      </c>
      <c r="D12562">
        <v>1.5</v>
      </c>
      <c r="E12562">
        <v>0</v>
      </c>
      <c r="F12562">
        <f t="shared" si="230"/>
        <v>1.5</v>
      </c>
      <c r="I12562">
        <v>20170701</v>
      </c>
      <c r="J12562" t="s">
        <v>14929</v>
      </c>
    </row>
    <row r="12563" spans="1:11" x14ac:dyDescent="0.3">
      <c r="A12563" s="160">
        <v>97128</v>
      </c>
      <c r="B12563" t="s">
        <v>19815</v>
      </c>
      <c r="C12563" t="s">
        <v>14854</v>
      </c>
      <c r="D12563">
        <v>1.5</v>
      </c>
      <c r="E12563">
        <v>0</v>
      </c>
      <c r="F12563">
        <f t="shared" si="230"/>
        <v>1.5</v>
      </c>
      <c r="I12563">
        <v>20170701</v>
      </c>
      <c r="J12563" t="s">
        <v>14930</v>
      </c>
    </row>
    <row r="12564" spans="1:11" x14ac:dyDescent="0.3">
      <c r="A12564" s="160">
        <v>97129</v>
      </c>
      <c r="B12564" t="s">
        <v>27426</v>
      </c>
      <c r="C12564" t="s">
        <v>14896</v>
      </c>
      <c r="D12564">
        <v>0.55000000000000004</v>
      </c>
      <c r="E12564">
        <v>0</v>
      </c>
      <c r="F12564">
        <f t="shared" si="230"/>
        <v>0.55000000000000004</v>
      </c>
      <c r="I12564">
        <v>20130101</v>
      </c>
      <c r="J12564" t="s">
        <v>14931</v>
      </c>
    </row>
    <row r="12565" spans="1:11" x14ac:dyDescent="0.3">
      <c r="A12565" s="160">
        <v>97130</v>
      </c>
      <c r="B12565" t="s">
        <v>27427</v>
      </c>
      <c r="C12565" t="s">
        <v>14881</v>
      </c>
      <c r="D12565">
        <v>0.8</v>
      </c>
      <c r="E12565">
        <v>0</v>
      </c>
      <c r="F12565">
        <f t="shared" si="230"/>
        <v>0.8</v>
      </c>
      <c r="I12565">
        <v>20160101</v>
      </c>
      <c r="J12565" t="s">
        <v>14932</v>
      </c>
    </row>
    <row r="12566" spans="1:11" x14ac:dyDescent="0.3">
      <c r="A12566" s="160">
        <v>97131</v>
      </c>
      <c r="B12566" t="s">
        <v>27428</v>
      </c>
      <c r="C12566" t="s">
        <v>14881</v>
      </c>
      <c r="D12566">
        <v>0.8</v>
      </c>
      <c r="E12566">
        <v>0</v>
      </c>
      <c r="F12566">
        <f t="shared" si="230"/>
        <v>0.8</v>
      </c>
      <c r="I12566">
        <v>20160101</v>
      </c>
      <c r="J12566" t="s">
        <v>14933</v>
      </c>
    </row>
    <row r="12567" spans="1:11" x14ac:dyDescent="0.3">
      <c r="A12567" s="160">
        <v>97132</v>
      </c>
      <c r="B12567" t="s">
        <v>27429</v>
      </c>
      <c r="C12567" t="s">
        <v>14881</v>
      </c>
      <c r="D12567">
        <v>0.8</v>
      </c>
      <c r="E12567">
        <v>0</v>
      </c>
      <c r="F12567">
        <f t="shared" si="230"/>
        <v>0.8</v>
      </c>
      <c r="I12567">
        <v>20160101</v>
      </c>
      <c r="J12567" t="s">
        <v>14934</v>
      </c>
    </row>
    <row r="12568" spans="1:11" x14ac:dyDescent="0.3">
      <c r="A12568" s="160">
        <v>97133</v>
      </c>
      <c r="B12568" t="s">
        <v>27430</v>
      </c>
      <c r="C12568" t="s">
        <v>14881</v>
      </c>
      <c r="D12568">
        <v>0.8</v>
      </c>
      <c r="E12568">
        <v>0</v>
      </c>
      <c r="F12568">
        <f t="shared" si="230"/>
        <v>0.8</v>
      </c>
      <c r="I12568">
        <v>20160101</v>
      </c>
      <c r="J12568" t="s">
        <v>14935</v>
      </c>
    </row>
    <row r="12569" spans="1:11" x14ac:dyDescent="0.3">
      <c r="A12569" s="160">
        <v>97134</v>
      </c>
      <c r="B12569" t="s">
        <v>27431</v>
      </c>
      <c r="C12569" t="s">
        <v>14881</v>
      </c>
      <c r="D12569">
        <v>0.8</v>
      </c>
      <c r="E12569">
        <v>0</v>
      </c>
      <c r="F12569">
        <f t="shared" si="230"/>
        <v>0.8</v>
      </c>
      <c r="I12569">
        <v>20160101</v>
      </c>
      <c r="J12569" t="s">
        <v>14936</v>
      </c>
    </row>
    <row r="12570" spans="1:11" x14ac:dyDescent="0.3">
      <c r="A12570" s="160">
        <v>97201</v>
      </c>
      <c r="B12570" t="s">
        <v>27432</v>
      </c>
      <c r="C12570" t="s">
        <v>14937</v>
      </c>
      <c r="D12570">
        <v>2</v>
      </c>
      <c r="E12570">
        <v>0</v>
      </c>
      <c r="F12570">
        <f t="shared" si="230"/>
        <v>2</v>
      </c>
      <c r="I12570">
        <v>20180101</v>
      </c>
      <c r="J12570" t="s">
        <v>14938</v>
      </c>
    </row>
    <row r="12571" spans="1:11" x14ac:dyDescent="0.3">
      <c r="A12571" s="160">
        <v>97202</v>
      </c>
      <c r="B12571" t="s">
        <v>27433</v>
      </c>
      <c r="C12571" t="s">
        <v>14937</v>
      </c>
      <c r="D12571">
        <v>2</v>
      </c>
      <c r="E12571">
        <v>0</v>
      </c>
      <c r="F12571">
        <f t="shared" si="230"/>
        <v>2</v>
      </c>
      <c r="I12571">
        <v>20180101</v>
      </c>
      <c r="J12571" t="s">
        <v>14939</v>
      </c>
    </row>
    <row r="12572" spans="1:11" x14ac:dyDescent="0.3">
      <c r="A12572" s="160">
        <v>97203</v>
      </c>
      <c r="B12572" t="s">
        <v>27434</v>
      </c>
      <c r="C12572" t="s">
        <v>14937</v>
      </c>
      <c r="D12572">
        <v>2</v>
      </c>
      <c r="E12572">
        <v>0</v>
      </c>
      <c r="F12572">
        <f t="shared" si="230"/>
        <v>2</v>
      </c>
      <c r="I12572">
        <v>20180101</v>
      </c>
      <c r="J12572" t="s">
        <v>14940</v>
      </c>
    </row>
    <row r="12573" spans="1:11" x14ac:dyDescent="0.3">
      <c r="A12573" s="160">
        <v>97204</v>
      </c>
      <c r="B12573" t="s">
        <v>27435</v>
      </c>
      <c r="C12573" t="s">
        <v>14937</v>
      </c>
      <c r="D12573">
        <v>2</v>
      </c>
      <c r="E12573">
        <v>0</v>
      </c>
      <c r="F12573">
        <f t="shared" si="230"/>
        <v>2</v>
      </c>
      <c r="I12573">
        <v>20180101</v>
      </c>
      <c r="J12573" t="s">
        <v>14941</v>
      </c>
    </row>
    <row r="12574" spans="1:11" x14ac:dyDescent="0.3">
      <c r="A12574" s="160">
        <v>97205</v>
      </c>
      <c r="B12574" t="s">
        <v>27436</v>
      </c>
      <c r="C12574" t="s">
        <v>14937</v>
      </c>
      <c r="D12574">
        <v>2</v>
      </c>
      <c r="E12574">
        <v>0</v>
      </c>
      <c r="F12574">
        <f t="shared" si="230"/>
        <v>2</v>
      </c>
      <c r="I12574">
        <v>20180101</v>
      </c>
      <c r="J12574" t="s">
        <v>14942</v>
      </c>
      <c r="K12574" t="s">
        <v>14943</v>
      </c>
    </row>
    <row r="12575" spans="1:11" x14ac:dyDescent="0.3">
      <c r="A12575" s="160">
        <v>97206</v>
      </c>
      <c r="B12575" t="s">
        <v>27437</v>
      </c>
      <c r="C12575" t="s">
        <v>14937</v>
      </c>
      <c r="D12575">
        <v>2</v>
      </c>
      <c r="E12575">
        <v>0</v>
      </c>
      <c r="F12575">
        <f t="shared" si="230"/>
        <v>2</v>
      </c>
      <c r="I12575">
        <v>20180101</v>
      </c>
      <c r="J12575" t="s">
        <v>14944</v>
      </c>
    </row>
    <row r="12576" spans="1:11" x14ac:dyDescent="0.3">
      <c r="A12576" s="160">
        <v>97207</v>
      </c>
      <c r="B12576" t="s">
        <v>27438</v>
      </c>
      <c r="C12576" t="s">
        <v>14937</v>
      </c>
      <c r="D12576">
        <v>2</v>
      </c>
      <c r="E12576">
        <v>0</v>
      </c>
      <c r="F12576">
        <f t="shared" si="230"/>
        <v>2</v>
      </c>
      <c r="I12576">
        <v>20180101</v>
      </c>
      <c r="J12576" t="s">
        <v>14945</v>
      </c>
      <c r="K12576" t="s">
        <v>14946</v>
      </c>
    </row>
    <row r="12577" spans="1:39" x14ac:dyDescent="0.3">
      <c r="A12577" s="160">
        <v>97208</v>
      </c>
      <c r="B12577" t="s">
        <v>27439</v>
      </c>
      <c r="C12577" t="s">
        <v>14937</v>
      </c>
      <c r="D12577">
        <v>2</v>
      </c>
      <c r="E12577">
        <v>0</v>
      </c>
      <c r="F12577">
        <f t="shared" si="230"/>
        <v>2</v>
      </c>
      <c r="I12577">
        <v>20180101</v>
      </c>
      <c r="J12577" t="s">
        <v>14947</v>
      </c>
    </row>
    <row r="12578" spans="1:39" x14ac:dyDescent="0.3">
      <c r="A12578" s="160">
        <v>97209</v>
      </c>
      <c r="B12578" t="s">
        <v>27440</v>
      </c>
      <c r="C12578" t="s">
        <v>14937</v>
      </c>
      <c r="D12578">
        <v>2</v>
      </c>
      <c r="E12578">
        <v>0</v>
      </c>
      <c r="F12578">
        <f t="shared" si="230"/>
        <v>2</v>
      </c>
      <c r="I12578">
        <v>20180101</v>
      </c>
      <c r="J12578" t="s">
        <v>14948</v>
      </c>
      <c r="K12578" t="s">
        <v>14949</v>
      </c>
      <c r="L12578" t="s">
        <v>14950</v>
      </c>
      <c r="M12578" t="s">
        <v>14951</v>
      </c>
      <c r="N12578" t="s">
        <v>14952</v>
      </c>
      <c r="O12578" t="s">
        <v>14953</v>
      </c>
      <c r="P12578" t="s">
        <v>14954</v>
      </c>
      <c r="Q12578" t="s">
        <v>14955</v>
      </c>
      <c r="R12578" t="s">
        <v>14956</v>
      </c>
      <c r="S12578" t="s">
        <v>14957</v>
      </c>
      <c r="T12578" t="s">
        <v>14958</v>
      </c>
      <c r="U12578" t="s">
        <v>14959</v>
      </c>
      <c r="V12578" t="s">
        <v>14960</v>
      </c>
      <c r="W12578" t="s">
        <v>14943</v>
      </c>
      <c r="X12578" t="s">
        <v>14946</v>
      </c>
      <c r="Y12578" t="s">
        <v>14961</v>
      </c>
      <c r="Z12578" t="s">
        <v>14962</v>
      </c>
      <c r="AA12578" t="s">
        <v>14963</v>
      </c>
      <c r="AB12578" t="s">
        <v>14964</v>
      </c>
      <c r="AC12578" t="s">
        <v>14965</v>
      </c>
      <c r="AD12578" t="s">
        <v>14966</v>
      </c>
      <c r="AE12578" t="s">
        <v>14967</v>
      </c>
      <c r="AF12578" t="s">
        <v>14968</v>
      </c>
      <c r="AG12578" t="s">
        <v>14969</v>
      </c>
      <c r="AH12578" t="s">
        <v>14970</v>
      </c>
      <c r="AI12578" t="s">
        <v>14971</v>
      </c>
      <c r="AJ12578" t="s">
        <v>14972</v>
      </c>
      <c r="AK12578" t="s">
        <v>14973</v>
      </c>
      <c r="AL12578" t="s">
        <v>14974</v>
      </c>
      <c r="AM12578" t="s">
        <v>14975</v>
      </c>
    </row>
    <row r="12579" spans="1:39" x14ac:dyDescent="0.3">
      <c r="A12579" s="160">
        <v>97210</v>
      </c>
      <c r="B12579" t="s">
        <v>27441</v>
      </c>
      <c r="C12579" t="s">
        <v>14937</v>
      </c>
      <c r="D12579">
        <v>2</v>
      </c>
      <c r="E12579">
        <v>0</v>
      </c>
      <c r="F12579">
        <f t="shared" si="230"/>
        <v>2</v>
      </c>
      <c r="I12579">
        <v>20180101</v>
      </c>
      <c r="J12579" t="s">
        <v>14976</v>
      </c>
    </row>
    <row r="12580" spans="1:39" x14ac:dyDescent="0.3">
      <c r="A12580" s="160">
        <v>97211</v>
      </c>
      <c r="B12580" t="s">
        <v>27442</v>
      </c>
      <c r="C12580" t="s">
        <v>14937</v>
      </c>
      <c r="D12580">
        <v>2</v>
      </c>
      <c r="E12580">
        <v>0</v>
      </c>
      <c r="F12580">
        <f t="shared" si="230"/>
        <v>2</v>
      </c>
      <c r="I12580">
        <v>20180101</v>
      </c>
      <c r="J12580" t="s">
        <v>14940</v>
      </c>
    </row>
    <row r="12581" spans="1:39" x14ac:dyDescent="0.3">
      <c r="A12581" s="160">
        <v>97212</v>
      </c>
      <c r="B12581" t="s">
        <v>27443</v>
      </c>
      <c r="C12581" t="s">
        <v>14937</v>
      </c>
      <c r="D12581">
        <v>2</v>
      </c>
      <c r="E12581">
        <v>0</v>
      </c>
      <c r="F12581">
        <f t="shared" si="230"/>
        <v>2</v>
      </c>
      <c r="I12581">
        <v>20180101</v>
      </c>
      <c r="J12581" t="s">
        <v>14977</v>
      </c>
    </row>
    <row r="12582" spans="1:39" x14ac:dyDescent="0.3">
      <c r="A12582" s="160">
        <v>97213</v>
      </c>
      <c r="B12582" t="s">
        <v>27444</v>
      </c>
      <c r="C12582" t="s">
        <v>14937</v>
      </c>
      <c r="D12582">
        <v>2</v>
      </c>
      <c r="E12582">
        <v>0</v>
      </c>
      <c r="F12582">
        <f t="shared" si="230"/>
        <v>2</v>
      </c>
      <c r="I12582">
        <v>20180101</v>
      </c>
      <c r="J12582" t="s">
        <v>14958</v>
      </c>
      <c r="K12582" t="s">
        <v>14978</v>
      </c>
      <c r="L12582" t="s">
        <v>14979</v>
      </c>
      <c r="M12582" t="s">
        <v>14980</v>
      </c>
      <c r="N12582" t="s">
        <v>14981</v>
      </c>
      <c r="O12582" t="s">
        <v>14982</v>
      </c>
      <c r="P12582" t="s">
        <v>14983</v>
      </c>
      <c r="Q12582" t="s">
        <v>14984</v>
      </c>
      <c r="R12582" t="s">
        <v>14985</v>
      </c>
      <c r="S12582" t="s">
        <v>14986</v>
      </c>
      <c r="T12582" t="s">
        <v>14987</v>
      </c>
      <c r="U12582" t="s">
        <v>14988</v>
      </c>
    </row>
    <row r="12583" spans="1:39" x14ac:dyDescent="0.3">
      <c r="A12583" s="160">
        <v>97214</v>
      </c>
      <c r="B12583" t="s">
        <v>27445</v>
      </c>
      <c r="C12583" t="s">
        <v>14937</v>
      </c>
      <c r="D12583">
        <v>2</v>
      </c>
      <c r="E12583">
        <v>0</v>
      </c>
      <c r="F12583">
        <f t="shared" si="230"/>
        <v>2</v>
      </c>
      <c r="I12583">
        <v>20180101</v>
      </c>
      <c r="J12583" t="s">
        <v>14989</v>
      </c>
    </row>
    <row r="12584" spans="1:39" x14ac:dyDescent="0.3">
      <c r="A12584" s="160">
        <v>97215</v>
      </c>
      <c r="B12584" t="s">
        <v>27446</v>
      </c>
      <c r="C12584" t="s">
        <v>14937</v>
      </c>
      <c r="D12584">
        <v>2</v>
      </c>
      <c r="E12584">
        <v>0</v>
      </c>
      <c r="F12584">
        <f t="shared" si="230"/>
        <v>2</v>
      </c>
      <c r="I12584">
        <v>20180101</v>
      </c>
      <c r="J12584" t="s">
        <v>14940</v>
      </c>
    </row>
    <row r="12585" spans="1:39" x14ac:dyDescent="0.3">
      <c r="A12585" s="160">
        <v>97216</v>
      </c>
      <c r="B12585" t="s">
        <v>27447</v>
      </c>
      <c r="C12585" t="s">
        <v>14937</v>
      </c>
      <c r="D12585">
        <v>2</v>
      </c>
      <c r="E12585">
        <v>0</v>
      </c>
      <c r="F12585">
        <f t="shared" si="230"/>
        <v>2</v>
      </c>
      <c r="I12585">
        <v>20180101</v>
      </c>
      <c r="J12585" t="s">
        <v>14990</v>
      </c>
    </row>
    <row r="12586" spans="1:39" x14ac:dyDescent="0.3">
      <c r="A12586" s="160">
        <v>97217</v>
      </c>
      <c r="B12586" t="s">
        <v>27448</v>
      </c>
      <c r="C12586" t="s">
        <v>14937</v>
      </c>
      <c r="D12586">
        <v>2</v>
      </c>
      <c r="E12586">
        <v>0</v>
      </c>
      <c r="F12586">
        <f t="shared" si="230"/>
        <v>2</v>
      </c>
      <c r="I12586">
        <v>20180101</v>
      </c>
      <c r="J12586" t="s">
        <v>14991</v>
      </c>
    </row>
    <row r="12587" spans="1:39" x14ac:dyDescent="0.3">
      <c r="A12587" s="160">
        <v>97218</v>
      </c>
      <c r="B12587" t="s">
        <v>27449</v>
      </c>
      <c r="C12587" t="s">
        <v>14937</v>
      </c>
      <c r="D12587">
        <v>2</v>
      </c>
      <c r="E12587">
        <v>0</v>
      </c>
      <c r="F12587">
        <f t="shared" si="230"/>
        <v>2</v>
      </c>
      <c r="I12587">
        <v>20180101</v>
      </c>
      <c r="J12587" t="s">
        <v>14992</v>
      </c>
    </row>
    <row r="12588" spans="1:39" x14ac:dyDescent="0.3">
      <c r="A12588" s="160">
        <v>97219</v>
      </c>
      <c r="B12588" t="s">
        <v>27450</v>
      </c>
      <c r="C12588" t="s">
        <v>14937</v>
      </c>
      <c r="D12588">
        <v>2</v>
      </c>
      <c r="E12588">
        <v>0</v>
      </c>
      <c r="F12588">
        <f t="shared" si="230"/>
        <v>2</v>
      </c>
      <c r="I12588">
        <v>20180101</v>
      </c>
      <c r="J12588" t="s">
        <v>14947</v>
      </c>
    </row>
    <row r="12589" spans="1:39" x14ac:dyDescent="0.3">
      <c r="A12589" s="160">
        <v>97220</v>
      </c>
      <c r="B12589" t="s">
        <v>27451</v>
      </c>
      <c r="C12589" t="s">
        <v>14937</v>
      </c>
      <c r="D12589">
        <v>2</v>
      </c>
      <c r="E12589">
        <v>0</v>
      </c>
      <c r="F12589">
        <f t="shared" si="230"/>
        <v>2</v>
      </c>
      <c r="I12589">
        <v>20180101</v>
      </c>
      <c r="J12589" t="s">
        <v>14993</v>
      </c>
    </row>
    <row r="12590" spans="1:39" x14ac:dyDescent="0.3">
      <c r="A12590" s="160">
        <v>97221</v>
      </c>
      <c r="B12590" t="s">
        <v>27452</v>
      </c>
      <c r="C12590" t="s">
        <v>14937</v>
      </c>
      <c r="D12590">
        <v>2</v>
      </c>
      <c r="E12590">
        <v>0</v>
      </c>
      <c r="F12590">
        <f t="shared" si="230"/>
        <v>2</v>
      </c>
      <c r="I12590">
        <v>20180101</v>
      </c>
      <c r="J12590" t="s">
        <v>14994</v>
      </c>
    </row>
    <row r="12591" spans="1:39" x14ac:dyDescent="0.3">
      <c r="A12591" s="160">
        <v>97222</v>
      </c>
      <c r="B12591" t="s">
        <v>27453</v>
      </c>
      <c r="C12591" t="s">
        <v>14937</v>
      </c>
      <c r="D12591">
        <v>2</v>
      </c>
      <c r="E12591">
        <v>0</v>
      </c>
      <c r="F12591">
        <f t="shared" si="230"/>
        <v>2</v>
      </c>
      <c r="I12591">
        <v>20180101</v>
      </c>
      <c r="J12591" t="s">
        <v>14995</v>
      </c>
      <c r="K12591" t="s">
        <v>14968</v>
      </c>
    </row>
    <row r="12592" spans="1:39" x14ac:dyDescent="0.3">
      <c r="A12592" s="160">
        <v>97223</v>
      </c>
      <c r="B12592" t="s">
        <v>27454</v>
      </c>
      <c r="C12592" t="s">
        <v>14937</v>
      </c>
      <c r="D12592">
        <v>2</v>
      </c>
      <c r="E12592">
        <v>0</v>
      </c>
      <c r="F12592">
        <f t="shared" si="230"/>
        <v>2</v>
      </c>
      <c r="I12592">
        <v>20180101</v>
      </c>
      <c r="J12592" t="s">
        <v>14996</v>
      </c>
    </row>
    <row r="12593" spans="1:40" x14ac:dyDescent="0.3">
      <c r="A12593" s="160">
        <v>97224</v>
      </c>
      <c r="B12593" t="s">
        <v>19930</v>
      </c>
      <c r="C12593" t="s">
        <v>14937</v>
      </c>
      <c r="D12593">
        <v>2</v>
      </c>
      <c r="E12593">
        <v>0</v>
      </c>
      <c r="F12593">
        <f t="shared" si="230"/>
        <v>2</v>
      </c>
      <c r="I12593">
        <v>20180101</v>
      </c>
      <c r="J12593" t="s">
        <v>14997</v>
      </c>
    </row>
    <row r="12594" spans="1:40" x14ac:dyDescent="0.3">
      <c r="A12594" s="160">
        <v>97225</v>
      </c>
      <c r="B12594" t="s">
        <v>20897</v>
      </c>
      <c r="C12594" t="s">
        <v>14937</v>
      </c>
      <c r="D12594">
        <v>2</v>
      </c>
      <c r="E12594">
        <v>0</v>
      </c>
      <c r="F12594">
        <f t="shared" si="230"/>
        <v>2</v>
      </c>
      <c r="I12594">
        <v>20180101</v>
      </c>
      <c r="J12594" t="s">
        <v>14947</v>
      </c>
    </row>
    <row r="12595" spans="1:40" x14ac:dyDescent="0.3">
      <c r="A12595" s="160">
        <v>97226</v>
      </c>
      <c r="B12595" t="s">
        <v>19815</v>
      </c>
      <c r="C12595" t="s">
        <v>14937</v>
      </c>
      <c r="D12595">
        <v>2</v>
      </c>
      <c r="E12595">
        <v>0</v>
      </c>
      <c r="F12595">
        <f t="shared" si="230"/>
        <v>2</v>
      </c>
      <c r="I12595">
        <v>20180101</v>
      </c>
      <c r="J12595" t="s">
        <v>14998</v>
      </c>
    </row>
    <row r="12596" spans="1:40" x14ac:dyDescent="0.3">
      <c r="A12596" s="160">
        <v>97227</v>
      </c>
      <c r="B12596" t="s">
        <v>27455</v>
      </c>
      <c r="C12596" t="s">
        <v>14937</v>
      </c>
      <c r="D12596">
        <v>2</v>
      </c>
      <c r="E12596">
        <v>0</v>
      </c>
      <c r="F12596">
        <f t="shared" si="230"/>
        <v>2</v>
      </c>
      <c r="I12596">
        <v>20180101</v>
      </c>
      <c r="J12596" t="s">
        <v>14999</v>
      </c>
    </row>
    <row r="12597" spans="1:40" x14ac:dyDescent="0.3">
      <c r="A12597" s="160">
        <v>97228</v>
      </c>
      <c r="B12597" t="s">
        <v>17504</v>
      </c>
      <c r="C12597" t="s">
        <v>14937</v>
      </c>
      <c r="D12597">
        <v>2</v>
      </c>
      <c r="E12597">
        <v>0</v>
      </c>
      <c r="F12597">
        <f t="shared" si="230"/>
        <v>2</v>
      </c>
      <c r="I12597">
        <v>20180101</v>
      </c>
      <c r="J12597" t="s">
        <v>15000</v>
      </c>
    </row>
    <row r="12598" spans="1:40" x14ac:dyDescent="0.3">
      <c r="A12598" s="160">
        <v>97229</v>
      </c>
      <c r="B12598" t="s">
        <v>27456</v>
      </c>
      <c r="C12598" t="s">
        <v>14937</v>
      </c>
      <c r="D12598">
        <v>2</v>
      </c>
      <c r="E12598">
        <v>0</v>
      </c>
      <c r="F12598">
        <f t="shared" si="230"/>
        <v>2</v>
      </c>
      <c r="I12598">
        <v>20180101</v>
      </c>
      <c r="J12598" t="s">
        <v>14955</v>
      </c>
      <c r="K12598" t="s">
        <v>15001</v>
      </c>
      <c r="L12598" t="s">
        <v>14971</v>
      </c>
      <c r="M12598" t="s">
        <v>14972</v>
      </c>
      <c r="N12598" t="s">
        <v>15002</v>
      </c>
      <c r="O12598" t="s">
        <v>15003</v>
      </c>
      <c r="P12598" t="s">
        <v>15004</v>
      </c>
      <c r="Q12598" t="s">
        <v>15005</v>
      </c>
      <c r="R12598" t="s">
        <v>15006</v>
      </c>
      <c r="S12598" t="s">
        <v>15007</v>
      </c>
      <c r="T12598" t="s">
        <v>15008</v>
      </c>
    </row>
    <row r="12599" spans="1:40" x14ac:dyDescent="0.3">
      <c r="A12599" s="160">
        <v>97230</v>
      </c>
      <c r="B12599" t="s">
        <v>15992</v>
      </c>
      <c r="C12599" t="s">
        <v>14937</v>
      </c>
      <c r="D12599">
        <v>2</v>
      </c>
      <c r="E12599">
        <v>0</v>
      </c>
      <c r="F12599">
        <f t="shared" si="230"/>
        <v>2</v>
      </c>
      <c r="I12599">
        <v>20180101</v>
      </c>
      <c r="J12599" t="s">
        <v>15009</v>
      </c>
    </row>
    <row r="12600" spans="1:40" x14ac:dyDescent="0.3">
      <c r="A12600" s="160">
        <v>97231</v>
      </c>
      <c r="B12600" t="s">
        <v>27457</v>
      </c>
      <c r="C12600" t="s">
        <v>14937</v>
      </c>
      <c r="D12600">
        <v>2</v>
      </c>
      <c r="E12600">
        <v>0</v>
      </c>
      <c r="F12600">
        <f t="shared" si="230"/>
        <v>2</v>
      </c>
      <c r="I12600">
        <v>20180101</v>
      </c>
      <c r="J12600" t="s">
        <v>15010</v>
      </c>
    </row>
    <row r="12601" spans="1:40" x14ac:dyDescent="0.3">
      <c r="A12601" s="160">
        <v>97232</v>
      </c>
      <c r="B12601" t="s">
        <v>27458</v>
      </c>
      <c r="C12601" t="s">
        <v>14937</v>
      </c>
      <c r="D12601">
        <v>2</v>
      </c>
      <c r="E12601">
        <v>0</v>
      </c>
      <c r="F12601">
        <f t="shared" si="230"/>
        <v>2</v>
      </c>
      <c r="I12601">
        <v>20180101</v>
      </c>
      <c r="J12601" t="s">
        <v>15011</v>
      </c>
    </row>
    <row r="12602" spans="1:40" x14ac:dyDescent="0.3">
      <c r="A12602" s="160">
        <v>97233</v>
      </c>
      <c r="B12602" t="s">
        <v>27459</v>
      </c>
      <c r="C12602" t="s">
        <v>14937</v>
      </c>
      <c r="D12602">
        <v>2</v>
      </c>
      <c r="E12602">
        <v>0</v>
      </c>
      <c r="F12602">
        <f t="shared" si="230"/>
        <v>2</v>
      </c>
      <c r="I12602">
        <v>20180101</v>
      </c>
      <c r="J12602" t="s">
        <v>15012</v>
      </c>
    </row>
    <row r="12603" spans="1:40" x14ac:dyDescent="0.3">
      <c r="A12603" s="160">
        <v>97234</v>
      </c>
      <c r="B12603" t="s">
        <v>26663</v>
      </c>
      <c r="C12603" t="s">
        <v>14937</v>
      </c>
      <c r="D12603">
        <v>2</v>
      </c>
      <c r="E12603">
        <v>0</v>
      </c>
      <c r="F12603">
        <f t="shared" si="230"/>
        <v>2</v>
      </c>
      <c r="I12603">
        <v>20180101</v>
      </c>
      <c r="J12603" t="s">
        <v>14942</v>
      </c>
    </row>
    <row r="12604" spans="1:40" x14ac:dyDescent="0.3">
      <c r="A12604" s="160">
        <v>97302</v>
      </c>
      <c r="B12604" t="s">
        <v>27460</v>
      </c>
      <c r="C12604" t="s">
        <v>15013</v>
      </c>
      <c r="D12604">
        <v>1.8</v>
      </c>
      <c r="E12604">
        <v>0</v>
      </c>
      <c r="F12604">
        <f t="shared" si="230"/>
        <v>1.8</v>
      </c>
      <c r="I12604">
        <v>20170701</v>
      </c>
      <c r="J12604" t="s">
        <v>15014</v>
      </c>
      <c r="K12604" t="s">
        <v>15015</v>
      </c>
      <c r="L12604" t="s">
        <v>15016</v>
      </c>
      <c r="M12604" t="s">
        <v>15017</v>
      </c>
      <c r="N12604" t="s">
        <v>15018</v>
      </c>
      <c r="O12604" t="s">
        <v>15019</v>
      </c>
      <c r="P12604" t="s">
        <v>15020</v>
      </c>
      <c r="Q12604" t="s">
        <v>15021</v>
      </c>
      <c r="R12604" t="s">
        <v>15022</v>
      </c>
      <c r="S12604" t="s">
        <v>15023</v>
      </c>
      <c r="T12604" t="s">
        <v>15024</v>
      </c>
      <c r="U12604" t="s">
        <v>15025</v>
      </c>
      <c r="V12604" t="s">
        <v>15026</v>
      </c>
      <c r="W12604" t="s">
        <v>15027</v>
      </c>
      <c r="X12604" t="s">
        <v>15028</v>
      </c>
      <c r="Y12604" t="s">
        <v>15029</v>
      </c>
      <c r="Z12604" t="s">
        <v>15030</v>
      </c>
      <c r="AA12604" t="s">
        <v>15031</v>
      </c>
      <c r="AB12604" t="s">
        <v>15032</v>
      </c>
      <c r="AC12604" t="s">
        <v>15033</v>
      </c>
      <c r="AD12604" t="s">
        <v>15034</v>
      </c>
      <c r="AE12604" t="s">
        <v>15035</v>
      </c>
      <c r="AF12604" t="s">
        <v>15036</v>
      </c>
      <c r="AG12604" t="s">
        <v>15037</v>
      </c>
      <c r="AH12604" t="s">
        <v>15038</v>
      </c>
      <c r="AI12604" t="s">
        <v>15039</v>
      </c>
      <c r="AJ12604" t="s">
        <v>15040</v>
      </c>
      <c r="AK12604" t="s">
        <v>15041</v>
      </c>
      <c r="AL12604" t="s">
        <v>15042</v>
      </c>
      <c r="AM12604" t="s">
        <v>15043</v>
      </c>
      <c r="AN12604" t="s">
        <v>15044</v>
      </c>
    </row>
    <row r="12605" spans="1:40" x14ac:dyDescent="0.3">
      <c r="A12605" s="160">
        <v>97305</v>
      </c>
      <c r="B12605" t="s">
        <v>27461</v>
      </c>
      <c r="C12605" t="s">
        <v>15013</v>
      </c>
      <c r="D12605">
        <v>1.8</v>
      </c>
      <c r="E12605">
        <v>0</v>
      </c>
      <c r="F12605">
        <f t="shared" si="230"/>
        <v>1.8</v>
      </c>
      <c r="I12605">
        <v>20170701</v>
      </c>
      <c r="J12605" t="s">
        <v>15021</v>
      </c>
      <c r="K12605" t="s">
        <v>15022</v>
      </c>
      <c r="L12605" t="s">
        <v>15030</v>
      </c>
      <c r="M12605" t="s">
        <v>15031</v>
      </c>
      <c r="N12605" t="s">
        <v>15039</v>
      </c>
      <c r="O12605" t="s">
        <v>15040</v>
      </c>
      <c r="P12605" t="s">
        <v>15043</v>
      </c>
      <c r="Q12605" t="s">
        <v>15045</v>
      </c>
    </row>
    <row r="12606" spans="1:40" x14ac:dyDescent="0.3">
      <c r="A12606" s="160">
        <v>97307</v>
      </c>
      <c r="B12606" t="s">
        <v>27462</v>
      </c>
      <c r="C12606" t="s">
        <v>15013</v>
      </c>
      <c r="D12606">
        <v>1.8</v>
      </c>
      <c r="E12606">
        <v>0</v>
      </c>
      <c r="F12606">
        <f t="shared" si="230"/>
        <v>1.8</v>
      </c>
      <c r="I12606">
        <v>20170701</v>
      </c>
      <c r="J12606" t="s">
        <v>15016</v>
      </c>
      <c r="K12606" t="s">
        <v>15018</v>
      </c>
      <c r="L12606" t="s">
        <v>15020</v>
      </c>
      <c r="M12606" t="s">
        <v>15021</v>
      </c>
      <c r="N12606" t="s">
        <v>15022</v>
      </c>
      <c r="O12606" t="s">
        <v>15023</v>
      </c>
      <c r="P12606" t="s">
        <v>15024</v>
      </c>
      <c r="Q12606" t="s">
        <v>15025</v>
      </c>
      <c r="R12606" t="s">
        <v>15026</v>
      </c>
      <c r="S12606" t="s">
        <v>15028</v>
      </c>
      <c r="T12606" t="s">
        <v>15030</v>
      </c>
      <c r="U12606" t="s">
        <v>15031</v>
      </c>
      <c r="V12606" t="s">
        <v>15032</v>
      </c>
      <c r="W12606" t="s">
        <v>15033</v>
      </c>
      <c r="X12606" t="s">
        <v>15035</v>
      </c>
      <c r="Y12606" t="s">
        <v>15036</v>
      </c>
      <c r="Z12606" t="s">
        <v>15037</v>
      </c>
      <c r="AA12606" t="s">
        <v>15038</v>
      </c>
      <c r="AB12606" t="s">
        <v>15039</v>
      </c>
      <c r="AC12606" t="s">
        <v>15040</v>
      </c>
      <c r="AD12606" t="s">
        <v>15042</v>
      </c>
      <c r="AE12606" t="s">
        <v>15043</v>
      </c>
      <c r="AF12606" t="s">
        <v>15046</v>
      </c>
      <c r="AG12606" t="s">
        <v>15047</v>
      </c>
    </row>
    <row r="12607" spans="1:40" x14ac:dyDescent="0.3">
      <c r="A12607" s="160">
        <v>97309</v>
      </c>
      <c r="B12607" t="s">
        <v>27463</v>
      </c>
      <c r="C12607" t="s">
        <v>15013</v>
      </c>
      <c r="D12607">
        <v>1.8</v>
      </c>
      <c r="E12607">
        <v>0</v>
      </c>
      <c r="F12607">
        <f t="shared" si="230"/>
        <v>1.8</v>
      </c>
      <c r="I12607">
        <v>20170701</v>
      </c>
      <c r="J12607" t="s">
        <v>15016</v>
      </c>
      <c r="K12607" t="s">
        <v>15017</v>
      </c>
      <c r="L12607" t="s">
        <v>15018</v>
      </c>
      <c r="M12607" t="s">
        <v>15020</v>
      </c>
      <c r="N12607" t="s">
        <v>15021</v>
      </c>
      <c r="O12607" t="s">
        <v>15022</v>
      </c>
      <c r="P12607" t="s">
        <v>15023</v>
      </c>
      <c r="Q12607" t="s">
        <v>15024</v>
      </c>
      <c r="R12607" t="s">
        <v>15025</v>
      </c>
      <c r="S12607" t="s">
        <v>15027</v>
      </c>
      <c r="T12607" t="s">
        <v>15028</v>
      </c>
      <c r="U12607" t="s">
        <v>15029</v>
      </c>
      <c r="V12607" t="s">
        <v>15030</v>
      </c>
      <c r="W12607" t="s">
        <v>15031</v>
      </c>
      <c r="X12607" t="s">
        <v>15033</v>
      </c>
      <c r="Y12607" t="s">
        <v>15035</v>
      </c>
      <c r="Z12607" t="s">
        <v>15036</v>
      </c>
      <c r="AA12607" t="s">
        <v>15037</v>
      </c>
      <c r="AB12607" t="s">
        <v>15038</v>
      </c>
      <c r="AC12607" t="s">
        <v>15040</v>
      </c>
      <c r="AD12607" t="s">
        <v>15041</v>
      </c>
      <c r="AE12607" t="s">
        <v>15043</v>
      </c>
      <c r="AF12607" t="s">
        <v>15048</v>
      </c>
    </row>
    <row r="12608" spans="1:40" x14ac:dyDescent="0.3">
      <c r="A12608" s="160">
        <v>97310</v>
      </c>
      <c r="B12608" t="s">
        <v>27464</v>
      </c>
      <c r="C12608" t="s">
        <v>15013</v>
      </c>
      <c r="D12608">
        <v>1.8</v>
      </c>
      <c r="E12608">
        <v>0</v>
      </c>
      <c r="F12608">
        <f t="shared" si="230"/>
        <v>1.8</v>
      </c>
      <c r="I12608">
        <v>20170701</v>
      </c>
      <c r="J12608" t="s">
        <v>15049</v>
      </c>
      <c r="K12608" t="s">
        <v>15021</v>
      </c>
      <c r="L12608" t="s">
        <v>15026</v>
      </c>
      <c r="M12608" t="s">
        <v>15033</v>
      </c>
      <c r="N12608" t="s">
        <v>15050</v>
      </c>
      <c r="O12608" t="s">
        <v>15047</v>
      </c>
    </row>
    <row r="12609" spans="1:67" x14ac:dyDescent="0.3">
      <c r="A12609" s="160">
        <v>97313</v>
      </c>
      <c r="B12609" t="s">
        <v>27465</v>
      </c>
      <c r="C12609" t="s">
        <v>15013</v>
      </c>
      <c r="D12609">
        <v>1.8</v>
      </c>
      <c r="E12609">
        <v>0</v>
      </c>
      <c r="F12609">
        <f t="shared" si="230"/>
        <v>1.8</v>
      </c>
      <c r="I12609">
        <v>20170701</v>
      </c>
      <c r="J12609" t="s">
        <v>15051</v>
      </c>
    </row>
    <row r="12610" spans="1:67" x14ac:dyDescent="0.3">
      <c r="A12610" s="160">
        <v>97401</v>
      </c>
      <c r="B12610" t="s">
        <v>27466</v>
      </c>
      <c r="C12610" t="s">
        <v>15052</v>
      </c>
      <c r="D12610">
        <v>2</v>
      </c>
      <c r="E12610">
        <v>0</v>
      </c>
      <c r="F12610">
        <f t="shared" si="230"/>
        <v>2</v>
      </c>
      <c r="I12610">
        <v>20170701</v>
      </c>
      <c r="J12610" t="s">
        <v>15053</v>
      </c>
    </row>
    <row r="12611" spans="1:67" x14ac:dyDescent="0.3">
      <c r="A12611" s="160">
        <v>97402</v>
      </c>
      <c r="B12611" t="s">
        <v>27467</v>
      </c>
      <c r="C12611" t="s">
        <v>15054</v>
      </c>
      <c r="D12611">
        <v>2</v>
      </c>
      <c r="E12611">
        <v>0</v>
      </c>
      <c r="F12611">
        <f t="shared" si="230"/>
        <v>2</v>
      </c>
      <c r="I12611">
        <v>20250101</v>
      </c>
      <c r="J12611" t="s">
        <v>15055</v>
      </c>
    </row>
    <row r="12612" spans="1:67" x14ac:dyDescent="0.3">
      <c r="A12612" s="160">
        <v>97403</v>
      </c>
      <c r="B12612" t="s">
        <v>27468</v>
      </c>
      <c r="C12612" t="s">
        <v>15056</v>
      </c>
      <c r="D12612">
        <v>1.8</v>
      </c>
      <c r="E12612">
        <v>0</v>
      </c>
      <c r="F12612">
        <f t="shared" si="230"/>
        <v>1.8</v>
      </c>
      <c r="I12612">
        <v>20170701</v>
      </c>
      <c r="J12612" t="s">
        <v>15057</v>
      </c>
    </row>
    <row r="12613" spans="1:67" x14ac:dyDescent="0.3">
      <c r="A12613" s="160">
        <v>97404</v>
      </c>
      <c r="B12613" t="s">
        <v>27469</v>
      </c>
      <c r="C12613" t="s">
        <v>15052</v>
      </c>
      <c r="D12613">
        <v>2</v>
      </c>
      <c r="E12613">
        <v>0</v>
      </c>
      <c r="F12613">
        <f t="shared" si="230"/>
        <v>2</v>
      </c>
      <c r="I12613">
        <v>20170701</v>
      </c>
      <c r="J12613" t="s">
        <v>15058</v>
      </c>
    </row>
    <row r="12614" spans="1:67" x14ac:dyDescent="0.3">
      <c r="A12614" s="160">
        <v>97405</v>
      </c>
      <c r="B12614" t="s">
        <v>27470</v>
      </c>
      <c r="C12614" t="s">
        <v>15052</v>
      </c>
      <c r="D12614">
        <v>2</v>
      </c>
      <c r="E12614">
        <v>0</v>
      </c>
      <c r="F12614">
        <f t="shared" si="230"/>
        <v>2</v>
      </c>
      <c r="I12614">
        <v>20170701</v>
      </c>
      <c r="J12614" t="s">
        <v>15059</v>
      </c>
    </row>
    <row r="12615" spans="1:67" x14ac:dyDescent="0.3">
      <c r="A12615" s="160">
        <v>97406</v>
      </c>
      <c r="B12615" t="s">
        <v>27471</v>
      </c>
      <c r="C12615" t="s">
        <v>15054</v>
      </c>
      <c r="D12615">
        <v>2</v>
      </c>
      <c r="E12615">
        <v>0</v>
      </c>
      <c r="F12615">
        <f t="shared" ref="F12615:F12678" si="231">D12615+E12615</f>
        <v>2</v>
      </c>
      <c r="I12615">
        <v>20250101</v>
      </c>
      <c r="J12615" t="s">
        <v>15060</v>
      </c>
    </row>
    <row r="12616" spans="1:67" x14ac:dyDescent="0.3">
      <c r="A12616" s="160">
        <v>97407</v>
      </c>
      <c r="B12616" t="s">
        <v>27472</v>
      </c>
      <c r="C12616" t="s">
        <v>15061</v>
      </c>
      <c r="D12616">
        <v>2</v>
      </c>
      <c r="E12616">
        <v>0</v>
      </c>
      <c r="F12616">
        <f t="shared" si="231"/>
        <v>2</v>
      </c>
      <c r="I12616">
        <v>20120301</v>
      </c>
      <c r="J12616" t="s">
        <v>15062</v>
      </c>
      <c r="K12616" t="s">
        <v>15063</v>
      </c>
      <c r="L12616" t="s">
        <v>15064</v>
      </c>
      <c r="M12616" t="s">
        <v>15065</v>
      </c>
      <c r="N12616" t="s">
        <v>15066</v>
      </c>
      <c r="O12616" t="s">
        <v>15067</v>
      </c>
      <c r="P12616" t="s">
        <v>15068</v>
      </c>
      <c r="Q12616" t="s">
        <v>15069</v>
      </c>
      <c r="R12616" t="s">
        <v>15070</v>
      </c>
      <c r="S12616" t="s">
        <v>15071</v>
      </c>
    </row>
    <row r="12617" spans="1:67" x14ac:dyDescent="0.3">
      <c r="A12617" s="160">
        <v>97408</v>
      </c>
      <c r="B12617" t="s">
        <v>27473</v>
      </c>
      <c r="C12617" t="s">
        <v>15061</v>
      </c>
      <c r="D12617">
        <v>2</v>
      </c>
      <c r="E12617">
        <v>0</v>
      </c>
      <c r="F12617">
        <f t="shared" si="231"/>
        <v>2</v>
      </c>
      <c r="I12617">
        <v>20170701</v>
      </c>
      <c r="J12617" t="s">
        <v>15072</v>
      </c>
      <c r="K12617" t="s">
        <v>15073</v>
      </c>
      <c r="L12617" t="s">
        <v>15071</v>
      </c>
    </row>
    <row r="12618" spans="1:67" x14ac:dyDescent="0.3">
      <c r="A12618" s="160">
        <v>97409</v>
      </c>
      <c r="B12618" t="s">
        <v>27474</v>
      </c>
      <c r="C12618" t="s">
        <v>15054</v>
      </c>
      <c r="D12618">
        <v>2</v>
      </c>
      <c r="E12618">
        <v>0</v>
      </c>
      <c r="F12618">
        <f t="shared" si="231"/>
        <v>2</v>
      </c>
      <c r="I12618">
        <v>20250101</v>
      </c>
      <c r="J12618" t="s">
        <v>15074</v>
      </c>
    </row>
    <row r="12619" spans="1:67" x14ac:dyDescent="0.3">
      <c r="A12619" s="160">
        <v>97410</v>
      </c>
      <c r="B12619" t="s">
        <v>26607</v>
      </c>
      <c r="C12619" t="s">
        <v>15054</v>
      </c>
      <c r="D12619">
        <v>2</v>
      </c>
      <c r="E12619">
        <v>0</v>
      </c>
      <c r="F12619">
        <f t="shared" si="231"/>
        <v>2</v>
      </c>
      <c r="I12619">
        <v>20250101</v>
      </c>
      <c r="J12619" t="s">
        <v>15075</v>
      </c>
      <c r="K12619" t="s">
        <v>15076</v>
      </c>
    </row>
    <row r="12620" spans="1:67" x14ac:dyDescent="0.3">
      <c r="A12620" s="160">
        <v>97411</v>
      </c>
      <c r="B12620" t="s">
        <v>27179</v>
      </c>
      <c r="C12620" t="s">
        <v>15077</v>
      </c>
      <c r="D12620">
        <v>2</v>
      </c>
      <c r="E12620">
        <v>0</v>
      </c>
      <c r="F12620">
        <f t="shared" si="231"/>
        <v>2</v>
      </c>
      <c r="I12620">
        <v>20170701</v>
      </c>
      <c r="J12620" t="s">
        <v>15078</v>
      </c>
      <c r="K12620" t="s">
        <v>27475</v>
      </c>
      <c r="L12620" t="s">
        <v>27476</v>
      </c>
      <c r="M12620" t="s">
        <v>27477</v>
      </c>
      <c r="N12620" t="s">
        <v>15079</v>
      </c>
      <c r="O12620" t="s">
        <v>15080</v>
      </c>
      <c r="P12620" t="s">
        <v>27478</v>
      </c>
      <c r="Q12620" t="s">
        <v>27479</v>
      </c>
      <c r="R12620" t="s">
        <v>27480</v>
      </c>
      <c r="S12620" t="s">
        <v>15081</v>
      </c>
      <c r="T12620" t="s">
        <v>15082</v>
      </c>
      <c r="U12620" t="s">
        <v>15083</v>
      </c>
      <c r="V12620" t="s">
        <v>15084</v>
      </c>
      <c r="W12620" t="s">
        <v>15085</v>
      </c>
      <c r="X12620" t="s">
        <v>15086</v>
      </c>
      <c r="Y12620" t="s">
        <v>15087</v>
      </c>
      <c r="Z12620" t="s">
        <v>15088</v>
      </c>
      <c r="AA12620" t="s">
        <v>15089</v>
      </c>
      <c r="AB12620" t="s">
        <v>15090</v>
      </c>
      <c r="AC12620" t="s">
        <v>15091</v>
      </c>
      <c r="AD12620" t="s">
        <v>15092</v>
      </c>
      <c r="AE12620" t="s">
        <v>15093</v>
      </c>
      <c r="AF12620" t="s">
        <v>15094</v>
      </c>
      <c r="AG12620" t="s">
        <v>15095</v>
      </c>
      <c r="AH12620" t="s">
        <v>15096</v>
      </c>
      <c r="AI12620" t="s">
        <v>15097</v>
      </c>
      <c r="AJ12620" t="s">
        <v>15098</v>
      </c>
      <c r="AK12620" t="s">
        <v>15099</v>
      </c>
      <c r="AL12620" t="s">
        <v>15100</v>
      </c>
      <c r="AM12620" t="s">
        <v>15101</v>
      </c>
      <c r="AN12620" t="s">
        <v>27481</v>
      </c>
      <c r="AO12620" t="s">
        <v>27482</v>
      </c>
      <c r="AP12620" t="s">
        <v>27483</v>
      </c>
      <c r="AQ12620" t="s">
        <v>27484</v>
      </c>
      <c r="AR12620" t="s">
        <v>15102</v>
      </c>
      <c r="AS12620" t="s">
        <v>15103</v>
      </c>
      <c r="AT12620" t="s">
        <v>15104</v>
      </c>
      <c r="AU12620" t="s">
        <v>15105</v>
      </c>
      <c r="AV12620" t="s">
        <v>15106</v>
      </c>
      <c r="AW12620" t="s">
        <v>15107</v>
      </c>
      <c r="AX12620" t="s">
        <v>15108</v>
      </c>
      <c r="AY12620" t="s">
        <v>15109</v>
      </c>
      <c r="AZ12620" t="s">
        <v>15110</v>
      </c>
      <c r="BA12620" t="s">
        <v>15111</v>
      </c>
      <c r="BB12620" t="s">
        <v>27485</v>
      </c>
      <c r="BC12620" t="s">
        <v>27486</v>
      </c>
      <c r="BD12620" t="s">
        <v>27487</v>
      </c>
      <c r="BE12620" t="s">
        <v>27488</v>
      </c>
      <c r="BF12620" t="s">
        <v>27489</v>
      </c>
      <c r="BG12620" t="s">
        <v>27490</v>
      </c>
      <c r="BH12620" t="s">
        <v>27491</v>
      </c>
      <c r="BI12620" t="s">
        <v>27492</v>
      </c>
      <c r="BJ12620" t="s">
        <v>27493</v>
      </c>
      <c r="BK12620" t="s">
        <v>27494</v>
      </c>
      <c r="BL12620" t="s">
        <v>27495</v>
      </c>
      <c r="BM12620" t="s">
        <v>27496</v>
      </c>
      <c r="BN12620" t="s">
        <v>27497</v>
      </c>
      <c r="BO12620" t="s">
        <v>27498</v>
      </c>
    </row>
    <row r="12621" spans="1:67" x14ac:dyDescent="0.3">
      <c r="A12621" s="160">
        <v>97412</v>
      </c>
      <c r="B12621" t="s">
        <v>19930</v>
      </c>
      <c r="C12621" t="s">
        <v>15056</v>
      </c>
      <c r="D12621">
        <v>1.8</v>
      </c>
      <c r="E12621">
        <v>0</v>
      </c>
      <c r="F12621">
        <f t="shared" si="231"/>
        <v>1.8</v>
      </c>
      <c r="I12621">
        <v>20170701</v>
      </c>
      <c r="J12621" t="s">
        <v>15120</v>
      </c>
    </row>
    <row r="12622" spans="1:67" x14ac:dyDescent="0.3">
      <c r="A12622" s="160">
        <v>97413</v>
      </c>
      <c r="B12622" t="s">
        <v>27504</v>
      </c>
      <c r="C12622" t="s">
        <v>15061</v>
      </c>
      <c r="D12622">
        <v>2</v>
      </c>
      <c r="E12622">
        <v>0</v>
      </c>
      <c r="F12622">
        <f t="shared" si="231"/>
        <v>2</v>
      </c>
      <c r="I12622">
        <v>20170701</v>
      </c>
      <c r="J12622" t="s">
        <v>15121</v>
      </c>
      <c r="K12622" t="s">
        <v>15122</v>
      </c>
      <c r="L12622" t="s">
        <v>15123</v>
      </c>
    </row>
    <row r="12623" spans="1:67" x14ac:dyDescent="0.3">
      <c r="A12623" s="160">
        <v>97414</v>
      </c>
      <c r="B12623" t="s">
        <v>24418</v>
      </c>
      <c r="C12623" t="s">
        <v>15052</v>
      </c>
      <c r="D12623">
        <v>2</v>
      </c>
      <c r="E12623">
        <v>0</v>
      </c>
      <c r="F12623">
        <f t="shared" si="231"/>
        <v>2</v>
      </c>
      <c r="I12623">
        <v>20170701</v>
      </c>
      <c r="J12623" t="s">
        <v>15124</v>
      </c>
      <c r="K12623" t="s">
        <v>15125</v>
      </c>
      <c r="L12623" t="s">
        <v>15126</v>
      </c>
      <c r="M12623" t="s">
        <v>15127</v>
      </c>
    </row>
    <row r="12624" spans="1:67" x14ac:dyDescent="0.3">
      <c r="A12624" s="160">
        <v>97415</v>
      </c>
      <c r="B12624" t="s">
        <v>16925</v>
      </c>
      <c r="C12624" t="s">
        <v>15061</v>
      </c>
      <c r="D12624">
        <v>2</v>
      </c>
      <c r="E12624">
        <v>0</v>
      </c>
      <c r="F12624">
        <f t="shared" si="231"/>
        <v>2</v>
      </c>
      <c r="I12624">
        <v>20170701</v>
      </c>
      <c r="J12624" t="s">
        <v>15128</v>
      </c>
      <c r="K12624" t="s">
        <v>15129</v>
      </c>
      <c r="L12624" t="s">
        <v>15130</v>
      </c>
      <c r="M12624" t="s">
        <v>15131</v>
      </c>
      <c r="N12624" t="s">
        <v>15132</v>
      </c>
      <c r="O12624" t="s">
        <v>15133</v>
      </c>
      <c r="P12624" t="s">
        <v>15134</v>
      </c>
      <c r="Q12624" t="s">
        <v>15135</v>
      </c>
      <c r="R12624" t="s">
        <v>15136</v>
      </c>
      <c r="S12624" t="s">
        <v>15137</v>
      </c>
      <c r="T12624" t="s">
        <v>15138</v>
      </c>
    </row>
    <row r="12625" spans="1:25" x14ac:dyDescent="0.3">
      <c r="A12625" s="160">
        <v>97416</v>
      </c>
      <c r="B12625" t="s">
        <v>20897</v>
      </c>
      <c r="C12625" t="s">
        <v>15052</v>
      </c>
      <c r="D12625">
        <v>2</v>
      </c>
      <c r="E12625">
        <v>0</v>
      </c>
      <c r="F12625">
        <f t="shared" si="231"/>
        <v>2</v>
      </c>
      <c r="I12625">
        <v>20170701</v>
      </c>
      <c r="J12625" t="s">
        <v>15139</v>
      </c>
      <c r="K12625" t="s">
        <v>15140</v>
      </c>
      <c r="L12625" t="s">
        <v>15141</v>
      </c>
      <c r="M12625" t="s">
        <v>15142</v>
      </c>
      <c r="N12625" t="s">
        <v>15143</v>
      </c>
      <c r="O12625" t="s">
        <v>15144</v>
      </c>
      <c r="P12625" t="s">
        <v>15145</v>
      </c>
      <c r="Q12625" t="s">
        <v>15146</v>
      </c>
      <c r="R12625" t="s">
        <v>15147</v>
      </c>
      <c r="S12625" t="s">
        <v>15148</v>
      </c>
      <c r="T12625" t="s">
        <v>15149</v>
      </c>
      <c r="U12625" t="s">
        <v>15150</v>
      </c>
      <c r="V12625" t="s">
        <v>15151</v>
      </c>
      <c r="W12625" t="s">
        <v>15152</v>
      </c>
      <c r="X12625" t="s">
        <v>15153</v>
      </c>
      <c r="Y12625" t="s">
        <v>15154</v>
      </c>
    </row>
    <row r="12626" spans="1:25" x14ac:dyDescent="0.3">
      <c r="A12626" s="160">
        <v>97417</v>
      </c>
      <c r="B12626" t="s">
        <v>27505</v>
      </c>
      <c r="C12626" t="s">
        <v>15056</v>
      </c>
      <c r="D12626">
        <v>1.8</v>
      </c>
      <c r="E12626">
        <v>0</v>
      </c>
      <c r="F12626">
        <f t="shared" si="231"/>
        <v>1.8</v>
      </c>
      <c r="I12626">
        <v>20150701</v>
      </c>
      <c r="J12626" t="s">
        <v>15155</v>
      </c>
    </row>
    <row r="12627" spans="1:25" x14ac:dyDescent="0.3">
      <c r="A12627" s="160">
        <v>97418</v>
      </c>
      <c r="B12627" t="s">
        <v>17504</v>
      </c>
      <c r="C12627" t="s">
        <v>15077</v>
      </c>
      <c r="D12627">
        <v>2</v>
      </c>
      <c r="E12627">
        <v>0</v>
      </c>
      <c r="F12627">
        <f t="shared" si="231"/>
        <v>2</v>
      </c>
      <c r="I12627">
        <v>20170701</v>
      </c>
      <c r="J12627" t="s">
        <v>15156</v>
      </c>
      <c r="K12627" t="s">
        <v>15113</v>
      </c>
      <c r="L12627" t="s">
        <v>15157</v>
      </c>
      <c r="M12627" t="s">
        <v>15158</v>
      </c>
    </row>
    <row r="12628" spans="1:25" x14ac:dyDescent="0.3">
      <c r="A12628" s="160">
        <v>97419</v>
      </c>
      <c r="B12628" t="s">
        <v>27426</v>
      </c>
      <c r="C12628" t="s">
        <v>15054</v>
      </c>
      <c r="D12628">
        <v>2</v>
      </c>
      <c r="E12628">
        <v>0</v>
      </c>
      <c r="F12628">
        <f t="shared" si="231"/>
        <v>2</v>
      </c>
      <c r="I12628">
        <v>20250101</v>
      </c>
      <c r="J12628" t="s">
        <v>15159</v>
      </c>
    </row>
    <row r="12629" spans="1:25" x14ac:dyDescent="0.3">
      <c r="A12629" s="160">
        <v>97420</v>
      </c>
      <c r="B12629" t="s">
        <v>17506</v>
      </c>
      <c r="C12629" t="s">
        <v>15077</v>
      </c>
      <c r="D12629">
        <v>2</v>
      </c>
      <c r="E12629">
        <v>0</v>
      </c>
      <c r="F12629">
        <f t="shared" si="231"/>
        <v>2</v>
      </c>
      <c r="I12629">
        <v>20170701</v>
      </c>
      <c r="J12629" t="s">
        <v>15160</v>
      </c>
    </row>
    <row r="12630" spans="1:25" x14ac:dyDescent="0.3">
      <c r="A12630" s="160">
        <v>97421</v>
      </c>
      <c r="B12630" t="s">
        <v>27506</v>
      </c>
      <c r="C12630" t="s">
        <v>15054</v>
      </c>
      <c r="D12630">
        <v>2</v>
      </c>
      <c r="E12630">
        <v>0</v>
      </c>
      <c r="F12630">
        <f t="shared" si="231"/>
        <v>2</v>
      </c>
      <c r="I12630">
        <v>20250101</v>
      </c>
      <c r="J12630" t="s">
        <v>15161</v>
      </c>
    </row>
    <row r="12631" spans="1:25" x14ac:dyDescent="0.3">
      <c r="A12631" s="160">
        <v>97422</v>
      </c>
      <c r="B12631" t="s">
        <v>27507</v>
      </c>
      <c r="C12631" t="s">
        <v>15056</v>
      </c>
      <c r="D12631">
        <v>1.8</v>
      </c>
      <c r="E12631">
        <v>0</v>
      </c>
      <c r="F12631">
        <f t="shared" si="231"/>
        <v>1.8</v>
      </c>
      <c r="I12631">
        <v>20170701</v>
      </c>
      <c r="J12631" t="s">
        <v>15162</v>
      </c>
      <c r="K12631" t="s">
        <v>15163</v>
      </c>
      <c r="L12631" t="s">
        <v>15164</v>
      </c>
      <c r="M12631" t="s">
        <v>15165</v>
      </c>
      <c r="N12631" t="s">
        <v>15166</v>
      </c>
      <c r="O12631" t="s">
        <v>15167</v>
      </c>
      <c r="P12631" t="s">
        <v>15168</v>
      </c>
      <c r="Q12631" t="s">
        <v>15169</v>
      </c>
      <c r="R12631" t="s">
        <v>15170</v>
      </c>
    </row>
    <row r="12632" spans="1:25" x14ac:dyDescent="0.3">
      <c r="A12632" s="160">
        <v>97423</v>
      </c>
      <c r="B12632" t="s">
        <v>27508</v>
      </c>
      <c r="C12632" t="s">
        <v>15061</v>
      </c>
      <c r="D12632">
        <v>2</v>
      </c>
      <c r="E12632">
        <v>0</v>
      </c>
      <c r="F12632">
        <f t="shared" si="231"/>
        <v>2</v>
      </c>
      <c r="I12632">
        <v>20170701</v>
      </c>
      <c r="J12632" t="s">
        <v>15171</v>
      </c>
    </row>
    <row r="12633" spans="1:25" x14ac:dyDescent="0.3">
      <c r="A12633" s="160">
        <v>97424</v>
      </c>
      <c r="B12633" t="s">
        <v>27509</v>
      </c>
      <c r="C12633" t="s">
        <v>15052</v>
      </c>
      <c r="D12633">
        <v>2</v>
      </c>
      <c r="E12633">
        <v>0</v>
      </c>
      <c r="F12633">
        <f t="shared" si="231"/>
        <v>2</v>
      </c>
      <c r="I12633">
        <v>20170701</v>
      </c>
      <c r="J12633" t="s">
        <v>15172</v>
      </c>
    </row>
    <row r="12634" spans="1:25" x14ac:dyDescent="0.3">
      <c r="A12634" s="160">
        <v>97605</v>
      </c>
      <c r="B12634" t="s">
        <v>27510</v>
      </c>
      <c r="C12634" t="s">
        <v>27511</v>
      </c>
      <c r="D12634">
        <v>0.6</v>
      </c>
      <c r="E12634">
        <v>0</v>
      </c>
      <c r="F12634">
        <f t="shared" si="231"/>
        <v>0.6</v>
      </c>
      <c r="I12634">
        <v>20240101</v>
      </c>
      <c r="J12634" t="s">
        <v>27512</v>
      </c>
    </row>
    <row r="12635" spans="1:25" x14ac:dyDescent="0.3">
      <c r="A12635" s="160">
        <v>97607</v>
      </c>
      <c r="B12635" t="s">
        <v>27513</v>
      </c>
      <c r="C12635" t="s">
        <v>15173</v>
      </c>
      <c r="D12635">
        <v>1.5</v>
      </c>
      <c r="E12635">
        <v>0</v>
      </c>
      <c r="F12635">
        <f t="shared" si="231"/>
        <v>1.5</v>
      </c>
      <c r="I12635">
        <v>20250101</v>
      </c>
      <c r="J12635" t="s">
        <v>15174</v>
      </c>
    </row>
    <row r="12636" spans="1:25" x14ac:dyDescent="0.3">
      <c r="A12636" s="160">
        <v>97611</v>
      </c>
      <c r="B12636" t="s">
        <v>27514</v>
      </c>
      <c r="C12636" t="s">
        <v>15173</v>
      </c>
      <c r="D12636">
        <v>1.5</v>
      </c>
      <c r="E12636">
        <v>0</v>
      </c>
      <c r="F12636">
        <f t="shared" si="231"/>
        <v>1.5</v>
      </c>
      <c r="I12636">
        <v>20250101</v>
      </c>
      <c r="J12636" t="s">
        <v>15175</v>
      </c>
    </row>
    <row r="12637" spans="1:25" x14ac:dyDescent="0.3">
      <c r="A12637" s="160">
        <v>97613</v>
      </c>
      <c r="B12637" t="s">
        <v>27515</v>
      </c>
      <c r="C12637" t="s">
        <v>27511</v>
      </c>
      <c r="D12637">
        <v>0.6</v>
      </c>
      <c r="E12637">
        <v>0</v>
      </c>
      <c r="F12637">
        <f t="shared" si="231"/>
        <v>0.6</v>
      </c>
      <c r="I12637">
        <v>20240101</v>
      </c>
      <c r="J12637" t="s">
        <v>27516</v>
      </c>
    </row>
    <row r="12638" spans="1:25" x14ac:dyDescent="0.3">
      <c r="A12638" s="160">
        <v>97614</v>
      </c>
      <c r="B12638" t="s">
        <v>27517</v>
      </c>
      <c r="C12638" t="s">
        <v>27511</v>
      </c>
      <c r="D12638">
        <v>0.6</v>
      </c>
      <c r="E12638">
        <v>0</v>
      </c>
      <c r="F12638">
        <f t="shared" si="231"/>
        <v>0.6</v>
      </c>
      <c r="I12638">
        <v>20240101</v>
      </c>
      <c r="J12638" t="s">
        <v>27512</v>
      </c>
    </row>
    <row r="12639" spans="1:25" x14ac:dyDescent="0.3">
      <c r="A12639" s="160">
        <v>97615</v>
      </c>
      <c r="B12639" t="s">
        <v>27571</v>
      </c>
      <c r="C12639" t="s">
        <v>27511</v>
      </c>
      <c r="D12639">
        <v>0.6</v>
      </c>
      <c r="E12639">
        <v>0</v>
      </c>
      <c r="F12639">
        <f t="shared" si="231"/>
        <v>0.6</v>
      </c>
      <c r="I12639">
        <v>20240101</v>
      </c>
      <c r="J12639" s="158" t="s">
        <v>27572</v>
      </c>
    </row>
    <row r="12640" spans="1:25" x14ac:dyDescent="0.3">
      <c r="A12640" s="160">
        <v>97616</v>
      </c>
      <c r="B12640" t="s">
        <v>27518</v>
      </c>
      <c r="C12640" t="s">
        <v>27511</v>
      </c>
      <c r="D12640">
        <v>0.6</v>
      </c>
      <c r="E12640">
        <v>0</v>
      </c>
      <c r="F12640">
        <f t="shared" si="231"/>
        <v>0.6</v>
      </c>
      <c r="I12640">
        <v>20240101</v>
      </c>
      <c r="J12640" t="s">
        <v>27519</v>
      </c>
    </row>
    <row r="12641" spans="1:49" x14ac:dyDescent="0.3">
      <c r="A12641" s="160" t="s">
        <v>3042</v>
      </c>
      <c r="B12641" t="s">
        <v>18230</v>
      </c>
      <c r="C12641" t="s">
        <v>3043</v>
      </c>
      <c r="D12641">
        <v>1.1000000000000001</v>
      </c>
      <c r="E12641">
        <v>0</v>
      </c>
      <c r="F12641">
        <f t="shared" si="231"/>
        <v>1.1000000000000001</v>
      </c>
      <c r="I12641">
        <v>20160701</v>
      </c>
      <c r="J12641" t="s">
        <v>3044</v>
      </c>
      <c r="K12641" t="s">
        <v>3045</v>
      </c>
      <c r="L12641" t="s">
        <v>3046</v>
      </c>
      <c r="M12641" t="s">
        <v>3047</v>
      </c>
      <c r="N12641" t="s">
        <v>3048</v>
      </c>
      <c r="O12641" t="s">
        <v>3049</v>
      </c>
    </row>
    <row r="12642" spans="1:49" x14ac:dyDescent="0.3">
      <c r="A12642" s="160" t="s">
        <v>3050</v>
      </c>
      <c r="B12642" t="s">
        <v>18231</v>
      </c>
      <c r="C12642" t="s">
        <v>3043</v>
      </c>
      <c r="D12642">
        <v>1.1000000000000001</v>
      </c>
      <c r="E12642">
        <v>0</v>
      </c>
      <c r="F12642">
        <f t="shared" si="231"/>
        <v>1.1000000000000001</v>
      </c>
      <c r="I12642">
        <v>20160701</v>
      </c>
      <c r="J12642" t="s">
        <v>3051</v>
      </c>
      <c r="K12642" t="s">
        <v>3052</v>
      </c>
      <c r="L12642" t="s">
        <v>3044</v>
      </c>
      <c r="M12642" t="s">
        <v>3053</v>
      </c>
      <c r="N12642" t="s">
        <v>3054</v>
      </c>
      <c r="O12642" t="s">
        <v>3055</v>
      </c>
      <c r="P12642" t="s">
        <v>3056</v>
      </c>
      <c r="Q12642" t="s">
        <v>3057</v>
      </c>
      <c r="R12642" t="s">
        <v>3058</v>
      </c>
      <c r="S12642" t="s">
        <v>3059</v>
      </c>
      <c r="T12642" t="s">
        <v>3060</v>
      </c>
      <c r="U12642" t="s">
        <v>3061</v>
      </c>
      <c r="V12642" t="s">
        <v>3062</v>
      </c>
      <c r="W12642" t="s">
        <v>3063</v>
      </c>
      <c r="X12642" t="s">
        <v>3064</v>
      </c>
      <c r="Y12642" t="s">
        <v>3045</v>
      </c>
      <c r="Z12642" t="s">
        <v>3065</v>
      </c>
      <c r="AA12642" t="s">
        <v>3066</v>
      </c>
      <c r="AB12642" t="s">
        <v>3067</v>
      </c>
      <c r="AC12642" t="s">
        <v>3068</v>
      </c>
      <c r="AD12642" t="s">
        <v>3069</v>
      </c>
      <c r="AE12642" t="s">
        <v>3070</v>
      </c>
      <c r="AF12642" t="s">
        <v>3071</v>
      </c>
      <c r="AG12642" t="s">
        <v>3072</v>
      </c>
      <c r="AH12642" t="s">
        <v>3073</v>
      </c>
      <c r="AI12642" t="s">
        <v>3074</v>
      </c>
      <c r="AJ12642" t="s">
        <v>3075</v>
      </c>
      <c r="AK12642" t="s">
        <v>3076</v>
      </c>
      <c r="AL12642" t="s">
        <v>3077</v>
      </c>
      <c r="AM12642" t="s">
        <v>3078</v>
      </c>
      <c r="AN12642" t="s">
        <v>3046</v>
      </c>
      <c r="AO12642" t="s">
        <v>3047</v>
      </c>
      <c r="AP12642" t="s">
        <v>3079</v>
      </c>
      <c r="AQ12642" t="s">
        <v>3048</v>
      </c>
      <c r="AR12642" t="s">
        <v>3049</v>
      </c>
      <c r="AS12642" t="s">
        <v>3080</v>
      </c>
      <c r="AT12642" t="s">
        <v>3081</v>
      </c>
      <c r="AU12642" t="s">
        <v>3082</v>
      </c>
      <c r="AV12642" t="s">
        <v>3083</v>
      </c>
      <c r="AW12642" t="s">
        <v>3084</v>
      </c>
    </row>
    <row r="12643" spans="1:49" x14ac:dyDescent="0.3">
      <c r="A12643" s="160" t="s">
        <v>3085</v>
      </c>
      <c r="B12643" t="s">
        <v>18232</v>
      </c>
      <c r="C12643" t="s">
        <v>3043</v>
      </c>
      <c r="D12643">
        <v>1.1000000000000001</v>
      </c>
      <c r="E12643">
        <v>0</v>
      </c>
      <c r="F12643">
        <f t="shared" si="231"/>
        <v>1.1000000000000001</v>
      </c>
      <c r="I12643">
        <v>20160701</v>
      </c>
      <c r="J12643" t="s">
        <v>3044</v>
      </c>
      <c r="K12643" t="s">
        <v>3055</v>
      </c>
      <c r="L12643" t="s">
        <v>3045</v>
      </c>
      <c r="M12643" t="s">
        <v>3046</v>
      </c>
      <c r="N12643" t="s">
        <v>3047</v>
      </c>
      <c r="O12643" t="s">
        <v>3079</v>
      </c>
      <c r="P12643" t="s">
        <v>3048</v>
      </c>
      <c r="Q12643" t="s">
        <v>3049</v>
      </c>
    </row>
    <row r="12644" spans="1:49" x14ac:dyDescent="0.3">
      <c r="A12644" s="160" t="s">
        <v>3086</v>
      </c>
      <c r="B12644" t="s">
        <v>18233</v>
      </c>
      <c r="C12644" t="s">
        <v>3043</v>
      </c>
      <c r="D12644">
        <v>1.1000000000000001</v>
      </c>
      <c r="E12644">
        <v>0</v>
      </c>
      <c r="F12644">
        <f t="shared" si="231"/>
        <v>1.1000000000000001</v>
      </c>
      <c r="I12644">
        <v>20160701</v>
      </c>
      <c r="J12644" t="s">
        <v>3044</v>
      </c>
      <c r="K12644" t="s">
        <v>3046</v>
      </c>
      <c r="L12644" t="s">
        <v>3048</v>
      </c>
    </row>
    <row r="12645" spans="1:49" x14ac:dyDescent="0.3">
      <c r="A12645" s="160" t="s">
        <v>3087</v>
      </c>
      <c r="B12645" t="s">
        <v>18234</v>
      </c>
      <c r="C12645" t="s">
        <v>3088</v>
      </c>
      <c r="D12645">
        <v>0.55000000000000004</v>
      </c>
      <c r="E12645">
        <v>0</v>
      </c>
      <c r="F12645">
        <f t="shared" si="231"/>
        <v>0.55000000000000004</v>
      </c>
      <c r="I12645">
        <v>20220701</v>
      </c>
      <c r="J12645" t="s">
        <v>3089</v>
      </c>
    </row>
    <row r="12646" spans="1:49" x14ac:dyDescent="0.3">
      <c r="A12646" s="160" t="s">
        <v>3090</v>
      </c>
      <c r="B12646" t="s">
        <v>18235</v>
      </c>
      <c r="C12646" t="s">
        <v>3043</v>
      </c>
      <c r="D12646">
        <v>1.1000000000000001</v>
      </c>
      <c r="E12646">
        <v>0</v>
      </c>
      <c r="F12646">
        <f t="shared" si="231"/>
        <v>1.1000000000000001</v>
      </c>
      <c r="I12646">
        <v>20160701</v>
      </c>
      <c r="J12646" t="s">
        <v>3044</v>
      </c>
      <c r="K12646" t="s">
        <v>3045</v>
      </c>
      <c r="L12646" t="s">
        <v>3046</v>
      </c>
      <c r="M12646" t="s">
        <v>3047</v>
      </c>
      <c r="N12646" t="s">
        <v>3048</v>
      </c>
    </row>
    <row r="12647" spans="1:49" x14ac:dyDescent="0.3">
      <c r="A12647" s="160" t="s">
        <v>3091</v>
      </c>
      <c r="B12647" t="s">
        <v>18236</v>
      </c>
      <c r="C12647" t="s">
        <v>3088</v>
      </c>
      <c r="D12647">
        <v>0.55000000000000004</v>
      </c>
      <c r="E12647">
        <v>0</v>
      </c>
      <c r="F12647">
        <f t="shared" si="231"/>
        <v>0.55000000000000004</v>
      </c>
      <c r="I12647">
        <v>20220701</v>
      </c>
      <c r="J12647" t="s">
        <v>3092</v>
      </c>
    </row>
    <row r="12648" spans="1:49" x14ac:dyDescent="0.3">
      <c r="A12648" s="160" t="s">
        <v>3093</v>
      </c>
      <c r="B12648" t="s">
        <v>18237</v>
      </c>
      <c r="C12648" t="s">
        <v>3088</v>
      </c>
      <c r="D12648">
        <v>0.55000000000000004</v>
      </c>
      <c r="E12648">
        <v>0</v>
      </c>
      <c r="F12648">
        <f t="shared" si="231"/>
        <v>0.55000000000000004</v>
      </c>
      <c r="I12648">
        <v>20220701</v>
      </c>
      <c r="J12648" t="s">
        <v>3094</v>
      </c>
      <c r="K12648" t="s">
        <v>3095</v>
      </c>
      <c r="L12648" t="s">
        <v>3096</v>
      </c>
    </row>
    <row r="12649" spans="1:49" x14ac:dyDescent="0.3">
      <c r="A12649" s="160" t="s">
        <v>3097</v>
      </c>
      <c r="B12649" t="s">
        <v>18238</v>
      </c>
      <c r="C12649" t="s">
        <v>3088</v>
      </c>
      <c r="D12649">
        <v>0.55000000000000004</v>
      </c>
      <c r="E12649">
        <v>0</v>
      </c>
      <c r="F12649">
        <f t="shared" si="231"/>
        <v>0.55000000000000004</v>
      </c>
      <c r="I12649">
        <v>20220701</v>
      </c>
      <c r="J12649" t="s">
        <v>3098</v>
      </c>
    </row>
    <row r="12650" spans="1:49" x14ac:dyDescent="0.3">
      <c r="A12650" s="160" t="s">
        <v>3099</v>
      </c>
      <c r="B12650" t="s">
        <v>18239</v>
      </c>
      <c r="C12650" t="s">
        <v>3043</v>
      </c>
      <c r="D12650">
        <v>1.1000000000000001</v>
      </c>
      <c r="E12650">
        <v>0</v>
      </c>
      <c r="F12650">
        <f t="shared" si="231"/>
        <v>1.1000000000000001</v>
      </c>
      <c r="I12650">
        <v>20160701</v>
      </c>
      <c r="J12650" t="s">
        <v>3044</v>
      </c>
      <c r="K12650" t="s">
        <v>3045</v>
      </c>
      <c r="L12650" t="s">
        <v>3047</v>
      </c>
      <c r="M12650" t="s">
        <v>3079</v>
      </c>
      <c r="N12650" t="s">
        <v>3049</v>
      </c>
    </row>
    <row r="12651" spans="1:49" x14ac:dyDescent="0.3">
      <c r="A12651" s="160" t="s">
        <v>3100</v>
      </c>
      <c r="B12651" t="s">
        <v>18240</v>
      </c>
      <c r="C12651" t="s">
        <v>3088</v>
      </c>
      <c r="D12651">
        <v>0.55000000000000004</v>
      </c>
      <c r="E12651">
        <v>0</v>
      </c>
      <c r="F12651">
        <f t="shared" si="231"/>
        <v>0.55000000000000004</v>
      </c>
      <c r="I12651">
        <v>20220701</v>
      </c>
      <c r="J12651" t="s">
        <v>3101</v>
      </c>
    </row>
    <row r="12652" spans="1:49" x14ac:dyDescent="0.3">
      <c r="A12652" s="160" t="s">
        <v>3102</v>
      </c>
      <c r="B12652" t="s">
        <v>18241</v>
      </c>
      <c r="C12652" t="s">
        <v>3088</v>
      </c>
      <c r="D12652">
        <v>0.55000000000000004</v>
      </c>
      <c r="E12652">
        <v>0</v>
      </c>
      <c r="F12652">
        <f t="shared" si="231"/>
        <v>0.55000000000000004</v>
      </c>
      <c r="I12652">
        <v>20220701</v>
      </c>
      <c r="J12652" t="s">
        <v>3094</v>
      </c>
      <c r="K12652" t="s">
        <v>3095</v>
      </c>
      <c r="L12652" t="s">
        <v>3096</v>
      </c>
    </row>
    <row r="12653" spans="1:49" x14ac:dyDescent="0.3">
      <c r="A12653" s="160" t="s">
        <v>3103</v>
      </c>
      <c r="B12653" t="s">
        <v>18242</v>
      </c>
      <c r="C12653" t="s">
        <v>3043</v>
      </c>
      <c r="D12653">
        <v>1.1000000000000001</v>
      </c>
      <c r="E12653">
        <v>0</v>
      </c>
      <c r="F12653">
        <f t="shared" si="231"/>
        <v>1.1000000000000001</v>
      </c>
      <c r="I12653">
        <v>20160701</v>
      </c>
      <c r="J12653" t="s">
        <v>3044</v>
      </c>
      <c r="K12653" t="s">
        <v>3045</v>
      </c>
      <c r="L12653" t="s">
        <v>3046</v>
      </c>
      <c r="M12653" t="s">
        <v>3047</v>
      </c>
      <c r="N12653" t="s">
        <v>3079</v>
      </c>
      <c r="O12653" t="s">
        <v>3048</v>
      </c>
      <c r="P12653" t="s">
        <v>3049</v>
      </c>
    </row>
    <row r="12654" spans="1:49" x14ac:dyDescent="0.3">
      <c r="A12654" s="160" t="s">
        <v>3104</v>
      </c>
      <c r="B12654" t="s">
        <v>18243</v>
      </c>
      <c r="C12654" t="s">
        <v>3088</v>
      </c>
      <c r="D12654">
        <v>0.55000000000000004</v>
      </c>
      <c r="E12654">
        <v>0</v>
      </c>
      <c r="F12654">
        <f t="shared" si="231"/>
        <v>0.55000000000000004</v>
      </c>
      <c r="I12654">
        <v>20220701</v>
      </c>
      <c r="J12654" t="s">
        <v>3105</v>
      </c>
      <c r="K12654" t="s">
        <v>3096</v>
      </c>
    </row>
    <row r="12655" spans="1:49" x14ac:dyDescent="0.3">
      <c r="A12655" s="160" t="s">
        <v>3106</v>
      </c>
      <c r="B12655" t="s">
        <v>18244</v>
      </c>
      <c r="C12655" t="s">
        <v>3043</v>
      </c>
      <c r="D12655">
        <v>1.1000000000000001</v>
      </c>
      <c r="E12655">
        <v>0</v>
      </c>
      <c r="F12655">
        <f t="shared" si="231"/>
        <v>1.1000000000000001</v>
      </c>
      <c r="I12655">
        <v>20160701</v>
      </c>
      <c r="J12655" t="s">
        <v>3044</v>
      </c>
      <c r="K12655" t="s">
        <v>3057</v>
      </c>
      <c r="L12655" t="s">
        <v>3079</v>
      </c>
    </row>
    <row r="12656" spans="1:49" x14ac:dyDescent="0.3">
      <c r="A12656" s="160" t="s">
        <v>3107</v>
      </c>
      <c r="B12656" t="s">
        <v>18245</v>
      </c>
      <c r="C12656" t="s">
        <v>3043</v>
      </c>
      <c r="D12656">
        <v>1.1000000000000001</v>
      </c>
      <c r="E12656">
        <v>0</v>
      </c>
      <c r="F12656">
        <f t="shared" si="231"/>
        <v>1.1000000000000001</v>
      </c>
      <c r="I12656">
        <v>20160701</v>
      </c>
      <c r="J12656" t="s">
        <v>3044</v>
      </c>
    </row>
    <row r="12657" spans="1:14" x14ac:dyDescent="0.3">
      <c r="A12657" s="160" t="s">
        <v>3108</v>
      </c>
      <c r="B12657" t="s">
        <v>18246</v>
      </c>
      <c r="C12657" t="s">
        <v>3043</v>
      </c>
      <c r="D12657">
        <v>1.1000000000000001</v>
      </c>
      <c r="E12657">
        <v>0</v>
      </c>
      <c r="F12657">
        <f t="shared" si="231"/>
        <v>1.1000000000000001</v>
      </c>
      <c r="I12657">
        <v>20160701</v>
      </c>
      <c r="J12657" t="s">
        <v>3044</v>
      </c>
    </row>
    <row r="12658" spans="1:14" x14ac:dyDescent="0.3">
      <c r="A12658" s="160" t="s">
        <v>3109</v>
      </c>
      <c r="B12658" t="s">
        <v>18247</v>
      </c>
      <c r="C12658" t="s">
        <v>3110</v>
      </c>
      <c r="D12658">
        <v>1.1000000000000001</v>
      </c>
      <c r="E12658">
        <v>0</v>
      </c>
      <c r="F12658">
        <f t="shared" si="231"/>
        <v>1.1000000000000001</v>
      </c>
      <c r="I12658">
        <v>20180101</v>
      </c>
      <c r="J12658" t="s">
        <v>3111</v>
      </c>
      <c r="K12658" t="s">
        <v>3118</v>
      </c>
      <c r="L12658" t="s">
        <v>3119</v>
      </c>
      <c r="M12658" t="s">
        <v>3120</v>
      </c>
      <c r="N12658" t="s">
        <v>3121</v>
      </c>
    </row>
    <row r="12659" spans="1:14" x14ac:dyDescent="0.3">
      <c r="A12659" s="160" t="s">
        <v>3122</v>
      </c>
      <c r="B12659" t="s">
        <v>18248</v>
      </c>
      <c r="C12659" t="s">
        <v>3123</v>
      </c>
      <c r="D12659">
        <v>0.8</v>
      </c>
      <c r="E12659">
        <v>0</v>
      </c>
      <c r="F12659">
        <f t="shared" si="231"/>
        <v>0.8</v>
      </c>
      <c r="I12659">
        <v>20220501</v>
      </c>
      <c r="J12659" t="s">
        <v>3124</v>
      </c>
    </row>
    <row r="12660" spans="1:14" x14ac:dyDescent="0.3">
      <c r="A12660" s="160" t="s">
        <v>3125</v>
      </c>
      <c r="B12660" t="s">
        <v>18249</v>
      </c>
      <c r="C12660" t="s">
        <v>3123</v>
      </c>
      <c r="D12660">
        <v>0.8</v>
      </c>
      <c r="E12660">
        <v>0</v>
      </c>
      <c r="F12660">
        <f t="shared" si="231"/>
        <v>0.8</v>
      </c>
      <c r="I12660">
        <v>20220501</v>
      </c>
      <c r="J12660" t="s">
        <v>3126</v>
      </c>
      <c r="K12660" t="s">
        <v>3127</v>
      </c>
    </row>
    <row r="12661" spans="1:14" x14ac:dyDescent="0.3">
      <c r="A12661" s="160" t="s">
        <v>3128</v>
      </c>
      <c r="B12661" t="s">
        <v>18250</v>
      </c>
      <c r="C12661" t="s">
        <v>3123</v>
      </c>
      <c r="D12661">
        <v>0.8</v>
      </c>
      <c r="E12661">
        <v>0</v>
      </c>
      <c r="F12661">
        <f t="shared" si="231"/>
        <v>0.8</v>
      </c>
      <c r="I12661">
        <v>20220501</v>
      </c>
      <c r="J12661" t="s">
        <v>3124</v>
      </c>
    </row>
    <row r="12662" spans="1:14" x14ac:dyDescent="0.3">
      <c r="A12662" s="160" t="s">
        <v>3129</v>
      </c>
      <c r="B12662" t="s">
        <v>18251</v>
      </c>
      <c r="C12662" t="s">
        <v>3123</v>
      </c>
      <c r="D12662">
        <v>0.8</v>
      </c>
      <c r="E12662">
        <v>0</v>
      </c>
      <c r="F12662">
        <f t="shared" si="231"/>
        <v>0.8</v>
      </c>
      <c r="I12662">
        <v>20220501</v>
      </c>
      <c r="J12662" t="s">
        <v>3130</v>
      </c>
    </row>
    <row r="12663" spans="1:14" x14ac:dyDescent="0.3">
      <c r="A12663" s="160" t="s">
        <v>3131</v>
      </c>
      <c r="B12663" t="s">
        <v>18252</v>
      </c>
      <c r="C12663" t="s">
        <v>3110</v>
      </c>
      <c r="D12663">
        <v>1.1000000000000001</v>
      </c>
      <c r="E12663">
        <v>0</v>
      </c>
      <c r="F12663">
        <f t="shared" si="231"/>
        <v>1.1000000000000001</v>
      </c>
      <c r="I12663">
        <v>20180101</v>
      </c>
      <c r="J12663" t="s">
        <v>3118</v>
      </c>
      <c r="K12663" t="s">
        <v>3119</v>
      </c>
    </row>
    <row r="12664" spans="1:14" x14ac:dyDescent="0.3">
      <c r="A12664" s="160" t="s">
        <v>3132</v>
      </c>
      <c r="B12664" t="s">
        <v>18253</v>
      </c>
      <c r="C12664" t="s">
        <v>3123</v>
      </c>
      <c r="D12664">
        <v>0.8</v>
      </c>
      <c r="E12664">
        <v>0</v>
      </c>
      <c r="F12664">
        <f t="shared" si="231"/>
        <v>0.8</v>
      </c>
      <c r="I12664">
        <v>20220501</v>
      </c>
      <c r="J12664" t="s">
        <v>3126</v>
      </c>
    </row>
    <row r="12665" spans="1:14" x14ac:dyDescent="0.3">
      <c r="A12665" s="160" t="s">
        <v>3133</v>
      </c>
      <c r="B12665" t="s">
        <v>18254</v>
      </c>
      <c r="C12665" t="s">
        <v>3123</v>
      </c>
      <c r="D12665">
        <v>0.8</v>
      </c>
      <c r="E12665">
        <v>0</v>
      </c>
      <c r="F12665">
        <f t="shared" si="231"/>
        <v>0.8</v>
      </c>
      <c r="I12665">
        <v>20220501</v>
      </c>
      <c r="J12665" t="s">
        <v>3134</v>
      </c>
    </row>
    <row r="12666" spans="1:14" x14ac:dyDescent="0.3">
      <c r="A12666" s="160" t="s">
        <v>3135</v>
      </c>
      <c r="B12666" t="s">
        <v>18255</v>
      </c>
      <c r="C12666" t="s">
        <v>3123</v>
      </c>
      <c r="D12666">
        <v>0.8</v>
      </c>
      <c r="E12666">
        <v>0</v>
      </c>
      <c r="F12666">
        <f t="shared" si="231"/>
        <v>0.8</v>
      </c>
      <c r="I12666">
        <v>20220501</v>
      </c>
      <c r="J12666" t="s">
        <v>3136</v>
      </c>
    </row>
    <row r="12667" spans="1:14" x14ac:dyDescent="0.3">
      <c r="A12667" s="160" t="s">
        <v>3137</v>
      </c>
      <c r="B12667" t="s">
        <v>18256</v>
      </c>
      <c r="C12667" t="s">
        <v>3123</v>
      </c>
      <c r="D12667">
        <v>0.8</v>
      </c>
      <c r="E12667">
        <v>0</v>
      </c>
      <c r="F12667">
        <f t="shared" si="231"/>
        <v>0.8</v>
      </c>
      <c r="I12667">
        <v>20220501</v>
      </c>
      <c r="J12667" t="s">
        <v>3126</v>
      </c>
    </row>
    <row r="12668" spans="1:14" x14ac:dyDescent="0.3">
      <c r="A12668" s="160" t="s">
        <v>3138</v>
      </c>
      <c r="B12668" t="s">
        <v>18257</v>
      </c>
      <c r="C12668" t="s">
        <v>3123</v>
      </c>
      <c r="D12668">
        <v>0.8</v>
      </c>
      <c r="E12668">
        <v>0</v>
      </c>
      <c r="F12668">
        <f t="shared" si="231"/>
        <v>0.8</v>
      </c>
      <c r="I12668">
        <v>20220501</v>
      </c>
      <c r="J12668" t="s">
        <v>3130</v>
      </c>
    </row>
    <row r="12669" spans="1:14" x14ac:dyDescent="0.3">
      <c r="A12669" s="160" t="s">
        <v>3139</v>
      </c>
      <c r="B12669" t="s">
        <v>18258</v>
      </c>
      <c r="C12669" t="s">
        <v>3123</v>
      </c>
      <c r="D12669">
        <v>0.8</v>
      </c>
      <c r="E12669">
        <v>0</v>
      </c>
      <c r="F12669">
        <f t="shared" si="231"/>
        <v>0.8</v>
      </c>
      <c r="I12669">
        <v>20220501</v>
      </c>
      <c r="J12669" t="s">
        <v>3130</v>
      </c>
    </row>
    <row r="12670" spans="1:14" x14ac:dyDescent="0.3">
      <c r="A12670" s="160" t="s">
        <v>3140</v>
      </c>
      <c r="B12670" t="s">
        <v>18259</v>
      </c>
      <c r="C12670" t="s">
        <v>3123</v>
      </c>
      <c r="D12670">
        <v>0.8</v>
      </c>
      <c r="E12670">
        <v>0</v>
      </c>
      <c r="F12670">
        <f t="shared" si="231"/>
        <v>0.8</v>
      </c>
      <c r="I12670">
        <v>20220501</v>
      </c>
      <c r="J12670" t="s">
        <v>3124</v>
      </c>
    </row>
    <row r="12671" spans="1:14" x14ac:dyDescent="0.3">
      <c r="A12671" s="160" t="s">
        <v>3141</v>
      </c>
      <c r="B12671" t="s">
        <v>18260</v>
      </c>
      <c r="C12671" t="s">
        <v>3123</v>
      </c>
      <c r="D12671">
        <v>0.8</v>
      </c>
      <c r="E12671">
        <v>0</v>
      </c>
      <c r="F12671">
        <f t="shared" si="231"/>
        <v>0.8</v>
      </c>
      <c r="I12671">
        <v>20220501</v>
      </c>
      <c r="J12671" t="s">
        <v>3124</v>
      </c>
    </row>
    <row r="12672" spans="1:14" x14ac:dyDescent="0.3">
      <c r="A12672" s="160" t="s">
        <v>3142</v>
      </c>
      <c r="B12672" t="s">
        <v>18261</v>
      </c>
      <c r="C12672" t="s">
        <v>3123</v>
      </c>
      <c r="D12672">
        <v>0.8</v>
      </c>
      <c r="E12672">
        <v>0</v>
      </c>
      <c r="F12672">
        <f t="shared" si="231"/>
        <v>0.8</v>
      </c>
      <c r="I12672">
        <v>20220501</v>
      </c>
      <c r="J12672" t="s">
        <v>3136</v>
      </c>
    </row>
    <row r="12673" spans="1:15" x14ac:dyDescent="0.3">
      <c r="A12673" s="160" t="s">
        <v>3143</v>
      </c>
      <c r="B12673" t="s">
        <v>18262</v>
      </c>
      <c r="C12673" t="s">
        <v>3123</v>
      </c>
      <c r="D12673">
        <v>0.8</v>
      </c>
      <c r="E12673">
        <v>0</v>
      </c>
      <c r="F12673">
        <f t="shared" si="231"/>
        <v>0.8</v>
      </c>
      <c r="I12673">
        <v>20220501</v>
      </c>
      <c r="J12673" t="s">
        <v>3124</v>
      </c>
    </row>
    <row r="12674" spans="1:15" x14ac:dyDescent="0.3">
      <c r="A12674" s="160" t="s">
        <v>3144</v>
      </c>
      <c r="B12674" t="s">
        <v>18263</v>
      </c>
      <c r="C12674" t="s">
        <v>3123</v>
      </c>
      <c r="D12674">
        <v>0.8</v>
      </c>
      <c r="E12674">
        <v>0</v>
      </c>
      <c r="F12674">
        <f t="shared" si="231"/>
        <v>0.8</v>
      </c>
      <c r="I12674">
        <v>20220501</v>
      </c>
      <c r="J12674" t="s">
        <v>3134</v>
      </c>
    </row>
    <row r="12675" spans="1:15" x14ac:dyDescent="0.3">
      <c r="A12675" s="160" t="s">
        <v>3145</v>
      </c>
      <c r="B12675" t="s">
        <v>18264</v>
      </c>
      <c r="C12675" t="s">
        <v>3123</v>
      </c>
      <c r="D12675">
        <v>0.8</v>
      </c>
      <c r="E12675">
        <v>0</v>
      </c>
      <c r="F12675">
        <f t="shared" si="231"/>
        <v>0.8</v>
      </c>
      <c r="I12675">
        <v>20220501</v>
      </c>
      <c r="J12675" t="s">
        <v>3126</v>
      </c>
    </row>
    <row r="12676" spans="1:15" x14ac:dyDescent="0.3">
      <c r="A12676" s="160" t="s">
        <v>3146</v>
      </c>
      <c r="B12676" t="s">
        <v>18265</v>
      </c>
      <c r="C12676" t="s">
        <v>3123</v>
      </c>
      <c r="D12676">
        <v>0.8</v>
      </c>
      <c r="E12676">
        <v>0</v>
      </c>
      <c r="F12676">
        <f t="shared" si="231"/>
        <v>0.8</v>
      </c>
      <c r="I12676">
        <v>20220501</v>
      </c>
      <c r="J12676" t="s">
        <v>3136</v>
      </c>
    </row>
    <row r="12677" spans="1:15" x14ac:dyDescent="0.3">
      <c r="A12677" s="160" t="s">
        <v>3147</v>
      </c>
      <c r="B12677" t="s">
        <v>18266</v>
      </c>
      <c r="C12677" t="s">
        <v>3123</v>
      </c>
      <c r="D12677">
        <v>0.8</v>
      </c>
      <c r="E12677">
        <v>0</v>
      </c>
      <c r="F12677">
        <f t="shared" si="231"/>
        <v>0.8</v>
      </c>
      <c r="I12677">
        <v>20220501</v>
      </c>
      <c r="J12677" t="s">
        <v>3124</v>
      </c>
    </row>
    <row r="12678" spans="1:15" x14ac:dyDescent="0.3">
      <c r="A12678" s="160" t="s">
        <v>3148</v>
      </c>
      <c r="B12678" t="s">
        <v>18267</v>
      </c>
      <c r="C12678" t="s">
        <v>3110</v>
      </c>
      <c r="D12678">
        <v>1.1000000000000001</v>
      </c>
      <c r="E12678">
        <v>0</v>
      </c>
      <c r="F12678">
        <f t="shared" si="231"/>
        <v>1.1000000000000001</v>
      </c>
      <c r="I12678">
        <v>20180101</v>
      </c>
      <c r="J12678" t="s">
        <v>3111</v>
      </c>
      <c r="K12678" t="s">
        <v>3114</v>
      </c>
      <c r="L12678" t="s">
        <v>3117</v>
      </c>
    </row>
    <row r="12679" spans="1:15" x14ac:dyDescent="0.3">
      <c r="A12679" s="160" t="s">
        <v>3149</v>
      </c>
      <c r="B12679" t="s">
        <v>18268</v>
      </c>
      <c r="C12679" t="s">
        <v>3110</v>
      </c>
      <c r="D12679">
        <v>1.1000000000000001</v>
      </c>
      <c r="E12679">
        <v>0</v>
      </c>
      <c r="F12679">
        <f t="shared" ref="F12679:F12742" si="232">D12679+E12679</f>
        <v>1.1000000000000001</v>
      </c>
      <c r="I12679">
        <v>20180101</v>
      </c>
      <c r="J12679" t="s">
        <v>3111</v>
      </c>
    </row>
    <row r="12680" spans="1:15" x14ac:dyDescent="0.3">
      <c r="A12680" s="160" t="s">
        <v>3150</v>
      </c>
      <c r="B12680" t="s">
        <v>18269</v>
      </c>
      <c r="C12680" t="s">
        <v>3123</v>
      </c>
      <c r="D12680">
        <v>0.8</v>
      </c>
      <c r="E12680">
        <v>0</v>
      </c>
      <c r="F12680">
        <f t="shared" si="232"/>
        <v>0.8</v>
      </c>
      <c r="I12680">
        <v>20220501</v>
      </c>
      <c r="J12680" t="s">
        <v>3126</v>
      </c>
    </row>
    <row r="12681" spans="1:15" x14ac:dyDescent="0.3">
      <c r="A12681" s="160" t="s">
        <v>3151</v>
      </c>
      <c r="B12681" t="s">
        <v>18270</v>
      </c>
      <c r="C12681" t="s">
        <v>3123</v>
      </c>
      <c r="D12681">
        <v>0.8</v>
      </c>
      <c r="E12681">
        <v>0</v>
      </c>
      <c r="F12681">
        <f t="shared" si="232"/>
        <v>0.8</v>
      </c>
      <c r="I12681">
        <v>20220501</v>
      </c>
      <c r="J12681" t="s">
        <v>3134</v>
      </c>
    </row>
    <row r="12682" spans="1:15" x14ac:dyDescent="0.3">
      <c r="A12682" s="160" t="s">
        <v>3152</v>
      </c>
      <c r="B12682" t="s">
        <v>18271</v>
      </c>
      <c r="C12682" t="s">
        <v>3123</v>
      </c>
      <c r="D12682">
        <v>0.8</v>
      </c>
      <c r="E12682">
        <v>0</v>
      </c>
      <c r="F12682">
        <f t="shared" si="232"/>
        <v>0.8</v>
      </c>
      <c r="I12682">
        <v>20220501</v>
      </c>
      <c r="J12682" t="s">
        <v>3136</v>
      </c>
    </row>
    <row r="12683" spans="1:15" x14ac:dyDescent="0.3">
      <c r="A12683" s="160" t="s">
        <v>3153</v>
      </c>
      <c r="B12683" t="s">
        <v>18272</v>
      </c>
      <c r="C12683" t="s">
        <v>3123</v>
      </c>
      <c r="D12683">
        <v>0.8</v>
      </c>
      <c r="E12683">
        <v>0</v>
      </c>
      <c r="F12683">
        <f t="shared" si="232"/>
        <v>0.8</v>
      </c>
      <c r="I12683">
        <v>20220501</v>
      </c>
      <c r="J12683" t="s">
        <v>3154</v>
      </c>
    </row>
    <row r="12684" spans="1:15" x14ac:dyDescent="0.3">
      <c r="A12684" s="160" t="s">
        <v>3155</v>
      </c>
      <c r="B12684" t="s">
        <v>18273</v>
      </c>
      <c r="C12684" t="s">
        <v>3110</v>
      </c>
      <c r="D12684">
        <v>1.1000000000000001</v>
      </c>
      <c r="E12684">
        <v>0</v>
      </c>
      <c r="F12684">
        <f t="shared" si="232"/>
        <v>1.1000000000000001</v>
      </c>
      <c r="I12684">
        <v>20180101</v>
      </c>
      <c r="J12684" t="s">
        <v>3111</v>
      </c>
      <c r="K12684" t="s">
        <v>3112</v>
      </c>
      <c r="L12684" t="s">
        <v>3113</v>
      </c>
      <c r="M12684" t="s">
        <v>3115</v>
      </c>
      <c r="N12684" t="s">
        <v>3116</v>
      </c>
      <c r="O12684" t="s">
        <v>3117</v>
      </c>
    </row>
    <row r="12685" spans="1:15" x14ac:dyDescent="0.3">
      <c r="A12685">
        <v>31075</v>
      </c>
      <c r="C12685" t="s">
        <v>27573</v>
      </c>
      <c r="D12685">
        <v>2</v>
      </c>
      <c r="E12685">
        <v>0</v>
      </c>
      <c r="F12685">
        <f t="shared" si="232"/>
        <v>2</v>
      </c>
      <c r="I12685">
        <v>20250101</v>
      </c>
      <c r="J12685" t="s">
        <v>3365</v>
      </c>
    </row>
    <row r="12686" spans="1:15" x14ac:dyDescent="0.3">
      <c r="A12686">
        <v>31087</v>
      </c>
      <c r="C12686" t="s">
        <v>27573</v>
      </c>
      <c r="D12686">
        <v>2</v>
      </c>
      <c r="E12686">
        <v>0</v>
      </c>
      <c r="F12686">
        <f t="shared" si="232"/>
        <v>2</v>
      </c>
      <c r="I12686">
        <v>20250101</v>
      </c>
      <c r="J12686" t="s">
        <v>3365</v>
      </c>
    </row>
    <row r="12687" spans="1:15" x14ac:dyDescent="0.3">
      <c r="A12687">
        <v>31166</v>
      </c>
      <c r="C12687" t="s">
        <v>27573</v>
      </c>
      <c r="D12687">
        <v>2</v>
      </c>
      <c r="E12687">
        <v>0</v>
      </c>
      <c r="F12687">
        <f t="shared" si="232"/>
        <v>2</v>
      </c>
      <c r="I12687">
        <v>20250101</v>
      </c>
      <c r="J12687" t="s">
        <v>3365</v>
      </c>
    </row>
    <row r="12688" spans="1:15" x14ac:dyDescent="0.3">
      <c r="A12688">
        <v>31252</v>
      </c>
      <c r="C12688" t="s">
        <v>27573</v>
      </c>
      <c r="D12688">
        <v>2</v>
      </c>
      <c r="E12688">
        <v>0</v>
      </c>
      <c r="F12688">
        <f t="shared" si="232"/>
        <v>2</v>
      </c>
      <c r="I12688">
        <v>20250101</v>
      </c>
      <c r="J12688" t="s">
        <v>3308</v>
      </c>
      <c r="K12688" t="s">
        <v>27574</v>
      </c>
    </row>
    <row r="12689" spans="1:10" x14ac:dyDescent="0.3">
      <c r="A12689">
        <v>31269</v>
      </c>
      <c r="C12689" t="s">
        <v>27573</v>
      </c>
      <c r="D12689">
        <v>2</v>
      </c>
      <c r="E12689">
        <v>0</v>
      </c>
      <c r="F12689">
        <f t="shared" si="232"/>
        <v>2</v>
      </c>
      <c r="I12689">
        <v>20250101</v>
      </c>
      <c r="J12689" t="s">
        <v>3358</v>
      </c>
    </row>
    <row r="12690" spans="1:10" x14ac:dyDescent="0.3">
      <c r="A12690">
        <v>31464</v>
      </c>
      <c r="C12690" t="s">
        <v>27573</v>
      </c>
      <c r="D12690">
        <v>2</v>
      </c>
      <c r="E12690">
        <v>0</v>
      </c>
      <c r="F12690">
        <f t="shared" si="232"/>
        <v>2</v>
      </c>
      <c r="I12690">
        <v>20250101</v>
      </c>
      <c r="J12690" t="s">
        <v>27575</v>
      </c>
    </row>
    <row r="12691" spans="1:10" x14ac:dyDescent="0.3">
      <c r="A12691">
        <v>31466</v>
      </c>
      <c r="C12691" t="s">
        <v>27573</v>
      </c>
      <c r="D12691">
        <v>2</v>
      </c>
      <c r="E12691">
        <v>0</v>
      </c>
      <c r="F12691">
        <f t="shared" si="232"/>
        <v>2</v>
      </c>
      <c r="I12691">
        <v>20250101</v>
      </c>
      <c r="J12691" t="s">
        <v>3365</v>
      </c>
    </row>
    <row r="12692" spans="1:10" x14ac:dyDescent="0.3">
      <c r="A12692">
        <v>31518</v>
      </c>
      <c r="C12692" t="s">
        <v>27573</v>
      </c>
      <c r="D12692">
        <v>2</v>
      </c>
      <c r="E12692">
        <v>0</v>
      </c>
      <c r="F12692">
        <f t="shared" si="232"/>
        <v>2</v>
      </c>
      <c r="I12692">
        <v>20250101</v>
      </c>
      <c r="J12692" t="s">
        <v>3365</v>
      </c>
    </row>
    <row r="12693" spans="1:10" x14ac:dyDescent="0.3">
      <c r="A12693" t="s">
        <v>27576</v>
      </c>
      <c r="C12693" t="s">
        <v>27577</v>
      </c>
      <c r="D12693">
        <v>0.55000000000000004</v>
      </c>
      <c r="E12693">
        <v>0</v>
      </c>
      <c r="F12693">
        <f t="shared" si="232"/>
        <v>0.55000000000000004</v>
      </c>
      <c r="I12693">
        <v>20241001</v>
      </c>
      <c r="J12693" t="s">
        <v>27578</v>
      </c>
    </row>
    <row r="12694" spans="1:10" x14ac:dyDescent="0.3">
      <c r="A12694" t="s">
        <v>27579</v>
      </c>
      <c r="C12694" t="s">
        <v>27577</v>
      </c>
      <c r="D12694">
        <v>0.55000000000000004</v>
      </c>
      <c r="E12694">
        <v>0</v>
      </c>
      <c r="F12694">
        <f t="shared" si="232"/>
        <v>0.55000000000000004</v>
      </c>
      <c r="I12694">
        <v>20241001</v>
      </c>
      <c r="J12694" t="s">
        <v>27580</v>
      </c>
    </row>
    <row r="12695" spans="1:10" x14ac:dyDescent="0.3">
      <c r="A12695" t="s">
        <v>27581</v>
      </c>
      <c r="C12695" t="s">
        <v>27577</v>
      </c>
      <c r="D12695">
        <v>0.55000000000000004</v>
      </c>
      <c r="E12695">
        <v>0</v>
      </c>
      <c r="F12695">
        <f t="shared" si="232"/>
        <v>0.55000000000000004</v>
      </c>
      <c r="I12695">
        <v>20241001</v>
      </c>
      <c r="J12695" t="s">
        <v>27582</v>
      </c>
    </row>
    <row r="12696" spans="1:10" x14ac:dyDescent="0.3">
      <c r="A12696" t="s">
        <v>27583</v>
      </c>
      <c r="C12696" t="s">
        <v>27577</v>
      </c>
      <c r="D12696">
        <v>0.55000000000000004</v>
      </c>
      <c r="E12696">
        <v>0</v>
      </c>
      <c r="F12696">
        <f t="shared" si="232"/>
        <v>0.55000000000000004</v>
      </c>
      <c r="I12696">
        <v>20241001</v>
      </c>
      <c r="J12696" t="s">
        <v>27584</v>
      </c>
    </row>
    <row r="12697" spans="1:10" x14ac:dyDescent="0.3">
      <c r="A12697" t="s">
        <v>27585</v>
      </c>
      <c r="C12697" t="s">
        <v>27577</v>
      </c>
      <c r="D12697">
        <v>0.55000000000000004</v>
      </c>
      <c r="E12697">
        <v>0</v>
      </c>
      <c r="F12697">
        <f t="shared" si="232"/>
        <v>0.55000000000000004</v>
      </c>
      <c r="I12697">
        <v>20241001</v>
      </c>
      <c r="J12697" t="s">
        <v>27586</v>
      </c>
    </row>
    <row r="12698" spans="1:10" x14ac:dyDescent="0.3">
      <c r="A12698" t="s">
        <v>27587</v>
      </c>
      <c r="C12698" t="s">
        <v>27577</v>
      </c>
      <c r="D12698">
        <v>0.55000000000000004</v>
      </c>
      <c r="E12698">
        <v>0</v>
      </c>
      <c r="F12698">
        <f t="shared" si="232"/>
        <v>0.55000000000000004</v>
      </c>
      <c r="I12698">
        <v>20241001</v>
      </c>
      <c r="J12698" t="s">
        <v>27582</v>
      </c>
    </row>
    <row r="12699" spans="1:10" x14ac:dyDescent="0.3">
      <c r="A12699" t="s">
        <v>27588</v>
      </c>
      <c r="C12699" t="s">
        <v>27577</v>
      </c>
      <c r="D12699">
        <v>0.55000000000000004</v>
      </c>
      <c r="E12699">
        <v>0</v>
      </c>
      <c r="F12699">
        <f t="shared" si="232"/>
        <v>0.55000000000000004</v>
      </c>
      <c r="I12699">
        <v>20241001</v>
      </c>
      <c r="J12699" t="s">
        <v>27589</v>
      </c>
    </row>
    <row r="12700" spans="1:10" x14ac:dyDescent="0.3">
      <c r="A12700" t="s">
        <v>27590</v>
      </c>
      <c r="C12700" t="s">
        <v>27577</v>
      </c>
      <c r="D12700">
        <v>0.55000000000000004</v>
      </c>
      <c r="E12700">
        <v>0</v>
      </c>
      <c r="F12700">
        <f t="shared" si="232"/>
        <v>0.55000000000000004</v>
      </c>
      <c r="I12700">
        <v>20241001</v>
      </c>
      <c r="J12700" t="s">
        <v>27578</v>
      </c>
    </row>
    <row r="12701" spans="1:10" x14ac:dyDescent="0.3">
      <c r="A12701" t="s">
        <v>27591</v>
      </c>
      <c r="C12701" t="s">
        <v>27577</v>
      </c>
      <c r="D12701">
        <v>0.55000000000000004</v>
      </c>
      <c r="E12701">
        <v>0</v>
      </c>
      <c r="F12701">
        <f t="shared" si="232"/>
        <v>0.55000000000000004</v>
      </c>
      <c r="I12701">
        <v>20241001</v>
      </c>
      <c r="J12701" t="s">
        <v>27578</v>
      </c>
    </row>
    <row r="12702" spans="1:10" x14ac:dyDescent="0.3">
      <c r="A12702" t="s">
        <v>27592</v>
      </c>
      <c r="C12702" t="s">
        <v>27577</v>
      </c>
      <c r="D12702">
        <v>0.55000000000000004</v>
      </c>
      <c r="E12702">
        <v>0</v>
      </c>
      <c r="F12702">
        <f t="shared" si="232"/>
        <v>0.55000000000000004</v>
      </c>
      <c r="I12702">
        <v>20241001</v>
      </c>
      <c r="J12702" t="s">
        <v>27593</v>
      </c>
    </row>
    <row r="12703" spans="1:10" x14ac:dyDescent="0.3">
      <c r="A12703" t="s">
        <v>27594</v>
      </c>
      <c r="C12703" t="s">
        <v>27577</v>
      </c>
      <c r="D12703">
        <v>0.55000000000000004</v>
      </c>
      <c r="E12703">
        <v>0</v>
      </c>
      <c r="F12703">
        <f t="shared" si="232"/>
        <v>0.55000000000000004</v>
      </c>
      <c r="I12703">
        <v>20241001</v>
      </c>
      <c r="J12703" t="s">
        <v>27595</v>
      </c>
    </row>
    <row r="12704" spans="1:10" x14ac:dyDescent="0.3">
      <c r="A12704" t="s">
        <v>27596</v>
      </c>
      <c r="C12704" t="s">
        <v>27577</v>
      </c>
      <c r="D12704">
        <v>0.55000000000000004</v>
      </c>
      <c r="E12704">
        <v>0</v>
      </c>
      <c r="F12704">
        <f t="shared" si="232"/>
        <v>0.55000000000000004</v>
      </c>
      <c r="I12704">
        <v>20241001</v>
      </c>
      <c r="J12704" t="s">
        <v>27597</v>
      </c>
    </row>
    <row r="12705" spans="1:80" x14ac:dyDescent="0.3">
      <c r="A12705" t="s">
        <v>27598</v>
      </c>
      <c r="C12705" t="s">
        <v>27577</v>
      </c>
      <c r="D12705">
        <v>0.55000000000000004</v>
      </c>
      <c r="E12705">
        <v>0</v>
      </c>
      <c r="F12705">
        <f t="shared" si="232"/>
        <v>0.55000000000000004</v>
      </c>
      <c r="I12705">
        <v>20241001</v>
      </c>
      <c r="J12705" t="s">
        <v>27599</v>
      </c>
    </row>
    <row r="12706" spans="1:80" x14ac:dyDescent="0.3">
      <c r="A12706" t="s">
        <v>27600</v>
      </c>
      <c r="C12706" t="s">
        <v>27577</v>
      </c>
      <c r="D12706">
        <v>0.55000000000000004</v>
      </c>
      <c r="E12706">
        <v>0</v>
      </c>
      <c r="F12706">
        <f t="shared" si="232"/>
        <v>0.55000000000000004</v>
      </c>
      <c r="I12706">
        <v>20241001</v>
      </c>
      <c r="J12706" t="s">
        <v>3094</v>
      </c>
      <c r="K12706" t="s">
        <v>27582</v>
      </c>
    </row>
    <row r="12707" spans="1:80" x14ac:dyDescent="0.3">
      <c r="A12707" t="s">
        <v>27601</v>
      </c>
      <c r="C12707" t="s">
        <v>27577</v>
      </c>
      <c r="D12707">
        <v>0.55000000000000004</v>
      </c>
      <c r="E12707">
        <v>0</v>
      </c>
      <c r="F12707">
        <f t="shared" si="232"/>
        <v>0.55000000000000004</v>
      </c>
      <c r="I12707">
        <v>20241001</v>
      </c>
      <c r="J12707" t="s">
        <v>27578</v>
      </c>
    </row>
    <row r="12708" spans="1:80" x14ac:dyDescent="0.3">
      <c r="A12708" t="s">
        <v>27602</v>
      </c>
      <c r="C12708" t="s">
        <v>27577</v>
      </c>
      <c r="D12708">
        <v>0.55000000000000004</v>
      </c>
      <c r="E12708">
        <v>0</v>
      </c>
      <c r="F12708">
        <f t="shared" si="232"/>
        <v>0.55000000000000004</v>
      </c>
      <c r="I12708">
        <v>20241001</v>
      </c>
      <c r="J12708" t="s">
        <v>27580</v>
      </c>
    </row>
    <row r="12709" spans="1:80" x14ac:dyDescent="0.3">
      <c r="A12709" t="s">
        <v>27603</v>
      </c>
      <c r="C12709" t="s">
        <v>27577</v>
      </c>
      <c r="D12709">
        <v>0.55000000000000004</v>
      </c>
      <c r="E12709">
        <v>0</v>
      </c>
      <c r="F12709">
        <f t="shared" si="232"/>
        <v>0.55000000000000004</v>
      </c>
      <c r="I12709">
        <v>20241001</v>
      </c>
      <c r="J12709" t="s">
        <v>27604</v>
      </c>
      <c r="K12709" t="s">
        <v>27605</v>
      </c>
    </row>
    <row r="12710" spans="1:80" x14ac:dyDescent="0.3">
      <c r="A12710" t="s">
        <v>27606</v>
      </c>
      <c r="C12710" t="s">
        <v>27577</v>
      </c>
      <c r="D12710">
        <v>0.55000000000000004</v>
      </c>
      <c r="E12710">
        <v>0</v>
      </c>
      <c r="F12710">
        <f t="shared" si="232"/>
        <v>0.55000000000000004</v>
      </c>
      <c r="I12710">
        <v>20241001</v>
      </c>
      <c r="J12710" t="s">
        <v>27578</v>
      </c>
    </row>
    <row r="12711" spans="1:80" x14ac:dyDescent="0.3">
      <c r="A12711">
        <v>25003</v>
      </c>
      <c r="C12711" t="s">
        <v>27607</v>
      </c>
      <c r="D12711">
        <v>0.15</v>
      </c>
      <c r="E12711">
        <v>0</v>
      </c>
      <c r="F12711">
        <f t="shared" si="232"/>
        <v>0.15</v>
      </c>
      <c r="I12711">
        <v>20240901</v>
      </c>
      <c r="J12711" t="s">
        <v>27608</v>
      </c>
    </row>
    <row r="12712" spans="1:80" x14ac:dyDescent="0.3">
      <c r="A12712">
        <v>25005</v>
      </c>
      <c r="C12712" t="s">
        <v>27607</v>
      </c>
      <c r="D12712">
        <v>0.15</v>
      </c>
      <c r="E12712">
        <v>0</v>
      </c>
      <c r="F12712">
        <f t="shared" si="232"/>
        <v>0.15</v>
      </c>
      <c r="I12712">
        <v>20240901</v>
      </c>
      <c r="J12712" t="s">
        <v>2535</v>
      </c>
    </row>
    <row r="12713" spans="1:80" x14ac:dyDescent="0.3">
      <c r="A12713">
        <v>25006</v>
      </c>
      <c r="C12713" t="s">
        <v>27607</v>
      </c>
      <c r="D12713">
        <v>0.15</v>
      </c>
      <c r="E12713">
        <v>0</v>
      </c>
      <c r="F12713">
        <f t="shared" si="232"/>
        <v>0.15</v>
      </c>
      <c r="I12713">
        <v>20240901</v>
      </c>
      <c r="J12713" t="s">
        <v>2574</v>
      </c>
    </row>
    <row r="12714" spans="1:80" x14ac:dyDescent="0.3">
      <c r="A12714">
        <v>25009</v>
      </c>
      <c r="C12714" t="s">
        <v>27607</v>
      </c>
      <c r="D12714">
        <v>0.15</v>
      </c>
      <c r="E12714">
        <v>0</v>
      </c>
      <c r="F12714">
        <f t="shared" si="232"/>
        <v>0.15</v>
      </c>
      <c r="I12714">
        <v>20240901</v>
      </c>
      <c r="J12714" t="s">
        <v>2574</v>
      </c>
    </row>
    <row r="12715" spans="1:80" x14ac:dyDescent="0.3">
      <c r="A12715">
        <v>25018</v>
      </c>
      <c r="C12715" t="s">
        <v>27607</v>
      </c>
      <c r="D12715">
        <v>0.15</v>
      </c>
      <c r="E12715">
        <v>0</v>
      </c>
      <c r="F12715">
        <f t="shared" si="232"/>
        <v>0.15</v>
      </c>
      <c r="I12715">
        <v>20240901</v>
      </c>
      <c r="J12715" t="s">
        <v>27609</v>
      </c>
      <c r="K12715" t="s">
        <v>27608</v>
      </c>
    </row>
    <row r="12716" spans="1:80" x14ac:dyDescent="0.3">
      <c r="A12716">
        <v>25019</v>
      </c>
      <c r="C12716" t="s">
        <v>27607</v>
      </c>
      <c r="D12716">
        <v>0.15</v>
      </c>
      <c r="E12716">
        <v>0</v>
      </c>
      <c r="F12716">
        <f t="shared" si="232"/>
        <v>0.15</v>
      </c>
      <c r="I12716">
        <v>20240901</v>
      </c>
      <c r="J12716" t="s">
        <v>2535</v>
      </c>
    </row>
    <row r="12717" spans="1:80" x14ac:dyDescent="0.3">
      <c r="A12717">
        <v>25022</v>
      </c>
      <c r="C12717" t="s">
        <v>27607</v>
      </c>
      <c r="D12717">
        <v>0.15</v>
      </c>
      <c r="E12717">
        <v>0</v>
      </c>
      <c r="F12717">
        <f t="shared" si="232"/>
        <v>0.15</v>
      </c>
      <c r="I12717">
        <v>20240901</v>
      </c>
      <c r="J12717" t="s">
        <v>2459</v>
      </c>
      <c r="BP12717" t="s">
        <v>27499</v>
      </c>
      <c r="BQ12717" t="s">
        <v>27500</v>
      </c>
      <c r="BR12717" t="s">
        <v>27501</v>
      </c>
      <c r="BS12717" t="s">
        <v>27502</v>
      </c>
      <c r="BT12717" t="s">
        <v>15112</v>
      </c>
      <c r="BU12717" t="s">
        <v>15113</v>
      </c>
      <c r="BV12717" t="s">
        <v>15114</v>
      </c>
      <c r="BW12717" t="s">
        <v>15115</v>
      </c>
      <c r="BX12717" t="s">
        <v>15116</v>
      </c>
      <c r="BY12717" t="s">
        <v>15117</v>
      </c>
      <c r="BZ12717" t="s">
        <v>15118</v>
      </c>
      <c r="CA12717" t="s">
        <v>15119</v>
      </c>
      <c r="CB12717" t="s">
        <v>27503</v>
      </c>
    </row>
    <row r="12718" spans="1:80" x14ac:dyDescent="0.3">
      <c r="A12718">
        <v>25032</v>
      </c>
      <c r="C12718" t="s">
        <v>27607</v>
      </c>
      <c r="D12718">
        <v>0.15</v>
      </c>
      <c r="E12718">
        <v>0</v>
      </c>
      <c r="F12718">
        <f t="shared" si="232"/>
        <v>0.15</v>
      </c>
      <c r="I12718">
        <v>20240901</v>
      </c>
      <c r="J12718" t="s">
        <v>27610</v>
      </c>
      <c r="K12718" t="s">
        <v>27611</v>
      </c>
      <c r="L12718" t="s">
        <v>27612</v>
      </c>
    </row>
    <row r="12719" spans="1:80" x14ac:dyDescent="0.3">
      <c r="A12719">
        <v>25038</v>
      </c>
      <c r="C12719" t="s">
        <v>27607</v>
      </c>
      <c r="D12719">
        <v>0.15</v>
      </c>
      <c r="E12719">
        <v>0</v>
      </c>
      <c r="F12719">
        <f t="shared" si="232"/>
        <v>0.15</v>
      </c>
      <c r="I12719">
        <v>20240901</v>
      </c>
      <c r="J12719" t="s">
        <v>27613</v>
      </c>
    </row>
    <row r="12720" spans="1:80" x14ac:dyDescent="0.3">
      <c r="A12720">
        <v>25045</v>
      </c>
      <c r="C12720" t="s">
        <v>27607</v>
      </c>
      <c r="D12720">
        <v>0.15</v>
      </c>
      <c r="E12720">
        <v>0</v>
      </c>
      <c r="F12720">
        <f t="shared" si="232"/>
        <v>0.15</v>
      </c>
      <c r="I12720">
        <v>20240901</v>
      </c>
      <c r="J12720" t="s">
        <v>2538</v>
      </c>
    </row>
    <row r="12721" spans="1:13" x14ac:dyDescent="0.3">
      <c r="A12721">
        <v>25047</v>
      </c>
      <c r="C12721" t="s">
        <v>27607</v>
      </c>
      <c r="D12721">
        <v>0.15</v>
      </c>
      <c r="E12721">
        <v>0</v>
      </c>
      <c r="F12721">
        <f t="shared" si="232"/>
        <v>0.15</v>
      </c>
      <c r="I12721">
        <v>20240901</v>
      </c>
      <c r="J12721" t="s">
        <v>27610</v>
      </c>
      <c r="K12721" t="s">
        <v>27611</v>
      </c>
      <c r="L12721" t="s">
        <v>27614</v>
      </c>
      <c r="M12721" t="s">
        <v>27609</v>
      </c>
    </row>
    <row r="12722" spans="1:13" x14ac:dyDescent="0.3">
      <c r="A12722">
        <v>25051</v>
      </c>
      <c r="C12722" t="s">
        <v>27607</v>
      </c>
      <c r="D12722">
        <v>0.15</v>
      </c>
      <c r="E12722">
        <v>0</v>
      </c>
      <c r="F12722">
        <f t="shared" si="232"/>
        <v>0.15</v>
      </c>
      <c r="I12722">
        <v>20240901</v>
      </c>
      <c r="J12722" t="s">
        <v>27615</v>
      </c>
    </row>
    <row r="12723" spans="1:13" x14ac:dyDescent="0.3">
      <c r="A12723">
        <v>25053</v>
      </c>
      <c r="C12723" t="s">
        <v>27607</v>
      </c>
      <c r="D12723">
        <v>0.15</v>
      </c>
      <c r="E12723">
        <v>0</v>
      </c>
      <c r="F12723">
        <f t="shared" si="232"/>
        <v>0.15</v>
      </c>
      <c r="I12723">
        <v>20240901</v>
      </c>
      <c r="J12723" t="s">
        <v>27616</v>
      </c>
    </row>
    <row r="12724" spans="1:13" x14ac:dyDescent="0.3">
      <c r="A12724">
        <v>25065</v>
      </c>
      <c r="C12724" t="s">
        <v>27607</v>
      </c>
      <c r="D12724">
        <v>0.15</v>
      </c>
      <c r="E12724">
        <v>0</v>
      </c>
      <c r="F12724">
        <f t="shared" si="232"/>
        <v>0.15</v>
      </c>
      <c r="I12724">
        <v>20240901</v>
      </c>
      <c r="J12724" t="s">
        <v>2538</v>
      </c>
    </row>
    <row r="12725" spans="1:13" x14ac:dyDescent="0.3">
      <c r="A12725">
        <v>25066</v>
      </c>
      <c r="C12725" t="s">
        <v>27607</v>
      </c>
      <c r="D12725">
        <v>0.15</v>
      </c>
      <c r="E12725">
        <v>0</v>
      </c>
      <c r="F12725">
        <f t="shared" si="232"/>
        <v>0.15</v>
      </c>
      <c r="I12725">
        <v>20240901</v>
      </c>
      <c r="J12725" t="s">
        <v>2535</v>
      </c>
    </row>
    <row r="12726" spans="1:13" x14ac:dyDescent="0.3">
      <c r="A12726">
        <v>25067</v>
      </c>
      <c r="C12726" t="s">
        <v>27607</v>
      </c>
      <c r="D12726">
        <v>0.15</v>
      </c>
      <c r="E12726">
        <v>0</v>
      </c>
      <c r="F12726">
        <f t="shared" si="232"/>
        <v>0.15</v>
      </c>
      <c r="I12726">
        <v>20240901</v>
      </c>
      <c r="J12726" t="s">
        <v>2535</v>
      </c>
    </row>
    <row r="12727" spans="1:13" x14ac:dyDescent="0.3">
      <c r="A12727">
        <v>25083</v>
      </c>
      <c r="C12727" t="s">
        <v>27607</v>
      </c>
      <c r="D12727">
        <v>0.15</v>
      </c>
      <c r="E12727">
        <v>0</v>
      </c>
      <c r="F12727">
        <f t="shared" si="232"/>
        <v>0.15</v>
      </c>
      <c r="I12727">
        <v>20240901</v>
      </c>
      <c r="J12727" t="s">
        <v>2535</v>
      </c>
    </row>
    <row r="12728" spans="1:13" x14ac:dyDescent="0.3">
      <c r="A12728">
        <v>25087</v>
      </c>
      <c r="C12728" t="s">
        <v>27607</v>
      </c>
      <c r="D12728">
        <v>0.15</v>
      </c>
      <c r="E12728">
        <v>0</v>
      </c>
      <c r="F12728">
        <f t="shared" si="232"/>
        <v>0.15</v>
      </c>
      <c r="I12728">
        <v>20240901</v>
      </c>
      <c r="J12728" t="s">
        <v>27608</v>
      </c>
    </row>
    <row r="12729" spans="1:13" x14ac:dyDescent="0.3">
      <c r="A12729">
        <v>25088</v>
      </c>
      <c r="C12729" t="s">
        <v>27607</v>
      </c>
      <c r="D12729">
        <v>0.15</v>
      </c>
      <c r="E12729">
        <v>0</v>
      </c>
      <c r="F12729">
        <f t="shared" si="232"/>
        <v>0.15</v>
      </c>
      <c r="I12729">
        <v>20240901</v>
      </c>
      <c r="J12729" t="s">
        <v>2538</v>
      </c>
    </row>
    <row r="12730" spans="1:13" x14ac:dyDescent="0.3">
      <c r="A12730">
        <v>25092</v>
      </c>
      <c r="C12730" t="s">
        <v>27607</v>
      </c>
      <c r="D12730">
        <v>0.15</v>
      </c>
      <c r="E12730">
        <v>0</v>
      </c>
      <c r="F12730">
        <f t="shared" si="232"/>
        <v>0.15</v>
      </c>
      <c r="I12730">
        <v>20240901</v>
      </c>
      <c r="J12730" t="s">
        <v>2538</v>
      </c>
    </row>
    <row r="12731" spans="1:13" x14ac:dyDescent="0.3">
      <c r="A12731">
        <v>25094</v>
      </c>
      <c r="C12731" t="s">
        <v>27607</v>
      </c>
      <c r="D12731">
        <v>0.15</v>
      </c>
      <c r="E12731">
        <v>0</v>
      </c>
      <c r="F12731">
        <f t="shared" si="232"/>
        <v>0.15</v>
      </c>
      <c r="I12731">
        <v>20240901</v>
      </c>
      <c r="J12731" t="s">
        <v>27610</v>
      </c>
    </row>
    <row r="12732" spans="1:13" x14ac:dyDescent="0.3">
      <c r="A12732">
        <v>25095</v>
      </c>
      <c r="C12732" t="s">
        <v>27607</v>
      </c>
      <c r="D12732">
        <v>0.15</v>
      </c>
      <c r="E12732">
        <v>0</v>
      </c>
      <c r="F12732">
        <f t="shared" si="232"/>
        <v>0.15</v>
      </c>
      <c r="I12732">
        <v>20240901</v>
      </c>
      <c r="J12732" t="s">
        <v>27615</v>
      </c>
    </row>
    <row r="12733" spans="1:13" x14ac:dyDescent="0.3">
      <c r="A12733">
        <v>25107</v>
      </c>
      <c r="C12733" t="s">
        <v>27607</v>
      </c>
      <c r="D12733">
        <v>0.15</v>
      </c>
      <c r="E12733">
        <v>0</v>
      </c>
      <c r="F12733">
        <f t="shared" si="232"/>
        <v>0.15</v>
      </c>
      <c r="I12733">
        <v>20240901</v>
      </c>
      <c r="J12733" t="s">
        <v>2538</v>
      </c>
    </row>
    <row r="12734" spans="1:13" x14ac:dyDescent="0.3">
      <c r="A12734">
        <v>25113</v>
      </c>
      <c r="C12734" t="s">
        <v>27607</v>
      </c>
      <c r="D12734">
        <v>0.15</v>
      </c>
      <c r="E12734">
        <v>0</v>
      </c>
      <c r="F12734">
        <f t="shared" si="232"/>
        <v>0.15</v>
      </c>
      <c r="I12734">
        <v>20240901</v>
      </c>
      <c r="J12734" t="s">
        <v>27615</v>
      </c>
    </row>
    <row r="12735" spans="1:13" x14ac:dyDescent="0.3">
      <c r="A12735">
        <v>25116</v>
      </c>
      <c r="C12735" t="s">
        <v>27607</v>
      </c>
      <c r="D12735">
        <v>0.15</v>
      </c>
      <c r="E12735">
        <v>0</v>
      </c>
      <c r="F12735">
        <f t="shared" si="232"/>
        <v>0.15</v>
      </c>
      <c r="I12735">
        <v>20240901</v>
      </c>
      <c r="J12735" t="s">
        <v>2574</v>
      </c>
    </row>
    <row r="12736" spans="1:13" x14ac:dyDescent="0.3">
      <c r="A12736">
        <v>25125</v>
      </c>
      <c r="C12736" t="s">
        <v>27607</v>
      </c>
      <c r="D12736">
        <v>0.15</v>
      </c>
      <c r="E12736">
        <v>0</v>
      </c>
      <c r="F12736">
        <f t="shared" si="232"/>
        <v>0.15</v>
      </c>
      <c r="I12736">
        <v>20240901</v>
      </c>
      <c r="J12736" t="s">
        <v>27615</v>
      </c>
    </row>
    <row r="12737" spans="1:13" x14ac:dyDescent="0.3">
      <c r="A12737">
        <v>25132</v>
      </c>
      <c r="C12737" t="s">
        <v>27607</v>
      </c>
      <c r="D12737">
        <v>0.15</v>
      </c>
      <c r="E12737">
        <v>0</v>
      </c>
      <c r="F12737">
        <f t="shared" si="232"/>
        <v>0.15</v>
      </c>
      <c r="I12737">
        <v>20240901</v>
      </c>
      <c r="J12737" t="s">
        <v>2538</v>
      </c>
    </row>
    <row r="12738" spans="1:13" x14ac:dyDescent="0.3">
      <c r="A12738">
        <v>25145</v>
      </c>
      <c r="C12738" t="s">
        <v>27607</v>
      </c>
      <c r="D12738">
        <v>0.15</v>
      </c>
      <c r="E12738">
        <v>0</v>
      </c>
      <c r="F12738">
        <f t="shared" si="232"/>
        <v>0.15</v>
      </c>
      <c r="I12738">
        <v>20240901</v>
      </c>
      <c r="J12738" t="s">
        <v>27616</v>
      </c>
    </row>
    <row r="12739" spans="1:13" x14ac:dyDescent="0.3">
      <c r="A12739">
        <v>25156</v>
      </c>
      <c r="C12739" t="s">
        <v>27607</v>
      </c>
      <c r="D12739">
        <v>0.15</v>
      </c>
      <c r="E12739">
        <v>0</v>
      </c>
      <c r="F12739">
        <f t="shared" si="232"/>
        <v>0.15</v>
      </c>
      <c r="I12739">
        <v>20240901</v>
      </c>
      <c r="J12739" t="s">
        <v>27611</v>
      </c>
      <c r="K12739" t="s">
        <v>27614</v>
      </c>
      <c r="L12739" t="s">
        <v>27609</v>
      </c>
      <c r="M12739" t="s">
        <v>27608</v>
      </c>
    </row>
    <row r="12740" spans="1:13" x14ac:dyDescent="0.3">
      <c r="A12740">
        <v>25163</v>
      </c>
      <c r="C12740" t="s">
        <v>27607</v>
      </c>
      <c r="D12740">
        <v>0.15</v>
      </c>
      <c r="E12740">
        <v>0</v>
      </c>
      <c r="F12740">
        <f t="shared" si="232"/>
        <v>0.15</v>
      </c>
      <c r="I12740">
        <v>20240901</v>
      </c>
      <c r="J12740" t="s">
        <v>2538</v>
      </c>
    </row>
    <row r="12741" spans="1:13" x14ac:dyDescent="0.3">
      <c r="A12741">
        <v>25166</v>
      </c>
      <c r="C12741" t="s">
        <v>27607</v>
      </c>
      <c r="D12741">
        <v>0.15</v>
      </c>
      <c r="E12741">
        <v>0</v>
      </c>
      <c r="F12741">
        <f t="shared" si="232"/>
        <v>0.15</v>
      </c>
      <c r="I12741">
        <v>20240901</v>
      </c>
      <c r="J12741" t="s">
        <v>2574</v>
      </c>
    </row>
    <row r="12742" spans="1:13" x14ac:dyDescent="0.3">
      <c r="A12742">
        <v>25177</v>
      </c>
      <c r="C12742" t="s">
        <v>27607</v>
      </c>
      <c r="D12742">
        <v>0.15</v>
      </c>
      <c r="E12742">
        <v>0</v>
      </c>
      <c r="F12742">
        <f t="shared" si="232"/>
        <v>0.15</v>
      </c>
      <c r="I12742">
        <v>20240901</v>
      </c>
      <c r="J12742" t="s">
        <v>27608</v>
      </c>
    </row>
    <row r="12743" spans="1:13" x14ac:dyDescent="0.3">
      <c r="A12743">
        <v>25178</v>
      </c>
      <c r="C12743" t="s">
        <v>27607</v>
      </c>
      <c r="D12743">
        <v>0.15</v>
      </c>
      <c r="E12743">
        <v>0</v>
      </c>
      <c r="F12743">
        <f t="shared" ref="F12743:F12806" si="233">D12743+E12743</f>
        <v>0.15</v>
      </c>
      <c r="I12743">
        <v>20240901</v>
      </c>
      <c r="J12743" t="s">
        <v>27608</v>
      </c>
    </row>
    <row r="12744" spans="1:13" x14ac:dyDescent="0.3">
      <c r="A12744">
        <v>25181</v>
      </c>
      <c r="C12744" t="s">
        <v>27607</v>
      </c>
      <c r="D12744">
        <v>0.15</v>
      </c>
      <c r="E12744">
        <v>0</v>
      </c>
      <c r="F12744">
        <f t="shared" si="233"/>
        <v>0.15</v>
      </c>
      <c r="I12744">
        <v>20240901</v>
      </c>
      <c r="J12744" t="s">
        <v>27613</v>
      </c>
    </row>
    <row r="12745" spans="1:13" x14ac:dyDescent="0.3">
      <c r="A12745">
        <v>25182</v>
      </c>
      <c r="C12745" t="s">
        <v>27607</v>
      </c>
      <c r="D12745">
        <v>0.15</v>
      </c>
      <c r="E12745">
        <v>0</v>
      </c>
      <c r="F12745">
        <f t="shared" si="233"/>
        <v>0.15</v>
      </c>
      <c r="I12745">
        <v>20240901</v>
      </c>
      <c r="J12745" t="s">
        <v>27613</v>
      </c>
    </row>
    <row r="12746" spans="1:13" x14ac:dyDescent="0.3">
      <c r="A12746">
        <v>25183</v>
      </c>
      <c r="C12746" t="s">
        <v>27607</v>
      </c>
      <c r="D12746">
        <v>0.15</v>
      </c>
      <c r="E12746">
        <v>0</v>
      </c>
      <c r="F12746">
        <f t="shared" si="233"/>
        <v>0.15</v>
      </c>
      <c r="I12746">
        <v>20240901</v>
      </c>
      <c r="J12746" t="s">
        <v>27610</v>
      </c>
    </row>
    <row r="12747" spans="1:13" x14ac:dyDescent="0.3">
      <c r="A12747">
        <v>25184</v>
      </c>
      <c r="C12747" t="s">
        <v>27607</v>
      </c>
      <c r="D12747">
        <v>0.15</v>
      </c>
      <c r="E12747">
        <v>0</v>
      </c>
      <c r="F12747">
        <f t="shared" si="233"/>
        <v>0.15</v>
      </c>
      <c r="I12747">
        <v>20240901</v>
      </c>
      <c r="J12747" t="s">
        <v>27613</v>
      </c>
    </row>
    <row r="12748" spans="1:13" x14ac:dyDescent="0.3">
      <c r="A12748">
        <v>25189</v>
      </c>
      <c r="C12748" t="s">
        <v>27607</v>
      </c>
      <c r="D12748">
        <v>0.15</v>
      </c>
      <c r="E12748">
        <v>0</v>
      </c>
      <c r="F12748">
        <f t="shared" si="233"/>
        <v>0.15</v>
      </c>
      <c r="I12748">
        <v>20240901</v>
      </c>
      <c r="J12748" t="s">
        <v>27610</v>
      </c>
    </row>
    <row r="12749" spans="1:13" x14ac:dyDescent="0.3">
      <c r="A12749">
        <v>25198</v>
      </c>
      <c r="C12749" t="s">
        <v>27607</v>
      </c>
      <c r="D12749">
        <v>0.15</v>
      </c>
      <c r="E12749">
        <v>0</v>
      </c>
      <c r="F12749">
        <f t="shared" si="233"/>
        <v>0.15</v>
      </c>
      <c r="I12749">
        <v>20240901</v>
      </c>
      <c r="J12749" t="s">
        <v>2459</v>
      </c>
    </row>
    <row r="12750" spans="1:13" x14ac:dyDescent="0.3">
      <c r="A12750">
        <v>25215</v>
      </c>
      <c r="C12750" t="s">
        <v>27607</v>
      </c>
      <c r="D12750">
        <v>0.15</v>
      </c>
      <c r="E12750">
        <v>0</v>
      </c>
      <c r="F12750">
        <f t="shared" si="233"/>
        <v>0.15</v>
      </c>
      <c r="I12750">
        <v>20240901</v>
      </c>
      <c r="J12750" t="s">
        <v>2538</v>
      </c>
    </row>
    <row r="12751" spans="1:13" x14ac:dyDescent="0.3">
      <c r="A12751">
        <v>25221</v>
      </c>
      <c r="C12751" t="s">
        <v>27607</v>
      </c>
      <c r="D12751">
        <v>0.15</v>
      </c>
      <c r="E12751">
        <v>0</v>
      </c>
      <c r="F12751">
        <f t="shared" si="233"/>
        <v>0.15</v>
      </c>
      <c r="I12751">
        <v>20240901</v>
      </c>
      <c r="J12751" t="s">
        <v>27610</v>
      </c>
    </row>
    <row r="12752" spans="1:13" x14ac:dyDescent="0.3">
      <c r="A12752">
        <v>25226</v>
      </c>
      <c r="C12752" t="s">
        <v>27607</v>
      </c>
      <c r="D12752">
        <v>0.15</v>
      </c>
      <c r="E12752">
        <v>0</v>
      </c>
      <c r="F12752">
        <f t="shared" si="233"/>
        <v>0.15</v>
      </c>
      <c r="I12752">
        <v>20240901</v>
      </c>
      <c r="J12752" t="s">
        <v>2535</v>
      </c>
    </row>
    <row r="12753" spans="1:10" x14ac:dyDescent="0.3">
      <c r="A12753">
        <v>25232</v>
      </c>
      <c r="C12753" t="s">
        <v>27607</v>
      </c>
      <c r="D12753">
        <v>0.15</v>
      </c>
      <c r="E12753">
        <v>0</v>
      </c>
      <c r="F12753">
        <f t="shared" si="233"/>
        <v>0.15</v>
      </c>
      <c r="I12753">
        <v>20240901</v>
      </c>
      <c r="J12753" t="s">
        <v>2535</v>
      </c>
    </row>
    <row r="12754" spans="1:10" x14ac:dyDescent="0.3">
      <c r="A12754">
        <v>25242</v>
      </c>
      <c r="C12754" t="s">
        <v>27607</v>
      </c>
      <c r="D12754">
        <v>0.15</v>
      </c>
      <c r="E12754">
        <v>0</v>
      </c>
      <c r="F12754">
        <f t="shared" si="233"/>
        <v>0.15</v>
      </c>
      <c r="I12754">
        <v>20240901</v>
      </c>
      <c r="J12754" t="s">
        <v>2538</v>
      </c>
    </row>
    <row r="12755" spans="1:10" x14ac:dyDescent="0.3">
      <c r="A12755">
        <v>25246</v>
      </c>
      <c r="C12755" t="s">
        <v>27607</v>
      </c>
      <c r="D12755">
        <v>0.15</v>
      </c>
      <c r="E12755">
        <v>0</v>
      </c>
      <c r="F12755">
        <f t="shared" si="233"/>
        <v>0.15</v>
      </c>
      <c r="I12755">
        <v>20240901</v>
      </c>
      <c r="J12755" t="s">
        <v>27608</v>
      </c>
    </row>
    <row r="12756" spans="1:10" x14ac:dyDescent="0.3">
      <c r="A12756">
        <v>25247</v>
      </c>
      <c r="C12756" t="s">
        <v>27607</v>
      </c>
      <c r="D12756">
        <v>0.15</v>
      </c>
      <c r="E12756">
        <v>0</v>
      </c>
      <c r="F12756">
        <f t="shared" si="233"/>
        <v>0.15</v>
      </c>
      <c r="I12756">
        <v>20240901</v>
      </c>
      <c r="J12756" t="s">
        <v>27608</v>
      </c>
    </row>
    <row r="12757" spans="1:10" x14ac:dyDescent="0.3">
      <c r="A12757">
        <v>25249</v>
      </c>
      <c r="C12757" t="s">
        <v>27607</v>
      </c>
      <c r="D12757">
        <v>0.15</v>
      </c>
      <c r="E12757">
        <v>0</v>
      </c>
      <c r="F12757">
        <f t="shared" si="233"/>
        <v>0.15</v>
      </c>
      <c r="I12757">
        <v>20240901</v>
      </c>
      <c r="J12757" t="s">
        <v>27610</v>
      </c>
    </row>
    <row r="12758" spans="1:10" x14ac:dyDescent="0.3">
      <c r="A12758">
        <v>25251</v>
      </c>
      <c r="C12758" t="s">
        <v>27607</v>
      </c>
      <c r="D12758">
        <v>0.15</v>
      </c>
      <c r="E12758">
        <v>0</v>
      </c>
      <c r="F12758">
        <f t="shared" si="233"/>
        <v>0.15</v>
      </c>
      <c r="I12758">
        <v>20240901</v>
      </c>
      <c r="J12758" t="s">
        <v>27610</v>
      </c>
    </row>
    <row r="12759" spans="1:10" x14ac:dyDescent="0.3">
      <c r="A12759">
        <v>25261</v>
      </c>
      <c r="C12759" t="s">
        <v>27607</v>
      </c>
      <c r="D12759">
        <v>0.15</v>
      </c>
      <c r="E12759">
        <v>0</v>
      </c>
      <c r="F12759">
        <f t="shared" si="233"/>
        <v>0.15</v>
      </c>
      <c r="I12759">
        <v>20240901</v>
      </c>
      <c r="J12759" t="s">
        <v>2554</v>
      </c>
    </row>
    <row r="12760" spans="1:10" x14ac:dyDescent="0.3">
      <c r="A12760">
        <v>25264</v>
      </c>
      <c r="C12760" t="s">
        <v>27607</v>
      </c>
      <c r="D12760">
        <v>0.15</v>
      </c>
      <c r="E12760">
        <v>0</v>
      </c>
      <c r="F12760">
        <f t="shared" si="233"/>
        <v>0.15</v>
      </c>
      <c r="I12760">
        <v>20240901</v>
      </c>
      <c r="J12760" t="s">
        <v>2535</v>
      </c>
    </row>
    <row r="12761" spans="1:10" x14ac:dyDescent="0.3">
      <c r="A12761">
        <v>25266</v>
      </c>
      <c r="C12761" t="s">
        <v>27607</v>
      </c>
      <c r="D12761">
        <v>0.15</v>
      </c>
      <c r="E12761">
        <v>0</v>
      </c>
      <c r="F12761">
        <f t="shared" si="233"/>
        <v>0.15</v>
      </c>
      <c r="I12761">
        <v>20240901</v>
      </c>
      <c r="J12761" t="s">
        <v>2535</v>
      </c>
    </row>
    <row r="12762" spans="1:10" x14ac:dyDescent="0.3">
      <c r="A12762">
        <v>25269</v>
      </c>
      <c r="C12762" t="s">
        <v>27607</v>
      </c>
      <c r="D12762">
        <v>0.15</v>
      </c>
      <c r="E12762">
        <v>0</v>
      </c>
      <c r="F12762">
        <f t="shared" si="233"/>
        <v>0.15</v>
      </c>
      <c r="I12762">
        <v>20240901</v>
      </c>
      <c r="J12762" t="s">
        <v>2538</v>
      </c>
    </row>
    <row r="12763" spans="1:10" x14ac:dyDescent="0.3">
      <c r="A12763">
        <v>25273</v>
      </c>
      <c r="C12763" t="s">
        <v>27607</v>
      </c>
      <c r="D12763">
        <v>0.15</v>
      </c>
      <c r="E12763">
        <v>0</v>
      </c>
      <c r="F12763">
        <f t="shared" si="233"/>
        <v>0.15</v>
      </c>
      <c r="I12763">
        <v>20240901</v>
      </c>
      <c r="J12763" t="s">
        <v>2574</v>
      </c>
    </row>
    <row r="12764" spans="1:10" x14ac:dyDescent="0.3">
      <c r="A12764">
        <v>25276</v>
      </c>
      <c r="C12764" t="s">
        <v>27607</v>
      </c>
      <c r="D12764">
        <v>0.15</v>
      </c>
      <c r="E12764">
        <v>0</v>
      </c>
      <c r="F12764">
        <f t="shared" si="233"/>
        <v>0.15</v>
      </c>
      <c r="I12764">
        <v>20240901</v>
      </c>
      <c r="J12764" t="s">
        <v>27608</v>
      </c>
    </row>
    <row r="12765" spans="1:10" x14ac:dyDescent="0.3">
      <c r="A12765">
        <v>25277</v>
      </c>
      <c r="C12765" t="s">
        <v>27607</v>
      </c>
      <c r="D12765">
        <v>0.15</v>
      </c>
      <c r="E12765">
        <v>0</v>
      </c>
      <c r="F12765">
        <f t="shared" si="233"/>
        <v>0.15</v>
      </c>
      <c r="I12765">
        <v>20240901</v>
      </c>
      <c r="J12765" t="s">
        <v>27613</v>
      </c>
    </row>
    <row r="12766" spans="1:10" x14ac:dyDescent="0.3">
      <c r="A12766">
        <v>25279</v>
      </c>
      <c r="C12766" t="s">
        <v>27607</v>
      </c>
      <c r="D12766">
        <v>0.15</v>
      </c>
      <c r="E12766">
        <v>0</v>
      </c>
      <c r="F12766">
        <f t="shared" si="233"/>
        <v>0.15</v>
      </c>
      <c r="I12766">
        <v>20240901</v>
      </c>
      <c r="J12766" t="s">
        <v>27613</v>
      </c>
    </row>
    <row r="12767" spans="1:10" x14ac:dyDescent="0.3">
      <c r="A12767">
        <v>25290</v>
      </c>
      <c r="C12767" t="s">
        <v>27607</v>
      </c>
      <c r="D12767">
        <v>0.15</v>
      </c>
      <c r="E12767">
        <v>0</v>
      </c>
      <c r="F12767">
        <f t="shared" si="233"/>
        <v>0.15</v>
      </c>
      <c r="I12767">
        <v>20240901</v>
      </c>
      <c r="J12767" t="s">
        <v>27615</v>
      </c>
    </row>
    <row r="12768" spans="1:10" x14ac:dyDescent="0.3">
      <c r="A12768">
        <v>25298</v>
      </c>
      <c r="C12768" t="s">
        <v>27607</v>
      </c>
      <c r="D12768">
        <v>0.15</v>
      </c>
      <c r="E12768">
        <v>0</v>
      </c>
      <c r="F12768">
        <f t="shared" si="233"/>
        <v>0.15</v>
      </c>
      <c r="I12768">
        <v>20240901</v>
      </c>
      <c r="J12768" t="s">
        <v>27610</v>
      </c>
    </row>
    <row r="12769" spans="1:10" x14ac:dyDescent="0.3">
      <c r="A12769">
        <v>25299</v>
      </c>
      <c r="C12769" t="s">
        <v>27607</v>
      </c>
      <c r="D12769">
        <v>0.15</v>
      </c>
      <c r="E12769">
        <v>0</v>
      </c>
      <c r="F12769">
        <f t="shared" si="233"/>
        <v>0.15</v>
      </c>
      <c r="I12769">
        <v>20240901</v>
      </c>
      <c r="J12769" t="s">
        <v>27610</v>
      </c>
    </row>
    <row r="12770" spans="1:10" x14ac:dyDescent="0.3">
      <c r="A12770">
        <v>25306</v>
      </c>
      <c r="C12770" t="s">
        <v>27607</v>
      </c>
      <c r="D12770">
        <v>0.15</v>
      </c>
      <c r="E12770">
        <v>0</v>
      </c>
      <c r="F12770">
        <f t="shared" si="233"/>
        <v>0.15</v>
      </c>
      <c r="I12770">
        <v>20240901</v>
      </c>
      <c r="J12770" t="s">
        <v>27608</v>
      </c>
    </row>
    <row r="12771" spans="1:10" x14ac:dyDescent="0.3">
      <c r="A12771">
        <v>25310</v>
      </c>
      <c r="C12771" t="s">
        <v>27607</v>
      </c>
      <c r="D12771">
        <v>0.15</v>
      </c>
      <c r="E12771">
        <v>0</v>
      </c>
      <c r="F12771">
        <f t="shared" si="233"/>
        <v>0.15</v>
      </c>
      <c r="I12771">
        <v>20240901</v>
      </c>
      <c r="J12771" t="s">
        <v>27613</v>
      </c>
    </row>
    <row r="12772" spans="1:10" x14ac:dyDescent="0.3">
      <c r="A12772">
        <v>25311</v>
      </c>
      <c r="C12772" t="s">
        <v>27607</v>
      </c>
      <c r="D12772">
        <v>0.15</v>
      </c>
      <c r="E12772">
        <v>0</v>
      </c>
      <c r="F12772">
        <f t="shared" si="233"/>
        <v>0.15</v>
      </c>
      <c r="I12772">
        <v>20240901</v>
      </c>
      <c r="J12772" t="s">
        <v>2535</v>
      </c>
    </row>
    <row r="12773" spans="1:10" x14ac:dyDescent="0.3">
      <c r="A12773">
        <v>25312</v>
      </c>
      <c r="C12773" t="s">
        <v>27607</v>
      </c>
      <c r="D12773">
        <v>0.15</v>
      </c>
      <c r="E12773">
        <v>0</v>
      </c>
      <c r="F12773">
        <f t="shared" si="233"/>
        <v>0.15</v>
      </c>
      <c r="I12773">
        <v>20240901</v>
      </c>
      <c r="J12773" t="s">
        <v>27610</v>
      </c>
    </row>
    <row r="12774" spans="1:10" x14ac:dyDescent="0.3">
      <c r="A12774">
        <v>25313</v>
      </c>
      <c r="C12774" t="s">
        <v>27607</v>
      </c>
      <c r="D12774">
        <v>0.15</v>
      </c>
      <c r="E12774">
        <v>0</v>
      </c>
      <c r="F12774">
        <f t="shared" si="233"/>
        <v>0.15</v>
      </c>
      <c r="I12774">
        <v>20240901</v>
      </c>
      <c r="J12774" t="s">
        <v>27610</v>
      </c>
    </row>
    <row r="12775" spans="1:10" x14ac:dyDescent="0.3">
      <c r="A12775">
        <v>25315</v>
      </c>
      <c r="C12775" t="s">
        <v>27607</v>
      </c>
      <c r="D12775">
        <v>0.15</v>
      </c>
      <c r="E12775">
        <v>0</v>
      </c>
      <c r="F12775">
        <f t="shared" si="233"/>
        <v>0.15</v>
      </c>
      <c r="I12775">
        <v>20240901</v>
      </c>
      <c r="J12775" t="s">
        <v>2535</v>
      </c>
    </row>
    <row r="12776" spans="1:10" x14ac:dyDescent="0.3">
      <c r="A12776">
        <v>25323</v>
      </c>
      <c r="C12776" t="s">
        <v>27607</v>
      </c>
      <c r="D12776">
        <v>0.15</v>
      </c>
      <c r="E12776">
        <v>0</v>
      </c>
      <c r="F12776">
        <f t="shared" si="233"/>
        <v>0.15</v>
      </c>
      <c r="I12776">
        <v>20240901</v>
      </c>
      <c r="J12776" t="s">
        <v>27617</v>
      </c>
    </row>
    <row r="12777" spans="1:10" x14ac:dyDescent="0.3">
      <c r="A12777">
        <v>25324</v>
      </c>
      <c r="C12777" t="s">
        <v>27607</v>
      </c>
      <c r="D12777">
        <v>0.15</v>
      </c>
      <c r="E12777">
        <v>0</v>
      </c>
      <c r="F12777">
        <f t="shared" si="233"/>
        <v>0.15</v>
      </c>
      <c r="I12777">
        <v>20240901</v>
      </c>
      <c r="J12777" t="s">
        <v>2574</v>
      </c>
    </row>
    <row r="12778" spans="1:10" x14ac:dyDescent="0.3">
      <c r="A12778">
        <v>25327</v>
      </c>
      <c r="C12778" t="s">
        <v>27607</v>
      </c>
      <c r="D12778">
        <v>0.15</v>
      </c>
      <c r="E12778">
        <v>0</v>
      </c>
      <c r="F12778">
        <f t="shared" si="233"/>
        <v>0.15</v>
      </c>
      <c r="I12778">
        <v>20240901</v>
      </c>
      <c r="J12778" t="s">
        <v>2535</v>
      </c>
    </row>
    <row r="12779" spans="1:10" x14ac:dyDescent="0.3">
      <c r="A12779">
        <v>25341</v>
      </c>
      <c r="C12779" t="s">
        <v>27607</v>
      </c>
      <c r="D12779">
        <v>0.15</v>
      </c>
      <c r="E12779">
        <v>0</v>
      </c>
      <c r="F12779">
        <f t="shared" si="233"/>
        <v>0.15</v>
      </c>
      <c r="I12779">
        <v>20240901</v>
      </c>
      <c r="J12779" t="s">
        <v>27610</v>
      </c>
    </row>
    <row r="12780" spans="1:10" x14ac:dyDescent="0.3">
      <c r="A12780">
        <v>25344</v>
      </c>
      <c r="C12780" t="s">
        <v>27607</v>
      </c>
      <c r="D12780">
        <v>0.15</v>
      </c>
      <c r="E12780">
        <v>0</v>
      </c>
      <c r="F12780">
        <f t="shared" si="233"/>
        <v>0.15</v>
      </c>
      <c r="I12780">
        <v>20240901</v>
      </c>
      <c r="J12780" t="s">
        <v>27615</v>
      </c>
    </row>
    <row r="12781" spans="1:10" x14ac:dyDescent="0.3">
      <c r="A12781">
        <v>25354</v>
      </c>
      <c r="C12781" t="s">
        <v>27607</v>
      </c>
      <c r="D12781">
        <v>0.15</v>
      </c>
      <c r="E12781">
        <v>0</v>
      </c>
      <c r="F12781">
        <f t="shared" si="233"/>
        <v>0.15</v>
      </c>
      <c r="I12781">
        <v>20240901</v>
      </c>
      <c r="J12781" t="s">
        <v>27610</v>
      </c>
    </row>
    <row r="12782" spans="1:10" x14ac:dyDescent="0.3">
      <c r="A12782">
        <v>25365</v>
      </c>
      <c r="C12782" t="s">
        <v>27607</v>
      </c>
      <c r="D12782">
        <v>0.15</v>
      </c>
      <c r="E12782">
        <v>0</v>
      </c>
      <c r="F12782">
        <f t="shared" si="233"/>
        <v>0.15</v>
      </c>
      <c r="I12782">
        <v>20240901</v>
      </c>
      <c r="J12782" t="s">
        <v>2535</v>
      </c>
    </row>
    <row r="12783" spans="1:10" x14ac:dyDescent="0.3">
      <c r="A12783">
        <v>25369</v>
      </c>
      <c r="C12783" t="s">
        <v>27607</v>
      </c>
      <c r="D12783">
        <v>0.15</v>
      </c>
      <c r="E12783">
        <v>0</v>
      </c>
      <c r="F12783">
        <f t="shared" si="233"/>
        <v>0.15</v>
      </c>
      <c r="I12783">
        <v>20240901</v>
      </c>
      <c r="J12783" t="s">
        <v>2535</v>
      </c>
    </row>
    <row r="12784" spans="1:10" x14ac:dyDescent="0.3">
      <c r="A12784">
        <v>25372</v>
      </c>
      <c r="C12784" t="s">
        <v>27607</v>
      </c>
      <c r="D12784">
        <v>0.15</v>
      </c>
      <c r="E12784">
        <v>0</v>
      </c>
      <c r="F12784">
        <f t="shared" si="233"/>
        <v>0.15</v>
      </c>
      <c r="I12784">
        <v>20240901</v>
      </c>
      <c r="J12784" t="s">
        <v>2535</v>
      </c>
    </row>
    <row r="12785" spans="1:10" x14ac:dyDescent="0.3">
      <c r="A12785">
        <v>25377</v>
      </c>
      <c r="C12785" t="s">
        <v>27607</v>
      </c>
      <c r="D12785">
        <v>0.15</v>
      </c>
      <c r="E12785">
        <v>0</v>
      </c>
      <c r="F12785">
        <f t="shared" si="233"/>
        <v>0.15</v>
      </c>
      <c r="I12785">
        <v>20240901</v>
      </c>
      <c r="J12785" t="s">
        <v>27613</v>
      </c>
    </row>
    <row r="12786" spans="1:10" x14ac:dyDescent="0.3">
      <c r="A12786">
        <v>25382</v>
      </c>
      <c r="C12786" t="s">
        <v>27607</v>
      </c>
      <c r="D12786">
        <v>0.15</v>
      </c>
      <c r="E12786">
        <v>0</v>
      </c>
      <c r="F12786">
        <f t="shared" si="233"/>
        <v>0.15</v>
      </c>
      <c r="I12786">
        <v>20240901</v>
      </c>
      <c r="J12786" t="s">
        <v>2474</v>
      </c>
    </row>
    <row r="12787" spans="1:10" x14ac:dyDescent="0.3">
      <c r="A12787">
        <v>25384</v>
      </c>
      <c r="C12787" t="s">
        <v>27607</v>
      </c>
      <c r="D12787">
        <v>0.15</v>
      </c>
      <c r="E12787">
        <v>0</v>
      </c>
      <c r="F12787">
        <f t="shared" si="233"/>
        <v>0.15</v>
      </c>
      <c r="I12787">
        <v>20240901</v>
      </c>
      <c r="J12787" t="s">
        <v>27613</v>
      </c>
    </row>
    <row r="12788" spans="1:10" x14ac:dyDescent="0.3">
      <c r="A12788">
        <v>25385</v>
      </c>
      <c r="C12788" t="s">
        <v>27607</v>
      </c>
      <c r="D12788">
        <v>0.15</v>
      </c>
      <c r="E12788">
        <v>0</v>
      </c>
      <c r="F12788">
        <f t="shared" si="233"/>
        <v>0.15</v>
      </c>
      <c r="I12788">
        <v>20240901</v>
      </c>
      <c r="J12788" t="s">
        <v>27613</v>
      </c>
    </row>
    <row r="12789" spans="1:10" x14ac:dyDescent="0.3">
      <c r="A12789">
        <v>25401</v>
      </c>
      <c r="C12789" t="s">
        <v>27607</v>
      </c>
      <c r="D12789">
        <v>0.15</v>
      </c>
      <c r="E12789">
        <v>0</v>
      </c>
      <c r="F12789">
        <f t="shared" si="233"/>
        <v>0.15</v>
      </c>
      <c r="I12789">
        <v>20240901</v>
      </c>
      <c r="J12789" t="s">
        <v>27610</v>
      </c>
    </row>
    <row r="12790" spans="1:10" x14ac:dyDescent="0.3">
      <c r="A12790">
        <v>25408</v>
      </c>
      <c r="C12790" t="s">
        <v>27607</v>
      </c>
      <c r="D12790">
        <v>0.15</v>
      </c>
      <c r="E12790">
        <v>0</v>
      </c>
      <c r="F12790">
        <f t="shared" si="233"/>
        <v>0.15</v>
      </c>
      <c r="I12790">
        <v>20240901</v>
      </c>
      <c r="J12790" t="s">
        <v>27613</v>
      </c>
    </row>
    <row r="12791" spans="1:10" x14ac:dyDescent="0.3">
      <c r="A12791">
        <v>25419</v>
      </c>
      <c r="C12791" t="s">
        <v>27607</v>
      </c>
      <c r="D12791">
        <v>0.15</v>
      </c>
      <c r="E12791">
        <v>0</v>
      </c>
      <c r="F12791">
        <f t="shared" si="233"/>
        <v>0.15</v>
      </c>
      <c r="I12791">
        <v>20240901</v>
      </c>
      <c r="J12791" t="s">
        <v>27613</v>
      </c>
    </row>
    <row r="12792" spans="1:10" x14ac:dyDescent="0.3">
      <c r="A12792">
        <v>25430</v>
      </c>
      <c r="C12792" t="s">
        <v>27607</v>
      </c>
      <c r="D12792">
        <v>0.15</v>
      </c>
      <c r="E12792">
        <v>0</v>
      </c>
      <c r="F12792">
        <f t="shared" si="233"/>
        <v>0.15</v>
      </c>
      <c r="I12792">
        <v>20240901</v>
      </c>
      <c r="J12792" t="s">
        <v>2538</v>
      </c>
    </row>
    <row r="12793" spans="1:10" x14ac:dyDescent="0.3">
      <c r="A12793">
        <v>25431</v>
      </c>
      <c r="C12793" t="s">
        <v>27607</v>
      </c>
      <c r="D12793">
        <v>0.15</v>
      </c>
      <c r="E12793">
        <v>0</v>
      </c>
      <c r="F12793">
        <f t="shared" si="233"/>
        <v>0.15</v>
      </c>
      <c r="I12793">
        <v>20240901</v>
      </c>
      <c r="J12793" t="s">
        <v>2535</v>
      </c>
    </row>
    <row r="12794" spans="1:10" x14ac:dyDescent="0.3">
      <c r="A12794">
        <v>25436</v>
      </c>
      <c r="C12794" t="s">
        <v>27607</v>
      </c>
      <c r="D12794">
        <v>0.15</v>
      </c>
      <c r="E12794">
        <v>0</v>
      </c>
      <c r="F12794">
        <f t="shared" si="233"/>
        <v>0.15</v>
      </c>
      <c r="I12794">
        <v>20240901</v>
      </c>
      <c r="J12794" t="s">
        <v>27616</v>
      </c>
    </row>
    <row r="12795" spans="1:10" x14ac:dyDescent="0.3">
      <c r="A12795">
        <v>25437</v>
      </c>
      <c r="C12795" t="s">
        <v>27607</v>
      </c>
      <c r="D12795">
        <v>0.15</v>
      </c>
      <c r="E12795">
        <v>0</v>
      </c>
      <c r="F12795">
        <f t="shared" si="233"/>
        <v>0.15</v>
      </c>
      <c r="I12795">
        <v>20240901</v>
      </c>
      <c r="J12795" t="s">
        <v>2574</v>
      </c>
    </row>
    <row r="12796" spans="1:10" x14ac:dyDescent="0.3">
      <c r="A12796">
        <v>25439</v>
      </c>
      <c r="C12796" t="s">
        <v>27607</v>
      </c>
      <c r="D12796">
        <v>0.15</v>
      </c>
      <c r="E12796">
        <v>0</v>
      </c>
      <c r="F12796">
        <f t="shared" si="233"/>
        <v>0.15</v>
      </c>
      <c r="I12796">
        <v>20240901</v>
      </c>
      <c r="J12796" t="s">
        <v>2538</v>
      </c>
    </row>
    <row r="12797" spans="1:10" x14ac:dyDescent="0.3">
      <c r="A12797">
        <v>25446</v>
      </c>
      <c r="C12797" t="s">
        <v>27607</v>
      </c>
      <c r="D12797">
        <v>0.15</v>
      </c>
      <c r="E12797">
        <v>0</v>
      </c>
      <c r="F12797">
        <f t="shared" si="233"/>
        <v>0.15</v>
      </c>
      <c r="I12797">
        <v>20240901</v>
      </c>
      <c r="J12797" t="s">
        <v>2574</v>
      </c>
    </row>
    <row r="12798" spans="1:10" x14ac:dyDescent="0.3">
      <c r="A12798">
        <v>25449</v>
      </c>
      <c r="C12798" t="s">
        <v>27607</v>
      </c>
      <c r="D12798">
        <v>0.15</v>
      </c>
      <c r="E12798">
        <v>0</v>
      </c>
      <c r="F12798">
        <f t="shared" si="233"/>
        <v>0.15</v>
      </c>
      <c r="I12798">
        <v>20240901</v>
      </c>
      <c r="J12798" t="s">
        <v>2554</v>
      </c>
    </row>
    <row r="12799" spans="1:10" x14ac:dyDescent="0.3">
      <c r="A12799">
        <v>25461</v>
      </c>
      <c r="C12799" t="s">
        <v>27607</v>
      </c>
      <c r="D12799">
        <v>0.15</v>
      </c>
      <c r="E12799">
        <v>0</v>
      </c>
      <c r="F12799">
        <f t="shared" si="233"/>
        <v>0.15</v>
      </c>
      <c r="I12799">
        <v>20240901</v>
      </c>
      <c r="J12799" t="s">
        <v>27608</v>
      </c>
    </row>
    <row r="12800" spans="1:10" x14ac:dyDescent="0.3">
      <c r="A12800">
        <v>25465</v>
      </c>
      <c r="C12800" t="s">
        <v>27607</v>
      </c>
      <c r="D12800">
        <v>0.15</v>
      </c>
      <c r="E12800">
        <v>0</v>
      </c>
      <c r="F12800">
        <f t="shared" si="233"/>
        <v>0.15</v>
      </c>
      <c r="I12800">
        <v>20240901</v>
      </c>
      <c r="J12800" t="s">
        <v>27610</v>
      </c>
    </row>
    <row r="12801" spans="1:11" x14ac:dyDescent="0.3">
      <c r="A12801">
        <v>25468</v>
      </c>
      <c r="C12801" t="s">
        <v>27607</v>
      </c>
      <c r="D12801">
        <v>0.15</v>
      </c>
      <c r="E12801">
        <v>0</v>
      </c>
      <c r="F12801">
        <f t="shared" si="233"/>
        <v>0.15</v>
      </c>
      <c r="I12801">
        <v>20240901</v>
      </c>
      <c r="J12801" t="s">
        <v>2538</v>
      </c>
    </row>
    <row r="12802" spans="1:11" x14ac:dyDescent="0.3">
      <c r="A12802">
        <v>25470</v>
      </c>
      <c r="C12802" t="s">
        <v>27607</v>
      </c>
      <c r="D12802">
        <v>0.15</v>
      </c>
      <c r="E12802">
        <v>0</v>
      </c>
      <c r="F12802">
        <f t="shared" si="233"/>
        <v>0.15</v>
      </c>
      <c r="I12802">
        <v>20240901</v>
      </c>
      <c r="J12802" t="s">
        <v>2535</v>
      </c>
    </row>
    <row r="12803" spans="1:11" x14ac:dyDescent="0.3">
      <c r="A12803">
        <v>25471</v>
      </c>
      <c r="C12803" t="s">
        <v>27607</v>
      </c>
      <c r="D12803">
        <v>0.15</v>
      </c>
      <c r="E12803">
        <v>0</v>
      </c>
      <c r="F12803">
        <f t="shared" si="233"/>
        <v>0.15</v>
      </c>
      <c r="I12803">
        <v>20240901</v>
      </c>
      <c r="J12803" t="s">
        <v>27615</v>
      </c>
    </row>
    <row r="12804" spans="1:11" x14ac:dyDescent="0.3">
      <c r="A12804">
        <v>25472</v>
      </c>
      <c r="C12804" t="s">
        <v>27607</v>
      </c>
      <c r="D12804">
        <v>0.15</v>
      </c>
      <c r="E12804">
        <v>0</v>
      </c>
      <c r="F12804">
        <f t="shared" si="233"/>
        <v>0.15</v>
      </c>
      <c r="I12804">
        <v>20240901</v>
      </c>
      <c r="J12804" t="s">
        <v>27613</v>
      </c>
    </row>
    <row r="12805" spans="1:11" x14ac:dyDescent="0.3">
      <c r="A12805">
        <v>25474</v>
      </c>
      <c r="C12805" t="s">
        <v>27607</v>
      </c>
      <c r="D12805">
        <v>0.15</v>
      </c>
      <c r="E12805">
        <v>0</v>
      </c>
      <c r="F12805">
        <f t="shared" si="233"/>
        <v>0.15</v>
      </c>
      <c r="I12805">
        <v>20240901</v>
      </c>
      <c r="J12805" t="s">
        <v>2538</v>
      </c>
    </row>
    <row r="12806" spans="1:11" x14ac:dyDescent="0.3">
      <c r="A12806">
        <v>25476</v>
      </c>
      <c r="C12806" t="s">
        <v>27607</v>
      </c>
      <c r="D12806">
        <v>0.15</v>
      </c>
      <c r="E12806">
        <v>0</v>
      </c>
      <c r="F12806">
        <f t="shared" si="233"/>
        <v>0.15</v>
      </c>
      <c r="I12806">
        <v>20240901</v>
      </c>
      <c r="J12806" t="s">
        <v>27616</v>
      </c>
    </row>
    <row r="12807" spans="1:11" x14ac:dyDescent="0.3">
      <c r="A12807">
        <v>25478</v>
      </c>
      <c r="C12807" t="s">
        <v>27607</v>
      </c>
      <c r="D12807">
        <v>0.15</v>
      </c>
      <c r="E12807">
        <v>0</v>
      </c>
      <c r="F12807">
        <f t="shared" ref="F12807:F12849" si="234">D12807+E12807</f>
        <v>0.15</v>
      </c>
      <c r="I12807">
        <v>20240901</v>
      </c>
      <c r="J12807" t="s">
        <v>27616</v>
      </c>
    </row>
    <row r="12808" spans="1:11" x14ac:dyDescent="0.3">
      <c r="A12808">
        <v>25479</v>
      </c>
      <c r="C12808" t="s">
        <v>27607</v>
      </c>
      <c r="D12808">
        <v>0.15</v>
      </c>
      <c r="E12808">
        <v>0</v>
      </c>
      <c r="F12808">
        <f t="shared" si="234"/>
        <v>0.15</v>
      </c>
      <c r="I12808">
        <v>20240901</v>
      </c>
      <c r="J12808" t="s">
        <v>2535</v>
      </c>
    </row>
    <row r="12809" spans="1:11" x14ac:dyDescent="0.3">
      <c r="A12809">
        <v>25490</v>
      </c>
      <c r="C12809" t="s">
        <v>27607</v>
      </c>
      <c r="D12809">
        <v>0.15</v>
      </c>
      <c r="E12809">
        <v>0</v>
      </c>
      <c r="F12809">
        <f t="shared" si="234"/>
        <v>0.15</v>
      </c>
      <c r="I12809">
        <v>20240901</v>
      </c>
      <c r="J12809" t="s">
        <v>2491</v>
      </c>
      <c r="K12809" t="s">
        <v>2538</v>
      </c>
    </row>
    <row r="12810" spans="1:11" x14ac:dyDescent="0.3">
      <c r="A12810">
        <v>25491</v>
      </c>
      <c r="C12810" t="s">
        <v>27607</v>
      </c>
      <c r="D12810">
        <v>0.15</v>
      </c>
      <c r="E12810">
        <v>0</v>
      </c>
      <c r="F12810">
        <f t="shared" si="234"/>
        <v>0.15</v>
      </c>
      <c r="I12810">
        <v>20240901</v>
      </c>
      <c r="J12810" t="s">
        <v>2538</v>
      </c>
    </row>
    <row r="12811" spans="1:11" x14ac:dyDescent="0.3">
      <c r="A12811">
        <v>25492</v>
      </c>
      <c r="C12811" t="s">
        <v>27607</v>
      </c>
      <c r="D12811">
        <v>0.15</v>
      </c>
      <c r="E12811">
        <v>0</v>
      </c>
      <c r="F12811">
        <f t="shared" si="234"/>
        <v>0.15</v>
      </c>
      <c r="I12811">
        <v>20240901</v>
      </c>
      <c r="J12811" t="s">
        <v>27610</v>
      </c>
    </row>
    <row r="12812" spans="1:11" x14ac:dyDescent="0.3">
      <c r="A12812">
        <v>25496</v>
      </c>
      <c r="C12812" t="s">
        <v>27607</v>
      </c>
      <c r="D12812">
        <v>0.15</v>
      </c>
      <c r="E12812">
        <v>0</v>
      </c>
      <c r="F12812">
        <f t="shared" si="234"/>
        <v>0.15</v>
      </c>
      <c r="I12812">
        <v>20240901</v>
      </c>
      <c r="J12812" t="s">
        <v>27608</v>
      </c>
    </row>
    <row r="12813" spans="1:11" x14ac:dyDescent="0.3">
      <c r="A12813">
        <v>25498</v>
      </c>
      <c r="C12813" t="s">
        <v>27607</v>
      </c>
      <c r="D12813">
        <v>0.15</v>
      </c>
      <c r="E12813">
        <v>0</v>
      </c>
      <c r="F12813">
        <f t="shared" si="234"/>
        <v>0.15</v>
      </c>
      <c r="I12813">
        <v>20240901</v>
      </c>
      <c r="J12813" t="s">
        <v>27613</v>
      </c>
    </row>
    <row r="12814" spans="1:11" x14ac:dyDescent="0.3">
      <c r="A12814">
        <v>25499</v>
      </c>
      <c r="C12814" t="s">
        <v>27607</v>
      </c>
      <c r="D12814">
        <v>0.15</v>
      </c>
      <c r="E12814">
        <v>0</v>
      </c>
      <c r="F12814">
        <f t="shared" si="234"/>
        <v>0.15</v>
      </c>
      <c r="I12814">
        <v>20240901</v>
      </c>
      <c r="J12814" t="s">
        <v>27613</v>
      </c>
    </row>
    <row r="12815" spans="1:11" x14ac:dyDescent="0.3">
      <c r="A12815">
        <v>25503</v>
      </c>
      <c r="C12815" t="s">
        <v>27607</v>
      </c>
      <c r="D12815">
        <v>0.15</v>
      </c>
      <c r="E12815">
        <v>0</v>
      </c>
      <c r="F12815">
        <f t="shared" si="234"/>
        <v>0.15</v>
      </c>
      <c r="I12815">
        <v>20240901</v>
      </c>
      <c r="J12815" t="s">
        <v>2554</v>
      </c>
    </row>
    <row r="12816" spans="1:11" x14ac:dyDescent="0.3">
      <c r="A12816">
        <v>25505</v>
      </c>
      <c r="C12816" t="s">
        <v>27607</v>
      </c>
      <c r="D12816">
        <v>0.15</v>
      </c>
      <c r="E12816">
        <v>0</v>
      </c>
      <c r="F12816">
        <f t="shared" si="234"/>
        <v>0.15</v>
      </c>
      <c r="I12816">
        <v>20240901</v>
      </c>
      <c r="J12816" t="s">
        <v>27613</v>
      </c>
    </row>
    <row r="12817" spans="1:10" x14ac:dyDescent="0.3">
      <c r="A12817">
        <v>25506</v>
      </c>
      <c r="C12817" t="s">
        <v>27607</v>
      </c>
      <c r="D12817">
        <v>0.15</v>
      </c>
      <c r="E12817">
        <v>0</v>
      </c>
      <c r="F12817">
        <f t="shared" si="234"/>
        <v>0.15</v>
      </c>
      <c r="I12817">
        <v>20240901</v>
      </c>
      <c r="J12817" t="s">
        <v>2538</v>
      </c>
    </row>
    <row r="12818" spans="1:10" x14ac:dyDescent="0.3">
      <c r="A12818">
        <v>25508</v>
      </c>
      <c r="C12818" t="s">
        <v>27607</v>
      </c>
      <c r="D12818">
        <v>0.15</v>
      </c>
      <c r="E12818">
        <v>0</v>
      </c>
      <c r="F12818">
        <f t="shared" si="234"/>
        <v>0.15</v>
      </c>
      <c r="I12818">
        <v>20240901</v>
      </c>
      <c r="J12818" t="s">
        <v>2538</v>
      </c>
    </row>
    <row r="12819" spans="1:10" x14ac:dyDescent="0.3">
      <c r="A12819">
        <v>25516</v>
      </c>
      <c r="C12819" t="s">
        <v>27607</v>
      </c>
      <c r="D12819">
        <v>0.15</v>
      </c>
      <c r="E12819">
        <v>0</v>
      </c>
      <c r="F12819">
        <f t="shared" si="234"/>
        <v>0.15</v>
      </c>
      <c r="I12819">
        <v>20240901</v>
      </c>
      <c r="J12819" t="s">
        <v>27608</v>
      </c>
    </row>
    <row r="12820" spans="1:10" x14ac:dyDescent="0.3">
      <c r="A12820">
        <v>25518</v>
      </c>
      <c r="C12820" t="s">
        <v>27607</v>
      </c>
      <c r="D12820">
        <v>0.15</v>
      </c>
      <c r="E12820">
        <v>0</v>
      </c>
      <c r="F12820">
        <f t="shared" si="234"/>
        <v>0.15</v>
      </c>
      <c r="I12820">
        <v>20240901</v>
      </c>
      <c r="J12820" t="s">
        <v>2538</v>
      </c>
    </row>
    <row r="12821" spans="1:10" x14ac:dyDescent="0.3">
      <c r="A12821">
        <v>25520</v>
      </c>
      <c r="C12821" t="s">
        <v>27607</v>
      </c>
      <c r="D12821">
        <v>0.15</v>
      </c>
      <c r="E12821">
        <v>0</v>
      </c>
      <c r="F12821">
        <f t="shared" si="234"/>
        <v>0.15</v>
      </c>
      <c r="I12821">
        <v>20240901</v>
      </c>
      <c r="J12821" t="s">
        <v>2574</v>
      </c>
    </row>
    <row r="12822" spans="1:10" x14ac:dyDescent="0.3">
      <c r="A12822">
        <v>25529</v>
      </c>
      <c r="C12822" t="s">
        <v>27607</v>
      </c>
      <c r="D12822">
        <v>0.15</v>
      </c>
      <c r="E12822">
        <v>0</v>
      </c>
      <c r="F12822">
        <f t="shared" si="234"/>
        <v>0.15</v>
      </c>
      <c r="I12822">
        <v>20240901</v>
      </c>
      <c r="J12822" t="s">
        <v>27616</v>
      </c>
    </row>
    <row r="12823" spans="1:10" x14ac:dyDescent="0.3">
      <c r="A12823">
        <v>25538</v>
      </c>
      <c r="C12823" t="s">
        <v>27607</v>
      </c>
      <c r="D12823">
        <v>0.15</v>
      </c>
      <c r="E12823">
        <v>0</v>
      </c>
      <c r="F12823">
        <f t="shared" si="234"/>
        <v>0.15</v>
      </c>
      <c r="I12823">
        <v>20240901</v>
      </c>
      <c r="J12823" t="s">
        <v>27610</v>
      </c>
    </row>
    <row r="12824" spans="1:10" x14ac:dyDescent="0.3">
      <c r="A12824">
        <v>25544</v>
      </c>
      <c r="C12824" t="s">
        <v>27607</v>
      </c>
      <c r="D12824">
        <v>0.15</v>
      </c>
      <c r="E12824">
        <v>0</v>
      </c>
      <c r="F12824">
        <f t="shared" si="234"/>
        <v>0.15</v>
      </c>
      <c r="I12824">
        <v>20240901</v>
      </c>
      <c r="J12824" t="s">
        <v>27616</v>
      </c>
    </row>
    <row r="12825" spans="1:10" x14ac:dyDescent="0.3">
      <c r="A12825">
        <v>25546</v>
      </c>
      <c r="C12825" t="s">
        <v>27607</v>
      </c>
      <c r="D12825">
        <v>0.15</v>
      </c>
      <c r="E12825">
        <v>0</v>
      </c>
      <c r="F12825">
        <f t="shared" si="234"/>
        <v>0.15</v>
      </c>
      <c r="I12825">
        <v>20240901</v>
      </c>
      <c r="J12825" t="s">
        <v>27610</v>
      </c>
    </row>
    <row r="12826" spans="1:10" x14ac:dyDescent="0.3">
      <c r="A12826">
        <v>25552</v>
      </c>
      <c r="C12826" t="s">
        <v>27607</v>
      </c>
      <c r="D12826">
        <v>0.15</v>
      </c>
      <c r="E12826">
        <v>0</v>
      </c>
      <c r="F12826">
        <f t="shared" si="234"/>
        <v>0.15</v>
      </c>
      <c r="I12826">
        <v>20240901</v>
      </c>
      <c r="J12826" t="s">
        <v>2535</v>
      </c>
    </row>
    <row r="12827" spans="1:10" x14ac:dyDescent="0.3">
      <c r="A12827">
        <v>25553</v>
      </c>
      <c r="C12827" t="s">
        <v>27607</v>
      </c>
      <c r="D12827">
        <v>0.15</v>
      </c>
      <c r="E12827">
        <v>0</v>
      </c>
      <c r="F12827">
        <f t="shared" si="234"/>
        <v>0.15</v>
      </c>
      <c r="I12827">
        <v>20240901</v>
      </c>
      <c r="J12827" t="s">
        <v>2535</v>
      </c>
    </row>
    <row r="12828" spans="1:10" x14ac:dyDescent="0.3">
      <c r="A12828">
        <v>25554</v>
      </c>
      <c r="C12828" t="s">
        <v>27607</v>
      </c>
      <c r="D12828">
        <v>0.15</v>
      </c>
      <c r="E12828">
        <v>0</v>
      </c>
      <c r="F12828">
        <f t="shared" si="234"/>
        <v>0.15</v>
      </c>
      <c r="I12828">
        <v>20240901</v>
      </c>
      <c r="J12828" t="s">
        <v>27615</v>
      </c>
    </row>
    <row r="12829" spans="1:10" x14ac:dyDescent="0.3">
      <c r="A12829">
        <v>25556</v>
      </c>
      <c r="C12829" t="s">
        <v>27607</v>
      </c>
      <c r="D12829">
        <v>0.15</v>
      </c>
      <c r="E12829">
        <v>0</v>
      </c>
      <c r="F12829">
        <f t="shared" si="234"/>
        <v>0.15</v>
      </c>
      <c r="I12829">
        <v>20240901</v>
      </c>
      <c r="J12829" t="s">
        <v>27613</v>
      </c>
    </row>
    <row r="12830" spans="1:10" x14ac:dyDescent="0.3">
      <c r="A12830">
        <v>25563</v>
      </c>
      <c r="C12830" t="s">
        <v>27607</v>
      </c>
      <c r="D12830">
        <v>0.15</v>
      </c>
      <c r="E12830">
        <v>0</v>
      </c>
      <c r="F12830">
        <f t="shared" si="234"/>
        <v>0.15</v>
      </c>
      <c r="I12830">
        <v>20240901</v>
      </c>
      <c r="J12830" t="s">
        <v>2474</v>
      </c>
    </row>
    <row r="12831" spans="1:10" x14ac:dyDescent="0.3">
      <c r="A12831">
        <v>25566</v>
      </c>
      <c r="C12831" t="s">
        <v>27607</v>
      </c>
      <c r="D12831">
        <v>0.15</v>
      </c>
      <c r="E12831">
        <v>0</v>
      </c>
      <c r="F12831">
        <f t="shared" si="234"/>
        <v>0.15</v>
      </c>
      <c r="I12831">
        <v>20240901</v>
      </c>
      <c r="J12831" t="s">
        <v>2538</v>
      </c>
    </row>
    <row r="12832" spans="1:10" x14ac:dyDescent="0.3">
      <c r="A12832">
        <v>25567</v>
      </c>
      <c r="C12832" t="s">
        <v>27607</v>
      </c>
      <c r="D12832">
        <v>0.15</v>
      </c>
      <c r="E12832">
        <v>0</v>
      </c>
      <c r="F12832">
        <f t="shared" si="234"/>
        <v>0.15</v>
      </c>
      <c r="I12832">
        <v>20240901</v>
      </c>
      <c r="J12832" t="s">
        <v>27613</v>
      </c>
    </row>
    <row r="12833" spans="1:11" x14ac:dyDescent="0.3">
      <c r="A12833">
        <v>25572</v>
      </c>
      <c r="C12833" t="s">
        <v>27607</v>
      </c>
      <c r="D12833">
        <v>0.15</v>
      </c>
      <c r="E12833">
        <v>0</v>
      </c>
      <c r="F12833">
        <f t="shared" si="234"/>
        <v>0.15</v>
      </c>
      <c r="I12833">
        <v>20240901</v>
      </c>
      <c r="J12833" t="s">
        <v>27613</v>
      </c>
    </row>
    <row r="12834" spans="1:11" x14ac:dyDescent="0.3">
      <c r="A12834">
        <v>25574</v>
      </c>
      <c r="C12834" t="s">
        <v>27607</v>
      </c>
      <c r="D12834">
        <v>0.15</v>
      </c>
      <c r="E12834">
        <v>0</v>
      </c>
      <c r="F12834">
        <f t="shared" si="234"/>
        <v>0.15</v>
      </c>
      <c r="I12834">
        <v>20240901</v>
      </c>
      <c r="J12834" t="s">
        <v>27608</v>
      </c>
    </row>
    <row r="12835" spans="1:11" x14ac:dyDescent="0.3">
      <c r="A12835">
        <v>25579</v>
      </c>
      <c r="C12835" t="s">
        <v>27607</v>
      </c>
      <c r="D12835">
        <v>0.15</v>
      </c>
      <c r="E12835">
        <v>0</v>
      </c>
      <c r="F12835">
        <f t="shared" si="234"/>
        <v>0.15</v>
      </c>
      <c r="I12835">
        <v>20240901</v>
      </c>
      <c r="J12835" t="s">
        <v>2538</v>
      </c>
    </row>
    <row r="12836" spans="1:11" x14ac:dyDescent="0.3">
      <c r="A12836">
        <v>25582</v>
      </c>
      <c r="C12836" t="s">
        <v>27607</v>
      </c>
      <c r="D12836">
        <v>0.15</v>
      </c>
      <c r="E12836">
        <v>0</v>
      </c>
      <c r="F12836">
        <f t="shared" si="234"/>
        <v>0.15</v>
      </c>
      <c r="I12836">
        <v>20240901</v>
      </c>
      <c r="J12836" t="s">
        <v>2474</v>
      </c>
    </row>
    <row r="12837" spans="1:11" x14ac:dyDescent="0.3">
      <c r="A12837">
        <v>25583</v>
      </c>
      <c r="C12837" t="s">
        <v>27607</v>
      </c>
      <c r="D12837">
        <v>0.15</v>
      </c>
      <c r="E12837">
        <v>0</v>
      </c>
      <c r="F12837">
        <f t="shared" si="234"/>
        <v>0.15</v>
      </c>
      <c r="I12837">
        <v>20240901</v>
      </c>
      <c r="J12837" t="s">
        <v>2554</v>
      </c>
    </row>
    <row r="12838" spans="1:11" x14ac:dyDescent="0.3">
      <c r="A12838">
        <v>25590</v>
      </c>
      <c r="C12838" t="s">
        <v>27607</v>
      </c>
      <c r="D12838">
        <v>0.15</v>
      </c>
      <c r="E12838">
        <v>0</v>
      </c>
      <c r="F12838">
        <f t="shared" si="234"/>
        <v>0.15</v>
      </c>
      <c r="I12838">
        <v>20240901</v>
      </c>
      <c r="J12838" t="s">
        <v>2574</v>
      </c>
    </row>
    <row r="12839" spans="1:11" x14ac:dyDescent="0.3">
      <c r="A12839">
        <v>25595</v>
      </c>
      <c r="C12839" t="s">
        <v>27607</v>
      </c>
      <c r="D12839">
        <v>0.15</v>
      </c>
      <c r="E12839">
        <v>0</v>
      </c>
      <c r="F12839">
        <f t="shared" si="234"/>
        <v>0.15</v>
      </c>
      <c r="I12839">
        <v>20240901</v>
      </c>
      <c r="J12839" t="s">
        <v>27616</v>
      </c>
    </row>
    <row r="12840" spans="1:11" x14ac:dyDescent="0.3">
      <c r="A12840">
        <v>25597</v>
      </c>
      <c r="C12840" t="s">
        <v>27607</v>
      </c>
      <c r="D12840">
        <v>0.15</v>
      </c>
      <c r="E12840">
        <v>0</v>
      </c>
      <c r="F12840">
        <f t="shared" si="234"/>
        <v>0.15</v>
      </c>
      <c r="I12840">
        <v>20240901</v>
      </c>
      <c r="J12840" t="s">
        <v>27616</v>
      </c>
    </row>
    <row r="12841" spans="1:11" x14ac:dyDescent="0.3">
      <c r="A12841">
        <v>25599</v>
      </c>
      <c r="C12841" t="s">
        <v>27607</v>
      </c>
      <c r="D12841">
        <v>0.15</v>
      </c>
      <c r="E12841">
        <v>0</v>
      </c>
      <c r="F12841">
        <f t="shared" si="234"/>
        <v>0.15</v>
      </c>
      <c r="I12841">
        <v>20240901</v>
      </c>
      <c r="J12841" t="s">
        <v>2538</v>
      </c>
    </row>
    <row r="12842" spans="1:11" x14ac:dyDescent="0.3">
      <c r="A12842">
        <v>25602</v>
      </c>
      <c r="C12842" t="s">
        <v>27607</v>
      </c>
      <c r="D12842">
        <v>0.15</v>
      </c>
      <c r="E12842">
        <v>0</v>
      </c>
      <c r="F12842">
        <f t="shared" si="234"/>
        <v>0.15</v>
      </c>
      <c r="I12842">
        <v>20240901</v>
      </c>
      <c r="J12842" t="s">
        <v>27610</v>
      </c>
    </row>
    <row r="12843" spans="1:11" x14ac:dyDescent="0.3">
      <c r="A12843">
        <v>25604</v>
      </c>
      <c r="C12843" t="s">
        <v>27607</v>
      </c>
      <c r="D12843">
        <v>0.15</v>
      </c>
      <c r="E12843">
        <v>0</v>
      </c>
      <c r="F12843">
        <f t="shared" si="234"/>
        <v>0.15</v>
      </c>
      <c r="I12843">
        <v>20240901</v>
      </c>
      <c r="J12843" t="s">
        <v>27610</v>
      </c>
    </row>
    <row r="12844" spans="1:11" x14ac:dyDescent="0.3">
      <c r="A12844">
        <v>25607</v>
      </c>
      <c r="C12844" t="s">
        <v>27607</v>
      </c>
      <c r="D12844">
        <v>0.15</v>
      </c>
      <c r="E12844">
        <v>0</v>
      </c>
      <c r="F12844">
        <f t="shared" si="234"/>
        <v>0.15</v>
      </c>
      <c r="I12844">
        <v>20240901</v>
      </c>
      <c r="J12844" t="s">
        <v>27616</v>
      </c>
    </row>
    <row r="12845" spans="1:11" x14ac:dyDescent="0.3">
      <c r="A12845">
        <v>25613</v>
      </c>
      <c r="C12845" t="s">
        <v>27607</v>
      </c>
      <c r="D12845">
        <v>0.15</v>
      </c>
      <c r="E12845">
        <v>0</v>
      </c>
      <c r="F12845">
        <f t="shared" si="234"/>
        <v>0.15</v>
      </c>
      <c r="I12845">
        <v>20240901</v>
      </c>
      <c r="J12845" t="s">
        <v>27608</v>
      </c>
    </row>
    <row r="12846" spans="1:11" x14ac:dyDescent="0.3">
      <c r="A12846">
        <v>25624</v>
      </c>
      <c r="C12846" t="s">
        <v>27607</v>
      </c>
      <c r="D12846">
        <v>0.15</v>
      </c>
      <c r="E12846">
        <v>0</v>
      </c>
      <c r="F12846">
        <f t="shared" si="234"/>
        <v>0.15</v>
      </c>
      <c r="I12846">
        <v>20240901</v>
      </c>
      <c r="J12846" t="s">
        <v>2538</v>
      </c>
    </row>
    <row r="12847" spans="1:11" x14ac:dyDescent="0.3">
      <c r="A12847">
        <v>25626</v>
      </c>
      <c r="C12847" t="s">
        <v>27607</v>
      </c>
      <c r="D12847">
        <v>0.15</v>
      </c>
      <c r="E12847">
        <v>0</v>
      </c>
      <c r="F12847">
        <f t="shared" si="234"/>
        <v>0.15</v>
      </c>
      <c r="I12847">
        <v>20240901</v>
      </c>
      <c r="J12847" t="s">
        <v>27610</v>
      </c>
      <c r="K12847" t="s">
        <v>27614</v>
      </c>
    </row>
    <row r="12848" spans="1:11" x14ac:dyDescent="0.3">
      <c r="A12848">
        <v>25629</v>
      </c>
      <c r="C12848" t="s">
        <v>27607</v>
      </c>
      <c r="D12848">
        <v>0.15</v>
      </c>
      <c r="E12848">
        <v>0</v>
      </c>
      <c r="F12848">
        <f t="shared" si="234"/>
        <v>0.15</v>
      </c>
      <c r="I12848">
        <v>20240901</v>
      </c>
      <c r="J12848" t="s">
        <v>27610</v>
      </c>
    </row>
    <row r="12849" spans="1:10" x14ac:dyDescent="0.3">
      <c r="A12849">
        <v>25635</v>
      </c>
      <c r="C12849" t="s">
        <v>27607</v>
      </c>
      <c r="D12849">
        <v>0.15</v>
      </c>
      <c r="E12849">
        <v>0</v>
      </c>
      <c r="F12849">
        <f t="shared" si="234"/>
        <v>0.15</v>
      </c>
      <c r="I12849">
        <v>20240901</v>
      </c>
      <c r="J12849" t="s">
        <v>27616</v>
      </c>
    </row>
  </sheetData>
  <autoFilter ref="A5:ES12849" xr:uid="{66C11D55-0A08-40F9-9E39-56D4C833EF3A}"/>
  <conditionalFormatting sqref="A12547:B12547">
    <cfRule type="duplicateValues" dxfId="19" priority="18"/>
  </conditionalFormatting>
  <conditionalFormatting sqref="C7884">
    <cfRule type="duplicateValues" dxfId="18" priority="17"/>
  </conditionalFormatting>
  <conditionalFormatting sqref="C7874">
    <cfRule type="duplicateValues" dxfId="17" priority="16"/>
  </conditionalFormatting>
  <conditionalFormatting sqref="C7799">
    <cfRule type="duplicateValues" dxfId="16" priority="15"/>
  </conditionalFormatting>
  <conditionalFormatting sqref="C7777">
    <cfRule type="duplicateValues" dxfId="15" priority="14"/>
  </conditionalFormatting>
  <conditionalFormatting sqref="C7776">
    <cfRule type="duplicateValues" dxfId="14" priority="13"/>
  </conditionalFormatting>
  <conditionalFormatting sqref="C7758">
    <cfRule type="duplicateValues" dxfId="13" priority="12"/>
  </conditionalFormatting>
  <conditionalFormatting sqref="C7756">
    <cfRule type="duplicateValues" dxfId="12" priority="11"/>
  </conditionalFormatting>
  <conditionalFormatting sqref="C7753">
    <cfRule type="duplicateValues" dxfId="11" priority="10"/>
  </conditionalFormatting>
  <conditionalFormatting sqref="C7728">
    <cfRule type="duplicateValues" dxfId="10" priority="9"/>
  </conditionalFormatting>
  <conditionalFormatting sqref="C7634">
    <cfRule type="duplicateValues" dxfId="9" priority="8"/>
  </conditionalFormatting>
  <conditionalFormatting sqref="C7405">
    <cfRule type="duplicateValues" dxfId="8" priority="7"/>
  </conditionalFormatting>
  <conditionalFormatting sqref="C7354">
    <cfRule type="duplicateValues" dxfId="7" priority="6"/>
  </conditionalFormatting>
  <conditionalFormatting sqref="C7313">
    <cfRule type="duplicateValues" dxfId="6" priority="5"/>
  </conditionalFormatting>
  <conditionalFormatting sqref="C7308">
    <cfRule type="duplicateValues" dxfId="5" priority="4"/>
  </conditionalFormatting>
  <conditionalFormatting sqref="C7272">
    <cfRule type="duplicateValues" dxfId="4" priority="3"/>
  </conditionalFormatting>
  <conditionalFormatting sqref="C7266">
    <cfRule type="duplicateValues" dxfId="3" priority="2"/>
  </conditionalFormatting>
  <conditionalFormatting sqref="A12548:B12548">
    <cfRule type="duplicateValues" dxfId="2" priority="1"/>
  </conditionalFormatting>
  <conditionalFormatting sqref="A12549:A12607">
    <cfRule type="duplicateValues" dxfId="1" priority="19"/>
  </conditionalFormatting>
  <conditionalFormatting sqref="A6:B14836">
    <cfRule type="duplicateValues" dxfId="0" priority="20"/>
  </conditionalFormatting>
  <pageMargins left="0.7" right="0.7" top="0.75" bottom="0.75" header="0.3" footer="0.3"/>
  <customProperties>
    <customPr name="OrphanNamesChecke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BDO_Project_Document" ma:contentTypeID="0x01010078E595C6EB318341B7D7061AFAFF23BD0200186A38CF2AD8034DBECF4ECE7CB93DCC" ma:contentTypeVersion="24" ma:contentTypeDescription="Crée un document." ma:contentTypeScope="" ma:versionID="63af90c4b14fc549205454070e07a8e8">
  <xsd:schema xmlns:xsd="http://www.w3.org/2001/XMLSchema" xmlns:xs="http://www.w3.org/2001/XMLSchema" xmlns:p="http://schemas.microsoft.com/office/2006/metadata/properties" xmlns:ns2="0220b7ec-074b-4483-a194-4c74a058e440" xmlns:ns3="1d06146d-98bb-41f9-ab1a-602730092ad5" xmlns:ns4="7B1FB819-5CB1-4A45-976D-9AD03BC06F20" xmlns:ns5="B89A7DF0-95E9-4F2D-8FCD-5CCD1FFF9BC1" xmlns:ns6="cf0a1d4c-b86d-4d81-b8f4-e2a5edb38bfd" targetNamespace="http://schemas.microsoft.com/office/2006/metadata/properties" ma:root="true" ma:fieldsID="afb3e84d110128ede1732aec90bb8073" ns2:_="" ns3:_="" ns4:_="" ns5:_="" ns6:_="">
    <xsd:import namespace="0220b7ec-074b-4483-a194-4c74a058e440"/>
    <xsd:import namespace="1d06146d-98bb-41f9-ab1a-602730092ad5"/>
    <xsd:import namespace="7B1FB819-5CB1-4A45-976D-9AD03BC06F20"/>
    <xsd:import namespace="B89A7DF0-95E9-4F2D-8FCD-5CCD1FFF9BC1"/>
    <xsd:import namespace="cf0a1d4c-b86d-4d81-b8f4-e2a5edb38bfd"/>
    <xsd:element name="properties">
      <xsd:complexType>
        <xsd:sequence>
          <xsd:element name="documentManagement">
            <xsd:complexType>
              <xsd:all>
                <xsd:element ref="ns2:gpdocumentapprovalstatus" minOccurs="0"/>
                <xsd:element ref="ns3:gpapprovalby" minOccurs="0"/>
                <xsd:element ref="ns3:gpapprovalcomments" minOccurs="0"/>
                <xsd:element ref="ns3:gpUploadStatus" minOccurs="0"/>
                <xsd:element ref="ns4:gprequestapproval" minOccurs="0"/>
                <xsd:element ref="ns5:gprequestsignature" minOccurs="0"/>
                <xsd:element ref="ns3:gpreadonly" minOccurs="0"/>
                <xsd:element ref="ns3:gprestricted" minOccurs="0"/>
                <xsd:element ref="ns6:MediaServiceMetadata" minOccurs="0"/>
                <xsd:element ref="ns6:MediaServiceFastMetadata" minOccurs="0"/>
                <xsd:element ref="ns6:MediaServiceObjectDetectorVersions" minOccurs="0"/>
                <xsd:element ref="ns6: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20b7ec-074b-4483-a194-4c74a058e440" elementFormDefault="qualified">
    <xsd:import namespace="http://schemas.microsoft.com/office/2006/documentManagement/types"/>
    <xsd:import namespace="http://schemas.microsoft.com/office/infopath/2007/PartnerControls"/>
    <xsd:element name="gpdocumentapprovalstatus" ma:index="8" nillable="true" ma:displayName="Approval status" ma:format="Dropdown" ma:internalName="gpdocumentapprovalstatus" ma:readOnly="false">
      <xsd:simpleType>
        <xsd:restriction base="dms:Choice">
          <xsd:enumeration value="Pending"/>
          <xsd:enumeration value="Approved"/>
          <xsd:enumeration value="Rejected"/>
        </xsd:restriction>
      </xsd:simpleType>
    </xsd:element>
  </xsd:schema>
  <xsd:schema xmlns:xsd="http://www.w3.org/2001/XMLSchema" xmlns:xs="http://www.w3.org/2001/XMLSchema" xmlns:dms="http://schemas.microsoft.com/office/2006/documentManagement/types" xmlns:pc="http://schemas.microsoft.com/office/infopath/2007/PartnerControls" targetNamespace="1d06146d-98bb-41f9-ab1a-602730092ad5" elementFormDefault="qualified">
    <xsd:import namespace="http://schemas.microsoft.com/office/2006/documentManagement/types"/>
    <xsd:import namespace="http://schemas.microsoft.com/office/infopath/2007/PartnerControls"/>
    <xsd:element name="gpapprovalby" ma:index="9" nillable="true" ma:displayName="Approval By" ma:list="UserInfo" ma:SharePointGroup="0" ma:internalName="gpapproval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gpapprovalcomments" ma:index="10" nillable="true" ma:displayName="Approval Comments" ma:internalName="gpapprovalcomments" ma:readOnly="false">
      <xsd:simpleType>
        <xsd:restriction base="dms:Note">
          <xsd:maxLength value="255"/>
        </xsd:restriction>
      </xsd:simpleType>
    </xsd:element>
    <xsd:element name="gpUploadStatus" ma:index="11" nillable="true" ma:displayName="UploadStatus" ma:default="Completed" ma:format="Dropdown" ma:internalName="gpUploadStatus" ma:readOnly="false">
      <xsd:simpleType>
        <xsd:restriction base="dms:Choice">
          <xsd:enumeration value="Completed"/>
          <xsd:enumeration value="InProgress"/>
        </xsd:restriction>
      </xsd:simpleType>
    </xsd:element>
    <xsd:element name="gpreadonly" ma:index="14" nillable="true" ma:displayName="Read only" ma:default="0" ma:indexed="true" ma:internalName="gpreadonly" ma:readOnly="false">
      <xsd:simpleType>
        <xsd:restriction base="dms:Boolean"/>
      </xsd:simpleType>
    </xsd:element>
    <xsd:element name="gprestricted" ma:index="15" nillable="true" ma:displayName="Restricted" ma:default="0" ma:indexed="true" ma:internalName="gprestricted" ma:readOnly="fals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7B1FB819-5CB1-4A45-976D-9AD03BC06F20" elementFormDefault="qualified">
    <xsd:import namespace="http://schemas.microsoft.com/office/2006/documentManagement/types"/>
    <xsd:import namespace="http://schemas.microsoft.com/office/infopath/2007/PartnerControls"/>
    <xsd:element name="gprequestapproval" ma:index="12" nillable="true" ma:displayName="Request Approval" ma:format="Dropdown" ma:internalName="gprequestapproval" ma:readOnly="false">
      <xsd:simpleType>
        <xsd:restriction base="dms:Choice">
          <xsd:enumeration value="In Progress"/>
          <xsd:enumeration value="Approved"/>
          <xsd:enumeration value="Reject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B89A7DF0-95E9-4F2D-8FCD-5CCD1FFF9BC1" elementFormDefault="qualified">
    <xsd:import namespace="http://schemas.microsoft.com/office/2006/documentManagement/types"/>
    <xsd:import namespace="http://schemas.microsoft.com/office/infopath/2007/PartnerControls"/>
    <xsd:element name="gprequestsignature" ma:index="13" nillable="true" ma:displayName="Request Signature" ma:format="Dropdown" ma:internalName="gprequestsignature" ma:readOnly="false">
      <xsd:simpleType>
        <xsd:restriction base="dms:Choice">
          <xsd:enumeration value="In Progress"/>
          <xsd:enumeration value="Signed"/>
          <xsd:enumeration value="Declin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cf0a1d4c-b86d-4d81-b8f4-e2a5edb38bfd"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gpreadonly xmlns="1d06146d-98bb-41f9-ab1a-602730092ad5">false</gpreadonly>
    <gpdocumentapprovalstatus xmlns="0220b7ec-074b-4483-a194-4c74a058e440" xsi:nil="true"/>
    <gpapprovalby xmlns="1d06146d-98bb-41f9-ab1a-602730092ad5">
      <UserInfo>
        <DisplayName/>
        <AccountId xsi:nil="true"/>
        <AccountType/>
      </UserInfo>
    </gpapprovalby>
    <gprestricted xmlns="1d06146d-98bb-41f9-ab1a-602730092ad5">false</gprestricted>
    <gpapprovalcomments xmlns="1d06146d-98bb-41f9-ab1a-602730092ad5" xsi:nil="true"/>
    <gpUploadStatus xmlns="1d06146d-98bb-41f9-ab1a-602730092ad5">Completed</gpUploadStatus>
    <gprequestsignature xmlns="B89A7DF0-95E9-4F2D-8FCD-5CCD1FFF9BC1" xsi:nil="true"/>
    <gprequestapproval xmlns="7B1FB819-5CB1-4A45-976D-9AD03BC06F20" xsi:nil="true"/>
  </documentManagement>
</p:properties>
</file>

<file path=customXml/itemProps1.xml><?xml version="1.0" encoding="utf-8"?>
<ds:datastoreItem xmlns:ds="http://schemas.openxmlformats.org/officeDocument/2006/customXml" ds:itemID="{940D9F4D-3E45-41B2-95B2-B0A7F414EBDE}">
  <ds:schemaRefs>
    <ds:schemaRef ds:uri="http://schemas.microsoft.com/sharepoint/v3/contenttype/forms"/>
  </ds:schemaRefs>
</ds:datastoreItem>
</file>

<file path=customXml/itemProps2.xml><?xml version="1.0" encoding="utf-8"?>
<ds:datastoreItem xmlns:ds="http://schemas.openxmlformats.org/officeDocument/2006/customXml" ds:itemID="{422DFB05-ADC7-45CD-863C-8C1F3876B4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20b7ec-074b-4483-a194-4c74a058e440"/>
    <ds:schemaRef ds:uri="1d06146d-98bb-41f9-ab1a-602730092ad5"/>
    <ds:schemaRef ds:uri="7B1FB819-5CB1-4A45-976D-9AD03BC06F20"/>
    <ds:schemaRef ds:uri="B89A7DF0-95E9-4F2D-8FCD-5CCD1FFF9BC1"/>
    <ds:schemaRef ds:uri="cf0a1d4c-b86d-4d81-b8f4-e2a5edb38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76059B6-FFD9-4928-853C-395C5CC4FA45}">
  <ds:schemaRefs>
    <ds:schemaRef ds:uri="http://schemas.microsoft.com/DataMashup"/>
  </ds:schemaRefs>
</ds:datastoreItem>
</file>

<file path=customXml/itemProps4.xml><?xml version="1.0" encoding="utf-8"?>
<ds:datastoreItem xmlns:ds="http://schemas.openxmlformats.org/officeDocument/2006/customXml" ds:itemID="{41961D41-5820-44A9-91AB-F495F5F60819}">
  <ds:schemaRefs>
    <ds:schemaRef ds:uri="http://schemas.microsoft.com/office/2006/metadata/properties"/>
    <ds:schemaRef ds:uri="http://schemas.microsoft.com/office/infopath/2007/PartnerControls"/>
    <ds:schemaRef ds:uri="1d06146d-98bb-41f9-ab1a-602730092ad5"/>
    <ds:schemaRef ds:uri="0220b7ec-074b-4483-a194-4c74a058e440"/>
    <ds:schemaRef ds:uri="B89A7DF0-95E9-4F2D-8FCD-5CCD1FFF9BC1"/>
    <ds:schemaRef ds:uri="7B1FB819-5CB1-4A45-976D-9AD03BC06F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2</vt:i4>
      </vt:variant>
    </vt:vector>
  </HeadingPairs>
  <TitlesOfParts>
    <vt:vector size="10" baseType="lpstr">
      <vt:lpstr>HOW TO USE</vt:lpstr>
      <vt:lpstr>1. Calcul Avec prov</vt:lpstr>
      <vt:lpstr>2. Calcul Sans prov</vt:lpstr>
      <vt:lpstr>3. Template</vt:lpstr>
      <vt:lpstr>Glossaire</vt:lpstr>
      <vt:lpstr>BS . Avec prov</vt:lpstr>
      <vt:lpstr>BS . Sans prov</vt:lpstr>
      <vt:lpstr>tauxTransport 2025</vt:lpstr>
      <vt:lpstr>tx_taxe_transport</vt:lpstr>
      <vt:lpstr>'3. Template'!Zone_d_impression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ANARCY</dc:creator>
  <cp:keywords/>
  <dc:description/>
  <cp:lastModifiedBy>lucas blanchet</cp:lastModifiedBy>
  <cp:revision/>
  <dcterms:created xsi:type="dcterms:W3CDTF">2019-04-29T15:16:48Z</dcterms:created>
  <dcterms:modified xsi:type="dcterms:W3CDTF">2025-03-30T22:56:15Z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0x01010078E595C6EB318341B7D7061AFAFF23BD0200186A38CF2AD8034DBECF4ECE7CB93DCC</vt:lpwstr>
  </property>
</Properties>
</file>